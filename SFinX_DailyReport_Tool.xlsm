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lumx\Desktop\"/>
    </mc:Choice>
  </mc:AlternateContent>
  <xr:revisionPtr revIDLastSave="0" documentId="13_ncr:1_{C88F597F-5C4A-4AD8-B1F9-A18A9D7F5608}" xr6:coauthVersionLast="47" xr6:coauthVersionMax="47" xr10:uidLastSave="{00000000-0000-0000-0000-000000000000}"/>
  <bookViews>
    <workbookView xWindow="-108" yWindow="-108" windowWidth="23256" windowHeight="12456" tabRatio="819" firstSheet="1" activeTab="11" xr2:uid="{6E21178B-1DDD-4DF3-93B0-5A3D1CDF56EE}"/>
  </bookViews>
  <sheets>
    <sheet name="HISTORY" sheetId="2" state="hidden" r:id="rId1"/>
    <sheet name="MENU" sheetId="1" r:id="rId2"/>
    <sheet name="NameList" sheetId="4" state="hidden" r:id="rId3"/>
    <sheet name="WhiteList" sheetId="13" state="hidden" r:id="rId4"/>
    <sheet name="BlackList" sheetId="22" state="hidden" r:id="rId5"/>
    <sheet name="DailyReport" sheetId="96" state="hidden" r:id="rId6"/>
    <sheet name="From" sheetId="5" r:id="rId7"/>
    <sheet name="共通チーム" sheetId="1647" r:id="rId8"/>
    <sheet name="EIKOH" sheetId="1648" r:id="rId9"/>
    <sheet name="SEDDA" sheetId="1649" r:id="rId10"/>
    <sheet name="OASYS" sheetId="1650" r:id="rId11"/>
    <sheet name="TOYODATA" sheetId="1651" r:id="rId12"/>
    <sheet name="To" sheetId="6" r:id="rId13"/>
  </sheets>
  <functionGroups builtInGroupCount="19"/>
  <externalReferences>
    <externalReference r:id="rId14"/>
  </externalReferences>
  <definedNames>
    <definedName name="_xlnm.Print_Area" localSheetId="11">TOYODATA!$A$1:$O$70</definedName>
    <definedName name="_xlnm.Print_Area">#REF!</definedName>
    <definedName name="Report_Day">[1]MENU!$H$4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1651" l="1"/>
  <c r="M19" i="1651"/>
  <c r="L19" i="1651"/>
  <c r="I19" i="1651"/>
  <c r="H19" i="1651"/>
  <c r="N18" i="1651"/>
  <c r="M18" i="1651"/>
  <c r="L18" i="1651"/>
  <c r="I18" i="1651"/>
  <c r="H18" i="1651"/>
  <c r="N17" i="1651"/>
  <c r="M17" i="1651"/>
  <c r="L17" i="1651"/>
  <c r="I17" i="1651"/>
  <c r="H17" i="1651"/>
  <c r="N16" i="1651"/>
  <c r="M16" i="1651"/>
  <c r="L16" i="1651"/>
  <c r="I16" i="1651"/>
  <c r="H16" i="1651"/>
  <c r="N15" i="1651"/>
  <c r="M15" i="1651"/>
  <c r="L15" i="1651"/>
  <c r="I15" i="1651"/>
  <c r="H15" i="1651"/>
  <c r="N14" i="1651"/>
  <c r="M14" i="1651"/>
  <c r="L14" i="1651"/>
  <c r="I14" i="1651"/>
  <c r="H14" i="1651"/>
  <c r="F50" i="1650" l="1"/>
  <c r="N19" i="1650"/>
  <c r="M19" i="1650"/>
  <c r="L19" i="1650"/>
  <c r="I19" i="1650"/>
  <c r="H19" i="1650"/>
  <c r="N18" i="1650"/>
  <c r="M18" i="1650"/>
  <c r="L18" i="1650"/>
  <c r="I18" i="1650"/>
  <c r="H18" i="1650"/>
  <c r="N17" i="1650"/>
  <c r="M17" i="1650"/>
  <c r="L17" i="1650"/>
  <c r="I17" i="1650"/>
  <c r="H17" i="1650"/>
  <c r="N16" i="1650"/>
  <c r="M16" i="1650"/>
  <c r="L16" i="1650"/>
  <c r="I16" i="1650"/>
  <c r="H16" i="1650"/>
  <c r="N15" i="1650"/>
  <c r="M15" i="1650"/>
  <c r="L15" i="1650"/>
  <c r="I15" i="1650"/>
  <c r="H15" i="1650"/>
  <c r="N14" i="1650"/>
  <c r="M14" i="1650"/>
  <c r="L14" i="1650"/>
  <c r="I14" i="1650"/>
  <c r="H14" i="1650"/>
  <c r="N19" i="1649" l="1"/>
  <c r="M19" i="1649"/>
  <c r="L19" i="1649"/>
  <c r="I19" i="1649"/>
  <c r="H19" i="1649"/>
  <c r="N18" i="1649"/>
  <c r="M18" i="1649"/>
  <c r="L18" i="1649"/>
  <c r="I18" i="1649"/>
  <c r="H18" i="1649"/>
  <c r="N17" i="1649"/>
  <c r="M17" i="1649"/>
  <c r="L17" i="1649"/>
  <c r="I17" i="1649"/>
  <c r="H17" i="1649"/>
  <c r="N16" i="1649"/>
  <c r="M16" i="1649"/>
  <c r="L16" i="1649"/>
  <c r="I16" i="1649"/>
  <c r="H16" i="1649"/>
  <c r="N15" i="1649"/>
  <c r="M15" i="1649"/>
  <c r="L15" i="1649"/>
  <c r="I15" i="1649"/>
  <c r="H15" i="1649"/>
  <c r="N14" i="1649"/>
  <c r="M14" i="1649"/>
  <c r="L14" i="1649"/>
  <c r="I14" i="1649"/>
  <c r="H14" i="1649"/>
  <c r="C4" i="96" l="1"/>
  <c r="I26" i="96" a="1"/>
  <c r="B7" i="96" a="1"/>
  <c r="B7" i="96" l="1"/>
  <c r="I26" i="96"/>
  <c r="G19" i="96"/>
  <c r="F19" i="96"/>
  <c r="E19" i="96"/>
  <c r="G18" i="96"/>
  <c r="F18" i="96"/>
  <c r="E18" i="96"/>
  <c r="G17" i="96"/>
  <c r="F17" i="96"/>
  <c r="E17" i="96"/>
  <c r="G16" i="96"/>
  <c r="F16" i="96"/>
  <c r="E16" i="96"/>
  <c r="G15" i="96"/>
  <c r="F15" i="96"/>
  <c r="E15" i="96"/>
  <c r="G14" i="96"/>
  <c r="F14" i="96"/>
  <c r="E14" i="96"/>
  <c r="N17" i="96" l="1"/>
  <c r="N14" i="96"/>
  <c r="L19" i="96"/>
  <c r="I19" i="96"/>
  <c r="M17" i="96"/>
  <c r="I14" i="96"/>
  <c r="M14" i="96"/>
  <c r="H15" i="96"/>
  <c r="I16" i="96"/>
  <c r="I17" i="96"/>
  <c r="N19" i="96"/>
  <c r="H18" i="96"/>
  <c r="L18" i="96"/>
  <c r="N16" i="96"/>
  <c r="H19" i="96"/>
  <c r="M19" i="96"/>
  <c r="L17" i="96"/>
  <c r="L15" i="96"/>
  <c r="L16" i="96"/>
  <c r="M16" i="96"/>
  <c r="I18" i="96"/>
  <c r="M18" i="96"/>
  <c r="N18" i="96"/>
  <c r="H14" i="96"/>
  <c r="N15" i="96"/>
  <c r="H17" i="96"/>
  <c r="M15" i="96"/>
  <c r="I15" i="96"/>
  <c r="L14" i="96"/>
  <c r="H16" i="96"/>
  <c r="C3" i="2" l="1"/>
  <c r="A3" i="2"/>
  <c r="B3" i="2" s="1"/>
  <c r="D3" i="2" l="1"/>
  <c r="E3" i="2"/>
  <c r="B26" i="96" a="1"/>
  <c r="B26" i="9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<sst xmlns="http://schemas.openxmlformats.org/spreadsheetml/2006/main" count="650" uniqueCount="155">
  <si>
    <t>最新状況</t>
  </si>
  <si>
    <t>修正履歴</t>
  </si>
  <si>
    <t>No.</t>
    <phoneticPr fontId="4"/>
  </si>
  <si>
    <t>Name</t>
    <phoneticPr fontId="4"/>
  </si>
  <si>
    <t>Date</t>
    <phoneticPr fontId="4"/>
  </si>
  <si>
    <t>Version</t>
    <phoneticPr fontId="4"/>
  </si>
  <si>
    <t>Comments</t>
    <phoneticPr fontId="4"/>
  </si>
  <si>
    <t>曾進</t>
  </si>
  <si>
    <t>Ver 1.0</t>
    <phoneticPr fontId="4"/>
  </si>
  <si>
    <t>初期作成</t>
  </si>
  <si>
    <t>Department　Name</t>
    <phoneticPr fontId="1"/>
  </si>
  <si>
    <t>Sheet　Name</t>
    <phoneticPr fontId="1"/>
  </si>
  <si>
    <t>報告日</t>
    <rPh sb="0" eb="2">
      <t>ホウコク</t>
    </rPh>
    <rPh sb="2" eb="3">
      <t>ビ</t>
    </rPh>
    <phoneticPr fontId="1"/>
  </si>
  <si>
    <t>報告者</t>
    <rPh sb="0" eb="2">
      <t>ホウコク</t>
    </rPh>
    <rPh sb="2" eb="3">
      <t>シャ</t>
    </rPh>
    <phoneticPr fontId="1"/>
  </si>
  <si>
    <t>チーム</t>
    <phoneticPr fontId="1"/>
  </si>
  <si>
    <t>アプリ</t>
    <phoneticPr fontId="1"/>
  </si>
  <si>
    <t>進捗状況</t>
    <rPh sb="0" eb="2">
      <t>シンチョク</t>
    </rPh>
    <rPh sb="2" eb="4">
      <t>ジョウキョウ</t>
    </rPh>
    <phoneticPr fontId="1"/>
  </si>
  <si>
    <t>①</t>
    <phoneticPr fontId="1"/>
  </si>
  <si>
    <t>②</t>
    <phoneticPr fontId="1"/>
  </si>
  <si>
    <t>③</t>
    <phoneticPr fontId="1"/>
  </si>
  <si>
    <t>③-②</t>
    <phoneticPr fontId="1"/>
  </si>
  <si>
    <t>③／②</t>
    <phoneticPr fontId="1"/>
  </si>
  <si>
    <t>④</t>
    <phoneticPr fontId="1"/>
  </si>
  <si>
    <t>⑤</t>
    <phoneticPr fontId="1"/>
  </si>
  <si>
    <t>⑤-④</t>
    <phoneticPr fontId="1"/>
  </si>
  <si>
    <t>⑤／④</t>
    <phoneticPr fontId="1"/>
  </si>
  <si>
    <t>⑤／①</t>
    <phoneticPr fontId="1"/>
  </si>
  <si>
    <t>タスク</t>
    <phoneticPr fontId="1"/>
  </si>
  <si>
    <t>タスク件数</t>
    <rPh sb="3" eb="5">
      <t>ケンスウ</t>
    </rPh>
    <phoneticPr fontId="1"/>
  </si>
  <si>
    <t>着手予定</t>
    <rPh sb="0" eb="2">
      <t>チャクシュ</t>
    </rPh>
    <phoneticPr fontId="1"/>
  </si>
  <si>
    <t>着手実績</t>
    <rPh sb="0" eb="2">
      <t>チャクシュ</t>
    </rPh>
    <rPh sb="2" eb="4">
      <t>ジッセキ</t>
    </rPh>
    <phoneticPr fontId="1"/>
  </si>
  <si>
    <t>予実差異</t>
    <rPh sb="0" eb="2">
      <t>ヨジツ</t>
    </rPh>
    <rPh sb="2" eb="4">
      <t>サイ</t>
    </rPh>
    <phoneticPr fontId="1"/>
  </si>
  <si>
    <t>進捗率</t>
    <rPh sb="0" eb="2">
      <t>シンチョク</t>
    </rPh>
    <rPh sb="2" eb="3">
      <t>リツ</t>
    </rPh>
    <phoneticPr fontId="1"/>
  </si>
  <si>
    <t>完了予定</t>
    <rPh sb="0" eb="2">
      <t>カンリョウ</t>
    </rPh>
    <phoneticPr fontId="1"/>
  </si>
  <si>
    <t>完了実績</t>
    <rPh sb="0" eb="2">
      <t>カンリョウ</t>
    </rPh>
    <rPh sb="2" eb="4">
      <t>ジッセキ</t>
    </rPh>
    <phoneticPr fontId="1"/>
  </si>
  <si>
    <t>完了率</t>
    <rPh sb="0" eb="2">
      <t>カンリョウ</t>
    </rPh>
    <rPh sb="2" eb="3">
      <t>リツ</t>
    </rPh>
    <phoneticPr fontId="1"/>
  </si>
  <si>
    <t>PG対応</t>
  </si>
  <si>
    <t>ソースレビュー</t>
  </si>
  <si>
    <t>単体テスト仕様書作成</t>
  </si>
  <si>
    <t>単体テスト仕様書レビュー</t>
  </si>
  <si>
    <t>単体テスト</t>
  </si>
  <si>
    <t>エビデンスレビュー</t>
  </si>
  <si>
    <t>課題状況</t>
    <rPh sb="0" eb="2">
      <t>カダイ</t>
    </rPh>
    <rPh sb="2" eb="4">
      <t>ジョウキョウ</t>
    </rPh>
    <phoneticPr fontId="1"/>
  </si>
  <si>
    <t>累計発生</t>
    <rPh sb="0" eb="2">
      <t>ルイケイ</t>
    </rPh>
    <rPh sb="2" eb="4">
      <t>ハッセイ</t>
    </rPh>
    <phoneticPr fontId="1"/>
  </si>
  <si>
    <t>累計完了</t>
    <rPh sb="0" eb="2">
      <t>ルイケイ</t>
    </rPh>
    <rPh sb="2" eb="4">
      <t>カンリョウ</t>
    </rPh>
    <phoneticPr fontId="1"/>
  </si>
  <si>
    <t>保留</t>
    <rPh sb="0" eb="2">
      <t>ホリュウ</t>
    </rPh>
    <phoneticPr fontId="1"/>
  </si>
  <si>
    <t>残課題</t>
    <rPh sb="0" eb="1">
      <t>ザン</t>
    </rPh>
    <rPh sb="1" eb="3">
      <t>カダイ</t>
    </rPh>
    <phoneticPr fontId="1"/>
  </si>
  <si>
    <t>重要課題</t>
    <rPh sb="0" eb="2">
      <t>ジュウヨウ</t>
    </rPh>
    <rPh sb="2" eb="4">
      <t>カダイ</t>
    </rPh>
    <phoneticPr fontId="1"/>
  </si>
  <si>
    <t>連絡事項</t>
    <rPh sb="0" eb="2">
      <t>レンラク</t>
    </rPh>
    <rPh sb="2" eb="4">
      <t>ジコウ</t>
    </rPh>
    <phoneticPr fontId="1"/>
  </si>
  <si>
    <t>～以上～</t>
    <rPh sb="1" eb="3">
      <t>イジョウ</t>
    </rPh>
    <phoneticPr fontId="1"/>
  </si>
  <si>
    <t>G:\共有ドライブ\[EX PJ] SFinX\08_開発\01_進捗管理\日報</t>
    <phoneticPr fontId="1"/>
  </si>
  <si>
    <t>①</t>
  </si>
  <si>
    <t>②</t>
  </si>
  <si>
    <t>③</t>
  </si>
  <si>
    <t>④</t>
  </si>
  <si>
    <t>課題状況</t>
  </si>
  <si>
    <t>累計発生</t>
  </si>
  <si>
    <t>累計完了</t>
  </si>
  <si>
    <t>保留</t>
  </si>
  <si>
    <t>残課題</t>
  </si>
  <si>
    <t>叢、曾</t>
    <rPh sb="2" eb="3">
      <t>ソ</t>
    </rPh>
    <phoneticPr fontId="1"/>
  </si>
  <si>
    <t>(②＋③)/①</t>
  </si>
  <si>
    <t>③-④</t>
  </si>
  <si>
    <t>OK</t>
  </si>
  <si>
    <t>NG</t>
  </si>
  <si>
    <t>試験進捗率</t>
  </si>
  <si>
    <t>再試験数</t>
  </si>
  <si>
    <t>故障残</t>
  </si>
  <si>
    <t>試験状況</t>
    <rPh sb="0" eb="2">
      <t>シケン</t>
    </rPh>
    <rPh sb="2" eb="4">
      <t>ジョウキョウ</t>
    </rPh>
    <phoneticPr fontId="1"/>
  </si>
  <si>
    <t>テスト項目数</t>
    <rPh sb="3" eb="5">
      <t>コウモク</t>
    </rPh>
    <rPh sb="5" eb="6">
      <t>スウ</t>
    </rPh>
    <phoneticPr fontId="19"/>
  </si>
  <si>
    <t>完了件数</t>
    <rPh sb="0" eb="2">
      <t>カンリョウ</t>
    </rPh>
    <rPh sb="2" eb="4">
      <t>ケンスウ</t>
    </rPh>
    <phoneticPr fontId="1"/>
  </si>
  <si>
    <t>サブシステム</t>
    <phoneticPr fontId="1"/>
  </si>
  <si>
    <t>機能数(本)</t>
    <rPh sb="0" eb="2">
      <t>キノウ</t>
    </rPh>
    <rPh sb="2" eb="3">
      <t>スウ</t>
    </rPh>
    <rPh sb="4" eb="5">
      <t>ホン</t>
    </rPh>
    <phoneticPr fontId="1"/>
  </si>
  <si>
    <t>コーディング
誤り件数</t>
    <rPh sb="7" eb="8">
      <t>アヤマ</t>
    </rPh>
    <rPh sb="9" eb="11">
      <t>ケンスウ</t>
    </rPh>
    <phoneticPr fontId="1"/>
  </si>
  <si>
    <t>品質保証</t>
    <phoneticPr fontId="1"/>
  </si>
  <si>
    <t>指摘件数</t>
    <rPh sb="0" eb="2">
      <t>シテキ</t>
    </rPh>
    <rPh sb="2" eb="4">
      <t>ケンスウ</t>
    </rPh>
    <phoneticPr fontId="1"/>
  </si>
  <si>
    <t>品管Tへ2次レビュー依頼</t>
    <rPh sb="0" eb="2">
      <t>ヒンカン</t>
    </rPh>
    <rPh sb="5" eb="6">
      <t>ジ</t>
    </rPh>
    <rPh sb="10" eb="12">
      <t>イライ</t>
    </rPh>
    <phoneticPr fontId="1"/>
  </si>
  <si>
    <t>PG完了機能数</t>
    <rPh sb="2" eb="4">
      <t>カンリョウ</t>
    </rPh>
    <rPh sb="4" eb="6">
      <t>キノウ</t>
    </rPh>
    <rPh sb="6" eb="7">
      <t>スウ</t>
    </rPh>
    <phoneticPr fontId="1"/>
  </si>
  <si>
    <t>1次レビュー完了</t>
  </si>
  <si>
    <t>2次レビュー依頼</t>
    <rPh sb="6" eb="8">
      <t>イライ</t>
    </rPh>
    <phoneticPr fontId="1"/>
  </si>
  <si>
    <t>2次レビュー完了</t>
    <rPh sb="6" eb="8">
      <t>カンリョウ</t>
    </rPh>
    <phoneticPr fontId="1"/>
  </si>
  <si>
    <t>完了本数</t>
    <rPh sb="0" eb="2">
      <t>カンリョウ</t>
    </rPh>
    <rPh sb="2" eb="3">
      <t>ホン</t>
    </rPh>
    <phoneticPr fontId="1"/>
  </si>
  <si>
    <t>C_契約管理</t>
  </si>
  <si>
    <t>納品用の画面入口整理</t>
    <rPh sb="0" eb="3">
      <t>ノウヒンヨウ</t>
    </rPh>
    <rPh sb="4" eb="6">
      <t>ガメン</t>
    </rPh>
    <rPh sb="6" eb="8">
      <t>イリグチ</t>
    </rPh>
    <rPh sb="8" eb="10">
      <t>セイリ</t>
    </rPh>
    <phoneticPr fontId="1"/>
  </si>
  <si>
    <t>B_SFA</t>
    <phoneticPr fontId="1"/>
  </si>
  <si>
    <t>納品対応（2026年2月）</t>
    <rPh sb="0" eb="2">
      <t>ノウヒン</t>
    </rPh>
    <rPh sb="2" eb="4">
      <t>タイオウ</t>
    </rPh>
    <rPh sb="9" eb="10">
      <t>ネン</t>
    </rPh>
    <rPh sb="11" eb="12">
      <t>ゲツ</t>
    </rPh>
    <phoneticPr fontId="1"/>
  </si>
  <si>
    <t>改修規模(行)</t>
    <rPh sb="0" eb="2">
      <t>カイシュウ</t>
    </rPh>
    <rPh sb="2" eb="4">
      <t>キボ</t>
    </rPh>
    <rPh sb="5" eb="6">
      <t>ギョウ</t>
    </rPh>
    <phoneticPr fontId="1"/>
  </si>
  <si>
    <t>納品対応（2026年4月）</t>
    <rPh sb="0" eb="2">
      <t>ノウヒン</t>
    </rPh>
    <rPh sb="2" eb="4">
      <t>タイオウ</t>
    </rPh>
    <rPh sb="9" eb="10">
      <t>ネン</t>
    </rPh>
    <rPh sb="11" eb="12">
      <t>ゲツ</t>
    </rPh>
    <phoneticPr fontId="1"/>
  </si>
  <si>
    <t>納品対応（2026年5月）</t>
    <rPh sb="0" eb="2">
      <t>ノウヒン</t>
    </rPh>
    <rPh sb="2" eb="4">
      <t>タイオウ</t>
    </rPh>
    <rPh sb="9" eb="10">
      <t>ネン</t>
    </rPh>
    <rPh sb="11" eb="12">
      <t>ゲツ</t>
    </rPh>
    <phoneticPr fontId="1"/>
  </si>
  <si>
    <t>L_経費</t>
    <phoneticPr fontId="1"/>
  </si>
  <si>
    <t>受入指摘対応</t>
    <phoneticPr fontId="1"/>
  </si>
  <si>
    <t>入口本数</t>
    <rPh sb="0" eb="2">
      <t>イリグチ</t>
    </rPh>
    <rPh sb="2" eb="3">
      <t>ホン</t>
    </rPh>
    <phoneticPr fontId="1"/>
  </si>
  <si>
    <t>D_資産管理</t>
  </si>
  <si>
    <t>P_経営管理</t>
  </si>
  <si>
    <t>R_書類管理</t>
  </si>
  <si>
    <t>E_請求回収</t>
  </si>
  <si>
    <t>F_支払</t>
    <phoneticPr fontId="1"/>
  </si>
  <si>
    <t>再作成</t>
    <rPh sb="0" eb="1">
      <t>サイ</t>
    </rPh>
    <rPh sb="1" eb="3">
      <t>サクセイ</t>
    </rPh>
    <phoneticPr fontId="1"/>
  </si>
  <si>
    <t>＜進捗状況＞
■製造（PG対応、ソースレビュー）
　予定通り
■試験表作成（単体テスト仕様書作成＆レビュー）
   予定通り
■試験（単体テスト＆エビデンスレビュー）
    予定通り</t>
    <phoneticPr fontId="1"/>
  </si>
  <si>
    <t>EIKOH</t>
    <phoneticPr fontId="1"/>
  </si>
  <si>
    <t>■製造（PG対応、ソースレビュー）
　予定通り
■試験表作成（単体テスト仕様書作成＆レビュー）
　予定通り
■試験（単体テスト＆エビデンスレビュー）
　単体テスト：予定通り
　エビデンスレビュー：予定通り</t>
    <phoneticPr fontId="1"/>
  </si>
  <si>
    <t>湯　文龍</t>
    <phoneticPr fontId="1"/>
  </si>
  <si>
    <t>OASYS</t>
    <phoneticPr fontId="1"/>
  </si>
  <si>
    <t>D_資産管理</t>
    <phoneticPr fontId="1"/>
  </si>
  <si>
    <t>于　程程</t>
    <phoneticPr fontId="1"/>
  </si>
  <si>
    <t>共通チーム</t>
    <phoneticPr fontId="1"/>
  </si>
  <si>
    <t>既存バグ
件数</t>
    <rPh sb="0" eb="2">
      <t>キゾン</t>
    </rPh>
    <rPh sb="5" eb="7">
      <t>ケンスウ</t>
    </rPh>
    <phoneticPr fontId="1"/>
  </si>
  <si>
    <t>■製造（PG対応、ソースレビュー）
　予定通り
■試験表作成（単体テスト仕様書作成＆レビュー）
　予定通り
■試験（単体テスト＆エビデンスレビュー）
　予定通り</t>
    <rPh sb="76" eb="78">
      <t>ヨテイ</t>
    </rPh>
    <rPh sb="78" eb="79">
      <t>ドオ</t>
    </rPh>
    <phoneticPr fontId="1"/>
  </si>
  <si>
    <t>ソース修正数</t>
    <rPh sb="3" eb="5">
      <t>シュウセイ</t>
    </rPh>
    <rPh sb="5" eb="6">
      <t>スウ</t>
    </rPh>
    <phoneticPr fontId="1"/>
  </si>
  <si>
    <t>原因記入数</t>
    <rPh sb="0" eb="2">
      <t>ゲンイン</t>
    </rPh>
    <rPh sb="2" eb="4">
      <t>キニュウ</t>
    </rPh>
    <rPh sb="4" eb="5">
      <t>スウ</t>
    </rPh>
    <phoneticPr fontId="1"/>
  </si>
  <si>
    <t>韓　洪亮</t>
    <phoneticPr fontId="1"/>
  </si>
  <si>
    <t>TOYODATA</t>
    <phoneticPr fontId="1"/>
  </si>
  <si>
    <t xml:space="preserve">■製造（PG対応、ソースレビュー）
　予定通り
■試験表作成（単体テスト仕様書作成＆レビュー）
　予定通り
■試験（単体テスト＆エビデンスレビュー）
　予定通り
</t>
    <phoneticPr fontId="1"/>
  </si>
  <si>
    <t>原因記入</t>
    <rPh sb="0" eb="4">
      <t>ゲンインキニュウ</t>
    </rPh>
    <phoneticPr fontId="1"/>
  </si>
  <si>
    <t>①勤怠状況（〇：出社、●：テレワーク、△：休暇、▲：夏休、×：病休）
今日：
　●韓　洪亮
　●潘　長緯
明日：
　●韓　洪亮
　●潘　長緯
②その他
　なし</t>
    <phoneticPr fontId="1"/>
  </si>
  <si>
    <t>D_資産管理</t>
    <phoneticPr fontId="26"/>
  </si>
  <si>
    <t>P_経営管理</t>
    <phoneticPr fontId="26"/>
  </si>
  <si>
    <t>C_契約管理</t>
    <phoneticPr fontId="26"/>
  </si>
  <si>
    <t>R_書類管理</t>
    <phoneticPr fontId="26"/>
  </si>
  <si>
    <t>E_請求回収</t>
    <phoneticPr fontId="26"/>
  </si>
  <si>
    <r>
      <t>移行チェックACTION、JSP(</t>
    </r>
    <r>
      <rPr>
        <b/>
        <u/>
        <sz val="11"/>
        <color rgb="FFFF0000"/>
        <rFont val="Meiryo UI"/>
        <family val="3"/>
        <charset val="128"/>
      </rPr>
      <t>ver:20260424</t>
    </r>
    <r>
      <rPr>
        <b/>
        <u/>
        <sz val="11"/>
        <color theme="1"/>
        <rFont val="Meiryo UI"/>
        <family val="3"/>
        <charset val="128"/>
      </rPr>
      <t>)</t>
    </r>
    <phoneticPr fontId="1"/>
  </si>
  <si>
    <t>チェック対象</t>
    <rPh sb="4" eb="6">
      <t>タイショウ</t>
    </rPh>
    <phoneticPr fontId="1"/>
  </si>
  <si>
    <t>検出件数</t>
    <phoneticPr fontId="1"/>
  </si>
  <si>
    <t>対応要件数</t>
    <rPh sb="0" eb="2">
      <t>タイオウ</t>
    </rPh>
    <rPh sb="2" eb="3">
      <t>ヨウ</t>
    </rPh>
    <rPh sb="3" eb="5">
      <t>ケンスウ</t>
    </rPh>
    <phoneticPr fontId="1"/>
  </si>
  <si>
    <t>対応不要件数</t>
    <rPh sb="0" eb="2">
      <t>タイオウ</t>
    </rPh>
    <rPh sb="2" eb="4">
      <t>フヨウ</t>
    </rPh>
    <phoneticPr fontId="1"/>
  </si>
  <si>
    <t>対象外件数</t>
    <rPh sb="0" eb="2">
      <t>タイショウ</t>
    </rPh>
    <rPh sb="2" eb="3">
      <t>ガイ</t>
    </rPh>
    <phoneticPr fontId="1"/>
  </si>
  <si>
    <t>対応完了件数</t>
    <rPh sb="0" eb="2">
      <t>タイオウ</t>
    </rPh>
    <rPh sb="2" eb="4">
      <t>カンリョウ</t>
    </rPh>
    <rPh sb="4" eb="6">
      <t>ケンスウ</t>
    </rPh>
    <phoneticPr fontId="1"/>
  </si>
  <si>
    <t>着手中件数</t>
    <rPh sb="0" eb="2">
      <t>チャクシュ</t>
    </rPh>
    <rPh sb="2" eb="3">
      <t>チュウ</t>
    </rPh>
    <rPh sb="3" eb="5">
      <t>ケンスウ</t>
    </rPh>
    <phoneticPr fontId="1"/>
  </si>
  <si>
    <t>未着手件数</t>
    <rPh sb="0" eb="3">
      <t>ミチャクシュ</t>
    </rPh>
    <rPh sb="3" eb="5">
      <t>ケンスウ</t>
    </rPh>
    <phoneticPr fontId="1"/>
  </si>
  <si>
    <t>確認要</t>
    <rPh sb="0" eb="2">
      <t>カクニン</t>
    </rPh>
    <rPh sb="2" eb="3">
      <t>ヨウ</t>
    </rPh>
    <phoneticPr fontId="1"/>
  </si>
  <si>
    <t>FORM</t>
    <phoneticPr fontId="1"/>
  </si>
  <si>
    <t>JSP</t>
    <phoneticPr fontId="1"/>
  </si>
  <si>
    <t>ACTION</t>
    <phoneticPr fontId="1"/>
  </si>
  <si>
    <t>移行チェックACTION、JSP(ver:20260424)</t>
    <phoneticPr fontId="1"/>
  </si>
  <si>
    <t>検出</t>
    <phoneticPr fontId="1"/>
  </si>
  <si>
    <t>対応要</t>
    <rPh sb="0" eb="2">
      <t>タイオウ</t>
    </rPh>
    <rPh sb="2" eb="3">
      <t>ヨウ</t>
    </rPh>
    <phoneticPr fontId="1"/>
  </si>
  <si>
    <t>対応不要</t>
    <rPh sb="0" eb="2">
      <t>タイオウ</t>
    </rPh>
    <rPh sb="2" eb="4">
      <t>フヨウ</t>
    </rPh>
    <phoneticPr fontId="1"/>
  </si>
  <si>
    <t>対象外</t>
    <rPh sb="0" eb="2">
      <t>タイショウ</t>
    </rPh>
    <rPh sb="2" eb="3">
      <t>ガイ</t>
    </rPh>
    <phoneticPr fontId="1"/>
  </si>
  <si>
    <t>対応完了</t>
    <rPh sb="0" eb="2">
      <t>タイオウ</t>
    </rPh>
    <rPh sb="2" eb="4">
      <t>カンリョウ</t>
    </rPh>
    <phoneticPr fontId="1"/>
  </si>
  <si>
    <t>着手中</t>
    <rPh sb="0" eb="2">
      <t>チャクシュ</t>
    </rPh>
    <rPh sb="2" eb="3">
      <t>チュウ</t>
    </rPh>
    <phoneticPr fontId="1"/>
  </si>
  <si>
    <t>未着手</t>
    <rPh sb="0" eb="3">
      <t>ミチャクシュ</t>
    </rPh>
    <phoneticPr fontId="1"/>
  </si>
  <si>
    <t xml:space="preserve">①勤怠状況（〇：出社、●：テレワーク、△：休暇、▲：夏休、×：病休）
今日：
   ●叢　洋
   ●張　琪
   ●尉　廷東 
   ●趙　新凱
   ●趙　秉輝
   ●成松　桃子
   ●楊　智程
   ●于　程程
明日：
   ●叢　洋
   ●張　琪
   ●尉　廷東 
   ●趙　新凱
   ●趙　秉輝
   ●成松　桃子
   ●楊　智程
   ●于　程程
②その他
</t>
    <phoneticPr fontId="1"/>
  </si>
  <si>
    <t>陳　帥</t>
    <phoneticPr fontId="1"/>
  </si>
  <si>
    <t>SEDDA</t>
    <phoneticPr fontId="1"/>
  </si>
  <si>
    <t>■製造（PG対応、ソースレビュー）
　　予定通り(外部＆内部)
■試験表作成（単体テスト仕様書作成＆レビュー）
　　予定通り(外部＆内部)
■試験（単体テスト＆エビデンスレビュー）
　　予定通り(外部＆内部)</t>
    <phoneticPr fontId="1"/>
  </si>
  <si>
    <t>①勤怠状況（〇：出社、●：テレワーク、△：休暇、▲：夏休、×：病休）
今日：
　●陳　帥
　●高　宇航
明日：
　●陳　帥
　●高　宇航
②勤怠連絡：なし
③その他：なし</t>
    <phoneticPr fontId="1"/>
  </si>
  <si>
    <t xml:space="preserve">■課題
課題番号：なし
課題内容：なし
対応状況：なし
補足:なし
</t>
    <rPh sb="1" eb="3">
      <t>カダイ</t>
    </rPh>
    <phoneticPr fontId="1"/>
  </si>
  <si>
    <t>D-148</t>
    <phoneticPr fontId="1"/>
  </si>
  <si>
    <t xml:space="preserve">■課題
なし。
</t>
    <phoneticPr fontId="1"/>
  </si>
  <si>
    <t>■課題
なし
■品質保証
なし
故障表の移動　実施中</t>
    <rPh sb="18" eb="20">
      <t>コショウ</t>
    </rPh>
    <rPh sb="20" eb="21">
      <t>ヒョウ</t>
    </rPh>
    <rPh sb="22" eb="24">
      <t>イドウ</t>
    </rPh>
    <rPh sb="25" eb="27">
      <t>ジッシ</t>
    </rPh>
    <rPh sb="27" eb="28">
      <t>チュウ</t>
    </rPh>
    <phoneticPr fontId="1"/>
  </si>
  <si>
    <t>劉　淳</t>
    <rPh sb="0" eb="1">
      <t>リュウ</t>
    </rPh>
    <rPh sb="2" eb="3">
      <t>ジュン</t>
    </rPh>
    <phoneticPr fontId="1"/>
  </si>
  <si>
    <t xml:space="preserve">■課題
課題番号：D-148　C02507A060_支店連絡先一覧
課題内容：次期画面レイアウトは現行と異なり、文字量が多い場合でも折り返し表示されず、単一行での表示となるため、横方向のスクロールバーが発生します。現行では折り返し表示されるため、横スクロールバーは表示されません。
対応状況：起票
補足:G:\共有ドライブ\[EX PJ] SFinX\08_開発\02_課題管理\課題一覧_趙さん\D-148.xlsx
■現行画面キャプチャ提供の遅延による遅れ
　なし
</t>
    <rPh sb="146" eb="148">
      <t>キヒョウ</t>
    </rPh>
    <phoneticPr fontId="1"/>
  </si>
  <si>
    <t>①勤怠状況（〇：出社、●：テレワーク、△：休暇、▲：夏休、×：病休）
今日：
　●湯　文龍
　△杜　謙
明日：
　●湯　文龍
　△杜　謙
②その他
杜　謙：休暇(2026/5/26-2026/6/9)</t>
    <phoneticPr fontId="1"/>
  </si>
  <si>
    <t xml:space="preserve">■課題
①課題番号：E-32
　課題内容：SVF帳票印刷時、帳票の右上部分の内容が一部表示されない。
　対応状況：SVF帳票ソフトウェアライセンスなしのため、一旦保留
</t>
    <phoneticPr fontId="1"/>
  </si>
  <si>
    <t>①勤怠状況
（〇：出社、●：テレワーク、△：休暇、×：病休）
今日：
　●劉　淳
　●秦　敏
　●姜　暁鑫
明日：
　△劉　淳
　●秦　敏
　●姜　暁鑫
②勤怠連絡
　なし
③その他
　なし</t>
    <rPh sb="60" eb="61">
      <t>リュウ</t>
    </rPh>
    <rPh sb="62" eb="63">
      <t>ジュン</t>
    </rPh>
    <rPh sb="71" eb="73">
      <t>キコク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</si>
</sst>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2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メイリオ"/>
      <family val="2"/>
      <charset val="128"/>
    </font>
    <font>
      <b/>
      <sz val="11"/>
      <color theme="1"/>
      <name val="メイリオ"/>
      <family val="3"/>
      <charset val="128"/>
    </font>
    <font>
      <sz val="6"/>
      <name val="メイリオ"/>
      <family val="2"/>
      <charset val="128"/>
    </font>
    <font>
      <b/>
      <sz val="11"/>
      <color theme="1"/>
      <name val="Meiryo UI"/>
      <family val="3"/>
      <charset val="128"/>
    </font>
    <font>
      <b/>
      <sz val="16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u/>
      <sz val="11"/>
      <color theme="10"/>
      <name val="游ゴシック"/>
      <family val="2"/>
      <scheme val="minor"/>
    </font>
    <font>
      <u/>
      <sz val="11"/>
      <color theme="10"/>
      <name val="メイリオ"/>
      <family val="2"/>
      <charset val="128"/>
    </font>
    <font>
      <sz val="11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sz val="11"/>
      <color theme="1"/>
      <name val="Meiryo UI"/>
      <family val="2"/>
      <charset val="128"/>
    </font>
    <font>
      <b/>
      <u/>
      <sz val="11"/>
      <color theme="1"/>
      <name val="Meiryo UI"/>
      <family val="3"/>
      <charset val="128"/>
    </font>
    <font>
      <b/>
      <u/>
      <sz val="11"/>
      <color theme="1"/>
      <name val="Meiryo"/>
      <family val="3"/>
      <charset val="128"/>
    </font>
    <font>
      <sz val="11"/>
      <color theme="1"/>
      <name val="Meiryo"/>
      <family val="3"/>
      <charset val="128"/>
    </font>
    <font>
      <b/>
      <sz val="11"/>
      <color theme="1"/>
      <name val="Meiryo"/>
      <family val="3"/>
      <charset val="128"/>
    </font>
    <font>
      <u/>
      <sz val="11"/>
      <color theme="10"/>
      <name val="Meiryo UI"/>
      <family val="2"/>
      <charset val="128"/>
    </font>
    <font>
      <b/>
      <u/>
      <sz val="11"/>
      <name val="Meiryo UI"/>
      <family val="3"/>
      <charset val="128"/>
    </font>
    <font>
      <sz val="16"/>
      <color rgb="FF000000"/>
      <name val="Meiryo UI"/>
      <family val="3"/>
      <charset val="128"/>
    </font>
    <font>
      <sz val="11"/>
      <color rgb="FF000000"/>
      <name val="游ゴシック"/>
      <family val="2"/>
      <scheme val="minor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u/>
      <sz val="11"/>
      <color theme="3" tint="0.499984740745262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1"/>
      <name val="Meiryo UI"/>
      <family val="3"/>
      <charset val="134"/>
    </font>
    <font>
      <sz val="11"/>
      <color rgb="FFFF0000"/>
      <name val="Meiryo UI"/>
      <family val="3"/>
    </font>
    <font>
      <b/>
      <sz val="11"/>
      <name val="Meiryo UI"/>
      <family val="3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E2D5"/>
        <bgColor rgb="FFFAE2D5"/>
      </patternFill>
    </fill>
    <fill>
      <patternFill patternType="solid">
        <fgColor rgb="FFDBE9F7"/>
        <bgColor rgb="FFDBE9F7"/>
      </patternFill>
    </fill>
    <fill>
      <patternFill patternType="solid">
        <fgColor rgb="FFD8D8D8"/>
        <bgColor rgb="FFD8D8D8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91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7" fillId="0" borderId="0" applyNumberForma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>
      <alignment vertical="center"/>
    </xf>
    <xf numFmtId="0" fontId="2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38" fontId="7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</cellStyleXfs>
  <cellXfs count="144">
    <xf numFmtId="0" fontId="0" fillId="0" borderId="0" xfId="0">
      <alignment vertical="center"/>
    </xf>
    <xf numFmtId="0" fontId="3" fillId="0" borderId="0" xfId="1" applyFont="1">
      <alignment vertical="center"/>
    </xf>
    <xf numFmtId="0" fontId="2" fillId="0" borderId="0" xfId="1">
      <alignment vertical="center"/>
    </xf>
    <xf numFmtId="14" fontId="2" fillId="0" borderId="0" xfId="1" applyNumberFormat="1">
      <alignment vertical="center"/>
    </xf>
    <xf numFmtId="0" fontId="2" fillId="0" borderId="0" xfId="1" applyAlignment="1">
      <alignment horizontal="center" vertical="center"/>
    </xf>
    <xf numFmtId="176" fontId="2" fillId="0" borderId="0" xfId="1" applyNumberFormat="1">
      <alignment vertical="center"/>
    </xf>
    <xf numFmtId="0" fontId="2" fillId="0" borderId="0" xfId="1" applyAlignment="1">
      <alignment vertical="top"/>
    </xf>
    <xf numFmtId="0" fontId="2" fillId="0" borderId="0" xfId="1" applyAlignment="1">
      <alignment horizontal="center" vertical="top"/>
    </xf>
    <xf numFmtId="176" fontId="2" fillId="0" borderId="0" xfId="1" applyNumberFormat="1" applyAlignment="1">
      <alignment vertical="top"/>
    </xf>
    <xf numFmtId="0" fontId="2" fillId="0" borderId="0" xfId="1" applyAlignment="1">
      <alignment vertical="top" wrapText="1"/>
    </xf>
    <xf numFmtId="0" fontId="5" fillId="2" borderId="0" xfId="0" applyFont="1" applyFill="1">
      <alignment vertical="center"/>
    </xf>
    <xf numFmtId="0" fontId="0" fillId="3" borderId="0" xfId="0" applyFill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1" applyFont="1" applyAlignment="1">
      <alignment vertical="top" wrapText="1"/>
    </xf>
    <xf numFmtId="0" fontId="13" fillId="0" borderId="0" xfId="0" applyFont="1">
      <alignment vertical="center"/>
    </xf>
    <xf numFmtId="176" fontId="0" fillId="4" borderId="1" xfId="0" applyNumberFormat="1" applyFill="1" applyBorder="1" applyAlignment="1">
      <alignment vertical="center" shrinkToFit="1"/>
    </xf>
    <xf numFmtId="0" fontId="5" fillId="5" borderId="2" xfId="0" applyFont="1" applyFill="1" applyBorder="1" applyAlignment="1">
      <alignment horizontal="centerContinuous" vertical="center"/>
    </xf>
    <xf numFmtId="0" fontId="5" fillId="5" borderId="3" xfId="0" applyFont="1" applyFill="1" applyBorder="1" applyAlignment="1">
      <alignment horizontal="centerContinuous" vertical="center"/>
    </xf>
    <xf numFmtId="0" fontId="5" fillId="5" borderId="4" xfId="0" applyFont="1" applyFill="1" applyBorder="1" applyAlignment="1">
      <alignment horizontal="centerContinuous" vertical="center"/>
    </xf>
    <xf numFmtId="0" fontId="5" fillId="5" borderId="4" xfId="0" applyFont="1" applyFill="1" applyBorder="1">
      <alignment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2" xfId="0" applyFont="1" applyFill="1" applyBorder="1">
      <alignment vertical="center"/>
    </xf>
    <xf numFmtId="0" fontId="5" fillId="6" borderId="3" xfId="0" applyFont="1" applyFill="1" applyBorder="1">
      <alignment vertical="center"/>
    </xf>
    <xf numFmtId="0" fontId="0" fillId="6" borderId="4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1" xfId="0" applyFill="1" applyBorder="1">
      <alignment vertical="center"/>
    </xf>
    <xf numFmtId="0" fontId="0" fillId="6" borderId="1" xfId="0" applyFill="1" applyBorder="1">
      <alignment vertical="center"/>
    </xf>
    <xf numFmtId="9" fontId="0" fillId="6" borderId="1" xfId="5" applyFont="1" applyFill="1" applyBorder="1">
      <alignment vertical="center"/>
    </xf>
    <xf numFmtId="0" fontId="5" fillId="5" borderId="1" xfId="0" applyFont="1" applyFill="1" applyBorder="1" applyAlignment="1">
      <alignment horizontal="center" vertical="center" shrinkToFit="1"/>
    </xf>
    <xf numFmtId="0" fontId="10" fillId="0" borderId="0" xfId="0" applyFont="1" applyAlignment="1">
      <alignment horizontal="center" shrinkToFit="1"/>
    </xf>
    <xf numFmtId="0" fontId="10" fillId="4" borderId="1" xfId="0" applyFont="1" applyFill="1" applyBorder="1" applyAlignment="1">
      <alignment horizontal="center"/>
    </xf>
    <xf numFmtId="9" fontId="10" fillId="4" borderId="1" xfId="5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18" fillId="0" borderId="0" xfId="55" applyFont="1">
      <alignment vertical="center"/>
    </xf>
    <xf numFmtId="0" fontId="18" fillId="5" borderId="1" xfId="55" applyFont="1" applyFill="1" applyBorder="1" applyAlignment="1">
      <alignment horizontal="center" vertical="center" shrinkToFit="1"/>
    </xf>
    <xf numFmtId="0" fontId="20" fillId="0" borderId="0" xfId="498" applyAlignment="1">
      <alignment vertical="center"/>
    </xf>
    <xf numFmtId="0" fontId="5" fillId="5" borderId="2" xfId="498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right" vertical="top"/>
    </xf>
    <xf numFmtId="0" fontId="10" fillId="4" borderId="2" xfId="498" applyFont="1" applyFill="1" applyBorder="1" applyAlignment="1">
      <alignment horizontal="left" vertical="top" shrinkToFit="1"/>
    </xf>
    <xf numFmtId="0" fontId="15" fillId="7" borderId="14" xfId="0" applyFont="1" applyFill="1" applyBorder="1">
      <alignment vertical="center"/>
    </xf>
    <xf numFmtId="0" fontId="15" fillId="7" borderId="13" xfId="0" applyFont="1" applyFill="1" applyBorder="1">
      <alignment vertical="center"/>
    </xf>
    <xf numFmtId="0" fontId="5" fillId="5" borderId="1" xfId="498" applyFont="1" applyFill="1" applyBorder="1" applyAlignment="1">
      <alignment horizontal="center" vertical="center" shrinkToFit="1"/>
    </xf>
    <xf numFmtId="38" fontId="21" fillId="4" borderId="1" xfId="649" applyFont="1" applyFill="1" applyBorder="1" applyAlignment="1">
      <alignment horizontal="right" vertical="top"/>
    </xf>
    <xf numFmtId="0" fontId="10" fillId="4" borderId="1" xfId="98" applyFont="1" applyFill="1" applyBorder="1" applyAlignment="1">
      <alignment vertical="center"/>
    </xf>
    <xf numFmtId="0" fontId="23" fillId="0" borderId="0" xfId="498" applyFont="1" applyAlignment="1">
      <alignment vertical="center"/>
    </xf>
    <xf numFmtId="0" fontId="13" fillId="0" borderId="0" xfId="783" applyFont="1" applyAlignment="1">
      <alignment vertical="center"/>
    </xf>
    <xf numFmtId="0" fontId="22" fillId="5" borderId="1" xfId="498" applyFont="1" applyFill="1" applyBorder="1" applyAlignment="1">
      <alignment horizontal="center" vertical="center" wrapText="1" shrinkToFit="1"/>
    </xf>
    <xf numFmtId="0" fontId="5" fillId="5" borderId="1" xfId="783" applyFont="1" applyFill="1" applyBorder="1" applyAlignment="1">
      <alignment horizontal="center" vertical="center"/>
    </xf>
    <xf numFmtId="38" fontId="10" fillId="4" borderId="1" xfId="649" applyFont="1" applyFill="1" applyBorder="1" applyAlignment="1">
      <alignment horizontal="center" vertical="top"/>
    </xf>
    <xf numFmtId="38" fontId="21" fillId="4" borderId="1" xfId="649" applyFont="1" applyFill="1" applyBorder="1" applyAlignment="1">
      <alignment horizontal="center" vertical="top"/>
    </xf>
    <xf numFmtId="0" fontId="10" fillId="4" borderId="1" xfId="783" applyFont="1" applyFill="1" applyBorder="1" applyAlignment="1">
      <alignment horizontal="center" vertical="top"/>
    </xf>
    <xf numFmtId="0" fontId="14" fillId="0" borderId="0" xfId="782" applyFont="1" applyAlignment="1">
      <alignment vertical="center"/>
    </xf>
    <xf numFmtId="0" fontId="7" fillId="0" borderId="0" xfId="782" applyAlignment="1">
      <alignment vertical="center"/>
    </xf>
    <xf numFmtId="0" fontId="13" fillId="0" borderId="0" xfId="782" applyFont="1" applyAlignment="1">
      <alignment vertical="center"/>
    </xf>
    <xf numFmtId="0" fontId="16" fillId="8" borderId="13" xfId="782" applyFont="1" applyFill="1" applyBorder="1" applyAlignment="1">
      <alignment horizontal="center" vertical="center"/>
    </xf>
    <xf numFmtId="0" fontId="5" fillId="5" borderId="1" xfId="782" applyFont="1" applyFill="1" applyBorder="1" applyAlignment="1">
      <alignment vertical="center" shrinkToFit="1"/>
    </xf>
    <xf numFmtId="0" fontId="15" fillId="7" borderId="13" xfId="782" applyFont="1" applyFill="1" applyBorder="1" applyAlignment="1">
      <alignment vertical="center"/>
    </xf>
    <xf numFmtId="0" fontId="15" fillId="9" borderId="13" xfId="782" applyFont="1" applyFill="1" applyBorder="1" applyAlignment="1">
      <alignment vertical="center"/>
    </xf>
    <xf numFmtId="0" fontId="10" fillId="4" borderId="1" xfId="782" applyFont="1" applyFill="1" applyBorder="1" applyAlignment="1">
      <alignment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10" fillId="7" borderId="14" xfId="0" applyFont="1" applyFill="1" applyBorder="1">
      <alignment vertical="center"/>
    </xf>
    <xf numFmtId="0" fontId="10" fillId="7" borderId="13" xfId="0" applyFont="1" applyFill="1" applyBorder="1">
      <alignment vertical="center"/>
    </xf>
    <xf numFmtId="0" fontId="10" fillId="9" borderId="13" xfId="0" applyFont="1" applyFill="1" applyBorder="1">
      <alignment vertical="center"/>
    </xf>
    <xf numFmtId="9" fontId="10" fillId="9" borderId="13" xfId="0" applyNumberFormat="1" applyFont="1" applyFill="1" applyBorder="1">
      <alignment vertical="center"/>
    </xf>
    <xf numFmtId="176" fontId="10" fillId="4" borderId="1" xfId="0" applyNumberFormat="1" applyFont="1" applyFill="1" applyBorder="1" applyAlignment="1">
      <alignment vertical="center" shrinkToFit="1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0" fillId="6" borderId="4" xfId="0" applyFont="1" applyFill="1" applyBorder="1">
      <alignment vertical="center"/>
    </xf>
    <xf numFmtId="0" fontId="10" fillId="6" borderId="1" xfId="0" applyFont="1" applyFill="1" applyBorder="1">
      <alignment vertical="center"/>
    </xf>
    <xf numFmtId="9" fontId="10" fillId="6" borderId="1" xfId="5" applyFont="1" applyFill="1" applyBorder="1">
      <alignment vertical="center"/>
    </xf>
    <xf numFmtId="0" fontId="25" fillId="0" borderId="0" xfId="498" applyFont="1" applyAlignment="1">
      <alignment vertical="center"/>
    </xf>
    <xf numFmtId="0" fontId="10" fillId="0" borderId="0" xfId="782" applyFont="1" applyAlignment="1">
      <alignment vertical="center"/>
    </xf>
    <xf numFmtId="0" fontId="5" fillId="8" borderId="13" xfId="782" applyFont="1" applyFill="1" applyBorder="1" applyAlignment="1">
      <alignment horizontal="center" vertical="center"/>
    </xf>
    <xf numFmtId="0" fontId="10" fillId="7" borderId="13" xfId="782" applyFont="1" applyFill="1" applyBorder="1" applyAlignment="1">
      <alignment vertical="center"/>
    </xf>
    <xf numFmtId="0" fontId="10" fillId="9" borderId="13" xfId="782" applyFont="1" applyFill="1" applyBorder="1" applyAlignment="1">
      <alignment vertical="center"/>
    </xf>
    <xf numFmtId="0" fontId="0" fillId="0" borderId="1" xfId="0" applyBorder="1">
      <alignment vertical="center"/>
    </xf>
    <xf numFmtId="0" fontId="5" fillId="5" borderId="1" xfId="0" applyFont="1" applyFill="1" applyBorder="1" applyAlignment="1">
      <alignment horizontal="left" vertical="center"/>
    </xf>
    <xf numFmtId="0" fontId="28" fillId="5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10" fillId="4" borderId="2" xfId="0" applyFont="1" applyFill="1" applyBorder="1" applyAlignment="1">
      <alignment horizontal="left" vertical="top"/>
    </xf>
    <xf numFmtId="0" fontId="24" fillId="4" borderId="1" xfId="0" applyFont="1" applyFill="1" applyBorder="1" applyAlignment="1">
      <alignment horizontal="right" vertical="top"/>
    </xf>
    <xf numFmtId="0" fontId="29" fillId="4" borderId="1" xfId="0" applyFont="1" applyFill="1" applyBorder="1" applyAlignment="1">
      <alignment horizontal="right" vertical="top"/>
    </xf>
    <xf numFmtId="0" fontId="18" fillId="0" borderId="0" xfId="0" applyFont="1">
      <alignment vertical="center"/>
    </xf>
    <xf numFmtId="0" fontId="21" fillId="4" borderId="1" xfId="0" applyFont="1" applyFill="1" applyBorder="1" applyAlignment="1">
      <alignment horizontal="right" vertical="top"/>
    </xf>
    <xf numFmtId="0" fontId="30" fillId="4" borderId="1" xfId="0" applyFont="1" applyFill="1" applyBorder="1" applyAlignment="1">
      <alignment horizontal="right" vertical="top"/>
    </xf>
    <xf numFmtId="0" fontId="22" fillId="5" borderId="1" xfId="0" applyFont="1" applyFill="1" applyBorder="1">
      <alignment vertical="center"/>
    </xf>
    <xf numFmtId="0" fontId="31" fillId="5" borderId="1" xfId="0" applyFont="1" applyFill="1" applyBorder="1">
      <alignment vertical="center"/>
    </xf>
    <xf numFmtId="0" fontId="31" fillId="5" borderId="4" xfId="0" applyFont="1" applyFill="1" applyBorder="1" applyAlignment="1">
      <alignment horizontal="centerContinuous" vertical="center"/>
    </xf>
    <xf numFmtId="0" fontId="21" fillId="4" borderId="2" xfId="0" applyFont="1" applyFill="1" applyBorder="1" applyAlignment="1">
      <alignment horizontal="left" vertical="top"/>
    </xf>
    <xf numFmtId="0" fontId="10" fillId="4" borderId="5" xfId="0" applyFont="1" applyFill="1" applyBorder="1" applyAlignment="1">
      <alignment horizontal="left" vertical="top" wrapText="1"/>
    </xf>
    <xf numFmtId="0" fontId="10" fillId="4" borderId="6" xfId="0" applyFont="1" applyFill="1" applyBorder="1" applyAlignment="1">
      <alignment horizontal="left" vertical="top"/>
    </xf>
    <xf numFmtId="0" fontId="10" fillId="4" borderId="7" xfId="0" applyFont="1" applyFill="1" applyBorder="1" applyAlignment="1">
      <alignment horizontal="left" vertical="top"/>
    </xf>
    <xf numFmtId="0" fontId="10" fillId="4" borderId="8" xfId="0" applyFont="1" applyFill="1" applyBorder="1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0" fillId="4" borderId="9" xfId="0" applyFont="1" applyFill="1" applyBorder="1" applyAlignment="1">
      <alignment horizontal="left" vertical="top"/>
    </xf>
    <xf numFmtId="0" fontId="10" fillId="4" borderId="10" xfId="0" applyFont="1" applyFill="1" applyBorder="1" applyAlignment="1">
      <alignment horizontal="left" vertical="top"/>
    </xf>
    <xf numFmtId="0" fontId="10" fillId="4" borderId="11" xfId="0" applyFont="1" applyFill="1" applyBorder="1" applyAlignment="1">
      <alignment horizontal="left" vertical="top"/>
    </xf>
    <xf numFmtId="0" fontId="10" fillId="4" borderId="12" xfId="0" applyFont="1" applyFill="1" applyBorder="1" applyAlignment="1">
      <alignment horizontal="left" vertical="top"/>
    </xf>
    <xf numFmtId="0" fontId="21" fillId="4" borderId="5" xfId="0" applyFont="1" applyFill="1" applyBorder="1" applyAlignment="1">
      <alignment horizontal="left" vertical="top" wrapText="1"/>
    </xf>
    <xf numFmtId="0" fontId="21" fillId="4" borderId="6" xfId="0" applyFont="1" applyFill="1" applyBorder="1" applyAlignment="1">
      <alignment horizontal="left" vertical="top"/>
    </xf>
    <xf numFmtId="0" fontId="21" fillId="4" borderId="7" xfId="0" applyFont="1" applyFill="1" applyBorder="1" applyAlignment="1">
      <alignment horizontal="left" vertical="top"/>
    </xf>
    <xf numFmtId="0" fontId="21" fillId="4" borderId="8" xfId="0" applyFont="1" applyFill="1" applyBorder="1" applyAlignment="1">
      <alignment horizontal="left" vertical="top"/>
    </xf>
    <xf numFmtId="0" fontId="21" fillId="4" borderId="0" xfId="0" applyFont="1" applyFill="1" applyAlignment="1">
      <alignment horizontal="left" vertical="top"/>
    </xf>
    <xf numFmtId="0" fontId="21" fillId="4" borderId="9" xfId="0" applyFont="1" applyFill="1" applyBorder="1" applyAlignment="1">
      <alignment horizontal="left" vertical="top"/>
    </xf>
    <xf numFmtId="0" fontId="21" fillId="4" borderId="10" xfId="0" applyFont="1" applyFill="1" applyBorder="1" applyAlignment="1">
      <alignment horizontal="left" vertical="top"/>
    </xf>
    <xf numFmtId="0" fontId="21" fillId="4" borderId="11" xfId="0" applyFont="1" applyFill="1" applyBorder="1" applyAlignment="1">
      <alignment horizontal="left" vertical="top"/>
    </xf>
    <xf numFmtId="0" fontId="21" fillId="4" borderId="12" xfId="0" applyFont="1" applyFill="1" applyBorder="1" applyAlignment="1">
      <alignment horizontal="left" vertical="top"/>
    </xf>
    <xf numFmtId="0" fontId="0" fillId="4" borderId="5" xfId="0" applyFill="1" applyBorder="1" applyAlignment="1">
      <alignment horizontal="left" vertical="top" wrapText="1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4" borderId="9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1" xfId="0" applyFill="1" applyBorder="1" applyAlignment="1">
      <alignment horizontal="left" vertical="top"/>
    </xf>
    <xf numFmtId="0" fontId="0" fillId="4" borderId="12" xfId="0" applyFill="1" applyBorder="1" applyAlignment="1">
      <alignment horizontal="left" vertical="top"/>
    </xf>
    <xf numFmtId="0" fontId="10" fillId="4" borderId="6" xfId="0" applyFont="1" applyFill="1" applyBorder="1" applyAlignment="1">
      <alignment horizontal="left" vertical="top" wrapText="1"/>
    </xf>
    <xf numFmtId="0" fontId="10" fillId="4" borderId="7" xfId="0" applyFont="1" applyFill="1" applyBorder="1" applyAlignment="1">
      <alignment horizontal="left" vertical="top" wrapText="1"/>
    </xf>
    <xf numFmtId="0" fontId="10" fillId="4" borderId="8" xfId="0" applyFont="1" applyFill="1" applyBorder="1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0" fontId="10" fillId="4" borderId="9" xfId="0" applyFont="1" applyFill="1" applyBorder="1" applyAlignment="1">
      <alignment horizontal="left" vertical="top" wrapText="1"/>
    </xf>
    <xf numFmtId="0" fontId="10" fillId="4" borderId="10" xfId="0" applyFont="1" applyFill="1" applyBorder="1" applyAlignment="1">
      <alignment horizontal="left" vertical="top" wrapText="1"/>
    </xf>
    <xf numFmtId="0" fontId="10" fillId="4" borderId="11" xfId="0" applyFont="1" applyFill="1" applyBorder="1" applyAlignment="1">
      <alignment horizontal="left" vertical="top" wrapText="1"/>
    </xf>
    <xf numFmtId="0" fontId="10" fillId="4" borderId="12" xfId="0" applyFont="1" applyFill="1" applyBorder="1" applyAlignment="1">
      <alignment horizontal="left" vertical="top" wrapText="1"/>
    </xf>
    <xf numFmtId="0" fontId="21" fillId="4" borderId="6" xfId="0" applyFont="1" applyFill="1" applyBorder="1" applyAlignment="1">
      <alignment horizontal="left" vertical="top" wrapText="1"/>
    </xf>
    <xf numFmtId="0" fontId="21" fillId="4" borderId="7" xfId="0" applyFont="1" applyFill="1" applyBorder="1" applyAlignment="1">
      <alignment horizontal="left" vertical="top" wrapText="1"/>
    </xf>
    <xf numFmtId="0" fontId="21" fillId="4" borderId="8" xfId="0" applyFont="1" applyFill="1" applyBorder="1" applyAlignment="1">
      <alignment horizontal="left" vertical="top" wrapText="1"/>
    </xf>
    <xf numFmtId="0" fontId="21" fillId="4" borderId="0" xfId="0" applyFont="1" applyFill="1" applyAlignment="1">
      <alignment horizontal="left" vertical="top" wrapText="1"/>
    </xf>
    <xf numFmtId="0" fontId="21" fillId="4" borderId="9" xfId="0" applyFont="1" applyFill="1" applyBorder="1" applyAlignment="1">
      <alignment horizontal="left" vertical="top" wrapText="1"/>
    </xf>
    <xf numFmtId="0" fontId="21" fillId="4" borderId="10" xfId="0" applyFont="1" applyFill="1" applyBorder="1" applyAlignment="1">
      <alignment horizontal="left" vertical="top" wrapText="1"/>
    </xf>
    <xf numFmtId="0" fontId="21" fillId="4" borderId="11" xfId="0" applyFont="1" applyFill="1" applyBorder="1" applyAlignment="1">
      <alignment horizontal="left" vertical="top" wrapText="1"/>
    </xf>
    <xf numFmtId="0" fontId="21" fillId="4" borderId="12" xfId="0" applyFont="1" applyFill="1" applyBorder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4" borderId="8" xfId="0" applyFill="1" applyBorder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4" borderId="9" xfId="0" applyFill="1" applyBorder="1" applyAlignment="1">
      <alignment horizontal="left" vertical="top" wrapText="1"/>
    </xf>
    <xf numFmtId="0" fontId="0" fillId="4" borderId="10" xfId="0" applyFill="1" applyBorder="1" applyAlignment="1">
      <alignment horizontal="left" vertical="top" wrapText="1"/>
    </xf>
    <xf numFmtId="0" fontId="0" fillId="4" borderId="11" xfId="0" applyFill="1" applyBorder="1" applyAlignment="1">
      <alignment horizontal="left" vertical="top" wrapText="1"/>
    </xf>
    <xf numFmtId="0" fontId="0" fillId="4" borderId="12" xfId="0" applyFill="1" applyBorder="1" applyAlignment="1">
      <alignment horizontal="left" vertical="top" wrapText="1"/>
    </xf>
  </cellXfs>
  <cellStyles count="791">
    <cellStyle name="パーセント" xfId="5" builtinId="5"/>
    <cellStyle name="パーセント 2" xfId="72" xr:uid="{9CC1B559-2281-4364-B56F-2010DCD5B03A}"/>
    <cellStyle name="ハイパーリンク" xfId="55" builtinId="8"/>
    <cellStyle name="ハイパーリンク 2" xfId="3" xr:uid="{D097508F-1CDD-4CC4-A3EF-1C26A8B51359}"/>
    <cellStyle name="ハイパーリンク 2 2" xfId="4" xr:uid="{B29541E3-555B-4116-9CDC-F1A2BE281FB5}"/>
    <cellStyle name="桁区切り 2" xfId="649" xr:uid="{F5B2D0E1-004F-4672-90C9-D221B6D47524}"/>
    <cellStyle name="標準" xfId="0" builtinId="0"/>
    <cellStyle name="標準 10" xfId="13" xr:uid="{41AC8B38-1124-4B0D-B3C2-B6953DB9926A}"/>
    <cellStyle name="標準 100" xfId="104" xr:uid="{62E04831-1A15-48A6-BDA7-29F057AF916B}"/>
    <cellStyle name="標準 1000" xfId="603" xr:uid="{12E2E653-486D-4FDC-B108-60F4C79D3533}"/>
    <cellStyle name="標準 101" xfId="105" xr:uid="{487E6521-B6E8-4203-8237-8600EA0596DF}"/>
    <cellStyle name="標準 102" xfId="106" xr:uid="{F5F745C8-5562-4F05-81F3-8CB3E0799C6B}"/>
    <cellStyle name="標準 103" xfId="107" xr:uid="{39307703-A286-4E9E-805B-A70D6DCD1D93}"/>
    <cellStyle name="標準 104" xfId="108" xr:uid="{5F095E2C-35AB-44FD-B110-3AC8B870DEEF}"/>
    <cellStyle name="標準 105" xfId="109" xr:uid="{146877D5-C637-44A3-9898-DC853F4A58A8}"/>
    <cellStyle name="標準 106" xfId="110" xr:uid="{FCD99638-70CB-47B8-86C1-E302B82DB1E6}"/>
    <cellStyle name="標準 107" xfId="111" xr:uid="{50EB5472-F794-4ECF-BB03-10C794B26250}"/>
    <cellStyle name="標準 108" xfId="112" xr:uid="{1411081F-1017-47D4-883C-30244B7B39DD}"/>
    <cellStyle name="標準 109" xfId="113" xr:uid="{E357CEBF-23B5-438B-9BDA-B6ABDAA1771C}"/>
    <cellStyle name="標準 11" xfId="14" xr:uid="{26EEC6C3-DE6E-4A86-9D00-CC1EA9F97CAD}"/>
    <cellStyle name="標準 110" xfId="114" xr:uid="{427F0C20-DC85-467C-8114-29E3012B70B3}"/>
    <cellStyle name="標準 111" xfId="115" xr:uid="{CE8A2292-CFC4-43CE-825A-574526D783DD}"/>
    <cellStyle name="標準 112" xfId="116" xr:uid="{22C66B96-D90D-4AB1-969F-2129A20E58A0}"/>
    <cellStyle name="標準 113" xfId="117" xr:uid="{5FE7F0B1-64AC-4E09-8C54-DE5F8195FD1F}"/>
    <cellStyle name="標準 114" xfId="118" xr:uid="{0177B13D-7D92-4D0C-9EC3-3D139690C9BD}"/>
    <cellStyle name="標準 115" xfId="119" xr:uid="{5CA55AC9-4772-4D10-B5C1-CC88023F8F04}"/>
    <cellStyle name="標準 116" xfId="120" xr:uid="{9DCEAD88-CEBA-41A7-89D8-4AF6EFF45067}"/>
    <cellStyle name="標準 117" xfId="121" xr:uid="{D7BC3BA2-9C53-41BC-96EB-A5151E4E6B58}"/>
    <cellStyle name="標準 118" xfId="122" xr:uid="{D254B173-2F2A-47B8-A6E2-ECD610ABB4CC}"/>
    <cellStyle name="標準 119" xfId="123" xr:uid="{9FC9D57D-04C2-4920-A409-F3D1B6CE759D}"/>
    <cellStyle name="標準 12" xfId="15" xr:uid="{1CD0B4E5-DCF6-4F39-8E84-B529DFED2E3E}"/>
    <cellStyle name="標準 120" xfId="124" xr:uid="{7CC1FF83-E162-46EF-A09D-93FC20F5A84F}"/>
    <cellStyle name="標準 121" xfId="125" xr:uid="{7A963174-5D16-447E-9045-4387A9991CE6}"/>
    <cellStyle name="標準 122" xfId="126" xr:uid="{18707183-8798-422C-85EF-EB1A5B42068C}"/>
    <cellStyle name="標準 123" xfId="127" xr:uid="{870EB7B2-8813-4CD6-9207-D4A0FA7F1C70}"/>
    <cellStyle name="標準 124" xfId="128" xr:uid="{9C628EAE-7B59-4B08-A645-F2E1266F6544}"/>
    <cellStyle name="標準 125" xfId="129" xr:uid="{D4F046D3-C089-4B63-88D6-6C04535A4584}"/>
    <cellStyle name="標準 126" xfId="130" xr:uid="{71AFE680-442F-4553-AABB-CB7A714B7892}"/>
    <cellStyle name="標準 127" xfId="131" xr:uid="{7567B4FA-6147-4AE5-8250-B1659C0F1626}"/>
    <cellStyle name="標準 128" xfId="132" xr:uid="{C44680FD-C011-475D-A6D9-65B85C5471E2}"/>
    <cellStyle name="標準 129" xfId="133" xr:uid="{C236C95C-2454-4B3C-8952-6A692E6082B5}"/>
    <cellStyle name="標準 13" xfId="1" xr:uid="{346A6F46-2133-4E9D-B43C-E507C3BAD733}"/>
    <cellStyle name="標準 130" xfId="134" xr:uid="{14CA8905-7B42-4F29-AC84-7D7029144A47}"/>
    <cellStyle name="標準 131" xfId="135" xr:uid="{F85CB262-91E3-4577-B479-687CF2B917EC}"/>
    <cellStyle name="標準 132" xfId="136" xr:uid="{596DE75D-D361-4501-80D6-5DDF65786495}"/>
    <cellStyle name="標準 133" xfId="137" xr:uid="{C717B090-6B6C-4308-A3C3-111E631167FE}"/>
    <cellStyle name="標準 134" xfId="138" xr:uid="{AC2C0C15-10B2-49D8-ABE0-0155BC783D6E}"/>
    <cellStyle name="標準 135" xfId="139" xr:uid="{03114653-A899-402A-A0E3-03E413C5A991}"/>
    <cellStyle name="標準 136" xfId="140" xr:uid="{0B7A1E9C-B867-48FD-8EEE-A089A40CE01E}"/>
    <cellStyle name="標準 137" xfId="141" xr:uid="{BF4B2333-7AA0-4BFA-B44B-421208CD7700}"/>
    <cellStyle name="標準 138" xfId="142" xr:uid="{A4B755E7-20B8-49BC-B01C-22375AC9EAAB}"/>
    <cellStyle name="標準 139" xfId="143" xr:uid="{84704FB5-04BA-45B8-9CD9-3BEFF326DC81}"/>
    <cellStyle name="標準 14" xfId="16" xr:uid="{9390071A-2107-48D6-A37E-F46474674011}"/>
    <cellStyle name="標準 140" xfId="144" xr:uid="{E74BA397-FD34-48DE-B010-7C193E89B1DA}"/>
    <cellStyle name="標準 141" xfId="145" xr:uid="{AED0BB49-6C5B-4BC9-B992-3802DBAA7D4C}"/>
    <cellStyle name="標準 142" xfId="146" xr:uid="{5D09F0AE-A4F7-473F-90EE-D7EF4150943F}"/>
    <cellStyle name="標準 143" xfId="147" xr:uid="{0586D8E2-E36E-40FA-91AE-4DCA5BFC0D65}"/>
    <cellStyle name="標準 144" xfId="148" xr:uid="{CD2D2356-CE34-4FE0-B9EF-B576129DCA26}"/>
    <cellStyle name="標準 145" xfId="149" xr:uid="{99785165-5B84-49AD-B2C7-7976FBFD59F1}"/>
    <cellStyle name="標準 146" xfId="150" xr:uid="{99A01050-D0DD-4716-AA56-0DB7065770B2}"/>
    <cellStyle name="標準 147" xfId="151" xr:uid="{56C65A72-60BA-49A4-B2E8-84141BFEA7E1}"/>
    <cellStyle name="標準 148" xfId="152" xr:uid="{657D334A-48A0-4070-AC16-F7708E72D4F2}"/>
    <cellStyle name="標準 149" xfId="153" xr:uid="{E97D0AA3-4C12-470A-B8D0-1A621064B5D7}"/>
    <cellStyle name="標準 15" xfId="17" xr:uid="{FCAEBB48-BDF6-4E2F-8123-965B87C49049}"/>
    <cellStyle name="標準 150" xfId="154" xr:uid="{7E365B90-CF6D-4218-A0E2-87865BE160AD}"/>
    <cellStyle name="標準 151" xfId="155" xr:uid="{6A304392-2EA6-476C-8268-5C6BE2A6DF80}"/>
    <cellStyle name="標準 152" xfId="156" xr:uid="{E4BB20CF-9C20-49D7-AB54-BB891D2DA342}"/>
    <cellStyle name="標準 153" xfId="157" xr:uid="{E65814E1-675E-4FBE-9196-9D5BF9E3E62B}"/>
    <cellStyle name="標準 154" xfId="158" xr:uid="{E9DAE951-BDC6-4A7E-B0B7-9BAE8C577C8C}"/>
    <cellStyle name="標準 155" xfId="159" xr:uid="{17324E84-380E-412A-9C7E-5930CD0B2636}"/>
    <cellStyle name="標準 156" xfId="160" xr:uid="{E6050959-CEC2-4A63-9E6C-B716FBE670D2}"/>
    <cellStyle name="標準 157" xfId="161" xr:uid="{DA9F2C69-DE45-4EF1-8E9D-4183E501ED95}"/>
    <cellStyle name="標準 158" xfId="162" xr:uid="{A2C3BB59-4C6B-41E3-9A03-BEF3B01C4E78}"/>
    <cellStyle name="標準 159" xfId="163" xr:uid="{5E069BC8-776D-442E-A984-57513C4E1C10}"/>
    <cellStyle name="標準 16" xfId="18" xr:uid="{6404B3B1-53C1-47AF-BA98-627E6BD5A3A2}"/>
    <cellStyle name="標準 160" xfId="164" xr:uid="{C96C0588-6C0E-4861-A99C-194739E91B31}"/>
    <cellStyle name="標準 161" xfId="165" xr:uid="{A7D09AF8-3E93-4799-B4DF-8106CD5C35A0}"/>
    <cellStyle name="標準 162" xfId="166" xr:uid="{AB68E66B-6A1E-4F95-80EB-9EBDE38B21AF}"/>
    <cellStyle name="標準 163" xfId="167" xr:uid="{E7E8733F-1B9F-49AB-B8E1-28FEA52FCD52}"/>
    <cellStyle name="標準 164" xfId="168" xr:uid="{DB45BA3A-083D-4910-A966-84143A993EFE}"/>
    <cellStyle name="標準 165" xfId="169" xr:uid="{6ADEB872-C135-4F95-BD2D-880142629EC8}"/>
    <cellStyle name="標準 166" xfId="170" xr:uid="{1AE77166-ADDC-4E82-BA45-862B8F84E016}"/>
    <cellStyle name="標準 167" xfId="171" xr:uid="{4A0122B9-97C7-4AFE-8B1D-2DF51D456D39}"/>
    <cellStyle name="標準 168" xfId="172" xr:uid="{75D3F1AF-5B4A-414D-9011-2B65610C6303}"/>
    <cellStyle name="標準 169" xfId="173" xr:uid="{25879BAD-D0DB-4FAF-99F0-02B49B2E3C8B}"/>
    <cellStyle name="標準 17" xfId="19" xr:uid="{7B67C861-02C4-4B5C-8C1D-63045C0EE38C}"/>
    <cellStyle name="標準 170" xfId="174" xr:uid="{8D6D1947-F5DF-4DE3-BFA4-FC465C67FEFF}"/>
    <cellStyle name="標準 171" xfId="175" xr:uid="{AA96839F-7FAA-4875-B3A0-434AC5BD57CB}"/>
    <cellStyle name="標準 172" xfId="176" xr:uid="{322A5EDC-1775-40FF-A572-A57E4CA0BFCD}"/>
    <cellStyle name="標準 173" xfId="177" xr:uid="{5658D2C6-D557-4FEC-B877-0C752D80E110}"/>
    <cellStyle name="標準 174" xfId="178" xr:uid="{2E58359B-4977-43D6-8B74-898D531CEACF}"/>
    <cellStyle name="標準 175" xfId="179" xr:uid="{92E9D612-C77A-4293-986D-2993CEAC0AEF}"/>
    <cellStyle name="標準 176" xfId="180" xr:uid="{F6829A2E-254B-4AD5-90DD-6548A21C2FDE}"/>
    <cellStyle name="標準 177" xfId="181" xr:uid="{27369903-AD35-48A2-ACF0-3074267FCD6A}"/>
    <cellStyle name="標準 178" xfId="182" xr:uid="{10FD1B93-F78E-4B0F-8744-D4E877563226}"/>
    <cellStyle name="標準 179" xfId="183" xr:uid="{FCA6C1B2-F71B-4DA0-A7D8-81C02CE80BD1}"/>
    <cellStyle name="標準 18" xfId="20" xr:uid="{E0F2A77E-7F07-44EB-B734-88BF2EA1A038}"/>
    <cellStyle name="標準 180" xfId="184" xr:uid="{BF4F8A27-D8A8-4FFB-8AAA-B22535E0E59C}"/>
    <cellStyle name="標準 181" xfId="185" xr:uid="{27A5B63D-D392-4DFE-BDEF-C03B4915C84A}"/>
    <cellStyle name="標準 182" xfId="186" xr:uid="{BA164663-7F84-4114-97F7-588DB305F454}"/>
    <cellStyle name="標準 183" xfId="187" xr:uid="{6FAFE693-AF25-454B-8F85-23742CC07DF2}"/>
    <cellStyle name="標準 184" xfId="188" xr:uid="{AD1942A3-2D9B-4D60-99CE-F5BFC8D26CA3}"/>
    <cellStyle name="標準 185" xfId="189" xr:uid="{E4A71089-3252-4D85-8068-B1EF6B860086}"/>
    <cellStyle name="標準 186" xfId="190" xr:uid="{1D1A0596-C7DB-4F57-9DC9-6C953CD2F54E}"/>
    <cellStyle name="標準 187" xfId="191" xr:uid="{F4AC0CE6-E2D2-499C-B6C1-C1B8F018ED8B}"/>
    <cellStyle name="標準 188" xfId="192" xr:uid="{DB4CF9B0-923C-45E9-8D87-C59020D95BD0}"/>
    <cellStyle name="標準 189" xfId="193" xr:uid="{30810632-3E4A-45C6-8847-36F5DCA3653E}"/>
    <cellStyle name="標準 19" xfId="21" xr:uid="{48240872-D11B-4C77-B27E-2EDF722922E2}"/>
    <cellStyle name="標準 190" xfId="194" xr:uid="{7073BA46-1B86-4B7F-A4B9-2971F4B7DD3F}"/>
    <cellStyle name="標準 191" xfId="195" xr:uid="{D7D76123-5C03-4D43-940C-F00AEAC36BA7}"/>
    <cellStyle name="標準 192" xfId="196" xr:uid="{29AA9807-CAD9-46A6-84F3-878D6BAA4F12}"/>
    <cellStyle name="標準 193" xfId="197" xr:uid="{AE45BFB8-6E60-4FBB-8754-E881FD310952}"/>
    <cellStyle name="標準 194" xfId="198" xr:uid="{9EDE93B1-2D61-43BD-B00F-DB98C03FEB8D}"/>
    <cellStyle name="標準 195" xfId="199" xr:uid="{AD60B21D-2521-4B39-86A6-70DB8CCED7C5}"/>
    <cellStyle name="標準 196" xfId="200" xr:uid="{A1A162E8-115E-4D4B-88F4-547DFC3010D1}"/>
    <cellStyle name="標準 197" xfId="201" xr:uid="{E74F7A3F-4E8C-45E0-8727-147B6579B9E4}"/>
    <cellStyle name="標準 198" xfId="202" xr:uid="{7F31A837-CEE0-41AD-A2B4-F90F4DD7C5BA}"/>
    <cellStyle name="標準 199" xfId="203" xr:uid="{7594F2C5-C667-4DD5-847A-C378629164B5}"/>
    <cellStyle name="標準 2" xfId="2" xr:uid="{84BAD198-0694-479D-9074-19A423FACE72}"/>
    <cellStyle name="標準 20" xfId="22" xr:uid="{48956223-73E3-4722-A234-A716D13B552E}"/>
    <cellStyle name="標準 200" xfId="204" xr:uid="{8F776200-8A96-4704-9645-B2FF21D7520A}"/>
    <cellStyle name="標準 201" xfId="205" xr:uid="{E5DCF00F-D890-48FF-913B-3C721F7C6DA8}"/>
    <cellStyle name="標準 202" xfId="206" xr:uid="{0A3D9BE7-6F5E-4062-9C09-ACA2C92D67D9}"/>
    <cellStyle name="標準 203" xfId="207" xr:uid="{C9BED426-D50F-47DB-B702-4AA75E349B43}"/>
    <cellStyle name="標準 204" xfId="208" xr:uid="{14871CDE-C37C-4C9C-82CA-EBF9B86764D7}"/>
    <cellStyle name="標準 205" xfId="209" xr:uid="{CFB5EE31-6D59-4FD0-B917-02449D5E20AE}"/>
    <cellStyle name="標準 206" xfId="210" xr:uid="{51968B9D-9B77-4AFA-A91C-53B5D3D2FBC5}"/>
    <cellStyle name="標準 207" xfId="211" xr:uid="{7009AE28-0366-427C-AA8C-1A50FFF79F2E}"/>
    <cellStyle name="標準 208" xfId="212" xr:uid="{A98B1A6A-F32F-4F52-8239-ED9DF409A799}"/>
    <cellStyle name="標準 209" xfId="213" xr:uid="{A2692B4F-8594-417A-9632-F6F17E84EE63}"/>
    <cellStyle name="標準 21" xfId="23" xr:uid="{862DC325-9AC0-4F2C-BAD7-D3AB5CA82411}"/>
    <cellStyle name="標準 210" xfId="214" xr:uid="{A00BDE00-CF8C-4BFB-AA58-608C42DC55AF}"/>
    <cellStyle name="標準 211" xfId="215" xr:uid="{FA765CEC-F6F5-4266-816A-609471B4CECF}"/>
    <cellStyle name="標準 212" xfId="216" xr:uid="{D1FB1883-6A56-4DC8-A1B5-AEAEEDA714DF}"/>
    <cellStyle name="標準 213" xfId="217" xr:uid="{4C6DDF93-4856-4F3C-B5A8-293FA458E3A4}"/>
    <cellStyle name="標準 214" xfId="218" xr:uid="{85F83A89-46D5-4799-9E04-1874219D12E3}"/>
    <cellStyle name="標準 215" xfId="219" xr:uid="{629E4B15-358F-46E4-9B29-BB3ABE779544}"/>
    <cellStyle name="標準 216" xfId="220" xr:uid="{875D830D-5A60-4CA4-928F-FA9CACE0D12D}"/>
    <cellStyle name="標準 217" xfId="221" xr:uid="{8D786996-033A-446B-8192-F4F45DF2A878}"/>
    <cellStyle name="標準 218" xfId="222" xr:uid="{6C6878F8-C665-474E-AC70-010E4C11C6CC}"/>
    <cellStyle name="標準 219" xfId="223" xr:uid="{A9EFF67F-BA03-4DC0-B38A-EF779F77116E}"/>
    <cellStyle name="標準 22" xfId="24" xr:uid="{D98A153E-0F85-4D12-8156-BA7CD13707DB}"/>
    <cellStyle name="標準 220" xfId="224" xr:uid="{7A5672EB-A40A-4967-98CA-BDD0F387DE13}"/>
    <cellStyle name="標準 221" xfId="225" xr:uid="{2FA2A873-53D1-48DB-9FB2-61EEEF6C0ED1}"/>
    <cellStyle name="標準 222" xfId="226" xr:uid="{69730F21-33CD-4CCF-B5D2-F45F16C468E7}"/>
    <cellStyle name="標準 223" xfId="227" xr:uid="{23E20858-4A9B-4EF0-AD99-3B82166E0747}"/>
    <cellStyle name="標準 224" xfId="228" xr:uid="{DF944826-71FC-467D-A37F-EAFBF739834F}"/>
    <cellStyle name="標準 225" xfId="229" xr:uid="{6220B8F3-0C01-4B2E-AF2F-C4AAF620FD24}"/>
    <cellStyle name="標準 226" xfId="230" xr:uid="{D8BED27A-F6F2-430D-ACEB-3D36BDD8F0A7}"/>
    <cellStyle name="標準 227" xfId="231" xr:uid="{75059CBD-8786-49E5-8265-5D6FA3C8287B}"/>
    <cellStyle name="標準 228" xfId="232" xr:uid="{5D700B50-E777-4A91-AF52-E170B1168A7E}"/>
    <cellStyle name="標準 229" xfId="233" xr:uid="{AAF24CD9-22D3-4F38-9AD8-95D59CA576C9}"/>
    <cellStyle name="標準 23" xfId="25" xr:uid="{C53B3AE6-CD2F-43DE-9074-F54596CCD702}"/>
    <cellStyle name="標準 230" xfId="234" xr:uid="{7F4DB612-BF32-4D47-BB3A-AF4DF0535632}"/>
    <cellStyle name="標準 231" xfId="235" xr:uid="{8705D285-7F10-4C12-8D26-E64CF59C669C}"/>
    <cellStyle name="標準 232" xfId="236" xr:uid="{58C133FA-41F5-4245-BCEE-0463A370EA9A}"/>
    <cellStyle name="標準 233" xfId="237" xr:uid="{0A3A9A83-3A43-4050-B027-5280FB59C25A}"/>
    <cellStyle name="標準 234" xfId="238" xr:uid="{51239CBE-2C81-438D-BAB3-C056BFF055A9}"/>
    <cellStyle name="標準 235" xfId="239" xr:uid="{29710807-DFE7-4F1E-B349-F0804ABB9EE7}"/>
    <cellStyle name="標準 236" xfId="240" xr:uid="{1AC89589-689C-4903-90EA-9117EF650DBA}"/>
    <cellStyle name="標準 237" xfId="241" xr:uid="{87DB8A2B-1064-41CD-8BE9-8FC6F013E890}"/>
    <cellStyle name="標準 238" xfId="242" xr:uid="{7091B72D-5CDD-434A-A78E-440ED2E3A223}"/>
    <cellStyle name="標準 239" xfId="243" xr:uid="{955B0E76-1BDB-4267-AE02-56E5CA629F68}"/>
    <cellStyle name="標準 24" xfId="26" xr:uid="{3C352F69-A21B-433F-B667-ABDD83D3E0D1}"/>
    <cellStyle name="標準 240" xfId="244" xr:uid="{379DBC91-FACB-4E4B-8E92-A56D790DB7DB}"/>
    <cellStyle name="標準 241" xfId="245" xr:uid="{497499ED-C095-44E0-952F-D31FB1EF419A}"/>
    <cellStyle name="標準 242" xfId="246" xr:uid="{297A5CB3-0E75-4A11-8572-66D51586D1CD}"/>
    <cellStyle name="標準 243" xfId="247" xr:uid="{5C6FEC8E-551D-4F9F-9B99-F0E263C9DC8C}"/>
    <cellStyle name="標準 244" xfId="248" xr:uid="{BF813C4C-66F7-4713-95C9-FFD5B8F3E7F4}"/>
    <cellStyle name="標準 245" xfId="249" xr:uid="{3B51218D-BB1E-47A4-BA91-37A8FF2C2965}"/>
    <cellStyle name="標準 246" xfId="250" xr:uid="{D9B51C09-2DFA-44A9-8E42-8F2D85BD005A}"/>
    <cellStyle name="標準 247" xfId="251" xr:uid="{65E5BCAC-D367-4BE0-A92A-809940B4CEEC}"/>
    <cellStyle name="標準 248" xfId="252" xr:uid="{B513D4AC-360B-4308-B75E-1EDAB7FAECC3}"/>
    <cellStyle name="標準 249" xfId="253" xr:uid="{59C00329-C013-4688-A8B6-FEBD4B860EDC}"/>
    <cellStyle name="標準 25" xfId="27" xr:uid="{0E93BAA4-5FB6-49C0-8399-7AA32CE76630}"/>
    <cellStyle name="標準 250" xfId="254" xr:uid="{44E657B6-3949-4185-83C1-A5A59332DD4A}"/>
    <cellStyle name="標準 251" xfId="255" xr:uid="{41086A5E-30F3-491F-BF5A-AB20FC69D102}"/>
    <cellStyle name="標準 252" xfId="256" xr:uid="{B67AD080-6FA5-45E5-BCD3-1413936AA047}"/>
    <cellStyle name="標準 253" xfId="257" xr:uid="{D8DE9B7E-AD6B-42D8-B250-FECBBA12E8AE}"/>
    <cellStyle name="標準 254" xfId="258" xr:uid="{6F1D5A38-1053-403A-B1F1-4B3ABEE17290}"/>
    <cellStyle name="標準 255" xfId="259" xr:uid="{20138CE9-822F-4A1F-911C-760B79CC3340}"/>
    <cellStyle name="標準 256" xfId="260" xr:uid="{26E1697E-A6A7-4369-9DDE-D061434380C4}"/>
    <cellStyle name="標準 257" xfId="261" xr:uid="{8457DF23-BDA8-4152-AD3B-C8A04A3AE74C}"/>
    <cellStyle name="標準 258" xfId="262" xr:uid="{8F5E3125-72EC-4F08-8581-0C3C60AB282E}"/>
    <cellStyle name="標準 259" xfId="263" xr:uid="{8C0F56D2-8336-4F50-BE27-708D6A9AE51E}"/>
    <cellStyle name="標準 26" xfId="28" xr:uid="{4C09C6E7-F0D1-4EC5-8267-5079520FB883}"/>
    <cellStyle name="標準 260" xfId="264" xr:uid="{3F64C32E-1C48-4CDC-B044-904B2A99BA08}"/>
    <cellStyle name="標準 261" xfId="265" xr:uid="{AFD890C6-77BC-4C01-9B6E-E9903EBB79E2}"/>
    <cellStyle name="標準 262" xfId="266" xr:uid="{4145C178-15EE-4555-A997-04231336EB13}"/>
    <cellStyle name="標準 263" xfId="267" xr:uid="{7A96266B-29A9-43E2-A748-10DBF94397D0}"/>
    <cellStyle name="標準 264" xfId="268" xr:uid="{C5356F1F-8B6A-4700-8FDC-46F56BFE887B}"/>
    <cellStyle name="標準 265" xfId="269" xr:uid="{628ADED0-4CDE-47EC-9E8C-7787440A06A3}"/>
    <cellStyle name="標準 266" xfId="270" xr:uid="{E82B211C-3EFB-47D8-B55C-A39D7B684136}"/>
    <cellStyle name="標準 267" xfId="271" xr:uid="{3FC93F06-0059-45D2-8560-3641E94D00D2}"/>
    <cellStyle name="標準 268" xfId="272" xr:uid="{2B93491A-39E4-4264-A6E5-F2C7B1A020B0}"/>
    <cellStyle name="標準 269" xfId="273" xr:uid="{ED82E176-F5C8-40C9-B8AA-FC1260DB7883}"/>
    <cellStyle name="標準 27" xfId="29" xr:uid="{A8257358-39C2-4959-B85B-AE9823F279B1}"/>
    <cellStyle name="標準 270" xfId="274" xr:uid="{238DDD98-B279-4C10-89D6-DE688C8FBB83}"/>
    <cellStyle name="標準 271" xfId="275" xr:uid="{FFFFB736-5B20-4F02-86BC-A07A93E1B9E1}"/>
    <cellStyle name="標準 272" xfId="276" xr:uid="{30CB986F-9911-4799-9BED-5CE950C250DF}"/>
    <cellStyle name="標準 273" xfId="277" xr:uid="{F0906DD0-266E-4978-8D38-84B3BA8E72C7}"/>
    <cellStyle name="標準 274" xfId="278" xr:uid="{7574AB43-DB1E-48DC-9B65-5511999A1700}"/>
    <cellStyle name="標準 275" xfId="279" xr:uid="{9F4589D4-9FBB-4F5F-A1EE-EE628209A4B0}"/>
    <cellStyle name="標準 276" xfId="280" xr:uid="{B33ACF69-2AC2-4685-BBDA-D1639CBAD47F}"/>
    <cellStyle name="標準 277" xfId="281" xr:uid="{D058D88B-20C1-4EB5-83C5-6AA7F6DF94E4}"/>
    <cellStyle name="標準 278" xfId="282" xr:uid="{14BC0DD7-2BE2-4321-97C3-29D87F12953B}"/>
    <cellStyle name="標準 279" xfId="283" xr:uid="{252F0FEB-EA22-4F27-8590-C85B30E18423}"/>
    <cellStyle name="標準 28" xfId="30" xr:uid="{A8B5E3E7-AE55-42EF-8A5A-1C4AC639C444}"/>
    <cellStyle name="標準 280" xfId="284" xr:uid="{DD708149-B3E5-480B-B116-E497EA60DBFB}"/>
    <cellStyle name="標準 281" xfId="285" xr:uid="{A35668B1-38CD-4ABF-9F0D-ACDDE88B3FD6}"/>
    <cellStyle name="標準 282" xfId="286" xr:uid="{E6B1C71F-C219-4F17-8F03-5B2BD35EAA53}"/>
    <cellStyle name="標準 283" xfId="287" xr:uid="{1A799D48-8FEC-4B3E-9C7D-BE157A907A15}"/>
    <cellStyle name="標準 284" xfId="288" xr:uid="{EE8B4DB5-E1CE-4470-A7A3-3A0058BC559B}"/>
    <cellStyle name="標準 285" xfId="289" xr:uid="{85D1B66F-5EE8-4578-ACA8-DEE891CFFD4E}"/>
    <cellStyle name="標準 286" xfId="290" xr:uid="{3D9F938B-D017-4F99-94D1-606269EE6BB8}"/>
    <cellStyle name="標準 287" xfId="291" xr:uid="{FB8F8345-D3DE-449A-9CCE-B1EAE4352F05}"/>
    <cellStyle name="標準 288" xfId="292" xr:uid="{9812BAA2-7FB3-41AD-AE99-ECA519893E83}"/>
    <cellStyle name="標準 289" xfId="293" xr:uid="{57AE1398-E2E2-4A38-BF72-2C9969537B6C}"/>
    <cellStyle name="標準 29" xfId="31" xr:uid="{A88334A0-E029-4E4E-B6E7-F40FCAD185D6}"/>
    <cellStyle name="標準 290" xfId="294" xr:uid="{79A42584-9F0B-4EC0-8673-92EE2BF856B5}"/>
    <cellStyle name="標準 291" xfId="295" xr:uid="{972DF8F8-99C4-44B4-AFA5-02F8E2FF0E16}"/>
    <cellStyle name="標準 292" xfId="296" xr:uid="{F8257E0D-B03C-45EC-86FD-274DFB98502A}"/>
    <cellStyle name="標準 293" xfId="297" xr:uid="{A252F9A1-0389-4828-A5E8-55B1D90F7300}"/>
    <cellStyle name="標準 294" xfId="298" xr:uid="{472B336E-DA65-4BB5-A043-C175E45F360F}"/>
    <cellStyle name="標準 295" xfId="299" xr:uid="{38096B36-B981-443F-A851-3890A11836C9}"/>
    <cellStyle name="標準 296" xfId="300" xr:uid="{84FC0B87-FC74-4870-9747-25ED3F8FC923}"/>
    <cellStyle name="標準 297" xfId="301" xr:uid="{795D171D-242C-43BB-A6A8-8DB1EB459A5D}"/>
    <cellStyle name="標準 298" xfId="302" xr:uid="{C1F42698-5D4C-4C15-B8D7-5B853231EC2F}"/>
    <cellStyle name="標準 299" xfId="303" xr:uid="{5281983C-D7FC-4E75-8F08-786321479D05}"/>
    <cellStyle name="標準 3" xfId="6" xr:uid="{D90E62E7-E2E4-46A2-809E-31708C8C9592}"/>
    <cellStyle name="標準 3 2" xfId="497" xr:uid="{0BACAEAF-38D9-45DD-A438-9013DF2541ED}"/>
    <cellStyle name="標準 3 3" xfId="498" xr:uid="{890B1981-A14F-4678-A7D4-0A9622BC6414}"/>
    <cellStyle name="標準 30" xfId="32" xr:uid="{A801C22C-5880-4F71-8F4A-A988A10D8D34}"/>
    <cellStyle name="標準 300" xfId="304" xr:uid="{28FC0C11-F421-4347-BE24-9CC430DB6F51}"/>
    <cellStyle name="標準 301" xfId="305" xr:uid="{CE89FDA4-9F20-4BB1-A43C-89C03B16555B}"/>
    <cellStyle name="標準 302" xfId="306" xr:uid="{D36EFB7B-C15D-4F88-9A4D-67D5717C9A89}"/>
    <cellStyle name="標準 303" xfId="307" xr:uid="{13A55F61-D5F9-4D96-8E54-BCA8209C4D1C}"/>
    <cellStyle name="標準 304" xfId="308" xr:uid="{7CCE1B69-7076-4613-B7B2-BB23774E51F7}"/>
    <cellStyle name="標準 305" xfId="309" xr:uid="{DF377428-8DD6-48B1-AB1F-CAD6E8474369}"/>
    <cellStyle name="標準 306" xfId="310" xr:uid="{06306DC2-8079-4A8B-B0C0-E17653619F80}"/>
    <cellStyle name="標準 307" xfId="311" xr:uid="{23EF3CAE-3D15-45A6-A501-44FAEE3478C3}"/>
    <cellStyle name="標準 308" xfId="312" xr:uid="{DE4D60C4-4925-4C64-9699-F6A6CB82CEBF}"/>
    <cellStyle name="標準 309" xfId="313" xr:uid="{941790D0-C3C3-4596-89DC-0D27A7F15992}"/>
    <cellStyle name="標準 31" xfId="33" xr:uid="{ECAF1688-4002-478C-846D-70595787F414}"/>
    <cellStyle name="標準 310" xfId="314" xr:uid="{16406581-5CA1-4EB0-9028-AB3A542811AF}"/>
    <cellStyle name="標準 311" xfId="315" xr:uid="{4D4A5073-9C6F-4DCC-BA07-995506998748}"/>
    <cellStyle name="標準 312" xfId="316" xr:uid="{F06B66F2-9F4F-4FBD-9DAD-D061317B0EC0}"/>
    <cellStyle name="標準 313" xfId="317" xr:uid="{45E97D90-1082-4A7A-BD93-24F1C0C384C5}"/>
    <cellStyle name="標準 314" xfId="318" xr:uid="{FF2EC8D4-7F3C-40B7-AF07-B619BDE13250}"/>
    <cellStyle name="標準 315" xfId="319" xr:uid="{F8E89F19-C2A3-4863-828B-99BE448B91C2}"/>
    <cellStyle name="標準 316" xfId="320" xr:uid="{C6FF2BF5-2947-4CD8-A60A-5ED4D96B9105}"/>
    <cellStyle name="標準 317" xfId="321" xr:uid="{1E4C127C-345B-4B3F-BDBD-6B7D865F0DB4}"/>
    <cellStyle name="標準 318" xfId="322" xr:uid="{8DFC365D-4B16-4B24-B498-6B7614C752BD}"/>
    <cellStyle name="標準 319" xfId="323" xr:uid="{287CEDC4-BD59-4CC0-996D-C42C146DC21D}"/>
    <cellStyle name="標準 32" xfId="34" xr:uid="{E5552415-804D-4D49-BBFF-E10DDAED94E9}"/>
    <cellStyle name="標準 320" xfId="324" xr:uid="{FF336C2E-FE5F-4A80-BF67-FFD1E4AEC524}"/>
    <cellStyle name="標準 321" xfId="325" xr:uid="{974086F4-9F04-4F87-A336-FB28A7ED5F2F}"/>
    <cellStyle name="標準 322" xfId="326" xr:uid="{C482D195-4417-4DC8-92C1-C5708116C5F4}"/>
    <cellStyle name="標準 323" xfId="327" xr:uid="{EEF5F999-CE7E-4AEC-9249-D3DE6BF9F495}"/>
    <cellStyle name="標準 324" xfId="328" xr:uid="{33E041F9-ACE4-429A-BDF4-87392C8EDE33}"/>
    <cellStyle name="標準 325" xfId="329" xr:uid="{1443CA9E-1E8E-4FA5-B94B-ECDFD51657B7}"/>
    <cellStyle name="標準 326" xfId="330" xr:uid="{23BDB331-62A2-464A-96D4-01FA09A59A15}"/>
    <cellStyle name="標準 327" xfId="331" xr:uid="{10C01697-008D-4630-B2DB-9E3AEB74F23F}"/>
    <cellStyle name="標準 328" xfId="332" xr:uid="{00BF07F1-E3FA-46F0-859F-01073B9D4017}"/>
    <cellStyle name="標準 329" xfId="333" xr:uid="{04AB0A22-7CC3-459D-8A43-0D3E5E9C4299}"/>
    <cellStyle name="標準 33" xfId="35" xr:uid="{F922A206-17D4-4BC7-84C6-ECE6F6861887}"/>
    <cellStyle name="標準 330" xfId="334" xr:uid="{5CB380D1-2BC9-4C78-9B24-2F9A251CBFD8}"/>
    <cellStyle name="標準 331" xfId="335" xr:uid="{0DDBBE16-D14E-4A46-87EF-5B3DA73322EC}"/>
    <cellStyle name="標準 332" xfId="336" xr:uid="{BBA199BA-BC5E-4910-9E7F-F0659BD5C43D}"/>
    <cellStyle name="標準 333" xfId="337" xr:uid="{F1874935-DCAF-4F64-98C2-188DA407617F}"/>
    <cellStyle name="標準 334" xfId="338" xr:uid="{150925E3-1BB5-4C16-B2A9-0D94618DDEF9}"/>
    <cellStyle name="標準 335" xfId="339" xr:uid="{94F71974-5627-4963-A016-10A6A9DE1A86}"/>
    <cellStyle name="標準 336" xfId="340" xr:uid="{E408D4A9-1EB2-4DB0-A26B-BD52DEBC5AB2}"/>
    <cellStyle name="標準 337" xfId="341" xr:uid="{A0FAF303-3D2D-46C0-8D64-69E5F15F76F3}"/>
    <cellStyle name="標準 338" xfId="342" xr:uid="{1AAECF1B-0DFF-4136-BECF-AC28BCA866EB}"/>
    <cellStyle name="標準 339" xfId="343" xr:uid="{42F267DF-AF8F-419B-A2FD-3B528A839A79}"/>
    <cellStyle name="標準 34" xfId="36" xr:uid="{90AB4899-DB7E-4281-A8AA-B9CAB822A1A8}"/>
    <cellStyle name="標準 340" xfId="344" xr:uid="{C56660B8-4632-4DA4-80F8-A6884A43B3F5}"/>
    <cellStyle name="標準 341" xfId="345" xr:uid="{B87EEDD0-CE42-4085-8E05-C784617A6DE3}"/>
    <cellStyle name="標準 342" xfId="346" xr:uid="{EDE56308-E4B8-4911-A196-F614DA74EF34}"/>
    <cellStyle name="標準 343" xfId="347" xr:uid="{1BAFFD5B-9C35-4077-8A2F-779F662CD90D}"/>
    <cellStyle name="標準 344" xfId="348" xr:uid="{884C8C30-A440-4331-A49D-53DB7401F15F}"/>
    <cellStyle name="標準 345" xfId="349" xr:uid="{C074FA5D-0209-495F-8522-25CEC583C5C7}"/>
    <cellStyle name="標準 346" xfId="350" xr:uid="{DEFDF389-BDC7-4FF5-B4F9-2EBE7B254AFD}"/>
    <cellStyle name="標準 347" xfId="351" xr:uid="{D1DE17F1-DACB-411E-94E4-F47B63F44ECE}"/>
    <cellStyle name="標準 348" xfId="352" xr:uid="{ED8BD438-CECE-4708-8110-74369E9A52B1}"/>
    <cellStyle name="標準 349" xfId="353" xr:uid="{CFBDAE11-5549-48BD-9C21-03F71C4389A4}"/>
    <cellStyle name="標準 35" xfId="37" xr:uid="{F02C4519-8D77-4B08-AF72-1D9820D9D4C2}"/>
    <cellStyle name="標準 350" xfId="354" xr:uid="{C60A62C0-B782-4FC0-9950-C8CDC199CA86}"/>
    <cellStyle name="標準 351" xfId="355" xr:uid="{9593CCEE-0122-4516-B199-3C99FDB9BCC6}"/>
    <cellStyle name="標準 352" xfId="356" xr:uid="{46980442-F210-4E08-9974-7ABD78387F4C}"/>
    <cellStyle name="標準 353" xfId="357" xr:uid="{89A4DF0A-1CE4-4C00-94FD-4DDC1360249C}"/>
    <cellStyle name="標準 354" xfId="358" xr:uid="{92BBBC97-E4F7-4D1A-BACF-F656D2C73F44}"/>
    <cellStyle name="標準 355" xfId="359" xr:uid="{7AE26512-9EB5-4A84-A132-3DB5A7DA4EB7}"/>
    <cellStyle name="標準 356" xfId="360" xr:uid="{A81CCB5B-5C9D-4224-B480-33E3121E770D}"/>
    <cellStyle name="標準 357" xfId="361" xr:uid="{31793340-5D26-4CB6-BA85-59EE5F817494}"/>
    <cellStyle name="標準 358" xfId="362" xr:uid="{6E0797A7-02D2-4954-943F-5CC870ABB993}"/>
    <cellStyle name="標準 359" xfId="363" xr:uid="{6319F1D8-08AA-4FFC-BEB7-77C043D68D35}"/>
    <cellStyle name="標準 36" xfId="38" xr:uid="{B18AD84D-88C0-4D29-8E3B-0EC2A7B49863}"/>
    <cellStyle name="標準 360" xfId="364" xr:uid="{6D9C9D45-D5DC-4F2C-AC0F-CADE87C9A7BF}"/>
    <cellStyle name="標準 361" xfId="365" xr:uid="{777570C6-03CE-44D8-A125-A6D54EFA81C3}"/>
    <cellStyle name="標準 362" xfId="366" xr:uid="{493169D1-EE66-46CC-895E-39A3CE3DA6CB}"/>
    <cellStyle name="標準 363" xfId="367" xr:uid="{6E43C5D9-BDE7-4D43-A615-9D5520A50CC7}"/>
    <cellStyle name="標準 364" xfId="368" xr:uid="{D58E0898-D538-4EC9-A0E1-A6DA4D936214}"/>
    <cellStyle name="標準 365" xfId="369" xr:uid="{49BBFD74-11A1-415D-AA85-80DDE87342ED}"/>
    <cellStyle name="標準 366" xfId="370" xr:uid="{66DFE414-BDFF-4981-AB50-BEB844D4E970}"/>
    <cellStyle name="標準 367" xfId="371" xr:uid="{859096CF-7501-4340-B444-66EFA892127A}"/>
    <cellStyle name="標準 368" xfId="372" xr:uid="{B7B52CBA-8BE8-49B0-B1BA-F1EDBD28BB8A}"/>
    <cellStyle name="標準 369" xfId="373" xr:uid="{CD29E92A-3EDD-4D16-A9FF-057F0810955D}"/>
    <cellStyle name="標準 37" xfId="39" xr:uid="{790B620C-1F00-4209-8718-465B77473DF3}"/>
    <cellStyle name="標準 370" xfId="374" xr:uid="{B0C07B62-557F-4A6B-9235-5F69CC1BADCB}"/>
    <cellStyle name="標準 371" xfId="375" xr:uid="{A3040C60-8623-4D24-AD2E-58901A6D077B}"/>
    <cellStyle name="標準 372" xfId="376" xr:uid="{05801F60-65B1-4DBF-B2A4-34342FBEFEA5}"/>
    <cellStyle name="標準 373" xfId="377" xr:uid="{BCA49F79-F194-4FC1-A083-386317827590}"/>
    <cellStyle name="標準 374" xfId="378" xr:uid="{385E0F00-0441-4BC6-AF71-DDA933EAB14C}"/>
    <cellStyle name="標準 375" xfId="379" xr:uid="{3A911E6E-2475-4F10-B31F-8BA16BFFCB9B}"/>
    <cellStyle name="標準 376" xfId="380" xr:uid="{02CB5E73-02A5-44EC-8CD0-5AAE6715D80F}"/>
    <cellStyle name="標準 377" xfId="381" xr:uid="{6838FE4B-1507-445C-8421-CC19BD7B942A}"/>
    <cellStyle name="標準 378" xfId="382" xr:uid="{924C0372-28A0-47F2-A78A-7D515AF081C7}"/>
    <cellStyle name="標準 379" xfId="383" xr:uid="{00277D77-D562-4CA2-9CE2-7ED17915CB30}"/>
    <cellStyle name="標準 38" xfId="40" xr:uid="{6123787E-E3CF-44B3-9FDC-3C8D0F316C0E}"/>
    <cellStyle name="標準 380" xfId="384" xr:uid="{D88D778A-DB9C-4C32-A61C-2B0F54676AC8}"/>
    <cellStyle name="標準 381" xfId="385" xr:uid="{2B110D9F-6B20-495F-B694-05CB96FE2E71}"/>
    <cellStyle name="標準 382" xfId="386" xr:uid="{CA738987-A6DF-4A17-8DF3-D14120ED5427}"/>
    <cellStyle name="標準 383" xfId="387" xr:uid="{7EDCB12A-EB5E-4815-B798-7551FA975302}"/>
    <cellStyle name="標準 384" xfId="388" xr:uid="{41C04A7A-F9BD-4AF8-97F7-6F7E7EBF6859}"/>
    <cellStyle name="標準 385" xfId="389" xr:uid="{16450C84-98FD-44E2-A69E-184052BD9630}"/>
    <cellStyle name="標準 386" xfId="390" xr:uid="{17FF52D5-957D-4E84-9886-29DA5F59E080}"/>
    <cellStyle name="標準 387" xfId="391" xr:uid="{076F55C0-C6E1-4BA3-AA94-742CCC1272C7}"/>
    <cellStyle name="標準 388" xfId="392" xr:uid="{14280956-5E1E-420E-8770-1A6856A72CDF}"/>
    <cellStyle name="標準 389" xfId="393" xr:uid="{11D316BA-75DF-465F-9375-6D4E39FA5776}"/>
    <cellStyle name="標準 39" xfId="41" xr:uid="{5300AD51-9CDE-4FFC-89F8-042F28EED0B4}"/>
    <cellStyle name="標準 390" xfId="394" xr:uid="{3A66B3CE-638E-4FF1-AA28-D5699A325F33}"/>
    <cellStyle name="標準 391" xfId="395" xr:uid="{47AAFB6C-BBE8-40C0-B977-C207A40F789A}"/>
    <cellStyle name="標準 392" xfId="396" xr:uid="{AA0E8CF3-7CE1-427A-8F19-59901318FFC3}"/>
    <cellStyle name="標準 393" xfId="397" xr:uid="{EE2C82C2-1EC2-4C0C-B50A-6E30E2FE71EB}"/>
    <cellStyle name="標準 394" xfId="398" xr:uid="{16C3A84C-FA86-4166-AC58-ACB20AE6EE86}"/>
    <cellStyle name="標準 395" xfId="399" xr:uid="{F0BF8E19-8EAD-47CC-A210-279E337729B8}"/>
    <cellStyle name="標準 396" xfId="400" xr:uid="{7043073C-36B9-498F-8A17-230E58E67882}"/>
    <cellStyle name="標準 397" xfId="401" xr:uid="{624E2092-1F86-46EC-A279-B768965AF914}"/>
    <cellStyle name="標準 398" xfId="402" xr:uid="{0B1D0F3A-8FB7-421C-924A-189E9C9B8654}"/>
    <cellStyle name="標準 399" xfId="403" xr:uid="{F76F1F0E-19EB-4885-B110-B8EF56B7B4C9}"/>
    <cellStyle name="標準 4" xfId="7" xr:uid="{68E3C93B-5284-4721-A682-C51561F2C1F2}"/>
    <cellStyle name="標準 40" xfId="42" xr:uid="{C094CC4C-D18C-4329-8E35-ECFE7166B16A}"/>
    <cellStyle name="標準 400" xfId="404" xr:uid="{C4F7437B-590F-4B4B-AC0A-ADC8151BEED7}"/>
    <cellStyle name="標準 401" xfId="405" xr:uid="{FC4A2158-D63D-4B0F-A2F0-1E369660CDD3}"/>
    <cellStyle name="標準 402" xfId="406" xr:uid="{6DE92BD8-9D06-4CD1-8673-01C6E5288FB7}"/>
    <cellStyle name="標準 403" xfId="407" xr:uid="{4E3E3635-9731-49EC-A49F-861988DCF47E}"/>
    <cellStyle name="標準 404" xfId="408" xr:uid="{EED42AB2-8A82-4604-B959-2322BD2F76A1}"/>
    <cellStyle name="標準 405" xfId="409" xr:uid="{016EAD09-7821-43BC-AE6C-222981A2AFDC}"/>
    <cellStyle name="標準 406" xfId="410" xr:uid="{99D9A3F5-C3F0-454B-8FF5-A3B4CA28177D}"/>
    <cellStyle name="標準 407" xfId="411" xr:uid="{A957B18A-2075-4BFD-9DF7-A07BEB80D548}"/>
    <cellStyle name="標準 408" xfId="412" xr:uid="{04D6B67B-8CDD-4468-9CBA-0D86B1E5D7AC}"/>
    <cellStyle name="標準 409" xfId="413" xr:uid="{6A4B82D4-AEF7-49ED-8C0F-62D90B0B93E9}"/>
    <cellStyle name="標準 41" xfId="43" xr:uid="{AEB5B8D5-C513-41FB-8C91-8E48E28A0267}"/>
    <cellStyle name="標準 410" xfId="414" xr:uid="{1565F78B-60BF-4D82-A04D-DD35E6A2E5CA}"/>
    <cellStyle name="標準 411" xfId="415" xr:uid="{56D3BFAB-D1D5-42ED-B671-E425545B8C59}"/>
    <cellStyle name="標準 412" xfId="416" xr:uid="{D8E5FE18-9AE9-45D1-9DD7-A199AC7721A2}"/>
    <cellStyle name="標準 413" xfId="417" xr:uid="{05E1BCF2-F062-4DA7-BCD8-763D15ED0E3E}"/>
    <cellStyle name="標準 414" xfId="418" xr:uid="{4BA6A36B-9EB1-44B7-A7BD-5BD3998BFF03}"/>
    <cellStyle name="標準 415" xfId="419" xr:uid="{04C1066E-6440-4642-89B0-D24354842AE8}"/>
    <cellStyle name="標準 416" xfId="420" xr:uid="{BC4F6DEF-6E4C-471E-8710-8DC7935D0972}"/>
    <cellStyle name="標準 417" xfId="421" xr:uid="{93366A28-CA76-4438-9845-328E64B0D854}"/>
    <cellStyle name="標準 418" xfId="422" xr:uid="{BFB193C2-596B-428F-BCE7-79A45DDA51AC}"/>
    <cellStyle name="標準 419" xfId="423" xr:uid="{3E07535F-7F32-41F2-886A-BA7B6C7B5E5B}"/>
    <cellStyle name="標準 42" xfId="44" xr:uid="{F4EB4478-FBD2-48A7-A9A2-A0DA52B672A1}"/>
    <cellStyle name="標準 420" xfId="424" xr:uid="{60832893-6744-44C5-9959-FBF1CE985440}"/>
    <cellStyle name="標準 421" xfId="425" xr:uid="{DF5014F1-10DD-4B72-A97D-029750E9498D}"/>
    <cellStyle name="標準 422" xfId="426" xr:uid="{5BDB1EEE-8CF6-42EC-BDAC-5B993DDB3DDB}"/>
    <cellStyle name="標準 423" xfId="427" xr:uid="{43E1940B-5595-4333-9547-B61DB7D14B5A}"/>
    <cellStyle name="標準 424" xfId="428" xr:uid="{47F9F10D-E2A8-4960-9633-C49E54A2416A}"/>
    <cellStyle name="標準 425" xfId="429" xr:uid="{5264B285-FD0A-4861-A0EA-5B070D879848}"/>
    <cellStyle name="標準 426" xfId="430" xr:uid="{C8D2C26E-0A9A-48BB-9FD1-ABA70C96BCD7}"/>
    <cellStyle name="標準 427" xfId="431" xr:uid="{D9920F10-679A-49AC-9640-541FC00818C4}"/>
    <cellStyle name="標準 428" xfId="432" xr:uid="{8ED91F0C-540F-413D-BAE3-BEC7F747CCCA}"/>
    <cellStyle name="標準 429" xfId="433" xr:uid="{44535469-7052-4400-B6AD-0ADFF41731DA}"/>
    <cellStyle name="標準 43" xfId="45" xr:uid="{27022AB6-493D-41CA-A12A-7C2CE24143E2}"/>
    <cellStyle name="標準 430" xfId="434" xr:uid="{44CF6130-CFFB-4B6E-A395-C64FAFEACB81}"/>
    <cellStyle name="標準 431" xfId="435" xr:uid="{7BEC23A8-B2BE-4DAD-B0A6-1F9E6F31F389}"/>
    <cellStyle name="標準 432" xfId="436" xr:uid="{EA516888-29FF-4146-82B8-E5AD9CD55F3C}"/>
    <cellStyle name="標準 433" xfId="437" xr:uid="{E3F57103-9FB8-404A-A969-2EC086A5A062}"/>
    <cellStyle name="標準 434" xfId="438" xr:uid="{6D5B74D3-43D4-4D09-B6CB-2224ED13F450}"/>
    <cellStyle name="標準 435" xfId="439" xr:uid="{6BAB0D6D-E131-4675-92E0-7F2336558AD5}"/>
    <cellStyle name="標準 436" xfId="440" xr:uid="{94EF4DA0-C936-4244-B383-8B8F276DDF8A}"/>
    <cellStyle name="標準 437" xfId="441" xr:uid="{A5E5D231-8BD7-4126-AAD1-6E2F356F0274}"/>
    <cellStyle name="標準 438" xfId="442" xr:uid="{4A52C0EC-F5B4-42DC-98F0-B8F5B72B475B}"/>
    <cellStyle name="標準 439" xfId="443" xr:uid="{79392F5F-4E8B-4E7D-AEDC-1D7E45568925}"/>
    <cellStyle name="標準 44" xfId="46" xr:uid="{936B2FD6-72BB-4E34-9814-74C5F005BB57}"/>
    <cellStyle name="標準 440" xfId="444" xr:uid="{68E17072-0306-46D3-AD44-52B1FCAF7D52}"/>
    <cellStyle name="標準 441" xfId="445" xr:uid="{6EDB343F-173B-4D24-85EE-0037D04BECDA}"/>
    <cellStyle name="標準 442" xfId="446" xr:uid="{3D3A929A-723C-459D-B4AD-120E98DA31EA}"/>
    <cellStyle name="標準 443" xfId="447" xr:uid="{55AD842D-B17E-4693-81F9-1CC786475412}"/>
    <cellStyle name="標準 444" xfId="448" xr:uid="{33F4CD34-6670-4BD7-92F6-E8D461478CC0}"/>
    <cellStyle name="標準 445" xfId="449" xr:uid="{E2FB5A4D-4490-4371-91E4-EC77072AD90D}"/>
    <cellStyle name="標準 446" xfId="450" xr:uid="{5EA1859F-5688-401E-87F8-F0000228A7B6}"/>
    <cellStyle name="標準 447" xfId="451" xr:uid="{29E98466-0AF2-43AD-B998-9FBCF7E8BE5B}"/>
    <cellStyle name="標準 448" xfId="452" xr:uid="{54DBF93D-7EAC-4119-AE84-F1756ECF8C17}"/>
    <cellStyle name="標準 449" xfId="453" xr:uid="{174132EF-166F-41BE-8A18-D96B94C5EB74}"/>
    <cellStyle name="標準 45" xfId="47" xr:uid="{D8424CD3-3D30-401B-B766-AD53C9848CBC}"/>
    <cellStyle name="標準 450" xfId="454" xr:uid="{91D410D1-C039-4312-90D5-3AA0D75DDDF1}"/>
    <cellStyle name="標準 451" xfId="455" xr:uid="{A8BAF221-BE09-41C5-8201-CB113352DC8D}"/>
    <cellStyle name="標準 452" xfId="456" xr:uid="{887EE8E4-1362-4E3F-90EB-54D3636260B9}"/>
    <cellStyle name="標準 453" xfId="457" xr:uid="{401DF07D-F45A-417E-A855-36C56CEF2703}"/>
    <cellStyle name="標準 454" xfId="458" xr:uid="{FC3621FE-6F5F-4341-AF65-09F8325B0B8B}"/>
    <cellStyle name="標準 455" xfId="459" xr:uid="{F70AC3D8-CA69-44D4-8CA7-5440DAA90945}"/>
    <cellStyle name="標準 456" xfId="460" xr:uid="{D9DCFC50-B9A3-42B1-A073-1EEE1FEDE01E}"/>
    <cellStyle name="標準 457" xfId="461" xr:uid="{F002BFE5-27BF-43F6-8D38-0EC87EFAEF58}"/>
    <cellStyle name="標準 458" xfId="462" xr:uid="{793735F3-0DAB-46FF-8DD0-5DFB56EB9754}"/>
    <cellStyle name="標準 459" xfId="463" xr:uid="{8948ABA3-8094-4402-892F-3F73733102E5}"/>
    <cellStyle name="標準 46" xfId="48" xr:uid="{7670180C-22B1-4CA2-B455-E1F738DA8DD8}"/>
    <cellStyle name="標準 460" xfId="464" xr:uid="{AACC7993-50D5-41A2-B484-24494FA2F973}"/>
    <cellStyle name="標準 461" xfId="465" xr:uid="{23EE7622-A91A-40D5-9052-1130587074CE}"/>
    <cellStyle name="標準 462" xfId="466" xr:uid="{E90130B8-1F13-4340-AAFB-DFE3C876AF44}"/>
    <cellStyle name="標準 463" xfId="467" xr:uid="{C5782399-6DAB-4AFC-96CB-49760E047729}"/>
    <cellStyle name="標準 464" xfId="468" xr:uid="{12318A8F-EB36-4587-9050-72B39C1FCD37}"/>
    <cellStyle name="標準 465" xfId="469" xr:uid="{3B6EDBB3-2D01-4D86-A587-8E4B1E67F2D5}"/>
    <cellStyle name="標準 466" xfId="470" xr:uid="{10CF3C22-A78E-44DD-A5B8-4ECCA0C4F6AA}"/>
    <cellStyle name="標準 467" xfId="471" xr:uid="{18217192-CF23-4821-8B28-3EAE834A53CA}"/>
    <cellStyle name="標準 468" xfId="472" xr:uid="{2B00754A-FC83-4B3E-8C0F-D45475B52A2A}"/>
    <cellStyle name="標準 469" xfId="473" xr:uid="{52DE98B7-E583-44AD-9A88-1D5A02C10495}"/>
    <cellStyle name="標準 47" xfId="49" xr:uid="{35FC3727-2810-4B06-B41C-65F9777AA23F}"/>
    <cellStyle name="標準 470" xfId="474" xr:uid="{09D51CA5-93FE-4202-8258-9AEF11148E1D}"/>
    <cellStyle name="標準 471" xfId="475" xr:uid="{3C9331BC-2041-4D74-9A60-0E54ED784C26}"/>
    <cellStyle name="標準 472" xfId="476" xr:uid="{B357D4D3-2D98-4AA4-9D04-723488137946}"/>
    <cellStyle name="標準 473" xfId="477" xr:uid="{3176C149-C844-4C13-ADCD-58C7C3214903}"/>
    <cellStyle name="標準 474" xfId="478" xr:uid="{B51639DD-218E-46EB-87C0-E931616D4B06}"/>
    <cellStyle name="標準 475" xfId="479" xr:uid="{25AE7EA1-B49B-4125-8DEA-E1588422570C}"/>
    <cellStyle name="標準 476" xfId="480" xr:uid="{89DAE472-982C-4CAF-9C6C-4B546F7F0C9F}"/>
    <cellStyle name="標準 477" xfId="481" xr:uid="{41096E9C-4740-4049-A018-E63B2742A7A3}"/>
    <cellStyle name="標準 478" xfId="482" xr:uid="{35506975-8417-405C-88AA-55F3FD670A3F}"/>
    <cellStyle name="標準 479" xfId="483" xr:uid="{0E4BA913-ABD9-4D52-8BA7-5A056789757C}"/>
    <cellStyle name="標準 48" xfId="50" xr:uid="{EBB220BC-885D-497A-96B2-3A275634BE8E}"/>
    <cellStyle name="標準 480" xfId="484" xr:uid="{7D4CB2DA-9080-4EDE-ADC8-704A37249485}"/>
    <cellStyle name="標準 481" xfId="485" xr:uid="{D9E97AD4-790B-42B0-BC1E-4D93DA46E89F}"/>
    <cellStyle name="標準 482" xfId="486" xr:uid="{CD89A8B6-C71B-474C-86A7-3FB803D75019}"/>
    <cellStyle name="標準 483" xfId="487" xr:uid="{AD5CBCFC-1FF7-4581-8CF1-4B8305A85D2F}"/>
    <cellStyle name="標準 484" xfId="488" xr:uid="{1A88EC59-653D-43F4-B904-F7B3154A9303}"/>
    <cellStyle name="標準 485" xfId="489" xr:uid="{DA63C860-7BB4-49A5-A0E2-31ADC3CF68B0}"/>
    <cellStyle name="標準 486" xfId="490" xr:uid="{862BF8EA-3043-4428-A6F7-C7E232D09BA0}"/>
    <cellStyle name="標準 487" xfId="491" xr:uid="{8A63CE2E-7D5C-4EC7-828C-C74BD6D597FA}"/>
    <cellStyle name="標準 488" xfId="492" xr:uid="{C1CD29DF-3258-4CAC-94C6-BFED42BEFA12}"/>
    <cellStyle name="標準 489" xfId="493" xr:uid="{662DF756-389B-4BE7-AABC-4FE94E013E55}"/>
    <cellStyle name="標準 49" xfId="51" xr:uid="{36481FF6-F60B-4554-8AA8-CC2E8B0F644E}"/>
    <cellStyle name="標準 490" xfId="494" xr:uid="{8D4D8D1B-3448-45E3-9E35-F3A8C9276941}"/>
    <cellStyle name="標準 491" xfId="495" xr:uid="{8E7D284B-E33C-4189-BA2A-5FB4890DABC5}"/>
    <cellStyle name="標準 492" xfId="496" xr:uid="{C87183B8-BE0F-43BD-95F2-8BFD5DD23D1D}"/>
    <cellStyle name="標準 493" xfId="499" xr:uid="{5DD434D8-E5D8-4B68-86E7-D2994F9E0270}"/>
    <cellStyle name="標準 494" xfId="500" xr:uid="{C5BA4DFC-8892-4286-B1E9-E52FD7C97A87}"/>
    <cellStyle name="標準 495" xfId="501" xr:uid="{8A9B0FB3-07A0-4EFD-9330-887C7F904F23}"/>
    <cellStyle name="標準 496" xfId="502" xr:uid="{B9C65AA2-B6C6-496B-97BA-A5D3C878C035}"/>
    <cellStyle name="標準 497" xfId="503" xr:uid="{3321AA0B-0A50-4EF9-BD7E-E5B9BDC12513}"/>
    <cellStyle name="標準 498" xfId="504" xr:uid="{A5489878-ED8A-43AF-8756-EFEB54F7C386}"/>
    <cellStyle name="標準 499" xfId="505" xr:uid="{E089258D-45E1-4D83-8272-679F8F484229}"/>
    <cellStyle name="標準 5" xfId="8" xr:uid="{29E48330-EFF3-43F1-9894-AD23A2214CCF}"/>
    <cellStyle name="標準 50" xfId="52" xr:uid="{ECCD126A-E83B-4EF1-989E-3733723BBC7A}"/>
    <cellStyle name="標準 500" xfId="506" xr:uid="{618A8B59-8009-4949-B4E7-7986D5900EFD}"/>
    <cellStyle name="標準 501" xfId="507" xr:uid="{D3D9A205-EB0F-4F38-A81F-3537777043AF}"/>
    <cellStyle name="標準 502" xfId="508" xr:uid="{07F560F8-9B29-4B6C-BC5F-E8BF94E71DCD}"/>
    <cellStyle name="標準 503" xfId="509" xr:uid="{F8CFBBDA-65EB-4159-9A26-CEE58B1EEACA}"/>
    <cellStyle name="標準 504" xfId="510" xr:uid="{5278B2E9-5801-4AF4-AE09-9A525E3F3C50}"/>
    <cellStyle name="標準 505" xfId="511" xr:uid="{E05578E0-4211-419A-9821-3CBCF7B2E60F}"/>
    <cellStyle name="標準 506" xfId="512" xr:uid="{61656127-A056-411D-B094-A5A50331910B}"/>
    <cellStyle name="標準 507" xfId="513" xr:uid="{C533BFC1-B684-4739-A08A-FAD310B48052}"/>
    <cellStyle name="標準 508" xfId="514" xr:uid="{C0990FC3-906B-4BBF-A609-4E06F91AF467}"/>
    <cellStyle name="標準 509" xfId="515" xr:uid="{2B369294-8ADD-42E7-B9C6-488889D36704}"/>
    <cellStyle name="標準 51" xfId="53" xr:uid="{F8267371-3999-4F98-8F60-E880F823AA63}"/>
    <cellStyle name="標準 510" xfId="516" xr:uid="{F4A5D604-046E-465D-8E6A-9F1E3CCEB743}"/>
    <cellStyle name="標準 511" xfId="517" xr:uid="{A7261035-1610-4E39-9D71-4543D04A686B}"/>
    <cellStyle name="標準 512" xfId="518" xr:uid="{8EDF5D04-B5B6-4913-9746-3B04D5394B84}"/>
    <cellStyle name="標準 513" xfId="519" xr:uid="{7CDC4220-B563-4C88-B73E-A6037259D432}"/>
    <cellStyle name="標準 514" xfId="520" xr:uid="{7B29B7E2-87EF-4893-8850-F34D2965300D}"/>
    <cellStyle name="標準 515" xfId="521" xr:uid="{94525DAC-27D5-41E2-A7C9-833519479383}"/>
    <cellStyle name="標準 516" xfId="522" xr:uid="{F17626A7-1C38-40F2-A27F-41CA860766BA}"/>
    <cellStyle name="標準 517" xfId="523" xr:uid="{78C77411-3DCD-4BFE-8169-A2E597B046AE}"/>
    <cellStyle name="標準 518" xfId="524" xr:uid="{172250BA-673A-4729-A997-09FA8CDF6328}"/>
    <cellStyle name="標準 519" xfId="525" xr:uid="{8AFF2A5E-0D9C-4C5C-A509-FBB0BE80F888}"/>
    <cellStyle name="標準 52" xfId="54" xr:uid="{69D10BD0-33F6-4BF5-9BCF-9BE6365C5081}"/>
    <cellStyle name="標準 520" xfId="526" xr:uid="{3EFF8067-366E-4EED-A08D-760AC1C4760D}"/>
    <cellStyle name="標準 521" xfId="527" xr:uid="{692EF32C-B352-4BB9-9B41-5971B7F8AC78}"/>
    <cellStyle name="標準 522" xfId="528" xr:uid="{72B00DC6-13E8-4FC7-AB42-4B9CEC61729D}"/>
    <cellStyle name="標準 523" xfId="529" xr:uid="{CF0EAC86-C97F-40A2-92FB-EB1DD343A0CB}"/>
    <cellStyle name="標準 524" xfId="530" xr:uid="{138B0A3D-30C6-43C8-80CA-AB0F1D6F726B}"/>
    <cellStyle name="標準 525" xfId="531" xr:uid="{C0ED2F55-7780-42D4-BAEB-04B04F274BDA}"/>
    <cellStyle name="標準 526" xfId="532" xr:uid="{6AE7A370-DD84-4B7C-B4E5-07D7F01434FC}"/>
    <cellStyle name="標準 527" xfId="533" xr:uid="{DAFA4474-720B-418F-9153-30D92C959FA0}"/>
    <cellStyle name="標準 528" xfId="534" xr:uid="{8F3CFBB6-4842-4DD0-88AF-81C49C68E8EB}"/>
    <cellStyle name="標準 529" xfId="535" xr:uid="{A60092DA-75D5-485A-BB2D-829ABB6B1F69}"/>
    <cellStyle name="標準 53" xfId="56" xr:uid="{95E31CA5-78A1-416C-B6F0-5AECE11E7CAF}"/>
    <cellStyle name="標準 530" xfId="536" xr:uid="{034010A9-A259-4C25-BAE6-7DA310B1EF34}"/>
    <cellStyle name="標準 531" xfId="537" xr:uid="{66004251-B100-40DF-B8EB-ABEDAB12DFD4}"/>
    <cellStyle name="標準 532" xfId="538" xr:uid="{7AB79BB7-A293-48C7-8652-7367294F39A5}"/>
    <cellStyle name="標準 533" xfId="539" xr:uid="{59A911E5-4D1F-449B-A349-780CC8973CCE}"/>
    <cellStyle name="標準 534" xfId="540" xr:uid="{B9B7240F-BC1B-41DA-9928-04E087D6D889}"/>
    <cellStyle name="標準 535" xfId="541" xr:uid="{6D7CBA21-DC0F-453D-AEA7-B462EF699588}"/>
    <cellStyle name="標準 536" xfId="542" xr:uid="{3D5EF6B5-F1FB-42D4-85AE-12BD892333F2}"/>
    <cellStyle name="標準 537" xfId="543" xr:uid="{A87C9B91-3C23-46E9-B806-150457335462}"/>
    <cellStyle name="標準 538" xfId="544" xr:uid="{5B2DAE2D-8232-41B6-AD48-A90C8D308CB9}"/>
    <cellStyle name="標準 539" xfId="545" xr:uid="{0E279DE0-50F2-4BED-90AC-056937FE007F}"/>
    <cellStyle name="標準 54" xfId="57" xr:uid="{4CD1906A-A091-472F-ABDA-43E9266F1CD1}"/>
    <cellStyle name="標準 540" xfId="546" xr:uid="{770180D6-5EE6-4874-8BEB-4C0C966A667D}"/>
    <cellStyle name="標準 541" xfId="547" xr:uid="{A34CBE23-3C3D-4574-96A2-F2F6265C1CA6}"/>
    <cellStyle name="標準 542" xfId="548" xr:uid="{FA0E1BD0-B7D9-4D3A-8454-FCA7806B896F}"/>
    <cellStyle name="標準 543" xfId="549" xr:uid="{153D1F2C-4A4B-4F20-BB54-952CDF7517E5}"/>
    <cellStyle name="標準 544" xfId="550" xr:uid="{BB3DE2F4-3773-40A2-83FA-E0C920FCFD43}"/>
    <cellStyle name="標準 545" xfId="551" xr:uid="{3A411565-1369-4C1F-8F65-04160E88CE04}"/>
    <cellStyle name="標準 546" xfId="552" xr:uid="{07645D7E-67B5-4581-AD87-D700D1042225}"/>
    <cellStyle name="標準 547" xfId="553" xr:uid="{CC638A0E-BDD8-47FD-9406-8A9D5DA36E10}"/>
    <cellStyle name="標準 548" xfId="554" xr:uid="{5CAAEB6E-D6D3-4DD1-8A0E-7670C8B3A662}"/>
    <cellStyle name="標準 549" xfId="555" xr:uid="{C4DFA8B2-F0CD-4D15-A79E-9300C7A38DCD}"/>
    <cellStyle name="標準 55" xfId="58" xr:uid="{198B5218-EBC9-4BE5-8920-C1DFA1945260}"/>
    <cellStyle name="標準 550" xfId="556" xr:uid="{0BA56073-D609-488C-9739-BDCDCEE010EC}"/>
    <cellStyle name="標準 551" xfId="557" xr:uid="{35CF0E12-AD36-42D0-A290-0AA801507913}"/>
    <cellStyle name="標準 552" xfId="558" xr:uid="{30950AD5-4FEF-415A-A64C-EF4B749A681E}"/>
    <cellStyle name="標準 553" xfId="559" xr:uid="{A7CCF751-31BA-4A1F-8C9D-FF92A18200E5}"/>
    <cellStyle name="標準 554" xfId="560" xr:uid="{7D005DB0-9532-470F-9690-BB15429E7467}"/>
    <cellStyle name="標準 555" xfId="561" xr:uid="{1B72735C-FEDE-4148-95E3-38168C353AD5}"/>
    <cellStyle name="標準 556" xfId="562" xr:uid="{2BA95112-14FD-4576-8C9E-81E8ACD594A7}"/>
    <cellStyle name="標準 557" xfId="563" xr:uid="{711E26D1-4BF2-4E0E-B8DF-3A3688BD3583}"/>
    <cellStyle name="標準 558" xfId="564" xr:uid="{BE77808E-B2AB-41D5-A8A6-9A93F4DA26F7}"/>
    <cellStyle name="標準 559" xfId="565" xr:uid="{4DF70E10-9F25-404F-87D5-54A4CF3AE9B8}"/>
    <cellStyle name="標準 56" xfId="59" xr:uid="{E5DF1ED4-CECF-4D61-B507-2D473DA7AAE0}"/>
    <cellStyle name="標準 560" xfId="566" xr:uid="{8070B31D-D6F1-476C-8A94-FA6A706AFC69}"/>
    <cellStyle name="標準 561" xfId="567" xr:uid="{51BD0E1F-6206-4BE5-95D8-B1E21A0E446E}"/>
    <cellStyle name="標準 562" xfId="568" xr:uid="{FD3BC08C-C93E-4B0E-AB94-2C9EE89C1292}"/>
    <cellStyle name="標準 563" xfId="569" xr:uid="{AF396BE8-25BA-454D-93A0-B5338294BB16}"/>
    <cellStyle name="標準 564" xfId="570" xr:uid="{D428714B-9B2A-4533-9E56-BF34981C3AE4}"/>
    <cellStyle name="標準 565" xfId="571" xr:uid="{719DAED8-13B2-4FCB-82E3-C9E9647B0C9D}"/>
    <cellStyle name="標準 566" xfId="572" xr:uid="{4A23010A-0BC2-4B77-A96E-91B6290B509E}"/>
    <cellStyle name="標準 567" xfId="573" xr:uid="{BABE488F-1E77-437B-8905-853A9933732B}"/>
    <cellStyle name="標準 568" xfId="574" xr:uid="{87260319-5004-4D64-B107-67AB1517E291}"/>
    <cellStyle name="標準 569" xfId="575" xr:uid="{95DD561C-4A65-4C6A-A78B-1D32148099D2}"/>
    <cellStyle name="標準 57" xfId="60" xr:uid="{C2D7B70C-2609-4A89-8FF2-76CCC54017DB}"/>
    <cellStyle name="標準 570" xfId="576" xr:uid="{38076FC0-D6A6-4642-934B-D66E274ABF1A}"/>
    <cellStyle name="標準 571" xfId="577" xr:uid="{7734216F-1A46-4D9A-8E3D-B8AE436C9C00}"/>
    <cellStyle name="標準 572" xfId="578" xr:uid="{069E934C-60E7-4F46-B052-4A6EDB94C6B2}"/>
    <cellStyle name="標準 573" xfId="579" xr:uid="{76930942-5AA2-42D8-AF86-FE7785E35F11}"/>
    <cellStyle name="標準 574" xfId="580" xr:uid="{B4D31D79-F3BE-483E-B5DE-D515F2B0B0D9}"/>
    <cellStyle name="標準 575" xfId="581" xr:uid="{826100DB-64B0-47D4-9352-33A70D873BBE}"/>
    <cellStyle name="標準 576" xfId="582" xr:uid="{4AD6A69D-4C98-4C75-A436-47F3493860DE}"/>
    <cellStyle name="標準 577" xfId="583" xr:uid="{4AC9666B-3A83-4EC8-BEF8-1A4B38F29540}"/>
    <cellStyle name="標準 578" xfId="584" xr:uid="{B494E00F-25DB-409F-96E4-1F1BF3615055}"/>
    <cellStyle name="標準 579" xfId="585" xr:uid="{453DF28C-784C-475E-9DFC-A619347875D5}"/>
    <cellStyle name="標準 58" xfId="61" xr:uid="{E64BC9E3-699B-426C-8D31-A32FE8B3E269}"/>
    <cellStyle name="標準 580" xfId="586" xr:uid="{5CEB1A65-4514-4A63-9EEF-6FF32EAFBADB}"/>
    <cellStyle name="標準 581" xfId="587" xr:uid="{D06C0536-266C-45DF-B98D-666BF0971154}"/>
    <cellStyle name="標準 582" xfId="588" xr:uid="{16C02482-773E-4125-859A-F8032FA778B5}"/>
    <cellStyle name="標準 583" xfId="589" xr:uid="{C8CA5099-F67D-4855-8849-87C9787A8415}"/>
    <cellStyle name="標準 584" xfId="590" xr:uid="{D2DF9B72-1CAC-4C87-B5D2-1C52101EC380}"/>
    <cellStyle name="標準 585" xfId="591" xr:uid="{45CA4E6E-6C01-4085-9605-8EE6A8D1A42F}"/>
    <cellStyle name="標準 586" xfId="592" xr:uid="{DB49F74C-F57B-4F33-8AE7-A0AC55BD176D}"/>
    <cellStyle name="標準 587" xfId="593" xr:uid="{A740CD68-5C37-41CB-9E1F-3D330A740AC5}"/>
    <cellStyle name="標準 588" xfId="594" xr:uid="{825CABEF-1C70-45E3-9F32-FB76CD422255}"/>
    <cellStyle name="標準 589" xfId="595" xr:uid="{C0BBE7A9-1FFE-4CEC-B07C-B64FF022AB4A}"/>
    <cellStyle name="標準 59" xfId="62" xr:uid="{189C1A11-81D4-4CEC-B9F9-3DC634AE946B}"/>
    <cellStyle name="標準 590" xfId="596" xr:uid="{3B3B1C31-25B3-4AF8-837A-8A05CB0E081A}"/>
    <cellStyle name="標準 591" xfId="597" xr:uid="{27D1D783-0042-408D-97CF-4FE09065620E}"/>
    <cellStyle name="標準 592" xfId="598" xr:uid="{34D8284F-B134-466A-B360-8103E8AC8F90}"/>
    <cellStyle name="標準 593" xfId="599" xr:uid="{7A92DDD2-76F2-49D5-8FDA-0AA5C36456CF}"/>
    <cellStyle name="標準 594" xfId="600" xr:uid="{A13EFFB4-E533-4B81-8FBD-B476937D8889}"/>
    <cellStyle name="標準 595" xfId="601" xr:uid="{BAFBA721-7731-468A-87E6-AC48F0FF6CAE}"/>
    <cellStyle name="標準 596" xfId="602" xr:uid="{6E91F25C-58FE-48EF-B1A1-460B52479227}"/>
    <cellStyle name="標準 597" xfId="604" xr:uid="{8502EF59-B6A5-4ADB-B74D-DDF05D81A849}"/>
    <cellStyle name="標準 598" xfId="605" xr:uid="{7413B715-07C9-4AF7-AD6B-E8037F83A90C}"/>
    <cellStyle name="標準 599" xfId="606" xr:uid="{64A30393-7D8B-4893-924D-E5CDFB3D2993}"/>
    <cellStyle name="標準 6" xfId="9" xr:uid="{3845B014-CA26-4210-98AC-FE1EB8C9B723}"/>
    <cellStyle name="標準 60" xfId="63" xr:uid="{4E0F662A-0BF2-4A49-AB51-28574204140A}"/>
    <cellStyle name="標準 600" xfId="607" xr:uid="{2EDBCD3C-7D37-42D3-9CBE-C5A2E8412517}"/>
    <cellStyle name="標準 601" xfId="608" xr:uid="{009B64A0-22C9-4EDD-80EA-E596BE3F9E07}"/>
    <cellStyle name="標準 602" xfId="609" xr:uid="{372F6F40-844B-4B88-B33A-140B9CA98032}"/>
    <cellStyle name="標準 603" xfId="610" xr:uid="{07214B7A-3F6D-4B1E-A6E4-5BC3D056A624}"/>
    <cellStyle name="標準 604" xfId="611" xr:uid="{251E577E-94B6-4CA0-8AF1-4322257200F5}"/>
    <cellStyle name="標準 605" xfId="612" xr:uid="{E728EF0B-007F-48D5-8B8F-83BE8305D241}"/>
    <cellStyle name="標準 606" xfId="613" xr:uid="{171BFC5F-B72D-4896-A6D3-23EE50C05CB4}"/>
    <cellStyle name="標準 607" xfId="614" xr:uid="{8FB26D96-9DBC-4E06-A329-B67BB5D5101C}"/>
    <cellStyle name="標準 608" xfId="615" xr:uid="{F08D6981-3632-4557-A214-0762E83A3547}"/>
    <cellStyle name="標準 609" xfId="616" xr:uid="{BED9659D-3E3E-4CD2-A1C1-E8E2B4184965}"/>
    <cellStyle name="標準 61" xfId="64" xr:uid="{3BB4636A-0258-4579-8369-85664694B4D0}"/>
    <cellStyle name="標準 610" xfId="617" xr:uid="{2833D260-20C1-4D58-8941-A5CBA0C79460}"/>
    <cellStyle name="標準 611" xfId="618" xr:uid="{E6A32333-A20E-4B37-BB4F-B517CBCD969C}"/>
    <cellStyle name="標準 612" xfId="619" xr:uid="{2ECD3788-D2E2-49B8-9C8B-B65B024295A3}"/>
    <cellStyle name="標準 613" xfId="620" xr:uid="{8DF34BAF-4B5A-4CE1-8F41-BADDEE958A8B}"/>
    <cellStyle name="標準 614" xfId="621" xr:uid="{99F5ED6B-0891-4D90-933F-43BEDE0B8A57}"/>
    <cellStyle name="標準 615" xfId="622" xr:uid="{5A9F43C8-CF3C-4E75-B7B4-7B0318750178}"/>
    <cellStyle name="標準 616" xfId="623" xr:uid="{3EF072D8-5B3D-441B-999C-9ECE23B2F965}"/>
    <cellStyle name="標準 617" xfId="624" xr:uid="{DEA305BB-B33C-43F4-8E99-B0DB5681AA27}"/>
    <cellStyle name="標準 618" xfId="625" xr:uid="{ECB85411-7541-46AF-AD63-DA5284F360C6}"/>
    <cellStyle name="標準 619" xfId="626" xr:uid="{09F20562-A311-49EF-BE7D-D36334564D8B}"/>
    <cellStyle name="標準 62" xfId="65" xr:uid="{B0A930DA-0151-4934-98DB-3C4073FAE53D}"/>
    <cellStyle name="標準 620" xfId="627" xr:uid="{1B869DD4-0C22-444B-B019-02B665DA9E4C}"/>
    <cellStyle name="標準 621" xfId="628" xr:uid="{E58BA11E-4EBF-4AC1-B116-5783DDD426F7}"/>
    <cellStyle name="標準 622" xfId="629" xr:uid="{B2A92C92-47AD-4F8A-943A-72A3563B2351}"/>
    <cellStyle name="標準 623" xfId="630" xr:uid="{5FDDB0B5-1806-4C9E-AD77-AA5114261691}"/>
    <cellStyle name="標準 624" xfId="631" xr:uid="{005252B6-D250-49C1-B2DD-F514E6FAD522}"/>
    <cellStyle name="標準 625" xfId="632" xr:uid="{62EE9431-6CCF-42D4-B7DB-F136365DAEFD}"/>
    <cellStyle name="標準 626" xfId="633" xr:uid="{CDD72290-0089-41F6-96D5-71DC4153EE37}"/>
    <cellStyle name="標準 627" xfId="634" xr:uid="{289C229C-2F40-44F0-9C3F-4818D60B7AEE}"/>
    <cellStyle name="標準 628" xfId="635" xr:uid="{7548B391-37F4-4F54-8B75-55D28140D25C}"/>
    <cellStyle name="標準 629" xfId="636" xr:uid="{36B908D2-F22D-487F-852E-2FE9B450628F}"/>
    <cellStyle name="標準 63" xfId="66" xr:uid="{DB80A800-DDF8-4C13-9336-70FEC4536D0A}"/>
    <cellStyle name="標準 630" xfId="637" xr:uid="{38EA9682-DBA9-4CDC-871D-C1E7DD3DB1E4}"/>
    <cellStyle name="標準 631" xfId="638" xr:uid="{49366AFB-1927-43E1-851E-B4DBB78F448C}"/>
    <cellStyle name="標準 632" xfId="639" xr:uid="{4862E42D-337C-43E1-9699-13C2C20FFA31}"/>
    <cellStyle name="標準 633" xfId="640" xr:uid="{74700C32-6E6F-4E60-9847-A36D952575F8}"/>
    <cellStyle name="標準 634" xfId="641" xr:uid="{0B2ACE3C-A18F-4A01-BE6B-D327D050C95C}"/>
    <cellStyle name="標準 635" xfId="642" xr:uid="{90BD84EF-7E87-4034-94CD-2C266B30790A}"/>
    <cellStyle name="標準 636" xfId="643" xr:uid="{D54D40F0-6E0A-4676-A803-E819797F9286}"/>
    <cellStyle name="標準 637" xfId="644" xr:uid="{A9DCF696-74D1-457B-BC9B-64298157D728}"/>
    <cellStyle name="標準 638" xfId="645" xr:uid="{50F6894A-D0F0-4892-B520-85447755E069}"/>
    <cellStyle name="標準 639" xfId="646" xr:uid="{8E6151D3-A8A5-479D-9510-1B11B76E9F61}"/>
    <cellStyle name="標準 64" xfId="67" xr:uid="{5EF7F938-0193-4368-9CD9-69B390E922FB}"/>
    <cellStyle name="標準 640" xfId="647" xr:uid="{556B4F1D-F4D4-4EBA-B99F-E2D9CDE17AE3}"/>
    <cellStyle name="標準 641" xfId="648" xr:uid="{3C4E9A17-C3C4-461C-A499-2DADE36C9C14}"/>
    <cellStyle name="標準 642" xfId="650" xr:uid="{E711D7A4-DB72-491C-9F76-7BFCADE458B5}"/>
    <cellStyle name="標準 643" xfId="651" xr:uid="{4C4489FD-20CC-4292-BF69-4015CCCEFDF4}"/>
    <cellStyle name="標準 644" xfId="652" xr:uid="{972C23CA-627F-4EFE-B2E7-1AF38C9DE414}"/>
    <cellStyle name="標準 645" xfId="653" xr:uid="{780BB972-5007-4404-9CC6-5B751850E38A}"/>
    <cellStyle name="標準 646" xfId="654" xr:uid="{5CDFE24D-DE8C-4B45-AD13-5DFEF401EFF8}"/>
    <cellStyle name="標準 647" xfId="655" xr:uid="{88AF97C0-80D4-45F7-91AE-5F6CD8971376}"/>
    <cellStyle name="標準 648" xfId="656" xr:uid="{EABCF1EA-819D-41B8-AFE7-9ADF59F359FA}"/>
    <cellStyle name="標準 649" xfId="657" xr:uid="{C1944C89-FD0B-429C-A351-63A4AB468E88}"/>
    <cellStyle name="標準 65" xfId="68" xr:uid="{D326FE03-2A16-4026-88E7-80DD1C294D24}"/>
    <cellStyle name="標準 650" xfId="658" xr:uid="{EF7C43AA-26D6-4502-97C8-119B1AECA497}"/>
    <cellStyle name="標準 651" xfId="659" xr:uid="{FE34C875-1078-4945-9A59-F7D89061F43B}"/>
    <cellStyle name="標準 652" xfId="660" xr:uid="{FB53419F-30DC-41FE-BB79-C35BC98A91CF}"/>
    <cellStyle name="標準 653" xfId="661" xr:uid="{D70627C5-BE73-48D3-99D0-C09F62DCB5B8}"/>
    <cellStyle name="標準 654" xfId="662" xr:uid="{7C195B7D-7E55-4194-86BB-8E8F0420C2B2}"/>
    <cellStyle name="標準 655" xfId="663" xr:uid="{45542FA1-CC78-48E6-9EDA-986E1CF063DE}"/>
    <cellStyle name="標準 656" xfId="664" xr:uid="{66F4F5FA-01B0-4F04-9354-D63C30DA9B56}"/>
    <cellStyle name="標準 657" xfId="665" xr:uid="{71F05DD5-96AB-484B-9697-D47338FC454C}"/>
    <cellStyle name="標準 658" xfId="666" xr:uid="{9BBED1E2-7BFE-4EBA-9DA3-5A5E5C210319}"/>
    <cellStyle name="標準 659" xfId="667" xr:uid="{657A8743-B08E-4314-BD07-E22C226AFBA7}"/>
    <cellStyle name="標準 66" xfId="69" xr:uid="{E8E17E94-FEB1-4E30-B9F4-0F2AC31E3F6A}"/>
    <cellStyle name="標準 660" xfId="668" xr:uid="{631626BF-00C3-4517-86B1-50B41A943B1F}"/>
    <cellStyle name="標準 661" xfId="669" xr:uid="{24BE34E1-3146-4D74-B2F2-45753A5AFD30}"/>
    <cellStyle name="標準 662" xfId="670" xr:uid="{A4CC560D-E749-4B35-B763-C71DFF3AF878}"/>
    <cellStyle name="標準 663" xfId="671" xr:uid="{FD5FA88C-AA34-4DD7-BB49-E30721D1F01C}"/>
    <cellStyle name="標準 664" xfId="672" xr:uid="{6D4B1371-0355-4D5B-A69F-77FD37258AE1}"/>
    <cellStyle name="標準 665" xfId="673" xr:uid="{6D202C49-3874-48C9-A5EB-8883EBE1E4A5}"/>
    <cellStyle name="標準 666" xfId="674" xr:uid="{DC031413-CBD4-4885-A966-8CF00929A82D}"/>
    <cellStyle name="標準 667" xfId="675" xr:uid="{F5D3CE49-FC8C-4C63-9809-F49FD5E7DE30}"/>
    <cellStyle name="標準 668" xfId="676" xr:uid="{A4B51CA3-1FC3-44D3-8FA6-DB28733FF926}"/>
    <cellStyle name="標準 669" xfId="677" xr:uid="{D41A2E6B-01D9-407E-8FBA-ED109C9A2BA9}"/>
    <cellStyle name="標準 67" xfId="70" xr:uid="{A9CF2339-F689-4FAE-933C-A30181AAF73C}"/>
    <cellStyle name="標準 670" xfId="678" xr:uid="{BC3AB1ED-155C-4E19-A6E1-3D1740C6CB62}"/>
    <cellStyle name="標準 671" xfId="679" xr:uid="{322FA505-C003-4965-BC13-4F326244E238}"/>
    <cellStyle name="標準 672" xfId="680" xr:uid="{C438D0A2-DB81-401D-BFC8-EB0679CA8225}"/>
    <cellStyle name="標準 673" xfId="681" xr:uid="{240FE0AC-2048-4F22-827F-EA79C42F9280}"/>
    <cellStyle name="標準 674" xfId="682" xr:uid="{3A47706D-6CEA-4DB7-B896-65A3F682ABB4}"/>
    <cellStyle name="標準 675" xfId="683" xr:uid="{231F4E39-D368-4E15-BFB5-734E21408B67}"/>
    <cellStyle name="標準 676" xfId="684" xr:uid="{D63CEDA5-671A-4D5C-A59F-4C19330F3750}"/>
    <cellStyle name="標準 677" xfId="685" xr:uid="{B6C75107-A79E-481E-A627-D07AC6AF4984}"/>
    <cellStyle name="標準 678" xfId="686" xr:uid="{AA980F9E-3D36-4054-8E0A-C7DE6B6B510A}"/>
    <cellStyle name="標準 679" xfId="687" xr:uid="{13F319E9-4BC7-46EC-A4BE-78F322F3D7B5}"/>
    <cellStyle name="標準 68" xfId="71" xr:uid="{ADE7BF92-0C57-4384-86A1-C133B47FEA80}"/>
    <cellStyle name="標準 680" xfId="688" xr:uid="{3BBF2220-ADBB-4140-98FF-8C555141A014}"/>
    <cellStyle name="標準 681" xfId="689" xr:uid="{57B777C0-2BFD-401E-ABDA-C9DAC73B3C44}"/>
    <cellStyle name="標準 682" xfId="690" xr:uid="{0058CCA5-60C8-4039-824C-BE42A778F656}"/>
    <cellStyle name="標準 683" xfId="691" xr:uid="{F6C86B80-BD60-482D-BEB0-670F4B6D92D0}"/>
    <cellStyle name="標準 684" xfId="692" xr:uid="{901B15D1-40C3-4D7E-9AED-E213D477A4EB}"/>
    <cellStyle name="標準 685" xfId="693" xr:uid="{660BB029-B845-480A-B09E-FEA9F29CF879}"/>
    <cellStyle name="標準 686" xfId="694" xr:uid="{67A505A4-EEB0-495B-9371-E962D0FF8FF9}"/>
    <cellStyle name="標準 687" xfId="695" xr:uid="{1F917292-D394-48A5-B211-DE9E7532EF42}"/>
    <cellStyle name="標準 688" xfId="696" xr:uid="{56C3F9B0-5CFC-47FC-9F3E-4BE3A6FF2687}"/>
    <cellStyle name="標準 689" xfId="697" xr:uid="{12420A93-6DF0-4E2D-AD70-BCAF85D7F8F1}"/>
    <cellStyle name="標準 69" xfId="73" xr:uid="{6FBB32F2-39BD-4258-91C0-D4F9EB709779}"/>
    <cellStyle name="標準 690" xfId="698" xr:uid="{123EC2FF-7FC9-4B2C-9BC8-EE1BBF77AEA8}"/>
    <cellStyle name="標準 691" xfId="699" xr:uid="{6B65045C-DC73-4CED-80E5-98657B749EF8}"/>
    <cellStyle name="標準 692" xfId="700" xr:uid="{271C4CF5-96EB-443D-ABC4-92106527E23E}"/>
    <cellStyle name="標準 693" xfId="701" xr:uid="{FAF70FE1-2AAA-4962-BCC2-50B83EE241E5}"/>
    <cellStyle name="標準 694" xfId="702" xr:uid="{AC4BB27D-CBD5-4E7F-A00C-776EB24CF55D}"/>
    <cellStyle name="標準 695" xfId="703" xr:uid="{A01825C8-240C-4295-9E39-3067809DD336}"/>
    <cellStyle name="標準 696" xfId="704" xr:uid="{CC3148CE-3FD7-473A-A45E-2F6382C25344}"/>
    <cellStyle name="標準 697" xfId="705" xr:uid="{BCC754EE-B4BB-4F0A-8F6C-B6A95A674396}"/>
    <cellStyle name="標準 698" xfId="706" xr:uid="{91692E0C-8634-4B58-8D9B-F1D4CBDED5B7}"/>
    <cellStyle name="標準 699" xfId="707" xr:uid="{48393F12-EDC0-4D30-8A79-7A5DF69898BA}"/>
    <cellStyle name="標準 7" xfId="10" xr:uid="{A5AA5FEB-F954-4E04-97AF-F85A33421129}"/>
    <cellStyle name="標準 70" xfId="74" xr:uid="{57B7825E-CEAF-4AD2-A8FC-E72B6AA1C919}"/>
    <cellStyle name="標準 700" xfId="708" xr:uid="{9ECA2632-8B69-4324-964F-DF6FFC75F2BA}"/>
    <cellStyle name="標準 701" xfId="709" xr:uid="{99F94606-D374-4475-B651-6A4953A1B6D6}"/>
    <cellStyle name="標準 702" xfId="710" xr:uid="{6C0ED429-BE1E-4013-B8FF-EF3066C254FD}"/>
    <cellStyle name="標準 703" xfId="711" xr:uid="{337F6424-0452-42B0-8087-EC8A2E4BF54C}"/>
    <cellStyle name="標準 704" xfId="712" xr:uid="{08CBBB57-20EB-4E07-BA02-50543BAEA5EE}"/>
    <cellStyle name="標準 705" xfId="713" xr:uid="{DEC67FEF-7973-41D3-AD9D-5A061F844197}"/>
    <cellStyle name="標準 706" xfId="714" xr:uid="{EAEA7E4D-E71B-4BF3-833B-0BD98C05DA91}"/>
    <cellStyle name="標準 707" xfId="715" xr:uid="{99EEDB57-A6B1-40C1-A1AC-518EB1256081}"/>
    <cellStyle name="標準 708" xfId="716" xr:uid="{FA5C12F0-81E2-4FA3-90EF-315BCDDAA93B}"/>
    <cellStyle name="標準 709" xfId="717" xr:uid="{FFCE2FF8-B60C-4AF4-8578-48F223F5FA00}"/>
    <cellStyle name="標準 71" xfId="75" xr:uid="{A6DFF4D9-0E3E-4554-9F78-17FC80D1B2B1}"/>
    <cellStyle name="標準 710" xfId="718" xr:uid="{F0CD9CB1-231C-4324-B6FA-41945D2AECC5}"/>
    <cellStyle name="標準 711" xfId="719" xr:uid="{D8FC4E85-27B2-4E59-858E-1BF99F2EB546}"/>
    <cellStyle name="標準 712" xfId="720" xr:uid="{33977AC5-B6F0-4E68-AD18-85B5326F0FF3}"/>
    <cellStyle name="標準 713" xfId="721" xr:uid="{86AE17FD-7D7D-44B6-884F-9626CE4984E9}"/>
    <cellStyle name="標準 714" xfId="722" xr:uid="{FE4C179F-7D57-446B-8CFE-D8F00A56A781}"/>
    <cellStyle name="標準 715" xfId="723" xr:uid="{6AE2B873-29B8-4420-BB38-8A06305F95C8}"/>
    <cellStyle name="標準 716" xfId="724" xr:uid="{D5E590CA-DF33-40FE-8927-03D9C3CC162A}"/>
    <cellStyle name="標準 717" xfId="725" xr:uid="{03574804-8EB5-4D2E-AA71-5F638EB2FB93}"/>
    <cellStyle name="標準 718" xfId="726" xr:uid="{B7802A8D-B307-4763-AB7E-E04A22EA5039}"/>
    <cellStyle name="標準 719" xfId="727" xr:uid="{266F8B5E-19DC-473F-B632-4A80F0C80A5E}"/>
    <cellStyle name="標準 72" xfId="76" xr:uid="{585BB72C-E99C-43B6-BBF0-8AF76EEA0088}"/>
    <cellStyle name="標準 720" xfId="728" xr:uid="{E0B3AD23-3ADC-428F-AAA6-ECD05F1ED93E}"/>
    <cellStyle name="標準 721" xfId="729" xr:uid="{A71AFE20-AC1B-4EED-94B4-60642E211899}"/>
    <cellStyle name="標準 722" xfId="730" xr:uid="{FBD2C1F5-0B0A-4657-B3C7-332D2D58C096}"/>
    <cellStyle name="標準 723" xfId="731" xr:uid="{4C5C5CAE-3804-46AF-AED4-1DF6FEE97C0A}"/>
    <cellStyle name="標準 724" xfId="732" xr:uid="{80FCB160-98D9-4924-ADA8-CB575A931980}"/>
    <cellStyle name="標準 725" xfId="733" xr:uid="{7D5A487F-E2B8-4BF8-A135-993025E26701}"/>
    <cellStyle name="標準 726" xfId="734" xr:uid="{64FF106A-2566-49D7-941D-3C3595D94FF0}"/>
    <cellStyle name="標準 727" xfId="735" xr:uid="{251E6986-0BE9-456E-8D2D-2DF919D830BC}"/>
    <cellStyle name="標準 728" xfId="736" xr:uid="{4DC0F011-1367-4DF0-ADCD-57680FBE32C1}"/>
    <cellStyle name="標準 729" xfId="737" xr:uid="{2FA1C6C8-A21E-48E7-AAE6-6C62415849E9}"/>
    <cellStyle name="標準 73" xfId="77" xr:uid="{1A28B1DD-E70D-40CE-9DC7-3D5CFDB2717E}"/>
    <cellStyle name="標準 730" xfId="738" xr:uid="{76EEA74E-1515-4098-B361-E2007F1812F2}"/>
    <cellStyle name="標準 731" xfId="739" xr:uid="{681421C6-9BE2-4891-B756-2563A9984E71}"/>
    <cellStyle name="標準 732" xfId="740" xr:uid="{13358661-D07C-458B-A5D7-EBBE46C6A9F7}"/>
    <cellStyle name="標準 733" xfId="741" xr:uid="{7C5D60E1-351F-4064-B1C9-C614308E7553}"/>
    <cellStyle name="標準 734" xfId="742" xr:uid="{25EECD66-808A-425E-850A-F9D5BAA26C3B}"/>
    <cellStyle name="標準 735" xfId="743" xr:uid="{EF205A8B-23AF-4C1F-8D57-0ECE5B226689}"/>
    <cellStyle name="標準 736" xfId="744" xr:uid="{BED707CA-5214-49C7-8243-28652FB79841}"/>
    <cellStyle name="標準 737" xfId="745" xr:uid="{E53B23B3-9FA0-4152-B77C-FACBB683E55F}"/>
    <cellStyle name="標準 738" xfId="746" xr:uid="{495FE477-AF98-4474-AE14-185B1002A3F6}"/>
    <cellStyle name="標準 739" xfId="747" xr:uid="{F29B7185-AF6E-468B-962C-8E05AAD2333F}"/>
    <cellStyle name="標準 74" xfId="78" xr:uid="{AF4A2E8B-3A37-45D2-BDB3-759A8147A9FE}"/>
    <cellStyle name="標準 740" xfId="748" xr:uid="{140840BB-CB21-4A50-97DC-561F87BF5695}"/>
    <cellStyle name="標準 741" xfId="749" xr:uid="{3DAFC8A2-592E-4669-B477-60F632FC1910}"/>
    <cellStyle name="標準 742" xfId="750" xr:uid="{BFCC41DC-A08A-4C9C-B4BB-6066A483EB4E}"/>
    <cellStyle name="標準 743" xfId="751" xr:uid="{7B00BE62-93FF-4654-A444-EDD980F1951E}"/>
    <cellStyle name="標準 744" xfId="752" xr:uid="{D50E785B-6034-49AF-94CC-A0A4200A403B}"/>
    <cellStyle name="標準 745" xfId="753" xr:uid="{064F410D-3C07-486B-8213-1527CE9EBE77}"/>
    <cellStyle name="標準 746" xfId="754" xr:uid="{0CED3AD3-3938-4E1F-BC84-6042B49CDA9F}"/>
    <cellStyle name="標準 747" xfId="755" xr:uid="{0BB18DFB-48ED-4779-97D8-3172EA9ECD09}"/>
    <cellStyle name="標準 748" xfId="756" xr:uid="{898E85DC-9BE2-48FC-A9BD-8118542AD27D}"/>
    <cellStyle name="標準 749" xfId="757" xr:uid="{B47747BC-E559-40AA-BD0E-A93AE743BB4A}"/>
    <cellStyle name="標準 75" xfId="79" xr:uid="{BBBAA895-F23E-41BC-B03F-CA4E06DA60AB}"/>
    <cellStyle name="標準 750" xfId="758" xr:uid="{B8BF37E1-67BD-401F-8AFB-33DDDF37EE11}"/>
    <cellStyle name="標準 751" xfId="759" xr:uid="{EDE283FF-AFD2-4208-BDC1-CE6A14ED351C}"/>
    <cellStyle name="標準 752" xfId="760" xr:uid="{804D431E-E94F-4AAF-AD63-D4D4794F2593}"/>
    <cellStyle name="標準 753" xfId="761" xr:uid="{8DCD64A9-8C02-41EC-B75F-328F894DFC3B}"/>
    <cellStyle name="標準 754" xfId="762" xr:uid="{5B1FCEAC-0E4D-455A-980B-A07D63525BA5}"/>
    <cellStyle name="標準 755" xfId="763" xr:uid="{D3ABAB7C-2286-41E2-A369-2B0FB5B1D135}"/>
    <cellStyle name="標準 756" xfId="764" xr:uid="{3A3F1AAF-12B5-4C9C-BA94-D11C1C228AE8}"/>
    <cellStyle name="標準 757" xfId="765" xr:uid="{BD60BE2A-F9E2-46F3-BA0D-A4905B71B5DB}"/>
    <cellStyle name="標準 758" xfId="766" xr:uid="{6586FC17-0A05-4D35-8DF3-FEF01CAE8602}"/>
    <cellStyle name="標準 759" xfId="767" xr:uid="{20E66710-0626-47E7-8BF5-5D930DBBE094}"/>
    <cellStyle name="標準 76" xfId="80" xr:uid="{87273489-C462-4286-822F-5234BA224633}"/>
    <cellStyle name="標準 760" xfId="768" xr:uid="{2DE3481C-4FD7-4EEA-A9B6-5143708579E9}"/>
    <cellStyle name="標準 761" xfId="769" xr:uid="{EC4949E0-1E2F-4DFA-AF8F-8A36004EC887}"/>
    <cellStyle name="標準 762" xfId="770" xr:uid="{6F137546-BCC8-4591-AF15-91378CED2DE1}"/>
    <cellStyle name="標準 763" xfId="771" xr:uid="{E4A8EBCD-0A63-41FB-A44A-A2BAC21218CC}"/>
    <cellStyle name="標準 764" xfId="772" xr:uid="{8B4F9654-3A17-47A6-8798-93ED4DBBBBB6}"/>
    <cellStyle name="標準 765" xfId="773" xr:uid="{CEC1D181-0CB8-49DA-827C-672320DB0A08}"/>
    <cellStyle name="標準 766" xfId="774" xr:uid="{B392A13B-C4E8-4616-BEB2-92F54E9FB30D}"/>
    <cellStyle name="標準 767" xfId="775" xr:uid="{4561171D-A4DE-44BC-AF8E-EB614C2FBE11}"/>
    <cellStyle name="標準 768" xfId="776" xr:uid="{3901FD33-CB42-4EFF-B6C4-3223666DC1E6}"/>
    <cellStyle name="標準 769" xfId="777" xr:uid="{F8173B16-007C-4723-ABCF-6076ABA379C8}"/>
    <cellStyle name="標準 77" xfId="81" xr:uid="{D7471B49-07A1-404B-9A96-B9649CD5471B}"/>
    <cellStyle name="標準 770" xfId="778" xr:uid="{5E79F3CD-A291-4073-99D5-B27A424FCE76}"/>
    <cellStyle name="標準 771" xfId="779" xr:uid="{EFA32B7E-540A-4A03-9873-EBFA8F741F5E}"/>
    <cellStyle name="標準 772" xfId="780" xr:uid="{8B3778AB-654A-47DC-83BA-7B4D0C95DE5E}"/>
    <cellStyle name="標準 773" xfId="781" xr:uid="{7A6A1FDE-96D2-4821-9CBC-37789345E1EF}"/>
    <cellStyle name="標準 774" xfId="782" xr:uid="{D0E0F00E-FCC0-4565-929D-6BF7FE118D9C}"/>
    <cellStyle name="標準 775" xfId="783" xr:uid="{82BC051A-2DAB-41CD-BFB8-52E3E32DD254}"/>
    <cellStyle name="標準 776" xfId="784" xr:uid="{39425D83-54FB-4923-8B36-83173A539F28}"/>
    <cellStyle name="標準 777" xfId="785" xr:uid="{90C32C5C-F70E-4CC9-96CB-2D8F7DF95769}"/>
    <cellStyle name="標準 778" xfId="786" xr:uid="{80D24B39-E9AB-428C-B555-11B0A28DBEB6}"/>
    <cellStyle name="標準 779" xfId="787" xr:uid="{1E56D0B0-3F99-450E-B3B2-BA64338C796B}"/>
    <cellStyle name="標準 78" xfId="82" xr:uid="{8318C3B9-5488-4C88-AB79-8AE162093447}"/>
    <cellStyle name="標準 780" xfId="788" xr:uid="{A8800EDB-CFAF-4F64-A905-3B30E6D522E0}"/>
    <cellStyle name="標準 781" xfId="789" xr:uid="{8AF5AF03-550E-481C-A172-66866BBC346E}"/>
    <cellStyle name="標準 782" xfId="790" xr:uid="{371009FA-8DA3-4B18-BEE3-5EA3046C298D}"/>
    <cellStyle name="標準 79" xfId="83" xr:uid="{D2240F15-6AE1-4830-8A3D-7291948C4FCF}"/>
    <cellStyle name="標準 8" xfId="11" xr:uid="{70DD6D8B-D995-42E2-B752-107634B40825}"/>
    <cellStyle name="標準 80" xfId="84" xr:uid="{4FB79309-08D0-4D63-A099-0B914937EEB4}"/>
    <cellStyle name="標準 81" xfId="85" xr:uid="{7CC493F4-94E2-4952-B63A-E3FF9CDA4E7F}"/>
    <cellStyle name="標準 82" xfId="86" xr:uid="{524890FE-4A86-40F3-8F09-5B1C0E174399}"/>
    <cellStyle name="標準 83" xfId="87" xr:uid="{A4CA7BDC-EA02-414C-84BA-1F6D8C7F96BD}"/>
    <cellStyle name="標準 84" xfId="88" xr:uid="{D269E3D2-561C-4F72-837C-DC449FD4632D}"/>
    <cellStyle name="標準 85" xfId="89" xr:uid="{2324D2BA-2E03-4CAB-A5B3-7B81146F5CBE}"/>
    <cellStyle name="標準 86" xfId="90" xr:uid="{E356F05B-87B7-49E9-9F67-7EF2058DBEB5}"/>
    <cellStyle name="標準 87" xfId="91" xr:uid="{21ABB51D-18D3-4B71-88F5-19E5D4A245E8}"/>
    <cellStyle name="標準 88" xfId="92" xr:uid="{E9F1CEAB-3EF2-49E4-861F-A3D08B8420A1}"/>
    <cellStyle name="標準 89" xfId="93" xr:uid="{23DA6159-68AD-45C7-B7F0-D5C981BE0B3B}"/>
    <cellStyle name="標準 9" xfId="12" xr:uid="{388639BA-BFA7-4187-AC96-5E20D6D982EB}"/>
    <cellStyle name="標準 90" xfId="94" xr:uid="{1F595C73-2102-4DCA-B77B-EE36BB749701}"/>
    <cellStyle name="標準 91" xfId="95" xr:uid="{2446B6D8-4587-48F7-9C6E-2EF7F7363D8C}"/>
    <cellStyle name="標準 92" xfId="96" xr:uid="{F4C2E373-F943-47CE-8377-DE7A0C29EA77}"/>
    <cellStyle name="標準 93" xfId="97" xr:uid="{B06007DC-54B3-4EFA-87EB-CAE5F5A73CE5}"/>
    <cellStyle name="標準 94" xfId="98" xr:uid="{E4D98491-A36D-43FC-91EB-3AF737A04C5D}"/>
    <cellStyle name="標準 95" xfId="99" xr:uid="{5FF61FC5-2442-4A35-B2A9-F2653408FF71}"/>
    <cellStyle name="標準 96" xfId="100" xr:uid="{FF105BB9-6A92-4D74-845B-2177A27602CE}"/>
    <cellStyle name="標準 97" xfId="101" xr:uid="{DD6EC9CF-09B6-4949-9282-361FBC90F738}"/>
    <cellStyle name="標準 98" xfId="102" xr:uid="{7115A3AE-934F-4943-8E71-DE66CD005DBB}"/>
    <cellStyle name="標準 99" xfId="103" xr:uid="{952BBDD7-5C8F-4CC9-8BFF-B2484348A7F6}"/>
  </cellStyles>
  <dxfs count="6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76" formatCode="yyyy/mm/dd"/>
      <alignment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182880</xdr:rowOff>
        </xdr:from>
        <xdr:to>
          <xdr:col>4</xdr:col>
          <xdr:colOff>0</xdr:colOff>
          <xdr:row>4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6</xdr:row>
          <xdr:rowOff>7620</xdr:rowOff>
        </xdr:from>
        <xdr:to>
          <xdr:col>4</xdr:col>
          <xdr:colOff>0</xdr:colOff>
          <xdr:row>7</xdr:row>
          <xdr:rowOff>182880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10</xdr:row>
          <xdr:rowOff>7620</xdr:rowOff>
        </xdr:from>
        <xdr:to>
          <xdr:col>4</xdr:col>
          <xdr:colOff>0</xdr:colOff>
          <xdr:row>11</xdr:row>
          <xdr:rowOff>182880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Reoprt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0</xdr:row>
      <xdr:rowOff>22411</xdr:rowOff>
    </xdr:from>
    <xdr:to>
      <xdr:col>13</xdr:col>
      <xdr:colOff>762001</xdr:colOff>
      <xdr:row>2</xdr:row>
      <xdr:rowOff>117661</xdr:rowOff>
    </xdr:to>
    <xdr:sp macro="" textlink="">
      <xdr:nvSpPr>
        <xdr:cNvPr id="2" name="テキスト 12">
          <a:extLst>
            <a:ext uri="{FF2B5EF4-FFF2-40B4-BE49-F238E27FC236}">
              <a16:creationId xmlns:a16="http://schemas.microsoft.com/office/drawing/2014/main" id="{E5A8A36A-8AF7-4AD2-9ED6-2B1DC2B24EF4}"/>
            </a:ext>
          </a:extLst>
        </xdr:cNvPr>
        <xdr:cNvSpPr>
          <a:spLocks noChangeArrowheads="1"/>
        </xdr:cNvSpPr>
      </xdr:nvSpPr>
      <xdr:spPr bwMode="auto">
        <a:xfrm>
          <a:off x="279775" y="22411"/>
          <a:ext cx="10394576" cy="4762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54864" tIns="45720" rIns="0" bIns="45720" anchor="ctr" upright="1"/>
        <a:lstStyle/>
        <a:p>
          <a:pPr algn="ctr" rtl="0">
            <a:defRPr sz="1000"/>
          </a:pP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SFinX Project</a:t>
          </a:r>
          <a:r>
            <a:rPr lang="ja-JP" altLang="en-US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：</a:t>
          </a: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Daily Report</a:t>
          </a:r>
          <a:endParaRPr lang="ja-JP" altLang="en-US" sz="1200" b="1" i="0" u="none" strike="noStrike" baseline="0">
            <a:solidFill>
              <a:srgbClr val="000000"/>
            </a:solidFill>
            <a:latin typeface="Microsoft Sans Serif"/>
            <a:cs typeface="Microsoft Sans Serif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0</xdr:row>
      <xdr:rowOff>22411</xdr:rowOff>
    </xdr:from>
    <xdr:to>
      <xdr:col>13</xdr:col>
      <xdr:colOff>762001</xdr:colOff>
      <xdr:row>2</xdr:row>
      <xdr:rowOff>117661</xdr:rowOff>
    </xdr:to>
    <xdr:sp macro="" textlink="">
      <xdr:nvSpPr>
        <xdr:cNvPr id="2" name="テキスト 12">
          <a:extLst>
            <a:ext uri="{FF2B5EF4-FFF2-40B4-BE49-F238E27FC236}">
              <a16:creationId xmlns:a16="http://schemas.microsoft.com/office/drawing/2014/main" id="{62EDD6FA-ECB5-4757-A1D7-9830928D2BAE}"/>
            </a:ext>
          </a:extLst>
        </xdr:cNvPr>
        <xdr:cNvSpPr>
          <a:spLocks noChangeArrowheads="1"/>
        </xdr:cNvSpPr>
      </xdr:nvSpPr>
      <xdr:spPr bwMode="auto">
        <a:xfrm>
          <a:off x="265805" y="22411"/>
          <a:ext cx="9632576" cy="4762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54864" tIns="45720" rIns="0" bIns="45720" anchor="ctr" upright="1"/>
        <a:lstStyle/>
        <a:p>
          <a:pPr algn="ctr" rtl="0">
            <a:defRPr sz="1000"/>
          </a:pP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SFinX Project</a:t>
          </a:r>
          <a:r>
            <a:rPr lang="ja-JP" altLang="en-US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：</a:t>
          </a: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Daily Report</a:t>
          </a:r>
          <a:endParaRPr lang="ja-JP" altLang="en-US" sz="1200" b="1" i="0" u="none" strike="noStrike" baseline="0">
            <a:solidFill>
              <a:srgbClr val="000000"/>
            </a:solidFill>
            <a:latin typeface="Microsoft Sans Serif"/>
            <a:cs typeface="Microsoft Sans Serif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0</xdr:row>
      <xdr:rowOff>22411</xdr:rowOff>
    </xdr:from>
    <xdr:to>
      <xdr:col>14</xdr:col>
      <xdr:colOff>1</xdr:colOff>
      <xdr:row>2</xdr:row>
      <xdr:rowOff>117661</xdr:rowOff>
    </xdr:to>
    <xdr:sp macro="" textlink="">
      <xdr:nvSpPr>
        <xdr:cNvPr id="2" name="テキスト 12">
          <a:extLst>
            <a:ext uri="{FF2B5EF4-FFF2-40B4-BE49-F238E27FC236}">
              <a16:creationId xmlns:a16="http://schemas.microsoft.com/office/drawing/2014/main" id="{57A638AF-1FD9-4334-AECF-CF0E95B967DE}"/>
            </a:ext>
          </a:extLst>
        </xdr:cNvPr>
        <xdr:cNvSpPr>
          <a:spLocks noChangeArrowheads="1"/>
        </xdr:cNvSpPr>
      </xdr:nvSpPr>
      <xdr:spPr bwMode="auto">
        <a:xfrm>
          <a:off x="265805" y="22411"/>
          <a:ext cx="9464936" cy="4762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54864" tIns="45720" rIns="0" bIns="45720" anchor="ctr" upright="1"/>
        <a:lstStyle/>
        <a:p>
          <a:pPr algn="ctr" rtl="0">
            <a:defRPr sz="1000"/>
          </a:pP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SFinX Project</a:t>
          </a:r>
          <a:r>
            <a:rPr lang="ja-JP" altLang="en-US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：</a:t>
          </a: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Daily Report</a:t>
          </a:r>
          <a:endParaRPr lang="ja-JP" altLang="en-US" sz="1200" b="1" i="0" u="none" strike="noStrike" baseline="0">
            <a:solidFill>
              <a:srgbClr val="000000"/>
            </a:solidFill>
            <a:latin typeface="Microsoft Sans Serif"/>
            <a:cs typeface="Microsoft Sans Serif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0</xdr:row>
      <xdr:rowOff>22411</xdr:rowOff>
    </xdr:from>
    <xdr:to>
      <xdr:col>13</xdr:col>
      <xdr:colOff>762001</xdr:colOff>
      <xdr:row>2</xdr:row>
      <xdr:rowOff>117661</xdr:rowOff>
    </xdr:to>
    <xdr:sp macro="" textlink="">
      <xdr:nvSpPr>
        <xdr:cNvPr id="2" name="テキスト 12">
          <a:extLst>
            <a:ext uri="{FF2B5EF4-FFF2-40B4-BE49-F238E27FC236}">
              <a16:creationId xmlns:a16="http://schemas.microsoft.com/office/drawing/2014/main" id="{E578DF2E-DB84-4FDC-AA87-1221736608BA}"/>
            </a:ext>
          </a:extLst>
        </xdr:cNvPr>
        <xdr:cNvSpPr>
          <a:spLocks noChangeArrowheads="1"/>
        </xdr:cNvSpPr>
      </xdr:nvSpPr>
      <xdr:spPr bwMode="auto">
        <a:xfrm>
          <a:off x="265805" y="22411"/>
          <a:ext cx="10752716" cy="4762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54864" tIns="45720" rIns="0" bIns="45720" anchor="ctr" upright="1"/>
        <a:lstStyle/>
        <a:p>
          <a:pPr algn="ctr" rtl="0">
            <a:defRPr sz="1000"/>
          </a:pP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SFinX Project</a:t>
          </a:r>
          <a:r>
            <a:rPr lang="ja-JP" altLang="en-US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：</a:t>
          </a: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Daily Report</a:t>
          </a:r>
          <a:endParaRPr lang="ja-JP" altLang="en-US" sz="1200" b="1" i="0" u="none" strike="noStrike" baseline="0">
            <a:solidFill>
              <a:srgbClr val="000000"/>
            </a:solidFill>
            <a:latin typeface="Microsoft Sans Serif"/>
            <a:cs typeface="Microsoft Sans Serif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0</xdr:row>
      <xdr:rowOff>22411</xdr:rowOff>
    </xdr:from>
    <xdr:to>
      <xdr:col>13</xdr:col>
      <xdr:colOff>762001</xdr:colOff>
      <xdr:row>2</xdr:row>
      <xdr:rowOff>117661</xdr:rowOff>
    </xdr:to>
    <xdr:sp macro="" textlink="">
      <xdr:nvSpPr>
        <xdr:cNvPr id="2" name="テキスト 12">
          <a:extLst>
            <a:ext uri="{FF2B5EF4-FFF2-40B4-BE49-F238E27FC236}">
              <a16:creationId xmlns:a16="http://schemas.microsoft.com/office/drawing/2014/main" id="{DEEA11D3-CE3A-48B3-B959-7783F1BDFA28}"/>
            </a:ext>
          </a:extLst>
        </xdr:cNvPr>
        <xdr:cNvSpPr>
          <a:spLocks noChangeArrowheads="1"/>
        </xdr:cNvSpPr>
      </xdr:nvSpPr>
      <xdr:spPr bwMode="auto">
        <a:xfrm>
          <a:off x="265805" y="22411"/>
          <a:ext cx="9464936" cy="4762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54864" tIns="45720" rIns="0" bIns="45720" anchor="ctr" upright="1"/>
        <a:lstStyle/>
        <a:p>
          <a:pPr algn="ctr" rtl="0">
            <a:defRPr sz="1000"/>
          </a:pP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SFinX Project</a:t>
          </a:r>
          <a:r>
            <a:rPr lang="ja-JP" altLang="en-US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：</a:t>
          </a: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Daily Report</a:t>
          </a:r>
          <a:endParaRPr lang="ja-JP" altLang="en-US" sz="1200" b="1" i="0" u="none" strike="noStrike" baseline="0">
            <a:solidFill>
              <a:srgbClr val="000000"/>
            </a:solidFill>
            <a:latin typeface="Microsoft Sans Serif"/>
            <a:cs typeface="Microsoft Sans Serif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44825</xdr:colOff>
      <xdr:row>0</xdr:row>
      <xdr:rowOff>22411</xdr:rowOff>
    </xdr:from>
    <xdr:to>
      <xdr:col>13</xdr:col>
      <xdr:colOff>762001</xdr:colOff>
      <xdr:row>2</xdr:row>
      <xdr:rowOff>117661</xdr:rowOff>
    </xdr:to>
    <xdr:sp macro="" textlink="">
      <xdr:nvSpPr>
        <xdr:cNvPr id="2" name="テキスト 12">
          <a:extLst>
            <a:ext uri="{FF2B5EF4-FFF2-40B4-BE49-F238E27FC236}">
              <a16:creationId xmlns:a16="http://schemas.microsoft.com/office/drawing/2014/main" id="{79EA390A-0D64-403F-9C9A-925D825DA012}"/>
            </a:ext>
          </a:extLst>
        </xdr:cNvPr>
        <xdr:cNvSpPr>
          <a:spLocks noChangeArrowheads="1"/>
        </xdr:cNvSpPr>
      </xdr:nvSpPr>
      <xdr:spPr bwMode="auto">
        <a:xfrm>
          <a:off x="265805" y="22411"/>
          <a:ext cx="9563996" cy="4762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54864" tIns="45720" rIns="0" bIns="45720" anchor="ctr" upright="1"/>
        <a:lstStyle/>
        <a:p>
          <a:pPr algn="ctr" rtl="0">
            <a:defRPr sz="1000"/>
          </a:pP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SFinX Project</a:t>
          </a:r>
          <a:r>
            <a:rPr lang="ja-JP" altLang="en-US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：</a:t>
          </a:r>
          <a:r>
            <a:rPr lang="en-US" altLang="ja-JP" sz="1600" b="1" i="0" u="none" strike="noStrike" baseline="0">
              <a:solidFill>
                <a:srgbClr val="000000"/>
              </a:solidFill>
              <a:latin typeface="Microsoft Sans Serif"/>
              <a:cs typeface="Microsoft Sans Serif"/>
            </a:rPr>
            <a:t>Daily Report</a:t>
          </a:r>
          <a:endParaRPr lang="ja-JP" altLang="en-US" sz="1200" b="1" i="0" u="none" strike="noStrike" baseline="0">
            <a:solidFill>
              <a:srgbClr val="000000"/>
            </a:solidFill>
            <a:latin typeface="Microsoft Sans Serif"/>
            <a:cs typeface="Microsoft Sans Serif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eikoh/T_&#12473;&#12465;&#12472;&#12517;&#12540;&#12523;/MergeTool_v8_WBS%20&#20869;&#37096;&#12481;&#12455;&#12483;&#12463;.xlsm" TargetMode="External"/><Relationship Id="rId2" Type="http://schemas.openxmlformats.org/officeDocument/2006/relationships/externalLinkPath" Target="file:///C:\eikoh\T_&#12473;&#12465;&#12472;&#12517;&#12540;&#12523;\MergeTool_v8_WBS%20&#20869;&#37096;&#12481;&#12455;&#12483;&#12463;.xlsm" TargetMode="External"/><Relationship Id="rId1" Type="http://schemas.openxmlformats.org/officeDocument/2006/relationships/externalLinkPath" Target="/eikoh/T_&#12473;&#12465;&#12472;&#12517;&#12540;&#12523;/MergeTool_v8_WBS%20&#20869;&#37096;&#12481;&#12455;&#12483;&#1246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HISTORY"/>
      <sheetName val="MENU"/>
      <sheetName val="Group"/>
      <sheetName val="Schedule"/>
      <sheetName val="TaskList"/>
      <sheetName val="入力誤り"/>
      <sheetName val="着手遅延"/>
      <sheetName val="完了遅延"/>
      <sheetName val="進行遅延"/>
      <sheetName val="DailyReport(Group)"/>
      <sheetName val="From"/>
      <sheetName val="WBS (全体）"/>
      <sheetName val="To"/>
      <sheetName val="WBS (Format）"/>
    </sheetNames>
    <sheetDataSet>
      <sheetData sheetId="0"/>
      <sheetData sheetId="1">
        <row r="4">
          <cell r="H4">
            <v>46114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34A1D4-066C-40CB-83F5-040D6F301896}" name="ReviseHistory" displayName="ReviseHistory" ref="A7:E14" totalsRowShown="0" headerRowDxfId="68" dataDxfId="67">
  <autoFilter ref="A7:E14" xr:uid="{B08060B0-BB9A-4B94-B7D8-041F55E38B74}"/>
  <tableColumns count="5">
    <tableColumn id="1" xr3:uid="{456FCC87-D0DA-4AA1-BFB6-9D2755570EF5}" name="No." dataDxfId="66"/>
    <tableColumn id="2" xr3:uid="{5CC885C9-826C-4345-A2CF-8BAA1F0C1B7F}" name="Name" dataDxfId="65"/>
    <tableColumn id="3" xr3:uid="{E777949C-2A4D-4E6E-9ECE-B0D1B8081F5F}" name="Date" dataDxfId="64"/>
    <tableColumn id="4" xr3:uid="{CCC75707-A89C-4C4C-945C-D7A1CE5EF8DD}" name="Version" dataDxfId="63"/>
    <tableColumn id="5" xr3:uid="{ADCEE5A8-01CE-457A-8627-A1BC7A8D7F1D}" name="Comments" dataDxfId="6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G:\&#20849;&#26377;&#12489;&#12521;&#12452;&#12502;\%5bEX%20PJ%5d%20SFinX\08_&#38283;&#30330;\01_&#36914;&#25431;&#31649;&#29702;\MergeTool_v3_WBS.xlsm" TargetMode="External"/><Relationship Id="rId2" Type="http://schemas.openxmlformats.org/officeDocument/2006/relationships/hyperlink" Target="file:///G:\&#20849;&#26377;&#12489;&#12521;&#12452;&#12502;\%5bEX%20PJ%5d%20SFinX\08_&#38283;&#30330;\02_&#35506;&#38988;&#31649;&#29702;\MergeTool_v2_&#35506;&#38988;&#19968;&#35239;.xlsm" TargetMode="External"/><Relationship Id="rId1" Type="http://schemas.openxmlformats.org/officeDocument/2006/relationships/hyperlink" Target="file:///G:\&#20849;&#26377;&#12489;&#12521;&#12452;&#12502;\%5bEX%20PJ%5d%20SFinX\08_&#38283;&#30330;\01_&#36914;&#25431;&#31649;&#29702;\MergeTool_v3_&#35430;&#39443;&#19968;&#35239;.xls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file:///G:\&#20849;&#26377;&#12489;&#12521;&#12452;&#12502;\%5bEX%20PJ%5d%20SFinX\08_&#38283;&#30330;\03_&#25925;&#38556;&#19968;&#35239;\MergeTool_v2_&#25925;&#38556;&#19968;&#35239;.xls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google.com/spreadsheets/d/1VwcvrRd2j7f8iIDMO5eieOaRRv7uQC6K" TargetMode="External"/><Relationship Id="rId2" Type="http://schemas.openxmlformats.org/officeDocument/2006/relationships/hyperlink" Target="https://docs.google.com/spreadsheets/d/1Aj2RniEFYQkoBf-zydxpql51WRScka1F" TargetMode="External"/><Relationship Id="rId1" Type="http://schemas.openxmlformats.org/officeDocument/2006/relationships/hyperlink" Target="https://docs.google.com/spreadsheets/d/1BeNm6rwUECDl_xCkfT-QrfqtrsGk23OR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google.com/spreadsheets/d/1VwcvrRd2j7f8iIDMO5eieOaRRv7uQC6K" TargetMode="External"/><Relationship Id="rId2" Type="http://schemas.openxmlformats.org/officeDocument/2006/relationships/hyperlink" Target="https://docs.google.com/spreadsheets/d/1Aj2RniEFYQkoBf-zydxpql51WRScka1F" TargetMode="External"/><Relationship Id="rId1" Type="http://schemas.openxmlformats.org/officeDocument/2006/relationships/hyperlink" Target="https://docs.google.com/spreadsheets/d/1BeNm6rwUECDl_xCkfT-QrfqtrsGk23OR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google.com/spreadsheets/d/1VwcvrRd2j7f8iIDMO5eieOaRRv7uQC6K" TargetMode="External"/><Relationship Id="rId2" Type="http://schemas.openxmlformats.org/officeDocument/2006/relationships/hyperlink" Target="https://docs.google.com/spreadsheets/d/1Aj2RniEFYQkoBf-zydxpql51WRScka1F" TargetMode="External"/><Relationship Id="rId1" Type="http://schemas.openxmlformats.org/officeDocument/2006/relationships/hyperlink" Target="https://docs.google.com/spreadsheets/d/1BeNm6rwUECDl_xCkfT-QrfqtrsGk23OR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google.com/spreadsheets/d/1VwcvrRd2j7f8iIDMO5eieOaRRv7uQC6K" TargetMode="External"/><Relationship Id="rId2" Type="http://schemas.openxmlformats.org/officeDocument/2006/relationships/hyperlink" Target="https://docs.google.com/spreadsheets/d/1Aj2RniEFYQkoBf-zydxpql51WRScka1F" TargetMode="External"/><Relationship Id="rId1" Type="http://schemas.openxmlformats.org/officeDocument/2006/relationships/hyperlink" Target="https://docs.google.com/spreadsheets/d/1BeNm6rwUECDl_xCkfT-QrfqtrsGk23OR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google.com/spreadsheets/d/1VwcvrRd2j7f8iIDMO5eieOaRRv7uQC6K" TargetMode="External"/><Relationship Id="rId2" Type="http://schemas.openxmlformats.org/officeDocument/2006/relationships/hyperlink" Target="https://docs.google.com/spreadsheets/d/1Aj2RniEFYQkoBf-zydxpql51WRScka1F" TargetMode="External"/><Relationship Id="rId1" Type="http://schemas.openxmlformats.org/officeDocument/2006/relationships/hyperlink" Target="https://docs.google.com/spreadsheets/d/1BeNm6rwUECDl_xCkfT-QrfqtrsGk23OR" TargetMode="Externa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6C1C-2C02-4755-A8DC-A6526C5C3C2D}">
  <sheetPr codeName="Sheet3">
    <pageSetUpPr fitToPage="1"/>
  </sheetPr>
  <dimension ref="A2:J19"/>
  <sheetViews>
    <sheetView zoomScaleNormal="100" workbookViewId="0"/>
  </sheetViews>
  <sheetFormatPr defaultColWidth="8.7265625" defaultRowHeight="17.399999999999999"/>
  <cols>
    <col min="1" max="1" width="7.54296875" style="2" bestFit="1" customWidth="1"/>
    <col min="2" max="2" width="9.26953125" style="2" customWidth="1"/>
    <col min="3" max="3" width="13" style="2" customWidth="1"/>
    <col min="4" max="4" width="10.54296875" style="2" customWidth="1"/>
    <col min="5" max="5" width="36.453125" style="2" bestFit="1" customWidth="1"/>
    <col min="6" max="16384" width="8.7265625" style="2"/>
  </cols>
  <sheetData>
    <row r="2" spans="1:10">
      <c r="A2" s="1" t="s">
        <v>0</v>
      </c>
      <c r="C2" s="3"/>
    </row>
    <row r="3" spans="1:10">
      <c r="A3" s="2">
        <f>MAX(ReviseHistory[No.])</f>
        <v>1</v>
      </c>
      <c r="B3" s="4" t="str">
        <f>VLOOKUP($A3,ReviseHistory[],2,FALSE)</f>
        <v>曾進</v>
      </c>
      <c r="C3" s="5">
        <f>MAX(ReviseHistory[Date])</f>
        <v>45818</v>
      </c>
      <c r="D3" s="4" t="str">
        <f>VLOOKUP($A3,ReviseHistory[],4,FALSE)</f>
        <v>Ver 1.0</v>
      </c>
      <c r="E3" s="2" t="str">
        <f>VLOOKUP($A3,ReviseHistory[],5,FALSE)</f>
        <v>初期作成</v>
      </c>
    </row>
    <row r="4" spans="1:10">
      <c r="C4" s="3"/>
      <c r="J4" s="3"/>
    </row>
    <row r="5" spans="1:10">
      <c r="C5" s="3"/>
      <c r="J5" s="3"/>
    </row>
    <row r="6" spans="1:10">
      <c r="A6" s="1" t="s">
        <v>1</v>
      </c>
      <c r="C6" s="3"/>
    </row>
    <row r="7" spans="1:10">
      <c r="A7" s="4" t="s">
        <v>2</v>
      </c>
      <c r="B7" s="4" t="s">
        <v>3</v>
      </c>
      <c r="C7" s="4" t="s">
        <v>4</v>
      </c>
      <c r="D7" s="4" t="s">
        <v>5</v>
      </c>
      <c r="E7" s="4" t="s">
        <v>6</v>
      </c>
    </row>
    <row r="8" spans="1:10">
      <c r="A8" s="6">
        <v>1</v>
      </c>
      <c r="B8" s="7" t="s">
        <v>7</v>
      </c>
      <c r="C8" s="8">
        <v>45818</v>
      </c>
      <c r="D8" s="7" t="s">
        <v>8</v>
      </c>
      <c r="E8" s="14" t="s">
        <v>9</v>
      </c>
    </row>
    <row r="9" spans="1:10">
      <c r="A9" s="6"/>
      <c r="B9" s="7"/>
      <c r="C9" s="8"/>
      <c r="D9" s="7"/>
      <c r="E9" s="14"/>
    </row>
    <row r="10" spans="1:10">
      <c r="A10" s="6"/>
      <c r="B10" s="7"/>
      <c r="C10" s="8"/>
      <c r="D10" s="7"/>
      <c r="E10" s="9"/>
    </row>
    <row r="11" spans="1:10">
      <c r="A11" s="6"/>
      <c r="B11" s="7"/>
      <c r="C11" s="8"/>
      <c r="D11" s="7"/>
      <c r="E11" s="9"/>
    </row>
    <row r="12" spans="1:10">
      <c r="A12" s="6"/>
      <c r="B12" s="7"/>
      <c r="C12" s="8"/>
      <c r="D12" s="7"/>
      <c r="E12" s="9"/>
    </row>
    <row r="13" spans="1:10">
      <c r="A13" s="6"/>
      <c r="B13" s="7"/>
      <c r="C13" s="8"/>
      <c r="D13" s="7"/>
      <c r="E13" s="6"/>
    </row>
    <row r="14" spans="1:10">
      <c r="A14" s="6"/>
      <c r="B14" s="7"/>
      <c r="C14" s="8"/>
      <c r="D14" s="7"/>
      <c r="E14" s="6"/>
    </row>
    <row r="15" spans="1:10">
      <c r="C15" s="5"/>
    </row>
    <row r="16" spans="1:10">
      <c r="C16" s="5"/>
    </row>
    <row r="17" spans="3:3">
      <c r="C17" s="5"/>
    </row>
    <row r="18" spans="3:3">
      <c r="C18" s="5"/>
    </row>
    <row r="19" spans="3:3">
      <c r="C19" s="5"/>
    </row>
  </sheetData>
  <phoneticPr fontId="1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&amp;L&amp;F&amp;C&amp;A&amp;R&amp;D</oddHeader>
    <oddFooter>&amp;C&amp;P/&amp;N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7CF81-F32D-4DE4-9314-6ADA75D7A471}">
  <sheetPr codeName="Sheet1">
    <pageSetUpPr fitToPage="1"/>
  </sheetPr>
  <dimension ref="B2"/>
  <sheetViews>
    <sheetView zoomScale="85" zoomScaleNormal="85" workbookViewId="0"/>
  </sheetViews>
  <sheetFormatPr defaultRowHeight="15"/>
  <cols>
    <col min="6" max="6" width="11.08984375" customWidth="1"/>
    <col min="7" max="7" width="44.08984375" customWidth="1"/>
  </cols>
  <sheetData>
    <row r="2" spans="2:2">
      <c r="B2" t="s">
        <v>50</v>
      </c>
    </row>
  </sheetData>
  <phoneticPr fontId="1"/>
  <pageMargins left="0.7" right="0.7" top="0.75" bottom="0.75" header="0.3" footer="0.3"/>
  <pageSetup paperSize="9" orientation="landscape" r:id="rId1"/>
  <headerFooter>
    <oddHeader>&amp;L&amp;"Meiryo UI,標準"&amp;F&amp;C&amp;"Meiryo UI,標準"&amp;A&amp;R&amp;"Meiryo UI,標準"&amp;D</oddHeader>
    <oddFooter>&amp;C&amp;"Meiryo UI,標準"&amp;P/&amp;N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DO_READ_ALL">
                <anchor moveWithCells="1" sizeWithCells="1">
                  <from>
                    <xdr:col>1</xdr:col>
                    <xdr:colOff>7620</xdr:colOff>
                    <xdr:row>2</xdr:row>
                    <xdr:rowOff>182880</xdr:rowOff>
                  </from>
                  <to>
                    <xdr:col>4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DO_CLEAR_ALL">
                <anchor moveWithCells="1" sizeWithCells="1">
                  <from>
                    <xdr:col>1</xdr:col>
                    <xdr:colOff>15240</xdr:colOff>
                    <xdr:row>6</xdr:row>
                    <xdr:rowOff>7620</xdr:rowOff>
                  </from>
                  <to>
                    <xdr:col>4</xdr:col>
                    <xdr:colOff>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DO_OUTPUT">
                <anchor moveWithCells="1" sizeWithCells="1">
                  <from>
                    <xdr:col>1</xdr:col>
                    <xdr:colOff>15240</xdr:colOff>
                    <xdr:row>10</xdr:row>
                    <xdr:rowOff>7620</xdr:rowOff>
                  </from>
                  <to>
                    <xdr:col>4</xdr:col>
                    <xdr:colOff>0</xdr:colOff>
                    <xdr:row>11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CA4C9-63CC-4CE0-AB85-26C1B81017D7}">
  <sheetPr codeName="Sheet4"/>
  <dimension ref="A1:A17"/>
  <sheetViews>
    <sheetView workbookViewId="0">
      <pane ySplit="1" topLeftCell="A2" activePane="bottomLeft" state="frozen"/>
      <selection activeCell="B26" sqref="B26:G42"/>
      <selection pane="bottomLeft"/>
    </sheetView>
  </sheetViews>
  <sheetFormatPr defaultRowHeight="15"/>
  <cols>
    <col min="1" max="1" width="22.81640625" customWidth="1"/>
  </cols>
  <sheetData>
    <row r="1" spans="1:1">
      <c r="A1" s="10" t="s">
        <v>10</v>
      </c>
    </row>
    <row r="2" spans="1:1">
      <c r="A2" s="11"/>
    </row>
    <row r="3" spans="1:1">
      <c r="A3" s="11"/>
    </row>
    <row r="4" spans="1:1">
      <c r="A4" s="11"/>
    </row>
    <row r="5" spans="1:1">
      <c r="A5" s="11"/>
    </row>
    <row r="6" spans="1:1">
      <c r="A6" s="11"/>
    </row>
    <row r="7" spans="1:1">
      <c r="A7" s="11"/>
    </row>
    <row r="8" spans="1:1">
      <c r="A8" s="11"/>
    </row>
    <row r="9" spans="1:1">
      <c r="A9" s="11"/>
    </row>
    <row r="10" spans="1:1">
      <c r="A10" s="11"/>
    </row>
    <row r="11" spans="1:1">
      <c r="A11" s="11"/>
    </row>
    <row r="12" spans="1:1">
      <c r="A12" s="11"/>
    </row>
    <row r="13" spans="1:1">
      <c r="A13" s="11"/>
    </row>
    <row r="14" spans="1:1">
      <c r="A14" s="11"/>
    </row>
    <row r="15" spans="1:1">
      <c r="A15" s="11"/>
    </row>
    <row r="16" spans="1:1">
      <c r="A16" s="11"/>
    </row>
    <row r="17" spans="1:1">
      <c r="A17" s="1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6787-9164-43FE-A977-1816D70DB974}">
  <sheetPr codeName="Sheet10"/>
  <dimension ref="A1:A21"/>
  <sheetViews>
    <sheetView workbookViewId="0">
      <pane ySplit="1" topLeftCell="A2" activePane="bottomLeft" state="frozen"/>
      <selection activeCell="B26" sqref="B26:G42"/>
      <selection pane="bottomLeft"/>
    </sheetView>
  </sheetViews>
  <sheetFormatPr defaultRowHeight="15"/>
  <cols>
    <col min="1" max="1" width="22.81640625" customWidth="1"/>
  </cols>
  <sheetData>
    <row r="1" spans="1:1">
      <c r="A1" s="12" t="s">
        <v>11</v>
      </c>
    </row>
    <row r="2" spans="1:1">
      <c r="A2" s="11"/>
    </row>
    <row r="3" spans="1:1">
      <c r="A3" s="11"/>
    </row>
    <row r="4" spans="1:1">
      <c r="A4" s="11"/>
    </row>
    <row r="5" spans="1:1">
      <c r="A5" s="11"/>
    </row>
    <row r="6" spans="1:1">
      <c r="A6" s="11"/>
    </row>
    <row r="7" spans="1:1">
      <c r="A7" s="11"/>
    </row>
    <row r="8" spans="1:1">
      <c r="A8" s="11"/>
    </row>
    <row r="9" spans="1:1">
      <c r="A9" s="11"/>
    </row>
    <row r="10" spans="1:1">
      <c r="A10" s="11"/>
    </row>
    <row r="11" spans="1:1">
      <c r="A11" s="11"/>
    </row>
    <row r="12" spans="1:1">
      <c r="A12" s="11"/>
    </row>
    <row r="13" spans="1:1">
      <c r="A13" s="11"/>
    </row>
    <row r="14" spans="1:1">
      <c r="A14" s="11"/>
    </row>
    <row r="15" spans="1:1">
      <c r="A15" s="11"/>
    </row>
    <row r="16" spans="1:1">
      <c r="A16" s="11"/>
    </row>
    <row r="17" spans="1:1">
      <c r="A17" s="11"/>
    </row>
    <row r="18" spans="1:1">
      <c r="A18" s="11"/>
    </row>
    <row r="19" spans="1:1">
      <c r="A19" s="11"/>
    </row>
    <row r="20" spans="1:1">
      <c r="A20" s="11"/>
    </row>
    <row r="21" spans="1:1">
      <c r="A21" s="1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203A3-3136-4345-98DD-3838DE43A727}">
  <sheetPr codeName="Sheet11"/>
  <dimension ref="A1:A21"/>
  <sheetViews>
    <sheetView workbookViewId="0">
      <pane ySplit="1" topLeftCell="A2" activePane="bottomLeft" state="frozen"/>
      <selection activeCell="B26" sqref="B26:G42"/>
      <selection pane="bottomLeft"/>
    </sheetView>
  </sheetViews>
  <sheetFormatPr defaultRowHeight="15"/>
  <cols>
    <col min="1" max="1" width="22.81640625" customWidth="1"/>
  </cols>
  <sheetData>
    <row r="1" spans="1:1">
      <c r="A1" s="12" t="s">
        <v>11</v>
      </c>
    </row>
    <row r="2" spans="1:1">
      <c r="A2" s="11"/>
    </row>
    <row r="3" spans="1:1">
      <c r="A3" s="11"/>
    </row>
    <row r="4" spans="1:1">
      <c r="A4" s="11"/>
    </row>
    <row r="5" spans="1:1">
      <c r="A5" s="11"/>
    </row>
    <row r="6" spans="1:1">
      <c r="A6" s="11"/>
    </row>
    <row r="7" spans="1:1">
      <c r="A7" s="11"/>
    </row>
    <row r="8" spans="1:1">
      <c r="A8" s="11"/>
    </row>
    <row r="9" spans="1:1">
      <c r="A9" s="11"/>
    </row>
    <row r="10" spans="1:1">
      <c r="A10" s="11"/>
    </row>
    <row r="11" spans="1:1">
      <c r="A11" s="11"/>
    </row>
    <row r="12" spans="1:1">
      <c r="A12" s="11"/>
    </row>
    <row r="13" spans="1:1">
      <c r="A13" s="11"/>
    </row>
    <row r="14" spans="1:1">
      <c r="A14" s="11"/>
    </row>
    <row r="15" spans="1:1">
      <c r="A15" s="11"/>
    </row>
    <row r="16" spans="1:1">
      <c r="A16" s="11"/>
    </row>
    <row r="17" spans="1:1">
      <c r="A17" s="11"/>
    </row>
    <row r="18" spans="1:1">
      <c r="A18" s="11"/>
    </row>
    <row r="19" spans="1:1">
      <c r="A19" s="11"/>
    </row>
    <row r="20" spans="1:1">
      <c r="A20" s="11"/>
    </row>
    <row r="21" spans="1:1">
      <c r="A21" s="1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EB517-1C55-4BA0-87C0-336466C3C0CD}">
  <sheetPr codeName="Sheet2">
    <pageSetUpPr fitToPage="1"/>
  </sheetPr>
  <dimension ref="B4:O43"/>
  <sheetViews>
    <sheetView zoomScale="90" zoomScaleNormal="90" workbookViewId="0"/>
  </sheetViews>
  <sheetFormatPr defaultRowHeight="15"/>
  <cols>
    <col min="1" max="1" width="2.6328125" customWidth="1"/>
    <col min="2" max="3" width="9.1796875" customWidth="1"/>
    <col min="15" max="15" width="2.6328125" customWidth="1"/>
  </cols>
  <sheetData>
    <row r="4" spans="2:14">
      <c r="B4" s="15" t="s">
        <v>12</v>
      </c>
      <c r="C4" s="16">
        <f ca="1">TODAY()</f>
        <v>46175</v>
      </c>
      <c r="E4" s="15" t="s">
        <v>13</v>
      </c>
      <c r="F4" s="16" t="s">
        <v>60</v>
      </c>
      <c r="H4" s="15" t="s">
        <v>14</v>
      </c>
      <c r="I4" s="16" t="s">
        <v>15</v>
      </c>
    </row>
    <row r="6" spans="2:14">
      <c r="B6" s="35" t="s">
        <v>16</v>
      </c>
    </row>
    <row r="7" spans="2:14">
      <c r="B7" s="93" t="str" cm="1">
        <f t="array" aca="1" ref="B7" ca="1">Join_Between_Sheets("From","To","B7")</f>
        <v xml:space="preserve">■チーム別
********共通チーム********
＜進捗状況＞
■製造（PG対応、ソースレビュー）
　予定通り
■試験表作成（単体テスト仕様書作成＆レビュー）
   予定通り
■試験（単体テスト＆エビデンスレビュー）
    予定通り
********EIKOH********
■製造（PG対応、ソースレビュー）
　予定通り
■試験表作成（単体テスト仕様書作成＆レビュー）
　予定通り
■試験（単体テスト＆エビデンスレビュー）
　単体テスト：予定通り
　エビデンスレビュー：予定通り
********SEDDA********
■製造（PG対応、ソースレビュー）
　　予定通り(外部＆内部)
■試験表作成（単体テスト仕様書作成＆レビュー）
　　予定通り(外部＆内部)
■試験（単体テスト＆エビデンスレビュー）
　　予定通り(外部＆内部)
********OASYS********
■製造（PG対応、ソースレビュー）
　予定通り
■試験表作成（単体テスト仕様書作成＆レビュー）
　予定通り
■試験（単体テスト＆エビデンスレビュー）
　予定通り
********TOYODATA********
■製造（PG対応、ソースレビュー）
　予定通り
■試験表作成（単体テスト仕様書作成＆レビュー）
　予定通り
■試験（単体テスト＆エビデンスレビュー）
　予定通り
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5"/>
    </row>
    <row r="8" spans="2:14">
      <c r="B8" s="96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</row>
    <row r="9" spans="2:14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8"/>
    </row>
    <row r="10" spans="2:14"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</row>
    <row r="11" spans="2:14" ht="133.5" customHeight="1">
      <c r="B11" s="99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1"/>
    </row>
    <row r="12" spans="2:14">
      <c r="B12" s="15"/>
      <c r="E12" s="13" t="s">
        <v>17</v>
      </c>
      <c r="F12" s="13" t="s">
        <v>18</v>
      </c>
      <c r="G12" s="13" t="s">
        <v>19</v>
      </c>
      <c r="H12" s="13" t="s">
        <v>20</v>
      </c>
      <c r="I12" s="13" t="s">
        <v>21</v>
      </c>
      <c r="J12" s="13" t="s">
        <v>22</v>
      </c>
      <c r="K12" s="13" t="s">
        <v>23</v>
      </c>
      <c r="L12" s="13" t="s">
        <v>24</v>
      </c>
      <c r="M12" s="13" t="s">
        <v>25</v>
      </c>
      <c r="N12" s="13" t="s">
        <v>26</v>
      </c>
    </row>
    <row r="13" spans="2:14">
      <c r="B13" s="17" t="s">
        <v>27</v>
      </c>
      <c r="C13" s="18"/>
      <c r="D13" s="19"/>
      <c r="E13" s="20" t="s">
        <v>28</v>
      </c>
      <c r="F13" s="21" t="s">
        <v>29</v>
      </c>
      <c r="G13" s="21" t="s">
        <v>30</v>
      </c>
      <c r="H13" s="21" t="s">
        <v>31</v>
      </c>
      <c r="I13" s="21" t="s">
        <v>32</v>
      </c>
      <c r="J13" s="21" t="s">
        <v>33</v>
      </c>
      <c r="K13" s="21" t="s">
        <v>34</v>
      </c>
      <c r="L13" s="21" t="s">
        <v>31</v>
      </c>
      <c r="M13" s="21" t="s">
        <v>32</v>
      </c>
      <c r="N13" s="21" t="s">
        <v>35</v>
      </c>
    </row>
    <row r="14" spans="2:14">
      <c r="B14" s="22" t="s">
        <v>36</v>
      </c>
      <c r="C14" s="23"/>
      <c r="D14" s="24"/>
      <c r="E14" s="25">
        <f>SUM(From:To!E14)</f>
        <v>670</v>
      </c>
      <c r="F14" s="26">
        <f>SUM(From:To!F14)</f>
        <v>670</v>
      </c>
      <c r="G14" s="26">
        <f>SUM(From:To!G14)</f>
        <v>670</v>
      </c>
      <c r="H14" s="27">
        <f t="shared" ref="H14:H19" si="0">G14-F14</f>
        <v>0</v>
      </c>
      <c r="I14" s="28">
        <f t="shared" ref="I14:I19" si="1">G14/F14</f>
        <v>1</v>
      </c>
      <c r="J14" s="26">
        <v>98</v>
      </c>
      <c r="K14" s="26">
        <v>101</v>
      </c>
      <c r="L14" s="27">
        <f t="shared" ref="L14:L19" si="2">K14-J14</f>
        <v>3</v>
      </c>
      <c r="M14" s="28">
        <f t="shared" ref="M14:M19" si="3">K14/J14</f>
        <v>1.0306122448979591</v>
      </c>
      <c r="N14" s="28">
        <f t="shared" ref="N14:N19" si="4">K14/E14</f>
        <v>0.15074626865671642</v>
      </c>
    </row>
    <row r="15" spans="2:14">
      <c r="B15" s="22" t="s">
        <v>37</v>
      </c>
      <c r="C15" s="23"/>
      <c r="D15" s="24"/>
      <c r="E15" s="25">
        <f>SUM(From:To!E15)</f>
        <v>670</v>
      </c>
      <c r="F15" s="26">
        <f>SUM(From:To!F15)</f>
        <v>670</v>
      </c>
      <c r="G15" s="26">
        <f>SUM(From:To!G15)</f>
        <v>670</v>
      </c>
      <c r="H15" s="27">
        <f t="shared" si="0"/>
        <v>0</v>
      </c>
      <c r="I15" s="28">
        <f t="shared" si="1"/>
        <v>1</v>
      </c>
      <c r="J15" s="26">
        <v>93</v>
      </c>
      <c r="K15" s="26">
        <v>93</v>
      </c>
      <c r="L15" s="27">
        <f t="shared" si="2"/>
        <v>0</v>
      </c>
      <c r="M15" s="28">
        <f t="shared" si="3"/>
        <v>1</v>
      </c>
      <c r="N15" s="28">
        <f t="shared" si="4"/>
        <v>0.13880597014925372</v>
      </c>
    </row>
    <row r="16" spans="2:14">
      <c r="B16" s="22" t="s">
        <v>38</v>
      </c>
      <c r="C16" s="23"/>
      <c r="D16" s="24"/>
      <c r="E16" s="25">
        <f>SUM(From:To!E16)</f>
        <v>637</v>
      </c>
      <c r="F16" s="26">
        <f>SUM(From:To!F16)</f>
        <v>637</v>
      </c>
      <c r="G16" s="26">
        <f>SUM(From:To!G16)</f>
        <v>637</v>
      </c>
      <c r="H16" s="27">
        <f t="shared" si="0"/>
        <v>0</v>
      </c>
      <c r="I16" s="28">
        <f t="shared" si="1"/>
        <v>1</v>
      </c>
      <c r="J16" s="26">
        <v>64</v>
      </c>
      <c r="K16" s="26">
        <v>77</v>
      </c>
      <c r="L16" s="27">
        <f t="shared" si="2"/>
        <v>13</v>
      </c>
      <c r="M16" s="28">
        <f t="shared" si="3"/>
        <v>1.203125</v>
      </c>
      <c r="N16" s="28">
        <f t="shared" si="4"/>
        <v>0.12087912087912088</v>
      </c>
    </row>
    <row r="17" spans="2:14">
      <c r="B17" s="22" t="s">
        <v>39</v>
      </c>
      <c r="C17" s="23"/>
      <c r="D17" s="24"/>
      <c r="E17" s="25">
        <f>SUM(From:To!E17)</f>
        <v>637</v>
      </c>
      <c r="F17" s="26">
        <f>SUM(From:To!F17)</f>
        <v>637</v>
      </c>
      <c r="G17" s="26">
        <f>SUM(From:To!G17)</f>
        <v>637</v>
      </c>
      <c r="H17" s="27">
        <f t="shared" si="0"/>
        <v>0</v>
      </c>
      <c r="I17" s="28">
        <f t="shared" si="1"/>
        <v>1</v>
      </c>
      <c r="J17" s="26">
        <v>64</v>
      </c>
      <c r="K17" s="26">
        <v>74</v>
      </c>
      <c r="L17" s="27">
        <f t="shared" si="2"/>
        <v>10</v>
      </c>
      <c r="M17" s="28">
        <f t="shared" si="3"/>
        <v>1.15625</v>
      </c>
      <c r="N17" s="28">
        <f t="shared" si="4"/>
        <v>0.11616954474097331</v>
      </c>
    </row>
    <row r="18" spans="2:14">
      <c r="B18" s="22" t="s">
        <v>40</v>
      </c>
      <c r="C18" s="23"/>
      <c r="D18" s="24"/>
      <c r="E18" s="25">
        <f>SUM(From:To!E18)</f>
        <v>637</v>
      </c>
      <c r="F18" s="26">
        <f>SUM(From:To!F18)</f>
        <v>637</v>
      </c>
      <c r="G18" s="26">
        <f>SUM(From:To!G18)</f>
        <v>637</v>
      </c>
      <c r="H18" s="27">
        <f t="shared" si="0"/>
        <v>0</v>
      </c>
      <c r="I18" s="28">
        <f t="shared" si="1"/>
        <v>1</v>
      </c>
      <c r="J18" s="26">
        <v>25</v>
      </c>
      <c r="K18" s="26">
        <v>24</v>
      </c>
      <c r="L18" s="27">
        <f t="shared" si="2"/>
        <v>-1</v>
      </c>
      <c r="M18" s="28">
        <f t="shared" si="3"/>
        <v>0.96</v>
      </c>
      <c r="N18" s="28">
        <f t="shared" si="4"/>
        <v>3.7676609105180531E-2</v>
      </c>
    </row>
    <row r="19" spans="2:14">
      <c r="B19" s="22" t="s">
        <v>41</v>
      </c>
      <c r="C19" s="23"/>
      <c r="D19" s="24"/>
      <c r="E19" s="25">
        <f>SUM(From:To!E19)</f>
        <v>637</v>
      </c>
      <c r="F19" s="26">
        <f>SUM(From:To!F19)</f>
        <v>637</v>
      </c>
      <c r="G19" s="26">
        <f>SUM(From:To!G19)</f>
        <v>637</v>
      </c>
      <c r="H19" s="27">
        <f t="shared" si="0"/>
        <v>0</v>
      </c>
      <c r="I19" s="28">
        <f t="shared" si="1"/>
        <v>1</v>
      </c>
      <c r="J19" s="26">
        <v>20</v>
      </c>
      <c r="K19" s="26">
        <v>16</v>
      </c>
      <c r="L19" s="27">
        <f t="shared" si="2"/>
        <v>-4</v>
      </c>
      <c r="M19" s="28">
        <f t="shared" si="3"/>
        <v>0.8</v>
      </c>
      <c r="N19" s="28">
        <f t="shared" si="4"/>
        <v>2.5117739403453691E-2</v>
      </c>
    </row>
    <row r="21" spans="2:14">
      <c r="B21" s="35" t="s">
        <v>42</v>
      </c>
      <c r="H21" s="35" t="s">
        <v>68</v>
      </c>
      <c r="I21" s="30" t="s">
        <v>51</v>
      </c>
      <c r="J21" s="30" t="s">
        <v>52</v>
      </c>
      <c r="K21" s="30" t="s">
        <v>53</v>
      </c>
      <c r="L21" s="30" t="s">
        <v>61</v>
      </c>
      <c r="M21" s="30" t="s">
        <v>54</v>
      </c>
      <c r="N21" s="30" t="s">
        <v>62</v>
      </c>
    </row>
    <row r="22" spans="2:14">
      <c r="C22" s="21" t="s">
        <v>43</v>
      </c>
      <c r="D22" s="21" t="s">
        <v>44</v>
      </c>
      <c r="E22" s="21" t="s">
        <v>45</v>
      </c>
      <c r="F22" s="21" t="s">
        <v>46</v>
      </c>
      <c r="I22" s="29" t="s">
        <v>69</v>
      </c>
      <c r="J22" s="29" t="s">
        <v>63</v>
      </c>
      <c r="K22" s="36" t="s">
        <v>64</v>
      </c>
      <c r="L22" s="29" t="s">
        <v>65</v>
      </c>
      <c r="M22" s="29" t="s">
        <v>66</v>
      </c>
      <c r="N22" s="29" t="s">
        <v>67</v>
      </c>
    </row>
    <row r="23" spans="2:14">
      <c r="C23" s="33">
        <v>112</v>
      </c>
      <c r="D23" s="34">
        <v>89</v>
      </c>
      <c r="E23" s="34">
        <v>1</v>
      </c>
      <c r="F23" s="33">
        <v>23</v>
      </c>
      <c r="I23" s="31">
        <v>8633</v>
      </c>
      <c r="J23" s="31">
        <v>8358</v>
      </c>
      <c r="K23" s="31">
        <v>50</v>
      </c>
      <c r="L23" s="32">
        <v>0.97393721765319119</v>
      </c>
      <c r="M23" s="31">
        <v>42</v>
      </c>
      <c r="N23" s="31">
        <v>8</v>
      </c>
    </row>
    <row r="25" spans="2:14">
      <c r="B25" s="15" t="s">
        <v>47</v>
      </c>
      <c r="I25" s="15" t="s">
        <v>48</v>
      </c>
    </row>
    <row r="26" spans="2:14">
      <c r="B26" s="111" t="str" cm="1">
        <f t="array" aca="1" ref="B26" ca="1">Join_Between_Sheets("From","To","B26")</f>
        <v>■チーム別
********共通チーム********
********EIKOH********
R_書類管理
********SEDDA********
R_書類管理
********OASYS********
R_書類管理
********TOYODATA********
R_書類管理</v>
      </c>
      <c r="C26" s="112"/>
      <c r="D26" s="112"/>
      <c r="E26" s="112"/>
      <c r="F26" s="112"/>
      <c r="G26" s="113"/>
      <c r="I26" s="111" t="str" cm="1">
        <f t="array" aca="1" ref="I26" ca="1">Join_Between_Sheets("From","To","I26")</f>
        <v xml:space="preserve">■チーム別
********共通チーム********
********EIKOH********
********SEDDA********
********OASYS********
********TOYODATA********
</v>
      </c>
      <c r="J26" s="112"/>
      <c r="K26" s="112"/>
      <c r="L26" s="112"/>
      <c r="M26" s="112"/>
      <c r="N26" s="113"/>
    </row>
    <row r="27" spans="2:14">
      <c r="B27" s="114"/>
      <c r="C27" s="115"/>
      <c r="D27" s="115"/>
      <c r="E27" s="115"/>
      <c r="F27" s="115"/>
      <c r="G27" s="116"/>
      <c r="I27" s="114"/>
      <c r="J27" s="115"/>
      <c r="K27" s="115"/>
      <c r="L27" s="115"/>
      <c r="M27" s="115"/>
      <c r="N27" s="116"/>
    </row>
    <row r="28" spans="2:14">
      <c r="B28" s="114"/>
      <c r="C28" s="115"/>
      <c r="D28" s="115"/>
      <c r="E28" s="115"/>
      <c r="F28" s="115"/>
      <c r="G28" s="116"/>
      <c r="I28" s="114"/>
      <c r="J28" s="115"/>
      <c r="K28" s="115"/>
      <c r="L28" s="115"/>
      <c r="M28" s="115"/>
      <c r="N28" s="116"/>
    </row>
    <row r="29" spans="2:14">
      <c r="B29" s="114"/>
      <c r="C29" s="115"/>
      <c r="D29" s="115"/>
      <c r="E29" s="115"/>
      <c r="F29" s="115"/>
      <c r="G29" s="116"/>
      <c r="I29" s="114"/>
      <c r="J29" s="115"/>
      <c r="K29" s="115"/>
      <c r="L29" s="115"/>
      <c r="M29" s="115"/>
      <c r="N29" s="116"/>
    </row>
    <row r="30" spans="2:14">
      <c r="B30" s="114"/>
      <c r="C30" s="115"/>
      <c r="D30" s="115"/>
      <c r="E30" s="115"/>
      <c r="F30" s="115"/>
      <c r="G30" s="116"/>
      <c r="I30" s="114"/>
      <c r="J30" s="115"/>
      <c r="K30" s="115"/>
      <c r="L30" s="115"/>
      <c r="M30" s="115"/>
      <c r="N30" s="116"/>
    </row>
    <row r="31" spans="2:14">
      <c r="B31" s="114"/>
      <c r="C31" s="115"/>
      <c r="D31" s="115"/>
      <c r="E31" s="115"/>
      <c r="F31" s="115"/>
      <c r="G31" s="116"/>
      <c r="I31" s="114"/>
      <c r="J31" s="115"/>
      <c r="K31" s="115"/>
      <c r="L31" s="115"/>
      <c r="M31" s="115"/>
      <c r="N31" s="116"/>
    </row>
    <row r="32" spans="2:14">
      <c r="B32" s="114"/>
      <c r="C32" s="115"/>
      <c r="D32" s="115"/>
      <c r="E32" s="115"/>
      <c r="F32" s="115"/>
      <c r="G32" s="116"/>
      <c r="I32" s="114"/>
      <c r="J32" s="115"/>
      <c r="K32" s="115"/>
      <c r="L32" s="115"/>
      <c r="M32" s="115"/>
      <c r="N32" s="116"/>
    </row>
    <row r="33" spans="2:15">
      <c r="B33" s="114"/>
      <c r="C33" s="115"/>
      <c r="D33" s="115"/>
      <c r="E33" s="115"/>
      <c r="F33" s="115"/>
      <c r="G33" s="116"/>
      <c r="I33" s="114"/>
      <c r="J33" s="115"/>
      <c r="K33" s="115"/>
      <c r="L33" s="115"/>
      <c r="M33" s="115"/>
      <c r="N33" s="116"/>
    </row>
    <row r="34" spans="2:15">
      <c r="B34" s="114"/>
      <c r="C34" s="115"/>
      <c r="D34" s="115"/>
      <c r="E34" s="115"/>
      <c r="F34" s="115"/>
      <c r="G34" s="116"/>
      <c r="I34" s="114"/>
      <c r="J34" s="115"/>
      <c r="K34" s="115"/>
      <c r="L34" s="115"/>
      <c r="M34" s="115"/>
      <c r="N34" s="116"/>
    </row>
    <row r="35" spans="2:15">
      <c r="B35" s="114"/>
      <c r="C35" s="115"/>
      <c r="D35" s="115"/>
      <c r="E35" s="115"/>
      <c r="F35" s="115"/>
      <c r="G35" s="116"/>
      <c r="I35" s="114"/>
      <c r="J35" s="115"/>
      <c r="K35" s="115"/>
      <c r="L35" s="115"/>
      <c r="M35" s="115"/>
      <c r="N35" s="116"/>
    </row>
    <row r="36" spans="2:15">
      <c r="B36" s="114"/>
      <c r="C36" s="115"/>
      <c r="D36" s="115"/>
      <c r="E36" s="115"/>
      <c r="F36" s="115"/>
      <c r="G36" s="116"/>
      <c r="I36" s="114"/>
      <c r="J36" s="115"/>
      <c r="K36" s="115"/>
      <c r="L36" s="115"/>
      <c r="M36" s="115"/>
      <c r="N36" s="116"/>
    </row>
    <row r="37" spans="2:15">
      <c r="B37" s="114"/>
      <c r="C37" s="115"/>
      <c r="D37" s="115"/>
      <c r="E37" s="115"/>
      <c r="F37" s="115"/>
      <c r="G37" s="116"/>
      <c r="I37" s="114"/>
      <c r="J37" s="115"/>
      <c r="K37" s="115"/>
      <c r="L37" s="115"/>
      <c r="M37" s="115"/>
      <c r="N37" s="116"/>
    </row>
    <row r="38" spans="2:15">
      <c r="B38" s="114"/>
      <c r="C38" s="115"/>
      <c r="D38" s="115"/>
      <c r="E38" s="115"/>
      <c r="F38" s="115"/>
      <c r="G38" s="116"/>
      <c r="I38" s="114"/>
      <c r="J38" s="115"/>
      <c r="K38" s="115"/>
      <c r="L38" s="115"/>
      <c r="M38" s="115"/>
      <c r="N38" s="116"/>
    </row>
    <row r="39" spans="2:15">
      <c r="B39" s="114"/>
      <c r="C39" s="115"/>
      <c r="D39" s="115"/>
      <c r="E39" s="115"/>
      <c r="F39" s="115"/>
      <c r="G39" s="116"/>
      <c r="I39" s="114"/>
      <c r="J39" s="115"/>
      <c r="K39" s="115"/>
      <c r="L39" s="115"/>
      <c r="M39" s="115"/>
      <c r="N39" s="116"/>
    </row>
    <row r="40" spans="2:15">
      <c r="B40" s="114"/>
      <c r="C40" s="115"/>
      <c r="D40" s="115"/>
      <c r="E40" s="115"/>
      <c r="F40" s="115"/>
      <c r="G40" s="116"/>
      <c r="I40" s="114"/>
      <c r="J40" s="115"/>
      <c r="K40" s="115"/>
      <c r="L40" s="115"/>
      <c r="M40" s="115"/>
      <c r="N40" s="116"/>
    </row>
    <row r="41" spans="2:15">
      <c r="B41" s="114"/>
      <c r="C41" s="115"/>
      <c r="D41" s="115"/>
      <c r="E41" s="115"/>
      <c r="F41" s="115"/>
      <c r="G41" s="116"/>
      <c r="I41" s="114"/>
      <c r="J41" s="115"/>
      <c r="K41" s="115"/>
      <c r="L41" s="115"/>
      <c r="M41" s="115"/>
      <c r="N41" s="116"/>
    </row>
    <row r="42" spans="2:15">
      <c r="B42" s="117"/>
      <c r="C42" s="118"/>
      <c r="D42" s="118"/>
      <c r="E42" s="118"/>
      <c r="F42" s="118"/>
      <c r="G42" s="119"/>
      <c r="I42" s="117"/>
      <c r="J42" s="118"/>
      <c r="K42" s="118"/>
      <c r="L42" s="118"/>
      <c r="M42" s="118"/>
      <c r="N42" s="119"/>
    </row>
    <row r="43" spans="2:15">
      <c r="N43" s="13" t="s">
        <v>49</v>
      </c>
      <c r="O43" s="13"/>
    </row>
  </sheetData>
  <mergeCells count="3">
    <mergeCell ref="B7:N11"/>
    <mergeCell ref="B26:G42"/>
    <mergeCell ref="I26:N42"/>
  </mergeCells>
  <phoneticPr fontId="1"/>
  <hyperlinks>
    <hyperlink ref="H21" r:id="rId1" xr:uid="{FCEAC81C-0129-4ACA-A3BE-59894A5A3030}"/>
    <hyperlink ref="B21" r:id="rId2" xr:uid="{4EDCCB9F-CE93-424D-A23D-B031D0237E08}"/>
    <hyperlink ref="B6" r:id="rId3" xr:uid="{6B6A531C-DD18-4AF8-ABA0-76C2554BB177}"/>
    <hyperlink ref="K22" r:id="rId4" xr:uid="{B3E4671D-D6D8-4EB8-A403-C84F4A52FE50}"/>
  </hyperlink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72" orientation="landscape" r:id="rId5"/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F9EC6-B40F-4605-BFD7-7D7413E5EDC9}">
  <sheetPr codeName="Sheet5">
    <tabColor rgb="FFFFFF00"/>
  </sheetPr>
  <dimension ref="A1"/>
  <sheetViews>
    <sheetView workbookViewId="0"/>
  </sheetViews>
  <sheetFormatPr defaultRowHeight="1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89A7A-5875-4C30-9708-391415A0B045}">
  <sheetPr>
    <pageSetUpPr fitToPage="1"/>
  </sheetPr>
  <dimension ref="B4:O70"/>
  <sheetViews>
    <sheetView topLeftCell="A45" zoomScaleNormal="100" workbookViewId="0"/>
  </sheetViews>
  <sheetFormatPr defaultColWidth="8.90625" defaultRowHeight="15"/>
  <cols>
    <col min="1" max="1" width="2.6328125" style="69" customWidth="1"/>
    <col min="2" max="14" width="9.1796875" style="69" customWidth="1"/>
    <col min="15" max="15" width="2.6328125" style="69" customWidth="1"/>
    <col min="16" max="16384" width="8.90625" style="69"/>
  </cols>
  <sheetData>
    <row r="4" spans="2:14">
      <c r="B4" s="15" t="s">
        <v>12</v>
      </c>
      <c r="C4" s="68">
        <v>46175</v>
      </c>
      <c r="E4" s="15" t="s">
        <v>13</v>
      </c>
      <c r="F4" s="68" t="s">
        <v>104</v>
      </c>
      <c r="H4" s="15" t="s">
        <v>14</v>
      </c>
      <c r="I4" s="68" t="s">
        <v>105</v>
      </c>
    </row>
    <row r="6" spans="2:14">
      <c r="B6" s="15" t="s">
        <v>16</v>
      </c>
    </row>
    <row r="7" spans="2:14" ht="41.1" customHeight="1">
      <c r="B7" s="93" t="s">
        <v>98</v>
      </c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1"/>
    </row>
    <row r="8" spans="2:14" ht="41.1" customHeight="1">
      <c r="B8" s="122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4"/>
    </row>
    <row r="9" spans="2:14" ht="14.25" customHeight="1">
      <c r="B9" s="122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4"/>
    </row>
    <row r="10" spans="2:14" ht="11.25" customHeight="1">
      <c r="B10" s="122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4"/>
    </row>
    <row r="11" spans="2:14" ht="21.75" customHeight="1">
      <c r="B11" s="125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7"/>
    </row>
    <row r="12" spans="2:14">
      <c r="B12" s="15"/>
      <c r="E12" s="70" t="s">
        <v>17</v>
      </c>
      <c r="F12" s="70" t="s">
        <v>18</v>
      </c>
      <c r="G12" s="70" t="s">
        <v>19</v>
      </c>
      <c r="H12" s="70" t="s">
        <v>20</v>
      </c>
      <c r="I12" s="70" t="s">
        <v>21</v>
      </c>
      <c r="J12" s="70" t="s">
        <v>22</v>
      </c>
      <c r="K12" s="70" t="s">
        <v>23</v>
      </c>
      <c r="L12" s="70" t="s">
        <v>24</v>
      </c>
      <c r="M12" s="70" t="s">
        <v>25</v>
      </c>
      <c r="N12" s="70" t="s">
        <v>26</v>
      </c>
    </row>
    <row r="13" spans="2:14">
      <c r="B13" s="61" t="s">
        <v>27</v>
      </c>
      <c r="C13" s="62"/>
      <c r="D13" s="63"/>
      <c r="E13" s="20" t="s">
        <v>28</v>
      </c>
      <c r="F13" s="21" t="s">
        <v>29</v>
      </c>
      <c r="G13" s="21" t="s">
        <v>30</v>
      </c>
      <c r="H13" s="21" t="s">
        <v>31</v>
      </c>
      <c r="I13" s="21" t="s">
        <v>32</v>
      </c>
      <c r="J13" s="21" t="s">
        <v>33</v>
      </c>
      <c r="K13" s="21" t="s">
        <v>34</v>
      </c>
      <c r="L13" s="21" t="s">
        <v>31</v>
      </c>
      <c r="M13" s="21" t="s">
        <v>32</v>
      </c>
      <c r="N13" s="21" t="s">
        <v>35</v>
      </c>
    </row>
    <row r="14" spans="2:14">
      <c r="B14" s="22" t="s">
        <v>36</v>
      </c>
      <c r="C14" s="23"/>
      <c r="D14" s="71"/>
      <c r="E14" s="64">
        <v>159</v>
      </c>
      <c r="F14" s="65">
        <v>159</v>
      </c>
      <c r="G14" s="65">
        <v>159</v>
      </c>
      <c r="H14" s="72">
        <v>0</v>
      </c>
      <c r="I14" s="73">
        <v>1</v>
      </c>
      <c r="J14" s="45">
        <v>159</v>
      </c>
      <c r="K14" s="45">
        <v>159</v>
      </c>
      <c r="L14" s="72">
        <v>0</v>
      </c>
      <c r="M14" s="73">
        <v>1</v>
      </c>
      <c r="N14" s="73">
        <v>1</v>
      </c>
    </row>
    <row r="15" spans="2:14">
      <c r="B15" s="22" t="s">
        <v>37</v>
      </c>
      <c r="C15" s="23"/>
      <c r="D15" s="71"/>
      <c r="E15" s="64">
        <v>154</v>
      </c>
      <c r="F15" s="65">
        <v>154</v>
      </c>
      <c r="G15" s="65">
        <v>154</v>
      </c>
      <c r="H15" s="72">
        <v>0</v>
      </c>
      <c r="I15" s="73">
        <v>1</v>
      </c>
      <c r="J15" s="45">
        <v>154</v>
      </c>
      <c r="K15" s="45">
        <v>154</v>
      </c>
      <c r="L15" s="72">
        <v>0</v>
      </c>
      <c r="M15" s="73">
        <v>1</v>
      </c>
      <c r="N15" s="73">
        <v>1</v>
      </c>
    </row>
    <row r="16" spans="2:14">
      <c r="B16" s="22" t="s">
        <v>38</v>
      </c>
      <c r="C16" s="23"/>
      <c r="D16" s="71"/>
      <c r="E16" s="64">
        <v>126</v>
      </c>
      <c r="F16" s="65">
        <v>126</v>
      </c>
      <c r="G16" s="65">
        <v>126</v>
      </c>
      <c r="H16" s="72">
        <v>0</v>
      </c>
      <c r="I16" s="73">
        <v>1</v>
      </c>
      <c r="J16" s="45">
        <v>126</v>
      </c>
      <c r="K16" s="45">
        <v>126</v>
      </c>
      <c r="L16" s="72">
        <v>0</v>
      </c>
      <c r="M16" s="73">
        <v>1</v>
      </c>
      <c r="N16" s="73">
        <v>1</v>
      </c>
    </row>
    <row r="17" spans="2:14">
      <c r="B17" s="22" t="s">
        <v>39</v>
      </c>
      <c r="C17" s="23"/>
      <c r="D17" s="71"/>
      <c r="E17" s="64">
        <v>121</v>
      </c>
      <c r="F17" s="65">
        <v>121</v>
      </c>
      <c r="G17" s="65">
        <v>121</v>
      </c>
      <c r="H17" s="72">
        <v>0</v>
      </c>
      <c r="I17" s="73">
        <v>1</v>
      </c>
      <c r="J17" s="45">
        <v>121</v>
      </c>
      <c r="K17" s="45">
        <v>121</v>
      </c>
      <c r="L17" s="72">
        <v>0</v>
      </c>
      <c r="M17" s="73">
        <v>1</v>
      </c>
      <c r="N17" s="73">
        <v>1</v>
      </c>
    </row>
    <row r="18" spans="2:14">
      <c r="B18" s="22" t="s">
        <v>40</v>
      </c>
      <c r="C18" s="23"/>
      <c r="D18" s="71"/>
      <c r="E18" s="64">
        <v>125</v>
      </c>
      <c r="F18" s="65">
        <v>125</v>
      </c>
      <c r="G18" s="65">
        <v>125</v>
      </c>
      <c r="H18" s="72">
        <v>0</v>
      </c>
      <c r="I18" s="73">
        <v>1</v>
      </c>
      <c r="J18" s="45">
        <v>125</v>
      </c>
      <c r="K18" s="45">
        <v>125</v>
      </c>
      <c r="L18" s="72">
        <v>0</v>
      </c>
      <c r="M18" s="73">
        <v>1</v>
      </c>
      <c r="N18" s="73">
        <v>1</v>
      </c>
    </row>
    <row r="19" spans="2:14">
      <c r="B19" s="22" t="s">
        <v>41</v>
      </c>
      <c r="C19" s="23"/>
      <c r="D19" s="71"/>
      <c r="E19" s="64">
        <v>121</v>
      </c>
      <c r="F19" s="65">
        <v>121</v>
      </c>
      <c r="G19" s="65">
        <v>121</v>
      </c>
      <c r="H19" s="72">
        <v>0</v>
      </c>
      <c r="I19" s="73">
        <v>1</v>
      </c>
      <c r="J19" s="45">
        <v>121</v>
      </c>
      <c r="K19" s="45">
        <v>121</v>
      </c>
      <c r="L19" s="72">
        <v>0</v>
      </c>
      <c r="M19" s="73">
        <v>1</v>
      </c>
      <c r="N19" s="73">
        <v>1</v>
      </c>
    </row>
    <row r="21" spans="2:14">
      <c r="B21" s="46" t="s">
        <v>85</v>
      </c>
      <c r="C21" s="74"/>
      <c r="D21" s="74"/>
      <c r="E21" s="74"/>
      <c r="F21" s="74"/>
      <c r="G21" s="47" t="s">
        <v>83</v>
      </c>
      <c r="J21" s="47" t="s">
        <v>74</v>
      </c>
      <c r="M21" s="47" t="s">
        <v>90</v>
      </c>
    </row>
    <row r="22" spans="2:14" ht="30">
      <c r="B22" s="38" t="s">
        <v>71</v>
      </c>
      <c r="C22" s="43" t="s">
        <v>72</v>
      </c>
      <c r="D22" s="43" t="s">
        <v>86</v>
      </c>
      <c r="E22" s="48" t="s">
        <v>73</v>
      </c>
      <c r="F22" s="48" t="s">
        <v>106</v>
      </c>
      <c r="G22" s="49" t="s">
        <v>91</v>
      </c>
      <c r="H22" s="49" t="s">
        <v>81</v>
      </c>
      <c r="J22" s="49" t="s">
        <v>75</v>
      </c>
      <c r="K22" s="49" t="s">
        <v>70</v>
      </c>
      <c r="M22" s="49" t="s">
        <v>75</v>
      </c>
      <c r="N22" s="49" t="s">
        <v>70</v>
      </c>
    </row>
    <row r="23" spans="2:14">
      <c r="B23" s="40" t="s">
        <v>82</v>
      </c>
      <c r="C23" s="50">
        <v>22</v>
      </c>
      <c r="D23" s="44">
        <v>5362</v>
      </c>
      <c r="E23" s="50">
        <v>6</v>
      </c>
      <c r="F23" s="50">
        <v>0</v>
      </c>
      <c r="G23" s="52">
        <v>19</v>
      </c>
      <c r="H23" s="52">
        <v>19</v>
      </c>
      <c r="J23" s="52">
        <v>80</v>
      </c>
      <c r="K23" s="52">
        <v>80</v>
      </c>
      <c r="M23" s="52">
        <v>8</v>
      </c>
      <c r="N23" s="52">
        <v>8</v>
      </c>
    </row>
    <row r="24" spans="2:14">
      <c r="B24" s="40"/>
      <c r="C24" s="50"/>
      <c r="D24" s="44"/>
      <c r="E24" s="50"/>
      <c r="F24" s="50"/>
      <c r="G24" s="52"/>
      <c r="H24" s="52"/>
      <c r="J24" s="52"/>
      <c r="K24" s="52"/>
      <c r="M24" s="52">
        <v>1</v>
      </c>
      <c r="N24" s="52">
        <v>1</v>
      </c>
    </row>
    <row r="25" spans="2:14">
      <c r="B25" s="40"/>
      <c r="C25" s="50"/>
      <c r="D25" s="44"/>
      <c r="E25" s="50"/>
      <c r="F25" s="50"/>
      <c r="G25" s="52"/>
      <c r="H25" s="52"/>
      <c r="J25" s="52"/>
      <c r="K25" s="52"/>
      <c r="M25" s="52"/>
      <c r="N25" s="52"/>
    </row>
    <row r="26" spans="2:14">
      <c r="B26" s="40"/>
      <c r="C26" s="50"/>
      <c r="D26" s="44"/>
      <c r="E26" s="50"/>
      <c r="F26" s="50"/>
      <c r="G26" s="52"/>
      <c r="H26" s="52"/>
      <c r="J26" s="52"/>
      <c r="K26" s="52"/>
      <c r="M26" s="52"/>
      <c r="N26" s="52"/>
    </row>
    <row r="28" spans="2:14">
      <c r="B28" s="46" t="s">
        <v>87</v>
      </c>
      <c r="C28" s="74"/>
      <c r="D28" s="74"/>
      <c r="E28" s="74"/>
      <c r="F28" s="74"/>
      <c r="G28" s="47" t="s">
        <v>83</v>
      </c>
      <c r="J28" s="47" t="s">
        <v>74</v>
      </c>
      <c r="M28" s="47" t="s">
        <v>90</v>
      </c>
    </row>
    <row r="29" spans="2:14" ht="30">
      <c r="B29" s="38" t="s">
        <v>71</v>
      </c>
      <c r="C29" s="43" t="s">
        <v>72</v>
      </c>
      <c r="D29" s="43" t="s">
        <v>86</v>
      </c>
      <c r="E29" s="48" t="s">
        <v>73</v>
      </c>
      <c r="F29" s="48" t="s">
        <v>106</v>
      </c>
      <c r="G29" s="49" t="s">
        <v>91</v>
      </c>
      <c r="H29" s="49" t="s">
        <v>81</v>
      </c>
      <c r="J29" s="49" t="s">
        <v>75</v>
      </c>
      <c r="K29" s="49" t="s">
        <v>70</v>
      </c>
      <c r="M29" s="49" t="s">
        <v>75</v>
      </c>
      <c r="N29" s="49" t="s">
        <v>70</v>
      </c>
    </row>
    <row r="30" spans="2:14">
      <c r="B30" s="40" t="s">
        <v>82</v>
      </c>
      <c r="C30" s="50">
        <v>1</v>
      </c>
      <c r="D30" s="39">
        <v>3993</v>
      </c>
      <c r="E30" s="50">
        <v>4</v>
      </c>
      <c r="F30" s="50">
        <v>0</v>
      </c>
      <c r="G30" s="52">
        <v>1</v>
      </c>
      <c r="H30" s="52">
        <v>1</v>
      </c>
      <c r="J30" s="52">
        <v>18</v>
      </c>
      <c r="K30" s="52">
        <v>18</v>
      </c>
      <c r="M30" s="52">
        <v>3</v>
      </c>
      <c r="N30" s="52">
        <v>3</v>
      </c>
    </row>
    <row r="31" spans="2:14">
      <c r="B31" s="40" t="s">
        <v>95</v>
      </c>
      <c r="C31" s="50">
        <v>2</v>
      </c>
      <c r="D31" s="39">
        <v>352</v>
      </c>
      <c r="E31" s="50">
        <v>0</v>
      </c>
      <c r="F31" s="50">
        <v>0</v>
      </c>
      <c r="G31" s="52">
        <v>2</v>
      </c>
      <c r="H31" s="52">
        <v>2</v>
      </c>
      <c r="J31" s="52"/>
      <c r="K31" s="52"/>
      <c r="M31" s="52"/>
      <c r="N31" s="52"/>
    </row>
    <row r="32" spans="2:14">
      <c r="B32" s="40"/>
      <c r="C32" s="50"/>
      <c r="D32" s="44"/>
      <c r="E32" s="50"/>
      <c r="F32" s="50"/>
      <c r="G32" s="52"/>
      <c r="H32" s="52"/>
      <c r="J32" s="52"/>
      <c r="K32" s="52"/>
      <c r="M32" s="52"/>
      <c r="N32" s="52"/>
    </row>
    <row r="33" spans="2:14">
      <c r="B33" s="40"/>
      <c r="C33" s="50"/>
      <c r="D33" s="44"/>
      <c r="E33" s="50"/>
      <c r="F33" s="50"/>
      <c r="G33" s="52"/>
      <c r="H33" s="52"/>
      <c r="J33" s="52"/>
      <c r="K33" s="52"/>
      <c r="M33" s="52"/>
      <c r="N33" s="52"/>
    </row>
    <row r="35" spans="2:14">
      <c r="B35" s="46" t="s">
        <v>88</v>
      </c>
      <c r="C35" s="74"/>
      <c r="D35" s="74"/>
      <c r="E35" s="74"/>
      <c r="F35" s="74"/>
      <c r="G35" s="47" t="s">
        <v>83</v>
      </c>
      <c r="J35" s="47" t="s">
        <v>74</v>
      </c>
      <c r="M35" s="47" t="s">
        <v>90</v>
      </c>
    </row>
    <row r="36" spans="2:14" ht="30">
      <c r="B36" s="38" t="s">
        <v>71</v>
      </c>
      <c r="C36" s="43" t="s">
        <v>72</v>
      </c>
      <c r="D36" s="43" t="s">
        <v>86</v>
      </c>
      <c r="E36" s="48" t="s">
        <v>73</v>
      </c>
      <c r="F36" s="48" t="s">
        <v>106</v>
      </c>
      <c r="G36" s="49" t="s">
        <v>91</v>
      </c>
      <c r="H36" s="49" t="s">
        <v>81</v>
      </c>
      <c r="J36" s="49" t="s">
        <v>75</v>
      </c>
      <c r="K36" s="49" t="s">
        <v>70</v>
      </c>
      <c r="M36" s="49" t="s">
        <v>75</v>
      </c>
      <c r="N36" s="49" t="s">
        <v>70</v>
      </c>
    </row>
    <row r="37" spans="2:14">
      <c r="B37" s="40" t="s">
        <v>84</v>
      </c>
      <c r="C37" s="50">
        <v>0</v>
      </c>
      <c r="D37" s="44">
        <v>0</v>
      </c>
      <c r="E37" s="50">
        <v>0</v>
      </c>
      <c r="F37" s="50">
        <v>0</v>
      </c>
      <c r="G37" s="52">
        <v>0</v>
      </c>
      <c r="H37" s="52">
        <v>0</v>
      </c>
      <c r="J37" s="52">
        <v>0</v>
      </c>
      <c r="K37" s="52">
        <v>0</v>
      </c>
      <c r="M37" s="52">
        <v>0</v>
      </c>
      <c r="N37" s="52">
        <v>0</v>
      </c>
    </row>
    <row r="38" spans="2:14">
      <c r="B38" s="40" t="s">
        <v>96</v>
      </c>
      <c r="C38" s="50">
        <v>0</v>
      </c>
      <c r="D38" s="44">
        <v>0</v>
      </c>
      <c r="E38" s="50">
        <v>0</v>
      </c>
      <c r="F38" s="50">
        <v>0</v>
      </c>
      <c r="G38" s="52">
        <v>0</v>
      </c>
      <c r="H38" s="52">
        <v>0</v>
      </c>
      <c r="J38" s="52"/>
      <c r="K38" s="52"/>
      <c r="M38" s="52"/>
      <c r="N38" s="52"/>
    </row>
    <row r="39" spans="2:14">
      <c r="B39" s="40" t="s">
        <v>89</v>
      </c>
      <c r="C39" s="50">
        <v>0</v>
      </c>
      <c r="D39" s="44">
        <v>0</v>
      </c>
      <c r="E39" s="50">
        <v>0</v>
      </c>
      <c r="F39" s="50">
        <v>0</v>
      </c>
      <c r="G39" s="52">
        <v>0</v>
      </c>
      <c r="H39" s="52">
        <v>0</v>
      </c>
      <c r="J39" s="52"/>
      <c r="K39" s="52"/>
      <c r="M39" s="52"/>
      <c r="N39" s="52"/>
    </row>
    <row r="40" spans="2:14">
      <c r="B40" s="40"/>
      <c r="C40" s="50"/>
      <c r="D40" s="44"/>
      <c r="E40" s="50"/>
      <c r="F40" s="50"/>
      <c r="G40" s="52"/>
      <c r="H40" s="52"/>
      <c r="J40" s="52"/>
      <c r="K40" s="52"/>
      <c r="M40" s="52"/>
      <c r="N40" s="52"/>
    </row>
    <row r="42" spans="2:14" customFormat="1">
      <c r="B42" s="86" t="s">
        <v>133</v>
      </c>
    </row>
    <row r="43" spans="2:14" customFormat="1">
      <c r="B43" s="80" t="s">
        <v>121</v>
      </c>
      <c r="C43" s="19" t="s">
        <v>134</v>
      </c>
      <c r="D43" s="81" t="s">
        <v>135</v>
      </c>
      <c r="E43" s="82" t="s">
        <v>136</v>
      </c>
      <c r="F43" s="82" t="s">
        <v>137</v>
      </c>
      <c r="G43" s="82" t="s">
        <v>138</v>
      </c>
      <c r="H43" s="82" t="s">
        <v>139</v>
      </c>
      <c r="I43" s="82" t="s">
        <v>140</v>
      </c>
      <c r="J43" s="81" t="s">
        <v>129</v>
      </c>
    </row>
    <row r="44" spans="2:14" customFormat="1">
      <c r="B44" s="83" t="s">
        <v>130</v>
      </c>
      <c r="C44" s="83">
        <v>8</v>
      </c>
      <c r="D44" s="84">
        <v>0</v>
      </c>
      <c r="E44" s="87">
        <v>8</v>
      </c>
      <c r="F44" s="87">
        <v>0</v>
      </c>
      <c r="G44" s="87">
        <v>0</v>
      </c>
      <c r="H44" s="87">
        <v>0</v>
      </c>
      <c r="I44" s="87">
        <v>0</v>
      </c>
      <c r="J44" s="88">
        <v>0</v>
      </c>
    </row>
    <row r="45" spans="2:14" customFormat="1">
      <c r="B45" s="83" t="s">
        <v>131</v>
      </c>
      <c r="C45" s="83">
        <v>53</v>
      </c>
      <c r="D45" s="39">
        <v>0</v>
      </c>
      <c r="E45" s="87">
        <v>37</v>
      </c>
      <c r="F45" s="87">
        <v>16</v>
      </c>
      <c r="G45" s="87">
        <v>0</v>
      </c>
      <c r="H45" s="87">
        <v>0</v>
      </c>
      <c r="I45" s="87">
        <v>0</v>
      </c>
      <c r="J45" s="88">
        <v>0</v>
      </c>
    </row>
    <row r="46" spans="2:14" customFormat="1">
      <c r="B46" s="83" t="s">
        <v>132</v>
      </c>
      <c r="C46" s="83">
        <v>27</v>
      </c>
      <c r="D46" s="39">
        <v>1</v>
      </c>
      <c r="E46" s="87">
        <v>26</v>
      </c>
      <c r="F46" s="87">
        <v>0</v>
      </c>
      <c r="G46" s="87">
        <v>1</v>
      </c>
      <c r="H46" s="87">
        <v>0</v>
      </c>
      <c r="I46" s="87">
        <v>0</v>
      </c>
      <c r="J46" s="88">
        <v>0</v>
      </c>
    </row>
    <row r="48" spans="2:14" s="75" customFormat="1" ht="15.75" customHeight="1">
      <c r="B48" s="55" t="s">
        <v>55</v>
      </c>
      <c r="I48" s="55" t="s">
        <v>76</v>
      </c>
    </row>
    <row r="49" spans="2:14" s="75" customFormat="1" ht="15.75" customHeight="1">
      <c r="C49" s="76" t="s">
        <v>56</v>
      </c>
      <c r="D49" s="76" t="s">
        <v>57</v>
      </c>
      <c r="E49" s="76" t="s">
        <v>58</v>
      </c>
      <c r="F49" s="76" t="s">
        <v>59</v>
      </c>
      <c r="J49" s="57" t="s">
        <v>77</v>
      </c>
      <c r="K49" s="57" t="s">
        <v>78</v>
      </c>
      <c r="L49" s="57" t="s">
        <v>79</v>
      </c>
      <c r="M49" s="57" t="s">
        <v>80</v>
      </c>
    </row>
    <row r="50" spans="2:14" s="75" customFormat="1" ht="15.75" customHeight="1">
      <c r="C50" s="77">
        <v>53</v>
      </c>
      <c r="D50" s="77">
        <v>53</v>
      </c>
      <c r="E50" s="77">
        <v>0</v>
      </c>
      <c r="F50" s="78">
        <v>0</v>
      </c>
      <c r="J50" s="60">
        <v>66</v>
      </c>
      <c r="K50" s="60">
        <v>66</v>
      </c>
      <c r="L50" s="60">
        <v>66</v>
      </c>
      <c r="M50" s="60">
        <v>66</v>
      </c>
    </row>
    <row r="51" spans="2:14" s="75" customFormat="1" ht="15.75" customHeight="1"/>
    <row r="52" spans="2:14">
      <c r="B52" s="15" t="s">
        <v>47</v>
      </c>
      <c r="I52" s="15" t="s">
        <v>48</v>
      </c>
    </row>
    <row r="53" spans="2:14">
      <c r="B53" s="102" t="s">
        <v>149</v>
      </c>
      <c r="C53" s="128"/>
      <c r="D53" s="128"/>
      <c r="E53" s="128"/>
      <c r="F53" s="128"/>
      <c r="G53" s="129"/>
      <c r="I53" s="93" t="s">
        <v>141</v>
      </c>
      <c r="J53" s="120"/>
      <c r="K53" s="120"/>
      <c r="L53" s="120"/>
      <c r="M53" s="120"/>
      <c r="N53" s="121"/>
    </row>
    <row r="54" spans="2:14">
      <c r="B54" s="130"/>
      <c r="C54" s="131"/>
      <c r="D54" s="131"/>
      <c r="E54" s="131"/>
      <c r="F54" s="131"/>
      <c r="G54" s="132"/>
      <c r="I54" s="122"/>
      <c r="J54" s="123"/>
      <c r="K54" s="123"/>
      <c r="L54" s="123"/>
      <c r="M54" s="123"/>
      <c r="N54" s="124"/>
    </row>
    <row r="55" spans="2:14">
      <c r="B55" s="130"/>
      <c r="C55" s="131"/>
      <c r="D55" s="131"/>
      <c r="E55" s="131"/>
      <c r="F55" s="131"/>
      <c r="G55" s="132"/>
      <c r="I55" s="122"/>
      <c r="J55" s="123"/>
      <c r="K55" s="123"/>
      <c r="L55" s="123"/>
      <c r="M55" s="123"/>
      <c r="N55" s="124"/>
    </row>
    <row r="56" spans="2:14">
      <c r="B56" s="130"/>
      <c r="C56" s="131"/>
      <c r="D56" s="131"/>
      <c r="E56" s="131"/>
      <c r="F56" s="131"/>
      <c r="G56" s="132"/>
      <c r="I56" s="122"/>
      <c r="J56" s="123"/>
      <c r="K56" s="123"/>
      <c r="L56" s="123"/>
      <c r="M56" s="123"/>
      <c r="N56" s="124"/>
    </row>
    <row r="57" spans="2:14">
      <c r="B57" s="130"/>
      <c r="C57" s="131"/>
      <c r="D57" s="131"/>
      <c r="E57" s="131"/>
      <c r="F57" s="131"/>
      <c r="G57" s="132"/>
      <c r="I57" s="122"/>
      <c r="J57" s="123"/>
      <c r="K57" s="123"/>
      <c r="L57" s="123"/>
      <c r="M57" s="123"/>
      <c r="N57" s="124"/>
    </row>
    <row r="58" spans="2:14">
      <c r="B58" s="130"/>
      <c r="C58" s="131"/>
      <c r="D58" s="131"/>
      <c r="E58" s="131"/>
      <c r="F58" s="131"/>
      <c r="G58" s="132"/>
      <c r="I58" s="122"/>
      <c r="J58" s="123"/>
      <c r="K58" s="123"/>
      <c r="L58" s="123"/>
      <c r="M58" s="123"/>
      <c r="N58" s="124"/>
    </row>
    <row r="59" spans="2:14">
      <c r="B59" s="130"/>
      <c r="C59" s="131"/>
      <c r="D59" s="131"/>
      <c r="E59" s="131"/>
      <c r="F59" s="131"/>
      <c r="G59" s="132"/>
      <c r="I59" s="122"/>
      <c r="J59" s="123"/>
      <c r="K59" s="123"/>
      <c r="L59" s="123"/>
      <c r="M59" s="123"/>
      <c r="N59" s="124"/>
    </row>
    <row r="60" spans="2:14">
      <c r="B60" s="130"/>
      <c r="C60" s="131"/>
      <c r="D60" s="131"/>
      <c r="E60" s="131"/>
      <c r="F60" s="131"/>
      <c r="G60" s="132"/>
      <c r="I60" s="122"/>
      <c r="J60" s="123"/>
      <c r="K60" s="123"/>
      <c r="L60" s="123"/>
      <c r="M60" s="123"/>
      <c r="N60" s="124"/>
    </row>
    <row r="61" spans="2:14">
      <c r="B61" s="130"/>
      <c r="C61" s="131"/>
      <c r="D61" s="131"/>
      <c r="E61" s="131"/>
      <c r="F61" s="131"/>
      <c r="G61" s="132"/>
      <c r="I61" s="122"/>
      <c r="J61" s="123"/>
      <c r="K61" s="123"/>
      <c r="L61" s="123"/>
      <c r="M61" s="123"/>
      <c r="N61" s="124"/>
    </row>
    <row r="62" spans="2:14">
      <c r="B62" s="130"/>
      <c r="C62" s="131"/>
      <c r="D62" s="131"/>
      <c r="E62" s="131"/>
      <c r="F62" s="131"/>
      <c r="G62" s="132"/>
      <c r="I62" s="122"/>
      <c r="J62" s="123"/>
      <c r="K62" s="123"/>
      <c r="L62" s="123"/>
      <c r="M62" s="123"/>
      <c r="N62" s="124"/>
    </row>
    <row r="63" spans="2:14">
      <c r="B63" s="130"/>
      <c r="C63" s="131"/>
      <c r="D63" s="131"/>
      <c r="E63" s="131"/>
      <c r="F63" s="131"/>
      <c r="G63" s="132"/>
      <c r="I63" s="122"/>
      <c r="J63" s="123"/>
      <c r="K63" s="123"/>
      <c r="L63" s="123"/>
      <c r="M63" s="123"/>
      <c r="N63" s="124"/>
    </row>
    <row r="64" spans="2:14">
      <c r="B64" s="130"/>
      <c r="C64" s="131"/>
      <c r="D64" s="131"/>
      <c r="E64" s="131"/>
      <c r="F64" s="131"/>
      <c r="G64" s="132"/>
      <c r="I64" s="122"/>
      <c r="J64" s="123"/>
      <c r="K64" s="123"/>
      <c r="L64" s="123"/>
      <c r="M64" s="123"/>
      <c r="N64" s="124"/>
    </row>
    <row r="65" spans="2:15">
      <c r="B65" s="130"/>
      <c r="C65" s="131"/>
      <c r="D65" s="131"/>
      <c r="E65" s="131"/>
      <c r="F65" s="131"/>
      <c r="G65" s="132"/>
      <c r="I65" s="122"/>
      <c r="J65" s="123"/>
      <c r="K65" s="123"/>
      <c r="L65" s="123"/>
      <c r="M65" s="123"/>
      <c r="N65" s="124"/>
    </row>
    <row r="66" spans="2:15">
      <c r="B66" s="130"/>
      <c r="C66" s="131"/>
      <c r="D66" s="131"/>
      <c r="E66" s="131"/>
      <c r="F66" s="131"/>
      <c r="G66" s="132"/>
      <c r="I66" s="122"/>
      <c r="J66" s="123"/>
      <c r="K66" s="123"/>
      <c r="L66" s="123"/>
      <c r="M66" s="123"/>
      <c r="N66" s="124"/>
    </row>
    <row r="67" spans="2:15">
      <c r="B67" s="130"/>
      <c r="C67" s="131"/>
      <c r="D67" s="131"/>
      <c r="E67" s="131"/>
      <c r="F67" s="131"/>
      <c r="G67" s="132"/>
      <c r="I67" s="122"/>
      <c r="J67" s="123"/>
      <c r="K67" s="123"/>
      <c r="L67" s="123"/>
      <c r="M67" s="123"/>
      <c r="N67" s="124"/>
    </row>
    <row r="68" spans="2:15">
      <c r="B68" s="130"/>
      <c r="C68" s="131"/>
      <c r="D68" s="131"/>
      <c r="E68" s="131"/>
      <c r="F68" s="131"/>
      <c r="G68" s="132"/>
      <c r="I68" s="122"/>
      <c r="J68" s="123"/>
      <c r="K68" s="123"/>
      <c r="L68" s="123"/>
      <c r="M68" s="123"/>
      <c r="N68" s="124"/>
    </row>
    <row r="69" spans="2:15" ht="180.75" customHeight="1">
      <c r="B69" s="133"/>
      <c r="C69" s="134"/>
      <c r="D69" s="134"/>
      <c r="E69" s="134"/>
      <c r="F69" s="134"/>
      <c r="G69" s="135"/>
      <c r="I69" s="125"/>
      <c r="J69" s="126"/>
      <c r="K69" s="126"/>
      <c r="L69" s="126"/>
      <c r="M69" s="126"/>
      <c r="N69" s="127"/>
    </row>
    <row r="70" spans="2:15">
      <c r="N70" s="70" t="s">
        <v>49</v>
      </c>
      <c r="O70" s="70"/>
    </row>
  </sheetData>
  <mergeCells count="3">
    <mergeCell ref="B7:N11"/>
    <mergeCell ref="B53:G69"/>
    <mergeCell ref="I53:N69"/>
  </mergeCells>
  <phoneticPr fontId="1"/>
  <conditionalFormatting sqref="E23:E26">
    <cfRule type="expression" dxfId="61" priority="7">
      <formula>AND(D23&lt;&gt;0,E23/D23&lt;0.001)</formula>
    </cfRule>
  </conditionalFormatting>
  <conditionalFormatting sqref="E30:E33">
    <cfRule type="expression" dxfId="60" priority="6">
      <formula>AND(D30&lt;&gt;0,E30/D30&lt;0.001)</formula>
    </cfRule>
  </conditionalFormatting>
  <conditionalFormatting sqref="E37:E40">
    <cfRule type="expression" dxfId="59" priority="2">
      <formula>AND(D37&lt;&gt;0,E37/D37&lt;0.001)</formula>
    </cfRule>
  </conditionalFormatting>
  <conditionalFormatting sqref="H23:H26">
    <cfRule type="expression" dxfId="58" priority="12">
      <formula>H23&lt;&gt;G23</formula>
    </cfRule>
  </conditionalFormatting>
  <conditionalFormatting sqref="H30:H33">
    <cfRule type="expression" dxfId="57" priority="5">
      <formula>H30&lt;&gt;G30</formula>
    </cfRule>
  </conditionalFormatting>
  <conditionalFormatting sqref="H37:H40">
    <cfRule type="expression" dxfId="56" priority="1">
      <formula>H37&lt;&gt;G37</formula>
    </cfRule>
  </conditionalFormatting>
  <conditionalFormatting sqref="K23:K26">
    <cfRule type="expression" dxfId="55" priority="11">
      <formula>K23&lt;&gt;J23</formula>
    </cfRule>
  </conditionalFormatting>
  <conditionalFormatting sqref="K30:K33">
    <cfRule type="expression" dxfId="54" priority="4">
      <formula>K30&lt;&gt;J30</formula>
    </cfRule>
  </conditionalFormatting>
  <conditionalFormatting sqref="K37:K40">
    <cfRule type="expression" dxfId="53" priority="9">
      <formula>K37&lt;&gt;J37</formula>
    </cfRule>
  </conditionalFormatting>
  <conditionalFormatting sqref="N23:N26">
    <cfRule type="expression" dxfId="52" priority="10">
      <formula>N23&lt;&gt;M23</formula>
    </cfRule>
  </conditionalFormatting>
  <conditionalFormatting sqref="N30:N33">
    <cfRule type="expression" dxfId="51" priority="3">
      <formula>N30&lt;&gt;M30</formula>
    </cfRule>
  </conditionalFormatting>
  <conditionalFormatting sqref="N37:N40">
    <cfRule type="expression" dxfId="50" priority="8">
      <formula>N37&lt;&gt;M37</formula>
    </cfRule>
  </conditionalFormatting>
  <hyperlinks>
    <hyperlink ref="B28" r:id="rId1" xr:uid="{335CDAE9-6FDF-4678-8E29-74EC5AAE3E24}"/>
    <hyperlink ref="B35" r:id="rId2" xr:uid="{7D880AF5-BF1F-495C-8C45-EFE18B44A2D9}"/>
    <hyperlink ref="B21" r:id="rId3" xr:uid="{6889A614-A082-4F61-BE86-C18434E21CB1}"/>
  </hyperlink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5" orientation="landscape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A4876-21EB-4804-B307-25239076604B}">
  <sheetPr>
    <pageSetUpPr fitToPage="1"/>
  </sheetPr>
  <dimension ref="B4:O70"/>
  <sheetViews>
    <sheetView topLeftCell="A37" zoomScale="130" zoomScaleNormal="130" workbookViewId="0"/>
  </sheetViews>
  <sheetFormatPr defaultRowHeight="15"/>
  <cols>
    <col min="1" max="1" width="2.6328125" customWidth="1"/>
    <col min="2" max="14" width="9.1796875" customWidth="1"/>
    <col min="15" max="15" width="2.6328125" customWidth="1"/>
  </cols>
  <sheetData>
    <row r="4" spans="2:14">
      <c r="B4" s="15" t="s">
        <v>12</v>
      </c>
      <c r="C4" s="16">
        <v>46175</v>
      </c>
      <c r="E4" s="15" t="s">
        <v>13</v>
      </c>
      <c r="F4" s="16" t="s">
        <v>150</v>
      </c>
      <c r="H4" s="15" t="s">
        <v>14</v>
      </c>
      <c r="I4" s="16" t="s">
        <v>99</v>
      </c>
    </row>
    <row r="6" spans="2:14">
      <c r="B6" s="15" t="s">
        <v>16</v>
      </c>
    </row>
    <row r="7" spans="2:14" ht="41.1" customHeight="1">
      <c r="B7" s="93" t="s">
        <v>100</v>
      </c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1"/>
    </row>
    <row r="8" spans="2:14" ht="41.1" customHeight="1">
      <c r="B8" s="122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4"/>
    </row>
    <row r="9" spans="2:14" ht="30" customHeight="1">
      <c r="B9" s="122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4"/>
    </row>
    <row r="10" spans="2:14" ht="20.25" customHeight="1">
      <c r="B10" s="122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4"/>
    </row>
    <row r="11" spans="2:14" ht="16.5" customHeight="1">
      <c r="B11" s="125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7"/>
    </row>
    <row r="12" spans="2:14">
      <c r="B12" s="15"/>
      <c r="E12" s="13" t="s">
        <v>17</v>
      </c>
      <c r="F12" s="13" t="s">
        <v>18</v>
      </c>
      <c r="G12" s="13" t="s">
        <v>19</v>
      </c>
      <c r="H12" s="13" t="s">
        <v>20</v>
      </c>
      <c r="I12" s="13" t="s">
        <v>21</v>
      </c>
      <c r="J12" s="13" t="s">
        <v>22</v>
      </c>
      <c r="K12" s="13" t="s">
        <v>23</v>
      </c>
      <c r="L12" s="13" t="s">
        <v>24</v>
      </c>
      <c r="M12" s="13" t="s">
        <v>25</v>
      </c>
      <c r="N12" s="13" t="s">
        <v>26</v>
      </c>
    </row>
    <row r="13" spans="2:14">
      <c r="B13" s="61" t="s">
        <v>27</v>
      </c>
      <c r="C13" s="62"/>
      <c r="D13" s="63"/>
      <c r="E13" s="20" t="s">
        <v>28</v>
      </c>
      <c r="F13" s="21" t="s">
        <v>29</v>
      </c>
      <c r="G13" s="21" t="s">
        <v>30</v>
      </c>
      <c r="H13" s="21" t="s">
        <v>31</v>
      </c>
      <c r="I13" s="21" t="s">
        <v>32</v>
      </c>
      <c r="J13" s="21" t="s">
        <v>33</v>
      </c>
      <c r="K13" s="21" t="s">
        <v>34</v>
      </c>
      <c r="L13" s="21" t="s">
        <v>31</v>
      </c>
      <c r="M13" s="21" t="s">
        <v>32</v>
      </c>
      <c r="N13" s="21" t="s">
        <v>35</v>
      </c>
    </row>
    <row r="14" spans="2:14">
      <c r="B14" s="22" t="s">
        <v>36</v>
      </c>
      <c r="C14" s="23"/>
      <c r="D14" s="24"/>
      <c r="E14" s="64">
        <v>245</v>
      </c>
      <c r="F14" s="65">
        <v>245</v>
      </c>
      <c r="G14" s="65">
        <v>245</v>
      </c>
      <c r="H14" s="66">
        <v>0</v>
      </c>
      <c r="I14" s="67">
        <v>1</v>
      </c>
      <c r="J14" s="65">
        <v>245</v>
      </c>
      <c r="K14" s="65">
        <v>245</v>
      </c>
      <c r="L14" s="66">
        <v>0</v>
      </c>
      <c r="M14" s="67">
        <v>1</v>
      </c>
      <c r="N14" s="67">
        <v>1</v>
      </c>
    </row>
    <row r="15" spans="2:14">
      <c r="B15" s="22" t="s">
        <v>37</v>
      </c>
      <c r="C15" s="23"/>
      <c r="D15" s="24"/>
      <c r="E15" s="64">
        <v>200</v>
      </c>
      <c r="F15" s="65">
        <v>200</v>
      </c>
      <c r="G15" s="65">
        <v>200</v>
      </c>
      <c r="H15" s="66">
        <v>0</v>
      </c>
      <c r="I15" s="67">
        <v>1</v>
      </c>
      <c r="J15" s="65">
        <v>200</v>
      </c>
      <c r="K15" s="65">
        <v>200</v>
      </c>
      <c r="L15" s="66">
        <v>0</v>
      </c>
      <c r="M15" s="67">
        <v>1</v>
      </c>
      <c r="N15" s="67">
        <v>1</v>
      </c>
    </row>
    <row r="16" spans="2:14">
      <c r="B16" s="22" t="s">
        <v>38</v>
      </c>
      <c r="C16" s="23"/>
      <c r="D16" s="24"/>
      <c r="E16" s="64">
        <v>245</v>
      </c>
      <c r="F16" s="65">
        <v>245</v>
      </c>
      <c r="G16" s="65">
        <v>245</v>
      </c>
      <c r="H16" s="66">
        <v>0</v>
      </c>
      <c r="I16" s="67">
        <v>1</v>
      </c>
      <c r="J16" s="65">
        <v>245</v>
      </c>
      <c r="K16" s="65">
        <v>245</v>
      </c>
      <c r="L16" s="66">
        <v>0</v>
      </c>
      <c r="M16" s="67">
        <v>1</v>
      </c>
      <c r="N16" s="67">
        <v>1</v>
      </c>
    </row>
    <row r="17" spans="2:14">
      <c r="B17" s="22" t="s">
        <v>39</v>
      </c>
      <c r="C17" s="23"/>
      <c r="D17" s="24"/>
      <c r="E17" s="64">
        <v>200</v>
      </c>
      <c r="F17" s="65">
        <v>200</v>
      </c>
      <c r="G17" s="65">
        <v>200</v>
      </c>
      <c r="H17" s="66">
        <v>0</v>
      </c>
      <c r="I17" s="67">
        <v>1</v>
      </c>
      <c r="J17" s="65">
        <v>200</v>
      </c>
      <c r="K17" s="65">
        <v>200</v>
      </c>
      <c r="L17" s="66">
        <v>0</v>
      </c>
      <c r="M17" s="67">
        <v>1</v>
      </c>
      <c r="N17" s="67">
        <v>1</v>
      </c>
    </row>
    <row r="18" spans="2:14">
      <c r="B18" s="22" t="s">
        <v>40</v>
      </c>
      <c r="C18" s="23"/>
      <c r="D18" s="24"/>
      <c r="E18" s="64">
        <v>245</v>
      </c>
      <c r="F18" s="65">
        <v>245</v>
      </c>
      <c r="G18" s="65">
        <v>245</v>
      </c>
      <c r="H18" s="66">
        <v>0</v>
      </c>
      <c r="I18" s="67">
        <v>1</v>
      </c>
      <c r="J18" s="65">
        <v>245</v>
      </c>
      <c r="K18" s="65">
        <v>245</v>
      </c>
      <c r="L18" s="66">
        <v>0</v>
      </c>
      <c r="M18" s="67">
        <v>1</v>
      </c>
      <c r="N18" s="67">
        <v>1</v>
      </c>
    </row>
    <row r="19" spans="2:14">
      <c r="B19" s="22" t="s">
        <v>41</v>
      </c>
      <c r="C19" s="23"/>
      <c r="D19" s="24"/>
      <c r="E19" s="64">
        <v>200</v>
      </c>
      <c r="F19" s="65">
        <v>200</v>
      </c>
      <c r="G19" s="65">
        <v>200</v>
      </c>
      <c r="H19" s="66">
        <v>0</v>
      </c>
      <c r="I19" s="67">
        <v>1</v>
      </c>
      <c r="J19" s="65">
        <v>200</v>
      </c>
      <c r="K19" s="65">
        <v>200</v>
      </c>
      <c r="L19" s="66">
        <v>0</v>
      </c>
      <c r="M19" s="67">
        <v>1</v>
      </c>
      <c r="N19" s="67">
        <v>1</v>
      </c>
    </row>
    <row r="21" spans="2:14" ht="18">
      <c r="B21" s="46" t="s">
        <v>85</v>
      </c>
      <c r="C21" s="37"/>
      <c r="D21" s="37"/>
      <c r="E21" s="37"/>
      <c r="F21" s="37"/>
      <c r="G21" s="47" t="s">
        <v>83</v>
      </c>
      <c r="J21" s="47" t="s">
        <v>74</v>
      </c>
      <c r="M21" s="47" t="s">
        <v>90</v>
      </c>
    </row>
    <row r="22" spans="2:14" ht="30">
      <c r="B22" s="38" t="s">
        <v>71</v>
      </c>
      <c r="C22" s="43" t="s">
        <v>72</v>
      </c>
      <c r="D22" s="43" t="s">
        <v>86</v>
      </c>
      <c r="E22" s="48" t="s">
        <v>73</v>
      </c>
      <c r="F22" s="48" t="s">
        <v>106</v>
      </c>
      <c r="G22" s="49" t="s">
        <v>91</v>
      </c>
      <c r="H22" s="49" t="s">
        <v>81</v>
      </c>
      <c r="J22" s="49" t="s">
        <v>75</v>
      </c>
      <c r="K22" s="49" t="s">
        <v>70</v>
      </c>
      <c r="M22" s="49" t="s">
        <v>75</v>
      </c>
      <c r="N22" s="49" t="s">
        <v>70</v>
      </c>
    </row>
    <row r="23" spans="2:14">
      <c r="B23" s="40" t="s">
        <v>115</v>
      </c>
      <c r="C23" s="50">
        <v>24</v>
      </c>
      <c r="D23" s="44">
        <v>6492</v>
      </c>
      <c r="E23" s="50">
        <v>7</v>
      </c>
      <c r="F23" s="50">
        <v>0</v>
      </c>
      <c r="G23" s="52">
        <v>48</v>
      </c>
      <c r="H23" s="52">
        <v>48</v>
      </c>
      <c r="J23" s="52">
        <v>83</v>
      </c>
      <c r="K23" s="52">
        <v>83</v>
      </c>
      <c r="M23" s="52">
        <v>32</v>
      </c>
      <c r="N23" s="52">
        <v>32</v>
      </c>
    </row>
    <row r="24" spans="2:14">
      <c r="B24" s="40" t="s">
        <v>116</v>
      </c>
      <c r="C24" s="50">
        <v>15</v>
      </c>
      <c r="D24" s="44">
        <v>3721</v>
      </c>
      <c r="E24" s="50">
        <v>4</v>
      </c>
      <c r="F24" s="50">
        <v>0</v>
      </c>
      <c r="G24" s="52"/>
      <c r="H24" s="52"/>
      <c r="J24" s="52"/>
      <c r="K24" s="52"/>
      <c r="M24" s="52">
        <v>6</v>
      </c>
      <c r="N24" s="52">
        <v>6</v>
      </c>
    </row>
    <row r="25" spans="2:14">
      <c r="B25" s="40" t="s">
        <v>117</v>
      </c>
      <c r="C25" s="50">
        <v>3</v>
      </c>
      <c r="D25" s="44">
        <v>672</v>
      </c>
      <c r="E25" s="50">
        <v>1</v>
      </c>
      <c r="F25" s="50">
        <v>0</v>
      </c>
      <c r="G25" s="52"/>
      <c r="H25" s="52"/>
      <c r="J25" s="52"/>
      <c r="K25" s="52"/>
      <c r="M25" s="52"/>
      <c r="N25" s="52"/>
    </row>
    <row r="26" spans="2:14">
      <c r="B26" s="40" t="s">
        <v>118</v>
      </c>
      <c r="C26" s="50">
        <v>6</v>
      </c>
      <c r="D26" s="44">
        <v>2413</v>
      </c>
      <c r="E26" s="50">
        <v>3</v>
      </c>
      <c r="F26" s="50">
        <v>0</v>
      </c>
      <c r="G26" s="52"/>
      <c r="H26" s="52"/>
      <c r="J26" s="52"/>
      <c r="K26" s="52"/>
      <c r="M26" s="52"/>
      <c r="N26" s="52"/>
    </row>
    <row r="28" spans="2:14" ht="18">
      <c r="B28" s="46" t="s">
        <v>87</v>
      </c>
      <c r="C28" s="37"/>
      <c r="D28" s="37"/>
      <c r="E28" s="37"/>
      <c r="F28" s="37"/>
      <c r="G28" s="47" t="s">
        <v>83</v>
      </c>
      <c r="J28" s="47" t="s">
        <v>74</v>
      </c>
      <c r="M28" s="47" t="s">
        <v>90</v>
      </c>
    </row>
    <row r="29" spans="2:14" ht="30">
      <c r="B29" s="38" t="s">
        <v>71</v>
      </c>
      <c r="C29" s="43" t="s">
        <v>72</v>
      </c>
      <c r="D29" s="43" t="s">
        <v>86</v>
      </c>
      <c r="E29" s="48" t="s">
        <v>73</v>
      </c>
      <c r="F29" s="48" t="s">
        <v>106</v>
      </c>
      <c r="G29" s="49" t="s">
        <v>91</v>
      </c>
      <c r="H29" s="49" t="s">
        <v>81</v>
      </c>
      <c r="J29" s="49" t="s">
        <v>75</v>
      </c>
      <c r="K29" s="49" t="s">
        <v>70</v>
      </c>
      <c r="M29" s="49" t="s">
        <v>75</v>
      </c>
      <c r="N29" s="49" t="s">
        <v>70</v>
      </c>
    </row>
    <row r="30" spans="2:14">
      <c r="B30" s="40" t="s">
        <v>117</v>
      </c>
      <c r="C30" s="50">
        <v>5</v>
      </c>
      <c r="D30" s="44">
        <v>1562</v>
      </c>
      <c r="E30" s="50">
        <v>2</v>
      </c>
      <c r="F30" s="50">
        <v>0</v>
      </c>
      <c r="G30" s="52">
        <v>5</v>
      </c>
      <c r="H30" s="52">
        <v>5</v>
      </c>
      <c r="J30" s="52">
        <v>114</v>
      </c>
      <c r="K30" s="52">
        <v>114</v>
      </c>
      <c r="M30" s="52">
        <v>0</v>
      </c>
      <c r="N30" s="52">
        <v>0</v>
      </c>
    </row>
    <row r="31" spans="2:14">
      <c r="B31" s="40" t="s">
        <v>119</v>
      </c>
      <c r="C31" s="50">
        <v>31</v>
      </c>
      <c r="D31" s="44">
        <v>5851</v>
      </c>
      <c r="E31" s="50">
        <v>6</v>
      </c>
      <c r="F31" s="50">
        <v>0</v>
      </c>
      <c r="G31" s="52">
        <v>31</v>
      </c>
      <c r="H31" s="52">
        <v>31</v>
      </c>
      <c r="J31" s="52"/>
      <c r="K31" s="52"/>
      <c r="M31" s="52"/>
      <c r="N31" s="52"/>
    </row>
    <row r="32" spans="2:14">
      <c r="B32" s="40"/>
      <c r="C32" s="50"/>
      <c r="D32" s="44"/>
      <c r="E32" s="50"/>
      <c r="F32" s="50"/>
      <c r="G32" s="52"/>
      <c r="H32" s="52"/>
      <c r="J32" s="52"/>
      <c r="K32" s="52"/>
      <c r="M32" s="52"/>
      <c r="N32" s="52"/>
    </row>
    <row r="33" spans="2:14">
      <c r="B33" s="40"/>
      <c r="C33" s="50"/>
      <c r="D33" s="44"/>
      <c r="E33" s="50"/>
      <c r="F33" s="50"/>
      <c r="G33" s="52"/>
      <c r="H33" s="52"/>
      <c r="J33" s="52"/>
      <c r="K33" s="52"/>
      <c r="M33" s="52"/>
      <c r="N33" s="52"/>
    </row>
    <row r="35" spans="2:14" ht="18">
      <c r="B35" s="46" t="s">
        <v>88</v>
      </c>
      <c r="C35" s="37"/>
      <c r="D35" s="37"/>
      <c r="E35" s="37"/>
      <c r="F35" s="37"/>
      <c r="G35" s="47" t="s">
        <v>83</v>
      </c>
      <c r="J35" s="47" t="s">
        <v>74</v>
      </c>
      <c r="M35" s="47" t="s">
        <v>90</v>
      </c>
    </row>
    <row r="36" spans="2:14" ht="30">
      <c r="B36" s="38" t="s">
        <v>71</v>
      </c>
      <c r="C36" s="43" t="s">
        <v>72</v>
      </c>
      <c r="D36" s="43" t="s">
        <v>86</v>
      </c>
      <c r="E36" s="48" t="s">
        <v>73</v>
      </c>
      <c r="F36" s="48" t="s">
        <v>106</v>
      </c>
      <c r="G36" s="49" t="s">
        <v>91</v>
      </c>
      <c r="H36" s="49" t="s">
        <v>81</v>
      </c>
      <c r="J36" s="49" t="s">
        <v>75</v>
      </c>
      <c r="K36" s="49" t="s">
        <v>70</v>
      </c>
      <c r="M36" s="49" t="s">
        <v>75</v>
      </c>
      <c r="N36" s="49" t="s">
        <v>70</v>
      </c>
    </row>
    <row r="37" spans="2:14">
      <c r="B37" s="40" t="s">
        <v>84</v>
      </c>
      <c r="C37" s="50">
        <v>5</v>
      </c>
      <c r="D37" s="44">
        <v>2578</v>
      </c>
      <c r="E37" s="50">
        <v>5</v>
      </c>
      <c r="F37" s="50">
        <v>0</v>
      </c>
      <c r="G37" s="52">
        <v>5</v>
      </c>
      <c r="H37" s="52">
        <v>5</v>
      </c>
      <c r="J37" s="52">
        <v>54</v>
      </c>
      <c r="K37" s="52">
        <v>54</v>
      </c>
      <c r="M37" s="52">
        <v>1</v>
      </c>
      <c r="N37" s="52">
        <v>1</v>
      </c>
    </row>
    <row r="38" spans="2:14">
      <c r="B38" s="40" t="s">
        <v>89</v>
      </c>
      <c r="C38" s="50">
        <v>1</v>
      </c>
      <c r="D38" s="44">
        <v>325</v>
      </c>
      <c r="E38" s="50">
        <v>1</v>
      </c>
      <c r="F38" s="50">
        <v>0</v>
      </c>
      <c r="G38" s="52">
        <v>1</v>
      </c>
      <c r="H38" s="52">
        <v>1</v>
      </c>
      <c r="J38" s="52">
        <v>9</v>
      </c>
      <c r="K38" s="52">
        <v>9</v>
      </c>
      <c r="M38" s="52">
        <v>0</v>
      </c>
      <c r="N38" s="52">
        <v>0</v>
      </c>
    </row>
    <row r="39" spans="2:14">
      <c r="B39" s="40" t="s">
        <v>96</v>
      </c>
      <c r="C39" s="50">
        <v>3</v>
      </c>
      <c r="D39" s="44">
        <v>827</v>
      </c>
      <c r="E39" s="50">
        <v>1</v>
      </c>
      <c r="F39" s="50">
        <v>0</v>
      </c>
      <c r="G39" s="52">
        <v>3</v>
      </c>
      <c r="H39" s="52">
        <v>3</v>
      </c>
      <c r="J39" s="52">
        <v>47</v>
      </c>
      <c r="K39" s="52">
        <v>47</v>
      </c>
      <c r="M39" s="52">
        <v>2</v>
      </c>
      <c r="N39" s="52">
        <v>2</v>
      </c>
    </row>
    <row r="40" spans="2:14">
      <c r="B40" s="40"/>
      <c r="C40" s="50"/>
      <c r="D40" s="44"/>
      <c r="E40" s="50"/>
      <c r="F40" s="50"/>
      <c r="G40" s="52"/>
      <c r="H40" s="52"/>
      <c r="J40" s="52"/>
      <c r="K40" s="52"/>
      <c r="M40" s="52"/>
      <c r="N40" s="52"/>
    </row>
    <row r="42" spans="2:14">
      <c r="B42" s="86" t="s">
        <v>133</v>
      </c>
    </row>
    <row r="43" spans="2:14">
      <c r="B43" s="80" t="s">
        <v>121</v>
      </c>
      <c r="C43" s="19" t="s">
        <v>134</v>
      </c>
      <c r="D43" s="89" t="s">
        <v>135</v>
      </c>
      <c r="E43" s="82" t="s">
        <v>136</v>
      </c>
      <c r="F43" s="82" t="s">
        <v>137</v>
      </c>
      <c r="G43" s="82" t="s">
        <v>138</v>
      </c>
      <c r="H43" s="82" t="s">
        <v>139</v>
      </c>
      <c r="I43" s="82" t="s">
        <v>140</v>
      </c>
      <c r="J43" s="90" t="s">
        <v>129</v>
      </c>
    </row>
    <row r="44" spans="2:14">
      <c r="B44" s="83" t="s">
        <v>130</v>
      </c>
      <c r="C44" s="83">
        <v>10</v>
      </c>
      <c r="D44" s="87">
        <v>2</v>
      </c>
      <c r="E44" s="87">
        <v>8</v>
      </c>
      <c r="F44" s="87">
        <v>0</v>
      </c>
      <c r="G44" s="87">
        <v>2</v>
      </c>
      <c r="H44" s="87">
        <v>0</v>
      </c>
      <c r="I44" s="87">
        <v>0</v>
      </c>
      <c r="J44" s="87">
        <v>0</v>
      </c>
    </row>
    <row r="45" spans="2:14">
      <c r="B45" s="83" t="s">
        <v>131</v>
      </c>
      <c r="C45" s="83">
        <v>97</v>
      </c>
      <c r="D45" s="39">
        <v>0</v>
      </c>
      <c r="E45" s="87">
        <v>97</v>
      </c>
      <c r="F45" s="87">
        <v>0</v>
      </c>
      <c r="G45" s="87">
        <v>0</v>
      </c>
      <c r="H45" s="87">
        <v>0</v>
      </c>
      <c r="I45" s="87">
        <v>0</v>
      </c>
      <c r="J45" s="87">
        <v>0</v>
      </c>
    </row>
    <row r="46" spans="2:14">
      <c r="B46" s="83" t="s">
        <v>132</v>
      </c>
      <c r="C46" s="83">
        <v>67</v>
      </c>
      <c r="D46" s="39">
        <v>0</v>
      </c>
      <c r="E46" s="87">
        <v>67</v>
      </c>
      <c r="F46" s="87">
        <v>0</v>
      </c>
      <c r="G46" s="87">
        <v>0</v>
      </c>
      <c r="H46" s="87">
        <v>0</v>
      </c>
      <c r="I46" s="87">
        <v>0</v>
      </c>
      <c r="J46" s="87">
        <v>0</v>
      </c>
    </row>
    <row r="48" spans="2:14" s="54" customFormat="1" ht="15.75" customHeight="1">
      <c r="B48" s="53" t="s">
        <v>55</v>
      </c>
      <c r="I48" s="55" t="s">
        <v>76</v>
      </c>
    </row>
    <row r="49" spans="2:14" s="54" customFormat="1" ht="15.75" customHeight="1">
      <c r="C49" s="56" t="s">
        <v>56</v>
      </c>
      <c r="D49" s="56" t="s">
        <v>57</v>
      </c>
      <c r="E49" s="56" t="s">
        <v>58</v>
      </c>
      <c r="F49" s="56" t="s">
        <v>59</v>
      </c>
      <c r="J49" s="57" t="s">
        <v>77</v>
      </c>
      <c r="K49" s="57" t="s">
        <v>78</v>
      </c>
      <c r="L49" s="57" t="s">
        <v>79</v>
      </c>
      <c r="M49" s="57" t="s">
        <v>80</v>
      </c>
      <c r="N49" s="54" t="s">
        <v>97</v>
      </c>
    </row>
    <row r="50" spans="2:14" s="54" customFormat="1" ht="15.75" customHeight="1">
      <c r="C50" s="58">
        <v>13</v>
      </c>
      <c r="D50" s="58">
        <v>12</v>
      </c>
      <c r="E50" s="58">
        <v>0</v>
      </c>
      <c r="F50" s="59">
        <v>1</v>
      </c>
      <c r="J50" s="60">
        <v>192</v>
      </c>
      <c r="K50" s="60">
        <v>192</v>
      </c>
      <c r="L50" s="60">
        <v>192</v>
      </c>
      <c r="M50" s="60">
        <v>192</v>
      </c>
      <c r="N50" s="54">
        <v>0</v>
      </c>
    </row>
    <row r="51" spans="2:14" s="54" customFormat="1" ht="15.75" customHeight="1"/>
    <row r="52" spans="2:14">
      <c r="B52" s="15" t="s">
        <v>47</v>
      </c>
      <c r="I52" s="15" t="s">
        <v>48</v>
      </c>
    </row>
    <row r="53" spans="2:14">
      <c r="B53" s="102" t="s">
        <v>153</v>
      </c>
      <c r="C53" s="128"/>
      <c r="D53" s="128"/>
      <c r="E53" s="128"/>
      <c r="F53" s="128"/>
      <c r="G53" s="129"/>
      <c r="I53" s="111" t="s">
        <v>154</v>
      </c>
      <c r="J53" s="136"/>
      <c r="K53" s="136"/>
      <c r="L53" s="136"/>
      <c r="M53" s="136"/>
      <c r="N53" s="137"/>
    </row>
    <row r="54" spans="2:14">
      <c r="B54" s="130"/>
      <c r="C54" s="131"/>
      <c r="D54" s="131"/>
      <c r="E54" s="131"/>
      <c r="F54" s="131"/>
      <c r="G54" s="132"/>
      <c r="I54" s="138"/>
      <c r="J54" s="139"/>
      <c r="K54" s="139"/>
      <c r="L54" s="139"/>
      <c r="M54" s="139"/>
      <c r="N54" s="140"/>
    </row>
    <row r="55" spans="2:14">
      <c r="B55" s="130"/>
      <c r="C55" s="131"/>
      <c r="D55" s="131"/>
      <c r="E55" s="131"/>
      <c r="F55" s="131"/>
      <c r="G55" s="132"/>
      <c r="I55" s="138"/>
      <c r="J55" s="139"/>
      <c r="K55" s="139"/>
      <c r="L55" s="139"/>
      <c r="M55" s="139"/>
      <c r="N55" s="140"/>
    </row>
    <row r="56" spans="2:14">
      <c r="B56" s="130"/>
      <c r="C56" s="131"/>
      <c r="D56" s="131"/>
      <c r="E56" s="131"/>
      <c r="F56" s="131"/>
      <c r="G56" s="132"/>
      <c r="I56" s="138"/>
      <c r="J56" s="139"/>
      <c r="K56" s="139"/>
      <c r="L56" s="139"/>
      <c r="M56" s="139"/>
      <c r="N56" s="140"/>
    </row>
    <row r="57" spans="2:14">
      <c r="B57" s="130"/>
      <c r="C57" s="131"/>
      <c r="D57" s="131"/>
      <c r="E57" s="131"/>
      <c r="F57" s="131"/>
      <c r="G57" s="132"/>
      <c r="I57" s="138"/>
      <c r="J57" s="139"/>
      <c r="K57" s="139"/>
      <c r="L57" s="139"/>
      <c r="M57" s="139"/>
      <c r="N57" s="140"/>
    </row>
    <row r="58" spans="2:14">
      <c r="B58" s="130"/>
      <c r="C58" s="131"/>
      <c r="D58" s="131"/>
      <c r="E58" s="131"/>
      <c r="F58" s="131"/>
      <c r="G58" s="132"/>
      <c r="I58" s="138"/>
      <c r="J58" s="139"/>
      <c r="K58" s="139"/>
      <c r="L58" s="139"/>
      <c r="M58" s="139"/>
      <c r="N58" s="140"/>
    </row>
    <row r="59" spans="2:14">
      <c r="B59" s="130"/>
      <c r="C59" s="131"/>
      <c r="D59" s="131"/>
      <c r="E59" s="131"/>
      <c r="F59" s="131"/>
      <c r="G59" s="132"/>
      <c r="I59" s="138"/>
      <c r="J59" s="139"/>
      <c r="K59" s="139"/>
      <c r="L59" s="139"/>
      <c r="M59" s="139"/>
      <c r="N59" s="140"/>
    </row>
    <row r="60" spans="2:14">
      <c r="B60" s="130"/>
      <c r="C60" s="131"/>
      <c r="D60" s="131"/>
      <c r="E60" s="131"/>
      <c r="F60" s="131"/>
      <c r="G60" s="132"/>
      <c r="I60" s="138"/>
      <c r="J60" s="139"/>
      <c r="K60" s="139"/>
      <c r="L60" s="139"/>
      <c r="M60" s="139"/>
      <c r="N60" s="140"/>
    </row>
    <row r="61" spans="2:14">
      <c r="B61" s="130"/>
      <c r="C61" s="131"/>
      <c r="D61" s="131"/>
      <c r="E61" s="131"/>
      <c r="F61" s="131"/>
      <c r="G61" s="132"/>
      <c r="I61" s="138"/>
      <c r="J61" s="139"/>
      <c r="K61" s="139"/>
      <c r="L61" s="139"/>
      <c r="M61" s="139"/>
      <c r="N61" s="140"/>
    </row>
    <row r="62" spans="2:14">
      <c r="B62" s="130"/>
      <c r="C62" s="131"/>
      <c r="D62" s="131"/>
      <c r="E62" s="131"/>
      <c r="F62" s="131"/>
      <c r="G62" s="132"/>
      <c r="I62" s="138"/>
      <c r="J62" s="139"/>
      <c r="K62" s="139"/>
      <c r="L62" s="139"/>
      <c r="M62" s="139"/>
      <c r="N62" s="140"/>
    </row>
    <row r="63" spans="2:14">
      <c r="B63" s="130"/>
      <c r="C63" s="131"/>
      <c r="D63" s="131"/>
      <c r="E63" s="131"/>
      <c r="F63" s="131"/>
      <c r="G63" s="132"/>
      <c r="I63" s="138"/>
      <c r="J63" s="139"/>
      <c r="K63" s="139"/>
      <c r="L63" s="139"/>
      <c r="M63" s="139"/>
      <c r="N63" s="140"/>
    </row>
    <row r="64" spans="2:14">
      <c r="B64" s="130"/>
      <c r="C64" s="131"/>
      <c r="D64" s="131"/>
      <c r="E64" s="131"/>
      <c r="F64" s="131"/>
      <c r="G64" s="132"/>
      <c r="I64" s="138"/>
      <c r="J64" s="139"/>
      <c r="K64" s="139"/>
      <c r="L64" s="139"/>
      <c r="M64" s="139"/>
      <c r="N64" s="140"/>
    </row>
    <row r="65" spans="2:15">
      <c r="B65" s="130"/>
      <c r="C65" s="131"/>
      <c r="D65" s="131"/>
      <c r="E65" s="131"/>
      <c r="F65" s="131"/>
      <c r="G65" s="132"/>
      <c r="I65" s="138"/>
      <c r="J65" s="139"/>
      <c r="K65" s="139"/>
      <c r="L65" s="139"/>
      <c r="M65" s="139"/>
      <c r="N65" s="140"/>
    </row>
    <row r="66" spans="2:15">
      <c r="B66" s="130"/>
      <c r="C66" s="131"/>
      <c r="D66" s="131"/>
      <c r="E66" s="131"/>
      <c r="F66" s="131"/>
      <c r="G66" s="132"/>
      <c r="I66" s="138"/>
      <c r="J66" s="139"/>
      <c r="K66" s="139"/>
      <c r="L66" s="139"/>
      <c r="M66" s="139"/>
      <c r="N66" s="140"/>
    </row>
    <row r="67" spans="2:15">
      <c r="B67" s="130"/>
      <c r="C67" s="131"/>
      <c r="D67" s="131"/>
      <c r="E67" s="131"/>
      <c r="F67" s="131"/>
      <c r="G67" s="132"/>
      <c r="I67" s="138"/>
      <c r="J67" s="139"/>
      <c r="K67" s="139"/>
      <c r="L67" s="139"/>
      <c r="M67" s="139"/>
      <c r="N67" s="140"/>
    </row>
    <row r="68" spans="2:15">
      <c r="B68" s="130"/>
      <c r="C68" s="131"/>
      <c r="D68" s="131"/>
      <c r="E68" s="131"/>
      <c r="F68" s="131"/>
      <c r="G68" s="132"/>
      <c r="I68" s="138"/>
      <c r="J68" s="139"/>
      <c r="K68" s="139"/>
      <c r="L68" s="139"/>
      <c r="M68" s="139"/>
      <c r="N68" s="140"/>
    </row>
    <row r="69" spans="2:15" ht="42.6" customHeight="1">
      <c r="B69" s="133"/>
      <c r="C69" s="134"/>
      <c r="D69" s="134"/>
      <c r="E69" s="134"/>
      <c r="F69" s="134"/>
      <c r="G69" s="135"/>
      <c r="I69" s="141"/>
      <c r="J69" s="142"/>
      <c r="K69" s="142"/>
      <c r="L69" s="142"/>
      <c r="M69" s="142"/>
      <c r="N69" s="143"/>
    </row>
    <row r="70" spans="2:15">
      <c r="N70" s="13" t="s">
        <v>49</v>
      </c>
      <c r="O70" s="13"/>
    </row>
  </sheetData>
  <mergeCells count="3">
    <mergeCell ref="B7:N11"/>
    <mergeCell ref="B53:G69"/>
    <mergeCell ref="I53:N69"/>
  </mergeCells>
  <phoneticPr fontId="1"/>
  <conditionalFormatting sqref="E23:E26">
    <cfRule type="expression" dxfId="49" priority="3">
      <formula>AND(D23&lt;&gt;0,E23/D23&lt;0.001)</formula>
    </cfRule>
  </conditionalFormatting>
  <conditionalFormatting sqref="E30:E33">
    <cfRule type="expression" dxfId="48" priority="2">
      <formula>AND(D30&lt;&gt;0,E30/D30&lt;0.001)</formula>
    </cfRule>
  </conditionalFormatting>
  <conditionalFormatting sqref="E37:E40">
    <cfRule type="expression" dxfId="47" priority="1">
      <formula>AND(D37&lt;&gt;0,E37/D37&lt;0.001)</formula>
    </cfRule>
  </conditionalFormatting>
  <conditionalFormatting sqref="H23:H26">
    <cfRule type="expression" dxfId="46" priority="12">
      <formula>H23&lt;&gt;G23</formula>
    </cfRule>
  </conditionalFormatting>
  <conditionalFormatting sqref="H30 H32:H33">
    <cfRule type="expression" dxfId="45" priority="9">
      <formula>H30&lt;&gt;G30</formula>
    </cfRule>
  </conditionalFormatting>
  <conditionalFormatting sqref="H37:H40">
    <cfRule type="expression" dxfId="44" priority="6">
      <formula>H37&lt;&gt;G37</formula>
    </cfRule>
  </conditionalFormatting>
  <conditionalFormatting sqref="K23:K26">
    <cfRule type="expression" dxfId="43" priority="11">
      <formula>K23&lt;&gt;J23</formula>
    </cfRule>
  </conditionalFormatting>
  <conditionalFormatting sqref="K30:K33">
    <cfRule type="expression" dxfId="42" priority="8">
      <formula>K30&lt;&gt;J30</formula>
    </cfRule>
  </conditionalFormatting>
  <conditionalFormatting sqref="K37:K40">
    <cfRule type="expression" dxfId="41" priority="5">
      <formula>K37&lt;&gt;J37</formula>
    </cfRule>
  </conditionalFormatting>
  <conditionalFormatting sqref="N23:N26">
    <cfRule type="expression" dxfId="40" priority="10">
      <formula>N23&lt;&gt;M23</formula>
    </cfRule>
  </conditionalFormatting>
  <conditionalFormatting sqref="N30:N33">
    <cfRule type="expression" dxfId="39" priority="7">
      <formula>N30&lt;&gt;M30</formula>
    </cfRule>
  </conditionalFormatting>
  <conditionalFormatting sqref="N37:N40">
    <cfRule type="expression" dxfId="38" priority="4">
      <formula>N37&lt;&gt;M37</formula>
    </cfRule>
  </conditionalFormatting>
  <hyperlinks>
    <hyperlink ref="B28" r:id="rId1" xr:uid="{11F2AF9E-21B7-44E7-B59A-9AB78240D698}"/>
    <hyperlink ref="B35" r:id="rId2" xr:uid="{7FED3943-3B08-4FD8-949F-7842D498B495}"/>
    <hyperlink ref="B21" r:id="rId3" xr:uid="{BF422A6A-4E07-4BE2-A0CD-ADFF182F11FC}"/>
  </hyperlink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8" orientation="landscape" r:id="rId4"/>
  <drawing r:id="rId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7952-5776-4170-959D-0A9D0BB07EA3}">
  <sheetPr>
    <pageSetUpPr fitToPage="1"/>
  </sheetPr>
  <dimension ref="B4:P70"/>
  <sheetViews>
    <sheetView topLeftCell="A21" zoomScale="115" zoomScaleNormal="115" workbookViewId="0">
      <selection activeCell="H49" sqref="H49"/>
    </sheetView>
  </sheetViews>
  <sheetFormatPr defaultRowHeight="15"/>
  <cols>
    <col min="1" max="1" width="2.6328125" customWidth="1"/>
    <col min="2" max="14" width="9.1796875" customWidth="1"/>
    <col min="15" max="15" width="2.6328125" customWidth="1"/>
  </cols>
  <sheetData>
    <row r="4" spans="2:14">
      <c r="B4" s="15" t="s">
        <v>12</v>
      </c>
      <c r="C4" s="16">
        <v>46175</v>
      </c>
      <c r="E4" s="15" t="s">
        <v>13</v>
      </c>
      <c r="F4" s="16" t="s">
        <v>142</v>
      </c>
      <c r="H4" s="15" t="s">
        <v>14</v>
      </c>
      <c r="I4" s="16" t="s">
        <v>143</v>
      </c>
    </row>
    <row r="6" spans="2:14">
      <c r="B6" s="15" t="s">
        <v>16</v>
      </c>
    </row>
    <row r="7" spans="2:14" ht="24.9" customHeight="1">
      <c r="B7" s="93" t="s">
        <v>144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5"/>
    </row>
    <row r="8" spans="2:14" ht="24.9" customHeight="1">
      <c r="B8" s="96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</row>
    <row r="9" spans="2:14" ht="24.9" customHeight="1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8"/>
    </row>
    <row r="10" spans="2:14" ht="25.5" customHeight="1"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</row>
    <row r="11" spans="2:14" ht="14.25" customHeight="1">
      <c r="B11" s="99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1"/>
    </row>
    <row r="12" spans="2:14">
      <c r="B12" s="15"/>
      <c r="E12" s="13" t="s">
        <v>17</v>
      </c>
      <c r="F12" s="13" t="s">
        <v>18</v>
      </c>
      <c r="G12" s="13" t="s">
        <v>19</v>
      </c>
      <c r="H12" s="13" t="s">
        <v>20</v>
      </c>
      <c r="I12" s="13" t="s">
        <v>21</v>
      </c>
      <c r="J12" s="13" t="s">
        <v>22</v>
      </c>
      <c r="K12" s="13" t="s">
        <v>23</v>
      </c>
      <c r="L12" s="13" t="s">
        <v>24</v>
      </c>
      <c r="M12" s="13" t="s">
        <v>25</v>
      </c>
      <c r="N12" s="13" t="s">
        <v>26</v>
      </c>
    </row>
    <row r="13" spans="2:14">
      <c r="B13" s="17" t="s">
        <v>27</v>
      </c>
      <c r="C13" s="18"/>
      <c r="D13" s="19"/>
      <c r="E13" s="20" t="s">
        <v>28</v>
      </c>
      <c r="F13" s="21" t="s">
        <v>29</v>
      </c>
      <c r="G13" s="21" t="s">
        <v>30</v>
      </c>
      <c r="H13" s="21" t="s">
        <v>31</v>
      </c>
      <c r="I13" s="21" t="s">
        <v>32</v>
      </c>
      <c r="J13" s="21" t="s">
        <v>33</v>
      </c>
      <c r="K13" s="21" t="s">
        <v>34</v>
      </c>
      <c r="L13" s="21" t="s">
        <v>31</v>
      </c>
      <c r="M13" s="21" t="s">
        <v>32</v>
      </c>
      <c r="N13" s="21" t="s">
        <v>35</v>
      </c>
    </row>
    <row r="14" spans="2:14" ht="17.399999999999999">
      <c r="B14" s="22" t="s">
        <v>36</v>
      </c>
      <c r="C14" s="23"/>
      <c r="D14" s="24"/>
      <c r="E14" s="41">
        <v>93</v>
      </c>
      <c r="F14" s="42">
        <v>93</v>
      </c>
      <c r="G14" s="42">
        <v>93</v>
      </c>
      <c r="H14" s="27">
        <f t="shared" ref="H14:H19" si="0">G14-F14</f>
        <v>0</v>
      </c>
      <c r="I14" s="28">
        <f t="shared" ref="I14:I19" si="1">G14/F14</f>
        <v>1</v>
      </c>
      <c r="J14" s="45">
        <v>93</v>
      </c>
      <c r="K14" s="45">
        <v>93</v>
      </c>
      <c r="L14" s="27">
        <f t="shared" ref="L14:L19" si="2">K14-J14</f>
        <v>0</v>
      </c>
      <c r="M14" s="28">
        <f t="shared" ref="M14:M19" si="3">K14/J14</f>
        <v>1</v>
      </c>
      <c r="N14" s="28">
        <f t="shared" ref="N14:N19" si="4">K14/E14</f>
        <v>1</v>
      </c>
    </row>
    <row r="15" spans="2:14" ht="17.399999999999999">
      <c r="B15" s="22" t="s">
        <v>37</v>
      </c>
      <c r="C15" s="23"/>
      <c r="D15" s="24"/>
      <c r="E15" s="41">
        <v>93</v>
      </c>
      <c r="F15" s="42">
        <v>93</v>
      </c>
      <c r="G15" s="42">
        <v>93</v>
      </c>
      <c r="H15" s="27">
        <f t="shared" si="0"/>
        <v>0</v>
      </c>
      <c r="I15" s="28">
        <f t="shared" si="1"/>
        <v>1</v>
      </c>
      <c r="J15" s="45">
        <v>93</v>
      </c>
      <c r="K15" s="45">
        <v>93</v>
      </c>
      <c r="L15" s="27">
        <f t="shared" si="2"/>
        <v>0</v>
      </c>
      <c r="M15" s="28">
        <f t="shared" si="3"/>
        <v>1</v>
      </c>
      <c r="N15" s="28">
        <f t="shared" si="4"/>
        <v>1</v>
      </c>
    </row>
    <row r="16" spans="2:14" ht="17.399999999999999">
      <c r="B16" s="22" t="s">
        <v>38</v>
      </c>
      <c r="C16" s="23"/>
      <c r="D16" s="24"/>
      <c r="E16" s="41">
        <v>93</v>
      </c>
      <c r="F16" s="42">
        <v>93</v>
      </c>
      <c r="G16" s="42">
        <v>93</v>
      </c>
      <c r="H16" s="27">
        <f t="shared" si="0"/>
        <v>0</v>
      </c>
      <c r="I16" s="28">
        <f t="shared" si="1"/>
        <v>1</v>
      </c>
      <c r="J16" s="45">
        <v>93</v>
      </c>
      <c r="K16" s="45">
        <v>93</v>
      </c>
      <c r="L16" s="27">
        <f t="shared" si="2"/>
        <v>0</v>
      </c>
      <c r="M16" s="28">
        <f t="shared" si="3"/>
        <v>1</v>
      </c>
      <c r="N16" s="28">
        <f t="shared" si="4"/>
        <v>1</v>
      </c>
    </row>
    <row r="17" spans="2:15" ht="17.399999999999999">
      <c r="B17" s="22" t="s">
        <v>39</v>
      </c>
      <c r="C17" s="23"/>
      <c r="D17" s="24"/>
      <c r="E17" s="41">
        <v>93</v>
      </c>
      <c r="F17" s="42">
        <v>93</v>
      </c>
      <c r="G17" s="42">
        <v>93</v>
      </c>
      <c r="H17" s="27">
        <f t="shared" si="0"/>
        <v>0</v>
      </c>
      <c r="I17" s="28">
        <f t="shared" si="1"/>
        <v>1</v>
      </c>
      <c r="J17" s="45">
        <v>93</v>
      </c>
      <c r="K17" s="45">
        <v>93</v>
      </c>
      <c r="L17" s="27">
        <f t="shared" si="2"/>
        <v>0</v>
      </c>
      <c r="M17" s="28">
        <f t="shared" si="3"/>
        <v>1</v>
      </c>
      <c r="N17" s="28">
        <f t="shared" si="4"/>
        <v>1</v>
      </c>
    </row>
    <row r="18" spans="2:15" ht="17.399999999999999">
      <c r="B18" s="22" t="s">
        <v>40</v>
      </c>
      <c r="C18" s="23"/>
      <c r="D18" s="24"/>
      <c r="E18" s="41">
        <v>93</v>
      </c>
      <c r="F18" s="42">
        <v>93</v>
      </c>
      <c r="G18" s="42">
        <v>93</v>
      </c>
      <c r="H18" s="27">
        <f t="shared" si="0"/>
        <v>0</v>
      </c>
      <c r="I18" s="28">
        <f t="shared" si="1"/>
        <v>1</v>
      </c>
      <c r="J18" s="45">
        <v>93</v>
      </c>
      <c r="K18" s="45">
        <v>93</v>
      </c>
      <c r="L18" s="27">
        <f t="shared" si="2"/>
        <v>0</v>
      </c>
      <c r="M18" s="28">
        <f t="shared" si="3"/>
        <v>1</v>
      </c>
      <c r="N18" s="28">
        <f t="shared" si="4"/>
        <v>1</v>
      </c>
    </row>
    <row r="19" spans="2:15" ht="17.399999999999999">
      <c r="B19" s="22" t="s">
        <v>41</v>
      </c>
      <c r="C19" s="23"/>
      <c r="D19" s="24"/>
      <c r="E19" s="41">
        <v>93</v>
      </c>
      <c r="F19" s="42">
        <v>93</v>
      </c>
      <c r="G19" s="42">
        <v>93</v>
      </c>
      <c r="H19" s="27">
        <f t="shared" si="0"/>
        <v>0</v>
      </c>
      <c r="I19" s="28">
        <f t="shared" si="1"/>
        <v>1</v>
      </c>
      <c r="J19" s="45">
        <v>93</v>
      </c>
      <c r="K19" s="45">
        <v>93</v>
      </c>
      <c r="L19" s="27">
        <f t="shared" si="2"/>
        <v>0</v>
      </c>
      <c r="M19" s="28">
        <f t="shared" si="3"/>
        <v>1</v>
      </c>
      <c r="N19" s="28">
        <f t="shared" si="4"/>
        <v>1</v>
      </c>
    </row>
    <row r="21" spans="2:15" ht="18">
      <c r="B21" s="46" t="s">
        <v>85</v>
      </c>
      <c r="C21" s="37"/>
      <c r="D21" s="37"/>
      <c r="E21" s="37"/>
      <c r="F21" s="37"/>
      <c r="G21" s="47" t="s">
        <v>83</v>
      </c>
      <c r="J21" s="47" t="s">
        <v>74</v>
      </c>
      <c r="M21" s="47" t="s">
        <v>90</v>
      </c>
    </row>
    <row r="22" spans="2:15" ht="30">
      <c r="B22" s="38" t="s">
        <v>71</v>
      </c>
      <c r="C22" s="43" t="s">
        <v>72</v>
      </c>
      <c r="D22" s="43" t="s">
        <v>86</v>
      </c>
      <c r="E22" s="48" t="s">
        <v>73</v>
      </c>
      <c r="F22" s="48" t="s">
        <v>106</v>
      </c>
      <c r="G22" s="49" t="s">
        <v>91</v>
      </c>
      <c r="H22" s="49" t="s">
        <v>81</v>
      </c>
      <c r="J22" s="49" t="s">
        <v>75</v>
      </c>
      <c r="K22" s="49" t="s">
        <v>70</v>
      </c>
      <c r="M22" s="49" t="s">
        <v>75</v>
      </c>
      <c r="N22" s="49" t="s">
        <v>70</v>
      </c>
    </row>
    <row r="23" spans="2:15">
      <c r="B23" s="40" t="s">
        <v>82</v>
      </c>
      <c r="C23" s="50">
        <v>42</v>
      </c>
      <c r="D23" s="44">
        <v>18774</v>
      </c>
      <c r="E23" s="50">
        <v>19</v>
      </c>
      <c r="F23" s="50">
        <v>1</v>
      </c>
      <c r="G23" s="50">
        <v>42</v>
      </c>
      <c r="H23" s="50">
        <v>42</v>
      </c>
      <c r="J23" s="52">
        <v>182</v>
      </c>
      <c r="K23" s="52">
        <v>182</v>
      </c>
      <c r="M23" s="52">
        <v>35</v>
      </c>
      <c r="N23" s="52">
        <v>34</v>
      </c>
      <c r="O23" t="s">
        <v>147</v>
      </c>
    </row>
    <row r="24" spans="2:15">
      <c r="B24" s="40" t="s">
        <v>103</v>
      </c>
      <c r="C24" s="50">
        <v>0</v>
      </c>
      <c r="D24" s="44">
        <v>0</v>
      </c>
      <c r="E24" s="50">
        <v>0</v>
      </c>
      <c r="F24" s="50">
        <v>0</v>
      </c>
      <c r="G24" s="50">
        <v>0</v>
      </c>
      <c r="H24" s="50">
        <v>0</v>
      </c>
      <c r="J24" s="52"/>
      <c r="K24" s="52"/>
      <c r="M24" s="52">
        <v>3</v>
      </c>
      <c r="N24" s="52">
        <v>3</v>
      </c>
    </row>
    <row r="25" spans="2:15">
      <c r="B25" s="40" t="s">
        <v>93</v>
      </c>
      <c r="C25" s="50">
        <v>0</v>
      </c>
      <c r="D25" s="44">
        <v>0</v>
      </c>
      <c r="E25" s="50">
        <v>0</v>
      </c>
      <c r="F25" s="50">
        <v>0</v>
      </c>
      <c r="G25" s="50">
        <v>0</v>
      </c>
      <c r="H25" s="50">
        <v>0</v>
      </c>
      <c r="J25" s="52"/>
      <c r="K25" s="52"/>
      <c r="M25" s="52"/>
      <c r="N25" s="52"/>
    </row>
    <row r="26" spans="2:15">
      <c r="B26" s="40" t="s">
        <v>94</v>
      </c>
      <c r="C26" s="50">
        <v>0</v>
      </c>
      <c r="D26" s="44">
        <v>0</v>
      </c>
      <c r="E26" s="50">
        <v>0</v>
      </c>
      <c r="F26" s="50">
        <v>0</v>
      </c>
      <c r="G26" s="50">
        <v>0</v>
      </c>
      <c r="H26" s="50">
        <v>0</v>
      </c>
      <c r="J26" s="52"/>
      <c r="K26" s="52"/>
      <c r="M26" s="52"/>
      <c r="N26" s="52"/>
    </row>
    <row r="28" spans="2:15" ht="18">
      <c r="B28" s="46" t="s">
        <v>87</v>
      </c>
      <c r="C28" s="37"/>
      <c r="D28" s="37"/>
      <c r="E28" s="37"/>
      <c r="F28" s="37"/>
      <c r="G28" s="47" t="s">
        <v>83</v>
      </c>
      <c r="J28" s="47" t="s">
        <v>74</v>
      </c>
      <c r="M28" s="47" t="s">
        <v>90</v>
      </c>
    </row>
    <row r="29" spans="2:15" ht="30">
      <c r="B29" s="38" t="s">
        <v>71</v>
      </c>
      <c r="C29" s="43" t="s">
        <v>72</v>
      </c>
      <c r="D29" s="43" t="s">
        <v>86</v>
      </c>
      <c r="E29" s="48" t="s">
        <v>73</v>
      </c>
      <c r="F29" s="48" t="s">
        <v>106</v>
      </c>
      <c r="G29" s="49" t="s">
        <v>91</v>
      </c>
      <c r="H29" s="49" t="s">
        <v>81</v>
      </c>
      <c r="J29" s="49" t="s">
        <v>75</v>
      </c>
      <c r="K29" s="49" t="s">
        <v>70</v>
      </c>
      <c r="M29" s="49" t="s">
        <v>75</v>
      </c>
      <c r="N29" s="49" t="s">
        <v>70</v>
      </c>
    </row>
    <row r="30" spans="2:15">
      <c r="B30" s="40" t="s">
        <v>82</v>
      </c>
      <c r="C30" s="50">
        <v>17</v>
      </c>
      <c r="D30" s="44">
        <v>11990</v>
      </c>
      <c r="E30" s="50">
        <v>12</v>
      </c>
      <c r="F30" s="50">
        <v>1</v>
      </c>
      <c r="G30" s="52">
        <v>17</v>
      </c>
      <c r="H30" s="52">
        <v>17</v>
      </c>
      <c r="J30" s="52">
        <v>108</v>
      </c>
      <c r="K30" s="52">
        <v>108</v>
      </c>
      <c r="M30" s="52">
        <v>8</v>
      </c>
      <c r="N30" s="52">
        <v>8</v>
      </c>
    </row>
    <row r="31" spans="2:15">
      <c r="B31" s="40" t="s">
        <v>95</v>
      </c>
      <c r="C31" s="50">
        <v>1</v>
      </c>
      <c r="D31" s="44">
        <v>545</v>
      </c>
      <c r="E31" s="50">
        <v>1</v>
      </c>
      <c r="F31" s="50">
        <v>0</v>
      </c>
      <c r="G31" s="52">
        <v>1</v>
      </c>
      <c r="H31" s="52">
        <v>1</v>
      </c>
      <c r="J31" s="52"/>
      <c r="K31" s="52"/>
      <c r="M31" s="52"/>
      <c r="N31" s="52"/>
    </row>
    <row r="32" spans="2:15">
      <c r="B32" s="40"/>
      <c r="C32" s="50"/>
      <c r="D32" s="44"/>
      <c r="E32" s="50"/>
      <c r="F32" s="50"/>
      <c r="G32" s="52"/>
      <c r="H32" s="52"/>
      <c r="J32" s="52"/>
      <c r="K32" s="52"/>
      <c r="M32" s="52"/>
      <c r="N32" s="52"/>
    </row>
    <row r="33" spans="2:16">
      <c r="B33" s="40"/>
      <c r="C33" s="50"/>
      <c r="D33" s="44"/>
      <c r="E33" s="50"/>
      <c r="F33" s="50"/>
      <c r="G33" s="52"/>
      <c r="H33" s="52"/>
      <c r="J33" s="52"/>
      <c r="K33" s="52"/>
      <c r="M33" s="52"/>
      <c r="N33" s="52"/>
    </row>
    <row r="35" spans="2:16" ht="18">
      <c r="B35" s="46" t="s">
        <v>88</v>
      </c>
      <c r="C35" s="37"/>
      <c r="D35" s="37"/>
      <c r="E35" s="37"/>
      <c r="F35" s="37"/>
      <c r="G35" s="47" t="s">
        <v>83</v>
      </c>
      <c r="J35" s="47" t="s">
        <v>74</v>
      </c>
      <c r="M35" s="47" t="s">
        <v>90</v>
      </c>
    </row>
    <row r="36" spans="2:16" ht="30">
      <c r="B36" s="38" t="s">
        <v>71</v>
      </c>
      <c r="C36" s="43" t="s">
        <v>72</v>
      </c>
      <c r="D36" s="43" t="s">
        <v>86</v>
      </c>
      <c r="E36" s="48" t="s">
        <v>73</v>
      </c>
      <c r="F36" s="48" t="s">
        <v>106</v>
      </c>
      <c r="G36" s="49" t="s">
        <v>91</v>
      </c>
      <c r="H36" s="49" t="s">
        <v>81</v>
      </c>
      <c r="J36" s="49" t="s">
        <v>75</v>
      </c>
      <c r="K36" s="49" t="s">
        <v>70</v>
      </c>
      <c r="M36" s="49" t="s">
        <v>75</v>
      </c>
      <c r="N36" s="49" t="s">
        <v>70</v>
      </c>
    </row>
    <row r="37" spans="2:16">
      <c r="B37" s="40" t="s">
        <v>84</v>
      </c>
      <c r="C37" s="50">
        <v>4</v>
      </c>
      <c r="D37" s="44">
        <v>8300</v>
      </c>
      <c r="E37" s="50">
        <v>0</v>
      </c>
      <c r="F37" s="50">
        <v>0</v>
      </c>
      <c r="G37" s="52">
        <v>4</v>
      </c>
      <c r="H37" s="52">
        <v>4</v>
      </c>
      <c r="J37" s="52">
        <v>25</v>
      </c>
      <c r="K37" s="52">
        <v>25</v>
      </c>
      <c r="M37" s="52">
        <v>0</v>
      </c>
      <c r="N37" s="52">
        <v>0</v>
      </c>
    </row>
    <row r="38" spans="2:16">
      <c r="B38" s="40" t="s">
        <v>96</v>
      </c>
      <c r="C38" s="50">
        <v>1</v>
      </c>
      <c r="D38" s="44">
        <v>50</v>
      </c>
      <c r="E38" s="50">
        <v>0</v>
      </c>
      <c r="F38" s="50">
        <v>0</v>
      </c>
      <c r="G38" s="52">
        <v>1</v>
      </c>
      <c r="H38" s="52">
        <v>1</v>
      </c>
      <c r="J38" s="52"/>
      <c r="K38" s="52"/>
      <c r="M38" s="52"/>
      <c r="N38" s="52"/>
    </row>
    <row r="39" spans="2:16">
      <c r="B39" s="40" t="s">
        <v>89</v>
      </c>
      <c r="C39" s="50">
        <v>0</v>
      </c>
      <c r="D39" s="44">
        <v>0</v>
      </c>
      <c r="E39" s="50">
        <v>0</v>
      </c>
      <c r="F39" s="50">
        <v>0</v>
      </c>
      <c r="G39" s="50">
        <v>0</v>
      </c>
      <c r="H39" s="50">
        <v>0</v>
      </c>
      <c r="J39" s="52"/>
      <c r="K39" s="52"/>
      <c r="M39" s="52"/>
      <c r="N39" s="52"/>
    </row>
    <row r="40" spans="2:16">
      <c r="B40" s="40"/>
      <c r="C40" s="50"/>
      <c r="D40" s="44"/>
      <c r="E40" s="50"/>
      <c r="F40" s="50"/>
      <c r="G40" s="52"/>
      <c r="H40" s="52"/>
      <c r="J40" s="52"/>
      <c r="K40" s="52"/>
      <c r="M40" s="52"/>
      <c r="N40" s="52"/>
    </row>
    <row r="42" spans="2:16">
      <c r="B42" s="15" t="s">
        <v>120</v>
      </c>
    </row>
    <row r="43" spans="2:16">
      <c r="B43" s="80" t="s">
        <v>121</v>
      </c>
      <c r="C43" s="19" t="s">
        <v>122</v>
      </c>
      <c r="D43" s="81" t="s">
        <v>123</v>
      </c>
      <c r="E43" s="82" t="s">
        <v>124</v>
      </c>
      <c r="F43" s="82" t="s">
        <v>125</v>
      </c>
      <c r="G43" s="82" t="s">
        <v>126</v>
      </c>
      <c r="H43" s="82" t="s">
        <v>127</v>
      </c>
      <c r="I43" s="82" t="s">
        <v>128</v>
      </c>
    </row>
    <row r="44" spans="2:16">
      <c r="B44" s="83" t="s">
        <v>130</v>
      </c>
      <c r="C44" s="83">
        <v>2</v>
      </c>
      <c r="D44" s="84">
        <v>0</v>
      </c>
      <c r="E44" s="39">
        <v>2</v>
      </c>
      <c r="F44" s="84">
        <v>0</v>
      </c>
      <c r="G44" s="84">
        <v>0</v>
      </c>
      <c r="H44" s="84">
        <v>0</v>
      </c>
      <c r="I44" s="39">
        <v>0</v>
      </c>
    </row>
    <row r="45" spans="2:16">
      <c r="B45" s="83" t="s">
        <v>131</v>
      </c>
      <c r="C45" s="83">
        <v>70</v>
      </c>
      <c r="D45" s="39">
        <v>1</v>
      </c>
      <c r="E45" s="39">
        <v>43</v>
      </c>
      <c r="F45" s="39">
        <v>26</v>
      </c>
      <c r="G45" s="39">
        <v>1</v>
      </c>
      <c r="H45" s="39">
        <v>0</v>
      </c>
      <c r="I45" s="39">
        <v>0</v>
      </c>
    </row>
    <row r="46" spans="2:16">
      <c r="B46" s="83" t="s">
        <v>132</v>
      </c>
      <c r="C46" s="83">
        <v>42</v>
      </c>
      <c r="D46" s="39">
        <v>1</v>
      </c>
      <c r="E46" s="39">
        <v>41</v>
      </c>
      <c r="F46" s="39">
        <v>0</v>
      </c>
      <c r="G46" s="39">
        <v>1</v>
      </c>
      <c r="H46" s="39">
        <v>0</v>
      </c>
      <c r="I46" s="39">
        <v>0</v>
      </c>
    </row>
    <row r="47" spans="2:16" ht="18"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</row>
    <row r="48" spans="2:16" s="54" customFormat="1" ht="15.75" customHeight="1">
      <c r="B48" s="53" t="s">
        <v>55</v>
      </c>
      <c r="I48" s="55" t="s">
        <v>76</v>
      </c>
    </row>
    <row r="49" spans="2:14" s="54" customFormat="1" ht="15.75" customHeight="1">
      <c r="C49" s="56" t="s">
        <v>56</v>
      </c>
      <c r="D49" s="56" t="s">
        <v>57</v>
      </c>
      <c r="E49" s="56" t="s">
        <v>58</v>
      </c>
      <c r="F49" s="56" t="s">
        <v>59</v>
      </c>
      <c r="J49" s="57" t="s">
        <v>77</v>
      </c>
      <c r="K49" s="57" t="s">
        <v>78</v>
      </c>
      <c r="L49" s="57" t="s">
        <v>79</v>
      </c>
      <c r="M49" s="57" t="s">
        <v>80</v>
      </c>
      <c r="N49" s="57" t="s">
        <v>97</v>
      </c>
    </row>
    <row r="50" spans="2:14" s="54" customFormat="1" ht="15.75" customHeight="1">
      <c r="C50" s="58">
        <v>58</v>
      </c>
      <c r="D50" s="58">
        <v>57</v>
      </c>
      <c r="E50" s="58">
        <v>0</v>
      </c>
      <c r="F50" s="59">
        <v>1</v>
      </c>
      <c r="J50" s="60">
        <v>93</v>
      </c>
      <c r="K50" s="60">
        <v>93</v>
      </c>
      <c r="L50" s="60">
        <v>91</v>
      </c>
      <c r="M50" s="60">
        <v>91</v>
      </c>
      <c r="N50" s="60">
        <v>2</v>
      </c>
    </row>
    <row r="51" spans="2:14" s="54" customFormat="1" ht="15.75" customHeight="1"/>
    <row r="52" spans="2:14">
      <c r="B52" s="15" t="s">
        <v>47</v>
      </c>
      <c r="I52" s="15" t="s">
        <v>48</v>
      </c>
    </row>
    <row r="53" spans="2:14">
      <c r="B53" s="102" t="s">
        <v>151</v>
      </c>
      <c r="C53" s="103"/>
      <c r="D53" s="103"/>
      <c r="E53" s="103"/>
      <c r="F53" s="103"/>
      <c r="G53" s="104"/>
      <c r="I53" s="111" t="s">
        <v>145</v>
      </c>
      <c r="J53" s="112"/>
      <c r="K53" s="112"/>
      <c r="L53" s="112"/>
      <c r="M53" s="112"/>
      <c r="N53" s="113"/>
    </row>
    <row r="54" spans="2:14">
      <c r="B54" s="105"/>
      <c r="C54" s="106"/>
      <c r="D54" s="106"/>
      <c r="E54" s="106"/>
      <c r="F54" s="106"/>
      <c r="G54" s="107"/>
      <c r="I54" s="114"/>
      <c r="J54" s="115"/>
      <c r="K54" s="115"/>
      <c r="L54" s="115"/>
      <c r="M54" s="115"/>
      <c r="N54" s="116"/>
    </row>
    <row r="55" spans="2:14">
      <c r="B55" s="105"/>
      <c r="C55" s="106"/>
      <c r="D55" s="106"/>
      <c r="E55" s="106"/>
      <c r="F55" s="106"/>
      <c r="G55" s="107"/>
      <c r="I55" s="114"/>
      <c r="J55" s="115"/>
      <c r="K55" s="115"/>
      <c r="L55" s="115"/>
      <c r="M55" s="115"/>
      <c r="N55" s="116"/>
    </row>
    <row r="56" spans="2:14">
      <c r="B56" s="105"/>
      <c r="C56" s="106"/>
      <c r="D56" s="106"/>
      <c r="E56" s="106"/>
      <c r="F56" s="106"/>
      <c r="G56" s="107"/>
      <c r="I56" s="114"/>
      <c r="J56" s="115"/>
      <c r="K56" s="115"/>
      <c r="L56" s="115"/>
      <c r="M56" s="115"/>
      <c r="N56" s="116"/>
    </row>
    <row r="57" spans="2:14">
      <c r="B57" s="105"/>
      <c r="C57" s="106"/>
      <c r="D57" s="106"/>
      <c r="E57" s="106"/>
      <c r="F57" s="106"/>
      <c r="G57" s="107"/>
      <c r="I57" s="114"/>
      <c r="J57" s="115"/>
      <c r="K57" s="115"/>
      <c r="L57" s="115"/>
      <c r="M57" s="115"/>
      <c r="N57" s="116"/>
    </row>
    <row r="58" spans="2:14">
      <c r="B58" s="105"/>
      <c r="C58" s="106"/>
      <c r="D58" s="106"/>
      <c r="E58" s="106"/>
      <c r="F58" s="106"/>
      <c r="G58" s="107"/>
      <c r="I58" s="114"/>
      <c r="J58" s="115"/>
      <c r="K58" s="115"/>
      <c r="L58" s="115"/>
      <c r="M58" s="115"/>
      <c r="N58" s="116"/>
    </row>
    <row r="59" spans="2:14">
      <c r="B59" s="105"/>
      <c r="C59" s="106"/>
      <c r="D59" s="106"/>
      <c r="E59" s="106"/>
      <c r="F59" s="106"/>
      <c r="G59" s="107"/>
      <c r="I59" s="114"/>
      <c r="J59" s="115"/>
      <c r="K59" s="115"/>
      <c r="L59" s="115"/>
      <c r="M59" s="115"/>
      <c r="N59" s="116"/>
    </row>
    <row r="60" spans="2:14">
      <c r="B60" s="105"/>
      <c r="C60" s="106"/>
      <c r="D60" s="106"/>
      <c r="E60" s="106"/>
      <c r="F60" s="106"/>
      <c r="G60" s="107"/>
      <c r="I60" s="114"/>
      <c r="J60" s="115"/>
      <c r="K60" s="115"/>
      <c r="L60" s="115"/>
      <c r="M60" s="115"/>
      <c r="N60" s="116"/>
    </row>
    <row r="61" spans="2:14">
      <c r="B61" s="105"/>
      <c r="C61" s="106"/>
      <c r="D61" s="106"/>
      <c r="E61" s="106"/>
      <c r="F61" s="106"/>
      <c r="G61" s="107"/>
      <c r="I61" s="114"/>
      <c r="J61" s="115"/>
      <c r="K61" s="115"/>
      <c r="L61" s="115"/>
      <c r="M61" s="115"/>
      <c r="N61" s="116"/>
    </row>
    <row r="62" spans="2:14">
      <c r="B62" s="105"/>
      <c r="C62" s="106"/>
      <c r="D62" s="106"/>
      <c r="E62" s="106"/>
      <c r="F62" s="106"/>
      <c r="G62" s="107"/>
      <c r="I62" s="114"/>
      <c r="J62" s="115"/>
      <c r="K62" s="115"/>
      <c r="L62" s="115"/>
      <c r="M62" s="115"/>
      <c r="N62" s="116"/>
    </row>
    <row r="63" spans="2:14">
      <c r="B63" s="105"/>
      <c r="C63" s="106"/>
      <c r="D63" s="106"/>
      <c r="E63" s="106"/>
      <c r="F63" s="106"/>
      <c r="G63" s="107"/>
      <c r="I63" s="114"/>
      <c r="J63" s="115"/>
      <c r="K63" s="115"/>
      <c r="L63" s="115"/>
      <c r="M63" s="115"/>
      <c r="N63" s="116"/>
    </row>
    <row r="64" spans="2:14">
      <c r="B64" s="105"/>
      <c r="C64" s="106"/>
      <c r="D64" s="106"/>
      <c r="E64" s="106"/>
      <c r="F64" s="106"/>
      <c r="G64" s="107"/>
      <c r="I64" s="114"/>
      <c r="J64" s="115"/>
      <c r="K64" s="115"/>
      <c r="L64" s="115"/>
      <c r="M64" s="115"/>
      <c r="N64" s="116"/>
    </row>
    <row r="65" spans="2:15">
      <c r="B65" s="105"/>
      <c r="C65" s="106"/>
      <c r="D65" s="106"/>
      <c r="E65" s="106"/>
      <c r="F65" s="106"/>
      <c r="G65" s="107"/>
      <c r="I65" s="114"/>
      <c r="J65" s="115"/>
      <c r="K65" s="115"/>
      <c r="L65" s="115"/>
      <c r="M65" s="115"/>
      <c r="N65" s="116"/>
    </row>
    <row r="66" spans="2:15">
      <c r="B66" s="105"/>
      <c r="C66" s="106"/>
      <c r="D66" s="106"/>
      <c r="E66" s="106"/>
      <c r="F66" s="106"/>
      <c r="G66" s="107"/>
      <c r="I66" s="114"/>
      <c r="J66" s="115"/>
      <c r="K66" s="115"/>
      <c r="L66" s="115"/>
      <c r="M66" s="115"/>
      <c r="N66" s="116"/>
    </row>
    <row r="67" spans="2:15">
      <c r="B67" s="105"/>
      <c r="C67" s="106"/>
      <c r="D67" s="106"/>
      <c r="E67" s="106"/>
      <c r="F67" s="106"/>
      <c r="G67" s="107"/>
      <c r="I67" s="114"/>
      <c r="J67" s="115"/>
      <c r="K67" s="115"/>
      <c r="L67" s="115"/>
      <c r="M67" s="115"/>
      <c r="N67" s="116"/>
    </row>
    <row r="68" spans="2:15">
      <c r="B68" s="105"/>
      <c r="C68" s="106"/>
      <c r="D68" s="106"/>
      <c r="E68" s="106"/>
      <c r="F68" s="106"/>
      <c r="G68" s="107"/>
      <c r="I68" s="114"/>
      <c r="J68" s="115"/>
      <c r="K68" s="115"/>
      <c r="L68" s="115"/>
      <c r="M68" s="115"/>
      <c r="N68" s="116"/>
    </row>
    <row r="69" spans="2:15" ht="160.5" customHeight="1">
      <c r="B69" s="108"/>
      <c r="C69" s="109"/>
      <c r="D69" s="109"/>
      <c r="E69" s="109"/>
      <c r="F69" s="109"/>
      <c r="G69" s="110"/>
      <c r="I69" s="117"/>
      <c r="J69" s="118"/>
      <c r="K69" s="118"/>
      <c r="L69" s="118"/>
      <c r="M69" s="118"/>
      <c r="N69" s="119"/>
    </row>
    <row r="70" spans="2:15">
      <c r="N70" s="13" t="s">
        <v>49</v>
      </c>
      <c r="O70" s="13"/>
    </row>
  </sheetData>
  <mergeCells count="3">
    <mergeCell ref="B7:N11"/>
    <mergeCell ref="B53:G69"/>
    <mergeCell ref="I53:N69"/>
  </mergeCells>
  <phoneticPr fontId="1"/>
  <conditionalFormatting sqref="E23:E26">
    <cfRule type="expression" dxfId="37" priority="5">
      <formula>AND(D23&lt;&gt;0,E23/D23&lt;0.001)</formula>
    </cfRule>
  </conditionalFormatting>
  <conditionalFormatting sqref="E30:E33">
    <cfRule type="expression" dxfId="36" priority="4">
      <formula>AND(D30&lt;&gt;0,E30/D30&lt;0.001)</formula>
    </cfRule>
  </conditionalFormatting>
  <conditionalFormatting sqref="E37:E40">
    <cfRule type="expression" dxfId="35" priority="3">
      <formula>AND(D37&lt;&gt;0,E37/D37&lt;0.001)</formula>
    </cfRule>
  </conditionalFormatting>
  <conditionalFormatting sqref="F24:H26">
    <cfRule type="expression" dxfId="34" priority="2">
      <formula>AND(E24&lt;&gt;0,F24/E24&lt;0.001)</formula>
    </cfRule>
  </conditionalFormatting>
  <conditionalFormatting sqref="F39:H39">
    <cfRule type="expression" dxfId="33" priority="1">
      <formula>AND(E39&lt;&gt;0,F39/E39&lt;0.001)</formula>
    </cfRule>
  </conditionalFormatting>
  <conditionalFormatting sqref="H23">
    <cfRule type="expression" dxfId="32" priority="14">
      <formula>H23&lt;&gt;G23</formula>
    </cfRule>
  </conditionalFormatting>
  <conditionalFormatting sqref="H30:H33">
    <cfRule type="expression" dxfId="31" priority="11">
      <formula>H30&lt;&gt;G30</formula>
    </cfRule>
  </conditionalFormatting>
  <conditionalFormatting sqref="H37:H38 H40">
    <cfRule type="expression" dxfId="30" priority="8">
      <formula>H37&lt;&gt;G37</formula>
    </cfRule>
  </conditionalFormatting>
  <conditionalFormatting sqref="K23:K26">
    <cfRule type="expression" dxfId="29" priority="13">
      <formula>K23&lt;&gt;J23</formula>
    </cfRule>
  </conditionalFormatting>
  <conditionalFormatting sqref="K30:K33">
    <cfRule type="expression" dxfId="28" priority="10">
      <formula>K30&lt;&gt;J30</formula>
    </cfRule>
  </conditionalFormatting>
  <conditionalFormatting sqref="K37:K40">
    <cfRule type="expression" dxfId="27" priority="7">
      <formula>K37&lt;&gt;J37</formula>
    </cfRule>
  </conditionalFormatting>
  <conditionalFormatting sqref="N23:N26">
    <cfRule type="expression" dxfId="26" priority="12">
      <formula>N23&lt;&gt;M23</formula>
    </cfRule>
  </conditionalFormatting>
  <conditionalFormatting sqref="N30:N33">
    <cfRule type="expression" dxfId="25" priority="9">
      <formula>N30&lt;&gt;M30</formula>
    </cfRule>
  </conditionalFormatting>
  <conditionalFormatting sqref="N37:N40">
    <cfRule type="expression" dxfId="24" priority="6">
      <formula>N37&lt;&gt;M37</formula>
    </cfRule>
  </conditionalFormatting>
  <hyperlinks>
    <hyperlink ref="B28" r:id="rId1" xr:uid="{73286B55-4A1E-4B73-984B-C9D88AA3F816}"/>
    <hyperlink ref="B35" r:id="rId2" xr:uid="{7F9B8A36-2B10-4444-AD61-7353DEAD5160}"/>
    <hyperlink ref="B21" r:id="rId3" xr:uid="{B5D438E3-9284-4531-9406-95C38C54B322}"/>
  </hyperlink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5" orientation="landscape" r:id="rId4"/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AE55E-3862-498D-BB31-51A7138020EC}">
  <sheetPr>
    <pageSetUpPr fitToPage="1"/>
  </sheetPr>
  <dimension ref="B4:Q70"/>
  <sheetViews>
    <sheetView topLeftCell="A19" zoomScale="115" zoomScaleNormal="115" workbookViewId="0"/>
  </sheetViews>
  <sheetFormatPr defaultRowHeight="15"/>
  <cols>
    <col min="1" max="1" width="2.6328125" customWidth="1"/>
    <col min="2" max="14" width="9.1796875" customWidth="1"/>
    <col min="15" max="15" width="2.6328125" customWidth="1"/>
  </cols>
  <sheetData>
    <row r="4" spans="2:14">
      <c r="B4" s="15" t="s">
        <v>12</v>
      </c>
      <c r="C4" s="16">
        <v>46175</v>
      </c>
      <c r="E4" s="15" t="s">
        <v>13</v>
      </c>
      <c r="F4" s="16" t="s">
        <v>101</v>
      </c>
      <c r="H4" s="15" t="s">
        <v>14</v>
      </c>
      <c r="I4" s="16" t="s">
        <v>102</v>
      </c>
    </row>
    <row r="6" spans="2:14">
      <c r="B6" s="15" t="s">
        <v>16</v>
      </c>
    </row>
    <row r="7" spans="2:14" ht="20.100000000000001" customHeight="1">
      <c r="B7" s="93" t="s">
        <v>107</v>
      </c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1"/>
    </row>
    <row r="8" spans="2:14" ht="20.100000000000001" customHeight="1">
      <c r="B8" s="122"/>
      <c r="C8" s="123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4"/>
    </row>
    <row r="9" spans="2:14" ht="20.100000000000001" customHeight="1">
      <c r="B9" s="122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4"/>
    </row>
    <row r="10" spans="2:14" ht="20.100000000000001" customHeight="1">
      <c r="B10" s="122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4"/>
    </row>
    <row r="11" spans="2:14" ht="20.100000000000001" customHeight="1">
      <c r="B11" s="125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7"/>
    </row>
    <row r="12" spans="2:14">
      <c r="B12" s="15"/>
      <c r="E12" s="13" t="s">
        <v>17</v>
      </c>
      <c r="F12" s="13" t="s">
        <v>18</v>
      </c>
      <c r="G12" s="13" t="s">
        <v>19</v>
      </c>
      <c r="H12" s="13" t="s">
        <v>20</v>
      </c>
      <c r="I12" s="13" t="s">
        <v>21</v>
      </c>
      <c r="J12" s="13" t="s">
        <v>22</v>
      </c>
      <c r="K12" s="13" t="s">
        <v>23</v>
      </c>
      <c r="L12" s="13" t="s">
        <v>24</v>
      </c>
      <c r="M12" s="13" t="s">
        <v>25</v>
      </c>
      <c r="N12" s="13" t="s">
        <v>26</v>
      </c>
    </row>
    <row r="13" spans="2:14">
      <c r="B13" s="61" t="s">
        <v>27</v>
      </c>
      <c r="C13" s="62"/>
      <c r="D13" s="63"/>
      <c r="E13" s="20" t="s">
        <v>28</v>
      </c>
      <c r="F13" s="21" t="s">
        <v>29</v>
      </c>
      <c r="G13" s="21" t="s">
        <v>30</v>
      </c>
      <c r="H13" s="21" t="s">
        <v>31</v>
      </c>
      <c r="I13" s="21" t="s">
        <v>32</v>
      </c>
      <c r="J13" s="21" t="s">
        <v>33</v>
      </c>
      <c r="K13" s="21" t="s">
        <v>34</v>
      </c>
      <c r="L13" s="21" t="s">
        <v>31</v>
      </c>
      <c r="M13" s="21" t="s">
        <v>32</v>
      </c>
      <c r="N13" s="21" t="s">
        <v>35</v>
      </c>
    </row>
    <row r="14" spans="2:14" ht="17.399999999999999">
      <c r="B14" s="22" t="s">
        <v>36</v>
      </c>
      <c r="C14" s="23"/>
      <c r="D14" s="24"/>
      <c r="E14" s="41">
        <v>83</v>
      </c>
      <c r="F14" s="42">
        <v>83</v>
      </c>
      <c r="G14" s="42">
        <v>83</v>
      </c>
      <c r="H14" s="27">
        <f t="shared" ref="H14:H19" si="0">G14-F14</f>
        <v>0</v>
      </c>
      <c r="I14" s="28">
        <f t="shared" ref="I14:I19" si="1">G14/F14</f>
        <v>1</v>
      </c>
      <c r="J14" s="45">
        <v>83</v>
      </c>
      <c r="K14" s="45">
        <v>83</v>
      </c>
      <c r="L14" s="27">
        <f t="shared" ref="L14:L19" si="2">K14-J14</f>
        <v>0</v>
      </c>
      <c r="M14" s="28">
        <f t="shared" ref="M14:M19" si="3">K14/J14</f>
        <v>1</v>
      </c>
      <c r="N14" s="28">
        <f t="shared" ref="N14:N19" si="4">K14/E14</f>
        <v>1</v>
      </c>
    </row>
    <row r="15" spans="2:14" ht="17.399999999999999">
      <c r="B15" s="22" t="s">
        <v>37</v>
      </c>
      <c r="C15" s="23"/>
      <c r="D15" s="24"/>
      <c r="E15" s="41">
        <v>83</v>
      </c>
      <c r="F15" s="42">
        <v>83</v>
      </c>
      <c r="G15" s="42">
        <v>83</v>
      </c>
      <c r="H15" s="27">
        <f t="shared" si="0"/>
        <v>0</v>
      </c>
      <c r="I15" s="28">
        <f t="shared" si="1"/>
        <v>1</v>
      </c>
      <c r="J15" s="45">
        <v>83</v>
      </c>
      <c r="K15" s="45">
        <v>83</v>
      </c>
      <c r="L15" s="27">
        <f t="shared" si="2"/>
        <v>0</v>
      </c>
      <c r="M15" s="28">
        <f t="shared" si="3"/>
        <v>1</v>
      </c>
      <c r="N15" s="28">
        <f t="shared" si="4"/>
        <v>1</v>
      </c>
    </row>
    <row r="16" spans="2:14" ht="17.399999999999999">
      <c r="B16" s="22" t="s">
        <v>38</v>
      </c>
      <c r="C16" s="23"/>
      <c r="D16" s="24"/>
      <c r="E16" s="41">
        <v>83</v>
      </c>
      <c r="F16" s="42">
        <v>83</v>
      </c>
      <c r="G16" s="42">
        <v>83</v>
      </c>
      <c r="H16" s="27">
        <f t="shared" si="0"/>
        <v>0</v>
      </c>
      <c r="I16" s="28">
        <f t="shared" si="1"/>
        <v>1</v>
      </c>
      <c r="J16" s="45">
        <v>83</v>
      </c>
      <c r="K16" s="45">
        <v>83</v>
      </c>
      <c r="L16" s="27">
        <f t="shared" si="2"/>
        <v>0</v>
      </c>
      <c r="M16" s="28">
        <f t="shared" si="3"/>
        <v>1</v>
      </c>
      <c r="N16" s="28">
        <f t="shared" si="4"/>
        <v>1</v>
      </c>
    </row>
    <row r="17" spans="2:17" ht="17.399999999999999">
      <c r="B17" s="22" t="s">
        <v>39</v>
      </c>
      <c r="C17" s="23"/>
      <c r="D17" s="24"/>
      <c r="E17" s="41">
        <v>83</v>
      </c>
      <c r="F17" s="42">
        <v>83</v>
      </c>
      <c r="G17" s="42">
        <v>83</v>
      </c>
      <c r="H17" s="27">
        <f t="shared" si="0"/>
        <v>0</v>
      </c>
      <c r="I17" s="28">
        <f t="shared" si="1"/>
        <v>1</v>
      </c>
      <c r="J17" s="45">
        <v>83</v>
      </c>
      <c r="K17" s="45">
        <v>83</v>
      </c>
      <c r="L17" s="27">
        <f t="shared" si="2"/>
        <v>0</v>
      </c>
      <c r="M17" s="28">
        <f t="shared" si="3"/>
        <v>1</v>
      </c>
      <c r="N17" s="28">
        <f t="shared" si="4"/>
        <v>1</v>
      </c>
    </row>
    <row r="18" spans="2:17" ht="17.399999999999999">
      <c r="B18" s="22" t="s">
        <v>40</v>
      </c>
      <c r="C18" s="23"/>
      <c r="D18" s="24"/>
      <c r="E18" s="41">
        <v>84</v>
      </c>
      <c r="F18" s="42">
        <v>84</v>
      </c>
      <c r="G18" s="42">
        <v>84</v>
      </c>
      <c r="H18" s="27">
        <f t="shared" si="0"/>
        <v>0</v>
      </c>
      <c r="I18" s="28">
        <f t="shared" si="1"/>
        <v>1</v>
      </c>
      <c r="J18" s="45">
        <v>84</v>
      </c>
      <c r="K18" s="45">
        <v>84</v>
      </c>
      <c r="L18" s="27">
        <f t="shared" si="2"/>
        <v>0</v>
      </c>
      <c r="M18" s="28">
        <f t="shared" si="3"/>
        <v>1</v>
      </c>
      <c r="N18" s="28">
        <f t="shared" si="4"/>
        <v>1</v>
      </c>
    </row>
    <row r="19" spans="2:17" ht="17.399999999999999">
      <c r="B19" s="22" t="s">
        <v>41</v>
      </c>
      <c r="C19" s="23"/>
      <c r="D19" s="24"/>
      <c r="E19" s="41">
        <v>83</v>
      </c>
      <c r="F19" s="42">
        <v>83</v>
      </c>
      <c r="G19" s="42">
        <v>83</v>
      </c>
      <c r="H19" s="27">
        <f t="shared" si="0"/>
        <v>0</v>
      </c>
      <c r="I19" s="28">
        <f t="shared" si="1"/>
        <v>1</v>
      </c>
      <c r="J19" s="45">
        <v>83</v>
      </c>
      <c r="K19" s="45">
        <v>83</v>
      </c>
      <c r="L19" s="27">
        <f t="shared" si="2"/>
        <v>0</v>
      </c>
      <c r="M19" s="28">
        <f t="shared" si="3"/>
        <v>1</v>
      </c>
      <c r="N19" s="28">
        <f t="shared" si="4"/>
        <v>1</v>
      </c>
    </row>
    <row r="21" spans="2:17" ht="18">
      <c r="B21" s="46" t="s">
        <v>85</v>
      </c>
      <c r="C21" s="37"/>
      <c r="D21" s="37"/>
      <c r="E21" s="37"/>
      <c r="F21" s="37"/>
      <c r="G21" s="47" t="s">
        <v>83</v>
      </c>
      <c r="J21" s="47" t="s">
        <v>74</v>
      </c>
      <c r="M21" s="47" t="s">
        <v>90</v>
      </c>
    </row>
    <row r="22" spans="2:17" ht="30">
      <c r="B22" s="38" t="s">
        <v>71</v>
      </c>
      <c r="C22" s="43" t="s">
        <v>72</v>
      </c>
      <c r="D22" s="43" t="s">
        <v>86</v>
      </c>
      <c r="E22" s="48" t="s">
        <v>73</v>
      </c>
      <c r="F22" s="48" t="s">
        <v>106</v>
      </c>
      <c r="G22" s="49" t="s">
        <v>91</v>
      </c>
      <c r="H22" s="49" t="s">
        <v>81</v>
      </c>
      <c r="J22" s="49" t="s">
        <v>75</v>
      </c>
      <c r="K22" s="49" t="s">
        <v>70</v>
      </c>
      <c r="M22" s="49" t="s">
        <v>75</v>
      </c>
      <c r="N22" s="49" t="s">
        <v>70</v>
      </c>
    </row>
    <row r="23" spans="2:17">
      <c r="B23" s="40" t="s">
        <v>82</v>
      </c>
      <c r="C23" s="50">
        <v>0</v>
      </c>
      <c r="D23" s="44">
        <v>0</v>
      </c>
      <c r="E23" s="50">
        <v>0</v>
      </c>
      <c r="F23" s="50">
        <v>0</v>
      </c>
      <c r="G23" s="52">
        <v>0</v>
      </c>
      <c r="H23" s="52">
        <v>0</v>
      </c>
      <c r="J23" s="52"/>
      <c r="K23" s="52"/>
      <c r="M23" s="52">
        <v>0</v>
      </c>
      <c r="N23" s="52">
        <v>0</v>
      </c>
    </row>
    <row r="24" spans="2:17">
      <c r="B24" s="40" t="s">
        <v>103</v>
      </c>
      <c r="C24" s="50">
        <v>11</v>
      </c>
      <c r="D24" s="44">
        <v>4636</v>
      </c>
      <c r="E24" s="50">
        <v>6</v>
      </c>
      <c r="F24" s="50">
        <v>0</v>
      </c>
      <c r="G24" s="52">
        <v>11</v>
      </c>
      <c r="H24" s="52">
        <v>11</v>
      </c>
      <c r="J24" s="52"/>
      <c r="K24" s="52"/>
      <c r="M24" s="52">
        <v>15</v>
      </c>
      <c r="N24" s="52">
        <v>15</v>
      </c>
    </row>
    <row r="25" spans="2:17">
      <c r="B25" s="40" t="s">
        <v>93</v>
      </c>
      <c r="C25" s="50">
        <v>8</v>
      </c>
      <c r="D25" s="44">
        <v>623</v>
      </c>
      <c r="E25" s="50">
        <v>2</v>
      </c>
      <c r="F25" s="50">
        <v>0</v>
      </c>
      <c r="G25" s="52">
        <v>8</v>
      </c>
      <c r="H25" s="52">
        <v>8</v>
      </c>
      <c r="J25" s="52"/>
      <c r="K25" s="52"/>
      <c r="M25" s="52">
        <v>2</v>
      </c>
      <c r="N25" s="52">
        <v>2</v>
      </c>
    </row>
    <row r="26" spans="2:17">
      <c r="B26" s="40" t="s">
        <v>94</v>
      </c>
      <c r="C26" s="50">
        <v>0</v>
      </c>
      <c r="D26" s="44">
        <v>0</v>
      </c>
      <c r="E26" s="50">
        <v>0</v>
      </c>
      <c r="F26" s="50">
        <v>0</v>
      </c>
      <c r="G26" s="52">
        <v>0</v>
      </c>
      <c r="H26" s="52">
        <v>0</v>
      </c>
      <c r="J26" s="52"/>
      <c r="K26" s="52"/>
      <c r="M26" s="52">
        <v>0</v>
      </c>
      <c r="N26" s="52">
        <v>0</v>
      </c>
    </row>
    <row r="28" spans="2:17" ht="18">
      <c r="B28" s="46" t="s">
        <v>87</v>
      </c>
      <c r="C28" s="37"/>
      <c r="D28" s="37"/>
      <c r="E28" s="37"/>
      <c r="F28" s="37"/>
      <c r="G28" s="47" t="s">
        <v>83</v>
      </c>
      <c r="J28" s="47" t="s">
        <v>74</v>
      </c>
      <c r="M28" s="47" t="s">
        <v>90</v>
      </c>
    </row>
    <row r="29" spans="2:17" ht="30">
      <c r="B29" s="38" t="s">
        <v>71</v>
      </c>
      <c r="C29" s="43" t="s">
        <v>72</v>
      </c>
      <c r="D29" s="43" t="s">
        <v>86</v>
      </c>
      <c r="E29" s="48" t="s">
        <v>73</v>
      </c>
      <c r="F29" s="48" t="s">
        <v>106</v>
      </c>
      <c r="G29" s="49" t="s">
        <v>91</v>
      </c>
      <c r="H29" s="49" t="s">
        <v>81</v>
      </c>
      <c r="J29" s="49" t="s">
        <v>75</v>
      </c>
      <c r="K29" s="49" t="s">
        <v>70</v>
      </c>
      <c r="M29" s="49" t="s">
        <v>75</v>
      </c>
      <c r="N29" s="49" t="s">
        <v>70</v>
      </c>
      <c r="P29" s="49" t="s">
        <v>108</v>
      </c>
      <c r="Q29" s="49" t="s">
        <v>109</v>
      </c>
    </row>
    <row r="30" spans="2:17">
      <c r="B30" s="40" t="s">
        <v>82</v>
      </c>
      <c r="C30" s="50">
        <v>5</v>
      </c>
      <c r="D30" s="44">
        <v>4983</v>
      </c>
      <c r="E30" s="50">
        <v>5</v>
      </c>
      <c r="F30" s="50">
        <v>1</v>
      </c>
      <c r="G30" s="52">
        <v>5</v>
      </c>
      <c r="H30" s="52">
        <v>5</v>
      </c>
      <c r="J30" s="52">
        <v>47</v>
      </c>
      <c r="K30" s="52">
        <v>47</v>
      </c>
      <c r="M30" s="52">
        <v>6</v>
      </c>
      <c r="N30" s="52">
        <v>6</v>
      </c>
      <c r="P30" s="79">
        <v>0</v>
      </c>
      <c r="Q30" s="79">
        <v>0</v>
      </c>
    </row>
    <row r="31" spans="2:17">
      <c r="B31" s="40" t="s">
        <v>95</v>
      </c>
      <c r="C31" s="50">
        <v>11</v>
      </c>
      <c r="D31" s="44">
        <v>3499</v>
      </c>
      <c r="E31" s="50">
        <v>4</v>
      </c>
      <c r="F31" s="50">
        <v>1</v>
      </c>
      <c r="G31" s="52">
        <v>11</v>
      </c>
      <c r="H31" s="52">
        <v>11</v>
      </c>
      <c r="J31" s="52">
        <v>44</v>
      </c>
      <c r="K31" s="52">
        <v>44</v>
      </c>
      <c r="M31" s="52">
        <v>0</v>
      </c>
      <c r="N31" s="52">
        <v>0</v>
      </c>
      <c r="P31" s="79">
        <v>0</v>
      </c>
      <c r="Q31" s="79">
        <v>0</v>
      </c>
    </row>
    <row r="32" spans="2:17">
      <c r="B32" s="40"/>
      <c r="C32" s="50"/>
      <c r="D32" s="44"/>
      <c r="E32" s="50"/>
      <c r="F32" s="50"/>
      <c r="G32" s="52"/>
      <c r="H32" s="52"/>
      <c r="J32" s="52"/>
      <c r="K32" s="52"/>
      <c r="M32" s="52"/>
      <c r="N32" s="52"/>
      <c r="P32" s="79"/>
      <c r="Q32" s="79"/>
    </row>
    <row r="33" spans="2:17">
      <c r="B33" s="40"/>
      <c r="C33" s="50"/>
      <c r="D33" s="44"/>
      <c r="E33" s="50"/>
      <c r="F33" s="50"/>
      <c r="G33" s="52"/>
      <c r="H33" s="52"/>
      <c r="J33" s="52"/>
      <c r="K33" s="52"/>
      <c r="M33" s="52"/>
      <c r="N33" s="52"/>
      <c r="P33" s="79"/>
      <c r="Q33" s="79"/>
    </row>
    <row r="35" spans="2:17" ht="18">
      <c r="B35" s="46" t="s">
        <v>88</v>
      </c>
      <c r="C35" s="37"/>
      <c r="D35" s="37"/>
      <c r="E35" s="37"/>
      <c r="F35" s="37"/>
      <c r="G35" s="47" t="s">
        <v>83</v>
      </c>
      <c r="J35" s="47" t="s">
        <v>74</v>
      </c>
      <c r="M35" s="47" t="s">
        <v>90</v>
      </c>
    </row>
    <row r="36" spans="2:17" ht="30">
      <c r="B36" s="38" t="s">
        <v>71</v>
      </c>
      <c r="C36" s="43" t="s">
        <v>72</v>
      </c>
      <c r="D36" s="43" t="s">
        <v>86</v>
      </c>
      <c r="E36" s="48" t="s">
        <v>73</v>
      </c>
      <c r="F36" s="48" t="s">
        <v>106</v>
      </c>
      <c r="G36" s="49" t="s">
        <v>91</v>
      </c>
      <c r="H36" s="49" t="s">
        <v>81</v>
      </c>
      <c r="J36" s="49" t="s">
        <v>75</v>
      </c>
      <c r="K36" s="49" t="s">
        <v>70</v>
      </c>
      <c r="M36" s="49" t="s">
        <v>75</v>
      </c>
      <c r="N36" s="49" t="s">
        <v>70</v>
      </c>
    </row>
    <row r="37" spans="2:17">
      <c r="B37" s="40" t="s">
        <v>84</v>
      </c>
      <c r="C37" s="50">
        <v>2</v>
      </c>
      <c r="D37" s="44">
        <v>1108</v>
      </c>
      <c r="E37" s="50">
        <v>2</v>
      </c>
      <c r="F37" s="50">
        <v>1</v>
      </c>
      <c r="G37" s="52">
        <v>2</v>
      </c>
      <c r="H37" s="52">
        <v>2</v>
      </c>
      <c r="J37" s="52">
        <v>20</v>
      </c>
      <c r="K37" s="52">
        <v>20</v>
      </c>
      <c r="M37" s="52">
        <v>0</v>
      </c>
      <c r="N37" s="52">
        <v>0</v>
      </c>
    </row>
    <row r="38" spans="2:17">
      <c r="B38" s="40" t="s">
        <v>96</v>
      </c>
      <c r="C38" s="50">
        <v>0</v>
      </c>
      <c r="D38" s="44">
        <v>0</v>
      </c>
      <c r="E38" s="50">
        <v>0</v>
      </c>
      <c r="F38" s="50">
        <v>0</v>
      </c>
      <c r="G38" s="52">
        <v>0</v>
      </c>
      <c r="H38" s="52">
        <v>0</v>
      </c>
      <c r="J38" s="52">
        <v>0</v>
      </c>
      <c r="K38" s="52">
        <v>0</v>
      </c>
      <c r="M38" s="52">
        <v>0</v>
      </c>
      <c r="N38" s="52">
        <v>0</v>
      </c>
    </row>
    <row r="39" spans="2:17">
      <c r="B39" s="40" t="s">
        <v>89</v>
      </c>
      <c r="C39" s="50">
        <v>0</v>
      </c>
      <c r="D39" s="44">
        <v>0</v>
      </c>
      <c r="E39" s="50">
        <v>0</v>
      </c>
      <c r="F39" s="50">
        <v>0</v>
      </c>
      <c r="G39" s="52">
        <v>0</v>
      </c>
      <c r="H39" s="52">
        <v>0</v>
      </c>
      <c r="J39" s="52">
        <v>0</v>
      </c>
      <c r="K39" s="52">
        <v>0</v>
      </c>
      <c r="M39" s="52">
        <v>0</v>
      </c>
      <c r="N39" s="52">
        <v>0</v>
      </c>
    </row>
    <row r="40" spans="2:17">
      <c r="B40" s="40"/>
      <c r="C40" s="50"/>
      <c r="D40" s="44"/>
      <c r="E40" s="50"/>
      <c r="F40" s="50"/>
      <c r="G40" s="52"/>
      <c r="H40" s="52"/>
      <c r="J40" s="52"/>
      <c r="K40" s="52"/>
      <c r="M40" s="52"/>
      <c r="N40" s="52"/>
    </row>
    <row r="42" spans="2:17">
      <c r="B42" s="86" t="s">
        <v>133</v>
      </c>
    </row>
    <row r="43" spans="2:17">
      <c r="B43" s="80" t="s">
        <v>121</v>
      </c>
      <c r="C43" s="91" t="s">
        <v>134</v>
      </c>
      <c r="D43" s="89" t="s">
        <v>135</v>
      </c>
      <c r="E43" s="89" t="s">
        <v>136</v>
      </c>
      <c r="F43" s="89" t="s">
        <v>137</v>
      </c>
      <c r="G43" s="89" t="s">
        <v>138</v>
      </c>
      <c r="H43" s="89" t="s">
        <v>139</v>
      </c>
      <c r="I43" s="89" t="s">
        <v>140</v>
      </c>
      <c r="J43" s="89" t="s">
        <v>129</v>
      </c>
    </row>
    <row r="44" spans="2:17">
      <c r="B44" s="83" t="s">
        <v>130</v>
      </c>
      <c r="C44" s="92">
        <v>6</v>
      </c>
      <c r="D44" s="87">
        <v>0</v>
      </c>
      <c r="E44" s="87">
        <v>6</v>
      </c>
      <c r="F44" s="87">
        <v>0</v>
      </c>
      <c r="G44" s="87">
        <v>0</v>
      </c>
      <c r="H44" s="87">
        <v>0</v>
      </c>
      <c r="I44" s="87">
        <v>0</v>
      </c>
      <c r="J44" s="87">
        <v>0</v>
      </c>
    </row>
    <row r="45" spans="2:17">
      <c r="B45" s="83" t="s">
        <v>131</v>
      </c>
      <c r="C45" s="92">
        <v>51</v>
      </c>
      <c r="D45" s="87">
        <v>1</v>
      </c>
      <c r="E45" s="87">
        <v>51</v>
      </c>
      <c r="F45" s="87">
        <v>0</v>
      </c>
      <c r="G45" s="87">
        <v>1</v>
      </c>
      <c r="H45" s="87">
        <v>0</v>
      </c>
      <c r="I45" s="87">
        <v>0</v>
      </c>
      <c r="J45" s="87">
        <v>0</v>
      </c>
    </row>
    <row r="46" spans="2:17">
      <c r="B46" s="83" t="s">
        <v>132</v>
      </c>
      <c r="C46" s="92">
        <v>43</v>
      </c>
      <c r="D46" s="87">
        <v>0</v>
      </c>
      <c r="E46" s="87">
        <v>43</v>
      </c>
      <c r="F46" s="87">
        <v>0</v>
      </c>
      <c r="G46" s="87">
        <v>0</v>
      </c>
      <c r="H46" s="87">
        <v>0</v>
      </c>
      <c r="I46" s="87">
        <v>0</v>
      </c>
      <c r="J46" s="87">
        <v>0</v>
      </c>
    </row>
    <row r="47" spans="2:17" ht="18"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</row>
    <row r="48" spans="2:17" s="54" customFormat="1" ht="15.75" customHeight="1">
      <c r="B48" s="53" t="s">
        <v>55</v>
      </c>
      <c r="I48" s="55" t="s">
        <v>76</v>
      </c>
    </row>
    <row r="49" spans="2:14" s="54" customFormat="1" ht="15.75" customHeight="1">
      <c r="C49" s="56" t="s">
        <v>56</v>
      </c>
      <c r="D49" s="56" t="s">
        <v>57</v>
      </c>
      <c r="E49" s="56" t="s">
        <v>58</v>
      </c>
      <c r="F49" s="56" t="s">
        <v>59</v>
      </c>
      <c r="J49" s="57" t="s">
        <v>77</v>
      </c>
      <c r="K49" s="57" t="s">
        <v>78</v>
      </c>
      <c r="L49" s="57" t="s">
        <v>79</v>
      </c>
      <c r="M49" s="57" t="s">
        <v>80</v>
      </c>
    </row>
    <row r="50" spans="2:14" s="54" customFormat="1" ht="15.75" customHeight="1">
      <c r="C50" s="58">
        <v>34</v>
      </c>
      <c r="D50" s="58">
        <v>34</v>
      </c>
      <c r="E50" s="58">
        <v>0</v>
      </c>
      <c r="F50" s="59">
        <f>C50-D50-E50</f>
        <v>0</v>
      </c>
      <c r="J50" s="60">
        <v>83</v>
      </c>
      <c r="K50" s="60">
        <v>83</v>
      </c>
      <c r="L50" s="60">
        <v>83</v>
      </c>
      <c r="M50" s="60">
        <v>83</v>
      </c>
    </row>
    <row r="51" spans="2:14" s="54" customFormat="1" ht="15.75" customHeight="1"/>
    <row r="52" spans="2:14">
      <c r="B52" s="15" t="s">
        <v>47</v>
      </c>
      <c r="I52" s="15" t="s">
        <v>48</v>
      </c>
    </row>
    <row r="53" spans="2:14">
      <c r="B53" s="102" t="s">
        <v>146</v>
      </c>
      <c r="C53" s="128"/>
      <c r="D53" s="128"/>
      <c r="E53" s="128"/>
      <c r="F53" s="128"/>
      <c r="G53" s="129"/>
      <c r="I53" s="111" t="s">
        <v>152</v>
      </c>
      <c r="J53" s="136"/>
      <c r="K53" s="136"/>
      <c r="L53" s="136"/>
      <c r="M53" s="136"/>
      <c r="N53" s="137"/>
    </row>
    <row r="54" spans="2:14">
      <c r="B54" s="130"/>
      <c r="C54" s="131"/>
      <c r="D54" s="131"/>
      <c r="E54" s="131"/>
      <c r="F54" s="131"/>
      <c r="G54" s="132"/>
      <c r="I54" s="138"/>
      <c r="J54" s="139"/>
      <c r="K54" s="139"/>
      <c r="L54" s="139"/>
      <c r="M54" s="139"/>
      <c r="N54" s="140"/>
    </row>
    <row r="55" spans="2:14">
      <c r="B55" s="130"/>
      <c r="C55" s="131"/>
      <c r="D55" s="131"/>
      <c r="E55" s="131"/>
      <c r="F55" s="131"/>
      <c r="G55" s="132"/>
      <c r="I55" s="138"/>
      <c r="J55" s="139"/>
      <c r="K55" s="139"/>
      <c r="L55" s="139"/>
      <c r="M55" s="139"/>
      <c r="N55" s="140"/>
    </row>
    <row r="56" spans="2:14">
      <c r="B56" s="130"/>
      <c r="C56" s="131"/>
      <c r="D56" s="131"/>
      <c r="E56" s="131"/>
      <c r="F56" s="131"/>
      <c r="G56" s="132"/>
      <c r="I56" s="138"/>
      <c r="J56" s="139"/>
      <c r="K56" s="139"/>
      <c r="L56" s="139"/>
      <c r="M56" s="139"/>
      <c r="N56" s="140"/>
    </row>
    <row r="57" spans="2:14">
      <c r="B57" s="130"/>
      <c r="C57" s="131"/>
      <c r="D57" s="131"/>
      <c r="E57" s="131"/>
      <c r="F57" s="131"/>
      <c r="G57" s="132"/>
      <c r="I57" s="138"/>
      <c r="J57" s="139"/>
      <c r="K57" s="139"/>
      <c r="L57" s="139"/>
      <c r="M57" s="139"/>
      <c r="N57" s="140"/>
    </row>
    <row r="58" spans="2:14">
      <c r="B58" s="130"/>
      <c r="C58" s="131"/>
      <c r="D58" s="131"/>
      <c r="E58" s="131"/>
      <c r="F58" s="131"/>
      <c r="G58" s="132"/>
      <c r="I58" s="138"/>
      <c r="J58" s="139"/>
      <c r="K58" s="139"/>
      <c r="L58" s="139"/>
      <c r="M58" s="139"/>
      <c r="N58" s="140"/>
    </row>
    <row r="59" spans="2:14">
      <c r="B59" s="130"/>
      <c r="C59" s="131"/>
      <c r="D59" s="131"/>
      <c r="E59" s="131"/>
      <c r="F59" s="131"/>
      <c r="G59" s="132"/>
      <c r="I59" s="138"/>
      <c r="J59" s="139"/>
      <c r="K59" s="139"/>
      <c r="L59" s="139"/>
      <c r="M59" s="139"/>
      <c r="N59" s="140"/>
    </row>
    <row r="60" spans="2:14">
      <c r="B60" s="130"/>
      <c r="C60" s="131"/>
      <c r="D60" s="131"/>
      <c r="E60" s="131"/>
      <c r="F60" s="131"/>
      <c r="G60" s="132"/>
      <c r="I60" s="138"/>
      <c r="J60" s="139"/>
      <c r="K60" s="139"/>
      <c r="L60" s="139"/>
      <c r="M60" s="139"/>
      <c r="N60" s="140"/>
    </row>
    <row r="61" spans="2:14">
      <c r="B61" s="130"/>
      <c r="C61" s="131"/>
      <c r="D61" s="131"/>
      <c r="E61" s="131"/>
      <c r="F61" s="131"/>
      <c r="G61" s="132"/>
      <c r="I61" s="138"/>
      <c r="J61" s="139"/>
      <c r="K61" s="139"/>
      <c r="L61" s="139"/>
      <c r="M61" s="139"/>
      <c r="N61" s="140"/>
    </row>
    <row r="62" spans="2:14">
      <c r="B62" s="130"/>
      <c r="C62" s="131"/>
      <c r="D62" s="131"/>
      <c r="E62" s="131"/>
      <c r="F62" s="131"/>
      <c r="G62" s="132"/>
      <c r="I62" s="138"/>
      <c r="J62" s="139"/>
      <c r="K62" s="139"/>
      <c r="L62" s="139"/>
      <c r="M62" s="139"/>
      <c r="N62" s="140"/>
    </row>
    <row r="63" spans="2:14">
      <c r="B63" s="130"/>
      <c r="C63" s="131"/>
      <c r="D63" s="131"/>
      <c r="E63" s="131"/>
      <c r="F63" s="131"/>
      <c r="G63" s="132"/>
      <c r="I63" s="138"/>
      <c r="J63" s="139"/>
      <c r="K63" s="139"/>
      <c r="L63" s="139"/>
      <c r="M63" s="139"/>
      <c r="N63" s="140"/>
    </row>
    <row r="64" spans="2:14">
      <c r="B64" s="130"/>
      <c r="C64" s="131"/>
      <c r="D64" s="131"/>
      <c r="E64" s="131"/>
      <c r="F64" s="131"/>
      <c r="G64" s="132"/>
      <c r="I64" s="138"/>
      <c r="J64" s="139"/>
      <c r="K64" s="139"/>
      <c r="L64" s="139"/>
      <c r="M64" s="139"/>
      <c r="N64" s="140"/>
    </row>
    <row r="65" spans="2:15">
      <c r="B65" s="130"/>
      <c r="C65" s="131"/>
      <c r="D65" s="131"/>
      <c r="E65" s="131"/>
      <c r="F65" s="131"/>
      <c r="G65" s="132"/>
      <c r="I65" s="138"/>
      <c r="J65" s="139"/>
      <c r="K65" s="139"/>
      <c r="L65" s="139"/>
      <c r="M65" s="139"/>
      <c r="N65" s="140"/>
    </row>
    <row r="66" spans="2:15">
      <c r="B66" s="130"/>
      <c r="C66" s="131"/>
      <c r="D66" s="131"/>
      <c r="E66" s="131"/>
      <c r="F66" s="131"/>
      <c r="G66" s="132"/>
      <c r="I66" s="138"/>
      <c r="J66" s="139"/>
      <c r="K66" s="139"/>
      <c r="L66" s="139"/>
      <c r="M66" s="139"/>
      <c r="N66" s="140"/>
    </row>
    <row r="67" spans="2:15">
      <c r="B67" s="130"/>
      <c r="C67" s="131"/>
      <c r="D67" s="131"/>
      <c r="E67" s="131"/>
      <c r="F67" s="131"/>
      <c r="G67" s="132"/>
      <c r="I67" s="138"/>
      <c r="J67" s="139"/>
      <c r="K67" s="139"/>
      <c r="L67" s="139"/>
      <c r="M67" s="139"/>
      <c r="N67" s="140"/>
    </row>
    <row r="68" spans="2:15">
      <c r="B68" s="130"/>
      <c r="C68" s="131"/>
      <c r="D68" s="131"/>
      <c r="E68" s="131"/>
      <c r="F68" s="131"/>
      <c r="G68" s="132"/>
      <c r="I68" s="138"/>
      <c r="J68" s="139"/>
      <c r="K68" s="139"/>
      <c r="L68" s="139"/>
      <c r="M68" s="139"/>
      <c r="N68" s="140"/>
    </row>
    <row r="69" spans="2:15">
      <c r="B69" s="133"/>
      <c r="C69" s="134"/>
      <c r="D69" s="134"/>
      <c r="E69" s="134"/>
      <c r="F69" s="134"/>
      <c r="G69" s="135"/>
      <c r="I69" s="141"/>
      <c r="J69" s="142"/>
      <c r="K69" s="142"/>
      <c r="L69" s="142"/>
      <c r="M69" s="142"/>
      <c r="N69" s="143"/>
    </row>
    <row r="70" spans="2:15">
      <c r="N70" s="13" t="s">
        <v>49</v>
      </c>
      <c r="O70" s="13"/>
    </row>
  </sheetData>
  <mergeCells count="3">
    <mergeCell ref="B7:N11"/>
    <mergeCell ref="B53:G69"/>
    <mergeCell ref="I53:N69"/>
  </mergeCells>
  <phoneticPr fontId="1"/>
  <conditionalFormatting sqref="E23:E26">
    <cfRule type="expression" dxfId="23" priority="3">
      <formula>AND(D23&lt;&gt;0,E23/D23&lt;0.001)</formula>
    </cfRule>
  </conditionalFormatting>
  <conditionalFormatting sqref="E30:E33">
    <cfRule type="expression" dxfId="22" priority="2">
      <formula>AND(D30&lt;&gt;0,E30/D30&lt;0.001)</formula>
    </cfRule>
  </conditionalFormatting>
  <conditionalFormatting sqref="E37:E40">
    <cfRule type="expression" dxfId="21" priority="1">
      <formula>AND(D37&lt;&gt;0,E37/D37&lt;0.001)</formula>
    </cfRule>
  </conditionalFormatting>
  <conditionalFormatting sqref="H23:H26">
    <cfRule type="expression" dxfId="20" priority="12">
      <formula>H23&lt;&gt;G23</formula>
    </cfRule>
  </conditionalFormatting>
  <conditionalFormatting sqref="H30:H33">
    <cfRule type="expression" dxfId="19" priority="9">
      <formula>H30&lt;&gt;G30</formula>
    </cfRule>
  </conditionalFormatting>
  <conditionalFormatting sqref="H37:H40">
    <cfRule type="expression" dxfId="18" priority="6">
      <formula>H37&lt;&gt;G37</formula>
    </cfRule>
  </conditionalFormatting>
  <conditionalFormatting sqref="K23:K26">
    <cfRule type="expression" dxfId="17" priority="11">
      <formula>K23&lt;&gt;J23</formula>
    </cfRule>
  </conditionalFormatting>
  <conditionalFormatting sqref="K30:K33">
    <cfRule type="expression" dxfId="16" priority="8">
      <formula>K30&lt;&gt;J30</formula>
    </cfRule>
  </conditionalFormatting>
  <conditionalFormatting sqref="K37:K40">
    <cfRule type="expression" dxfId="15" priority="5">
      <formula>K37&lt;&gt;J37</formula>
    </cfRule>
  </conditionalFormatting>
  <conditionalFormatting sqref="N23:N26">
    <cfRule type="expression" dxfId="14" priority="10">
      <formula>N23&lt;&gt;M23</formula>
    </cfRule>
  </conditionalFormatting>
  <conditionalFormatting sqref="N30:N33">
    <cfRule type="expression" dxfId="13" priority="7">
      <formula>N30&lt;&gt;M30</formula>
    </cfRule>
  </conditionalFormatting>
  <conditionalFormatting sqref="N37:N40">
    <cfRule type="expression" dxfId="12" priority="4">
      <formula>N37&lt;&gt;M37</formula>
    </cfRule>
  </conditionalFormatting>
  <hyperlinks>
    <hyperlink ref="B28" r:id="rId1" xr:uid="{F9E85557-37C1-4560-AD8F-98050004435A}"/>
    <hyperlink ref="B35" r:id="rId2" xr:uid="{BBCEE6F1-0E04-4265-B415-5B812D7220B7}"/>
    <hyperlink ref="B21" r:id="rId3" xr:uid="{153F696B-A7E0-4990-9E8F-F53954CE9ABD}"/>
  </hyperlink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0" orientation="landscape" r:id="rId4"/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B8372-741D-4185-890D-250D0B052BAC}">
  <sheetPr>
    <pageSetUpPr fitToPage="1"/>
  </sheetPr>
  <dimension ref="B4:P70"/>
  <sheetViews>
    <sheetView tabSelected="1" topLeftCell="A32" zoomScale="130" zoomScaleNormal="130" workbookViewId="0">
      <selection activeCell="M38" sqref="M38:N38"/>
    </sheetView>
  </sheetViews>
  <sheetFormatPr defaultRowHeight="15"/>
  <cols>
    <col min="1" max="1" width="2.6328125" customWidth="1"/>
    <col min="2" max="14" width="9.1796875" customWidth="1"/>
    <col min="15" max="15" width="2.6328125" customWidth="1"/>
  </cols>
  <sheetData>
    <row r="4" spans="2:14">
      <c r="B4" s="15" t="s">
        <v>12</v>
      </c>
      <c r="C4" s="16">
        <v>46175</v>
      </c>
      <c r="E4" s="15" t="s">
        <v>13</v>
      </c>
      <c r="F4" s="16" t="s">
        <v>110</v>
      </c>
      <c r="H4" s="15" t="s">
        <v>14</v>
      </c>
      <c r="I4" s="16" t="s">
        <v>111</v>
      </c>
    </row>
    <row r="6" spans="2:14">
      <c r="B6" s="15" t="s">
        <v>16</v>
      </c>
    </row>
    <row r="7" spans="2:14" ht="17.7" customHeight="1">
      <c r="B7" s="93" t="s">
        <v>112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5"/>
    </row>
    <row r="8" spans="2:14" ht="17.7" customHeight="1">
      <c r="B8" s="96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8"/>
    </row>
    <row r="9" spans="2:14" ht="17.7" customHeight="1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8"/>
    </row>
    <row r="10" spans="2:14" ht="17.7" customHeight="1"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</row>
    <row r="11" spans="2:14" ht="69" customHeight="1">
      <c r="B11" s="99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1"/>
    </row>
    <row r="12" spans="2:14">
      <c r="B12" s="15"/>
      <c r="E12" s="13" t="s">
        <v>17</v>
      </c>
      <c r="F12" s="13" t="s">
        <v>18</v>
      </c>
      <c r="G12" s="13" t="s">
        <v>19</v>
      </c>
      <c r="H12" s="13" t="s">
        <v>20</v>
      </c>
      <c r="I12" s="13" t="s">
        <v>21</v>
      </c>
      <c r="J12" s="13" t="s">
        <v>22</v>
      </c>
      <c r="K12" s="13" t="s">
        <v>23</v>
      </c>
      <c r="L12" s="13" t="s">
        <v>24</v>
      </c>
      <c r="M12" s="13" t="s">
        <v>25</v>
      </c>
      <c r="N12" s="13" t="s">
        <v>26</v>
      </c>
    </row>
    <row r="13" spans="2:14">
      <c r="B13" s="17" t="s">
        <v>27</v>
      </c>
      <c r="C13" s="18"/>
      <c r="D13" s="19"/>
      <c r="E13" s="20" t="s">
        <v>28</v>
      </c>
      <c r="F13" s="21" t="s">
        <v>29</v>
      </c>
      <c r="G13" s="21" t="s">
        <v>30</v>
      </c>
      <c r="H13" s="21" t="s">
        <v>31</v>
      </c>
      <c r="I13" s="21" t="s">
        <v>32</v>
      </c>
      <c r="J13" s="21" t="s">
        <v>33</v>
      </c>
      <c r="K13" s="21" t="s">
        <v>34</v>
      </c>
      <c r="L13" s="21" t="s">
        <v>31</v>
      </c>
      <c r="M13" s="21" t="s">
        <v>32</v>
      </c>
      <c r="N13" s="21" t="s">
        <v>35</v>
      </c>
    </row>
    <row r="14" spans="2:14" ht="17.399999999999999">
      <c r="B14" s="22" t="s">
        <v>36</v>
      </c>
      <c r="C14" s="23"/>
      <c r="D14" s="24"/>
      <c r="E14" s="41">
        <v>90</v>
      </c>
      <c r="F14" s="42">
        <v>90</v>
      </c>
      <c r="G14" s="42">
        <v>90</v>
      </c>
      <c r="H14" s="27">
        <f t="shared" ref="H14:H19" si="0">G14-F14</f>
        <v>0</v>
      </c>
      <c r="I14" s="28">
        <f t="shared" ref="I14:I19" si="1">G14/F14</f>
        <v>1</v>
      </c>
      <c r="J14" s="45">
        <v>90</v>
      </c>
      <c r="K14" s="45">
        <v>90</v>
      </c>
      <c r="L14" s="27">
        <f t="shared" ref="L14:L19" si="2">K14-J14</f>
        <v>0</v>
      </c>
      <c r="M14" s="28">
        <f t="shared" ref="M14:M19" si="3">K14/J14</f>
        <v>1</v>
      </c>
      <c r="N14" s="28">
        <f t="shared" ref="N14:N19" si="4">K14/E14</f>
        <v>1</v>
      </c>
    </row>
    <row r="15" spans="2:14" ht="17.399999999999999">
      <c r="B15" s="22" t="s">
        <v>37</v>
      </c>
      <c r="C15" s="23"/>
      <c r="D15" s="24"/>
      <c r="E15" s="41">
        <v>140</v>
      </c>
      <c r="F15" s="42">
        <v>140</v>
      </c>
      <c r="G15" s="42">
        <v>140</v>
      </c>
      <c r="H15" s="27">
        <f t="shared" si="0"/>
        <v>0</v>
      </c>
      <c r="I15" s="28">
        <f t="shared" si="1"/>
        <v>1</v>
      </c>
      <c r="J15" s="45">
        <v>140</v>
      </c>
      <c r="K15" s="45">
        <v>140</v>
      </c>
      <c r="L15" s="27">
        <f t="shared" si="2"/>
        <v>0</v>
      </c>
      <c r="M15" s="28">
        <f t="shared" si="3"/>
        <v>1</v>
      </c>
      <c r="N15" s="28">
        <f t="shared" si="4"/>
        <v>1</v>
      </c>
    </row>
    <row r="16" spans="2:14" ht="17.399999999999999">
      <c r="B16" s="22" t="s">
        <v>38</v>
      </c>
      <c r="C16" s="23"/>
      <c r="D16" s="24"/>
      <c r="E16" s="41">
        <v>90</v>
      </c>
      <c r="F16" s="42">
        <v>90</v>
      </c>
      <c r="G16" s="42">
        <v>90</v>
      </c>
      <c r="H16" s="27">
        <f t="shared" si="0"/>
        <v>0</v>
      </c>
      <c r="I16" s="28">
        <f t="shared" si="1"/>
        <v>1</v>
      </c>
      <c r="J16" s="45">
        <v>90</v>
      </c>
      <c r="K16" s="45">
        <v>90</v>
      </c>
      <c r="L16" s="27">
        <f t="shared" si="2"/>
        <v>0</v>
      </c>
      <c r="M16" s="28">
        <f t="shared" si="3"/>
        <v>1</v>
      </c>
      <c r="N16" s="28">
        <f t="shared" si="4"/>
        <v>1</v>
      </c>
    </row>
    <row r="17" spans="2:16" ht="17.399999999999999">
      <c r="B17" s="22" t="s">
        <v>39</v>
      </c>
      <c r="C17" s="23"/>
      <c r="D17" s="24"/>
      <c r="E17" s="41">
        <v>140</v>
      </c>
      <c r="F17" s="42">
        <v>140</v>
      </c>
      <c r="G17" s="42">
        <v>140</v>
      </c>
      <c r="H17" s="27">
        <f t="shared" si="0"/>
        <v>0</v>
      </c>
      <c r="I17" s="28">
        <f t="shared" si="1"/>
        <v>1</v>
      </c>
      <c r="J17" s="45">
        <v>140</v>
      </c>
      <c r="K17" s="45">
        <v>140</v>
      </c>
      <c r="L17" s="27">
        <f t="shared" si="2"/>
        <v>0</v>
      </c>
      <c r="M17" s="28">
        <f t="shared" si="3"/>
        <v>1</v>
      </c>
      <c r="N17" s="28">
        <f t="shared" si="4"/>
        <v>1</v>
      </c>
    </row>
    <row r="18" spans="2:16" ht="17.399999999999999">
      <c r="B18" s="22" t="s">
        <v>40</v>
      </c>
      <c r="C18" s="23"/>
      <c r="D18" s="24"/>
      <c r="E18" s="41">
        <v>90</v>
      </c>
      <c r="F18" s="42">
        <v>90</v>
      </c>
      <c r="G18" s="42">
        <v>90</v>
      </c>
      <c r="H18" s="27">
        <f t="shared" si="0"/>
        <v>0</v>
      </c>
      <c r="I18" s="28">
        <f t="shared" si="1"/>
        <v>1</v>
      </c>
      <c r="J18" s="45">
        <v>90</v>
      </c>
      <c r="K18" s="45">
        <v>90</v>
      </c>
      <c r="L18" s="27">
        <f t="shared" si="2"/>
        <v>0</v>
      </c>
      <c r="M18" s="28">
        <f t="shared" si="3"/>
        <v>1</v>
      </c>
      <c r="N18" s="28">
        <f t="shared" si="4"/>
        <v>1</v>
      </c>
    </row>
    <row r="19" spans="2:16" ht="17.399999999999999">
      <c r="B19" s="22" t="s">
        <v>41</v>
      </c>
      <c r="C19" s="23"/>
      <c r="D19" s="24"/>
      <c r="E19" s="41">
        <v>140</v>
      </c>
      <c r="F19" s="42">
        <v>140</v>
      </c>
      <c r="G19" s="42">
        <v>140</v>
      </c>
      <c r="H19" s="27">
        <f t="shared" si="0"/>
        <v>0</v>
      </c>
      <c r="I19" s="28">
        <f t="shared" si="1"/>
        <v>1</v>
      </c>
      <c r="J19" s="45">
        <v>140</v>
      </c>
      <c r="K19" s="45">
        <v>140</v>
      </c>
      <c r="L19" s="27">
        <f t="shared" si="2"/>
        <v>0</v>
      </c>
      <c r="M19" s="28">
        <f t="shared" si="3"/>
        <v>1</v>
      </c>
      <c r="N19" s="28">
        <f t="shared" si="4"/>
        <v>1</v>
      </c>
    </row>
    <row r="21" spans="2:16" ht="18">
      <c r="B21" s="46" t="s">
        <v>85</v>
      </c>
      <c r="C21" s="37"/>
      <c r="D21" s="37"/>
      <c r="E21" s="37"/>
      <c r="F21" s="37"/>
      <c r="G21" s="47" t="s">
        <v>83</v>
      </c>
      <c r="J21" s="47" t="s">
        <v>74</v>
      </c>
      <c r="M21" s="47" t="s">
        <v>90</v>
      </c>
    </row>
    <row r="22" spans="2:16" ht="30">
      <c r="B22" s="38" t="s">
        <v>71</v>
      </c>
      <c r="C22" s="43" t="s">
        <v>72</v>
      </c>
      <c r="D22" s="43" t="s">
        <v>86</v>
      </c>
      <c r="E22" s="48" t="s">
        <v>73</v>
      </c>
      <c r="F22" s="48" t="s">
        <v>106</v>
      </c>
      <c r="G22" s="49" t="s">
        <v>91</v>
      </c>
      <c r="H22" s="49" t="s">
        <v>81</v>
      </c>
      <c r="J22" s="49" t="s">
        <v>75</v>
      </c>
      <c r="K22" s="49" t="s">
        <v>70</v>
      </c>
      <c r="M22" s="49" t="s">
        <v>75</v>
      </c>
      <c r="N22" s="49" t="s">
        <v>70</v>
      </c>
    </row>
    <row r="23" spans="2:16">
      <c r="B23" s="40" t="s">
        <v>82</v>
      </c>
      <c r="C23" s="50">
        <v>2</v>
      </c>
      <c r="D23" s="51">
        <v>539</v>
      </c>
      <c r="E23" s="50">
        <v>0</v>
      </c>
      <c r="F23" s="50">
        <v>0</v>
      </c>
      <c r="G23" s="52">
        <v>2</v>
      </c>
      <c r="H23" s="52">
        <v>2</v>
      </c>
      <c r="J23" s="52"/>
      <c r="K23" s="52"/>
      <c r="M23" s="52">
        <v>12</v>
      </c>
      <c r="N23" s="52">
        <v>12</v>
      </c>
    </row>
    <row r="24" spans="2:16">
      <c r="B24" s="40" t="s">
        <v>92</v>
      </c>
      <c r="C24" s="50">
        <v>7</v>
      </c>
      <c r="D24" s="51">
        <v>3558</v>
      </c>
      <c r="E24" s="50">
        <v>5</v>
      </c>
      <c r="F24" s="50">
        <v>0</v>
      </c>
      <c r="G24" s="52">
        <v>6</v>
      </c>
      <c r="H24" s="52">
        <v>6</v>
      </c>
      <c r="J24" s="52"/>
      <c r="K24" s="52"/>
      <c r="M24" s="52">
        <v>1</v>
      </c>
      <c r="N24" s="52">
        <v>1</v>
      </c>
      <c r="P24" t="s">
        <v>113</v>
      </c>
    </row>
    <row r="25" spans="2:16">
      <c r="B25" s="40" t="s">
        <v>93</v>
      </c>
      <c r="C25" s="50">
        <v>6</v>
      </c>
      <c r="D25" s="51">
        <v>526</v>
      </c>
      <c r="E25" s="50">
        <v>1</v>
      </c>
      <c r="F25" s="50">
        <v>0</v>
      </c>
      <c r="G25" s="52">
        <v>6</v>
      </c>
      <c r="H25" s="52">
        <v>6</v>
      </c>
      <c r="J25" s="52"/>
      <c r="K25" s="52"/>
      <c r="M25" s="52"/>
      <c r="N25" s="52"/>
    </row>
    <row r="26" spans="2:16">
      <c r="B26" s="40" t="s">
        <v>94</v>
      </c>
      <c r="C26" s="50">
        <v>0</v>
      </c>
      <c r="D26" s="51">
        <v>0</v>
      </c>
      <c r="E26" s="50">
        <v>0</v>
      </c>
      <c r="F26" s="50">
        <v>0</v>
      </c>
      <c r="G26" s="52">
        <v>0</v>
      </c>
      <c r="H26" s="52">
        <v>0</v>
      </c>
      <c r="J26" s="52"/>
      <c r="K26" s="52"/>
      <c r="M26" s="52"/>
      <c r="N26" s="52"/>
    </row>
    <row r="28" spans="2:16" ht="18">
      <c r="B28" s="46" t="s">
        <v>87</v>
      </c>
      <c r="C28" s="37"/>
      <c r="D28" s="37"/>
      <c r="E28" s="37"/>
      <c r="F28" s="37"/>
      <c r="G28" s="47" t="s">
        <v>83</v>
      </c>
      <c r="J28" s="47" t="s">
        <v>74</v>
      </c>
      <c r="M28" s="47" t="s">
        <v>90</v>
      </c>
    </row>
    <row r="29" spans="2:16" ht="30">
      <c r="B29" s="38" t="s">
        <v>71</v>
      </c>
      <c r="C29" s="43" t="s">
        <v>72</v>
      </c>
      <c r="D29" s="43" t="s">
        <v>86</v>
      </c>
      <c r="E29" s="48" t="s">
        <v>73</v>
      </c>
      <c r="F29" s="48" t="s">
        <v>106</v>
      </c>
      <c r="G29" s="49" t="s">
        <v>91</v>
      </c>
      <c r="H29" s="49" t="s">
        <v>81</v>
      </c>
      <c r="J29" s="49" t="s">
        <v>75</v>
      </c>
      <c r="K29" s="49" t="s">
        <v>70</v>
      </c>
      <c r="M29" s="49" t="s">
        <v>75</v>
      </c>
      <c r="N29" s="49" t="s">
        <v>70</v>
      </c>
    </row>
    <row r="30" spans="2:16">
      <c r="B30" s="40" t="s">
        <v>82</v>
      </c>
      <c r="C30" s="50">
        <v>5</v>
      </c>
      <c r="D30" s="51">
        <v>4953</v>
      </c>
      <c r="E30" s="50">
        <v>6</v>
      </c>
      <c r="F30" s="50">
        <v>0</v>
      </c>
      <c r="G30" s="52">
        <v>5</v>
      </c>
      <c r="H30" s="52">
        <v>5</v>
      </c>
      <c r="J30" s="52">
        <v>21</v>
      </c>
      <c r="K30" s="52">
        <v>21</v>
      </c>
      <c r="M30" s="52">
        <v>3</v>
      </c>
      <c r="N30" s="52">
        <v>3</v>
      </c>
    </row>
    <row r="31" spans="2:16">
      <c r="B31" s="40" t="s">
        <v>95</v>
      </c>
      <c r="C31" s="50">
        <v>9</v>
      </c>
      <c r="D31" s="51">
        <v>1731</v>
      </c>
      <c r="E31" s="50">
        <v>2</v>
      </c>
      <c r="F31" s="50">
        <v>0</v>
      </c>
      <c r="G31" s="52">
        <v>9</v>
      </c>
      <c r="H31" s="52">
        <v>9</v>
      </c>
      <c r="J31" s="52">
        <v>62</v>
      </c>
      <c r="K31" s="52">
        <v>62</v>
      </c>
      <c r="M31" s="52">
        <v>0</v>
      </c>
      <c r="N31" s="52">
        <v>0</v>
      </c>
    </row>
    <row r="32" spans="2:16">
      <c r="B32" s="40"/>
      <c r="C32" s="50"/>
      <c r="D32" s="51"/>
      <c r="E32" s="50"/>
      <c r="F32" s="50"/>
      <c r="G32" s="52"/>
      <c r="H32" s="52"/>
      <c r="J32" s="52"/>
      <c r="K32" s="52"/>
      <c r="M32" s="52"/>
      <c r="N32" s="52"/>
    </row>
    <row r="33" spans="2:14">
      <c r="B33" s="40"/>
      <c r="C33" s="50"/>
      <c r="D33" s="51"/>
      <c r="E33" s="50"/>
      <c r="F33" s="50"/>
      <c r="G33" s="52"/>
      <c r="H33" s="52"/>
      <c r="J33" s="52"/>
      <c r="K33" s="52"/>
      <c r="M33" s="52"/>
      <c r="N33" s="52"/>
    </row>
    <row r="35" spans="2:14" ht="18">
      <c r="B35" s="46" t="s">
        <v>88</v>
      </c>
      <c r="C35" s="37"/>
      <c r="D35" s="37"/>
      <c r="E35" s="37"/>
      <c r="F35" s="37"/>
      <c r="G35" s="47" t="s">
        <v>83</v>
      </c>
      <c r="J35" s="47" t="s">
        <v>74</v>
      </c>
      <c r="M35" s="47" t="s">
        <v>90</v>
      </c>
    </row>
    <row r="36" spans="2:14" ht="30">
      <c r="B36" s="38" t="s">
        <v>71</v>
      </c>
      <c r="C36" s="43" t="s">
        <v>72</v>
      </c>
      <c r="D36" s="43" t="s">
        <v>86</v>
      </c>
      <c r="E36" s="48" t="s">
        <v>73</v>
      </c>
      <c r="F36" s="48" t="s">
        <v>106</v>
      </c>
      <c r="G36" s="49" t="s">
        <v>91</v>
      </c>
      <c r="H36" s="49" t="s">
        <v>81</v>
      </c>
      <c r="J36" s="49" t="s">
        <v>75</v>
      </c>
      <c r="K36" s="49" t="s">
        <v>70</v>
      </c>
      <c r="M36" s="49" t="s">
        <v>75</v>
      </c>
      <c r="N36" s="49" t="s">
        <v>70</v>
      </c>
    </row>
    <row r="37" spans="2:14">
      <c r="B37" s="40" t="s">
        <v>84</v>
      </c>
      <c r="C37" s="50">
        <v>3</v>
      </c>
      <c r="D37" s="51">
        <v>4402</v>
      </c>
      <c r="E37" s="50">
        <v>3</v>
      </c>
      <c r="F37" s="50">
        <v>0</v>
      </c>
      <c r="G37" s="52">
        <v>3</v>
      </c>
      <c r="H37" s="52">
        <v>3</v>
      </c>
      <c r="J37" s="52">
        <v>15</v>
      </c>
      <c r="K37" s="52">
        <v>15</v>
      </c>
      <c r="M37" s="52">
        <v>0</v>
      </c>
      <c r="N37" s="52">
        <v>0</v>
      </c>
    </row>
    <row r="38" spans="2:14">
      <c r="B38" s="40" t="s">
        <v>96</v>
      </c>
      <c r="C38" s="50">
        <v>1</v>
      </c>
      <c r="D38" s="50">
        <v>473</v>
      </c>
      <c r="E38" s="50">
        <v>0</v>
      </c>
      <c r="F38" s="50">
        <v>0</v>
      </c>
      <c r="G38" s="52">
        <v>1</v>
      </c>
      <c r="H38" s="52">
        <v>1</v>
      </c>
      <c r="J38" s="52">
        <v>52</v>
      </c>
      <c r="K38" s="52">
        <v>52</v>
      </c>
      <c r="M38" s="52">
        <v>1</v>
      </c>
      <c r="N38" s="52">
        <v>0</v>
      </c>
    </row>
    <row r="39" spans="2:14">
      <c r="B39" s="40" t="s">
        <v>89</v>
      </c>
      <c r="C39" s="50">
        <v>1</v>
      </c>
      <c r="D39" s="51">
        <v>239</v>
      </c>
      <c r="E39" s="50">
        <v>0</v>
      </c>
      <c r="F39" s="50">
        <v>0</v>
      </c>
      <c r="G39" s="52">
        <v>1</v>
      </c>
      <c r="H39" s="52">
        <v>1</v>
      </c>
      <c r="J39" s="52">
        <v>2</v>
      </c>
      <c r="K39" s="52">
        <v>2</v>
      </c>
      <c r="M39" s="52">
        <v>0</v>
      </c>
      <c r="N39" s="52">
        <v>0</v>
      </c>
    </row>
    <row r="40" spans="2:14">
      <c r="B40" s="40"/>
      <c r="C40" s="50"/>
      <c r="D40" s="44"/>
      <c r="E40" s="50"/>
      <c r="F40" s="50"/>
      <c r="G40" s="52"/>
      <c r="H40" s="52"/>
      <c r="J40" s="52"/>
      <c r="K40" s="52"/>
      <c r="M40" s="52"/>
      <c r="N40" s="52"/>
    </row>
    <row r="42" spans="2:14">
      <c r="B42" s="15" t="s">
        <v>120</v>
      </c>
    </row>
    <row r="43" spans="2:14">
      <c r="B43" s="80" t="s">
        <v>121</v>
      </c>
      <c r="C43" s="19" t="s">
        <v>122</v>
      </c>
      <c r="D43" s="81" t="s">
        <v>123</v>
      </c>
      <c r="E43" s="82" t="s">
        <v>124</v>
      </c>
      <c r="F43" s="82" t="s">
        <v>125</v>
      </c>
      <c r="G43" s="82" t="s">
        <v>126</v>
      </c>
      <c r="H43" s="82" t="s">
        <v>127</v>
      </c>
      <c r="I43" s="82" t="s">
        <v>128</v>
      </c>
      <c r="J43" s="81" t="s">
        <v>129</v>
      </c>
    </row>
    <row r="44" spans="2:14">
      <c r="B44" s="83" t="s">
        <v>130</v>
      </c>
      <c r="C44" s="83">
        <v>3</v>
      </c>
      <c r="D44" s="39">
        <v>0</v>
      </c>
      <c r="E44" s="39">
        <v>3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</row>
    <row r="45" spans="2:14">
      <c r="B45" s="83" t="s">
        <v>131</v>
      </c>
      <c r="C45" s="83">
        <v>36</v>
      </c>
      <c r="D45" s="39">
        <v>0</v>
      </c>
      <c r="E45" s="39">
        <v>36</v>
      </c>
      <c r="F45" s="39">
        <v>0</v>
      </c>
      <c r="G45" s="39">
        <v>0</v>
      </c>
      <c r="H45" s="39">
        <v>0</v>
      </c>
      <c r="I45" s="39">
        <v>0</v>
      </c>
      <c r="J45" s="85">
        <v>0</v>
      </c>
    </row>
    <row r="46" spans="2:14">
      <c r="B46" s="83" t="s">
        <v>132</v>
      </c>
      <c r="C46" s="83">
        <v>38</v>
      </c>
      <c r="D46" s="39">
        <v>0</v>
      </c>
      <c r="E46" s="39">
        <v>38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</row>
    <row r="48" spans="2:14" s="54" customFormat="1" ht="15.75" customHeight="1">
      <c r="B48" s="53" t="s">
        <v>55</v>
      </c>
      <c r="I48" s="55" t="s">
        <v>76</v>
      </c>
    </row>
    <row r="49" spans="2:14" s="54" customFormat="1" ht="15.75" customHeight="1">
      <c r="C49" s="56" t="s">
        <v>56</v>
      </c>
      <c r="D49" s="56" t="s">
        <v>57</v>
      </c>
      <c r="E49" s="56" t="s">
        <v>58</v>
      </c>
      <c r="F49" s="56" t="s">
        <v>59</v>
      </c>
      <c r="J49" s="57" t="s">
        <v>77</v>
      </c>
      <c r="K49" s="57" t="s">
        <v>78</v>
      </c>
      <c r="L49" s="57" t="s">
        <v>79</v>
      </c>
      <c r="M49" s="57" t="s">
        <v>80</v>
      </c>
    </row>
    <row r="50" spans="2:14" s="54" customFormat="1" ht="15.75" customHeight="1">
      <c r="C50" s="58">
        <v>22</v>
      </c>
      <c r="D50" s="58">
        <v>22</v>
      </c>
      <c r="E50" s="58">
        <v>0</v>
      </c>
      <c r="F50" s="59">
        <v>0</v>
      </c>
      <c r="J50" s="60">
        <v>60</v>
      </c>
      <c r="K50" s="60">
        <v>60</v>
      </c>
      <c r="L50" s="60">
        <v>60</v>
      </c>
      <c r="M50" s="60">
        <v>60</v>
      </c>
    </row>
    <row r="51" spans="2:14" s="54" customFormat="1" ht="15.75" customHeight="1"/>
    <row r="52" spans="2:14">
      <c r="B52" s="15" t="s">
        <v>47</v>
      </c>
      <c r="I52" s="15" t="s">
        <v>48</v>
      </c>
    </row>
    <row r="53" spans="2:14">
      <c r="B53" s="102" t="s">
        <v>148</v>
      </c>
      <c r="C53" s="103"/>
      <c r="D53" s="103"/>
      <c r="E53" s="103"/>
      <c r="F53" s="103"/>
      <c r="G53" s="104"/>
      <c r="I53" s="111" t="s">
        <v>114</v>
      </c>
      <c r="J53" s="112"/>
      <c r="K53" s="112"/>
      <c r="L53" s="112"/>
      <c r="M53" s="112"/>
      <c r="N53" s="113"/>
    </row>
    <row r="54" spans="2:14">
      <c r="B54" s="105"/>
      <c r="C54" s="106"/>
      <c r="D54" s="106"/>
      <c r="E54" s="106"/>
      <c r="F54" s="106"/>
      <c r="G54" s="107"/>
      <c r="I54" s="114"/>
      <c r="J54" s="115"/>
      <c r="K54" s="115"/>
      <c r="L54" s="115"/>
      <c r="M54" s="115"/>
      <c r="N54" s="116"/>
    </row>
    <row r="55" spans="2:14">
      <c r="B55" s="105"/>
      <c r="C55" s="106"/>
      <c r="D55" s="106"/>
      <c r="E55" s="106"/>
      <c r="F55" s="106"/>
      <c r="G55" s="107"/>
      <c r="I55" s="114"/>
      <c r="J55" s="115"/>
      <c r="K55" s="115"/>
      <c r="L55" s="115"/>
      <c r="M55" s="115"/>
      <c r="N55" s="116"/>
    </row>
    <row r="56" spans="2:14">
      <c r="B56" s="105"/>
      <c r="C56" s="106"/>
      <c r="D56" s="106"/>
      <c r="E56" s="106"/>
      <c r="F56" s="106"/>
      <c r="G56" s="107"/>
      <c r="I56" s="114"/>
      <c r="J56" s="115"/>
      <c r="K56" s="115"/>
      <c r="L56" s="115"/>
      <c r="M56" s="115"/>
      <c r="N56" s="116"/>
    </row>
    <row r="57" spans="2:14">
      <c r="B57" s="105"/>
      <c r="C57" s="106"/>
      <c r="D57" s="106"/>
      <c r="E57" s="106"/>
      <c r="F57" s="106"/>
      <c r="G57" s="107"/>
      <c r="I57" s="114"/>
      <c r="J57" s="115"/>
      <c r="K57" s="115"/>
      <c r="L57" s="115"/>
      <c r="M57" s="115"/>
      <c r="N57" s="116"/>
    </row>
    <row r="58" spans="2:14">
      <c r="B58" s="105"/>
      <c r="C58" s="106"/>
      <c r="D58" s="106"/>
      <c r="E58" s="106"/>
      <c r="F58" s="106"/>
      <c r="G58" s="107"/>
      <c r="I58" s="114"/>
      <c r="J58" s="115"/>
      <c r="K58" s="115"/>
      <c r="L58" s="115"/>
      <c r="M58" s="115"/>
      <c r="N58" s="116"/>
    </row>
    <row r="59" spans="2:14">
      <c r="B59" s="105"/>
      <c r="C59" s="106"/>
      <c r="D59" s="106"/>
      <c r="E59" s="106"/>
      <c r="F59" s="106"/>
      <c r="G59" s="107"/>
      <c r="I59" s="114"/>
      <c r="J59" s="115"/>
      <c r="K59" s="115"/>
      <c r="L59" s="115"/>
      <c r="M59" s="115"/>
      <c r="N59" s="116"/>
    </row>
    <row r="60" spans="2:14">
      <c r="B60" s="105"/>
      <c r="C60" s="106"/>
      <c r="D60" s="106"/>
      <c r="E60" s="106"/>
      <c r="F60" s="106"/>
      <c r="G60" s="107"/>
      <c r="I60" s="114"/>
      <c r="J60" s="115"/>
      <c r="K60" s="115"/>
      <c r="L60" s="115"/>
      <c r="M60" s="115"/>
      <c r="N60" s="116"/>
    </row>
    <row r="61" spans="2:14">
      <c r="B61" s="105"/>
      <c r="C61" s="106"/>
      <c r="D61" s="106"/>
      <c r="E61" s="106"/>
      <c r="F61" s="106"/>
      <c r="G61" s="107"/>
      <c r="I61" s="114"/>
      <c r="J61" s="115"/>
      <c r="K61" s="115"/>
      <c r="L61" s="115"/>
      <c r="M61" s="115"/>
      <c r="N61" s="116"/>
    </row>
    <row r="62" spans="2:14">
      <c r="B62" s="105"/>
      <c r="C62" s="106"/>
      <c r="D62" s="106"/>
      <c r="E62" s="106"/>
      <c r="F62" s="106"/>
      <c r="G62" s="107"/>
      <c r="I62" s="114"/>
      <c r="J62" s="115"/>
      <c r="K62" s="115"/>
      <c r="L62" s="115"/>
      <c r="M62" s="115"/>
      <c r="N62" s="116"/>
    </row>
    <row r="63" spans="2:14">
      <c r="B63" s="105"/>
      <c r="C63" s="106"/>
      <c r="D63" s="106"/>
      <c r="E63" s="106"/>
      <c r="F63" s="106"/>
      <c r="G63" s="107"/>
      <c r="I63" s="114"/>
      <c r="J63" s="115"/>
      <c r="K63" s="115"/>
      <c r="L63" s="115"/>
      <c r="M63" s="115"/>
      <c r="N63" s="116"/>
    </row>
    <row r="64" spans="2:14">
      <c r="B64" s="105"/>
      <c r="C64" s="106"/>
      <c r="D64" s="106"/>
      <c r="E64" s="106"/>
      <c r="F64" s="106"/>
      <c r="G64" s="107"/>
      <c r="I64" s="114"/>
      <c r="J64" s="115"/>
      <c r="K64" s="115"/>
      <c r="L64" s="115"/>
      <c r="M64" s="115"/>
      <c r="N64" s="116"/>
    </row>
    <row r="65" spans="2:15">
      <c r="B65" s="105"/>
      <c r="C65" s="106"/>
      <c r="D65" s="106"/>
      <c r="E65" s="106"/>
      <c r="F65" s="106"/>
      <c r="G65" s="107"/>
      <c r="I65" s="114"/>
      <c r="J65" s="115"/>
      <c r="K65" s="115"/>
      <c r="L65" s="115"/>
      <c r="M65" s="115"/>
      <c r="N65" s="116"/>
    </row>
    <row r="66" spans="2:15">
      <c r="B66" s="105"/>
      <c r="C66" s="106"/>
      <c r="D66" s="106"/>
      <c r="E66" s="106"/>
      <c r="F66" s="106"/>
      <c r="G66" s="107"/>
      <c r="I66" s="114"/>
      <c r="J66" s="115"/>
      <c r="K66" s="115"/>
      <c r="L66" s="115"/>
      <c r="M66" s="115"/>
      <c r="N66" s="116"/>
    </row>
    <row r="67" spans="2:15">
      <c r="B67" s="105"/>
      <c r="C67" s="106"/>
      <c r="D67" s="106"/>
      <c r="E67" s="106"/>
      <c r="F67" s="106"/>
      <c r="G67" s="107"/>
      <c r="I67" s="114"/>
      <c r="J67" s="115"/>
      <c r="K67" s="115"/>
      <c r="L67" s="115"/>
      <c r="M67" s="115"/>
      <c r="N67" s="116"/>
    </row>
    <row r="68" spans="2:15">
      <c r="B68" s="105"/>
      <c r="C68" s="106"/>
      <c r="D68" s="106"/>
      <c r="E68" s="106"/>
      <c r="F68" s="106"/>
      <c r="G68" s="107"/>
      <c r="I68" s="114"/>
      <c r="J68" s="115"/>
      <c r="K68" s="115"/>
      <c r="L68" s="115"/>
      <c r="M68" s="115"/>
      <c r="N68" s="116"/>
    </row>
    <row r="69" spans="2:15" ht="14.7" customHeight="1">
      <c r="B69" s="108"/>
      <c r="C69" s="109"/>
      <c r="D69" s="109"/>
      <c r="E69" s="109"/>
      <c r="F69" s="109"/>
      <c r="G69" s="110"/>
      <c r="I69" s="117"/>
      <c r="J69" s="118"/>
      <c r="K69" s="118"/>
      <c r="L69" s="118"/>
      <c r="M69" s="118"/>
      <c r="N69" s="119"/>
    </row>
    <row r="70" spans="2:15">
      <c r="N70" s="13" t="s">
        <v>49</v>
      </c>
      <c r="O70" s="13"/>
    </row>
  </sheetData>
  <mergeCells count="3">
    <mergeCell ref="B7:N11"/>
    <mergeCell ref="B53:G69"/>
    <mergeCell ref="I53:N69"/>
  </mergeCells>
  <phoneticPr fontId="1"/>
  <conditionalFormatting sqref="E23:E26">
    <cfRule type="expression" dxfId="11" priority="9">
      <formula>AND(D23&lt;&gt;0,E23/D23&lt;0.001)</formula>
    </cfRule>
  </conditionalFormatting>
  <conditionalFormatting sqref="E30:E33">
    <cfRule type="expression" dxfId="10" priority="5">
      <formula>AND(D30&lt;&gt;0,E30/D30&lt;0.001)</formula>
    </cfRule>
  </conditionalFormatting>
  <conditionalFormatting sqref="E37:E40">
    <cfRule type="expression" dxfId="9" priority="4">
      <formula>AND(D37&lt;&gt;0,E37/D37&lt;0.001)</formula>
    </cfRule>
  </conditionalFormatting>
  <conditionalFormatting sqref="H23:H26">
    <cfRule type="expression" dxfId="8" priority="12">
      <formula>H23&lt;&gt;G23</formula>
    </cfRule>
  </conditionalFormatting>
  <conditionalFormatting sqref="H30:H33">
    <cfRule type="expression" dxfId="7" priority="8">
      <formula>H30&lt;&gt;G30</formula>
    </cfRule>
  </conditionalFormatting>
  <conditionalFormatting sqref="H37:H40">
    <cfRule type="expression" dxfId="6" priority="3">
      <formula>H37&lt;&gt;G37</formula>
    </cfRule>
  </conditionalFormatting>
  <conditionalFormatting sqref="K23:K26">
    <cfRule type="expression" dxfId="5" priority="11">
      <formula>K23&lt;&gt;J23</formula>
    </cfRule>
  </conditionalFormatting>
  <conditionalFormatting sqref="K30:K33">
    <cfRule type="expression" dxfId="4" priority="7">
      <formula>K30&lt;&gt;J30</formula>
    </cfRule>
  </conditionalFormatting>
  <conditionalFormatting sqref="K37:K40">
    <cfRule type="expression" dxfId="3" priority="2">
      <formula>K37&lt;&gt;J37</formula>
    </cfRule>
  </conditionalFormatting>
  <conditionalFormatting sqref="N23:N26">
    <cfRule type="expression" dxfId="2" priority="10">
      <formula>N23&lt;&gt;M23</formula>
    </cfRule>
  </conditionalFormatting>
  <conditionalFormatting sqref="N30:N33">
    <cfRule type="expression" dxfId="1" priority="6">
      <formula>N30&lt;&gt;M30</formula>
    </cfRule>
  </conditionalFormatting>
  <conditionalFormatting sqref="N37:N40">
    <cfRule type="expression" dxfId="0" priority="1">
      <formula>N37&lt;&gt;M37</formula>
    </cfRule>
  </conditionalFormatting>
  <hyperlinks>
    <hyperlink ref="B28" r:id="rId1" xr:uid="{8368F209-81FA-4BBF-98F1-15D647417708}"/>
    <hyperlink ref="B35" r:id="rId2" xr:uid="{8E653BEF-C47E-40E5-AE0A-0D374BB241D0}"/>
    <hyperlink ref="B21" r:id="rId3" xr:uid="{1E15A6CA-685B-487F-9ED1-68BEDE5EB281}"/>
  </hyperlink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6" orientation="landscape" r:id="rId4"/>
  <drawing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99ECB-2DFB-4BBE-A4DC-197E2F708B4D}">
  <sheetPr codeName="Sheet6">
    <tabColor rgb="FFFFFF00"/>
  </sheetPr>
  <dimension ref="A1"/>
  <sheetViews>
    <sheetView workbookViewId="0"/>
  </sheetViews>
  <sheetFormatPr defaultRowHeight="15"/>
  <sheetData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HISTORY</vt:lpstr>
      <vt:lpstr>MENU</vt:lpstr>
      <vt:lpstr>NameList</vt:lpstr>
      <vt:lpstr>WhiteList</vt:lpstr>
      <vt:lpstr>BlackList</vt:lpstr>
      <vt:lpstr>DailyReport</vt:lpstr>
      <vt:lpstr>From</vt:lpstr>
      <vt:lpstr>共通チーム</vt:lpstr>
      <vt:lpstr>EIKOH</vt:lpstr>
      <vt:lpstr>SEDDA</vt:lpstr>
      <vt:lpstr>OASYS</vt:lpstr>
      <vt:lpstr>TOYODATA</vt:lpstr>
      <vt:lpstr>To</vt:lpstr>
      <vt:lpstr>TOYODATA!Print_Area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Plum PlumX</cp:lastModifiedBy>
  <cp:lastPrinted>2023-07-04T04:44:23Z</cp:lastPrinted>
  <dcterms:created xsi:type="dcterms:W3CDTF">2023-06-27T03:01:47Z</dcterms:created>
  <dcterms:modified xsi:type="dcterms:W3CDTF">2026-06-02T07:03:59Z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2023-06-27T03:03:16Z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d828b4f8-d6e0-4436-8450-7cdf26896cc9</vt:lpwstr>
  </property>
  <property fmtid="{D5CDD505-2E9C-101B-9397-08002B2CF9AE}" pid="8" name="MSIP_Label_a7295cc1-d279-42ac-ab4d-3b0f4fece050_ContentBits">
    <vt:lpwstr>0</vt:lpwstr>
  </property>
</Properties>
</file>