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lumx\Documents\Projects\SFinX\LAB\117_SqlRunner\"/>
    </mc:Choice>
  </mc:AlternateContent>
  <xr:revisionPtr revIDLastSave="0" documentId="13_ncr:1_{ED42CCAE-D400-4EAC-8DF7-6A6C18C3C425}" xr6:coauthVersionLast="47" xr6:coauthVersionMax="47" xr10:uidLastSave="{00000000-0000-0000-0000-000000000000}"/>
  <bookViews>
    <workbookView xWindow="-110" yWindow="-110" windowWidth="19420" windowHeight="10300" tabRatio="918" activeTab="2" xr2:uid="{86F6947A-62BA-4434-AA0B-CB44CCAB6578}"/>
  </bookViews>
  <sheets>
    <sheet name="HISTORY" sheetId="1" r:id="rId1"/>
    <sheet name="MENU" sheetId="3" r:id="rId2"/>
    <sheet name="LEFT" sheetId="4" r:id="rId3"/>
    <sheet name="RIGHT" sheetId="6" r:id="rId4"/>
    <sheet name="Q-1" sheetId="2" r:id="rId5"/>
    <sheet name="Q-1-R" sheetId="48" r:id="rId6"/>
    <sheet name="Q-2" sheetId="8" r:id="rId7"/>
    <sheet name="Q-2-R" sheetId="47" r:id="rId8"/>
    <sheet name="Q-3" sheetId="13" r:id="rId9"/>
    <sheet name="Q-3-R" sheetId="49" r:id="rId10"/>
    <sheet name="C-1" sheetId="24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" i="13" l="1"/>
  <c r="A4" i="13"/>
  <c r="A3" i="13"/>
  <c r="A5" i="8"/>
  <c r="A4" i="8"/>
  <c r="A3" i="8"/>
  <c r="A5" i="2"/>
  <c r="A4" i="2"/>
  <c r="A3" i="2"/>
  <c r="C3" i="1" l="1"/>
  <c r="A3" i="1"/>
  <c r="E3" i="1" l="1"/>
  <c r="B3" i="1"/>
  <c r="D3" i="1"/>
</calcChain>
</file>

<file path=xl/sharedStrings.xml><?xml version="1.0" encoding="utf-8"?>
<sst xmlns="http://schemas.openxmlformats.org/spreadsheetml/2006/main" count="130" uniqueCount="59">
  <si>
    <t>最新状況</t>
  </si>
  <si>
    <t>修正履歴</t>
  </si>
  <si>
    <t>曾進</t>
  </si>
  <si>
    <t>Ver 0.1</t>
  </si>
  <si>
    <t>初期作成</t>
  </si>
  <si>
    <t>No.</t>
    <phoneticPr fontId="1"/>
  </si>
  <si>
    <t>Date</t>
    <phoneticPr fontId="1"/>
  </si>
  <si>
    <t>Name</t>
    <phoneticPr fontId="1"/>
  </si>
  <si>
    <t>Comments</t>
    <phoneticPr fontId="1"/>
  </si>
  <si>
    <t>Version</t>
    <phoneticPr fontId="1"/>
  </si>
  <si>
    <t>SQL</t>
    <phoneticPr fontId="5"/>
  </si>
  <si>
    <t>Column</t>
    <phoneticPr fontId="5"/>
  </si>
  <si>
    <t>Flag</t>
    <phoneticPr fontId="5"/>
  </si>
  <si>
    <t>Value</t>
    <phoneticPr fontId="5"/>
  </si>
  <si>
    <t>SELECT</t>
    <phoneticPr fontId="5"/>
  </si>
  <si>
    <t>*</t>
    <phoneticPr fontId="5"/>
  </si>
  <si>
    <t>ID</t>
  </si>
  <si>
    <t>ID</t>
    <phoneticPr fontId="1"/>
  </si>
  <si>
    <t>商品名</t>
  </si>
  <si>
    <t>商品名</t>
    <rPh sb="0" eb="2">
      <t>ショウヒン</t>
    </rPh>
    <rPh sb="2" eb="3">
      <t>メイ</t>
    </rPh>
    <phoneticPr fontId="1"/>
  </si>
  <si>
    <t>価格</t>
  </si>
  <si>
    <t>価格</t>
    <rPh sb="0" eb="2">
      <t>カカク</t>
    </rPh>
    <phoneticPr fontId="1"/>
  </si>
  <si>
    <t>S-001</t>
    <phoneticPr fontId="1"/>
  </si>
  <si>
    <t>S-002</t>
  </si>
  <si>
    <t>S-003</t>
  </si>
  <si>
    <t>S-004</t>
  </si>
  <si>
    <t>S-005</t>
  </si>
  <si>
    <t>商品-001</t>
    <rPh sb="0" eb="2">
      <t>ショウヒン</t>
    </rPh>
    <phoneticPr fontId="1"/>
  </si>
  <si>
    <t>商品-002</t>
    <rPh sb="0" eb="2">
      <t>ショウヒン</t>
    </rPh>
    <phoneticPr fontId="1"/>
  </si>
  <si>
    <t>商品-003</t>
    <rPh sb="0" eb="2">
      <t>ショウヒン</t>
    </rPh>
    <phoneticPr fontId="1"/>
  </si>
  <si>
    <t>商品-004</t>
    <rPh sb="0" eb="2">
      <t>ショウヒン</t>
    </rPh>
    <phoneticPr fontId="1"/>
  </si>
  <si>
    <t>商品-005</t>
    <rPh sb="0" eb="2">
      <t>ショウヒン</t>
    </rPh>
    <phoneticPr fontId="1"/>
  </si>
  <si>
    <t>)</t>
    <phoneticPr fontId="1"/>
  </si>
  <si>
    <t>商品-002</t>
  </si>
  <si>
    <t>WHERE EXISTS (</t>
    <phoneticPr fontId="5"/>
  </si>
  <si>
    <t>WHERE T2.[ID]=T1.[ID]</t>
    <phoneticPr fontId="5"/>
  </si>
  <si>
    <t>S-001</t>
  </si>
  <si>
    <t>商品-001</t>
  </si>
  <si>
    <t>S-006</t>
  </si>
  <si>
    <t>商品-006</t>
    <rPh sb="0" eb="2">
      <t>ショウヒン</t>
    </rPh>
    <phoneticPr fontId="1"/>
  </si>
  <si>
    <t>FROM [LEFT$] AS T1</t>
    <phoneticPr fontId="5"/>
  </si>
  <si>
    <t>SELECT * FROM [RIGHT$] AS T2</t>
    <phoneticPr fontId="5"/>
  </si>
  <si>
    <t>WHERE NOT EXISTS (</t>
    <phoneticPr fontId="5"/>
  </si>
  <si>
    <t>商品-003</t>
  </si>
  <si>
    <t>商品-004</t>
  </si>
  <si>
    <t>FROM [RIGHT$] AS T1</t>
    <phoneticPr fontId="5"/>
  </si>
  <si>
    <t>SELECT * FROM [LEFT$] AS T2</t>
    <phoneticPr fontId="5"/>
  </si>
  <si>
    <t>商品-005</t>
  </si>
  <si>
    <t>商品-006</t>
  </si>
  <si>
    <t>Update [LEFT$]</t>
    <phoneticPr fontId="5"/>
  </si>
  <si>
    <t>SET</t>
    <phoneticPr fontId="1"/>
  </si>
  <si>
    <t>WHERE</t>
    <phoneticPr fontId="1"/>
  </si>
  <si>
    <t>[価格] = 10000</t>
    <phoneticPr fontId="1"/>
  </si>
  <si>
    <t>RowNumber</t>
  </si>
  <si>
    <t>[ID] = 'S-001';</t>
    <phoneticPr fontId="1"/>
  </si>
  <si>
    <t>[価格] = 10001</t>
    <phoneticPr fontId="1"/>
  </si>
  <si>
    <t>S-002</t>
    <phoneticPr fontId="1"/>
  </si>
  <si>
    <t>Ver 1.0</t>
    <phoneticPr fontId="1"/>
  </si>
  <si>
    <t>①Queryシートが要らないようにする
②SQLコメント複数実行可能にする
③RowNumber列を追加</t>
    <rPh sb="10" eb="11">
      <t>イ</t>
    </rPh>
    <rPh sb="28" eb="30">
      <t>フクスウ</t>
    </rPh>
    <rPh sb="30" eb="32">
      <t>ジッコウ</t>
    </rPh>
    <rPh sb="32" eb="34">
      <t>カノウ</t>
    </rPh>
    <rPh sb="48" eb="49">
      <t>レツ</t>
    </rPh>
    <rPh sb="50" eb="52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</si>
</sst>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10" x14ac:knownFonts="1">
    <font>
      <sz val="11"/>
      <color theme="1"/>
      <name val="メイリオ"/>
      <family val="2"/>
      <charset val="128"/>
    </font>
    <font>
      <sz val="6"/>
      <name val="メイリオ"/>
      <family val="2"/>
      <charset val="128"/>
    </font>
    <font>
      <sz val="11"/>
      <color theme="1"/>
      <name val="メイリオ"/>
      <family val="2"/>
      <charset val="128"/>
    </font>
    <font>
      <sz val="9"/>
      <name val="ＭＳ ゴシック"/>
      <family val="3"/>
      <charset val="128"/>
    </font>
    <font>
      <sz val="9"/>
      <color theme="0"/>
      <name val="Meiryo UI"/>
      <family val="3"/>
      <charset val="128"/>
    </font>
    <font>
      <sz val="6"/>
      <name val="ＭＳ ゴシック"/>
      <family val="3"/>
      <charset val="128"/>
    </font>
    <font>
      <sz val="9"/>
      <name val="Meiryo UI"/>
      <family val="3"/>
      <charset val="128"/>
    </font>
    <font>
      <b/>
      <sz val="11"/>
      <color theme="1"/>
      <name val="メイリオ"/>
      <family val="3"/>
      <charset val="128"/>
    </font>
    <font>
      <sz val="11"/>
      <color rgb="FF000000"/>
      <name val="メイリオ"/>
      <family val="3"/>
      <charset val="128"/>
    </font>
    <font>
      <sz val="11"/>
      <color rgb="FFFF0000"/>
      <name val="メイリオ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3" fillId="0" borderId="0"/>
  </cellStyleXfs>
  <cellXfs count="12"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2" borderId="0" xfId="2" applyFont="1" applyFill="1" applyAlignment="1">
      <alignment horizontal="center"/>
    </xf>
    <xf numFmtId="0" fontId="6" fillId="0" borderId="0" xfId="2" applyFont="1"/>
    <xf numFmtId="0" fontId="6" fillId="0" borderId="0" xfId="2" applyFont="1" applyAlignment="1">
      <alignment horizontal="center"/>
    </xf>
    <xf numFmtId="0" fontId="7" fillId="0" borderId="0" xfId="0" applyFont="1">
      <alignment vertical="center"/>
    </xf>
    <xf numFmtId="38" fontId="0" fillId="0" borderId="0" xfId="1" applyFont="1">
      <alignment vertical="center"/>
    </xf>
    <xf numFmtId="38" fontId="9" fillId="3" borderId="0" xfId="1" applyFont="1" applyFill="1">
      <alignment vertical="center"/>
    </xf>
    <xf numFmtId="0" fontId="0" fillId="0" borderId="0" xfId="0" applyAlignment="1"/>
    <xf numFmtId="0" fontId="0" fillId="0" borderId="0" xfId="0" applyAlignment="1">
      <alignment vertical="center" wrapText="1"/>
    </xf>
  </cellXfs>
  <cellStyles count="3">
    <cellStyle name="桁区切り" xfId="1" builtinId="6"/>
    <cellStyle name="標準" xfId="0" builtinId="0"/>
    <cellStyle name="標準 2" xfId="2" xr:uid="{A36FDA4F-BBC0-49AB-85FA-62ADA51E5E35}"/>
  </cellStyles>
  <dxfs count="4">
    <dxf>
      <alignment horizontal="center" vertical="center" textRotation="0" wrapText="0" indent="0" justifyLastLine="0" shrinkToFit="0" readingOrder="0"/>
    </dxf>
    <dxf>
      <numFmt numFmtId="176" formatCode="yyyy/mm/dd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1955800</xdr:colOff>
          <xdr:row>0</xdr:row>
          <xdr:rowOff>19050</xdr:rowOff>
        </xdr:from>
        <xdr:to>
          <xdr:col>0</xdr:col>
          <xdr:colOff>3136900</xdr:colOff>
          <xdr:row>0</xdr:row>
          <xdr:rowOff>222250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Run Query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1981200</xdr:colOff>
          <xdr:row>0</xdr:row>
          <xdr:rowOff>38100</xdr:rowOff>
        </xdr:from>
        <xdr:to>
          <xdr:col>0</xdr:col>
          <xdr:colOff>3162300</xdr:colOff>
          <xdr:row>0</xdr:row>
          <xdr:rowOff>241300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Run Query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1981200</xdr:colOff>
          <xdr:row>0</xdr:row>
          <xdr:rowOff>31750</xdr:rowOff>
        </xdr:from>
        <xdr:to>
          <xdr:col>0</xdr:col>
          <xdr:colOff>3162300</xdr:colOff>
          <xdr:row>0</xdr:row>
          <xdr:rowOff>234950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Run Query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1955800</xdr:colOff>
          <xdr:row>0</xdr:row>
          <xdr:rowOff>19050</xdr:rowOff>
        </xdr:from>
        <xdr:to>
          <xdr:col>0</xdr:col>
          <xdr:colOff>3136900</xdr:colOff>
          <xdr:row>0</xdr:row>
          <xdr:rowOff>222250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Run Command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8060B0-BB9A-4B94-B7D8-041F55E38B74}" name="ReviseHistory" displayName="ReviseHistory" ref="A7:E14" totalsRowShown="0" headerRowDxfId="3">
  <autoFilter ref="A7:E14" xr:uid="{B08060B0-BB9A-4B94-B7D8-041F55E38B74}"/>
  <tableColumns count="5">
    <tableColumn id="1" xr3:uid="{36CE3F7D-6A2D-4FDB-9AC6-2E5289B51A87}" name="No."/>
    <tableColumn id="2" xr3:uid="{F2E38737-A8EB-42A3-A15D-7060FF8BA4AE}" name="Name" dataDxfId="2"/>
    <tableColumn id="3" xr3:uid="{99A609BC-7253-4E1E-9661-BC4A483B7D51}" name="Date" dataDxfId="1"/>
    <tableColumn id="4" xr3:uid="{BF98405D-9E5F-4972-A0AA-32E86DD9C025}" name="Version" dataDxfId="0"/>
    <tableColumn id="5" xr3:uid="{16E55E88-EE0F-4574-8C79-1794F1A12AF4}" name="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4541A-9406-47F0-AD28-634A9910A2AA}">
  <sheetPr codeName="Sheet1">
    <pageSetUpPr fitToPage="1"/>
  </sheetPr>
  <dimension ref="A2:J19"/>
  <sheetViews>
    <sheetView zoomScaleNormal="100" workbookViewId="0">
      <selection activeCell="E10" sqref="E10"/>
    </sheetView>
  </sheetViews>
  <sheetFormatPr defaultRowHeight="17.5" x14ac:dyDescent="0.6"/>
  <cols>
    <col min="1" max="1" width="7.5703125" bestFit="1" customWidth="1"/>
    <col min="2" max="2" width="9.28515625" customWidth="1"/>
    <col min="3" max="3" width="13" customWidth="1"/>
    <col min="4" max="4" width="10.5703125" customWidth="1"/>
    <col min="5" max="5" width="36.42578125" bestFit="1" customWidth="1"/>
  </cols>
  <sheetData>
    <row r="2" spans="1:10" x14ac:dyDescent="0.6">
      <c r="A2" s="7" t="s">
        <v>0</v>
      </c>
      <c r="C2" s="1"/>
    </row>
    <row r="3" spans="1:10" x14ac:dyDescent="0.6">
      <c r="A3">
        <f>MAX(ReviseHistory[No.])</f>
        <v>2</v>
      </c>
      <c r="B3" s="3" t="str">
        <f>VLOOKUP($A3,ReviseHistory[],2,FALSE)</f>
        <v>曾進</v>
      </c>
      <c r="C3" s="2">
        <f>MAX(ReviseHistory[Date])</f>
        <v>45865</v>
      </c>
      <c r="D3" s="3" t="str">
        <f>VLOOKUP($A3,ReviseHistory[],4,FALSE)</f>
        <v>Ver 1.0</v>
      </c>
      <c r="E3" t="str">
        <f>VLOOKUP($A3,ReviseHistory[],5,FALSE)</f>
        <v>①Queryシートが要らないようにする
②SQLコメント複数実行可能にする
③RowNumber列を追加</v>
      </c>
    </row>
    <row r="4" spans="1:10" x14ac:dyDescent="0.6">
      <c r="C4" s="1"/>
      <c r="J4" s="1"/>
    </row>
    <row r="5" spans="1:10" x14ac:dyDescent="0.6">
      <c r="C5" s="1"/>
      <c r="J5" s="1"/>
    </row>
    <row r="6" spans="1:10" x14ac:dyDescent="0.6">
      <c r="A6" s="7" t="s">
        <v>1</v>
      </c>
      <c r="C6" s="1"/>
    </row>
    <row r="7" spans="1:10" x14ac:dyDescent="0.6">
      <c r="A7" s="3" t="s">
        <v>5</v>
      </c>
      <c r="B7" s="3" t="s">
        <v>7</v>
      </c>
      <c r="C7" s="3" t="s">
        <v>6</v>
      </c>
      <c r="D7" s="3" t="s">
        <v>9</v>
      </c>
      <c r="E7" s="3" t="s">
        <v>8</v>
      </c>
    </row>
    <row r="8" spans="1:10" x14ac:dyDescent="0.6">
      <c r="A8">
        <v>1</v>
      </c>
      <c r="B8" s="3" t="s">
        <v>2</v>
      </c>
      <c r="C8" s="2">
        <v>44640</v>
      </c>
      <c r="D8" s="3" t="s">
        <v>3</v>
      </c>
      <c r="E8" t="s">
        <v>4</v>
      </c>
    </row>
    <row r="9" spans="1:10" ht="52.5" x14ac:dyDescent="0.6">
      <c r="A9">
        <v>2</v>
      </c>
      <c r="B9" s="3" t="s">
        <v>2</v>
      </c>
      <c r="C9" s="2">
        <v>45865</v>
      </c>
      <c r="D9" s="3" t="s">
        <v>57</v>
      </c>
      <c r="E9" s="11" t="s">
        <v>58</v>
      </c>
    </row>
    <row r="10" spans="1:10" x14ac:dyDescent="0.6">
      <c r="B10" s="3"/>
      <c r="C10" s="2"/>
      <c r="D10" s="3"/>
    </row>
    <row r="11" spans="1:10" x14ac:dyDescent="0.6">
      <c r="B11" s="3"/>
      <c r="C11" s="2"/>
      <c r="D11" s="3"/>
    </row>
    <row r="12" spans="1:10" x14ac:dyDescent="0.6">
      <c r="B12" s="3"/>
      <c r="C12" s="2"/>
      <c r="D12" s="3"/>
    </row>
    <row r="13" spans="1:10" x14ac:dyDescent="0.6">
      <c r="B13" s="3"/>
      <c r="C13" s="2"/>
      <c r="D13" s="3"/>
    </row>
    <row r="14" spans="1:10" x14ac:dyDescent="0.6">
      <c r="B14" s="3"/>
      <c r="C14" s="2"/>
      <c r="D14" s="3"/>
    </row>
    <row r="15" spans="1:10" x14ac:dyDescent="0.6">
      <c r="C15" s="2"/>
    </row>
    <row r="16" spans="1:10" x14ac:dyDescent="0.6">
      <c r="C16" s="2"/>
    </row>
    <row r="17" spans="3:3" x14ac:dyDescent="0.6">
      <c r="C17" s="2"/>
    </row>
    <row r="18" spans="3:3" x14ac:dyDescent="0.6">
      <c r="C18" s="2"/>
    </row>
    <row r="19" spans="3:3" x14ac:dyDescent="0.6">
      <c r="C19" s="2"/>
    </row>
  </sheetData>
  <phoneticPr fontId="1"/>
  <pageMargins left="0.7" right="0.7" top="0.75" bottom="0.75" header="0.3" footer="0.3"/>
  <pageSetup paperSize="9" scale="97" fitToHeight="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12C7B-C40E-484E-857E-2983C6BEF328}">
  <sheetPr codeName="Sheet3"/>
  <dimension ref="A1"/>
  <sheetViews>
    <sheetView workbookViewId="0"/>
  </sheetViews>
  <sheetFormatPr defaultRowHeight="17.5" x14ac:dyDescent="0.6"/>
  <sheetData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D2B2F-0786-40E3-9379-B32D98A66389}">
  <sheetPr codeName="Sheet4"/>
  <dimension ref="A1:C5"/>
  <sheetViews>
    <sheetView tabSelected="1" workbookViewId="0"/>
  </sheetViews>
  <sheetFormatPr defaultRowHeight="17.5" x14ac:dyDescent="0.6"/>
  <sheetData>
    <row r="1" spans="1:3" x14ac:dyDescent="0.6">
      <c r="A1" s="3" t="s">
        <v>17</v>
      </c>
      <c r="B1" s="3" t="s">
        <v>19</v>
      </c>
      <c r="C1" s="3" t="s">
        <v>21</v>
      </c>
    </row>
    <row r="2" spans="1:3" x14ac:dyDescent="0.6">
      <c r="A2" t="s">
        <v>22</v>
      </c>
      <c r="B2" t="s">
        <v>27</v>
      </c>
      <c r="C2" s="9">
        <v>10001</v>
      </c>
    </row>
    <row r="3" spans="1:3" x14ac:dyDescent="0.6">
      <c r="A3" t="s">
        <v>23</v>
      </c>
      <c r="B3" t="s">
        <v>28</v>
      </c>
      <c r="C3" s="8">
        <v>20000</v>
      </c>
    </row>
    <row r="4" spans="1:3" x14ac:dyDescent="0.6">
      <c r="A4" t="s">
        <v>24</v>
      </c>
      <c r="B4" t="s">
        <v>29</v>
      </c>
      <c r="C4" s="8">
        <v>30000</v>
      </c>
    </row>
    <row r="5" spans="1:3" x14ac:dyDescent="0.6">
      <c r="A5" t="s">
        <v>25</v>
      </c>
      <c r="B5" t="s">
        <v>30</v>
      </c>
      <c r="C5" s="8">
        <v>40000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E48E6-082A-415A-9740-B4F20CF4AD59}">
  <sheetPr codeName="Sheet6"/>
  <dimension ref="A1:C5"/>
  <sheetViews>
    <sheetView workbookViewId="0"/>
  </sheetViews>
  <sheetFormatPr defaultRowHeight="17.5" x14ac:dyDescent="0.6"/>
  <sheetData>
    <row r="1" spans="1:3" x14ac:dyDescent="0.6">
      <c r="A1" s="3" t="s">
        <v>17</v>
      </c>
      <c r="B1" s="3" t="s">
        <v>19</v>
      </c>
      <c r="C1" s="3" t="s">
        <v>21</v>
      </c>
    </row>
    <row r="2" spans="1:3" x14ac:dyDescent="0.6">
      <c r="A2" t="s">
        <v>22</v>
      </c>
      <c r="B2" t="s">
        <v>27</v>
      </c>
      <c r="C2" s="9">
        <v>15000</v>
      </c>
    </row>
    <row r="3" spans="1:3" x14ac:dyDescent="0.6">
      <c r="A3" t="s">
        <v>56</v>
      </c>
      <c r="B3" t="s">
        <v>28</v>
      </c>
      <c r="C3" s="8">
        <v>20000</v>
      </c>
    </row>
    <row r="4" spans="1:3" x14ac:dyDescent="0.6">
      <c r="A4" t="s">
        <v>26</v>
      </c>
      <c r="B4" t="s">
        <v>31</v>
      </c>
      <c r="C4" s="8">
        <v>50000</v>
      </c>
    </row>
    <row r="5" spans="1:3" x14ac:dyDescent="0.6">
      <c r="A5" t="s">
        <v>38</v>
      </c>
      <c r="B5" t="s">
        <v>39</v>
      </c>
      <c r="C5" s="8">
        <v>60000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DA035-FF5B-46C9-8574-D996A20CE83A}">
  <sheetPr codeName="Sheet2">
    <pageSetUpPr fitToPage="1"/>
  </sheetPr>
  <dimension ref="A1:D10"/>
  <sheetViews>
    <sheetView workbookViewId="0">
      <pane ySplit="1" topLeftCell="A2" activePane="bottomLeft" state="frozen"/>
      <selection pane="bottomLeft"/>
    </sheetView>
  </sheetViews>
  <sheetFormatPr defaultColWidth="7" defaultRowHeight="12.5" x14ac:dyDescent="0.3"/>
  <cols>
    <col min="1" max="1" width="36.140625" style="5" customWidth="1"/>
    <col min="2" max="2" width="25.92578125" style="5" customWidth="1"/>
    <col min="3" max="3" width="3.640625" style="6" customWidth="1"/>
    <col min="4" max="4" width="23.140625" style="5" customWidth="1"/>
    <col min="5" max="16384" width="7" style="5"/>
  </cols>
  <sheetData>
    <row r="1" spans="1:4" ht="21" customHeight="1" x14ac:dyDescent="0.3">
      <c r="A1" s="4" t="s">
        <v>10</v>
      </c>
      <c r="B1" s="4" t="s">
        <v>11</v>
      </c>
      <c r="C1" s="4" t="s">
        <v>12</v>
      </c>
      <c r="D1" s="4" t="s">
        <v>13</v>
      </c>
    </row>
    <row r="2" spans="1:4" x14ac:dyDescent="0.3">
      <c r="A2" s="5" t="s">
        <v>14</v>
      </c>
      <c r="C2" s="6" t="s">
        <v>15</v>
      </c>
    </row>
    <row r="3" spans="1:4" x14ac:dyDescent="0.3">
      <c r="A3" s="5" t="str">
        <f>IF(C3="*",IF(A2="SELECT", "[" &amp; B3 &amp; "]", ",[" &amp; B3 &amp; "]"),"")</f>
        <v>[ID]</v>
      </c>
      <c r="B3" s="5" t="s">
        <v>16</v>
      </c>
      <c r="C3" s="6" t="s">
        <v>15</v>
      </c>
    </row>
    <row r="4" spans="1:4" x14ac:dyDescent="0.3">
      <c r="A4" s="5" t="str">
        <f>IF(C4="*", ",[" &amp; B4 &amp; "]","")</f>
        <v>,[商品名]</v>
      </c>
      <c r="B4" s="5" t="s">
        <v>19</v>
      </c>
      <c r="C4" s="6" t="s">
        <v>15</v>
      </c>
    </row>
    <row r="5" spans="1:4" x14ac:dyDescent="0.3">
      <c r="A5" s="5" t="str">
        <f t="shared" ref="A5" si="0">IF(C5="*", ",[" &amp; B5 &amp; "]","")</f>
        <v>,[価格]</v>
      </c>
      <c r="B5" s="5" t="s">
        <v>21</v>
      </c>
      <c r="C5" s="6" t="s">
        <v>15</v>
      </c>
    </row>
    <row r="6" spans="1:4" x14ac:dyDescent="0.3">
      <c r="A6" s="5" t="s">
        <v>40</v>
      </c>
      <c r="C6" s="6" t="s">
        <v>15</v>
      </c>
    </row>
    <row r="7" spans="1:4" x14ac:dyDescent="0.3">
      <c r="A7" s="5" t="s">
        <v>34</v>
      </c>
      <c r="C7" s="6" t="s">
        <v>15</v>
      </c>
    </row>
    <row r="8" spans="1:4" x14ac:dyDescent="0.3">
      <c r="A8" s="5" t="s">
        <v>41</v>
      </c>
    </row>
    <row r="9" spans="1:4" x14ac:dyDescent="0.3">
      <c r="A9" s="5" t="s">
        <v>35</v>
      </c>
    </row>
    <row r="10" spans="1:4" x14ac:dyDescent="0.3">
      <c r="A10" s="5" t="s">
        <v>32</v>
      </c>
    </row>
  </sheetData>
  <phoneticPr fontId="1"/>
  <pageMargins left="0.7" right="0.7" top="0.75" bottom="0.75" header="0.3" footer="0.3"/>
  <pageSetup paperSize="9" scale="8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estRun_Query">
                <anchor moveWithCells="1" sizeWithCells="1">
                  <from>
                    <xdr:col>0</xdr:col>
                    <xdr:colOff>1955800</xdr:colOff>
                    <xdr:row>0</xdr:row>
                    <xdr:rowOff>19050</xdr:rowOff>
                  </from>
                  <to>
                    <xdr:col>0</xdr:col>
                    <xdr:colOff>3136900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45F5F-F299-4686-BF22-323376F133AB}">
  <dimension ref="A1:D3"/>
  <sheetViews>
    <sheetView workbookViewId="0"/>
  </sheetViews>
  <sheetFormatPr defaultRowHeight="17.5" x14ac:dyDescent="0.6"/>
  <cols>
    <col min="1" max="1" width="10.640625" bestFit="1" customWidth="1"/>
    <col min="2" max="2" width="5.85546875" bestFit="1" customWidth="1"/>
    <col min="3" max="3" width="8" bestFit="1" customWidth="1"/>
    <col min="4" max="4" width="6.140625" bestFit="1" customWidth="1"/>
  </cols>
  <sheetData>
    <row r="1" spans="1:4" s="10" customFormat="1" ht="40" customHeight="1" x14ac:dyDescent="0.6">
      <c r="A1" s="10" t="s">
        <v>53</v>
      </c>
      <c r="B1" s="10" t="s">
        <v>16</v>
      </c>
      <c r="C1" s="10" t="s">
        <v>18</v>
      </c>
      <c r="D1" s="10" t="s">
        <v>20</v>
      </c>
    </row>
    <row r="2" spans="1:4" x14ac:dyDescent="0.6">
      <c r="A2">
        <v>1</v>
      </c>
      <c r="B2" t="s">
        <v>36</v>
      </c>
      <c r="C2" t="s">
        <v>37</v>
      </c>
      <c r="D2">
        <v>10001</v>
      </c>
    </row>
    <row r="3" spans="1:4" x14ac:dyDescent="0.6">
      <c r="A3">
        <v>2</v>
      </c>
      <c r="B3" t="s">
        <v>23</v>
      </c>
      <c r="C3" t="s">
        <v>33</v>
      </c>
      <c r="D3">
        <v>20000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4474D-14A4-45C0-B569-AF5BA3BC488A}">
  <sheetPr codeName="Sheet7">
    <pageSetUpPr fitToPage="1"/>
  </sheetPr>
  <dimension ref="A1:D10"/>
  <sheetViews>
    <sheetView workbookViewId="0">
      <pane ySplit="1" topLeftCell="A2" activePane="bottomLeft" state="frozen"/>
      <selection pane="bottomLeft"/>
    </sheetView>
  </sheetViews>
  <sheetFormatPr defaultColWidth="7" defaultRowHeight="12.5" x14ac:dyDescent="0.3"/>
  <cols>
    <col min="1" max="1" width="36.140625" style="5" customWidth="1"/>
    <col min="2" max="2" width="25.92578125" style="5" customWidth="1"/>
    <col min="3" max="3" width="3.640625" style="6" customWidth="1"/>
    <col min="4" max="4" width="23.140625" style="5" customWidth="1"/>
    <col min="5" max="16384" width="7" style="5"/>
  </cols>
  <sheetData>
    <row r="1" spans="1:4" ht="21" customHeight="1" x14ac:dyDescent="0.3">
      <c r="A1" s="4" t="s">
        <v>10</v>
      </c>
      <c r="B1" s="4" t="s">
        <v>11</v>
      </c>
      <c r="C1" s="4" t="s">
        <v>12</v>
      </c>
      <c r="D1" s="4" t="s">
        <v>13</v>
      </c>
    </row>
    <row r="2" spans="1:4" x14ac:dyDescent="0.3">
      <c r="A2" s="5" t="s">
        <v>14</v>
      </c>
      <c r="C2" s="6" t="s">
        <v>15</v>
      </c>
    </row>
    <row r="3" spans="1:4" x14ac:dyDescent="0.3">
      <c r="A3" s="5" t="str">
        <f>IF(C3="*",IF(A2="SELECT", "[" &amp; B3 &amp; "]", ",[" &amp; B3 &amp; "]"),"")</f>
        <v>[ID]</v>
      </c>
      <c r="B3" s="5" t="s">
        <v>16</v>
      </c>
      <c r="C3" s="6" t="s">
        <v>15</v>
      </c>
    </row>
    <row r="4" spans="1:4" x14ac:dyDescent="0.3">
      <c r="A4" s="5" t="str">
        <f>IF(C4="*", ",[" &amp; B4 &amp; "]","")</f>
        <v>,[商品名]</v>
      </c>
      <c r="B4" s="5" t="s">
        <v>19</v>
      </c>
      <c r="C4" s="6" t="s">
        <v>15</v>
      </c>
    </row>
    <row r="5" spans="1:4" x14ac:dyDescent="0.3">
      <c r="A5" s="5" t="str">
        <f t="shared" ref="A5" si="0">IF(C5="*", ",[" &amp; B5 &amp; "]","")</f>
        <v>,[価格]</v>
      </c>
      <c r="B5" s="5" t="s">
        <v>21</v>
      </c>
      <c r="C5" s="6" t="s">
        <v>15</v>
      </c>
    </row>
    <row r="6" spans="1:4" x14ac:dyDescent="0.3">
      <c r="A6" s="5" t="s">
        <v>40</v>
      </c>
      <c r="C6" s="6" t="s">
        <v>15</v>
      </c>
    </row>
    <row r="7" spans="1:4" x14ac:dyDescent="0.3">
      <c r="A7" s="5" t="s">
        <v>42</v>
      </c>
      <c r="C7" s="6" t="s">
        <v>15</v>
      </c>
    </row>
    <row r="8" spans="1:4" x14ac:dyDescent="0.3">
      <c r="A8" s="5" t="s">
        <v>41</v>
      </c>
    </row>
    <row r="9" spans="1:4" x14ac:dyDescent="0.3">
      <c r="A9" s="5" t="s">
        <v>35</v>
      </c>
    </row>
    <row r="10" spans="1:4" x14ac:dyDescent="0.3">
      <c r="A10" s="5" t="s">
        <v>32</v>
      </c>
    </row>
  </sheetData>
  <phoneticPr fontId="1"/>
  <pageMargins left="0.7" right="0.7" top="0.75" bottom="0.75" header="0.3" footer="0.3"/>
  <pageSetup paperSize="9" scale="8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estRun_Query">
                <anchor moveWithCells="1" sizeWithCells="1">
                  <from>
                    <xdr:col>0</xdr:col>
                    <xdr:colOff>1981200</xdr:colOff>
                    <xdr:row>0</xdr:row>
                    <xdr:rowOff>38100</xdr:rowOff>
                  </from>
                  <to>
                    <xdr:col>0</xdr:col>
                    <xdr:colOff>3162300</xdr:colOff>
                    <xdr:row>0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7A1D1-C69F-4808-AE2A-8D7B5C6A77F2}">
  <dimension ref="A1:D3"/>
  <sheetViews>
    <sheetView workbookViewId="0"/>
  </sheetViews>
  <sheetFormatPr defaultRowHeight="17.5" x14ac:dyDescent="0.6"/>
  <cols>
    <col min="1" max="1" width="10.640625" bestFit="1" customWidth="1"/>
    <col min="2" max="2" width="5.85546875" bestFit="1" customWidth="1"/>
    <col min="3" max="3" width="8" bestFit="1" customWidth="1"/>
    <col min="4" max="4" width="6.140625" bestFit="1" customWidth="1"/>
  </cols>
  <sheetData>
    <row r="1" spans="1:4" s="10" customFormat="1" ht="40" customHeight="1" x14ac:dyDescent="0.6">
      <c r="A1" s="10" t="s">
        <v>53</v>
      </c>
      <c r="B1" s="10" t="s">
        <v>16</v>
      </c>
      <c r="C1" s="10" t="s">
        <v>18</v>
      </c>
      <c r="D1" s="10" t="s">
        <v>20</v>
      </c>
    </row>
    <row r="2" spans="1:4" x14ac:dyDescent="0.6">
      <c r="A2">
        <v>1</v>
      </c>
      <c r="B2" t="s">
        <v>24</v>
      </c>
      <c r="C2" t="s">
        <v>43</v>
      </c>
      <c r="D2">
        <v>30000</v>
      </c>
    </row>
    <row r="3" spans="1:4" x14ac:dyDescent="0.6">
      <c r="A3">
        <v>2</v>
      </c>
      <c r="B3" t="s">
        <v>25</v>
      </c>
      <c r="C3" t="s">
        <v>44</v>
      </c>
      <c r="D3">
        <v>40000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3449C-12FF-4466-847C-EB501C81D1D3}">
  <sheetPr codeName="Sheet11">
    <pageSetUpPr fitToPage="1"/>
  </sheetPr>
  <dimension ref="A1:D10"/>
  <sheetViews>
    <sheetView workbookViewId="0">
      <pane ySplit="1" topLeftCell="A2" activePane="bottomLeft" state="frozen"/>
      <selection pane="bottomLeft"/>
    </sheetView>
  </sheetViews>
  <sheetFormatPr defaultColWidth="7" defaultRowHeight="12.5" x14ac:dyDescent="0.3"/>
  <cols>
    <col min="1" max="1" width="36.140625" style="5" customWidth="1"/>
    <col min="2" max="2" width="25.92578125" style="5" customWidth="1"/>
    <col min="3" max="3" width="3.640625" style="6" customWidth="1"/>
    <col min="4" max="4" width="23.140625" style="5" customWidth="1"/>
    <col min="5" max="16384" width="7" style="5"/>
  </cols>
  <sheetData>
    <row r="1" spans="1:4" ht="21" customHeight="1" x14ac:dyDescent="0.3">
      <c r="A1" s="4" t="s">
        <v>10</v>
      </c>
      <c r="B1" s="4" t="s">
        <v>11</v>
      </c>
      <c r="C1" s="4" t="s">
        <v>12</v>
      </c>
      <c r="D1" s="4" t="s">
        <v>13</v>
      </c>
    </row>
    <row r="2" spans="1:4" x14ac:dyDescent="0.3">
      <c r="A2" s="5" t="s">
        <v>14</v>
      </c>
      <c r="C2" s="6" t="s">
        <v>15</v>
      </c>
    </row>
    <row r="3" spans="1:4" x14ac:dyDescent="0.3">
      <c r="A3" s="5" t="str">
        <f>IF(C3="*",IF(A2="SELECT", "[" &amp; B3 &amp; "]", ",[" &amp; B3 &amp; "]"),"")</f>
        <v>[ID]</v>
      </c>
      <c r="B3" s="5" t="s">
        <v>16</v>
      </c>
      <c r="C3" s="6" t="s">
        <v>15</v>
      </c>
    </row>
    <row r="4" spans="1:4" x14ac:dyDescent="0.3">
      <c r="A4" s="5" t="str">
        <f>IF(C4="*", ",[" &amp; B4 &amp; "]","")</f>
        <v>,[商品名]</v>
      </c>
      <c r="B4" s="5" t="s">
        <v>19</v>
      </c>
      <c r="C4" s="6" t="s">
        <v>15</v>
      </c>
    </row>
    <row r="5" spans="1:4" x14ac:dyDescent="0.3">
      <c r="A5" s="5" t="str">
        <f t="shared" ref="A5" si="0">IF(C5="*", ",[" &amp; B5 &amp; "]","")</f>
        <v>,[価格]</v>
      </c>
      <c r="B5" s="5" t="s">
        <v>21</v>
      </c>
      <c r="C5" s="6" t="s">
        <v>15</v>
      </c>
    </row>
    <row r="6" spans="1:4" x14ac:dyDescent="0.3">
      <c r="A6" s="5" t="s">
        <v>45</v>
      </c>
      <c r="C6" s="6" t="s">
        <v>15</v>
      </c>
    </row>
    <row r="7" spans="1:4" x14ac:dyDescent="0.3">
      <c r="A7" s="5" t="s">
        <v>42</v>
      </c>
      <c r="C7" s="6" t="s">
        <v>15</v>
      </c>
    </row>
    <row r="8" spans="1:4" x14ac:dyDescent="0.3">
      <c r="A8" s="5" t="s">
        <v>46</v>
      </c>
    </row>
    <row r="9" spans="1:4" x14ac:dyDescent="0.3">
      <c r="A9" s="5" t="s">
        <v>35</v>
      </c>
    </row>
    <row r="10" spans="1:4" x14ac:dyDescent="0.3">
      <c r="A10" s="5" t="s">
        <v>32</v>
      </c>
    </row>
  </sheetData>
  <phoneticPr fontId="1"/>
  <pageMargins left="0.7" right="0.7" top="0.75" bottom="0.75" header="0.3" footer="0.3"/>
  <pageSetup paperSize="9" scale="8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estRun_Query">
                <anchor moveWithCells="1" sizeWithCells="1">
                  <from>
                    <xdr:col>0</xdr:col>
                    <xdr:colOff>1981200</xdr:colOff>
                    <xdr:row>0</xdr:row>
                    <xdr:rowOff>31750</xdr:rowOff>
                  </from>
                  <to>
                    <xdr:col>0</xdr:col>
                    <xdr:colOff>3162300</xdr:colOff>
                    <xdr:row>0</xdr:row>
                    <xdr:rowOff>234950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E9D00-ADAE-479A-BC08-5EAB3F9FCAC6}">
  <dimension ref="A1:D3"/>
  <sheetViews>
    <sheetView workbookViewId="0"/>
  </sheetViews>
  <sheetFormatPr defaultRowHeight="17.5" x14ac:dyDescent="0.6"/>
  <cols>
    <col min="1" max="1" width="10.640625" bestFit="1" customWidth="1"/>
    <col min="2" max="2" width="5.85546875" bestFit="1" customWidth="1"/>
    <col min="3" max="3" width="8" bestFit="1" customWidth="1"/>
    <col min="4" max="4" width="6.140625" bestFit="1" customWidth="1"/>
  </cols>
  <sheetData>
    <row r="1" spans="1:4" s="10" customFormat="1" ht="40" customHeight="1" x14ac:dyDescent="0.6">
      <c r="A1" s="10" t="s">
        <v>53</v>
      </c>
      <c r="B1" s="10" t="s">
        <v>16</v>
      </c>
      <c r="C1" s="10" t="s">
        <v>18</v>
      </c>
      <c r="D1" s="10" t="s">
        <v>20</v>
      </c>
    </row>
    <row r="2" spans="1:4" x14ac:dyDescent="0.6">
      <c r="A2">
        <v>1</v>
      </c>
      <c r="B2" t="s">
        <v>26</v>
      </c>
      <c r="C2" t="s">
        <v>47</v>
      </c>
      <c r="D2">
        <v>50000</v>
      </c>
    </row>
    <row r="3" spans="1:4" x14ac:dyDescent="0.6">
      <c r="A3">
        <v>2</v>
      </c>
      <c r="B3" t="s">
        <v>38</v>
      </c>
      <c r="C3" t="s">
        <v>48</v>
      </c>
      <c r="D3">
        <v>60000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757F-3F60-4038-9BAF-13756C954DF9}">
  <sheetPr codeName="Sheet5">
    <pageSetUpPr fitToPage="1"/>
  </sheetPr>
  <dimension ref="A1:D12"/>
  <sheetViews>
    <sheetView workbookViewId="0">
      <pane ySplit="1" topLeftCell="A2" activePane="bottomLeft" state="frozen"/>
      <selection pane="bottomLeft"/>
    </sheetView>
  </sheetViews>
  <sheetFormatPr defaultColWidth="7" defaultRowHeight="12.5" x14ac:dyDescent="0.3"/>
  <cols>
    <col min="1" max="1" width="36.140625" style="5" customWidth="1"/>
    <col min="2" max="2" width="25.92578125" style="5" customWidth="1"/>
    <col min="3" max="3" width="3.640625" style="6" customWidth="1"/>
    <col min="4" max="4" width="23.140625" style="5" customWidth="1"/>
    <col min="5" max="16384" width="7" style="5"/>
  </cols>
  <sheetData>
    <row r="1" spans="1:4" ht="21" customHeight="1" x14ac:dyDescent="0.3">
      <c r="A1" s="4" t="s">
        <v>10</v>
      </c>
      <c r="B1" s="4" t="s">
        <v>11</v>
      </c>
      <c r="C1" s="4" t="s">
        <v>12</v>
      </c>
      <c r="D1" s="4" t="s">
        <v>13</v>
      </c>
    </row>
    <row r="2" spans="1:4" x14ac:dyDescent="0.3">
      <c r="A2" s="5" t="s">
        <v>49</v>
      </c>
    </row>
    <row r="3" spans="1:4" x14ac:dyDescent="0.3">
      <c r="A3" s="5" t="s">
        <v>50</v>
      </c>
    </row>
    <row r="4" spans="1:4" x14ac:dyDescent="0.3">
      <c r="A4" s="5" t="s">
        <v>52</v>
      </c>
    </row>
    <row r="5" spans="1:4" x14ac:dyDescent="0.3">
      <c r="A5" s="5" t="s">
        <v>51</v>
      </c>
    </row>
    <row r="6" spans="1:4" x14ac:dyDescent="0.3">
      <c r="A6" s="5" t="s">
        <v>54</v>
      </c>
    </row>
    <row r="8" spans="1:4" x14ac:dyDescent="0.3">
      <c r="A8" s="5" t="s">
        <v>49</v>
      </c>
    </row>
    <row r="9" spans="1:4" x14ac:dyDescent="0.3">
      <c r="A9" s="5" t="s">
        <v>50</v>
      </c>
    </row>
    <row r="10" spans="1:4" x14ac:dyDescent="0.3">
      <c r="A10" s="5" t="s">
        <v>55</v>
      </c>
    </row>
    <row r="11" spans="1:4" x14ac:dyDescent="0.3">
      <c r="A11" s="5" t="s">
        <v>51</v>
      </c>
    </row>
    <row r="12" spans="1:4" x14ac:dyDescent="0.3">
      <c r="A12" s="5" t="s">
        <v>54</v>
      </c>
    </row>
  </sheetData>
  <phoneticPr fontId="1"/>
  <pageMargins left="0.7" right="0.7" top="0.75" bottom="0.75" header="0.3" footer="0.3"/>
  <pageSetup paperSize="9" scale="8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testRun_Command">
                <anchor moveWithCells="1" sizeWithCells="1">
                  <from>
                    <xdr:col>0</xdr:col>
                    <xdr:colOff>1955800</xdr:colOff>
                    <xdr:row>0</xdr:row>
                    <xdr:rowOff>19050</xdr:rowOff>
                  </from>
                  <to>
                    <xdr:col>0</xdr:col>
                    <xdr:colOff>3136900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HISTORY</vt:lpstr>
      <vt:lpstr>MENU</vt:lpstr>
      <vt:lpstr>LEFT</vt:lpstr>
      <vt:lpstr>RIGHT</vt:lpstr>
      <vt:lpstr>Q-1</vt:lpstr>
      <vt:lpstr>Q-1-R</vt:lpstr>
      <vt:lpstr>Q-2</vt:lpstr>
      <vt:lpstr>Q-2-R</vt:lpstr>
      <vt:lpstr>Q-3</vt:lpstr>
      <vt:lpstr>Q-3-R</vt:lpstr>
      <vt:lpstr>C-1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Zeng, Jin/曾 进</dc:creator>
  <cp:lastModifiedBy>t78006</cp:lastModifiedBy>
  <cp:lastPrinted>2022-03-20T05:01:41Z</cp:lastPrinted>
  <dcterms:created xsi:type="dcterms:W3CDTF">2022-03-20T04:38:53Z</dcterms:created>
  <dcterms:modified xsi:type="dcterms:W3CDTF">2025-07-27T02:13:01Z</dcterms:modified>
</cp:coreProperties>
</file>