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2_Kintetsu\"/>
    </mc:Choice>
  </mc:AlternateContent>
  <xr:revisionPtr revIDLastSave="0" documentId="13_ncr:1_{8BA3EF40-7A7C-489E-8DFE-CF38D2E2F318}" xr6:coauthVersionLast="47" xr6:coauthVersionMax="47" xr10:uidLastSave="{00000000-0000-0000-0000-000000000000}"/>
  <bookViews>
    <workbookView xWindow="-110" yWindow="-110" windowWidth="19420" windowHeight="10300" tabRatio="889" activeTab="1" xr2:uid="{00000000-000D-0000-FFFF-FFFF00000000}"/>
  </bookViews>
  <sheets>
    <sheet name="ReviseHistory" sheetId="8" r:id="rId1"/>
    <sheet name="MENU" sheetId="6" r:id="rId2"/>
    <sheet name="CFG-SHEET" sheetId="17" r:id="rId3"/>
    <sheet name="TABLE-CFG" sheetId="1" r:id="rId4"/>
    <sheet name="お支払明細書" sheetId="19" r:id="rId5"/>
    <sheet name="TABLE-CFG (2)" sheetId="18" r:id="rId6"/>
    <sheet name="FILE-CFG" sheetId="12" r:id="rId7"/>
    <sheet name="材料品在高ワーク" sheetId="5" state="hidden" r:id="rId8"/>
    <sheet name="還元データテーブル" sheetId="3" state="hidden" r:id="rId9"/>
    <sheet name="店マスタ" sheetId="16" r:id="rId10"/>
    <sheet name="楽天Edy" sheetId="14" r:id="rId11"/>
    <sheet name="TEST-DataSet" sheetId="4" state="hidden" r:id="rId12"/>
    <sheet name="BEAN_HEAD" sheetId="9" r:id="rId13"/>
    <sheet name="BEAN_COMMON" sheetId="11" r:id="rId14"/>
    <sheet name="SF_HEAD" sheetId="13" r:id="rId15"/>
    <sheet name="SF_CONSTRUCT" sheetId="15" r:id="rId16"/>
  </sheets>
  <functionGroups builtInGroupCount="19"/>
  <definedNames>
    <definedName name="_" hidden="1">#REF!</definedName>
    <definedName name="__key2" hidden="1">#REF!</definedName>
    <definedName name="_Fill" localSheetId="6" hidden="1">#REF!</definedName>
    <definedName name="_Fill" localSheetId="14" hidden="1">#REF!</definedName>
    <definedName name="_Fill" localSheetId="11" hidden="1">#REF!</definedName>
    <definedName name="_Fill" localSheetId="4" hidden="1">#REF!</definedName>
    <definedName name="_Fill" localSheetId="10" hidden="1">#REF!</definedName>
    <definedName name="_Fill" localSheetId="8" hidden="1">#REF!</definedName>
    <definedName name="_Fill" localSheetId="7" hidden="1">#REF!</definedName>
    <definedName name="_Fill" hidden="1">#REF!</definedName>
    <definedName name="_xlnm._FilterDatabase" localSheetId="10" hidden="1">楽天Edy!$B$9:$CG$28</definedName>
    <definedName name="_xlnm._FilterDatabase" localSheetId="8" hidden="1">還元データテーブル!#REF!</definedName>
    <definedName name="_xlnm._FilterDatabase" localSheetId="7" hidden="1">材料品在高ワーク!#REF!</definedName>
    <definedName name="_xlnm._FilterDatabase" localSheetId="9" hidden="1">店マスタ!#REF!</definedName>
    <definedName name="_Key1" localSheetId="6" hidden="1">#REF!</definedName>
    <definedName name="_Key1" localSheetId="14" hidden="1">#REF!</definedName>
    <definedName name="_Key1" localSheetId="11" hidden="1">#REF!</definedName>
    <definedName name="_Key1" localSheetId="4" hidden="1">#REF!</definedName>
    <definedName name="_Key1" localSheetId="10" hidden="1">#REF!</definedName>
    <definedName name="_Key1" localSheetId="8" hidden="1">#REF!</definedName>
    <definedName name="_Key1" localSheetId="7" hidden="1">#REF!</definedName>
    <definedName name="_Key1" hidden="1">#REF!</definedName>
    <definedName name="_Key2" hidden="1">#REF!</definedName>
    <definedName name="_Order1" hidden="1">255</definedName>
    <definedName name="_Order2" hidden="1">255</definedName>
    <definedName name="_Regression_X" localSheetId="6" hidden="1">#REF!</definedName>
    <definedName name="_Regression_X" localSheetId="14" hidden="1">#REF!</definedName>
    <definedName name="_Regression_X" localSheetId="11" hidden="1">#REF!</definedName>
    <definedName name="_Regression_X" localSheetId="4" hidden="1">#REF!</definedName>
    <definedName name="_Regression_X" localSheetId="10" hidden="1">#REF!</definedName>
    <definedName name="_Regression_X" localSheetId="8" hidden="1">#REF!</definedName>
    <definedName name="_Regression_X" localSheetId="7" hidden="1">#REF!</definedName>
    <definedName name="_Regression_X" hidden="1">#REF!</definedName>
    <definedName name="_Sort" localSheetId="6" hidden="1">#REF!</definedName>
    <definedName name="_Sort" localSheetId="14" hidden="1">#REF!</definedName>
    <definedName name="_Sort" localSheetId="11" hidden="1">#REF!</definedName>
    <definedName name="_Sort" localSheetId="4" hidden="1">#REF!</definedName>
    <definedName name="_Sort" localSheetId="10" hidden="1">#REF!</definedName>
    <definedName name="_Sort" localSheetId="8" hidden="1">#REF!</definedName>
    <definedName name="_Sort" localSheetId="7" hidden="1">#REF!</definedName>
    <definedName name="_Sort" hidden="1">#REF!</definedName>
    <definedName name="_Table1_In1" hidden="1">#REF!</definedName>
    <definedName name="_Table1_Out" hidden="1">#REF!</definedName>
    <definedName name="aaaa" localSheetId="10" hidden="1">{"'フローチャート'!$A$1:$AO$191"}</definedName>
    <definedName name="aaaa" localSheetId="8" hidden="1">{"'フローチャート'!$A$1:$AO$191"}</definedName>
    <definedName name="aaaa" localSheetId="7" hidden="1">{"'フローチャート'!$A$1:$AO$191"}</definedName>
    <definedName name="aaaa" localSheetId="9" hidden="1">{"'フローチャート'!$A$1:$AO$191"}</definedName>
    <definedName name="aaaa" hidden="1">{"'フローチャート'!$A$1:$AO$191"}</definedName>
    <definedName name="aaaaaaaaaaaaaaaa" localSheetId="6" hidden="1">#REF!</definedName>
    <definedName name="aaaaaaaaaaaaaaaa" localSheetId="14" hidden="1">#REF!</definedName>
    <definedName name="aaaaaaaaaaaaaaaa" localSheetId="11" hidden="1">#REF!</definedName>
    <definedName name="aaaaaaaaaaaaaaaa" localSheetId="10" hidden="1">#REF!</definedName>
    <definedName name="aaaaaaaaaaaaaaaa" localSheetId="8" hidden="1">#REF!</definedName>
    <definedName name="aaaaaaaaaaaaaaaa" localSheetId="7" hidden="1">#REF!</definedName>
    <definedName name="aaaaaaaaaaaaaaaa" hidden="1">#REF!</definedName>
    <definedName name="aaaaaaaaaaaaaaaaaaaaa" localSheetId="6" hidden="1">#REF!</definedName>
    <definedName name="aaaaaaaaaaaaaaaaaaaaa" localSheetId="14" hidden="1">#REF!</definedName>
    <definedName name="aaaaaaaaaaaaaaaaaaaaa" localSheetId="11" hidden="1">#REF!</definedName>
    <definedName name="aaaaaaaaaaaaaaaaaaaaa" localSheetId="10" hidden="1">#REF!</definedName>
    <definedName name="aaaaaaaaaaaaaaaaaaaaa" localSheetId="8" hidden="1">#REF!</definedName>
    <definedName name="aaaaaaaaaaaaaaaaaaaaa" localSheetId="7" hidden="1">#REF!</definedName>
    <definedName name="aaaaaaaaaaaaaaaaaaaaa" hidden="1">#REF!</definedName>
    <definedName name="ＧＷメッセージ一覧" localSheetId="6" hidden="1">#REF!</definedName>
    <definedName name="ＧＷメッセージ一覧" localSheetId="14" hidden="1">#REF!</definedName>
    <definedName name="ＧＷメッセージ一覧" localSheetId="11" hidden="1">#REF!</definedName>
    <definedName name="ＧＷメッセージ一覧" localSheetId="10" hidden="1">#REF!</definedName>
    <definedName name="ＧＷメッセージ一覧" localSheetId="8" hidden="1">#REF!</definedName>
    <definedName name="ＧＷメッセージ一覧" localSheetId="7" hidden="1">#REF!</definedName>
    <definedName name="ＧＷメッセージ一覧" hidden="1">#REF!</definedName>
    <definedName name="HTML_CodePage" hidden="1">932</definedName>
    <definedName name="HTML_Control" localSheetId="10" hidden="1">{"'フローチャート'!$A$1:$AO$191"}</definedName>
    <definedName name="HTML_Control" localSheetId="8" hidden="1">{"'フローチャート'!$A$1:$AO$191"}</definedName>
    <definedName name="HTML_Control" localSheetId="7" hidden="1">{"'フローチャート'!$A$1:$AO$191"}</definedName>
    <definedName name="HTML_Control" localSheetId="9" hidden="1">{"'フローチャート'!$A$1:$AO$191"}</definedName>
    <definedName name="HTML_Control" hidden="1">{"'フローチャート'!$A$1:$AO$191"}</definedName>
    <definedName name="HTML_Description" hidden="1">""</definedName>
    <definedName name="HTML_Email" hidden="1">""</definedName>
    <definedName name="HTML_Header" hidden="1">"フローチャート"</definedName>
    <definedName name="HTML_LastUpdate" hidden="1">"00/07/22"</definedName>
    <definedName name="HTML_LineAfter" hidden="1">FALSE</definedName>
    <definedName name="HTML_LineBefore" hidden="1">FALSE</definedName>
    <definedName name="HTML_Name" hidden="1">"三井貴司"</definedName>
    <definedName name="HTML_OBDlg2" hidden="1">TRUE</definedName>
    <definedName name="HTML_OBDlg4" hidden="1">TRUE</definedName>
    <definedName name="HTML_OS" hidden="1">0</definedName>
    <definedName name="HTML_PathFile" hidden="1">"G:\PROJECT\BlueShark\システムデザインシート\三井作成中\ｈｔｍｌ\MyHTML.htm"</definedName>
    <definedName name="HTML_Title" hidden="1">"フローチャート"</definedName>
    <definedName name="HTML1_1" hidden="1">"[帳票管理資料.xls]集計表!$A$1:$R$32"</definedName>
    <definedName name="HTML1_10" hidden="1">""</definedName>
    <definedName name="HTML1_11" hidden="1">1</definedName>
    <definedName name="HTML1_12" hidden="1">"C:\My Documents\MyHTML.htm"</definedName>
    <definedName name="HTML1_2" hidden="1">1</definedName>
    <definedName name="HTML1_3" hidden="1">"帳票管理資料.xls"</definedName>
    <definedName name="HTML1_4" hidden="1">"集計表"</definedName>
    <definedName name="HTML1_5" hidden="1">""</definedName>
    <definedName name="HTML1_6" hidden="1">-4146</definedName>
    <definedName name="HTML1_7" hidden="1">-4146</definedName>
    <definedName name="HTML1_8" hidden="1">"97/07/14"</definedName>
    <definedName name="HTML1_9" hidden="1">"お客様各位"</definedName>
    <definedName name="HTMLCount" hidden="1">1</definedName>
    <definedName name="Ｉ" localSheetId="6" hidden="1">#REF!</definedName>
    <definedName name="Ｉ" localSheetId="14" hidden="1">#REF!</definedName>
    <definedName name="Ｉ" localSheetId="11" hidden="1">#REF!</definedName>
    <definedName name="Ｉ" localSheetId="10" hidden="1">#REF!</definedName>
    <definedName name="Ｉ" localSheetId="8" hidden="1">#REF!</definedName>
    <definedName name="Ｉ" localSheetId="7" hidden="1">#REF!</definedName>
    <definedName name="Ｉ" hidden="1">#REF!</definedName>
    <definedName name="ｊ" localSheetId="6" hidden="1">#REF!</definedName>
    <definedName name="ｊ" localSheetId="14" hidden="1">#REF!</definedName>
    <definedName name="ｊ" localSheetId="11" hidden="1">#REF!</definedName>
    <definedName name="ｊ" localSheetId="10" hidden="1">#REF!</definedName>
    <definedName name="ｊ" localSheetId="8" hidden="1">#REF!</definedName>
    <definedName name="ｊ" localSheetId="7" hidden="1">#REF!</definedName>
    <definedName name="ｊ" hidden="1">#REF!</definedName>
    <definedName name="ｋ" localSheetId="6" hidden="1">#REF!</definedName>
    <definedName name="ｋ" localSheetId="14" hidden="1">#REF!</definedName>
    <definedName name="ｋ" localSheetId="11" hidden="1">#REF!</definedName>
    <definedName name="ｋ" localSheetId="10" hidden="1">#REF!</definedName>
    <definedName name="ｋ" localSheetId="8" hidden="1">#REF!</definedName>
    <definedName name="ｋ" localSheetId="7" hidden="1">#REF!</definedName>
    <definedName name="ｋ" hidden="1">#REF!</definedName>
    <definedName name="ｌ" localSheetId="6" hidden="1">#REF!</definedName>
    <definedName name="ｌ" localSheetId="14" hidden="1">#REF!</definedName>
    <definedName name="ｌ" localSheetId="11" hidden="1">#REF!</definedName>
    <definedName name="ｌ" localSheetId="10" hidden="1">#REF!</definedName>
    <definedName name="ｌ" localSheetId="8" hidden="1">#REF!</definedName>
    <definedName name="ｌ" localSheetId="7" hidden="1">#REF!</definedName>
    <definedName name="ｌ" hidden="1">#REF!</definedName>
    <definedName name="ＬＬＬＬＬ" localSheetId="6" hidden="1">#REF!</definedName>
    <definedName name="ＬＬＬＬＬ" localSheetId="14" hidden="1">#REF!</definedName>
    <definedName name="ＬＬＬＬＬ" localSheetId="11" hidden="1">#REF!</definedName>
    <definedName name="ＬＬＬＬＬ" localSheetId="10" hidden="1">#REF!</definedName>
    <definedName name="ＬＬＬＬＬ" localSheetId="8" hidden="1">#REF!</definedName>
    <definedName name="ＬＬＬＬＬ" localSheetId="7" hidden="1">#REF!</definedName>
    <definedName name="ＬＬＬＬＬ" hidden="1">#REF!</definedName>
    <definedName name="ｍ" localSheetId="6" hidden="1">#REF!</definedName>
    <definedName name="ｍ" localSheetId="14" hidden="1">#REF!</definedName>
    <definedName name="ｍ" localSheetId="11" hidden="1">#REF!</definedName>
    <definedName name="ｍ" localSheetId="10" hidden="1">#REF!</definedName>
    <definedName name="ｍ" localSheetId="8" hidden="1">#REF!</definedName>
    <definedName name="ｍ" localSheetId="7" hidden="1">#REF!</definedName>
    <definedName name="ｍ" hidden="1">#REF!</definedName>
    <definedName name="ｎ" localSheetId="6" hidden="1">#REF!</definedName>
    <definedName name="ｎ" localSheetId="14" hidden="1">#REF!</definedName>
    <definedName name="ｎ" localSheetId="11" hidden="1">#REF!</definedName>
    <definedName name="ｎ" localSheetId="10" hidden="1">#REF!</definedName>
    <definedName name="ｎ" localSheetId="8" hidden="1">#REF!</definedName>
    <definedName name="ｎ" localSheetId="7" hidden="1">#REF!</definedName>
    <definedName name="ｎ" hidden="1">#REF!</definedName>
    <definedName name="NameList">#REF!</definedName>
    <definedName name="ｐ" localSheetId="6" hidden="1">#REF!</definedName>
    <definedName name="ｐ" localSheetId="14" hidden="1">#REF!</definedName>
    <definedName name="ｐ" localSheetId="11" hidden="1">#REF!</definedName>
    <definedName name="ｐ" localSheetId="10" hidden="1">#REF!</definedName>
    <definedName name="ｐ" localSheetId="8" hidden="1">#REF!</definedName>
    <definedName name="ｐ" localSheetId="7" hidden="1">#REF!</definedName>
    <definedName name="ｐ" hidden="1">#REF!</definedName>
    <definedName name="_xlnm.Print_Area" localSheetId="4">お支払明細書!$A$1:$CW$44</definedName>
    <definedName name="_xlnm.Print_Area" localSheetId="10">楽天Edy!$A$1:$CD$40</definedName>
    <definedName name="_xlnm.Print_Area" localSheetId="8">還元データテーブル!$A$2:$CD$39</definedName>
    <definedName name="_xlnm.Print_Area" localSheetId="7">材料品在高ワーク!$A$2:$CD$19</definedName>
    <definedName name="_xlnm.Print_Area" localSheetId="9">店マスタ!$A$2:$CD$61</definedName>
    <definedName name="_xlnm.Print_Area">#REF!</definedName>
    <definedName name="_xlnm.Print_Titles" localSheetId="4">お支払明細書!$1:$7</definedName>
    <definedName name="_xlnm.Print_Titles" localSheetId="10">楽天Edy!$1:$9</definedName>
    <definedName name="_xlnm.Print_Titles" localSheetId="8">還元データテーブル!$1:$7</definedName>
    <definedName name="_xlnm.Print_Titles" localSheetId="7">材料品在高ワーク!$1:$7</definedName>
    <definedName name="_xlnm.Print_Titles" localSheetId="9">店マスタ!$1:$7</definedName>
    <definedName name="ＱＱ" localSheetId="10" hidden="1">{"'フローチャート'!$A$1:$AO$191"}</definedName>
    <definedName name="ＱＱ" localSheetId="8" hidden="1">{"'フローチャート'!$A$1:$AO$191"}</definedName>
    <definedName name="ＱＱ" localSheetId="7" hidden="1">{"'フローチャート'!$A$1:$AO$191"}</definedName>
    <definedName name="ＱＱ" localSheetId="9" hidden="1">{"'フローチャート'!$A$1:$AO$191"}</definedName>
    <definedName name="ＱＱ" hidden="1">{"'フローチャート'!$A$1:$AO$191"}</definedName>
    <definedName name="rngOutputPath">#REF!</definedName>
    <definedName name="rngSyubetu">#REF!</definedName>
    <definedName name="test" localSheetId="6" hidden="1">#REF!</definedName>
    <definedName name="test" localSheetId="14" hidden="1">#REF!</definedName>
    <definedName name="test" localSheetId="11" hidden="1">#REF!</definedName>
    <definedName name="test" localSheetId="10" hidden="1">#REF!</definedName>
    <definedName name="test" localSheetId="8" hidden="1">#REF!</definedName>
    <definedName name="test" localSheetId="7" hidden="1">#REF!</definedName>
    <definedName name="test" hidden="1">#REF!</definedName>
    <definedName name="u" localSheetId="6" hidden="1">#REF!</definedName>
    <definedName name="u" localSheetId="14" hidden="1">#REF!</definedName>
    <definedName name="u" localSheetId="11" hidden="1">#REF!</definedName>
    <definedName name="u" localSheetId="10" hidden="1">#REF!</definedName>
    <definedName name="u" localSheetId="8" hidden="1">#REF!</definedName>
    <definedName name="u" localSheetId="7" hidden="1">#REF!</definedName>
    <definedName name="u" hidden="1">#REF!</definedName>
    <definedName name="WW" localSheetId="6" hidden="1">#REF!</definedName>
    <definedName name="WW" localSheetId="14" hidden="1">#REF!</definedName>
    <definedName name="WW" localSheetId="11" hidden="1">#REF!</definedName>
    <definedName name="WW" localSheetId="10" hidden="1">#REF!</definedName>
    <definedName name="WW" localSheetId="8" hidden="1">#REF!</definedName>
    <definedName name="WW" localSheetId="7" hidden="1">#REF!</definedName>
    <definedName name="WW" hidden="1">#REF!</definedName>
    <definedName name="z" localSheetId="6" hidden="1">#REF!</definedName>
    <definedName name="z" localSheetId="14" hidden="1">#REF!</definedName>
    <definedName name="z" localSheetId="11" hidden="1">#REF!</definedName>
    <definedName name="z" localSheetId="10" hidden="1">#REF!</definedName>
    <definedName name="z" localSheetId="8" hidden="1">#REF!</definedName>
    <definedName name="z" localSheetId="7" hidden="1">#REF!</definedName>
    <definedName name="z" hidden="1">#REF!</definedName>
    <definedName name="あ" localSheetId="10" hidden="1">{"'フローチャート'!$A$1:$AO$191"}</definedName>
    <definedName name="あ" localSheetId="8" hidden="1">{"'フローチャート'!$A$1:$AO$191"}</definedName>
    <definedName name="あ" localSheetId="7" hidden="1">{"'フローチャート'!$A$1:$AO$191"}</definedName>
    <definedName name="あ" localSheetId="9" hidden="1">{"'フローチャート'!$A$1:$AO$191"}</definedName>
    <definedName name="あ" hidden="1">{"'フローチャート'!$A$1:$AO$191"}</definedName>
    <definedName name="あああ" hidden="1">#REF!</definedName>
    <definedName name="ああああ" localSheetId="6" hidden="1">#REF!</definedName>
    <definedName name="ああああ" localSheetId="14" hidden="1">#REF!</definedName>
    <definedName name="ああああ" localSheetId="11" hidden="1">#REF!</definedName>
    <definedName name="ああああ" localSheetId="10" hidden="1">#REF!</definedName>
    <definedName name="ああああ" localSheetId="8" hidden="1">#REF!</definedName>
    <definedName name="ああああ" localSheetId="7" hidden="1">#REF!</definedName>
    <definedName name="ああああ" hidden="1">#REF!</definedName>
    <definedName name="オンライン">#REF!</definedName>
    <definedName name="くま" hidden="1">#REF!</definedName>
    <definedName name="サイクル">#REF!</definedName>
    <definedName name="サブシステムID">#REF!</definedName>
    <definedName name="システム名">#REF!</definedName>
    <definedName name="ソート">#REF!</definedName>
    <definedName name="データ型">#REF!</definedName>
    <definedName name="ドキュメント名">#REF!</definedName>
    <definedName name="バッチ">#REF!</definedName>
    <definedName name="プレーヤー区分" localSheetId="6" hidden="1">#REF!</definedName>
    <definedName name="プレーヤー区分" localSheetId="14" hidden="1">#REF!</definedName>
    <definedName name="プレーヤー区分" localSheetId="11" hidden="1">#REF!</definedName>
    <definedName name="プレーヤー区分" localSheetId="10" hidden="1">#REF!</definedName>
    <definedName name="プレーヤー区分" localSheetId="8" hidden="1">#REF!</definedName>
    <definedName name="プレーヤー区分" localSheetId="7" hidden="1">#REF!</definedName>
    <definedName name="プレーヤー区分" hidden="1">#REF!</definedName>
    <definedName name="安藤" localSheetId="6" hidden="1">#REF!</definedName>
    <definedName name="安藤" localSheetId="14" hidden="1">#REF!</definedName>
    <definedName name="安藤" localSheetId="11" hidden="1">#REF!</definedName>
    <definedName name="安藤" localSheetId="10" hidden="1">#REF!</definedName>
    <definedName name="安藤" localSheetId="8" hidden="1">#REF!</definedName>
    <definedName name="安藤" localSheetId="7" hidden="1">#REF!</definedName>
    <definedName name="安藤" hidden="1">#REF!</definedName>
    <definedName name="改ページ" localSheetId="6" hidden="1">#REF!</definedName>
    <definedName name="改ページ" localSheetId="14" hidden="1">#REF!</definedName>
    <definedName name="改ページ" localSheetId="11" hidden="1">#REF!</definedName>
    <definedName name="改ページ" localSheetId="10" hidden="1">#REF!</definedName>
    <definedName name="改ページ" localSheetId="8" hidden="1">#REF!</definedName>
    <definedName name="改ページ" localSheetId="7" hidden="1">#REF!</definedName>
    <definedName name="改ページ" hidden="1">#REF!</definedName>
    <definedName name="関連表" localSheetId="6" hidden="1">#REF!</definedName>
    <definedName name="関連表" localSheetId="14" hidden="1">#REF!</definedName>
    <definedName name="関連表" localSheetId="11" hidden="1">#REF!</definedName>
    <definedName name="関連表" localSheetId="4" hidden="1">#REF!</definedName>
    <definedName name="関連表" localSheetId="10" hidden="1">#REF!</definedName>
    <definedName name="関連表" localSheetId="8" hidden="1">#REF!</definedName>
    <definedName name="関連表" localSheetId="7" hidden="1">#REF!</definedName>
    <definedName name="関連表" hidden="1">#REF!</definedName>
    <definedName name="社内外区分">#REF!</definedName>
    <definedName name="種別">#REF!</definedName>
    <definedName name="集計">#REF!</definedName>
    <definedName name="住所区分" localSheetId="6" hidden="1">#REF!</definedName>
    <definedName name="住所区分" localSheetId="14" hidden="1">#REF!</definedName>
    <definedName name="住所区分" localSheetId="11" hidden="1">#REF!</definedName>
    <definedName name="住所区分" localSheetId="10" hidden="1">#REF!</definedName>
    <definedName name="住所区分" localSheetId="8" hidden="1">#REF!</definedName>
    <definedName name="住所区分" localSheetId="7" hidden="1">#REF!</definedName>
    <definedName name="住所区分" hidden="1">#REF!</definedName>
    <definedName name="処理区分">#REF!</definedName>
    <definedName name="処理名">#REF!</definedName>
    <definedName name="束原" localSheetId="6" hidden="1">#REF!</definedName>
    <definedName name="束原" localSheetId="14" hidden="1">#REF!</definedName>
    <definedName name="束原" localSheetId="11" hidden="1">#REF!</definedName>
    <definedName name="束原" localSheetId="10" hidden="1">#REF!</definedName>
    <definedName name="束原" localSheetId="8" hidden="1">#REF!</definedName>
    <definedName name="束原" localSheetId="7" hidden="1">#REF!</definedName>
    <definedName name="束原" hidden="1">#REF!</definedName>
    <definedName name="中間成果物" hidden="1">#REF!</definedName>
    <definedName name="版数">#REF!</definedName>
    <definedName name="表1" localSheetId="6" hidden="1">#REF!</definedName>
    <definedName name="表1" localSheetId="14" hidden="1">#REF!</definedName>
    <definedName name="表1" localSheetId="11" hidden="1">#REF!</definedName>
    <definedName name="表1" localSheetId="10" hidden="1">#REF!</definedName>
    <definedName name="表1" localSheetId="8" hidden="1">#REF!</definedName>
    <definedName name="表1" localSheetId="7" hidden="1">#REF!</definedName>
    <definedName name="表1" hidden="1">#REF!</definedName>
    <definedName name="編集方法">#REF!</definedName>
    <definedName name="有無">#REF!</definedName>
    <definedName name="用紙サイズ">#REF!</definedName>
    <definedName name="用紙種類">#REF!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 i="16" l="1"/>
  <c r="B60" i="16"/>
  <c r="B59" i="16"/>
  <c r="B58" i="16"/>
  <c r="B57" i="16"/>
  <c r="B56" i="16"/>
  <c r="B55" i="16"/>
  <c r="B54" i="16"/>
  <c r="B53" i="16"/>
  <c r="B52" i="16"/>
  <c r="B51" i="16"/>
  <c r="B50" i="16"/>
  <c r="B49" i="16"/>
  <c r="B48" i="16"/>
  <c r="B47" i="16"/>
  <c r="B46" i="16"/>
  <c r="B45" i="16"/>
  <c r="B44" i="16"/>
  <c r="B43" i="16"/>
  <c r="B42" i="16"/>
  <c r="B41" i="16"/>
  <c r="B40" i="16"/>
  <c r="B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B9" i="16"/>
  <c r="AS8" i="16"/>
  <c r="B10" i="16" l="1"/>
  <c r="B11" i="16" l="1"/>
  <c r="B12" i="16" l="1"/>
  <c r="B13" i="16" s="1"/>
  <c r="B14" i="16" l="1"/>
  <c r="B15" i="16" l="1"/>
  <c r="B16" i="16" l="1"/>
  <c r="B17" i="16" l="1"/>
  <c r="B18" i="16" l="1"/>
  <c r="B19" i="16" l="1"/>
  <c r="B20" i="16" s="1"/>
  <c r="B21" i="16" s="1"/>
  <c r="B22" i="16" s="1"/>
  <c r="B23" i="16" s="1"/>
  <c r="B24" i="16" s="1"/>
  <c r="B25" i="16" s="1"/>
  <c r="B26" i="16" s="1"/>
  <c r="B27" i="16" s="1"/>
  <c r="B28" i="16" s="1"/>
  <c r="B29" i="16" s="1"/>
  <c r="B30" i="16" s="1"/>
  <c r="B31" i="16" s="1"/>
  <c r="B32" i="16" s="1"/>
  <c r="B33" i="16" s="1"/>
  <c r="B34" i="16" s="1"/>
  <c r="B35" i="16" s="1"/>
  <c r="B36" i="16" s="1"/>
  <c r="B37" i="16" s="1"/>
  <c r="B38" i="16" s="1"/>
  <c r="AR5" i="16" s="1"/>
  <c r="A20" i="13" l="1"/>
  <c r="AJ11" i="14" l="1"/>
  <c r="AL11" i="14"/>
  <c r="B12" i="14"/>
  <c r="AJ12" i="14"/>
  <c r="AJ13" i="14"/>
  <c r="AJ14" i="14"/>
  <c r="AJ15" i="14"/>
  <c r="AJ16" i="14"/>
  <c r="AJ18" i="14"/>
  <c r="AL19" i="14" s="1"/>
  <c r="AL18" i="14"/>
  <c r="AJ19" i="14"/>
  <c r="AJ20" i="14"/>
  <c r="AJ21" i="14"/>
  <c r="AJ22" i="14"/>
  <c r="AJ23" i="14"/>
  <c r="AJ24" i="14"/>
  <c r="AJ25" i="14"/>
  <c r="AJ26" i="14"/>
  <c r="AJ27" i="14"/>
  <c r="AJ28" i="14"/>
  <c r="AJ29" i="14"/>
  <c r="AJ30" i="14"/>
  <c r="AJ31" i="14"/>
  <c r="AJ32" i="14"/>
  <c r="AJ33" i="14"/>
  <c r="AJ34" i="14"/>
  <c r="AJ35" i="14"/>
  <c r="AJ37" i="14"/>
  <c r="AL37" i="14"/>
  <c r="AL38" i="14" s="1"/>
  <c r="AL39" i="14" s="1"/>
  <c r="AJ38" i="14"/>
  <c r="AJ39" i="14"/>
  <c r="Y7" i="14" l="1"/>
  <c r="AL20" i="14"/>
  <c r="AL21" i="14" s="1"/>
  <c r="AL22" i="14" s="1"/>
  <c r="AL23" i="14" s="1"/>
  <c r="AL24" i="14" s="1"/>
  <c r="AL25" i="14" s="1"/>
  <c r="AL26" i="14" s="1"/>
  <c r="AL27" i="14" s="1"/>
  <c r="AL28" i="14" s="1"/>
  <c r="AL29" i="14" s="1"/>
  <c r="AL30" i="14" s="1"/>
  <c r="AL31" i="14" s="1"/>
  <c r="AL32" i="14" s="1"/>
  <c r="AL33" i="14" s="1"/>
  <c r="AL34" i="14" s="1"/>
  <c r="AL35" i="14" s="1"/>
  <c r="AL12" i="14"/>
  <c r="AL13" i="14" s="1"/>
  <c r="AL14" i="14"/>
  <c r="AL15" i="14" s="1"/>
  <c r="AL16" i="14" s="1"/>
  <c r="B13" i="14"/>
  <c r="B14" i="14" s="1"/>
  <c r="B15" i="14" l="1"/>
  <c r="B16" i="14" s="1"/>
  <c r="B18" i="14" s="1"/>
  <c r="B19" i="14" l="1"/>
  <c r="B20" i="14" s="1"/>
  <c r="B21" i="14" l="1"/>
  <c r="B22" i="14" s="1"/>
  <c r="B23" i="14" l="1"/>
  <c r="B24" i="14" s="1"/>
  <c r="B25" i="14" l="1"/>
  <c r="B26" i="14" s="1"/>
  <c r="B27" i="14" s="1"/>
  <c r="B28" i="14" s="1"/>
  <c r="B29" i="14" s="1"/>
  <c r="B30" i="14" s="1"/>
  <c r="B31" i="14" s="1"/>
  <c r="B32" i="14" s="1"/>
  <c r="B33" i="14" s="1"/>
  <c r="B34" i="14" s="1"/>
  <c r="B35" i="14" s="1"/>
  <c r="B37" i="14" s="1"/>
  <c r="B38" i="14" s="1"/>
  <c r="B39" i="14" s="1"/>
  <c r="A3" i="8"/>
  <c r="C3" i="8" s="1"/>
  <c r="D3" i="8" l="1"/>
  <c r="A1" i="6" s="1"/>
</calcChain>
</file>

<file path=xl/sharedStrings.xml><?xml version="1.0" encoding="utf-8"?>
<sst xmlns="http://schemas.openxmlformats.org/spreadsheetml/2006/main" count="1328" uniqueCount="638">
  <si>
    <t>Key</t>
    <phoneticPr fontId="2"/>
  </si>
  <si>
    <t>Value</t>
    <phoneticPr fontId="2"/>
  </si>
  <si>
    <t>V5</t>
    <phoneticPr fontId="2"/>
  </si>
  <si>
    <t>J5</t>
    <phoneticPr fontId="2"/>
  </si>
  <si>
    <t>cell_table_id</t>
  </si>
  <si>
    <t>cell_table_name</t>
    <phoneticPr fontId="2"/>
  </si>
  <si>
    <t>B</t>
    <phoneticPr fontId="2"/>
  </si>
  <si>
    <t>row_start_val</t>
    <phoneticPr fontId="2"/>
  </si>
  <si>
    <t>ユーザインタフェース
設計書</t>
    <rPh sb="11" eb="14">
      <t>セッケイショ</t>
    </rPh>
    <phoneticPr fontId="2"/>
  </si>
  <si>
    <t>サブシステム分類</t>
    <phoneticPr fontId="2"/>
  </si>
  <si>
    <t>ドキュメント ID</t>
    <phoneticPr fontId="2"/>
  </si>
  <si>
    <t>ドキュメント名</t>
    <phoneticPr fontId="2"/>
  </si>
  <si>
    <t>更新者</t>
    <rPh sb="0" eb="3">
      <t>コウシンシャ</t>
    </rPh>
    <phoneticPr fontId="2"/>
  </si>
  <si>
    <t>最終更新日</t>
    <rPh sb="0" eb="2">
      <t>サイシュウ</t>
    </rPh>
    <rPh sb="2" eb="5">
      <t>コウシンビ</t>
    </rPh>
    <phoneticPr fontId="2"/>
  </si>
  <si>
    <t>履歴</t>
    <rPh sb="0" eb="2">
      <t>リレキ</t>
    </rPh>
    <phoneticPr fontId="2"/>
  </si>
  <si>
    <t>作成者</t>
    <rPh sb="0" eb="3">
      <t>サクセイシャ</t>
    </rPh>
    <phoneticPr fontId="2"/>
  </si>
  <si>
    <t>作成日</t>
    <rPh sb="0" eb="3">
      <t>サクセイビ</t>
    </rPh>
    <phoneticPr fontId="2"/>
  </si>
  <si>
    <t>商品勘定</t>
    <rPh sb="0" eb="2">
      <t>ショウヒン</t>
    </rPh>
    <rPh sb="2" eb="4">
      <t>カンジョウ</t>
    </rPh>
    <phoneticPr fontId="2"/>
  </si>
  <si>
    <t>テーブル定義</t>
    <rPh sb="4" eb="6">
      <t>テイギ</t>
    </rPh>
    <phoneticPr fontId="2"/>
  </si>
  <si>
    <t>第1版</t>
    <rPh sb="0" eb="1">
      <t>ダイ</t>
    </rPh>
    <rPh sb="2" eb="3">
      <t>ハン</t>
    </rPh>
    <phoneticPr fontId="2"/>
  </si>
  <si>
    <t>富士通</t>
    <rPh sb="0" eb="3">
      <t>フジツウ</t>
    </rPh>
    <phoneticPr fontId="2"/>
  </si>
  <si>
    <t>概念データ名／ID</t>
    <rPh sb="0" eb="2">
      <t>ガイネン</t>
    </rPh>
    <rPh sb="5" eb="6">
      <t>メイ</t>
    </rPh>
    <phoneticPr fontId="2"/>
  </si>
  <si>
    <t>還元データテーブル</t>
    <rPh sb="0" eb="2">
      <t>カンゲン</t>
    </rPh>
    <phoneticPr fontId="2"/>
  </si>
  <si>
    <t>／</t>
    <phoneticPr fontId="2"/>
  </si>
  <si>
    <t>LBT74_EM_KANGEN</t>
    <phoneticPr fontId="2"/>
  </si>
  <si>
    <t>OID</t>
    <phoneticPr fontId="2"/>
  </si>
  <si>
    <t xml:space="preserve"> 最大レコード長</t>
    <rPh sb="1" eb="3">
      <t>サイダイ</t>
    </rPh>
    <rPh sb="7" eb="8">
      <t>チョウ</t>
    </rPh>
    <phoneticPr fontId="2"/>
  </si>
  <si>
    <t>Byte</t>
    <phoneticPr fontId="2"/>
  </si>
  <si>
    <t>用途</t>
    <rPh sb="0" eb="2">
      <t>ヨウト</t>
    </rPh>
    <phoneticPr fontId="2"/>
  </si>
  <si>
    <t>電子マネー還元データを保持する。</t>
    <rPh sb="0" eb="2">
      <t>デンシ</t>
    </rPh>
    <rPh sb="5" eb="7">
      <t>カンゲン</t>
    </rPh>
    <rPh sb="11" eb="13">
      <t>ホジ</t>
    </rPh>
    <phoneticPr fontId="2"/>
  </si>
  <si>
    <t>項番</t>
    <rPh sb="0" eb="1">
      <t>コウ</t>
    </rPh>
    <rPh sb="1" eb="2">
      <t>バン</t>
    </rPh>
    <phoneticPr fontId="2"/>
  </si>
  <si>
    <t>項目論理名称</t>
    <rPh sb="0" eb="2">
      <t>コウモク</t>
    </rPh>
    <rPh sb="2" eb="4">
      <t>ロンリ</t>
    </rPh>
    <rPh sb="4" eb="6">
      <t>メイショウ</t>
    </rPh>
    <phoneticPr fontId="2"/>
  </si>
  <si>
    <t>項目物理名称</t>
    <rPh sb="0" eb="2">
      <t>コウモク</t>
    </rPh>
    <rPh sb="2" eb="4">
      <t>ブツリ</t>
    </rPh>
    <rPh sb="4" eb="6">
      <t>メイショウ</t>
    </rPh>
    <phoneticPr fontId="2"/>
  </si>
  <si>
    <t>PKey</t>
    <phoneticPr fontId="2"/>
  </si>
  <si>
    <t>IDX1</t>
    <phoneticPr fontId="2"/>
  </si>
  <si>
    <t>IDX2</t>
    <phoneticPr fontId="2"/>
  </si>
  <si>
    <t>IDX3</t>
    <phoneticPr fontId="2"/>
  </si>
  <si>
    <t>桁数</t>
    <rPh sb="0" eb="1">
      <t>ケタ</t>
    </rPh>
    <rPh sb="1" eb="2">
      <t>スウ</t>
    </rPh>
    <phoneticPr fontId="2"/>
  </si>
  <si>
    <t>Byte</t>
    <phoneticPr fontId="2"/>
  </si>
  <si>
    <t>項目説明</t>
    <rPh sb="0" eb="2">
      <t>コウモク</t>
    </rPh>
    <rPh sb="2" eb="4">
      <t>セツメイ</t>
    </rPh>
    <phoneticPr fontId="2"/>
  </si>
  <si>
    <t>備考</t>
    <rPh sb="0" eb="2">
      <t>ビコウ</t>
    </rPh>
    <phoneticPr fontId="2"/>
  </si>
  <si>
    <t>電子マネー識別子</t>
    <rPh sb="0" eb="2">
      <t>デンシ</t>
    </rPh>
    <rPh sb="5" eb="8">
      <t>シキベツシ</t>
    </rPh>
    <phoneticPr fontId="1"/>
  </si>
  <si>
    <t>EMONEY_ID</t>
  </si>
  <si>
    <t>電子マネー種別</t>
    <rPh sb="0" eb="2">
      <t>デンシ</t>
    </rPh>
    <rPh sb="5" eb="7">
      <t>シュベツ</t>
    </rPh>
    <phoneticPr fontId="1"/>
  </si>
  <si>
    <t>EMONEY_SHUBETSU</t>
    <phoneticPr fontId="2"/>
  </si>
  <si>
    <t>作成年月日時</t>
    <rPh sb="0" eb="2">
      <t>サクセイ</t>
    </rPh>
    <rPh sb="2" eb="4">
      <t>ネンゲツ</t>
    </rPh>
    <rPh sb="4" eb="6">
      <t>ニチジ</t>
    </rPh>
    <phoneticPr fontId="1"/>
  </si>
  <si>
    <t>CREATE_DATE</t>
  </si>
  <si>
    <t>集計対象年月日</t>
    <rPh sb="0" eb="2">
      <t>シュウケイ</t>
    </rPh>
    <rPh sb="2" eb="4">
      <t>タイショウ</t>
    </rPh>
    <rPh sb="4" eb="7">
      <t>ネンガッピ</t>
    </rPh>
    <phoneticPr fontId="1"/>
  </si>
  <si>
    <t>SYUKEITAISHOYMD</t>
  </si>
  <si>
    <t>端末処理日付</t>
    <rPh sb="0" eb="2">
      <t>タンマツ</t>
    </rPh>
    <rPh sb="2" eb="4">
      <t>ショリ</t>
    </rPh>
    <rPh sb="4" eb="6">
      <t>ヒヅケ</t>
    </rPh>
    <phoneticPr fontId="1"/>
  </si>
  <si>
    <t>SYORIYMD</t>
  </si>
  <si>
    <t>端末処理時刻</t>
    <rPh sb="0" eb="2">
      <t>タンマツ</t>
    </rPh>
    <rPh sb="2" eb="4">
      <t>ショリ</t>
    </rPh>
    <rPh sb="4" eb="6">
      <t>ジコク</t>
    </rPh>
    <phoneticPr fontId="1"/>
  </si>
  <si>
    <t>SYORITIME</t>
    <phoneticPr fontId="2"/>
  </si>
  <si>
    <t>業務区分</t>
    <rPh sb="0" eb="2">
      <t>ギョウム</t>
    </rPh>
    <rPh sb="2" eb="4">
      <t>クブン</t>
    </rPh>
    <phoneticPr fontId="1"/>
  </si>
  <si>
    <t>GYOMUKBN</t>
  </si>
  <si>
    <t>取引金額</t>
    <rPh sb="0" eb="2">
      <t>トリヒキ</t>
    </rPh>
    <rPh sb="2" eb="4">
      <t>キンガク</t>
    </rPh>
    <phoneticPr fontId="1"/>
  </si>
  <si>
    <t>TORIHIKI_KINGAKU</t>
  </si>
  <si>
    <t>決済用端末識別番号</t>
    <rPh sb="0" eb="3">
      <t>ケッサイヨウ</t>
    </rPh>
    <rPh sb="3" eb="5">
      <t>タンマツ</t>
    </rPh>
    <rPh sb="5" eb="6">
      <t>シキ</t>
    </rPh>
    <rPh sb="6" eb="7">
      <t>ベツ</t>
    </rPh>
    <rPh sb="7" eb="9">
      <t>バンゴウ</t>
    </rPh>
    <phoneticPr fontId="1"/>
  </si>
  <si>
    <t>PAYMENTTERMINALNO</t>
  </si>
  <si>
    <t>端末処理通番</t>
    <rPh sb="0" eb="2">
      <t>タンマツ</t>
    </rPh>
    <rPh sb="2" eb="4">
      <t>ショリ</t>
    </rPh>
    <rPh sb="4" eb="5">
      <t>トオ</t>
    </rPh>
    <rPh sb="5" eb="6">
      <t>バン</t>
    </rPh>
    <phoneticPr fontId="1"/>
  </si>
  <si>
    <t>TERMINALSEQ</t>
  </si>
  <si>
    <t>加盟店番号</t>
    <rPh sb="0" eb="2">
      <t>カメイ</t>
    </rPh>
    <rPh sb="2" eb="3">
      <t>テン</t>
    </rPh>
    <rPh sb="3" eb="5">
      <t>バンゴウ</t>
    </rPh>
    <phoneticPr fontId="1"/>
  </si>
  <si>
    <t>KAMEINO</t>
  </si>
  <si>
    <t>締め対象日</t>
    <rPh sb="0" eb="1">
      <t>シ</t>
    </rPh>
    <rPh sb="2" eb="4">
      <t>タイショウ</t>
    </rPh>
    <rPh sb="4" eb="5">
      <t>ビ</t>
    </rPh>
    <phoneticPr fontId="1"/>
  </si>
  <si>
    <t>SHIME_TAISHO_YMD</t>
  </si>
  <si>
    <t>支払先ID/請求先ID</t>
    <rPh sb="0" eb="2">
      <t>シハライ</t>
    </rPh>
    <rPh sb="2" eb="3">
      <t>サキ</t>
    </rPh>
    <rPh sb="6" eb="8">
      <t>セイキュウ</t>
    </rPh>
    <rPh sb="8" eb="9">
      <t>サキ</t>
    </rPh>
    <phoneticPr fontId="1"/>
  </si>
  <si>
    <t>TORIHIKISAKI_ID</t>
  </si>
  <si>
    <t>EM-ID</t>
  </si>
  <si>
    <t>EMID</t>
  </si>
  <si>
    <t>Edy番号</t>
    <rPh sb="3" eb="5">
      <t>バンゴウ</t>
    </rPh>
    <phoneticPr fontId="1"/>
  </si>
  <si>
    <t>EDY_NO</t>
  </si>
  <si>
    <t>カード通番</t>
    <rPh sb="3" eb="4">
      <t>トオ</t>
    </rPh>
    <rPh sb="4" eb="5">
      <t>バン</t>
    </rPh>
    <phoneticPr fontId="1"/>
  </si>
  <si>
    <t>CARD_NO</t>
  </si>
  <si>
    <t>ログ種別</t>
    <rPh sb="2" eb="4">
      <t>シュベツ</t>
    </rPh>
    <phoneticPr fontId="1"/>
  </si>
  <si>
    <t>LOG_SHUBETSU</t>
  </si>
  <si>
    <t>営業日</t>
    <rPh sb="0" eb="3">
      <t>エイギョウビ</t>
    </rPh>
    <phoneticPr fontId="1"/>
  </si>
  <si>
    <t>EIGYOYMD</t>
  </si>
  <si>
    <t>アラームFLG</t>
  </si>
  <si>
    <t>ALARM_FLG</t>
  </si>
  <si>
    <t>POS号機情報-店舗番号</t>
    <rPh sb="3" eb="5">
      <t>ゴウキ</t>
    </rPh>
    <rPh sb="5" eb="7">
      <t>ジョウホウ</t>
    </rPh>
    <rPh sb="8" eb="10">
      <t>テンポ</t>
    </rPh>
    <rPh sb="10" eb="12">
      <t>バンゴウ</t>
    </rPh>
    <phoneticPr fontId="1"/>
  </si>
  <si>
    <t>POS_TENPO</t>
  </si>
  <si>
    <t>POS号機情報-号機番号</t>
    <rPh sb="3" eb="5">
      <t>ゴウキ</t>
    </rPh>
    <rPh sb="5" eb="7">
      <t>ジョウホウ</t>
    </rPh>
    <rPh sb="8" eb="10">
      <t>ゴウキ</t>
    </rPh>
    <rPh sb="10" eb="12">
      <t>バンゴウ</t>
    </rPh>
    <phoneticPr fontId="1"/>
  </si>
  <si>
    <t>POS_GOUKI</t>
  </si>
  <si>
    <t>データ件数</t>
    <rPh sb="3" eb="5">
      <t>ケンスウ</t>
    </rPh>
    <phoneticPr fontId="1"/>
  </si>
  <si>
    <t>DATA_KENSU</t>
  </si>
  <si>
    <t>削除日時</t>
    <phoneticPr fontId="1"/>
  </si>
  <si>
    <t>DELDTE</t>
  </si>
  <si>
    <t>登録日時</t>
    <phoneticPr fontId="1"/>
  </si>
  <si>
    <t>INSTDTE</t>
  </si>
  <si>
    <t>登録ユーザID</t>
    <phoneticPr fontId="1"/>
  </si>
  <si>
    <t>INSTUSRID</t>
  </si>
  <si>
    <t>登録プログラムID</t>
    <rPh sb="0" eb="2">
      <t>トウロク</t>
    </rPh>
    <phoneticPr fontId="1"/>
  </si>
  <si>
    <t>INSTPRGID</t>
    <phoneticPr fontId="2"/>
  </si>
  <si>
    <t>登録IPアドレス</t>
    <phoneticPr fontId="1"/>
  </si>
  <si>
    <t>INSIPADDR</t>
  </si>
  <si>
    <t>更新日時</t>
    <phoneticPr fontId="1"/>
  </si>
  <si>
    <t>UPDDTE</t>
  </si>
  <si>
    <t>更新プログラムID</t>
    <phoneticPr fontId="1"/>
  </si>
  <si>
    <t>UPDPRGID</t>
  </si>
  <si>
    <t>更新IPアドレス</t>
    <phoneticPr fontId="1"/>
  </si>
  <si>
    <t>UPDIPADDR</t>
  </si>
  <si>
    <t>a</t>
    <phoneticPr fontId="2"/>
  </si>
  <si>
    <t>Config Value</t>
    <phoneticPr fontId="2"/>
  </si>
  <si>
    <t>DataSheet Value</t>
    <phoneticPr fontId="2"/>
  </si>
  <si>
    <t>○</t>
  </si>
  <si>
    <t>' '</t>
  </si>
  <si>
    <t>character varying</t>
  </si>
  <si>
    <t>0</t>
  </si>
  <si>
    <t>numeric</t>
  </si>
  <si>
    <t/>
  </si>
  <si>
    <t>timestamp</t>
  </si>
  <si>
    <t>now()</t>
  </si>
  <si>
    <t>lbl_col_id</t>
    <phoneticPr fontId="2"/>
  </si>
  <si>
    <t>lbl_col_name</t>
    <phoneticPr fontId="2"/>
  </si>
  <si>
    <t>lbl_col_comment</t>
    <phoneticPr fontId="2"/>
  </si>
  <si>
    <t>lbl_col_default</t>
    <phoneticPr fontId="2"/>
  </si>
  <si>
    <t>lbl_col_type</t>
    <phoneticPr fontId="2"/>
  </si>
  <si>
    <t>lbl_col_length</t>
    <phoneticPr fontId="2"/>
  </si>
  <si>
    <t>lbl_col_name</t>
  </si>
  <si>
    <t>lbl_col_comment</t>
  </si>
  <si>
    <t>lbl_col_default</t>
  </si>
  <si>
    <t>lbl_col_type</t>
  </si>
  <si>
    <t>lbl_col_length</t>
  </si>
  <si>
    <t>項番</t>
  </si>
  <si>
    <t>NOTNULL</t>
    <phoneticPr fontId="2"/>
  </si>
  <si>
    <t>DEFAULT</t>
    <phoneticPr fontId="2"/>
  </si>
  <si>
    <t>Type</t>
    <phoneticPr fontId="2"/>
  </si>
  <si>
    <t>lbl_col_pkey</t>
    <phoneticPr fontId="2"/>
  </si>
  <si>
    <t>lbl_col_pkey</t>
    <phoneticPr fontId="8"/>
  </si>
  <si>
    <t>○</t>
    <phoneticPr fontId="8"/>
  </si>
  <si>
    <t>character varying</t>
    <phoneticPr fontId="8"/>
  </si>
  <si>
    <t>UPDUSRID</t>
    <phoneticPr fontId="8"/>
  </si>
  <si>
    <t>更新ユーザID</t>
    <phoneticPr fontId="1"/>
  </si>
  <si>
    <t>項目論理名称</t>
    <phoneticPr fontId="2"/>
  </si>
  <si>
    <t>項目物理名称</t>
    <phoneticPr fontId="2"/>
  </si>
  <si>
    <t>' '</t>
    <phoneticPr fontId="8"/>
  </si>
  <si>
    <t xml:space="preserve"> </t>
    <phoneticPr fontId="8"/>
  </si>
  <si>
    <t>lbl_col_id</t>
    <phoneticPr fontId="8"/>
  </si>
  <si>
    <t>col_end</t>
    <phoneticPr fontId="2"/>
  </si>
  <si>
    <t>B</t>
    <phoneticPr fontId="2"/>
  </si>
  <si>
    <t>CC</t>
    <phoneticPr fontId="2"/>
  </si>
  <si>
    <t>col_start</t>
    <phoneticPr fontId="2"/>
  </si>
  <si>
    <t>GCAN_KAMEITEN_CD</t>
    <phoneticPr fontId="2"/>
  </si>
  <si>
    <t>GCAN加盟店コード</t>
    <phoneticPr fontId="2"/>
  </si>
  <si>
    <t>○</t>
    <phoneticPr fontId="8"/>
  </si>
  <si>
    <t>' '</t>
    <phoneticPr fontId="8"/>
  </si>
  <si>
    <t>character varying</t>
    <phoneticPr fontId="8"/>
  </si>
  <si>
    <t>schema</t>
    <phoneticPr fontId="2"/>
  </si>
  <si>
    <t>lb01_pt</t>
    <phoneticPr fontId="2"/>
  </si>
  <si>
    <t>lbl_col_notnull</t>
    <phoneticPr fontId="2"/>
  </si>
  <si>
    <t>lbl_col_notnull</t>
    <phoneticPr fontId="8"/>
  </si>
  <si>
    <t>col_id</t>
    <phoneticPr fontId="2"/>
  </si>
  <si>
    <t>row_start_val</t>
    <phoneticPr fontId="2"/>
  </si>
  <si>
    <t>更新IPアドレス</t>
  </si>
  <si>
    <t>更新プログラムID</t>
  </si>
  <si>
    <t>UPDUSRID</t>
  </si>
  <si>
    <t>更新ユーザID</t>
  </si>
  <si>
    <t>更新日時</t>
  </si>
  <si>
    <t>登録IPアドレス</t>
  </si>
  <si>
    <t>INSTPRGID</t>
  </si>
  <si>
    <t>登録プログラムID</t>
  </si>
  <si>
    <t>還元データテーブル</t>
    <phoneticPr fontId="8"/>
  </si>
  <si>
    <t>サブシステム分類</t>
    <phoneticPr fontId="2"/>
  </si>
  <si>
    <t>ドキュメント ID</t>
    <phoneticPr fontId="2"/>
  </si>
  <si>
    <t>ドキュメント名</t>
    <phoneticPr fontId="2"/>
  </si>
  <si>
    <t>材料品在高ワーク</t>
    <rPh sb="0" eb="2">
      <t>ザイリョウ</t>
    </rPh>
    <rPh sb="2" eb="3">
      <t>ヒン</t>
    </rPh>
    <rPh sb="3" eb="4">
      <t>ザイ</t>
    </rPh>
    <rPh sb="4" eb="5">
      <t>ダカ</t>
    </rPh>
    <phoneticPr fontId="2"/>
  </si>
  <si>
    <t>／</t>
    <phoneticPr fontId="2"/>
  </si>
  <si>
    <t>LBWA3_ZAIRYOZAID</t>
    <phoneticPr fontId="2"/>
  </si>
  <si>
    <t>OID</t>
    <phoneticPr fontId="2"/>
  </si>
  <si>
    <t>Byte</t>
    <phoneticPr fontId="2"/>
  </si>
  <si>
    <t>材料品の在高を保持するワーク。</t>
    <rPh sb="0" eb="2">
      <t>ザイリョウ</t>
    </rPh>
    <rPh sb="2" eb="3">
      <t>ヒン</t>
    </rPh>
    <rPh sb="4" eb="5">
      <t>ザイ</t>
    </rPh>
    <rPh sb="5" eb="6">
      <t>ダカ</t>
    </rPh>
    <rPh sb="7" eb="9">
      <t>ホジ</t>
    </rPh>
    <phoneticPr fontId="2"/>
  </si>
  <si>
    <t>PKey</t>
    <phoneticPr fontId="2"/>
  </si>
  <si>
    <t>IDX1</t>
    <phoneticPr fontId="2"/>
  </si>
  <si>
    <t>IDX2</t>
    <phoneticPr fontId="2"/>
  </si>
  <si>
    <t>IDX3</t>
    <phoneticPr fontId="2"/>
  </si>
  <si>
    <t>NOTNULL</t>
    <phoneticPr fontId="2"/>
  </si>
  <si>
    <t>DEFAULT</t>
    <phoneticPr fontId="2"/>
  </si>
  <si>
    <t>Type</t>
    <phoneticPr fontId="2"/>
  </si>
  <si>
    <t>Byte</t>
    <phoneticPr fontId="2"/>
  </si>
  <si>
    <t>年月</t>
    <rPh sb="0" eb="2">
      <t>ネンゲツ</t>
    </rPh>
    <phoneticPr fontId="2"/>
  </si>
  <si>
    <t>店コード</t>
    <rPh sb="0" eb="1">
      <t>ミセ</t>
    </rPh>
    <phoneticPr fontId="2"/>
  </si>
  <si>
    <t>品番</t>
    <rPh sb="0" eb="2">
      <t>ヒンバン</t>
    </rPh>
    <phoneticPr fontId="2"/>
  </si>
  <si>
    <t>棚卸原価品在高</t>
    <rPh sb="0" eb="2">
      <t>タナオロシ</t>
    </rPh>
    <rPh sb="2" eb="4">
      <t>ゲンカ</t>
    </rPh>
    <rPh sb="4" eb="5">
      <t>ヒン</t>
    </rPh>
    <rPh sb="5" eb="6">
      <t>ザイ</t>
    </rPh>
    <rPh sb="6" eb="7">
      <t>ダカ</t>
    </rPh>
    <phoneticPr fontId="2"/>
  </si>
  <si>
    <t>登録日時</t>
  </si>
  <si>
    <t>登録ユーザID</t>
  </si>
  <si>
    <t>a</t>
    <phoneticPr fontId="2"/>
  </si>
  <si>
    <t>YM</t>
  </si>
  <si>
    <t>TENCD</t>
  </si>
  <si>
    <t>HINBAN</t>
  </si>
  <si>
    <t>TANAGNK_ZAID</t>
  </si>
  <si>
    <t>V5</t>
    <phoneticPr fontId="8"/>
  </si>
  <si>
    <t>項番</t>
    <phoneticPr fontId="8"/>
  </si>
  <si>
    <t>項目物理名称</t>
    <phoneticPr fontId="8"/>
  </si>
  <si>
    <t>項目論理名称</t>
    <phoneticPr fontId="8"/>
  </si>
  <si>
    <t>PKey</t>
    <phoneticPr fontId="8"/>
  </si>
  <si>
    <t>NOTNULL</t>
    <phoneticPr fontId="8"/>
  </si>
  <si>
    <t>DEFAULT</t>
    <phoneticPr fontId="8"/>
  </si>
  <si>
    <t>Type</t>
    <phoneticPr fontId="8"/>
  </si>
  <si>
    <t>桁数</t>
    <phoneticPr fontId="8"/>
  </si>
  <si>
    <t>LBT74_EM_KANGEN</t>
    <phoneticPr fontId="8"/>
  </si>
  <si>
    <t>○</t>
    <phoneticPr fontId="8"/>
  </si>
  <si>
    <t>' '</t>
    <phoneticPr fontId="8"/>
  </si>
  <si>
    <t>character varying</t>
    <phoneticPr fontId="8"/>
  </si>
  <si>
    <t>UPDIPADDR</t>
    <phoneticPr fontId="8"/>
  </si>
  <si>
    <t>更新IPアドレス</t>
    <phoneticPr fontId="8"/>
  </si>
  <si>
    <t>テーブル定義書</t>
    <rPh sb="4" eb="7">
      <t>テイギショ</t>
    </rPh>
    <phoneticPr fontId="8"/>
  </si>
  <si>
    <t>identify_value</t>
    <phoneticPr fontId="2"/>
  </si>
  <si>
    <t>テーブル定義</t>
    <phoneticPr fontId="2"/>
  </si>
  <si>
    <t>T3</t>
    <phoneticPr fontId="2"/>
  </si>
  <si>
    <t>identify_cell</t>
    <phoneticPr fontId="2"/>
  </si>
  <si>
    <t>最新状況</t>
    <rPh sb="0" eb="2">
      <t>サイシン</t>
    </rPh>
    <rPh sb="2" eb="4">
      <t>ジョウキョウ</t>
    </rPh>
    <phoneticPr fontId="2"/>
  </si>
  <si>
    <t>修正履歴</t>
    <rPh sb="0" eb="2">
      <t>シュウセイ</t>
    </rPh>
    <rPh sb="2" eb="4">
      <t>リレキ</t>
    </rPh>
    <phoneticPr fontId="2"/>
  </si>
  <si>
    <t>曾進</t>
    <rPh sb="0" eb="2">
      <t>ソシン</t>
    </rPh>
    <phoneticPr fontId="2"/>
  </si>
  <si>
    <t>初期作成</t>
    <rPh sb="0" eb="2">
      <t>ショキ</t>
    </rPh>
    <rPh sb="2" eb="4">
      <t>サクセイ</t>
    </rPh>
    <phoneticPr fontId="2"/>
  </si>
  <si>
    <t xml:space="preserve">マスタテーブル仕様対応
・空白行
</t>
    <rPh sb="7" eb="9">
      <t>シヨウ</t>
    </rPh>
    <rPh sb="9" eb="11">
      <t>タイオウ</t>
    </rPh>
    <rPh sb="13" eb="15">
      <t>クウハク</t>
    </rPh>
    <rPh sb="15" eb="16">
      <t>ギョウ</t>
    </rPh>
    <phoneticPr fontId="2"/>
  </si>
  <si>
    <t>DDLコメント
-----------------------------------------
-- テーブルＩＤ： &lt;%table_id%&gt;
-- テーブル名： &lt;%table_name%&gt;
-- スキーマ： &lt;%schema%&gt;
-----------------------------------------</t>
    <rPh sb="81" eb="82">
      <t>メイ</t>
    </rPh>
    <phoneticPr fontId="8"/>
  </si>
  <si>
    <t>メニュー改善</t>
    <rPh sb="4" eb="6">
      <t>カイゼン</t>
    </rPh>
    <phoneticPr fontId="8"/>
  </si>
  <si>
    <t>JavaBean生成</t>
    <rPh sb="8" eb="10">
      <t>セイセイ</t>
    </rPh>
    <phoneticPr fontId="8"/>
  </si>
  <si>
    <t>Byte</t>
  </si>
  <si>
    <t>/*</t>
  </si>
  <si>
    <t xml:space="preserve"> *</t>
  </si>
  <si>
    <t xml:space="preserve"> */</t>
  </si>
  <si>
    <t>import java.math.BigDecimal;</t>
  </si>
  <si>
    <t>import java.sql.Timestamp;</t>
  </si>
  <si>
    <t>import com.feast.common.DateUtil;</t>
  </si>
  <si>
    <t>package com.feast.kanjo.bean;</t>
    <phoneticPr fontId="8"/>
  </si>
  <si>
    <t>cell_table_id</t>
    <phoneticPr fontId="2"/>
  </si>
  <si>
    <t xml:space="preserve"> * &lt;%table_id%&gt;Bean.java</t>
    <phoneticPr fontId="8"/>
  </si>
  <si>
    <t>/**</t>
  </si>
  <si>
    <t xml:space="preserve">    private static final long serialVersionUID = 1L;</t>
  </si>
  <si>
    <t>public class &lt;%table_id%&gt;Bean  {</t>
    <phoneticPr fontId="8"/>
  </si>
  <si>
    <t xml:space="preserve"> * &lt;%table_name%&gt;Bean</t>
    <phoneticPr fontId="8"/>
  </si>
  <si>
    <t>numeric</t>
    <phoneticPr fontId="8"/>
  </si>
  <si>
    <t>character varying</t>
    <phoneticPr fontId="8"/>
  </si>
  <si>
    <t>timestamp</t>
    <phoneticPr fontId="8"/>
  </si>
  <si>
    <t xml:space="preserve">     * プライマリーキーに指定されているカラム名一覧を取得します。</t>
  </si>
  <si>
    <t xml:space="preserve">     * @return プライマリーキー一覧</t>
  </si>
  <si>
    <t xml:space="preserve">     */</t>
  </si>
  <si>
    <t xml:space="preserve">    public String[] getPrimaryKeys() {</t>
  </si>
  <si>
    <t xml:space="preserve">        return primaryKeys;</t>
  </si>
  <si>
    <t xml:space="preserve">    }</t>
  </si>
  <si>
    <t xml:space="preserve">    /**</t>
  </si>
  <si>
    <t xml:space="preserve">     * テーブル名を取得します。</t>
  </si>
  <si>
    <t xml:space="preserve">     * @return テーブル名</t>
  </si>
  <si>
    <t xml:space="preserve">    public String getTableName() {</t>
  </si>
  <si>
    <t xml:space="preserve">        return tableName;</t>
  </si>
  <si>
    <t>Ver 2.0</t>
    <phoneticPr fontId="2"/>
  </si>
  <si>
    <t>TODO</t>
    <phoneticPr fontId="2"/>
  </si>
  <si>
    <t xml:space="preserve"> * Copyright (C) 2018 FUJITSU LIMITED, All Rights Reserved.</t>
    <phoneticPr fontId="8"/>
  </si>
  <si>
    <t>インターフェース項目定義</t>
    <phoneticPr fontId="8"/>
  </si>
  <si>
    <t>※SF=Sequencial File</t>
    <phoneticPr fontId="8"/>
  </si>
  <si>
    <t>package com.feast.common.sf.layout;</t>
  </si>
  <si>
    <t>import com.feast.common.sf.SfColumnChar;</t>
  </si>
  <si>
    <t>import com.feast.common.sf.SfColumnNum;</t>
  </si>
  <si>
    <t>import com.feast.common.sf.SfItemChar;</t>
  </si>
  <si>
    <t>import com.feast.common.sf.SfItemNum;</t>
  </si>
  <si>
    <t>import com.feast.common.sf.SfLayout;</t>
  </si>
  <si>
    <t xml:space="preserve"> * @author (auto)</t>
  </si>
  <si>
    <t>インターフェース項目定義</t>
    <phoneticPr fontId="2"/>
  </si>
  <si>
    <t>G6</t>
    <phoneticPr fontId="2"/>
  </si>
  <si>
    <t>G7※別紙外部I/F一覧に記載</t>
    <phoneticPr fontId="8"/>
  </si>
  <si>
    <t>CD</t>
    <phoneticPr fontId="2"/>
  </si>
  <si>
    <t>D</t>
    <phoneticPr fontId="2"/>
  </si>
  <si>
    <t>項目論理名称（和名）</t>
    <phoneticPr fontId="2"/>
  </si>
  <si>
    <t>項目論理名称（英名）</t>
    <phoneticPr fontId="2"/>
  </si>
  <si>
    <t>初期値</t>
    <phoneticPr fontId="2"/>
  </si>
  <si>
    <t>DUMMY</t>
    <phoneticPr fontId="8"/>
  </si>
  <si>
    <t>DUMMY</t>
    <phoneticPr fontId="8"/>
  </si>
  <si>
    <t>DUMMY</t>
    <phoneticPr fontId="8"/>
  </si>
  <si>
    <t>セット方法</t>
    <phoneticPr fontId="8"/>
  </si>
  <si>
    <t>lbl_col_position</t>
    <phoneticPr fontId="8"/>
  </si>
  <si>
    <t>lbl_col_testdata_h</t>
    <phoneticPr fontId="8"/>
  </si>
  <si>
    <t>lbl_col_testdata_d1</t>
    <phoneticPr fontId="8"/>
  </si>
  <si>
    <t>lbl_col_testdata_d2</t>
  </si>
  <si>
    <t>lbl_col_testdata_d3</t>
  </si>
  <si>
    <t>lbl_col_testdata_d4</t>
  </si>
  <si>
    <t>lbl_col_testdata_d5</t>
  </si>
  <si>
    <t>lbl_col_testdata_t</t>
    <phoneticPr fontId="8"/>
  </si>
  <si>
    <t>TEST_HEAD</t>
    <phoneticPr fontId="8"/>
  </si>
  <si>
    <t>TEST_TRAILER</t>
    <phoneticPr fontId="8"/>
  </si>
  <si>
    <t>TEST_DATA_1</t>
    <phoneticPr fontId="8"/>
  </si>
  <si>
    <t>TEST_DATA_2</t>
  </si>
  <si>
    <t>TEST_DATA_3</t>
  </si>
  <si>
    <t>TEST_DATA_4</t>
  </si>
  <si>
    <t>TEST_DATA_5</t>
  </si>
  <si>
    <t>testdata_cnt</t>
    <phoneticPr fontId="8"/>
  </si>
  <si>
    <t>row_start_val</t>
    <phoneticPr fontId="2"/>
  </si>
  <si>
    <t>cell_file_id</t>
    <phoneticPr fontId="2"/>
  </si>
  <si>
    <t>cell_file_name</t>
    <phoneticPr fontId="2"/>
  </si>
  <si>
    <t>前詰</t>
  </si>
  <si>
    <t>SPACE</t>
    <phoneticPr fontId="2"/>
  </si>
  <si>
    <t>全桁有効</t>
    <phoneticPr fontId="2"/>
  </si>
  <si>
    <t>X</t>
  </si>
  <si>
    <t>予備</t>
    <rPh sb="0" eb="2">
      <t>ヨビ</t>
    </rPh>
    <phoneticPr fontId="2"/>
  </si>
  <si>
    <t>前方ゼロ埋め</t>
    <rPh sb="0" eb="2">
      <t>ゼンポウ</t>
    </rPh>
    <phoneticPr fontId="2"/>
  </si>
  <si>
    <t>明細部レコード件数。</t>
    <phoneticPr fontId="2"/>
  </si>
  <si>
    <t>後詰</t>
  </si>
  <si>
    <t>全桁有効</t>
    <phoneticPr fontId="2"/>
  </si>
  <si>
    <t>データ件数</t>
    <rPh sb="3" eb="5">
      <t>ケンスウ</t>
    </rPh>
    <phoneticPr fontId="2"/>
  </si>
  <si>
    <t>３：トレーラーレコード</t>
    <phoneticPr fontId="2"/>
  </si>
  <si>
    <t>SPACE</t>
    <phoneticPr fontId="2"/>
  </si>
  <si>
    <t>レコード区分</t>
    <rPh sb="4" eb="6">
      <t>クブン</t>
    </rPh>
    <phoneticPr fontId="2"/>
  </si>
  <si>
    <t>トレーラーレコード</t>
  </si>
  <si>
    <t>Ｒ／Ｗ接続先上位機器(ＰＯＳレジなど) の号機情報-号機番号。</t>
    <phoneticPr fontId="2"/>
  </si>
  <si>
    <t>POS号機情報-号機番号</t>
    <rPh sb="3" eb="5">
      <t>ゴウキ</t>
    </rPh>
    <rPh sb="5" eb="7">
      <t>ジョウホウ</t>
    </rPh>
    <rPh sb="8" eb="10">
      <t>ゴウキ</t>
    </rPh>
    <rPh sb="10" eb="12">
      <t>バンゴウ</t>
    </rPh>
    <phoneticPr fontId="2"/>
  </si>
  <si>
    <t>Ｒ／Ｗ接続先上位機器(ＰＯＳレジなど) の号機情報-店舗番号。</t>
    <phoneticPr fontId="2"/>
  </si>
  <si>
    <t>POS号機情報-店舗番号</t>
    <rPh sb="3" eb="5">
      <t>ゴウキ</t>
    </rPh>
    <rPh sb="5" eb="7">
      <t>ジョウホウ</t>
    </rPh>
    <rPh sb="8" eb="10">
      <t>テンポ</t>
    </rPh>
    <rPh sb="10" eb="12">
      <t>バンゴウ</t>
    </rPh>
    <phoneticPr fontId="2"/>
  </si>
  <si>
    <t>０：正常データ
１：強制残高参照結果OK
３：強制残高参照結果不明
４：アラーム取引データ
５：書込
６：未書込
７：時効</t>
    <rPh sb="1" eb="3">
      <t>セイジョウ</t>
    </rPh>
    <rPh sb="10" eb="12">
      <t>キョウセイ</t>
    </rPh>
    <rPh sb="12" eb="14">
      <t>ザンダカ</t>
    </rPh>
    <rPh sb="14" eb="16">
      <t>サンショウ</t>
    </rPh>
    <rPh sb="16" eb="18">
      <t>ケッカ</t>
    </rPh>
    <rPh sb="31" eb="33">
      <t>フメイ</t>
    </rPh>
    <rPh sb="40" eb="42">
      <t>トリヒキ</t>
    </rPh>
    <rPh sb="48" eb="50">
      <t>ショコミ</t>
    </rPh>
    <rPh sb="53" eb="54">
      <t>ミ</t>
    </rPh>
    <rPh sb="59" eb="61">
      <t>ジコウ</t>
    </rPh>
    <phoneticPr fontId="2"/>
  </si>
  <si>
    <t>アラームFLG</t>
    <phoneticPr fontId="2"/>
  </si>
  <si>
    <t>売上金額</t>
    <phoneticPr fontId="2"/>
  </si>
  <si>
    <t>取引金額</t>
    <rPh sb="0" eb="2">
      <t>トリヒキ</t>
    </rPh>
    <rPh sb="2" eb="4">
      <t>キンガク</t>
    </rPh>
    <phoneticPr fontId="2"/>
  </si>
  <si>
    <t>HHMMSS方式</t>
    <rPh sb="6" eb="8">
      <t>ホウシキ</t>
    </rPh>
    <phoneticPr fontId="2"/>
  </si>
  <si>
    <t>当該売上データ計上時刻</t>
    <phoneticPr fontId="2"/>
  </si>
  <si>
    <t>取引時刻</t>
    <rPh sb="0" eb="2">
      <t>トリヒキ</t>
    </rPh>
    <rPh sb="2" eb="4">
      <t>ジコク</t>
    </rPh>
    <phoneticPr fontId="2"/>
  </si>
  <si>
    <t>YYYYMMDD方式</t>
    <rPh sb="8" eb="10">
      <t>ホウシキ</t>
    </rPh>
    <phoneticPr fontId="2"/>
  </si>
  <si>
    <t>当該売上データ計上日</t>
    <phoneticPr fontId="2"/>
  </si>
  <si>
    <t>取引年月日</t>
    <rPh sb="0" eb="2">
      <t>トリヒキ</t>
    </rPh>
    <rPh sb="2" eb="5">
      <t>ネンガッピ</t>
    </rPh>
    <phoneticPr fontId="2"/>
  </si>
  <si>
    <t>該当営業日</t>
    <phoneticPr fontId="2"/>
  </si>
  <si>
    <t>営業日</t>
    <rPh sb="0" eb="3">
      <t>エイギョウビ</t>
    </rPh>
    <phoneticPr fontId="2"/>
  </si>
  <si>
    <t>１：利用
２：入金</t>
    <rPh sb="1" eb="3">
      <t>リヨウ</t>
    </rPh>
    <rPh sb="6" eb="8">
      <t>ニュウキン</t>
    </rPh>
    <phoneticPr fontId="2"/>
  </si>
  <si>
    <t>ログ種別</t>
    <rPh sb="2" eb="4">
      <t>シュベツ</t>
    </rPh>
    <phoneticPr fontId="2"/>
  </si>
  <si>
    <t>当該売上データのＥｄｙカード（媒体）内での取引通番</t>
    <phoneticPr fontId="2"/>
  </si>
  <si>
    <t>カード通番</t>
    <rPh sb="3" eb="5">
      <t>ツウバン</t>
    </rPh>
    <phoneticPr fontId="2"/>
  </si>
  <si>
    <t>後方スペース埋め</t>
    <rPh sb="0" eb="2">
      <t>コウホウ</t>
    </rPh>
    <phoneticPr fontId="2"/>
  </si>
  <si>
    <t>当該売上データが利用されたＥｄｙカード（媒体）の番号。</t>
    <phoneticPr fontId="2"/>
  </si>
  <si>
    <t>Edy番号</t>
    <rPh sb="3" eb="5">
      <t>バンゴウ</t>
    </rPh>
    <phoneticPr fontId="2"/>
  </si>
  <si>
    <t>当該売上データのＥｄｙアプリ内での取引通番。</t>
    <phoneticPr fontId="2"/>
  </si>
  <si>
    <t>Edy取引通番</t>
    <rPh sb="3" eb="5">
      <t>トリヒキ</t>
    </rPh>
    <rPh sb="5" eb="7">
      <t>ツウバン</t>
    </rPh>
    <phoneticPr fontId="2"/>
  </si>
  <si>
    <t>Ｅｄｙアプリに付与されるＩＤ。</t>
    <phoneticPr fontId="2"/>
  </si>
  <si>
    <t>EM－ID</t>
    <phoneticPr fontId="2"/>
  </si>
  <si>
    <t>８～１６桁の上位端末ＩＤ(Ｒ／Ｗ識別ＩＤ。端末メーカー採番。弊社設置Ｒ／Ｗは８桁。）</t>
    <phoneticPr fontId="2"/>
  </si>
  <si>
    <t>上位端末ID</t>
    <rPh sb="0" eb="2">
      <t>ジョウイ</t>
    </rPh>
    <rPh sb="2" eb="4">
      <t>タンマツ</t>
    </rPh>
    <phoneticPr fontId="2"/>
  </si>
  <si>
    <t>８桁の加盟店ＩＤ</t>
    <phoneticPr fontId="2"/>
  </si>
  <si>
    <t>加盟店ID</t>
    <rPh sb="0" eb="2">
      <t>カメイ</t>
    </rPh>
    <rPh sb="2" eb="3">
      <t>テン</t>
    </rPh>
    <phoneticPr fontId="2"/>
  </si>
  <si>
    <t>該当締め日
アラームＦＬＧが「４：アラーム取引データ or ６：未書込 or ７：時効」で、ログ種別が「１：利用」の場合は、オールゼロがセットされる。</t>
    <phoneticPr fontId="2"/>
  </si>
  <si>
    <t>締め対象日</t>
    <rPh sb="0" eb="1">
      <t>シ</t>
    </rPh>
    <rPh sb="2" eb="4">
      <t>タイショウ</t>
    </rPh>
    <rPh sb="4" eb="5">
      <t>ビ</t>
    </rPh>
    <phoneticPr fontId="2"/>
  </si>
  <si>
    <t>楽天Edy が支払先/請求先ごとに採番。支払先ＩＤ：利用。請求先ＩＤ：入金。（代表加盟店を通しての間接加盟の場合は、代表加盟店が楽天Ｅｄｙから付与されたＩＤ。）</t>
    <phoneticPr fontId="2"/>
  </si>
  <si>
    <t>支払先ID/請求先ID</t>
    <rPh sb="0" eb="2">
      <t>シハライ</t>
    </rPh>
    <rPh sb="2" eb="3">
      <t>サキ</t>
    </rPh>
    <rPh sb="6" eb="8">
      <t>セイキュウ</t>
    </rPh>
    <rPh sb="8" eb="9">
      <t>サキ</t>
    </rPh>
    <phoneticPr fontId="2"/>
  </si>
  <si>
    <t>２：データレコード</t>
    <phoneticPr fontId="2"/>
  </si>
  <si>
    <t>データレコード</t>
  </si>
  <si>
    <t>還元データ作成対象日
対象日の０：００～２３：５９（ＰｉＴａＰａは１：００～２４：５９）の間に上位中継センターで受信した取引について還元データ作成。</t>
    <phoneticPr fontId="2"/>
  </si>
  <si>
    <t>集計対象年月日</t>
    <rPh sb="0" eb="2">
      <t>シュウケイ</t>
    </rPh>
    <rPh sb="2" eb="4">
      <t>タイショウ</t>
    </rPh>
    <rPh sb="4" eb="7">
      <t>ネンガッピ</t>
    </rPh>
    <phoneticPr fontId="2"/>
  </si>
  <si>
    <t>YYYYMMDDHHMMSS方式</t>
    <rPh sb="14" eb="16">
      <t>ホウシキ</t>
    </rPh>
    <phoneticPr fontId="2"/>
  </si>
  <si>
    <t>ファイル作成日時
通常、「5.集計対象年月日」の翌日。</t>
    <phoneticPr fontId="2"/>
  </si>
  <si>
    <t>作成年月日時</t>
    <rPh sb="0" eb="2">
      <t>サクセイ</t>
    </rPh>
    <rPh sb="2" eb="3">
      <t>ネン</t>
    </rPh>
    <rPh sb="3" eb="4">
      <t>ガツ</t>
    </rPh>
    <rPh sb="5" eb="6">
      <t>ジ</t>
    </rPh>
    <phoneticPr fontId="2"/>
  </si>
  <si>
    <t>０８：Ｅｄｙ（メイサイ）</t>
    <phoneticPr fontId="2"/>
  </si>
  <si>
    <t>電子マネー識別子</t>
    <rPh sb="0" eb="2">
      <t>デンシ</t>
    </rPh>
    <rPh sb="5" eb="8">
      <t>シキベツシ</t>
    </rPh>
    <phoneticPr fontId="2"/>
  </si>
  <si>
    <t>サービス契約単位に採番される加盟店識別コード。</t>
    <phoneticPr fontId="2"/>
  </si>
  <si>
    <t>GCAN加盟店コード</t>
    <rPh sb="4" eb="6">
      <t>カメイ</t>
    </rPh>
    <rPh sb="6" eb="7">
      <t>テン</t>
    </rPh>
    <phoneticPr fontId="2"/>
  </si>
  <si>
    <t>１：ヘッダーレコード</t>
    <phoneticPr fontId="2"/>
  </si>
  <si>
    <t>セット方法</t>
    <rPh sb="3" eb="5">
      <t>ホウホウ</t>
    </rPh>
    <phoneticPr fontId="2"/>
  </si>
  <si>
    <t>ソート並び</t>
    <rPh sb="3" eb="4">
      <t>ナラ</t>
    </rPh>
    <phoneticPr fontId="2"/>
  </si>
  <si>
    <t>ソート優先順</t>
    <rPh sb="3" eb="5">
      <t>ユウセン</t>
    </rPh>
    <rPh sb="5" eb="6">
      <t>ジュン</t>
    </rPh>
    <phoneticPr fontId="2"/>
  </si>
  <si>
    <t>必須</t>
    <rPh sb="0" eb="2">
      <t>ヒッス</t>
    </rPh>
    <phoneticPr fontId="2"/>
  </si>
  <si>
    <t>初期値</t>
    <rPh sb="0" eb="3">
      <t>ショキチ</t>
    </rPh>
    <phoneticPr fontId="2"/>
  </si>
  <si>
    <t>有効桁
ﾌｫｰﾏｯﾄ</t>
    <rPh sb="0" eb="2">
      <t>ユウコウ</t>
    </rPh>
    <rPh sb="2" eb="3">
      <t>ケタ</t>
    </rPh>
    <phoneticPr fontId="2"/>
  </si>
  <si>
    <t>位置</t>
    <rPh sb="0" eb="2">
      <t>イチ</t>
    </rPh>
    <phoneticPr fontId="2"/>
  </si>
  <si>
    <t>Byte</t>
    <phoneticPr fontId="2"/>
  </si>
  <si>
    <t>符号負</t>
    <rPh sb="0" eb="2">
      <t>フゴウ</t>
    </rPh>
    <rPh sb="2" eb="3">
      <t>フ</t>
    </rPh>
    <phoneticPr fontId="2"/>
  </si>
  <si>
    <t>符号正</t>
    <rPh sb="0" eb="2">
      <t>フゴウ</t>
    </rPh>
    <rPh sb="2" eb="3">
      <t>セイ</t>
    </rPh>
    <phoneticPr fontId="2"/>
  </si>
  <si>
    <t>桁数
小数</t>
    <rPh sb="0" eb="2">
      <t>ケタスウ</t>
    </rPh>
    <rPh sb="3" eb="5">
      <t>ショウスウ</t>
    </rPh>
    <phoneticPr fontId="2"/>
  </si>
  <si>
    <t>桁数
整数</t>
    <rPh sb="0" eb="2">
      <t>ケタスウ</t>
    </rPh>
    <rPh sb="3" eb="5">
      <t>セイスウ</t>
    </rPh>
    <phoneticPr fontId="2"/>
  </si>
  <si>
    <t>繰り返し数</t>
    <rPh sb="0" eb="1">
      <t>ク</t>
    </rPh>
    <rPh sb="2" eb="3">
      <t>カエ</t>
    </rPh>
    <rPh sb="4" eb="5">
      <t>スウ</t>
    </rPh>
    <phoneticPr fontId="2"/>
  </si>
  <si>
    <t>階層レベル</t>
    <rPh sb="0" eb="2">
      <t>カイソウ</t>
    </rPh>
    <phoneticPr fontId="2"/>
  </si>
  <si>
    <t>Type</t>
    <phoneticPr fontId="2"/>
  </si>
  <si>
    <t>項目論理名称（英名）</t>
    <rPh sb="0" eb="2">
      <t>コウモク</t>
    </rPh>
    <rPh sb="2" eb="4">
      <t>ロンリ</t>
    </rPh>
    <rPh sb="4" eb="6">
      <t>メイショウ</t>
    </rPh>
    <rPh sb="7" eb="9">
      <t>エイメイ</t>
    </rPh>
    <phoneticPr fontId="2"/>
  </si>
  <si>
    <t>項目論理名称（和名）</t>
    <rPh sb="0" eb="2">
      <t>コウモク</t>
    </rPh>
    <rPh sb="2" eb="4">
      <t>ロンリ</t>
    </rPh>
    <rPh sb="4" eb="6">
      <t>メイショウ</t>
    </rPh>
    <rPh sb="7" eb="9">
      <t>ワメイ</t>
    </rPh>
    <phoneticPr fontId="2"/>
  </si>
  <si>
    <t>No</t>
    <phoneticPr fontId="2"/>
  </si>
  <si>
    <t>※Type ⇒ N：全角文字、X：半角英数、9：十進数、±9：外部十進数、S9:内部十進数、9C3：パック型十進数、S9C3：パック型内部十進数</t>
    <rPh sb="10" eb="12">
      <t>ゼンカク</t>
    </rPh>
    <rPh sb="12" eb="14">
      <t>モジ</t>
    </rPh>
    <rPh sb="17" eb="19">
      <t>ハンカク</t>
    </rPh>
    <rPh sb="19" eb="21">
      <t>エイスウ</t>
    </rPh>
    <rPh sb="24" eb="25">
      <t>ジュウ</t>
    </rPh>
    <rPh sb="25" eb="27">
      <t>シンスウ</t>
    </rPh>
    <rPh sb="31" eb="33">
      <t>ガイブ</t>
    </rPh>
    <rPh sb="33" eb="36">
      <t>ジュウシンスウ</t>
    </rPh>
    <rPh sb="40" eb="42">
      <t>ナイブ</t>
    </rPh>
    <rPh sb="42" eb="44">
      <t>ジッシン</t>
    </rPh>
    <rPh sb="44" eb="45">
      <t>スウ</t>
    </rPh>
    <rPh sb="66" eb="67">
      <t>カタ</t>
    </rPh>
    <rPh sb="67" eb="69">
      <t>ナイブ</t>
    </rPh>
    <rPh sb="69" eb="71">
      <t>ジッシン</t>
    </rPh>
    <rPh sb="71" eb="72">
      <t>スウ</t>
    </rPh>
    <phoneticPr fontId="2"/>
  </si>
  <si>
    <t>　レコード物理サイズ</t>
    <rPh sb="5" eb="7">
      <t>ブツリ</t>
    </rPh>
    <phoneticPr fontId="2"/>
  </si>
  <si>
    <t>別紙外部I/F一覧に記載</t>
    <phoneticPr fontId="2"/>
  </si>
  <si>
    <t>　ファイルID</t>
    <phoneticPr fontId="2"/>
  </si>
  <si>
    <t>　ファイル拡張子</t>
    <phoneticPr fontId="2"/>
  </si>
  <si>
    <t>　改行コード</t>
    <rPh sb="1" eb="3">
      <t>カイギョウ</t>
    </rPh>
    <phoneticPr fontId="2"/>
  </si>
  <si>
    <t>楽天Edy</t>
    <rPh sb="0" eb="2">
      <t>ラクテン</t>
    </rPh>
    <phoneticPr fontId="2"/>
  </si>
  <si>
    <t>　ファイル名</t>
    <rPh sb="5" eb="6">
      <t>メイ</t>
    </rPh>
    <phoneticPr fontId="2"/>
  </si>
  <si>
    <t>作成対象日における取引件数が０件の場合は、ヘッダーレコード・トレーラーレコードのみ作成される。</t>
  </si>
  <si>
    <t>　補足説明</t>
    <rPh sb="1" eb="3">
      <t>ホソク</t>
    </rPh>
    <rPh sb="3" eb="5">
      <t>セツメイ</t>
    </rPh>
    <phoneticPr fontId="2"/>
  </si>
  <si>
    <t>Shift-JIS</t>
  </si>
  <si>
    <t>　文字コード</t>
    <rPh sb="1" eb="3">
      <t>モジ</t>
    </rPh>
    <phoneticPr fontId="2"/>
  </si>
  <si>
    <t>固定長ラインシーケンシャル</t>
  </si>
  <si>
    <t>　ファイル定義</t>
    <rPh sb="5" eb="7">
      <t>テイギ</t>
    </rPh>
    <phoneticPr fontId="2"/>
  </si>
  <si>
    <t>インターフェース項目定義</t>
    <rPh sb="8" eb="10">
      <t>コウモク</t>
    </rPh>
    <rPh sb="10" eb="12">
      <t>テイギ</t>
    </rPh>
    <phoneticPr fontId="2"/>
  </si>
  <si>
    <t>ドキュメント名</t>
    <phoneticPr fontId="2"/>
  </si>
  <si>
    <t>ドキュメント ID</t>
    <phoneticPr fontId="2"/>
  </si>
  <si>
    <t>サブシステム分類</t>
    <phoneticPr fontId="2"/>
  </si>
  <si>
    <t>ユーザインタフェース
設計書</t>
    <rPh sb="11" eb="13">
      <t>セッケイ</t>
    </rPh>
    <phoneticPr fontId="2"/>
  </si>
  <si>
    <t>項目論理名称（和名）</t>
    <phoneticPr fontId="8"/>
  </si>
  <si>
    <t xml:space="preserve"> * </t>
    <phoneticPr fontId="8"/>
  </si>
  <si>
    <t xml:space="preserve"> * 「SF_Maker.xlsm」より自動生成</t>
    <phoneticPr fontId="8"/>
  </si>
  <si>
    <t xml:space="preserve"> * &lt;%file_name%&gt;インターフェイス</t>
    <phoneticPr fontId="8"/>
  </si>
  <si>
    <t>RECORDKBN</t>
  </si>
  <si>
    <t>GCAN_KAMEITEN_CD</t>
  </si>
  <si>
    <t>RSV</t>
  </si>
  <si>
    <t>TORIHIKIGK</t>
    <phoneticPr fontId="8"/>
  </si>
  <si>
    <t>EM_ID</t>
    <phoneticPr fontId="8"/>
  </si>
  <si>
    <t>EDY_TORIHIKI_NO</t>
    <phoneticPr fontId="8"/>
  </si>
  <si>
    <t>TORIHIKIYMD</t>
    <phoneticPr fontId="8"/>
  </si>
  <si>
    <t>TORIHIKITIME</t>
    <phoneticPr fontId="8"/>
  </si>
  <si>
    <t>KAMEITEN_ID</t>
    <phoneticPr fontId="8"/>
  </si>
  <si>
    <t>UP_TERMINAL_ID</t>
    <phoneticPr fontId="8"/>
  </si>
  <si>
    <t xml:space="preserve">    // 文字コード</t>
  </si>
  <si>
    <t xml:space="preserve">    // 改行コード</t>
  </si>
  <si>
    <t xml:space="preserve">        super();</t>
  </si>
  <si>
    <t xml:space="preserve">        // 文字コード</t>
  </si>
  <si>
    <t xml:space="preserve">        setCharSet(CHARSET);</t>
  </si>
  <si>
    <t xml:space="preserve">        // 改行コード</t>
  </si>
  <si>
    <t xml:space="preserve">        setNewLine(NEWLINE);</t>
  </si>
  <si>
    <t>cell_charset</t>
    <phoneticPr fontId="8"/>
  </si>
  <si>
    <t>Y5</t>
    <phoneticPr fontId="8"/>
  </si>
  <si>
    <t>cell_newline</t>
    <phoneticPr fontId="8"/>
  </si>
  <si>
    <t xml:space="preserve">    public static final String NEWLINE = &lt;%newline%&gt;;</t>
    <phoneticPr fontId="8"/>
  </si>
  <si>
    <t xml:space="preserve">    public static final String CHARSET = &lt;%charset%&gt;;</t>
    <phoneticPr fontId="8"/>
  </si>
  <si>
    <t>V6</t>
    <phoneticPr fontId="8"/>
  </si>
  <si>
    <t xml:space="preserve">        // レイアウト名</t>
  </si>
  <si>
    <t>桁数
整数</t>
    <phoneticPr fontId="8"/>
  </si>
  <si>
    <t>桁数
小数</t>
    <phoneticPr fontId="8"/>
  </si>
  <si>
    <t>lbl_col_length_int</t>
    <phoneticPr fontId="2"/>
  </si>
  <si>
    <t>lbl_col_length_dec</t>
    <phoneticPr fontId="2"/>
  </si>
  <si>
    <t>SF生成</t>
    <rPh sb="2" eb="4">
      <t>セイセイ</t>
    </rPh>
    <phoneticPr fontId="8"/>
  </si>
  <si>
    <t>Ver 3.0</t>
    <phoneticPr fontId="2"/>
  </si>
  <si>
    <t>クラス名</t>
    <rPh sb="3" eb="4">
      <t>メイ</t>
    </rPh>
    <phoneticPr fontId="8"/>
  </si>
  <si>
    <t>public class &lt;%class_name%&gt; extends SfLayout{</t>
    <phoneticPr fontId="8"/>
  </si>
  <si>
    <t>ヘッダーレコード</t>
    <phoneticPr fontId="2"/>
  </si>
  <si>
    <t xml:space="preserve">    public &lt;%class_name%&gt;(&lt;%parameters%&gt;) {</t>
    <phoneticPr fontId="8"/>
  </si>
  <si>
    <t xml:space="preserve">        setLayoutName("&lt;%file_name%&gt;インターフェイス");</t>
    <phoneticPr fontId="8"/>
  </si>
  <si>
    <t>Ver 3.1</t>
    <phoneticPr fontId="8"/>
  </si>
  <si>
    <t>StringBuilder利用</t>
    <rPh sb="13" eb="15">
      <t>リヨウ</t>
    </rPh>
    <phoneticPr fontId="8"/>
  </si>
  <si>
    <t>Ver 3.2</t>
  </si>
  <si>
    <t>項目名辞書生成</t>
    <rPh sb="0" eb="2">
      <t>コウモク</t>
    </rPh>
    <rPh sb="2" eb="3">
      <t>メイ</t>
    </rPh>
    <rPh sb="3" eb="5">
      <t>ジショ</t>
    </rPh>
    <rPh sb="5" eb="7">
      <t>セイセイ</t>
    </rPh>
    <phoneticPr fontId="8"/>
  </si>
  <si>
    <t xml:space="preserve">日付型項目はintに定義
・集計対象年月日
・端末処理日付
・端末処理時刻
・締め対象日
・営業日
件数はint型に定義
・データ件数
除外項目
・作成年月日時
</t>
    <phoneticPr fontId="8"/>
  </si>
  <si>
    <t>Ver 3.3</t>
  </si>
  <si>
    <t>ヘッダレコード</t>
    <phoneticPr fontId="8"/>
  </si>
  <si>
    <t>2018/1/9 追加</t>
    <rPh sb="9" eb="11">
      <t>ツイカ</t>
    </rPh>
    <phoneticPr fontId="8"/>
  </si>
  <si>
    <r>
      <t>V</t>
    </r>
    <r>
      <rPr>
        <sz val="11"/>
        <color theme="1"/>
        <rFont val="Meiryo UI"/>
        <family val="3"/>
        <charset val="128"/>
      </rPr>
      <t>er 1.0</t>
    </r>
    <phoneticPr fontId="2"/>
  </si>
  <si>
    <r>
      <t>V</t>
    </r>
    <r>
      <rPr>
        <sz val="11"/>
        <color theme="1"/>
        <rFont val="Meiryo UI"/>
        <family val="3"/>
        <charset val="128"/>
      </rPr>
      <t>er 1.1</t>
    </r>
    <phoneticPr fontId="2"/>
  </si>
  <si>
    <t>Ver 3.4</t>
  </si>
  <si>
    <t>row_default_first</t>
    <phoneticPr fontId="2"/>
  </si>
  <si>
    <t>row_default_first</t>
    <phoneticPr fontId="2"/>
  </si>
  <si>
    <t>row_default_firstを追加</t>
    <rPh sb="18" eb="20">
      <t>ツイカ</t>
    </rPh>
    <phoneticPr fontId="8"/>
  </si>
  <si>
    <t>Ver 3.5</t>
    <phoneticPr fontId="8"/>
  </si>
  <si>
    <t>バグ対応：SF最終行出力対応</t>
    <rPh sb="2" eb="4">
      <t>タイオウ</t>
    </rPh>
    <rPh sb="7" eb="10">
      <t>サイシュウギョウ</t>
    </rPh>
    <rPh sb="10" eb="12">
      <t>シュツリョク</t>
    </rPh>
    <rPh sb="12" eb="14">
      <t>タイオウ</t>
    </rPh>
    <phoneticPr fontId="8"/>
  </si>
  <si>
    <t>Ver 3.6</t>
  </si>
  <si>
    <r>
      <t xml:space="preserve">64bit Office対応
Private Declare </t>
    </r>
    <r>
      <rPr>
        <sz val="11"/>
        <color rgb="FFFF0000"/>
        <rFont val="Meiryo UI"/>
        <family val="3"/>
        <charset val="128"/>
      </rPr>
      <t>PtrSafe</t>
    </r>
    <r>
      <rPr>
        <sz val="11"/>
        <rFont val="Meiryo UI"/>
        <family val="3"/>
        <charset val="128"/>
      </rPr>
      <t xml:space="preserve"> Function WNetGetConnection</t>
    </r>
    <rPh sb="12" eb="14">
      <t>タイオウ</t>
    </rPh>
    <phoneticPr fontId="8"/>
  </si>
  <si>
    <t>マスタ管理</t>
    <rPh sb="3" eb="5">
      <t>カンリ</t>
    </rPh>
    <phoneticPr fontId="2"/>
  </si>
  <si>
    <t>店マスタ</t>
    <rPh sb="0" eb="1">
      <t>ミセ</t>
    </rPh>
    <phoneticPr fontId="2"/>
  </si>
  <si>
    <t>／</t>
  </si>
  <si>
    <t>LMA04_MISE</t>
  </si>
  <si>
    <t>※N：全角文字 or 半角文字（ｶﾅ含む）</t>
    <phoneticPr fontId="2"/>
  </si>
  <si>
    <t>N</t>
    <phoneticPr fontId="2"/>
  </si>
  <si>
    <t>全体
桁数</t>
    <rPh sb="0" eb="2">
      <t>ゼンタイ</t>
    </rPh>
    <rPh sb="3" eb="4">
      <t>ケタ</t>
    </rPh>
    <rPh sb="4" eb="5">
      <t>スウ</t>
    </rPh>
    <phoneticPr fontId="2"/>
  </si>
  <si>
    <t>小数
桁数</t>
    <rPh sb="0" eb="2">
      <t>ショウスウ</t>
    </rPh>
    <rPh sb="3" eb="4">
      <t>ケタ</t>
    </rPh>
    <rPh sb="4" eb="5">
      <t>スウ</t>
    </rPh>
    <phoneticPr fontId="2"/>
  </si>
  <si>
    <t>企業グループコード</t>
    <rPh sb="0" eb="2">
      <t>キギョウ</t>
    </rPh>
    <phoneticPr fontId="6"/>
  </si>
  <si>
    <t>KGYGRPCD</t>
  </si>
  <si>
    <t>店コード</t>
    <rPh sb="0" eb="1">
      <t>ミセ</t>
    </rPh>
    <phoneticPr fontId="6"/>
  </si>
  <si>
    <t>MISECD</t>
  </si>
  <si>
    <t>左詰２桁</t>
    <rPh sb="0" eb="2">
      <t>ヒダリヅメ</t>
    </rPh>
    <rPh sb="3" eb="4">
      <t>ケタ</t>
    </rPh>
    <phoneticPr fontId="2"/>
  </si>
  <si>
    <t>開始日</t>
    <rPh sb="0" eb="2">
      <t>カイシ</t>
    </rPh>
    <rPh sb="2" eb="3">
      <t>ヒ</t>
    </rPh>
    <phoneticPr fontId="6"/>
  </si>
  <si>
    <t>STARTYMD</t>
  </si>
  <si>
    <t>timestamp</t>
    <phoneticPr fontId="2"/>
  </si>
  <si>
    <t>終了日</t>
    <rPh sb="0" eb="2">
      <t>シュウリョウ</t>
    </rPh>
    <rPh sb="2" eb="3">
      <t>ヒ</t>
    </rPh>
    <phoneticPr fontId="6"/>
  </si>
  <si>
    <t>ENDYMD</t>
  </si>
  <si>
    <t>店名漢字</t>
    <rPh sb="0" eb="1">
      <t>ミセ</t>
    </rPh>
    <phoneticPr fontId="6"/>
  </si>
  <si>
    <t>MISENMKJ</t>
  </si>
  <si>
    <t>○</t>
    <phoneticPr fontId="2"/>
  </si>
  <si>
    <t>全角</t>
    <rPh sb="0" eb="2">
      <t>ゼンカク</t>
    </rPh>
    <phoneticPr fontId="2"/>
  </si>
  <si>
    <t>店名カナ</t>
    <rPh sb="0" eb="1">
      <t>ミセ</t>
    </rPh>
    <phoneticPr fontId="6"/>
  </si>
  <si>
    <t>MISENMKN</t>
  </si>
  <si>
    <t>半角</t>
    <rPh sb="0" eb="2">
      <t>ハンカク</t>
    </rPh>
    <phoneticPr fontId="2"/>
  </si>
  <si>
    <t>企業コード</t>
  </si>
  <si>
    <t>KGYCD</t>
  </si>
  <si>
    <t>商品勘定対象店</t>
    <rPh sb="0" eb="2">
      <t>ショウヒン</t>
    </rPh>
    <rPh sb="2" eb="4">
      <t>カンジョウ</t>
    </rPh>
    <rPh sb="4" eb="6">
      <t>タイショウ</t>
    </rPh>
    <rPh sb="6" eb="7">
      <t>テン</t>
    </rPh>
    <phoneticPr fontId="6"/>
  </si>
  <si>
    <t>SHHNKANJOTAISHOTEN</t>
  </si>
  <si>
    <t>0:対象外 1:対象</t>
  </si>
  <si>
    <t>母店コード</t>
  </si>
  <si>
    <t>BOTENCD</t>
  </si>
  <si>
    <t>左詰２桁</t>
  </si>
  <si>
    <t>集計店コード１</t>
    <rPh sb="0" eb="2">
      <t>シュウケイ</t>
    </rPh>
    <rPh sb="2" eb="3">
      <t>ミセ</t>
    </rPh>
    <phoneticPr fontId="6"/>
  </si>
  <si>
    <t>SUMMISECD1</t>
  </si>
  <si>
    <t>集計店コード２</t>
    <rPh sb="0" eb="2">
      <t>シュウケイ</t>
    </rPh>
    <rPh sb="2" eb="3">
      <t>ミセ</t>
    </rPh>
    <phoneticPr fontId="6"/>
  </si>
  <si>
    <t>SUMMISECD2</t>
  </si>
  <si>
    <t>集計店コード３</t>
    <rPh sb="0" eb="2">
      <t>シュウケイ</t>
    </rPh>
    <rPh sb="2" eb="3">
      <t>ミセ</t>
    </rPh>
    <phoneticPr fontId="6"/>
  </si>
  <si>
    <t>SUMMISECD3</t>
  </si>
  <si>
    <t>表示順１</t>
    <rPh sb="0" eb="2">
      <t>ヒョウジ</t>
    </rPh>
    <rPh sb="2" eb="3">
      <t>ジュン</t>
    </rPh>
    <phoneticPr fontId="6"/>
  </si>
  <si>
    <t>DISPSEQ1</t>
  </si>
  <si>
    <t>表示順２</t>
    <rPh sb="0" eb="2">
      <t>ヒョウジ</t>
    </rPh>
    <rPh sb="2" eb="3">
      <t>ジュン</t>
    </rPh>
    <phoneticPr fontId="6"/>
  </si>
  <si>
    <t>DISPSEQ2</t>
  </si>
  <si>
    <t>表示順３</t>
    <rPh sb="0" eb="2">
      <t>ヒョウジ</t>
    </rPh>
    <rPh sb="2" eb="3">
      <t>ジュン</t>
    </rPh>
    <phoneticPr fontId="6"/>
  </si>
  <si>
    <t>DISPSEQ3</t>
  </si>
  <si>
    <t>郵便番号</t>
    <rPh sb="0" eb="2">
      <t>ユウビン</t>
    </rPh>
    <rPh sb="2" eb="4">
      <t>バンゴウ</t>
    </rPh>
    <phoneticPr fontId="6"/>
  </si>
  <si>
    <t>POSTNO</t>
  </si>
  <si>
    <t>住所都道府県</t>
  </si>
  <si>
    <t>JSHTDFKN</t>
  </si>
  <si>
    <t>住所市区町村</t>
    <rPh sb="2" eb="4">
      <t>シク</t>
    </rPh>
    <rPh sb="4" eb="6">
      <t>チョウソン</t>
    </rPh>
    <phoneticPr fontId="6"/>
  </si>
  <si>
    <t>JSHSKCHSN</t>
  </si>
  <si>
    <t>住所番地１</t>
    <rPh sb="0" eb="2">
      <t>ジュウショ</t>
    </rPh>
    <rPh sb="2" eb="4">
      <t>バンチ</t>
    </rPh>
    <phoneticPr fontId="6"/>
  </si>
  <si>
    <t>JSHBNCH1</t>
  </si>
  <si>
    <t>住所番地２</t>
    <rPh sb="0" eb="2">
      <t>ジュウショ</t>
    </rPh>
    <rPh sb="2" eb="4">
      <t>バンチ</t>
    </rPh>
    <phoneticPr fontId="6"/>
  </si>
  <si>
    <t>JSHBNCH2</t>
  </si>
  <si>
    <t>電話番号</t>
    <rPh sb="0" eb="2">
      <t>デンワ</t>
    </rPh>
    <rPh sb="2" eb="4">
      <t>バンゴウ</t>
    </rPh>
    <phoneticPr fontId="6"/>
  </si>
  <si>
    <t>TEL</t>
  </si>
  <si>
    <t>ＦＡＸ番号</t>
    <rPh sb="3" eb="5">
      <t>バンゴウ</t>
    </rPh>
    <phoneticPr fontId="6"/>
  </si>
  <si>
    <t>FAX</t>
  </si>
  <si>
    <t>削除日時</t>
    <rPh sb="0" eb="2">
      <t>サクジョ</t>
    </rPh>
    <rPh sb="2" eb="4">
      <t>ニチジ</t>
    </rPh>
    <phoneticPr fontId="2"/>
  </si>
  <si>
    <t>登録日時</t>
    <rPh sb="0" eb="2">
      <t>トウロク</t>
    </rPh>
    <rPh sb="2" eb="3">
      <t>ヒ</t>
    </rPh>
    <rPh sb="3" eb="4">
      <t>トキ</t>
    </rPh>
    <phoneticPr fontId="2"/>
  </si>
  <si>
    <t>登録ユーザID</t>
    <rPh sb="0" eb="2">
      <t>トウロク</t>
    </rPh>
    <phoneticPr fontId="2"/>
  </si>
  <si>
    <t>登録プログラムID</t>
    <rPh sb="0" eb="2">
      <t>トウロク</t>
    </rPh>
    <phoneticPr fontId="2"/>
  </si>
  <si>
    <t>登録IPアドレス</t>
    <rPh sb="0" eb="2">
      <t>トウロク</t>
    </rPh>
    <phoneticPr fontId="2"/>
  </si>
  <si>
    <t>更新日時</t>
    <rPh sb="0" eb="2">
      <t>コウシン</t>
    </rPh>
    <rPh sb="2" eb="4">
      <t>ニチジ</t>
    </rPh>
    <phoneticPr fontId="2"/>
  </si>
  <si>
    <t>更新ユーザID</t>
    <rPh sb="0" eb="2">
      <t>コウシン</t>
    </rPh>
    <phoneticPr fontId="2"/>
  </si>
  <si>
    <t>更新プログラムID</t>
    <rPh sb="0" eb="2">
      <t>コウシン</t>
    </rPh>
    <phoneticPr fontId="2"/>
  </si>
  <si>
    <t>更新IPアドレス</t>
    <rPh sb="0" eb="2">
      <t>コウシン</t>
    </rPh>
    <phoneticPr fontId="2"/>
  </si>
  <si>
    <t>table_spec_sheet</t>
    <phoneticPr fontId="8"/>
  </si>
  <si>
    <t>店マスタ</t>
    <phoneticPr fontId="8"/>
  </si>
  <si>
    <t>C:\Users\plumx\Documents\Projects\SFinX\LAB\112_Kintetsu\Input\2-04_02_テーブル仕様_店マスタ.xlsx</t>
  </si>
  <si>
    <t>帳票詳細設計書(テーブル定義書)</t>
    <rPh sb="2" eb="4">
      <t>ショウサイ</t>
    </rPh>
    <rPh sb="4" eb="6">
      <t>セッケイ</t>
    </rPh>
    <rPh sb="6" eb="7">
      <t>ショ</t>
    </rPh>
    <phoneticPr fontId="44"/>
  </si>
  <si>
    <t>サブシステム</t>
    <phoneticPr fontId="44"/>
  </si>
  <si>
    <t>機能分類</t>
    <rPh sb="0" eb="2">
      <t>キノウ</t>
    </rPh>
    <rPh sb="2" eb="4">
      <t>ブンルイ</t>
    </rPh>
    <phoneticPr fontId="44"/>
  </si>
  <si>
    <t>帳票</t>
    <rPh sb="0" eb="2">
      <t>チョウヒョウ</t>
    </rPh>
    <phoneticPr fontId="44"/>
  </si>
  <si>
    <t>帳票テーブルID</t>
    <rPh sb="0" eb="2">
      <t>チョウヒョウ</t>
    </rPh>
    <phoneticPr fontId="44"/>
  </si>
  <si>
    <t>TPC02003R091</t>
    <phoneticPr fontId="44"/>
  </si>
  <si>
    <t>修正区分</t>
    <rPh sb="0" eb="2">
      <t>シュウセイ</t>
    </rPh>
    <rPh sb="2" eb="4">
      <t>クブン</t>
    </rPh>
    <phoneticPr fontId="77"/>
  </si>
  <si>
    <t>カラム番号</t>
    <rPh sb="3" eb="5">
      <t>バンゴウ</t>
    </rPh>
    <phoneticPr fontId="77"/>
  </si>
  <si>
    <t>属性名</t>
    <rPh sb="0" eb="2">
      <t>ゾクセイ</t>
    </rPh>
    <rPh sb="2" eb="3">
      <t>メイ</t>
    </rPh>
    <phoneticPr fontId="77"/>
  </si>
  <si>
    <t>ドメイン</t>
    <phoneticPr fontId="77"/>
  </si>
  <si>
    <t>属性定義</t>
    <rPh sb="0" eb="2">
      <t>ゾクセイ</t>
    </rPh>
    <rPh sb="2" eb="4">
      <t>テイギ</t>
    </rPh>
    <phoneticPr fontId="77"/>
  </si>
  <si>
    <t>コメント</t>
    <phoneticPr fontId="77"/>
  </si>
  <si>
    <t>A/U/D</t>
  </si>
  <si>
    <t>親番</t>
    <rPh sb="0" eb="1">
      <t>オヤ</t>
    </rPh>
    <rPh sb="1" eb="2">
      <t>バン</t>
    </rPh>
    <phoneticPr fontId="77"/>
  </si>
  <si>
    <t>枝番</t>
    <rPh sb="0" eb="1">
      <t>エダ</t>
    </rPh>
    <rPh sb="1" eb="2">
      <t>バン</t>
    </rPh>
    <phoneticPr fontId="77"/>
  </si>
  <si>
    <t>項目名称</t>
  </si>
  <si>
    <t>物理名称</t>
  </si>
  <si>
    <t>ドメイン名</t>
    <rPh sb="4" eb="5">
      <t>メイ</t>
    </rPh>
    <phoneticPr fontId="77"/>
  </si>
  <si>
    <t>桁数</t>
    <rPh sb="0" eb="2">
      <t>ケタスウ</t>
    </rPh>
    <phoneticPr fontId="77"/>
  </si>
  <si>
    <t>小数点
桁数</t>
    <rPh sb="0" eb="3">
      <t>ショウスウテン</t>
    </rPh>
    <rPh sb="4" eb="6">
      <t>ケタスウ</t>
    </rPh>
    <phoneticPr fontId="77"/>
  </si>
  <si>
    <t>DFLT</t>
    <phoneticPr fontId="77"/>
  </si>
  <si>
    <t>TYPE</t>
    <phoneticPr fontId="77"/>
  </si>
  <si>
    <t>PK</t>
    <phoneticPr fontId="77"/>
  </si>
  <si>
    <t>FK</t>
    <phoneticPr fontId="77"/>
  </si>
  <si>
    <t>NOT 
NULL
制約</t>
    <rPh sb="10" eb="12">
      <t>セイヤク</t>
    </rPh>
    <phoneticPr fontId="77"/>
  </si>
  <si>
    <t>説明</t>
  </si>
  <si>
    <t>備考</t>
    <rPh sb="0" eb="2">
      <t>ビコウ</t>
    </rPh>
    <phoneticPr fontId="44"/>
  </si>
  <si>
    <t>＜共通項目＞</t>
    <rPh sb="1" eb="3">
      <t>キョウツウ</t>
    </rPh>
    <rPh sb="3" eb="5">
      <t>コウモク</t>
    </rPh>
    <phoneticPr fontId="44"/>
  </si>
  <si>
    <t>帳票番号</t>
    <rPh sb="0" eb="2">
      <t>チョウヒョウ</t>
    </rPh>
    <rPh sb="2" eb="4">
      <t>バンゴウ</t>
    </rPh>
    <phoneticPr fontId="44"/>
  </si>
  <si>
    <t>chohyo_no</t>
    <phoneticPr fontId="44"/>
  </si>
  <si>
    <t>NUMBER</t>
    <phoneticPr fontId="44"/>
  </si>
  <si>
    <t>行連番</t>
    <rPh sb="0" eb="1">
      <t>ギョウ</t>
    </rPh>
    <rPh sb="1" eb="3">
      <t>レンバン</t>
    </rPh>
    <phoneticPr fontId="44"/>
  </si>
  <si>
    <t>gyo_no</t>
    <phoneticPr fontId="44"/>
  </si>
  <si>
    <t>登録日時</t>
    <rPh sb="0" eb="2">
      <t>トウロク</t>
    </rPh>
    <rPh sb="2" eb="4">
      <t>ニチジ</t>
    </rPh>
    <phoneticPr fontId="44"/>
  </si>
  <si>
    <t>ent_date</t>
    <phoneticPr fontId="44"/>
  </si>
  <si>
    <t>DATE</t>
    <phoneticPr fontId="44"/>
  </si>
  <si>
    <t>登録ユーザー</t>
    <rPh sb="0" eb="2">
      <t>トウロク</t>
    </rPh>
    <phoneticPr fontId="44"/>
  </si>
  <si>
    <t>ent_user</t>
    <phoneticPr fontId="44"/>
  </si>
  <si>
    <t>CHAR</t>
  </si>
  <si>
    <t>配布用表示キー</t>
    <rPh sb="0" eb="2">
      <t>ハイフ</t>
    </rPh>
    <rPh sb="2" eb="3">
      <t>ヨウ</t>
    </rPh>
    <rPh sb="3" eb="5">
      <t>ヒョウジ</t>
    </rPh>
    <phoneticPr fontId="44"/>
  </si>
  <si>
    <t>haifu_hyoji_key</t>
    <phoneticPr fontId="44"/>
  </si>
  <si>
    <t>VARCHAR2</t>
  </si>
  <si>
    <t>＜セット帳票情報＞</t>
    <rPh sb="4" eb="6">
      <t>チョウヒョウ</t>
    </rPh>
    <rPh sb="6" eb="8">
      <t>ジョウホウ</t>
    </rPh>
    <phoneticPr fontId="44"/>
  </si>
  <si>
    <t>出力順序</t>
    <phoneticPr fontId="44"/>
  </si>
  <si>
    <t>shtsryk_junjo</t>
    <phoneticPr fontId="44"/>
  </si>
  <si>
    <t>NUMBER</t>
  </si>
  <si>
    <t>セット帳票固有項目（帳票の出力順序の指定）</t>
    <phoneticPr fontId="44"/>
  </si>
  <si>
    <t>SVFフォームファイルには、項目として保持しない</t>
    <phoneticPr fontId="44"/>
  </si>
  <si>
    <t>＜通数情報＞</t>
    <rPh sb="1" eb="2">
      <t>ツウ</t>
    </rPh>
    <rPh sb="2" eb="3">
      <t>スウ</t>
    </rPh>
    <rPh sb="3" eb="5">
      <t>ジョウホウ</t>
    </rPh>
    <phoneticPr fontId="44"/>
  </si>
  <si>
    <t>通数</t>
    <phoneticPr fontId="44"/>
  </si>
  <si>
    <t>tsusu</t>
    <phoneticPr fontId="44"/>
  </si>
  <si>
    <t>キーブレイク項目</t>
    <phoneticPr fontId="44"/>
  </si>
  <si>
    <t>※マスク項目</t>
    <phoneticPr fontId="44"/>
  </si>
  <si>
    <t>＜任意設定項目＞</t>
    <rPh sb="1" eb="3">
      <t>ニンイ</t>
    </rPh>
    <rPh sb="3" eb="5">
      <t>セッテイ</t>
    </rPh>
    <rPh sb="5" eb="7">
      <t>コウモク</t>
    </rPh>
    <phoneticPr fontId="44"/>
  </si>
  <si>
    <t>請求先親番</t>
    <rPh sb="0" eb="2">
      <t>セイキュウ</t>
    </rPh>
    <rPh sb="2" eb="3">
      <t>サキ</t>
    </rPh>
    <rPh sb="3" eb="4">
      <t>オヤ</t>
    </rPh>
    <rPh sb="4" eb="5">
      <t>バン</t>
    </rPh>
    <phoneticPr fontId="44"/>
  </si>
  <si>
    <t>skyusaki_oyano</t>
    <phoneticPr fontId="44"/>
  </si>
  <si>
    <t>請求先枝番</t>
    <rPh sb="0" eb="2">
      <t>セイキュウ</t>
    </rPh>
    <rPh sb="2" eb="3">
      <t>サキ</t>
    </rPh>
    <rPh sb="3" eb="4">
      <t>エダ</t>
    </rPh>
    <rPh sb="4" eb="5">
      <t>バン</t>
    </rPh>
    <phoneticPr fontId="44"/>
  </si>
  <si>
    <t>skyusaki_edano</t>
    <phoneticPr fontId="44"/>
  </si>
  <si>
    <t>請求先１</t>
    <phoneticPr fontId="44"/>
  </si>
  <si>
    <t>skyusaki_nm_1</t>
    <phoneticPr fontId="44"/>
  </si>
  <si>
    <t>請求先２</t>
    <phoneticPr fontId="44"/>
  </si>
  <si>
    <t>skyusaki_nm_2</t>
    <phoneticPr fontId="44"/>
  </si>
  <si>
    <t>料金タイトル</t>
    <phoneticPr fontId="44"/>
  </si>
  <si>
    <t>ryoukin_title</t>
    <phoneticPr fontId="44"/>
  </si>
  <si>
    <t>＜明細部＞</t>
    <rPh sb="1" eb="3">
      <t>メイサイ</t>
    </rPh>
    <rPh sb="3" eb="4">
      <t>ブ</t>
    </rPh>
    <phoneticPr fontId="44"/>
  </si>
  <si>
    <t>回数FROM</t>
    <phoneticPr fontId="44"/>
  </si>
  <si>
    <t>kaisu_from</t>
    <phoneticPr fontId="44"/>
  </si>
  <si>
    <t>回数TO</t>
    <phoneticPr fontId="44"/>
  </si>
  <si>
    <t>kaisu_to</t>
    <phoneticPr fontId="44"/>
  </si>
  <si>
    <t>支払文言１</t>
    <phoneticPr fontId="44"/>
  </si>
  <si>
    <t>sharai_mongon1</t>
    <phoneticPr fontId="44"/>
  </si>
  <si>
    <t>支払文言２</t>
    <phoneticPr fontId="44"/>
  </si>
  <si>
    <t>sharai_mongon2</t>
    <phoneticPr fontId="44"/>
  </si>
  <si>
    <t>支払文言３</t>
    <phoneticPr fontId="44"/>
  </si>
  <si>
    <t>sharai_mongon3</t>
    <phoneticPr fontId="44"/>
  </si>
  <si>
    <t>支払文言４</t>
    <phoneticPr fontId="44"/>
  </si>
  <si>
    <t>sharai_mongon4</t>
    <phoneticPr fontId="44"/>
  </si>
  <si>
    <t>支払文言５</t>
    <phoneticPr fontId="44"/>
  </si>
  <si>
    <t>sharai_mongon5</t>
    <phoneticPr fontId="44"/>
  </si>
  <si>
    <t>リース料タイトル</t>
    <phoneticPr fontId="44"/>
  </si>
  <si>
    <t>ls_amt_title</t>
    <phoneticPr fontId="44"/>
  </si>
  <si>
    <t>保守料タイトル</t>
    <phoneticPr fontId="44"/>
  </si>
  <si>
    <t>hoshu_amt_title</t>
    <phoneticPr fontId="44"/>
  </si>
  <si>
    <t>保守料消費税タイトル</t>
    <rPh sb="3" eb="6">
      <t>ショウヒゼイ</t>
    </rPh>
    <phoneticPr fontId="44"/>
  </si>
  <si>
    <t>hoshu_amt_szei_title</t>
    <phoneticPr fontId="44"/>
  </si>
  <si>
    <t>リース料</t>
    <phoneticPr fontId="44"/>
  </si>
  <si>
    <t>ls_amt</t>
    <phoneticPr fontId="44"/>
  </si>
  <si>
    <t>リース料消費税額等</t>
    <phoneticPr fontId="44"/>
  </si>
  <si>
    <t>ls_amt_szei</t>
    <phoneticPr fontId="44"/>
  </si>
  <si>
    <t>保守料</t>
    <phoneticPr fontId="44"/>
  </si>
  <si>
    <t>hoshu_amt</t>
    <phoneticPr fontId="44"/>
  </si>
  <si>
    <t>保守料消費税額等</t>
    <rPh sb="0" eb="2">
      <t>ホシュ</t>
    </rPh>
    <phoneticPr fontId="44"/>
  </si>
  <si>
    <t>hoshu_amt_szei</t>
    <phoneticPr fontId="44"/>
  </si>
  <si>
    <t>お支払金額</t>
    <phoneticPr fontId="44"/>
  </si>
  <si>
    <t>sharai_amt</t>
    <phoneticPr fontId="44"/>
  </si>
  <si>
    <t>お支払金額消費税額等</t>
    <phoneticPr fontId="44"/>
  </si>
  <si>
    <t>sharai_amt_szei</t>
    <phoneticPr fontId="44"/>
  </si>
  <si>
    <t>管理番号</t>
    <rPh sb="0" eb="2">
      <t>カンリ</t>
    </rPh>
    <rPh sb="2" eb="4">
      <t>バンゴウ</t>
    </rPh>
    <phoneticPr fontId="44"/>
  </si>
  <si>
    <t>kanri_no</t>
    <phoneticPr fontId="44"/>
  </si>
  <si>
    <t>ドラフトイメージファイル</t>
    <phoneticPr fontId="44"/>
  </si>
  <si>
    <t>draft_image_file</t>
    <phoneticPr fontId="44"/>
  </si>
  <si>
    <t>C</t>
  </si>
  <si>
    <t>契約管理</t>
  </si>
  <si>
    <t>C02003R091</t>
  </si>
  <si>
    <t>020</t>
  </si>
  <si>
    <t>成約実行(リース/割賦)</t>
  </si>
  <si>
    <t>お支払明細書</t>
    <phoneticPr fontId="8"/>
  </si>
  <si>
    <t>SFinX</t>
    <phoneticPr fontId="2"/>
  </si>
  <si>
    <t>I4</t>
    <phoneticPr fontId="2"/>
  </si>
  <si>
    <t>V4</t>
    <phoneticPr fontId="2"/>
  </si>
  <si>
    <t>AB</t>
    <phoneticPr fontId="2"/>
  </si>
  <si>
    <t>CN</t>
    <phoneticPr fontId="2"/>
  </si>
  <si>
    <t>haifu_hyoji_key</t>
    <phoneticPr fontId="2"/>
  </si>
  <si>
    <t>物理名称</t>
    <phoneticPr fontId="2"/>
  </si>
  <si>
    <t>項目名称</t>
    <phoneticPr fontId="2"/>
  </si>
  <si>
    <t>PK</t>
    <phoneticPr fontId="2"/>
  </si>
  <si>
    <t>DFLT</t>
    <phoneticPr fontId="2"/>
  </si>
  <si>
    <t>TYPE</t>
    <phoneticPr fontId="2"/>
  </si>
  <si>
    <t>桁数</t>
    <rPh sb="0" eb="2">
      <t>ケタスウ</t>
    </rPh>
    <phoneticPr fontId="2"/>
  </si>
  <si>
    <t>NOT 
NULL
制約</t>
    <phoneticPr fontId="2"/>
  </si>
  <si>
    <t>A2</t>
    <phoneticPr fontId="2"/>
  </si>
  <si>
    <t>帳票詳細設計書(テーブル定義書)</t>
    <phoneticPr fontId="2"/>
  </si>
  <si>
    <t>row_title</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</si>
</sst>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6" formatCode="&quot;¥&quot;#,##0;[Red]&quot;¥&quot;\-#,##0"/>
    <numFmt numFmtId="8" formatCode="&quot;¥&quot;#,##0.00;[Red]&quot;¥&quot;\-#,##0.00"/>
    <numFmt numFmtId="41" formatCode="_ * #,##0_ ;_ * \-#,##0_ ;_ * &quot;-&quot;_ ;_ @_ "/>
    <numFmt numFmtId="43" formatCode="_ * #,##0.00_ ;_ * \-#,##0.00_ ;_ * &quot;-&quot;??_ ;_ @_ "/>
    <numFmt numFmtId="176" formatCode="&quot;第&quot;0&quot;版&quot;"/>
    <numFmt numFmtId="177" formatCode="#,##0_ "/>
    <numFmt numFmtId="178" formatCode="0_ "/>
    <numFmt numFmtId="179" formatCode="_(&quot;$&quot;* #,##0_);_(&quot;$&quot;* \(#,##0\);_(&quot;$&quot;* &quot;-&quot;_);_(@_)"/>
    <numFmt numFmtId="180" formatCode="_(&quot;$&quot;* #,##0.00_);_(&quot;$&quot;* \(#,##0.00\);_(&quot;$&quot;* &quot;-&quot;??_);_(@_)"/>
    <numFmt numFmtId="181" formatCode="0%;\(0%\)"/>
    <numFmt numFmtId="182" formatCode="0.0%"/>
    <numFmt numFmtId="183" formatCode="?"/>
    <numFmt numFmtId="184" formatCode=";;;"/>
    <numFmt numFmtId="185" formatCode="&quot;$&quot;#,##0_);\(&quot;$&quot;#,##0\)"/>
    <numFmt numFmtId="186" formatCode="#,##0.0;[Red]\-#,##0.0"/>
    <numFmt numFmtId="187" formatCode="#,##0;\-#,##0;&quot;-&quot;"/>
    <numFmt numFmtId="188" formatCode="0_);\(0\)"/>
    <numFmt numFmtId="189" formatCode="General_)"/>
    <numFmt numFmtId="190" formatCode="&quot;¥&quot;&quot;¥&quot;&quot;¥&quot;&quot;¥&quot;&quot;¥&quot;&quot;¥&quot;&quot;¥&quot;\$#,##0_);[Red]&quot;¥&quot;&quot;¥&quot;&quot;¥&quot;&quot;¥&quot;&quot;¥&quot;&quot;¥&quot;&quot;¥&quot;\(&quot;¥&quot;&quot;¥&quot;&quot;¥&quot;&quot;¥&quot;&quot;¥&quot;&quot;¥&quot;&quot;¥&quot;\$#,##0&quot;¥&quot;&quot;¥&quot;&quot;¥&quot;&quot;¥&quot;&quot;¥&quot;&quot;¥&quot;&quot;¥&quot;\)"/>
    <numFmt numFmtId="191" formatCode="#,##0.0_);\(#,##0.0\)"/>
    <numFmt numFmtId="192" formatCode="_-* #,##0.0_-;\-* #,##0.0_-;_-* &quot;-&quot;??_-;_-@_-"/>
    <numFmt numFmtId="193" formatCode="&quot;$&quot;#,##0_);[Red]\(&quot;$&quot;#,##0\)"/>
    <numFmt numFmtId="194" formatCode="&quot;$&quot;#,##0.00_);\(&quot;$&quot;#,##0.00\)"/>
    <numFmt numFmtId="195" formatCode="_ * #,##0_ ;_ * &quot;¥&quot;&quot;¥&quot;&quot;¥&quot;&quot;¥&quot;&quot;¥&quot;&quot;¥&quot;\-#,##0_ ;_ * &quot;-&quot;_ ;_ @_ "/>
    <numFmt numFmtId="196" formatCode="_ * #,##0.00_ ;_ * &quot;¥&quot;&quot;¥&quot;&quot;¥&quot;&quot;¥&quot;&quot;¥&quot;&quot;¥&quot;\-#,##0.00_ ;_ * &quot;-&quot;??_ ;_ @_ "/>
    <numFmt numFmtId="197" formatCode="_(&quot;$&quot;* #,##0.0_);_(&quot;$&quot;* \(#,##0.0\);_(&quot;$&quot;* &quot;-&quot;??_);_(@_)"/>
    <numFmt numFmtId="198" formatCode="d\.m\.yy"/>
    <numFmt numFmtId="199" formatCode="d\.mmm"/>
    <numFmt numFmtId="200" formatCode="dd"/>
    <numFmt numFmtId="201" formatCode="&quot;$&quot;#,##0.00_);[Red]\(&quot;$&quot;#,##0.00\)"/>
    <numFmt numFmtId="202" formatCode="&quot;¥&quot;#,##0.00;[Red]&quot;¥&quot;&quot;¥&quot;&quot;¥&quot;\-#,##0.00"/>
    <numFmt numFmtId="203" formatCode="#,##0.00&quot; F&quot;_);\(#,##0.00&quot; F&quot;\)"/>
    <numFmt numFmtId="204" formatCode="#,##0&quot; $&quot;;\-#,##0&quot; $&quot;"/>
    <numFmt numFmtId="205" formatCode="yy/m/d"/>
    <numFmt numFmtId="206" formatCode="#,##0_ ;[Red]\-#,##0\ "/>
    <numFmt numFmtId="207" formatCode="0;0;"/>
    <numFmt numFmtId="208" formatCode="#,##0.0&quot;人月&quot;"/>
    <numFmt numFmtId="209" formatCode="0_ ;[Red]\-0\ "/>
    <numFmt numFmtId="210" formatCode="#,##0.00_ ;[Red]\-#,##0.00\ "/>
    <numFmt numFmtId="211" formatCode="0.00000_ "/>
    <numFmt numFmtId="212" formatCode="0_);[Red]\(0\)"/>
    <numFmt numFmtId="213" formatCode="General;General;"/>
    <numFmt numFmtId="214" formatCode="00"/>
  </numFmts>
  <fonts count="106">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color theme="1"/>
      <name val="Meiryo UI"/>
      <family val="3"/>
      <charset val="128"/>
    </font>
    <font>
      <sz val="11"/>
      <color rgb="FF000000"/>
      <name val="Meiryo UI"/>
      <family val="3"/>
      <charset val="128"/>
    </font>
    <font>
      <sz val="11"/>
      <color theme="1"/>
      <name val="ＭＳ Ｐゴシック"/>
      <family val="3"/>
      <charset val="128"/>
      <scheme val="minor"/>
    </font>
    <font>
      <sz val="11"/>
      <name val="ＭＳ Ｐゴシック"/>
      <family val="3"/>
      <charset val="128"/>
    </font>
    <font>
      <sz val="10"/>
      <name val="ＭＳ Ｐゴシック"/>
      <family val="3"/>
      <charset val="128"/>
      <scheme val="major"/>
    </font>
    <font>
      <sz val="6"/>
      <name val="ＭＳ Ｐゴシック"/>
      <family val="3"/>
      <charset val="128"/>
      <scheme val="minor"/>
    </font>
    <font>
      <sz val="9"/>
      <name val="ＭＳ Ｐゴシック"/>
      <family val="3"/>
      <charset val="128"/>
      <scheme val="major"/>
    </font>
    <font>
      <sz val="11"/>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9"/>
      <color theme="0"/>
      <name val="ＭＳ Ｐゴシック"/>
      <family val="3"/>
      <charset val="128"/>
      <scheme val="major"/>
    </font>
    <font>
      <sz val="11"/>
      <name val="ＭＳ ゴシック"/>
      <family val="3"/>
      <charset val="128"/>
    </font>
    <font>
      <sz val="10"/>
      <color indexed="8"/>
      <name val="MS Sans Serif"/>
      <family val="2"/>
    </font>
    <font>
      <sz val="10"/>
      <name val="Arial"/>
      <family val="2"/>
    </font>
    <font>
      <sz val="10"/>
      <name val="Helv"/>
      <family val="2"/>
    </font>
    <font>
      <sz val="13"/>
      <name val="Tms Rmn"/>
      <family val="1"/>
    </font>
    <font>
      <b/>
      <sz val="18"/>
      <color indexed="12"/>
      <name val="ＭＳ ゴシック"/>
      <family val="3"/>
      <charset val="128"/>
    </font>
    <font>
      <sz val="12"/>
      <name val="ＭＳ 明朝"/>
      <family val="1"/>
      <charset val="128"/>
    </font>
    <font>
      <sz val="11"/>
      <color indexed="8"/>
      <name val="ＭＳ Ｐゴシック"/>
      <family val="3"/>
      <charset val="128"/>
    </font>
    <font>
      <sz val="11"/>
      <color indexed="9"/>
      <name val="ＭＳ Ｐゴシック"/>
      <family val="3"/>
      <charset val="128"/>
    </font>
    <font>
      <sz val="10"/>
      <name val="ＭＳ ゴシック"/>
      <family val="3"/>
      <charset val="128"/>
    </font>
    <font>
      <sz val="10"/>
      <name val="中ゴシックＢＢＢ"/>
      <family val="3"/>
      <charset val="128"/>
    </font>
    <font>
      <sz val="9"/>
      <color indexed="27"/>
      <name val="明朝"/>
      <family val="1"/>
      <charset val="128"/>
    </font>
    <font>
      <sz val="10"/>
      <name val="ＭＳ Ｐ明朝"/>
      <family val="1"/>
      <charset val="128"/>
    </font>
    <font>
      <b/>
      <sz val="11"/>
      <name val="Arial"/>
      <family val="2"/>
    </font>
    <font>
      <b/>
      <sz val="10"/>
      <name val="MS Sans Serif"/>
      <family val="2"/>
    </font>
    <font>
      <sz val="10"/>
      <color indexed="8"/>
      <name val="Arial"/>
      <family val="2"/>
    </font>
    <font>
      <sz val="9"/>
      <name val="Helv"/>
      <family val="2"/>
    </font>
    <font>
      <b/>
      <sz val="10"/>
      <name val="Helv"/>
      <family val="2"/>
    </font>
    <font>
      <b/>
      <sz val="13"/>
      <name val="Tms Rmn"/>
      <family val="1"/>
    </font>
    <font>
      <b/>
      <sz val="12"/>
      <name val="Helv"/>
      <family val="2"/>
    </font>
    <font>
      <sz val="12"/>
      <name val="Helv"/>
      <family val="2"/>
    </font>
    <font>
      <sz val="10"/>
      <name val="MS Sans Serif"/>
      <family val="2"/>
    </font>
    <font>
      <sz val="10"/>
      <color indexed="0"/>
      <name val="MS Sans Serif"/>
      <family val="2"/>
    </font>
    <font>
      <sz val="12"/>
      <name val="ＭＳ ゴシック"/>
      <family val="3"/>
      <charset val="128"/>
    </font>
    <font>
      <sz val="11"/>
      <name val="ＭＳ Ｐ明朝"/>
      <family val="1"/>
      <charset val="128"/>
    </font>
    <font>
      <sz val="11"/>
      <name val="明朝"/>
      <family val="1"/>
      <charset val="128"/>
    </font>
    <font>
      <sz val="9"/>
      <name val="Times New Roman"/>
      <family val="1"/>
    </font>
    <font>
      <sz val="9"/>
      <name val="ＭＳ 明朝"/>
      <family val="1"/>
      <charset val="128"/>
    </font>
    <font>
      <sz val="10"/>
      <name val="Times New Roman"/>
      <family val="1"/>
    </font>
    <font>
      <sz val="8"/>
      <name val="Arial"/>
      <family val="2"/>
    </font>
    <font>
      <sz val="8"/>
      <name val="ＭＳ 明朝"/>
      <family val="1"/>
      <charset val="128"/>
    </font>
    <font>
      <b/>
      <sz val="12"/>
      <name val="Arial"/>
      <family val="2"/>
    </font>
    <font>
      <sz val="14"/>
      <name val="ＭＳ ゴシック"/>
      <family val="3"/>
      <charset val="128"/>
    </font>
    <font>
      <b/>
      <sz val="11"/>
      <name val="Helv"/>
      <family val="2"/>
    </font>
    <font>
      <sz val="8"/>
      <color indexed="16"/>
      <name val="Century Schoolbook"/>
      <family val="1"/>
    </font>
    <font>
      <b/>
      <i/>
      <sz val="10"/>
      <name val="Times New Roman"/>
      <family val="1"/>
    </font>
    <font>
      <b/>
      <sz val="9"/>
      <name val="Times New Roman"/>
      <family val="1"/>
    </font>
    <font>
      <sz val="11"/>
      <color indexed="48"/>
      <name val="ＭＳ Ｐゴシック"/>
      <family val="3"/>
      <charset val="128"/>
    </font>
    <font>
      <sz val="22"/>
      <name val="ＭＳ 明朝"/>
      <family val="1"/>
      <charset val="128"/>
    </font>
    <font>
      <b/>
      <sz val="18"/>
      <color indexed="62"/>
      <name val="ＭＳ Ｐゴシック"/>
      <family val="3"/>
      <charset val="128"/>
    </font>
    <font>
      <b/>
      <sz val="11"/>
      <color indexed="9"/>
      <name val="ＭＳ Ｐゴシック"/>
      <family val="3"/>
      <charset val="128"/>
    </font>
    <font>
      <sz val="12"/>
      <name val="中ゴシック体"/>
      <family val="3"/>
      <charset val="128"/>
    </font>
    <font>
      <sz val="9"/>
      <name val="ＭＳ Ｐゴシック"/>
      <family val="3"/>
      <charset val="128"/>
    </font>
    <font>
      <sz val="9"/>
      <name val="ＭＳ ゴシック"/>
      <family val="3"/>
      <charset val="128"/>
    </font>
    <font>
      <sz val="11"/>
      <color indexed="60"/>
      <name val="ＭＳ Ｐゴシック"/>
      <family val="3"/>
      <charset val="128"/>
    </font>
    <font>
      <sz val="10"/>
      <name val="ＭＳ Ｐゴシック"/>
      <family val="3"/>
      <charset val="128"/>
    </font>
    <font>
      <sz val="7"/>
      <name val="ＭＳ 明朝"/>
      <family val="1"/>
      <charset val="128"/>
    </font>
    <font>
      <sz val="11"/>
      <color indexed="52"/>
      <name val="ＭＳ Ｐゴシック"/>
      <family val="3"/>
      <charset val="128"/>
    </font>
    <font>
      <sz val="11"/>
      <color indexed="20"/>
      <name val="ＭＳ Ｐゴシック"/>
      <family val="3"/>
      <charset val="128"/>
    </font>
    <font>
      <sz val="10"/>
      <name val="ＭＳ 明朝"/>
      <family val="1"/>
      <charset val="128"/>
    </font>
    <font>
      <b/>
      <sz val="11"/>
      <color indexed="52"/>
      <name val="ＭＳ Ｐゴシック"/>
      <family val="3"/>
      <charset val="128"/>
    </font>
    <font>
      <sz val="11"/>
      <color indexed="10"/>
      <name val="ＭＳ Ｐゴシック"/>
      <family val="3"/>
      <charset val="128"/>
    </font>
    <font>
      <sz val="10"/>
      <name val="Geneva"/>
      <family val="2"/>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6"/>
      <name val="ＭＳ Ｐゴシック"/>
      <family val="3"/>
      <charset val="128"/>
    </font>
    <font>
      <sz val="9"/>
      <color indexed="1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b/>
      <i/>
      <sz val="14"/>
      <name val="中ゴシックＢＢＢ"/>
      <family val="3"/>
      <charset val="128"/>
    </font>
    <font>
      <sz val="11"/>
      <color indexed="62"/>
      <name val="ＭＳ Ｐゴシック"/>
      <family val="3"/>
      <charset val="128"/>
    </font>
    <font>
      <sz val="12"/>
      <name val="ＭＳ Ｐゴシック"/>
      <family val="3"/>
      <charset val="128"/>
    </font>
    <font>
      <sz val="11"/>
      <color theme="1"/>
      <name val="ＭＳ Ｐゴシック"/>
      <family val="2"/>
      <scheme val="minor"/>
    </font>
    <font>
      <sz val="8"/>
      <color indexed="8"/>
      <name val="HGSｺﾞｼｯｸM"/>
      <family val="3"/>
      <charset val="128"/>
    </font>
    <font>
      <sz val="11"/>
      <name val="ＭＳ 明朝"/>
      <family val="1"/>
      <charset val="128"/>
    </font>
    <font>
      <sz val="10"/>
      <name val="中ゴシック体"/>
      <family val="3"/>
      <charset val="128"/>
    </font>
    <font>
      <u/>
      <sz val="11"/>
      <color indexed="36"/>
      <name val="ＭＳ Ｐゴシック"/>
      <family val="3"/>
      <charset val="128"/>
    </font>
    <font>
      <u/>
      <sz val="8.25"/>
      <color indexed="36"/>
      <name val="ＭＳ Ｐゴシック"/>
      <family val="3"/>
      <charset val="128"/>
    </font>
    <font>
      <sz val="14"/>
      <name val="ＭＳ 明朝"/>
      <family val="1"/>
      <charset val="128"/>
    </font>
    <font>
      <b/>
      <i/>
      <sz val="11"/>
      <name val="ＭＳ Ｐゴシック"/>
      <family val="3"/>
      <charset val="128"/>
    </font>
    <font>
      <sz val="11"/>
      <color indexed="17"/>
      <name val="ＭＳ Ｐゴシック"/>
      <family val="3"/>
      <charset val="128"/>
    </font>
    <font>
      <sz val="11"/>
      <name val="Meiryo UI"/>
      <family val="3"/>
      <charset val="128"/>
    </font>
    <font>
      <sz val="11"/>
      <color rgb="FFFF0000"/>
      <name val="ＭＳ Ｐゴシック"/>
      <family val="3"/>
      <charset val="128"/>
      <scheme val="minor"/>
    </font>
    <font>
      <sz val="11"/>
      <color rgb="FFFF0000"/>
      <name val="Meiryo UI"/>
      <family val="3"/>
      <charset val="128"/>
    </font>
    <font>
      <sz val="9"/>
      <color indexed="52"/>
      <name val="ＭＳ Ｐゴシック"/>
      <family val="3"/>
      <charset val="128"/>
      <scheme val="major"/>
    </font>
    <font>
      <sz val="10"/>
      <color rgb="FFFF0000"/>
      <name val="ＭＳ Ｐゴシック"/>
      <family val="3"/>
      <charset val="128"/>
      <scheme val="major"/>
    </font>
    <font>
      <b/>
      <sz val="10"/>
      <name val="Arial"/>
      <family val="2"/>
    </font>
    <font>
      <b/>
      <sz val="14"/>
      <name val="Arial"/>
      <family val="2"/>
    </font>
    <font>
      <sz val="20"/>
      <name val="HP Logo LG"/>
      <family val="2"/>
    </font>
    <font>
      <b/>
      <sz val="10"/>
      <color indexed="12"/>
      <name val="Times New Roman"/>
      <family val="1"/>
    </font>
    <font>
      <sz val="10"/>
      <color indexed="12"/>
      <name val="Arial"/>
      <family val="2"/>
    </font>
    <font>
      <b/>
      <sz val="8"/>
      <name val="Arial"/>
      <family val="2"/>
    </font>
    <font>
      <u/>
      <sz val="11"/>
      <name val="Meiryo UI"/>
      <family val="3"/>
      <charset val="128"/>
    </font>
    <font>
      <sz val="11"/>
      <name val="ＭＳ Ｐゴシック"/>
      <family val="3"/>
      <charset val="128"/>
      <scheme val="minor"/>
    </font>
    <font>
      <b/>
      <sz val="11"/>
      <name val="ＭＳ Ｐゴシック"/>
      <family val="3"/>
      <charset val="128"/>
      <scheme val="minor"/>
    </font>
    <font>
      <b/>
      <sz val="11"/>
      <color theme="1"/>
      <name val="ＭＳ Ｐゴシック"/>
      <family val="3"/>
      <charset val="128"/>
      <scheme val="minor"/>
    </font>
    <font>
      <sz val="11"/>
      <color theme="0"/>
      <name val="ＭＳ Ｐゴシック"/>
      <family val="3"/>
      <charset val="128"/>
      <scheme val="minor"/>
    </font>
    <font>
      <sz val="9"/>
      <color theme="1"/>
      <name val="Meiryo UI"/>
      <family val="3"/>
      <charset val="128"/>
    </font>
    <font>
      <b/>
      <sz val="10"/>
      <name val="ＭＳ ゴシック"/>
      <family val="3"/>
      <charset val="128"/>
    </font>
    <font>
      <sz val="12"/>
      <name val="ＭＳ "/>
      <family val="3"/>
      <charset val="128"/>
    </font>
  </fonts>
  <fills count="36">
    <fill>
      <patternFill patternType="none"/>
    </fill>
    <fill>
      <patternFill patternType="gray125"/>
    </fill>
    <fill>
      <patternFill patternType="solid">
        <fgColor rgb="FFFFFF99"/>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mediumGray">
        <fgColor indexed="8"/>
        <bgColor indexed="37"/>
      </patternFill>
    </fill>
    <fill>
      <patternFill patternType="solid">
        <fgColor indexed="22"/>
        <bgColor indexed="64"/>
      </patternFill>
    </fill>
    <fill>
      <patternFill patternType="solid">
        <fgColor indexed="26"/>
        <bgColor indexed="64"/>
      </patternFill>
    </fill>
    <fill>
      <patternFill patternType="solid">
        <fgColor indexed="15"/>
        <bgColor indexed="64"/>
      </patternFill>
    </fill>
    <fill>
      <patternFill patternType="mediumGray">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10"/>
        <bgColor indexed="64"/>
      </patternFill>
    </fill>
    <fill>
      <patternFill patternType="solid">
        <fgColor indexed="55"/>
      </patternFill>
    </fill>
    <fill>
      <patternFill patternType="solid">
        <fgColor indexed="43"/>
        <bgColor indexed="64"/>
      </patternFill>
    </fill>
    <fill>
      <patternFill patternType="solid">
        <fgColor indexed="45"/>
      </patternFill>
    </fill>
    <fill>
      <patternFill patternType="solid">
        <fgColor indexed="9"/>
        <bgColor indexed="64"/>
      </patternFill>
    </fill>
    <fill>
      <patternFill patternType="lightGray"/>
    </fill>
    <fill>
      <patternFill patternType="solid">
        <fgColor indexed="42"/>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4"/>
        <bgColor indexed="64"/>
      </patternFill>
    </fill>
    <fill>
      <patternFill patternType="solid">
        <fgColor rgb="FF99CCFF"/>
        <bgColor indexed="64"/>
      </patternFill>
    </fill>
    <fill>
      <patternFill patternType="solid">
        <fgColor indexed="42"/>
        <bgColor indexed="42"/>
      </patternFill>
    </fill>
    <fill>
      <patternFill patternType="solid">
        <fgColor indexed="22"/>
        <bgColor indexed="22"/>
      </patternFill>
    </fill>
  </fills>
  <borders count="60">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top/>
      <bottom style="thick">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s>
  <cellStyleXfs count="351">
    <xf numFmtId="0" fontId="0"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9" fontId="14" fillId="0" borderId="0" applyFont="0" applyFill="0" applyBorder="0" applyAlignment="0" applyProtection="0"/>
    <xf numFmtId="0" fontId="15" fillId="0" borderId="0"/>
    <xf numFmtId="179" fontId="16" fillId="0" borderId="0" applyFont="0" applyFill="0" applyBorder="0" applyAlignment="0" applyProtection="0"/>
    <xf numFmtId="18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xf numFmtId="0" fontId="17" fillId="0" borderId="0"/>
    <xf numFmtId="0" fontId="17" fillId="0" borderId="0"/>
    <xf numFmtId="181" fontId="18" fillId="0" borderId="0" applyFont="0" applyFill="0" applyBorder="0" applyAlignment="0" applyProtection="0"/>
    <xf numFmtId="0" fontId="6" fillId="0" borderId="0"/>
    <xf numFmtId="182" fontId="18" fillId="0" borderId="0" applyFont="0" applyFill="0" applyBorder="0" applyAlignment="0" applyProtection="0"/>
    <xf numFmtId="10" fontId="18" fillId="0" borderId="0" applyFont="0" applyFill="0" applyBorder="0" applyAlignment="0" applyProtection="0"/>
    <xf numFmtId="183" fontId="19" fillId="0" borderId="9">
      <alignment horizontal="right"/>
    </xf>
    <xf numFmtId="183" fontId="19" fillId="0" borderId="9">
      <alignment horizontal="right"/>
    </xf>
    <xf numFmtId="0" fontId="20" fillId="0" borderId="17" applyNumberFormat="0" applyFont="0" applyFill="0" applyAlignment="0" applyProtection="0"/>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6" borderId="0" applyNumberFormat="0" applyBorder="0" applyAlignment="0" applyProtection="0">
      <alignment vertical="center"/>
    </xf>
    <xf numFmtId="0" fontId="21" fillId="4"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7" borderId="0" applyNumberFormat="0" applyBorder="0" applyAlignment="0" applyProtection="0">
      <alignment vertical="center"/>
    </xf>
    <xf numFmtId="0" fontId="21" fillId="10" borderId="0" applyNumberFormat="0" applyBorder="0" applyAlignment="0" applyProtection="0">
      <alignment vertical="center"/>
    </xf>
    <xf numFmtId="0" fontId="21" fillId="4" borderId="0" applyNumberFormat="0" applyBorder="0" applyAlignment="0" applyProtection="0">
      <alignment vertical="center"/>
    </xf>
    <xf numFmtId="0" fontId="22" fillId="11"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7" borderId="0" applyNumberFormat="0" applyBorder="0" applyAlignment="0" applyProtection="0">
      <alignment vertical="center"/>
    </xf>
    <xf numFmtId="0" fontId="22" fillId="11" borderId="0" applyNumberFormat="0" applyBorder="0" applyAlignment="0" applyProtection="0">
      <alignment vertical="center"/>
    </xf>
    <xf numFmtId="0" fontId="22" fillId="4" borderId="0" applyNumberFormat="0" applyBorder="0" applyAlignment="0" applyProtection="0">
      <alignment vertical="center"/>
    </xf>
    <xf numFmtId="0" fontId="23" fillId="0" borderId="0"/>
    <xf numFmtId="0" fontId="24" fillId="0" borderId="0"/>
    <xf numFmtId="4" fontId="25" fillId="12" borderId="0" applyNumberFormat="0" applyBorder="0" applyAlignment="0" applyProtection="0">
      <alignment horizontal="left"/>
    </xf>
    <xf numFmtId="0" fontId="26" fillId="0" borderId="0">
      <alignment vertical="center" wrapText="1"/>
    </xf>
    <xf numFmtId="184" fontId="27" fillId="0" borderId="0" applyFont="0" applyFill="0" applyBorder="0" applyAlignment="0" applyProtection="0">
      <alignment horizontal="right"/>
    </xf>
    <xf numFmtId="185" fontId="28" fillId="0" borderId="8" applyAlignment="0" applyProtection="0"/>
    <xf numFmtId="185" fontId="28" fillId="0" borderId="8" applyAlignment="0" applyProtection="0"/>
    <xf numFmtId="185" fontId="28" fillId="0" borderId="8" applyAlignment="0" applyProtection="0"/>
    <xf numFmtId="185" fontId="28" fillId="0" borderId="8" applyAlignment="0" applyProtection="0"/>
    <xf numFmtId="186" fontId="6" fillId="0" borderId="0" applyFill="0" applyBorder="0" applyAlignment="0"/>
    <xf numFmtId="186" fontId="6" fillId="0" borderId="0" applyFill="0" applyBorder="0" applyAlignment="0"/>
    <xf numFmtId="187" fontId="29"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0" fontId="16"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31" fillId="0" borderId="0"/>
    <xf numFmtId="0" fontId="32" fillId="0" borderId="14" applyNumberFormat="0" applyFill="0" applyProtection="0">
      <alignment horizontal="center"/>
    </xf>
    <xf numFmtId="189" fontId="33"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38" fontId="35" fillId="0" borderId="0" applyFont="0" applyFill="0" applyBorder="0" applyAlignment="0" applyProtection="0"/>
    <xf numFmtId="20" fontId="6" fillId="0" borderId="0" applyFont="0" applyFill="0" applyBorder="0" applyAlignment="0" applyProtection="0"/>
    <xf numFmtId="190" fontId="14" fillId="0" borderId="0"/>
    <xf numFmtId="37" fontId="18" fillId="0" borderId="0" applyFont="0" applyFill="0" applyBorder="0" applyAlignment="0" applyProtection="0"/>
    <xf numFmtId="191" fontId="18" fillId="0" borderId="0" applyFont="0" applyFill="0" applyBorder="0" applyAlignment="0" applyProtection="0"/>
    <xf numFmtId="39" fontId="18" fillId="0" borderId="0" applyFont="0" applyFill="0" applyBorder="0" applyAlignment="0" applyProtection="0"/>
    <xf numFmtId="192" fontId="16" fillId="0" borderId="0" applyFont="0" applyFill="0" applyBorder="0" applyAlignment="0" applyProtection="0"/>
    <xf numFmtId="0" fontId="36" fillId="0" borderId="0" applyNumberFormat="0" applyFill="0" applyBorder="0" applyAlignment="0" applyProtection="0"/>
    <xf numFmtId="0" fontId="37" fillId="0" borderId="0" applyNumberFormat="0" applyFont="0" applyBorder="0" applyAlignment="0" applyProtection="0"/>
    <xf numFmtId="193" fontId="35" fillId="0" borderId="0" applyFont="0" applyFill="0" applyBorder="0" applyAlignment="0" applyProtection="0"/>
    <xf numFmtId="188" fontId="30" fillId="0" borderId="0" applyFont="0" applyFill="0" applyBorder="0" applyAlignment="0" applyProtection="0"/>
    <xf numFmtId="185" fontId="18" fillId="0" borderId="0" applyFont="0" applyFill="0" applyBorder="0" applyAlignment="0" applyProtection="0"/>
    <xf numFmtId="194" fontId="18" fillId="0" borderId="0" applyFont="0" applyFill="0" applyBorder="0" applyAlignment="0" applyProtection="0"/>
    <xf numFmtId="0" fontId="16" fillId="0" borderId="0" applyFont="0" applyFill="0" applyBorder="0" applyAlignment="0" applyProtection="0"/>
    <xf numFmtId="0" fontId="36" fillId="0" borderId="0" applyNumberFormat="0" applyFill="0" applyBorder="0" applyAlignment="0" applyProtection="0"/>
    <xf numFmtId="195" fontId="14" fillId="0" borderId="0"/>
    <xf numFmtId="14" fontId="29" fillId="0" borderId="0" applyFill="0" applyBorder="0" applyAlignment="0"/>
    <xf numFmtId="0" fontId="38" fillId="0" borderId="0"/>
    <xf numFmtId="0" fontId="39" fillId="0" borderId="0"/>
    <xf numFmtId="196" fontId="14" fillId="0" borderId="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40" fillId="0" borderId="0">
      <alignment horizontal="left"/>
    </xf>
    <xf numFmtId="14" fontId="41" fillId="0" borderId="14"/>
    <xf numFmtId="0" fontId="42" fillId="0" borderId="0">
      <alignment vertical="center"/>
    </xf>
    <xf numFmtId="38" fontId="43" fillId="13" borderId="0" applyNumberFormat="0" applyBorder="0" applyAlignment="0" applyProtection="0"/>
    <xf numFmtId="0" fontId="44" fillId="0" borderId="0" applyNumberFormat="0" applyFill="0" applyBorder="0" applyAlignment="0">
      <alignment vertical="center"/>
    </xf>
    <xf numFmtId="197" fontId="27" fillId="0" borderId="0" applyNumberFormat="0" applyFill="0" applyBorder="0" applyProtection="0">
      <alignment horizontal="right"/>
    </xf>
    <xf numFmtId="0" fontId="45" fillId="0" borderId="18" applyNumberFormat="0" applyAlignment="0" applyProtection="0">
      <alignment horizontal="left" vertical="center"/>
    </xf>
    <xf numFmtId="0" fontId="45" fillId="0" borderId="4">
      <alignment horizontal="left" vertical="center"/>
    </xf>
    <xf numFmtId="0" fontId="45" fillId="0" borderId="4">
      <alignment horizontal="left" vertical="center"/>
    </xf>
    <xf numFmtId="0" fontId="36" fillId="0" borderId="0" applyNumberFormat="0" applyFill="0" applyBorder="0" applyAlignment="0" applyProtection="0"/>
    <xf numFmtId="0" fontId="36" fillId="0" borderId="0" applyNumberFormat="0" applyFill="0" applyBorder="0" applyAlignment="0" applyProtection="0"/>
    <xf numFmtId="0" fontId="23" fillId="0" borderId="0" applyBorder="0"/>
    <xf numFmtId="10" fontId="43" fillId="14" borderId="9" applyNumberFormat="0" applyBorder="0" applyAlignment="0" applyProtection="0"/>
    <xf numFmtId="10" fontId="43" fillId="14" borderId="9" applyNumberFormat="0" applyBorder="0" applyAlignment="0" applyProtection="0"/>
    <xf numFmtId="0" fontId="23" fillId="0" borderId="0"/>
    <xf numFmtId="198" fontId="39" fillId="0" borderId="0" applyFont="0" applyFill="0" applyBorder="0" applyAlignment="0" applyProtection="0"/>
    <xf numFmtId="199" fontId="39" fillId="0" borderId="0" applyFont="0" applyFill="0" applyBorder="0" applyAlignment="0" applyProtection="0"/>
    <xf numFmtId="200" fontId="46" fillId="15" borderId="9"/>
    <xf numFmtId="200" fontId="46" fillId="15" borderId="9"/>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38" fontId="35" fillId="0" borderId="0" applyFont="0" applyFill="0" applyBorder="0" applyAlignment="0" applyProtection="0"/>
    <xf numFmtId="40" fontId="35" fillId="0" borderId="0" applyFont="0" applyFill="0" applyBorder="0" applyAlignment="0" applyProtection="0"/>
    <xf numFmtId="0" fontId="47" fillId="0" borderId="19"/>
    <xf numFmtId="0" fontId="47" fillId="0" borderId="19"/>
    <xf numFmtId="193" fontId="35" fillId="0" borderId="0" applyFont="0" applyFill="0" applyBorder="0" applyAlignment="0" applyProtection="0"/>
    <xf numFmtId="201" fontId="35" fillId="0" borderId="0" applyFont="0" applyFill="0" applyBorder="0" applyAlignment="0" applyProtection="0"/>
    <xf numFmtId="202" fontId="6" fillId="0" borderId="0"/>
    <xf numFmtId="0" fontId="16" fillId="0" borderId="0"/>
    <xf numFmtId="182" fontId="16" fillId="0" borderId="0" applyFont="0" applyFill="0" applyBorder="0" applyAlignment="0" applyProtection="0"/>
    <xf numFmtId="0" fontId="16" fillId="0" borderId="0" applyFont="0" applyFill="0" applyBorder="0" applyAlignment="0" applyProtection="0"/>
    <xf numFmtId="192" fontId="16" fillId="0" borderId="0" applyFont="0" applyFill="0" applyBorder="0" applyAlignment="0" applyProtection="0"/>
    <xf numFmtId="10" fontId="16" fillId="0" borderId="0" applyFont="0" applyFill="0" applyBorder="0" applyAlignment="0" applyProtection="0"/>
    <xf numFmtId="0" fontId="16" fillId="0" borderId="0" applyFont="0" applyFill="0" applyBorder="0" applyAlignment="0" applyProtection="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4" fontId="40" fillId="0" borderId="0">
      <alignment horizontal="right"/>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8" fillId="0" borderId="19">
      <alignment horizontal="center"/>
    </xf>
    <xf numFmtId="0" fontId="28" fillId="0" borderId="19">
      <alignment horizontal="center"/>
    </xf>
    <xf numFmtId="3" fontId="35" fillId="0" borderId="0" applyFont="0" applyFill="0" applyBorder="0" applyAlignment="0" applyProtection="0"/>
    <xf numFmtId="0" fontId="35" fillId="16" borderId="0" applyNumberFormat="0" applyFont="0" applyBorder="0" applyAlignment="0" applyProtection="0"/>
    <xf numFmtId="4" fontId="48" fillId="0" borderId="0">
      <alignment horizontal="right"/>
    </xf>
    <xf numFmtId="0" fontId="49" fillId="0" borderId="0">
      <alignment horizontal="left"/>
    </xf>
    <xf numFmtId="0" fontId="35" fillId="0" borderId="0"/>
    <xf numFmtId="0" fontId="47" fillId="0" borderId="0"/>
    <xf numFmtId="49" fontId="29" fillId="0" borderId="0" applyFill="0" applyBorder="0" applyAlignment="0"/>
    <xf numFmtId="0" fontId="16" fillId="0" borderId="0" applyFill="0" applyBorder="0" applyAlignment="0"/>
    <xf numFmtId="0" fontId="16" fillId="0" borderId="0" applyFill="0" applyBorder="0" applyAlignment="0"/>
    <xf numFmtId="0" fontId="50" fillId="0" borderId="0">
      <alignment horizontal="center"/>
    </xf>
    <xf numFmtId="0" fontId="36" fillId="0" borderId="0" applyNumberFormat="0" applyFill="0" applyBorder="0" applyAlignment="0" applyProtection="0"/>
    <xf numFmtId="1" fontId="16" fillId="0" borderId="0"/>
    <xf numFmtId="203" fontId="39" fillId="0" borderId="0" applyFont="0" applyFill="0" applyBorder="0" applyAlignment="0" applyProtection="0"/>
    <xf numFmtId="204" fontId="39" fillId="0" borderId="0" applyFont="0" applyFill="0" applyBorder="0" applyAlignment="0" applyProtection="0"/>
    <xf numFmtId="0" fontId="22" fillId="11" borderId="0" applyNumberFormat="0" applyBorder="0" applyAlignment="0" applyProtection="0">
      <alignment vertical="center"/>
    </xf>
    <xf numFmtId="0" fontId="22" fillId="17" borderId="0" applyNumberFormat="0" applyBorder="0" applyAlignment="0" applyProtection="0">
      <alignment vertical="center"/>
    </xf>
    <xf numFmtId="0" fontId="22" fillId="18" borderId="0" applyNumberFormat="0" applyBorder="0" applyAlignment="0" applyProtection="0">
      <alignment vertical="center"/>
    </xf>
    <xf numFmtId="0" fontId="22" fillId="19" borderId="0" applyNumberFormat="0" applyBorder="0" applyAlignment="0" applyProtection="0">
      <alignment vertical="center"/>
    </xf>
    <xf numFmtId="0" fontId="22" fillId="11" borderId="0" applyNumberFormat="0" applyBorder="0" applyAlignment="0" applyProtection="0">
      <alignment vertical="center"/>
    </xf>
    <xf numFmtId="0" fontId="22" fillId="20" borderId="0" applyNumberFormat="0" applyBorder="0" applyAlignment="0" applyProtection="0">
      <alignment vertical="center"/>
    </xf>
    <xf numFmtId="205" fontId="23" fillId="0" borderId="0" applyNumberFormat="0">
      <alignment vertical="center"/>
    </xf>
    <xf numFmtId="0" fontId="15" fillId="0" borderId="0"/>
    <xf numFmtId="0" fontId="16" fillId="0" borderId="0"/>
    <xf numFmtId="0" fontId="51" fillId="21" borderId="0" applyNumberFormat="0"/>
    <xf numFmtId="0" fontId="52" fillId="0" borderId="0">
      <alignment vertical="center"/>
    </xf>
    <xf numFmtId="0" fontId="53" fillId="0" borderId="0" applyNumberFormat="0" applyFill="0" applyBorder="0" applyAlignment="0" applyProtection="0">
      <alignment vertical="center"/>
    </xf>
    <xf numFmtId="0" fontId="54" fillId="22" borderId="20" applyNumberFormat="0" applyAlignment="0" applyProtection="0">
      <alignment vertical="center"/>
    </xf>
    <xf numFmtId="0" fontId="55" fillId="0" borderId="0"/>
    <xf numFmtId="0" fontId="56" fillId="0" borderId="0"/>
    <xf numFmtId="0" fontId="57" fillId="0" borderId="0">
      <alignment vertical="top" wrapText="1"/>
    </xf>
    <xf numFmtId="0" fontId="58" fillId="9" borderId="0" applyNumberFormat="0" applyBorder="0" applyAlignment="0" applyProtection="0">
      <alignment vertical="center"/>
    </xf>
    <xf numFmtId="9" fontId="59" fillId="0" borderId="0" applyFont="0" applyFill="0" applyBorder="0" applyAlignment="0" applyProtection="0">
      <alignment vertical="center"/>
    </xf>
    <xf numFmtId="0" fontId="14" fillId="23" borderId="9" applyNumberFormat="0" applyFill="0" applyBorder="0">
      <alignment vertical="center" wrapText="1"/>
    </xf>
    <xf numFmtId="0" fontId="60" fillId="0" borderId="21" applyBorder="0" applyAlignment="0">
      <alignment vertical="center" textRotation="255"/>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6" fillId="5" borderId="22" applyNumberFormat="0" applyFont="0" applyAlignment="0" applyProtection="0">
      <alignment vertical="center"/>
    </xf>
    <xf numFmtId="0" fontId="61" fillId="0" borderId="23" applyNumberFormat="0" applyFill="0" applyAlignment="0" applyProtection="0">
      <alignment vertical="center"/>
    </xf>
    <xf numFmtId="0" fontId="39" fillId="0" borderId="0"/>
    <xf numFmtId="0" fontId="39" fillId="0" borderId="0"/>
    <xf numFmtId="0" fontId="62" fillId="24" borderId="0" applyNumberFormat="0" applyBorder="0" applyAlignment="0" applyProtection="0">
      <alignment vertical="center"/>
    </xf>
    <xf numFmtId="0" fontId="6" fillId="0" borderId="24"/>
    <xf numFmtId="206" fontId="59" fillId="0" borderId="0" applyBorder="0">
      <alignment horizontal="right"/>
    </xf>
    <xf numFmtId="0" fontId="56" fillId="0" borderId="0">
      <alignment vertical="center"/>
    </xf>
    <xf numFmtId="0" fontId="63" fillId="0" borderId="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7" borderId="25" applyNumberFormat="0" applyAlignment="0" applyProtection="0">
      <alignment vertical="center"/>
    </xf>
    <xf numFmtId="0" fontId="65" fillId="0" borderId="0" applyNumberFormat="0" applyFill="0" applyBorder="0" applyAlignment="0" applyProtection="0">
      <alignment vertical="center"/>
    </xf>
    <xf numFmtId="43" fontId="16" fillId="0" borderId="0" applyFont="0" applyFill="0" applyBorder="0" applyAlignment="0" applyProtection="0"/>
    <xf numFmtId="41" fontId="16" fillId="0" borderId="0" applyFont="0" applyFill="0" applyBorder="0" applyAlignment="0" applyProtection="0"/>
    <xf numFmtId="207" fontId="6" fillId="0" borderId="0">
      <protection locked="0"/>
    </xf>
    <xf numFmtId="4" fontId="66" fillId="0" borderId="0" applyFont="0" applyFill="0" applyBorder="0" applyAlignment="0" applyProtection="0"/>
    <xf numFmtId="38" fontId="6" fillId="0" borderId="0" applyFont="0" applyFill="0" applyBorder="0" applyAlignment="0" applyProtection="0">
      <alignment vertical="center"/>
    </xf>
    <xf numFmtId="38" fontId="6" fillId="0" borderId="0" applyFont="0" applyFill="0" applyBorder="0" applyAlignment="0" applyProtection="0"/>
    <xf numFmtId="38" fontId="21" fillId="0" borderId="0" applyFont="0" applyFill="0" applyBorder="0" applyAlignment="0" applyProtection="0">
      <alignment vertical="center"/>
    </xf>
    <xf numFmtId="38" fontId="59" fillId="0" borderId="0" applyFont="0" applyFill="0" applyBorder="0" applyAlignment="0" applyProtection="0">
      <alignment vertical="center"/>
    </xf>
    <xf numFmtId="38" fontId="6" fillId="0" borderId="0" applyFont="0" applyFill="0" applyBorder="0" applyAlignment="0" applyProtection="0">
      <alignment vertical="center"/>
    </xf>
    <xf numFmtId="0" fontId="67" fillId="0" borderId="26" applyNumberFormat="0" applyFill="0" applyAlignment="0" applyProtection="0">
      <alignment vertical="center"/>
    </xf>
    <xf numFmtId="0" fontId="68" fillId="0" borderId="27" applyNumberFormat="0" applyFill="0" applyAlignment="0" applyProtection="0">
      <alignment vertical="center"/>
    </xf>
    <xf numFmtId="0" fontId="69" fillId="0" borderId="28" applyNumberFormat="0" applyFill="0" applyAlignment="0" applyProtection="0">
      <alignment vertical="center"/>
    </xf>
    <xf numFmtId="0" fontId="70" fillId="0" borderId="29" applyNumberFormat="0" applyFill="0" applyAlignment="0" applyProtection="0">
      <alignment vertical="center"/>
    </xf>
    <xf numFmtId="0" fontId="69" fillId="0" borderId="0" applyNumberFormat="0" applyFill="0" applyBorder="0" applyAlignment="0" applyProtection="0">
      <alignment vertical="center"/>
    </xf>
    <xf numFmtId="0" fontId="20" fillId="3" borderId="0"/>
    <xf numFmtId="0" fontId="71" fillId="0" borderId="0" applyBorder="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7" borderId="31" applyNumberFormat="0" applyAlignment="0" applyProtection="0">
      <alignment vertical="center"/>
    </xf>
    <xf numFmtId="208" fontId="39" fillId="0" borderId="0"/>
    <xf numFmtId="209" fontId="59" fillId="0" borderId="0" applyFill="0" applyBorder="0"/>
    <xf numFmtId="206" fontId="59" fillId="0" borderId="0" applyFill="0" applyBorder="0"/>
    <xf numFmtId="210" fontId="6" fillId="0" borderId="0" applyFill="0" applyBorder="0"/>
    <xf numFmtId="49" fontId="59" fillId="25" borderId="32">
      <alignment horizontal="center"/>
    </xf>
    <xf numFmtId="177" fontId="59" fillId="25" borderId="32">
      <alignment horizontal="right"/>
    </xf>
    <xf numFmtId="14" fontId="59" fillId="25" borderId="0" applyBorder="0">
      <alignment horizontal="center"/>
    </xf>
    <xf numFmtId="49" fontId="59" fillId="0" borderId="32"/>
    <xf numFmtId="0" fontId="6" fillId="0" borderId="0">
      <alignment vertical="top" wrapText="1"/>
    </xf>
    <xf numFmtId="0" fontId="74" fillId="0" borderId="0" applyNumberFormat="0" applyFill="0" applyBorder="0" applyAlignment="0" applyProtection="0">
      <alignment vertical="center"/>
    </xf>
    <xf numFmtId="0" fontId="75" fillId="0" borderId="33">
      <alignment horizontal="left"/>
    </xf>
    <xf numFmtId="0" fontId="35" fillId="0" borderId="0" applyFont="0" applyFill="0" applyBorder="0" applyAlignment="0" applyProtection="0"/>
    <xf numFmtId="0" fontId="35" fillId="0" borderId="0" applyFont="0" applyFill="0" applyBorder="0" applyAlignment="0" applyProtection="0"/>
    <xf numFmtId="8" fontId="23" fillId="0" borderId="0" applyFont="0" applyFill="0" applyBorder="0" applyAlignment="0" applyProtection="0"/>
    <xf numFmtId="8" fontId="23" fillId="0" borderId="0" applyFont="0" applyFill="0" applyBorder="0" applyAlignment="0" applyProtection="0"/>
    <xf numFmtId="211" fontId="6" fillId="0" borderId="0" applyFont="0" applyFill="0" applyBorder="0" applyAlignment="0" applyProtection="0"/>
    <xf numFmtId="6" fontId="6" fillId="0" borderId="0" applyFont="0" applyFill="0" applyBorder="0" applyAlignment="0" applyProtection="0"/>
    <xf numFmtId="6" fontId="6" fillId="0" borderId="0" applyFont="0" applyFill="0" applyBorder="0" applyAlignment="0" applyProtection="0"/>
    <xf numFmtId="14" fontId="59" fillId="0" borderId="10" applyBorder="0">
      <alignment horizontal="left"/>
    </xf>
    <xf numFmtId="14" fontId="59" fillId="0" borderId="10" applyBorder="0">
      <alignment horizontal="left"/>
    </xf>
    <xf numFmtId="0" fontId="76" fillId="4" borderId="25" applyNumberFormat="0" applyAlignment="0" applyProtection="0">
      <alignment vertical="center"/>
    </xf>
    <xf numFmtId="0" fontId="76" fillId="4" borderId="25" applyNumberFormat="0" applyAlignment="0" applyProtection="0">
      <alignment vertical="center"/>
    </xf>
    <xf numFmtId="0" fontId="76" fillId="4" borderId="25" applyNumberFormat="0" applyAlignment="0" applyProtection="0">
      <alignment vertical="center"/>
    </xf>
    <xf numFmtId="14" fontId="59" fillId="0" borderId="0" applyFill="0" applyBorder="0"/>
    <xf numFmtId="178" fontId="77" fillId="0" borderId="34" applyNumberFormat="0" applyFont="0" applyAlignment="0" applyProtection="0"/>
    <xf numFmtId="0" fontId="23" fillId="0" borderId="0">
      <alignment vertical="center"/>
    </xf>
    <xf numFmtId="0" fontId="5" fillId="0" borderId="0">
      <alignment vertical="center"/>
    </xf>
    <xf numFmtId="0" fontId="5" fillId="0" borderId="0">
      <alignment vertical="center"/>
    </xf>
    <xf numFmtId="0" fontId="57"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6" fillId="0" borderId="0"/>
    <xf numFmtId="0" fontId="78" fillId="0" borderId="0"/>
    <xf numFmtId="0" fontId="6" fillId="0" borderId="0">
      <alignment vertical="center"/>
    </xf>
    <xf numFmtId="0" fontId="14" fillId="0" borderId="0"/>
    <xf numFmtId="0" fontId="21" fillId="0" borderId="0">
      <alignment vertical="center"/>
    </xf>
    <xf numFmtId="0" fontId="79" fillId="0" borderId="0">
      <alignment vertical="center"/>
    </xf>
    <xf numFmtId="0" fontId="79" fillId="0" borderId="0">
      <alignment vertical="center"/>
    </xf>
    <xf numFmtId="0" fontId="5" fillId="0" borderId="0">
      <alignment vertical="center"/>
    </xf>
    <xf numFmtId="0" fontId="79" fillId="0" borderId="0">
      <alignment vertical="center"/>
    </xf>
    <xf numFmtId="0" fontId="6" fillId="0" borderId="0"/>
    <xf numFmtId="0" fontId="56" fillId="0" borderId="0"/>
    <xf numFmtId="0" fontId="56" fillId="0" borderId="0"/>
    <xf numFmtId="0" fontId="6" fillId="0" borderId="0"/>
    <xf numFmtId="0" fontId="21" fillId="0" borderId="0">
      <alignment vertical="center"/>
    </xf>
    <xf numFmtId="0" fontId="79" fillId="0" borderId="0">
      <alignment vertical="center"/>
    </xf>
    <xf numFmtId="0" fontId="21" fillId="0" borderId="0">
      <alignment vertical="center"/>
    </xf>
    <xf numFmtId="0" fontId="79" fillId="0" borderId="0">
      <alignment vertical="center"/>
    </xf>
    <xf numFmtId="0" fontId="1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 fillId="0" borderId="0">
      <alignment vertical="center"/>
    </xf>
    <xf numFmtId="0" fontId="21" fillId="0" borderId="0">
      <alignment vertical="center"/>
    </xf>
    <xf numFmtId="0" fontId="6" fillId="0" borderId="0"/>
    <xf numFmtId="0" fontId="14" fillId="0" borderId="0"/>
    <xf numFmtId="0" fontId="6" fillId="0" borderId="0"/>
    <xf numFmtId="0" fontId="6" fillId="0" borderId="0">
      <alignment vertical="center"/>
    </xf>
    <xf numFmtId="0" fontId="6" fillId="0" borderId="0"/>
    <xf numFmtId="0" fontId="6" fillId="0" borderId="0"/>
    <xf numFmtId="0" fontId="6" fillId="0" borderId="0">
      <alignment vertical="center"/>
    </xf>
    <xf numFmtId="0" fontId="6" fillId="0" borderId="0">
      <alignment vertical="center"/>
    </xf>
    <xf numFmtId="0" fontId="59" fillId="0" borderId="0"/>
    <xf numFmtId="0" fontId="39" fillId="0" borderId="16" applyFont="0"/>
    <xf numFmtId="0" fontId="80" fillId="0" borderId="0"/>
    <xf numFmtId="0" fontId="81" fillId="0" borderId="0"/>
    <xf numFmtId="0" fontId="55" fillId="0" borderId="0"/>
    <xf numFmtId="0" fontId="82"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49" fontId="6" fillId="0" borderId="0"/>
    <xf numFmtId="49" fontId="39" fillId="0" borderId="35" applyBorder="0"/>
    <xf numFmtId="49" fontId="59" fillId="0" borderId="0" applyFill="0" applyBorder="0"/>
    <xf numFmtId="0" fontId="84" fillId="0" borderId="0"/>
    <xf numFmtId="0" fontId="85" fillId="26" borderId="0">
      <alignment horizontal="center"/>
    </xf>
    <xf numFmtId="0" fontId="86" fillId="27" borderId="0" applyNumberFormat="0" applyBorder="0" applyAlignment="0" applyProtection="0">
      <alignment vertical="center"/>
    </xf>
    <xf numFmtId="0" fontId="63"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92" fillId="0" borderId="1" applyFill="0" applyBorder="0"/>
    <xf numFmtId="0" fontId="43" fillId="0" borderId="1" applyBorder="0">
      <alignment horizontal="center" vertical="center"/>
    </xf>
    <xf numFmtId="0" fontId="93" fillId="0" borderId="1" applyBorder="0">
      <alignment horizontal="center" vertical="center"/>
    </xf>
    <xf numFmtId="0" fontId="94" fillId="0" borderId="1" applyBorder="0">
      <alignment horizontal="center" vertical="center"/>
    </xf>
    <xf numFmtId="0" fontId="95" fillId="0" borderId="39" applyNumberFormat="0" applyFill="0" applyBorder="0">
      <alignment horizontal="centerContinuous" vertical="center" wrapText="1"/>
      <protection locked="0"/>
    </xf>
    <xf numFmtId="0" fontId="92" fillId="34" borderId="40" applyFill="0" applyBorder="0">
      <alignment horizontal="left" vertical="center"/>
    </xf>
    <xf numFmtId="0" fontId="92" fillId="34" borderId="40" applyFill="0" applyBorder="0">
      <alignment horizontal="center" vertical="center"/>
    </xf>
    <xf numFmtId="0" fontId="92" fillId="34" borderId="41" applyNumberFormat="0" applyFill="0" applyBorder="0" applyProtection="0">
      <alignment horizontal="centerContinuous"/>
    </xf>
    <xf numFmtId="0" fontId="96" fillId="0" borderId="39" applyFill="0" applyBorder="0" applyProtection="0">
      <alignment vertical="center"/>
      <protection locked="0"/>
    </xf>
    <xf numFmtId="0" fontId="43" fillId="0" borderId="0" applyFill="0" applyBorder="0">
      <alignment vertical="center"/>
    </xf>
    <xf numFmtId="0" fontId="97" fillId="34" borderId="42" applyFill="0" applyBorder="0" applyAlignment="0">
      <alignment horizontal="center" vertical="center"/>
    </xf>
    <xf numFmtId="0" fontId="43" fillId="0" borderId="0" applyFill="0" applyBorder="0">
      <alignment horizontal="centerContinuous" vertical="center"/>
    </xf>
    <xf numFmtId="0" fontId="92" fillId="0" borderId="0" applyNumberFormat="0" applyFill="0" applyBorder="0">
      <alignment vertical="center"/>
    </xf>
    <xf numFmtId="0" fontId="5" fillId="0" borderId="0">
      <alignment vertical="center"/>
    </xf>
    <xf numFmtId="0" fontId="5" fillId="0" borderId="0">
      <alignment vertical="center"/>
    </xf>
    <xf numFmtId="0" fontId="105" fillId="0" borderId="0"/>
  </cellStyleXfs>
  <cellXfs count="464">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7" fillId="0" borderId="0" xfId="1" applyFont="1"/>
    <xf numFmtId="0" fontId="7" fillId="0" borderId="0" xfId="1" applyFont="1" applyAlignment="1">
      <alignment horizontal="right"/>
    </xf>
    <xf numFmtId="0" fontId="9" fillId="0" borderId="0" xfId="1" applyFont="1"/>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8" xfId="3" applyFont="1" applyBorder="1" applyAlignment="1">
      <alignment horizontal="left" vertical="center"/>
    </xf>
    <xf numFmtId="0" fontId="9" fillId="0" borderId="8" xfId="3" applyFont="1" applyBorder="1" applyAlignment="1">
      <alignment horizontal="center" vertical="center"/>
    </xf>
    <xf numFmtId="0" fontId="10" fillId="0" borderId="0" xfId="3" applyFont="1" applyAlignment="1">
      <alignment vertical="center"/>
    </xf>
    <xf numFmtId="0" fontId="9" fillId="0" borderId="16" xfId="3" applyFont="1" applyBorder="1" applyAlignment="1">
      <alignment horizontal="left" vertical="center"/>
    </xf>
    <xf numFmtId="0" fontId="9" fillId="0" borderId="14" xfId="3" applyFont="1" applyBorder="1" applyAlignment="1">
      <alignment horizontal="left" vertical="center"/>
    </xf>
    <xf numFmtId="0" fontId="9" fillId="0" borderId="14" xfId="3" applyFont="1" applyBorder="1" applyAlignment="1">
      <alignment horizontal="center" vertical="center" shrinkToFit="1"/>
    </xf>
    <xf numFmtId="14" fontId="9" fillId="0" borderId="14" xfId="3" applyNumberFormat="1" applyFont="1" applyBorder="1" applyAlignment="1">
      <alignment horizontal="center" vertical="center"/>
    </xf>
    <xf numFmtId="0" fontId="9" fillId="0" borderId="14" xfId="3" applyFont="1" applyBorder="1" applyAlignment="1">
      <alignment horizontal="center" vertical="center"/>
    </xf>
    <xf numFmtId="0" fontId="7" fillId="0" borderId="6" xfId="5" applyFont="1" applyBorder="1">
      <alignment vertical="center"/>
    </xf>
    <xf numFmtId="0" fontId="7" fillId="0" borderId="4" xfId="5" applyFont="1" applyBorder="1">
      <alignment vertical="center"/>
    </xf>
    <xf numFmtId="0" fontId="7" fillId="0" borderId="4" xfId="5" applyFont="1" applyBorder="1" applyAlignment="1">
      <alignment horizontal="center" vertical="center"/>
    </xf>
    <xf numFmtId="0" fontId="7" fillId="0" borderId="5" xfId="5" applyFont="1" applyBorder="1">
      <alignment vertical="center"/>
    </xf>
    <xf numFmtId="0" fontId="7" fillId="0" borderId="0" xfId="5" applyFont="1">
      <alignment vertical="center"/>
    </xf>
    <xf numFmtId="0" fontId="9" fillId="2" borderId="6" xfId="5" applyFont="1" applyFill="1" applyBorder="1" applyAlignment="1">
      <alignment horizontal="centerContinuous" vertical="center"/>
    </xf>
    <xf numFmtId="0" fontId="9" fillId="2" borderId="9" xfId="5" quotePrefix="1" applyFont="1" applyFill="1" applyBorder="1" applyAlignment="1">
      <alignment horizontal="centerContinuous" vertical="center"/>
    </xf>
    <xf numFmtId="0" fontId="9" fillId="2" borderId="4" xfId="5" applyFont="1" applyFill="1" applyBorder="1" applyAlignment="1">
      <alignment horizontal="centerContinuous" vertical="center"/>
    </xf>
    <xf numFmtId="0" fontId="9" fillId="2" borderId="5" xfId="5" applyFont="1" applyFill="1" applyBorder="1" applyAlignment="1">
      <alignment horizontal="centerContinuous" vertical="center"/>
    </xf>
    <xf numFmtId="0" fontId="9" fillId="0" borderId="6" xfId="5" applyFont="1" applyBorder="1">
      <alignment vertical="center"/>
    </xf>
    <xf numFmtId="0" fontId="9" fillId="0" borderId="4" xfId="6" applyFont="1" applyBorder="1">
      <alignment vertical="center"/>
    </xf>
    <xf numFmtId="0" fontId="9" fillId="0" borderId="5" xfId="6" applyFont="1" applyBorder="1">
      <alignment vertical="center"/>
    </xf>
    <xf numFmtId="0" fontId="9" fillId="0" borderId="6" xfId="6" applyFont="1" applyBorder="1" applyAlignment="1">
      <alignment horizontal="centerContinuous" vertical="center"/>
    </xf>
    <xf numFmtId="0" fontId="9" fillId="0" borderId="5" xfId="6" applyFont="1" applyBorder="1" applyAlignment="1">
      <alignment horizontal="centerContinuous" vertical="center"/>
    </xf>
    <xf numFmtId="0" fontId="9" fillId="0" borderId="6" xfId="6" applyFont="1" applyBorder="1">
      <alignment vertical="center"/>
    </xf>
    <xf numFmtId="0" fontId="9" fillId="0" borderId="4" xfId="6" applyFont="1" applyBorder="1" applyAlignment="1">
      <alignment horizontal="centerContinuous" vertical="center"/>
    </xf>
    <xf numFmtId="0" fontId="9" fillId="0" borderId="4" xfId="6" quotePrefix="1" applyFont="1" applyBorder="1">
      <alignment vertical="center"/>
    </xf>
    <xf numFmtId="0" fontId="9" fillId="0" borderId="16" xfId="5" applyFont="1" applyBorder="1">
      <alignment vertical="center"/>
    </xf>
    <xf numFmtId="0" fontId="12" fillId="0" borderId="4" xfId="6" applyFont="1" applyBorder="1">
      <alignment vertical="center"/>
    </xf>
    <xf numFmtId="0" fontId="9" fillId="0" borderId="0" xfId="5" applyFont="1">
      <alignment vertical="center"/>
    </xf>
    <xf numFmtId="0" fontId="9" fillId="0" borderId="6" xfId="5" applyFont="1" applyBorder="1" applyAlignment="1">
      <alignment horizontal="left" vertical="center"/>
    </xf>
    <xf numFmtId="0" fontId="13" fillId="0" borderId="0" xfId="1" applyFont="1"/>
    <xf numFmtId="0" fontId="9" fillId="0" borderId="0" xfId="1" applyFont="1" applyAlignment="1">
      <alignment horizontal="right"/>
    </xf>
    <xf numFmtId="0" fontId="3" fillId="0" borderId="0" xfId="0" quotePrefix="1" applyFont="1">
      <alignment vertical="center"/>
    </xf>
    <xf numFmtId="0" fontId="3" fillId="0" borderId="9" xfId="0" applyFont="1" applyBorder="1">
      <alignment vertical="center"/>
    </xf>
    <xf numFmtId="0" fontId="87" fillId="0" borderId="0" xfId="0" applyFont="1">
      <alignment vertical="center"/>
    </xf>
    <xf numFmtId="0" fontId="3" fillId="0" borderId="0" xfId="0" applyFont="1" applyAlignment="1">
      <alignment vertical="center" wrapText="1"/>
    </xf>
    <xf numFmtId="0" fontId="88" fillId="0" borderId="0" xfId="0" applyFont="1">
      <alignment vertical="center"/>
    </xf>
    <xf numFmtId="0" fontId="3" fillId="28" borderId="0" xfId="0" applyFont="1" applyFill="1">
      <alignment vertical="center"/>
    </xf>
    <xf numFmtId="0" fontId="89" fillId="29" borderId="0" xfId="0" applyFont="1" applyFill="1">
      <alignment vertical="center"/>
    </xf>
    <xf numFmtId="49" fontId="7" fillId="0" borderId="0" xfId="303" applyNumberFormat="1" applyFont="1" applyAlignment="1">
      <alignment vertical="top"/>
    </xf>
    <xf numFmtId="0" fontId="7" fillId="0" borderId="0" xfId="303" applyFont="1" applyAlignment="1">
      <alignment vertical="top"/>
    </xf>
    <xf numFmtId="0" fontId="7" fillId="0" borderId="0" xfId="303" applyFont="1" applyAlignment="1">
      <alignment horizontal="left" vertical="top"/>
    </xf>
    <xf numFmtId="49" fontId="7" fillId="0" borderId="0" xfId="303" applyNumberFormat="1" applyFont="1" applyAlignment="1">
      <alignment horizontal="center" vertical="top"/>
    </xf>
    <xf numFmtId="0" fontId="10" fillId="0" borderId="0" xfId="303" applyFont="1" applyAlignment="1">
      <alignment vertical="center"/>
    </xf>
    <xf numFmtId="3" fontId="7" fillId="0" borderId="4" xfId="326" applyNumberFormat="1" applyFont="1" applyBorder="1" applyAlignment="1">
      <alignment horizontal="left" vertical="center"/>
    </xf>
    <xf numFmtId="3" fontId="7" fillId="0" borderId="6" xfId="326" applyNumberFormat="1" applyFont="1" applyBorder="1" applyAlignment="1">
      <alignment horizontal="left" vertical="center"/>
    </xf>
    <xf numFmtId="0" fontId="10" fillId="0" borderId="5" xfId="303" applyFont="1" applyBorder="1" applyAlignment="1">
      <alignment vertical="center"/>
    </xf>
    <xf numFmtId="0" fontId="10" fillId="0" borderId="4" xfId="303" applyFont="1" applyBorder="1" applyAlignment="1">
      <alignment vertical="center"/>
    </xf>
    <xf numFmtId="3" fontId="7" fillId="0" borderId="4" xfId="327" applyNumberFormat="1" applyFont="1" applyBorder="1" applyAlignment="1">
      <alignment horizontal="left" vertical="center"/>
    </xf>
    <xf numFmtId="0" fontId="7" fillId="0" borderId="4" xfId="328" applyFont="1" applyBorder="1">
      <alignment vertical="center"/>
    </xf>
    <xf numFmtId="0" fontId="7" fillId="0" borderId="6" xfId="303" applyFont="1" applyBorder="1" applyAlignment="1">
      <alignment horizontal="left" vertical="center"/>
    </xf>
    <xf numFmtId="3" fontId="7" fillId="0" borderId="4" xfId="326" applyNumberFormat="1" applyFont="1" applyBorder="1" applyAlignment="1">
      <alignment vertical="center"/>
    </xf>
    <xf numFmtId="3" fontId="7" fillId="0" borderId="6" xfId="326" applyNumberFormat="1" applyFont="1" applyBorder="1" applyAlignment="1">
      <alignment horizontal="left" vertical="center" indent="1"/>
    </xf>
    <xf numFmtId="3" fontId="7" fillId="0" borderId="4" xfId="326" applyNumberFormat="1" applyFont="1" applyBorder="1" applyAlignment="1">
      <alignment horizontal="left" vertical="center" indent="1"/>
    </xf>
    <xf numFmtId="0" fontId="10" fillId="29" borderId="5" xfId="303" applyFont="1" applyFill="1" applyBorder="1"/>
    <xf numFmtId="0" fontId="10" fillId="29" borderId="4" xfId="303" applyFont="1" applyFill="1" applyBorder="1"/>
    <xf numFmtId="0" fontId="10" fillId="29" borderId="5" xfId="303" applyFont="1" applyFill="1" applyBorder="1" applyAlignment="1">
      <alignment vertical="center"/>
    </xf>
    <xf numFmtId="0" fontId="10" fillId="29" borderId="4" xfId="303" applyFont="1" applyFill="1" applyBorder="1" applyAlignment="1">
      <alignment vertical="center"/>
    </xf>
    <xf numFmtId="3" fontId="7" fillId="29" borderId="6" xfId="326" applyNumberFormat="1" applyFont="1" applyFill="1" applyBorder="1" applyAlignment="1">
      <alignment horizontal="left" vertical="center"/>
    </xf>
    <xf numFmtId="3" fontId="7" fillId="29" borderId="5" xfId="326" applyNumberFormat="1" applyFont="1" applyFill="1" applyBorder="1" applyAlignment="1">
      <alignment horizontal="left" vertical="center"/>
    </xf>
    <xf numFmtId="3" fontId="7" fillId="29" borderId="4" xfId="326" applyNumberFormat="1" applyFont="1" applyFill="1" applyBorder="1" applyAlignment="1">
      <alignment horizontal="left" vertical="center"/>
    </xf>
    <xf numFmtId="3" fontId="7" fillId="31" borderId="4" xfId="326" applyNumberFormat="1" applyFont="1" applyFill="1" applyBorder="1" applyAlignment="1">
      <alignment horizontal="left" vertical="center"/>
    </xf>
    <xf numFmtId="0" fontId="7" fillId="31" borderId="4" xfId="328" applyFont="1" applyFill="1" applyBorder="1">
      <alignment vertical="center"/>
    </xf>
    <xf numFmtId="0" fontId="7" fillId="31" borderId="6" xfId="303" applyFont="1" applyFill="1" applyBorder="1" applyAlignment="1">
      <alignment horizontal="center" vertical="center"/>
    </xf>
    <xf numFmtId="3" fontId="7" fillId="31" borderId="4" xfId="326" applyNumberFormat="1" applyFont="1" applyFill="1" applyBorder="1" applyAlignment="1">
      <alignment vertical="center"/>
    </xf>
    <xf numFmtId="3" fontId="7" fillId="31" borderId="6" xfId="326" applyNumberFormat="1" applyFont="1" applyFill="1" applyBorder="1" applyAlignment="1">
      <alignment vertical="center"/>
    </xf>
    <xf numFmtId="3" fontId="7" fillId="0" borderId="4" xfId="326" applyNumberFormat="1" applyFont="1" applyBorder="1" applyAlignment="1">
      <alignment horizontal="left" vertical="center" shrinkToFit="1"/>
    </xf>
    <xf numFmtId="0" fontId="10" fillId="0" borderId="0" xfId="303" applyFont="1"/>
    <xf numFmtId="0" fontId="7" fillId="32" borderId="5" xfId="330" applyFont="1" applyFill="1" applyBorder="1" applyAlignment="1">
      <alignment horizontal="centerContinuous" vertical="center"/>
    </xf>
    <xf numFmtId="0" fontId="7" fillId="32" borderId="4" xfId="330" applyFont="1" applyFill="1" applyBorder="1" applyAlignment="1">
      <alignment horizontal="centerContinuous" vertical="center"/>
    </xf>
    <xf numFmtId="0" fontId="7" fillId="32" borderId="6" xfId="330" applyFont="1" applyFill="1" applyBorder="1" applyAlignment="1">
      <alignment horizontal="centerContinuous" vertical="center"/>
    </xf>
    <xf numFmtId="0" fontId="10" fillId="33" borderId="5" xfId="303" applyFont="1" applyFill="1" applyBorder="1" applyAlignment="1">
      <alignment horizontal="centerContinuous"/>
    </xf>
    <xf numFmtId="0" fontId="10" fillId="33" borderId="4" xfId="303" applyFont="1" applyFill="1" applyBorder="1" applyAlignment="1">
      <alignment horizontal="centerContinuous"/>
    </xf>
    <xf numFmtId="0" fontId="7" fillId="33" borderId="6" xfId="330" applyFont="1" applyFill="1" applyBorder="1" applyAlignment="1">
      <alignment horizontal="centerContinuous" vertical="center"/>
    </xf>
    <xf numFmtId="0" fontId="7" fillId="0" borderId="0" xfId="303" applyFont="1"/>
    <xf numFmtId="0" fontId="7" fillId="0" borderId="0" xfId="330" applyFont="1" applyAlignment="1">
      <alignment vertical="center"/>
    </xf>
    <xf numFmtId="0" fontId="7" fillId="0" borderId="0" xfId="331" applyFont="1" applyAlignment="1">
      <alignment vertical="center"/>
    </xf>
    <xf numFmtId="0" fontId="90" fillId="0" borderId="0" xfId="330" applyFont="1" applyAlignment="1">
      <alignment vertical="center"/>
    </xf>
    <xf numFmtId="0" fontId="10" fillId="0" borderId="15" xfId="303" applyFont="1" applyBorder="1"/>
    <xf numFmtId="0" fontId="10" fillId="0" borderId="14" xfId="303" applyFont="1" applyBorder="1"/>
    <xf numFmtId="0" fontId="7" fillId="0" borderId="14" xfId="303" applyFont="1" applyBorder="1" applyAlignment="1">
      <alignment vertical="center"/>
    </xf>
    <xf numFmtId="0" fontId="11" fillId="0" borderId="14" xfId="303" applyFont="1" applyBorder="1" applyAlignment="1">
      <alignment vertical="center"/>
    </xf>
    <xf numFmtId="0" fontId="11" fillId="0" borderId="14" xfId="303" applyFont="1" applyBorder="1" applyAlignment="1">
      <alignment vertical="center" wrapText="1"/>
    </xf>
    <xf numFmtId="0" fontId="11" fillId="0" borderId="14" xfId="303" applyFont="1" applyBorder="1" applyAlignment="1">
      <alignment vertical="top"/>
    </xf>
    <xf numFmtId="0" fontId="7" fillId="0" borderId="14" xfId="330" applyFont="1" applyBorder="1" applyAlignment="1">
      <alignment vertical="center"/>
    </xf>
    <xf numFmtId="0" fontId="91" fillId="0" borderId="16" xfId="330" applyFont="1" applyBorder="1" applyAlignment="1">
      <alignment vertical="center"/>
    </xf>
    <xf numFmtId="0" fontId="10" fillId="0" borderId="36" xfId="303" applyFont="1" applyBorder="1"/>
    <xf numFmtId="0" fontId="7" fillId="0" borderId="0" xfId="303" applyFont="1" applyAlignment="1">
      <alignment vertical="center"/>
    </xf>
    <xf numFmtId="0" fontId="11" fillId="0" borderId="0" xfId="303" applyFont="1" applyAlignment="1">
      <alignment vertical="center"/>
    </xf>
    <xf numFmtId="0" fontId="7" fillId="0" borderId="37" xfId="303" applyFont="1" applyBorder="1"/>
    <xf numFmtId="0" fontId="10" fillId="0" borderId="10" xfId="303" applyFont="1" applyBorder="1"/>
    <xf numFmtId="0" fontId="10" fillId="0" borderId="38" xfId="303" applyFont="1" applyBorder="1"/>
    <xf numFmtId="0" fontId="7" fillId="0" borderId="38" xfId="303" applyFont="1" applyBorder="1" applyAlignment="1">
      <alignment vertical="center"/>
    </xf>
    <xf numFmtId="0" fontId="7" fillId="0" borderId="7" xfId="303" applyFont="1" applyBorder="1" applyAlignment="1">
      <alignment vertical="center"/>
    </xf>
    <xf numFmtId="0" fontId="10" fillId="0" borderId="0" xfId="333" applyFont="1" applyAlignment="1">
      <alignment vertical="center"/>
    </xf>
    <xf numFmtId="0" fontId="7" fillId="29" borderId="6" xfId="303" applyFont="1" applyFill="1" applyBorder="1" applyAlignment="1">
      <alignment horizontal="left" vertical="center"/>
    </xf>
    <xf numFmtId="0" fontId="7" fillId="29" borderId="4" xfId="328" applyFont="1" applyFill="1" applyBorder="1">
      <alignment vertical="center"/>
    </xf>
    <xf numFmtId="0" fontId="89" fillId="0" borderId="0" xfId="0" quotePrefix="1" applyFont="1">
      <alignment vertical="center"/>
    </xf>
    <xf numFmtId="0" fontId="87" fillId="0" borderId="0" xfId="325" applyFont="1"/>
    <xf numFmtId="14" fontId="87" fillId="0" borderId="0" xfId="325" applyNumberFormat="1" applyFont="1" applyAlignment="1">
      <alignment horizontal="distributed" vertical="center" justifyLastLine="1"/>
    </xf>
    <xf numFmtId="0" fontId="87" fillId="0" borderId="0" xfId="325" applyFont="1" applyAlignment="1">
      <alignment vertical="center" wrapText="1"/>
    </xf>
    <xf numFmtId="0" fontId="87" fillId="0" borderId="0" xfId="325" applyFont="1" applyAlignment="1">
      <alignment horizontal="center" vertical="top"/>
    </xf>
    <xf numFmtId="14" fontId="87" fillId="0" borderId="0" xfId="325" applyNumberFormat="1" applyFont="1" applyAlignment="1">
      <alignment horizontal="center" vertical="top" justifyLastLine="1"/>
    </xf>
    <xf numFmtId="14" fontId="87" fillId="0" borderId="0" xfId="325" applyNumberFormat="1" applyFont="1"/>
    <xf numFmtId="0" fontId="87" fillId="0" borderId="0" xfId="325" applyFont="1" applyAlignment="1">
      <alignment vertical="top" wrapText="1"/>
    </xf>
    <xf numFmtId="14" fontId="87" fillId="0" borderId="0" xfId="325" applyNumberFormat="1" applyFont="1" applyAlignment="1">
      <alignment horizontal="distributed" vertical="top" justifyLastLine="1"/>
    </xf>
    <xf numFmtId="0" fontId="87" fillId="0" borderId="0" xfId="325" applyFont="1" applyAlignment="1">
      <alignment vertical="top"/>
    </xf>
    <xf numFmtId="0" fontId="3" fillId="0" borderId="0" xfId="325" applyFont="1" applyAlignment="1">
      <alignment vertical="top" wrapText="1"/>
    </xf>
    <xf numFmtId="0" fontId="87" fillId="0" borderId="0" xfId="325" quotePrefix="1" applyFont="1" applyAlignment="1">
      <alignment vertical="top"/>
    </xf>
    <xf numFmtId="0" fontId="87" fillId="0" borderId="0" xfId="325" quotePrefix="1" applyFont="1"/>
    <xf numFmtId="0" fontId="98" fillId="0" borderId="0" xfId="325" applyFont="1"/>
    <xf numFmtId="0" fontId="3" fillId="0" borderId="9" xfId="0" applyFont="1" applyBorder="1" applyAlignment="1">
      <alignment vertical="center" shrinkToFit="1"/>
    </xf>
    <xf numFmtId="0" fontId="99" fillId="0" borderId="0" xfId="1" applyFont="1"/>
    <xf numFmtId="0" fontId="99" fillId="0" borderId="0" xfId="1" applyFont="1" applyAlignment="1">
      <alignment horizontal="right"/>
    </xf>
    <xf numFmtId="0" fontId="5" fillId="0" borderId="7" xfId="3" applyFont="1" applyBorder="1" applyAlignment="1">
      <alignment horizontal="left" vertical="center" wrapText="1"/>
    </xf>
    <xf numFmtId="0" fontId="5" fillId="0" borderId="8" xfId="3" applyFont="1" applyBorder="1" applyAlignment="1">
      <alignment horizontal="left" vertical="center" wrapText="1"/>
    </xf>
    <xf numFmtId="0" fontId="5" fillId="0" borderId="8" xfId="3" applyFont="1" applyBorder="1" applyAlignment="1">
      <alignment horizontal="left" vertical="center"/>
    </xf>
    <xf numFmtId="0" fontId="5" fillId="0" borderId="8" xfId="3" applyFont="1" applyBorder="1" applyAlignment="1">
      <alignment horizontal="center" vertical="center"/>
    </xf>
    <xf numFmtId="0" fontId="99" fillId="0" borderId="0" xfId="3" applyFont="1" applyAlignment="1">
      <alignment vertical="center"/>
    </xf>
    <xf numFmtId="0" fontId="5" fillId="0" borderId="14" xfId="3" applyFont="1" applyBorder="1" applyAlignment="1">
      <alignment horizontal="center" vertical="center"/>
    </xf>
    <xf numFmtId="0" fontId="5" fillId="0" borderId="16" xfId="3" applyFont="1" applyBorder="1" applyAlignment="1">
      <alignment horizontal="left" vertical="center"/>
    </xf>
    <xf numFmtId="0" fontId="5" fillId="0" borderId="14" xfId="3" applyFont="1" applyBorder="1" applyAlignment="1">
      <alignment horizontal="left" vertical="center"/>
    </xf>
    <xf numFmtId="0" fontId="5" fillId="0" borderId="14" xfId="3" applyFont="1" applyBorder="1" applyAlignment="1">
      <alignment horizontal="center" vertical="center" shrinkToFit="1"/>
    </xf>
    <xf numFmtId="14" fontId="5" fillId="0" borderId="14" xfId="3" applyNumberFormat="1" applyFont="1" applyBorder="1" applyAlignment="1">
      <alignment horizontal="center" vertical="center"/>
    </xf>
    <xf numFmtId="0" fontId="99" fillId="0" borderId="6" xfId="5" applyFont="1" applyBorder="1">
      <alignment vertical="center"/>
    </xf>
    <xf numFmtId="0" fontId="99" fillId="0" borderId="4" xfId="5" applyFont="1" applyBorder="1">
      <alignment vertical="center"/>
    </xf>
    <xf numFmtId="0" fontId="99" fillId="0" borderId="4" xfId="5" applyFont="1" applyBorder="1" applyAlignment="1">
      <alignment horizontal="center" vertical="center"/>
    </xf>
    <xf numFmtId="0" fontId="99" fillId="0" borderId="5" xfId="5" applyFont="1" applyBorder="1">
      <alignment vertical="center"/>
    </xf>
    <xf numFmtId="0" fontId="5" fillId="0" borderId="0" xfId="5" applyFont="1">
      <alignment vertical="center"/>
    </xf>
    <xf numFmtId="0" fontId="5" fillId="0" borderId="6" xfId="5" applyFont="1" applyBorder="1">
      <alignment vertical="center"/>
    </xf>
    <xf numFmtId="0" fontId="5" fillId="0" borderId="4" xfId="5" applyFont="1" applyBorder="1">
      <alignment vertical="center"/>
    </xf>
    <xf numFmtId="0" fontId="5" fillId="0" borderId="4" xfId="5" applyFont="1" applyBorder="1" applyAlignment="1">
      <alignment horizontal="center" vertical="center"/>
    </xf>
    <xf numFmtId="0" fontId="5" fillId="0" borderId="5" xfId="5" applyFont="1" applyBorder="1">
      <alignment vertical="center"/>
    </xf>
    <xf numFmtId="0" fontId="99" fillId="0" borderId="0" xfId="5" applyFont="1">
      <alignment vertical="center"/>
    </xf>
    <xf numFmtId="0" fontId="99" fillId="2" borderId="6" xfId="5" applyFont="1" applyFill="1" applyBorder="1" applyAlignment="1">
      <alignment horizontal="centerContinuous" vertical="center"/>
    </xf>
    <xf numFmtId="0" fontId="99" fillId="2" borderId="9" xfId="5" quotePrefix="1" applyFont="1" applyFill="1" applyBorder="1" applyAlignment="1">
      <alignment horizontal="centerContinuous" vertical="center"/>
    </xf>
    <xf numFmtId="0" fontId="99" fillId="2" borderId="4" xfId="5" applyFont="1" applyFill="1" applyBorder="1" applyAlignment="1">
      <alignment horizontal="centerContinuous" vertical="center"/>
    </xf>
    <xf numFmtId="0" fontId="99" fillId="2" borderId="5" xfId="5" applyFont="1" applyFill="1" applyBorder="1" applyAlignment="1">
      <alignment horizontal="centerContinuous" vertical="center"/>
    </xf>
    <xf numFmtId="0" fontId="5" fillId="2" borderId="4" xfId="5" applyFont="1" applyFill="1" applyBorder="1" applyAlignment="1">
      <alignment horizontal="centerContinuous" vertical="center"/>
    </xf>
    <xf numFmtId="0" fontId="5" fillId="2" borderId="5" xfId="5" applyFont="1" applyFill="1" applyBorder="1" applyAlignment="1">
      <alignment horizontal="centerContinuous" vertical="center"/>
    </xf>
    <xf numFmtId="0" fontId="99" fillId="0" borderId="6" xfId="6" applyFont="1" applyBorder="1">
      <alignment vertical="center"/>
    </xf>
    <xf numFmtId="0" fontId="99" fillId="0" borderId="4" xfId="6" applyFont="1" applyBorder="1">
      <alignment vertical="center"/>
    </xf>
    <xf numFmtId="0" fontId="99" fillId="0" borderId="5" xfId="6" applyFont="1" applyBorder="1">
      <alignment vertical="center"/>
    </xf>
    <xf numFmtId="0" fontId="99" fillId="0" borderId="6" xfId="6" applyFont="1" applyBorder="1" applyAlignment="1">
      <alignment horizontal="centerContinuous" vertical="center"/>
    </xf>
    <xf numFmtId="0" fontId="99" fillId="0" borderId="5" xfId="6" applyFont="1" applyBorder="1" applyAlignment="1">
      <alignment horizontal="centerContinuous" vertical="center"/>
    </xf>
    <xf numFmtId="0" fontId="99" fillId="0" borderId="4" xfId="6" applyFont="1" applyBorder="1" applyAlignment="1">
      <alignment horizontal="centerContinuous" vertical="center"/>
    </xf>
    <xf numFmtId="0" fontId="99" fillId="0" borderId="4" xfId="6" quotePrefix="1" applyFont="1" applyBorder="1">
      <alignment vertical="center"/>
    </xf>
    <xf numFmtId="0" fontId="100" fillId="0" borderId="4" xfId="6" applyFont="1" applyBorder="1">
      <alignment vertical="center"/>
    </xf>
    <xf numFmtId="0" fontId="102" fillId="0" borderId="0" xfId="1" applyFont="1"/>
    <xf numFmtId="0" fontId="103" fillId="0" borderId="9" xfId="0" applyFont="1" applyBorder="1">
      <alignment vertical="center"/>
    </xf>
    <xf numFmtId="0" fontId="104" fillId="0" borderId="0" xfId="247" applyFont="1" applyAlignment="1">
      <alignment vertical="center"/>
    </xf>
    <xf numFmtId="0" fontId="23" fillId="0" borderId="0" xfId="247" applyFont="1" applyAlignment="1">
      <alignment vertical="center"/>
    </xf>
    <xf numFmtId="213" fontId="23" fillId="0" borderId="0" xfId="350" applyNumberFormat="1" applyFont="1" applyAlignment="1">
      <alignment vertical="center"/>
    </xf>
    <xf numFmtId="0" fontId="23" fillId="13" borderId="48" xfId="247" applyFont="1" applyFill="1" applyBorder="1" applyAlignment="1">
      <alignment horizontal="left" vertical="center"/>
    </xf>
    <xf numFmtId="0" fontId="23" fillId="13" borderId="46" xfId="247" applyFont="1" applyFill="1" applyBorder="1" applyAlignment="1">
      <alignment vertical="center"/>
    </xf>
    <xf numFmtId="0" fontId="23" fillId="13" borderId="47" xfId="247" applyFont="1" applyFill="1" applyBorder="1" applyAlignment="1">
      <alignment vertical="center"/>
    </xf>
    <xf numFmtId="0" fontId="23" fillId="25" borderId="53" xfId="247" applyFont="1" applyFill="1" applyBorder="1" applyAlignment="1">
      <alignment horizontal="left" vertical="center"/>
    </xf>
    <xf numFmtId="0" fontId="23" fillId="25" borderId="51" xfId="247" applyFont="1" applyFill="1" applyBorder="1" applyAlignment="1">
      <alignment horizontal="left" vertical="center"/>
    </xf>
    <xf numFmtId="0" fontId="23" fillId="25" borderId="52" xfId="247" applyFont="1" applyFill="1" applyBorder="1" applyAlignment="1">
      <alignment horizontal="left" vertical="center"/>
    </xf>
    <xf numFmtId="0" fontId="23" fillId="13" borderId="53" xfId="247" applyFont="1" applyFill="1" applyBorder="1" applyAlignment="1">
      <alignment horizontal="left" vertical="center"/>
    </xf>
    <xf numFmtId="0" fontId="23" fillId="13" borderId="51" xfId="247" applyFont="1" applyFill="1" applyBorder="1" applyAlignment="1">
      <alignment vertical="center"/>
    </xf>
    <xf numFmtId="0" fontId="23" fillId="13" borderId="52" xfId="247" applyFont="1" applyFill="1" applyBorder="1" applyAlignment="1">
      <alignment vertical="center"/>
    </xf>
    <xf numFmtId="0" fontId="23" fillId="13" borderId="58" xfId="247" applyFont="1" applyFill="1" applyBorder="1" applyAlignment="1">
      <alignment horizontal="left" vertical="center"/>
    </xf>
    <xf numFmtId="0" fontId="23" fillId="13" borderId="56" xfId="247" applyFont="1" applyFill="1" applyBorder="1" applyAlignment="1">
      <alignment vertical="center"/>
    </xf>
    <xf numFmtId="0" fontId="23" fillId="13" borderId="57" xfId="247" applyFont="1" applyFill="1" applyBorder="1" applyAlignment="1">
      <alignment vertical="center"/>
    </xf>
    <xf numFmtId="0" fontId="23" fillId="25" borderId="58" xfId="247" applyFont="1" applyFill="1" applyBorder="1" applyAlignment="1">
      <alignment vertical="center"/>
    </xf>
    <xf numFmtId="0" fontId="23" fillId="0" borderId="56" xfId="247" applyFont="1" applyBorder="1" applyAlignment="1">
      <alignment vertical="center"/>
    </xf>
    <xf numFmtId="0" fontId="23" fillId="0" borderId="57" xfId="247" applyFont="1" applyBorder="1" applyAlignment="1">
      <alignment vertical="center"/>
    </xf>
    <xf numFmtId="0" fontId="23" fillId="25" borderId="53" xfId="247" applyFont="1" applyFill="1" applyBorder="1" applyAlignment="1">
      <alignment vertical="center"/>
    </xf>
    <xf numFmtId="0" fontId="23" fillId="25" borderId="51" xfId="247" applyFont="1" applyFill="1" applyBorder="1" applyAlignment="1">
      <alignment vertical="center"/>
    </xf>
    <xf numFmtId="0" fontId="23" fillId="25" borderId="52" xfId="247" applyFont="1" applyFill="1" applyBorder="1" applyAlignment="1">
      <alignment vertical="center"/>
    </xf>
    <xf numFmtId="0" fontId="23" fillId="25" borderId="58" xfId="247" applyFont="1" applyFill="1" applyBorder="1" applyAlignment="1">
      <alignment horizontal="left" vertical="center" wrapText="1"/>
    </xf>
    <xf numFmtId="0" fontId="23" fillId="0" borderId="59" xfId="247" applyFont="1" applyBorder="1" applyAlignment="1">
      <alignment vertical="center"/>
    </xf>
    <xf numFmtId="0" fontId="23" fillId="25" borderId="58" xfId="247" applyFont="1" applyFill="1" applyBorder="1" applyAlignment="1">
      <alignment horizontal="left" vertical="center"/>
    </xf>
    <xf numFmtId="0" fontId="23" fillId="25" borderId="58" xfId="247" applyFont="1" applyFill="1" applyBorder="1" applyAlignment="1">
      <alignment horizontal="center" vertical="center"/>
    </xf>
    <xf numFmtId="0" fontId="23" fillId="25" borderId="53" xfId="247" applyFont="1" applyFill="1" applyBorder="1" applyAlignment="1">
      <alignment horizontal="center" vertical="center"/>
    </xf>
    <xf numFmtId="0" fontId="23" fillId="0" borderId="51" xfId="247" applyFont="1" applyBorder="1" applyAlignment="1">
      <alignment vertical="center"/>
    </xf>
    <xf numFmtId="0" fontId="23" fillId="0" borderId="52" xfId="247" applyFont="1" applyBorder="1" applyAlignment="1">
      <alignment vertical="center"/>
    </xf>
    <xf numFmtId="0" fontId="23" fillId="25" borderId="53" xfId="247" applyFont="1" applyFill="1" applyBorder="1" applyAlignment="1">
      <alignment horizontal="left" vertical="center" wrapText="1"/>
    </xf>
    <xf numFmtId="0" fontId="23" fillId="0" borderId="54" xfId="247" applyFont="1" applyBorder="1" applyAlignment="1">
      <alignment vertical="center"/>
    </xf>
    <xf numFmtId="0" fontId="23" fillId="25" borderId="53" xfId="247" applyFont="1" applyFill="1" applyBorder="1" applyAlignment="1">
      <alignment horizontal="left" vertical="center"/>
    </xf>
    <xf numFmtId="0" fontId="23" fillId="25" borderId="51" xfId="247" applyFont="1" applyFill="1" applyBorder="1" applyAlignment="1">
      <alignment horizontal="left" vertical="center"/>
    </xf>
    <xf numFmtId="0" fontId="23" fillId="25" borderId="52" xfId="247" applyFont="1" applyFill="1" applyBorder="1" applyAlignment="1">
      <alignment horizontal="left" vertical="center"/>
    </xf>
    <xf numFmtId="0" fontId="23" fillId="13" borderId="50" xfId="247" applyFont="1" applyFill="1" applyBorder="1" applyAlignment="1">
      <alignment horizontal="center" vertical="center"/>
    </xf>
    <xf numFmtId="0" fontId="23" fillId="13" borderId="51" xfId="247" applyFont="1" applyFill="1" applyBorder="1" applyAlignment="1">
      <alignment horizontal="center" vertical="center"/>
    </xf>
    <xf numFmtId="0" fontId="23" fillId="13" borderId="52" xfId="247" applyFont="1" applyFill="1" applyBorder="1" applyAlignment="1">
      <alignment horizontal="center" vertical="center"/>
    </xf>
    <xf numFmtId="214" fontId="23" fillId="13" borderId="53" xfId="247" applyNumberFormat="1" applyFont="1" applyFill="1" applyBorder="1" applyAlignment="1">
      <alignment horizontal="left" vertical="center" wrapText="1"/>
    </xf>
    <xf numFmtId="214" fontId="23" fillId="13" borderId="51" xfId="247" applyNumberFormat="1" applyFont="1" applyFill="1" applyBorder="1" applyAlignment="1">
      <alignment horizontal="left" vertical="center" wrapText="1"/>
    </xf>
    <xf numFmtId="214" fontId="23" fillId="13" borderId="52" xfId="247" applyNumberFormat="1" applyFont="1" applyFill="1" applyBorder="1" applyAlignment="1">
      <alignment horizontal="left" vertical="center" wrapText="1"/>
    </xf>
    <xf numFmtId="0" fontId="23" fillId="0" borderId="53" xfId="247" applyFont="1" applyBorder="1" applyAlignment="1">
      <alignment horizontal="left" vertical="center"/>
    </xf>
    <xf numFmtId="0" fontId="23" fillId="0" borderId="51" xfId="247" applyFont="1" applyBorder="1" applyAlignment="1">
      <alignment horizontal="left" vertical="center"/>
    </xf>
    <xf numFmtId="0" fontId="23" fillId="0" borderId="52" xfId="247" applyFont="1" applyBorder="1" applyAlignment="1">
      <alignment horizontal="left" vertical="center"/>
    </xf>
    <xf numFmtId="0" fontId="23" fillId="13" borderId="55" xfId="247" applyFont="1" applyFill="1" applyBorder="1" applyAlignment="1">
      <alignment horizontal="center" vertical="center"/>
    </xf>
    <xf numFmtId="0" fontId="23" fillId="13" borderId="56" xfId="247" applyFont="1" applyFill="1" applyBorder="1" applyAlignment="1">
      <alignment horizontal="center" vertical="center"/>
    </xf>
    <xf numFmtId="0" fontId="23" fillId="13" borderId="57" xfId="247" applyFont="1" applyFill="1" applyBorder="1" applyAlignment="1">
      <alignment horizontal="center" vertical="center"/>
    </xf>
    <xf numFmtId="214" fontId="23" fillId="13" borderId="58" xfId="247" applyNumberFormat="1" applyFont="1" applyFill="1" applyBorder="1" applyAlignment="1">
      <alignment horizontal="left" vertical="center" wrapText="1"/>
    </xf>
    <xf numFmtId="214" fontId="23" fillId="13" borderId="56" xfId="247" applyNumberFormat="1" applyFont="1" applyFill="1" applyBorder="1" applyAlignment="1">
      <alignment horizontal="left" vertical="center" wrapText="1"/>
    </xf>
    <xf numFmtId="214" fontId="23" fillId="13" borderId="57" xfId="247" applyNumberFormat="1" applyFont="1" applyFill="1" applyBorder="1" applyAlignment="1">
      <alignment horizontal="left" vertical="center" wrapText="1"/>
    </xf>
    <xf numFmtId="0" fontId="23" fillId="25" borderId="56" xfId="247" applyFont="1" applyFill="1" applyBorder="1" applyAlignment="1">
      <alignment horizontal="left" vertical="center"/>
    </xf>
    <xf numFmtId="0" fontId="23" fillId="25" borderId="57" xfId="247" applyFont="1" applyFill="1" applyBorder="1" applyAlignment="1">
      <alignment horizontal="left" vertical="center"/>
    </xf>
    <xf numFmtId="0" fontId="23" fillId="0" borderId="58" xfId="247" applyFont="1" applyBorder="1" applyAlignment="1">
      <alignment horizontal="left" vertical="center"/>
    </xf>
    <xf numFmtId="0" fontId="23" fillId="0" borderId="56" xfId="247" applyFont="1" applyBorder="1" applyAlignment="1">
      <alignment horizontal="left" vertical="center"/>
    </xf>
    <xf numFmtId="0" fontId="23" fillId="0" borderId="57" xfId="247" applyFont="1" applyBorder="1" applyAlignment="1">
      <alignment horizontal="left" vertical="center"/>
    </xf>
    <xf numFmtId="0" fontId="23" fillId="0" borderId="53" xfId="247" applyFont="1" applyBorder="1" applyAlignment="1">
      <alignment vertical="center"/>
    </xf>
    <xf numFmtId="0" fontId="23" fillId="0" borderId="53" xfId="247" applyFont="1" applyBorder="1" applyAlignment="1">
      <alignment horizontal="center" vertical="center"/>
    </xf>
    <xf numFmtId="0" fontId="23" fillId="0" borderId="53" xfId="247" applyFont="1" applyBorder="1" applyAlignment="1">
      <alignment horizontal="left" vertical="center" wrapText="1"/>
    </xf>
    <xf numFmtId="0" fontId="23" fillId="25" borderId="48" xfId="247" applyFont="1" applyFill="1" applyBorder="1" applyAlignment="1">
      <alignment horizontal="center" vertical="center"/>
    </xf>
    <xf numFmtId="0" fontId="23" fillId="0" borderId="46" xfId="247" applyFont="1" applyBorder="1" applyAlignment="1">
      <alignment vertical="center"/>
    </xf>
    <xf numFmtId="0" fontId="23" fillId="0" borderId="47" xfId="247" applyFont="1" applyBorder="1" applyAlignment="1">
      <alignment vertical="center"/>
    </xf>
    <xf numFmtId="0" fontId="23" fillId="25" borderId="48" xfId="247" applyFont="1" applyFill="1" applyBorder="1" applyAlignment="1">
      <alignment horizontal="left" vertical="center" wrapText="1"/>
    </xf>
    <xf numFmtId="0" fontId="23" fillId="0" borderId="49" xfId="247" applyFont="1" applyBorder="1" applyAlignment="1">
      <alignment vertical="center"/>
    </xf>
    <xf numFmtId="0" fontId="23" fillId="13" borderId="45" xfId="247" applyFont="1" applyFill="1" applyBorder="1" applyAlignment="1">
      <alignment horizontal="center" vertical="center"/>
    </xf>
    <xf numFmtId="0" fontId="23" fillId="13" borderId="46" xfId="247" applyFont="1" applyFill="1" applyBorder="1" applyAlignment="1">
      <alignment horizontal="center" vertical="center"/>
    </xf>
    <xf numFmtId="0" fontId="23" fillId="13" borderId="47" xfId="247" applyFont="1" applyFill="1" applyBorder="1" applyAlignment="1">
      <alignment horizontal="center" vertical="center"/>
    </xf>
    <xf numFmtId="214" fontId="23" fillId="13" borderId="48" xfId="247" applyNumberFormat="1" applyFont="1" applyFill="1" applyBorder="1" applyAlignment="1">
      <alignment horizontal="left" vertical="center" wrapText="1"/>
    </xf>
    <xf numFmtId="214" fontId="23" fillId="13" borderId="46" xfId="247" applyNumberFormat="1" applyFont="1" applyFill="1" applyBorder="1" applyAlignment="1">
      <alignment horizontal="left" vertical="center" wrapText="1"/>
    </xf>
    <xf numFmtId="214" fontId="23" fillId="13" borderId="47" xfId="247" applyNumberFormat="1" applyFont="1" applyFill="1" applyBorder="1" applyAlignment="1">
      <alignment horizontal="left" vertical="center" wrapText="1"/>
    </xf>
    <xf numFmtId="0" fontId="23" fillId="25" borderId="48" xfId="247" applyFont="1" applyFill="1" applyBorder="1" applyAlignment="1">
      <alignment horizontal="left" vertical="center"/>
    </xf>
    <xf numFmtId="0" fontId="23" fillId="25" borderId="46" xfId="247" applyFont="1" applyFill="1" applyBorder="1" applyAlignment="1">
      <alignment horizontal="left" vertical="center"/>
    </xf>
    <xf numFmtId="0" fontId="23" fillId="25" borderId="47" xfId="247" applyFont="1" applyFill="1" applyBorder="1" applyAlignment="1">
      <alignment horizontal="left" vertical="center"/>
    </xf>
    <xf numFmtId="0" fontId="23" fillId="0" borderId="48" xfId="247" applyFont="1" applyBorder="1" applyAlignment="1">
      <alignment horizontal="left" vertical="center"/>
    </xf>
    <xf numFmtId="0" fontId="23" fillId="0" borderId="46" xfId="247" applyFont="1" applyBorder="1" applyAlignment="1">
      <alignment horizontal="left" vertical="center"/>
    </xf>
    <xf numFmtId="0" fontId="23" fillId="0" borderId="47" xfId="247" applyFont="1" applyBorder="1" applyAlignment="1">
      <alignment horizontal="left" vertical="center"/>
    </xf>
    <xf numFmtId="0" fontId="23" fillId="25" borderId="48" xfId="247" applyFont="1" applyFill="1" applyBorder="1" applyAlignment="1">
      <alignment vertical="center"/>
    </xf>
    <xf numFmtId="0" fontId="23" fillId="35" borderId="6" xfId="350" applyFont="1" applyFill="1" applyBorder="1" applyAlignment="1">
      <alignment horizontal="center" vertical="center"/>
    </xf>
    <xf numFmtId="0" fontId="23" fillId="35" borderId="4" xfId="350" applyFont="1" applyFill="1" applyBorder="1" applyAlignment="1">
      <alignment horizontal="center" vertical="center"/>
    </xf>
    <xf numFmtId="0" fontId="23" fillId="35" borderId="5" xfId="350" applyFont="1" applyFill="1" applyBorder="1" applyAlignment="1">
      <alignment horizontal="center" vertical="center"/>
    </xf>
    <xf numFmtId="0" fontId="23" fillId="0" borderId="6" xfId="247" applyFont="1" applyBorder="1" applyAlignment="1">
      <alignment horizontal="left" vertical="center"/>
    </xf>
    <xf numFmtId="0" fontId="23" fillId="0" borderId="4" xfId="247" applyFont="1" applyBorder="1" applyAlignment="1">
      <alignment horizontal="left" vertical="center"/>
    </xf>
    <xf numFmtId="0" fontId="23" fillId="0" borderId="5" xfId="247" applyFont="1" applyBorder="1" applyAlignment="1">
      <alignment horizontal="left" vertical="center"/>
    </xf>
    <xf numFmtId="0" fontId="23" fillId="13" borderId="6" xfId="247" applyFont="1" applyFill="1" applyBorder="1" applyAlignment="1">
      <alignment horizontal="center" vertical="center"/>
    </xf>
    <xf numFmtId="0" fontId="23" fillId="13" borderId="4" xfId="247" applyFont="1" applyFill="1" applyBorder="1" applyAlignment="1">
      <alignment horizontal="center" vertical="center"/>
    </xf>
    <xf numFmtId="0" fontId="23" fillId="13" borderId="5" xfId="247" applyFont="1" applyFill="1" applyBorder="1" applyAlignment="1">
      <alignment horizontal="center" vertical="center"/>
    </xf>
    <xf numFmtId="214" fontId="23" fillId="13" borderId="6" xfId="247" applyNumberFormat="1" applyFont="1" applyFill="1" applyBorder="1" applyAlignment="1">
      <alignment horizontal="left" vertical="center"/>
    </xf>
    <xf numFmtId="214" fontId="23" fillId="13" borderId="4" xfId="247" applyNumberFormat="1" applyFont="1" applyFill="1" applyBorder="1" applyAlignment="1">
      <alignment horizontal="left" vertical="center"/>
    </xf>
    <xf numFmtId="214" fontId="23" fillId="13" borderId="5" xfId="247" applyNumberFormat="1" applyFont="1" applyFill="1" applyBorder="1" applyAlignment="1">
      <alignment horizontal="left" vertical="center"/>
    </xf>
    <xf numFmtId="0" fontId="23" fillId="13" borderId="6" xfId="247" applyFont="1" applyFill="1" applyBorder="1" applyAlignment="1">
      <alignment horizontal="center" vertical="center" wrapText="1"/>
    </xf>
    <xf numFmtId="0" fontId="23" fillId="13" borderId="4" xfId="247" applyFont="1" applyFill="1" applyBorder="1" applyAlignment="1">
      <alignment horizontal="center" vertical="center" wrapText="1"/>
    </xf>
    <xf numFmtId="0" fontId="23" fillId="13" borderId="5" xfId="247" applyFont="1" applyFill="1" applyBorder="1" applyAlignment="1">
      <alignment horizontal="center" vertical="center" wrapText="1"/>
    </xf>
    <xf numFmtId="0" fontId="23" fillId="13" borderId="6" xfId="247" applyFont="1" applyFill="1" applyBorder="1" applyAlignment="1">
      <alignment horizontal="left" vertical="center" wrapText="1"/>
    </xf>
    <xf numFmtId="0" fontId="23" fillId="13" borderId="4" xfId="247" applyFont="1" applyFill="1" applyBorder="1" applyAlignment="1">
      <alignment horizontal="left" vertical="center" wrapText="1"/>
    </xf>
    <xf numFmtId="0" fontId="23" fillId="13" borderId="5" xfId="247" applyFont="1" applyFill="1" applyBorder="1" applyAlignment="1">
      <alignment horizontal="left" vertical="center" wrapText="1"/>
    </xf>
    <xf numFmtId="0" fontId="23" fillId="13" borderId="6" xfId="247" applyFont="1" applyFill="1" applyBorder="1" applyAlignment="1">
      <alignment horizontal="left" vertical="center"/>
    </xf>
    <xf numFmtId="0" fontId="23" fillId="13" borderId="4" xfId="247" applyFont="1" applyFill="1" applyBorder="1" applyAlignment="1">
      <alignment horizontal="left" vertical="center"/>
    </xf>
    <xf numFmtId="0" fontId="23" fillId="13" borderId="5" xfId="247" applyFont="1" applyFill="1" applyBorder="1" applyAlignment="1">
      <alignment horizontal="left" vertical="center"/>
    </xf>
    <xf numFmtId="0" fontId="23" fillId="13" borderId="7" xfId="247" applyFont="1" applyFill="1" applyBorder="1" applyAlignment="1">
      <alignment horizontal="center" vertical="center"/>
    </xf>
    <xf numFmtId="0" fontId="23" fillId="13" borderId="38" xfId="247" applyFont="1" applyFill="1" applyBorder="1" applyAlignment="1">
      <alignment horizontal="center" vertical="center"/>
    </xf>
    <xf numFmtId="0" fontId="23" fillId="13" borderId="43" xfId="247" applyFont="1" applyFill="1" applyBorder="1" applyAlignment="1">
      <alignment horizontal="center" vertical="center"/>
    </xf>
    <xf numFmtId="214" fontId="23" fillId="13" borderId="44" xfId="247" applyNumberFormat="1" applyFont="1" applyFill="1" applyBorder="1" applyAlignment="1">
      <alignment horizontal="center" vertical="center"/>
    </xf>
    <xf numFmtId="214" fontId="23" fillId="13" borderId="38" xfId="247" applyNumberFormat="1" applyFont="1" applyFill="1" applyBorder="1" applyAlignment="1">
      <alignment horizontal="center" vertical="center"/>
    </xf>
    <xf numFmtId="214" fontId="23" fillId="13" borderId="43" xfId="247" applyNumberFormat="1" applyFont="1" applyFill="1" applyBorder="1" applyAlignment="1">
      <alignment horizontal="center" vertical="center"/>
    </xf>
    <xf numFmtId="0" fontId="23" fillId="13" borderId="44" xfId="247" applyFont="1" applyFill="1" applyBorder="1" applyAlignment="1">
      <alignment horizontal="center" vertical="center" wrapText="1"/>
    </xf>
    <xf numFmtId="0" fontId="23" fillId="13" borderId="38" xfId="247" applyFont="1" applyFill="1" applyBorder="1" applyAlignment="1">
      <alignment horizontal="center" vertical="center" wrapText="1"/>
    </xf>
    <xf numFmtId="0" fontId="23" fillId="13" borderId="43" xfId="247" applyFont="1" applyFill="1" applyBorder="1" applyAlignment="1">
      <alignment horizontal="center" vertical="center" wrapText="1"/>
    </xf>
    <xf numFmtId="0" fontId="23" fillId="13" borderId="44" xfId="247" applyFont="1" applyFill="1" applyBorder="1" applyAlignment="1">
      <alignment horizontal="center" vertical="center"/>
    </xf>
    <xf numFmtId="0" fontId="23" fillId="13" borderId="10" xfId="247" applyFont="1" applyFill="1" applyBorder="1" applyAlignment="1">
      <alignment horizontal="center" vertical="center" wrapText="1"/>
    </xf>
    <xf numFmtId="0" fontId="23" fillId="35" borderId="9" xfId="350" applyFont="1" applyFill="1" applyBorder="1" applyAlignment="1">
      <alignment horizontal="center" vertical="center"/>
    </xf>
    <xf numFmtId="0" fontId="23" fillId="0" borderId="9" xfId="350" applyFont="1" applyBorder="1" applyAlignment="1">
      <alignment vertical="center"/>
    </xf>
    <xf numFmtId="213" fontId="23" fillId="0" borderId="9" xfId="350" applyNumberFormat="1" applyFont="1" applyBorder="1" applyAlignment="1">
      <alignment vertical="center"/>
    </xf>
    <xf numFmtId="0" fontId="11" fillId="2" borderId="6" xfId="5" applyFont="1" applyFill="1" applyBorder="1" applyAlignment="1">
      <alignment horizontal="center" vertical="center"/>
    </xf>
    <xf numFmtId="0" fontId="11" fillId="2" borderId="4" xfId="5" applyFont="1" applyFill="1" applyBorder="1" applyAlignment="1">
      <alignment horizontal="center" vertical="center"/>
    </xf>
    <xf numFmtId="0" fontId="9" fillId="0" borderId="6" xfId="3" applyFont="1" applyBorder="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9" fillId="0" borderId="14" xfId="3" applyFont="1" applyBorder="1" applyAlignment="1">
      <alignment horizontal="center" vertical="center"/>
    </xf>
    <xf numFmtId="0" fontId="9" fillId="0" borderId="15" xfId="3" applyFont="1" applyBorder="1" applyAlignment="1">
      <alignment horizontal="center" vertical="center"/>
    </xf>
    <xf numFmtId="0" fontId="9" fillId="0" borderId="16" xfId="3" quotePrefix="1" applyFont="1" applyBorder="1" applyAlignment="1">
      <alignment horizontal="center" vertical="center"/>
    </xf>
    <xf numFmtId="0" fontId="9" fillId="0" borderId="16" xfId="3" applyFont="1" applyBorder="1" applyAlignment="1">
      <alignment horizontal="center" vertical="center"/>
    </xf>
    <xf numFmtId="0" fontId="9" fillId="0" borderId="16" xfId="3" applyFont="1" applyBorder="1" applyAlignment="1">
      <alignment horizontal="center" vertical="center" shrinkToFit="1"/>
    </xf>
    <xf numFmtId="0" fontId="9" fillId="0" borderId="14" xfId="3" applyFont="1" applyBorder="1" applyAlignment="1">
      <alignment horizontal="center" vertical="center" shrinkToFit="1"/>
    </xf>
    <xf numFmtId="0" fontId="9" fillId="0" borderId="15" xfId="3" applyFont="1" applyBorder="1" applyAlignment="1">
      <alignment horizontal="center" vertical="center" shrinkToFit="1"/>
    </xf>
    <xf numFmtId="14" fontId="9" fillId="0" borderId="16" xfId="3" applyNumberFormat="1" applyFont="1" applyBorder="1" applyAlignment="1">
      <alignment horizontal="center" vertical="center"/>
    </xf>
    <xf numFmtId="14" fontId="9" fillId="0" borderId="14" xfId="3" applyNumberFormat="1" applyFont="1" applyBorder="1" applyAlignment="1">
      <alignment horizontal="center" vertical="center"/>
    </xf>
    <xf numFmtId="14" fontId="9" fillId="0" borderId="15" xfId="3" applyNumberFormat="1" applyFont="1" applyBorder="1" applyAlignment="1">
      <alignment horizontal="center" vertical="center"/>
    </xf>
    <xf numFmtId="176" fontId="9" fillId="0" borderId="9" xfId="3" applyNumberFormat="1" applyFont="1" applyBorder="1" applyAlignment="1">
      <alignment horizontal="center" vertical="center"/>
    </xf>
    <xf numFmtId="0" fontId="9" fillId="0" borderId="9" xfId="3" applyFont="1" applyBorder="1" applyAlignment="1">
      <alignment horizontal="center" vertical="center"/>
    </xf>
    <xf numFmtId="14" fontId="9" fillId="0" borderId="16" xfId="4" applyNumberFormat="1" applyFont="1" applyBorder="1" applyAlignment="1">
      <alignment horizontal="center" vertical="center"/>
    </xf>
    <xf numFmtId="14" fontId="9" fillId="0" borderId="14" xfId="4" applyNumberFormat="1" applyFont="1" applyBorder="1" applyAlignment="1">
      <alignment horizontal="center" vertical="center"/>
    </xf>
    <xf numFmtId="14" fontId="9" fillId="0" borderId="15" xfId="4" applyNumberFormat="1" applyFont="1" applyBorder="1" applyAlignment="1">
      <alignment horizontal="center" vertical="center"/>
    </xf>
    <xf numFmtId="178" fontId="9" fillId="0" borderId="6" xfId="5" quotePrefix="1" applyNumberFormat="1" applyFont="1" applyBorder="1">
      <alignment vertical="center"/>
    </xf>
    <xf numFmtId="178" fontId="9" fillId="0" borderId="5" xfId="5" quotePrefix="1" applyNumberFormat="1" applyFont="1" applyBorder="1">
      <alignment vertical="center"/>
    </xf>
    <xf numFmtId="0" fontId="9" fillId="0" borderId="6" xfId="6" applyFont="1" applyBorder="1" applyAlignment="1">
      <alignment horizontal="center" vertical="center"/>
    </xf>
    <xf numFmtId="0" fontId="9" fillId="0" borderId="4" xfId="6" applyFont="1" applyBorder="1" applyAlignment="1">
      <alignment horizontal="center" vertical="center"/>
    </xf>
    <xf numFmtId="0" fontId="9" fillId="0" borderId="5" xfId="6" applyFont="1" applyBorder="1" applyAlignment="1">
      <alignment horizontal="center" vertical="center"/>
    </xf>
    <xf numFmtId="178" fontId="9" fillId="0" borderId="6" xfId="6" applyNumberFormat="1" applyFont="1" applyBorder="1" applyAlignment="1">
      <alignment horizontal="right" vertical="center"/>
    </xf>
    <xf numFmtId="178" fontId="9" fillId="0" borderId="5" xfId="6" applyNumberFormat="1" applyFont="1" applyBorder="1" applyAlignment="1">
      <alignment horizontal="right" vertical="center"/>
    </xf>
    <xf numFmtId="178" fontId="9" fillId="0" borderId="6" xfId="6" applyNumberFormat="1" applyFont="1" applyBorder="1">
      <alignment vertical="center"/>
    </xf>
    <xf numFmtId="178" fontId="9" fillId="0" borderId="5" xfId="6" applyNumberFormat="1" applyFont="1" applyBorder="1">
      <alignment vertical="center"/>
    </xf>
    <xf numFmtId="0" fontId="9" fillId="0" borderId="6" xfId="5" applyFont="1" applyBorder="1" applyAlignment="1">
      <alignment horizontal="left" vertical="center" wrapText="1"/>
    </xf>
    <xf numFmtId="0" fontId="9" fillId="0" borderId="4" xfId="5" applyFont="1" applyBorder="1" applyAlignment="1">
      <alignment horizontal="left" vertical="center" wrapText="1"/>
    </xf>
    <xf numFmtId="0" fontId="9" fillId="0" borderId="5" xfId="5" applyFont="1" applyBorder="1" applyAlignment="1">
      <alignment horizontal="left" vertical="center" wrapText="1"/>
    </xf>
    <xf numFmtId="0" fontId="10" fillId="0" borderId="1" xfId="2" applyFont="1" applyBorder="1" applyAlignment="1">
      <alignment horizontal="center" vertical="center" wrapText="1" shrinkToFit="1"/>
    </xf>
    <xf numFmtId="0" fontId="10" fillId="0" borderId="2" xfId="2" applyFont="1" applyBorder="1" applyAlignment="1">
      <alignment horizontal="center" vertical="center" shrinkToFit="1"/>
    </xf>
    <xf numFmtId="0" fontId="10" fillId="0" borderId="3" xfId="2" applyFont="1" applyBorder="1" applyAlignment="1">
      <alignment horizontal="center" vertical="center" shrinkToFit="1"/>
    </xf>
    <xf numFmtId="0" fontId="10" fillId="0" borderId="11" xfId="2" applyFont="1" applyBorder="1" applyAlignment="1">
      <alignment horizontal="center" vertical="center" shrinkToFit="1"/>
    </xf>
    <xf numFmtId="0" fontId="10" fillId="0" borderId="12" xfId="2" applyFont="1" applyBorder="1" applyAlignment="1">
      <alignment horizontal="center" vertical="center" shrinkToFit="1"/>
    </xf>
    <xf numFmtId="0" fontId="10" fillId="0" borderId="13" xfId="2" applyFont="1" applyBorder="1" applyAlignment="1">
      <alignment horizontal="center" vertical="center" shrinkToFit="1"/>
    </xf>
    <xf numFmtId="177" fontId="7" fillId="0" borderId="6" xfId="6" applyNumberFormat="1" applyFont="1" applyBorder="1" applyAlignment="1">
      <alignment vertical="center" wrapText="1"/>
    </xf>
    <xf numFmtId="0" fontId="10" fillId="0" borderId="4" xfId="5" applyFont="1" applyBorder="1" applyAlignment="1">
      <alignment vertical="center" wrapText="1"/>
    </xf>
    <xf numFmtId="0" fontId="10" fillId="0" borderId="5" xfId="5" applyFont="1" applyBorder="1" applyAlignment="1">
      <alignment vertical="center" wrapText="1"/>
    </xf>
    <xf numFmtId="0" fontId="11" fillId="2" borderId="5" xfId="5" applyFont="1" applyFill="1" applyBorder="1" applyAlignment="1">
      <alignment horizontal="center" vertical="center"/>
    </xf>
    <xf numFmtId="0" fontId="11" fillId="2" borderId="6" xfId="5" applyFont="1" applyFill="1" applyBorder="1" applyAlignment="1">
      <alignment horizontal="center" vertical="center" wrapText="1"/>
    </xf>
    <xf numFmtId="0" fontId="10" fillId="0" borderId="5" xfId="5" applyFont="1" applyBorder="1" applyAlignment="1">
      <alignment horizontal="center" vertical="center" wrapText="1"/>
    </xf>
    <xf numFmtId="0" fontId="7" fillId="0" borderId="6" xfId="5" applyFont="1" applyBorder="1" applyAlignment="1">
      <alignment vertical="center" wrapText="1"/>
    </xf>
    <xf numFmtId="0" fontId="10" fillId="0" borderId="4" xfId="5" applyFont="1" applyBorder="1" applyAlignment="1">
      <alignment horizontal="center" vertical="center" wrapText="1"/>
    </xf>
    <xf numFmtId="0" fontId="5" fillId="0" borderId="8" xfId="3" applyFont="1" applyBorder="1" applyAlignment="1">
      <alignment horizontal="center" vertical="center"/>
    </xf>
    <xf numFmtId="0" fontId="5" fillId="0" borderId="10"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5" fillId="0" borderId="16" xfId="3" quotePrefix="1" applyFont="1" applyBorder="1" applyAlignment="1">
      <alignment horizontal="center" vertical="center"/>
    </xf>
    <xf numFmtId="0" fontId="5" fillId="0" borderId="16" xfId="3" applyFont="1" applyBorder="1" applyAlignment="1">
      <alignment horizontal="center" vertical="center"/>
    </xf>
    <xf numFmtId="0" fontId="5" fillId="0" borderId="16" xfId="3" applyFont="1" applyBorder="1" applyAlignment="1">
      <alignment horizontal="center" vertical="center" shrinkToFit="1"/>
    </xf>
    <xf numFmtId="0" fontId="5" fillId="0" borderId="14" xfId="3" applyFont="1" applyBorder="1" applyAlignment="1">
      <alignment horizontal="center" vertical="center" shrinkToFit="1"/>
    </xf>
    <xf numFmtId="0" fontId="5" fillId="0" borderId="15" xfId="3" applyFont="1" applyBorder="1" applyAlignment="1">
      <alignment horizontal="center" vertical="center" shrinkToFit="1"/>
    </xf>
    <xf numFmtId="14" fontId="5" fillId="0" borderId="16" xfId="3" applyNumberFormat="1" applyFont="1" applyBorder="1" applyAlignment="1">
      <alignment horizontal="center" vertical="center"/>
    </xf>
    <xf numFmtId="14" fontId="5" fillId="0" borderId="14" xfId="3" applyNumberFormat="1" applyFont="1" applyBorder="1" applyAlignment="1">
      <alignment horizontal="center" vertical="center"/>
    </xf>
    <xf numFmtId="14" fontId="5" fillId="0" borderId="15" xfId="3" applyNumberFormat="1" applyFont="1" applyBorder="1" applyAlignment="1">
      <alignment horizontal="center" vertical="center"/>
    </xf>
    <xf numFmtId="176" fontId="5" fillId="0" borderId="9" xfId="3" applyNumberFormat="1" applyFont="1" applyBorder="1" applyAlignment="1">
      <alignment horizontal="center" vertical="center"/>
    </xf>
    <xf numFmtId="0" fontId="5" fillId="0" borderId="1" xfId="2" applyFont="1" applyBorder="1" applyAlignment="1">
      <alignment horizontal="center" vertical="center" wrapText="1" shrinkToFit="1"/>
    </xf>
    <xf numFmtId="0" fontId="5" fillId="0" borderId="2" xfId="2" applyFont="1" applyBorder="1" applyAlignment="1">
      <alignment horizontal="center" vertical="center" shrinkToFit="1"/>
    </xf>
    <xf numFmtId="0" fontId="5" fillId="0" borderId="3" xfId="2" applyFont="1" applyBorder="1" applyAlignment="1">
      <alignment horizontal="center" vertical="center" shrinkToFit="1"/>
    </xf>
    <xf numFmtId="0" fontId="5" fillId="0" borderId="11" xfId="2" applyFont="1" applyBorder="1" applyAlignment="1">
      <alignment horizontal="center" vertical="center" shrinkToFit="1"/>
    </xf>
    <xf numFmtId="0" fontId="5" fillId="0" borderId="12" xfId="2" applyFont="1" applyBorder="1" applyAlignment="1">
      <alignment horizontal="center" vertical="center" shrinkToFit="1"/>
    </xf>
    <xf numFmtId="0" fontId="5" fillId="0" borderId="13" xfId="2" applyFont="1" applyBorder="1" applyAlignment="1">
      <alignment horizontal="center" vertical="center" shrinkToFit="1"/>
    </xf>
    <xf numFmtId="0" fontId="5" fillId="0" borderId="4" xfId="3" applyFont="1" applyBorder="1" applyAlignment="1">
      <alignment horizontal="center" vertical="center" shrinkToFit="1"/>
    </xf>
    <xf numFmtId="0" fontId="5" fillId="0" borderId="5" xfId="3" applyFont="1" applyBorder="1" applyAlignment="1">
      <alignment horizontal="center" vertical="center" shrinkToFit="1"/>
    </xf>
    <xf numFmtId="0" fontId="5" fillId="0" borderId="6" xfId="3" applyFont="1" applyBorder="1" applyAlignment="1">
      <alignment horizontal="center" vertical="center"/>
    </xf>
    <xf numFmtId="0" fontId="5" fillId="0" borderId="4" xfId="3" applyFont="1" applyBorder="1" applyAlignment="1">
      <alignment horizontal="center" vertical="center"/>
    </xf>
    <xf numFmtId="0" fontId="5" fillId="0" borderId="5" xfId="3" applyFont="1" applyBorder="1" applyAlignment="1">
      <alignment horizontal="center" vertical="center"/>
    </xf>
    <xf numFmtId="0" fontId="5" fillId="0" borderId="9" xfId="3" applyFont="1" applyBorder="1" applyAlignment="1">
      <alignment horizontal="center" vertical="center"/>
    </xf>
    <xf numFmtId="14" fontId="5" fillId="0" borderId="16" xfId="4" applyNumberFormat="1" applyFont="1" applyBorder="1" applyAlignment="1">
      <alignment horizontal="center" vertical="center"/>
    </xf>
    <xf numFmtId="14" fontId="5" fillId="0" borderId="14" xfId="4" applyNumberFormat="1" applyFont="1" applyBorder="1" applyAlignment="1">
      <alignment horizontal="center" vertical="center"/>
    </xf>
    <xf numFmtId="14" fontId="5" fillId="0" borderId="15" xfId="4" applyNumberFormat="1" applyFont="1" applyBorder="1" applyAlignment="1">
      <alignment horizontal="center" vertical="center"/>
    </xf>
    <xf numFmtId="0" fontId="100" fillId="2" borderId="6" xfId="5" applyFont="1" applyFill="1" applyBorder="1" applyAlignment="1">
      <alignment horizontal="center" vertical="center"/>
    </xf>
    <xf numFmtId="0" fontId="100" fillId="2" borderId="4" xfId="5" applyFont="1" applyFill="1" applyBorder="1" applyAlignment="1">
      <alignment horizontal="center" vertical="center"/>
    </xf>
    <xf numFmtId="0" fontId="100" fillId="2" borderId="5" xfId="5" applyFont="1" applyFill="1" applyBorder="1" applyAlignment="1">
      <alignment horizontal="center" vertical="center"/>
    </xf>
    <xf numFmtId="0" fontId="101" fillId="2" borderId="6" xfId="5" applyFont="1" applyFill="1" applyBorder="1" applyAlignment="1">
      <alignment horizontal="center" vertical="center" wrapText="1"/>
    </xf>
    <xf numFmtId="0" fontId="5" fillId="0" borderId="5" xfId="5" applyFont="1" applyBorder="1" applyAlignment="1">
      <alignment horizontal="center" vertical="center" wrapText="1"/>
    </xf>
    <xf numFmtId="0" fontId="5" fillId="0" borderId="6" xfId="5" applyFont="1" applyBorder="1" applyAlignment="1">
      <alignment vertical="center" wrapText="1"/>
    </xf>
    <xf numFmtId="0" fontId="5" fillId="0" borderId="4" xfId="5" applyFont="1" applyBorder="1" applyAlignment="1">
      <alignment vertical="center" wrapText="1"/>
    </xf>
    <xf numFmtId="0" fontId="5" fillId="0" borderId="5" xfId="5" applyFont="1" applyBorder="1" applyAlignment="1">
      <alignment vertical="center" wrapText="1"/>
    </xf>
    <xf numFmtId="0" fontId="5" fillId="0" borderId="4" xfId="5" applyFont="1" applyBorder="1" applyAlignment="1">
      <alignment horizontal="center" vertical="center" wrapText="1"/>
    </xf>
    <xf numFmtId="177" fontId="5" fillId="0" borderId="6" xfId="6" applyNumberFormat="1" applyFont="1" applyBorder="1" applyAlignment="1">
      <alignment vertical="center" wrapText="1"/>
    </xf>
    <xf numFmtId="0" fontId="101" fillId="2" borderId="6" xfId="5" applyFont="1" applyFill="1" applyBorder="1" applyAlignment="1">
      <alignment horizontal="center" vertical="center"/>
    </xf>
    <xf numFmtId="0" fontId="101" fillId="2" borderId="4" xfId="5" applyFont="1" applyFill="1" applyBorder="1" applyAlignment="1">
      <alignment horizontal="center" vertical="center"/>
    </xf>
    <xf numFmtId="0" fontId="99" fillId="2" borderId="6" xfId="5" applyFont="1" applyFill="1" applyBorder="1" applyAlignment="1">
      <alignment horizontal="center" vertical="center" shrinkToFit="1"/>
    </xf>
    <xf numFmtId="0" fontId="99" fillId="2" borderId="4" xfId="5" applyFont="1" applyFill="1" applyBorder="1" applyAlignment="1">
      <alignment horizontal="center" vertical="center" shrinkToFit="1"/>
    </xf>
    <xf numFmtId="0" fontId="99" fillId="2" borderId="5" xfId="5" applyFont="1" applyFill="1" applyBorder="1" applyAlignment="1">
      <alignment horizontal="center" vertical="center" shrinkToFit="1"/>
    </xf>
    <xf numFmtId="0" fontId="5" fillId="2" borderId="6" xfId="5" applyFont="1" applyFill="1" applyBorder="1" applyAlignment="1">
      <alignment horizontal="center" vertical="center" shrinkToFit="1"/>
    </xf>
    <xf numFmtId="0" fontId="5" fillId="2" borderId="4" xfId="5" applyFont="1" applyFill="1" applyBorder="1" applyAlignment="1">
      <alignment horizontal="center" vertical="center" shrinkToFit="1"/>
    </xf>
    <xf numFmtId="0" fontId="5" fillId="2" borderId="5" xfId="5" applyFont="1" applyFill="1" applyBorder="1" applyAlignment="1">
      <alignment horizontal="center" vertical="center" shrinkToFit="1"/>
    </xf>
    <xf numFmtId="0" fontId="99" fillId="2" borderId="6" xfId="5" applyFont="1" applyFill="1" applyBorder="1" applyAlignment="1">
      <alignment horizontal="center" vertical="center" wrapText="1" shrinkToFit="1"/>
    </xf>
    <xf numFmtId="178" fontId="99" fillId="0" borderId="6" xfId="5" quotePrefix="1" applyNumberFormat="1" applyFont="1" applyBorder="1">
      <alignment vertical="center"/>
    </xf>
    <xf numFmtId="178" fontId="99" fillId="0" borderId="5" xfId="5" quotePrefix="1" applyNumberFormat="1" applyFont="1" applyBorder="1">
      <alignment vertical="center"/>
    </xf>
    <xf numFmtId="0" fontId="99" fillId="0" borderId="6" xfId="6" applyFont="1" applyBorder="1" applyAlignment="1">
      <alignment horizontal="center" vertical="center" shrinkToFit="1"/>
    </xf>
    <xf numFmtId="0" fontId="99" fillId="0" borderId="4" xfId="6" applyFont="1" applyBorder="1" applyAlignment="1">
      <alignment horizontal="center" vertical="center" shrinkToFit="1"/>
    </xf>
    <xf numFmtId="0" fontId="99" fillId="0" borderId="5" xfId="6" applyFont="1" applyBorder="1" applyAlignment="1">
      <alignment horizontal="center" vertical="center" shrinkToFit="1"/>
    </xf>
    <xf numFmtId="178" fontId="99" fillId="0" borderId="6" xfId="6" applyNumberFormat="1" applyFont="1" applyBorder="1" applyAlignment="1">
      <alignment horizontal="center" vertical="center"/>
    </xf>
    <xf numFmtId="178" fontId="99" fillId="0" borderId="5" xfId="6" applyNumberFormat="1" applyFont="1" applyBorder="1" applyAlignment="1">
      <alignment horizontal="center" vertical="center"/>
    </xf>
    <xf numFmtId="178" fontId="99" fillId="0" borderId="6" xfId="6" applyNumberFormat="1" applyFont="1" applyBorder="1" applyAlignment="1">
      <alignment horizontal="right" vertical="center"/>
    </xf>
    <xf numFmtId="178" fontId="99" fillId="0" borderId="5" xfId="6" applyNumberFormat="1" applyFont="1" applyBorder="1" applyAlignment="1">
      <alignment horizontal="right" vertical="center"/>
    </xf>
    <xf numFmtId="178" fontId="99" fillId="0" borderId="6" xfId="6" applyNumberFormat="1" applyFont="1" applyBorder="1">
      <alignment vertical="center"/>
    </xf>
    <xf numFmtId="178" fontId="99" fillId="0" borderId="5" xfId="6" applyNumberFormat="1" applyFont="1" applyBorder="1">
      <alignment vertical="center"/>
    </xf>
    <xf numFmtId="0" fontId="99" fillId="0" borderId="6" xfId="6" applyFont="1" applyBorder="1" applyAlignment="1">
      <alignment vertical="center" shrinkToFit="1"/>
    </xf>
    <xf numFmtId="0" fontId="99" fillId="0" borderId="4" xfId="6" applyFont="1" applyBorder="1" applyAlignment="1">
      <alignment vertical="center" shrinkToFit="1"/>
    </xf>
    <xf numFmtId="0" fontId="99" fillId="0" borderId="5" xfId="6" applyFont="1" applyBorder="1" applyAlignment="1">
      <alignment vertical="center" shrinkToFit="1"/>
    </xf>
    <xf numFmtId="212" fontId="7" fillId="30" borderId="6" xfId="329" applyNumberFormat="1" applyFont="1" applyFill="1" applyBorder="1" applyAlignment="1">
      <alignment vertical="center"/>
    </xf>
    <xf numFmtId="212" fontId="7" fillId="30" borderId="5" xfId="329" applyNumberFormat="1" applyFont="1" applyFill="1" applyBorder="1" applyAlignment="1">
      <alignment vertical="center"/>
    </xf>
    <xf numFmtId="0" fontId="7" fillId="0" borderId="6" xfId="303" applyFont="1" applyBorder="1" applyAlignment="1">
      <alignment horizontal="center" vertical="center" shrinkToFit="1"/>
    </xf>
    <xf numFmtId="0" fontId="7" fillId="0" borderId="5" xfId="303" applyFont="1" applyBorder="1" applyAlignment="1">
      <alignment horizontal="center" vertical="center" shrinkToFit="1"/>
    </xf>
    <xf numFmtId="0" fontId="7" fillId="0" borderId="6" xfId="303" applyFont="1" applyBorder="1" applyAlignment="1">
      <alignment vertical="center" shrinkToFit="1"/>
    </xf>
    <xf numFmtId="0" fontId="7" fillId="0" borderId="5" xfId="303" applyFont="1" applyBorder="1" applyAlignment="1">
      <alignment vertical="center" shrinkToFit="1"/>
    </xf>
    <xf numFmtId="0" fontId="7" fillId="29" borderId="6" xfId="303" applyFont="1" applyFill="1" applyBorder="1" applyAlignment="1">
      <alignment vertical="center" shrinkToFit="1"/>
    </xf>
    <xf numFmtId="0" fontId="7" fillId="29" borderId="5" xfId="303" applyFont="1" applyFill="1" applyBorder="1" applyAlignment="1">
      <alignment vertical="center" shrinkToFit="1"/>
    </xf>
    <xf numFmtId="0" fontId="7" fillId="29" borderId="6" xfId="303" applyFont="1" applyFill="1" applyBorder="1" applyAlignment="1">
      <alignment horizontal="center" vertical="center" shrinkToFit="1"/>
    </xf>
    <xf numFmtId="0" fontId="7" fillId="29" borderId="5" xfId="303" applyFont="1" applyFill="1" applyBorder="1" applyAlignment="1">
      <alignment horizontal="center" vertical="center" shrinkToFit="1"/>
    </xf>
    <xf numFmtId="0" fontId="10" fillId="0" borderId="1" xfId="334" applyFont="1" applyBorder="1" applyAlignment="1">
      <alignment horizontal="center" vertical="center" wrapText="1" shrinkToFit="1"/>
    </xf>
    <xf numFmtId="0" fontId="10" fillId="0" borderId="2" xfId="334" applyFont="1" applyBorder="1" applyAlignment="1">
      <alignment horizontal="center" vertical="center" shrinkToFit="1"/>
    </xf>
    <xf numFmtId="0" fontId="10" fillId="0" borderId="3" xfId="334" applyFont="1" applyBorder="1" applyAlignment="1">
      <alignment horizontal="center" vertical="center" shrinkToFit="1"/>
    </xf>
    <xf numFmtId="0" fontId="10" fillId="0" borderId="11" xfId="334" applyFont="1" applyBorder="1" applyAlignment="1">
      <alignment horizontal="center" vertical="center" shrinkToFit="1"/>
    </xf>
    <xf numFmtId="0" fontId="10" fillId="0" borderId="12" xfId="334" applyFont="1" applyBorder="1" applyAlignment="1">
      <alignment horizontal="center" vertical="center" shrinkToFit="1"/>
    </xf>
    <xf numFmtId="0" fontId="10" fillId="0" borderId="13" xfId="334" applyFont="1" applyBorder="1" applyAlignment="1">
      <alignment horizontal="center" vertical="center" shrinkToFit="1"/>
    </xf>
    <xf numFmtId="0" fontId="7" fillId="30" borderId="6" xfId="303" applyFont="1" applyFill="1" applyBorder="1" applyAlignment="1">
      <alignment vertical="center" shrinkToFit="1"/>
    </xf>
    <xf numFmtId="0" fontId="7" fillId="30" borderId="5" xfId="303" applyFont="1" applyFill="1" applyBorder="1" applyAlignment="1">
      <alignment vertical="center" shrinkToFit="1"/>
    </xf>
    <xf numFmtId="0" fontId="7" fillId="32" borderId="6" xfId="330" applyFont="1" applyFill="1" applyBorder="1" applyAlignment="1">
      <alignment horizontal="center" vertical="center" wrapText="1"/>
    </xf>
    <xf numFmtId="0" fontId="10" fillId="0" borderId="5" xfId="303" applyFont="1" applyBorder="1"/>
    <xf numFmtId="0" fontId="7" fillId="33" borderId="6" xfId="303" applyFont="1" applyFill="1" applyBorder="1" applyAlignment="1">
      <alignment horizontal="center" vertical="center"/>
    </xf>
    <xf numFmtId="0" fontId="10" fillId="0" borderId="4" xfId="5" applyFont="1" applyBorder="1" applyAlignment="1">
      <alignment horizontal="center" vertical="center"/>
    </xf>
    <xf numFmtId="0" fontId="10" fillId="0" borderId="5" xfId="5" applyFont="1" applyBorder="1" applyAlignment="1">
      <alignment horizontal="center" vertical="center"/>
    </xf>
    <xf numFmtId="0" fontId="7" fillId="32" borderId="6" xfId="330" applyFont="1" applyFill="1" applyBorder="1" applyAlignment="1">
      <alignment horizontal="center" vertical="center"/>
    </xf>
    <xf numFmtId="0" fontId="7" fillId="32" borderId="6" xfId="330" applyFont="1" applyFill="1" applyBorder="1" applyAlignment="1">
      <alignment vertical="center"/>
    </xf>
    <xf numFmtId="0" fontId="7" fillId="32" borderId="4" xfId="330" applyFont="1" applyFill="1" applyBorder="1" applyAlignment="1">
      <alignment vertical="center"/>
    </xf>
    <xf numFmtId="0" fontId="7" fillId="32" borderId="5" xfId="330" applyFont="1" applyFill="1" applyBorder="1" applyAlignment="1">
      <alignment vertical="center"/>
    </xf>
    <xf numFmtId="0" fontId="7" fillId="0" borderId="6" xfId="303" applyFont="1" applyBorder="1" applyAlignment="1">
      <alignment vertical="center"/>
    </xf>
    <xf numFmtId="0" fontId="7" fillId="0" borderId="4" xfId="303" applyFont="1" applyBorder="1" applyAlignment="1">
      <alignment vertical="center"/>
    </xf>
    <xf numFmtId="0" fontId="7" fillId="32" borderId="6" xfId="332" applyFont="1" applyFill="1" applyBorder="1" applyAlignment="1">
      <alignment vertical="center"/>
    </xf>
    <xf numFmtId="0" fontId="7" fillId="32" borderId="4" xfId="303" applyFont="1" applyFill="1" applyBorder="1"/>
    <xf numFmtId="0" fontId="7" fillId="32" borderId="5" xfId="303" applyFont="1" applyFill="1" applyBorder="1"/>
    <xf numFmtId="0" fontId="7" fillId="0" borderId="6" xfId="303" applyFont="1" applyBorder="1" applyAlignment="1">
      <alignment horizontal="center"/>
    </xf>
    <xf numFmtId="0" fontId="7" fillId="0" borderId="4" xfId="303" applyFont="1" applyBorder="1" applyAlignment="1">
      <alignment horizontal="center"/>
    </xf>
    <xf numFmtId="0" fontId="7" fillId="32" borderId="9" xfId="303" applyFont="1" applyFill="1" applyBorder="1" applyAlignment="1">
      <alignment horizontal="left"/>
    </xf>
    <xf numFmtId="0" fontId="7" fillId="0" borderId="5" xfId="303" applyFont="1" applyBorder="1" applyAlignment="1">
      <alignment horizontal="center"/>
    </xf>
    <xf numFmtId="0" fontId="9" fillId="0" borderId="38" xfId="333" applyFont="1" applyBorder="1" applyAlignment="1">
      <alignment horizontal="center" vertical="center"/>
    </xf>
    <xf numFmtId="0" fontId="9" fillId="0" borderId="10" xfId="333" applyFont="1" applyBorder="1" applyAlignment="1">
      <alignment horizontal="center" vertical="center"/>
    </xf>
    <xf numFmtId="0" fontId="9" fillId="0" borderId="14" xfId="333" applyFont="1" applyBorder="1" applyAlignment="1">
      <alignment horizontal="center" vertical="center"/>
    </xf>
    <xf numFmtId="0" fontId="9" fillId="0" borderId="15" xfId="333" applyFont="1" applyBorder="1" applyAlignment="1">
      <alignment horizontal="center" vertical="center"/>
    </xf>
    <xf numFmtId="0" fontId="9" fillId="0" borderId="16" xfId="333" applyFont="1" applyBorder="1" applyAlignment="1">
      <alignment horizontal="center" vertical="center"/>
    </xf>
    <xf numFmtId="0" fontId="9" fillId="0" borderId="16" xfId="333" applyFont="1" applyBorder="1" applyAlignment="1">
      <alignment horizontal="center" vertical="center" shrinkToFit="1"/>
    </xf>
    <xf numFmtId="0" fontId="9" fillId="0" borderId="14" xfId="333" applyFont="1" applyBorder="1" applyAlignment="1">
      <alignment horizontal="center" vertical="center" shrinkToFit="1"/>
    </xf>
    <xf numFmtId="0" fontId="9" fillId="0" borderId="15" xfId="333" applyFont="1" applyBorder="1" applyAlignment="1">
      <alignment horizontal="center" vertical="center" shrinkToFit="1"/>
    </xf>
    <xf numFmtId="14" fontId="9" fillId="0" borderId="16" xfId="333" applyNumberFormat="1" applyFont="1" applyBorder="1" applyAlignment="1">
      <alignment horizontal="center" vertical="center"/>
    </xf>
    <xf numFmtId="14" fontId="9" fillId="0" borderId="14" xfId="333" applyNumberFormat="1" applyFont="1" applyBorder="1" applyAlignment="1">
      <alignment horizontal="center" vertical="center"/>
    </xf>
    <xf numFmtId="14" fontId="9" fillId="0" borderId="15" xfId="333" applyNumberFormat="1" applyFont="1" applyBorder="1" applyAlignment="1">
      <alignment horizontal="center" vertical="center"/>
    </xf>
    <xf numFmtId="0" fontId="9" fillId="0" borderId="4" xfId="333" applyFont="1" applyBorder="1" applyAlignment="1">
      <alignment horizontal="center" vertical="center"/>
    </xf>
    <xf numFmtId="0" fontId="9" fillId="0" borderId="5" xfId="333" applyFont="1" applyBorder="1" applyAlignment="1">
      <alignment horizontal="center" vertical="center"/>
    </xf>
    <xf numFmtId="0" fontId="9" fillId="0" borderId="6" xfId="333" applyFont="1" applyBorder="1" applyAlignment="1">
      <alignment horizontal="center" vertical="center"/>
    </xf>
    <xf numFmtId="0" fontId="9" fillId="0" borderId="7" xfId="333" applyFont="1" applyBorder="1" applyAlignment="1">
      <alignment horizontal="center" vertical="center" wrapText="1"/>
    </xf>
    <xf numFmtId="0" fontId="9" fillId="0" borderId="38" xfId="333" applyFont="1" applyBorder="1" applyAlignment="1">
      <alignment horizontal="center" vertical="center" wrapText="1"/>
    </xf>
    <xf numFmtId="0" fontId="9" fillId="0" borderId="10" xfId="333" applyFont="1" applyBorder="1" applyAlignment="1">
      <alignment horizontal="center" vertical="center" wrapText="1"/>
    </xf>
    <xf numFmtId="0" fontId="9" fillId="0" borderId="16" xfId="333" applyFont="1" applyBorder="1" applyAlignment="1">
      <alignment horizontal="center" vertical="center" wrapText="1"/>
    </xf>
    <xf numFmtId="0" fontId="9" fillId="0" borderId="14" xfId="333" applyFont="1" applyBorder="1" applyAlignment="1">
      <alignment horizontal="center" vertical="center" wrapText="1"/>
    </xf>
    <xf numFmtId="0" fontId="9" fillId="0" borderId="15" xfId="333" applyFont="1" applyBorder="1" applyAlignment="1">
      <alignment horizontal="center" vertical="center" wrapText="1"/>
    </xf>
    <xf numFmtId="0" fontId="9" fillId="0" borderId="9" xfId="333" applyFont="1" applyBorder="1" applyAlignment="1">
      <alignment horizontal="center" vertical="center"/>
    </xf>
    <xf numFmtId="176" fontId="9" fillId="0" borderId="9" xfId="334" applyNumberFormat="1" applyFont="1" applyBorder="1" applyAlignment="1">
      <alignment horizontal="center" vertical="center"/>
    </xf>
    <xf numFmtId="0" fontId="7" fillId="32" borderId="6" xfId="303" applyFont="1" applyFill="1" applyBorder="1"/>
    <xf numFmtId="177" fontId="7" fillId="0" borderId="6" xfId="303" applyNumberFormat="1" applyFont="1" applyBorder="1" applyAlignment="1">
      <alignment horizontal="right"/>
    </xf>
    <xf numFmtId="177" fontId="7" fillId="0" borderId="4" xfId="303" applyNumberFormat="1" applyFont="1" applyBorder="1" applyAlignment="1">
      <alignment horizontal="right"/>
    </xf>
    <xf numFmtId="0" fontId="7" fillId="0" borderId="4" xfId="330" applyFont="1" applyBorder="1" applyAlignment="1">
      <alignment horizontal="center" vertical="center"/>
    </xf>
    <xf numFmtId="0" fontId="7" fillId="32" borderId="7" xfId="330" applyFont="1" applyFill="1" applyBorder="1" applyAlignment="1">
      <alignment vertical="center"/>
    </xf>
    <xf numFmtId="0" fontId="7" fillId="32" borderId="38" xfId="330" applyFont="1" applyFill="1" applyBorder="1" applyAlignment="1">
      <alignment vertical="center"/>
    </xf>
    <xf numFmtId="0" fontId="7" fillId="32" borderId="10" xfId="330" applyFont="1" applyFill="1" applyBorder="1" applyAlignment="1">
      <alignment vertical="center"/>
    </xf>
    <xf numFmtId="0" fontId="7" fillId="32" borderId="37" xfId="303" applyFont="1" applyFill="1" applyBorder="1" applyAlignment="1">
      <alignment vertical="center"/>
    </xf>
    <xf numFmtId="0" fontId="7" fillId="32" borderId="0" xfId="303" applyFont="1" applyFill="1" applyAlignment="1">
      <alignment vertical="center"/>
    </xf>
    <xf numFmtId="0" fontId="7" fillId="32" borderId="36" xfId="303" applyFont="1" applyFill="1" applyBorder="1" applyAlignment="1">
      <alignment vertical="center"/>
    </xf>
    <xf numFmtId="0" fontId="7" fillId="32" borderId="16" xfId="303" applyFont="1" applyFill="1" applyBorder="1" applyAlignment="1">
      <alignment vertical="center"/>
    </xf>
    <xf numFmtId="0" fontId="7" fillId="32" borderId="14" xfId="303" applyFont="1" applyFill="1" applyBorder="1" applyAlignment="1">
      <alignment vertical="center"/>
    </xf>
    <xf numFmtId="0" fontId="7" fillId="32" borderId="15" xfId="303" applyFont="1" applyFill="1" applyBorder="1" applyAlignment="1">
      <alignment vertical="center"/>
    </xf>
    <xf numFmtId="0" fontId="7" fillId="0" borderId="4" xfId="303" applyFont="1" applyBorder="1" applyAlignment="1">
      <alignment vertical="center" shrinkToFit="1"/>
    </xf>
    <xf numFmtId="3" fontId="7" fillId="29" borderId="6" xfId="326" applyNumberFormat="1" applyFont="1" applyFill="1" applyBorder="1" applyAlignment="1">
      <alignment vertical="center" wrapText="1"/>
    </xf>
    <xf numFmtId="3" fontId="7" fillId="29" borderId="4" xfId="326" applyNumberFormat="1" applyFont="1" applyFill="1" applyBorder="1" applyAlignment="1">
      <alignment vertical="center"/>
    </xf>
    <xf numFmtId="3" fontId="7" fillId="29" borderId="5" xfId="326" applyNumberFormat="1" applyFont="1" applyFill="1" applyBorder="1" applyAlignment="1">
      <alignment vertical="center"/>
    </xf>
    <xf numFmtId="0" fontId="7" fillId="0" borderId="6" xfId="303" applyFont="1" applyBorder="1" applyAlignment="1">
      <alignment horizontal="center" vertical="center" wrapText="1"/>
    </xf>
    <xf numFmtId="0" fontId="7" fillId="0" borderId="5" xfId="303" applyFont="1" applyBorder="1" applyAlignment="1">
      <alignment horizontal="center" vertical="center" wrapText="1"/>
    </xf>
    <xf numFmtId="3" fontId="7" fillId="0" borderId="6" xfId="326" quotePrefix="1" applyNumberFormat="1" applyFont="1" applyBorder="1" applyAlignment="1">
      <alignment vertical="center" wrapText="1"/>
    </xf>
    <xf numFmtId="3" fontId="7" fillId="0" borderId="4" xfId="326" quotePrefix="1" applyNumberFormat="1" applyFont="1" applyBorder="1" applyAlignment="1">
      <alignment vertical="center" wrapText="1"/>
    </xf>
    <xf numFmtId="3" fontId="7" fillId="0" borderId="5" xfId="326" quotePrefix="1" applyNumberFormat="1" applyFont="1" applyBorder="1" applyAlignment="1">
      <alignment vertical="center" wrapText="1"/>
    </xf>
    <xf numFmtId="3" fontId="7" fillId="0" borderId="6" xfId="326" applyNumberFormat="1" applyFont="1" applyBorder="1" applyAlignment="1">
      <alignment vertical="center" wrapText="1"/>
    </xf>
    <xf numFmtId="3" fontId="7" fillId="0" borderId="4" xfId="326" applyNumberFormat="1" applyFont="1" applyBorder="1" applyAlignment="1">
      <alignment vertical="center" wrapText="1"/>
    </xf>
    <xf numFmtId="3" fontId="7" fillId="0" borderId="5" xfId="326" applyNumberFormat="1" applyFont="1" applyBorder="1" applyAlignment="1">
      <alignment vertical="center" wrapText="1"/>
    </xf>
    <xf numFmtId="0" fontId="7" fillId="32" borderId="4" xfId="330" applyFont="1" applyFill="1" applyBorder="1" applyAlignment="1">
      <alignment horizontal="center" vertical="center" wrapText="1"/>
    </xf>
    <xf numFmtId="0" fontId="7" fillId="32" borderId="5" xfId="330" applyFont="1" applyFill="1" applyBorder="1" applyAlignment="1">
      <alignment horizontal="center" vertical="center" wrapText="1"/>
    </xf>
    <xf numFmtId="3" fontId="7" fillId="0" borderId="6" xfId="326" quotePrefix="1" applyNumberFormat="1" applyFont="1" applyBorder="1" applyAlignment="1">
      <alignment horizontal="center" vertical="center" wrapText="1"/>
    </xf>
    <xf numFmtId="3" fontId="7" fillId="0" borderId="4" xfId="326" quotePrefix="1" applyNumberFormat="1" applyFont="1" applyBorder="1" applyAlignment="1">
      <alignment horizontal="center" vertical="center" wrapText="1"/>
    </xf>
    <xf numFmtId="3" fontId="7" fillId="0" borderId="5" xfId="326" quotePrefix="1" applyNumberFormat="1" applyFont="1" applyBorder="1" applyAlignment="1">
      <alignment horizontal="center" vertical="center" wrapText="1"/>
    </xf>
  </cellXfs>
  <cellStyles count="351">
    <cellStyle name="_x000c_ーセン_x000c_" xfId="7" xr:uid="{00000000-0005-0000-0000-000000000000}"/>
    <cellStyle name="_x000d__x000a_JournalTemplate=C:\COMFO\CTALK\JOURSTD.TPL_x000d__x000a_LbStateAddress=3 3 0 251 1 89 2 311_x000d__x000a_LbStateJou" xfId="8" xr:uid="{00000000-0005-0000-0000-000001000000}"/>
    <cellStyle name="??" xfId="9" xr:uid="{00000000-0005-0000-0000-000002000000}"/>
    <cellStyle name="?? [0.00]_PERSONAL" xfId="10" xr:uid="{00000000-0005-0000-0000-000003000000}"/>
    <cellStyle name="???? [0.00]_PERSONAL" xfId="11" xr:uid="{00000000-0005-0000-0000-000004000000}"/>
    <cellStyle name="????_PERSONAL" xfId="12" xr:uid="{00000000-0005-0000-0000-000005000000}"/>
    <cellStyle name="??_PERSONAL" xfId="13" xr:uid="{00000000-0005-0000-0000-000006000000}"/>
    <cellStyle name="_【提出】見積もり_20070717（LAN・WAN・セキュリティ・インターネット）" xfId="14" xr:uid="{00000000-0005-0000-0000-000007000000}"/>
    <cellStyle name="_テープ媒体運用 (2)" xfId="15" xr:uid="{00000000-0005-0000-0000-000008000000}"/>
    <cellStyle name="0%" xfId="16" xr:uid="{00000000-0005-0000-0000-000009000000}"/>
    <cellStyle name="0,0_x000d__x000a_NA_x000d__x000a_" xfId="17" xr:uid="{00000000-0005-0000-0000-00000A000000}"/>
    <cellStyle name="0.0%" xfId="18" xr:uid="{00000000-0005-0000-0000-00000B000000}"/>
    <cellStyle name="0.00%" xfId="19" xr:uid="{00000000-0005-0000-0000-00000C000000}"/>
    <cellStyle name="11.5" xfId="20" xr:uid="{00000000-0005-0000-0000-00000D000000}"/>
    <cellStyle name="11.5 2" xfId="21" xr:uid="{00000000-0005-0000-0000-00000E000000}"/>
    <cellStyle name="121" xfId="22" xr:uid="{00000000-0005-0000-0000-00000F000000}"/>
    <cellStyle name="20% - アクセント 1 2" xfId="23" xr:uid="{00000000-0005-0000-0000-000010000000}"/>
    <cellStyle name="20% - アクセント 2 2" xfId="24" xr:uid="{00000000-0005-0000-0000-000011000000}"/>
    <cellStyle name="20% - アクセント 3 2" xfId="25" xr:uid="{00000000-0005-0000-0000-000012000000}"/>
    <cellStyle name="20% - アクセント 4 2" xfId="26" xr:uid="{00000000-0005-0000-0000-000013000000}"/>
    <cellStyle name="20% - アクセント 5 2" xfId="27" xr:uid="{00000000-0005-0000-0000-000014000000}"/>
    <cellStyle name="20% - アクセント 6 2" xfId="28" xr:uid="{00000000-0005-0000-0000-000015000000}"/>
    <cellStyle name="40% - アクセント 1 2" xfId="29" xr:uid="{00000000-0005-0000-0000-000016000000}"/>
    <cellStyle name="40% - アクセント 2 2" xfId="30" xr:uid="{00000000-0005-0000-0000-000017000000}"/>
    <cellStyle name="40% - アクセント 3 2" xfId="31" xr:uid="{00000000-0005-0000-0000-000018000000}"/>
    <cellStyle name="40% - アクセント 4 2" xfId="32" xr:uid="{00000000-0005-0000-0000-000019000000}"/>
    <cellStyle name="40% - アクセント 5 2" xfId="33" xr:uid="{00000000-0005-0000-0000-00001A000000}"/>
    <cellStyle name="40% - アクセント 6 2" xfId="34" xr:uid="{00000000-0005-0000-0000-00001B000000}"/>
    <cellStyle name="60% - アクセント 1 2" xfId="35" xr:uid="{00000000-0005-0000-0000-00001C000000}"/>
    <cellStyle name="60% - アクセント 2 2" xfId="36" xr:uid="{00000000-0005-0000-0000-00001D000000}"/>
    <cellStyle name="60% - アクセント 3 2" xfId="37" xr:uid="{00000000-0005-0000-0000-00001E000000}"/>
    <cellStyle name="60% - アクセント 4 2" xfId="38" xr:uid="{00000000-0005-0000-0000-00001F000000}"/>
    <cellStyle name="60% - アクセント 5 2" xfId="39" xr:uid="{00000000-0005-0000-0000-000020000000}"/>
    <cellStyle name="60% - アクセント 6 2" xfId="40" xr:uid="{00000000-0005-0000-0000-000021000000}"/>
    <cellStyle name="ando" xfId="41" xr:uid="{00000000-0005-0000-0000-000022000000}"/>
    <cellStyle name="B10" xfId="42" xr:uid="{00000000-0005-0000-0000-000023000000}"/>
    <cellStyle name="Background" xfId="43" xr:uid="{00000000-0005-0000-0000-000024000000}"/>
    <cellStyle name="BD標準" xfId="44" xr:uid="{00000000-0005-0000-0000-000025000000}"/>
    <cellStyle name="blank" xfId="45" xr:uid="{00000000-0005-0000-0000-000026000000}"/>
    <cellStyle name="Border" xfId="46" xr:uid="{00000000-0005-0000-0000-000027000000}"/>
    <cellStyle name="Border 2" xfId="47" xr:uid="{00000000-0005-0000-0000-000028000000}"/>
    <cellStyle name="Border 3" xfId="48" xr:uid="{00000000-0005-0000-0000-000029000000}"/>
    <cellStyle name="Border_プロセス機能仕様" xfId="49" xr:uid="{00000000-0005-0000-0000-00002A000000}"/>
    <cellStyle name="Calc Currency (0)" xfId="50" xr:uid="{00000000-0005-0000-0000-00002B000000}"/>
    <cellStyle name="Calc Currency (0) 2" xfId="51" xr:uid="{00000000-0005-0000-0000-00002C000000}"/>
    <cellStyle name="Calc Currency (0) 3" xfId="52" xr:uid="{00000000-0005-0000-0000-00002D000000}"/>
    <cellStyle name="Calc Currency (2)" xfId="53" xr:uid="{00000000-0005-0000-0000-00002E000000}"/>
    <cellStyle name="Calc Percent (0)" xfId="54" xr:uid="{00000000-0005-0000-0000-00002F000000}"/>
    <cellStyle name="Calc Percent (1)" xfId="55" xr:uid="{00000000-0005-0000-0000-000030000000}"/>
    <cellStyle name="Calc Percent (2)" xfId="56" xr:uid="{00000000-0005-0000-0000-000031000000}"/>
    <cellStyle name="Calc Units (0)" xfId="57" xr:uid="{00000000-0005-0000-0000-000032000000}"/>
    <cellStyle name="Calc Units (1)" xfId="58" xr:uid="{00000000-0005-0000-0000-000033000000}"/>
    <cellStyle name="Calc Units (2)" xfId="59" xr:uid="{00000000-0005-0000-0000-000034000000}"/>
    <cellStyle name="category" xfId="60" xr:uid="{00000000-0005-0000-0000-000035000000}"/>
    <cellStyle name="Col Heads" xfId="61" xr:uid="{00000000-0005-0000-0000-000036000000}"/>
    <cellStyle name="Comma  - Style1" xfId="62" xr:uid="{00000000-0005-0000-0000-000037000000}"/>
    <cellStyle name="Comma  - Style2" xfId="63" xr:uid="{00000000-0005-0000-0000-000038000000}"/>
    <cellStyle name="Comma  - Style3" xfId="64" xr:uid="{00000000-0005-0000-0000-000039000000}"/>
    <cellStyle name="Comma  - Style4" xfId="65" xr:uid="{00000000-0005-0000-0000-00003A000000}"/>
    <cellStyle name="Comma  - Style5" xfId="66" xr:uid="{00000000-0005-0000-0000-00003B000000}"/>
    <cellStyle name="Comma  - Style6" xfId="67" xr:uid="{00000000-0005-0000-0000-00003C000000}"/>
    <cellStyle name="Comma  - Style7" xfId="68" xr:uid="{00000000-0005-0000-0000-00003D000000}"/>
    <cellStyle name="Comma  - Style8" xfId="69" xr:uid="{00000000-0005-0000-0000-00003E000000}"/>
    <cellStyle name="Comma [0]" xfId="70" xr:uid="{00000000-0005-0000-0000-00003F000000}"/>
    <cellStyle name="Comma [00]" xfId="71" xr:uid="{00000000-0005-0000-0000-000040000000}"/>
    <cellStyle name="comma zerodec" xfId="72" xr:uid="{00000000-0005-0000-0000-000041000000}"/>
    <cellStyle name="Comma,0" xfId="73" xr:uid="{00000000-0005-0000-0000-000042000000}"/>
    <cellStyle name="Comma,1" xfId="74" xr:uid="{00000000-0005-0000-0000-000043000000}"/>
    <cellStyle name="Comma,2" xfId="75" xr:uid="{00000000-0005-0000-0000-000044000000}"/>
    <cellStyle name="Comma_#6 Temps &amp; Contractors" xfId="76" xr:uid="{00000000-0005-0000-0000-000045000000}"/>
    <cellStyle name="Comma0" xfId="77" xr:uid="{00000000-0005-0000-0000-000046000000}"/>
    <cellStyle name="COMP定番表書式" xfId="78" xr:uid="{00000000-0005-0000-0000-000047000000}"/>
    <cellStyle name="Currency [0]" xfId="79" xr:uid="{00000000-0005-0000-0000-000048000000}"/>
    <cellStyle name="Currency [00]" xfId="80" xr:uid="{00000000-0005-0000-0000-000049000000}"/>
    <cellStyle name="Currency,0" xfId="81" xr:uid="{00000000-0005-0000-0000-00004A000000}"/>
    <cellStyle name="Currency,2" xfId="82" xr:uid="{00000000-0005-0000-0000-00004B000000}"/>
    <cellStyle name="Currency_#6 Temps &amp; Contractors" xfId="83" xr:uid="{00000000-0005-0000-0000-00004C000000}"/>
    <cellStyle name="Currency0" xfId="84" xr:uid="{00000000-0005-0000-0000-00004D000000}"/>
    <cellStyle name="Currency1" xfId="85" xr:uid="{00000000-0005-0000-0000-00004E000000}"/>
    <cellStyle name="Date Short" xfId="86" xr:uid="{00000000-0005-0000-0000-00004F000000}"/>
    <cellStyle name="DDD" xfId="87" xr:uid="{00000000-0005-0000-0000-000050000000}"/>
    <cellStyle name="dialog" xfId="88" xr:uid="{00000000-0005-0000-0000-000051000000}"/>
    <cellStyle name="Dollar (zero dec)" xfId="89" xr:uid="{00000000-0005-0000-0000-000052000000}"/>
    <cellStyle name="Enter Currency (0)" xfId="90" xr:uid="{00000000-0005-0000-0000-000053000000}"/>
    <cellStyle name="Enter Currency (2)" xfId="91" xr:uid="{00000000-0005-0000-0000-000054000000}"/>
    <cellStyle name="Enter Units (0)" xfId="92" xr:uid="{00000000-0005-0000-0000-000055000000}"/>
    <cellStyle name="Enter Units (1)" xfId="93" xr:uid="{00000000-0005-0000-0000-000056000000}"/>
    <cellStyle name="Enter Units (2)" xfId="94" xr:uid="{00000000-0005-0000-0000-000057000000}"/>
    <cellStyle name="entry" xfId="95" xr:uid="{00000000-0005-0000-0000-000058000000}"/>
    <cellStyle name="fuji" xfId="96" xr:uid="{00000000-0005-0000-0000-000059000000}"/>
    <cellStyle name="GBS Files" xfId="97" xr:uid="{00000000-0005-0000-0000-00005A000000}"/>
    <cellStyle name="Grey" xfId="98" xr:uid="{00000000-0005-0000-0000-00005B000000}"/>
    <cellStyle name="handbook" xfId="99" xr:uid="{00000000-0005-0000-0000-00005C000000}"/>
    <cellStyle name="Header" xfId="100" xr:uid="{00000000-0005-0000-0000-00005D000000}"/>
    <cellStyle name="Header 1" xfId="335" xr:uid="{00000000-0005-0000-0000-00005E000000}"/>
    <cellStyle name="Header 2" xfId="336" xr:uid="{00000000-0005-0000-0000-00005F000000}"/>
    <cellStyle name="Header Center" xfId="337" xr:uid="{00000000-0005-0000-0000-000060000000}"/>
    <cellStyle name="Header1" xfId="101" xr:uid="{00000000-0005-0000-0000-000061000000}"/>
    <cellStyle name="Header2" xfId="102" xr:uid="{00000000-0005-0000-0000-000062000000}"/>
    <cellStyle name="Header2 2" xfId="103" xr:uid="{00000000-0005-0000-0000-000063000000}"/>
    <cellStyle name="Heading 1" xfId="104" xr:uid="{00000000-0005-0000-0000-000064000000}"/>
    <cellStyle name="Heading 2" xfId="105" xr:uid="{00000000-0005-0000-0000-000065000000}"/>
    <cellStyle name="HP Logo" xfId="338" xr:uid="{00000000-0005-0000-0000-000066000000}"/>
    <cellStyle name="IBM(401K)" xfId="106" xr:uid="{00000000-0005-0000-0000-000067000000}"/>
    <cellStyle name="Input [yellow]" xfId="107" xr:uid="{00000000-0005-0000-0000-000068000000}"/>
    <cellStyle name="Input [yellow] 2" xfId="108" xr:uid="{00000000-0005-0000-0000-000069000000}"/>
    <cellStyle name="J401K" xfId="109" xr:uid="{00000000-0005-0000-0000-00006A000000}"/>
    <cellStyle name="Komma [0]_laroux" xfId="110" xr:uid="{00000000-0005-0000-0000-00006B000000}"/>
    <cellStyle name="Komma_laroux" xfId="111" xr:uid="{00000000-0005-0000-0000-00006C000000}"/>
    <cellStyle name="kyuujitu" xfId="112" xr:uid="{00000000-0005-0000-0000-00006D000000}"/>
    <cellStyle name="kyuujitu 2" xfId="113" xr:uid="{00000000-0005-0000-0000-00006E000000}"/>
    <cellStyle name="Link Currency (0)" xfId="114" xr:uid="{00000000-0005-0000-0000-00006F000000}"/>
    <cellStyle name="Link Currency (2)" xfId="115" xr:uid="{00000000-0005-0000-0000-000070000000}"/>
    <cellStyle name="Link Units (0)" xfId="116" xr:uid="{00000000-0005-0000-0000-000071000000}"/>
    <cellStyle name="Link Units (1)" xfId="117" xr:uid="{00000000-0005-0000-0000-000072000000}"/>
    <cellStyle name="Link Units (2)" xfId="118" xr:uid="{00000000-0005-0000-0000-000073000000}"/>
    <cellStyle name="Milliers [0]_AR1194" xfId="119" xr:uid="{00000000-0005-0000-0000-000074000000}"/>
    <cellStyle name="Milliers_AR1194" xfId="120" xr:uid="{00000000-0005-0000-0000-000075000000}"/>
    <cellStyle name="Model" xfId="121" xr:uid="{00000000-0005-0000-0000-000076000000}"/>
    <cellStyle name="Model 2" xfId="122" xr:uid="{00000000-0005-0000-0000-000077000000}"/>
    <cellStyle name="Mon騁aire [0]_AR1194" xfId="123" xr:uid="{00000000-0005-0000-0000-000078000000}"/>
    <cellStyle name="Mon騁aire_AR1194" xfId="124" xr:uid="{00000000-0005-0000-0000-000079000000}"/>
    <cellStyle name="Normal - Style1" xfId="125" xr:uid="{00000000-0005-0000-0000-00007A000000}"/>
    <cellStyle name="Normal_# 41-Market &amp;Trends" xfId="126" xr:uid="{00000000-0005-0000-0000-00007B000000}"/>
    <cellStyle name="Percent (0)" xfId="127" xr:uid="{00000000-0005-0000-0000-00007C000000}"/>
    <cellStyle name="Percent [0]" xfId="128" xr:uid="{00000000-0005-0000-0000-00007D000000}"/>
    <cellStyle name="Percent [00]" xfId="129" xr:uid="{00000000-0005-0000-0000-00007E000000}"/>
    <cellStyle name="Percent [2]" xfId="130" xr:uid="{00000000-0005-0000-0000-00007F000000}"/>
    <cellStyle name="Percent_#6 Temps &amp; Contractors" xfId="131" xr:uid="{00000000-0005-0000-0000-000080000000}"/>
    <cellStyle name="PrePop Currency (0)" xfId="132" xr:uid="{00000000-0005-0000-0000-000081000000}"/>
    <cellStyle name="PrePop Currency (2)" xfId="133" xr:uid="{00000000-0005-0000-0000-000082000000}"/>
    <cellStyle name="PrePop Units (0)" xfId="134" xr:uid="{00000000-0005-0000-0000-000083000000}"/>
    <cellStyle name="PrePop Units (1)" xfId="135" xr:uid="{00000000-0005-0000-0000-000084000000}"/>
    <cellStyle name="PrePop Units (2)" xfId="136" xr:uid="{00000000-0005-0000-0000-000085000000}"/>
    <cellStyle name="price" xfId="137" xr:uid="{00000000-0005-0000-0000-000086000000}"/>
    <cellStyle name="PSChar" xfId="138" xr:uid="{00000000-0005-0000-0000-000087000000}"/>
    <cellStyle name="PSDate" xfId="139" xr:uid="{00000000-0005-0000-0000-000088000000}"/>
    <cellStyle name="PSDec" xfId="140" xr:uid="{00000000-0005-0000-0000-000089000000}"/>
    <cellStyle name="PSHeading" xfId="141" xr:uid="{00000000-0005-0000-0000-00008A000000}"/>
    <cellStyle name="PSHeading 2" xfId="142" xr:uid="{00000000-0005-0000-0000-00008B000000}"/>
    <cellStyle name="PSInt" xfId="143" xr:uid="{00000000-0005-0000-0000-00008C000000}"/>
    <cellStyle name="PSSpacer" xfId="144" xr:uid="{00000000-0005-0000-0000-00008D000000}"/>
    <cellStyle name="revised" xfId="145" xr:uid="{00000000-0005-0000-0000-00008E000000}"/>
    <cellStyle name="section" xfId="146" xr:uid="{00000000-0005-0000-0000-00008F000000}"/>
    <cellStyle name="Standaard_laroux" xfId="147" xr:uid="{00000000-0005-0000-0000-000090000000}"/>
    <cellStyle name="subhead" xfId="148" xr:uid="{00000000-0005-0000-0000-000091000000}"/>
    <cellStyle name="Table Entry" xfId="339" xr:uid="{00000000-0005-0000-0000-000092000000}"/>
    <cellStyle name="Table Heading" xfId="340" xr:uid="{00000000-0005-0000-0000-000093000000}"/>
    <cellStyle name="Table Heading Center" xfId="341" xr:uid="{00000000-0005-0000-0000-000094000000}"/>
    <cellStyle name="Table Medium" xfId="342" xr:uid="{00000000-0005-0000-0000-000095000000}"/>
    <cellStyle name="Table Normal" xfId="343" xr:uid="{00000000-0005-0000-0000-000096000000}"/>
    <cellStyle name="Table Small" xfId="344" xr:uid="{00000000-0005-0000-0000-000097000000}"/>
    <cellStyle name="Table Small Bold" xfId="345" xr:uid="{00000000-0005-0000-0000-000098000000}"/>
    <cellStyle name="Table Small Center" xfId="346" xr:uid="{00000000-0005-0000-0000-000099000000}"/>
    <cellStyle name="Table Title" xfId="347" xr:uid="{00000000-0005-0000-0000-00009A000000}"/>
    <cellStyle name="Text Indent A" xfId="149" xr:uid="{00000000-0005-0000-0000-00009B000000}"/>
    <cellStyle name="Text Indent B" xfId="150" xr:uid="{00000000-0005-0000-0000-00009C000000}"/>
    <cellStyle name="Text Indent C" xfId="151" xr:uid="{00000000-0005-0000-0000-00009D000000}"/>
    <cellStyle name="title" xfId="152" xr:uid="{00000000-0005-0000-0000-00009E000000}"/>
    <cellStyle name="Total" xfId="153" xr:uid="{00000000-0005-0000-0000-00009F000000}"/>
    <cellStyle name="Units Rounded" xfId="154" xr:uid="{00000000-0005-0000-0000-0000A0000000}"/>
    <cellStyle name="Valuta [0]_laroux" xfId="155" xr:uid="{00000000-0005-0000-0000-0000A1000000}"/>
    <cellStyle name="Valuta_laroux" xfId="156" xr:uid="{00000000-0005-0000-0000-0000A2000000}"/>
    <cellStyle name="アクセント 1 2" xfId="157" xr:uid="{00000000-0005-0000-0000-0000A3000000}"/>
    <cellStyle name="アクセント 2 2" xfId="158" xr:uid="{00000000-0005-0000-0000-0000A4000000}"/>
    <cellStyle name="アクセント 3 2" xfId="159" xr:uid="{00000000-0005-0000-0000-0000A5000000}"/>
    <cellStyle name="アクセント 4 2" xfId="160" xr:uid="{00000000-0005-0000-0000-0000A6000000}"/>
    <cellStyle name="アクセント 5 2" xfId="161" xr:uid="{00000000-0005-0000-0000-0000A7000000}"/>
    <cellStyle name="アクセント 6 2" xfId="162" xr:uid="{00000000-0005-0000-0000-0000A8000000}"/>
    <cellStyle name="ｱﾍﾞﾝﾄﾞ一覧" xfId="163" xr:uid="{00000000-0005-0000-0000-0000A9000000}"/>
    <cellStyle name="スタイル 1" xfId="164" xr:uid="{00000000-0005-0000-0000-0000AA000000}"/>
    <cellStyle name="スタイル 2" xfId="165" xr:uid="{00000000-0005-0000-0000-0000AB000000}"/>
    <cellStyle name="すたいる１" xfId="166" xr:uid="{00000000-0005-0000-0000-0000AC000000}"/>
    <cellStyle name="センター" xfId="167" xr:uid="{00000000-0005-0000-0000-0000AD000000}"/>
    <cellStyle name="タイトル 2" xfId="168" xr:uid="{00000000-0005-0000-0000-0000AE000000}"/>
    <cellStyle name="チェック セル 2" xfId="169" xr:uid="{00000000-0005-0000-0000-0000AF000000}"/>
    <cellStyle name="チャート" xfId="170" xr:uid="{00000000-0005-0000-0000-0000B0000000}"/>
    <cellStyle name="テーブル定義書" xfId="171" xr:uid="{00000000-0005-0000-0000-0000B1000000}"/>
    <cellStyle name="ドキュメント標準" xfId="172" xr:uid="{00000000-0005-0000-0000-0000B2000000}"/>
    <cellStyle name="どちらでもない 2" xfId="173" xr:uid="{00000000-0005-0000-0000-0000B3000000}"/>
    <cellStyle name="パーセント 2" xfId="174" xr:uid="{00000000-0005-0000-0000-0000B4000000}"/>
    <cellStyle name="パラメータ" xfId="175" xr:uid="{00000000-0005-0000-0000-0000B5000000}"/>
    <cellStyle name="ﾊﾝﾄﾞﾌﾞｯｸ" xfId="176" xr:uid="{00000000-0005-0000-0000-0000B6000000}"/>
    <cellStyle name="メモ 2" xfId="177" xr:uid="{00000000-0005-0000-0000-0000B7000000}"/>
    <cellStyle name="メモ 2 2" xfId="178" xr:uid="{00000000-0005-0000-0000-0000B8000000}"/>
    <cellStyle name="メモ 2 3" xfId="179" xr:uid="{00000000-0005-0000-0000-0000B9000000}"/>
    <cellStyle name="メモ 3" xfId="180" xr:uid="{00000000-0005-0000-0000-0000BA000000}"/>
    <cellStyle name="リンク セル 2" xfId="181" xr:uid="{00000000-0005-0000-0000-0000BB000000}"/>
    <cellStyle name="_x001d_・_x000c_ﾏ・_x000d_ﾂ・_x0001__x0016__x0011_F5_x0007__x0001__x0001_" xfId="182" xr:uid="{00000000-0005-0000-0000-0000BC000000}"/>
    <cellStyle name="_x001d__x000c_K_x0014__x000d_&gt;V_x0001_&gt;_x0014_n_x001e__x0007__x0001__x0001_" xfId="183" xr:uid="{00000000-0005-0000-0000-0000BD000000}"/>
    <cellStyle name="悪い 2" xfId="184" xr:uid="{00000000-0005-0000-0000-0000BE000000}"/>
    <cellStyle name="下点線" xfId="185" xr:uid="{00000000-0005-0000-0000-0000BF000000}"/>
    <cellStyle name="価格桁区切り" xfId="186" xr:uid="{00000000-0005-0000-0000-0000C0000000}"/>
    <cellStyle name="議事録" xfId="187" xr:uid="{00000000-0005-0000-0000-0000C1000000}"/>
    <cellStyle name="型番" xfId="188" xr:uid="{00000000-0005-0000-0000-0000C2000000}"/>
    <cellStyle name="計算 2" xfId="189" xr:uid="{00000000-0005-0000-0000-0000C3000000}"/>
    <cellStyle name="計算 2 2" xfId="190" xr:uid="{00000000-0005-0000-0000-0000C4000000}"/>
    <cellStyle name="計算 2 3" xfId="191" xr:uid="{00000000-0005-0000-0000-0000C5000000}"/>
    <cellStyle name="計算 3" xfId="192" xr:uid="{00000000-0005-0000-0000-0000C6000000}"/>
    <cellStyle name="警告文 2" xfId="193" xr:uid="{00000000-0005-0000-0000-0000C7000000}"/>
    <cellStyle name="桁蟻唇Ｆ [0.00]_laroux" xfId="194" xr:uid="{00000000-0005-0000-0000-0000C8000000}"/>
    <cellStyle name="桁蟻唇Ｆ_laroux" xfId="195" xr:uid="{00000000-0005-0000-0000-0000C9000000}"/>
    <cellStyle name="桁区切り [0.00" xfId="196" xr:uid="{00000000-0005-0000-0000-0000CA000000}"/>
    <cellStyle name="桁区切り [0.00]???瑳?倨???渭湯??:l search ; *.xla; *.xlt; *.xlm; *t match these search criteria:" xfId="197" xr:uid="{00000000-0005-0000-0000-0000CB000000}"/>
    <cellStyle name="桁区切り 2" xfId="198" xr:uid="{00000000-0005-0000-0000-0000CC000000}"/>
    <cellStyle name="桁区切り 2 2" xfId="199" xr:uid="{00000000-0005-0000-0000-0000CD000000}"/>
    <cellStyle name="桁区切り 3" xfId="200" xr:uid="{00000000-0005-0000-0000-0000CE000000}"/>
    <cellStyle name="桁区切り 3 2" xfId="201" xr:uid="{00000000-0005-0000-0000-0000CF000000}"/>
    <cellStyle name="桁区切り 4" xfId="202" xr:uid="{00000000-0005-0000-0000-0000D0000000}"/>
    <cellStyle name="見出し 1 2" xfId="203" xr:uid="{00000000-0005-0000-0000-0000D1000000}"/>
    <cellStyle name="見出し 2 2" xfId="204" xr:uid="{00000000-0005-0000-0000-0000D2000000}"/>
    <cellStyle name="見出し 3 2" xfId="205" xr:uid="{00000000-0005-0000-0000-0000D3000000}"/>
    <cellStyle name="見出し 3 3" xfId="206" xr:uid="{00000000-0005-0000-0000-0000D4000000}"/>
    <cellStyle name="見出し 4 2" xfId="207" xr:uid="{00000000-0005-0000-0000-0000D5000000}"/>
    <cellStyle name="在庫" xfId="208" xr:uid="{00000000-0005-0000-0000-0000D6000000}"/>
    <cellStyle name="仕様書標準" xfId="209" xr:uid="{00000000-0005-0000-0000-0000D7000000}"/>
    <cellStyle name="集計 2" xfId="210" xr:uid="{00000000-0005-0000-0000-0000D8000000}"/>
    <cellStyle name="集計 2 2" xfId="211" xr:uid="{00000000-0005-0000-0000-0000D9000000}"/>
    <cellStyle name="集計 2 3" xfId="212" xr:uid="{00000000-0005-0000-0000-0000DA000000}"/>
    <cellStyle name="出力 2" xfId="213" xr:uid="{00000000-0005-0000-0000-0000DB000000}"/>
    <cellStyle name="出力 2 2" xfId="214" xr:uid="{00000000-0005-0000-0000-0000DC000000}"/>
    <cellStyle name="出力 2 3" xfId="215" xr:uid="{00000000-0005-0000-0000-0000DD000000}"/>
    <cellStyle name="出力 3" xfId="216" xr:uid="{00000000-0005-0000-0000-0000DE000000}"/>
    <cellStyle name="人月" xfId="217" xr:uid="{00000000-0005-0000-0000-0000DF000000}"/>
    <cellStyle name="数値" xfId="218" xr:uid="{00000000-0005-0000-0000-0000E0000000}"/>
    <cellStyle name="数値（桁区切り）" xfId="219" xr:uid="{00000000-0005-0000-0000-0000E1000000}"/>
    <cellStyle name="数値_0413ｻｲｼﾞﾝｸﾞ報告会ﾒﾓ" xfId="220" xr:uid="{00000000-0005-0000-0000-0000E2000000}"/>
    <cellStyle name="製品通知&quot;-&quot;" xfId="221" xr:uid="{00000000-0005-0000-0000-0000E3000000}"/>
    <cellStyle name="製品通知価格" xfId="222" xr:uid="{00000000-0005-0000-0000-0000E4000000}"/>
    <cellStyle name="製品通知日付" xfId="223" xr:uid="{00000000-0005-0000-0000-0000E5000000}"/>
    <cellStyle name="製品通知文字列" xfId="224" xr:uid="{00000000-0005-0000-0000-0000E6000000}"/>
    <cellStyle name="折り返し明細" xfId="225" xr:uid="{00000000-0005-0000-0000-0000E7000000}"/>
    <cellStyle name="説明文 2" xfId="226" xr:uid="{00000000-0005-0000-0000-0000E8000000}"/>
    <cellStyle name="大見出し" xfId="227" xr:uid="{00000000-0005-0000-0000-0000E9000000}"/>
    <cellStyle name="脱浦 [0.00]_laroux" xfId="228" xr:uid="{00000000-0005-0000-0000-0000EA000000}"/>
    <cellStyle name="脱浦_laroux" xfId="229" xr:uid="{00000000-0005-0000-0000-0000EB000000}"/>
    <cellStyle name="通貨 [0.00" xfId="230" xr:uid="{00000000-0005-0000-0000-0000EC000000}"/>
    <cellStyle name="通貨 [0.00 2" xfId="231" xr:uid="{00000000-0005-0000-0000-0000ED000000}"/>
    <cellStyle name="通貨 [0.00]0]???瑳?倨???渭湯畳?????earch ;riteria *.xlt; *.xlm;hat match these searc" xfId="232" xr:uid="{00000000-0005-0000-0000-0000EE000000}"/>
    <cellStyle name="通貨 2" xfId="233" xr:uid="{00000000-0005-0000-0000-0000EF000000}"/>
    <cellStyle name="通貨 2 2" xfId="234" xr:uid="{00000000-0005-0000-0000-0000F0000000}"/>
    <cellStyle name="日付" xfId="235" xr:uid="{00000000-0005-0000-0000-0000F1000000}"/>
    <cellStyle name="日付 2" xfId="236" xr:uid="{00000000-0005-0000-0000-0000F2000000}"/>
    <cellStyle name="入力 2" xfId="237" xr:uid="{00000000-0005-0000-0000-0000F3000000}"/>
    <cellStyle name="入力 2 2" xfId="238" xr:uid="{00000000-0005-0000-0000-0000F4000000}"/>
    <cellStyle name="入力 2 3" xfId="239" xr:uid="{00000000-0005-0000-0000-0000F5000000}"/>
    <cellStyle name="年月日" xfId="240" xr:uid="{00000000-0005-0000-0000-0000F6000000}"/>
    <cellStyle name="破線" xfId="241" xr:uid="{00000000-0005-0000-0000-0000F7000000}"/>
    <cellStyle name="標準" xfId="0" builtinId="0"/>
    <cellStyle name="標準 10" xfId="242" xr:uid="{00000000-0005-0000-0000-0000F9000000}"/>
    <cellStyle name="標準 10 2" xfId="348" xr:uid="{00000000-0005-0000-0000-0000FA000000}"/>
    <cellStyle name="標準 10 2 2" xfId="243" xr:uid="{00000000-0005-0000-0000-0000FB000000}"/>
    <cellStyle name="標準 10 2 2 2 3" xfId="244" xr:uid="{00000000-0005-0000-0000-0000FC000000}"/>
    <cellStyle name="標準 11" xfId="245" xr:uid="{00000000-0005-0000-0000-0000FD000000}"/>
    <cellStyle name="標準 12" xfId="246" xr:uid="{00000000-0005-0000-0000-0000FE000000}"/>
    <cellStyle name="標準 12 2" xfId="247" xr:uid="{00000000-0005-0000-0000-0000FF000000}"/>
    <cellStyle name="標準 12 3" xfId="248" xr:uid="{00000000-0005-0000-0000-000000010000}"/>
    <cellStyle name="標準 12 3 2" xfId="249" xr:uid="{00000000-0005-0000-0000-000001010000}"/>
    <cellStyle name="標準 12 4" xfId="250" xr:uid="{00000000-0005-0000-0000-000002010000}"/>
    <cellStyle name="標準 12 4 2" xfId="251" xr:uid="{00000000-0005-0000-0000-000003010000}"/>
    <cellStyle name="標準 12 5" xfId="252" xr:uid="{00000000-0005-0000-0000-000004010000}"/>
    <cellStyle name="標準 13" xfId="253" xr:uid="{00000000-0005-0000-0000-000005010000}"/>
    <cellStyle name="標準 13 2" xfId="254" xr:uid="{00000000-0005-0000-0000-000006010000}"/>
    <cellStyle name="標準 13 2 2" xfId="255" xr:uid="{00000000-0005-0000-0000-000007010000}"/>
    <cellStyle name="標準 13 3" xfId="256" xr:uid="{00000000-0005-0000-0000-000008010000}"/>
    <cellStyle name="標準 13 3 2" xfId="257" xr:uid="{00000000-0005-0000-0000-000009010000}"/>
    <cellStyle name="標準 13 4" xfId="258" xr:uid="{00000000-0005-0000-0000-00000A010000}"/>
    <cellStyle name="標準 14" xfId="259" xr:uid="{00000000-0005-0000-0000-00000B010000}"/>
    <cellStyle name="標準 15" xfId="260" xr:uid="{00000000-0005-0000-0000-00000C010000}"/>
    <cellStyle name="標準 15 2" xfId="261" xr:uid="{00000000-0005-0000-0000-00000D010000}"/>
    <cellStyle name="標準 15 2 2" xfId="262" xr:uid="{00000000-0005-0000-0000-00000E010000}"/>
    <cellStyle name="標準 15 3" xfId="263" xr:uid="{00000000-0005-0000-0000-00000F010000}"/>
    <cellStyle name="標準 15 3 2" xfId="264" xr:uid="{00000000-0005-0000-0000-000010010000}"/>
    <cellStyle name="標準 15 4" xfId="265" xr:uid="{00000000-0005-0000-0000-000011010000}"/>
    <cellStyle name="標準 16" xfId="266" xr:uid="{00000000-0005-0000-0000-000012010000}"/>
    <cellStyle name="標準 16 2" xfId="267" xr:uid="{00000000-0005-0000-0000-000013010000}"/>
    <cellStyle name="標準 16 2 2" xfId="268" xr:uid="{00000000-0005-0000-0000-000014010000}"/>
    <cellStyle name="標準 16 2 2 2" xfId="269" xr:uid="{00000000-0005-0000-0000-000015010000}"/>
    <cellStyle name="標準 16 2 3" xfId="270" xr:uid="{00000000-0005-0000-0000-000016010000}"/>
    <cellStyle name="標準 16 3" xfId="271" xr:uid="{00000000-0005-0000-0000-000017010000}"/>
    <cellStyle name="標準 16 3 2" xfId="272" xr:uid="{00000000-0005-0000-0000-000018010000}"/>
    <cellStyle name="標準 16 4" xfId="273" xr:uid="{00000000-0005-0000-0000-000019010000}"/>
    <cellStyle name="標準 17" xfId="274" xr:uid="{00000000-0005-0000-0000-00001A010000}"/>
    <cellStyle name="標準 17 2" xfId="275" xr:uid="{00000000-0005-0000-0000-00001B010000}"/>
    <cellStyle name="標準 2" xfId="5" xr:uid="{00000000-0005-0000-0000-00001C010000}"/>
    <cellStyle name="標準 2 2" xfId="276" xr:uid="{00000000-0005-0000-0000-00001D010000}"/>
    <cellStyle name="標準 2 3" xfId="277" xr:uid="{00000000-0005-0000-0000-00001E010000}"/>
    <cellStyle name="標準 2 4" xfId="278" xr:uid="{00000000-0005-0000-0000-00001F010000}"/>
    <cellStyle name="標準 2 5" xfId="279" xr:uid="{00000000-0005-0000-0000-000020010000}"/>
    <cellStyle name="標準 2 6" xfId="280" xr:uid="{00000000-0005-0000-0000-000021010000}"/>
    <cellStyle name="標準 2_◎00_01_01_取り組み総括" xfId="281" xr:uid="{00000000-0005-0000-0000-000022010000}"/>
    <cellStyle name="標準 3" xfId="282" xr:uid="{00000000-0005-0000-0000-000023010000}"/>
    <cellStyle name="標準 3 2" xfId="283" xr:uid="{00000000-0005-0000-0000-000024010000}"/>
    <cellStyle name="標準 3 2 2" xfId="284" xr:uid="{00000000-0005-0000-0000-000025010000}"/>
    <cellStyle name="標準 3 3" xfId="285" xr:uid="{00000000-0005-0000-0000-000026010000}"/>
    <cellStyle name="標準 3 3 2" xfId="286" xr:uid="{00000000-0005-0000-0000-000027010000}"/>
    <cellStyle name="標準 3 3 3" xfId="287" xr:uid="{00000000-0005-0000-0000-000028010000}"/>
    <cellStyle name="標準 3 3_Sheet1" xfId="288" xr:uid="{00000000-0005-0000-0000-000029010000}"/>
    <cellStyle name="標準 3 4" xfId="289" xr:uid="{00000000-0005-0000-0000-00002A010000}"/>
    <cellStyle name="標準 3 5" xfId="290" xr:uid="{00000000-0005-0000-0000-00002B010000}"/>
    <cellStyle name="標準 3 6" xfId="291" xr:uid="{00000000-0005-0000-0000-00002C010000}"/>
    <cellStyle name="標準 3 7" xfId="292" xr:uid="{00000000-0005-0000-0000-00002D010000}"/>
    <cellStyle name="標準 3_01_全体業務配置_2" xfId="293" xr:uid="{00000000-0005-0000-0000-00002E010000}"/>
    <cellStyle name="標準 4" xfId="294" xr:uid="{00000000-0005-0000-0000-00002F010000}"/>
    <cellStyle name="標準 4 2" xfId="295" xr:uid="{00000000-0005-0000-0000-000030010000}"/>
    <cellStyle name="標準 4 2 2" xfId="296" xr:uid="{00000000-0005-0000-0000-000031010000}"/>
    <cellStyle name="標準 4 2 2 2" xfId="297" xr:uid="{00000000-0005-0000-0000-000032010000}"/>
    <cellStyle name="標準 4 2 3" xfId="298" xr:uid="{00000000-0005-0000-0000-000033010000}"/>
    <cellStyle name="標準 4 2 3 2" xfId="299" xr:uid="{00000000-0005-0000-0000-000034010000}"/>
    <cellStyle name="標準 4 2 4" xfId="300" xr:uid="{00000000-0005-0000-0000-000035010000}"/>
    <cellStyle name="標準 4 3" xfId="301" xr:uid="{00000000-0005-0000-0000-000036010000}"/>
    <cellStyle name="標準 4_2013.02.20_運用設計書" xfId="302" xr:uid="{00000000-0005-0000-0000-000037010000}"/>
    <cellStyle name="標準 5" xfId="303" xr:uid="{00000000-0005-0000-0000-000038010000}"/>
    <cellStyle name="標準 5 2" xfId="304" xr:uid="{00000000-0005-0000-0000-000039010000}"/>
    <cellStyle name="標準 6" xfId="305" xr:uid="{00000000-0005-0000-0000-00003A010000}"/>
    <cellStyle name="標準 6 2" xfId="306" xr:uid="{00000000-0005-0000-0000-00003B010000}"/>
    <cellStyle name="標準 6 3" xfId="307" xr:uid="{00000000-0005-0000-0000-00003C010000}"/>
    <cellStyle name="標準 6_プロセス機能仕様" xfId="308" xr:uid="{00000000-0005-0000-0000-00003D010000}"/>
    <cellStyle name="標準 7" xfId="309" xr:uid="{00000000-0005-0000-0000-00003E010000}"/>
    <cellStyle name="標準 8" xfId="310" xr:uid="{00000000-0005-0000-0000-00003F010000}"/>
    <cellStyle name="標準 9" xfId="311" xr:uid="{00000000-0005-0000-0000-000040010000}"/>
    <cellStyle name="標準 9 2" xfId="349" xr:uid="{00000000-0005-0000-0000-000041010000}"/>
    <cellStyle name="標準_02. テーブルレイアウト定義 2" xfId="328" xr:uid="{00000000-0005-0000-0000-000042010000}"/>
    <cellStyle name="標準_02. テーブルレイアウト定義 3" xfId="6" xr:uid="{00000000-0005-0000-0000-000043010000}"/>
    <cellStyle name="標準_080.論理ファイル設計(ﾌｧｲﾙﾚｲｱｳﾄ)_20050518" xfId="329" xr:uid="{00000000-0005-0000-0000-000044010000}"/>
    <cellStyle name="標準_080.論理ファイル設計(ﾌｧｲﾙﾚｲｱｳﾄ)_20050518_1.4.2. 中間ファイルレイアウト 2" xfId="326" xr:uid="{00000000-0005-0000-0000-000045010000}"/>
    <cellStyle name="標準_080.論理ファイル設計(ﾌｧｲﾙﾚｲｱｳﾄ)_20050518_1.4.2. 中間ファイルレイアウト_中間ファイルレイアウト（BMS）" xfId="327" xr:uid="{00000000-0005-0000-0000-000046010000}"/>
    <cellStyle name="標準_080.論理ファイル設計(ﾌｧｲﾙﾚｲｱｳﾄ)_20050518_3-1-3-3.ファイルレイアウト定義_1.4.2. 中間ファイルレイアウト 2" xfId="330" xr:uid="{00000000-0005-0000-0000-000047010000}"/>
    <cellStyle name="標準_080.論理ファイル設計(ﾌｧｲﾙﾚｲｱｳﾄ)_20050518_3-1-3-3.ファイルレイアウト定義_1.4.2. 中間ファイルレイアウト_⊂中間ファイルレイアウト⊃" xfId="331" xr:uid="{00000000-0005-0000-0000-000048010000}"/>
    <cellStyle name="標準_080.論理ファイル設計(ﾌｧｲﾙﾚｲｱｳﾄ)_20050518_3-1-3-3.ファイルレイアウト定義_1.4.2. 中間ファイルレイアウト_中間ファイルレイアウト（BMS）" xfId="332" xr:uid="{00000000-0005-0000-0000-000049010000}"/>
    <cellStyle name="標準_080.論理ファイル設計(ﾌｧｲﾙﾚｲｱｳﾄ)_20050518_UIドキュメント_3-3-1-2.画面一覧_02 機能関連図_期末処理_扱業務フロー_1-1-1. 業務機能一覧" xfId="3" xr:uid="{00000000-0005-0000-0000-00004A010000}"/>
    <cellStyle name="標準_080.論理ファイル設計(ﾌｧｲﾙﾚｲｱｳﾄ)_20050518_UIドキュメント_3-3-1-2.画面一覧_02 機能関連図_期末処理_扱業務フロー_業務機能一覧" xfId="4" xr:uid="{00000000-0005-0000-0000-00004B010000}"/>
    <cellStyle name="標準_080.論理ファイル設計(ﾌｧｲﾙﾚｲｱｳﾄ)_20050518_UIドキュメント_3-3-1-2.画面一覧_02 機能関連図_取引区分一覧_売上区分の捉え方_1-1-1. 業務機能一覧" xfId="2" xr:uid="{00000000-0005-0000-0000-00004C010000}"/>
    <cellStyle name="標準_080.論理ファイル設計(ﾌｧｲﾙﾚｲｱｳﾄ)_20050518_UIドキュメント_3-3-1-2.画面一覧_02 機能関連図_棚卸付上明細修正" xfId="334" xr:uid="{00000000-0005-0000-0000-00004D010000}"/>
    <cellStyle name="標準_080.論理ファイル設計(ﾌｧｲﾙﾚｲｱｳﾄ)_20050518_UIドキュメント_3-3-1-2.画面一覧_02 機能関連図_棚卸付上明細修正_1-3-3-04. 共通在庫違算高入力" xfId="333" xr:uid="{00000000-0005-0000-0000-00004E010000}"/>
    <cellStyle name="標準_3.機能一覧_1-1-1. 業務機能一覧" xfId="1" xr:uid="{00000000-0005-0000-0000-00004F010000}"/>
    <cellStyle name="標準_ReviseHistory" xfId="325" xr:uid="{00000000-0005-0000-0000-000050010000}"/>
    <cellStyle name="標準_データ編集" xfId="350" xr:uid="{558C7657-DA81-4A3A-8B9A-34CDD20AC68A}"/>
    <cellStyle name="標準1" xfId="312" xr:uid="{00000000-0005-0000-0000-000051010000}"/>
    <cellStyle name="標準１" xfId="313" xr:uid="{00000000-0005-0000-0000-000052010000}"/>
    <cellStyle name="標準10" xfId="314" xr:uid="{00000000-0005-0000-0000-000053010000}"/>
    <cellStyle name="標準12" xfId="315" xr:uid="{00000000-0005-0000-0000-000054010000}"/>
    <cellStyle name="表旨巧・・ハイパーリンク" xfId="316" xr:uid="{00000000-0005-0000-0000-000055010000}"/>
    <cellStyle name="表旨巧・・ハイパーリンク 2" xfId="317" xr:uid="{00000000-0005-0000-0000-000056010000}"/>
    <cellStyle name="文字" xfId="318" xr:uid="{00000000-0005-0000-0000-000057010000}"/>
    <cellStyle name="文字入力" xfId="319" xr:uid="{00000000-0005-0000-0000-000058010000}"/>
    <cellStyle name="文字列" xfId="320" xr:uid="{00000000-0005-0000-0000-000059010000}"/>
    <cellStyle name="未定義" xfId="321" xr:uid="{00000000-0005-0000-0000-00005A010000}"/>
    <cellStyle name="網掛け" xfId="322" xr:uid="{00000000-0005-0000-0000-00005B010000}"/>
    <cellStyle name="良い 2" xfId="323" xr:uid="{00000000-0005-0000-0000-00005C010000}"/>
    <cellStyle name="樘準_購－表紙 (2)_1_型－PRINT_ＳＩ型番 (2)_構成明細  (原調込み） (2)" xfId="324" xr:uid="{00000000-0005-0000-0000-00005D010000}"/>
  </cellStyles>
  <dxfs count="12">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rgb="FF000000"/>
        <name val="Meiryo UI"/>
        <scheme val="none"/>
      </font>
    </dxf>
    <dxf>
      <font>
        <b val="0"/>
        <i val="0"/>
        <strike val="0"/>
        <condense val="0"/>
        <extend val="0"/>
        <outline val="0"/>
        <shadow val="0"/>
        <u val="none"/>
        <vertAlign val="baseline"/>
        <sz val="11"/>
        <color theme="1"/>
        <name val="Meiryo UI"/>
        <scheme val="none"/>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3886200</xdr:colOff>
          <xdr:row>4</xdr:row>
          <xdr:rowOff>0</xdr:rowOff>
        </xdr:from>
        <xdr:to>
          <xdr:col>1</xdr:col>
          <xdr:colOff>5226050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DDL生成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25400</xdr:rowOff>
        </xdr:from>
        <xdr:to>
          <xdr:col>2</xdr:col>
          <xdr:colOff>762000</xdr:colOff>
          <xdr:row>1</xdr:row>
          <xdr:rowOff>266700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4</xdr:row>
          <xdr:rowOff>0</xdr:rowOff>
        </xdr:from>
        <xdr:to>
          <xdr:col>2</xdr:col>
          <xdr:colOff>762000</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Bean生成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7</xdr:row>
          <xdr:rowOff>177800</xdr:rowOff>
        </xdr:from>
        <xdr:to>
          <xdr:col>2</xdr:col>
          <xdr:colOff>762000</xdr:colOff>
          <xdr:row>9</xdr:row>
          <xdr:rowOff>25400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12</xdr:row>
          <xdr:rowOff>0</xdr:rowOff>
        </xdr:from>
        <xdr:to>
          <xdr:col>2</xdr:col>
          <xdr:colOff>762000</xdr:colOff>
          <xdr:row>14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SF生成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2241550</xdr:colOff>
          <xdr:row>4</xdr:row>
          <xdr:rowOff>0</xdr:rowOff>
        </xdr:from>
        <xdr:to>
          <xdr:col>1</xdr:col>
          <xdr:colOff>3581400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項目名辞書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0</xdr:rowOff>
    </xdr:from>
    <xdr:to>
      <xdr:col>0</xdr:col>
      <xdr:colOff>0</xdr:colOff>
      <xdr:row>2</xdr:row>
      <xdr:rowOff>0</xdr:rowOff>
    </xdr:to>
    <xdr:sp macro="" textlink="" fLocksText="0">
      <xdr:nvSpPr>
        <xdr:cNvPr id="2" name="テキスト 43">
          <a:extLst>
            <a:ext uri="{FF2B5EF4-FFF2-40B4-BE49-F238E27FC236}">
              <a16:creationId xmlns:a16="http://schemas.microsoft.com/office/drawing/2014/main" id="{F13C9E8E-B1C1-4D41-8053-00E4741FD513}"/>
            </a:ext>
          </a:extLst>
        </xdr:cNvPr>
        <xdr:cNvSpPr txBox="1">
          <a:spLocks noChangeArrowheads="1"/>
        </xdr:cNvSpPr>
      </xdr:nvSpPr>
      <xdr:spPr bwMode="auto">
        <a:xfrm>
          <a:off x="0" y="30480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2</xdr:row>
      <xdr:rowOff>0</xdr:rowOff>
    </xdr:from>
    <xdr:to>
      <xdr:col>0</xdr:col>
      <xdr:colOff>0</xdr:colOff>
      <xdr:row>2</xdr:row>
      <xdr:rowOff>0</xdr:rowOff>
    </xdr:to>
    <xdr:sp macro="" textlink="" fLocksText="0">
      <xdr:nvSpPr>
        <xdr:cNvPr id="3" name="テキスト 44">
          <a:extLst>
            <a:ext uri="{FF2B5EF4-FFF2-40B4-BE49-F238E27FC236}">
              <a16:creationId xmlns:a16="http://schemas.microsoft.com/office/drawing/2014/main" id="{06802F17-5989-4081-BE4E-0B10ED730F87}"/>
            </a:ext>
          </a:extLst>
        </xdr:cNvPr>
        <xdr:cNvSpPr txBox="1">
          <a:spLocks noChangeArrowheads="1"/>
        </xdr:cNvSpPr>
      </xdr:nvSpPr>
      <xdr:spPr bwMode="auto">
        <a:xfrm>
          <a:off x="0" y="30480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4" name="Text Box 3">
          <a:extLst>
            <a:ext uri="{FF2B5EF4-FFF2-40B4-BE49-F238E27FC236}">
              <a16:creationId xmlns:a16="http://schemas.microsoft.com/office/drawing/2014/main" id="{17F8A2A8-C4D7-481E-B8B1-AEB6325F376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5" name="Text Box 4">
          <a:extLst>
            <a:ext uri="{FF2B5EF4-FFF2-40B4-BE49-F238E27FC236}">
              <a16:creationId xmlns:a16="http://schemas.microsoft.com/office/drawing/2014/main" id="{DDC4922C-592F-43B5-A8A6-56F74B676EEA}"/>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6" name="Text Box 5">
          <a:extLst>
            <a:ext uri="{FF2B5EF4-FFF2-40B4-BE49-F238E27FC236}">
              <a16:creationId xmlns:a16="http://schemas.microsoft.com/office/drawing/2014/main" id="{7EC8A181-B41F-4B23-BDA6-0839F81B760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7" name="Text Box 6">
          <a:extLst>
            <a:ext uri="{FF2B5EF4-FFF2-40B4-BE49-F238E27FC236}">
              <a16:creationId xmlns:a16="http://schemas.microsoft.com/office/drawing/2014/main" id="{5D359645-93F5-4486-B3C2-43677C2E93E7}"/>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8" name="Text Box 7">
          <a:extLst>
            <a:ext uri="{FF2B5EF4-FFF2-40B4-BE49-F238E27FC236}">
              <a16:creationId xmlns:a16="http://schemas.microsoft.com/office/drawing/2014/main" id="{1A2F0244-DAD5-4FA7-A817-7ABBCAA02B99}"/>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9" name="Text Box 8">
          <a:extLst>
            <a:ext uri="{FF2B5EF4-FFF2-40B4-BE49-F238E27FC236}">
              <a16:creationId xmlns:a16="http://schemas.microsoft.com/office/drawing/2014/main" id="{64531ABB-A27D-42BD-9DE9-02E2D65775A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10" name="Text Box 9">
          <a:extLst>
            <a:ext uri="{FF2B5EF4-FFF2-40B4-BE49-F238E27FC236}">
              <a16:creationId xmlns:a16="http://schemas.microsoft.com/office/drawing/2014/main" id="{6766531B-E6BD-4911-8246-E78BA190B8E1}"/>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11" name="Text Box 10">
          <a:extLst>
            <a:ext uri="{FF2B5EF4-FFF2-40B4-BE49-F238E27FC236}">
              <a16:creationId xmlns:a16="http://schemas.microsoft.com/office/drawing/2014/main" id="{E7ABED84-CE24-424D-A4D4-1E843465C9D4}"/>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0</xdr:row>
      <xdr:rowOff>0</xdr:rowOff>
    </xdr:from>
    <xdr:to>
      <xdr:col>0</xdr:col>
      <xdr:colOff>0</xdr:colOff>
      <xdr:row>0</xdr:row>
      <xdr:rowOff>0</xdr:rowOff>
    </xdr:to>
    <xdr:sp macro="" textlink="" fLocksText="0">
      <xdr:nvSpPr>
        <xdr:cNvPr id="12" name="Text Box 11">
          <a:extLst>
            <a:ext uri="{FF2B5EF4-FFF2-40B4-BE49-F238E27FC236}">
              <a16:creationId xmlns:a16="http://schemas.microsoft.com/office/drawing/2014/main" id="{3549EAFB-3891-4EC3-9847-76DD7AA987F1}"/>
            </a:ext>
          </a:extLst>
        </xdr:cNvPr>
        <xdr:cNvSpPr txBox="1">
          <a:spLocks noChangeArrowheads="1"/>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0</xdr:row>
      <xdr:rowOff>0</xdr:rowOff>
    </xdr:from>
    <xdr:to>
      <xdr:col>0</xdr:col>
      <xdr:colOff>0</xdr:colOff>
      <xdr:row>0</xdr:row>
      <xdr:rowOff>0</xdr:rowOff>
    </xdr:to>
    <xdr:sp macro="" textlink="" fLocksText="0">
      <xdr:nvSpPr>
        <xdr:cNvPr id="13" name="Text Box 12">
          <a:extLst>
            <a:ext uri="{FF2B5EF4-FFF2-40B4-BE49-F238E27FC236}">
              <a16:creationId xmlns:a16="http://schemas.microsoft.com/office/drawing/2014/main" id="{4693E3EF-B43C-424B-A40B-C841122432AB}"/>
            </a:ext>
          </a:extLst>
        </xdr:cNvPr>
        <xdr:cNvSpPr txBox="1">
          <a:spLocks noChangeArrowheads="1"/>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4" name="Text Box 13">
          <a:extLst>
            <a:ext uri="{FF2B5EF4-FFF2-40B4-BE49-F238E27FC236}">
              <a16:creationId xmlns:a16="http://schemas.microsoft.com/office/drawing/2014/main" id="{0987DAAD-EC1D-45BC-B313-E0E8D411E76C}"/>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15" name="Text Box 14">
          <a:extLst>
            <a:ext uri="{FF2B5EF4-FFF2-40B4-BE49-F238E27FC236}">
              <a16:creationId xmlns:a16="http://schemas.microsoft.com/office/drawing/2014/main" id="{B5BD7347-2822-4F57-808A-F36AE8218FCD}"/>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6" name="Text Box 15">
          <a:extLst>
            <a:ext uri="{FF2B5EF4-FFF2-40B4-BE49-F238E27FC236}">
              <a16:creationId xmlns:a16="http://schemas.microsoft.com/office/drawing/2014/main" id="{0A6A22AC-7603-4E11-A730-D8FD6D97570C}"/>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7" name="Text Box 16">
          <a:extLst>
            <a:ext uri="{FF2B5EF4-FFF2-40B4-BE49-F238E27FC236}">
              <a16:creationId xmlns:a16="http://schemas.microsoft.com/office/drawing/2014/main" id="{73C0E889-EF3D-4D86-AB7E-A68582D7B500}"/>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18" name="Text Box 17">
          <a:extLst>
            <a:ext uri="{FF2B5EF4-FFF2-40B4-BE49-F238E27FC236}">
              <a16:creationId xmlns:a16="http://schemas.microsoft.com/office/drawing/2014/main" id="{361320E8-7033-4A3B-A948-DFB5947862F9}"/>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19" name="Text Box 18">
          <a:extLst>
            <a:ext uri="{FF2B5EF4-FFF2-40B4-BE49-F238E27FC236}">
              <a16:creationId xmlns:a16="http://schemas.microsoft.com/office/drawing/2014/main" id="{962D4977-9D41-433F-84FD-09A48606E87E}"/>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0" name="Text Box 19">
          <a:extLst>
            <a:ext uri="{FF2B5EF4-FFF2-40B4-BE49-F238E27FC236}">
              <a16:creationId xmlns:a16="http://schemas.microsoft.com/office/drawing/2014/main" id="{01B9090D-9F1A-4455-9D02-86955D99D94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1" name="Text Box 20">
          <a:extLst>
            <a:ext uri="{FF2B5EF4-FFF2-40B4-BE49-F238E27FC236}">
              <a16:creationId xmlns:a16="http://schemas.microsoft.com/office/drawing/2014/main" id="{D6990CBC-2C7C-4F12-9C34-423541AC65FA}"/>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2" name="Text Box 35">
          <a:extLst>
            <a:ext uri="{FF2B5EF4-FFF2-40B4-BE49-F238E27FC236}">
              <a16:creationId xmlns:a16="http://schemas.microsoft.com/office/drawing/2014/main" id="{DF53C745-CA99-43FF-8943-A8EC21CC17BE}"/>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23" name="Text Box 36">
          <a:extLst>
            <a:ext uri="{FF2B5EF4-FFF2-40B4-BE49-F238E27FC236}">
              <a16:creationId xmlns:a16="http://schemas.microsoft.com/office/drawing/2014/main" id="{6A2CF750-E26C-460A-88B4-4C005D10B3A1}"/>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4" name="Text Box 37">
          <a:extLst>
            <a:ext uri="{FF2B5EF4-FFF2-40B4-BE49-F238E27FC236}">
              <a16:creationId xmlns:a16="http://schemas.microsoft.com/office/drawing/2014/main" id="{F7C64FD4-23AE-4050-8B02-6849B51F032E}"/>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5" name="Text Box 38">
          <a:extLst>
            <a:ext uri="{FF2B5EF4-FFF2-40B4-BE49-F238E27FC236}">
              <a16:creationId xmlns:a16="http://schemas.microsoft.com/office/drawing/2014/main" id="{3660A257-B3E7-432C-BC48-A86CC0EF8FE7}"/>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6" name="Text Box 39">
          <a:extLst>
            <a:ext uri="{FF2B5EF4-FFF2-40B4-BE49-F238E27FC236}">
              <a16:creationId xmlns:a16="http://schemas.microsoft.com/office/drawing/2014/main" id="{8EFF88C5-53E5-4163-B699-9ED03B47F0C2}"/>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27" name="Text Box 40">
          <a:extLst>
            <a:ext uri="{FF2B5EF4-FFF2-40B4-BE49-F238E27FC236}">
              <a16:creationId xmlns:a16="http://schemas.microsoft.com/office/drawing/2014/main" id="{7A95525C-58D8-4754-8F24-ECC28394067D}"/>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8" name="Text Box 41">
          <a:extLst>
            <a:ext uri="{FF2B5EF4-FFF2-40B4-BE49-F238E27FC236}">
              <a16:creationId xmlns:a16="http://schemas.microsoft.com/office/drawing/2014/main" id="{CDCB8FF7-D097-4997-ABF1-CC7C9D83344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9" name="Text Box 42">
          <a:extLst>
            <a:ext uri="{FF2B5EF4-FFF2-40B4-BE49-F238E27FC236}">
              <a16:creationId xmlns:a16="http://schemas.microsoft.com/office/drawing/2014/main" id="{C6E05BCE-3E84-43CB-BB1C-E4B27B407537}"/>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0" name="Text Box 45">
          <a:extLst>
            <a:ext uri="{FF2B5EF4-FFF2-40B4-BE49-F238E27FC236}">
              <a16:creationId xmlns:a16="http://schemas.microsoft.com/office/drawing/2014/main" id="{CF914CB0-8236-4AF6-B996-8F2C3C7DA527}"/>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31" name="Text Box 46">
          <a:extLst>
            <a:ext uri="{FF2B5EF4-FFF2-40B4-BE49-F238E27FC236}">
              <a16:creationId xmlns:a16="http://schemas.microsoft.com/office/drawing/2014/main" id="{BC99BF84-02E4-4CCE-8515-64BD8CA40C7C}"/>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2" name="Text Box 47">
          <a:extLst>
            <a:ext uri="{FF2B5EF4-FFF2-40B4-BE49-F238E27FC236}">
              <a16:creationId xmlns:a16="http://schemas.microsoft.com/office/drawing/2014/main" id="{88B1C896-8617-47E6-9AD7-35BC73878616}"/>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3" name="Text Box 48">
          <a:extLst>
            <a:ext uri="{FF2B5EF4-FFF2-40B4-BE49-F238E27FC236}">
              <a16:creationId xmlns:a16="http://schemas.microsoft.com/office/drawing/2014/main" id="{23BD1326-75B3-4900-AA81-DE76D6BA241F}"/>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4" name="Text Box 49">
          <a:extLst>
            <a:ext uri="{FF2B5EF4-FFF2-40B4-BE49-F238E27FC236}">
              <a16:creationId xmlns:a16="http://schemas.microsoft.com/office/drawing/2014/main" id="{269EAB55-1229-4861-B41F-2EB5C82EA8B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35" name="Text Box 50">
          <a:extLst>
            <a:ext uri="{FF2B5EF4-FFF2-40B4-BE49-F238E27FC236}">
              <a16:creationId xmlns:a16="http://schemas.microsoft.com/office/drawing/2014/main" id="{16C56DC1-811C-402B-AB88-ED0B99A38178}"/>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6" name="Text Box 51">
          <a:extLst>
            <a:ext uri="{FF2B5EF4-FFF2-40B4-BE49-F238E27FC236}">
              <a16:creationId xmlns:a16="http://schemas.microsoft.com/office/drawing/2014/main" id="{ABC93BB7-76E2-40DE-BDAF-730E942BB5DA}"/>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7" name="Text Box 52">
          <a:extLst>
            <a:ext uri="{FF2B5EF4-FFF2-40B4-BE49-F238E27FC236}">
              <a16:creationId xmlns:a16="http://schemas.microsoft.com/office/drawing/2014/main" id="{32B39E01-58B8-4CFD-B65E-F0A5D50E4C01}"/>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38" name="Text Box 53">
          <a:extLst>
            <a:ext uri="{FF2B5EF4-FFF2-40B4-BE49-F238E27FC236}">
              <a16:creationId xmlns:a16="http://schemas.microsoft.com/office/drawing/2014/main" id="{F30BA93C-FEDF-4BBB-A0CF-C0F92529B34F}"/>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60</xdr:col>
      <xdr:colOff>25400</xdr:colOff>
      <xdr:row>3</xdr:row>
      <xdr:rowOff>0</xdr:rowOff>
    </xdr:to>
    <xdr:sp macro="" textlink="" fLocksText="0">
      <xdr:nvSpPr>
        <xdr:cNvPr id="39" name="Text Box 54">
          <a:extLst>
            <a:ext uri="{FF2B5EF4-FFF2-40B4-BE49-F238E27FC236}">
              <a16:creationId xmlns:a16="http://schemas.microsoft.com/office/drawing/2014/main" id="{D28EB44B-18DF-470A-8AB5-16E0E818DCFF}"/>
            </a:ext>
          </a:extLst>
        </xdr:cNvPr>
        <xdr:cNvSpPr txBox="1">
          <a:spLocks noChangeArrowheads="1"/>
        </xdr:cNvSpPr>
      </xdr:nvSpPr>
      <xdr:spPr bwMode="auto">
        <a:xfrm>
          <a:off x="3086100" y="4953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40" name="Text Box 55">
          <a:extLst>
            <a:ext uri="{FF2B5EF4-FFF2-40B4-BE49-F238E27FC236}">
              <a16:creationId xmlns:a16="http://schemas.microsoft.com/office/drawing/2014/main" id="{615FD208-069E-431D-9E84-50FD0A3C3B25}"/>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41" name="Text Box 56">
          <a:extLst>
            <a:ext uri="{FF2B5EF4-FFF2-40B4-BE49-F238E27FC236}">
              <a16:creationId xmlns:a16="http://schemas.microsoft.com/office/drawing/2014/main" id="{7B7464B8-F7FE-4BA6-8466-007D7F8436F9}"/>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2" name="Text Box 57">
          <a:extLst>
            <a:ext uri="{FF2B5EF4-FFF2-40B4-BE49-F238E27FC236}">
              <a16:creationId xmlns:a16="http://schemas.microsoft.com/office/drawing/2014/main" id="{AB8F9BFB-1FC9-4F2A-9B79-E33EDE9C6AE2}"/>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60</xdr:col>
      <xdr:colOff>25400</xdr:colOff>
      <xdr:row>3</xdr:row>
      <xdr:rowOff>0</xdr:rowOff>
    </xdr:to>
    <xdr:sp macro="" textlink="" fLocksText="0">
      <xdr:nvSpPr>
        <xdr:cNvPr id="43" name="Text Box 58">
          <a:extLst>
            <a:ext uri="{FF2B5EF4-FFF2-40B4-BE49-F238E27FC236}">
              <a16:creationId xmlns:a16="http://schemas.microsoft.com/office/drawing/2014/main" id="{84B128D7-8353-4545-86F7-A75694BCEBD8}"/>
            </a:ext>
          </a:extLst>
        </xdr:cNvPr>
        <xdr:cNvSpPr txBox="1">
          <a:spLocks noChangeArrowheads="1"/>
        </xdr:cNvSpPr>
      </xdr:nvSpPr>
      <xdr:spPr bwMode="auto">
        <a:xfrm>
          <a:off x="3200400" y="4953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4" name="Text Box 59">
          <a:extLst>
            <a:ext uri="{FF2B5EF4-FFF2-40B4-BE49-F238E27FC236}">
              <a16:creationId xmlns:a16="http://schemas.microsoft.com/office/drawing/2014/main" id="{16DC3358-5F92-4093-8A16-5E4734AC6BD5}"/>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5" name="Text Box 60">
          <a:extLst>
            <a:ext uri="{FF2B5EF4-FFF2-40B4-BE49-F238E27FC236}">
              <a16:creationId xmlns:a16="http://schemas.microsoft.com/office/drawing/2014/main" id="{D3431200-10B2-4D1E-9D82-189C6CC3D02B}"/>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3B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3B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3B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3B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3B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1C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1C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1C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1C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1C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9DD66959-04A3-4BB2-9D9F-5B44F40D64E5}"/>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C07EBCED-4EC5-4E65-B3ED-254D7B522FBF}"/>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40A2CC1F-987A-4032-A0DE-F869DC0CCA0B}"/>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CBCCA911-FA35-4A18-A56C-D16A98BDD134}"/>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4A4C60A9-2052-42D6-AE0E-F9C2D700DE0D}"/>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7" name="Line 340">
          <a:extLst>
            <a:ext uri="{FF2B5EF4-FFF2-40B4-BE49-F238E27FC236}">
              <a16:creationId xmlns:a16="http://schemas.microsoft.com/office/drawing/2014/main" id="{A36FB6C4-9403-440B-BD9E-183C53DC966E}"/>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H="1">
          <a:off x="11991975" y="314325"/>
          <a:ext cx="2571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14</xdr:row>
          <xdr:rowOff>190500</xdr:rowOff>
        </xdr:from>
        <xdr:to>
          <xdr:col>0</xdr:col>
          <xdr:colOff>1250950</xdr:colOff>
          <xdr:row>17</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996950</xdr:colOff>
          <xdr:row>18</xdr:row>
          <xdr:rowOff>25400</xdr:rowOff>
        </xdr:from>
        <xdr:to>
          <xdr:col>2</xdr:col>
          <xdr:colOff>1949450</xdr:colOff>
          <xdr:row>19</xdr:row>
          <xdr:rowOff>177800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18</xdr:row>
          <xdr:rowOff>0</xdr:rowOff>
        </xdr:from>
        <xdr:to>
          <xdr:col>0</xdr:col>
          <xdr:colOff>1250950</xdr:colOff>
          <xdr:row>19</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B00-000003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DataSet初期化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717550</xdr:colOff>
          <xdr:row>17</xdr:row>
          <xdr:rowOff>190500</xdr:rowOff>
        </xdr:from>
        <xdr:to>
          <xdr:col>1</xdr:col>
          <xdr:colOff>1301750</xdr:colOff>
          <xdr:row>19</xdr:row>
          <xdr:rowOff>190500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B00-000004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1416050</xdr:colOff>
          <xdr:row>18</xdr:row>
          <xdr:rowOff>0</xdr:rowOff>
        </xdr:from>
        <xdr:to>
          <xdr:col>1</xdr:col>
          <xdr:colOff>2012950</xdr:colOff>
          <xdr:row>19</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18</xdr:row>
          <xdr:rowOff>0</xdr:rowOff>
        </xdr:from>
        <xdr:to>
          <xdr:col>1</xdr:col>
          <xdr:colOff>609600</xdr:colOff>
          <xdr:row>19</xdr:row>
          <xdr:rowOff>190500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2127250</xdr:colOff>
          <xdr:row>18</xdr:row>
          <xdr:rowOff>0</xdr:rowOff>
        </xdr:from>
        <xdr:to>
          <xdr:col>2</xdr:col>
          <xdr:colOff>38100</xdr:colOff>
          <xdr:row>19</xdr:row>
          <xdr:rowOff>184150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Last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18</xdr:row>
          <xdr:rowOff>0</xdr:rowOff>
        </xdr:from>
        <xdr:to>
          <xdr:col>2</xdr:col>
          <xdr:colOff>730250</xdr:colOff>
          <xdr:row>19</xdr:row>
          <xdr:rowOff>190500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B00-000008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Update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C14" totalsRowShown="0" headerRowDxfId="4" dataDxfId="3">
  <autoFilter ref="A1:C14" xr:uid="{00000000-0009-0000-0100-000002000000}"/>
  <tableColumns count="3">
    <tableColumn id="1" xr3:uid="{00000000-0010-0000-0000-000001000000}" name="Key" dataDxfId="2"/>
    <tableColumn id="2" xr3:uid="{00000000-0010-0000-0000-000002000000}" name="Config Value" dataDxfId="1"/>
    <tableColumn id="3" xr3:uid="{00000000-0010-0000-0000-000003000000}" name="DataSheet Value"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J46"/>
  <sheetViews>
    <sheetView zoomScale="85" zoomScaleNormal="85" workbookViewId="0">
      <pane xSplit="1" ySplit="5" topLeftCell="B14" activePane="bottomRight" state="frozen"/>
      <selection pane="topRight" activeCell="B1" sqref="B1"/>
      <selection pane="bottomLeft" activeCell="A6" sqref="A6"/>
      <selection pane="bottomRight" activeCell="I15" sqref="I15"/>
    </sheetView>
  </sheetViews>
  <sheetFormatPr defaultRowHeight="15"/>
  <cols>
    <col min="1" max="1" width="8.08984375" style="106" customWidth="1"/>
    <col min="2" max="2" width="7.81640625" style="106" customWidth="1"/>
    <col min="3" max="3" width="15.6328125" style="106" bestFit="1" customWidth="1"/>
    <col min="4" max="4" width="10.81640625" style="106" bestFit="1" customWidth="1"/>
    <col min="5" max="5" width="49.6328125" style="108" customWidth="1"/>
    <col min="6" max="9" width="9" style="106"/>
    <col min="10" max="10" width="9.81640625" style="106" customWidth="1"/>
    <col min="11" max="256" width="9" style="106"/>
    <col min="257" max="257" width="8.08984375" style="106" customWidth="1"/>
    <col min="258" max="258" width="7.81640625" style="106" customWidth="1"/>
    <col min="259" max="259" width="15.6328125" style="106" bestFit="1" customWidth="1"/>
    <col min="260" max="260" width="10.81640625" style="106" bestFit="1" customWidth="1"/>
    <col min="261" max="261" width="49.6328125" style="106" customWidth="1"/>
    <col min="262" max="265" width="9" style="106"/>
    <col min="266" max="266" width="9.81640625" style="106" customWidth="1"/>
    <col min="267" max="512" width="9" style="106"/>
    <col min="513" max="513" width="8.08984375" style="106" customWidth="1"/>
    <col min="514" max="514" width="7.81640625" style="106" customWidth="1"/>
    <col min="515" max="515" width="15.6328125" style="106" bestFit="1" customWidth="1"/>
    <col min="516" max="516" width="10.81640625" style="106" bestFit="1" customWidth="1"/>
    <col min="517" max="517" width="49.6328125" style="106" customWidth="1"/>
    <col min="518" max="521" width="9" style="106"/>
    <col min="522" max="522" width="9.81640625" style="106" customWidth="1"/>
    <col min="523" max="768" width="9" style="106"/>
    <col min="769" max="769" width="8.08984375" style="106" customWidth="1"/>
    <col min="770" max="770" width="7.81640625" style="106" customWidth="1"/>
    <col min="771" max="771" width="15.6328125" style="106" bestFit="1" customWidth="1"/>
    <col min="772" max="772" width="10.81640625" style="106" bestFit="1" customWidth="1"/>
    <col min="773" max="773" width="49.6328125" style="106" customWidth="1"/>
    <col min="774" max="777" width="9" style="106"/>
    <col min="778" max="778" width="9.81640625" style="106" customWidth="1"/>
    <col min="779" max="1024" width="9" style="106"/>
    <col min="1025" max="1025" width="8.08984375" style="106" customWidth="1"/>
    <col min="1026" max="1026" width="7.81640625" style="106" customWidth="1"/>
    <col min="1027" max="1027" width="15.6328125" style="106" bestFit="1" customWidth="1"/>
    <col min="1028" max="1028" width="10.81640625" style="106" bestFit="1" customWidth="1"/>
    <col min="1029" max="1029" width="49.6328125" style="106" customWidth="1"/>
    <col min="1030" max="1033" width="9" style="106"/>
    <col min="1034" max="1034" width="9.81640625" style="106" customWidth="1"/>
    <col min="1035" max="1280" width="9" style="106"/>
    <col min="1281" max="1281" width="8.08984375" style="106" customWidth="1"/>
    <col min="1282" max="1282" width="7.81640625" style="106" customWidth="1"/>
    <col min="1283" max="1283" width="15.6328125" style="106" bestFit="1" customWidth="1"/>
    <col min="1284" max="1284" width="10.81640625" style="106" bestFit="1" customWidth="1"/>
    <col min="1285" max="1285" width="49.6328125" style="106" customWidth="1"/>
    <col min="1286" max="1289" width="9" style="106"/>
    <col min="1290" max="1290" width="9.81640625" style="106" customWidth="1"/>
    <col min="1291" max="1536" width="9" style="106"/>
    <col min="1537" max="1537" width="8.08984375" style="106" customWidth="1"/>
    <col min="1538" max="1538" width="7.81640625" style="106" customWidth="1"/>
    <col min="1539" max="1539" width="15.6328125" style="106" bestFit="1" customWidth="1"/>
    <col min="1540" max="1540" width="10.81640625" style="106" bestFit="1" customWidth="1"/>
    <col min="1541" max="1541" width="49.6328125" style="106" customWidth="1"/>
    <col min="1542" max="1545" width="9" style="106"/>
    <col min="1546" max="1546" width="9.81640625" style="106" customWidth="1"/>
    <col min="1547" max="1792" width="9" style="106"/>
    <col min="1793" max="1793" width="8.08984375" style="106" customWidth="1"/>
    <col min="1794" max="1794" width="7.81640625" style="106" customWidth="1"/>
    <col min="1795" max="1795" width="15.6328125" style="106" bestFit="1" customWidth="1"/>
    <col min="1796" max="1796" width="10.81640625" style="106" bestFit="1" customWidth="1"/>
    <col min="1797" max="1797" width="49.6328125" style="106" customWidth="1"/>
    <col min="1798" max="1801" width="9" style="106"/>
    <col min="1802" max="1802" width="9.81640625" style="106" customWidth="1"/>
    <col min="1803" max="2048" width="9" style="106"/>
    <col min="2049" max="2049" width="8.08984375" style="106" customWidth="1"/>
    <col min="2050" max="2050" width="7.81640625" style="106" customWidth="1"/>
    <col min="2051" max="2051" width="15.6328125" style="106" bestFit="1" customWidth="1"/>
    <col min="2052" max="2052" width="10.81640625" style="106" bestFit="1" customWidth="1"/>
    <col min="2053" max="2053" width="49.6328125" style="106" customWidth="1"/>
    <col min="2054" max="2057" width="9" style="106"/>
    <col min="2058" max="2058" width="9.81640625" style="106" customWidth="1"/>
    <col min="2059" max="2304" width="9" style="106"/>
    <col min="2305" max="2305" width="8.08984375" style="106" customWidth="1"/>
    <col min="2306" max="2306" width="7.81640625" style="106" customWidth="1"/>
    <col min="2307" max="2307" width="15.6328125" style="106" bestFit="1" customWidth="1"/>
    <col min="2308" max="2308" width="10.81640625" style="106" bestFit="1" customWidth="1"/>
    <col min="2309" max="2309" width="49.6328125" style="106" customWidth="1"/>
    <col min="2310" max="2313" width="9" style="106"/>
    <col min="2314" max="2314" width="9.81640625" style="106" customWidth="1"/>
    <col min="2315" max="2560" width="9" style="106"/>
    <col min="2561" max="2561" width="8.08984375" style="106" customWidth="1"/>
    <col min="2562" max="2562" width="7.81640625" style="106" customWidth="1"/>
    <col min="2563" max="2563" width="15.6328125" style="106" bestFit="1" customWidth="1"/>
    <col min="2564" max="2564" width="10.81640625" style="106" bestFit="1" customWidth="1"/>
    <col min="2565" max="2565" width="49.6328125" style="106" customWidth="1"/>
    <col min="2566" max="2569" width="9" style="106"/>
    <col min="2570" max="2570" width="9.81640625" style="106" customWidth="1"/>
    <col min="2571" max="2816" width="9" style="106"/>
    <col min="2817" max="2817" width="8.08984375" style="106" customWidth="1"/>
    <col min="2818" max="2818" width="7.81640625" style="106" customWidth="1"/>
    <col min="2819" max="2819" width="15.6328125" style="106" bestFit="1" customWidth="1"/>
    <col min="2820" max="2820" width="10.81640625" style="106" bestFit="1" customWidth="1"/>
    <col min="2821" max="2821" width="49.6328125" style="106" customWidth="1"/>
    <col min="2822" max="2825" width="9" style="106"/>
    <col min="2826" max="2826" width="9.81640625" style="106" customWidth="1"/>
    <col min="2827" max="3072" width="9" style="106"/>
    <col min="3073" max="3073" width="8.08984375" style="106" customWidth="1"/>
    <col min="3074" max="3074" width="7.81640625" style="106" customWidth="1"/>
    <col min="3075" max="3075" width="15.6328125" style="106" bestFit="1" customWidth="1"/>
    <col min="3076" max="3076" width="10.81640625" style="106" bestFit="1" customWidth="1"/>
    <col min="3077" max="3077" width="49.6328125" style="106" customWidth="1"/>
    <col min="3078" max="3081" width="9" style="106"/>
    <col min="3082" max="3082" width="9.81640625" style="106" customWidth="1"/>
    <col min="3083" max="3328" width="9" style="106"/>
    <col min="3329" max="3329" width="8.08984375" style="106" customWidth="1"/>
    <col min="3330" max="3330" width="7.81640625" style="106" customWidth="1"/>
    <col min="3331" max="3331" width="15.6328125" style="106" bestFit="1" customWidth="1"/>
    <col min="3332" max="3332" width="10.81640625" style="106" bestFit="1" customWidth="1"/>
    <col min="3333" max="3333" width="49.6328125" style="106" customWidth="1"/>
    <col min="3334" max="3337" width="9" style="106"/>
    <col min="3338" max="3338" width="9.81640625" style="106" customWidth="1"/>
    <col min="3339" max="3584" width="9" style="106"/>
    <col min="3585" max="3585" width="8.08984375" style="106" customWidth="1"/>
    <col min="3586" max="3586" width="7.81640625" style="106" customWidth="1"/>
    <col min="3587" max="3587" width="15.6328125" style="106" bestFit="1" customWidth="1"/>
    <col min="3588" max="3588" width="10.81640625" style="106" bestFit="1" customWidth="1"/>
    <col min="3589" max="3589" width="49.6328125" style="106" customWidth="1"/>
    <col min="3590" max="3593" width="9" style="106"/>
    <col min="3594" max="3594" width="9.81640625" style="106" customWidth="1"/>
    <col min="3595" max="3840" width="9" style="106"/>
    <col min="3841" max="3841" width="8.08984375" style="106" customWidth="1"/>
    <col min="3842" max="3842" width="7.81640625" style="106" customWidth="1"/>
    <col min="3843" max="3843" width="15.6328125" style="106" bestFit="1" customWidth="1"/>
    <col min="3844" max="3844" width="10.81640625" style="106" bestFit="1" customWidth="1"/>
    <col min="3845" max="3845" width="49.6328125" style="106" customWidth="1"/>
    <col min="3846" max="3849" width="9" style="106"/>
    <col min="3850" max="3850" width="9.81640625" style="106" customWidth="1"/>
    <col min="3851" max="4096" width="9" style="106"/>
    <col min="4097" max="4097" width="8.08984375" style="106" customWidth="1"/>
    <col min="4098" max="4098" width="7.81640625" style="106" customWidth="1"/>
    <col min="4099" max="4099" width="15.6328125" style="106" bestFit="1" customWidth="1"/>
    <col min="4100" max="4100" width="10.81640625" style="106" bestFit="1" customWidth="1"/>
    <col min="4101" max="4101" width="49.6328125" style="106" customWidth="1"/>
    <col min="4102" max="4105" width="9" style="106"/>
    <col min="4106" max="4106" width="9.81640625" style="106" customWidth="1"/>
    <col min="4107" max="4352" width="9" style="106"/>
    <col min="4353" max="4353" width="8.08984375" style="106" customWidth="1"/>
    <col min="4354" max="4354" width="7.81640625" style="106" customWidth="1"/>
    <col min="4355" max="4355" width="15.6328125" style="106" bestFit="1" customWidth="1"/>
    <col min="4356" max="4356" width="10.81640625" style="106" bestFit="1" customWidth="1"/>
    <col min="4357" max="4357" width="49.6328125" style="106" customWidth="1"/>
    <col min="4358" max="4361" width="9" style="106"/>
    <col min="4362" max="4362" width="9.81640625" style="106" customWidth="1"/>
    <col min="4363" max="4608" width="9" style="106"/>
    <col min="4609" max="4609" width="8.08984375" style="106" customWidth="1"/>
    <col min="4610" max="4610" width="7.81640625" style="106" customWidth="1"/>
    <col min="4611" max="4611" width="15.6328125" style="106" bestFit="1" customWidth="1"/>
    <col min="4612" max="4612" width="10.81640625" style="106" bestFit="1" customWidth="1"/>
    <col min="4613" max="4613" width="49.6328125" style="106" customWidth="1"/>
    <col min="4614" max="4617" width="9" style="106"/>
    <col min="4618" max="4618" width="9.81640625" style="106" customWidth="1"/>
    <col min="4619" max="4864" width="9" style="106"/>
    <col min="4865" max="4865" width="8.08984375" style="106" customWidth="1"/>
    <col min="4866" max="4866" width="7.81640625" style="106" customWidth="1"/>
    <col min="4867" max="4867" width="15.6328125" style="106" bestFit="1" customWidth="1"/>
    <col min="4868" max="4868" width="10.81640625" style="106" bestFit="1" customWidth="1"/>
    <col min="4869" max="4869" width="49.6328125" style="106" customWidth="1"/>
    <col min="4870" max="4873" width="9" style="106"/>
    <col min="4874" max="4874" width="9.81640625" style="106" customWidth="1"/>
    <col min="4875" max="5120" width="9" style="106"/>
    <col min="5121" max="5121" width="8.08984375" style="106" customWidth="1"/>
    <col min="5122" max="5122" width="7.81640625" style="106" customWidth="1"/>
    <col min="5123" max="5123" width="15.6328125" style="106" bestFit="1" customWidth="1"/>
    <col min="5124" max="5124" width="10.81640625" style="106" bestFit="1" customWidth="1"/>
    <col min="5125" max="5125" width="49.6328125" style="106" customWidth="1"/>
    <col min="5126" max="5129" width="9" style="106"/>
    <col min="5130" max="5130" width="9.81640625" style="106" customWidth="1"/>
    <col min="5131" max="5376" width="9" style="106"/>
    <col min="5377" max="5377" width="8.08984375" style="106" customWidth="1"/>
    <col min="5378" max="5378" width="7.81640625" style="106" customWidth="1"/>
    <col min="5379" max="5379" width="15.6328125" style="106" bestFit="1" customWidth="1"/>
    <col min="5380" max="5380" width="10.81640625" style="106" bestFit="1" customWidth="1"/>
    <col min="5381" max="5381" width="49.6328125" style="106" customWidth="1"/>
    <col min="5382" max="5385" width="9" style="106"/>
    <col min="5386" max="5386" width="9.81640625" style="106" customWidth="1"/>
    <col min="5387" max="5632" width="9" style="106"/>
    <col min="5633" max="5633" width="8.08984375" style="106" customWidth="1"/>
    <col min="5634" max="5634" width="7.81640625" style="106" customWidth="1"/>
    <col min="5635" max="5635" width="15.6328125" style="106" bestFit="1" customWidth="1"/>
    <col min="5636" max="5636" width="10.81640625" style="106" bestFit="1" customWidth="1"/>
    <col min="5637" max="5637" width="49.6328125" style="106" customWidth="1"/>
    <col min="5638" max="5641" width="9" style="106"/>
    <col min="5642" max="5642" width="9.81640625" style="106" customWidth="1"/>
    <col min="5643" max="5888" width="9" style="106"/>
    <col min="5889" max="5889" width="8.08984375" style="106" customWidth="1"/>
    <col min="5890" max="5890" width="7.81640625" style="106" customWidth="1"/>
    <col min="5891" max="5891" width="15.6328125" style="106" bestFit="1" customWidth="1"/>
    <col min="5892" max="5892" width="10.81640625" style="106" bestFit="1" customWidth="1"/>
    <col min="5893" max="5893" width="49.6328125" style="106" customWidth="1"/>
    <col min="5894" max="5897" width="9" style="106"/>
    <col min="5898" max="5898" width="9.81640625" style="106" customWidth="1"/>
    <col min="5899" max="6144" width="9" style="106"/>
    <col min="6145" max="6145" width="8.08984375" style="106" customWidth="1"/>
    <col min="6146" max="6146" width="7.81640625" style="106" customWidth="1"/>
    <col min="6147" max="6147" width="15.6328125" style="106" bestFit="1" customWidth="1"/>
    <col min="6148" max="6148" width="10.81640625" style="106" bestFit="1" customWidth="1"/>
    <col min="6149" max="6149" width="49.6328125" style="106" customWidth="1"/>
    <col min="6150" max="6153" width="9" style="106"/>
    <col min="6154" max="6154" width="9.81640625" style="106" customWidth="1"/>
    <col min="6155" max="6400" width="9" style="106"/>
    <col min="6401" max="6401" width="8.08984375" style="106" customWidth="1"/>
    <col min="6402" max="6402" width="7.81640625" style="106" customWidth="1"/>
    <col min="6403" max="6403" width="15.6328125" style="106" bestFit="1" customWidth="1"/>
    <col min="6404" max="6404" width="10.81640625" style="106" bestFit="1" customWidth="1"/>
    <col min="6405" max="6405" width="49.6328125" style="106" customWidth="1"/>
    <col min="6406" max="6409" width="9" style="106"/>
    <col min="6410" max="6410" width="9.81640625" style="106" customWidth="1"/>
    <col min="6411" max="6656" width="9" style="106"/>
    <col min="6657" max="6657" width="8.08984375" style="106" customWidth="1"/>
    <col min="6658" max="6658" width="7.81640625" style="106" customWidth="1"/>
    <col min="6659" max="6659" width="15.6328125" style="106" bestFit="1" customWidth="1"/>
    <col min="6660" max="6660" width="10.81640625" style="106" bestFit="1" customWidth="1"/>
    <col min="6661" max="6661" width="49.6328125" style="106" customWidth="1"/>
    <col min="6662" max="6665" width="9" style="106"/>
    <col min="6666" max="6666" width="9.81640625" style="106" customWidth="1"/>
    <col min="6667" max="6912" width="9" style="106"/>
    <col min="6913" max="6913" width="8.08984375" style="106" customWidth="1"/>
    <col min="6914" max="6914" width="7.81640625" style="106" customWidth="1"/>
    <col min="6915" max="6915" width="15.6328125" style="106" bestFit="1" customWidth="1"/>
    <col min="6916" max="6916" width="10.81640625" style="106" bestFit="1" customWidth="1"/>
    <col min="6917" max="6917" width="49.6328125" style="106" customWidth="1"/>
    <col min="6918" max="6921" width="9" style="106"/>
    <col min="6922" max="6922" width="9.81640625" style="106" customWidth="1"/>
    <col min="6923" max="7168" width="9" style="106"/>
    <col min="7169" max="7169" width="8.08984375" style="106" customWidth="1"/>
    <col min="7170" max="7170" width="7.81640625" style="106" customWidth="1"/>
    <col min="7171" max="7171" width="15.6328125" style="106" bestFit="1" customWidth="1"/>
    <col min="7172" max="7172" width="10.81640625" style="106" bestFit="1" customWidth="1"/>
    <col min="7173" max="7173" width="49.6328125" style="106" customWidth="1"/>
    <col min="7174" max="7177" width="9" style="106"/>
    <col min="7178" max="7178" width="9.81640625" style="106" customWidth="1"/>
    <col min="7179" max="7424" width="9" style="106"/>
    <col min="7425" max="7425" width="8.08984375" style="106" customWidth="1"/>
    <col min="7426" max="7426" width="7.81640625" style="106" customWidth="1"/>
    <col min="7427" max="7427" width="15.6328125" style="106" bestFit="1" customWidth="1"/>
    <col min="7428" max="7428" width="10.81640625" style="106" bestFit="1" customWidth="1"/>
    <col min="7429" max="7429" width="49.6328125" style="106" customWidth="1"/>
    <col min="7430" max="7433" width="9" style="106"/>
    <col min="7434" max="7434" width="9.81640625" style="106" customWidth="1"/>
    <col min="7435" max="7680" width="9" style="106"/>
    <col min="7681" max="7681" width="8.08984375" style="106" customWidth="1"/>
    <col min="7682" max="7682" width="7.81640625" style="106" customWidth="1"/>
    <col min="7683" max="7683" width="15.6328125" style="106" bestFit="1" customWidth="1"/>
    <col min="7684" max="7684" width="10.81640625" style="106" bestFit="1" customWidth="1"/>
    <col min="7685" max="7685" width="49.6328125" style="106" customWidth="1"/>
    <col min="7686" max="7689" width="9" style="106"/>
    <col min="7690" max="7690" width="9.81640625" style="106" customWidth="1"/>
    <col min="7691" max="7936" width="9" style="106"/>
    <col min="7937" max="7937" width="8.08984375" style="106" customWidth="1"/>
    <col min="7938" max="7938" width="7.81640625" style="106" customWidth="1"/>
    <col min="7939" max="7939" width="15.6328125" style="106" bestFit="1" customWidth="1"/>
    <col min="7940" max="7940" width="10.81640625" style="106" bestFit="1" customWidth="1"/>
    <col min="7941" max="7941" width="49.6328125" style="106" customWidth="1"/>
    <col min="7942" max="7945" width="9" style="106"/>
    <col min="7946" max="7946" width="9.81640625" style="106" customWidth="1"/>
    <col min="7947" max="8192" width="9" style="106"/>
    <col min="8193" max="8193" width="8.08984375" style="106" customWidth="1"/>
    <col min="8194" max="8194" width="7.81640625" style="106" customWidth="1"/>
    <col min="8195" max="8195" width="15.6328125" style="106" bestFit="1" customWidth="1"/>
    <col min="8196" max="8196" width="10.81640625" style="106" bestFit="1" customWidth="1"/>
    <col min="8197" max="8197" width="49.6328125" style="106" customWidth="1"/>
    <col min="8198" max="8201" width="9" style="106"/>
    <col min="8202" max="8202" width="9.81640625" style="106" customWidth="1"/>
    <col min="8203" max="8448" width="9" style="106"/>
    <col min="8449" max="8449" width="8.08984375" style="106" customWidth="1"/>
    <col min="8450" max="8450" width="7.81640625" style="106" customWidth="1"/>
    <col min="8451" max="8451" width="15.6328125" style="106" bestFit="1" customWidth="1"/>
    <col min="8452" max="8452" width="10.81640625" style="106" bestFit="1" customWidth="1"/>
    <col min="8453" max="8453" width="49.6328125" style="106" customWidth="1"/>
    <col min="8454" max="8457" width="9" style="106"/>
    <col min="8458" max="8458" width="9.81640625" style="106" customWidth="1"/>
    <col min="8459" max="8704" width="9" style="106"/>
    <col min="8705" max="8705" width="8.08984375" style="106" customWidth="1"/>
    <col min="8706" max="8706" width="7.81640625" style="106" customWidth="1"/>
    <col min="8707" max="8707" width="15.6328125" style="106" bestFit="1" customWidth="1"/>
    <col min="8708" max="8708" width="10.81640625" style="106" bestFit="1" customWidth="1"/>
    <col min="8709" max="8709" width="49.6328125" style="106" customWidth="1"/>
    <col min="8710" max="8713" width="9" style="106"/>
    <col min="8714" max="8714" width="9.81640625" style="106" customWidth="1"/>
    <col min="8715" max="8960" width="9" style="106"/>
    <col min="8961" max="8961" width="8.08984375" style="106" customWidth="1"/>
    <col min="8962" max="8962" width="7.81640625" style="106" customWidth="1"/>
    <col min="8963" max="8963" width="15.6328125" style="106" bestFit="1" customWidth="1"/>
    <col min="8964" max="8964" width="10.81640625" style="106" bestFit="1" customWidth="1"/>
    <col min="8965" max="8965" width="49.6328125" style="106" customWidth="1"/>
    <col min="8966" max="8969" width="9" style="106"/>
    <col min="8970" max="8970" width="9.81640625" style="106" customWidth="1"/>
    <col min="8971" max="9216" width="9" style="106"/>
    <col min="9217" max="9217" width="8.08984375" style="106" customWidth="1"/>
    <col min="9218" max="9218" width="7.81640625" style="106" customWidth="1"/>
    <col min="9219" max="9219" width="15.6328125" style="106" bestFit="1" customWidth="1"/>
    <col min="9220" max="9220" width="10.81640625" style="106" bestFit="1" customWidth="1"/>
    <col min="9221" max="9221" width="49.6328125" style="106" customWidth="1"/>
    <col min="9222" max="9225" width="9" style="106"/>
    <col min="9226" max="9226" width="9.81640625" style="106" customWidth="1"/>
    <col min="9227" max="9472" width="9" style="106"/>
    <col min="9473" max="9473" width="8.08984375" style="106" customWidth="1"/>
    <col min="9474" max="9474" width="7.81640625" style="106" customWidth="1"/>
    <col min="9475" max="9475" width="15.6328125" style="106" bestFit="1" customWidth="1"/>
    <col min="9476" max="9476" width="10.81640625" style="106" bestFit="1" customWidth="1"/>
    <col min="9477" max="9477" width="49.6328125" style="106" customWidth="1"/>
    <col min="9478" max="9481" width="9" style="106"/>
    <col min="9482" max="9482" width="9.81640625" style="106" customWidth="1"/>
    <col min="9483" max="9728" width="9" style="106"/>
    <col min="9729" max="9729" width="8.08984375" style="106" customWidth="1"/>
    <col min="9730" max="9730" width="7.81640625" style="106" customWidth="1"/>
    <col min="9731" max="9731" width="15.6328125" style="106" bestFit="1" customWidth="1"/>
    <col min="9732" max="9732" width="10.81640625" style="106" bestFit="1" customWidth="1"/>
    <col min="9733" max="9733" width="49.6328125" style="106" customWidth="1"/>
    <col min="9734" max="9737" width="9" style="106"/>
    <col min="9738" max="9738" width="9.81640625" style="106" customWidth="1"/>
    <col min="9739" max="9984" width="9" style="106"/>
    <col min="9985" max="9985" width="8.08984375" style="106" customWidth="1"/>
    <col min="9986" max="9986" width="7.81640625" style="106" customWidth="1"/>
    <col min="9987" max="9987" width="15.6328125" style="106" bestFit="1" customWidth="1"/>
    <col min="9988" max="9988" width="10.81640625" style="106" bestFit="1" customWidth="1"/>
    <col min="9989" max="9989" width="49.6328125" style="106" customWidth="1"/>
    <col min="9990" max="9993" width="9" style="106"/>
    <col min="9994" max="9994" width="9.81640625" style="106" customWidth="1"/>
    <col min="9995" max="10240" width="9" style="106"/>
    <col min="10241" max="10241" width="8.08984375" style="106" customWidth="1"/>
    <col min="10242" max="10242" width="7.81640625" style="106" customWidth="1"/>
    <col min="10243" max="10243" width="15.6328125" style="106" bestFit="1" customWidth="1"/>
    <col min="10244" max="10244" width="10.81640625" style="106" bestFit="1" customWidth="1"/>
    <col min="10245" max="10245" width="49.6328125" style="106" customWidth="1"/>
    <col min="10246" max="10249" width="9" style="106"/>
    <col min="10250" max="10250" width="9.81640625" style="106" customWidth="1"/>
    <col min="10251" max="10496" width="9" style="106"/>
    <col min="10497" max="10497" width="8.08984375" style="106" customWidth="1"/>
    <col min="10498" max="10498" width="7.81640625" style="106" customWidth="1"/>
    <col min="10499" max="10499" width="15.6328125" style="106" bestFit="1" customWidth="1"/>
    <col min="10500" max="10500" width="10.81640625" style="106" bestFit="1" customWidth="1"/>
    <col min="10501" max="10501" width="49.6328125" style="106" customWidth="1"/>
    <col min="10502" max="10505" width="9" style="106"/>
    <col min="10506" max="10506" width="9.81640625" style="106" customWidth="1"/>
    <col min="10507" max="10752" width="9" style="106"/>
    <col min="10753" max="10753" width="8.08984375" style="106" customWidth="1"/>
    <col min="10754" max="10754" width="7.81640625" style="106" customWidth="1"/>
    <col min="10755" max="10755" width="15.6328125" style="106" bestFit="1" customWidth="1"/>
    <col min="10756" max="10756" width="10.81640625" style="106" bestFit="1" customWidth="1"/>
    <col min="10757" max="10757" width="49.6328125" style="106" customWidth="1"/>
    <col min="10758" max="10761" width="9" style="106"/>
    <col min="10762" max="10762" width="9.81640625" style="106" customWidth="1"/>
    <col min="10763" max="11008" width="9" style="106"/>
    <col min="11009" max="11009" width="8.08984375" style="106" customWidth="1"/>
    <col min="11010" max="11010" width="7.81640625" style="106" customWidth="1"/>
    <col min="11011" max="11011" width="15.6328125" style="106" bestFit="1" customWidth="1"/>
    <col min="11012" max="11012" width="10.81640625" style="106" bestFit="1" customWidth="1"/>
    <col min="11013" max="11013" width="49.6328125" style="106" customWidth="1"/>
    <col min="11014" max="11017" width="9" style="106"/>
    <col min="11018" max="11018" width="9.81640625" style="106" customWidth="1"/>
    <col min="11019" max="11264" width="9" style="106"/>
    <col min="11265" max="11265" width="8.08984375" style="106" customWidth="1"/>
    <col min="11266" max="11266" width="7.81640625" style="106" customWidth="1"/>
    <col min="11267" max="11267" width="15.6328125" style="106" bestFit="1" customWidth="1"/>
    <col min="11268" max="11268" width="10.81640625" style="106" bestFit="1" customWidth="1"/>
    <col min="11269" max="11269" width="49.6328125" style="106" customWidth="1"/>
    <col min="11270" max="11273" width="9" style="106"/>
    <col min="11274" max="11274" width="9.81640625" style="106" customWidth="1"/>
    <col min="11275" max="11520" width="9" style="106"/>
    <col min="11521" max="11521" width="8.08984375" style="106" customWidth="1"/>
    <col min="11522" max="11522" width="7.81640625" style="106" customWidth="1"/>
    <col min="11523" max="11523" width="15.6328125" style="106" bestFit="1" customWidth="1"/>
    <col min="11524" max="11524" width="10.81640625" style="106" bestFit="1" customWidth="1"/>
    <col min="11525" max="11525" width="49.6328125" style="106" customWidth="1"/>
    <col min="11526" max="11529" width="9" style="106"/>
    <col min="11530" max="11530" width="9.81640625" style="106" customWidth="1"/>
    <col min="11531" max="11776" width="9" style="106"/>
    <col min="11777" max="11777" width="8.08984375" style="106" customWidth="1"/>
    <col min="11778" max="11778" width="7.81640625" style="106" customWidth="1"/>
    <col min="11779" max="11779" width="15.6328125" style="106" bestFit="1" customWidth="1"/>
    <col min="11780" max="11780" width="10.81640625" style="106" bestFit="1" customWidth="1"/>
    <col min="11781" max="11781" width="49.6328125" style="106" customWidth="1"/>
    <col min="11782" max="11785" width="9" style="106"/>
    <col min="11786" max="11786" width="9.81640625" style="106" customWidth="1"/>
    <col min="11787" max="12032" width="9" style="106"/>
    <col min="12033" max="12033" width="8.08984375" style="106" customWidth="1"/>
    <col min="12034" max="12034" width="7.81640625" style="106" customWidth="1"/>
    <col min="12035" max="12035" width="15.6328125" style="106" bestFit="1" customWidth="1"/>
    <col min="12036" max="12036" width="10.81640625" style="106" bestFit="1" customWidth="1"/>
    <col min="12037" max="12037" width="49.6328125" style="106" customWidth="1"/>
    <col min="12038" max="12041" width="9" style="106"/>
    <col min="12042" max="12042" width="9.81640625" style="106" customWidth="1"/>
    <col min="12043" max="12288" width="9" style="106"/>
    <col min="12289" max="12289" width="8.08984375" style="106" customWidth="1"/>
    <col min="12290" max="12290" width="7.81640625" style="106" customWidth="1"/>
    <col min="12291" max="12291" width="15.6328125" style="106" bestFit="1" customWidth="1"/>
    <col min="12292" max="12292" width="10.81640625" style="106" bestFit="1" customWidth="1"/>
    <col min="12293" max="12293" width="49.6328125" style="106" customWidth="1"/>
    <col min="12294" max="12297" width="9" style="106"/>
    <col min="12298" max="12298" width="9.81640625" style="106" customWidth="1"/>
    <col min="12299" max="12544" width="9" style="106"/>
    <col min="12545" max="12545" width="8.08984375" style="106" customWidth="1"/>
    <col min="12546" max="12546" width="7.81640625" style="106" customWidth="1"/>
    <col min="12547" max="12547" width="15.6328125" style="106" bestFit="1" customWidth="1"/>
    <col min="12548" max="12548" width="10.81640625" style="106" bestFit="1" customWidth="1"/>
    <col min="12549" max="12549" width="49.6328125" style="106" customWidth="1"/>
    <col min="12550" max="12553" width="9" style="106"/>
    <col min="12554" max="12554" width="9.81640625" style="106" customWidth="1"/>
    <col min="12555" max="12800" width="9" style="106"/>
    <col min="12801" max="12801" width="8.08984375" style="106" customWidth="1"/>
    <col min="12802" max="12802" width="7.81640625" style="106" customWidth="1"/>
    <col min="12803" max="12803" width="15.6328125" style="106" bestFit="1" customWidth="1"/>
    <col min="12804" max="12804" width="10.81640625" style="106" bestFit="1" customWidth="1"/>
    <col min="12805" max="12805" width="49.6328125" style="106" customWidth="1"/>
    <col min="12806" max="12809" width="9" style="106"/>
    <col min="12810" max="12810" width="9.81640625" style="106" customWidth="1"/>
    <col min="12811" max="13056" width="9" style="106"/>
    <col min="13057" max="13057" width="8.08984375" style="106" customWidth="1"/>
    <col min="13058" max="13058" width="7.81640625" style="106" customWidth="1"/>
    <col min="13059" max="13059" width="15.6328125" style="106" bestFit="1" customWidth="1"/>
    <col min="13060" max="13060" width="10.81640625" style="106" bestFit="1" customWidth="1"/>
    <col min="13061" max="13061" width="49.6328125" style="106" customWidth="1"/>
    <col min="13062" max="13065" width="9" style="106"/>
    <col min="13066" max="13066" width="9.81640625" style="106" customWidth="1"/>
    <col min="13067" max="13312" width="9" style="106"/>
    <col min="13313" max="13313" width="8.08984375" style="106" customWidth="1"/>
    <col min="13314" max="13314" width="7.81640625" style="106" customWidth="1"/>
    <col min="13315" max="13315" width="15.6328125" style="106" bestFit="1" customWidth="1"/>
    <col min="13316" max="13316" width="10.81640625" style="106" bestFit="1" customWidth="1"/>
    <col min="13317" max="13317" width="49.6328125" style="106" customWidth="1"/>
    <col min="13318" max="13321" width="9" style="106"/>
    <col min="13322" max="13322" width="9.81640625" style="106" customWidth="1"/>
    <col min="13323" max="13568" width="9" style="106"/>
    <col min="13569" max="13569" width="8.08984375" style="106" customWidth="1"/>
    <col min="13570" max="13570" width="7.81640625" style="106" customWidth="1"/>
    <col min="13571" max="13571" width="15.6328125" style="106" bestFit="1" customWidth="1"/>
    <col min="13572" max="13572" width="10.81640625" style="106" bestFit="1" customWidth="1"/>
    <col min="13573" max="13573" width="49.6328125" style="106" customWidth="1"/>
    <col min="13574" max="13577" width="9" style="106"/>
    <col min="13578" max="13578" width="9.81640625" style="106" customWidth="1"/>
    <col min="13579" max="13824" width="9" style="106"/>
    <col min="13825" max="13825" width="8.08984375" style="106" customWidth="1"/>
    <col min="13826" max="13826" width="7.81640625" style="106" customWidth="1"/>
    <col min="13827" max="13827" width="15.6328125" style="106" bestFit="1" customWidth="1"/>
    <col min="13828" max="13828" width="10.81640625" style="106" bestFit="1" customWidth="1"/>
    <col min="13829" max="13829" width="49.6328125" style="106" customWidth="1"/>
    <col min="13830" max="13833" width="9" style="106"/>
    <col min="13834" max="13834" width="9.81640625" style="106" customWidth="1"/>
    <col min="13835" max="14080" width="9" style="106"/>
    <col min="14081" max="14081" width="8.08984375" style="106" customWidth="1"/>
    <col min="14082" max="14082" width="7.81640625" style="106" customWidth="1"/>
    <col min="14083" max="14083" width="15.6328125" style="106" bestFit="1" customWidth="1"/>
    <col min="14084" max="14084" width="10.81640625" style="106" bestFit="1" customWidth="1"/>
    <col min="14085" max="14085" width="49.6328125" style="106" customWidth="1"/>
    <col min="14086" max="14089" width="9" style="106"/>
    <col min="14090" max="14090" width="9.81640625" style="106" customWidth="1"/>
    <col min="14091" max="14336" width="9" style="106"/>
    <col min="14337" max="14337" width="8.08984375" style="106" customWidth="1"/>
    <col min="14338" max="14338" width="7.81640625" style="106" customWidth="1"/>
    <col min="14339" max="14339" width="15.6328125" style="106" bestFit="1" customWidth="1"/>
    <col min="14340" max="14340" width="10.81640625" style="106" bestFit="1" customWidth="1"/>
    <col min="14341" max="14341" width="49.6328125" style="106" customWidth="1"/>
    <col min="14342" max="14345" width="9" style="106"/>
    <col min="14346" max="14346" width="9.81640625" style="106" customWidth="1"/>
    <col min="14347" max="14592" width="9" style="106"/>
    <col min="14593" max="14593" width="8.08984375" style="106" customWidth="1"/>
    <col min="14594" max="14594" width="7.81640625" style="106" customWidth="1"/>
    <col min="14595" max="14595" width="15.6328125" style="106" bestFit="1" customWidth="1"/>
    <col min="14596" max="14596" width="10.81640625" style="106" bestFit="1" customWidth="1"/>
    <col min="14597" max="14597" width="49.6328125" style="106" customWidth="1"/>
    <col min="14598" max="14601" width="9" style="106"/>
    <col min="14602" max="14602" width="9.81640625" style="106" customWidth="1"/>
    <col min="14603" max="14848" width="9" style="106"/>
    <col min="14849" max="14849" width="8.08984375" style="106" customWidth="1"/>
    <col min="14850" max="14850" width="7.81640625" style="106" customWidth="1"/>
    <col min="14851" max="14851" width="15.6328125" style="106" bestFit="1" customWidth="1"/>
    <col min="14852" max="14852" width="10.81640625" style="106" bestFit="1" customWidth="1"/>
    <col min="14853" max="14853" width="49.6328125" style="106" customWidth="1"/>
    <col min="14854" max="14857" width="9" style="106"/>
    <col min="14858" max="14858" width="9.81640625" style="106" customWidth="1"/>
    <col min="14859" max="15104" width="9" style="106"/>
    <col min="15105" max="15105" width="8.08984375" style="106" customWidth="1"/>
    <col min="15106" max="15106" width="7.81640625" style="106" customWidth="1"/>
    <col min="15107" max="15107" width="15.6328125" style="106" bestFit="1" customWidth="1"/>
    <col min="15108" max="15108" width="10.81640625" style="106" bestFit="1" customWidth="1"/>
    <col min="15109" max="15109" width="49.6328125" style="106" customWidth="1"/>
    <col min="15110" max="15113" width="9" style="106"/>
    <col min="15114" max="15114" width="9.81640625" style="106" customWidth="1"/>
    <col min="15115" max="15360" width="9" style="106"/>
    <col min="15361" max="15361" width="8.08984375" style="106" customWidth="1"/>
    <col min="15362" max="15362" width="7.81640625" style="106" customWidth="1"/>
    <col min="15363" max="15363" width="15.6328125" style="106" bestFit="1" customWidth="1"/>
    <col min="15364" max="15364" width="10.81640625" style="106" bestFit="1" customWidth="1"/>
    <col min="15365" max="15365" width="49.6328125" style="106" customWidth="1"/>
    <col min="15366" max="15369" width="9" style="106"/>
    <col min="15370" max="15370" width="9.81640625" style="106" customWidth="1"/>
    <col min="15371" max="15616" width="9" style="106"/>
    <col min="15617" max="15617" width="8.08984375" style="106" customWidth="1"/>
    <col min="15618" max="15618" width="7.81640625" style="106" customWidth="1"/>
    <col min="15619" max="15619" width="15.6328125" style="106" bestFit="1" customWidth="1"/>
    <col min="15620" max="15620" width="10.81640625" style="106" bestFit="1" customWidth="1"/>
    <col min="15621" max="15621" width="49.6328125" style="106" customWidth="1"/>
    <col min="15622" max="15625" width="9" style="106"/>
    <col min="15626" max="15626" width="9.81640625" style="106" customWidth="1"/>
    <col min="15627" max="15872" width="9" style="106"/>
    <col min="15873" max="15873" width="8.08984375" style="106" customWidth="1"/>
    <col min="15874" max="15874" width="7.81640625" style="106" customWidth="1"/>
    <col min="15875" max="15875" width="15.6328125" style="106" bestFit="1" customWidth="1"/>
    <col min="15876" max="15876" width="10.81640625" style="106" bestFit="1" customWidth="1"/>
    <col min="15877" max="15877" width="49.6328125" style="106" customWidth="1"/>
    <col min="15878" max="15881" width="9" style="106"/>
    <col min="15882" max="15882" width="9.81640625" style="106" customWidth="1"/>
    <col min="15883" max="16128" width="9" style="106"/>
    <col min="16129" max="16129" width="8.08984375" style="106" customWidth="1"/>
    <col min="16130" max="16130" width="7.81640625" style="106" customWidth="1"/>
    <col min="16131" max="16131" width="15.6328125" style="106" bestFit="1" customWidth="1"/>
    <col min="16132" max="16132" width="10.81640625" style="106" bestFit="1" customWidth="1"/>
    <col min="16133" max="16133" width="49.6328125" style="106" customWidth="1"/>
    <col min="16134" max="16137" width="9" style="106"/>
    <col min="16138" max="16138" width="9.81640625" style="106" customWidth="1"/>
    <col min="16139" max="16384" width="9" style="106"/>
  </cols>
  <sheetData>
    <row r="2" spans="1:10">
      <c r="A2" s="106" t="s">
        <v>210</v>
      </c>
      <c r="C2" s="107"/>
    </row>
    <row r="3" spans="1:10">
      <c r="A3" s="109">
        <f>MAX(A6:A999)</f>
        <v>10</v>
      </c>
      <c r="B3" s="109"/>
      <c r="C3" s="110">
        <f>VLOOKUP($A3,$A$6:$D$999,3,FALSE)</f>
        <v>43126</v>
      </c>
      <c r="D3" s="109" t="str">
        <f>VLOOKUP($A3,$A$6:$D$999,4,FALSE)</f>
        <v>Ver 3.6</v>
      </c>
    </row>
    <row r="4" spans="1:10">
      <c r="C4" s="107"/>
      <c r="J4" s="111"/>
    </row>
    <row r="5" spans="1:10">
      <c r="A5" s="106" t="s">
        <v>211</v>
      </c>
      <c r="C5" s="107"/>
    </row>
    <row r="6" spans="1:10">
      <c r="A6" s="109">
        <v>1</v>
      </c>
      <c r="B6" s="109" t="s">
        <v>212</v>
      </c>
      <c r="C6" s="110">
        <v>43101</v>
      </c>
      <c r="D6" s="109" t="s">
        <v>434</v>
      </c>
      <c r="E6" s="112" t="s">
        <v>213</v>
      </c>
    </row>
    <row r="7" spans="1:10" ht="45">
      <c r="A7" s="109">
        <v>2</v>
      </c>
      <c r="B7" s="109" t="s">
        <v>212</v>
      </c>
      <c r="C7" s="110">
        <v>43101</v>
      </c>
      <c r="D7" s="109" t="s">
        <v>435</v>
      </c>
      <c r="E7" s="112" t="s">
        <v>214</v>
      </c>
    </row>
    <row r="8" spans="1:10">
      <c r="A8" s="109">
        <v>3</v>
      </c>
      <c r="B8" s="109" t="s">
        <v>212</v>
      </c>
      <c r="C8" s="110">
        <v>43108</v>
      </c>
      <c r="D8" s="109" t="s">
        <v>246</v>
      </c>
      <c r="E8" s="112" t="s">
        <v>217</v>
      </c>
    </row>
    <row r="9" spans="1:10" ht="90">
      <c r="A9" s="109"/>
      <c r="B9" s="109" t="s">
        <v>247</v>
      </c>
      <c r="C9" s="110"/>
      <c r="D9" s="109"/>
      <c r="E9" s="112" t="s">
        <v>215</v>
      </c>
    </row>
    <row r="10" spans="1:10">
      <c r="A10" s="109"/>
      <c r="B10" s="109" t="s">
        <v>247</v>
      </c>
      <c r="C10" s="110"/>
      <c r="D10" s="109"/>
      <c r="E10" s="112" t="s">
        <v>216</v>
      </c>
    </row>
    <row r="11" spans="1:10">
      <c r="A11" s="109">
        <v>4</v>
      </c>
      <c r="B11" s="109" t="s">
        <v>212</v>
      </c>
      <c r="C11" s="110">
        <v>43111</v>
      </c>
      <c r="D11" s="109" t="s">
        <v>420</v>
      </c>
      <c r="E11" s="112" t="s">
        <v>419</v>
      </c>
    </row>
    <row r="12" spans="1:10">
      <c r="A12" s="109">
        <v>5</v>
      </c>
      <c r="B12" s="109" t="s">
        <v>212</v>
      </c>
      <c r="C12" s="110">
        <v>43113</v>
      </c>
      <c r="D12" s="109" t="s">
        <v>426</v>
      </c>
      <c r="E12" s="112" t="s">
        <v>427</v>
      </c>
    </row>
    <row r="13" spans="1:10">
      <c r="A13" s="109">
        <v>6</v>
      </c>
      <c r="B13" s="109" t="s">
        <v>212</v>
      </c>
      <c r="C13" s="110">
        <v>43113</v>
      </c>
      <c r="D13" s="109" t="s">
        <v>428</v>
      </c>
      <c r="E13" s="112" t="s">
        <v>429</v>
      </c>
    </row>
    <row r="14" spans="1:10" ht="195">
      <c r="A14" s="109">
        <v>7</v>
      </c>
      <c r="B14" s="109" t="s">
        <v>212</v>
      </c>
      <c r="C14" s="113">
        <v>43117</v>
      </c>
      <c r="D14" s="109" t="s">
        <v>431</v>
      </c>
      <c r="E14" s="112" t="s">
        <v>430</v>
      </c>
    </row>
    <row r="15" spans="1:10">
      <c r="A15" s="109">
        <v>8</v>
      </c>
      <c r="B15" s="109" t="s">
        <v>212</v>
      </c>
      <c r="C15" s="113">
        <v>43119</v>
      </c>
      <c r="D15" s="109" t="s">
        <v>436</v>
      </c>
      <c r="E15" s="112" t="s">
        <v>439</v>
      </c>
    </row>
    <row r="16" spans="1:10">
      <c r="A16" s="109">
        <v>9</v>
      </c>
      <c r="B16" s="109" t="s">
        <v>212</v>
      </c>
      <c r="C16" s="113">
        <v>43123</v>
      </c>
      <c r="D16" s="109" t="s">
        <v>440</v>
      </c>
      <c r="E16" s="112" t="s">
        <v>441</v>
      </c>
    </row>
    <row r="17" spans="1:5" ht="45">
      <c r="A17" s="109">
        <v>10</v>
      </c>
      <c r="B17" s="109" t="s">
        <v>212</v>
      </c>
      <c r="C17" s="113">
        <v>43126</v>
      </c>
      <c r="D17" s="109" t="s">
        <v>442</v>
      </c>
      <c r="E17" s="112" t="s">
        <v>443</v>
      </c>
    </row>
    <row r="18" spans="1:5">
      <c r="A18" s="114"/>
      <c r="B18" s="114"/>
      <c r="C18" s="113"/>
      <c r="D18" s="114"/>
      <c r="E18" s="112"/>
    </row>
    <row r="19" spans="1:5">
      <c r="A19" s="114"/>
      <c r="B19" s="114"/>
      <c r="C19" s="113"/>
      <c r="D19" s="114"/>
      <c r="E19" s="112"/>
    </row>
    <row r="20" spans="1:5">
      <c r="A20" s="114"/>
      <c r="B20" s="114"/>
      <c r="C20" s="113"/>
      <c r="D20" s="114"/>
      <c r="E20" s="115"/>
    </row>
    <row r="21" spans="1:5">
      <c r="A21" s="114"/>
      <c r="B21" s="116"/>
      <c r="C21" s="113"/>
      <c r="D21" s="114"/>
      <c r="E21" s="112"/>
    </row>
    <row r="22" spans="1:5">
      <c r="B22" s="117"/>
      <c r="C22" s="107"/>
    </row>
    <row r="23" spans="1:5">
      <c r="B23" s="117"/>
      <c r="C23" s="107"/>
    </row>
    <row r="24" spans="1:5">
      <c r="B24" s="117"/>
      <c r="C24" s="107"/>
    </row>
    <row r="25" spans="1:5">
      <c r="B25" s="117"/>
      <c r="C25" s="107"/>
    </row>
    <row r="26" spans="1:5">
      <c r="B26" s="117"/>
      <c r="C26" s="107"/>
    </row>
    <row r="27" spans="1:5">
      <c r="C27" s="107"/>
    </row>
    <row r="29" spans="1:5">
      <c r="B29" s="117"/>
    </row>
    <row r="31" spans="1:5">
      <c r="B31" s="117"/>
    </row>
    <row r="35" spans="1:2">
      <c r="B35" s="117"/>
    </row>
    <row r="39" spans="1:2">
      <c r="B39" s="117"/>
    </row>
    <row r="46" spans="1:2">
      <c r="A46" s="118"/>
    </row>
  </sheetData>
  <phoneticPr fontId="8"/>
  <pageMargins left="0.78700000000000003" right="0.78700000000000003" top="0.98399999999999999" bottom="0.98399999999999999" header="0.51200000000000001" footer="0.51200000000000001"/>
  <pageSetup paperSize="9" scale="94"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5"/>
  <sheetViews>
    <sheetView tabSelected="1" workbookViewId="0">
      <selection activeCell="B8" sqref="B8"/>
    </sheetView>
  </sheetViews>
  <sheetFormatPr defaultColWidth="9" defaultRowHeight="15"/>
  <cols>
    <col min="1" max="1" width="21" style="1" bestFit="1" customWidth="1"/>
    <col min="2" max="2" width="86.36328125" style="1" customWidth="1"/>
    <col min="3" max="3" width="10.08984375" style="1" customWidth="1"/>
    <col min="4" max="16384" width="9" style="1"/>
  </cols>
  <sheetData>
    <row r="1" spans="1:3">
      <c r="A1" s="1" t="str">
        <f>ReviseHistory!D3</f>
        <v>Ver 3.6</v>
      </c>
    </row>
    <row r="2" spans="1:3" ht="21.75" customHeight="1">
      <c r="A2" s="1" t="s">
        <v>205</v>
      </c>
      <c r="B2" s="119" t="s">
        <v>514</v>
      </c>
    </row>
    <row r="9" spans="1:3">
      <c r="A9" s="1" t="s">
        <v>249</v>
      </c>
      <c r="B9" s="119"/>
    </row>
    <row r="11" spans="1:3">
      <c r="A11" s="1" t="s">
        <v>421</v>
      </c>
      <c r="B11" s="157"/>
    </row>
    <row r="15" spans="1:3">
      <c r="C15" s="1" t="s">
        <v>250</v>
      </c>
    </row>
  </sheetData>
  <phoneticPr fontId="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all_CreateDLL">
                <anchor moveWithCells="1" sizeWithCells="1">
                  <from>
                    <xdr:col>1</xdr:col>
                    <xdr:colOff>3886200</xdr:colOff>
                    <xdr:row>4</xdr:row>
                    <xdr:rowOff>0</xdr:rowOff>
                  </from>
                  <to>
                    <xdr:col>1</xdr:col>
                    <xdr:colOff>5226050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tn_Browse_TableSpec">
                <anchor moveWithCells="1" sizeWithCells="1">
                  <from>
                    <xdr:col>2</xdr:col>
                    <xdr:colOff>31750</xdr:colOff>
                    <xdr:row>1</xdr:row>
                    <xdr:rowOff>25400</xdr:rowOff>
                  </from>
                  <to>
                    <xdr:col>2</xdr:col>
                    <xdr:colOff>762000</xdr:colOff>
                    <xdr:row>1</xdr:row>
                    <xdr:rowOff>266700</xdr:rowOff>
                  </to>
                </anchor>
              </controlPr>
            </control>
          </mc:Choice>
        </mc:AlternateContent>
        <mc:AlternateContent xmlns:mc="http://schemas.openxmlformats.org/markup-compatibility/2006">
          <mc:Choice Requires="x14">
            <control shapeId="7172" r:id="rId5" name="Button 4">
              <controlPr defaultSize="0" print="0" autoFill="0" autoPict="0" macro="[0]!Call_CreateBean">
                <anchor moveWithCells="1" sizeWithCells="1">
                  <from>
                    <xdr:col>1</xdr:col>
                    <xdr:colOff>5518150</xdr:colOff>
                    <xdr:row>4</xdr:row>
                    <xdr:rowOff>0</xdr:rowOff>
                  </from>
                  <to>
                    <xdr:col>2</xdr:col>
                    <xdr:colOff>762000</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tn_Browse_FileSpec">
                <anchor moveWithCells="1" sizeWithCells="1">
                  <from>
                    <xdr:col>2</xdr:col>
                    <xdr:colOff>31750</xdr:colOff>
                    <xdr:row>7</xdr:row>
                    <xdr:rowOff>177800</xdr:rowOff>
                  </from>
                  <to>
                    <xdr:col>2</xdr:col>
                    <xdr:colOff>762000</xdr:colOff>
                    <xdr:row>9</xdr:row>
                    <xdr:rowOff>25400</xdr:rowOff>
                  </to>
                </anchor>
              </controlPr>
            </control>
          </mc:Choice>
        </mc:AlternateContent>
        <mc:AlternateContent xmlns:mc="http://schemas.openxmlformats.org/markup-compatibility/2006">
          <mc:Choice Requires="x14">
            <control shapeId="7174" r:id="rId7" name="Button 6">
              <controlPr defaultSize="0" print="0" autoFill="0" autoPict="0" macro="[0]!Call_CreateSF">
                <anchor moveWithCells="1" sizeWithCells="1">
                  <from>
                    <xdr:col>1</xdr:col>
                    <xdr:colOff>5518150</xdr:colOff>
                    <xdr:row>12</xdr:row>
                    <xdr:rowOff>0</xdr:rowOff>
                  </from>
                  <to>
                    <xdr:col>2</xdr:col>
                    <xdr:colOff>762000</xdr:colOff>
                    <xdr:row>14</xdr:row>
                    <xdr:rowOff>0</xdr:rowOff>
                  </to>
                </anchor>
              </controlPr>
            </control>
          </mc:Choice>
        </mc:AlternateContent>
        <mc:AlternateContent xmlns:mc="http://schemas.openxmlformats.org/markup-compatibility/2006">
          <mc:Choice Requires="x14">
            <control shapeId="7175" r:id="rId8" name="Button 7">
              <controlPr defaultSize="0" print="0" autoFill="0" autoPict="0" macro="[0]!Call_CreateItemList">
                <anchor moveWithCells="1" sizeWithCells="1">
                  <from>
                    <xdr:col>1</xdr:col>
                    <xdr:colOff>2241550</xdr:colOff>
                    <xdr:row>4</xdr:row>
                    <xdr:rowOff>0</xdr:rowOff>
                  </from>
                  <to>
                    <xdr:col>1</xdr:col>
                    <xdr:colOff>3581400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FF426-5113-48B9-B680-AAF2BC81AE51}">
  <sheetPr codeName="Sheet13"/>
  <dimension ref="A1:D19"/>
  <sheetViews>
    <sheetView workbookViewId="0">
      <selection activeCell="B8" sqref="B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512</v>
      </c>
      <c r="B2" s="1" t="s">
        <v>513</v>
      </c>
    </row>
    <row r="8" spans="1:3">
      <c r="A8" s="42"/>
      <c r="B8" s="42"/>
    </row>
    <row r="10" spans="1:3">
      <c r="B10" s="3"/>
    </row>
    <row r="11" spans="1:3">
      <c r="B11" s="3"/>
      <c r="C11" s="105"/>
    </row>
    <row r="19" spans="2:4">
      <c r="B19" s="43"/>
      <c r="C19" s="43"/>
      <c r="D19" s="43"/>
    </row>
  </sheetData>
  <phoneticPr fontId="8"/>
  <dataValidations count="1">
    <dataValidation type="list" allowBlank="1" showInputMessage="1" showErrorMessage="1" sqref="B19" xr:uid="{E9E5AB2A-257F-4B54-AF15-5B06EC9AEBC8}">
      <formula1>$C$19:$D$19</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20"/>
  <sheetViews>
    <sheetView workbookViewId="0">
      <selection activeCell="G8" sqref="G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209</v>
      </c>
      <c r="B2" s="1" t="s">
        <v>635</v>
      </c>
    </row>
    <row r="3" spans="1:3">
      <c r="A3" s="1" t="s">
        <v>206</v>
      </c>
      <c r="B3" s="1" t="s">
        <v>636</v>
      </c>
    </row>
    <row r="4" spans="1:3">
      <c r="A4" s="1" t="s">
        <v>147</v>
      </c>
      <c r="B4" s="1" t="s">
        <v>622</v>
      </c>
    </row>
    <row r="5" spans="1:3">
      <c r="A5" s="1" t="s">
        <v>226</v>
      </c>
      <c r="B5" s="1" t="s">
        <v>623</v>
      </c>
    </row>
    <row r="6" spans="1:3">
      <c r="A6" s="1" t="s">
        <v>5</v>
      </c>
      <c r="B6" s="1" t="s">
        <v>624</v>
      </c>
    </row>
    <row r="7" spans="1:3">
      <c r="A7" s="1" t="s">
        <v>141</v>
      </c>
      <c r="B7" s="1" t="s">
        <v>449</v>
      </c>
    </row>
    <row r="8" spans="1:3">
      <c r="A8" s="42" t="s">
        <v>151</v>
      </c>
      <c r="B8" s="42" t="s">
        <v>625</v>
      </c>
    </row>
    <row r="9" spans="1:3">
      <c r="A9" s="1" t="s">
        <v>138</v>
      </c>
      <c r="B9" s="1" t="s">
        <v>626</v>
      </c>
    </row>
    <row r="10" spans="1:3">
      <c r="A10" s="1" t="s">
        <v>637</v>
      </c>
      <c r="B10" s="3">
        <v>8</v>
      </c>
    </row>
    <row r="11" spans="1:3">
      <c r="A11" s="1" t="s">
        <v>152</v>
      </c>
      <c r="B11" s="3" t="s">
        <v>627</v>
      </c>
    </row>
    <row r="12" spans="1:3">
      <c r="A12" s="1" t="s">
        <v>437</v>
      </c>
      <c r="B12" s="3">
        <v>14</v>
      </c>
      <c r="C12" s="105"/>
    </row>
    <row r="13" spans="1:3">
      <c r="A13" s="1" t="s">
        <v>112</v>
      </c>
      <c r="B13" s="1" t="s">
        <v>628</v>
      </c>
    </row>
    <row r="14" spans="1:3">
      <c r="A14" s="1" t="s">
        <v>113</v>
      </c>
      <c r="B14" s="1" t="s">
        <v>628</v>
      </c>
    </row>
    <row r="15" spans="1:3">
      <c r="A15" s="1" t="s">
        <v>114</v>
      </c>
      <c r="B15" s="1" t="s">
        <v>629</v>
      </c>
    </row>
    <row r="16" spans="1:3">
      <c r="A16" s="1" t="s">
        <v>127</v>
      </c>
      <c r="B16" s="1" t="s">
        <v>630</v>
      </c>
    </row>
    <row r="17" spans="1:4" ht="45">
      <c r="A17" s="1" t="s">
        <v>149</v>
      </c>
      <c r="B17" s="43" t="s">
        <v>634</v>
      </c>
    </row>
    <row r="18" spans="1:4">
      <c r="A18" s="1" t="s">
        <v>115</v>
      </c>
      <c r="B18" s="1" t="s">
        <v>631</v>
      </c>
    </row>
    <row r="19" spans="1:4">
      <c r="A19" s="1" t="s">
        <v>116</v>
      </c>
      <c r="B19" s="1" t="s">
        <v>632</v>
      </c>
    </row>
    <row r="20" spans="1:4">
      <c r="A20" s="1" t="s">
        <v>117</v>
      </c>
      <c r="B20" s="43" t="s">
        <v>633</v>
      </c>
      <c r="C20" s="43"/>
      <c r="D20" s="43"/>
    </row>
  </sheetData>
  <phoneticPr fontId="2"/>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7E89-7E85-451E-81C7-1FB1FCEFC8C9}">
  <sheetPr transitionEvaluation="1" codeName="Sheet15">
    <pageSetUpPr fitToPage="1"/>
  </sheetPr>
  <dimension ref="A1:CW44"/>
  <sheetViews>
    <sheetView showGridLines="0" view="pageBreakPreview" zoomScale="85" zoomScaleNormal="85" workbookViewId="0">
      <selection activeCell="BN26" sqref="BN26:BQ26"/>
    </sheetView>
  </sheetViews>
  <sheetFormatPr defaultColWidth="1.6328125" defaultRowHeight="12"/>
  <cols>
    <col min="1" max="16384" width="1.6328125" style="159"/>
  </cols>
  <sheetData>
    <row r="1" spans="1:101">
      <c r="A1" s="158"/>
      <c r="G1" s="158"/>
    </row>
    <row r="2" spans="1:101">
      <c r="A2" s="158" t="s">
        <v>515</v>
      </c>
      <c r="G2" s="158"/>
    </row>
    <row r="3" spans="1:101" ht="15" customHeight="1">
      <c r="A3" s="264" t="s">
        <v>516</v>
      </c>
      <c r="B3" s="264"/>
      <c r="C3" s="264"/>
      <c r="D3" s="264"/>
      <c r="E3" s="264"/>
      <c r="F3" s="264"/>
      <c r="G3" s="264"/>
      <c r="H3" s="264"/>
      <c r="I3" s="265" t="s">
        <v>616</v>
      </c>
      <c r="J3" s="265"/>
      <c r="K3" s="265"/>
      <c r="L3" s="266" t="s">
        <v>617</v>
      </c>
      <c r="M3" s="266"/>
      <c r="N3" s="266"/>
      <c r="O3" s="266"/>
      <c r="P3" s="266"/>
      <c r="Q3" s="266"/>
      <c r="R3" s="266"/>
      <c r="S3" s="266"/>
      <c r="T3" s="266"/>
      <c r="U3" s="266"/>
      <c r="V3" s="264" t="s">
        <v>517</v>
      </c>
      <c r="W3" s="264"/>
      <c r="X3" s="264"/>
      <c r="Y3" s="264"/>
      <c r="Z3" s="264"/>
      <c r="AA3" s="264"/>
      <c r="AB3" s="264"/>
      <c r="AC3" s="264"/>
      <c r="AD3" s="265" t="s">
        <v>619</v>
      </c>
      <c r="AE3" s="265"/>
      <c r="AF3" s="265"/>
      <c r="AG3" s="266" t="s">
        <v>620</v>
      </c>
      <c r="AH3" s="266"/>
      <c r="AI3" s="266"/>
      <c r="AJ3" s="266"/>
      <c r="AK3" s="266"/>
      <c r="AL3" s="266"/>
      <c r="AM3" s="266"/>
      <c r="AN3" s="266"/>
      <c r="AO3" s="266"/>
      <c r="AP3" s="266"/>
      <c r="AQ3" s="266"/>
      <c r="AR3" s="266"/>
      <c r="AS3" s="266"/>
      <c r="AT3" s="266"/>
      <c r="AU3" s="266"/>
      <c r="AV3" s="266"/>
      <c r="AW3" s="266"/>
      <c r="AX3" s="266"/>
      <c r="AY3" s="160"/>
      <c r="AZ3" s="160"/>
    </row>
    <row r="4" spans="1:101" ht="13.5" customHeight="1">
      <c r="A4" s="264" t="s">
        <v>518</v>
      </c>
      <c r="B4" s="264"/>
      <c r="C4" s="264"/>
      <c r="D4" s="264"/>
      <c r="E4" s="264"/>
      <c r="F4" s="264"/>
      <c r="G4" s="264"/>
      <c r="H4" s="264"/>
      <c r="I4" s="265" t="s">
        <v>618</v>
      </c>
      <c r="J4" s="265"/>
      <c r="K4" s="265"/>
      <c r="L4" s="265"/>
      <c r="M4" s="265"/>
      <c r="N4" s="265"/>
      <c r="O4" s="265"/>
      <c r="P4" s="265"/>
      <c r="Q4" s="265"/>
      <c r="R4" s="265"/>
      <c r="S4" s="265"/>
      <c r="T4" s="265"/>
      <c r="U4" s="265"/>
      <c r="V4" s="265" t="s">
        <v>621</v>
      </c>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265"/>
      <c r="AV4" s="265"/>
      <c r="AW4" s="265"/>
      <c r="AX4" s="265"/>
    </row>
    <row r="6" spans="1:101">
      <c r="A6" s="232" t="s">
        <v>519</v>
      </c>
      <c r="B6" s="233"/>
      <c r="C6" s="233"/>
      <c r="D6" s="233"/>
      <c r="E6" s="233"/>
      <c r="F6" s="233"/>
      <c r="G6" s="233"/>
      <c r="H6" s="233"/>
      <c r="I6" s="233"/>
      <c r="J6" s="233"/>
      <c r="K6" s="233"/>
      <c r="L6" s="233"/>
      <c r="M6" s="234"/>
      <c r="N6" s="235" t="s">
        <v>520</v>
      </c>
      <c r="O6" s="236"/>
      <c r="P6" s="236"/>
      <c r="Q6" s="236"/>
      <c r="R6" s="236"/>
      <c r="S6" s="236"/>
      <c r="T6" s="236"/>
      <c r="U6" s="236"/>
      <c r="V6" s="236"/>
      <c r="W6" s="236"/>
      <c r="X6" s="236"/>
      <c r="Y6" s="236"/>
      <c r="Z6" s="236"/>
      <c r="AA6" s="237"/>
    </row>
    <row r="7" spans="1:101">
      <c r="A7" s="238" t="s">
        <v>521</v>
      </c>
      <c r="B7" s="239"/>
      <c r="C7" s="239"/>
      <c r="D7" s="239"/>
      <c r="E7" s="240"/>
      <c r="F7" s="241" t="s">
        <v>522</v>
      </c>
      <c r="G7" s="242"/>
      <c r="H7" s="242"/>
      <c r="I7" s="242"/>
      <c r="J7" s="242"/>
      <c r="K7" s="242"/>
      <c r="L7" s="242"/>
      <c r="M7" s="243"/>
      <c r="N7" s="244" t="s">
        <v>523</v>
      </c>
      <c r="O7" s="245"/>
      <c r="P7" s="245"/>
      <c r="Q7" s="245"/>
      <c r="R7" s="245"/>
      <c r="S7" s="245"/>
      <c r="T7" s="245"/>
      <c r="U7" s="245"/>
      <c r="V7" s="245"/>
      <c r="W7" s="245"/>
      <c r="X7" s="245"/>
      <c r="Y7" s="245"/>
      <c r="Z7" s="245"/>
      <c r="AA7" s="245"/>
      <c r="AB7" s="245"/>
      <c r="AC7" s="245"/>
      <c r="AD7" s="245"/>
      <c r="AE7" s="245"/>
      <c r="AF7" s="245"/>
      <c r="AG7" s="245"/>
      <c r="AH7" s="245"/>
      <c r="AI7" s="245"/>
      <c r="AJ7" s="245"/>
      <c r="AK7" s="245"/>
      <c r="AL7" s="245"/>
      <c r="AM7" s="245"/>
      <c r="AN7" s="245"/>
      <c r="AO7" s="246"/>
      <c r="AP7" s="247" t="s">
        <v>524</v>
      </c>
      <c r="AQ7" s="248"/>
      <c r="AR7" s="248"/>
      <c r="AS7" s="248"/>
      <c r="AT7" s="248"/>
      <c r="AU7" s="248"/>
      <c r="AV7" s="248"/>
      <c r="AW7" s="248"/>
      <c r="AX7" s="248"/>
      <c r="AY7" s="248"/>
      <c r="AZ7" s="249"/>
      <c r="BA7" s="250" t="s">
        <v>525</v>
      </c>
      <c r="BB7" s="251"/>
      <c r="BC7" s="251"/>
      <c r="BD7" s="251"/>
      <c r="BE7" s="251"/>
      <c r="BF7" s="251"/>
      <c r="BG7" s="251"/>
      <c r="BH7" s="251"/>
      <c r="BI7" s="251"/>
      <c r="BJ7" s="251"/>
      <c r="BK7" s="251"/>
      <c r="BL7" s="251"/>
      <c r="BM7" s="251"/>
      <c r="BN7" s="251"/>
      <c r="BO7" s="251"/>
      <c r="BP7" s="251"/>
      <c r="BQ7" s="251"/>
      <c r="BR7" s="251"/>
      <c r="BS7" s="251"/>
      <c r="BT7" s="251"/>
      <c r="BU7" s="251"/>
      <c r="BV7" s="251"/>
      <c r="BW7" s="251"/>
      <c r="BX7" s="251"/>
      <c r="BY7" s="251"/>
      <c r="BZ7" s="251"/>
      <c r="CA7" s="251"/>
      <c r="CB7" s="251"/>
      <c r="CC7" s="252"/>
      <c r="CD7" s="247" t="s">
        <v>526</v>
      </c>
      <c r="CE7" s="248"/>
      <c r="CF7" s="248"/>
      <c r="CG7" s="248"/>
      <c r="CH7" s="248"/>
      <c r="CI7" s="248"/>
      <c r="CJ7" s="248"/>
      <c r="CK7" s="248"/>
      <c r="CL7" s="248"/>
      <c r="CM7" s="248"/>
      <c r="CN7" s="248"/>
      <c r="CO7" s="248"/>
      <c r="CP7" s="248"/>
      <c r="CQ7" s="248"/>
      <c r="CR7" s="248"/>
      <c r="CS7" s="248"/>
      <c r="CT7" s="248"/>
      <c r="CU7" s="248"/>
      <c r="CV7" s="248"/>
      <c r="CW7" s="249"/>
    </row>
    <row r="8" spans="1:101" ht="43.5" customHeight="1">
      <c r="A8" s="253" t="s">
        <v>527</v>
      </c>
      <c r="B8" s="254"/>
      <c r="C8" s="254"/>
      <c r="D8" s="254"/>
      <c r="E8" s="255"/>
      <c r="F8" s="256" t="s">
        <v>528</v>
      </c>
      <c r="G8" s="257"/>
      <c r="H8" s="257"/>
      <c r="I8" s="258"/>
      <c r="J8" s="256" t="s">
        <v>529</v>
      </c>
      <c r="K8" s="257"/>
      <c r="L8" s="257"/>
      <c r="M8" s="258"/>
      <c r="N8" s="259" t="s">
        <v>530</v>
      </c>
      <c r="O8" s="260"/>
      <c r="P8" s="260"/>
      <c r="Q8" s="260"/>
      <c r="R8" s="260"/>
      <c r="S8" s="260"/>
      <c r="T8" s="260"/>
      <c r="U8" s="260"/>
      <c r="V8" s="260"/>
      <c r="W8" s="260"/>
      <c r="X8" s="260"/>
      <c r="Y8" s="260"/>
      <c r="Z8" s="260"/>
      <c r="AA8" s="261"/>
      <c r="AB8" s="259" t="s">
        <v>531</v>
      </c>
      <c r="AC8" s="260"/>
      <c r="AD8" s="260"/>
      <c r="AE8" s="260"/>
      <c r="AF8" s="260"/>
      <c r="AG8" s="260"/>
      <c r="AH8" s="260"/>
      <c r="AI8" s="260"/>
      <c r="AJ8" s="260"/>
      <c r="AK8" s="260"/>
      <c r="AL8" s="260"/>
      <c r="AM8" s="260"/>
      <c r="AN8" s="260"/>
      <c r="AO8" s="261"/>
      <c r="AP8" s="262" t="s">
        <v>532</v>
      </c>
      <c r="AQ8" s="254"/>
      <c r="AR8" s="254"/>
      <c r="AS8" s="254"/>
      <c r="AT8" s="254"/>
      <c r="AU8" s="254"/>
      <c r="AV8" s="254"/>
      <c r="AW8" s="254"/>
      <c r="AX8" s="254"/>
      <c r="AY8" s="254"/>
      <c r="AZ8" s="255"/>
      <c r="BA8" s="259" t="s">
        <v>533</v>
      </c>
      <c r="BB8" s="260"/>
      <c r="BC8" s="260"/>
      <c r="BD8" s="261"/>
      <c r="BE8" s="259" t="s">
        <v>534</v>
      </c>
      <c r="BF8" s="254"/>
      <c r="BG8" s="254"/>
      <c r="BH8" s="254"/>
      <c r="BI8" s="255"/>
      <c r="BJ8" s="262" t="s">
        <v>535</v>
      </c>
      <c r="BK8" s="254"/>
      <c r="BL8" s="254"/>
      <c r="BM8" s="255"/>
      <c r="BN8" s="262" t="s">
        <v>536</v>
      </c>
      <c r="BO8" s="254"/>
      <c r="BP8" s="254"/>
      <c r="BQ8" s="255"/>
      <c r="BR8" s="262" t="s">
        <v>537</v>
      </c>
      <c r="BS8" s="254"/>
      <c r="BT8" s="254"/>
      <c r="BU8" s="255"/>
      <c r="BV8" s="262" t="s">
        <v>538</v>
      </c>
      <c r="BW8" s="254"/>
      <c r="BX8" s="254"/>
      <c r="BY8" s="255"/>
      <c r="BZ8" s="259" t="s">
        <v>539</v>
      </c>
      <c r="CA8" s="254"/>
      <c r="CB8" s="254"/>
      <c r="CC8" s="255"/>
      <c r="CD8" s="259" t="s">
        <v>540</v>
      </c>
      <c r="CE8" s="260"/>
      <c r="CF8" s="260"/>
      <c r="CG8" s="260"/>
      <c r="CH8" s="260"/>
      <c r="CI8" s="260"/>
      <c r="CJ8" s="260"/>
      <c r="CK8" s="260"/>
      <c r="CL8" s="260"/>
      <c r="CM8" s="261"/>
      <c r="CN8" s="259" t="s">
        <v>541</v>
      </c>
      <c r="CO8" s="260"/>
      <c r="CP8" s="260"/>
      <c r="CQ8" s="260"/>
      <c r="CR8" s="260"/>
      <c r="CS8" s="260"/>
      <c r="CT8" s="260"/>
      <c r="CU8" s="260"/>
      <c r="CV8" s="260"/>
      <c r="CW8" s="263"/>
    </row>
    <row r="9" spans="1:101" ht="13.5" customHeight="1">
      <c r="A9" s="219"/>
      <c r="B9" s="220"/>
      <c r="C9" s="220"/>
      <c r="D9" s="220"/>
      <c r="E9" s="221"/>
      <c r="F9" s="222"/>
      <c r="G9" s="223"/>
      <c r="H9" s="223"/>
      <c r="I9" s="224"/>
      <c r="J9" s="222"/>
      <c r="K9" s="223"/>
      <c r="L9" s="223"/>
      <c r="M9" s="224"/>
      <c r="N9" s="225" t="s">
        <v>542</v>
      </c>
      <c r="O9" s="226"/>
      <c r="P9" s="226"/>
      <c r="Q9" s="226"/>
      <c r="R9" s="226"/>
      <c r="S9" s="226"/>
      <c r="T9" s="226"/>
      <c r="U9" s="226"/>
      <c r="V9" s="226"/>
      <c r="W9" s="226"/>
      <c r="X9" s="226"/>
      <c r="Y9" s="226"/>
      <c r="Z9" s="226"/>
      <c r="AA9" s="227"/>
      <c r="AB9" s="228"/>
      <c r="AC9" s="229"/>
      <c r="AD9" s="229"/>
      <c r="AE9" s="229"/>
      <c r="AF9" s="229"/>
      <c r="AG9" s="229"/>
      <c r="AH9" s="229"/>
      <c r="AI9" s="229"/>
      <c r="AJ9" s="229"/>
      <c r="AK9" s="229"/>
      <c r="AL9" s="229"/>
      <c r="AM9" s="229"/>
      <c r="AN9" s="229"/>
      <c r="AO9" s="230"/>
      <c r="AP9" s="161"/>
      <c r="AQ9" s="162"/>
      <c r="AR9" s="162"/>
      <c r="AS9" s="162"/>
      <c r="AT9" s="162"/>
      <c r="AU9" s="162"/>
      <c r="AV9" s="162"/>
      <c r="AW9" s="162"/>
      <c r="AX9" s="162"/>
      <c r="AY9" s="162"/>
      <c r="AZ9" s="163"/>
      <c r="BA9" s="231"/>
      <c r="BB9" s="215"/>
      <c r="BC9" s="215"/>
      <c r="BD9" s="216"/>
      <c r="BE9" s="231"/>
      <c r="BF9" s="215"/>
      <c r="BG9" s="215"/>
      <c r="BH9" s="215"/>
      <c r="BI9" s="216"/>
      <c r="BJ9" s="225"/>
      <c r="BK9" s="215"/>
      <c r="BL9" s="215"/>
      <c r="BM9" s="216"/>
      <c r="BN9" s="225"/>
      <c r="BO9" s="215"/>
      <c r="BP9" s="215"/>
      <c r="BQ9" s="216"/>
      <c r="BR9" s="214"/>
      <c r="BS9" s="215"/>
      <c r="BT9" s="215"/>
      <c r="BU9" s="216"/>
      <c r="BV9" s="214"/>
      <c r="BW9" s="215"/>
      <c r="BX9" s="215"/>
      <c r="BY9" s="216"/>
      <c r="BZ9" s="214"/>
      <c r="CA9" s="215"/>
      <c r="CB9" s="215"/>
      <c r="CC9" s="216"/>
      <c r="CD9" s="217"/>
      <c r="CE9" s="215"/>
      <c r="CF9" s="215"/>
      <c r="CG9" s="215"/>
      <c r="CH9" s="215"/>
      <c r="CI9" s="215"/>
      <c r="CJ9" s="215"/>
      <c r="CK9" s="215"/>
      <c r="CL9" s="215"/>
      <c r="CM9" s="216"/>
      <c r="CN9" s="217"/>
      <c r="CO9" s="215"/>
      <c r="CP9" s="215"/>
      <c r="CQ9" s="215"/>
      <c r="CR9" s="215"/>
      <c r="CS9" s="215"/>
      <c r="CT9" s="215"/>
      <c r="CU9" s="215"/>
      <c r="CV9" s="215"/>
      <c r="CW9" s="218"/>
    </row>
    <row r="10" spans="1:101" ht="13.5" customHeight="1">
      <c r="A10" s="191"/>
      <c r="B10" s="192"/>
      <c r="C10" s="192"/>
      <c r="D10" s="192"/>
      <c r="E10" s="193"/>
      <c r="F10" s="194"/>
      <c r="G10" s="195"/>
      <c r="H10" s="195"/>
      <c r="I10" s="196"/>
      <c r="J10" s="194"/>
      <c r="K10" s="195"/>
      <c r="L10" s="195"/>
      <c r="M10" s="196"/>
      <c r="N10" s="188" t="s">
        <v>543</v>
      </c>
      <c r="O10" s="189"/>
      <c r="P10" s="189"/>
      <c r="Q10" s="189"/>
      <c r="R10" s="189"/>
      <c r="S10" s="189"/>
      <c r="T10" s="189"/>
      <c r="U10" s="189"/>
      <c r="V10" s="189"/>
      <c r="W10" s="189"/>
      <c r="X10" s="189"/>
      <c r="Y10" s="189"/>
      <c r="Z10" s="189"/>
      <c r="AA10" s="190"/>
      <c r="AB10" s="197" t="s">
        <v>544</v>
      </c>
      <c r="AC10" s="198"/>
      <c r="AD10" s="198"/>
      <c r="AE10" s="198"/>
      <c r="AF10" s="198"/>
      <c r="AG10" s="198"/>
      <c r="AH10" s="198"/>
      <c r="AI10" s="198"/>
      <c r="AJ10" s="198"/>
      <c r="AK10" s="198"/>
      <c r="AL10" s="198"/>
      <c r="AM10" s="198"/>
      <c r="AN10" s="198"/>
      <c r="AO10" s="199"/>
      <c r="AP10" s="167"/>
      <c r="AQ10" s="168"/>
      <c r="AR10" s="168"/>
      <c r="AS10" s="168"/>
      <c r="AT10" s="168"/>
      <c r="AU10" s="168"/>
      <c r="AV10" s="168"/>
      <c r="AW10" s="168"/>
      <c r="AX10" s="168"/>
      <c r="AY10" s="168"/>
      <c r="AZ10" s="169"/>
      <c r="BA10" s="176">
        <v>10</v>
      </c>
      <c r="BB10" s="184"/>
      <c r="BC10" s="184"/>
      <c r="BD10" s="185"/>
      <c r="BE10" s="176"/>
      <c r="BF10" s="184"/>
      <c r="BG10" s="184"/>
      <c r="BH10" s="184"/>
      <c r="BI10" s="185"/>
      <c r="BJ10" s="188"/>
      <c r="BK10" s="184"/>
      <c r="BL10" s="184"/>
      <c r="BM10" s="185"/>
      <c r="BN10" s="188" t="s">
        <v>545</v>
      </c>
      <c r="BO10" s="184"/>
      <c r="BP10" s="184"/>
      <c r="BQ10" s="185"/>
      <c r="BR10" s="183" t="s">
        <v>104</v>
      </c>
      <c r="BS10" s="184"/>
      <c r="BT10" s="184"/>
      <c r="BU10" s="185"/>
      <c r="BV10" s="183"/>
      <c r="BW10" s="184"/>
      <c r="BX10" s="184"/>
      <c r="BY10" s="185"/>
      <c r="BZ10" s="183" t="s">
        <v>104</v>
      </c>
      <c r="CA10" s="184"/>
      <c r="CB10" s="184"/>
      <c r="CC10" s="185"/>
      <c r="CD10" s="186"/>
      <c r="CE10" s="184"/>
      <c r="CF10" s="184"/>
      <c r="CG10" s="184"/>
      <c r="CH10" s="184"/>
      <c r="CI10" s="184"/>
      <c r="CJ10" s="184"/>
      <c r="CK10" s="184"/>
      <c r="CL10" s="184"/>
      <c r="CM10" s="185"/>
      <c r="CN10" s="186"/>
      <c r="CO10" s="184"/>
      <c r="CP10" s="184"/>
      <c r="CQ10" s="184"/>
      <c r="CR10" s="184"/>
      <c r="CS10" s="184"/>
      <c r="CT10" s="184"/>
      <c r="CU10" s="184"/>
      <c r="CV10" s="184"/>
      <c r="CW10" s="187"/>
    </row>
    <row r="11" spans="1:101" ht="13.5" customHeight="1">
      <c r="A11" s="191"/>
      <c r="B11" s="192"/>
      <c r="C11" s="192"/>
      <c r="D11" s="192"/>
      <c r="E11" s="193"/>
      <c r="F11" s="194"/>
      <c r="G11" s="195"/>
      <c r="H11" s="195"/>
      <c r="I11" s="196"/>
      <c r="J11" s="194"/>
      <c r="K11" s="195"/>
      <c r="L11" s="195"/>
      <c r="M11" s="196"/>
      <c r="N11" s="188" t="s">
        <v>546</v>
      </c>
      <c r="O11" s="189"/>
      <c r="P11" s="189"/>
      <c r="Q11" s="189"/>
      <c r="R11" s="189"/>
      <c r="S11" s="189"/>
      <c r="T11" s="189"/>
      <c r="U11" s="189"/>
      <c r="V11" s="189"/>
      <c r="W11" s="189"/>
      <c r="X11" s="189"/>
      <c r="Y11" s="189"/>
      <c r="Z11" s="189"/>
      <c r="AA11" s="190"/>
      <c r="AB11" s="197" t="s">
        <v>547</v>
      </c>
      <c r="AC11" s="198"/>
      <c r="AD11" s="198"/>
      <c r="AE11" s="198"/>
      <c r="AF11" s="198"/>
      <c r="AG11" s="198"/>
      <c r="AH11" s="198"/>
      <c r="AI11" s="198"/>
      <c r="AJ11" s="198"/>
      <c r="AK11" s="198"/>
      <c r="AL11" s="198"/>
      <c r="AM11" s="198"/>
      <c r="AN11" s="198"/>
      <c r="AO11" s="199"/>
      <c r="AP11" s="167"/>
      <c r="AQ11" s="168"/>
      <c r="AR11" s="168"/>
      <c r="AS11" s="168"/>
      <c r="AT11" s="168"/>
      <c r="AU11" s="168"/>
      <c r="AV11" s="168"/>
      <c r="AW11" s="168"/>
      <c r="AX11" s="168"/>
      <c r="AY11" s="168"/>
      <c r="AZ11" s="169"/>
      <c r="BA11" s="176">
        <v>8</v>
      </c>
      <c r="BB11" s="184"/>
      <c r="BC11" s="184"/>
      <c r="BD11" s="185"/>
      <c r="BE11" s="176"/>
      <c r="BF11" s="184"/>
      <c r="BG11" s="184"/>
      <c r="BH11" s="184"/>
      <c r="BI11" s="185"/>
      <c r="BJ11" s="188"/>
      <c r="BK11" s="184"/>
      <c r="BL11" s="184"/>
      <c r="BM11" s="185"/>
      <c r="BN11" s="188" t="s">
        <v>545</v>
      </c>
      <c r="BO11" s="184"/>
      <c r="BP11" s="184"/>
      <c r="BQ11" s="185"/>
      <c r="BR11" s="183" t="s">
        <v>104</v>
      </c>
      <c r="BS11" s="184"/>
      <c r="BT11" s="184"/>
      <c r="BU11" s="185"/>
      <c r="BV11" s="183"/>
      <c r="BW11" s="184"/>
      <c r="BX11" s="184"/>
      <c r="BY11" s="185"/>
      <c r="BZ11" s="183" t="s">
        <v>104</v>
      </c>
      <c r="CA11" s="184"/>
      <c r="CB11" s="184"/>
      <c r="CC11" s="185"/>
      <c r="CD11" s="186"/>
      <c r="CE11" s="184"/>
      <c r="CF11" s="184"/>
      <c r="CG11" s="184"/>
      <c r="CH11" s="184"/>
      <c r="CI11" s="184"/>
      <c r="CJ11" s="184"/>
      <c r="CK11" s="184"/>
      <c r="CL11" s="184"/>
      <c r="CM11" s="185"/>
      <c r="CN11" s="186"/>
      <c r="CO11" s="184"/>
      <c r="CP11" s="184"/>
      <c r="CQ11" s="184"/>
      <c r="CR11" s="184"/>
      <c r="CS11" s="184"/>
      <c r="CT11" s="184"/>
      <c r="CU11" s="184"/>
      <c r="CV11" s="184"/>
      <c r="CW11" s="187"/>
    </row>
    <row r="12" spans="1:101" ht="13.5" customHeight="1">
      <c r="A12" s="191"/>
      <c r="B12" s="192"/>
      <c r="C12" s="192"/>
      <c r="D12" s="192"/>
      <c r="E12" s="193"/>
      <c r="F12" s="194"/>
      <c r="G12" s="195"/>
      <c r="H12" s="195"/>
      <c r="I12" s="196"/>
      <c r="J12" s="194"/>
      <c r="K12" s="195"/>
      <c r="L12" s="195"/>
      <c r="M12" s="196"/>
      <c r="N12" s="188" t="s">
        <v>548</v>
      </c>
      <c r="O12" s="189"/>
      <c r="P12" s="189"/>
      <c r="Q12" s="189"/>
      <c r="R12" s="189"/>
      <c r="S12" s="189"/>
      <c r="T12" s="189"/>
      <c r="U12" s="189"/>
      <c r="V12" s="189"/>
      <c r="W12" s="189"/>
      <c r="X12" s="189"/>
      <c r="Y12" s="189"/>
      <c r="Z12" s="189"/>
      <c r="AA12" s="190"/>
      <c r="AB12" s="197" t="s">
        <v>549</v>
      </c>
      <c r="AC12" s="198"/>
      <c r="AD12" s="198"/>
      <c r="AE12" s="198"/>
      <c r="AF12" s="198"/>
      <c r="AG12" s="198"/>
      <c r="AH12" s="198"/>
      <c r="AI12" s="198"/>
      <c r="AJ12" s="198"/>
      <c r="AK12" s="198"/>
      <c r="AL12" s="198"/>
      <c r="AM12" s="198"/>
      <c r="AN12" s="198"/>
      <c r="AO12" s="199"/>
      <c r="AP12" s="167"/>
      <c r="AQ12" s="168"/>
      <c r="AR12" s="168"/>
      <c r="AS12" s="168"/>
      <c r="AT12" s="168"/>
      <c r="AU12" s="168"/>
      <c r="AV12" s="168"/>
      <c r="AW12" s="168"/>
      <c r="AX12" s="168"/>
      <c r="AY12" s="168"/>
      <c r="AZ12" s="169"/>
      <c r="BA12" s="176"/>
      <c r="BB12" s="184"/>
      <c r="BC12" s="184"/>
      <c r="BD12" s="185"/>
      <c r="BE12" s="176"/>
      <c r="BF12" s="184"/>
      <c r="BG12" s="184"/>
      <c r="BH12" s="184"/>
      <c r="BI12" s="185"/>
      <c r="BJ12" s="188"/>
      <c r="BK12" s="184"/>
      <c r="BL12" s="184"/>
      <c r="BM12" s="185"/>
      <c r="BN12" s="188" t="s">
        <v>550</v>
      </c>
      <c r="BO12" s="184"/>
      <c r="BP12" s="184"/>
      <c r="BQ12" s="185"/>
      <c r="BR12" s="183"/>
      <c r="BS12" s="184"/>
      <c r="BT12" s="184"/>
      <c r="BU12" s="185"/>
      <c r="BV12" s="183"/>
      <c r="BW12" s="184"/>
      <c r="BX12" s="184"/>
      <c r="BY12" s="185"/>
      <c r="BZ12" s="183"/>
      <c r="CA12" s="184"/>
      <c r="CB12" s="184"/>
      <c r="CC12" s="185"/>
      <c r="CD12" s="186"/>
      <c r="CE12" s="184"/>
      <c r="CF12" s="184"/>
      <c r="CG12" s="184"/>
      <c r="CH12" s="184"/>
      <c r="CI12" s="184"/>
      <c r="CJ12" s="184"/>
      <c r="CK12" s="184"/>
      <c r="CL12" s="184"/>
      <c r="CM12" s="185"/>
      <c r="CN12" s="186"/>
      <c r="CO12" s="184"/>
      <c r="CP12" s="184"/>
      <c r="CQ12" s="184"/>
      <c r="CR12" s="184"/>
      <c r="CS12" s="184"/>
      <c r="CT12" s="184"/>
      <c r="CU12" s="184"/>
      <c r="CV12" s="184"/>
      <c r="CW12" s="187"/>
    </row>
    <row r="13" spans="1:101" ht="13.5" customHeight="1">
      <c r="A13" s="191"/>
      <c r="B13" s="192"/>
      <c r="C13" s="192"/>
      <c r="D13" s="192"/>
      <c r="E13" s="193"/>
      <c r="F13" s="194"/>
      <c r="G13" s="195"/>
      <c r="H13" s="195"/>
      <c r="I13" s="196"/>
      <c r="J13" s="194"/>
      <c r="K13" s="195"/>
      <c r="L13" s="195"/>
      <c r="M13" s="196"/>
      <c r="N13" s="188" t="s">
        <v>551</v>
      </c>
      <c r="O13" s="189"/>
      <c r="P13" s="189"/>
      <c r="Q13" s="189"/>
      <c r="R13" s="189"/>
      <c r="S13" s="189"/>
      <c r="T13" s="189"/>
      <c r="U13" s="189"/>
      <c r="V13" s="189"/>
      <c r="W13" s="189"/>
      <c r="X13" s="189"/>
      <c r="Y13" s="189"/>
      <c r="Z13" s="189"/>
      <c r="AA13" s="190"/>
      <c r="AB13" s="197" t="s">
        <v>552</v>
      </c>
      <c r="AC13" s="198"/>
      <c r="AD13" s="198"/>
      <c r="AE13" s="198"/>
      <c r="AF13" s="198"/>
      <c r="AG13" s="198"/>
      <c r="AH13" s="198"/>
      <c r="AI13" s="198"/>
      <c r="AJ13" s="198"/>
      <c r="AK13" s="198"/>
      <c r="AL13" s="198"/>
      <c r="AM13" s="198"/>
      <c r="AN13" s="198"/>
      <c r="AO13" s="199"/>
      <c r="AP13" s="167"/>
      <c r="AQ13" s="168"/>
      <c r="AR13" s="168"/>
      <c r="AS13" s="168"/>
      <c r="AT13" s="168"/>
      <c r="AU13" s="168"/>
      <c r="AV13" s="168"/>
      <c r="AW13" s="168"/>
      <c r="AX13" s="168"/>
      <c r="AY13" s="168"/>
      <c r="AZ13" s="169"/>
      <c r="BA13" s="176">
        <v>7</v>
      </c>
      <c r="BB13" s="184"/>
      <c r="BC13" s="184"/>
      <c r="BD13" s="185"/>
      <c r="BE13" s="176"/>
      <c r="BF13" s="184"/>
      <c r="BG13" s="184"/>
      <c r="BH13" s="184"/>
      <c r="BI13" s="185"/>
      <c r="BJ13" s="188"/>
      <c r="BK13" s="184"/>
      <c r="BL13" s="184"/>
      <c r="BM13" s="185"/>
      <c r="BN13" s="188" t="s">
        <v>553</v>
      </c>
      <c r="BO13" s="184"/>
      <c r="BP13" s="184"/>
      <c r="BQ13" s="185"/>
      <c r="BR13" s="183"/>
      <c r="BS13" s="184"/>
      <c r="BT13" s="184"/>
      <c r="BU13" s="185"/>
      <c r="BV13" s="183"/>
      <c r="BW13" s="184"/>
      <c r="BX13" s="184"/>
      <c r="BY13" s="185"/>
      <c r="BZ13" s="183"/>
      <c r="CA13" s="184"/>
      <c r="CB13" s="184"/>
      <c r="CC13" s="185"/>
      <c r="CD13" s="186"/>
      <c r="CE13" s="184"/>
      <c r="CF13" s="184"/>
      <c r="CG13" s="184"/>
      <c r="CH13" s="184"/>
      <c r="CI13" s="184"/>
      <c r="CJ13" s="184"/>
      <c r="CK13" s="184"/>
      <c r="CL13" s="184"/>
      <c r="CM13" s="185"/>
      <c r="CN13" s="186"/>
      <c r="CO13" s="184"/>
      <c r="CP13" s="184"/>
      <c r="CQ13" s="184"/>
      <c r="CR13" s="184"/>
      <c r="CS13" s="184"/>
      <c r="CT13" s="184"/>
      <c r="CU13" s="184"/>
      <c r="CV13" s="184"/>
      <c r="CW13" s="187"/>
    </row>
    <row r="14" spans="1:101" ht="13.5" customHeight="1">
      <c r="A14" s="191"/>
      <c r="B14" s="192"/>
      <c r="C14" s="192"/>
      <c r="D14" s="192"/>
      <c r="E14" s="193"/>
      <c r="F14" s="194"/>
      <c r="G14" s="195"/>
      <c r="H14" s="195"/>
      <c r="I14" s="196"/>
      <c r="J14" s="194"/>
      <c r="K14" s="195"/>
      <c r="L14" s="195"/>
      <c r="M14" s="196"/>
      <c r="N14" s="188" t="s">
        <v>554</v>
      </c>
      <c r="O14" s="189"/>
      <c r="P14" s="189"/>
      <c r="Q14" s="189"/>
      <c r="R14" s="189"/>
      <c r="S14" s="189"/>
      <c r="T14" s="189"/>
      <c r="U14" s="189"/>
      <c r="V14" s="189"/>
      <c r="W14" s="189"/>
      <c r="X14" s="189"/>
      <c r="Y14" s="189"/>
      <c r="Z14" s="189"/>
      <c r="AA14" s="190"/>
      <c r="AB14" s="197" t="s">
        <v>555</v>
      </c>
      <c r="AC14" s="198"/>
      <c r="AD14" s="198"/>
      <c r="AE14" s="198"/>
      <c r="AF14" s="198"/>
      <c r="AG14" s="198"/>
      <c r="AH14" s="198"/>
      <c r="AI14" s="198"/>
      <c r="AJ14" s="198"/>
      <c r="AK14" s="198"/>
      <c r="AL14" s="198"/>
      <c r="AM14" s="198"/>
      <c r="AN14" s="198"/>
      <c r="AO14" s="199"/>
      <c r="AP14" s="167"/>
      <c r="AQ14" s="168"/>
      <c r="AR14" s="168"/>
      <c r="AS14" s="168"/>
      <c r="AT14" s="168"/>
      <c r="AU14" s="168"/>
      <c r="AV14" s="168"/>
      <c r="AW14" s="168"/>
      <c r="AX14" s="168"/>
      <c r="AY14" s="168"/>
      <c r="AZ14" s="169"/>
      <c r="BA14" s="176">
        <v>51</v>
      </c>
      <c r="BB14" s="184"/>
      <c r="BC14" s="184"/>
      <c r="BD14" s="185"/>
      <c r="BE14" s="176"/>
      <c r="BF14" s="184"/>
      <c r="BG14" s="184"/>
      <c r="BH14" s="184"/>
      <c r="BI14" s="185"/>
      <c r="BJ14" s="188"/>
      <c r="BK14" s="184"/>
      <c r="BL14" s="184"/>
      <c r="BM14" s="185"/>
      <c r="BN14" s="188" t="s">
        <v>556</v>
      </c>
      <c r="BO14" s="184"/>
      <c r="BP14" s="184"/>
      <c r="BQ14" s="185"/>
      <c r="BR14" s="183"/>
      <c r="BS14" s="184"/>
      <c r="BT14" s="184"/>
      <c r="BU14" s="185"/>
      <c r="BV14" s="183"/>
      <c r="BW14" s="184"/>
      <c r="BX14" s="184"/>
      <c r="BY14" s="185"/>
      <c r="BZ14" s="183"/>
      <c r="CA14" s="184"/>
      <c r="CB14" s="184"/>
      <c r="CC14" s="185"/>
      <c r="CD14" s="186"/>
      <c r="CE14" s="184"/>
      <c r="CF14" s="184"/>
      <c r="CG14" s="184"/>
      <c r="CH14" s="184"/>
      <c r="CI14" s="184"/>
      <c r="CJ14" s="184"/>
      <c r="CK14" s="184"/>
      <c r="CL14" s="184"/>
      <c r="CM14" s="185"/>
      <c r="CN14" s="186"/>
      <c r="CO14" s="184"/>
      <c r="CP14" s="184"/>
      <c r="CQ14" s="184"/>
      <c r="CR14" s="184"/>
      <c r="CS14" s="184"/>
      <c r="CT14" s="184"/>
      <c r="CU14" s="184"/>
      <c r="CV14" s="184"/>
      <c r="CW14" s="187"/>
    </row>
    <row r="15" spans="1:101" ht="13.5" customHeight="1">
      <c r="A15" s="191"/>
      <c r="B15" s="192"/>
      <c r="C15" s="192"/>
      <c r="D15" s="192"/>
      <c r="E15" s="193"/>
      <c r="F15" s="194"/>
      <c r="G15" s="195"/>
      <c r="H15" s="195"/>
      <c r="I15" s="196"/>
      <c r="J15" s="194"/>
      <c r="K15" s="195"/>
      <c r="L15" s="195"/>
      <c r="M15" s="196"/>
      <c r="N15" s="188" t="s">
        <v>557</v>
      </c>
      <c r="O15" s="189"/>
      <c r="P15" s="189"/>
      <c r="Q15" s="189"/>
      <c r="R15" s="189"/>
      <c r="S15" s="189"/>
      <c r="T15" s="189"/>
      <c r="U15" s="189"/>
      <c r="V15" s="189"/>
      <c r="W15" s="189"/>
      <c r="X15" s="189"/>
      <c r="Y15" s="189"/>
      <c r="Z15" s="189"/>
      <c r="AA15" s="190"/>
      <c r="AB15" s="197"/>
      <c r="AC15" s="198"/>
      <c r="AD15" s="198"/>
      <c r="AE15" s="198"/>
      <c r="AF15" s="198"/>
      <c r="AG15" s="198"/>
      <c r="AH15" s="198"/>
      <c r="AI15" s="198"/>
      <c r="AJ15" s="198"/>
      <c r="AK15" s="198"/>
      <c r="AL15" s="198"/>
      <c r="AM15" s="198"/>
      <c r="AN15" s="198"/>
      <c r="AO15" s="199"/>
      <c r="AP15" s="167"/>
      <c r="AQ15" s="168"/>
      <c r="AR15" s="168"/>
      <c r="AS15" s="168"/>
      <c r="AT15" s="168"/>
      <c r="AU15" s="168"/>
      <c r="AV15" s="168"/>
      <c r="AW15" s="168"/>
      <c r="AX15" s="168"/>
      <c r="AY15" s="168"/>
      <c r="AZ15" s="169"/>
      <c r="BA15" s="176"/>
      <c r="BB15" s="184"/>
      <c r="BC15" s="184"/>
      <c r="BD15" s="185"/>
      <c r="BE15" s="176"/>
      <c r="BF15" s="184"/>
      <c r="BG15" s="184"/>
      <c r="BH15" s="184"/>
      <c r="BI15" s="185"/>
      <c r="BJ15" s="188"/>
      <c r="BK15" s="184"/>
      <c r="BL15" s="184"/>
      <c r="BM15" s="185"/>
      <c r="BN15" s="188"/>
      <c r="BO15" s="184"/>
      <c r="BP15" s="184"/>
      <c r="BQ15" s="185"/>
      <c r="BR15" s="183"/>
      <c r="BS15" s="184"/>
      <c r="BT15" s="184"/>
      <c r="BU15" s="185"/>
      <c r="BV15" s="183"/>
      <c r="BW15" s="184"/>
      <c r="BX15" s="184"/>
      <c r="BY15" s="185"/>
      <c r="BZ15" s="183"/>
      <c r="CA15" s="184"/>
      <c r="CB15" s="184"/>
      <c r="CC15" s="185"/>
      <c r="CD15" s="186"/>
      <c r="CE15" s="184"/>
      <c r="CF15" s="184"/>
      <c r="CG15" s="184"/>
      <c r="CH15" s="184"/>
      <c r="CI15" s="184"/>
      <c r="CJ15" s="184"/>
      <c r="CK15" s="184"/>
      <c r="CL15" s="184"/>
      <c r="CM15" s="185"/>
      <c r="CN15" s="186"/>
      <c r="CO15" s="184"/>
      <c r="CP15" s="184"/>
      <c r="CQ15" s="184"/>
      <c r="CR15" s="184"/>
      <c r="CS15" s="184"/>
      <c r="CT15" s="184"/>
      <c r="CU15" s="184"/>
      <c r="CV15" s="184"/>
      <c r="CW15" s="187"/>
    </row>
    <row r="16" spans="1:101" ht="36" customHeight="1">
      <c r="A16" s="191"/>
      <c r="B16" s="192"/>
      <c r="C16" s="192"/>
      <c r="D16" s="192"/>
      <c r="E16" s="193"/>
      <c r="F16" s="194"/>
      <c r="G16" s="195"/>
      <c r="H16" s="195"/>
      <c r="I16" s="196"/>
      <c r="J16" s="194"/>
      <c r="K16" s="195"/>
      <c r="L16" s="195"/>
      <c r="M16" s="196"/>
      <c r="N16" s="188" t="s">
        <v>558</v>
      </c>
      <c r="O16" s="189"/>
      <c r="P16" s="189"/>
      <c r="Q16" s="189"/>
      <c r="R16" s="189"/>
      <c r="S16" s="189"/>
      <c r="T16" s="189"/>
      <c r="U16" s="189"/>
      <c r="V16" s="189"/>
      <c r="W16" s="189"/>
      <c r="X16" s="189"/>
      <c r="Y16" s="189"/>
      <c r="Z16" s="189"/>
      <c r="AA16" s="190"/>
      <c r="AB16" s="197" t="s">
        <v>559</v>
      </c>
      <c r="AC16" s="198"/>
      <c r="AD16" s="198"/>
      <c r="AE16" s="198"/>
      <c r="AF16" s="198"/>
      <c r="AG16" s="198"/>
      <c r="AH16" s="198"/>
      <c r="AI16" s="198"/>
      <c r="AJ16" s="198"/>
      <c r="AK16" s="198"/>
      <c r="AL16" s="198"/>
      <c r="AM16" s="198"/>
      <c r="AN16" s="198"/>
      <c r="AO16" s="199"/>
      <c r="AP16" s="167"/>
      <c r="AQ16" s="168"/>
      <c r="AR16" s="168"/>
      <c r="AS16" s="168"/>
      <c r="AT16" s="168"/>
      <c r="AU16" s="168"/>
      <c r="AV16" s="168"/>
      <c r="AW16" s="168"/>
      <c r="AX16" s="168"/>
      <c r="AY16" s="168"/>
      <c r="AZ16" s="169"/>
      <c r="BA16" s="211">
        <v>2</v>
      </c>
      <c r="BB16" s="184"/>
      <c r="BC16" s="184"/>
      <c r="BD16" s="185"/>
      <c r="BE16" s="211"/>
      <c r="BF16" s="184"/>
      <c r="BG16" s="184"/>
      <c r="BH16" s="184"/>
      <c r="BI16" s="185"/>
      <c r="BJ16" s="197"/>
      <c r="BK16" s="184"/>
      <c r="BL16" s="184"/>
      <c r="BM16" s="185"/>
      <c r="BN16" s="197" t="s">
        <v>560</v>
      </c>
      <c r="BO16" s="184"/>
      <c r="BP16" s="184"/>
      <c r="BQ16" s="185"/>
      <c r="BR16" s="183"/>
      <c r="BS16" s="184"/>
      <c r="BT16" s="184"/>
      <c r="BU16" s="185"/>
      <c r="BV16" s="183"/>
      <c r="BW16" s="184"/>
      <c r="BX16" s="184"/>
      <c r="BY16" s="185"/>
      <c r="BZ16" s="183"/>
      <c r="CA16" s="184"/>
      <c r="CB16" s="184"/>
      <c r="CC16" s="185"/>
      <c r="CD16" s="186" t="s">
        <v>561</v>
      </c>
      <c r="CE16" s="184"/>
      <c r="CF16" s="184"/>
      <c r="CG16" s="184"/>
      <c r="CH16" s="184"/>
      <c r="CI16" s="184"/>
      <c r="CJ16" s="184"/>
      <c r="CK16" s="184"/>
      <c r="CL16" s="184"/>
      <c r="CM16" s="185"/>
      <c r="CN16" s="186" t="s">
        <v>562</v>
      </c>
      <c r="CO16" s="184"/>
      <c r="CP16" s="184"/>
      <c r="CQ16" s="184"/>
      <c r="CR16" s="184"/>
      <c r="CS16" s="184"/>
      <c r="CT16" s="184"/>
      <c r="CU16" s="184"/>
      <c r="CV16" s="184"/>
      <c r="CW16" s="187"/>
    </row>
    <row r="17" spans="1:101" ht="13.5" customHeight="1">
      <c r="A17" s="191"/>
      <c r="B17" s="192"/>
      <c r="C17" s="192"/>
      <c r="D17" s="192"/>
      <c r="E17" s="193"/>
      <c r="F17" s="194"/>
      <c r="G17" s="195"/>
      <c r="H17" s="195"/>
      <c r="I17" s="196"/>
      <c r="J17" s="194"/>
      <c r="K17" s="195"/>
      <c r="L17" s="195"/>
      <c r="M17" s="196"/>
      <c r="N17" s="188" t="s">
        <v>563</v>
      </c>
      <c r="O17" s="189"/>
      <c r="P17" s="189"/>
      <c r="Q17" s="189"/>
      <c r="R17" s="189"/>
      <c r="S17" s="189"/>
      <c r="T17" s="189"/>
      <c r="U17" s="189"/>
      <c r="V17" s="189"/>
      <c r="W17" s="189"/>
      <c r="X17" s="189"/>
      <c r="Y17" s="189"/>
      <c r="Z17" s="189"/>
      <c r="AA17" s="190"/>
      <c r="AB17" s="197"/>
      <c r="AC17" s="198"/>
      <c r="AD17" s="198"/>
      <c r="AE17" s="198"/>
      <c r="AF17" s="198"/>
      <c r="AG17" s="198"/>
      <c r="AH17" s="198"/>
      <c r="AI17" s="198"/>
      <c r="AJ17" s="198"/>
      <c r="AK17" s="198"/>
      <c r="AL17" s="198"/>
      <c r="AM17" s="198"/>
      <c r="AN17" s="198"/>
      <c r="AO17" s="199"/>
      <c r="AP17" s="167"/>
      <c r="AQ17" s="168"/>
      <c r="AR17" s="168"/>
      <c r="AS17" s="168"/>
      <c r="AT17" s="168"/>
      <c r="AU17" s="168"/>
      <c r="AV17" s="168"/>
      <c r="AW17" s="168"/>
      <c r="AX17" s="168"/>
      <c r="AY17" s="168"/>
      <c r="AZ17" s="169"/>
      <c r="BA17" s="211"/>
      <c r="BB17" s="184"/>
      <c r="BC17" s="184"/>
      <c r="BD17" s="185"/>
      <c r="BE17" s="211"/>
      <c r="BF17" s="184"/>
      <c r="BG17" s="184"/>
      <c r="BH17" s="184"/>
      <c r="BI17" s="185"/>
      <c r="BJ17" s="197"/>
      <c r="BK17" s="184"/>
      <c r="BL17" s="184"/>
      <c r="BM17" s="185"/>
      <c r="BN17" s="197"/>
      <c r="BO17" s="184"/>
      <c r="BP17" s="184"/>
      <c r="BQ17" s="185"/>
      <c r="BR17" s="183"/>
      <c r="BS17" s="184"/>
      <c r="BT17" s="184"/>
      <c r="BU17" s="185"/>
      <c r="BV17" s="183"/>
      <c r="BW17" s="184"/>
      <c r="BX17" s="184"/>
      <c r="BY17" s="185"/>
      <c r="BZ17" s="183"/>
      <c r="CA17" s="184"/>
      <c r="CB17" s="184"/>
      <c r="CC17" s="185"/>
      <c r="CD17" s="186"/>
      <c r="CE17" s="184"/>
      <c r="CF17" s="184"/>
      <c r="CG17" s="184"/>
      <c r="CH17" s="184"/>
      <c r="CI17" s="184"/>
      <c r="CJ17" s="184"/>
      <c r="CK17" s="184"/>
      <c r="CL17" s="184"/>
      <c r="CM17" s="185"/>
      <c r="CN17" s="186"/>
      <c r="CO17" s="184"/>
      <c r="CP17" s="184"/>
      <c r="CQ17" s="184"/>
      <c r="CR17" s="184"/>
      <c r="CS17" s="184"/>
      <c r="CT17" s="184"/>
      <c r="CU17" s="184"/>
      <c r="CV17" s="184"/>
      <c r="CW17" s="187"/>
    </row>
    <row r="18" spans="1:101">
      <c r="A18" s="191"/>
      <c r="B18" s="192"/>
      <c r="C18" s="192"/>
      <c r="D18" s="192"/>
      <c r="E18" s="193"/>
      <c r="F18" s="194"/>
      <c r="G18" s="195"/>
      <c r="H18" s="195"/>
      <c r="I18" s="196"/>
      <c r="J18" s="194"/>
      <c r="K18" s="195"/>
      <c r="L18" s="195"/>
      <c r="M18" s="196"/>
      <c r="N18" s="188" t="s">
        <v>564</v>
      </c>
      <c r="O18" s="189"/>
      <c r="P18" s="189"/>
      <c r="Q18" s="189"/>
      <c r="R18" s="189"/>
      <c r="S18" s="189"/>
      <c r="T18" s="189"/>
      <c r="U18" s="189"/>
      <c r="V18" s="189"/>
      <c r="W18" s="189"/>
      <c r="X18" s="189"/>
      <c r="Y18" s="189"/>
      <c r="Z18" s="189"/>
      <c r="AA18" s="190"/>
      <c r="AB18" s="197" t="s">
        <v>565</v>
      </c>
      <c r="AC18" s="198"/>
      <c r="AD18" s="198"/>
      <c r="AE18" s="198"/>
      <c r="AF18" s="198"/>
      <c r="AG18" s="198"/>
      <c r="AH18" s="198"/>
      <c r="AI18" s="198"/>
      <c r="AJ18" s="198"/>
      <c r="AK18" s="198"/>
      <c r="AL18" s="198"/>
      <c r="AM18" s="198"/>
      <c r="AN18" s="198"/>
      <c r="AO18" s="199"/>
      <c r="AP18" s="167"/>
      <c r="AQ18" s="168"/>
      <c r="AR18" s="168"/>
      <c r="AS18" s="168"/>
      <c r="AT18" s="168"/>
      <c r="AU18" s="168"/>
      <c r="AV18" s="168"/>
      <c r="AW18" s="168"/>
      <c r="AX18" s="168"/>
      <c r="AY18" s="168"/>
      <c r="AZ18" s="169"/>
      <c r="BA18" s="211">
        <v>2</v>
      </c>
      <c r="BB18" s="184"/>
      <c r="BC18" s="184"/>
      <c r="BD18" s="185"/>
      <c r="BE18" s="211"/>
      <c r="BF18" s="184"/>
      <c r="BG18" s="184"/>
      <c r="BH18" s="184"/>
      <c r="BI18" s="185"/>
      <c r="BJ18" s="197"/>
      <c r="BK18" s="184"/>
      <c r="BL18" s="184"/>
      <c r="BM18" s="185"/>
      <c r="BN18" s="197" t="s">
        <v>560</v>
      </c>
      <c r="BO18" s="184"/>
      <c r="BP18" s="184"/>
      <c r="BQ18" s="185"/>
      <c r="BR18" s="183"/>
      <c r="BS18" s="184"/>
      <c r="BT18" s="184"/>
      <c r="BU18" s="185"/>
      <c r="BV18" s="183"/>
      <c r="BW18" s="184"/>
      <c r="BX18" s="184"/>
      <c r="BY18" s="185"/>
      <c r="BZ18" s="183"/>
      <c r="CA18" s="184"/>
      <c r="CB18" s="184"/>
      <c r="CC18" s="185"/>
      <c r="CD18" s="186" t="s">
        <v>566</v>
      </c>
      <c r="CE18" s="184"/>
      <c r="CF18" s="184"/>
      <c r="CG18" s="184"/>
      <c r="CH18" s="184"/>
      <c r="CI18" s="184"/>
      <c r="CJ18" s="184"/>
      <c r="CK18" s="184"/>
      <c r="CL18" s="184"/>
      <c r="CM18" s="185"/>
      <c r="CN18" s="186" t="s">
        <v>567</v>
      </c>
      <c r="CO18" s="184"/>
      <c r="CP18" s="184"/>
      <c r="CQ18" s="184"/>
      <c r="CR18" s="184"/>
      <c r="CS18" s="184"/>
      <c r="CT18" s="184"/>
      <c r="CU18" s="184"/>
      <c r="CV18" s="184"/>
      <c r="CW18" s="187"/>
    </row>
    <row r="19" spans="1:101" ht="13.5" customHeight="1">
      <c r="A19" s="191"/>
      <c r="B19" s="192"/>
      <c r="C19" s="192"/>
      <c r="D19" s="192"/>
      <c r="E19" s="193"/>
      <c r="F19" s="194"/>
      <c r="G19" s="195"/>
      <c r="H19" s="195"/>
      <c r="I19" s="196"/>
      <c r="J19" s="194"/>
      <c r="K19" s="195"/>
      <c r="L19" s="195"/>
      <c r="M19" s="196"/>
      <c r="N19" s="188" t="s">
        <v>568</v>
      </c>
      <c r="O19" s="189"/>
      <c r="P19" s="189"/>
      <c r="Q19" s="189"/>
      <c r="R19" s="189"/>
      <c r="S19" s="189"/>
      <c r="T19" s="189"/>
      <c r="U19" s="189"/>
      <c r="V19" s="189"/>
      <c r="W19" s="189"/>
      <c r="X19" s="189"/>
      <c r="Y19" s="189"/>
      <c r="Z19" s="189"/>
      <c r="AA19" s="190"/>
      <c r="AB19" s="197"/>
      <c r="AC19" s="198"/>
      <c r="AD19" s="198"/>
      <c r="AE19" s="198"/>
      <c r="AF19" s="198"/>
      <c r="AG19" s="198"/>
      <c r="AH19" s="198"/>
      <c r="AI19" s="198"/>
      <c r="AJ19" s="198"/>
      <c r="AK19" s="198"/>
      <c r="AL19" s="198"/>
      <c r="AM19" s="198"/>
      <c r="AN19" s="198"/>
      <c r="AO19" s="199"/>
      <c r="AP19" s="167"/>
      <c r="AQ19" s="168"/>
      <c r="AR19" s="168"/>
      <c r="AS19" s="168"/>
      <c r="AT19" s="168"/>
      <c r="AU19" s="168"/>
      <c r="AV19" s="168"/>
      <c r="AW19" s="168"/>
      <c r="AX19" s="168"/>
      <c r="AY19" s="168"/>
      <c r="AZ19" s="169"/>
      <c r="BA19" s="211"/>
      <c r="BB19" s="184"/>
      <c r="BC19" s="184"/>
      <c r="BD19" s="185"/>
      <c r="BE19" s="211"/>
      <c r="BF19" s="184"/>
      <c r="BG19" s="184"/>
      <c r="BH19" s="184"/>
      <c r="BI19" s="185"/>
      <c r="BJ19" s="197"/>
      <c r="BK19" s="184"/>
      <c r="BL19" s="184"/>
      <c r="BM19" s="185"/>
      <c r="BN19" s="197"/>
      <c r="BO19" s="184"/>
      <c r="BP19" s="184"/>
      <c r="BQ19" s="185"/>
      <c r="BR19" s="183"/>
      <c r="BS19" s="184"/>
      <c r="BT19" s="184"/>
      <c r="BU19" s="185"/>
      <c r="BV19" s="183"/>
      <c r="BW19" s="184"/>
      <c r="BX19" s="184"/>
      <c r="BY19" s="185"/>
      <c r="BZ19" s="183"/>
      <c r="CA19" s="184"/>
      <c r="CB19" s="184"/>
      <c r="CC19" s="185"/>
      <c r="CD19" s="186"/>
      <c r="CE19" s="184"/>
      <c r="CF19" s="184"/>
      <c r="CG19" s="184"/>
      <c r="CH19" s="184"/>
      <c r="CI19" s="184"/>
      <c r="CJ19" s="184"/>
      <c r="CK19" s="184"/>
      <c r="CL19" s="184"/>
      <c r="CM19" s="185"/>
      <c r="CN19" s="186"/>
      <c r="CO19" s="184"/>
      <c r="CP19" s="184"/>
      <c r="CQ19" s="184"/>
      <c r="CR19" s="184"/>
      <c r="CS19" s="184"/>
      <c r="CT19" s="184"/>
      <c r="CU19" s="184"/>
      <c r="CV19" s="184"/>
      <c r="CW19" s="187"/>
    </row>
    <row r="20" spans="1:101" ht="13.5" customHeight="1">
      <c r="A20" s="191"/>
      <c r="B20" s="192"/>
      <c r="C20" s="192"/>
      <c r="D20" s="192"/>
      <c r="E20" s="193"/>
      <c r="F20" s="194"/>
      <c r="G20" s="195"/>
      <c r="H20" s="195"/>
      <c r="I20" s="196"/>
      <c r="J20" s="194"/>
      <c r="K20" s="195"/>
      <c r="L20" s="195"/>
      <c r="M20" s="196"/>
      <c r="N20" s="164" t="s">
        <v>569</v>
      </c>
      <c r="O20" s="165"/>
      <c r="P20" s="165"/>
      <c r="Q20" s="165"/>
      <c r="R20" s="165"/>
      <c r="S20" s="165"/>
      <c r="T20" s="165"/>
      <c r="U20" s="165"/>
      <c r="V20" s="165"/>
      <c r="W20" s="165"/>
      <c r="X20" s="165"/>
      <c r="Y20" s="165"/>
      <c r="Z20" s="165"/>
      <c r="AA20" s="166"/>
      <c r="AB20" s="197" t="s">
        <v>570</v>
      </c>
      <c r="AC20" s="198"/>
      <c r="AD20" s="198"/>
      <c r="AE20" s="198"/>
      <c r="AF20" s="198"/>
      <c r="AG20" s="198"/>
      <c r="AH20" s="198"/>
      <c r="AI20" s="198"/>
      <c r="AJ20" s="198"/>
      <c r="AK20" s="198"/>
      <c r="AL20" s="198"/>
      <c r="AM20" s="198"/>
      <c r="AN20" s="198"/>
      <c r="AO20" s="199"/>
      <c r="AP20" s="167"/>
      <c r="AQ20" s="168"/>
      <c r="AR20" s="168"/>
      <c r="AS20" s="168"/>
      <c r="AT20" s="168"/>
      <c r="AU20" s="168"/>
      <c r="AV20" s="168"/>
      <c r="AW20" s="168"/>
      <c r="AX20" s="168"/>
      <c r="AY20" s="168"/>
      <c r="AZ20" s="169"/>
      <c r="BA20" s="211">
        <v>8</v>
      </c>
      <c r="BB20" s="184"/>
      <c r="BC20" s="184"/>
      <c r="BD20" s="185"/>
      <c r="BE20" s="211"/>
      <c r="BF20" s="184"/>
      <c r="BG20" s="184"/>
      <c r="BH20" s="184"/>
      <c r="BI20" s="185"/>
      <c r="BJ20" s="197"/>
      <c r="BK20" s="184"/>
      <c r="BL20" s="184"/>
      <c r="BM20" s="185"/>
      <c r="BN20" s="197" t="s">
        <v>553</v>
      </c>
      <c r="BO20" s="184"/>
      <c r="BP20" s="184"/>
      <c r="BQ20" s="185"/>
      <c r="BR20" s="183"/>
      <c r="BS20" s="184"/>
      <c r="BT20" s="184"/>
      <c r="BU20" s="185"/>
      <c r="BV20" s="183"/>
      <c r="BW20" s="184"/>
      <c r="BX20" s="184"/>
      <c r="BY20" s="185"/>
      <c r="BZ20" s="183"/>
      <c r="CA20" s="184"/>
      <c r="CB20" s="184"/>
      <c r="CC20" s="185"/>
      <c r="CD20" s="186"/>
      <c r="CE20" s="184"/>
      <c r="CF20" s="184"/>
      <c r="CG20" s="184"/>
      <c r="CH20" s="184"/>
      <c r="CI20" s="184"/>
      <c r="CJ20" s="184"/>
      <c r="CK20" s="184"/>
      <c r="CL20" s="184"/>
      <c r="CM20" s="185"/>
      <c r="CN20" s="186"/>
      <c r="CO20" s="184"/>
      <c r="CP20" s="184"/>
      <c r="CQ20" s="184"/>
      <c r="CR20" s="184"/>
      <c r="CS20" s="184"/>
      <c r="CT20" s="184"/>
      <c r="CU20" s="184"/>
      <c r="CV20" s="184"/>
      <c r="CW20" s="187"/>
    </row>
    <row r="21" spans="1:101" ht="13.5" customHeight="1">
      <c r="A21" s="191"/>
      <c r="B21" s="192"/>
      <c r="C21" s="192"/>
      <c r="D21" s="192"/>
      <c r="E21" s="193"/>
      <c r="F21" s="194"/>
      <c r="G21" s="195"/>
      <c r="H21" s="195"/>
      <c r="I21" s="196"/>
      <c r="J21" s="194"/>
      <c r="K21" s="195"/>
      <c r="L21" s="195"/>
      <c r="M21" s="196"/>
      <c r="N21" s="164" t="s">
        <v>571</v>
      </c>
      <c r="O21" s="165"/>
      <c r="P21" s="165"/>
      <c r="Q21" s="165"/>
      <c r="R21" s="165"/>
      <c r="S21" s="165"/>
      <c r="T21" s="165"/>
      <c r="U21" s="165"/>
      <c r="V21" s="165"/>
      <c r="W21" s="165"/>
      <c r="X21" s="165"/>
      <c r="Y21" s="165"/>
      <c r="Z21" s="165"/>
      <c r="AA21" s="166"/>
      <c r="AB21" s="197" t="s">
        <v>572</v>
      </c>
      <c r="AC21" s="198"/>
      <c r="AD21" s="198"/>
      <c r="AE21" s="198"/>
      <c r="AF21" s="198"/>
      <c r="AG21" s="198"/>
      <c r="AH21" s="198"/>
      <c r="AI21" s="198"/>
      <c r="AJ21" s="198"/>
      <c r="AK21" s="198"/>
      <c r="AL21" s="198"/>
      <c r="AM21" s="198"/>
      <c r="AN21" s="198"/>
      <c r="AO21" s="199"/>
      <c r="AP21" s="167"/>
      <c r="AQ21" s="168"/>
      <c r="AR21" s="168"/>
      <c r="AS21" s="168"/>
      <c r="AT21" s="168"/>
      <c r="AU21" s="168"/>
      <c r="AV21" s="168"/>
      <c r="AW21" s="168"/>
      <c r="AX21" s="168"/>
      <c r="AY21" s="168"/>
      <c r="AZ21" s="169"/>
      <c r="BA21" s="211">
        <v>4</v>
      </c>
      <c r="BB21" s="184"/>
      <c r="BC21" s="184"/>
      <c r="BD21" s="185"/>
      <c r="BE21" s="211"/>
      <c r="BF21" s="184"/>
      <c r="BG21" s="184"/>
      <c r="BH21" s="184"/>
      <c r="BI21" s="185"/>
      <c r="BJ21" s="197"/>
      <c r="BK21" s="184"/>
      <c r="BL21" s="184"/>
      <c r="BM21" s="185"/>
      <c r="BN21" s="197" t="s">
        <v>553</v>
      </c>
      <c r="BO21" s="184"/>
      <c r="BP21" s="184"/>
      <c r="BQ21" s="185"/>
      <c r="BR21" s="183"/>
      <c r="BS21" s="184"/>
      <c r="BT21" s="184"/>
      <c r="BU21" s="185"/>
      <c r="BV21" s="183"/>
      <c r="BW21" s="184"/>
      <c r="BX21" s="184"/>
      <c r="BY21" s="185"/>
      <c r="BZ21" s="183"/>
      <c r="CA21" s="184"/>
      <c r="CB21" s="184"/>
      <c r="CC21" s="185"/>
      <c r="CD21" s="186"/>
      <c r="CE21" s="184"/>
      <c r="CF21" s="184"/>
      <c r="CG21" s="184"/>
      <c r="CH21" s="184"/>
      <c r="CI21" s="184"/>
      <c r="CJ21" s="184"/>
      <c r="CK21" s="184"/>
      <c r="CL21" s="184"/>
      <c r="CM21" s="185"/>
      <c r="CN21" s="186"/>
      <c r="CO21" s="184"/>
      <c r="CP21" s="184"/>
      <c r="CQ21" s="184"/>
      <c r="CR21" s="184"/>
      <c r="CS21" s="184"/>
      <c r="CT21" s="184"/>
      <c r="CU21" s="184"/>
      <c r="CV21" s="184"/>
      <c r="CW21" s="187"/>
    </row>
    <row r="22" spans="1:101" ht="13.5" customHeight="1">
      <c r="A22" s="191"/>
      <c r="B22" s="192"/>
      <c r="C22" s="192"/>
      <c r="D22" s="192"/>
      <c r="E22" s="193"/>
      <c r="F22" s="194"/>
      <c r="G22" s="195"/>
      <c r="H22" s="195"/>
      <c r="I22" s="196"/>
      <c r="J22" s="194"/>
      <c r="K22" s="195"/>
      <c r="L22" s="195"/>
      <c r="M22" s="196"/>
      <c r="N22" s="164" t="s">
        <v>573</v>
      </c>
      <c r="O22" s="165"/>
      <c r="P22" s="165"/>
      <c r="Q22" s="165"/>
      <c r="R22" s="165"/>
      <c r="S22" s="165"/>
      <c r="T22" s="165"/>
      <c r="U22" s="165"/>
      <c r="V22" s="165"/>
      <c r="W22" s="165"/>
      <c r="X22" s="165"/>
      <c r="Y22" s="165"/>
      <c r="Z22" s="165"/>
      <c r="AA22" s="166"/>
      <c r="AB22" s="197" t="s">
        <v>574</v>
      </c>
      <c r="AC22" s="198"/>
      <c r="AD22" s="198"/>
      <c r="AE22" s="198"/>
      <c r="AF22" s="198"/>
      <c r="AG22" s="198"/>
      <c r="AH22" s="198"/>
      <c r="AI22" s="198"/>
      <c r="AJ22" s="198"/>
      <c r="AK22" s="198"/>
      <c r="AL22" s="198"/>
      <c r="AM22" s="198"/>
      <c r="AN22" s="198"/>
      <c r="AO22" s="199"/>
      <c r="AP22" s="167"/>
      <c r="AQ22" s="168"/>
      <c r="AR22" s="168"/>
      <c r="AS22" s="168"/>
      <c r="AT22" s="168"/>
      <c r="AU22" s="168"/>
      <c r="AV22" s="168"/>
      <c r="AW22" s="168"/>
      <c r="AX22" s="168"/>
      <c r="AY22" s="168"/>
      <c r="AZ22" s="169"/>
      <c r="BA22" s="211">
        <v>37</v>
      </c>
      <c r="BB22" s="184"/>
      <c r="BC22" s="184"/>
      <c r="BD22" s="185"/>
      <c r="BE22" s="211"/>
      <c r="BF22" s="184"/>
      <c r="BG22" s="184"/>
      <c r="BH22" s="184"/>
      <c r="BI22" s="185"/>
      <c r="BJ22" s="197"/>
      <c r="BK22" s="184"/>
      <c r="BL22" s="184"/>
      <c r="BM22" s="185"/>
      <c r="BN22" s="197" t="s">
        <v>553</v>
      </c>
      <c r="BO22" s="184"/>
      <c r="BP22" s="184"/>
      <c r="BQ22" s="185"/>
      <c r="BR22" s="183"/>
      <c r="BS22" s="184"/>
      <c r="BT22" s="184"/>
      <c r="BU22" s="185"/>
      <c r="BV22" s="183"/>
      <c r="BW22" s="184"/>
      <c r="BX22" s="184"/>
      <c r="BY22" s="185"/>
      <c r="BZ22" s="183"/>
      <c r="CA22" s="184"/>
      <c r="CB22" s="184"/>
      <c r="CC22" s="185"/>
      <c r="CD22" s="186"/>
      <c r="CE22" s="184"/>
      <c r="CF22" s="184"/>
      <c r="CG22" s="184"/>
      <c r="CH22" s="184"/>
      <c r="CI22" s="184"/>
      <c r="CJ22" s="184"/>
      <c r="CK22" s="184"/>
      <c r="CL22" s="184"/>
      <c r="CM22" s="185"/>
      <c r="CN22" s="186"/>
      <c r="CO22" s="184"/>
      <c r="CP22" s="184"/>
      <c r="CQ22" s="184"/>
      <c r="CR22" s="184"/>
      <c r="CS22" s="184"/>
      <c r="CT22" s="184"/>
      <c r="CU22" s="184"/>
      <c r="CV22" s="184"/>
      <c r="CW22" s="187"/>
    </row>
    <row r="23" spans="1:101" ht="13.5" customHeight="1">
      <c r="A23" s="191"/>
      <c r="B23" s="192"/>
      <c r="C23" s="192"/>
      <c r="D23" s="192"/>
      <c r="E23" s="193"/>
      <c r="F23" s="194"/>
      <c r="G23" s="195"/>
      <c r="H23" s="195"/>
      <c r="I23" s="196"/>
      <c r="J23" s="194"/>
      <c r="K23" s="195"/>
      <c r="L23" s="195"/>
      <c r="M23" s="196"/>
      <c r="N23" s="164" t="s">
        <v>575</v>
      </c>
      <c r="O23" s="165"/>
      <c r="P23" s="165"/>
      <c r="Q23" s="165"/>
      <c r="R23" s="165"/>
      <c r="S23" s="165"/>
      <c r="T23" s="165"/>
      <c r="U23" s="165"/>
      <c r="V23" s="165"/>
      <c r="W23" s="165"/>
      <c r="X23" s="165"/>
      <c r="Y23" s="165"/>
      <c r="Z23" s="165"/>
      <c r="AA23" s="166"/>
      <c r="AB23" s="197" t="s">
        <v>576</v>
      </c>
      <c r="AC23" s="198"/>
      <c r="AD23" s="198"/>
      <c r="AE23" s="198"/>
      <c r="AF23" s="198"/>
      <c r="AG23" s="198"/>
      <c r="AH23" s="198"/>
      <c r="AI23" s="198"/>
      <c r="AJ23" s="198"/>
      <c r="AK23" s="198"/>
      <c r="AL23" s="198"/>
      <c r="AM23" s="198"/>
      <c r="AN23" s="198"/>
      <c r="AO23" s="199"/>
      <c r="AP23" s="167"/>
      <c r="AQ23" s="168"/>
      <c r="AR23" s="168"/>
      <c r="AS23" s="168"/>
      <c r="AT23" s="168"/>
      <c r="AU23" s="168"/>
      <c r="AV23" s="168"/>
      <c r="AW23" s="168"/>
      <c r="AX23" s="168"/>
      <c r="AY23" s="168"/>
      <c r="AZ23" s="169"/>
      <c r="BA23" s="211">
        <v>45</v>
      </c>
      <c r="BB23" s="184"/>
      <c r="BC23" s="184"/>
      <c r="BD23" s="185"/>
      <c r="BE23" s="211"/>
      <c r="BF23" s="184"/>
      <c r="BG23" s="184"/>
      <c r="BH23" s="184"/>
      <c r="BI23" s="185"/>
      <c r="BJ23" s="197"/>
      <c r="BK23" s="184"/>
      <c r="BL23" s="184"/>
      <c r="BM23" s="185"/>
      <c r="BN23" s="197" t="s">
        <v>553</v>
      </c>
      <c r="BO23" s="184"/>
      <c r="BP23" s="184"/>
      <c r="BQ23" s="185"/>
      <c r="BR23" s="183"/>
      <c r="BS23" s="184"/>
      <c r="BT23" s="184"/>
      <c r="BU23" s="185"/>
      <c r="BV23" s="183"/>
      <c r="BW23" s="184"/>
      <c r="BX23" s="184"/>
      <c r="BY23" s="185"/>
      <c r="BZ23" s="183"/>
      <c r="CA23" s="184"/>
      <c r="CB23" s="184"/>
      <c r="CC23" s="185"/>
      <c r="CD23" s="186"/>
      <c r="CE23" s="184"/>
      <c r="CF23" s="184"/>
      <c r="CG23" s="184"/>
      <c r="CH23" s="184"/>
      <c r="CI23" s="184"/>
      <c r="CJ23" s="184"/>
      <c r="CK23" s="184"/>
      <c r="CL23" s="184"/>
      <c r="CM23" s="185"/>
      <c r="CN23" s="186"/>
      <c r="CO23" s="184"/>
      <c r="CP23" s="184"/>
      <c r="CQ23" s="184"/>
      <c r="CR23" s="184"/>
      <c r="CS23" s="184"/>
      <c r="CT23" s="184"/>
      <c r="CU23" s="184"/>
      <c r="CV23" s="184"/>
      <c r="CW23" s="187"/>
    </row>
    <row r="24" spans="1:101" ht="13.5" customHeight="1">
      <c r="A24" s="191"/>
      <c r="B24" s="192"/>
      <c r="C24" s="192"/>
      <c r="D24" s="192"/>
      <c r="E24" s="193"/>
      <c r="F24" s="194"/>
      <c r="G24" s="195"/>
      <c r="H24" s="195"/>
      <c r="I24" s="196"/>
      <c r="J24" s="194"/>
      <c r="K24" s="195"/>
      <c r="L24" s="195"/>
      <c r="M24" s="196"/>
      <c r="N24" s="188" t="s">
        <v>577</v>
      </c>
      <c r="O24" s="189"/>
      <c r="P24" s="189"/>
      <c r="Q24" s="189"/>
      <c r="R24" s="189"/>
      <c r="S24" s="189"/>
      <c r="T24" s="189"/>
      <c r="U24" s="189"/>
      <c r="V24" s="189"/>
      <c r="W24" s="189"/>
      <c r="X24" s="189"/>
      <c r="Y24" s="189"/>
      <c r="Z24" s="189"/>
      <c r="AA24" s="190"/>
      <c r="AB24" s="197" t="s">
        <v>578</v>
      </c>
      <c r="AC24" s="198"/>
      <c r="AD24" s="198"/>
      <c r="AE24" s="198"/>
      <c r="AF24" s="198"/>
      <c r="AG24" s="198"/>
      <c r="AH24" s="198"/>
      <c r="AI24" s="198"/>
      <c r="AJ24" s="198"/>
      <c r="AK24" s="198"/>
      <c r="AL24" s="198"/>
      <c r="AM24" s="198"/>
      <c r="AN24" s="198"/>
      <c r="AO24" s="199"/>
      <c r="AP24" s="167"/>
      <c r="AQ24" s="168"/>
      <c r="AR24" s="168"/>
      <c r="AS24" s="168"/>
      <c r="AT24" s="168"/>
      <c r="AU24" s="168"/>
      <c r="AV24" s="168"/>
      <c r="AW24" s="168"/>
      <c r="AX24" s="168"/>
      <c r="AY24" s="168"/>
      <c r="AZ24" s="169"/>
      <c r="BA24" s="211">
        <v>6</v>
      </c>
      <c r="BB24" s="184"/>
      <c r="BC24" s="184"/>
      <c r="BD24" s="185"/>
      <c r="BE24" s="211"/>
      <c r="BF24" s="184"/>
      <c r="BG24" s="184"/>
      <c r="BH24" s="184"/>
      <c r="BI24" s="185"/>
      <c r="BJ24" s="197"/>
      <c r="BK24" s="184"/>
      <c r="BL24" s="184"/>
      <c r="BM24" s="185"/>
      <c r="BN24" s="197" t="s">
        <v>556</v>
      </c>
      <c r="BO24" s="184"/>
      <c r="BP24" s="184"/>
      <c r="BQ24" s="185"/>
      <c r="BR24" s="183"/>
      <c r="BS24" s="184"/>
      <c r="BT24" s="184"/>
      <c r="BU24" s="185"/>
      <c r="BV24" s="183"/>
      <c r="BW24" s="184"/>
      <c r="BX24" s="184"/>
      <c r="BY24" s="185"/>
      <c r="BZ24" s="183"/>
      <c r="CA24" s="184"/>
      <c r="CB24" s="184"/>
      <c r="CC24" s="185"/>
      <c r="CD24" s="186"/>
      <c r="CE24" s="184"/>
      <c r="CF24" s="184"/>
      <c r="CG24" s="184"/>
      <c r="CH24" s="184"/>
      <c r="CI24" s="184"/>
      <c r="CJ24" s="184"/>
      <c r="CK24" s="184"/>
      <c r="CL24" s="184"/>
      <c r="CM24" s="185"/>
      <c r="CN24" s="186"/>
      <c r="CO24" s="184"/>
      <c r="CP24" s="184"/>
      <c r="CQ24" s="184"/>
      <c r="CR24" s="184"/>
      <c r="CS24" s="184"/>
      <c r="CT24" s="184"/>
      <c r="CU24" s="184"/>
      <c r="CV24" s="184"/>
      <c r="CW24" s="187"/>
    </row>
    <row r="25" spans="1:101" ht="13.5" customHeight="1">
      <c r="A25" s="191"/>
      <c r="B25" s="192"/>
      <c r="C25" s="192"/>
      <c r="D25" s="192"/>
      <c r="E25" s="193"/>
      <c r="F25" s="194"/>
      <c r="G25" s="195"/>
      <c r="H25" s="195"/>
      <c r="I25" s="196"/>
      <c r="J25" s="194"/>
      <c r="K25" s="195"/>
      <c r="L25" s="195"/>
      <c r="M25" s="196"/>
      <c r="N25" s="188" t="s">
        <v>579</v>
      </c>
      <c r="O25" s="189"/>
      <c r="P25" s="189"/>
      <c r="Q25" s="189"/>
      <c r="R25" s="189"/>
      <c r="S25" s="189"/>
      <c r="T25" s="189"/>
      <c r="U25" s="189"/>
      <c r="V25" s="189"/>
      <c r="W25" s="189"/>
      <c r="X25" s="189"/>
      <c r="Y25" s="189"/>
      <c r="Z25" s="189"/>
      <c r="AA25" s="190"/>
      <c r="AB25" s="197"/>
      <c r="AC25" s="198"/>
      <c r="AD25" s="198"/>
      <c r="AE25" s="198"/>
      <c r="AF25" s="198"/>
      <c r="AG25" s="198"/>
      <c r="AH25" s="198"/>
      <c r="AI25" s="198"/>
      <c r="AJ25" s="198"/>
      <c r="AK25" s="198"/>
      <c r="AL25" s="198"/>
      <c r="AM25" s="198"/>
      <c r="AN25" s="198"/>
      <c r="AO25" s="199"/>
      <c r="AP25" s="167"/>
      <c r="AQ25" s="168"/>
      <c r="AR25" s="168"/>
      <c r="AS25" s="168"/>
      <c r="AT25" s="168"/>
      <c r="AU25" s="168"/>
      <c r="AV25" s="168"/>
      <c r="AW25" s="168"/>
      <c r="AX25" s="168"/>
      <c r="AY25" s="168"/>
      <c r="AZ25" s="169"/>
      <c r="BA25" s="211"/>
      <c r="BB25" s="184"/>
      <c r="BC25" s="184"/>
      <c r="BD25" s="185"/>
      <c r="BE25" s="211"/>
      <c r="BF25" s="184"/>
      <c r="BG25" s="184"/>
      <c r="BH25" s="184"/>
      <c r="BI25" s="185"/>
      <c r="BJ25" s="197"/>
      <c r="BK25" s="184"/>
      <c r="BL25" s="184"/>
      <c r="BM25" s="185"/>
      <c r="BN25" s="197"/>
      <c r="BO25" s="184"/>
      <c r="BP25" s="184"/>
      <c r="BQ25" s="185"/>
      <c r="BR25" s="183"/>
      <c r="BS25" s="184"/>
      <c r="BT25" s="184"/>
      <c r="BU25" s="185"/>
      <c r="BV25" s="183"/>
      <c r="BW25" s="184"/>
      <c r="BX25" s="184"/>
      <c r="BY25" s="185"/>
      <c r="BZ25" s="183"/>
      <c r="CA25" s="184"/>
      <c r="CB25" s="184"/>
      <c r="CC25" s="185"/>
      <c r="CD25" s="186"/>
      <c r="CE25" s="184"/>
      <c r="CF25" s="184"/>
      <c r="CG25" s="184"/>
      <c r="CH25" s="184"/>
      <c r="CI25" s="184"/>
      <c r="CJ25" s="184"/>
      <c r="CK25" s="184"/>
      <c r="CL25" s="184"/>
      <c r="CM25" s="185"/>
      <c r="CN25" s="186"/>
      <c r="CO25" s="184"/>
      <c r="CP25" s="184"/>
      <c r="CQ25" s="184"/>
      <c r="CR25" s="184"/>
      <c r="CS25" s="184"/>
      <c r="CT25" s="184"/>
      <c r="CU25" s="184"/>
      <c r="CV25" s="184"/>
      <c r="CW25" s="187"/>
    </row>
    <row r="26" spans="1:101" ht="13.5" customHeight="1">
      <c r="A26" s="191"/>
      <c r="B26" s="192"/>
      <c r="C26" s="192"/>
      <c r="D26" s="192"/>
      <c r="E26" s="193"/>
      <c r="F26" s="194"/>
      <c r="G26" s="195"/>
      <c r="H26" s="195"/>
      <c r="I26" s="196"/>
      <c r="J26" s="194"/>
      <c r="K26" s="195"/>
      <c r="L26" s="195"/>
      <c r="M26" s="196"/>
      <c r="N26" s="188" t="s">
        <v>580</v>
      </c>
      <c r="O26" s="189"/>
      <c r="P26" s="189"/>
      <c r="Q26" s="189"/>
      <c r="R26" s="189"/>
      <c r="S26" s="189"/>
      <c r="T26" s="189"/>
      <c r="U26" s="189"/>
      <c r="V26" s="189"/>
      <c r="W26" s="189"/>
      <c r="X26" s="189"/>
      <c r="Y26" s="189"/>
      <c r="Z26" s="189"/>
      <c r="AA26" s="190"/>
      <c r="AB26" s="197" t="s">
        <v>581</v>
      </c>
      <c r="AC26" s="198"/>
      <c r="AD26" s="198"/>
      <c r="AE26" s="198"/>
      <c r="AF26" s="198"/>
      <c r="AG26" s="198"/>
      <c r="AH26" s="198"/>
      <c r="AI26" s="198"/>
      <c r="AJ26" s="198"/>
      <c r="AK26" s="198"/>
      <c r="AL26" s="198"/>
      <c r="AM26" s="198"/>
      <c r="AN26" s="198"/>
      <c r="AO26" s="199"/>
      <c r="AP26" s="167"/>
      <c r="AQ26" s="168"/>
      <c r="AR26" s="168"/>
      <c r="AS26" s="168"/>
      <c r="AT26" s="168"/>
      <c r="AU26" s="168"/>
      <c r="AV26" s="168"/>
      <c r="AW26" s="168"/>
      <c r="AX26" s="168"/>
      <c r="AY26" s="168"/>
      <c r="AZ26" s="169"/>
      <c r="BA26" s="211">
        <v>3</v>
      </c>
      <c r="BB26" s="184"/>
      <c r="BC26" s="184"/>
      <c r="BD26" s="185"/>
      <c r="BE26" s="211"/>
      <c r="BF26" s="184"/>
      <c r="BG26" s="184"/>
      <c r="BH26" s="184"/>
      <c r="BI26" s="185"/>
      <c r="BJ26" s="197"/>
      <c r="BK26" s="184"/>
      <c r="BL26" s="184"/>
      <c r="BM26" s="185"/>
      <c r="BN26" s="197" t="s">
        <v>560</v>
      </c>
      <c r="BO26" s="184"/>
      <c r="BP26" s="184"/>
      <c r="BQ26" s="185"/>
      <c r="BR26" s="183"/>
      <c r="BS26" s="184"/>
      <c r="BT26" s="184"/>
      <c r="BU26" s="185"/>
      <c r="BV26" s="183"/>
      <c r="BW26" s="184"/>
      <c r="BX26" s="184"/>
      <c r="BY26" s="185"/>
      <c r="BZ26" s="183"/>
      <c r="CA26" s="184"/>
      <c r="CB26" s="184"/>
      <c r="CC26" s="185"/>
      <c r="CD26" s="186"/>
      <c r="CE26" s="184"/>
      <c r="CF26" s="184"/>
      <c r="CG26" s="184"/>
      <c r="CH26" s="184"/>
      <c r="CI26" s="184"/>
      <c r="CJ26" s="184"/>
      <c r="CK26" s="184"/>
      <c r="CL26" s="184"/>
      <c r="CM26" s="185"/>
      <c r="CN26" s="186"/>
      <c r="CO26" s="184"/>
      <c r="CP26" s="184"/>
      <c r="CQ26" s="184"/>
      <c r="CR26" s="184"/>
      <c r="CS26" s="184"/>
      <c r="CT26" s="184"/>
      <c r="CU26" s="184"/>
      <c r="CV26" s="184"/>
      <c r="CW26" s="187"/>
    </row>
    <row r="27" spans="1:101">
      <c r="A27" s="191"/>
      <c r="B27" s="192"/>
      <c r="C27" s="192"/>
      <c r="D27" s="192"/>
      <c r="E27" s="193"/>
      <c r="F27" s="194"/>
      <c r="G27" s="195"/>
      <c r="H27" s="195"/>
      <c r="I27" s="196"/>
      <c r="J27" s="194"/>
      <c r="K27" s="195"/>
      <c r="L27" s="195"/>
      <c r="M27" s="196"/>
      <c r="N27" s="188" t="s">
        <v>582</v>
      </c>
      <c r="O27" s="189"/>
      <c r="P27" s="189"/>
      <c r="Q27" s="189"/>
      <c r="R27" s="189"/>
      <c r="S27" s="189"/>
      <c r="T27" s="189"/>
      <c r="U27" s="189"/>
      <c r="V27" s="189"/>
      <c r="W27" s="189"/>
      <c r="X27" s="189"/>
      <c r="Y27" s="189"/>
      <c r="Z27" s="189"/>
      <c r="AA27" s="190"/>
      <c r="AB27" s="197" t="s">
        <v>583</v>
      </c>
      <c r="AC27" s="198"/>
      <c r="AD27" s="198"/>
      <c r="AE27" s="198"/>
      <c r="AF27" s="198"/>
      <c r="AG27" s="198"/>
      <c r="AH27" s="198"/>
      <c r="AI27" s="198"/>
      <c r="AJ27" s="198"/>
      <c r="AK27" s="198"/>
      <c r="AL27" s="198"/>
      <c r="AM27" s="198"/>
      <c r="AN27" s="198"/>
      <c r="AO27" s="199"/>
      <c r="AP27" s="167"/>
      <c r="AQ27" s="168"/>
      <c r="AR27" s="168"/>
      <c r="AS27" s="168"/>
      <c r="AT27" s="168"/>
      <c r="AU27" s="168"/>
      <c r="AV27" s="168"/>
      <c r="AW27" s="168"/>
      <c r="AX27" s="168"/>
      <c r="AY27" s="168"/>
      <c r="AZ27" s="169"/>
      <c r="BA27" s="211">
        <v>3</v>
      </c>
      <c r="BB27" s="184"/>
      <c r="BC27" s="184"/>
      <c r="BD27" s="185"/>
      <c r="BE27" s="211"/>
      <c r="BF27" s="184"/>
      <c r="BG27" s="184"/>
      <c r="BH27" s="184"/>
      <c r="BI27" s="185"/>
      <c r="BJ27" s="197"/>
      <c r="BK27" s="184"/>
      <c r="BL27" s="184"/>
      <c r="BM27" s="185"/>
      <c r="BN27" s="197" t="s">
        <v>560</v>
      </c>
      <c r="BO27" s="184"/>
      <c r="BP27" s="184"/>
      <c r="BQ27" s="185"/>
      <c r="BR27" s="183"/>
      <c r="BS27" s="184"/>
      <c r="BT27" s="184"/>
      <c r="BU27" s="185"/>
      <c r="BV27" s="183"/>
      <c r="BW27" s="184"/>
      <c r="BX27" s="184"/>
      <c r="BY27" s="185"/>
      <c r="BZ27" s="183"/>
      <c r="CA27" s="184"/>
      <c r="CB27" s="184"/>
      <c r="CC27" s="185"/>
      <c r="CD27" s="186"/>
      <c r="CE27" s="184"/>
      <c r="CF27" s="184"/>
      <c r="CG27" s="184"/>
      <c r="CH27" s="184"/>
      <c r="CI27" s="184"/>
      <c r="CJ27" s="184"/>
      <c r="CK27" s="184"/>
      <c r="CL27" s="184"/>
      <c r="CM27" s="185"/>
      <c r="CN27" s="186"/>
      <c r="CO27" s="184"/>
      <c r="CP27" s="184"/>
      <c r="CQ27" s="184"/>
      <c r="CR27" s="184"/>
      <c r="CS27" s="184"/>
      <c r="CT27" s="184"/>
      <c r="CU27" s="184"/>
      <c r="CV27" s="184"/>
      <c r="CW27" s="187"/>
    </row>
    <row r="28" spans="1:101">
      <c r="A28" s="191"/>
      <c r="B28" s="192"/>
      <c r="C28" s="192"/>
      <c r="D28" s="192"/>
      <c r="E28" s="193"/>
      <c r="F28" s="194"/>
      <c r="G28" s="195"/>
      <c r="H28" s="195"/>
      <c r="I28" s="196"/>
      <c r="J28" s="194"/>
      <c r="K28" s="195"/>
      <c r="L28" s="195"/>
      <c r="M28" s="196"/>
      <c r="N28" s="197" t="s">
        <v>584</v>
      </c>
      <c r="O28" s="198"/>
      <c r="P28" s="198"/>
      <c r="Q28" s="198"/>
      <c r="R28" s="198"/>
      <c r="S28" s="198"/>
      <c r="T28" s="198"/>
      <c r="U28" s="198"/>
      <c r="V28" s="198"/>
      <c r="W28" s="198"/>
      <c r="X28" s="198"/>
      <c r="Y28" s="198"/>
      <c r="Z28" s="198"/>
      <c r="AA28" s="199"/>
      <c r="AB28" s="197" t="s">
        <v>585</v>
      </c>
      <c r="AC28" s="198"/>
      <c r="AD28" s="198"/>
      <c r="AE28" s="198"/>
      <c r="AF28" s="198"/>
      <c r="AG28" s="198"/>
      <c r="AH28" s="198"/>
      <c r="AI28" s="198"/>
      <c r="AJ28" s="198"/>
      <c r="AK28" s="198"/>
      <c r="AL28" s="198"/>
      <c r="AM28" s="198"/>
      <c r="AN28" s="198"/>
      <c r="AO28" s="199"/>
      <c r="AP28" s="167"/>
      <c r="AQ28" s="168"/>
      <c r="AR28" s="168"/>
      <c r="AS28" s="168"/>
      <c r="AT28" s="168"/>
      <c r="AU28" s="168"/>
      <c r="AV28" s="168"/>
      <c r="AW28" s="168"/>
      <c r="AX28" s="168"/>
      <c r="AY28" s="168"/>
      <c r="AZ28" s="169"/>
      <c r="BA28" s="211">
        <v>46</v>
      </c>
      <c r="BB28" s="184"/>
      <c r="BC28" s="184"/>
      <c r="BD28" s="185"/>
      <c r="BE28" s="211"/>
      <c r="BF28" s="184"/>
      <c r="BG28" s="184"/>
      <c r="BH28" s="184"/>
      <c r="BI28" s="185"/>
      <c r="BJ28" s="197"/>
      <c r="BK28" s="184"/>
      <c r="BL28" s="184"/>
      <c r="BM28" s="185"/>
      <c r="BN28" s="197" t="s">
        <v>556</v>
      </c>
      <c r="BO28" s="184"/>
      <c r="BP28" s="184"/>
      <c r="BQ28" s="185"/>
      <c r="BR28" s="183"/>
      <c r="BS28" s="184"/>
      <c r="BT28" s="184"/>
      <c r="BU28" s="185"/>
      <c r="BV28" s="183"/>
      <c r="BW28" s="184"/>
      <c r="BX28" s="184"/>
      <c r="BY28" s="185"/>
      <c r="BZ28" s="183"/>
      <c r="CA28" s="184"/>
      <c r="CB28" s="184"/>
      <c r="CC28" s="185"/>
      <c r="CD28" s="186"/>
      <c r="CE28" s="184"/>
      <c r="CF28" s="184"/>
      <c r="CG28" s="184"/>
      <c r="CH28" s="184"/>
      <c r="CI28" s="184"/>
      <c r="CJ28" s="184"/>
      <c r="CK28" s="184"/>
      <c r="CL28" s="184"/>
      <c r="CM28" s="185"/>
      <c r="CN28" s="186"/>
      <c r="CO28" s="184"/>
      <c r="CP28" s="184"/>
      <c r="CQ28" s="184"/>
      <c r="CR28" s="184"/>
      <c r="CS28" s="184"/>
      <c r="CT28" s="184"/>
      <c r="CU28" s="184"/>
      <c r="CV28" s="184"/>
      <c r="CW28" s="187"/>
    </row>
    <row r="29" spans="1:101">
      <c r="A29" s="191"/>
      <c r="B29" s="192"/>
      <c r="C29" s="192"/>
      <c r="D29" s="192"/>
      <c r="E29" s="193"/>
      <c r="F29" s="194"/>
      <c r="G29" s="195"/>
      <c r="H29" s="195"/>
      <c r="I29" s="196"/>
      <c r="J29" s="194"/>
      <c r="K29" s="195"/>
      <c r="L29" s="195"/>
      <c r="M29" s="196"/>
      <c r="N29" s="197" t="s">
        <v>586</v>
      </c>
      <c r="O29" s="198"/>
      <c r="P29" s="198"/>
      <c r="Q29" s="198"/>
      <c r="R29" s="198"/>
      <c r="S29" s="198"/>
      <c r="T29" s="198"/>
      <c r="U29" s="198"/>
      <c r="V29" s="198"/>
      <c r="W29" s="198"/>
      <c r="X29" s="198"/>
      <c r="Y29" s="198"/>
      <c r="Z29" s="198"/>
      <c r="AA29" s="199"/>
      <c r="AB29" s="197" t="s">
        <v>587</v>
      </c>
      <c r="AC29" s="198"/>
      <c r="AD29" s="198"/>
      <c r="AE29" s="198"/>
      <c r="AF29" s="198"/>
      <c r="AG29" s="198"/>
      <c r="AH29" s="198"/>
      <c r="AI29" s="198"/>
      <c r="AJ29" s="198"/>
      <c r="AK29" s="198"/>
      <c r="AL29" s="198"/>
      <c r="AM29" s="198"/>
      <c r="AN29" s="198"/>
      <c r="AO29" s="199"/>
      <c r="AP29" s="167"/>
      <c r="AQ29" s="168"/>
      <c r="AR29" s="168"/>
      <c r="AS29" s="168"/>
      <c r="AT29" s="168"/>
      <c r="AU29" s="168"/>
      <c r="AV29" s="168"/>
      <c r="AW29" s="168"/>
      <c r="AX29" s="168"/>
      <c r="AY29" s="168"/>
      <c r="AZ29" s="169"/>
      <c r="BA29" s="211">
        <v>46</v>
      </c>
      <c r="BB29" s="184"/>
      <c r="BC29" s="184"/>
      <c r="BD29" s="185"/>
      <c r="BE29" s="211"/>
      <c r="BF29" s="184"/>
      <c r="BG29" s="184"/>
      <c r="BH29" s="184"/>
      <c r="BI29" s="185"/>
      <c r="BJ29" s="197"/>
      <c r="BK29" s="184"/>
      <c r="BL29" s="184"/>
      <c r="BM29" s="185"/>
      <c r="BN29" s="197" t="s">
        <v>556</v>
      </c>
      <c r="BO29" s="184"/>
      <c r="BP29" s="184"/>
      <c r="BQ29" s="185"/>
      <c r="BR29" s="183"/>
      <c r="BS29" s="184"/>
      <c r="BT29" s="184"/>
      <c r="BU29" s="185"/>
      <c r="BV29" s="183"/>
      <c r="BW29" s="184"/>
      <c r="BX29" s="184"/>
      <c r="BY29" s="185"/>
      <c r="BZ29" s="183"/>
      <c r="CA29" s="184"/>
      <c r="CB29" s="184"/>
      <c r="CC29" s="185"/>
      <c r="CD29" s="186"/>
      <c r="CE29" s="184"/>
      <c r="CF29" s="184"/>
      <c r="CG29" s="184"/>
      <c r="CH29" s="184"/>
      <c r="CI29" s="184"/>
      <c r="CJ29" s="184"/>
      <c r="CK29" s="184"/>
      <c r="CL29" s="184"/>
      <c r="CM29" s="185"/>
      <c r="CN29" s="186"/>
      <c r="CO29" s="184"/>
      <c r="CP29" s="184"/>
      <c r="CQ29" s="184"/>
      <c r="CR29" s="184"/>
      <c r="CS29" s="184"/>
      <c r="CT29" s="184"/>
      <c r="CU29" s="184"/>
      <c r="CV29" s="184"/>
      <c r="CW29" s="187"/>
    </row>
    <row r="30" spans="1:101">
      <c r="A30" s="191"/>
      <c r="B30" s="192"/>
      <c r="C30" s="192"/>
      <c r="D30" s="192"/>
      <c r="E30" s="193"/>
      <c r="F30" s="194"/>
      <c r="G30" s="195"/>
      <c r="H30" s="195"/>
      <c r="I30" s="196"/>
      <c r="J30" s="194"/>
      <c r="K30" s="195"/>
      <c r="L30" s="195"/>
      <c r="M30" s="196"/>
      <c r="N30" s="197" t="s">
        <v>588</v>
      </c>
      <c r="O30" s="198"/>
      <c r="P30" s="198"/>
      <c r="Q30" s="198"/>
      <c r="R30" s="198"/>
      <c r="S30" s="198"/>
      <c r="T30" s="198"/>
      <c r="U30" s="198"/>
      <c r="V30" s="198"/>
      <c r="W30" s="198"/>
      <c r="X30" s="198"/>
      <c r="Y30" s="198"/>
      <c r="Z30" s="198"/>
      <c r="AA30" s="199"/>
      <c r="AB30" s="197" t="s">
        <v>589</v>
      </c>
      <c r="AC30" s="198"/>
      <c r="AD30" s="198"/>
      <c r="AE30" s="198"/>
      <c r="AF30" s="198"/>
      <c r="AG30" s="198"/>
      <c r="AH30" s="198"/>
      <c r="AI30" s="198"/>
      <c r="AJ30" s="198"/>
      <c r="AK30" s="198"/>
      <c r="AL30" s="198"/>
      <c r="AM30" s="198"/>
      <c r="AN30" s="198"/>
      <c r="AO30" s="199"/>
      <c r="AP30" s="167"/>
      <c r="AQ30" s="168"/>
      <c r="AR30" s="168"/>
      <c r="AS30" s="168"/>
      <c r="AT30" s="168"/>
      <c r="AU30" s="168"/>
      <c r="AV30" s="168"/>
      <c r="AW30" s="168"/>
      <c r="AX30" s="168"/>
      <c r="AY30" s="168"/>
      <c r="AZ30" s="169"/>
      <c r="BA30" s="211">
        <v>46</v>
      </c>
      <c r="BB30" s="184"/>
      <c r="BC30" s="184"/>
      <c r="BD30" s="185"/>
      <c r="BE30" s="211"/>
      <c r="BF30" s="184"/>
      <c r="BG30" s="184"/>
      <c r="BH30" s="184"/>
      <c r="BI30" s="185"/>
      <c r="BJ30" s="197"/>
      <c r="BK30" s="184"/>
      <c r="BL30" s="184"/>
      <c r="BM30" s="185"/>
      <c r="BN30" s="197" t="s">
        <v>556</v>
      </c>
      <c r="BO30" s="184"/>
      <c r="BP30" s="184"/>
      <c r="BQ30" s="185"/>
      <c r="BR30" s="183"/>
      <c r="BS30" s="184"/>
      <c r="BT30" s="184"/>
      <c r="BU30" s="185"/>
      <c r="BV30" s="183"/>
      <c r="BW30" s="184"/>
      <c r="BX30" s="184"/>
      <c r="BY30" s="185"/>
      <c r="BZ30" s="183"/>
      <c r="CA30" s="184"/>
      <c r="CB30" s="184"/>
      <c r="CC30" s="185"/>
      <c r="CD30" s="186"/>
      <c r="CE30" s="184"/>
      <c r="CF30" s="184"/>
      <c r="CG30" s="184"/>
      <c r="CH30" s="184"/>
      <c r="CI30" s="184"/>
      <c r="CJ30" s="184"/>
      <c r="CK30" s="184"/>
      <c r="CL30" s="184"/>
      <c r="CM30" s="185"/>
      <c r="CN30" s="186"/>
      <c r="CO30" s="184"/>
      <c r="CP30" s="184"/>
      <c r="CQ30" s="184"/>
      <c r="CR30" s="184"/>
      <c r="CS30" s="184"/>
      <c r="CT30" s="184"/>
      <c r="CU30" s="184"/>
      <c r="CV30" s="184"/>
      <c r="CW30" s="187"/>
    </row>
    <row r="31" spans="1:101">
      <c r="A31" s="191"/>
      <c r="B31" s="192"/>
      <c r="C31" s="192"/>
      <c r="D31" s="192"/>
      <c r="E31" s="193"/>
      <c r="F31" s="194"/>
      <c r="G31" s="195"/>
      <c r="H31" s="195"/>
      <c r="I31" s="196"/>
      <c r="J31" s="194"/>
      <c r="K31" s="195"/>
      <c r="L31" s="195"/>
      <c r="M31" s="196"/>
      <c r="N31" s="197" t="s">
        <v>590</v>
      </c>
      <c r="O31" s="198"/>
      <c r="P31" s="198"/>
      <c r="Q31" s="198"/>
      <c r="R31" s="198"/>
      <c r="S31" s="198"/>
      <c r="T31" s="198"/>
      <c r="U31" s="198"/>
      <c r="V31" s="198"/>
      <c r="W31" s="198"/>
      <c r="X31" s="198"/>
      <c r="Y31" s="198"/>
      <c r="Z31" s="198"/>
      <c r="AA31" s="199"/>
      <c r="AB31" s="197" t="s">
        <v>591</v>
      </c>
      <c r="AC31" s="198"/>
      <c r="AD31" s="198"/>
      <c r="AE31" s="198"/>
      <c r="AF31" s="198"/>
      <c r="AG31" s="198"/>
      <c r="AH31" s="198"/>
      <c r="AI31" s="198"/>
      <c r="AJ31" s="198"/>
      <c r="AK31" s="198"/>
      <c r="AL31" s="198"/>
      <c r="AM31" s="198"/>
      <c r="AN31" s="198"/>
      <c r="AO31" s="199"/>
      <c r="AP31" s="167"/>
      <c r="AQ31" s="168"/>
      <c r="AR31" s="168"/>
      <c r="AS31" s="168"/>
      <c r="AT31" s="168"/>
      <c r="AU31" s="168"/>
      <c r="AV31" s="168"/>
      <c r="AW31" s="168"/>
      <c r="AX31" s="168"/>
      <c r="AY31" s="168"/>
      <c r="AZ31" s="169"/>
      <c r="BA31" s="211">
        <v>46</v>
      </c>
      <c r="BB31" s="184"/>
      <c r="BC31" s="184"/>
      <c r="BD31" s="185"/>
      <c r="BE31" s="211"/>
      <c r="BF31" s="184"/>
      <c r="BG31" s="184"/>
      <c r="BH31" s="184"/>
      <c r="BI31" s="185"/>
      <c r="BJ31" s="197"/>
      <c r="BK31" s="184"/>
      <c r="BL31" s="184"/>
      <c r="BM31" s="185"/>
      <c r="BN31" s="197" t="s">
        <v>556</v>
      </c>
      <c r="BO31" s="184"/>
      <c r="BP31" s="184"/>
      <c r="BQ31" s="185"/>
      <c r="BR31" s="183"/>
      <c r="BS31" s="184"/>
      <c r="BT31" s="184"/>
      <c r="BU31" s="185"/>
      <c r="BV31" s="183"/>
      <c r="BW31" s="184"/>
      <c r="BX31" s="184"/>
      <c r="BY31" s="185"/>
      <c r="BZ31" s="183"/>
      <c r="CA31" s="184"/>
      <c r="CB31" s="184"/>
      <c r="CC31" s="185"/>
      <c r="CD31" s="186"/>
      <c r="CE31" s="184"/>
      <c r="CF31" s="184"/>
      <c r="CG31" s="184"/>
      <c r="CH31" s="184"/>
      <c r="CI31" s="184"/>
      <c r="CJ31" s="184"/>
      <c r="CK31" s="184"/>
      <c r="CL31" s="184"/>
      <c r="CM31" s="185"/>
      <c r="CN31" s="186"/>
      <c r="CO31" s="184"/>
      <c r="CP31" s="184"/>
      <c r="CQ31" s="184"/>
      <c r="CR31" s="184"/>
      <c r="CS31" s="184"/>
      <c r="CT31" s="184"/>
      <c r="CU31" s="184"/>
      <c r="CV31" s="184"/>
      <c r="CW31" s="187"/>
    </row>
    <row r="32" spans="1:101">
      <c r="A32" s="191"/>
      <c r="B32" s="192"/>
      <c r="C32" s="192"/>
      <c r="D32" s="192"/>
      <c r="E32" s="193"/>
      <c r="F32" s="194"/>
      <c r="G32" s="195"/>
      <c r="H32" s="195"/>
      <c r="I32" s="196"/>
      <c r="J32" s="194"/>
      <c r="K32" s="195"/>
      <c r="L32" s="195"/>
      <c r="M32" s="196"/>
      <c r="N32" s="197" t="s">
        <v>592</v>
      </c>
      <c r="O32" s="198"/>
      <c r="P32" s="198"/>
      <c r="Q32" s="198"/>
      <c r="R32" s="198"/>
      <c r="S32" s="198"/>
      <c r="T32" s="198"/>
      <c r="U32" s="198"/>
      <c r="V32" s="198"/>
      <c r="W32" s="198"/>
      <c r="X32" s="198"/>
      <c r="Y32" s="198"/>
      <c r="Z32" s="198"/>
      <c r="AA32" s="199"/>
      <c r="AB32" s="197" t="s">
        <v>593</v>
      </c>
      <c r="AC32" s="198"/>
      <c r="AD32" s="198"/>
      <c r="AE32" s="198"/>
      <c r="AF32" s="198"/>
      <c r="AG32" s="198"/>
      <c r="AH32" s="198"/>
      <c r="AI32" s="198"/>
      <c r="AJ32" s="198"/>
      <c r="AK32" s="198"/>
      <c r="AL32" s="198"/>
      <c r="AM32" s="198"/>
      <c r="AN32" s="198"/>
      <c r="AO32" s="199"/>
      <c r="AP32" s="167"/>
      <c r="AQ32" s="168"/>
      <c r="AR32" s="168"/>
      <c r="AS32" s="168"/>
      <c r="AT32" s="168"/>
      <c r="AU32" s="168"/>
      <c r="AV32" s="168"/>
      <c r="AW32" s="168"/>
      <c r="AX32" s="168"/>
      <c r="AY32" s="168"/>
      <c r="AZ32" s="169"/>
      <c r="BA32" s="211">
        <v>46</v>
      </c>
      <c r="BB32" s="184"/>
      <c r="BC32" s="184"/>
      <c r="BD32" s="185"/>
      <c r="BE32" s="211"/>
      <c r="BF32" s="184"/>
      <c r="BG32" s="184"/>
      <c r="BH32" s="184"/>
      <c r="BI32" s="185"/>
      <c r="BJ32" s="197"/>
      <c r="BK32" s="184"/>
      <c r="BL32" s="184"/>
      <c r="BM32" s="185"/>
      <c r="BN32" s="197" t="s">
        <v>556</v>
      </c>
      <c r="BO32" s="184"/>
      <c r="BP32" s="184"/>
      <c r="BQ32" s="185"/>
      <c r="BR32" s="183"/>
      <c r="BS32" s="184"/>
      <c r="BT32" s="184"/>
      <c r="BU32" s="185"/>
      <c r="BV32" s="183"/>
      <c r="BW32" s="184"/>
      <c r="BX32" s="184"/>
      <c r="BY32" s="185"/>
      <c r="BZ32" s="183"/>
      <c r="CA32" s="184"/>
      <c r="CB32" s="184"/>
      <c r="CC32" s="185"/>
      <c r="CD32" s="186"/>
      <c r="CE32" s="184"/>
      <c r="CF32" s="184"/>
      <c r="CG32" s="184"/>
      <c r="CH32" s="184"/>
      <c r="CI32" s="184"/>
      <c r="CJ32" s="184"/>
      <c r="CK32" s="184"/>
      <c r="CL32" s="184"/>
      <c r="CM32" s="185"/>
      <c r="CN32" s="186"/>
      <c r="CO32" s="184"/>
      <c r="CP32" s="184"/>
      <c r="CQ32" s="184"/>
      <c r="CR32" s="184"/>
      <c r="CS32" s="184"/>
      <c r="CT32" s="184"/>
      <c r="CU32" s="184"/>
      <c r="CV32" s="184"/>
      <c r="CW32" s="187"/>
    </row>
    <row r="33" spans="1:101">
      <c r="A33" s="191"/>
      <c r="B33" s="192"/>
      <c r="C33" s="192"/>
      <c r="D33" s="192"/>
      <c r="E33" s="193"/>
      <c r="F33" s="194"/>
      <c r="G33" s="195"/>
      <c r="H33" s="195"/>
      <c r="I33" s="196"/>
      <c r="J33" s="194"/>
      <c r="K33" s="195"/>
      <c r="L33" s="195"/>
      <c r="M33" s="196"/>
      <c r="N33" s="197" t="s">
        <v>594</v>
      </c>
      <c r="O33" s="198"/>
      <c r="P33" s="198"/>
      <c r="Q33" s="198"/>
      <c r="R33" s="198"/>
      <c r="S33" s="198"/>
      <c r="T33" s="198"/>
      <c r="U33" s="198"/>
      <c r="V33" s="198"/>
      <c r="W33" s="198"/>
      <c r="X33" s="198"/>
      <c r="Y33" s="198"/>
      <c r="Z33" s="198"/>
      <c r="AA33" s="199"/>
      <c r="AB33" s="197" t="s">
        <v>595</v>
      </c>
      <c r="AC33" s="198"/>
      <c r="AD33" s="198"/>
      <c r="AE33" s="198"/>
      <c r="AF33" s="198"/>
      <c r="AG33" s="198"/>
      <c r="AH33" s="198"/>
      <c r="AI33" s="198"/>
      <c r="AJ33" s="198"/>
      <c r="AK33" s="198"/>
      <c r="AL33" s="198"/>
      <c r="AM33" s="198"/>
      <c r="AN33" s="198"/>
      <c r="AO33" s="199"/>
      <c r="AP33" s="167"/>
      <c r="AQ33" s="168"/>
      <c r="AR33" s="168"/>
      <c r="AS33" s="168"/>
      <c r="AT33" s="168"/>
      <c r="AU33" s="168"/>
      <c r="AV33" s="168"/>
      <c r="AW33" s="168"/>
      <c r="AX33" s="168"/>
      <c r="AY33" s="168"/>
      <c r="AZ33" s="169"/>
      <c r="BA33" s="211">
        <v>8</v>
      </c>
      <c r="BB33" s="184"/>
      <c r="BC33" s="184"/>
      <c r="BD33" s="185"/>
      <c r="BE33" s="211"/>
      <c r="BF33" s="184"/>
      <c r="BG33" s="184"/>
      <c r="BH33" s="184"/>
      <c r="BI33" s="185"/>
      <c r="BJ33" s="197"/>
      <c r="BK33" s="184"/>
      <c r="BL33" s="184"/>
      <c r="BM33" s="185"/>
      <c r="BN33" s="197" t="s">
        <v>553</v>
      </c>
      <c r="BO33" s="184"/>
      <c r="BP33" s="184"/>
      <c r="BQ33" s="185"/>
      <c r="BR33" s="183"/>
      <c r="BS33" s="184"/>
      <c r="BT33" s="184"/>
      <c r="BU33" s="185"/>
      <c r="BV33" s="183"/>
      <c r="BW33" s="184"/>
      <c r="BX33" s="184"/>
      <c r="BY33" s="185"/>
      <c r="BZ33" s="183"/>
      <c r="CA33" s="184"/>
      <c r="CB33" s="184"/>
      <c r="CC33" s="185"/>
      <c r="CD33" s="186"/>
      <c r="CE33" s="184"/>
      <c r="CF33" s="184"/>
      <c r="CG33" s="184"/>
      <c r="CH33" s="184"/>
      <c r="CI33" s="184"/>
      <c r="CJ33" s="184"/>
      <c r="CK33" s="184"/>
      <c r="CL33" s="184"/>
      <c r="CM33" s="185"/>
      <c r="CN33" s="186"/>
      <c r="CO33" s="184"/>
      <c r="CP33" s="184"/>
      <c r="CQ33" s="184"/>
      <c r="CR33" s="184"/>
      <c r="CS33" s="184"/>
      <c r="CT33" s="184"/>
      <c r="CU33" s="184"/>
      <c r="CV33" s="184"/>
      <c r="CW33" s="187"/>
    </row>
    <row r="34" spans="1:101">
      <c r="A34" s="191"/>
      <c r="B34" s="192"/>
      <c r="C34" s="192"/>
      <c r="D34" s="192"/>
      <c r="E34" s="193"/>
      <c r="F34" s="194"/>
      <c r="G34" s="195"/>
      <c r="H34" s="195"/>
      <c r="I34" s="196"/>
      <c r="J34" s="194"/>
      <c r="K34" s="195"/>
      <c r="L34" s="195"/>
      <c r="M34" s="196"/>
      <c r="N34" s="197" t="s">
        <v>596</v>
      </c>
      <c r="O34" s="198"/>
      <c r="P34" s="198"/>
      <c r="Q34" s="198"/>
      <c r="R34" s="198"/>
      <c r="S34" s="198"/>
      <c r="T34" s="198"/>
      <c r="U34" s="198"/>
      <c r="V34" s="198"/>
      <c r="W34" s="198"/>
      <c r="X34" s="198"/>
      <c r="Y34" s="198"/>
      <c r="Z34" s="198"/>
      <c r="AA34" s="199"/>
      <c r="AB34" s="197" t="s">
        <v>597</v>
      </c>
      <c r="AC34" s="198"/>
      <c r="AD34" s="198"/>
      <c r="AE34" s="198"/>
      <c r="AF34" s="198"/>
      <c r="AG34" s="198"/>
      <c r="AH34" s="198"/>
      <c r="AI34" s="198"/>
      <c r="AJ34" s="198"/>
      <c r="AK34" s="198"/>
      <c r="AL34" s="198"/>
      <c r="AM34" s="198"/>
      <c r="AN34" s="198"/>
      <c r="AO34" s="199"/>
      <c r="AP34" s="167"/>
      <c r="AQ34" s="168"/>
      <c r="AR34" s="168"/>
      <c r="AS34" s="168"/>
      <c r="AT34" s="168"/>
      <c r="AU34" s="168"/>
      <c r="AV34" s="168"/>
      <c r="AW34" s="168"/>
      <c r="AX34" s="168"/>
      <c r="AY34" s="168"/>
      <c r="AZ34" s="169"/>
      <c r="BA34" s="211">
        <v>10</v>
      </c>
      <c r="BB34" s="184"/>
      <c r="BC34" s="184"/>
      <c r="BD34" s="185"/>
      <c r="BE34" s="211"/>
      <c r="BF34" s="184"/>
      <c r="BG34" s="184"/>
      <c r="BH34" s="184"/>
      <c r="BI34" s="185"/>
      <c r="BJ34" s="197"/>
      <c r="BK34" s="184"/>
      <c r="BL34" s="184"/>
      <c r="BM34" s="185"/>
      <c r="BN34" s="197" t="s">
        <v>553</v>
      </c>
      <c r="BO34" s="184"/>
      <c r="BP34" s="184"/>
      <c r="BQ34" s="185"/>
      <c r="BR34" s="183"/>
      <c r="BS34" s="184"/>
      <c r="BT34" s="184"/>
      <c r="BU34" s="185"/>
      <c r="BV34" s="183"/>
      <c r="BW34" s="184"/>
      <c r="BX34" s="184"/>
      <c r="BY34" s="185"/>
      <c r="BZ34" s="183"/>
      <c r="CA34" s="184"/>
      <c r="CB34" s="184"/>
      <c r="CC34" s="185"/>
      <c r="CD34" s="186"/>
      <c r="CE34" s="184"/>
      <c r="CF34" s="184"/>
      <c r="CG34" s="184"/>
      <c r="CH34" s="184"/>
      <c r="CI34" s="184"/>
      <c r="CJ34" s="184"/>
      <c r="CK34" s="184"/>
      <c r="CL34" s="184"/>
      <c r="CM34" s="185"/>
      <c r="CN34" s="186"/>
      <c r="CO34" s="184"/>
      <c r="CP34" s="184"/>
      <c r="CQ34" s="184"/>
      <c r="CR34" s="184"/>
      <c r="CS34" s="184"/>
      <c r="CT34" s="184"/>
      <c r="CU34" s="184"/>
      <c r="CV34" s="184"/>
      <c r="CW34" s="187"/>
    </row>
    <row r="35" spans="1:101">
      <c r="A35" s="191"/>
      <c r="B35" s="192"/>
      <c r="C35" s="192"/>
      <c r="D35" s="192"/>
      <c r="E35" s="193"/>
      <c r="F35" s="194"/>
      <c r="G35" s="195"/>
      <c r="H35" s="195"/>
      <c r="I35" s="196"/>
      <c r="J35" s="194"/>
      <c r="K35" s="195"/>
      <c r="L35" s="195"/>
      <c r="M35" s="196"/>
      <c r="N35" s="197" t="s">
        <v>598</v>
      </c>
      <c r="O35" s="198"/>
      <c r="P35" s="198"/>
      <c r="Q35" s="198"/>
      <c r="R35" s="198"/>
      <c r="S35" s="198"/>
      <c r="T35" s="198"/>
      <c r="U35" s="198"/>
      <c r="V35" s="198"/>
      <c r="W35" s="198"/>
      <c r="X35" s="198"/>
      <c r="Y35" s="198"/>
      <c r="Z35" s="198"/>
      <c r="AA35" s="199"/>
      <c r="AB35" s="197" t="s">
        <v>599</v>
      </c>
      <c r="AC35" s="198"/>
      <c r="AD35" s="198"/>
      <c r="AE35" s="198"/>
      <c r="AF35" s="198"/>
      <c r="AG35" s="198"/>
      <c r="AH35" s="198"/>
      <c r="AI35" s="198"/>
      <c r="AJ35" s="198"/>
      <c r="AK35" s="198"/>
      <c r="AL35" s="198"/>
      <c r="AM35" s="198"/>
      <c r="AN35" s="198"/>
      <c r="AO35" s="199"/>
      <c r="AP35" s="167"/>
      <c r="AQ35" s="168"/>
      <c r="AR35" s="168"/>
      <c r="AS35" s="168"/>
      <c r="AT35" s="168"/>
      <c r="AU35" s="168"/>
      <c r="AV35" s="168"/>
      <c r="AW35" s="168"/>
      <c r="AX35" s="168"/>
      <c r="AY35" s="168"/>
      <c r="AZ35" s="169"/>
      <c r="BA35" s="211">
        <v>9</v>
      </c>
      <c r="BB35" s="184"/>
      <c r="BC35" s="184"/>
      <c r="BD35" s="185"/>
      <c r="BE35" s="211"/>
      <c r="BF35" s="184"/>
      <c r="BG35" s="184"/>
      <c r="BH35" s="184"/>
      <c r="BI35" s="185"/>
      <c r="BJ35" s="197"/>
      <c r="BK35" s="184"/>
      <c r="BL35" s="184"/>
      <c r="BM35" s="185"/>
      <c r="BN35" s="197" t="s">
        <v>553</v>
      </c>
      <c r="BO35" s="184"/>
      <c r="BP35" s="184"/>
      <c r="BQ35" s="185"/>
      <c r="BR35" s="212"/>
      <c r="BS35" s="184"/>
      <c r="BT35" s="184"/>
      <c r="BU35" s="185"/>
      <c r="BV35" s="212"/>
      <c r="BW35" s="184"/>
      <c r="BX35" s="184"/>
      <c r="BY35" s="185"/>
      <c r="BZ35" s="212"/>
      <c r="CA35" s="184"/>
      <c r="CB35" s="184"/>
      <c r="CC35" s="185"/>
      <c r="CD35" s="213"/>
      <c r="CE35" s="184"/>
      <c r="CF35" s="184"/>
      <c r="CG35" s="184"/>
      <c r="CH35" s="184"/>
      <c r="CI35" s="184"/>
      <c r="CJ35" s="184"/>
      <c r="CK35" s="184"/>
      <c r="CL35" s="184"/>
      <c r="CM35" s="185"/>
      <c r="CN35" s="213"/>
      <c r="CO35" s="184"/>
      <c r="CP35" s="184"/>
      <c r="CQ35" s="184"/>
      <c r="CR35" s="184"/>
      <c r="CS35" s="184"/>
      <c r="CT35" s="184"/>
      <c r="CU35" s="184"/>
      <c r="CV35" s="184"/>
      <c r="CW35" s="187"/>
    </row>
    <row r="36" spans="1:101">
      <c r="A36" s="191"/>
      <c r="B36" s="192"/>
      <c r="C36" s="192"/>
      <c r="D36" s="192"/>
      <c r="E36" s="193"/>
      <c r="F36" s="194"/>
      <c r="G36" s="195"/>
      <c r="H36" s="195"/>
      <c r="I36" s="196"/>
      <c r="J36" s="194"/>
      <c r="K36" s="195"/>
      <c r="L36" s="195"/>
      <c r="M36" s="196"/>
      <c r="N36" s="197" t="s">
        <v>600</v>
      </c>
      <c r="O36" s="198"/>
      <c r="P36" s="198"/>
      <c r="Q36" s="198"/>
      <c r="R36" s="198"/>
      <c r="S36" s="198"/>
      <c r="T36" s="198"/>
      <c r="U36" s="198"/>
      <c r="V36" s="198"/>
      <c r="W36" s="198"/>
      <c r="X36" s="198"/>
      <c r="Y36" s="198"/>
      <c r="Z36" s="198"/>
      <c r="AA36" s="199"/>
      <c r="AB36" s="197" t="s">
        <v>601</v>
      </c>
      <c r="AC36" s="198"/>
      <c r="AD36" s="198"/>
      <c r="AE36" s="198"/>
      <c r="AF36" s="198"/>
      <c r="AG36" s="198"/>
      <c r="AH36" s="198"/>
      <c r="AI36" s="198"/>
      <c r="AJ36" s="198"/>
      <c r="AK36" s="198"/>
      <c r="AL36" s="198"/>
      <c r="AM36" s="198"/>
      <c r="AN36" s="198"/>
      <c r="AO36" s="199"/>
      <c r="AP36" s="167"/>
      <c r="AQ36" s="168"/>
      <c r="AR36" s="168"/>
      <c r="AS36" s="168"/>
      <c r="AT36" s="168"/>
      <c r="AU36" s="168"/>
      <c r="AV36" s="168"/>
      <c r="AW36" s="168"/>
      <c r="AX36" s="168"/>
      <c r="AY36" s="168"/>
      <c r="AZ36" s="169"/>
      <c r="BA36" s="211">
        <v>17</v>
      </c>
      <c r="BB36" s="184"/>
      <c r="BC36" s="184"/>
      <c r="BD36" s="185"/>
      <c r="BE36" s="211"/>
      <c r="BF36" s="184"/>
      <c r="BG36" s="184"/>
      <c r="BH36" s="184"/>
      <c r="BI36" s="185"/>
      <c r="BJ36" s="197"/>
      <c r="BK36" s="184"/>
      <c r="BL36" s="184"/>
      <c r="BM36" s="185"/>
      <c r="BN36" s="197" t="s">
        <v>560</v>
      </c>
      <c r="BO36" s="184"/>
      <c r="BP36" s="184"/>
      <c r="BQ36" s="185"/>
      <c r="BR36" s="183"/>
      <c r="BS36" s="184"/>
      <c r="BT36" s="184"/>
      <c r="BU36" s="185"/>
      <c r="BV36" s="183"/>
      <c r="BW36" s="184"/>
      <c r="BX36" s="184"/>
      <c r="BY36" s="185"/>
      <c r="BZ36" s="183"/>
      <c r="CA36" s="184"/>
      <c r="CB36" s="184"/>
      <c r="CC36" s="185"/>
      <c r="CD36" s="186"/>
      <c r="CE36" s="184"/>
      <c r="CF36" s="184"/>
      <c r="CG36" s="184"/>
      <c r="CH36" s="184"/>
      <c r="CI36" s="184"/>
      <c r="CJ36" s="184"/>
      <c r="CK36" s="184"/>
      <c r="CL36" s="184"/>
      <c r="CM36" s="185"/>
      <c r="CN36" s="186"/>
      <c r="CO36" s="184"/>
      <c r="CP36" s="184"/>
      <c r="CQ36" s="184"/>
      <c r="CR36" s="184"/>
      <c r="CS36" s="184"/>
      <c r="CT36" s="184"/>
      <c r="CU36" s="184"/>
      <c r="CV36" s="184"/>
      <c r="CW36" s="187"/>
    </row>
    <row r="37" spans="1:101">
      <c r="A37" s="191"/>
      <c r="B37" s="192"/>
      <c r="C37" s="192"/>
      <c r="D37" s="192"/>
      <c r="E37" s="193"/>
      <c r="F37" s="194"/>
      <c r="G37" s="195"/>
      <c r="H37" s="195"/>
      <c r="I37" s="196"/>
      <c r="J37" s="194"/>
      <c r="K37" s="195"/>
      <c r="L37" s="195"/>
      <c r="M37" s="196"/>
      <c r="N37" s="197" t="s">
        <v>602</v>
      </c>
      <c r="O37" s="198"/>
      <c r="P37" s="198"/>
      <c r="Q37" s="198"/>
      <c r="R37" s="198"/>
      <c r="S37" s="198"/>
      <c r="T37" s="198"/>
      <c r="U37" s="198"/>
      <c r="V37" s="198"/>
      <c r="W37" s="198"/>
      <c r="X37" s="198"/>
      <c r="Y37" s="198"/>
      <c r="Z37" s="198"/>
      <c r="AA37" s="199"/>
      <c r="AB37" s="197" t="s">
        <v>603</v>
      </c>
      <c r="AC37" s="198"/>
      <c r="AD37" s="198"/>
      <c r="AE37" s="198"/>
      <c r="AF37" s="198"/>
      <c r="AG37" s="198"/>
      <c r="AH37" s="198"/>
      <c r="AI37" s="198"/>
      <c r="AJ37" s="198"/>
      <c r="AK37" s="198"/>
      <c r="AL37" s="198"/>
      <c r="AM37" s="198"/>
      <c r="AN37" s="198"/>
      <c r="AO37" s="199"/>
      <c r="AP37" s="167"/>
      <c r="AQ37" s="168"/>
      <c r="AR37" s="168"/>
      <c r="AS37" s="168"/>
      <c r="AT37" s="168"/>
      <c r="AU37" s="168"/>
      <c r="AV37" s="168"/>
      <c r="AW37" s="168"/>
      <c r="AX37" s="168"/>
      <c r="AY37" s="168"/>
      <c r="AZ37" s="169"/>
      <c r="BA37" s="211">
        <v>14</v>
      </c>
      <c r="BB37" s="184"/>
      <c r="BC37" s="184"/>
      <c r="BD37" s="185"/>
      <c r="BE37" s="211"/>
      <c r="BF37" s="184"/>
      <c r="BG37" s="184"/>
      <c r="BH37" s="184"/>
      <c r="BI37" s="185"/>
      <c r="BJ37" s="197"/>
      <c r="BK37" s="184"/>
      <c r="BL37" s="184"/>
      <c r="BM37" s="185"/>
      <c r="BN37" s="197" t="s">
        <v>560</v>
      </c>
      <c r="BO37" s="184"/>
      <c r="BP37" s="184"/>
      <c r="BQ37" s="185"/>
      <c r="BR37" s="183"/>
      <c r="BS37" s="184"/>
      <c r="BT37" s="184"/>
      <c r="BU37" s="185"/>
      <c r="BV37" s="183"/>
      <c r="BW37" s="184"/>
      <c r="BX37" s="184"/>
      <c r="BY37" s="185"/>
      <c r="BZ37" s="183"/>
      <c r="CA37" s="184"/>
      <c r="CB37" s="184"/>
      <c r="CC37" s="185"/>
      <c r="CD37" s="186"/>
      <c r="CE37" s="184"/>
      <c r="CF37" s="184"/>
      <c r="CG37" s="184"/>
      <c r="CH37" s="184"/>
      <c r="CI37" s="184"/>
      <c r="CJ37" s="184"/>
      <c r="CK37" s="184"/>
      <c r="CL37" s="184"/>
      <c r="CM37" s="185"/>
      <c r="CN37" s="186"/>
      <c r="CO37" s="184"/>
      <c r="CP37" s="184"/>
      <c r="CQ37" s="184"/>
      <c r="CR37" s="184"/>
      <c r="CS37" s="184"/>
      <c r="CT37" s="184"/>
      <c r="CU37" s="184"/>
      <c r="CV37" s="184"/>
      <c r="CW37" s="187"/>
    </row>
    <row r="38" spans="1:101">
      <c r="A38" s="191"/>
      <c r="B38" s="192"/>
      <c r="C38" s="192"/>
      <c r="D38" s="192"/>
      <c r="E38" s="193"/>
      <c r="F38" s="194"/>
      <c r="G38" s="195"/>
      <c r="H38" s="195"/>
      <c r="I38" s="196"/>
      <c r="J38" s="194"/>
      <c r="K38" s="195"/>
      <c r="L38" s="195"/>
      <c r="M38" s="196"/>
      <c r="N38" s="197" t="s">
        <v>604</v>
      </c>
      <c r="O38" s="198"/>
      <c r="P38" s="198"/>
      <c r="Q38" s="198"/>
      <c r="R38" s="198"/>
      <c r="S38" s="198"/>
      <c r="T38" s="198"/>
      <c r="U38" s="198"/>
      <c r="V38" s="198"/>
      <c r="W38" s="198"/>
      <c r="X38" s="198"/>
      <c r="Y38" s="198"/>
      <c r="Z38" s="198"/>
      <c r="AA38" s="199"/>
      <c r="AB38" s="197" t="s">
        <v>605</v>
      </c>
      <c r="AC38" s="198"/>
      <c r="AD38" s="198"/>
      <c r="AE38" s="198"/>
      <c r="AF38" s="198"/>
      <c r="AG38" s="198"/>
      <c r="AH38" s="198"/>
      <c r="AI38" s="198"/>
      <c r="AJ38" s="198"/>
      <c r="AK38" s="198"/>
      <c r="AL38" s="198"/>
      <c r="AM38" s="198"/>
      <c r="AN38" s="198"/>
      <c r="AO38" s="199"/>
      <c r="AP38" s="167"/>
      <c r="AQ38" s="168"/>
      <c r="AR38" s="168"/>
      <c r="AS38" s="168"/>
      <c r="AT38" s="168"/>
      <c r="AU38" s="168"/>
      <c r="AV38" s="168"/>
      <c r="AW38" s="168"/>
      <c r="AX38" s="168"/>
      <c r="AY38" s="168"/>
      <c r="AZ38" s="169"/>
      <c r="BA38" s="211">
        <v>17</v>
      </c>
      <c r="BB38" s="184"/>
      <c r="BC38" s="184"/>
      <c r="BD38" s="185"/>
      <c r="BE38" s="211"/>
      <c r="BF38" s="184"/>
      <c r="BG38" s="184"/>
      <c r="BH38" s="184"/>
      <c r="BI38" s="185"/>
      <c r="BJ38" s="197"/>
      <c r="BK38" s="184"/>
      <c r="BL38" s="184"/>
      <c r="BM38" s="185"/>
      <c r="BN38" s="197" t="s">
        <v>560</v>
      </c>
      <c r="BO38" s="184"/>
      <c r="BP38" s="184"/>
      <c r="BQ38" s="185"/>
      <c r="BR38" s="183"/>
      <c r="BS38" s="184"/>
      <c r="BT38" s="184"/>
      <c r="BU38" s="185"/>
      <c r="BV38" s="183"/>
      <c r="BW38" s="184"/>
      <c r="BX38" s="184"/>
      <c r="BY38" s="185"/>
      <c r="BZ38" s="183"/>
      <c r="CA38" s="184"/>
      <c r="CB38" s="184"/>
      <c r="CC38" s="185"/>
      <c r="CD38" s="186"/>
      <c r="CE38" s="184"/>
      <c r="CF38" s="184"/>
      <c r="CG38" s="184"/>
      <c r="CH38" s="184"/>
      <c r="CI38" s="184"/>
      <c r="CJ38" s="184"/>
      <c r="CK38" s="184"/>
      <c r="CL38" s="184"/>
      <c r="CM38" s="185"/>
      <c r="CN38" s="186"/>
      <c r="CO38" s="184"/>
      <c r="CP38" s="184"/>
      <c r="CQ38" s="184"/>
      <c r="CR38" s="184"/>
      <c r="CS38" s="184"/>
      <c r="CT38" s="184"/>
      <c r="CU38" s="184"/>
      <c r="CV38" s="184"/>
      <c r="CW38" s="187"/>
    </row>
    <row r="39" spans="1:101">
      <c r="A39" s="191"/>
      <c r="B39" s="192"/>
      <c r="C39" s="192"/>
      <c r="D39" s="192"/>
      <c r="E39" s="193"/>
      <c r="F39" s="194"/>
      <c r="G39" s="195"/>
      <c r="H39" s="195"/>
      <c r="I39" s="196"/>
      <c r="J39" s="194"/>
      <c r="K39" s="195"/>
      <c r="L39" s="195"/>
      <c r="M39" s="196"/>
      <c r="N39" s="197" t="s">
        <v>606</v>
      </c>
      <c r="O39" s="198"/>
      <c r="P39" s="198"/>
      <c r="Q39" s="198"/>
      <c r="R39" s="198"/>
      <c r="S39" s="198"/>
      <c r="T39" s="198"/>
      <c r="U39" s="198"/>
      <c r="V39" s="198"/>
      <c r="W39" s="198"/>
      <c r="X39" s="198"/>
      <c r="Y39" s="198"/>
      <c r="Z39" s="198"/>
      <c r="AA39" s="199"/>
      <c r="AB39" s="197" t="s">
        <v>607</v>
      </c>
      <c r="AC39" s="198"/>
      <c r="AD39" s="198"/>
      <c r="AE39" s="198"/>
      <c r="AF39" s="198"/>
      <c r="AG39" s="198"/>
      <c r="AH39" s="198"/>
      <c r="AI39" s="198"/>
      <c r="AJ39" s="198"/>
      <c r="AK39" s="198"/>
      <c r="AL39" s="198"/>
      <c r="AM39" s="198"/>
      <c r="AN39" s="198"/>
      <c r="AO39" s="199"/>
      <c r="AP39" s="167"/>
      <c r="AQ39" s="168"/>
      <c r="AR39" s="168"/>
      <c r="AS39" s="168"/>
      <c r="AT39" s="168"/>
      <c r="AU39" s="168"/>
      <c r="AV39" s="168"/>
      <c r="AW39" s="168"/>
      <c r="AX39" s="168"/>
      <c r="AY39" s="168"/>
      <c r="AZ39" s="169"/>
      <c r="BA39" s="211">
        <v>14</v>
      </c>
      <c r="BB39" s="184"/>
      <c r="BC39" s="184"/>
      <c r="BD39" s="185"/>
      <c r="BE39" s="211"/>
      <c r="BF39" s="184"/>
      <c r="BG39" s="184"/>
      <c r="BH39" s="184"/>
      <c r="BI39" s="185"/>
      <c r="BJ39" s="197"/>
      <c r="BK39" s="184"/>
      <c r="BL39" s="184"/>
      <c r="BM39" s="185"/>
      <c r="BN39" s="197" t="s">
        <v>560</v>
      </c>
      <c r="BO39" s="184"/>
      <c r="BP39" s="184"/>
      <c r="BQ39" s="185"/>
      <c r="BR39" s="183"/>
      <c r="BS39" s="184"/>
      <c r="BT39" s="184"/>
      <c r="BU39" s="185"/>
      <c r="BV39" s="183"/>
      <c r="BW39" s="184"/>
      <c r="BX39" s="184"/>
      <c r="BY39" s="185"/>
      <c r="BZ39" s="183"/>
      <c r="CA39" s="184"/>
      <c r="CB39" s="184"/>
      <c r="CC39" s="185"/>
      <c r="CD39" s="186"/>
      <c r="CE39" s="184"/>
      <c r="CF39" s="184"/>
      <c r="CG39" s="184"/>
      <c r="CH39" s="184"/>
      <c r="CI39" s="184"/>
      <c r="CJ39" s="184"/>
      <c r="CK39" s="184"/>
      <c r="CL39" s="184"/>
      <c r="CM39" s="185"/>
      <c r="CN39" s="186"/>
      <c r="CO39" s="184"/>
      <c r="CP39" s="184"/>
      <c r="CQ39" s="184"/>
      <c r="CR39" s="184"/>
      <c r="CS39" s="184"/>
      <c r="CT39" s="184"/>
      <c r="CU39" s="184"/>
      <c r="CV39" s="184"/>
      <c r="CW39" s="187"/>
    </row>
    <row r="40" spans="1:101">
      <c r="A40" s="191"/>
      <c r="B40" s="192"/>
      <c r="C40" s="192"/>
      <c r="D40" s="192"/>
      <c r="E40" s="193"/>
      <c r="F40" s="194"/>
      <c r="G40" s="195"/>
      <c r="H40" s="195"/>
      <c r="I40" s="196"/>
      <c r="J40" s="194"/>
      <c r="K40" s="195"/>
      <c r="L40" s="195"/>
      <c r="M40" s="196"/>
      <c r="N40" s="197" t="s">
        <v>608</v>
      </c>
      <c r="O40" s="198"/>
      <c r="P40" s="198"/>
      <c r="Q40" s="198"/>
      <c r="R40" s="198"/>
      <c r="S40" s="198"/>
      <c r="T40" s="198"/>
      <c r="U40" s="198"/>
      <c r="V40" s="198"/>
      <c r="W40" s="198"/>
      <c r="X40" s="198"/>
      <c r="Y40" s="198"/>
      <c r="Z40" s="198"/>
      <c r="AA40" s="199"/>
      <c r="AB40" s="197" t="s">
        <v>609</v>
      </c>
      <c r="AC40" s="198"/>
      <c r="AD40" s="198"/>
      <c r="AE40" s="198"/>
      <c r="AF40" s="198"/>
      <c r="AG40" s="198"/>
      <c r="AH40" s="198"/>
      <c r="AI40" s="198"/>
      <c r="AJ40" s="198"/>
      <c r="AK40" s="198"/>
      <c r="AL40" s="198"/>
      <c r="AM40" s="198"/>
      <c r="AN40" s="198"/>
      <c r="AO40" s="199"/>
      <c r="AP40" s="167"/>
      <c r="AQ40" s="168"/>
      <c r="AR40" s="168"/>
      <c r="AS40" s="168"/>
      <c r="AT40" s="168"/>
      <c r="AU40" s="168"/>
      <c r="AV40" s="168"/>
      <c r="AW40" s="168"/>
      <c r="AX40" s="168"/>
      <c r="AY40" s="168"/>
      <c r="AZ40" s="169"/>
      <c r="BA40" s="211">
        <v>17</v>
      </c>
      <c r="BB40" s="184"/>
      <c r="BC40" s="184"/>
      <c r="BD40" s="185"/>
      <c r="BE40" s="211"/>
      <c r="BF40" s="184"/>
      <c r="BG40" s="184"/>
      <c r="BH40" s="184"/>
      <c r="BI40" s="185"/>
      <c r="BJ40" s="197"/>
      <c r="BK40" s="184"/>
      <c r="BL40" s="184"/>
      <c r="BM40" s="185"/>
      <c r="BN40" s="197" t="s">
        <v>560</v>
      </c>
      <c r="BO40" s="184"/>
      <c r="BP40" s="184"/>
      <c r="BQ40" s="185"/>
      <c r="BR40" s="183"/>
      <c r="BS40" s="184"/>
      <c r="BT40" s="184"/>
      <c r="BU40" s="185"/>
      <c r="BV40" s="183"/>
      <c r="BW40" s="184"/>
      <c r="BX40" s="184"/>
      <c r="BY40" s="185"/>
      <c r="BZ40" s="183"/>
      <c r="CA40" s="184"/>
      <c r="CB40" s="184"/>
      <c r="CC40" s="185"/>
      <c r="CD40" s="186"/>
      <c r="CE40" s="184"/>
      <c r="CF40" s="184"/>
      <c r="CG40" s="184"/>
      <c r="CH40" s="184"/>
      <c r="CI40" s="184"/>
      <c r="CJ40" s="184"/>
      <c r="CK40" s="184"/>
      <c r="CL40" s="184"/>
      <c r="CM40" s="185"/>
      <c r="CN40" s="186"/>
      <c r="CO40" s="184"/>
      <c r="CP40" s="184"/>
      <c r="CQ40" s="184"/>
      <c r="CR40" s="184"/>
      <c r="CS40" s="184"/>
      <c r="CT40" s="184"/>
      <c r="CU40" s="184"/>
      <c r="CV40" s="184"/>
      <c r="CW40" s="187"/>
    </row>
    <row r="41" spans="1:101">
      <c r="A41" s="191"/>
      <c r="B41" s="192"/>
      <c r="C41" s="192"/>
      <c r="D41" s="192"/>
      <c r="E41" s="193"/>
      <c r="F41" s="194"/>
      <c r="G41" s="195"/>
      <c r="H41" s="195"/>
      <c r="I41" s="196"/>
      <c r="J41" s="194"/>
      <c r="K41" s="195"/>
      <c r="L41" s="195"/>
      <c r="M41" s="196"/>
      <c r="N41" s="197" t="s">
        <v>610</v>
      </c>
      <c r="O41" s="198"/>
      <c r="P41" s="198"/>
      <c r="Q41" s="198"/>
      <c r="R41" s="198"/>
      <c r="S41" s="198"/>
      <c r="T41" s="198"/>
      <c r="U41" s="198"/>
      <c r="V41" s="198"/>
      <c r="W41" s="198"/>
      <c r="X41" s="198"/>
      <c r="Y41" s="198"/>
      <c r="Z41" s="198"/>
      <c r="AA41" s="199"/>
      <c r="AB41" s="197" t="s">
        <v>611</v>
      </c>
      <c r="AC41" s="198"/>
      <c r="AD41" s="198"/>
      <c r="AE41" s="198"/>
      <c r="AF41" s="198"/>
      <c r="AG41" s="198"/>
      <c r="AH41" s="198"/>
      <c r="AI41" s="198"/>
      <c r="AJ41" s="198"/>
      <c r="AK41" s="198"/>
      <c r="AL41" s="198"/>
      <c r="AM41" s="198"/>
      <c r="AN41" s="198"/>
      <c r="AO41" s="199"/>
      <c r="AP41" s="167"/>
      <c r="AQ41" s="168"/>
      <c r="AR41" s="168"/>
      <c r="AS41" s="168"/>
      <c r="AT41" s="168"/>
      <c r="AU41" s="168"/>
      <c r="AV41" s="168"/>
      <c r="AW41" s="168"/>
      <c r="AX41" s="168"/>
      <c r="AY41" s="168"/>
      <c r="AZ41" s="169"/>
      <c r="BA41" s="211">
        <v>14</v>
      </c>
      <c r="BB41" s="184"/>
      <c r="BC41" s="184"/>
      <c r="BD41" s="185"/>
      <c r="BE41" s="211"/>
      <c r="BF41" s="184"/>
      <c r="BG41" s="184"/>
      <c r="BH41" s="184"/>
      <c r="BI41" s="185"/>
      <c r="BJ41" s="197"/>
      <c r="BK41" s="184"/>
      <c r="BL41" s="184"/>
      <c r="BM41" s="185"/>
      <c r="BN41" s="197" t="s">
        <v>560</v>
      </c>
      <c r="BO41" s="184"/>
      <c r="BP41" s="184"/>
      <c r="BQ41" s="185"/>
      <c r="BR41" s="183"/>
      <c r="BS41" s="184"/>
      <c r="BT41" s="184"/>
      <c r="BU41" s="185"/>
      <c r="BV41" s="183"/>
      <c r="BW41" s="184"/>
      <c r="BX41" s="184"/>
      <c r="BY41" s="185"/>
      <c r="BZ41" s="183"/>
      <c r="CA41" s="184"/>
      <c r="CB41" s="184"/>
      <c r="CC41" s="185"/>
      <c r="CD41" s="186"/>
      <c r="CE41" s="184"/>
      <c r="CF41" s="184"/>
      <c r="CG41" s="184"/>
      <c r="CH41" s="184"/>
      <c r="CI41" s="184"/>
      <c r="CJ41" s="184"/>
      <c r="CK41" s="184"/>
      <c r="CL41" s="184"/>
      <c r="CM41" s="185"/>
      <c r="CN41" s="186"/>
      <c r="CO41" s="184"/>
      <c r="CP41" s="184"/>
      <c r="CQ41" s="184"/>
      <c r="CR41" s="184"/>
      <c r="CS41" s="184"/>
      <c r="CT41" s="184"/>
      <c r="CU41" s="184"/>
      <c r="CV41" s="184"/>
      <c r="CW41" s="187"/>
    </row>
    <row r="42" spans="1:101">
      <c r="A42" s="191"/>
      <c r="B42" s="192"/>
      <c r="C42" s="192"/>
      <c r="D42" s="192"/>
      <c r="E42" s="193"/>
      <c r="F42" s="194"/>
      <c r="G42" s="195"/>
      <c r="H42" s="195"/>
      <c r="I42" s="196"/>
      <c r="J42" s="194"/>
      <c r="K42" s="195"/>
      <c r="L42" s="195"/>
      <c r="M42" s="196"/>
      <c r="N42" s="197" t="s">
        <v>612</v>
      </c>
      <c r="O42" s="198"/>
      <c r="P42" s="198"/>
      <c r="Q42" s="198"/>
      <c r="R42" s="198"/>
      <c r="S42" s="198"/>
      <c r="T42" s="198"/>
      <c r="U42" s="198"/>
      <c r="V42" s="198"/>
      <c r="W42" s="198"/>
      <c r="X42" s="198"/>
      <c r="Y42" s="198"/>
      <c r="Z42" s="198"/>
      <c r="AA42" s="199"/>
      <c r="AB42" s="197" t="s">
        <v>613</v>
      </c>
      <c r="AC42" s="198"/>
      <c r="AD42" s="198"/>
      <c r="AE42" s="198"/>
      <c r="AF42" s="198"/>
      <c r="AG42" s="198"/>
      <c r="AH42" s="198"/>
      <c r="AI42" s="198"/>
      <c r="AJ42" s="198"/>
      <c r="AK42" s="198"/>
      <c r="AL42" s="198"/>
      <c r="AM42" s="198"/>
      <c r="AN42" s="198"/>
      <c r="AO42" s="199"/>
      <c r="AP42" s="167"/>
      <c r="AQ42" s="168"/>
      <c r="AR42" s="168"/>
      <c r="AS42" s="168"/>
      <c r="AT42" s="168"/>
      <c r="AU42" s="168"/>
      <c r="AV42" s="168"/>
      <c r="AW42" s="168"/>
      <c r="AX42" s="168"/>
      <c r="AY42" s="168"/>
      <c r="AZ42" s="169"/>
      <c r="BA42" s="211">
        <v>37</v>
      </c>
      <c r="BB42" s="184"/>
      <c r="BC42" s="184"/>
      <c r="BD42" s="185"/>
      <c r="BE42" s="211"/>
      <c r="BF42" s="184"/>
      <c r="BG42" s="184"/>
      <c r="BH42" s="184"/>
      <c r="BI42" s="185"/>
      <c r="BJ42" s="197"/>
      <c r="BK42" s="184"/>
      <c r="BL42" s="184"/>
      <c r="BM42" s="185"/>
      <c r="BN42" s="197" t="s">
        <v>556</v>
      </c>
      <c r="BO42" s="184"/>
      <c r="BP42" s="184"/>
      <c r="BQ42" s="185"/>
      <c r="BR42" s="183"/>
      <c r="BS42" s="184"/>
      <c r="BT42" s="184"/>
      <c r="BU42" s="185"/>
      <c r="BV42" s="183"/>
      <c r="BW42" s="184"/>
      <c r="BX42" s="184"/>
      <c r="BY42" s="185"/>
      <c r="BZ42" s="183"/>
      <c r="CA42" s="184"/>
      <c r="CB42" s="184"/>
      <c r="CC42" s="185"/>
      <c r="CD42" s="186"/>
      <c r="CE42" s="184"/>
      <c r="CF42" s="184"/>
      <c r="CG42" s="184"/>
      <c r="CH42" s="184"/>
      <c r="CI42" s="184"/>
      <c r="CJ42" s="184"/>
      <c r="CK42" s="184"/>
      <c r="CL42" s="184"/>
      <c r="CM42" s="185"/>
      <c r="CN42" s="186"/>
      <c r="CO42" s="184"/>
      <c r="CP42" s="184"/>
      <c r="CQ42" s="184"/>
      <c r="CR42" s="184"/>
      <c r="CS42" s="184"/>
      <c r="CT42" s="184"/>
      <c r="CU42" s="184"/>
      <c r="CV42" s="184"/>
      <c r="CW42" s="187"/>
    </row>
    <row r="43" spans="1:101">
      <c r="A43" s="191"/>
      <c r="B43" s="192"/>
      <c r="C43" s="192"/>
      <c r="D43" s="192"/>
      <c r="E43" s="193"/>
      <c r="F43" s="194"/>
      <c r="G43" s="195"/>
      <c r="H43" s="195"/>
      <c r="I43" s="196"/>
      <c r="J43" s="194"/>
      <c r="K43" s="195"/>
      <c r="L43" s="195"/>
      <c r="M43" s="196"/>
      <c r="N43" s="188" t="s">
        <v>614</v>
      </c>
      <c r="O43" s="189"/>
      <c r="P43" s="189"/>
      <c r="Q43" s="189"/>
      <c r="R43" s="189"/>
      <c r="S43" s="189"/>
      <c r="T43" s="189"/>
      <c r="U43" s="189"/>
      <c r="V43" s="189"/>
      <c r="W43" s="189"/>
      <c r="X43" s="189"/>
      <c r="Y43" s="189"/>
      <c r="Z43" s="189"/>
      <c r="AA43" s="190"/>
      <c r="AB43" s="197" t="s">
        <v>615</v>
      </c>
      <c r="AC43" s="198"/>
      <c r="AD43" s="198"/>
      <c r="AE43" s="198"/>
      <c r="AF43" s="198"/>
      <c r="AG43" s="198"/>
      <c r="AH43" s="198"/>
      <c r="AI43" s="198"/>
      <c r="AJ43" s="198"/>
      <c r="AK43" s="198"/>
      <c r="AL43" s="198"/>
      <c r="AM43" s="198"/>
      <c r="AN43" s="198"/>
      <c r="AO43" s="199"/>
      <c r="AP43" s="167"/>
      <c r="AQ43" s="168"/>
      <c r="AR43" s="168"/>
      <c r="AS43" s="168"/>
      <c r="AT43" s="168"/>
      <c r="AU43" s="168"/>
      <c r="AV43" s="168"/>
      <c r="AW43" s="168"/>
      <c r="AX43" s="168"/>
      <c r="AY43" s="168"/>
      <c r="AZ43" s="169"/>
      <c r="BA43" s="176">
        <v>12</v>
      </c>
      <c r="BB43" s="177"/>
      <c r="BC43" s="177"/>
      <c r="BD43" s="178"/>
      <c r="BE43" s="176"/>
      <c r="BF43" s="177"/>
      <c r="BG43" s="177"/>
      <c r="BH43" s="177"/>
      <c r="BI43" s="178"/>
      <c r="BJ43" s="188"/>
      <c r="BK43" s="189"/>
      <c r="BL43" s="189"/>
      <c r="BM43" s="190"/>
      <c r="BN43" s="188" t="s">
        <v>553</v>
      </c>
      <c r="BO43" s="189"/>
      <c r="BP43" s="189"/>
      <c r="BQ43" s="190"/>
      <c r="BR43" s="183"/>
      <c r="BS43" s="184"/>
      <c r="BT43" s="184"/>
      <c r="BU43" s="185"/>
      <c r="BV43" s="183"/>
      <c r="BW43" s="184"/>
      <c r="BX43" s="184"/>
      <c r="BY43" s="185"/>
      <c r="BZ43" s="183"/>
      <c r="CA43" s="184"/>
      <c r="CB43" s="184"/>
      <c r="CC43" s="185"/>
      <c r="CD43" s="186"/>
      <c r="CE43" s="184"/>
      <c r="CF43" s="184"/>
      <c r="CG43" s="184"/>
      <c r="CH43" s="184"/>
      <c r="CI43" s="184"/>
      <c r="CJ43" s="184"/>
      <c r="CK43" s="184"/>
      <c r="CL43" s="184"/>
      <c r="CM43" s="185"/>
      <c r="CN43" s="186"/>
      <c r="CO43" s="184"/>
      <c r="CP43" s="184"/>
      <c r="CQ43" s="184"/>
      <c r="CR43" s="184"/>
      <c r="CS43" s="184"/>
      <c r="CT43" s="184"/>
      <c r="CU43" s="184"/>
      <c r="CV43" s="184"/>
      <c r="CW43" s="187"/>
    </row>
    <row r="44" spans="1:101">
      <c r="A44" s="200"/>
      <c r="B44" s="201"/>
      <c r="C44" s="201"/>
      <c r="D44" s="201"/>
      <c r="E44" s="202"/>
      <c r="F44" s="203"/>
      <c r="G44" s="204"/>
      <c r="H44" s="204"/>
      <c r="I44" s="205"/>
      <c r="J44" s="203"/>
      <c r="K44" s="204"/>
      <c r="L44" s="204"/>
      <c r="M44" s="205"/>
      <c r="N44" s="181"/>
      <c r="O44" s="206"/>
      <c r="P44" s="206"/>
      <c r="Q44" s="206"/>
      <c r="R44" s="206"/>
      <c r="S44" s="206"/>
      <c r="T44" s="206"/>
      <c r="U44" s="206"/>
      <c r="V44" s="206"/>
      <c r="W44" s="206"/>
      <c r="X44" s="206"/>
      <c r="Y44" s="206"/>
      <c r="Z44" s="206"/>
      <c r="AA44" s="207"/>
      <c r="AB44" s="208"/>
      <c r="AC44" s="209"/>
      <c r="AD44" s="209"/>
      <c r="AE44" s="209"/>
      <c r="AF44" s="209"/>
      <c r="AG44" s="209"/>
      <c r="AH44" s="209"/>
      <c r="AI44" s="209"/>
      <c r="AJ44" s="209"/>
      <c r="AK44" s="209"/>
      <c r="AL44" s="209"/>
      <c r="AM44" s="209"/>
      <c r="AN44" s="209"/>
      <c r="AO44" s="210"/>
      <c r="AP44" s="170"/>
      <c r="AQ44" s="171"/>
      <c r="AR44" s="171"/>
      <c r="AS44" s="171"/>
      <c r="AT44" s="171"/>
      <c r="AU44" s="171"/>
      <c r="AV44" s="171"/>
      <c r="AW44" s="171"/>
      <c r="AX44" s="171"/>
      <c r="AY44" s="171"/>
      <c r="AZ44" s="172"/>
      <c r="BA44" s="173"/>
      <c r="BB44" s="174"/>
      <c r="BC44" s="174"/>
      <c r="BD44" s="175"/>
      <c r="BE44" s="173"/>
      <c r="BF44" s="174"/>
      <c r="BG44" s="174"/>
      <c r="BH44" s="174"/>
      <c r="BI44" s="175"/>
      <c r="BJ44" s="181"/>
      <c r="BK44" s="174"/>
      <c r="BL44" s="174"/>
      <c r="BM44" s="175"/>
      <c r="BN44" s="181"/>
      <c r="BO44" s="174"/>
      <c r="BP44" s="174"/>
      <c r="BQ44" s="175"/>
      <c r="BR44" s="182"/>
      <c r="BS44" s="174"/>
      <c r="BT44" s="174"/>
      <c r="BU44" s="175"/>
      <c r="BV44" s="182"/>
      <c r="BW44" s="174"/>
      <c r="BX44" s="174"/>
      <c r="BY44" s="175"/>
      <c r="BZ44" s="182"/>
      <c r="CA44" s="174"/>
      <c r="CB44" s="174"/>
      <c r="CC44" s="175"/>
      <c r="CD44" s="179"/>
      <c r="CE44" s="174"/>
      <c r="CF44" s="174"/>
      <c r="CG44" s="174"/>
      <c r="CH44" s="174"/>
      <c r="CI44" s="174"/>
      <c r="CJ44" s="174"/>
      <c r="CK44" s="174"/>
      <c r="CL44" s="174"/>
      <c r="CM44" s="175"/>
      <c r="CN44" s="179"/>
      <c r="CO44" s="174"/>
      <c r="CP44" s="174"/>
      <c r="CQ44" s="174"/>
      <c r="CR44" s="174"/>
      <c r="CS44" s="174"/>
      <c r="CT44" s="174"/>
      <c r="CU44" s="174"/>
      <c r="CV44" s="174"/>
      <c r="CW44" s="180"/>
    </row>
  </sheetData>
  <mergeCells count="532">
    <mergeCell ref="A3:H3"/>
    <mergeCell ref="I3:K3"/>
    <mergeCell ref="L3:U3"/>
    <mergeCell ref="V3:AC3"/>
    <mergeCell ref="AD3:AF3"/>
    <mergeCell ref="AG3:AX3"/>
    <mergeCell ref="A4:H4"/>
    <mergeCell ref="I4:U4"/>
    <mergeCell ref="V4:AX4"/>
    <mergeCell ref="A6:M6"/>
    <mergeCell ref="N6:AA6"/>
    <mergeCell ref="A7:E7"/>
    <mergeCell ref="F7:M7"/>
    <mergeCell ref="N7:AO7"/>
    <mergeCell ref="AP7:AZ7"/>
    <mergeCell ref="BA7:CC7"/>
    <mergeCell ref="CD7:CW7"/>
    <mergeCell ref="A8:E8"/>
    <mergeCell ref="F8:I8"/>
    <mergeCell ref="J8:M8"/>
    <mergeCell ref="N8:AA8"/>
    <mergeCell ref="AB8:AO8"/>
    <mergeCell ref="AP8:AZ8"/>
    <mergeCell ref="BA8:BD8"/>
    <mergeCell ref="BE8:BI8"/>
    <mergeCell ref="CN8:CW8"/>
    <mergeCell ref="BJ8:BM8"/>
    <mergeCell ref="BN8:BQ8"/>
    <mergeCell ref="BR8:BU8"/>
    <mergeCell ref="BV8:BY8"/>
    <mergeCell ref="BZ8:CC8"/>
    <mergeCell ref="CD8:CM8"/>
    <mergeCell ref="CD9:CM9"/>
    <mergeCell ref="CN9:CW9"/>
    <mergeCell ref="A10:E10"/>
    <mergeCell ref="F10:I10"/>
    <mergeCell ref="J10:M10"/>
    <mergeCell ref="N10:AA10"/>
    <mergeCell ref="AB10:AO10"/>
    <mergeCell ref="BZ10:CC10"/>
    <mergeCell ref="CD10:CM10"/>
    <mergeCell ref="CN10:CW10"/>
    <mergeCell ref="BJ10:BM10"/>
    <mergeCell ref="BN10:BQ10"/>
    <mergeCell ref="BR10:BU10"/>
    <mergeCell ref="BV10:BY10"/>
    <mergeCell ref="A9:E9"/>
    <mergeCell ref="F9:I9"/>
    <mergeCell ref="J9:M9"/>
    <mergeCell ref="N9:AA9"/>
    <mergeCell ref="AB9:AO9"/>
    <mergeCell ref="BA9:BD9"/>
    <mergeCell ref="BE9:BI9"/>
    <mergeCell ref="BJ9:BM9"/>
    <mergeCell ref="BN9:BQ9"/>
    <mergeCell ref="N11:AA11"/>
    <mergeCell ref="AB11:AO11"/>
    <mergeCell ref="BA11:BD11"/>
    <mergeCell ref="BE11:BI11"/>
    <mergeCell ref="BA10:BD10"/>
    <mergeCell ref="BE10:BI10"/>
    <mergeCell ref="BR9:BU9"/>
    <mergeCell ref="BV9:BY9"/>
    <mergeCell ref="BZ9:CC9"/>
    <mergeCell ref="CN11:CW11"/>
    <mergeCell ref="A12:E12"/>
    <mergeCell ref="F12:I12"/>
    <mergeCell ref="J12:M12"/>
    <mergeCell ref="N12:AA12"/>
    <mergeCell ref="AB12:AO12"/>
    <mergeCell ref="BA12:BD12"/>
    <mergeCell ref="BE12:BI12"/>
    <mergeCell ref="BJ12:BM12"/>
    <mergeCell ref="BN12:BQ12"/>
    <mergeCell ref="BJ11:BM11"/>
    <mergeCell ref="BN11:BQ11"/>
    <mergeCell ref="BR11:BU11"/>
    <mergeCell ref="BV11:BY11"/>
    <mergeCell ref="BZ11:CC11"/>
    <mergeCell ref="CD11:CM11"/>
    <mergeCell ref="BR12:BU12"/>
    <mergeCell ref="BV12:BY12"/>
    <mergeCell ref="BZ12:CC12"/>
    <mergeCell ref="CD12:CM12"/>
    <mergeCell ref="CN12:CW12"/>
    <mergeCell ref="A11:E11"/>
    <mergeCell ref="F11:I11"/>
    <mergeCell ref="J11:M11"/>
    <mergeCell ref="A13:E13"/>
    <mergeCell ref="F13:I13"/>
    <mergeCell ref="J13:M13"/>
    <mergeCell ref="N13:AA13"/>
    <mergeCell ref="AB13:AO13"/>
    <mergeCell ref="BZ13:CC13"/>
    <mergeCell ref="CD13:CM13"/>
    <mergeCell ref="CN13:CW13"/>
    <mergeCell ref="A14:E14"/>
    <mergeCell ref="F14:I14"/>
    <mergeCell ref="J14:M14"/>
    <mergeCell ref="N14:AA14"/>
    <mergeCell ref="AB14:AO14"/>
    <mergeCell ref="BA14:BD14"/>
    <mergeCell ref="BE14:BI14"/>
    <mergeCell ref="BA13:BD13"/>
    <mergeCell ref="BE13:BI13"/>
    <mergeCell ref="BJ13:BM13"/>
    <mergeCell ref="BN13:BQ13"/>
    <mergeCell ref="BR13:BU13"/>
    <mergeCell ref="BV13:BY13"/>
    <mergeCell ref="CN14:CW14"/>
    <mergeCell ref="BJ14:BM14"/>
    <mergeCell ref="BN14:BQ14"/>
    <mergeCell ref="A15:E15"/>
    <mergeCell ref="F15:I15"/>
    <mergeCell ref="J15:M15"/>
    <mergeCell ref="N15:AA15"/>
    <mergeCell ref="AB15:AO15"/>
    <mergeCell ref="BA15:BD15"/>
    <mergeCell ref="BE15:BI15"/>
    <mergeCell ref="BJ15:BM15"/>
    <mergeCell ref="BN15:BQ15"/>
    <mergeCell ref="BR14:BU14"/>
    <mergeCell ref="BV14:BY14"/>
    <mergeCell ref="BZ14:CC14"/>
    <mergeCell ref="CD14:CM14"/>
    <mergeCell ref="BR15:BU15"/>
    <mergeCell ref="BV15:BY15"/>
    <mergeCell ref="BZ15:CC15"/>
    <mergeCell ref="CD15:CM15"/>
    <mergeCell ref="CN15:CW15"/>
    <mergeCell ref="A16:E16"/>
    <mergeCell ref="F16:I16"/>
    <mergeCell ref="J16:M16"/>
    <mergeCell ref="N16:AA16"/>
    <mergeCell ref="AB16:AO16"/>
    <mergeCell ref="BZ16:CC16"/>
    <mergeCell ref="CD16:CM16"/>
    <mergeCell ref="CN16:CW16"/>
    <mergeCell ref="A17:E17"/>
    <mergeCell ref="F17:I17"/>
    <mergeCell ref="J17:M17"/>
    <mergeCell ref="N17:AA17"/>
    <mergeCell ref="AB17:AO17"/>
    <mergeCell ref="BA17:BD17"/>
    <mergeCell ref="BE17:BI17"/>
    <mergeCell ref="BA16:BD16"/>
    <mergeCell ref="BE16:BI16"/>
    <mergeCell ref="BJ16:BM16"/>
    <mergeCell ref="BN16:BQ16"/>
    <mergeCell ref="BR16:BU16"/>
    <mergeCell ref="BV16:BY16"/>
    <mergeCell ref="CN17:CW17"/>
    <mergeCell ref="BJ17:BM17"/>
    <mergeCell ref="BN17:BQ17"/>
    <mergeCell ref="A18:E18"/>
    <mergeCell ref="F18:I18"/>
    <mergeCell ref="J18:M18"/>
    <mergeCell ref="N18:AA18"/>
    <mergeCell ref="AB18:AO18"/>
    <mergeCell ref="BA18:BD18"/>
    <mergeCell ref="BE18:BI18"/>
    <mergeCell ref="BJ18:BM18"/>
    <mergeCell ref="BN18:BQ18"/>
    <mergeCell ref="BR17:BU17"/>
    <mergeCell ref="BV17:BY17"/>
    <mergeCell ref="BZ17:CC17"/>
    <mergeCell ref="CD17:CM17"/>
    <mergeCell ref="BR18:BU18"/>
    <mergeCell ref="BV18:BY18"/>
    <mergeCell ref="BZ18:CC18"/>
    <mergeCell ref="CD18:CM18"/>
    <mergeCell ref="CN18:CW18"/>
    <mergeCell ref="A19:E19"/>
    <mergeCell ref="F19:I19"/>
    <mergeCell ref="J19:M19"/>
    <mergeCell ref="N19:AA19"/>
    <mergeCell ref="AB19:AO19"/>
    <mergeCell ref="A20:E20"/>
    <mergeCell ref="F20:I20"/>
    <mergeCell ref="J20:M20"/>
    <mergeCell ref="AB20:AO20"/>
    <mergeCell ref="BA20:BD20"/>
    <mergeCell ref="BE20:BI20"/>
    <mergeCell ref="BJ20:BM20"/>
    <mergeCell ref="BA19:BD19"/>
    <mergeCell ref="BE19:BI19"/>
    <mergeCell ref="BJ19:BM19"/>
    <mergeCell ref="BN20:BQ20"/>
    <mergeCell ref="BR20:BU20"/>
    <mergeCell ref="BV20:BY20"/>
    <mergeCell ref="BZ20:CC20"/>
    <mergeCell ref="CD20:CM20"/>
    <mergeCell ref="CN20:CW20"/>
    <mergeCell ref="BZ19:CC19"/>
    <mergeCell ref="CD19:CM19"/>
    <mergeCell ref="CN19:CW19"/>
    <mergeCell ref="BN19:BQ19"/>
    <mergeCell ref="BR19:BU19"/>
    <mergeCell ref="BV19:BY19"/>
    <mergeCell ref="CN21:CW21"/>
    <mergeCell ref="A22:E22"/>
    <mergeCell ref="F22:I22"/>
    <mergeCell ref="J22:M22"/>
    <mergeCell ref="AB22:AO22"/>
    <mergeCell ref="BA22:BD22"/>
    <mergeCell ref="BE22:BI22"/>
    <mergeCell ref="BJ22:BM22"/>
    <mergeCell ref="BN22:BQ22"/>
    <mergeCell ref="BR22:BU22"/>
    <mergeCell ref="BJ21:BM21"/>
    <mergeCell ref="BN21:BQ21"/>
    <mergeCell ref="BR21:BU21"/>
    <mergeCell ref="BV21:BY21"/>
    <mergeCell ref="BZ21:CC21"/>
    <mergeCell ref="CD21:CM21"/>
    <mergeCell ref="A21:E21"/>
    <mergeCell ref="F21:I21"/>
    <mergeCell ref="J21:M21"/>
    <mergeCell ref="AB21:AO21"/>
    <mergeCell ref="BA21:BD21"/>
    <mergeCell ref="BE21:BI21"/>
    <mergeCell ref="BV22:BY22"/>
    <mergeCell ref="BZ22:CC22"/>
    <mergeCell ref="CD22:CM22"/>
    <mergeCell ref="CN22:CW22"/>
    <mergeCell ref="A23:E23"/>
    <mergeCell ref="F23:I23"/>
    <mergeCell ref="J23:M23"/>
    <mergeCell ref="AB23:AO23"/>
    <mergeCell ref="BA23:BD23"/>
    <mergeCell ref="BE23:BI23"/>
    <mergeCell ref="CN23:CW23"/>
    <mergeCell ref="BJ23:BM23"/>
    <mergeCell ref="BN23:BQ23"/>
    <mergeCell ref="BR23:BU23"/>
    <mergeCell ref="BV23:BY23"/>
    <mergeCell ref="BZ23:CC23"/>
    <mergeCell ref="CD23:CM23"/>
    <mergeCell ref="CD24:CM24"/>
    <mergeCell ref="CN24:CW24"/>
    <mergeCell ref="A25:E25"/>
    <mergeCell ref="F25:I25"/>
    <mergeCell ref="J25:M25"/>
    <mergeCell ref="N25:AA25"/>
    <mergeCell ref="AB25:AO25"/>
    <mergeCell ref="BZ25:CC25"/>
    <mergeCell ref="CD25:CM25"/>
    <mergeCell ref="CN25:CW25"/>
    <mergeCell ref="BJ25:BM25"/>
    <mergeCell ref="BN25:BQ25"/>
    <mergeCell ref="BR25:BU25"/>
    <mergeCell ref="BV25:BY25"/>
    <mergeCell ref="A24:E24"/>
    <mergeCell ref="F24:I24"/>
    <mergeCell ref="J24:M24"/>
    <mergeCell ref="N24:AA24"/>
    <mergeCell ref="AB24:AO24"/>
    <mergeCell ref="BA24:BD24"/>
    <mergeCell ref="BE24:BI24"/>
    <mergeCell ref="BJ24:BM24"/>
    <mergeCell ref="BN24:BQ24"/>
    <mergeCell ref="N26:AA26"/>
    <mergeCell ref="AB26:AO26"/>
    <mergeCell ref="BA26:BD26"/>
    <mergeCell ref="BE26:BI26"/>
    <mergeCell ref="BA25:BD25"/>
    <mergeCell ref="BE25:BI25"/>
    <mergeCell ref="BR24:BU24"/>
    <mergeCell ref="BV24:BY24"/>
    <mergeCell ref="BZ24:CC24"/>
    <mergeCell ref="CN26:CW26"/>
    <mergeCell ref="A27:E27"/>
    <mergeCell ref="F27:I27"/>
    <mergeCell ref="J27:M27"/>
    <mergeCell ref="N27:AA27"/>
    <mergeCell ref="AB27:AO27"/>
    <mergeCell ref="BA27:BD27"/>
    <mergeCell ref="BE27:BI27"/>
    <mergeCell ref="BJ27:BM27"/>
    <mergeCell ref="BN27:BQ27"/>
    <mergeCell ref="BJ26:BM26"/>
    <mergeCell ref="BN26:BQ26"/>
    <mergeCell ref="BR26:BU26"/>
    <mergeCell ref="BV26:BY26"/>
    <mergeCell ref="BZ26:CC26"/>
    <mergeCell ref="CD26:CM26"/>
    <mergeCell ref="BR27:BU27"/>
    <mergeCell ref="BV27:BY27"/>
    <mergeCell ref="BZ27:CC27"/>
    <mergeCell ref="CD27:CM27"/>
    <mergeCell ref="CN27:CW27"/>
    <mergeCell ref="A26:E26"/>
    <mergeCell ref="F26:I26"/>
    <mergeCell ref="J26:M26"/>
    <mergeCell ref="A28:E28"/>
    <mergeCell ref="F28:I28"/>
    <mergeCell ref="J28:M28"/>
    <mergeCell ref="N28:AA28"/>
    <mergeCell ref="AB28:AO28"/>
    <mergeCell ref="BZ28:CC28"/>
    <mergeCell ref="CD28:CM28"/>
    <mergeCell ref="CN28:CW28"/>
    <mergeCell ref="A29:E29"/>
    <mergeCell ref="F29:I29"/>
    <mergeCell ref="J29:M29"/>
    <mergeCell ref="N29:AA29"/>
    <mergeCell ref="AB29:AO29"/>
    <mergeCell ref="BA29:BD29"/>
    <mergeCell ref="BE29:BI29"/>
    <mergeCell ref="BA28:BD28"/>
    <mergeCell ref="BE28:BI28"/>
    <mergeCell ref="BJ28:BM28"/>
    <mergeCell ref="BN28:BQ28"/>
    <mergeCell ref="BR28:BU28"/>
    <mergeCell ref="BV28:BY28"/>
    <mergeCell ref="CN29:CW29"/>
    <mergeCell ref="BJ29:BM29"/>
    <mergeCell ref="BN29:BQ29"/>
    <mergeCell ref="A30:E30"/>
    <mergeCell ref="F30:I30"/>
    <mergeCell ref="J30:M30"/>
    <mergeCell ref="N30:AA30"/>
    <mergeCell ref="AB30:AO30"/>
    <mergeCell ref="BA30:BD30"/>
    <mergeCell ref="BE30:BI30"/>
    <mergeCell ref="BJ30:BM30"/>
    <mergeCell ref="BN30:BQ30"/>
    <mergeCell ref="BR29:BU29"/>
    <mergeCell ref="BV29:BY29"/>
    <mergeCell ref="BZ29:CC29"/>
    <mergeCell ref="CD29:CM29"/>
    <mergeCell ref="BR30:BU30"/>
    <mergeCell ref="BV30:BY30"/>
    <mergeCell ref="BZ30:CC30"/>
    <mergeCell ref="CD30:CM30"/>
    <mergeCell ref="CN30:CW30"/>
    <mergeCell ref="A31:E31"/>
    <mergeCell ref="F31:I31"/>
    <mergeCell ref="J31:M31"/>
    <mergeCell ref="N31:AA31"/>
    <mergeCell ref="AB31:AO31"/>
    <mergeCell ref="BZ31:CC31"/>
    <mergeCell ref="CD31:CM31"/>
    <mergeCell ref="CN31:CW31"/>
    <mergeCell ref="A32:E32"/>
    <mergeCell ref="F32:I32"/>
    <mergeCell ref="J32:M32"/>
    <mergeCell ref="N32:AA32"/>
    <mergeCell ref="AB32:AO32"/>
    <mergeCell ref="BA32:BD32"/>
    <mergeCell ref="BE32:BI32"/>
    <mergeCell ref="BA31:BD31"/>
    <mergeCell ref="BE31:BI31"/>
    <mergeCell ref="BJ31:BM31"/>
    <mergeCell ref="BN31:BQ31"/>
    <mergeCell ref="BR31:BU31"/>
    <mergeCell ref="BV31:BY31"/>
    <mergeCell ref="CN32:CW32"/>
    <mergeCell ref="BJ32:BM32"/>
    <mergeCell ref="BN32:BQ32"/>
    <mergeCell ref="A33:E33"/>
    <mergeCell ref="F33:I33"/>
    <mergeCell ref="J33:M33"/>
    <mergeCell ref="N33:AA33"/>
    <mergeCell ref="AB33:AO33"/>
    <mergeCell ref="BA33:BD33"/>
    <mergeCell ref="BE33:BI33"/>
    <mergeCell ref="BJ33:BM33"/>
    <mergeCell ref="BN33:BQ33"/>
    <mergeCell ref="BR32:BU32"/>
    <mergeCell ref="BV32:BY32"/>
    <mergeCell ref="BZ32:CC32"/>
    <mergeCell ref="CD32:CM32"/>
    <mergeCell ref="BR33:BU33"/>
    <mergeCell ref="BV33:BY33"/>
    <mergeCell ref="BZ33:CC33"/>
    <mergeCell ref="CD33:CM33"/>
    <mergeCell ref="CN33:CW33"/>
    <mergeCell ref="A34:E34"/>
    <mergeCell ref="F34:I34"/>
    <mergeCell ref="J34:M34"/>
    <mergeCell ref="N34:AA34"/>
    <mergeCell ref="AB34:AO34"/>
    <mergeCell ref="BZ34:CC34"/>
    <mergeCell ref="CD34:CM34"/>
    <mergeCell ref="CN34:CW34"/>
    <mergeCell ref="A35:E35"/>
    <mergeCell ref="F35:I35"/>
    <mergeCell ref="J35:M35"/>
    <mergeCell ref="N35:AA35"/>
    <mergeCell ref="AB35:AO35"/>
    <mergeCell ref="BA35:BD35"/>
    <mergeCell ref="BE35:BI35"/>
    <mergeCell ref="BA34:BD34"/>
    <mergeCell ref="BE34:BI34"/>
    <mergeCell ref="BJ34:BM34"/>
    <mergeCell ref="BN34:BQ34"/>
    <mergeCell ref="BR34:BU34"/>
    <mergeCell ref="BV34:BY34"/>
    <mergeCell ref="CN35:CW35"/>
    <mergeCell ref="BJ35:BM35"/>
    <mergeCell ref="BN35:BQ35"/>
    <mergeCell ref="A36:E36"/>
    <mergeCell ref="F36:I36"/>
    <mergeCell ref="J36:M36"/>
    <mergeCell ref="N36:AA36"/>
    <mergeCell ref="AB36:AO36"/>
    <mergeCell ref="BA36:BD36"/>
    <mergeCell ref="BE36:BI36"/>
    <mergeCell ref="BJ36:BM36"/>
    <mergeCell ref="BN36:BQ36"/>
    <mergeCell ref="BR35:BU35"/>
    <mergeCell ref="BV35:BY35"/>
    <mergeCell ref="BZ35:CC35"/>
    <mergeCell ref="CD35:CM35"/>
    <mergeCell ref="BR36:BU36"/>
    <mergeCell ref="BV36:BY36"/>
    <mergeCell ref="BZ36:CC36"/>
    <mergeCell ref="CD36:CM36"/>
    <mergeCell ref="CN36:CW36"/>
    <mergeCell ref="A37:E37"/>
    <mergeCell ref="F37:I37"/>
    <mergeCell ref="J37:M37"/>
    <mergeCell ref="N37:AA37"/>
    <mergeCell ref="AB37:AO37"/>
    <mergeCell ref="BZ37:CC37"/>
    <mergeCell ref="CD37:CM37"/>
    <mergeCell ref="CN37:CW37"/>
    <mergeCell ref="A38:E38"/>
    <mergeCell ref="F38:I38"/>
    <mergeCell ref="J38:M38"/>
    <mergeCell ref="N38:AA38"/>
    <mergeCell ref="AB38:AO38"/>
    <mergeCell ref="BA38:BD38"/>
    <mergeCell ref="BE38:BI38"/>
    <mergeCell ref="BA37:BD37"/>
    <mergeCell ref="BE37:BI37"/>
    <mergeCell ref="BJ37:BM37"/>
    <mergeCell ref="BN37:BQ37"/>
    <mergeCell ref="BR37:BU37"/>
    <mergeCell ref="BV37:BY37"/>
    <mergeCell ref="CN38:CW38"/>
    <mergeCell ref="BJ38:BM38"/>
    <mergeCell ref="BN38:BQ38"/>
    <mergeCell ref="A39:E39"/>
    <mergeCell ref="F39:I39"/>
    <mergeCell ref="J39:M39"/>
    <mergeCell ref="N39:AA39"/>
    <mergeCell ref="AB39:AO39"/>
    <mergeCell ref="BA39:BD39"/>
    <mergeCell ref="BE39:BI39"/>
    <mergeCell ref="BJ39:BM39"/>
    <mergeCell ref="BN39:BQ39"/>
    <mergeCell ref="BR38:BU38"/>
    <mergeCell ref="BV38:BY38"/>
    <mergeCell ref="BZ38:CC38"/>
    <mergeCell ref="CD38:CM38"/>
    <mergeCell ref="BR39:BU39"/>
    <mergeCell ref="BV39:BY39"/>
    <mergeCell ref="BZ39:CC39"/>
    <mergeCell ref="CD39:CM39"/>
    <mergeCell ref="CN39:CW39"/>
    <mergeCell ref="A40:E40"/>
    <mergeCell ref="F40:I40"/>
    <mergeCell ref="J40:M40"/>
    <mergeCell ref="N40:AA40"/>
    <mergeCell ref="AB40:AO40"/>
    <mergeCell ref="BZ40:CC40"/>
    <mergeCell ref="CD40:CM40"/>
    <mergeCell ref="CN40:CW40"/>
    <mergeCell ref="A41:E41"/>
    <mergeCell ref="F41:I41"/>
    <mergeCell ref="J41:M41"/>
    <mergeCell ref="N41:AA41"/>
    <mergeCell ref="AB41:AO41"/>
    <mergeCell ref="BA41:BD41"/>
    <mergeCell ref="BE41:BI41"/>
    <mergeCell ref="BA40:BD40"/>
    <mergeCell ref="BE40:BI40"/>
    <mergeCell ref="BJ40:BM40"/>
    <mergeCell ref="BN40:BQ40"/>
    <mergeCell ref="BR40:BU40"/>
    <mergeCell ref="BV40:BY40"/>
    <mergeCell ref="CN41:CW41"/>
    <mergeCell ref="BJ41:BM41"/>
    <mergeCell ref="BN41:BQ41"/>
    <mergeCell ref="A42:E42"/>
    <mergeCell ref="F42:I42"/>
    <mergeCell ref="J42:M42"/>
    <mergeCell ref="N42:AA42"/>
    <mergeCell ref="AB42:AO42"/>
    <mergeCell ref="BA42:BD42"/>
    <mergeCell ref="BE42:BI42"/>
    <mergeCell ref="BJ42:BM42"/>
    <mergeCell ref="BN42:BQ42"/>
    <mergeCell ref="BR41:BU41"/>
    <mergeCell ref="BV41:BY41"/>
    <mergeCell ref="BZ41:CC41"/>
    <mergeCell ref="CD41:CM41"/>
    <mergeCell ref="BR42:BU42"/>
    <mergeCell ref="BV42:BY42"/>
    <mergeCell ref="BZ42:CC42"/>
    <mergeCell ref="CD42:CM42"/>
    <mergeCell ref="CN42:CW42"/>
    <mergeCell ref="A43:E43"/>
    <mergeCell ref="F43:I43"/>
    <mergeCell ref="J43:M43"/>
    <mergeCell ref="N43:AA43"/>
    <mergeCell ref="AB43:AO43"/>
    <mergeCell ref="A44:E44"/>
    <mergeCell ref="F44:I44"/>
    <mergeCell ref="J44:M44"/>
    <mergeCell ref="N44:AA44"/>
    <mergeCell ref="AB44:AO44"/>
    <mergeCell ref="BA44:BD44"/>
    <mergeCell ref="BE44:BI44"/>
    <mergeCell ref="BA43:BD43"/>
    <mergeCell ref="BE43:BI43"/>
    <mergeCell ref="CN44:CW44"/>
    <mergeCell ref="BJ44:BM44"/>
    <mergeCell ref="BN44:BQ44"/>
    <mergeCell ref="BR44:BU44"/>
    <mergeCell ref="BV44:BY44"/>
    <mergeCell ref="BZ44:CC44"/>
    <mergeCell ref="CD44:CM44"/>
    <mergeCell ref="BZ43:CC43"/>
    <mergeCell ref="CD43:CM43"/>
    <mergeCell ref="CN43:CW43"/>
    <mergeCell ref="BJ43:BM43"/>
    <mergeCell ref="BN43:BQ43"/>
    <mergeCell ref="BR43:BU43"/>
    <mergeCell ref="BV43:BY43"/>
  </mergeCells>
  <phoneticPr fontId="8"/>
  <dataValidations count="3">
    <dataValidation type="list" allowBlank="1" showInputMessage="1" showErrorMessage="1" sqref="BO19:BQ42 LK19:LM42 VG19:VI42 AFC19:AFE42 AOY19:APA42 AYU19:AYW42 BIQ19:BIS42 BSM19:BSO42 CCI19:CCK42 CME19:CMG42 CWA19:CWC42 DFW19:DFY42 DPS19:DPU42 DZO19:DZQ42 EJK19:EJM42 ETG19:ETI42 FDC19:FDE42 FMY19:FNA42 FWU19:FWW42 GGQ19:GGS42 GQM19:GQO42 HAI19:HAK42 HKE19:HKG42 HUA19:HUC42 IDW19:IDY42 INS19:INU42 IXO19:IXQ42 JHK19:JHM42 JRG19:JRI42 KBC19:KBE42 KKY19:KLA42 KUU19:KUW42 LEQ19:LES42 LOM19:LOO42 LYI19:LYK42 MIE19:MIG42 MSA19:MSC42 NBW19:NBY42 NLS19:NLU42 NVO19:NVQ42 OFK19:OFM42 OPG19:OPI42 OZC19:OZE42 PIY19:PJA42 PSU19:PSW42 QCQ19:QCS42 QMM19:QMO42 QWI19:QWK42 RGE19:RGG42 RQA19:RQC42 RZW19:RZY42 SJS19:SJU42 STO19:STQ42 TDK19:TDM42 TNG19:TNI42 TXC19:TXE42 UGY19:UHA42 UQU19:UQW42 VAQ19:VAS42 VKM19:VKO42 VUI19:VUK42 WEE19:WEG42 WOA19:WOC42 WXW19:WXY42 BO65555:BQ65578 LK65555:LM65578 VG65555:VI65578 AFC65555:AFE65578 AOY65555:APA65578 AYU65555:AYW65578 BIQ65555:BIS65578 BSM65555:BSO65578 CCI65555:CCK65578 CME65555:CMG65578 CWA65555:CWC65578 DFW65555:DFY65578 DPS65555:DPU65578 DZO65555:DZQ65578 EJK65555:EJM65578 ETG65555:ETI65578 FDC65555:FDE65578 FMY65555:FNA65578 FWU65555:FWW65578 GGQ65555:GGS65578 GQM65555:GQO65578 HAI65555:HAK65578 HKE65555:HKG65578 HUA65555:HUC65578 IDW65555:IDY65578 INS65555:INU65578 IXO65555:IXQ65578 JHK65555:JHM65578 JRG65555:JRI65578 KBC65555:KBE65578 KKY65555:KLA65578 KUU65555:KUW65578 LEQ65555:LES65578 LOM65555:LOO65578 LYI65555:LYK65578 MIE65555:MIG65578 MSA65555:MSC65578 NBW65555:NBY65578 NLS65555:NLU65578 NVO65555:NVQ65578 OFK65555:OFM65578 OPG65555:OPI65578 OZC65555:OZE65578 PIY65555:PJA65578 PSU65555:PSW65578 QCQ65555:QCS65578 QMM65555:QMO65578 QWI65555:QWK65578 RGE65555:RGG65578 RQA65555:RQC65578 RZW65555:RZY65578 SJS65555:SJU65578 STO65555:STQ65578 TDK65555:TDM65578 TNG65555:TNI65578 TXC65555:TXE65578 UGY65555:UHA65578 UQU65555:UQW65578 VAQ65555:VAS65578 VKM65555:VKO65578 VUI65555:VUK65578 WEE65555:WEG65578 WOA65555:WOC65578 WXW65555:WXY65578 BO131091:BQ131114 LK131091:LM131114 VG131091:VI131114 AFC131091:AFE131114 AOY131091:APA131114 AYU131091:AYW131114 BIQ131091:BIS131114 BSM131091:BSO131114 CCI131091:CCK131114 CME131091:CMG131114 CWA131091:CWC131114 DFW131091:DFY131114 DPS131091:DPU131114 DZO131091:DZQ131114 EJK131091:EJM131114 ETG131091:ETI131114 FDC131091:FDE131114 FMY131091:FNA131114 FWU131091:FWW131114 GGQ131091:GGS131114 GQM131091:GQO131114 HAI131091:HAK131114 HKE131091:HKG131114 HUA131091:HUC131114 IDW131091:IDY131114 INS131091:INU131114 IXO131091:IXQ131114 JHK131091:JHM131114 JRG131091:JRI131114 KBC131091:KBE131114 KKY131091:KLA131114 KUU131091:KUW131114 LEQ131091:LES131114 LOM131091:LOO131114 LYI131091:LYK131114 MIE131091:MIG131114 MSA131091:MSC131114 NBW131091:NBY131114 NLS131091:NLU131114 NVO131091:NVQ131114 OFK131091:OFM131114 OPG131091:OPI131114 OZC131091:OZE131114 PIY131091:PJA131114 PSU131091:PSW131114 QCQ131091:QCS131114 QMM131091:QMO131114 QWI131091:QWK131114 RGE131091:RGG131114 RQA131091:RQC131114 RZW131091:RZY131114 SJS131091:SJU131114 STO131091:STQ131114 TDK131091:TDM131114 TNG131091:TNI131114 TXC131091:TXE131114 UGY131091:UHA131114 UQU131091:UQW131114 VAQ131091:VAS131114 VKM131091:VKO131114 VUI131091:VUK131114 WEE131091:WEG131114 WOA131091:WOC131114 WXW131091:WXY131114 BO196627:BQ196650 LK196627:LM196650 VG196627:VI196650 AFC196627:AFE196650 AOY196627:APA196650 AYU196627:AYW196650 BIQ196627:BIS196650 BSM196627:BSO196650 CCI196627:CCK196650 CME196627:CMG196650 CWA196627:CWC196650 DFW196627:DFY196650 DPS196627:DPU196650 DZO196627:DZQ196650 EJK196627:EJM196650 ETG196627:ETI196650 FDC196627:FDE196650 FMY196627:FNA196650 FWU196627:FWW196650 GGQ196627:GGS196650 GQM196627:GQO196650 HAI196627:HAK196650 HKE196627:HKG196650 HUA196627:HUC196650 IDW196627:IDY196650 INS196627:INU196650 IXO196627:IXQ196650 JHK196627:JHM196650 JRG196627:JRI196650 KBC196627:KBE196650 KKY196627:KLA196650 KUU196627:KUW196650 LEQ196627:LES196650 LOM196627:LOO196650 LYI196627:LYK196650 MIE196627:MIG196650 MSA196627:MSC196650 NBW196627:NBY196650 NLS196627:NLU196650 NVO196627:NVQ196650 OFK196627:OFM196650 OPG196627:OPI196650 OZC196627:OZE196650 PIY196627:PJA196650 PSU196627:PSW196650 QCQ196627:QCS196650 QMM196627:QMO196650 QWI196627:QWK196650 RGE196627:RGG196650 RQA196627:RQC196650 RZW196627:RZY196650 SJS196627:SJU196650 STO196627:STQ196650 TDK196627:TDM196650 TNG196627:TNI196650 TXC196627:TXE196650 UGY196627:UHA196650 UQU196627:UQW196650 VAQ196627:VAS196650 VKM196627:VKO196650 VUI196627:VUK196650 WEE196627:WEG196650 WOA196627:WOC196650 WXW196627:WXY196650 BO262163:BQ262186 LK262163:LM262186 VG262163:VI262186 AFC262163:AFE262186 AOY262163:APA262186 AYU262163:AYW262186 BIQ262163:BIS262186 BSM262163:BSO262186 CCI262163:CCK262186 CME262163:CMG262186 CWA262163:CWC262186 DFW262163:DFY262186 DPS262163:DPU262186 DZO262163:DZQ262186 EJK262163:EJM262186 ETG262163:ETI262186 FDC262163:FDE262186 FMY262163:FNA262186 FWU262163:FWW262186 GGQ262163:GGS262186 GQM262163:GQO262186 HAI262163:HAK262186 HKE262163:HKG262186 HUA262163:HUC262186 IDW262163:IDY262186 INS262163:INU262186 IXO262163:IXQ262186 JHK262163:JHM262186 JRG262163:JRI262186 KBC262163:KBE262186 KKY262163:KLA262186 KUU262163:KUW262186 LEQ262163:LES262186 LOM262163:LOO262186 LYI262163:LYK262186 MIE262163:MIG262186 MSA262163:MSC262186 NBW262163:NBY262186 NLS262163:NLU262186 NVO262163:NVQ262186 OFK262163:OFM262186 OPG262163:OPI262186 OZC262163:OZE262186 PIY262163:PJA262186 PSU262163:PSW262186 QCQ262163:QCS262186 QMM262163:QMO262186 QWI262163:QWK262186 RGE262163:RGG262186 RQA262163:RQC262186 RZW262163:RZY262186 SJS262163:SJU262186 STO262163:STQ262186 TDK262163:TDM262186 TNG262163:TNI262186 TXC262163:TXE262186 UGY262163:UHA262186 UQU262163:UQW262186 VAQ262163:VAS262186 VKM262163:VKO262186 VUI262163:VUK262186 WEE262163:WEG262186 WOA262163:WOC262186 WXW262163:WXY262186 BO327699:BQ327722 LK327699:LM327722 VG327699:VI327722 AFC327699:AFE327722 AOY327699:APA327722 AYU327699:AYW327722 BIQ327699:BIS327722 BSM327699:BSO327722 CCI327699:CCK327722 CME327699:CMG327722 CWA327699:CWC327722 DFW327699:DFY327722 DPS327699:DPU327722 DZO327699:DZQ327722 EJK327699:EJM327722 ETG327699:ETI327722 FDC327699:FDE327722 FMY327699:FNA327722 FWU327699:FWW327722 GGQ327699:GGS327722 GQM327699:GQO327722 HAI327699:HAK327722 HKE327699:HKG327722 HUA327699:HUC327722 IDW327699:IDY327722 INS327699:INU327722 IXO327699:IXQ327722 JHK327699:JHM327722 JRG327699:JRI327722 KBC327699:KBE327722 KKY327699:KLA327722 KUU327699:KUW327722 LEQ327699:LES327722 LOM327699:LOO327722 LYI327699:LYK327722 MIE327699:MIG327722 MSA327699:MSC327722 NBW327699:NBY327722 NLS327699:NLU327722 NVO327699:NVQ327722 OFK327699:OFM327722 OPG327699:OPI327722 OZC327699:OZE327722 PIY327699:PJA327722 PSU327699:PSW327722 QCQ327699:QCS327722 QMM327699:QMO327722 QWI327699:QWK327722 RGE327699:RGG327722 RQA327699:RQC327722 RZW327699:RZY327722 SJS327699:SJU327722 STO327699:STQ327722 TDK327699:TDM327722 TNG327699:TNI327722 TXC327699:TXE327722 UGY327699:UHA327722 UQU327699:UQW327722 VAQ327699:VAS327722 VKM327699:VKO327722 VUI327699:VUK327722 WEE327699:WEG327722 WOA327699:WOC327722 WXW327699:WXY327722 BO393235:BQ393258 LK393235:LM393258 VG393235:VI393258 AFC393235:AFE393258 AOY393235:APA393258 AYU393235:AYW393258 BIQ393235:BIS393258 BSM393235:BSO393258 CCI393235:CCK393258 CME393235:CMG393258 CWA393235:CWC393258 DFW393235:DFY393258 DPS393235:DPU393258 DZO393235:DZQ393258 EJK393235:EJM393258 ETG393235:ETI393258 FDC393235:FDE393258 FMY393235:FNA393258 FWU393235:FWW393258 GGQ393235:GGS393258 GQM393235:GQO393258 HAI393235:HAK393258 HKE393235:HKG393258 HUA393235:HUC393258 IDW393235:IDY393258 INS393235:INU393258 IXO393235:IXQ393258 JHK393235:JHM393258 JRG393235:JRI393258 KBC393235:KBE393258 KKY393235:KLA393258 KUU393235:KUW393258 LEQ393235:LES393258 LOM393235:LOO393258 LYI393235:LYK393258 MIE393235:MIG393258 MSA393235:MSC393258 NBW393235:NBY393258 NLS393235:NLU393258 NVO393235:NVQ393258 OFK393235:OFM393258 OPG393235:OPI393258 OZC393235:OZE393258 PIY393235:PJA393258 PSU393235:PSW393258 QCQ393235:QCS393258 QMM393235:QMO393258 QWI393235:QWK393258 RGE393235:RGG393258 RQA393235:RQC393258 RZW393235:RZY393258 SJS393235:SJU393258 STO393235:STQ393258 TDK393235:TDM393258 TNG393235:TNI393258 TXC393235:TXE393258 UGY393235:UHA393258 UQU393235:UQW393258 VAQ393235:VAS393258 VKM393235:VKO393258 VUI393235:VUK393258 WEE393235:WEG393258 WOA393235:WOC393258 WXW393235:WXY393258 BO458771:BQ458794 LK458771:LM458794 VG458771:VI458794 AFC458771:AFE458794 AOY458771:APA458794 AYU458771:AYW458794 BIQ458771:BIS458794 BSM458771:BSO458794 CCI458771:CCK458794 CME458771:CMG458794 CWA458771:CWC458794 DFW458771:DFY458794 DPS458771:DPU458794 DZO458771:DZQ458794 EJK458771:EJM458794 ETG458771:ETI458794 FDC458771:FDE458794 FMY458771:FNA458794 FWU458771:FWW458794 GGQ458771:GGS458794 GQM458771:GQO458794 HAI458771:HAK458794 HKE458771:HKG458794 HUA458771:HUC458794 IDW458771:IDY458794 INS458771:INU458794 IXO458771:IXQ458794 JHK458771:JHM458794 JRG458771:JRI458794 KBC458771:KBE458794 KKY458771:KLA458794 KUU458771:KUW458794 LEQ458771:LES458794 LOM458771:LOO458794 LYI458771:LYK458794 MIE458771:MIG458794 MSA458771:MSC458794 NBW458771:NBY458794 NLS458771:NLU458794 NVO458771:NVQ458794 OFK458771:OFM458794 OPG458771:OPI458794 OZC458771:OZE458794 PIY458771:PJA458794 PSU458771:PSW458794 QCQ458771:QCS458794 QMM458771:QMO458794 QWI458771:QWK458794 RGE458771:RGG458794 RQA458771:RQC458794 RZW458771:RZY458794 SJS458771:SJU458794 STO458771:STQ458794 TDK458771:TDM458794 TNG458771:TNI458794 TXC458771:TXE458794 UGY458771:UHA458794 UQU458771:UQW458794 VAQ458771:VAS458794 VKM458771:VKO458794 VUI458771:VUK458794 WEE458771:WEG458794 WOA458771:WOC458794 WXW458771:WXY458794 BO524307:BQ524330 LK524307:LM524330 VG524307:VI524330 AFC524307:AFE524330 AOY524307:APA524330 AYU524307:AYW524330 BIQ524307:BIS524330 BSM524307:BSO524330 CCI524307:CCK524330 CME524307:CMG524330 CWA524307:CWC524330 DFW524307:DFY524330 DPS524307:DPU524330 DZO524307:DZQ524330 EJK524307:EJM524330 ETG524307:ETI524330 FDC524307:FDE524330 FMY524307:FNA524330 FWU524307:FWW524330 GGQ524307:GGS524330 GQM524307:GQO524330 HAI524307:HAK524330 HKE524307:HKG524330 HUA524307:HUC524330 IDW524307:IDY524330 INS524307:INU524330 IXO524307:IXQ524330 JHK524307:JHM524330 JRG524307:JRI524330 KBC524307:KBE524330 KKY524307:KLA524330 KUU524307:KUW524330 LEQ524307:LES524330 LOM524307:LOO524330 LYI524307:LYK524330 MIE524307:MIG524330 MSA524307:MSC524330 NBW524307:NBY524330 NLS524307:NLU524330 NVO524307:NVQ524330 OFK524307:OFM524330 OPG524307:OPI524330 OZC524307:OZE524330 PIY524307:PJA524330 PSU524307:PSW524330 QCQ524307:QCS524330 QMM524307:QMO524330 QWI524307:QWK524330 RGE524307:RGG524330 RQA524307:RQC524330 RZW524307:RZY524330 SJS524307:SJU524330 STO524307:STQ524330 TDK524307:TDM524330 TNG524307:TNI524330 TXC524307:TXE524330 UGY524307:UHA524330 UQU524307:UQW524330 VAQ524307:VAS524330 VKM524307:VKO524330 VUI524307:VUK524330 WEE524307:WEG524330 WOA524307:WOC524330 WXW524307:WXY524330 BO589843:BQ589866 LK589843:LM589866 VG589843:VI589866 AFC589843:AFE589866 AOY589843:APA589866 AYU589843:AYW589866 BIQ589843:BIS589866 BSM589843:BSO589866 CCI589843:CCK589866 CME589843:CMG589866 CWA589843:CWC589866 DFW589843:DFY589866 DPS589843:DPU589866 DZO589843:DZQ589866 EJK589843:EJM589866 ETG589843:ETI589866 FDC589843:FDE589866 FMY589843:FNA589866 FWU589843:FWW589866 GGQ589843:GGS589866 GQM589843:GQO589866 HAI589843:HAK589866 HKE589843:HKG589866 HUA589843:HUC589866 IDW589843:IDY589866 INS589843:INU589866 IXO589843:IXQ589866 JHK589843:JHM589866 JRG589843:JRI589866 KBC589843:KBE589866 KKY589843:KLA589866 KUU589843:KUW589866 LEQ589843:LES589866 LOM589843:LOO589866 LYI589843:LYK589866 MIE589843:MIG589866 MSA589843:MSC589866 NBW589843:NBY589866 NLS589843:NLU589866 NVO589843:NVQ589866 OFK589843:OFM589866 OPG589843:OPI589866 OZC589843:OZE589866 PIY589843:PJA589866 PSU589843:PSW589866 QCQ589843:QCS589866 QMM589843:QMO589866 QWI589843:QWK589866 RGE589843:RGG589866 RQA589843:RQC589866 RZW589843:RZY589866 SJS589843:SJU589866 STO589843:STQ589866 TDK589843:TDM589866 TNG589843:TNI589866 TXC589843:TXE589866 UGY589843:UHA589866 UQU589843:UQW589866 VAQ589843:VAS589866 VKM589843:VKO589866 VUI589843:VUK589866 WEE589843:WEG589866 WOA589843:WOC589866 WXW589843:WXY589866 BO655379:BQ655402 LK655379:LM655402 VG655379:VI655402 AFC655379:AFE655402 AOY655379:APA655402 AYU655379:AYW655402 BIQ655379:BIS655402 BSM655379:BSO655402 CCI655379:CCK655402 CME655379:CMG655402 CWA655379:CWC655402 DFW655379:DFY655402 DPS655379:DPU655402 DZO655379:DZQ655402 EJK655379:EJM655402 ETG655379:ETI655402 FDC655379:FDE655402 FMY655379:FNA655402 FWU655379:FWW655402 GGQ655379:GGS655402 GQM655379:GQO655402 HAI655379:HAK655402 HKE655379:HKG655402 HUA655379:HUC655402 IDW655379:IDY655402 INS655379:INU655402 IXO655379:IXQ655402 JHK655379:JHM655402 JRG655379:JRI655402 KBC655379:KBE655402 KKY655379:KLA655402 KUU655379:KUW655402 LEQ655379:LES655402 LOM655379:LOO655402 LYI655379:LYK655402 MIE655379:MIG655402 MSA655379:MSC655402 NBW655379:NBY655402 NLS655379:NLU655402 NVO655379:NVQ655402 OFK655379:OFM655402 OPG655379:OPI655402 OZC655379:OZE655402 PIY655379:PJA655402 PSU655379:PSW655402 QCQ655379:QCS655402 QMM655379:QMO655402 QWI655379:QWK655402 RGE655379:RGG655402 RQA655379:RQC655402 RZW655379:RZY655402 SJS655379:SJU655402 STO655379:STQ655402 TDK655379:TDM655402 TNG655379:TNI655402 TXC655379:TXE655402 UGY655379:UHA655402 UQU655379:UQW655402 VAQ655379:VAS655402 VKM655379:VKO655402 VUI655379:VUK655402 WEE655379:WEG655402 WOA655379:WOC655402 WXW655379:WXY655402 BO720915:BQ720938 LK720915:LM720938 VG720915:VI720938 AFC720915:AFE720938 AOY720915:APA720938 AYU720915:AYW720938 BIQ720915:BIS720938 BSM720915:BSO720938 CCI720915:CCK720938 CME720915:CMG720938 CWA720915:CWC720938 DFW720915:DFY720938 DPS720915:DPU720938 DZO720915:DZQ720938 EJK720915:EJM720938 ETG720915:ETI720938 FDC720915:FDE720938 FMY720915:FNA720938 FWU720915:FWW720938 GGQ720915:GGS720938 GQM720915:GQO720938 HAI720915:HAK720938 HKE720915:HKG720938 HUA720915:HUC720938 IDW720915:IDY720938 INS720915:INU720938 IXO720915:IXQ720938 JHK720915:JHM720938 JRG720915:JRI720938 KBC720915:KBE720938 KKY720915:KLA720938 KUU720915:KUW720938 LEQ720915:LES720938 LOM720915:LOO720938 LYI720915:LYK720938 MIE720915:MIG720938 MSA720915:MSC720938 NBW720915:NBY720938 NLS720915:NLU720938 NVO720915:NVQ720938 OFK720915:OFM720938 OPG720915:OPI720938 OZC720915:OZE720938 PIY720915:PJA720938 PSU720915:PSW720938 QCQ720915:QCS720938 QMM720915:QMO720938 QWI720915:QWK720938 RGE720915:RGG720938 RQA720915:RQC720938 RZW720915:RZY720938 SJS720915:SJU720938 STO720915:STQ720938 TDK720915:TDM720938 TNG720915:TNI720938 TXC720915:TXE720938 UGY720915:UHA720938 UQU720915:UQW720938 VAQ720915:VAS720938 VKM720915:VKO720938 VUI720915:VUK720938 WEE720915:WEG720938 WOA720915:WOC720938 WXW720915:WXY720938 BO786451:BQ786474 LK786451:LM786474 VG786451:VI786474 AFC786451:AFE786474 AOY786451:APA786474 AYU786451:AYW786474 BIQ786451:BIS786474 BSM786451:BSO786474 CCI786451:CCK786474 CME786451:CMG786474 CWA786451:CWC786474 DFW786451:DFY786474 DPS786451:DPU786474 DZO786451:DZQ786474 EJK786451:EJM786474 ETG786451:ETI786474 FDC786451:FDE786474 FMY786451:FNA786474 FWU786451:FWW786474 GGQ786451:GGS786474 GQM786451:GQO786474 HAI786451:HAK786474 HKE786451:HKG786474 HUA786451:HUC786474 IDW786451:IDY786474 INS786451:INU786474 IXO786451:IXQ786474 JHK786451:JHM786474 JRG786451:JRI786474 KBC786451:KBE786474 KKY786451:KLA786474 KUU786451:KUW786474 LEQ786451:LES786474 LOM786451:LOO786474 LYI786451:LYK786474 MIE786451:MIG786474 MSA786451:MSC786474 NBW786451:NBY786474 NLS786451:NLU786474 NVO786451:NVQ786474 OFK786451:OFM786474 OPG786451:OPI786474 OZC786451:OZE786474 PIY786451:PJA786474 PSU786451:PSW786474 QCQ786451:QCS786474 QMM786451:QMO786474 QWI786451:QWK786474 RGE786451:RGG786474 RQA786451:RQC786474 RZW786451:RZY786474 SJS786451:SJU786474 STO786451:STQ786474 TDK786451:TDM786474 TNG786451:TNI786474 TXC786451:TXE786474 UGY786451:UHA786474 UQU786451:UQW786474 VAQ786451:VAS786474 VKM786451:VKO786474 VUI786451:VUK786474 WEE786451:WEG786474 WOA786451:WOC786474 WXW786451:WXY786474 BO851987:BQ852010 LK851987:LM852010 VG851987:VI852010 AFC851987:AFE852010 AOY851987:APA852010 AYU851987:AYW852010 BIQ851987:BIS852010 BSM851987:BSO852010 CCI851987:CCK852010 CME851987:CMG852010 CWA851987:CWC852010 DFW851987:DFY852010 DPS851987:DPU852010 DZO851987:DZQ852010 EJK851987:EJM852010 ETG851987:ETI852010 FDC851987:FDE852010 FMY851987:FNA852010 FWU851987:FWW852010 GGQ851987:GGS852010 GQM851987:GQO852010 HAI851987:HAK852010 HKE851987:HKG852010 HUA851987:HUC852010 IDW851987:IDY852010 INS851987:INU852010 IXO851987:IXQ852010 JHK851987:JHM852010 JRG851987:JRI852010 KBC851987:KBE852010 KKY851987:KLA852010 KUU851987:KUW852010 LEQ851987:LES852010 LOM851987:LOO852010 LYI851987:LYK852010 MIE851987:MIG852010 MSA851987:MSC852010 NBW851987:NBY852010 NLS851987:NLU852010 NVO851987:NVQ852010 OFK851987:OFM852010 OPG851987:OPI852010 OZC851987:OZE852010 PIY851987:PJA852010 PSU851987:PSW852010 QCQ851987:QCS852010 QMM851987:QMO852010 QWI851987:QWK852010 RGE851987:RGG852010 RQA851987:RQC852010 RZW851987:RZY852010 SJS851987:SJU852010 STO851987:STQ852010 TDK851987:TDM852010 TNG851987:TNI852010 TXC851987:TXE852010 UGY851987:UHA852010 UQU851987:UQW852010 VAQ851987:VAS852010 VKM851987:VKO852010 VUI851987:VUK852010 WEE851987:WEG852010 WOA851987:WOC852010 WXW851987:WXY852010 BO917523:BQ917546 LK917523:LM917546 VG917523:VI917546 AFC917523:AFE917546 AOY917523:APA917546 AYU917523:AYW917546 BIQ917523:BIS917546 BSM917523:BSO917546 CCI917523:CCK917546 CME917523:CMG917546 CWA917523:CWC917546 DFW917523:DFY917546 DPS917523:DPU917546 DZO917523:DZQ917546 EJK917523:EJM917546 ETG917523:ETI917546 FDC917523:FDE917546 FMY917523:FNA917546 FWU917523:FWW917546 GGQ917523:GGS917546 GQM917523:GQO917546 HAI917523:HAK917546 HKE917523:HKG917546 HUA917523:HUC917546 IDW917523:IDY917546 INS917523:INU917546 IXO917523:IXQ917546 JHK917523:JHM917546 JRG917523:JRI917546 KBC917523:KBE917546 KKY917523:KLA917546 KUU917523:KUW917546 LEQ917523:LES917546 LOM917523:LOO917546 LYI917523:LYK917546 MIE917523:MIG917546 MSA917523:MSC917546 NBW917523:NBY917546 NLS917523:NLU917546 NVO917523:NVQ917546 OFK917523:OFM917546 OPG917523:OPI917546 OZC917523:OZE917546 PIY917523:PJA917546 PSU917523:PSW917546 QCQ917523:QCS917546 QMM917523:QMO917546 QWI917523:QWK917546 RGE917523:RGG917546 RQA917523:RQC917546 RZW917523:RZY917546 SJS917523:SJU917546 STO917523:STQ917546 TDK917523:TDM917546 TNG917523:TNI917546 TXC917523:TXE917546 UGY917523:UHA917546 UQU917523:UQW917546 VAQ917523:VAS917546 VKM917523:VKO917546 VUI917523:VUK917546 WEE917523:WEG917546 WOA917523:WOC917546 WXW917523:WXY917546 BO983059:BQ983082 LK983059:LM983082 VG983059:VI983082 AFC983059:AFE983082 AOY983059:APA983082 AYU983059:AYW983082 BIQ983059:BIS983082 BSM983059:BSO983082 CCI983059:CCK983082 CME983059:CMG983082 CWA983059:CWC983082 DFW983059:DFY983082 DPS983059:DPU983082 DZO983059:DZQ983082 EJK983059:EJM983082 ETG983059:ETI983082 FDC983059:FDE983082 FMY983059:FNA983082 FWU983059:FWW983082 GGQ983059:GGS983082 GQM983059:GQO983082 HAI983059:HAK983082 HKE983059:HKG983082 HUA983059:HUC983082 IDW983059:IDY983082 INS983059:INU983082 IXO983059:IXQ983082 JHK983059:JHM983082 JRG983059:JRI983082 KBC983059:KBE983082 KKY983059:KLA983082 KUU983059:KUW983082 LEQ983059:LES983082 LOM983059:LOO983082 LYI983059:LYK983082 MIE983059:MIG983082 MSA983059:MSC983082 NBW983059:NBY983082 NLS983059:NLU983082 NVO983059:NVQ983082 OFK983059:OFM983082 OPG983059:OPI983082 OZC983059:OZE983082 PIY983059:PJA983082 PSU983059:PSW983082 QCQ983059:QCS983082 QMM983059:QMO983082 QWI983059:QWK983082 RGE983059:RGG983082 RQA983059:RQC983082 RZW983059:RZY983082 SJS983059:SJU983082 STO983059:STQ983082 TDK983059:TDM983082 TNG983059:TNI983082 TXC983059:TXE983082 UGY983059:UHA983082 UQU983059:UQW983082 VAQ983059:VAS983082 VKM983059:VKO983082 VUI983059:VUK983082 WEE983059:WEG983082 WOA983059:WOC983082 WXW983059:WXY983082 BN19:BN43 LJ19:LJ43 VF19:VF43 AFB19:AFB43 AOX19:AOX43 AYT19:AYT43 BIP19:BIP43 BSL19:BSL43 CCH19:CCH43 CMD19:CMD43 CVZ19:CVZ43 DFV19:DFV43 DPR19:DPR43 DZN19:DZN43 EJJ19:EJJ43 ETF19:ETF43 FDB19:FDB43 FMX19:FMX43 FWT19:FWT43 GGP19:GGP43 GQL19:GQL43 HAH19:HAH43 HKD19:HKD43 HTZ19:HTZ43 IDV19:IDV43 INR19:INR43 IXN19:IXN43 JHJ19:JHJ43 JRF19:JRF43 KBB19:KBB43 KKX19:KKX43 KUT19:KUT43 LEP19:LEP43 LOL19:LOL43 LYH19:LYH43 MID19:MID43 MRZ19:MRZ43 NBV19:NBV43 NLR19:NLR43 NVN19:NVN43 OFJ19:OFJ43 OPF19:OPF43 OZB19:OZB43 PIX19:PIX43 PST19:PST43 QCP19:QCP43 QML19:QML43 QWH19:QWH43 RGD19:RGD43 RPZ19:RPZ43 RZV19:RZV43 SJR19:SJR43 STN19:STN43 TDJ19:TDJ43 TNF19:TNF43 TXB19:TXB43 UGX19:UGX43 UQT19:UQT43 VAP19:VAP43 VKL19:VKL43 VUH19:VUH43 WED19:WED43 WNZ19:WNZ43 WXV19:WXV43 BN65555:BN65579 LJ65555:LJ65579 VF65555:VF65579 AFB65555:AFB65579 AOX65555:AOX65579 AYT65555:AYT65579 BIP65555:BIP65579 BSL65555:BSL65579 CCH65555:CCH65579 CMD65555:CMD65579 CVZ65555:CVZ65579 DFV65555:DFV65579 DPR65555:DPR65579 DZN65555:DZN65579 EJJ65555:EJJ65579 ETF65555:ETF65579 FDB65555:FDB65579 FMX65555:FMX65579 FWT65555:FWT65579 GGP65555:GGP65579 GQL65555:GQL65579 HAH65555:HAH65579 HKD65555:HKD65579 HTZ65555:HTZ65579 IDV65555:IDV65579 INR65555:INR65579 IXN65555:IXN65579 JHJ65555:JHJ65579 JRF65555:JRF65579 KBB65555:KBB65579 KKX65555:KKX65579 KUT65555:KUT65579 LEP65555:LEP65579 LOL65555:LOL65579 LYH65555:LYH65579 MID65555:MID65579 MRZ65555:MRZ65579 NBV65555:NBV65579 NLR65555:NLR65579 NVN65555:NVN65579 OFJ65555:OFJ65579 OPF65555:OPF65579 OZB65555:OZB65579 PIX65555:PIX65579 PST65555:PST65579 QCP65555:QCP65579 QML65555:QML65579 QWH65555:QWH65579 RGD65555:RGD65579 RPZ65555:RPZ65579 RZV65555:RZV65579 SJR65555:SJR65579 STN65555:STN65579 TDJ65555:TDJ65579 TNF65555:TNF65579 TXB65555:TXB65579 UGX65555:UGX65579 UQT65555:UQT65579 VAP65555:VAP65579 VKL65555:VKL65579 VUH65555:VUH65579 WED65555:WED65579 WNZ65555:WNZ65579 WXV65555:WXV65579 BN131091:BN131115 LJ131091:LJ131115 VF131091:VF131115 AFB131091:AFB131115 AOX131091:AOX131115 AYT131091:AYT131115 BIP131091:BIP131115 BSL131091:BSL131115 CCH131091:CCH131115 CMD131091:CMD131115 CVZ131091:CVZ131115 DFV131091:DFV131115 DPR131091:DPR131115 DZN131091:DZN131115 EJJ131091:EJJ131115 ETF131091:ETF131115 FDB131091:FDB131115 FMX131091:FMX131115 FWT131091:FWT131115 GGP131091:GGP131115 GQL131091:GQL131115 HAH131091:HAH131115 HKD131091:HKD131115 HTZ131091:HTZ131115 IDV131091:IDV131115 INR131091:INR131115 IXN131091:IXN131115 JHJ131091:JHJ131115 JRF131091:JRF131115 KBB131091:KBB131115 KKX131091:KKX131115 KUT131091:KUT131115 LEP131091:LEP131115 LOL131091:LOL131115 LYH131091:LYH131115 MID131091:MID131115 MRZ131091:MRZ131115 NBV131091:NBV131115 NLR131091:NLR131115 NVN131091:NVN131115 OFJ131091:OFJ131115 OPF131091:OPF131115 OZB131091:OZB131115 PIX131091:PIX131115 PST131091:PST131115 QCP131091:QCP131115 QML131091:QML131115 QWH131091:QWH131115 RGD131091:RGD131115 RPZ131091:RPZ131115 RZV131091:RZV131115 SJR131091:SJR131115 STN131091:STN131115 TDJ131091:TDJ131115 TNF131091:TNF131115 TXB131091:TXB131115 UGX131091:UGX131115 UQT131091:UQT131115 VAP131091:VAP131115 VKL131091:VKL131115 VUH131091:VUH131115 WED131091:WED131115 WNZ131091:WNZ131115 WXV131091:WXV131115 BN196627:BN196651 LJ196627:LJ196651 VF196627:VF196651 AFB196627:AFB196651 AOX196627:AOX196651 AYT196627:AYT196651 BIP196627:BIP196651 BSL196627:BSL196651 CCH196627:CCH196651 CMD196627:CMD196651 CVZ196627:CVZ196651 DFV196627:DFV196651 DPR196627:DPR196651 DZN196627:DZN196651 EJJ196627:EJJ196651 ETF196627:ETF196651 FDB196627:FDB196651 FMX196627:FMX196651 FWT196627:FWT196651 GGP196627:GGP196651 GQL196627:GQL196651 HAH196627:HAH196651 HKD196627:HKD196651 HTZ196627:HTZ196651 IDV196627:IDV196651 INR196627:INR196651 IXN196627:IXN196651 JHJ196627:JHJ196651 JRF196627:JRF196651 KBB196627:KBB196651 KKX196627:KKX196651 KUT196627:KUT196651 LEP196627:LEP196651 LOL196627:LOL196651 LYH196627:LYH196651 MID196627:MID196651 MRZ196627:MRZ196651 NBV196627:NBV196651 NLR196627:NLR196651 NVN196627:NVN196651 OFJ196627:OFJ196651 OPF196627:OPF196651 OZB196627:OZB196651 PIX196627:PIX196651 PST196627:PST196651 QCP196627:QCP196651 QML196627:QML196651 QWH196627:QWH196651 RGD196627:RGD196651 RPZ196627:RPZ196651 RZV196627:RZV196651 SJR196627:SJR196651 STN196627:STN196651 TDJ196627:TDJ196651 TNF196627:TNF196651 TXB196627:TXB196651 UGX196627:UGX196651 UQT196627:UQT196651 VAP196627:VAP196651 VKL196627:VKL196651 VUH196627:VUH196651 WED196627:WED196651 WNZ196627:WNZ196651 WXV196627:WXV196651 BN262163:BN262187 LJ262163:LJ262187 VF262163:VF262187 AFB262163:AFB262187 AOX262163:AOX262187 AYT262163:AYT262187 BIP262163:BIP262187 BSL262163:BSL262187 CCH262163:CCH262187 CMD262163:CMD262187 CVZ262163:CVZ262187 DFV262163:DFV262187 DPR262163:DPR262187 DZN262163:DZN262187 EJJ262163:EJJ262187 ETF262163:ETF262187 FDB262163:FDB262187 FMX262163:FMX262187 FWT262163:FWT262187 GGP262163:GGP262187 GQL262163:GQL262187 HAH262163:HAH262187 HKD262163:HKD262187 HTZ262163:HTZ262187 IDV262163:IDV262187 INR262163:INR262187 IXN262163:IXN262187 JHJ262163:JHJ262187 JRF262163:JRF262187 KBB262163:KBB262187 KKX262163:KKX262187 KUT262163:KUT262187 LEP262163:LEP262187 LOL262163:LOL262187 LYH262163:LYH262187 MID262163:MID262187 MRZ262163:MRZ262187 NBV262163:NBV262187 NLR262163:NLR262187 NVN262163:NVN262187 OFJ262163:OFJ262187 OPF262163:OPF262187 OZB262163:OZB262187 PIX262163:PIX262187 PST262163:PST262187 QCP262163:QCP262187 QML262163:QML262187 QWH262163:QWH262187 RGD262163:RGD262187 RPZ262163:RPZ262187 RZV262163:RZV262187 SJR262163:SJR262187 STN262163:STN262187 TDJ262163:TDJ262187 TNF262163:TNF262187 TXB262163:TXB262187 UGX262163:UGX262187 UQT262163:UQT262187 VAP262163:VAP262187 VKL262163:VKL262187 VUH262163:VUH262187 WED262163:WED262187 WNZ262163:WNZ262187 WXV262163:WXV262187 BN327699:BN327723 LJ327699:LJ327723 VF327699:VF327723 AFB327699:AFB327723 AOX327699:AOX327723 AYT327699:AYT327723 BIP327699:BIP327723 BSL327699:BSL327723 CCH327699:CCH327723 CMD327699:CMD327723 CVZ327699:CVZ327723 DFV327699:DFV327723 DPR327699:DPR327723 DZN327699:DZN327723 EJJ327699:EJJ327723 ETF327699:ETF327723 FDB327699:FDB327723 FMX327699:FMX327723 FWT327699:FWT327723 GGP327699:GGP327723 GQL327699:GQL327723 HAH327699:HAH327723 HKD327699:HKD327723 HTZ327699:HTZ327723 IDV327699:IDV327723 INR327699:INR327723 IXN327699:IXN327723 JHJ327699:JHJ327723 JRF327699:JRF327723 KBB327699:KBB327723 KKX327699:KKX327723 KUT327699:KUT327723 LEP327699:LEP327723 LOL327699:LOL327723 LYH327699:LYH327723 MID327699:MID327723 MRZ327699:MRZ327723 NBV327699:NBV327723 NLR327699:NLR327723 NVN327699:NVN327723 OFJ327699:OFJ327723 OPF327699:OPF327723 OZB327699:OZB327723 PIX327699:PIX327723 PST327699:PST327723 QCP327699:QCP327723 QML327699:QML327723 QWH327699:QWH327723 RGD327699:RGD327723 RPZ327699:RPZ327723 RZV327699:RZV327723 SJR327699:SJR327723 STN327699:STN327723 TDJ327699:TDJ327723 TNF327699:TNF327723 TXB327699:TXB327723 UGX327699:UGX327723 UQT327699:UQT327723 VAP327699:VAP327723 VKL327699:VKL327723 VUH327699:VUH327723 WED327699:WED327723 WNZ327699:WNZ327723 WXV327699:WXV327723 BN393235:BN393259 LJ393235:LJ393259 VF393235:VF393259 AFB393235:AFB393259 AOX393235:AOX393259 AYT393235:AYT393259 BIP393235:BIP393259 BSL393235:BSL393259 CCH393235:CCH393259 CMD393235:CMD393259 CVZ393235:CVZ393259 DFV393235:DFV393259 DPR393235:DPR393259 DZN393235:DZN393259 EJJ393235:EJJ393259 ETF393235:ETF393259 FDB393235:FDB393259 FMX393235:FMX393259 FWT393235:FWT393259 GGP393235:GGP393259 GQL393235:GQL393259 HAH393235:HAH393259 HKD393235:HKD393259 HTZ393235:HTZ393259 IDV393235:IDV393259 INR393235:INR393259 IXN393235:IXN393259 JHJ393235:JHJ393259 JRF393235:JRF393259 KBB393235:KBB393259 KKX393235:KKX393259 KUT393235:KUT393259 LEP393235:LEP393259 LOL393235:LOL393259 LYH393235:LYH393259 MID393235:MID393259 MRZ393235:MRZ393259 NBV393235:NBV393259 NLR393235:NLR393259 NVN393235:NVN393259 OFJ393235:OFJ393259 OPF393235:OPF393259 OZB393235:OZB393259 PIX393235:PIX393259 PST393235:PST393259 QCP393235:QCP393259 QML393235:QML393259 QWH393235:QWH393259 RGD393235:RGD393259 RPZ393235:RPZ393259 RZV393235:RZV393259 SJR393235:SJR393259 STN393235:STN393259 TDJ393235:TDJ393259 TNF393235:TNF393259 TXB393235:TXB393259 UGX393235:UGX393259 UQT393235:UQT393259 VAP393235:VAP393259 VKL393235:VKL393259 VUH393235:VUH393259 WED393235:WED393259 WNZ393235:WNZ393259 WXV393235:WXV393259 BN458771:BN458795 LJ458771:LJ458795 VF458771:VF458795 AFB458771:AFB458795 AOX458771:AOX458795 AYT458771:AYT458795 BIP458771:BIP458795 BSL458771:BSL458795 CCH458771:CCH458795 CMD458771:CMD458795 CVZ458771:CVZ458795 DFV458771:DFV458795 DPR458771:DPR458795 DZN458771:DZN458795 EJJ458771:EJJ458795 ETF458771:ETF458795 FDB458771:FDB458795 FMX458771:FMX458795 FWT458771:FWT458795 GGP458771:GGP458795 GQL458771:GQL458795 HAH458771:HAH458795 HKD458771:HKD458795 HTZ458771:HTZ458795 IDV458771:IDV458795 INR458771:INR458795 IXN458771:IXN458795 JHJ458771:JHJ458795 JRF458771:JRF458795 KBB458771:KBB458795 KKX458771:KKX458795 KUT458771:KUT458795 LEP458771:LEP458795 LOL458771:LOL458795 LYH458771:LYH458795 MID458771:MID458795 MRZ458771:MRZ458795 NBV458771:NBV458795 NLR458771:NLR458795 NVN458771:NVN458795 OFJ458771:OFJ458795 OPF458771:OPF458795 OZB458771:OZB458795 PIX458771:PIX458795 PST458771:PST458795 QCP458771:QCP458795 QML458771:QML458795 QWH458771:QWH458795 RGD458771:RGD458795 RPZ458771:RPZ458795 RZV458771:RZV458795 SJR458771:SJR458795 STN458771:STN458795 TDJ458771:TDJ458795 TNF458771:TNF458795 TXB458771:TXB458795 UGX458771:UGX458795 UQT458771:UQT458795 VAP458771:VAP458795 VKL458771:VKL458795 VUH458771:VUH458795 WED458771:WED458795 WNZ458771:WNZ458795 WXV458771:WXV458795 BN524307:BN524331 LJ524307:LJ524331 VF524307:VF524331 AFB524307:AFB524331 AOX524307:AOX524331 AYT524307:AYT524331 BIP524307:BIP524331 BSL524307:BSL524331 CCH524307:CCH524331 CMD524307:CMD524331 CVZ524307:CVZ524331 DFV524307:DFV524331 DPR524307:DPR524331 DZN524307:DZN524331 EJJ524307:EJJ524331 ETF524307:ETF524331 FDB524307:FDB524331 FMX524307:FMX524331 FWT524307:FWT524331 GGP524307:GGP524331 GQL524307:GQL524331 HAH524307:HAH524331 HKD524307:HKD524331 HTZ524307:HTZ524331 IDV524307:IDV524331 INR524307:INR524331 IXN524307:IXN524331 JHJ524307:JHJ524331 JRF524307:JRF524331 KBB524307:KBB524331 KKX524307:KKX524331 KUT524307:KUT524331 LEP524307:LEP524331 LOL524307:LOL524331 LYH524307:LYH524331 MID524307:MID524331 MRZ524307:MRZ524331 NBV524307:NBV524331 NLR524307:NLR524331 NVN524307:NVN524331 OFJ524307:OFJ524331 OPF524307:OPF524331 OZB524307:OZB524331 PIX524307:PIX524331 PST524307:PST524331 QCP524307:QCP524331 QML524307:QML524331 QWH524307:QWH524331 RGD524307:RGD524331 RPZ524307:RPZ524331 RZV524307:RZV524331 SJR524307:SJR524331 STN524307:STN524331 TDJ524307:TDJ524331 TNF524307:TNF524331 TXB524307:TXB524331 UGX524307:UGX524331 UQT524307:UQT524331 VAP524307:VAP524331 VKL524307:VKL524331 VUH524307:VUH524331 WED524307:WED524331 WNZ524307:WNZ524331 WXV524307:WXV524331 BN589843:BN589867 LJ589843:LJ589867 VF589843:VF589867 AFB589843:AFB589867 AOX589843:AOX589867 AYT589843:AYT589867 BIP589843:BIP589867 BSL589843:BSL589867 CCH589843:CCH589867 CMD589843:CMD589867 CVZ589843:CVZ589867 DFV589843:DFV589867 DPR589843:DPR589867 DZN589843:DZN589867 EJJ589843:EJJ589867 ETF589843:ETF589867 FDB589843:FDB589867 FMX589843:FMX589867 FWT589843:FWT589867 GGP589843:GGP589867 GQL589843:GQL589867 HAH589843:HAH589867 HKD589843:HKD589867 HTZ589843:HTZ589867 IDV589843:IDV589867 INR589843:INR589867 IXN589843:IXN589867 JHJ589843:JHJ589867 JRF589843:JRF589867 KBB589843:KBB589867 KKX589843:KKX589867 KUT589843:KUT589867 LEP589843:LEP589867 LOL589843:LOL589867 LYH589843:LYH589867 MID589843:MID589867 MRZ589843:MRZ589867 NBV589843:NBV589867 NLR589843:NLR589867 NVN589843:NVN589867 OFJ589843:OFJ589867 OPF589843:OPF589867 OZB589843:OZB589867 PIX589843:PIX589867 PST589843:PST589867 QCP589843:QCP589867 QML589843:QML589867 QWH589843:QWH589867 RGD589843:RGD589867 RPZ589843:RPZ589867 RZV589843:RZV589867 SJR589843:SJR589867 STN589843:STN589867 TDJ589843:TDJ589867 TNF589843:TNF589867 TXB589843:TXB589867 UGX589843:UGX589867 UQT589843:UQT589867 VAP589843:VAP589867 VKL589843:VKL589867 VUH589843:VUH589867 WED589843:WED589867 WNZ589843:WNZ589867 WXV589843:WXV589867 BN655379:BN655403 LJ655379:LJ655403 VF655379:VF655403 AFB655379:AFB655403 AOX655379:AOX655403 AYT655379:AYT655403 BIP655379:BIP655403 BSL655379:BSL655403 CCH655379:CCH655403 CMD655379:CMD655403 CVZ655379:CVZ655403 DFV655379:DFV655403 DPR655379:DPR655403 DZN655379:DZN655403 EJJ655379:EJJ655403 ETF655379:ETF655403 FDB655379:FDB655403 FMX655379:FMX655403 FWT655379:FWT655403 GGP655379:GGP655403 GQL655379:GQL655403 HAH655379:HAH655403 HKD655379:HKD655403 HTZ655379:HTZ655403 IDV655379:IDV655403 INR655379:INR655403 IXN655379:IXN655403 JHJ655379:JHJ655403 JRF655379:JRF655403 KBB655379:KBB655403 KKX655379:KKX655403 KUT655379:KUT655403 LEP655379:LEP655403 LOL655379:LOL655403 LYH655379:LYH655403 MID655379:MID655403 MRZ655379:MRZ655403 NBV655379:NBV655403 NLR655379:NLR655403 NVN655379:NVN655403 OFJ655379:OFJ655403 OPF655379:OPF655403 OZB655379:OZB655403 PIX655379:PIX655403 PST655379:PST655403 QCP655379:QCP655403 QML655379:QML655403 QWH655379:QWH655403 RGD655379:RGD655403 RPZ655379:RPZ655403 RZV655379:RZV655403 SJR655379:SJR655403 STN655379:STN655403 TDJ655379:TDJ655403 TNF655379:TNF655403 TXB655379:TXB655403 UGX655379:UGX655403 UQT655379:UQT655403 VAP655379:VAP655403 VKL655379:VKL655403 VUH655379:VUH655403 WED655379:WED655403 WNZ655379:WNZ655403 WXV655379:WXV655403 BN720915:BN720939 LJ720915:LJ720939 VF720915:VF720939 AFB720915:AFB720939 AOX720915:AOX720939 AYT720915:AYT720939 BIP720915:BIP720939 BSL720915:BSL720939 CCH720915:CCH720939 CMD720915:CMD720939 CVZ720915:CVZ720939 DFV720915:DFV720939 DPR720915:DPR720939 DZN720915:DZN720939 EJJ720915:EJJ720939 ETF720915:ETF720939 FDB720915:FDB720939 FMX720915:FMX720939 FWT720915:FWT720939 GGP720915:GGP720939 GQL720915:GQL720939 HAH720915:HAH720939 HKD720915:HKD720939 HTZ720915:HTZ720939 IDV720915:IDV720939 INR720915:INR720939 IXN720915:IXN720939 JHJ720915:JHJ720939 JRF720915:JRF720939 KBB720915:KBB720939 KKX720915:KKX720939 KUT720915:KUT720939 LEP720915:LEP720939 LOL720915:LOL720939 LYH720915:LYH720939 MID720915:MID720939 MRZ720915:MRZ720939 NBV720915:NBV720939 NLR720915:NLR720939 NVN720915:NVN720939 OFJ720915:OFJ720939 OPF720915:OPF720939 OZB720915:OZB720939 PIX720915:PIX720939 PST720915:PST720939 QCP720915:QCP720939 QML720915:QML720939 QWH720915:QWH720939 RGD720915:RGD720939 RPZ720915:RPZ720939 RZV720915:RZV720939 SJR720915:SJR720939 STN720915:STN720939 TDJ720915:TDJ720939 TNF720915:TNF720939 TXB720915:TXB720939 UGX720915:UGX720939 UQT720915:UQT720939 VAP720915:VAP720939 VKL720915:VKL720939 VUH720915:VUH720939 WED720915:WED720939 WNZ720915:WNZ720939 WXV720915:WXV720939 BN786451:BN786475 LJ786451:LJ786475 VF786451:VF786475 AFB786451:AFB786475 AOX786451:AOX786475 AYT786451:AYT786475 BIP786451:BIP786475 BSL786451:BSL786475 CCH786451:CCH786475 CMD786451:CMD786475 CVZ786451:CVZ786475 DFV786451:DFV786475 DPR786451:DPR786475 DZN786451:DZN786475 EJJ786451:EJJ786475 ETF786451:ETF786475 FDB786451:FDB786475 FMX786451:FMX786475 FWT786451:FWT786475 GGP786451:GGP786475 GQL786451:GQL786475 HAH786451:HAH786475 HKD786451:HKD786475 HTZ786451:HTZ786475 IDV786451:IDV786475 INR786451:INR786475 IXN786451:IXN786475 JHJ786451:JHJ786475 JRF786451:JRF786475 KBB786451:KBB786475 KKX786451:KKX786475 KUT786451:KUT786475 LEP786451:LEP786475 LOL786451:LOL786475 LYH786451:LYH786475 MID786451:MID786475 MRZ786451:MRZ786475 NBV786451:NBV786475 NLR786451:NLR786475 NVN786451:NVN786475 OFJ786451:OFJ786475 OPF786451:OPF786475 OZB786451:OZB786475 PIX786451:PIX786475 PST786451:PST786475 QCP786451:QCP786475 QML786451:QML786475 QWH786451:QWH786475 RGD786451:RGD786475 RPZ786451:RPZ786475 RZV786451:RZV786475 SJR786451:SJR786475 STN786451:STN786475 TDJ786451:TDJ786475 TNF786451:TNF786475 TXB786451:TXB786475 UGX786451:UGX786475 UQT786451:UQT786475 VAP786451:VAP786475 VKL786451:VKL786475 VUH786451:VUH786475 WED786451:WED786475 WNZ786451:WNZ786475 WXV786451:WXV786475 BN851987:BN852011 LJ851987:LJ852011 VF851987:VF852011 AFB851987:AFB852011 AOX851987:AOX852011 AYT851987:AYT852011 BIP851987:BIP852011 BSL851987:BSL852011 CCH851987:CCH852011 CMD851987:CMD852011 CVZ851987:CVZ852011 DFV851987:DFV852011 DPR851987:DPR852011 DZN851987:DZN852011 EJJ851987:EJJ852011 ETF851987:ETF852011 FDB851987:FDB852011 FMX851987:FMX852011 FWT851987:FWT852011 GGP851987:GGP852011 GQL851987:GQL852011 HAH851987:HAH852011 HKD851987:HKD852011 HTZ851987:HTZ852011 IDV851987:IDV852011 INR851987:INR852011 IXN851987:IXN852011 JHJ851987:JHJ852011 JRF851987:JRF852011 KBB851987:KBB852011 KKX851987:KKX852011 KUT851987:KUT852011 LEP851987:LEP852011 LOL851987:LOL852011 LYH851987:LYH852011 MID851987:MID852011 MRZ851987:MRZ852011 NBV851987:NBV852011 NLR851987:NLR852011 NVN851987:NVN852011 OFJ851987:OFJ852011 OPF851987:OPF852011 OZB851987:OZB852011 PIX851987:PIX852011 PST851987:PST852011 QCP851987:QCP852011 QML851987:QML852011 QWH851987:QWH852011 RGD851987:RGD852011 RPZ851987:RPZ852011 RZV851987:RZV852011 SJR851987:SJR852011 STN851987:STN852011 TDJ851987:TDJ852011 TNF851987:TNF852011 TXB851987:TXB852011 UGX851987:UGX852011 UQT851987:UQT852011 VAP851987:VAP852011 VKL851987:VKL852011 VUH851987:VUH852011 WED851987:WED852011 WNZ851987:WNZ852011 WXV851987:WXV852011 BN917523:BN917547 LJ917523:LJ917547 VF917523:VF917547 AFB917523:AFB917547 AOX917523:AOX917547 AYT917523:AYT917547 BIP917523:BIP917547 BSL917523:BSL917547 CCH917523:CCH917547 CMD917523:CMD917547 CVZ917523:CVZ917547 DFV917523:DFV917547 DPR917523:DPR917547 DZN917523:DZN917547 EJJ917523:EJJ917547 ETF917523:ETF917547 FDB917523:FDB917547 FMX917523:FMX917547 FWT917523:FWT917547 GGP917523:GGP917547 GQL917523:GQL917547 HAH917523:HAH917547 HKD917523:HKD917547 HTZ917523:HTZ917547 IDV917523:IDV917547 INR917523:INR917547 IXN917523:IXN917547 JHJ917523:JHJ917547 JRF917523:JRF917547 KBB917523:KBB917547 KKX917523:KKX917547 KUT917523:KUT917547 LEP917523:LEP917547 LOL917523:LOL917547 LYH917523:LYH917547 MID917523:MID917547 MRZ917523:MRZ917547 NBV917523:NBV917547 NLR917523:NLR917547 NVN917523:NVN917547 OFJ917523:OFJ917547 OPF917523:OPF917547 OZB917523:OZB917547 PIX917523:PIX917547 PST917523:PST917547 QCP917523:QCP917547 QML917523:QML917547 QWH917523:QWH917547 RGD917523:RGD917547 RPZ917523:RPZ917547 RZV917523:RZV917547 SJR917523:SJR917547 STN917523:STN917547 TDJ917523:TDJ917547 TNF917523:TNF917547 TXB917523:TXB917547 UGX917523:UGX917547 UQT917523:UQT917547 VAP917523:VAP917547 VKL917523:VKL917547 VUH917523:VUH917547 WED917523:WED917547 WNZ917523:WNZ917547 WXV917523:WXV917547 BN983059:BN983083 LJ983059:LJ983083 VF983059:VF983083 AFB983059:AFB983083 AOX983059:AOX983083 AYT983059:AYT983083 BIP983059:BIP983083 BSL983059:BSL983083 CCH983059:CCH983083 CMD983059:CMD983083 CVZ983059:CVZ983083 DFV983059:DFV983083 DPR983059:DPR983083 DZN983059:DZN983083 EJJ983059:EJJ983083 ETF983059:ETF983083 FDB983059:FDB983083 FMX983059:FMX983083 FWT983059:FWT983083 GGP983059:GGP983083 GQL983059:GQL983083 HAH983059:HAH983083 HKD983059:HKD983083 HTZ983059:HTZ983083 IDV983059:IDV983083 INR983059:INR983083 IXN983059:IXN983083 JHJ983059:JHJ983083 JRF983059:JRF983083 KBB983059:KBB983083 KKX983059:KKX983083 KUT983059:KUT983083 LEP983059:LEP983083 LOL983059:LOL983083 LYH983059:LYH983083 MID983059:MID983083 MRZ983059:MRZ983083 NBV983059:NBV983083 NLR983059:NLR983083 NVN983059:NVN983083 OFJ983059:OFJ983083 OPF983059:OPF983083 OZB983059:OZB983083 PIX983059:PIX983083 PST983059:PST983083 QCP983059:QCP983083 QML983059:QML983083 QWH983059:QWH983083 RGD983059:RGD983083 RPZ983059:RPZ983083 RZV983059:RZV983083 SJR983059:SJR983083 STN983059:STN983083 TDJ983059:TDJ983083 TNF983059:TNF983083 TXB983059:TXB983083 UGX983059:UGX983083 UQT983059:UQT983083 VAP983059:VAP983083 VKL983059:VKL983083 VUH983059:VUH983083 WED983059:WED983083 WNZ983059:WNZ983083 WXV983059:WXV983083 BN9:BQ18 LJ9:LM18 VF9:VI18 AFB9:AFE18 AOX9:APA18 AYT9:AYW18 BIP9:BIS18 BSL9:BSO18 CCH9:CCK18 CMD9:CMG18 CVZ9:CWC18 DFV9:DFY18 DPR9:DPU18 DZN9:DZQ18 EJJ9:EJM18 ETF9:ETI18 FDB9:FDE18 FMX9:FNA18 FWT9:FWW18 GGP9:GGS18 GQL9:GQO18 HAH9:HAK18 HKD9:HKG18 HTZ9:HUC18 IDV9:IDY18 INR9:INU18 IXN9:IXQ18 JHJ9:JHM18 JRF9:JRI18 KBB9:KBE18 KKX9:KLA18 KUT9:KUW18 LEP9:LES18 LOL9:LOO18 LYH9:LYK18 MID9:MIG18 MRZ9:MSC18 NBV9:NBY18 NLR9:NLU18 NVN9:NVQ18 OFJ9:OFM18 OPF9:OPI18 OZB9:OZE18 PIX9:PJA18 PST9:PSW18 QCP9:QCS18 QML9:QMO18 QWH9:QWK18 RGD9:RGG18 RPZ9:RQC18 RZV9:RZY18 SJR9:SJU18 STN9:STQ18 TDJ9:TDM18 TNF9:TNI18 TXB9:TXE18 UGX9:UHA18 UQT9:UQW18 VAP9:VAS18 VKL9:VKO18 VUH9:VUK18 WED9:WEG18 WNZ9:WOC18 WXV9:WXY18 BN65545:BQ65554 LJ65545:LM65554 VF65545:VI65554 AFB65545:AFE65554 AOX65545:APA65554 AYT65545:AYW65554 BIP65545:BIS65554 BSL65545:BSO65554 CCH65545:CCK65554 CMD65545:CMG65554 CVZ65545:CWC65554 DFV65545:DFY65554 DPR65545:DPU65554 DZN65545:DZQ65554 EJJ65545:EJM65554 ETF65545:ETI65554 FDB65545:FDE65554 FMX65545:FNA65554 FWT65545:FWW65554 GGP65545:GGS65554 GQL65545:GQO65554 HAH65545:HAK65554 HKD65545:HKG65554 HTZ65545:HUC65554 IDV65545:IDY65554 INR65545:INU65554 IXN65545:IXQ65554 JHJ65545:JHM65554 JRF65545:JRI65554 KBB65545:KBE65554 KKX65545:KLA65554 KUT65545:KUW65554 LEP65545:LES65554 LOL65545:LOO65554 LYH65545:LYK65554 MID65545:MIG65554 MRZ65545:MSC65554 NBV65545:NBY65554 NLR65545:NLU65554 NVN65545:NVQ65554 OFJ65545:OFM65554 OPF65545:OPI65554 OZB65545:OZE65554 PIX65545:PJA65554 PST65545:PSW65554 QCP65545:QCS65554 QML65545:QMO65554 QWH65545:QWK65554 RGD65545:RGG65554 RPZ65545:RQC65554 RZV65545:RZY65554 SJR65545:SJU65554 STN65545:STQ65554 TDJ65545:TDM65554 TNF65545:TNI65554 TXB65545:TXE65554 UGX65545:UHA65554 UQT65545:UQW65554 VAP65545:VAS65554 VKL65545:VKO65554 VUH65545:VUK65554 WED65545:WEG65554 WNZ65545:WOC65554 WXV65545:WXY65554 BN131081:BQ131090 LJ131081:LM131090 VF131081:VI131090 AFB131081:AFE131090 AOX131081:APA131090 AYT131081:AYW131090 BIP131081:BIS131090 BSL131081:BSO131090 CCH131081:CCK131090 CMD131081:CMG131090 CVZ131081:CWC131090 DFV131081:DFY131090 DPR131081:DPU131090 DZN131081:DZQ131090 EJJ131081:EJM131090 ETF131081:ETI131090 FDB131081:FDE131090 FMX131081:FNA131090 FWT131081:FWW131090 GGP131081:GGS131090 GQL131081:GQO131090 HAH131081:HAK131090 HKD131081:HKG131090 HTZ131081:HUC131090 IDV131081:IDY131090 INR131081:INU131090 IXN131081:IXQ131090 JHJ131081:JHM131090 JRF131081:JRI131090 KBB131081:KBE131090 KKX131081:KLA131090 KUT131081:KUW131090 LEP131081:LES131090 LOL131081:LOO131090 LYH131081:LYK131090 MID131081:MIG131090 MRZ131081:MSC131090 NBV131081:NBY131090 NLR131081:NLU131090 NVN131081:NVQ131090 OFJ131081:OFM131090 OPF131081:OPI131090 OZB131081:OZE131090 PIX131081:PJA131090 PST131081:PSW131090 QCP131081:QCS131090 QML131081:QMO131090 QWH131081:QWK131090 RGD131081:RGG131090 RPZ131081:RQC131090 RZV131081:RZY131090 SJR131081:SJU131090 STN131081:STQ131090 TDJ131081:TDM131090 TNF131081:TNI131090 TXB131081:TXE131090 UGX131081:UHA131090 UQT131081:UQW131090 VAP131081:VAS131090 VKL131081:VKO131090 VUH131081:VUK131090 WED131081:WEG131090 WNZ131081:WOC131090 WXV131081:WXY131090 BN196617:BQ196626 LJ196617:LM196626 VF196617:VI196626 AFB196617:AFE196626 AOX196617:APA196626 AYT196617:AYW196626 BIP196617:BIS196626 BSL196617:BSO196626 CCH196617:CCK196626 CMD196617:CMG196626 CVZ196617:CWC196626 DFV196617:DFY196626 DPR196617:DPU196626 DZN196617:DZQ196626 EJJ196617:EJM196626 ETF196617:ETI196626 FDB196617:FDE196626 FMX196617:FNA196626 FWT196617:FWW196626 GGP196617:GGS196626 GQL196617:GQO196626 HAH196617:HAK196626 HKD196617:HKG196626 HTZ196617:HUC196626 IDV196617:IDY196626 INR196617:INU196626 IXN196617:IXQ196626 JHJ196617:JHM196626 JRF196617:JRI196626 KBB196617:KBE196626 KKX196617:KLA196626 KUT196617:KUW196626 LEP196617:LES196626 LOL196617:LOO196626 LYH196617:LYK196626 MID196617:MIG196626 MRZ196617:MSC196626 NBV196617:NBY196626 NLR196617:NLU196626 NVN196617:NVQ196626 OFJ196617:OFM196626 OPF196617:OPI196626 OZB196617:OZE196626 PIX196617:PJA196626 PST196617:PSW196626 QCP196617:QCS196626 QML196617:QMO196626 QWH196617:QWK196626 RGD196617:RGG196626 RPZ196617:RQC196626 RZV196617:RZY196626 SJR196617:SJU196626 STN196617:STQ196626 TDJ196617:TDM196626 TNF196617:TNI196626 TXB196617:TXE196626 UGX196617:UHA196626 UQT196617:UQW196626 VAP196617:VAS196626 VKL196617:VKO196626 VUH196617:VUK196626 WED196617:WEG196626 WNZ196617:WOC196626 WXV196617:WXY196626 BN262153:BQ262162 LJ262153:LM262162 VF262153:VI262162 AFB262153:AFE262162 AOX262153:APA262162 AYT262153:AYW262162 BIP262153:BIS262162 BSL262153:BSO262162 CCH262153:CCK262162 CMD262153:CMG262162 CVZ262153:CWC262162 DFV262153:DFY262162 DPR262153:DPU262162 DZN262153:DZQ262162 EJJ262153:EJM262162 ETF262153:ETI262162 FDB262153:FDE262162 FMX262153:FNA262162 FWT262153:FWW262162 GGP262153:GGS262162 GQL262153:GQO262162 HAH262153:HAK262162 HKD262153:HKG262162 HTZ262153:HUC262162 IDV262153:IDY262162 INR262153:INU262162 IXN262153:IXQ262162 JHJ262153:JHM262162 JRF262153:JRI262162 KBB262153:KBE262162 KKX262153:KLA262162 KUT262153:KUW262162 LEP262153:LES262162 LOL262153:LOO262162 LYH262153:LYK262162 MID262153:MIG262162 MRZ262153:MSC262162 NBV262153:NBY262162 NLR262153:NLU262162 NVN262153:NVQ262162 OFJ262153:OFM262162 OPF262153:OPI262162 OZB262153:OZE262162 PIX262153:PJA262162 PST262153:PSW262162 QCP262153:QCS262162 QML262153:QMO262162 QWH262153:QWK262162 RGD262153:RGG262162 RPZ262153:RQC262162 RZV262153:RZY262162 SJR262153:SJU262162 STN262153:STQ262162 TDJ262153:TDM262162 TNF262153:TNI262162 TXB262153:TXE262162 UGX262153:UHA262162 UQT262153:UQW262162 VAP262153:VAS262162 VKL262153:VKO262162 VUH262153:VUK262162 WED262153:WEG262162 WNZ262153:WOC262162 WXV262153:WXY262162 BN327689:BQ327698 LJ327689:LM327698 VF327689:VI327698 AFB327689:AFE327698 AOX327689:APA327698 AYT327689:AYW327698 BIP327689:BIS327698 BSL327689:BSO327698 CCH327689:CCK327698 CMD327689:CMG327698 CVZ327689:CWC327698 DFV327689:DFY327698 DPR327689:DPU327698 DZN327689:DZQ327698 EJJ327689:EJM327698 ETF327689:ETI327698 FDB327689:FDE327698 FMX327689:FNA327698 FWT327689:FWW327698 GGP327689:GGS327698 GQL327689:GQO327698 HAH327689:HAK327698 HKD327689:HKG327698 HTZ327689:HUC327698 IDV327689:IDY327698 INR327689:INU327698 IXN327689:IXQ327698 JHJ327689:JHM327698 JRF327689:JRI327698 KBB327689:KBE327698 KKX327689:KLA327698 KUT327689:KUW327698 LEP327689:LES327698 LOL327689:LOO327698 LYH327689:LYK327698 MID327689:MIG327698 MRZ327689:MSC327698 NBV327689:NBY327698 NLR327689:NLU327698 NVN327689:NVQ327698 OFJ327689:OFM327698 OPF327689:OPI327698 OZB327689:OZE327698 PIX327689:PJA327698 PST327689:PSW327698 QCP327689:QCS327698 QML327689:QMO327698 QWH327689:QWK327698 RGD327689:RGG327698 RPZ327689:RQC327698 RZV327689:RZY327698 SJR327689:SJU327698 STN327689:STQ327698 TDJ327689:TDM327698 TNF327689:TNI327698 TXB327689:TXE327698 UGX327689:UHA327698 UQT327689:UQW327698 VAP327689:VAS327698 VKL327689:VKO327698 VUH327689:VUK327698 WED327689:WEG327698 WNZ327689:WOC327698 WXV327689:WXY327698 BN393225:BQ393234 LJ393225:LM393234 VF393225:VI393234 AFB393225:AFE393234 AOX393225:APA393234 AYT393225:AYW393234 BIP393225:BIS393234 BSL393225:BSO393234 CCH393225:CCK393234 CMD393225:CMG393234 CVZ393225:CWC393234 DFV393225:DFY393234 DPR393225:DPU393234 DZN393225:DZQ393234 EJJ393225:EJM393234 ETF393225:ETI393234 FDB393225:FDE393234 FMX393225:FNA393234 FWT393225:FWW393234 GGP393225:GGS393234 GQL393225:GQO393234 HAH393225:HAK393234 HKD393225:HKG393234 HTZ393225:HUC393234 IDV393225:IDY393234 INR393225:INU393234 IXN393225:IXQ393234 JHJ393225:JHM393234 JRF393225:JRI393234 KBB393225:KBE393234 KKX393225:KLA393234 KUT393225:KUW393234 LEP393225:LES393234 LOL393225:LOO393234 LYH393225:LYK393234 MID393225:MIG393234 MRZ393225:MSC393234 NBV393225:NBY393234 NLR393225:NLU393234 NVN393225:NVQ393234 OFJ393225:OFM393234 OPF393225:OPI393234 OZB393225:OZE393234 PIX393225:PJA393234 PST393225:PSW393234 QCP393225:QCS393234 QML393225:QMO393234 QWH393225:QWK393234 RGD393225:RGG393234 RPZ393225:RQC393234 RZV393225:RZY393234 SJR393225:SJU393234 STN393225:STQ393234 TDJ393225:TDM393234 TNF393225:TNI393234 TXB393225:TXE393234 UGX393225:UHA393234 UQT393225:UQW393234 VAP393225:VAS393234 VKL393225:VKO393234 VUH393225:VUK393234 WED393225:WEG393234 WNZ393225:WOC393234 WXV393225:WXY393234 BN458761:BQ458770 LJ458761:LM458770 VF458761:VI458770 AFB458761:AFE458770 AOX458761:APA458770 AYT458761:AYW458770 BIP458761:BIS458770 BSL458761:BSO458770 CCH458761:CCK458770 CMD458761:CMG458770 CVZ458761:CWC458770 DFV458761:DFY458770 DPR458761:DPU458770 DZN458761:DZQ458770 EJJ458761:EJM458770 ETF458761:ETI458770 FDB458761:FDE458770 FMX458761:FNA458770 FWT458761:FWW458770 GGP458761:GGS458770 GQL458761:GQO458770 HAH458761:HAK458770 HKD458761:HKG458770 HTZ458761:HUC458770 IDV458761:IDY458770 INR458761:INU458770 IXN458761:IXQ458770 JHJ458761:JHM458770 JRF458761:JRI458770 KBB458761:KBE458770 KKX458761:KLA458770 KUT458761:KUW458770 LEP458761:LES458770 LOL458761:LOO458770 LYH458761:LYK458770 MID458761:MIG458770 MRZ458761:MSC458770 NBV458761:NBY458770 NLR458761:NLU458770 NVN458761:NVQ458770 OFJ458761:OFM458770 OPF458761:OPI458770 OZB458761:OZE458770 PIX458761:PJA458770 PST458761:PSW458770 QCP458761:QCS458770 QML458761:QMO458770 QWH458761:QWK458770 RGD458761:RGG458770 RPZ458761:RQC458770 RZV458761:RZY458770 SJR458761:SJU458770 STN458761:STQ458770 TDJ458761:TDM458770 TNF458761:TNI458770 TXB458761:TXE458770 UGX458761:UHA458770 UQT458761:UQW458770 VAP458761:VAS458770 VKL458761:VKO458770 VUH458761:VUK458770 WED458761:WEG458770 WNZ458761:WOC458770 WXV458761:WXY458770 BN524297:BQ524306 LJ524297:LM524306 VF524297:VI524306 AFB524297:AFE524306 AOX524297:APA524306 AYT524297:AYW524306 BIP524297:BIS524306 BSL524297:BSO524306 CCH524297:CCK524306 CMD524297:CMG524306 CVZ524297:CWC524306 DFV524297:DFY524306 DPR524297:DPU524306 DZN524297:DZQ524306 EJJ524297:EJM524306 ETF524297:ETI524306 FDB524297:FDE524306 FMX524297:FNA524306 FWT524297:FWW524306 GGP524297:GGS524306 GQL524297:GQO524306 HAH524297:HAK524306 HKD524297:HKG524306 HTZ524297:HUC524306 IDV524297:IDY524306 INR524297:INU524306 IXN524297:IXQ524306 JHJ524297:JHM524306 JRF524297:JRI524306 KBB524297:KBE524306 KKX524297:KLA524306 KUT524297:KUW524306 LEP524297:LES524306 LOL524297:LOO524306 LYH524297:LYK524306 MID524297:MIG524306 MRZ524297:MSC524306 NBV524297:NBY524306 NLR524297:NLU524306 NVN524297:NVQ524306 OFJ524297:OFM524306 OPF524297:OPI524306 OZB524297:OZE524306 PIX524297:PJA524306 PST524297:PSW524306 QCP524297:QCS524306 QML524297:QMO524306 QWH524297:QWK524306 RGD524297:RGG524306 RPZ524297:RQC524306 RZV524297:RZY524306 SJR524297:SJU524306 STN524297:STQ524306 TDJ524297:TDM524306 TNF524297:TNI524306 TXB524297:TXE524306 UGX524297:UHA524306 UQT524297:UQW524306 VAP524297:VAS524306 VKL524297:VKO524306 VUH524297:VUK524306 WED524297:WEG524306 WNZ524297:WOC524306 WXV524297:WXY524306 BN589833:BQ589842 LJ589833:LM589842 VF589833:VI589842 AFB589833:AFE589842 AOX589833:APA589842 AYT589833:AYW589842 BIP589833:BIS589842 BSL589833:BSO589842 CCH589833:CCK589842 CMD589833:CMG589842 CVZ589833:CWC589842 DFV589833:DFY589842 DPR589833:DPU589842 DZN589833:DZQ589842 EJJ589833:EJM589842 ETF589833:ETI589842 FDB589833:FDE589842 FMX589833:FNA589842 FWT589833:FWW589842 GGP589833:GGS589842 GQL589833:GQO589842 HAH589833:HAK589842 HKD589833:HKG589842 HTZ589833:HUC589842 IDV589833:IDY589842 INR589833:INU589842 IXN589833:IXQ589842 JHJ589833:JHM589842 JRF589833:JRI589842 KBB589833:KBE589842 KKX589833:KLA589842 KUT589833:KUW589842 LEP589833:LES589842 LOL589833:LOO589842 LYH589833:LYK589842 MID589833:MIG589842 MRZ589833:MSC589842 NBV589833:NBY589842 NLR589833:NLU589842 NVN589833:NVQ589842 OFJ589833:OFM589842 OPF589833:OPI589842 OZB589833:OZE589842 PIX589833:PJA589842 PST589833:PSW589842 QCP589833:QCS589842 QML589833:QMO589842 QWH589833:QWK589842 RGD589833:RGG589842 RPZ589833:RQC589842 RZV589833:RZY589842 SJR589833:SJU589842 STN589833:STQ589842 TDJ589833:TDM589842 TNF589833:TNI589842 TXB589833:TXE589842 UGX589833:UHA589842 UQT589833:UQW589842 VAP589833:VAS589842 VKL589833:VKO589842 VUH589833:VUK589842 WED589833:WEG589842 WNZ589833:WOC589842 WXV589833:WXY589842 BN655369:BQ655378 LJ655369:LM655378 VF655369:VI655378 AFB655369:AFE655378 AOX655369:APA655378 AYT655369:AYW655378 BIP655369:BIS655378 BSL655369:BSO655378 CCH655369:CCK655378 CMD655369:CMG655378 CVZ655369:CWC655378 DFV655369:DFY655378 DPR655369:DPU655378 DZN655369:DZQ655378 EJJ655369:EJM655378 ETF655369:ETI655378 FDB655369:FDE655378 FMX655369:FNA655378 FWT655369:FWW655378 GGP655369:GGS655378 GQL655369:GQO655378 HAH655369:HAK655378 HKD655369:HKG655378 HTZ655369:HUC655378 IDV655369:IDY655378 INR655369:INU655378 IXN655369:IXQ655378 JHJ655369:JHM655378 JRF655369:JRI655378 KBB655369:KBE655378 KKX655369:KLA655378 KUT655369:KUW655378 LEP655369:LES655378 LOL655369:LOO655378 LYH655369:LYK655378 MID655369:MIG655378 MRZ655369:MSC655378 NBV655369:NBY655378 NLR655369:NLU655378 NVN655369:NVQ655378 OFJ655369:OFM655378 OPF655369:OPI655378 OZB655369:OZE655378 PIX655369:PJA655378 PST655369:PSW655378 QCP655369:QCS655378 QML655369:QMO655378 QWH655369:QWK655378 RGD655369:RGG655378 RPZ655369:RQC655378 RZV655369:RZY655378 SJR655369:SJU655378 STN655369:STQ655378 TDJ655369:TDM655378 TNF655369:TNI655378 TXB655369:TXE655378 UGX655369:UHA655378 UQT655369:UQW655378 VAP655369:VAS655378 VKL655369:VKO655378 VUH655369:VUK655378 WED655369:WEG655378 WNZ655369:WOC655378 WXV655369:WXY655378 BN720905:BQ720914 LJ720905:LM720914 VF720905:VI720914 AFB720905:AFE720914 AOX720905:APA720914 AYT720905:AYW720914 BIP720905:BIS720914 BSL720905:BSO720914 CCH720905:CCK720914 CMD720905:CMG720914 CVZ720905:CWC720914 DFV720905:DFY720914 DPR720905:DPU720914 DZN720905:DZQ720914 EJJ720905:EJM720914 ETF720905:ETI720914 FDB720905:FDE720914 FMX720905:FNA720914 FWT720905:FWW720914 GGP720905:GGS720914 GQL720905:GQO720914 HAH720905:HAK720914 HKD720905:HKG720914 HTZ720905:HUC720914 IDV720905:IDY720914 INR720905:INU720914 IXN720905:IXQ720914 JHJ720905:JHM720914 JRF720905:JRI720914 KBB720905:KBE720914 KKX720905:KLA720914 KUT720905:KUW720914 LEP720905:LES720914 LOL720905:LOO720914 LYH720905:LYK720914 MID720905:MIG720914 MRZ720905:MSC720914 NBV720905:NBY720914 NLR720905:NLU720914 NVN720905:NVQ720914 OFJ720905:OFM720914 OPF720905:OPI720914 OZB720905:OZE720914 PIX720905:PJA720914 PST720905:PSW720914 QCP720905:QCS720914 QML720905:QMO720914 QWH720905:QWK720914 RGD720905:RGG720914 RPZ720905:RQC720914 RZV720905:RZY720914 SJR720905:SJU720914 STN720905:STQ720914 TDJ720905:TDM720914 TNF720905:TNI720914 TXB720905:TXE720914 UGX720905:UHA720914 UQT720905:UQW720914 VAP720905:VAS720914 VKL720905:VKO720914 VUH720905:VUK720914 WED720905:WEG720914 WNZ720905:WOC720914 WXV720905:WXY720914 BN786441:BQ786450 LJ786441:LM786450 VF786441:VI786450 AFB786441:AFE786450 AOX786441:APA786450 AYT786441:AYW786450 BIP786441:BIS786450 BSL786441:BSO786450 CCH786441:CCK786450 CMD786441:CMG786450 CVZ786441:CWC786450 DFV786441:DFY786450 DPR786441:DPU786450 DZN786441:DZQ786450 EJJ786441:EJM786450 ETF786441:ETI786450 FDB786441:FDE786450 FMX786441:FNA786450 FWT786441:FWW786450 GGP786441:GGS786450 GQL786441:GQO786450 HAH786441:HAK786450 HKD786441:HKG786450 HTZ786441:HUC786450 IDV786441:IDY786450 INR786441:INU786450 IXN786441:IXQ786450 JHJ786441:JHM786450 JRF786441:JRI786450 KBB786441:KBE786450 KKX786441:KLA786450 KUT786441:KUW786450 LEP786441:LES786450 LOL786441:LOO786450 LYH786441:LYK786450 MID786441:MIG786450 MRZ786441:MSC786450 NBV786441:NBY786450 NLR786441:NLU786450 NVN786441:NVQ786450 OFJ786441:OFM786450 OPF786441:OPI786450 OZB786441:OZE786450 PIX786441:PJA786450 PST786441:PSW786450 QCP786441:QCS786450 QML786441:QMO786450 QWH786441:QWK786450 RGD786441:RGG786450 RPZ786441:RQC786450 RZV786441:RZY786450 SJR786441:SJU786450 STN786441:STQ786450 TDJ786441:TDM786450 TNF786441:TNI786450 TXB786441:TXE786450 UGX786441:UHA786450 UQT786441:UQW786450 VAP786441:VAS786450 VKL786441:VKO786450 VUH786441:VUK786450 WED786441:WEG786450 WNZ786441:WOC786450 WXV786441:WXY786450 BN851977:BQ851986 LJ851977:LM851986 VF851977:VI851986 AFB851977:AFE851986 AOX851977:APA851986 AYT851977:AYW851986 BIP851977:BIS851986 BSL851977:BSO851986 CCH851977:CCK851986 CMD851977:CMG851986 CVZ851977:CWC851986 DFV851977:DFY851986 DPR851977:DPU851986 DZN851977:DZQ851986 EJJ851977:EJM851986 ETF851977:ETI851986 FDB851977:FDE851986 FMX851977:FNA851986 FWT851977:FWW851986 GGP851977:GGS851986 GQL851977:GQO851986 HAH851977:HAK851986 HKD851977:HKG851986 HTZ851977:HUC851986 IDV851977:IDY851986 INR851977:INU851986 IXN851977:IXQ851986 JHJ851977:JHM851986 JRF851977:JRI851986 KBB851977:KBE851986 KKX851977:KLA851986 KUT851977:KUW851986 LEP851977:LES851986 LOL851977:LOO851986 LYH851977:LYK851986 MID851977:MIG851986 MRZ851977:MSC851986 NBV851977:NBY851986 NLR851977:NLU851986 NVN851977:NVQ851986 OFJ851977:OFM851986 OPF851977:OPI851986 OZB851977:OZE851986 PIX851977:PJA851986 PST851977:PSW851986 QCP851977:QCS851986 QML851977:QMO851986 QWH851977:QWK851986 RGD851977:RGG851986 RPZ851977:RQC851986 RZV851977:RZY851986 SJR851977:SJU851986 STN851977:STQ851986 TDJ851977:TDM851986 TNF851977:TNI851986 TXB851977:TXE851986 UGX851977:UHA851986 UQT851977:UQW851986 VAP851977:VAS851986 VKL851977:VKO851986 VUH851977:VUK851986 WED851977:WEG851986 WNZ851977:WOC851986 WXV851977:WXY851986 BN917513:BQ917522 LJ917513:LM917522 VF917513:VI917522 AFB917513:AFE917522 AOX917513:APA917522 AYT917513:AYW917522 BIP917513:BIS917522 BSL917513:BSO917522 CCH917513:CCK917522 CMD917513:CMG917522 CVZ917513:CWC917522 DFV917513:DFY917522 DPR917513:DPU917522 DZN917513:DZQ917522 EJJ917513:EJM917522 ETF917513:ETI917522 FDB917513:FDE917522 FMX917513:FNA917522 FWT917513:FWW917522 GGP917513:GGS917522 GQL917513:GQO917522 HAH917513:HAK917522 HKD917513:HKG917522 HTZ917513:HUC917522 IDV917513:IDY917522 INR917513:INU917522 IXN917513:IXQ917522 JHJ917513:JHM917522 JRF917513:JRI917522 KBB917513:KBE917522 KKX917513:KLA917522 KUT917513:KUW917522 LEP917513:LES917522 LOL917513:LOO917522 LYH917513:LYK917522 MID917513:MIG917522 MRZ917513:MSC917522 NBV917513:NBY917522 NLR917513:NLU917522 NVN917513:NVQ917522 OFJ917513:OFM917522 OPF917513:OPI917522 OZB917513:OZE917522 PIX917513:PJA917522 PST917513:PSW917522 QCP917513:QCS917522 QML917513:QMO917522 QWH917513:QWK917522 RGD917513:RGG917522 RPZ917513:RQC917522 RZV917513:RZY917522 SJR917513:SJU917522 STN917513:STQ917522 TDJ917513:TDM917522 TNF917513:TNI917522 TXB917513:TXE917522 UGX917513:UHA917522 UQT917513:UQW917522 VAP917513:VAS917522 VKL917513:VKO917522 VUH917513:VUK917522 WED917513:WEG917522 WNZ917513:WOC917522 WXV917513:WXY917522 BN983049:BQ983058 LJ983049:LM983058 VF983049:VI983058 AFB983049:AFE983058 AOX983049:APA983058 AYT983049:AYW983058 BIP983049:BIS983058 BSL983049:BSO983058 CCH983049:CCK983058 CMD983049:CMG983058 CVZ983049:CWC983058 DFV983049:DFY983058 DPR983049:DPU983058 DZN983049:DZQ983058 EJJ983049:EJM983058 ETF983049:ETI983058 FDB983049:FDE983058 FMX983049:FNA983058 FWT983049:FWW983058 GGP983049:GGS983058 GQL983049:GQO983058 HAH983049:HAK983058 HKD983049:HKG983058 HTZ983049:HUC983058 IDV983049:IDY983058 INR983049:INU983058 IXN983049:IXQ983058 JHJ983049:JHM983058 JRF983049:JRI983058 KBB983049:KBE983058 KKX983049:KLA983058 KUT983049:KUW983058 LEP983049:LES983058 LOL983049:LOO983058 LYH983049:LYK983058 MID983049:MIG983058 MRZ983049:MSC983058 NBV983049:NBY983058 NLR983049:NLU983058 NVN983049:NVQ983058 OFJ983049:OFM983058 OPF983049:OPI983058 OZB983049:OZE983058 PIX983049:PJA983058 PST983049:PSW983058 QCP983049:QCS983058 QML983049:QMO983058 QWH983049:QWK983058 RGD983049:RGG983058 RPZ983049:RQC983058 RZV983049:RZY983058 SJR983049:SJU983058 STN983049:STQ983058 TDJ983049:TDM983058 TNF983049:TNI983058 TXB983049:TXE983058 UGX983049:UHA983058 UQT983049:UQW983058 VAP983049:VAS983058 VKL983049:VKO983058 VUH983049:VUK983058 WED983049:WEG983058 WNZ983049:WOC983058 WXV983049:WXY983058 BN44:BQ44 LJ44:LM44 VF44:VI44 AFB44:AFE44 AOX44:APA44 AYT44:AYW44 BIP44:BIS44 BSL44:BSO44 CCH44:CCK44 CMD44:CMG44 CVZ44:CWC44 DFV44:DFY44 DPR44:DPU44 DZN44:DZQ44 EJJ44:EJM44 ETF44:ETI44 FDB44:FDE44 FMX44:FNA44 FWT44:FWW44 GGP44:GGS44 GQL44:GQO44 HAH44:HAK44 HKD44:HKG44 HTZ44:HUC44 IDV44:IDY44 INR44:INU44 IXN44:IXQ44 JHJ44:JHM44 JRF44:JRI44 KBB44:KBE44 KKX44:KLA44 KUT44:KUW44 LEP44:LES44 LOL44:LOO44 LYH44:LYK44 MID44:MIG44 MRZ44:MSC44 NBV44:NBY44 NLR44:NLU44 NVN44:NVQ44 OFJ44:OFM44 OPF44:OPI44 OZB44:OZE44 PIX44:PJA44 PST44:PSW44 QCP44:QCS44 QML44:QMO44 QWH44:QWK44 RGD44:RGG44 RPZ44:RQC44 RZV44:RZY44 SJR44:SJU44 STN44:STQ44 TDJ44:TDM44 TNF44:TNI44 TXB44:TXE44 UGX44:UHA44 UQT44:UQW44 VAP44:VAS44 VKL44:VKO44 VUH44:VUK44 WED44:WEG44 WNZ44:WOC44 WXV44:WXY44 BN65580:BQ65580 LJ65580:LM65580 VF65580:VI65580 AFB65580:AFE65580 AOX65580:APA65580 AYT65580:AYW65580 BIP65580:BIS65580 BSL65580:BSO65580 CCH65580:CCK65580 CMD65580:CMG65580 CVZ65580:CWC65580 DFV65580:DFY65580 DPR65580:DPU65580 DZN65580:DZQ65580 EJJ65580:EJM65580 ETF65580:ETI65580 FDB65580:FDE65580 FMX65580:FNA65580 FWT65580:FWW65580 GGP65580:GGS65580 GQL65580:GQO65580 HAH65580:HAK65580 HKD65580:HKG65580 HTZ65580:HUC65580 IDV65580:IDY65580 INR65580:INU65580 IXN65580:IXQ65580 JHJ65580:JHM65580 JRF65580:JRI65580 KBB65580:KBE65580 KKX65580:KLA65580 KUT65580:KUW65580 LEP65580:LES65580 LOL65580:LOO65580 LYH65580:LYK65580 MID65580:MIG65580 MRZ65580:MSC65580 NBV65580:NBY65580 NLR65580:NLU65580 NVN65580:NVQ65580 OFJ65580:OFM65580 OPF65580:OPI65580 OZB65580:OZE65580 PIX65580:PJA65580 PST65580:PSW65580 QCP65580:QCS65580 QML65580:QMO65580 QWH65580:QWK65580 RGD65580:RGG65580 RPZ65580:RQC65580 RZV65580:RZY65580 SJR65580:SJU65580 STN65580:STQ65580 TDJ65580:TDM65580 TNF65580:TNI65580 TXB65580:TXE65580 UGX65580:UHA65580 UQT65580:UQW65580 VAP65580:VAS65580 VKL65580:VKO65580 VUH65580:VUK65580 WED65580:WEG65580 WNZ65580:WOC65580 WXV65580:WXY65580 BN131116:BQ131116 LJ131116:LM131116 VF131116:VI131116 AFB131116:AFE131116 AOX131116:APA131116 AYT131116:AYW131116 BIP131116:BIS131116 BSL131116:BSO131116 CCH131116:CCK131116 CMD131116:CMG131116 CVZ131116:CWC131116 DFV131116:DFY131116 DPR131116:DPU131116 DZN131116:DZQ131116 EJJ131116:EJM131116 ETF131116:ETI131116 FDB131116:FDE131116 FMX131116:FNA131116 FWT131116:FWW131116 GGP131116:GGS131116 GQL131116:GQO131116 HAH131116:HAK131116 HKD131116:HKG131116 HTZ131116:HUC131116 IDV131116:IDY131116 INR131116:INU131116 IXN131116:IXQ131116 JHJ131116:JHM131116 JRF131116:JRI131116 KBB131116:KBE131116 KKX131116:KLA131116 KUT131116:KUW131116 LEP131116:LES131116 LOL131116:LOO131116 LYH131116:LYK131116 MID131116:MIG131116 MRZ131116:MSC131116 NBV131116:NBY131116 NLR131116:NLU131116 NVN131116:NVQ131116 OFJ131116:OFM131116 OPF131116:OPI131116 OZB131116:OZE131116 PIX131116:PJA131116 PST131116:PSW131116 QCP131116:QCS131116 QML131116:QMO131116 QWH131116:QWK131116 RGD131116:RGG131116 RPZ131116:RQC131116 RZV131116:RZY131116 SJR131116:SJU131116 STN131116:STQ131116 TDJ131116:TDM131116 TNF131116:TNI131116 TXB131116:TXE131116 UGX131116:UHA131116 UQT131116:UQW131116 VAP131116:VAS131116 VKL131116:VKO131116 VUH131116:VUK131116 WED131116:WEG131116 WNZ131116:WOC131116 WXV131116:WXY131116 BN196652:BQ196652 LJ196652:LM196652 VF196652:VI196652 AFB196652:AFE196652 AOX196652:APA196652 AYT196652:AYW196652 BIP196652:BIS196652 BSL196652:BSO196652 CCH196652:CCK196652 CMD196652:CMG196652 CVZ196652:CWC196652 DFV196652:DFY196652 DPR196652:DPU196652 DZN196652:DZQ196652 EJJ196652:EJM196652 ETF196652:ETI196652 FDB196652:FDE196652 FMX196652:FNA196652 FWT196652:FWW196652 GGP196652:GGS196652 GQL196652:GQO196652 HAH196652:HAK196652 HKD196652:HKG196652 HTZ196652:HUC196652 IDV196652:IDY196652 INR196652:INU196652 IXN196652:IXQ196652 JHJ196652:JHM196652 JRF196652:JRI196652 KBB196652:KBE196652 KKX196652:KLA196652 KUT196652:KUW196652 LEP196652:LES196652 LOL196652:LOO196652 LYH196652:LYK196652 MID196652:MIG196652 MRZ196652:MSC196652 NBV196652:NBY196652 NLR196652:NLU196652 NVN196652:NVQ196652 OFJ196652:OFM196652 OPF196652:OPI196652 OZB196652:OZE196652 PIX196652:PJA196652 PST196652:PSW196652 QCP196652:QCS196652 QML196652:QMO196652 QWH196652:QWK196652 RGD196652:RGG196652 RPZ196652:RQC196652 RZV196652:RZY196652 SJR196652:SJU196652 STN196652:STQ196652 TDJ196652:TDM196652 TNF196652:TNI196652 TXB196652:TXE196652 UGX196652:UHA196652 UQT196652:UQW196652 VAP196652:VAS196652 VKL196652:VKO196652 VUH196652:VUK196652 WED196652:WEG196652 WNZ196652:WOC196652 WXV196652:WXY196652 BN262188:BQ262188 LJ262188:LM262188 VF262188:VI262188 AFB262188:AFE262188 AOX262188:APA262188 AYT262188:AYW262188 BIP262188:BIS262188 BSL262188:BSO262188 CCH262188:CCK262188 CMD262188:CMG262188 CVZ262188:CWC262188 DFV262188:DFY262188 DPR262188:DPU262188 DZN262188:DZQ262188 EJJ262188:EJM262188 ETF262188:ETI262188 FDB262188:FDE262188 FMX262188:FNA262188 FWT262188:FWW262188 GGP262188:GGS262188 GQL262188:GQO262188 HAH262188:HAK262188 HKD262188:HKG262188 HTZ262188:HUC262188 IDV262188:IDY262188 INR262188:INU262188 IXN262188:IXQ262188 JHJ262188:JHM262188 JRF262188:JRI262188 KBB262188:KBE262188 KKX262188:KLA262188 KUT262188:KUW262188 LEP262188:LES262188 LOL262188:LOO262188 LYH262188:LYK262188 MID262188:MIG262188 MRZ262188:MSC262188 NBV262188:NBY262188 NLR262188:NLU262188 NVN262188:NVQ262188 OFJ262188:OFM262188 OPF262188:OPI262188 OZB262188:OZE262188 PIX262188:PJA262188 PST262188:PSW262188 QCP262188:QCS262188 QML262188:QMO262188 QWH262188:QWK262188 RGD262188:RGG262188 RPZ262188:RQC262188 RZV262188:RZY262188 SJR262188:SJU262188 STN262188:STQ262188 TDJ262188:TDM262188 TNF262188:TNI262188 TXB262188:TXE262188 UGX262188:UHA262188 UQT262188:UQW262188 VAP262188:VAS262188 VKL262188:VKO262188 VUH262188:VUK262188 WED262188:WEG262188 WNZ262188:WOC262188 WXV262188:WXY262188 BN327724:BQ327724 LJ327724:LM327724 VF327724:VI327724 AFB327724:AFE327724 AOX327724:APA327724 AYT327724:AYW327724 BIP327724:BIS327724 BSL327724:BSO327724 CCH327724:CCK327724 CMD327724:CMG327724 CVZ327724:CWC327724 DFV327724:DFY327724 DPR327724:DPU327724 DZN327724:DZQ327724 EJJ327724:EJM327724 ETF327724:ETI327724 FDB327724:FDE327724 FMX327724:FNA327724 FWT327724:FWW327724 GGP327724:GGS327724 GQL327724:GQO327724 HAH327724:HAK327724 HKD327724:HKG327724 HTZ327724:HUC327724 IDV327724:IDY327724 INR327724:INU327724 IXN327724:IXQ327724 JHJ327724:JHM327724 JRF327724:JRI327724 KBB327724:KBE327724 KKX327724:KLA327724 KUT327724:KUW327724 LEP327724:LES327724 LOL327724:LOO327724 LYH327724:LYK327724 MID327724:MIG327724 MRZ327724:MSC327724 NBV327724:NBY327724 NLR327724:NLU327724 NVN327724:NVQ327724 OFJ327724:OFM327724 OPF327724:OPI327724 OZB327724:OZE327724 PIX327724:PJA327724 PST327724:PSW327724 QCP327724:QCS327724 QML327724:QMO327724 QWH327724:QWK327724 RGD327724:RGG327724 RPZ327724:RQC327724 RZV327724:RZY327724 SJR327724:SJU327724 STN327724:STQ327724 TDJ327724:TDM327724 TNF327724:TNI327724 TXB327724:TXE327724 UGX327724:UHA327724 UQT327724:UQW327724 VAP327724:VAS327724 VKL327724:VKO327724 VUH327724:VUK327724 WED327724:WEG327724 WNZ327724:WOC327724 WXV327724:WXY327724 BN393260:BQ393260 LJ393260:LM393260 VF393260:VI393260 AFB393260:AFE393260 AOX393260:APA393260 AYT393260:AYW393260 BIP393260:BIS393260 BSL393260:BSO393260 CCH393260:CCK393260 CMD393260:CMG393260 CVZ393260:CWC393260 DFV393260:DFY393260 DPR393260:DPU393260 DZN393260:DZQ393260 EJJ393260:EJM393260 ETF393260:ETI393260 FDB393260:FDE393260 FMX393260:FNA393260 FWT393260:FWW393260 GGP393260:GGS393260 GQL393260:GQO393260 HAH393260:HAK393260 HKD393260:HKG393260 HTZ393260:HUC393260 IDV393260:IDY393260 INR393260:INU393260 IXN393260:IXQ393260 JHJ393260:JHM393260 JRF393260:JRI393260 KBB393260:KBE393260 KKX393260:KLA393260 KUT393260:KUW393260 LEP393260:LES393260 LOL393260:LOO393260 LYH393260:LYK393260 MID393260:MIG393260 MRZ393260:MSC393260 NBV393260:NBY393260 NLR393260:NLU393260 NVN393260:NVQ393260 OFJ393260:OFM393260 OPF393260:OPI393260 OZB393260:OZE393260 PIX393260:PJA393260 PST393260:PSW393260 QCP393260:QCS393260 QML393260:QMO393260 QWH393260:QWK393260 RGD393260:RGG393260 RPZ393260:RQC393260 RZV393260:RZY393260 SJR393260:SJU393260 STN393260:STQ393260 TDJ393260:TDM393260 TNF393260:TNI393260 TXB393260:TXE393260 UGX393260:UHA393260 UQT393260:UQW393260 VAP393260:VAS393260 VKL393260:VKO393260 VUH393260:VUK393260 WED393260:WEG393260 WNZ393260:WOC393260 WXV393260:WXY393260 BN458796:BQ458796 LJ458796:LM458796 VF458796:VI458796 AFB458796:AFE458796 AOX458796:APA458796 AYT458796:AYW458796 BIP458796:BIS458796 BSL458796:BSO458796 CCH458796:CCK458796 CMD458796:CMG458796 CVZ458796:CWC458796 DFV458796:DFY458796 DPR458796:DPU458796 DZN458796:DZQ458796 EJJ458796:EJM458796 ETF458796:ETI458796 FDB458796:FDE458796 FMX458796:FNA458796 FWT458796:FWW458796 GGP458796:GGS458796 GQL458796:GQO458796 HAH458796:HAK458796 HKD458796:HKG458796 HTZ458796:HUC458796 IDV458796:IDY458796 INR458796:INU458796 IXN458796:IXQ458796 JHJ458796:JHM458796 JRF458796:JRI458796 KBB458796:KBE458796 KKX458796:KLA458796 KUT458796:KUW458796 LEP458796:LES458796 LOL458796:LOO458796 LYH458796:LYK458796 MID458796:MIG458796 MRZ458796:MSC458796 NBV458796:NBY458796 NLR458796:NLU458796 NVN458796:NVQ458796 OFJ458796:OFM458796 OPF458796:OPI458796 OZB458796:OZE458796 PIX458796:PJA458796 PST458796:PSW458796 QCP458796:QCS458796 QML458796:QMO458796 QWH458796:QWK458796 RGD458796:RGG458796 RPZ458796:RQC458796 RZV458796:RZY458796 SJR458796:SJU458796 STN458796:STQ458796 TDJ458796:TDM458796 TNF458796:TNI458796 TXB458796:TXE458796 UGX458796:UHA458796 UQT458796:UQW458796 VAP458796:VAS458796 VKL458796:VKO458796 VUH458796:VUK458796 WED458796:WEG458796 WNZ458796:WOC458796 WXV458796:WXY458796 BN524332:BQ524332 LJ524332:LM524332 VF524332:VI524332 AFB524332:AFE524332 AOX524332:APA524332 AYT524332:AYW524332 BIP524332:BIS524332 BSL524332:BSO524332 CCH524332:CCK524332 CMD524332:CMG524332 CVZ524332:CWC524332 DFV524332:DFY524332 DPR524332:DPU524332 DZN524332:DZQ524332 EJJ524332:EJM524332 ETF524332:ETI524332 FDB524332:FDE524332 FMX524332:FNA524332 FWT524332:FWW524332 GGP524332:GGS524332 GQL524332:GQO524332 HAH524332:HAK524332 HKD524332:HKG524332 HTZ524332:HUC524332 IDV524332:IDY524332 INR524332:INU524332 IXN524332:IXQ524332 JHJ524332:JHM524332 JRF524332:JRI524332 KBB524332:KBE524332 KKX524332:KLA524332 KUT524332:KUW524332 LEP524332:LES524332 LOL524332:LOO524332 LYH524332:LYK524332 MID524332:MIG524332 MRZ524332:MSC524332 NBV524332:NBY524332 NLR524332:NLU524332 NVN524332:NVQ524332 OFJ524332:OFM524332 OPF524332:OPI524332 OZB524332:OZE524332 PIX524332:PJA524332 PST524332:PSW524332 QCP524332:QCS524332 QML524332:QMO524332 QWH524332:QWK524332 RGD524332:RGG524332 RPZ524332:RQC524332 RZV524332:RZY524332 SJR524332:SJU524332 STN524332:STQ524332 TDJ524332:TDM524332 TNF524332:TNI524332 TXB524332:TXE524332 UGX524332:UHA524332 UQT524332:UQW524332 VAP524332:VAS524332 VKL524332:VKO524332 VUH524332:VUK524332 WED524332:WEG524332 WNZ524332:WOC524332 WXV524332:WXY524332 BN589868:BQ589868 LJ589868:LM589868 VF589868:VI589868 AFB589868:AFE589868 AOX589868:APA589868 AYT589868:AYW589868 BIP589868:BIS589868 BSL589868:BSO589868 CCH589868:CCK589868 CMD589868:CMG589868 CVZ589868:CWC589868 DFV589868:DFY589868 DPR589868:DPU589868 DZN589868:DZQ589868 EJJ589868:EJM589868 ETF589868:ETI589868 FDB589868:FDE589868 FMX589868:FNA589868 FWT589868:FWW589868 GGP589868:GGS589868 GQL589868:GQO589868 HAH589868:HAK589868 HKD589868:HKG589868 HTZ589868:HUC589868 IDV589868:IDY589868 INR589868:INU589868 IXN589868:IXQ589868 JHJ589868:JHM589868 JRF589868:JRI589868 KBB589868:KBE589868 KKX589868:KLA589868 KUT589868:KUW589868 LEP589868:LES589868 LOL589868:LOO589868 LYH589868:LYK589868 MID589868:MIG589868 MRZ589868:MSC589868 NBV589868:NBY589868 NLR589868:NLU589868 NVN589868:NVQ589868 OFJ589868:OFM589868 OPF589868:OPI589868 OZB589868:OZE589868 PIX589868:PJA589868 PST589868:PSW589868 QCP589868:QCS589868 QML589868:QMO589868 QWH589868:QWK589868 RGD589868:RGG589868 RPZ589868:RQC589868 RZV589868:RZY589868 SJR589868:SJU589868 STN589868:STQ589868 TDJ589868:TDM589868 TNF589868:TNI589868 TXB589868:TXE589868 UGX589868:UHA589868 UQT589868:UQW589868 VAP589868:VAS589868 VKL589868:VKO589868 VUH589868:VUK589868 WED589868:WEG589868 WNZ589868:WOC589868 WXV589868:WXY589868 BN655404:BQ655404 LJ655404:LM655404 VF655404:VI655404 AFB655404:AFE655404 AOX655404:APA655404 AYT655404:AYW655404 BIP655404:BIS655404 BSL655404:BSO655404 CCH655404:CCK655404 CMD655404:CMG655404 CVZ655404:CWC655404 DFV655404:DFY655404 DPR655404:DPU655404 DZN655404:DZQ655404 EJJ655404:EJM655404 ETF655404:ETI655404 FDB655404:FDE655404 FMX655404:FNA655404 FWT655404:FWW655404 GGP655404:GGS655404 GQL655404:GQO655404 HAH655404:HAK655404 HKD655404:HKG655404 HTZ655404:HUC655404 IDV655404:IDY655404 INR655404:INU655404 IXN655404:IXQ655404 JHJ655404:JHM655404 JRF655404:JRI655404 KBB655404:KBE655404 KKX655404:KLA655404 KUT655404:KUW655404 LEP655404:LES655404 LOL655404:LOO655404 LYH655404:LYK655404 MID655404:MIG655404 MRZ655404:MSC655404 NBV655404:NBY655404 NLR655404:NLU655404 NVN655404:NVQ655404 OFJ655404:OFM655404 OPF655404:OPI655404 OZB655404:OZE655404 PIX655404:PJA655404 PST655404:PSW655404 QCP655404:QCS655404 QML655404:QMO655404 QWH655404:QWK655404 RGD655404:RGG655404 RPZ655404:RQC655404 RZV655404:RZY655404 SJR655404:SJU655404 STN655404:STQ655404 TDJ655404:TDM655404 TNF655404:TNI655404 TXB655404:TXE655404 UGX655404:UHA655404 UQT655404:UQW655404 VAP655404:VAS655404 VKL655404:VKO655404 VUH655404:VUK655404 WED655404:WEG655404 WNZ655404:WOC655404 WXV655404:WXY655404 BN720940:BQ720940 LJ720940:LM720940 VF720940:VI720940 AFB720940:AFE720940 AOX720940:APA720940 AYT720940:AYW720940 BIP720940:BIS720940 BSL720940:BSO720940 CCH720940:CCK720940 CMD720940:CMG720940 CVZ720940:CWC720940 DFV720940:DFY720940 DPR720940:DPU720940 DZN720940:DZQ720940 EJJ720940:EJM720940 ETF720940:ETI720940 FDB720940:FDE720940 FMX720940:FNA720940 FWT720940:FWW720940 GGP720940:GGS720940 GQL720940:GQO720940 HAH720940:HAK720940 HKD720940:HKG720940 HTZ720940:HUC720940 IDV720940:IDY720940 INR720940:INU720940 IXN720940:IXQ720940 JHJ720940:JHM720940 JRF720940:JRI720940 KBB720940:KBE720940 KKX720940:KLA720940 KUT720940:KUW720940 LEP720940:LES720940 LOL720940:LOO720940 LYH720940:LYK720940 MID720940:MIG720940 MRZ720940:MSC720940 NBV720940:NBY720940 NLR720940:NLU720940 NVN720940:NVQ720940 OFJ720940:OFM720940 OPF720940:OPI720940 OZB720940:OZE720940 PIX720940:PJA720940 PST720940:PSW720940 QCP720940:QCS720940 QML720940:QMO720940 QWH720940:QWK720940 RGD720940:RGG720940 RPZ720940:RQC720940 RZV720940:RZY720940 SJR720940:SJU720940 STN720940:STQ720940 TDJ720940:TDM720940 TNF720940:TNI720940 TXB720940:TXE720940 UGX720940:UHA720940 UQT720940:UQW720940 VAP720940:VAS720940 VKL720940:VKO720940 VUH720940:VUK720940 WED720940:WEG720940 WNZ720940:WOC720940 WXV720940:WXY720940 BN786476:BQ786476 LJ786476:LM786476 VF786476:VI786476 AFB786476:AFE786476 AOX786476:APA786476 AYT786476:AYW786476 BIP786476:BIS786476 BSL786476:BSO786476 CCH786476:CCK786476 CMD786476:CMG786476 CVZ786476:CWC786476 DFV786476:DFY786476 DPR786476:DPU786476 DZN786476:DZQ786476 EJJ786476:EJM786476 ETF786476:ETI786476 FDB786476:FDE786476 FMX786476:FNA786476 FWT786476:FWW786476 GGP786476:GGS786476 GQL786476:GQO786476 HAH786476:HAK786476 HKD786476:HKG786476 HTZ786476:HUC786476 IDV786476:IDY786476 INR786476:INU786476 IXN786476:IXQ786476 JHJ786476:JHM786476 JRF786476:JRI786476 KBB786476:KBE786476 KKX786476:KLA786476 KUT786476:KUW786476 LEP786476:LES786476 LOL786476:LOO786476 LYH786476:LYK786476 MID786476:MIG786476 MRZ786476:MSC786476 NBV786476:NBY786476 NLR786476:NLU786476 NVN786476:NVQ786476 OFJ786476:OFM786476 OPF786476:OPI786476 OZB786476:OZE786476 PIX786476:PJA786476 PST786476:PSW786476 QCP786476:QCS786476 QML786476:QMO786476 QWH786476:QWK786476 RGD786476:RGG786476 RPZ786476:RQC786476 RZV786476:RZY786476 SJR786476:SJU786476 STN786476:STQ786476 TDJ786476:TDM786476 TNF786476:TNI786476 TXB786476:TXE786476 UGX786476:UHA786476 UQT786476:UQW786476 VAP786476:VAS786476 VKL786476:VKO786476 VUH786476:VUK786476 WED786476:WEG786476 WNZ786476:WOC786476 WXV786476:WXY786476 BN852012:BQ852012 LJ852012:LM852012 VF852012:VI852012 AFB852012:AFE852012 AOX852012:APA852012 AYT852012:AYW852012 BIP852012:BIS852012 BSL852012:BSO852012 CCH852012:CCK852012 CMD852012:CMG852012 CVZ852012:CWC852012 DFV852012:DFY852012 DPR852012:DPU852012 DZN852012:DZQ852012 EJJ852012:EJM852012 ETF852012:ETI852012 FDB852012:FDE852012 FMX852012:FNA852012 FWT852012:FWW852012 GGP852012:GGS852012 GQL852012:GQO852012 HAH852012:HAK852012 HKD852012:HKG852012 HTZ852012:HUC852012 IDV852012:IDY852012 INR852012:INU852012 IXN852012:IXQ852012 JHJ852012:JHM852012 JRF852012:JRI852012 KBB852012:KBE852012 KKX852012:KLA852012 KUT852012:KUW852012 LEP852012:LES852012 LOL852012:LOO852012 LYH852012:LYK852012 MID852012:MIG852012 MRZ852012:MSC852012 NBV852012:NBY852012 NLR852012:NLU852012 NVN852012:NVQ852012 OFJ852012:OFM852012 OPF852012:OPI852012 OZB852012:OZE852012 PIX852012:PJA852012 PST852012:PSW852012 QCP852012:QCS852012 QML852012:QMO852012 QWH852012:QWK852012 RGD852012:RGG852012 RPZ852012:RQC852012 RZV852012:RZY852012 SJR852012:SJU852012 STN852012:STQ852012 TDJ852012:TDM852012 TNF852012:TNI852012 TXB852012:TXE852012 UGX852012:UHA852012 UQT852012:UQW852012 VAP852012:VAS852012 VKL852012:VKO852012 VUH852012:VUK852012 WED852012:WEG852012 WNZ852012:WOC852012 WXV852012:WXY852012 BN917548:BQ917548 LJ917548:LM917548 VF917548:VI917548 AFB917548:AFE917548 AOX917548:APA917548 AYT917548:AYW917548 BIP917548:BIS917548 BSL917548:BSO917548 CCH917548:CCK917548 CMD917548:CMG917548 CVZ917548:CWC917548 DFV917548:DFY917548 DPR917548:DPU917548 DZN917548:DZQ917548 EJJ917548:EJM917548 ETF917548:ETI917548 FDB917548:FDE917548 FMX917548:FNA917548 FWT917548:FWW917548 GGP917548:GGS917548 GQL917548:GQO917548 HAH917548:HAK917548 HKD917548:HKG917548 HTZ917548:HUC917548 IDV917548:IDY917548 INR917548:INU917548 IXN917548:IXQ917548 JHJ917548:JHM917548 JRF917548:JRI917548 KBB917548:KBE917548 KKX917548:KLA917548 KUT917548:KUW917548 LEP917548:LES917548 LOL917548:LOO917548 LYH917548:LYK917548 MID917548:MIG917548 MRZ917548:MSC917548 NBV917548:NBY917548 NLR917548:NLU917548 NVN917548:NVQ917548 OFJ917548:OFM917548 OPF917548:OPI917548 OZB917548:OZE917548 PIX917548:PJA917548 PST917548:PSW917548 QCP917548:QCS917548 QML917548:QMO917548 QWH917548:QWK917548 RGD917548:RGG917548 RPZ917548:RQC917548 RZV917548:RZY917548 SJR917548:SJU917548 STN917548:STQ917548 TDJ917548:TDM917548 TNF917548:TNI917548 TXB917548:TXE917548 UGX917548:UHA917548 UQT917548:UQW917548 VAP917548:VAS917548 VKL917548:VKO917548 VUH917548:VUK917548 WED917548:WEG917548 WNZ917548:WOC917548 WXV917548:WXY917548 BN983084:BQ983084 LJ983084:LM983084 VF983084:VI983084 AFB983084:AFE983084 AOX983084:APA983084 AYT983084:AYW983084 BIP983084:BIS983084 BSL983084:BSO983084 CCH983084:CCK983084 CMD983084:CMG983084 CVZ983084:CWC983084 DFV983084:DFY983084 DPR983084:DPU983084 DZN983084:DZQ983084 EJJ983084:EJM983084 ETF983084:ETI983084 FDB983084:FDE983084 FMX983084:FNA983084 FWT983084:FWW983084 GGP983084:GGS983084 GQL983084:GQO983084 HAH983084:HAK983084 HKD983084:HKG983084 HTZ983084:HUC983084 IDV983084:IDY983084 INR983084:INU983084 IXN983084:IXQ983084 JHJ983084:JHM983084 JRF983084:JRI983084 KBB983084:KBE983084 KKX983084:KLA983084 KUT983084:KUW983084 LEP983084:LES983084 LOL983084:LOO983084 LYH983084:LYK983084 MID983084:MIG983084 MRZ983084:MSC983084 NBV983084:NBY983084 NLR983084:NLU983084 NVN983084:NVQ983084 OFJ983084:OFM983084 OPF983084:OPI983084 OZB983084:OZE983084 PIX983084:PJA983084 PST983084:PSW983084 QCP983084:QCS983084 QML983084:QMO983084 QWH983084:QWK983084 RGD983084:RGG983084 RPZ983084:RQC983084 RZV983084:RZY983084 SJR983084:SJU983084 STN983084:STQ983084 TDJ983084:TDM983084 TNF983084:TNI983084 TXB983084:TXE983084 UGX983084:UHA983084 UQT983084:UQW983084 VAP983084:VAS983084 VKL983084:VKO983084 VUH983084:VUK983084 WED983084:WEG983084 WNZ983084:WOC983084 WXV983084:WXY983084" xr:uid="{26ED8C0F-34B1-4E18-A4FA-7C0C94DC6467}">
      <formula1>"CHAR,VARCHAR2,NUMBER,DATE"</formula1>
    </dataValidation>
    <dataValidation type="list" allowBlank="1" showInputMessage="1" showErrorMessage="1" sqref="A9:D44 IW9:IZ44 SS9:SV44 ACO9:ACR44 AMK9:AMN44 AWG9:AWJ44 BGC9:BGF44 BPY9:BQB44 BZU9:BZX44 CJQ9:CJT44 CTM9:CTP44 DDI9:DDL44 DNE9:DNH44 DXA9:DXD44 EGW9:EGZ44 EQS9:EQV44 FAO9:FAR44 FKK9:FKN44 FUG9:FUJ44 GEC9:GEF44 GNY9:GOB44 GXU9:GXX44 HHQ9:HHT44 HRM9:HRP44 IBI9:IBL44 ILE9:ILH44 IVA9:IVD44 JEW9:JEZ44 JOS9:JOV44 JYO9:JYR44 KIK9:KIN44 KSG9:KSJ44 LCC9:LCF44 LLY9:LMB44 LVU9:LVX44 MFQ9:MFT44 MPM9:MPP44 MZI9:MZL44 NJE9:NJH44 NTA9:NTD44 OCW9:OCZ44 OMS9:OMV44 OWO9:OWR44 PGK9:PGN44 PQG9:PQJ44 QAC9:QAF44 QJY9:QKB44 QTU9:QTX44 RDQ9:RDT44 RNM9:RNP44 RXI9:RXL44 SHE9:SHH44 SRA9:SRD44 TAW9:TAZ44 TKS9:TKV44 TUO9:TUR44 UEK9:UEN44 UOG9:UOJ44 UYC9:UYF44 VHY9:VIB44 VRU9:VRX44 WBQ9:WBT44 WLM9:WLP44 WVI9:WVL44 A65545:D65580 IW65545:IZ65580 SS65545:SV65580 ACO65545:ACR65580 AMK65545:AMN65580 AWG65545:AWJ65580 BGC65545:BGF65580 BPY65545:BQB65580 BZU65545:BZX65580 CJQ65545:CJT65580 CTM65545:CTP65580 DDI65545:DDL65580 DNE65545:DNH65580 DXA65545:DXD65580 EGW65545:EGZ65580 EQS65545:EQV65580 FAO65545:FAR65580 FKK65545:FKN65580 FUG65545:FUJ65580 GEC65545:GEF65580 GNY65545:GOB65580 GXU65545:GXX65580 HHQ65545:HHT65580 HRM65545:HRP65580 IBI65545:IBL65580 ILE65545:ILH65580 IVA65545:IVD65580 JEW65545:JEZ65580 JOS65545:JOV65580 JYO65545:JYR65580 KIK65545:KIN65580 KSG65545:KSJ65580 LCC65545:LCF65580 LLY65545:LMB65580 LVU65545:LVX65580 MFQ65545:MFT65580 MPM65545:MPP65580 MZI65545:MZL65580 NJE65545:NJH65580 NTA65545:NTD65580 OCW65545:OCZ65580 OMS65545:OMV65580 OWO65545:OWR65580 PGK65545:PGN65580 PQG65545:PQJ65580 QAC65545:QAF65580 QJY65545:QKB65580 QTU65545:QTX65580 RDQ65545:RDT65580 RNM65545:RNP65580 RXI65545:RXL65580 SHE65545:SHH65580 SRA65545:SRD65580 TAW65545:TAZ65580 TKS65545:TKV65580 TUO65545:TUR65580 UEK65545:UEN65580 UOG65545:UOJ65580 UYC65545:UYF65580 VHY65545:VIB65580 VRU65545:VRX65580 WBQ65545:WBT65580 WLM65545:WLP65580 WVI65545:WVL65580 A131081:D131116 IW131081:IZ131116 SS131081:SV131116 ACO131081:ACR131116 AMK131081:AMN131116 AWG131081:AWJ131116 BGC131081:BGF131116 BPY131081:BQB131116 BZU131081:BZX131116 CJQ131081:CJT131116 CTM131081:CTP131116 DDI131081:DDL131116 DNE131081:DNH131116 DXA131081:DXD131116 EGW131081:EGZ131116 EQS131081:EQV131116 FAO131081:FAR131116 FKK131081:FKN131116 FUG131081:FUJ131116 GEC131081:GEF131116 GNY131081:GOB131116 GXU131081:GXX131116 HHQ131081:HHT131116 HRM131081:HRP131116 IBI131081:IBL131116 ILE131081:ILH131116 IVA131081:IVD131116 JEW131081:JEZ131116 JOS131081:JOV131116 JYO131081:JYR131116 KIK131081:KIN131116 KSG131081:KSJ131116 LCC131081:LCF131116 LLY131081:LMB131116 LVU131081:LVX131116 MFQ131081:MFT131116 MPM131081:MPP131116 MZI131081:MZL131116 NJE131081:NJH131116 NTA131081:NTD131116 OCW131081:OCZ131116 OMS131081:OMV131116 OWO131081:OWR131116 PGK131081:PGN131116 PQG131081:PQJ131116 QAC131081:QAF131116 QJY131081:QKB131116 QTU131081:QTX131116 RDQ131081:RDT131116 RNM131081:RNP131116 RXI131081:RXL131116 SHE131081:SHH131116 SRA131081:SRD131116 TAW131081:TAZ131116 TKS131081:TKV131116 TUO131081:TUR131116 UEK131081:UEN131116 UOG131081:UOJ131116 UYC131081:UYF131116 VHY131081:VIB131116 VRU131081:VRX131116 WBQ131081:WBT131116 WLM131081:WLP131116 WVI131081:WVL131116 A196617:D196652 IW196617:IZ196652 SS196617:SV196652 ACO196617:ACR196652 AMK196617:AMN196652 AWG196617:AWJ196652 BGC196617:BGF196652 BPY196617:BQB196652 BZU196617:BZX196652 CJQ196617:CJT196652 CTM196617:CTP196652 DDI196617:DDL196652 DNE196617:DNH196652 DXA196617:DXD196652 EGW196617:EGZ196652 EQS196617:EQV196652 FAO196617:FAR196652 FKK196617:FKN196652 FUG196617:FUJ196652 GEC196617:GEF196652 GNY196617:GOB196652 GXU196617:GXX196652 HHQ196617:HHT196652 HRM196617:HRP196652 IBI196617:IBL196652 ILE196617:ILH196652 IVA196617:IVD196652 JEW196617:JEZ196652 JOS196617:JOV196652 JYO196617:JYR196652 KIK196617:KIN196652 KSG196617:KSJ196652 LCC196617:LCF196652 LLY196617:LMB196652 LVU196617:LVX196652 MFQ196617:MFT196652 MPM196617:MPP196652 MZI196617:MZL196652 NJE196617:NJH196652 NTA196617:NTD196652 OCW196617:OCZ196652 OMS196617:OMV196652 OWO196617:OWR196652 PGK196617:PGN196652 PQG196617:PQJ196652 QAC196617:QAF196652 QJY196617:QKB196652 QTU196617:QTX196652 RDQ196617:RDT196652 RNM196617:RNP196652 RXI196617:RXL196652 SHE196617:SHH196652 SRA196617:SRD196652 TAW196617:TAZ196652 TKS196617:TKV196652 TUO196617:TUR196652 UEK196617:UEN196652 UOG196617:UOJ196652 UYC196617:UYF196652 VHY196617:VIB196652 VRU196617:VRX196652 WBQ196617:WBT196652 WLM196617:WLP196652 WVI196617:WVL196652 A262153:D262188 IW262153:IZ262188 SS262153:SV262188 ACO262153:ACR262188 AMK262153:AMN262188 AWG262153:AWJ262188 BGC262153:BGF262188 BPY262153:BQB262188 BZU262153:BZX262188 CJQ262153:CJT262188 CTM262153:CTP262188 DDI262153:DDL262188 DNE262153:DNH262188 DXA262153:DXD262188 EGW262153:EGZ262188 EQS262153:EQV262188 FAO262153:FAR262188 FKK262153:FKN262188 FUG262153:FUJ262188 GEC262153:GEF262188 GNY262153:GOB262188 GXU262153:GXX262188 HHQ262153:HHT262188 HRM262153:HRP262188 IBI262153:IBL262188 ILE262153:ILH262188 IVA262153:IVD262188 JEW262153:JEZ262188 JOS262153:JOV262188 JYO262153:JYR262188 KIK262153:KIN262188 KSG262153:KSJ262188 LCC262153:LCF262188 LLY262153:LMB262188 LVU262153:LVX262188 MFQ262153:MFT262188 MPM262153:MPP262188 MZI262153:MZL262188 NJE262153:NJH262188 NTA262153:NTD262188 OCW262153:OCZ262188 OMS262153:OMV262188 OWO262153:OWR262188 PGK262153:PGN262188 PQG262153:PQJ262188 QAC262153:QAF262188 QJY262153:QKB262188 QTU262153:QTX262188 RDQ262153:RDT262188 RNM262153:RNP262188 RXI262153:RXL262188 SHE262153:SHH262188 SRA262153:SRD262188 TAW262153:TAZ262188 TKS262153:TKV262188 TUO262153:TUR262188 UEK262153:UEN262188 UOG262153:UOJ262188 UYC262153:UYF262188 VHY262153:VIB262188 VRU262153:VRX262188 WBQ262153:WBT262188 WLM262153:WLP262188 WVI262153:WVL262188 A327689:D327724 IW327689:IZ327724 SS327689:SV327724 ACO327689:ACR327724 AMK327689:AMN327724 AWG327689:AWJ327724 BGC327689:BGF327724 BPY327689:BQB327724 BZU327689:BZX327724 CJQ327689:CJT327724 CTM327689:CTP327724 DDI327689:DDL327724 DNE327689:DNH327724 DXA327689:DXD327724 EGW327689:EGZ327724 EQS327689:EQV327724 FAO327689:FAR327724 FKK327689:FKN327724 FUG327689:FUJ327724 GEC327689:GEF327724 GNY327689:GOB327724 GXU327689:GXX327724 HHQ327689:HHT327724 HRM327689:HRP327724 IBI327689:IBL327724 ILE327689:ILH327724 IVA327689:IVD327724 JEW327689:JEZ327724 JOS327689:JOV327724 JYO327689:JYR327724 KIK327689:KIN327724 KSG327689:KSJ327724 LCC327689:LCF327724 LLY327689:LMB327724 LVU327689:LVX327724 MFQ327689:MFT327724 MPM327689:MPP327724 MZI327689:MZL327724 NJE327689:NJH327724 NTA327689:NTD327724 OCW327689:OCZ327724 OMS327689:OMV327724 OWO327689:OWR327724 PGK327689:PGN327724 PQG327689:PQJ327724 QAC327689:QAF327724 QJY327689:QKB327724 QTU327689:QTX327724 RDQ327689:RDT327724 RNM327689:RNP327724 RXI327689:RXL327724 SHE327689:SHH327724 SRA327689:SRD327724 TAW327689:TAZ327724 TKS327689:TKV327724 TUO327689:TUR327724 UEK327689:UEN327724 UOG327689:UOJ327724 UYC327689:UYF327724 VHY327689:VIB327724 VRU327689:VRX327724 WBQ327689:WBT327724 WLM327689:WLP327724 WVI327689:WVL327724 A393225:D393260 IW393225:IZ393260 SS393225:SV393260 ACO393225:ACR393260 AMK393225:AMN393260 AWG393225:AWJ393260 BGC393225:BGF393260 BPY393225:BQB393260 BZU393225:BZX393260 CJQ393225:CJT393260 CTM393225:CTP393260 DDI393225:DDL393260 DNE393225:DNH393260 DXA393225:DXD393260 EGW393225:EGZ393260 EQS393225:EQV393260 FAO393225:FAR393260 FKK393225:FKN393260 FUG393225:FUJ393260 GEC393225:GEF393260 GNY393225:GOB393260 GXU393225:GXX393260 HHQ393225:HHT393260 HRM393225:HRP393260 IBI393225:IBL393260 ILE393225:ILH393260 IVA393225:IVD393260 JEW393225:JEZ393260 JOS393225:JOV393260 JYO393225:JYR393260 KIK393225:KIN393260 KSG393225:KSJ393260 LCC393225:LCF393260 LLY393225:LMB393260 LVU393225:LVX393260 MFQ393225:MFT393260 MPM393225:MPP393260 MZI393225:MZL393260 NJE393225:NJH393260 NTA393225:NTD393260 OCW393225:OCZ393260 OMS393225:OMV393260 OWO393225:OWR393260 PGK393225:PGN393260 PQG393225:PQJ393260 QAC393225:QAF393260 QJY393225:QKB393260 QTU393225:QTX393260 RDQ393225:RDT393260 RNM393225:RNP393260 RXI393225:RXL393260 SHE393225:SHH393260 SRA393225:SRD393260 TAW393225:TAZ393260 TKS393225:TKV393260 TUO393225:TUR393260 UEK393225:UEN393260 UOG393225:UOJ393260 UYC393225:UYF393260 VHY393225:VIB393260 VRU393225:VRX393260 WBQ393225:WBT393260 WLM393225:WLP393260 WVI393225:WVL393260 A458761:D458796 IW458761:IZ458796 SS458761:SV458796 ACO458761:ACR458796 AMK458761:AMN458796 AWG458761:AWJ458796 BGC458761:BGF458796 BPY458761:BQB458796 BZU458761:BZX458796 CJQ458761:CJT458796 CTM458761:CTP458796 DDI458761:DDL458796 DNE458761:DNH458796 DXA458761:DXD458796 EGW458761:EGZ458796 EQS458761:EQV458796 FAO458761:FAR458796 FKK458761:FKN458796 FUG458761:FUJ458796 GEC458761:GEF458796 GNY458761:GOB458796 GXU458761:GXX458796 HHQ458761:HHT458796 HRM458761:HRP458796 IBI458761:IBL458796 ILE458761:ILH458796 IVA458761:IVD458796 JEW458761:JEZ458796 JOS458761:JOV458796 JYO458761:JYR458796 KIK458761:KIN458796 KSG458761:KSJ458796 LCC458761:LCF458796 LLY458761:LMB458796 LVU458761:LVX458796 MFQ458761:MFT458796 MPM458761:MPP458796 MZI458761:MZL458796 NJE458761:NJH458796 NTA458761:NTD458796 OCW458761:OCZ458796 OMS458761:OMV458796 OWO458761:OWR458796 PGK458761:PGN458796 PQG458761:PQJ458796 QAC458761:QAF458796 QJY458761:QKB458796 QTU458761:QTX458796 RDQ458761:RDT458796 RNM458761:RNP458796 RXI458761:RXL458796 SHE458761:SHH458796 SRA458761:SRD458796 TAW458761:TAZ458796 TKS458761:TKV458796 TUO458761:TUR458796 UEK458761:UEN458796 UOG458761:UOJ458796 UYC458761:UYF458796 VHY458761:VIB458796 VRU458761:VRX458796 WBQ458761:WBT458796 WLM458761:WLP458796 WVI458761:WVL458796 A524297:D524332 IW524297:IZ524332 SS524297:SV524332 ACO524297:ACR524332 AMK524297:AMN524332 AWG524297:AWJ524332 BGC524297:BGF524332 BPY524297:BQB524332 BZU524297:BZX524332 CJQ524297:CJT524332 CTM524297:CTP524332 DDI524297:DDL524332 DNE524297:DNH524332 DXA524297:DXD524332 EGW524297:EGZ524332 EQS524297:EQV524332 FAO524297:FAR524332 FKK524297:FKN524332 FUG524297:FUJ524332 GEC524297:GEF524332 GNY524297:GOB524332 GXU524297:GXX524332 HHQ524297:HHT524332 HRM524297:HRP524332 IBI524297:IBL524332 ILE524297:ILH524332 IVA524297:IVD524332 JEW524297:JEZ524332 JOS524297:JOV524332 JYO524297:JYR524332 KIK524297:KIN524332 KSG524297:KSJ524332 LCC524297:LCF524332 LLY524297:LMB524332 LVU524297:LVX524332 MFQ524297:MFT524332 MPM524297:MPP524332 MZI524297:MZL524332 NJE524297:NJH524332 NTA524297:NTD524332 OCW524297:OCZ524332 OMS524297:OMV524332 OWO524297:OWR524332 PGK524297:PGN524332 PQG524297:PQJ524332 QAC524297:QAF524332 QJY524297:QKB524332 QTU524297:QTX524332 RDQ524297:RDT524332 RNM524297:RNP524332 RXI524297:RXL524332 SHE524297:SHH524332 SRA524297:SRD524332 TAW524297:TAZ524332 TKS524297:TKV524332 TUO524297:TUR524332 UEK524297:UEN524332 UOG524297:UOJ524332 UYC524297:UYF524332 VHY524297:VIB524332 VRU524297:VRX524332 WBQ524297:WBT524332 WLM524297:WLP524332 WVI524297:WVL524332 A589833:D589868 IW589833:IZ589868 SS589833:SV589868 ACO589833:ACR589868 AMK589833:AMN589868 AWG589833:AWJ589868 BGC589833:BGF589868 BPY589833:BQB589868 BZU589833:BZX589868 CJQ589833:CJT589868 CTM589833:CTP589868 DDI589833:DDL589868 DNE589833:DNH589868 DXA589833:DXD589868 EGW589833:EGZ589868 EQS589833:EQV589868 FAO589833:FAR589868 FKK589833:FKN589868 FUG589833:FUJ589868 GEC589833:GEF589868 GNY589833:GOB589868 GXU589833:GXX589868 HHQ589833:HHT589868 HRM589833:HRP589868 IBI589833:IBL589868 ILE589833:ILH589868 IVA589833:IVD589868 JEW589833:JEZ589868 JOS589833:JOV589868 JYO589833:JYR589868 KIK589833:KIN589868 KSG589833:KSJ589868 LCC589833:LCF589868 LLY589833:LMB589868 LVU589833:LVX589868 MFQ589833:MFT589868 MPM589833:MPP589868 MZI589833:MZL589868 NJE589833:NJH589868 NTA589833:NTD589868 OCW589833:OCZ589868 OMS589833:OMV589868 OWO589833:OWR589868 PGK589833:PGN589868 PQG589833:PQJ589868 QAC589833:QAF589868 QJY589833:QKB589868 QTU589833:QTX589868 RDQ589833:RDT589868 RNM589833:RNP589868 RXI589833:RXL589868 SHE589833:SHH589868 SRA589833:SRD589868 TAW589833:TAZ589868 TKS589833:TKV589868 TUO589833:TUR589868 UEK589833:UEN589868 UOG589833:UOJ589868 UYC589833:UYF589868 VHY589833:VIB589868 VRU589833:VRX589868 WBQ589833:WBT589868 WLM589833:WLP589868 WVI589833:WVL589868 A655369:D655404 IW655369:IZ655404 SS655369:SV655404 ACO655369:ACR655404 AMK655369:AMN655404 AWG655369:AWJ655404 BGC655369:BGF655404 BPY655369:BQB655404 BZU655369:BZX655404 CJQ655369:CJT655404 CTM655369:CTP655404 DDI655369:DDL655404 DNE655369:DNH655404 DXA655369:DXD655404 EGW655369:EGZ655404 EQS655369:EQV655404 FAO655369:FAR655404 FKK655369:FKN655404 FUG655369:FUJ655404 GEC655369:GEF655404 GNY655369:GOB655404 GXU655369:GXX655404 HHQ655369:HHT655404 HRM655369:HRP655404 IBI655369:IBL655404 ILE655369:ILH655404 IVA655369:IVD655404 JEW655369:JEZ655404 JOS655369:JOV655404 JYO655369:JYR655404 KIK655369:KIN655404 KSG655369:KSJ655404 LCC655369:LCF655404 LLY655369:LMB655404 LVU655369:LVX655404 MFQ655369:MFT655404 MPM655369:MPP655404 MZI655369:MZL655404 NJE655369:NJH655404 NTA655369:NTD655404 OCW655369:OCZ655404 OMS655369:OMV655404 OWO655369:OWR655404 PGK655369:PGN655404 PQG655369:PQJ655404 QAC655369:QAF655404 QJY655369:QKB655404 QTU655369:QTX655404 RDQ655369:RDT655404 RNM655369:RNP655404 RXI655369:RXL655404 SHE655369:SHH655404 SRA655369:SRD655404 TAW655369:TAZ655404 TKS655369:TKV655404 TUO655369:TUR655404 UEK655369:UEN655404 UOG655369:UOJ655404 UYC655369:UYF655404 VHY655369:VIB655404 VRU655369:VRX655404 WBQ655369:WBT655404 WLM655369:WLP655404 WVI655369:WVL655404 A720905:D720940 IW720905:IZ720940 SS720905:SV720940 ACO720905:ACR720940 AMK720905:AMN720940 AWG720905:AWJ720940 BGC720905:BGF720940 BPY720905:BQB720940 BZU720905:BZX720940 CJQ720905:CJT720940 CTM720905:CTP720940 DDI720905:DDL720940 DNE720905:DNH720940 DXA720905:DXD720940 EGW720905:EGZ720940 EQS720905:EQV720940 FAO720905:FAR720940 FKK720905:FKN720940 FUG720905:FUJ720940 GEC720905:GEF720940 GNY720905:GOB720940 GXU720905:GXX720940 HHQ720905:HHT720940 HRM720905:HRP720940 IBI720905:IBL720940 ILE720905:ILH720940 IVA720905:IVD720940 JEW720905:JEZ720940 JOS720905:JOV720940 JYO720905:JYR720940 KIK720905:KIN720940 KSG720905:KSJ720940 LCC720905:LCF720940 LLY720905:LMB720940 LVU720905:LVX720940 MFQ720905:MFT720940 MPM720905:MPP720940 MZI720905:MZL720940 NJE720905:NJH720940 NTA720905:NTD720940 OCW720905:OCZ720940 OMS720905:OMV720940 OWO720905:OWR720940 PGK720905:PGN720940 PQG720905:PQJ720940 QAC720905:QAF720940 QJY720905:QKB720940 QTU720905:QTX720940 RDQ720905:RDT720940 RNM720905:RNP720940 RXI720905:RXL720940 SHE720905:SHH720940 SRA720905:SRD720940 TAW720905:TAZ720940 TKS720905:TKV720940 TUO720905:TUR720940 UEK720905:UEN720940 UOG720905:UOJ720940 UYC720905:UYF720940 VHY720905:VIB720940 VRU720905:VRX720940 WBQ720905:WBT720940 WLM720905:WLP720940 WVI720905:WVL720940 A786441:D786476 IW786441:IZ786476 SS786441:SV786476 ACO786441:ACR786476 AMK786441:AMN786476 AWG786441:AWJ786476 BGC786441:BGF786476 BPY786441:BQB786476 BZU786441:BZX786476 CJQ786441:CJT786476 CTM786441:CTP786476 DDI786441:DDL786476 DNE786441:DNH786476 DXA786441:DXD786476 EGW786441:EGZ786476 EQS786441:EQV786476 FAO786441:FAR786476 FKK786441:FKN786476 FUG786441:FUJ786476 GEC786441:GEF786476 GNY786441:GOB786476 GXU786441:GXX786476 HHQ786441:HHT786476 HRM786441:HRP786476 IBI786441:IBL786476 ILE786441:ILH786476 IVA786441:IVD786476 JEW786441:JEZ786476 JOS786441:JOV786476 JYO786441:JYR786476 KIK786441:KIN786476 KSG786441:KSJ786476 LCC786441:LCF786476 LLY786441:LMB786476 LVU786441:LVX786476 MFQ786441:MFT786476 MPM786441:MPP786476 MZI786441:MZL786476 NJE786441:NJH786476 NTA786441:NTD786476 OCW786441:OCZ786476 OMS786441:OMV786476 OWO786441:OWR786476 PGK786441:PGN786476 PQG786441:PQJ786476 QAC786441:QAF786476 QJY786441:QKB786476 QTU786441:QTX786476 RDQ786441:RDT786476 RNM786441:RNP786476 RXI786441:RXL786476 SHE786441:SHH786476 SRA786441:SRD786476 TAW786441:TAZ786476 TKS786441:TKV786476 TUO786441:TUR786476 UEK786441:UEN786476 UOG786441:UOJ786476 UYC786441:UYF786476 VHY786441:VIB786476 VRU786441:VRX786476 WBQ786441:WBT786476 WLM786441:WLP786476 WVI786441:WVL786476 A851977:D852012 IW851977:IZ852012 SS851977:SV852012 ACO851977:ACR852012 AMK851977:AMN852012 AWG851977:AWJ852012 BGC851977:BGF852012 BPY851977:BQB852012 BZU851977:BZX852012 CJQ851977:CJT852012 CTM851977:CTP852012 DDI851977:DDL852012 DNE851977:DNH852012 DXA851977:DXD852012 EGW851977:EGZ852012 EQS851977:EQV852012 FAO851977:FAR852012 FKK851977:FKN852012 FUG851977:FUJ852012 GEC851977:GEF852012 GNY851977:GOB852012 GXU851977:GXX852012 HHQ851977:HHT852012 HRM851977:HRP852012 IBI851977:IBL852012 ILE851977:ILH852012 IVA851977:IVD852012 JEW851977:JEZ852012 JOS851977:JOV852012 JYO851977:JYR852012 KIK851977:KIN852012 KSG851977:KSJ852012 LCC851977:LCF852012 LLY851977:LMB852012 LVU851977:LVX852012 MFQ851977:MFT852012 MPM851977:MPP852012 MZI851977:MZL852012 NJE851977:NJH852012 NTA851977:NTD852012 OCW851977:OCZ852012 OMS851977:OMV852012 OWO851977:OWR852012 PGK851977:PGN852012 PQG851977:PQJ852012 QAC851977:QAF852012 QJY851977:QKB852012 QTU851977:QTX852012 RDQ851977:RDT852012 RNM851977:RNP852012 RXI851977:RXL852012 SHE851977:SHH852012 SRA851977:SRD852012 TAW851977:TAZ852012 TKS851977:TKV852012 TUO851977:TUR852012 UEK851977:UEN852012 UOG851977:UOJ852012 UYC851977:UYF852012 VHY851977:VIB852012 VRU851977:VRX852012 WBQ851977:WBT852012 WLM851977:WLP852012 WVI851977:WVL852012 A917513:D917548 IW917513:IZ917548 SS917513:SV917548 ACO917513:ACR917548 AMK917513:AMN917548 AWG917513:AWJ917548 BGC917513:BGF917548 BPY917513:BQB917548 BZU917513:BZX917548 CJQ917513:CJT917548 CTM917513:CTP917548 DDI917513:DDL917548 DNE917513:DNH917548 DXA917513:DXD917548 EGW917513:EGZ917548 EQS917513:EQV917548 FAO917513:FAR917548 FKK917513:FKN917548 FUG917513:FUJ917548 GEC917513:GEF917548 GNY917513:GOB917548 GXU917513:GXX917548 HHQ917513:HHT917548 HRM917513:HRP917548 IBI917513:IBL917548 ILE917513:ILH917548 IVA917513:IVD917548 JEW917513:JEZ917548 JOS917513:JOV917548 JYO917513:JYR917548 KIK917513:KIN917548 KSG917513:KSJ917548 LCC917513:LCF917548 LLY917513:LMB917548 LVU917513:LVX917548 MFQ917513:MFT917548 MPM917513:MPP917548 MZI917513:MZL917548 NJE917513:NJH917548 NTA917513:NTD917548 OCW917513:OCZ917548 OMS917513:OMV917548 OWO917513:OWR917548 PGK917513:PGN917548 PQG917513:PQJ917548 QAC917513:QAF917548 QJY917513:QKB917548 QTU917513:QTX917548 RDQ917513:RDT917548 RNM917513:RNP917548 RXI917513:RXL917548 SHE917513:SHH917548 SRA917513:SRD917548 TAW917513:TAZ917548 TKS917513:TKV917548 TUO917513:TUR917548 UEK917513:UEN917548 UOG917513:UOJ917548 UYC917513:UYF917548 VHY917513:VIB917548 VRU917513:VRX917548 WBQ917513:WBT917548 WLM917513:WLP917548 WVI917513:WVL917548 A983049:D983084 IW983049:IZ983084 SS983049:SV983084 ACO983049:ACR983084 AMK983049:AMN983084 AWG983049:AWJ983084 BGC983049:BGF983084 BPY983049:BQB983084 BZU983049:BZX983084 CJQ983049:CJT983084 CTM983049:CTP983084 DDI983049:DDL983084 DNE983049:DNH983084 DXA983049:DXD983084 EGW983049:EGZ983084 EQS983049:EQV983084 FAO983049:FAR983084 FKK983049:FKN983084 FUG983049:FUJ983084 GEC983049:GEF983084 GNY983049:GOB983084 GXU983049:GXX983084 HHQ983049:HHT983084 HRM983049:HRP983084 IBI983049:IBL983084 ILE983049:ILH983084 IVA983049:IVD983084 JEW983049:JEZ983084 JOS983049:JOV983084 JYO983049:JYR983084 KIK983049:KIN983084 KSG983049:KSJ983084 LCC983049:LCF983084 LLY983049:LMB983084 LVU983049:LVX983084 MFQ983049:MFT983084 MPM983049:MPP983084 MZI983049:MZL983084 NJE983049:NJH983084 NTA983049:NTD983084 OCW983049:OCZ983084 OMS983049:OMV983084 OWO983049:OWR983084 PGK983049:PGN983084 PQG983049:PQJ983084 QAC983049:QAF983084 QJY983049:QKB983084 QTU983049:QTX983084 RDQ983049:RDT983084 RNM983049:RNP983084 RXI983049:RXL983084 SHE983049:SHH983084 SRA983049:SRD983084 TAW983049:TAZ983084 TKS983049:TKV983084 TUO983049:TUR983084 UEK983049:UEN983084 UOG983049:UOJ983084 UYC983049:UYF983084 VHY983049:VIB983084 VRU983049:VRX983084 WBQ983049:WBT983084 WLM983049:WLP983084 WVI983049:WVL983084" xr:uid="{93F8A21F-BC1B-4E0A-939E-860E47F7B0E4}">
      <formula1>"A,U,D,   "</formula1>
    </dataValidation>
    <dataValidation type="list" allowBlank="1" showInputMessage="1" showErrorMessage="1" sqref="BR9:BR44 LN9:LN44 VJ9:VJ44 AFF9:AFF44 APB9:APB44 AYX9:AYX44 BIT9:BIT44 BSP9:BSP44 CCL9:CCL44 CMH9:CMH44 CWD9:CWD44 DFZ9:DFZ44 DPV9:DPV44 DZR9:DZR44 EJN9:EJN44 ETJ9:ETJ44 FDF9:FDF44 FNB9:FNB44 FWX9:FWX44 GGT9:GGT44 GQP9:GQP44 HAL9:HAL44 HKH9:HKH44 HUD9:HUD44 IDZ9:IDZ44 INV9:INV44 IXR9:IXR44 JHN9:JHN44 JRJ9:JRJ44 KBF9:KBF44 KLB9:KLB44 KUX9:KUX44 LET9:LET44 LOP9:LOP44 LYL9:LYL44 MIH9:MIH44 MSD9:MSD44 NBZ9:NBZ44 NLV9:NLV44 NVR9:NVR44 OFN9:OFN44 OPJ9:OPJ44 OZF9:OZF44 PJB9:PJB44 PSX9:PSX44 QCT9:QCT44 QMP9:QMP44 QWL9:QWL44 RGH9:RGH44 RQD9:RQD44 RZZ9:RZZ44 SJV9:SJV44 STR9:STR44 TDN9:TDN44 TNJ9:TNJ44 TXF9:TXF44 UHB9:UHB44 UQX9:UQX44 VAT9:VAT44 VKP9:VKP44 VUL9:VUL44 WEH9:WEH44 WOD9:WOD44 WXZ9:WXZ44 BR65545:BR65580 LN65545:LN65580 VJ65545:VJ65580 AFF65545:AFF65580 APB65545:APB65580 AYX65545:AYX65580 BIT65545:BIT65580 BSP65545:BSP65580 CCL65545:CCL65580 CMH65545:CMH65580 CWD65545:CWD65580 DFZ65545:DFZ65580 DPV65545:DPV65580 DZR65545:DZR65580 EJN65545:EJN65580 ETJ65545:ETJ65580 FDF65545:FDF65580 FNB65545:FNB65580 FWX65545:FWX65580 GGT65545:GGT65580 GQP65545:GQP65580 HAL65545:HAL65580 HKH65545:HKH65580 HUD65545:HUD65580 IDZ65545:IDZ65580 INV65545:INV65580 IXR65545:IXR65580 JHN65545:JHN65580 JRJ65545:JRJ65580 KBF65545:KBF65580 KLB65545:KLB65580 KUX65545:KUX65580 LET65545:LET65580 LOP65545:LOP65580 LYL65545:LYL65580 MIH65545:MIH65580 MSD65545:MSD65580 NBZ65545:NBZ65580 NLV65545:NLV65580 NVR65545:NVR65580 OFN65545:OFN65580 OPJ65545:OPJ65580 OZF65545:OZF65580 PJB65545:PJB65580 PSX65545:PSX65580 QCT65545:QCT65580 QMP65545:QMP65580 QWL65545:QWL65580 RGH65545:RGH65580 RQD65545:RQD65580 RZZ65545:RZZ65580 SJV65545:SJV65580 STR65545:STR65580 TDN65545:TDN65580 TNJ65545:TNJ65580 TXF65545:TXF65580 UHB65545:UHB65580 UQX65545:UQX65580 VAT65545:VAT65580 VKP65545:VKP65580 VUL65545:VUL65580 WEH65545:WEH65580 WOD65545:WOD65580 WXZ65545:WXZ65580 BR131081:BR131116 LN131081:LN131116 VJ131081:VJ131116 AFF131081:AFF131116 APB131081:APB131116 AYX131081:AYX131116 BIT131081:BIT131116 BSP131081:BSP131116 CCL131081:CCL131116 CMH131081:CMH131116 CWD131081:CWD131116 DFZ131081:DFZ131116 DPV131081:DPV131116 DZR131081:DZR131116 EJN131081:EJN131116 ETJ131081:ETJ131116 FDF131081:FDF131116 FNB131081:FNB131116 FWX131081:FWX131116 GGT131081:GGT131116 GQP131081:GQP131116 HAL131081:HAL131116 HKH131081:HKH131116 HUD131081:HUD131116 IDZ131081:IDZ131116 INV131081:INV131116 IXR131081:IXR131116 JHN131081:JHN131116 JRJ131081:JRJ131116 KBF131081:KBF131116 KLB131081:KLB131116 KUX131081:KUX131116 LET131081:LET131116 LOP131081:LOP131116 LYL131081:LYL131116 MIH131081:MIH131116 MSD131081:MSD131116 NBZ131081:NBZ131116 NLV131081:NLV131116 NVR131081:NVR131116 OFN131081:OFN131116 OPJ131081:OPJ131116 OZF131081:OZF131116 PJB131081:PJB131116 PSX131081:PSX131116 QCT131081:QCT131116 QMP131081:QMP131116 QWL131081:QWL131116 RGH131081:RGH131116 RQD131081:RQD131116 RZZ131081:RZZ131116 SJV131081:SJV131116 STR131081:STR131116 TDN131081:TDN131116 TNJ131081:TNJ131116 TXF131081:TXF131116 UHB131081:UHB131116 UQX131081:UQX131116 VAT131081:VAT131116 VKP131081:VKP131116 VUL131081:VUL131116 WEH131081:WEH131116 WOD131081:WOD131116 WXZ131081:WXZ131116 BR196617:BR196652 LN196617:LN196652 VJ196617:VJ196652 AFF196617:AFF196652 APB196617:APB196652 AYX196617:AYX196652 BIT196617:BIT196652 BSP196617:BSP196652 CCL196617:CCL196652 CMH196617:CMH196652 CWD196617:CWD196652 DFZ196617:DFZ196652 DPV196617:DPV196652 DZR196617:DZR196652 EJN196617:EJN196652 ETJ196617:ETJ196652 FDF196617:FDF196652 FNB196617:FNB196652 FWX196617:FWX196652 GGT196617:GGT196652 GQP196617:GQP196652 HAL196617:HAL196652 HKH196617:HKH196652 HUD196617:HUD196652 IDZ196617:IDZ196652 INV196617:INV196652 IXR196617:IXR196652 JHN196617:JHN196652 JRJ196617:JRJ196652 KBF196617:KBF196652 KLB196617:KLB196652 KUX196617:KUX196652 LET196617:LET196652 LOP196617:LOP196652 LYL196617:LYL196652 MIH196617:MIH196652 MSD196617:MSD196652 NBZ196617:NBZ196652 NLV196617:NLV196652 NVR196617:NVR196652 OFN196617:OFN196652 OPJ196617:OPJ196652 OZF196617:OZF196652 PJB196617:PJB196652 PSX196617:PSX196652 QCT196617:QCT196652 QMP196617:QMP196652 QWL196617:QWL196652 RGH196617:RGH196652 RQD196617:RQD196652 RZZ196617:RZZ196652 SJV196617:SJV196652 STR196617:STR196652 TDN196617:TDN196652 TNJ196617:TNJ196652 TXF196617:TXF196652 UHB196617:UHB196652 UQX196617:UQX196652 VAT196617:VAT196652 VKP196617:VKP196652 VUL196617:VUL196652 WEH196617:WEH196652 WOD196617:WOD196652 WXZ196617:WXZ196652 BR262153:BR262188 LN262153:LN262188 VJ262153:VJ262188 AFF262153:AFF262188 APB262153:APB262188 AYX262153:AYX262188 BIT262153:BIT262188 BSP262153:BSP262188 CCL262153:CCL262188 CMH262153:CMH262188 CWD262153:CWD262188 DFZ262153:DFZ262188 DPV262153:DPV262188 DZR262153:DZR262188 EJN262153:EJN262188 ETJ262153:ETJ262188 FDF262153:FDF262188 FNB262153:FNB262188 FWX262153:FWX262188 GGT262153:GGT262188 GQP262153:GQP262188 HAL262153:HAL262188 HKH262153:HKH262188 HUD262153:HUD262188 IDZ262153:IDZ262188 INV262153:INV262188 IXR262153:IXR262188 JHN262153:JHN262188 JRJ262153:JRJ262188 KBF262153:KBF262188 KLB262153:KLB262188 KUX262153:KUX262188 LET262153:LET262188 LOP262153:LOP262188 LYL262153:LYL262188 MIH262153:MIH262188 MSD262153:MSD262188 NBZ262153:NBZ262188 NLV262153:NLV262188 NVR262153:NVR262188 OFN262153:OFN262188 OPJ262153:OPJ262188 OZF262153:OZF262188 PJB262153:PJB262188 PSX262153:PSX262188 QCT262153:QCT262188 QMP262153:QMP262188 QWL262153:QWL262188 RGH262153:RGH262188 RQD262153:RQD262188 RZZ262153:RZZ262188 SJV262153:SJV262188 STR262153:STR262188 TDN262153:TDN262188 TNJ262153:TNJ262188 TXF262153:TXF262188 UHB262153:UHB262188 UQX262153:UQX262188 VAT262153:VAT262188 VKP262153:VKP262188 VUL262153:VUL262188 WEH262153:WEH262188 WOD262153:WOD262188 WXZ262153:WXZ262188 BR327689:BR327724 LN327689:LN327724 VJ327689:VJ327724 AFF327689:AFF327724 APB327689:APB327724 AYX327689:AYX327724 BIT327689:BIT327724 BSP327689:BSP327724 CCL327689:CCL327724 CMH327689:CMH327724 CWD327689:CWD327724 DFZ327689:DFZ327724 DPV327689:DPV327724 DZR327689:DZR327724 EJN327689:EJN327724 ETJ327689:ETJ327724 FDF327689:FDF327724 FNB327689:FNB327724 FWX327689:FWX327724 GGT327689:GGT327724 GQP327689:GQP327724 HAL327689:HAL327724 HKH327689:HKH327724 HUD327689:HUD327724 IDZ327689:IDZ327724 INV327689:INV327724 IXR327689:IXR327724 JHN327689:JHN327724 JRJ327689:JRJ327724 KBF327689:KBF327724 KLB327689:KLB327724 KUX327689:KUX327724 LET327689:LET327724 LOP327689:LOP327724 LYL327689:LYL327724 MIH327689:MIH327724 MSD327689:MSD327724 NBZ327689:NBZ327724 NLV327689:NLV327724 NVR327689:NVR327724 OFN327689:OFN327724 OPJ327689:OPJ327724 OZF327689:OZF327724 PJB327689:PJB327724 PSX327689:PSX327724 QCT327689:QCT327724 QMP327689:QMP327724 QWL327689:QWL327724 RGH327689:RGH327724 RQD327689:RQD327724 RZZ327689:RZZ327724 SJV327689:SJV327724 STR327689:STR327724 TDN327689:TDN327724 TNJ327689:TNJ327724 TXF327689:TXF327724 UHB327689:UHB327724 UQX327689:UQX327724 VAT327689:VAT327724 VKP327689:VKP327724 VUL327689:VUL327724 WEH327689:WEH327724 WOD327689:WOD327724 WXZ327689:WXZ327724 BR393225:BR393260 LN393225:LN393260 VJ393225:VJ393260 AFF393225:AFF393260 APB393225:APB393260 AYX393225:AYX393260 BIT393225:BIT393260 BSP393225:BSP393260 CCL393225:CCL393260 CMH393225:CMH393260 CWD393225:CWD393260 DFZ393225:DFZ393260 DPV393225:DPV393260 DZR393225:DZR393260 EJN393225:EJN393260 ETJ393225:ETJ393260 FDF393225:FDF393260 FNB393225:FNB393260 FWX393225:FWX393260 GGT393225:GGT393260 GQP393225:GQP393260 HAL393225:HAL393260 HKH393225:HKH393260 HUD393225:HUD393260 IDZ393225:IDZ393260 INV393225:INV393260 IXR393225:IXR393260 JHN393225:JHN393260 JRJ393225:JRJ393260 KBF393225:KBF393260 KLB393225:KLB393260 KUX393225:KUX393260 LET393225:LET393260 LOP393225:LOP393260 LYL393225:LYL393260 MIH393225:MIH393260 MSD393225:MSD393260 NBZ393225:NBZ393260 NLV393225:NLV393260 NVR393225:NVR393260 OFN393225:OFN393260 OPJ393225:OPJ393260 OZF393225:OZF393260 PJB393225:PJB393260 PSX393225:PSX393260 QCT393225:QCT393260 QMP393225:QMP393260 QWL393225:QWL393260 RGH393225:RGH393260 RQD393225:RQD393260 RZZ393225:RZZ393260 SJV393225:SJV393260 STR393225:STR393260 TDN393225:TDN393260 TNJ393225:TNJ393260 TXF393225:TXF393260 UHB393225:UHB393260 UQX393225:UQX393260 VAT393225:VAT393260 VKP393225:VKP393260 VUL393225:VUL393260 WEH393225:WEH393260 WOD393225:WOD393260 WXZ393225:WXZ393260 BR458761:BR458796 LN458761:LN458796 VJ458761:VJ458796 AFF458761:AFF458796 APB458761:APB458796 AYX458761:AYX458796 BIT458761:BIT458796 BSP458761:BSP458796 CCL458761:CCL458796 CMH458761:CMH458796 CWD458761:CWD458796 DFZ458761:DFZ458796 DPV458761:DPV458796 DZR458761:DZR458796 EJN458761:EJN458796 ETJ458761:ETJ458796 FDF458761:FDF458796 FNB458761:FNB458796 FWX458761:FWX458796 GGT458761:GGT458796 GQP458761:GQP458796 HAL458761:HAL458796 HKH458761:HKH458796 HUD458761:HUD458796 IDZ458761:IDZ458796 INV458761:INV458796 IXR458761:IXR458796 JHN458761:JHN458796 JRJ458761:JRJ458796 KBF458761:KBF458796 KLB458761:KLB458796 KUX458761:KUX458796 LET458761:LET458796 LOP458761:LOP458796 LYL458761:LYL458796 MIH458761:MIH458796 MSD458761:MSD458796 NBZ458761:NBZ458796 NLV458761:NLV458796 NVR458761:NVR458796 OFN458761:OFN458796 OPJ458761:OPJ458796 OZF458761:OZF458796 PJB458761:PJB458796 PSX458761:PSX458796 QCT458761:QCT458796 QMP458761:QMP458796 QWL458761:QWL458796 RGH458761:RGH458796 RQD458761:RQD458796 RZZ458761:RZZ458796 SJV458761:SJV458796 STR458761:STR458796 TDN458761:TDN458796 TNJ458761:TNJ458796 TXF458761:TXF458796 UHB458761:UHB458796 UQX458761:UQX458796 VAT458761:VAT458796 VKP458761:VKP458796 VUL458761:VUL458796 WEH458761:WEH458796 WOD458761:WOD458796 WXZ458761:WXZ458796 BR524297:BR524332 LN524297:LN524332 VJ524297:VJ524332 AFF524297:AFF524332 APB524297:APB524332 AYX524297:AYX524332 BIT524297:BIT524332 BSP524297:BSP524332 CCL524297:CCL524332 CMH524297:CMH524332 CWD524297:CWD524332 DFZ524297:DFZ524332 DPV524297:DPV524332 DZR524297:DZR524332 EJN524297:EJN524332 ETJ524297:ETJ524332 FDF524297:FDF524332 FNB524297:FNB524332 FWX524297:FWX524332 GGT524297:GGT524332 GQP524297:GQP524332 HAL524297:HAL524332 HKH524297:HKH524332 HUD524297:HUD524332 IDZ524297:IDZ524332 INV524297:INV524332 IXR524297:IXR524332 JHN524297:JHN524332 JRJ524297:JRJ524332 KBF524297:KBF524332 KLB524297:KLB524332 KUX524297:KUX524332 LET524297:LET524332 LOP524297:LOP524332 LYL524297:LYL524332 MIH524297:MIH524332 MSD524297:MSD524332 NBZ524297:NBZ524332 NLV524297:NLV524332 NVR524297:NVR524332 OFN524297:OFN524332 OPJ524297:OPJ524332 OZF524297:OZF524332 PJB524297:PJB524332 PSX524297:PSX524332 QCT524297:QCT524332 QMP524297:QMP524332 QWL524297:QWL524332 RGH524297:RGH524332 RQD524297:RQD524332 RZZ524297:RZZ524332 SJV524297:SJV524332 STR524297:STR524332 TDN524297:TDN524332 TNJ524297:TNJ524332 TXF524297:TXF524332 UHB524297:UHB524332 UQX524297:UQX524332 VAT524297:VAT524332 VKP524297:VKP524332 VUL524297:VUL524332 WEH524297:WEH524332 WOD524297:WOD524332 WXZ524297:WXZ524332 BR589833:BR589868 LN589833:LN589868 VJ589833:VJ589868 AFF589833:AFF589868 APB589833:APB589868 AYX589833:AYX589868 BIT589833:BIT589868 BSP589833:BSP589868 CCL589833:CCL589868 CMH589833:CMH589868 CWD589833:CWD589868 DFZ589833:DFZ589868 DPV589833:DPV589868 DZR589833:DZR589868 EJN589833:EJN589868 ETJ589833:ETJ589868 FDF589833:FDF589868 FNB589833:FNB589868 FWX589833:FWX589868 GGT589833:GGT589868 GQP589833:GQP589868 HAL589833:HAL589868 HKH589833:HKH589868 HUD589833:HUD589868 IDZ589833:IDZ589868 INV589833:INV589868 IXR589833:IXR589868 JHN589833:JHN589868 JRJ589833:JRJ589868 KBF589833:KBF589868 KLB589833:KLB589868 KUX589833:KUX589868 LET589833:LET589868 LOP589833:LOP589868 LYL589833:LYL589868 MIH589833:MIH589868 MSD589833:MSD589868 NBZ589833:NBZ589868 NLV589833:NLV589868 NVR589833:NVR589868 OFN589833:OFN589868 OPJ589833:OPJ589868 OZF589833:OZF589868 PJB589833:PJB589868 PSX589833:PSX589868 QCT589833:QCT589868 QMP589833:QMP589868 QWL589833:QWL589868 RGH589833:RGH589868 RQD589833:RQD589868 RZZ589833:RZZ589868 SJV589833:SJV589868 STR589833:STR589868 TDN589833:TDN589868 TNJ589833:TNJ589868 TXF589833:TXF589868 UHB589833:UHB589868 UQX589833:UQX589868 VAT589833:VAT589868 VKP589833:VKP589868 VUL589833:VUL589868 WEH589833:WEH589868 WOD589833:WOD589868 WXZ589833:WXZ589868 BR655369:BR655404 LN655369:LN655404 VJ655369:VJ655404 AFF655369:AFF655404 APB655369:APB655404 AYX655369:AYX655404 BIT655369:BIT655404 BSP655369:BSP655404 CCL655369:CCL655404 CMH655369:CMH655404 CWD655369:CWD655404 DFZ655369:DFZ655404 DPV655369:DPV655404 DZR655369:DZR655404 EJN655369:EJN655404 ETJ655369:ETJ655404 FDF655369:FDF655404 FNB655369:FNB655404 FWX655369:FWX655404 GGT655369:GGT655404 GQP655369:GQP655404 HAL655369:HAL655404 HKH655369:HKH655404 HUD655369:HUD655404 IDZ655369:IDZ655404 INV655369:INV655404 IXR655369:IXR655404 JHN655369:JHN655404 JRJ655369:JRJ655404 KBF655369:KBF655404 KLB655369:KLB655404 KUX655369:KUX655404 LET655369:LET655404 LOP655369:LOP655404 LYL655369:LYL655404 MIH655369:MIH655404 MSD655369:MSD655404 NBZ655369:NBZ655404 NLV655369:NLV655404 NVR655369:NVR655404 OFN655369:OFN655404 OPJ655369:OPJ655404 OZF655369:OZF655404 PJB655369:PJB655404 PSX655369:PSX655404 QCT655369:QCT655404 QMP655369:QMP655404 QWL655369:QWL655404 RGH655369:RGH655404 RQD655369:RQD655404 RZZ655369:RZZ655404 SJV655369:SJV655404 STR655369:STR655404 TDN655369:TDN655404 TNJ655369:TNJ655404 TXF655369:TXF655404 UHB655369:UHB655404 UQX655369:UQX655404 VAT655369:VAT655404 VKP655369:VKP655404 VUL655369:VUL655404 WEH655369:WEH655404 WOD655369:WOD655404 WXZ655369:WXZ655404 BR720905:BR720940 LN720905:LN720940 VJ720905:VJ720940 AFF720905:AFF720940 APB720905:APB720940 AYX720905:AYX720940 BIT720905:BIT720940 BSP720905:BSP720940 CCL720905:CCL720940 CMH720905:CMH720940 CWD720905:CWD720940 DFZ720905:DFZ720940 DPV720905:DPV720940 DZR720905:DZR720940 EJN720905:EJN720940 ETJ720905:ETJ720940 FDF720905:FDF720940 FNB720905:FNB720940 FWX720905:FWX720940 GGT720905:GGT720940 GQP720905:GQP720940 HAL720905:HAL720940 HKH720905:HKH720940 HUD720905:HUD720940 IDZ720905:IDZ720940 INV720905:INV720940 IXR720905:IXR720940 JHN720905:JHN720940 JRJ720905:JRJ720940 KBF720905:KBF720940 KLB720905:KLB720940 KUX720905:KUX720940 LET720905:LET720940 LOP720905:LOP720940 LYL720905:LYL720940 MIH720905:MIH720940 MSD720905:MSD720940 NBZ720905:NBZ720940 NLV720905:NLV720940 NVR720905:NVR720940 OFN720905:OFN720940 OPJ720905:OPJ720940 OZF720905:OZF720940 PJB720905:PJB720940 PSX720905:PSX720940 QCT720905:QCT720940 QMP720905:QMP720940 QWL720905:QWL720940 RGH720905:RGH720940 RQD720905:RQD720940 RZZ720905:RZZ720940 SJV720905:SJV720940 STR720905:STR720940 TDN720905:TDN720940 TNJ720905:TNJ720940 TXF720905:TXF720940 UHB720905:UHB720940 UQX720905:UQX720940 VAT720905:VAT720940 VKP720905:VKP720940 VUL720905:VUL720940 WEH720905:WEH720940 WOD720905:WOD720940 WXZ720905:WXZ720940 BR786441:BR786476 LN786441:LN786476 VJ786441:VJ786476 AFF786441:AFF786476 APB786441:APB786476 AYX786441:AYX786476 BIT786441:BIT786476 BSP786441:BSP786476 CCL786441:CCL786476 CMH786441:CMH786476 CWD786441:CWD786476 DFZ786441:DFZ786476 DPV786441:DPV786476 DZR786441:DZR786476 EJN786441:EJN786476 ETJ786441:ETJ786476 FDF786441:FDF786476 FNB786441:FNB786476 FWX786441:FWX786476 GGT786441:GGT786476 GQP786441:GQP786476 HAL786441:HAL786476 HKH786441:HKH786476 HUD786441:HUD786476 IDZ786441:IDZ786476 INV786441:INV786476 IXR786441:IXR786476 JHN786441:JHN786476 JRJ786441:JRJ786476 KBF786441:KBF786476 KLB786441:KLB786476 KUX786441:KUX786476 LET786441:LET786476 LOP786441:LOP786476 LYL786441:LYL786476 MIH786441:MIH786476 MSD786441:MSD786476 NBZ786441:NBZ786476 NLV786441:NLV786476 NVR786441:NVR786476 OFN786441:OFN786476 OPJ786441:OPJ786476 OZF786441:OZF786476 PJB786441:PJB786476 PSX786441:PSX786476 QCT786441:QCT786476 QMP786441:QMP786476 QWL786441:QWL786476 RGH786441:RGH786476 RQD786441:RQD786476 RZZ786441:RZZ786476 SJV786441:SJV786476 STR786441:STR786476 TDN786441:TDN786476 TNJ786441:TNJ786476 TXF786441:TXF786476 UHB786441:UHB786476 UQX786441:UQX786476 VAT786441:VAT786476 VKP786441:VKP786476 VUL786441:VUL786476 WEH786441:WEH786476 WOD786441:WOD786476 WXZ786441:WXZ786476 BR851977:BR852012 LN851977:LN852012 VJ851977:VJ852012 AFF851977:AFF852012 APB851977:APB852012 AYX851977:AYX852012 BIT851977:BIT852012 BSP851977:BSP852012 CCL851977:CCL852012 CMH851977:CMH852012 CWD851977:CWD852012 DFZ851977:DFZ852012 DPV851977:DPV852012 DZR851977:DZR852012 EJN851977:EJN852012 ETJ851977:ETJ852012 FDF851977:FDF852012 FNB851977:FNB852012 FWX851977:FWX852012 GGT851977:GGT852012 GQP851977:GQP852012 HAL851977:HAL852012 HKH851977:HKH852012 HUD851977:HUD852012 IDZ851977:IDZ852012 INV851977:INV852012 IXR851977:IXR852012 JHN851977:JHN852012 JRJ851977:JRJ852012 KBF851977:KBF852012 KLB851977:KLB852012 KUX851977:KUX852012 LET851977:LET852012 LOP851977:LOP852012 LYL851977:LYL852012 MIH851977:MIH852012 MSD851977:MSD852012 NBZ851977:NBZ852012 NLV851977:NLV852012 NVR851977:NVR852012 OFN851977:OFN852012 OPJ851977:OPJ852012 OZF851977:OZF852012 PJB851977:PJB852012 PSX851977:PSX852012 QCT851977:QCT852012 QMP851977:QMP852012 QWL851977:QWL852012 RGH851977:RGH852012 RQD851977:RQD852012 RZZ851977:RZZ852012 SJV851977:SJV852012 STR851977:STR852012 TDN851977:TDN852012 TNJ851977:TNJ852012 TXF851977:TXF852012 UHB851977:UHB852012 UQX851977:UQX852012 VAT851977:VAT852012 VKP851977:VKP852012 VUL851977:VUL852012 WEH851977:WEH852012 WOD851977:WOD852012 WXZ851977:WXZ852012 BR917513:BR917548 LN917513:LN917548 VJ917513:VJ917548 AFF917513:AFF917548 APB917513:APB917548 AYX917513:AYX917548 BIT917513:BIT917548 BSP917513:BSP917548 CCL917513:CCL917548 CMH917513:CMH917548 CWD917513:CWD917548 DFZ917513:DFZ917548 DPV917513:DPV917548 DZR917513:DZR917548 EJN917513:EJN917548 ETJ917513:ETJ917548 FDF917513:FDF917548 FNB917513:FNB917548 FWX917513:FWX917548 GGT917513:GGT917548 GQP917513:GQP917548 HAL917513:HAL917548 HKH917513:HKH917548 HUD917513:HUD917548 IDZ917513:IDZ917548 INV917513:INV917548 IXR917513:IXR917548 JHN917513:JHN917548 JRJ917513:JRJ917548 KBF917513:KBF917548 KLB917513:KLB917548 KUX917513:KUX917548 LET917513:LET917548 LOP917513:LOP917548 LYL917513:LYL917548 MIH917513:MIH917548 MSD917513:MSD917548 NBZ917513:NBZ917548 NLV917513:NLV917548 NVR917513:NVR917548 OFN917513:OFN917548 OPJ917513:OPJ917548 OZF917513:OZF917548 PJB917513:PJB917548 PSX917513:PSX917548 QCT917513:QCT917548 QMP917513:QMP917548 QWL917513:QWL917548 RGH917513:RGH917548 RQD917513:RQD917548 RZZ917513:RZZ917548 SJV917513:SJV917548 STR917513:STR917548 TDN917513:TDN917548 TNJ917513:TNJ917548 TXF917513:TXF917548 UHB917513:UHB917548 UQX917513:UQX917548 VAT917513:VAT917548 VKP917513:VKP917548 VUL917513:VUL917548 WEH917513:WEH917548 WOD917513:WOD917548 WXZ917513:WXZ917548 BR983049:BR983084 LN983049:LN983084 VJ983049:VJ983084 AFF983049:AFF983084 APB983049:APB983084 AYX983049:AYX983084 BIT983049:BIT983084 BSP983049:BSP983084 CCL983049:CCL983084 CMH983049:CMH983084 CWD983049:CWD983084 DFZ983049:DFZ983084 DPV983049:DPV983084 DZR983049:DZR983084 EJN983049:EJN983084 ETJ983049:ETJ983084 FDF983049:FDF983084 FNB983049:FNB983084 FWX983049:FWX983084 GGT983049:GGT983084 GQP983049:GQP983084 HAL983049:HAL983084 HKH983049:HKH983084 HUD983049:HUD983084 IDZ983049:IDZ983084 INV983049:INV983084 IXR983049:IXR983084 JHN983049:JHN983084 JRJ983049:JRJ983084 KBF983049:KBF983084 KLB983049:KLB983084 KUX983049:KUX983084 LET983049:LET983084 LOP983049:LOP983084 LYL983049:LYL983084 MIH983049:MIH983084 MSD983049:MSD983084 NBZ983049:NBZ983084 NLV983049:NLV983084 NVR983049:NVR983084 OFN983049:OFN983084 OPJ983049:OPJ983084 OZF983049:OZF983084 PJB983049:PJB983084 PSX983049:PSX983084 QCT983049:QCT983084 QMP983049:QMP983084 QWL983049:QWL983084 RGH983049:RGH983084 RQD983049:RQD983084 RZZ983049:RZZ983084 SJV983049:SJV983084 STR983049:STR983084 TDN983049:TDN983084 TNJ983049:TNJ983084 TXF983049:TXF983084 UHB983049:UHB983084 UQX983049:UQX983084 VAT983049:VAT983084 VKP983049:VKP983084 VUL983049:VUL983084 WEH983049:WEH983084 WOD983049:WOD983084 WXZ983049:WXZ983084 BZ9:BZ44 LV9:LV44 VR9:VR44 AFN9:AFN44 APJ9:APJ44 AZF9:AZF44 BJB9:BJB44 BSX9:BSX44 CCT9:CCT44 CMP9:CMP44 CWL9:CWL44 DGH9:DGH44 DQD9:DQD44 DZZ9:DZZ44 EJV9:EJV44 ETR9:ETR44 FDN9:FDN44 FNJ9:FNJ44 FXF9:FXF44 GHB9:GHB44 GQX9:GQX44 HAT9:HAT44 HKP9:HKP44 HUL9:HUL44 IEH9:IEH44 IOD9:IOD44 IXZ9:IXZ44 JHV9:JHV44 JRR9:JRR44 KBN9:KBN44 KLJ9:KLJ44 KVF9:KVF44 LFB9:LFB44 LOX9:LOX44 LYT9:LYT44 MIP9:MIP44 MSL9:MSL44 NCH9:NCH44 NMD9:NMD44 NVZ9:NVZ44 OFV9:OFV44 OPR9:OPR44 OZN9:OZN44 PJJ9:PJJ44 PTF9:PTF44 QDB9:QDB44 QMX9:QMX44 QWT9:QWT44 RGP9:RGP44 RQL9:RQL44 SAH9:SAH44 SKD9:SKD44 STZ9:STZ44 TDV9:TDV44 TNR9:TNR44 TXN9:TXN44 UHJ9:UHJ44 URF9:URF44 VBB9:VBB44 VKX9:VKX44 VUT9:VUT44 WEP9:WEP44 WOL9:WOL44 WYH9:WYH44 BZ65545:BZ65580 LV65545:LV65580 VR65545:VR65580 AFN65545:AFN65580 APJ65545:APJ65580 AZF65545:AZF65580 BJB65545:BJB65580 BSX65545:BSX65580 CCT65545:CCT65580 CMP65545:CMP65580 CWL65545:CWL65580 DGH65545:DGH65580 DQD65545:DQD65580 DZZ65545:DZZ65580 EJV65545:EJV65580 ETR65545:ETR65580 FDN65545:FDN65580 FNJ65545:FNJ65580 FXF65545:FXF65580 GHB65545:GHB65580 GQX65545:GQX65580 HAT65545:HAT65580 HKP65545:HKP65580 HUL65545:HUL65580 IEH65545:IEH65580 IOD65545:IOD65580 IXZ65545:IXZ65580 JHV65545:JHV65580 JRR65545:JRR65580 KBN65545:KBN65580 KLJ65545:KLJ65580 KVF65545:KVF65580 LFB65545:LFB65580 LOX65545:LOX65580 LYT65545:LYT65580 MIP65545:MIP65580 MSL65545:MSL65580 NCH65545:NCH65580 NMD65545:NMD65580 NVZ65545:NVZ65580 OFV65545:OFV65580 OPR65545:OPR65580 OZN65545:OZN65580 PJJ65545:PJJ65580 PTF65545:PTF65580 QDB65545:QDB65580 QMX65545:QMX65580 QWT65545:QWT65580 RGP65545:RGP65580 RQL65545:RQL65580 SAH65545:SAH65580 SKD65545:SKD65580 STZ65545:STZ65580 TDV65545:TDV65580 TNR65545:TNR65580 TXN65545:TXN65580 UHJ65545:UHJ65580 URF65545:URF65580 VBB65545:VBB65580 VKX65545:VKX65580 VUT65545:VUT65580 WEP65545:WEP65580 WOL65545:WOL65580 WYH65545:WYH65580 BZ131081:BZ131116 LV131081:LV131116 VR131081:VR131116 AFN131081:AFN131116 APJ131081:APJ131116 AZF131081:AZF131116 BJB131081:BJB131116 BSX131081:BSX131116 CCT131081:CCT131116 CMP131081:CMP131116 CWL131081:CWL131116 DGH131081:DGH131116 DQD131081:DQD131116 DZZ131081:DZZ131116 EJV131081:EJV131116 ETR131081:ETR131116 FDN131081:FDN131116 FNJ131081:FNJ131116 FXF131081:FXF131116 GHB131081:GHB131116 GQX131081:GQX131116 HAT131081:HAT131116 HKP131081:HKP131116 HUL131081:HUL131116 IEH131081:IEH131116 IOD131081:IOD131116 IXZ131081:IXZ131116 JHV131081:JHV131116 JRR131081:JRR131116 KBN131081:KBN131116 KLJ131081:KLJ131116 KVF131081:KVF131116 LFB131081:LFB131116 LOX131081:LOX131116 LYT131081:LYT131116 MIP131081:MIP131116 MSL131081:MSL131116 NCH131081:NCH131116 NMD131081:NMD131116 NVZ131081:NVZ131116 OFV131081:OFV131116 OPR131081:OPR131116 OZN131081:OZN131116 PJJ131081:PJJ131116 PTF131081:PTF131116 QDB131081:QDB131116 QMX131081:QMX131116 QWT131081:QWT131116 RGP131081:RGP131116 RQL131081:RQL131116 SAH131081:SAH131116 SKD131081:SKD131116 STZ131081:STZ131116 TDV131081:TDV131116 TNR131081:TNR131116 TXN131081:TXN131116 UHJ131081:UHJ131116 URF131081:URF131116 VBB131081:VBB131116 VKX131081:VKX131116 VUT131081:VUT131116 WEP131081:WEP131116 WOL131081:WOL131116 WYH131081:WYH131116 BZ196617:BZ196652 LV196617:LV196652 VR196617:VR196652 AFN196617:AFN196652 APJ196617:APJ196652 AZF196617:AZF196652 BJB196617:BJB196652 BSX196617:BSX196652 CCT196617:CCT196652 CMP196617:CMP196652 CWL196617:CWL196652 DGH196617:DGH196652 DQD196617:DQD196652 DZZ196617:DZZ196652 EJV196617:EJV196652 ETR196617:ETR196652 FDN196617:FDN196652 FNJ196617:FNJ196652 FXF196617:FXF196652 GHB196617:GHB196652 GQX196617:GQX196652 HAT196617:HAT196652 HKP196617:HKP196652 HUL196617:HUL196652 IEH196617:IEH196652 IOD196617:IOD196652 IXZ196617:IXZ196652 JHV196617:JHV196652 JRR196617:JRR196652 KBN196617:KBN196652 KLJ196617:KLJ196652 KVF196617:KVF196652 LFB196617:LFB196652 LOX196617:LOX196652 LYT196617:LYT196652 MIP196617:MIP196652 MSL196617:MSL196652 NCH196617:NCH196652 NMD196617:NMD196652 NVZ196617:NVZ196652 OFV196617:OFV196652 OPR196617:OPR196652 OZN196617:OZN196652 PJJ196617:PJJ196652 PTF196617:PTF196652 QDB196617:QDB196652 QMX196617:QMX196652 QWT196617:QWT196652 RGP196617:RGP196652 RQL196617:RQL196652 SAH196617:SAH196652 SKD196617:SKD196652 STZ196617:STZ196652 TDV196617:TDV196652 TNR196617:TNR196652 TXN196617:TXN196652 UHJ196617:UHJ196652 URF196617:URF196652 VBB196617:VBB196652 VKX196617:VKX196652 VUT196617:VUT196652 WEP196617:WEP196652 WOL196617:WOL196652 WYH196617:WYH196652 BZ262153:BZ262188 LV262153:LV262188 VR262153:VR262188 AFN262153:AFN262188 APJ262153:APJ262188 AZF262153:AZF262188 BJB262153:BJB262188 BSX262153:BSX262188 CCT262153:CCT262188 CMP262153:CMP262188 CWL262153:CWL262188 DGH262153:DGH262188 DQD262153:DQD262188 DZZ262153:DZZ262188 EJV262153:EJV262188 ETR262153:ETR262188 FDN262153:FDN262188 FNJ262153:FNJ262188 FXF262153:FXF262188 GHB262153:GHB262188 GQX262153:GQX262188 HAT262153:HAT262188 HKP262153:HKP262188 HUL262153:HUL262188 IEH262153:IEH262188 IOD262153:IOD262188 IXZ262153:IXZ262188 JHV262153:JHV262188 JRR262153:JRR262188 KBN262153:KBN262188 KLJ262153:KLJ262188 KVF262153:KVF262188 LFB262153:LFB262188 LOX262153:LOX262188 LYT262153:LYT262188 MIP262153:MIP262188 MSL262153:MSL262188 NCH262153:NCH262188 NMD262153:NMD262188 NVZ262153:NVZ262188 OFV262153:OFV262188 OPR262153:OPR262188 OZN262153:OZN262188 PJJ262153:PJJ262188 PTF262153:PTF262188 QDB262153:QDB262188 QMX262153:QMX262188 QWT262153:QWT262188 RGP262153:RGP262188 RQL262153:RQL262188 SAH262153:SAH262188 SKD262153:SKD262188 STZ262153:STZ262188 TDV262153:TDV262188 TNR262153:TNR262188 TXN262153:TXN262188 UHJ262153:UHJ262188 URF262153:URF262188 VBB262153:VBB262188 VKX262153:VKX262188 VUT262153:VUT262188 WEP262153:WEP262188 WOL262153:WOL262188 WYH262153:WYH262188 BZ327689:BZ327724 LV327689:LV327724 VR327689:VR327724 AFN327689:AFN327724 APJ327689:APJ327724 AZF327689:AZF327724 BJB327689:BJB327724 BSX327689:BSX327724 CCT327689:CCT327724 CMP327689:CMP327724 CWL327689:CWL327724 DGH327689:DGH327724 DQD327689:DQD327724 DZZ327689:DZZ327724 EJV327689:EJV327724 ETR327689:ETR327724 FDN327689:FDN327724 FNJ327689:FNJ327724 FXF327689:FXF327724 GHB327689:GHB327724 GQX327689:GQX327724 HAT327689:HAT327724 HKP327689:HKP327724 HUL327689:HUL327724 IEH327689:IEH327724 IOD327689:IOD327724 IXZ327689:IXZ327724 JHV327689:JHV327724 JRR327689:JRR327724 KBN327689:KBN327724 KLJ327689:KLJ327724 KVF327689:KVF327724 LFB327689:LFB327724 LOX327689:LOX327724 LYT327689:LYT327724 MIP327689:MIP327724 MSL327689:MSL327724 NCH327689:NCH327724 NMD327689:NMD327724 NVZ327689:NVZ327724 OFV327689:OFV327724 OPR327689:OPR327724 OZN327689:OZN327724 PJJ327689:PJJ327724 PTF327689:PTF327724 QDB327689:QDB327724 QMX327689:QMX327724 QWT327689:QWT327724 RGP327689:RGP327724 RQL327689:RQL327724 SAH327689:SAH327724 SKD327689:SKD327724 STZ327689:STZ327724 TDV327689:TDV327724 TNR327689:TNR327724 TXN327689:TXN327724 UHJ327689:UHJ327724 URF327689:URF327724 VBB327689:VBB327724 VKX327689:VKX327724 VUT327689:VUT327724 WEP327689:WEP327724 WOL327689:WOL327724 WYH327689:WYH327724 BZ393225:BZ393260 LV393225:LV393260 VR393225:VR393260 AFN393225:AFN393260 APJ393225:APJ393260 AZF393225:AZF393260 BJB393225:BJB393260 BSX393225:BSX393260 CCT393225:CCT393260 CMP393225:CMP393260 CWL393225:CWL393260 DGH393225:DGH393260 DQD393225:DQD393260 DZZ393225:DZZ393260 EJV393225:EJV393260 ETR393225:ETR393260 FDN393225:FDN393260 FNJ393225:FNJ393260 FXF393225:FXF393260 GHB393225:GHB393260 GQX393225:GQX393260 HAT393225:HAT393260 HKP393225:HKP393260 HUL393225:HUL393260 IEH393225:IEH393260 IOD393225:IOD393260 IXZ393225:IXZ393260 JHV393225:JHV393260 JRR393225:JRR393260 KBN393225:KBN393260 KLJ393225:KLJ393260 KVF393225:KVF393260 LFB393225:LFB393260 LOX393225:LOX393260 LYT393225:LYT393260 MIP393225:MIP393260 MSL393225:MSL393260 NCH393225:NCH393260 NMD393225:NMD393260 NVZ393225:NVZ393260 OFV393225:OFV393260 OPR393225:OPR393260 OZN393225:OZN393260 PJJ393225:PJJ393260 PTF393225:PTF393260 QDB393225:QDB393260 QMX393225:QMX393260 QWT393225:QWT393260 RGP393225:RGP393260 RQL393225:RQL393260 SAH393225:SAH393260 SKD393225:SKD393260 STZ393225:STZ393260 TDV393225:TDV393260 TNR393225:TNR393260 TXN393225:TXN393260 UHJ393225:UHJ393260 URF393225:URF393260 VBB393225:VBB393260 VKX393225:VKX393260 VUT393225:VUT393260 WEP393225:WEP393260 WOL393225:WOL393260 WYH393225:WYH393260 BZ458761:BZ458796 LV458761:LV458796 VR458761:VR458796 AFN458761:AFN458796 APJ458761:APJ458796 AZF458761:AZF458796 BJB458761:BJB458796 BSX458761:BSX458796 CCT458761:CCT458796 CMP458761:CMP458796 CWL458761:CWL458796 DGH458761:DGH458796 DQD458761:DQD458796 DZZ458761:DZZ458796 EJV458761:EJV458796 ETR458761:ETR458796 FDN458761:FDN458796 FNJ458761:FNJ458796 FXF458761:FXF458796 GHB458761:GHB458796 GQX458761:GQX458796 HAT458761:HAT458796 HKP458761:HKP458796 HUL458761:HUL458796 IEH458761:IEH458796 IOD458761:IOD458796 IXZ458761:IXZ458796 JHV458761:JHV458796 JRR458761:JRR458796 KBN458761:KBN458796 KLJ458761:KLJ458796 KVF458761:KVF458796 LFB458761:LFB458796 LOX458761:LOX458796 LYT458761:LYT458796 MIP458761:MIP458796 MSL458761:MSL458796 NCH458761:NCH458796 NMD458761:NMD458796 NVZ458761:NVZ458796 OFV458761:OFV458796 OPR458761:OPR458796 OZN458761:OZN458796 PJJ458761:PJJ458796 PTF458761:PTF458796 QDB458761:QDB458796 QMX458761:QMX458796 QWT458761:QWT458796 RGP458761:RGP458796 RQL458761:RQL458796 SAH458761:SAH458796 SKD458761:SKD458796 STZ458761:STZ458796 TDV458761:TDV458796 TNR458761:TNR458796 TXN458761:TXN458796 UHJ458761:UHJ458796 URF458761:URF458796 VBB458761:VBB458796 VKX458761:VKX458796 VUT458761:VUT458796 WEP458761:WEP458796 WOL458761:WOL458796 WYH458761:WYH458796 BZ524297:BZ524332 LV524297:LV524332 VR524297:VR524332 AFN524297:AFN524332 APJ524297:APJ524332 AZF524297:AZF524332 BJB524297:BJB524332 BSX524297:BSX524332 CCT524297:CCT524332 CMP524297:CMP524332 CWL524297:CWL524332 DGH524297:DGH524332 DQD524297:DQD524332 DZZ524297:DZZ524332 EJV524297:EJV524332 ETR524297:ETR524332 FDN524297:FDN524332 FNJ524297:FNJ524332 FXF524297:FXF524332 GHB524297:GHB524332 GQX524297:GQX524332 HAT524297:HAT524332 HKP524297:HKP524332 HUL524297:HUL524332 IEH524297:IEH524332 IOD524297:IOD524332 IXZ524297:IXZ524332 JHV524297:JHV524332 JRR524297:JRR524332 KBN524297:KBN524332 KLJ524297:KLJ524332 KVF524297:KVF524332 LFB524297:LFB524332 LOX524297:LOX524332 LYT524297:LYT524332 MIP524297:MIP524332 MSL524297:MSL524332 NCH524297:NCH524332 NMD524297:NMD524332 NVZ524297:NVZ524332 OFV524297:OFV524332 OPR524297:OPR524332 OZN524297:OZN524332 PJJ524297:PJJ524332 PTF524297:PTF524332 QDB524297:QDB524332 QMX524297:QMX524332 QWT524297:QWT524332 RGP524297:RGP524332 RQL524297:RQL524332 SAH524297:SAH524332 SKD524297:SKD524332 STZ524297:STZ524332 TDV524297:TDV524332 TNR524297:TNR524332 TXN524297:TXN524332 UHJ524297:UHJ524332 URF524297:URF524332 VBB524297:VBB524332 VKX524297:VKX524332 VUT524297:VUT524332 WEP524297:WEP524332 WOL524297:WOL524332 WYH524297:WYH524332 BZ589833:BZ589868 LV589833:LV589868 VR589833:VR589868 AFN589833:AFN589868 APJ589833:APJ589868 AZF589833:AZF589868 BJB589833:BJB589868 BSX589833:BSX589868 CCT589833:CCT589868 CMP589833:CMP589868 CWL589833:CWL589868 DGH589833:DGH589868 DQD589833:DQD589868 DZZ589833:DZZ589868 EJV589833:EJV589868 ETR589833:ETR589868 FDN589833:FDN589868 FNJ589833:FNJ589868 FXF589833:FXF589868 GHB589833:GHB589868 GQX589833:GQX589868 HAT589833:HAT589868 HKP589833:HKP589868 HUL589833:HUL589868 IEH589833:IEH589868 IOD589833:IOD589868 IXZ589833:IXZ589868 JHV589833:JHV589868 JRR589833:JRR589868 KBN589833:KBN589868 KLJ589833:KLJ589868 KVF589833:KVF589868 LFB589833:LFB589868 LOX589833:LOX589868 LYT589833:LYT589868 MIP589833:MIP589868 MSL589833:MSL589868 NCH589833:NCH589868 NMD589833:NMD589868 NVZ589833:NVZ589868 OFV589833:OFV589868 OPR589833:OPR589868 OZN589833:OZN589868 PJJ589833:PJJ589868 PTF589833:PTF589868 QDB589833:QDB589868 QMX589833:QMX589868 QWT589833:QWT589868 RGP589833:RGP589868 RQL589833:RQL589868 SAH589833:SAH589868 SKD589833:SKD589868 STZ589833:STZ589868 TDV589833:TDV589868 TNR589833:TNR589868 TXN589833:TXN589868 UHJ589833:UHJ589868 URF589833:URF589868 VBB589833:VBB589868 VKX589833:VKX589868 VUT589833:VUT589868 WEP589833:WEP589868 WOL589833:WOL589868 WYH589833:WYH589868 BZ655369:BZ655404 LV655369:LV655404 VR655369:VR655404 AFN655369:AFN655404 APJ655369:APJ655404 AZF655369:AZF655404 BJB655369:BJB655404 BSX655369:BSX655404 CCT655369:CCT655404 CMP655369:CMP655404 CWL655369:CWL655404 DGH655369:DGH655404 DQD655369:DQD655404 DZZ655369:DZZ655404 EJV655369:EJV655404 ETR655369:ETR655404 FDN655369:FDN655404 FNJ655369:FNJ655404 FXF655369:FXF655404 GHB655369:GHB655404 GQX655369:GQX655404 HAT655369:HAT655404 HKP655369:HKP655404 HUL655369:HUL655404 IEH655369:IEH655404 IOD655369:IOD655404 IXZ655369:IXZ655404 JHV655369:JHV655404 JRR655369:JRR655404 KBN655369:KBN655404 KLJ655369:KLJ655404 KVF655369:KVF655404 LFB655369:LFB655404 LOX655369:LOX655404 LYT655369:LYT655404 MIP655369:MIP655404 MSL655369:MSL655404 NCH655369:NCH655404 NMD655369:NMD655404 NVZ655369:NVZ655404 OFV655369:OFV655404 OPR655369:OPR655404 OZN655369:OZN655404 PJJ655369:PJJ655404 PTF655369:PTF655404 QDB655369:QDB655404 QMX655369:QMX655404 QWT655369:QWT655404 RGP655369:RGP655404 RQL655369:RQL655404 SAH655369:SAH655404 SKD655369:SKD655404 STZ655369:STZ655404 TDV655369:TDV655404 TNR655369:TNR655404 TXN655369:TXN655404 UHJ655369:UHJ655404 URF655369:URF655404 VBB655369:VBB655404 VKX655369:VKX655404 VUT655369:VUT655404 WEP655369:WEP655404 WOL655369:WOL655404 WYH655369:WYH655404 BZ720905:BZ720940 LV720905:LV720940 VR720905:VR720940 AFN720905:AFN720940 APJ720905:APJ720940 AZF720905:AZF720940 BJB720905:BJB720940 BSX720905:BSX720940 CCT720905:CCT720940 CMP720905:CMP720940 CWL720905:CWL720940 DGH720905:DGH720940 DQD720905:DQD720940 DZZ720905:DZZ720940 EJV720905:EJV720940 ETR720905:ETR720940 FDN720905:FDN720940 FNJ720905:FNJ720940 FXF720905:FXF720940 GHB720905:GHB720940 GQX720905:GQX720940 HAT720905:HAT720940 HKP720905:HKP720940 HUL720905:HUL720940 IEH720905:IEH720940 IOD720905:IOD720940 IXZ720905:IXZ720940 JHV720905:JHV720940 JRR720905:JRR720940 KBN720905:KBN720940 KLJ720905:KLJ720940 KVF720905:KVF720940 LFB720905:LFB720940 LOX720905:LOX720940 LYT720905:LYT720940 MIP720905:MIP720940 MSL720905:MSL720940 NCH720905:NCH720940 NMD720905:NMD720940 NVZ720905:NVZ720940 OFV720905:OFV720940 OPR720905:OPR720940 OZN720905:OZN720940 PJJ720905:PJJ720940 PTF720905:PTF720940 QDB720905:QDB720940 QMX720905:QMX720940 QWT720905:QWT720940 RGP720905:RGP720940 RQL720905:RQL720940 SAH720905:SAH720940 SKD720905:SKD720940 STZ720905:STZ720940 TDV720905:TDV720940 TNR720905:TNR720940 TXN720905:TXN720940 UHJ720905:UHJ720940 URF720905:URF720940 VBB720905:VBB720940 VKX720905:VKX720940 VUT720905:VUT720940 WEP720905:WEP720940 WOL720905:WOL720940 WYH720905:WYH720940 BZ786441:BZ786476 LV786441:LV786476 VR786441:VR786476 AFN786441:AFN786476 APJ786441:APJ786476 AZF786441:AZF786476 BJB786441:BJB786476 BSX786441:BSX786476 CCT786441:CCT786476 CMP786441:CMP786476 CWL786441:CWL786476 DGH786441:DGH786476 DQD786441:DQD786476 DZZ786441:DZZ786476 EJV786441:EJV786476 ETR786441:ETR786476 FDN786441:FDN786476 FNJ786441:FNJ786476 FXF786441:FXF786476 GHB786441:GHB786476 GQX786441:GQX786476 HAT786441:HAT786476 HKP786441:HKP786476 HUL786441:HUL786476 IEH786441:IEH786476 IOD786441:IOD786476 IXZ786441:IXZ786476 JHV786441:JHV786476 JRR786441:JRR786476 KBN786441:KBN786476 KLJ786441:KLJ786476 KVF786441:KVF786476 LFB786441:LFB786476 LOX786441:LOX786476 LYT786441:LYT786476 MIP786441:MIP786476 MSL786441:MSL786476 NCH786441:NCH786476 NMD786441:NMD786476 NVZ786441:NVZ786476 OFV786441:OFV786476 OPR786441:OPR786476 OZN786441:OZN786476 PJJ786441:PJJ786476 PTF786441:PTF786476 QDB786441:QDB786476 QMX786441:QMX786476 QWT786441:QWT786476 RGP786441:RGP786476 RQL786441:RQL786476 SAH786441:SAH786476 SKD786441:SKD786476 STZ786441:STZ786476 TDV786441:TDV786476 TNR786441:TNR786476 TXN786441:TXN786476 UHJ786441:UHJ786476 URF786441:URF786476 VBB786441:VBB786476 VKX786441:VKX786476 VUT786441:VUT786476 WEP786441:WEP786476 WOL786441:WOL786476 WYH786441:WYH786476 BZ851977:BZ852012 LV851977:LV852012 VR851977:VR852012 AFN851977:AFN852012 APJ851977:APJ852012 AZF851977:AZF852012 BJB851977:BJB852012 BSX851977:BSX852012 CCT851977:CCT852012 CMP851977:CMP852012 CWL851977:CWL852012 DGH851977:DGH852012 DQD851977:DQD852012 DZZ851977:DZZ852012 EJV851977:EJV852012 ETR851977:ETR852012 FDN851977:FDN852012 FNJ851977:FNJ852012 FXF851977:FXF852012 GHB851977:GHB852012 GQX851977:GQX852012 HAT851977:HAT852012 HKP851977:HKP852012 HUL851977:HUL852012 IEH851977:IEH852012 IOD851977:IOD852012 IXZ851977:IXZ852012 JHV851977:JHV852012 JRR851977:JRR852012 KBN851977:KBN852012 KLJ851977:KLJ852012 KVF851977:KVF852012 LFB851977:LFB852012 LOX851977:LOX852012 LYT851977:LYT852012 MIP851977:MIP852012 MSL851977:MSL852012 NCH851977:NCH852012 NMD851977:NMD852012 NVZ851977:NVZ852012 OFV851977:OFV852012 OPR851977:OPR852012 OZN851977:OZN852012 PJJ851977:PJJ852012 PTF851977:PTF852012 QDB851977:QDB852012 QMX851977:QMX852012 QWT851977:QWT852012 RGP851977:RGP852012 RQL851977:RQL852012 SAH851977:SAH852012 SKD851977:SKD852012 STZ851977:STZ852012 TDV851977:TDV852012 TNR851977:TNR852012 TXN851977:TXN852012 UHJ851977:UHJ852012 URF851977:URF852012 VBB851977:VBB852012 VKX851977:VKX852012 VUT851977:VUT852012 WEP851977:WEP852012 WOL851977:WOL852012 WYH851977:WYH852012 BZ917513:BZ917548 LV917513:LV917548 VR917513:VR917548 AFN917513:AFN917548 APJ917513:APJ917548 AZF917513:AZF917548 BJB917513:BJB917548 BSX917513:BSX917548 CCT917513:CCT917548 CMP917513:CMP917548 CWL917513:CWL917548 DGH917513:DGH917548 DQD917513:DQD917548 DZZ917513:DZZ917548 EJV917513:EJV917548 ETR917513:ETR917548 FDN917513:FDN917548 FNJ917513:FNJ917548 FXF917513:FXF917548 GHB917513:GHB917548 GQX917513:GQX917548 HAT917513:HAT917548 HKP917513:HKP917548 HUL917513:HUL917548 IEH917513:IEH917548 IOD917513:IOD917548 IXZ917513:IXZ917548 JHV917513:JHV917548 JRR917513:JRR917548 KBN917513:KBN917548 KLJ917513:KLJ917548 KVF917513:KVF917548 LFB917513:LFB917548 LOX917513:LOX917548 LYT917513:LYT917548 MIP917513:MIP917548 MSL917513:MSL917548 NCH917513:NCH917548 NMD917513:NMD917548 NVZ917513:NVZ917548 OFV917513:OFV917548 OPR917513:OPR917548 OZN917513:OZN917548 PJJ917513:PJJ917548 PTF917513:PTF917548 QDB917513:QDB917548 QMX917513:QMX917548 QWT917513:QWT917548 RGP917513:RGP917548 RQL917513:RQL917548 SAH917513:SAH917548 SKD917513:SKD917548 STZ917513:STZ917548 TDV917513:TDV917548 TNR917513:TNR917548 TXN917513:TXN917548 UHJ917513:UHJ917548 URF917513:URF917548 VBB917513:VBB917548 VKX917513:VKX917548 VUT917513:VUT917548 WEP917513:WEP917548 WOL917513:WOL917548 WYH917513:WYH917548 BZ983049:BZ983084 LV983049:LV983084 VR983049:VR983084 AFN983049:AFN983084 APJ983049:APJ983084 AZF983049:AZF983084 BJB983049:BJB983084 BSX983049:BSX983084 CCT983049:CCT983084 CMP983049:CMP983084 CWL983049:CWL983084 DGH983049:DGH983084 DQD983049:DQD983084 DZZ983049:DZZ983084 EJV983049:EJV983084 ETR983049:ETR983084 FDN983049:FDN983084 FNJ983049:FNJ983084 FXF983049:FXF983084 GHB983049:GHB983084 GQX983049:GQX983084 HAT983049:HAT983084 HKP983049:HKP983084 HUL983049:HUL983084 IEH983049:IEH983084 IOD983049:IOD983084 IXZ983049:IXZ983084 JHV983049:JHV983084 JRR983049:JRR983084 KBN983049:KBN983084 KLJ983049:KLJ983084 KVF983049:KVF983084 LFB983049:LFB983084 LOX983049:LOX983084 LYT983049:LYT983084 MIP983049:MIP983084 MSL983049:MSL983084 NCH983049:NCH983084 NMD983049:NMD983084 NVZ983049:NVZ983084 OFV983049:OFV983084 OPR983049:OPR983084 OZN983049:OZN983084 PJJ983049:PJJ983084 PTF983049:PTF983084 QDB983049:QDB983084 QMX983049:QMX983084 QWT983049:QWT983084 RGP983049:RGP983084 RQL983049:RQL983084 SAH983049:SAH983084 SKD983049:SKD983084 STZ983049:STZ983084 TDV983049:TDV983084 TNR983049:TNR983084 TXN983049:TXN983084 UHJ983049:UHJ983084 URF983049:URF983084 VBB983049:VBB983084 VKX983049:VKX983084 VUT983049:VUT983084 WEP983049:WEP983084 WOL983049:WOL983084 WYH983049:WYH983084 BV9:BV44 LR9:LR44 VN9:VN44 AFJ9:AFJ44 APF9:APF44 AZB9:AZB44 BIX9:BIX44 BST9:BST44 CCP9:CCP44 CML9:CML44 CWH9:CWH44 DGD9:DGD44 DPZ9:DPZ44 DZV9:DZV44 EJR9:EJR44 ETN9:ETN44 FDJ9:FDJ44 FNF9:FNF44 FXB9:FXB44 GGX9:GGX44 GQT9:GQT44 HAP9:HAP44 HKL9:HKL44 HUH9:HUH44 IED9:IED44 INZ9:INZ44 IXV9:IXV44 JHR9:JHR44 JRN9:JRN44 KBJ9:KBJ44 KLF9:KLF44 KVB9:KVB44 LEX9:LEX44 LOT9:LOT44 LYP9:LYP44 MIL9:MIL44 MSH9:MSH44 NCD9:NCD44 NLZ9:NLZ44 NVV9:NVV44 OFR9:OFR44 OPN9:OPN44 OZJ9:OZJ44 PJF9:PJF44 PTB9:PTB44 QCX9:QCX44 QMT9:QMT44 QWP9:QWP44 RGL9:RGL44 RQH9:RQH44 SAD9:SAD44 SJZ9:SJZ44 STV9:STV44 TDR9:TDR44 TNN9:TNN44 TXJ9:TXJ44 UHF9:UHF44 URB9:URB44 VAX9:VAX44 VKT9:VKT44 VUP9:VUP44 WEL9:WEL44 WOH9:WOH44 WYD9:WYD44 BV65545:BV65580 LR65545:LR65580 VN65545:VN65580 AFJ65545:AFJ65580 APF65545:APF65580 AZB65545:AZB65580 BIX65545:BIX65580 BST65545:BST65580 CCP65545:CCP65580 CML65545:CML65580 CWH65545:CWH65580 DGD65545:DGD65580 DPZ65545:DPZ65580 DZV65545:DZV65580 EJR65545:EJR65580 ETN65545:ETN65580 FDJ65545:FDJ65580 FNF65545:FNF65580 FXB65545:FXB65580 GGX65545:GGX65580 GQT65545:GQT65580 HAP65545:HAP65580 HKL65545:HKL65580 HUH65545:HUH65580 IED65545:IED65580 INZ65545:INZ65580 IXV65545:IXV65580 JHR65545:JHR65580 JRN65545:JRN65580 KBJ65545:KBJ65580 KLF65545:KLF65580 KVB65545:KVB65580 LEX65545:LEX65580 LOT65545:LOT65580 LYP65545:LYP65580 MIL65545:MIL65580 MSH65545:MSH65580 NCD65545:NCD65580 NLZ65545:NLZ65580 NVV65545:NVV65580 OFR65545:OFR65580 OPN65545:OPN65580 OZJ65545:OZJ65580 PJF65545:PJF65580 PTB65545:PTB65580 QCX65545:QCX65580 QMT65545:QMT65580 QWP65545:QWP65580 RGL65545:RGL65580 RQH65545:RQH65580 SAD65545:SAD65580 SJZ65545:SJZ65580 STV65545:STV65580 TDR65545:TDR65580 TNN65545:TNN65580 TXJ65545:TXJ65580 UHF65545:UHF65580 URB65545:URB65580 VAX65545:VAX65580 VKT65545:VKT65580 VUP65545:VUP65580 WEL65545:WEL65580 WOH65545:WOH65580 WYD65545:WYD65580 BV131081:BV131116 LR131081:LR131116 VN131081:VN131116 AFJ131081:AFJ131116 APF131081:APF131116 AZB131081:AZB131116 BIX131081:BIX131116 BST131081:BST131116 CCP131081:CCP131116 CML131081:CML131116 CWH131081:CWH131116 DGD131081:DGD131116 DPZ131081:DPZ131116 DZV131081:DZV131116 EJR131081:EJR131116 ETN131081:ETN131116 FDJ131081:FDJ131116 FNF131081:FNF131116 FXB131081:FXB131116 GGX131081:GGX131116 GQT131081:GQT131116 HAP131081:HAP131116 HKL131081:HKL131116 HUH131081:HUH131116 IED131081:IED131116 INZ131081:INZ131116 IXV131081:IXV131116 JHR131081:JHR131116 JRN131081:JRN131116 KBJ131081:KBJ131116 KLF131081:KLF131116 KVB131081:KVB131116 LEX131081:LEX131116 LOT131081:LOT131116 LYP131081:LYP131116 MIL131081:MIL131116 MSH131081:MSH131116 NCD131081:NCD131116 NLZ131081:NLZ131116 NVV131081:NVV131116 OFR131081:OFR131116 OPN131081:OPN131116 OZJ131081:OZJ131116 PJF131081:PJF131116 PTB131081:PTB131116 QCX131081:QCX131116 QMT131081:QMT131116 QWP131081:QWP131116 RGL131081:RGL131116 RQH131081:RQH131116 SAD131081:SAD131116 SJZ131081:SJZ131116 STV131081:STV131116 TDR131081:TDR131116 TNN131081:TNN131116 TXJ131081:TXJ131116 UHF131081:UHF131116 URB131081:URB131116 VAX131081:VAX131116 VKT131081:VKT131116 VUP131081:VUP131116 WEL131081:WEL131116 WOH131081:WOH131116 WYD131081:WYD131116 BV196617:BV196652 LR196617:LR196652 VN196617:VN196652 AFJ196617:AFJ196652 APF196617:APF196652 AZB196617:AZB196652 BIX196617:BIX196652 BST196617:BST196652 CCP196617:CCP196652 CML196617:CML196652 CWH196617:CWH196652 DGD196617:DGD196652 DPZ196617:DPZ196652 DZV196617:DZV196652 EJR196617:EJR196652 ETN196617:ETN196652 FDJ196617:FDJ196652 FNF196617:FNF196652 FXB196617:FXB196652 GGX196617:GGX196652 GQT196617:GQT196652 HAP196617:HAP196652 HKL196617:HKL196652 HUH196617:HUH196652 IED196617:IED196652 INZ196617:INZ196652 IXV196617:IXV196652 JHR196617:JHR196652 JRN196617:JRN196652 KBJ196617:KBJ196652 KLF196617:KLF196652 KVB196617:KVB196652 LEX196617:LEX196652 LOT196617:LOT196652 LYP196617:LYP196652 MIL196617:MIL196652 MSH196617:MSH196652 NCD196617:NCD196652 NLZ196617:NLZ196652 NVV196617:NVV196652 OFR196617:OFR196652 OPN196617:OPN196652 OZJ196617:OZJ196652 PJF196617:PJF196652 PTB196617:PTB196652 QCX196617:QCX196652 QMT196617:QMT196652 QWP196617:QWP196652 RGL196617:RGL196652 RQH196617:RQH196652 SAD196617:SAD196652 SJZ196617:SJZ196652 STV196617:STV196652 TDR196617:TDR196652 TNN196617:TNN196652 TXJ196617:TXJ196652 UHF196617:UHF196652 URB196617:URB196652 VAX196617:VAX196652 VKT196617:VKT196652 VUP196617:VUP196652 WEL196617:WEL196652 WOH196617:WOH196652 WYD196617:WYD196652 BV262153:BV262188 LR262153:LR262188 VN262153:VN262188 AFJ262153:AFJ262188 APF262153:APF262188 AZB262153:AZB262188 BIX262153:BIX262188 BST262153:BST262188 CCP262153:CCP262188 CML262153:CML262188 CWH262153:CWH262188 DGD262153:DGD262188 DPZ262153:DPZ262188 DZV262153:DZV262188 EJR262153:EJR262188 ETN262153:ETN262188 FDJ262153:FDJ262188 FNF262153:FNF262188 FXB262153:FXB262188 GGX262153:GGX262188 GQT262153:GQT262188 HAP262153:HAP262188 HKL262153:HKL262188 HUH262153:HUH262188 IED262153:IED262188 INZ262153:INZ262188 IXV262153:IXV262188 JHR262153:JHR262188 JRN262153:JRN262188 KBJ262153:KBJ262188 KLF262153:KLF262188 KVB262153:KVB262188 LEX262153:LEX262188 LOT262153:LOT262188 LYP262153:LYP262188 MIL262153:MIL262188 MSH262153:MSH262188 NCD262153:NCD262188 NLZ262153:NLZ262188 NVV262153:NVV262188 OFR262153:OFR262188 OPN262153:OPN262188 OZJ262153:OZJ262188 PJF262153:PJF262188 PTB262153:PTB262188 QCX262153:QCX262188 QMT262153:QMT262188 QWP262153:QWP262188 RGL262153:RGL262188 RQH262153:RQH262188 SAD262153:SAD262188 SJZ262153:SJZ262188 STV262153:STV262188 TDR262153:TDR262188 TNN262153:TNN262188 TXJ262153:TXJ262188 UHF262153:UHF262188 URB262153:URB262188 VAX262153:VAX262188 VKT262153:VKT262188 VUP262153:VUP262188 WEL262153:WEL262188 WOH262153:WOH262188 WYD262153:WYD262188 BV327689:BV327724 LR327689:LR327724 VN327689:VN327724 AFJ327689:AFJ327724 APF327689:APF327724 AZB327689:AZB327724 BIX327689:BIX327724 BST327689:BST327724 CCP327689:CCP327724 CML327689:CML327724 CWH327689:CWH327724 DGD327689:DGD327724 DPZ327689:DPZ327724 DZV327689:DZV327724 EJR327689:EJR327724 ETN327689:ETN327724 FDJ327689:FDJ327724 FNF327689:FNF327724 FXB327689:FXB327724 GGX327689:GGX327724 GQT327689:GQT327724 HAP327689:HAP327724 HKL327689:HKL327724 HUH327689:HUH327724 IED327689:IED327724 INZ327689:INZ327724 IXV327689:IXV327724 JHR327689:JHR327724 JRN327689:JRN327724 KBJ327689:KBJ327724 KLF327689:KLF327724 KVB327689:KVB327724 LEX327689:LEX327724 LOT327689:LOT327724 LYP327689:LYP327724 MIL327689:MIL327724 MSH327689:MSH327724 NCD327689:NCD327724 NLZ327689:NLZ327724 NVV327689:NVV327724 OFR327689:OFR327724 OPN327689:OPN327724 OZJ327689:OZJ327724 PJF327689:PJF327724 PTB327689:PTB327724 QCX327689:QCX327724 QMT327689:QMT327724 QWP327689:QWP327724 RGL327689:RGL327724 RQH327689:RQH327724 SAD327689:SAD327724 SJZ327689:SJZ327724 STV327689:STV327724 TDR327689:TDR327724 TNN327689:TNN327724 TXJ327689:TXJ327724 UHF327689:UHF327724 URB327689:URB327724 VAX327689:VAX327724 VKT327689:VKT327724 VUP327689:VUP327724 WEL327689:WEL327724 WOH327689:WOH327724 WYD327689:WYD327724 BV393225:BV393260 LR393225:LR393260 VN393225:VN393260 AFJ393225:AFJ393260 APF393225:APF393260 AZB393225:AZB393260 BIX393225:BIX393260 BST393225:BST393260 CCP393225:CCP393260 CML393225:CML393260 CWH393225:CWH393260 DGD393225:DGD393260 DPZ393225:DPZ393260 DZV393225:DZV393260 EJR393225:EJR393260 ETN393225:ETN393260 FDJ393225:FDJ393260 FNF393225:FNF393260 FXB393225:FXB393260 GGX393225:GGX393260 GQT393225:GQT393260 HAP393225:HAP393260 HKL393225:HKL393260 HUH393225:HUH393260 IED393225:IED393260 INZ393225:INZ393260 IXV393225:IXV393260 JHR393225:JHR393260 JRN393225:JRN393260 KBJ393225:KBJ393260 KLF393225:KLF393260 KVB393225:KVB393260 LEX393225:LEX393260 LOT393225:LOT393260 LYP393225:LYP393260 MIL393225:MIL393260 MSH393225:MSH393260 NCD393225:NCD393260 NLZ393225:NLZ393260 NVV393225:NVV393260 OFR393225:OFR393260 OPN393225:OPN393260 OZJ393225:OZJ393260 PJF393225:PJF393260 PTB393225:PTB393260 QCX393225:QCX393260 QMT393225:QMT393260 QWP393225:QWP393260 RGL393225:RGL393260 RQH393225:RQH393260 SAD393225:SAD393260 SJZ393225:SJZ393260 STV393225:STV393260 TDR393225:TDR393260 TNN393225:TNN393260 TXJ393225:TXJ393260 UHF393225:UHF393260 URB393225:URB393260 VAX393225:VAX393260 VKT393225:VKT393260 VUP393225:VUP393260 WEL393225:WEL393260 WOH393225:WOH393260 WYD393225:WYD393260 BV458761:BV458796 LR458761:LR458796 VN458761:VN458796 AFJ458761:AFJ458796 APF458761:APF458796 AZB458761:AZB458796 BIX458761:BIX458796 BST458761:BST458796 CCP458761:CCP458796 CML458761:CML458796 CWH458761:CWH458796 DGD458761:DGD458796 DPZ458761:DPZ458796 DZV458761:DZV458796 EJR458761:EJR458796 ETN458761:ETN458796 FDJ458761:FDJ458796 FNF458761:FNF458796 FXB458761:FXB458796 GGX458761:GGX458796 GQT458761:GQT458796 HAP458761:HAP458796 HKL458761:HKL458796 HUH458761:HUH458796 IED458761:IED458796 INZ458761:INZ458796 IXV458761:IXV458796 JHR458761:JHR458796 JRN458761:JRN458796 KBJ458761:KBJ458796 KLF458761:KLF458796 KVB458761:KVB458796 LEX458761:LEX458796 LOT458761:LOT458796 LYP458761:LYP458796 MIL458761:MIL458796 MSH458761:MSH458796 NCD458761:NCD458796 NLZ458761:NLZ458796 NVV458761:NVV458796 OFR458761:OFR458796 OPN458761:OPN458796 OZJ458761:OZJ458796 PJF458761:PJF458796 PTB458761:PTB458796 QCX458761:QCX458796 QMT458761:QMT458796 QWP458761:QWP458796 RGL458761:RGL458796 RQH458761:RQH458796 SAD458761:SAD458796 SJZ458761:SJZ458796 STV458761:STV458796 TDR458761:TDR458796 TNN458761:TNN458796 TXJ458761:TXJ458796 UHF458761:UHF458796 URB458761:URB458796 VAX458761:VAX458796 VKT458761:VKT458796 VUP458761:VUP458796 WEL458761:WEL458796 WOH458761:WOH458796 WYD458761:WYD458796 BV524297:BV524332 LR524297:LR524332 VN524297:VN524332 AFJ524297:AFJ524332 APF524297:APF524332 AZB524297:AZB524332 BIX524297:BIX524332 BST524297:BST524332 CCP524297:CCP524332 CML524297:CML524332 CWH524297:CWH524332 DGD524297:DGD524332 DPZ524297:DPZ524332 DZV524297:DZV524332 EJR524297:EJR524332 ETN524297:ETN524332 FDJ524297:FDJ524332 FNF524297:FNF524332 FXB524297:FXB524332 GGX524297:GGX524332 GQT524297:GQT524332 HAP524297:HAP524332 HKL524297:HKL524332 HUH524297:HUH524332 IED524297:IED524332 INZ524297:INZ524332 IXV524297:IXV524332 JHR524297:JHR524332 JRN524297:JRN524332 KBJ524297:KBJ524332 KLF524297:KLF524332 KVB524297:KVB524332 LEX524297:LEX524332 LOT524297:LOT524332 LYP524297:LYP524332 MIL524297:MIL524332 MSH524297:MSH524332 NCD524297:NCD524332 NLZ524297:NLZ524332 NVV524297:NVV524332 OFR524297:OFR524332 OPN524297:OPN524332 OZJ524297:OZJ524332 PJF524297:PJF524332 PTB524297:PTB524332 QCX524297:QCX524332 QMT524297:QMT524332 QWP524297:QWP524332 RGL524297:RGL524332 RQH524297:RQH524332 SAD524297:SAD524332 SJZ524297:SJZ524332 STV524297:STV524332 TDR524297:TDR524332 TNN524297:TNN524332 TXJ524297:TXJ524332 UHF524297:UHF524332 URB524297:URB524332 VAX524297:VAX524332 VKT524297:VKT524332 VUP524297:VUP524332 WEL524297:WEL524332 WOH524297:WOH524332 WYD524297:WYD524332 BV589833:BV589868 LR589833:LR589868 VN589833:VN589868 AFJ589833:AFJ589868 APF589833:APF589868 AZB589833:AZB589868 BIX589833:BIX589868 BST589833:BST589868 CCP589833:CCP589868 CML589833:CML589868 CWH589833:CWH589868 DGD589833:DGD589868 DPZ589833:DPZ589868 DZV589833:DZV589868 EJR589833:EJR589868 ETN589833:ETN589868 FDJ589833:FDJ589868 FNF589833:FNF589868 FXB589833:FXB589868 GGX589833:GGX589868 GQT589833:GQT589868 HAP589833:HAP589868 HKL589833:HKL589868 HUH589833:HUH589868 IED589833:IED589868 INZ589833:INZ589868 IXV589833:IXV589868 JHR589833:JHR589868 JRN589833:JRN589868 KBJ589833:KBJ589868 KLF589833:KLF589868 KVB589833:KVB589868 LEX589833:LEX589868 LOT589833:LOT589868 LYP589833:LYP589868 MIL589833:MIL589868 MSH589833:MSH589868 NCD589833:NCD589868 NLZ589833:NLZ589868 NVV589833:NVV589868 OFR589833:OFR589868 OPN589833:OPN589868 OZJ589833:OZJ589868 PJF589833:PJF589868 PTB589833:PTB589868 QCX589833:QCX589868 QMT589833:QMT589868 QWP589833:QWP589868 RGL589833:RGL589868 RQH589833:RQH589868 SAD589833:SAD589868 SJZ589833:SJZ589868 STV589833:STV589868 TDR589833:TDR589868 TNN589833:TNN589868 TXJ589833:TXJ589868 UHF589833:UHF589868 URB589833:URB589868 VAX589833:VAX589868 VKT589833:VKT589868 VUP589833:VUP589868 WEL589833:WEL589868 WOH589833:WOH589868 WYD589833:WYD589868 BV655369:BV655404 LR655369:LR655404 VN655369:VN655404 AFJ655369:AFJ655404 APF655369:APF655404 AZB655369:AZB655404 BIX655369:BIX655404 BST655369:BST655404 CCP655369:CCP655404 CML655369:CML655404 CWH655369:CWH655404 DGD655369:DGD655404 DPZ655369:DPZ655404 DZV655369:DZV655404 EJR655369:EJR655404 ETN655369:ETN655404 FDJ655369:FDJ655404 FNF655369:FNF655404 FXB655369:FXB655404 GGX655369:GGX655404 GQT655369:GQT655404 HAP655369:HAP655404 HKL655369:HKL655404 HUH655369:HUH655404 IED655369:IED655404 INZ655369:INZ655404 IXV655369:IXV655404 JHR655369:JHR655404 JRN655369:JRN655404 KBJ655369:KBJ655404 KLF655369:KLF655404 KVB655369:KVB655404 LEX655369:LEX655404 LOT655369:LOT655404 LYP655369:LYP655404 MIL655369:MIL655404 MSH655369:MSH655404 NCD655369:NCD655404 NLZ655369:NLZ655404 NVV655369:NVV655404 OFR655369:OFR655404 OPN655369:OPN655404 OZJ655369:OZJ655404 PJF655369:PJF655404 PTB655369:PTB655404 QCX655369:QCX655404 QMT655369:QMT655404 QWP655369:QWP655404 RGL655369:RGL655404 RQH655369:RQH655404 SAD655369:SAD655404 SJZ655369:SJZ655404 STV655369:STV655404 TDR655369:TDR655404 TNN655369:TNN655404 TXJ655369:TXJ655404 UHF655369:UHF655404 URB655369:URB655404 VAX655369:VAX655404 VKT655369:VKT655404 VUP655369:VUP655404 WEL655369:WEL655404 WOH655369:WOH655404 WYD655369:WYD655404 BV720905:BV720940 LR720905:LR720940 VN720905:VN720940 AFJ720905:AFJ720940 APF720905:APF720940 AZB720905:AZB720940 BIX720905:BIX720940 BST720905:BST720940 CCP720905:CCP720940 CML720905:CML720940 CWH720905:CWH720940 DGD720905:DGD720940 DPZ720905:DPZ720940 DZV720905:DZV720940 EJR720905:EJR720940 ETN720905:ETN720940 FDJ720905:FDJ720940 FNF720905:FNF720940 FXB720905:FXB720940 GGX720905:GGX720940 GQT720905:GQT720940 HAP720905:HAP720940 HKL720905:HKL720940 HUH720905:HUH720940 IED720905:IED720940 INZ720905:INZ720940 IXV720905:IXV720940 JHR720905:JHR720940 JRN720905:JRN720940 KBJ720905:KBJ720940 KLF720905:KLF720940 KVB720905:KVB720940 LEX720905:LEX720940 LOT720905:LOT720940 LYP720905:LYP720940 MIL720905:MIL720940 MSH720905:MSH720940 NCD720905:NCD720940 NLZ720905:NLZ720940 NVV720905:NVV720940 OFR720905:OFR720940 OPN720905:OPN720940 OZJ720905:OZJ720940 PJF720905:PJF720940 PTB720905:PTB720940 QCX720905:QCX720940 QMT720905:QMT720940 QWP720905:QWP720940 RGL720905:RGL720940 RQH720905:RQH720940 SAD720905:SAD720940 SJZ720905:SJZ720940 STV720905:STV720940 TDR720905:TDR720940 TNN720905:TNN720940 TXJ720905:TXJ720940 UHF720905:UHF720940 URB720905:URB720940 VAX720905:VAX720940 VKT720905:VKT720940 VUP720905:VUP720940 WEL720905:WEL720940 WOH720905:WOH720940 WYD720905:WYD720940 BV786441:BV786476 LR786441:LR786476 VN786441:VN786476 AFJ786441:AFJ786476 APF786441:APF786476 AZB786441:AZB786476 BIX786441:BIX786476 BST786441:BST786476 CCP786441:CCP786476 CML786441:CML786476 CWH786441:CWH786476 DGD786441:DGD786476 DPZ786441:DPZ786476 DZV786441:DZV786476 EJR786441:EJR786476 ETN786441:ETN786476 FDJ786441:FDJ786476 FNF786441:FNF786476 FXB786441:FXB786476 GGX786441:GGX786476 GQT786441:GQT786476 HAP786441:HAP786476 HKL786441:HKL786476 HUH786441:HUH786476 IED786441:IED786476 INZ786441:INZ786476 IXV786441:IXV786476 JHR786441:JHR786476 JRN786441:JRN786476 KBJ786441:KBJ786476 KLF786441:KLF786476 KVB786441:KVB786476 LEX786441:LEX786476 LOT786441:LOT786476 LYP786441:LYP786476 MIL786441:MIL786476 MSH786441:MSH786476 NCD786441:NCD786476 NLZ786441:NLZ786476 NVV786441:NVV786476 OFR786441:OFR786476 OPN786441:OPN786476 OZJ786441:OZJ786476 PJF786441:PJF786476 PTB786441:PTB786476 QCX786441:QCX786476 QMT786441:QMT786476 QWP786441:QWP786476 RGL786441:RGL786476 RQH786441:RQH786476 SAD786441:SAD786476 SJZ786441:SJZ786476 STV786441:STV786476 TDR786441:TDR786476 TNN786441:TNN786476 TXJ786441:TXJ786476 UHF786441:UHF786476 URB786441:URB786476 VAX786441:VAX786476 VKT786441:VKT786476 VUP786441:VUP786476 WEL786441:WEL786476 WOH786441:WOH786476 WYD786441:WYD786476 BV851977:BV852012 LR851977:LR852012 VN851977:VN852012 AFJ851977:AFJ852012 APF851977:APF852012 AZB851977:AZB852012 BIX851977:BIX852012 BST851977:BST852012 CCP851977:CCP852012 CML851977:CML852012 CWH851977:CWH852012 DGD851977:DGD852012 DPZ851977:DPZ852012 DZV851977:DZV852012 EJR851977:EJR852012 ETN851977:ETN852012 FDJ851977:FDJ852012 FNF851977:FNF852012 FXB851977:FXB852012 GGX851977:GGX852012 GQT851977:GQT852012 HAP851977:HAP852012 HKL851977:HKL852012 HUH851977:HUH852012 IED851977:IED852012 INZ851977:INZ852012 IXV851977:IXV852012 JHR851977:JHR852012 JRN851977:JRN852012 KBJ851977:KBJ852012 KLF851977:KLF852012 KVB851977:KVB852012 LEX851977:LEX852012 LOT851977:LOT852012 LYP851977:LYP852012 MIL851977:MIL852012 MSH851977:MSH852012 NCD851977:NCD852012 NLZ851977:NLZ852012 NVV851977:NVV852012 OFR851977:OFR852012 OPN851977:OPN852012 OZJ851977:OZJ852012 PJF851977:PJF852012 PTB851977:PTB852012 QCX851977:QCX852012 QMT851977:QMT852012 QWP851977:QWP852012 RGL851977:RGL852012 RQH851977:RQH852012 SAD851977:SAD852012 SJZ851977:SJZ852012 STV851977:STV852012 TDR851977:TDR852012 TNN851977:TNN852012 TXJ851977:TXJ852012 UHF851977:UHF852012 URB851977:URB852012 VAX851977:VAX852012 VKT851977:VKT852012 VUP851977:VUP852012 WEL851977:WEL852012 WOH851977:WOH852012 WYD851977:WYD852012 BV917513:BV917548 LR917513:LR917548 VN917513:VN917548 AFJ917513:AFJ917548 APF917513:APF917548 AZB917513:AZB917548 BIX917513:BIX917548 BST917513:BST917548 CCP917513:CCP917548 CML917513:CML917548 CWH917513:CWH917548 DGD917513:DGD917548 DPZ917513:DPZ917548 DZV917513:DZV917548 EJR917513:EJR917548 ETN917513:ETN917548 FDJ917513:FDJ917548 FNF917513:FNF917548 FXB917513:FXB917548 GGX917513:GGX917548 GQT917513:GQT917548 HAP917513:HAP917548 HKL917513:HKL917548 HUH917513:HUH917548 IED917513:IED917548 INZ917513:INZ917548 IXV917513:IXV917548 JHR917513:JHR917548 JRN917513:JRN917548 KBJ917513:KBJ917548 KLF917513:KLF917548 KVB917513:KVB917548 LEX917513:LEX917548 LOT917513:LOT917548 LYP917513:LYP917548 MIL917513:MIL917548 MSH917513:MSH917548 NCD917513:NCD917548 NLZ917513:NLZ917548 NVV917513:NVV917548 OFR917513:OFR917548 OPN917513:OPN917548 OZJ917513:OZJ917548 PJF917513:PJF917548 PTB917513:PTB917548 QCX917513:QCX917548 QMT917513:QMT917548 QWP917513:QWP917548 RGL917513:RGL917548 RQH917513:RQH917548 SAD917513:SAD917548 SJZ917513:SJZ917548 STV917513:STV917548 TDR917513:TDR917548 TNN917513:TNN917548 TXJ917513:TXJ917548 UHF917513:UHF917548 URB917513:URB917548 VAX917513:VAX917548 VKT917513:VKT917548 VUP917513:VUP917548 WEL917513:WEL917548 WOH917513:WOH917548 WYD917513:WYD917548 BV983049:BV983084 LR983049:LR983084 VN983049:VN983084 AFJ983049:AFJ983084 APF983049:APF983084 AZB983049:AZB983084 BIX983049:BIX983084 BST983049:BST983084 CCP983049:CCP983084 CML983049:CML983084 CWH983049:CWH983084 DGD983049:DGD983084 DPZ983049:DPZ983084 DZV983049:DZV983084 EJR983049:EJR983084 ETN983049:ETN983084 FDJ983049:FDJ983084 FNF983049:FNF983084 FXB983049:FXB983084 GGX983049:GGX983084 GQT983049:GQT983084 HAP983049:HAP983084 HKL983049:HKL983084 HUH983049:HUH983084 IED983049:IED983084 INZ983049:INZ983084 IXV983049:IXV983084 JHR983049:JHR983084 JRN983049:JRN983084 KBJ983049:KBJ983084 KLF983049:KLF983084 KVB983049:KVB983084 LEX983049:LEX983084 LOT983049:LOT983084 LYP983049:LYP983084 MIL983049:MIL983084 MSH983049:MSH983084 NCD983049:NCD983084 NLZ983049:NLZ983084 NVV983049:NVV983084 OFR983049:OFR983084 OPN983049:OPN983084 OZJ983049:OZJ983084 PJF983049:PJF983084 PTB983049:PTB983084 QCX983049:QCX983084 QMT983049:QMT983084 QWP983049:QWP983084 RGL983049:RGL983084 RQH983049:RQH983084 SAD983049:SAD983084 SJZ983049:SJZ983084 STV983049:STV983084 TDR983049:TDR983084 TNN983049:TNN983084 TXJ983049:TXJ983084 UHF983049:UHF983084 URB983049:URB983084 VAX983049:VAX983084 VKT983049:VKT983084 VUP983049:VUP983084 WEL983049:WEL983084 WOH983049:WOH983084 WYD983049:WYD983084" xr:uid="{8CDC017C-20D1-4B20-93E6-12177AEF61E0}">
      <formula1>"○, "</formula1>
    </dataValidation>
  </dataValidations>
  <pageMargins left="0.35433070866141736" right="0.31496062992125989" top="0.70866141732283472" bottom="0.51181102362204722" header="0.43307086614173201" footer="0.31496062992126"/>
  <pageSetup paperSize="9" scale="87" firstPageNumber="0" fitToHeight="0" orientation="landscape" r:id="rId1"/>
  <headerFooter alignWithMargins="0">
    <oddHeader>&amp;C&amp;"ＭＳ Ｐゴシック,標準"&amp;16帳票詳細設計書（&amp;A）</oddHeader>
    <oddFooter>&amp;L&amp;"ＭＳ Ｐゴシック,標準"&amp;9&amp;F
&amp;C&amp;"ＭＳ Ｐゴシック,標準"&amp;11&amp;P/&amp;N&amp;R&amp;"ＭＳ Ｐゴシック,標準"&amp;9Confidential
Copyright ©2012 NTT FINANCE CORPORATION / ABeam Consulting Ltd.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85F18-EDE1-4834-AD27-277F260DF4E1}">
  <sheetPr codeName="Sheet14"/>
  <dimension ref="A1:D20"/>
  <sheetViews>
    <sheetView topLeftCell="A2" workbookViewId="0">
      <selection activeCell="B11" sqref="B11"/>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209</v>
      </c>
      <c r="B2" s="1" t="s">
        <v>208</v>
      </c>
    </row>
    <row r="3" spans="1:3">
      <c r="A3" s="1" t="s">
        <v>206</v>
      </c>
      <c r="B3" s="1" t="s">
        <v>207</v>
      </c>
    </row>
    <row r="4" spans="1:3">
      <c r="A4" s="1" t="s">
        <v>147</v>
      </c>
      <c r="B4" s="1" t="s">
        <v>148</v>
      </c>
    </row>
    <row r="5" spans="1:3">
      <c r="A5" s="1" t="s">
        <v>226</v>
      </c>
      <c r="B5" s="1" t="s">
        <v>2</v>
      </c>
    </row>
    <row r="6" spans="1:3">
      <c r="A6" s="1" t="s">
        <v>5</v>
      </c>
      <c r="B6" s="1" t="s">
        <v>3</v>
      </c>
    </row>
    <row r="7" spans="1:3">
      <c r="A7" s="1" t="s">
        <v>141</v>
      </c>
      <c r="B7" s="1" t="s">
        <v>6</v>
      </c>
    </row>
    <row r="8" spans="1:3">
      <c r="A8" s="42" t="s">
        <v>151</v>
      </c>
      <c r="B8" s="42" t="s">
        <v>6</v>
      </c>
    </row>
    <row r="9" spans="1:3">
      <c r="A9" s="1" t="s">
        <v>138</v>
      </c>
      <c r="B9" s="1" t="s">
        <v>140</v>
      </c>
    </row>
    <row r="10" spans="1:3">
      <c r="A10" s="1" t="s">
        <v>637</v>
      </c>
      <c r="B10" s="3">
        <v>7</v>
      </c>
    </row>
    <row r="11" spans="1:3">
      <c r="A11" s="1" t="s">
        <v>7</v>
      </c>
      <c r="B11" s="3">
        <v>1</v>
      </c>
    </row>
    <row r="12" spans="1:3">
      <c r="A12" s="1" t="s">
        <v>437</v>
      </c>
      <c r="B12" s="3">
        <v>8</v>
      </c>
      <c r="C12" s="105"/>
    </row>
    <row r="13" spans="1:3">
      <c r="A13" s="1" t="s">
        <v>112</v>
      </c>
      <c r="B13" s="1" t="s">
        <v>123</v>
      </c>
    </row>
    <row r="14" spans="1:3">
      <c r="A14" s="1" t="s">
        <v>113</v>
      </c>
      <c r="B14" s="1" t="s">
        <v>134</v>
      </c>
    </row>
    <row r="15" spans="1:3">
      <c r="A15" s="1" t="s">
        <v>114</v>
      </c>
      <c r="B15" s="1" t="s">
        <v>133</v>
      </c>
    </row>
    <row r="16" spans="1:3">
      <c r="A16" s="1" t="s">
        <v>127</v>
      </c>
      <c r="B16" s="1" t="s">
        <v>33</v>
      </c>
    </row>
    <row r="17" spans="1:4">
      <c r="A17" s="1" t="s">
        <v>149</v>
      </c>
      <c r="B17" s="1" t="s">
        <v>124</v>
      </c>
    </row>
    <row r="18" spans="1:4">
      <c r="A18" s="1" t="s">
        <v>115</v>
      </c>
      <c r="B18" s="1" t="s">
        <v>125</v>
      </c>
    </row>
    <row r="19" spans="1:4">
      <c r="A19" s="1" t="s">
        <v>116</v>
      </c>
      <c r="B19" s="1" t="s">
        <v>126</v>
      </c>
    </row>
    <row r="20" spans="1:4">
      <c r="A20" s="1" t="s">
        <v>117</v>
      </c>
      <c r="B20" s="43" t="s">
        <v>218</v>
      </c>
      <c r="C20" s="43"/>
      <c r="D20" s="43"/>
    </row>
  </sheetData>
  <phoneticPr fontId="8"/>
  <dataValidations count="1">
    <dataValidation type="list" allowBlank="1" showInputMessage="1" showErrorMessage="1" sqref="B20" xr:uid="{D5A821C8-6B46-4DE2-B9FD-0050B54B9E62}">
      <formula1>$C$20:$D$20</formula1>
    </dataValidation>
  </dataValidation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C33"/>
  <sheetViews>
    <sheetView workbookViewId="0">
      <selection activeCell="E15" sqref="E15"/>
    </sheetView>
  </sheetViews>
  <sheetFormatPr defaultColWidth="9" defaultRowHeight="15"/>
  <cols>
    <col min="1" max="1" width="20.81640625" style="1" bestFit="1" customWidth="1"/>
    <col min="2" max="2" width="34.1796875" style="1" customWidth="1"/>
    <col min="3" max="3" width="12.08984375" style="1" customWidth="1"/>
    <col min="4" max="4" width="12.453125" style="1" customWidth="1"/>
    <col min="5" max="5" width="13.453125" style="1" customWidth="1"/>
    <col min="6" max="16384" width="9" style="1"/>
  </cols>
  <sheetData>
    <row r="1" spans="1:3">
      <c r="A1" s="2" t="s">
        <v>0</v>
      </c>
      <c r="B1" s="2" t="s">
        <v>1</v>
      </c>
    </row>
    <row r="2" spans="1:3">
      <c r="A2" s="1" t="s">
        <v>209</v>
      </c>
      <c r="B2" s="1" t="s">
        <v>208</v>
      </c>
    </row>
    <row r="3" spans="1:3">
      <c r="A3" s="1" t="s">
        <v>206</v>
      </c>
      <c r="B3" s="1" t="s">
        <v>258</v>
      </c>
    </row>
    <row r="4" spans="1:3">
      <c r="A4" s="45" t="s">
        <v>147</v>
      </c>
      <c r="B4" s="45" t="s">
        <v>268</v>
      </c>
    </row>
    <row r="5" spans="1:3">
      <c r="A5" s="1" t="s">
        <v>287</v>
      </c>
      <c r="B5" s="1" t="s">
        <v>259</v>
      </c>
    </row>
    <row r="6" spans="1:3">
      <c r="A6" s="1" t="s">
        <v>288</v>
      </c>
      <c r="B6" s="46" t="s">
        <v>259</v>
      </c>
      <c r="C6" s="1" t="s">
        <v>260</v>
      </c>
    </row>
    <row r="7" spans="1:3">
      <c r="A7" s="1" t="s">
        <v>408</v>
      </c>
      <c r="B7" s="1" t="s">
        <v>409</v>
      </c>
    </row>
    <row r="8" spans="1:3">
      <c r="A8" s="1" t="s">
        <v>410</v>
      </c>
      <c r="B8" s="1" t="s">
        <v>413</v>
      </c>
    </row>
    <row r="9" spans="1:3">
      <c r="A9" s="1" t="s">
        <v>141</v>
      </c>
      <c r="B9" s="1" t="s">
        <v>139</v>
      </c>
    </row>
    <row r="10" spans="1:3">
      <c r="A10" s="42" t="s">
        <v>151</v>
      </c>
      <c r="B10" s="42" t="s">
        <v>262</v>
      </c>
    </row>
    <row r="11" spans="1:3">
      <c r="A11" s="1" t="s">
        <v>138</v>
      </c>
      <c r="B11" s="1" t="s">
        <v>261</v>
      </c>
    </row>
    <row r="12" spans="1:3">
      <c r="A12" s="1" t="s">
        <v>286</v>
      </c>
      <c r="B12" s="1" t="s">
        <v>432</v>
      </c>
    </row>
    <row r="13" spans="1:3">
      <c r="A13" s="1" t="s">
        <v>438</v>
      </c>
      <c r="B13" s="3">
        <v>10</v>
      </c>
      <c r="C13" s="105" t="s">
        <v>433</v>
      </c>
    </row>
    <row r="14" spans="1:3">
      <c r="A14" s="1" t="s">
        <v>112</v>
      </c>
      <c r="B14" s="1" t="s">
        <v>387</v>
      </c>
    </row>
    <row r="15" spans="1:3">
      <c r="A15" s="1" t="s">
        <v>113</v>
      </c>
      <c r="B15" s="1" t="s">
        <v>264</v>
      </c>
    </row>
    <row r="16" spans="1:3">
      <c r="A16" s="1" t="s">
        <v>114</v>
      </c>
      <c r="B16" s="1" t="s">
        <v>263</v>
      </c>
    </row>
    <row r="17" spans="1:2">
      <c r="A17" s="45" t="s">
        <v>127</v>
      </c>
      <c r="B17" s="45" t="s">
        <v>267</v>
      </c>
    </row>
    <row r="18" spans="1:2">
      <c r="A18" s="45" t="s">
        <v>149</v>
      </c>
      <c r="B18" s="45" t="s">
        <v>266</v>
      </c>
    </row>
    <row r="19" spans="1:2">
      <c r="A19" s="1" t="s">
        <v>115</v>
      </c>
      <c r="B19" s="1" t="s">
        <v>265</v>
      </c>
    </row>
    <row r="20" spans="1:2">
      <c r="A20" s="1" t="s">
        <v>116</v>
      </c>
      <c r="B20" s="1" t="s">
        <v>126</v>
      </c>
    </row>
    <row r="21" spans="1:2" ht="30">
      <c r="A21" s="1" t="s">
        <v>417</v>
      </c>
      <c r="B21" s="43" t="s">
        <v>415</v>
      </c>
    </row>
    <row r="22" spans="1:2" ht="30">
      <c r="A22" s="1" t="s">
        <v>418</v>
      </c>
      <c r="B22" s="43" t="s">
        <v>416</v>
      </c>
    </row>
    <row r="23" spans="1:2">
      <c r="A23" s="1" t="s">
        <v>117</v>
      </c>
      <c r="B23" s="43" t="s">
        <v>218</v>
      </c>
    </row>
    <row r="24" spans="1:2">
      <c r="A24" s="1" t="s">
        <v>270</v>
      </c>
      <c r="B24" s="1" t="s">
        <v>269</v>
      </c>
    </row>
    <row r="25" spans="1:2">
      <c r="A25" s="1" t="s">
        <v>271</v>
      </c>
      <c r="B25" s="1" t="s">
        <v>278</v>
      </c>
    </row>
    <row r="26" spans="1:2">
      <c r="A26" s="1" t="s">
        <v>272</v>
      </c>
      <c r="B26" s="1" t="s">
        <v>280</v>
      </c>
    </row>
    <row r="27" spans="1:2">
      <c r="A27" s="1" t="s">
        <v>273</v>
      </c>
      <c r="B27" s="1" t="s">
        <v>281</v>
      </c>
    </row>
    <row r="28" spans="1:2">
      <c r="A28" s="1" t="s">
        <v>274</v>
      </c>
      <c r="B28" s="1" t="s">
        <v>282</v>
      </c>
    </row>
    <row r="29" spans="1:2">
      <c r="A29" s="1" t="s">
        <v>275</v>
      </c>
      <c r="B29" s="1" t="s">
        <v>283</v>
      </c>
    </row>
    <row r="30" spans="1:2">
      <c r="A30" s="1" t="s">
        <v>276</v>
      </c>
      <c r="B30" s="1" t="s">
        <v>284</v>
      </c>
    </row>
    <row r="31" spans="1:2">
      <c r="A31" s="1" t="s">
        <v>277</v>
      </c>
      <c r="B31" s="1" t="s">
        <v>279</v>
      </c>
    </row>
    <row r="32" spans="1:2">
      <c r="A32" s="1" t="s">
        <v>285</v>
      </c>
      <c r="B32" s="3">
        <v>5</v>
      </c>
    </row>
    <row r="33" spans="2:2">
      <c r="B33" s="3"/>
    </row>
  </sheetData>
  <phoneticPr fontId="8"/>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CC20"/>
  <sheetViews>
    <sheetView showGridLines="0" view="pageBreakPreview" zoomScale="85" zoomScaleNormal="85" zoomScaleSheetLayoutView="85" workbookViewId="0">
      <pane ySplit="7" topLeftCell="A8" activePane="bottomLeft" state="frozen"/>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301" t="s">
        <v>8</v>
      </c>
      <c r="C2" s="302"/>
      <c r="D2" s="302"/>
      <c r="E2" s="302"/>
      <c r="F2" s="302"/>
      <c r="G2" s="302"/>
      <c r="H2" s="302"/>
      <c r="I2" s="303"/>
      <c r="J2" s="270" t="s">
        <v>162</v>
      </c>
      <c r="K2" s="270"/>
      <c r="L2" s="270"/>
      <c r="M2" s="270"/>
      <c r="N2" s="271"/>
      <c r="O2" s="269" t="s">
        <v>163</v>
      </c>
      <c r="P2" s="270"/>
      <c r="Q2" s="270"/>
      <c r="R2" s="270"/>
      <c r="S2" s="271"/>
      <c r="T2" s="269" t="s">
        <v>164</v>
      </c>
      <c r="U2" s="270"/>
      <c r="V2" s="270"/>
      <c r="W2" s="270"/>
      <c r="X2" s="270"/>
      <c r="Y2" s="270"/>
      <c r="Z2" s="270"/>
      <c r="AA2" s="270"/>
      <c r="AB2" s="270"/>
      <c r="AC2" s="270"/>
      <c r="AD2" s="270"/>
      <c r="AE2" s="270"/>
      <c r="AF2" s="270"/>
      <c r="AG2" s="270"/>
      <c r="AH2" s="271"/>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285" t="s">
        <v>12</v>
      </c>
      <c r="BL2" s="285"/>
      <c r="BM2" s="285"/>
      <c r="BN2" s="269" t="s">
        <v>13</v>
      </c>
      <c r="BO2" s="270"/>
      <c r="BP2" s="270"/>
      <c r="BQ2" s="271"/>
      <c r="BR2" s="285" t="s">
        <v>14</v>
      </c>
      <c r="BS2" s="285"/>
      <c r="BT2" s="285" t="s">
        <v>15</v>
      </c>
      <c r="BU2" s="285"/>
      <c r="BV2" s="285"/>
      <c r="BW2" s="269" t="s">
        <v>16</v>
      </c>
      <c r="BX2" s="270"/>
      <c r="BY2" s="270"/>
      <c r="BZ2" s="271"/>
      <c r="CA2" s="272"/>
      <c r="CB2" s="272"/>
      <c r="CC2" s="273"/>
    </row>
    <row r="3" spans="2:81" s="11" customFormat="1" ht="18.75" customHeight="1" thickBot="1">
      <c r="B3" s="304"/>
      <c r="C3" s="305"/>
      <c r="D3" s="305"/>
      <c r="E3" s="305"/>
      <c r="F3" s="305"/>
      <c r="G3" s="305"/>
      <c r="H3" s="305"/>
      <c r="I3" s="306"/>
      <c r="J3" s="274" t="s">
        <v>17</v>
      </c>
      <c r="K3" s="274"/>
      <c r="L3" s="274"/>
      <c r="M3" s="274"/>
      <c r="N3" s="275"/>
      <c r="O3" s="276">
        <v>2.04</v>
      </c>
      <c r="P3" s="274"/>
      <c r="Q3" s="274"/>
      <c r="R3" s="274"/>
      <c r="S3" s="275"/>
      <c r="T3" s="277" t="s">
        <v>18</v>
      </c>
      <c r="U3" s="274"/>
      <c r="V3" s="274"/>
      <c r="W3" s="274"/>
      <c r="X3" s="274"/>
      <c r="Y3" s="274"/>
      <c r="Z3" s="274"/>
      <c r="AA3" s="274"/>
      <c r="AB3" s="274"/>
      <c r="AC3" s="274"/>
      <c r="AD3" s="274"/>
      <c r="AE3" s="274"/>
      <c r="AF3" s="274"/>
      <c r="AG3" s="274"/>
      <c r="AH3" s="275"/>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278"/>
      <c r="BL3" s="279"/>
      <c r="BM3" s="280"/>
      <c r="BN3" s="281"/>
      <c r="BO3" s="282"/>
      <c r="BP3" s="282"/>
      <c r="BQ3" s="283"/>
      <c r="BR3" s="284" t="s">
        <v>19</v>
      </c>
      <c r="BS3" s="284"/>
      <c r="BT3" s="278" t="s">
        <v>20</v>
      </c>
      <c r="BU3" s="279"/>
      <c r="BV3" s="280"/>
      <c r="BW3" s="286">
        <v>43009</v>
      </c>
      <c r="BX3" s="287"/>
      <c r="BY3" s="287"/>
      <c r="BZ3" s="288"/>
      <c r="CA3" s="274"/>
      <c r="CB3" s="274"/>
      <c r="CC3" s="275"/>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267" t="s">
        <v>21</v>
      </c>
      <c r="C5" s="268"/>
      <c r="D5" s="268"/>
      <c r="E5" s="268"/>
      <c r="F5" s="268"/>
      <c r="G5" s="268"/>
      <c r="H5" s="268"/>
      <c r="I5" s="310"/>
      <c r="J5" s="17" t="s">
        <v>165</v>
      </c>
      <c r="K5" s="18"/>
      <c r="L5" s="18"/>
      <c r="M5" s="18"/>
      <c r="N5" s="18"/>
      <c r="O5" s="18"/>
      <c r="P5" s="18"/>
      <c r="Q5" s="18"/>
      <c r="R5" s="19" t="s">
        <v>166</v>
      </c>
      <c r="S5" s="18" t="s">
        <v>167</v>
      </c>
      <c r="T5" s="18"/>
      <c r="U5" s="19"/>
      <c r="V5" s="18"/>
      <c r="W5" s="18"/>
      <c r="X5" s="18"/>
      <c r="Y5" s="18"/>
      <c r="Z5" s="18"/>
      <c r="AA5" s="18"/>
      <c r="AB5" s="18"/>
      <c r="AC5" s="20"/>
      <c r="AD5" s="311" t="s">
        <v>168</v>
      </c>
      <c r="AE5" s="312"/>
      <c r="AF5" s="313"/>
      <c r="AG5" s="308"/>
      <c r="AH5" s="308"/>
      <c r="AI5" s="309"/>
      <c r="AJ5" s="21"/>
      <c r="AK5" s="311" t="s">
        <v>26</v>
      </c>
      <c r="AL5" s="314"/>
      <c r="AM5" s="314"/>
      <c r="AN5" s="314"/>
      <c r="AO5" s="314"/>
      <c r="AP5" s="314"/>
      <c r="AQ5" s="312"/>
      <c r="AR5" s="307">
        <v>159</v>
      </c>
      <c r="AS5" s="308"/>
      <c r="AT5" s="309"/>
      <c r="AU5" s="21" t="s">
        <v>169</v>
      </c>
      <c r="AV5" s="21"/>
      <c r="AW5" s="267" t="s">
        <v>28</v>
      </c>
      <c r="AX5" s="268"/>
      <c r="AY5" s="268"/>
      <c r="AZ5" s="268"/>
      <c r="BA5" s="268"/>
      <c r="BB5" s="17" t="s">
        <v>170</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171</v>
      </c>
      <c r="U7" s="25"/>
      <c r="V7" s="22" t="s">
        <v>172</v>
      </c>
      <c r="W7" s="25"/>
      <c r="X7" s="22" t="s">
        <v>173</v>
      </c>
      <c r="Y7" s="25"/>
      <c r="Z7" s="22" t="s">
        <v>174</v>
      </c>
      <c r="AA7" s="25"/>
      <c r="AB7" s="22" t="s">
        <v>175</v>
      </c>
      <c r="AC7" s="24"/>
      <c r="AD7" s="25"/>
      <c r="AE7" s="24" t="s">
        <v>176</v>
      </c>
      <c r="AF7" s="24"/>
      <c r="AG7" s="25"/>
      <c r="AH7" s="24" t="s">
        <v>177</v>
      </c>
      <c r="AI7" s="24"/>
      <c r="AJ7" s="24"/>
      <c r="AK7" s="24"/>
      <c r="AL7" s="25"/>
      <c r="AM7" s="22" t="s">
        <v>37</v>
      </c>
      <c r="AN7" s="25"/>
      <c r="AO7" s="22" t="s">
        <v>178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289">
        <v>1</v>
      </c>
      <c r="C8" s="290"/>
      <c r="D8" s="37" t="s">
        <v>179</v>
      </c>
      <c r="E8" s="27"/>
      <c r="F8" s="27"/>
      <c r="G8" s="27"/>
      <c r="H8" s="27"/>
      <c r="I8" s="27"/>
      <c r="J8" s="27"/>
      <c r="K8" s="28"/>
      <c r="L8" s="26" t="s">
        <v>186</v>
      </c>
      <c r="M8" s="27"/>
      <c r="N8" s="27"/>
      <c r="O8" s="27"/>
      <c r="P8" s="27"/>
      <c r="Q8" s="27"/>
      <c r="R8" s="27"/>
      <c r="S8" s="28"/>
      <c r="T8" s="29">
        <v>1</v>
      </c>
      <c r="U8" s="30"/>
      <c r="V8" s="31"/>
      <c r="W8" s="28"/>
      <c r="X8" s="31"/>
      <c r="Y8" s="28"/>
      <c r="Z8" s="31"/>
      <c r="AA8" s="28"/>
      <c r="AB8" s="32" t="s">
        <v>104</v>
      </c>
      <c r="AC8" s="32"/>
      <c r="AD8" s="30"/>
      <c r="AE8" s="33" t="s">
        <v>107</v>
      </c>
      <c r="AF8" s="27"/>
      <c r="AG8" s="28"/>
      <c r="AH8" s="291" t="s">
        <v>232</v>
      </c>
      <c r="AI8" s="292"/>
      <c r="AJ8" s="292"/>
      <c r="AK8" s="292"/>
      <c r="AL8" s="293"/>
      <c r="AM8" s="294">
        <v>6</v>
      </c>
      <c r="AN8" s="295"/>
      <c r="AO8" s="296">
        <v>6</v>
      </c>
      <c r="AP8" s="297"/>
      <c r="AQ8" s="298"/>
      <c r="AR8" s="299"/>
      <c r="AS8" s="299"/>
      <c r="AT8" s="299"/>
      <c r="AU8" s="299"/>
      <c r="AV8" s="299"/>
      <c r="AW8" s="299"/>
      <c r="AX8" s="299"/>
      <c r="AY8" s="299"/>
      <c r="AZ8" s="299"/>
      <c r="BA8" s="299"/>
      <c r="BB8" s="299"/>
      <c r="BC8" s="299"/>
      <c r="BD8" s="299"/>
      <c r="BE8" s="299"/>
      <c r="BF8" s="299"/>
      <c r="BG8" s="299"/>
      <c r="BH8" s="299"/>
      <c r="BI8" s="299"/>
      <c r="BJ8" s="299"/>
      <c r="BK8" s="299"/>
      <c r="BL8" s="299"/>
      <c r="BM8" s="299"/>
      <c r="BN8" s="299"/>
      <c r="BO8" s="299"/>
      <c r="BP8" s="299"/>
      <c r="BQ8" s="300"/>
      <c r="BR8" s="26"/>
      <c r="BS8" s="27"/>
      <c r="BT8" s="27"/>
      <c r="BU8" s="27"/>
      <c r="BV8" s="27"/>
      <c r="BW8" s="27"/>
      <c r="BX8" s="27"/>
      <c r="BY8" s="27"/>
      <c r="BZ8" s="27"/>
      <c r="CA8" s="27"/>
      <c r="CB8" s="27"/>
      <c r="CC8" s="28"/>
    </row>
    <row r="9" spans="2:81" ht="12" customHeight="1">
      <c r="B9" s="289">
        <v>2</v>
      </c>
      <c r="C9" s="290"/>
      <c r="D9" s="37" t="s">
        <v>180</v>
      </c>
      <c r="E9" s="27"/>
      <c r="F9" s="27"/>
      <c r="G9" s="27"/>
      <c r="H9" s="27"/>
      <c r="I9" s="27"/>
      <c r="J9" s="27"/>
      <c r="K9" s="28"/>
      <c r="L9" s="26" t="s">
        <v>187</v>
      </c>
      <c r="M9" s="27"/>
      <c r="N9" s="27"/>
      <c r="O9" s="27"/>
      <c r="P9" s="27"/>
      <c r="Q9" s="27"/>
      <c r="R9" s="27"/>
      <c r="S9" s="28"/>
      <c r="T9" s="29">
        <v>2</v>
      </c>
      <c r="U9" s="30"/>
      <c r="V9" s="31"/>
      <c r="W9" s="28"/>
      <c r="X9" s="31"/>
      <c r="Y9" s="28"/>
      <c r="Z9" s="31"/>
      <c r="AA9" s="28"/>
      <c r="AB9" s="32" t="s">
        <v>104</v>
      </c>
      <c r="AC9" s="32"/>
      <c r="AD9" s="30"/>
      <c r="AE9" s="33" t="s">
        <v>105</v>
      </c>
      <c r="AF9" s="27"/>
      <c r="AG9" s="28"/>
      <c r="AH9" s="291" t="s">
        <v>233</v>
      </c>
      <c r="AI9" s="292"/>
      <c r="AJ9" s="292"/>
      <c r="AK9" s="292"/>
      <c r="AL9" s="293"/>
      <c r="AM9" s="294">
        <v>4</v>
      </c>
      <c r="AN9" s="295"/>
      <c r="AO9" s="296">
        <v>4</v>
      </c>
      <c r="AP9" s="297"/>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289">
        <v>3</v>
      </c>
      <c r="C10" s="290"/>
      <c r="D10" s="37" t="s">
        <v>181</v>
      </c>
      <c r="E10" s="27"/>
      <c r="F10" s="27"/>
      <c r="G10" s="27"/>
      <c r="H10" s="27"/>
      <c r="I10" s="27"/>
      <c r="J10" s="27"/>
      <c r="K10" s="28"/>
      <c r="L10" s="26" t="s">
        <v>188</v>
      </c>
      <c r="M10" s="27"/>
      <c r="N10" s="27"/>
      <c r="O10" s="27"/>
      <c r="P10" s="27"/>
      <c r="Q10" s="27"/>
      <c r="R10" s="27"/>
      <c r="S10" s="28"/>
      <c r="T10" s="29">
        <v>3</v>
      </c>
      <c r="U10" s="30"/>
      <c r="V10" s="31"/>
      <c r="W10" s="28"/>
      <c r="X10" s="31"/>
      <c r="Y10" s="28"/>
      <c r="Z10" s="31"/>
      <c r="AA10" s="28"/>
      <c r="AB10" s="32" t="s">
        <v>104</v>
      </c>
      <c r="AC10" s="32"/>
      <c r="AD10" s="30"/>
      <c r="AE10" s="33" t="s">
        <v>105</v>
      </c>
      <c r="AF10" s="27"/>
      <c r="AG10" s="28"/>
      <c r="AH10" s="291" t="s">
        <v>106</v>
      </c>
      <c r="AI10" s="292"/>
      <c r="AJ10" s="292"/>
      <c r="AK10" s="292"/>
      <c r="AL10" s="293"/>
      <c r="AM10" s="294">
        <v>4</v>
      </c>
      <c r="AN10" s="295"/>
      <c r="AO10" s="296">
        <v>4</v>
      </c>
      <c r="AP10" s="297"/>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289">
        <v>4</v>
      </c>
      <c r="C11" s="290"/>
      <c r="D11" s="37" t="s">
        <v>182</v>
      </c>
      <c r="E11" s="27"/>
      <c r="F11" s="27"/>
      <c r="G11" s="27"/>
      <c r="H11" s="27"/>
      <c r="I11" s="27"/>
      <c r="J11" s="27"/>
      <c r="K11" s="28"/>
      <c r="L11" s="26" t="s">
        <v>189</v>
      </c>
      <c r="M11" s="27"/>
      <c r="N11" s="27"/>
      <c r="O11" s="27"/>
      <c r="P11" s="27"/>
      <c r="Q11" s="27"/>
      <c r="R11" s="27"/>
      <c r="S11" s="28"/>
      <c r="T11" s="29">
        <v>4</v>
      </c>
      <c r="U11" s="30"/>
      <c r="V11" s="31"/>
      <c r="W11" s="28"/>
      <c r="X11" s="31"/>
      <c r="Y11" s="28"/>
      <c r="Z11" s="31"/>
      <c r="AA11" s="28"/>
      <c r="AB11" s="32" t="s">
        <v>104</v>
      </c>
      <c r="AC11" s="32"/>
      <c r="AD11" s="30"/>
      <c r="AE11" s="33" t="s">
        <v>107</v>
      </c>
      <c r="AF11" s="27"/>
      <c r="AG11" s="28"/>
      <c r="AH11" s="291" t="s">
        <v>108</v>
      </c>
      <c r="AI11" s="292"/>
      <c r="AJ11" s="292"/>
      <c r="AK11" s="292"/>
      <c r="AL11" s="293"/>
      <c r="AM11" s="294">
        <v>13</v>
      </c>
      <c r="AN11" s="295"/>
      <c r="AO11" s="296">
        <v>13</v>
      </c>
      <c r="AP11" s="297"/>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289">
        <v>5</v>
      </c>
      <c r="C12" s="290"/>
      <c r="D12" s="26" t="s">
        <v>183</v>
      </c>
      <c r="E12" s="27"/>
      <c r="F12" s="27"/>
      <c r="G12" s="27"/>
      <c r="H12" s="27"/>
      <c r="I12" s="27"/>
      <c r="J12" s="27"/>
      <c r="K12" s="28"/>
      <c r="L12" s="26" t="s">
        <v>88</v>
      </c>
      <c r="M12" s="27"/>
      <c r="N12" s="27"/>
      <c r="O12" s="27"/>
      <c r="P12" s="27"/>
      <c r="Q12" s="27"/>
      <c r="R12" s="27"/>
      <c r="S12" s="28"/>
      <c r="T12" s="29"/>
      <c r="U12" s="30"/>
      <c r="V12" s="31"/>
      <c r="W12" s="28"/>
      <c r="X12" s="31"/>
      <c r="Y12" s="28"/>
      <c r="Z12" s="31"/>
      <c r="AA12" s="28"/>
      <c r="AB12" s="32" t="s">
        <v>104</v>
      </c>
      <c r="AC12" s="32"/>
      <c r="AD12" s="30"/>
      <c r="AE12" s="33" t="s">
        <v>111</v>
      </c>
      <c r="AF12" s="27"/>
      <c r="AG12" s="28"/>
      <c r="AH12" s="291" t="s">
        <v>110</v>
      </c>
      <c r="AI12" s="292"/>
      <c r="AJ12" s="292"/>
      <c r="AK12" s="292"/>
      <c r="AL12" s="293"/>
      <c r="AM12" s="294">
        <v>0</v>
      </c>
      <c r="AN12" s="295"/>
      <c r="AO12" s="296">
        <v>7</v>
      </c>
      <c r="AP12" s="297"/>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289">
        <v>6</v>
      </c>
      <c r="C13" s="290"/>
      <c r="D13" s="26" t="s">
        <v>184</v>
      </c>
      <c r="E13" s="27"/>
      <c r="F13" s="27"/>
      <c r="G13" s="27"/>
      <c r="H13" s="27"/>
      <c r="I13" s="27"/>
      <c r="J13" s="27"/>
      <c r="K13" s="28"/>
      <c r="L13" s="26" t="s">
        <v>90</v>
      </c>
      <c r="M13" s="27"/>
      <c r="N13" s="27"/>
      <c r="O13" s="27"/>
      <c r="P13" s="27"/>
      <c r="Q13" s="27"/>
      <c r="R13" s="27"/>
      <c r="S13" s="28"/>
      <c r="T13" s="29"/>
      <c r="U13" s="30"/>
      <c r="V13" s="31"/>
      <c r="W13" s="28"/>
      <c r="X13" s="31"/>
      <c r="Y13" s="28"/>
      <c r="Z13" s="31"/>
      <c r="AA13" s="28"/>
      <c r="AB13" s="32" t="s">
        <v>104</v>
      </c>
      <c r="AC13" s="32"/>
      <c r="AD13" s="30"/>
      <c r="AE13" s="33" t="s">
        <v>105</v>
      </c>
      <c r="AF13" s="27"/>
      <c r="AG13" s="28"/>
      <c r="AH13" s="291" t="s">
        <v>106</v>
      </c>
      <c r="AI13" s="292"/>
      <c r="AJ13" s="292"/>
      <c r="AK13" s="292"/>
      <c r="AL13" s="293"/>
      <c r="AM13" s="294">
        <v>20</v>
      </c>
      <c r="AN13" s="295"/>
      <c r="AO13" s="296">
        <v>20</v>
      </c>
      <c r="AP13" s="297"/>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289">
        <v>7</v>
      </c>
      <c r="C14" s="290"/>
      <c r="D14" s="26" t="s">
        <v>160</v>
      </c>
      <c r="E14" s="27"/>
      <c r="F14" s="27"/>
      <c r="G14" s="27"/>
      <c r="H14" s="27"/>
      <c r="I14" s="27"/>
      <c r="J14" s="27"/>
      <c r="K14" s="28"/>
      <c r="L14" s="26" t="s">
        <v>159</v>
      </c>
      <c r="M14" s="27"/>
      <c r="N14" s="27"/>
      <c r="O14" s="27"/>
      <c r="P14" s="27"/>
      <c r="Q14" s="27"/>
      <c r="R14" s="27"/>
      <c r="S14" s="28"/>
      <c r="T14" s="29"/>
      <c r="U14" s="30"/>
      <c r="V14" s="31"/>
      <c r="W14" s="28"/>
      <c r="X14" s="31"/>
      <c r="Y14" s="28"/>
      <c r="Z14" s="31"/>
      <c r="AA14" s="28"/>
      <c r="AB14" s="32" t="s">
        <v>104</v>
      </c>
      <c r="AC14" s="32"/>
      <c r="AD14" s="30"/>
      <c r="AE14" s="33" t="s">
        <v>105</v>
      </c>
      <c r="AF14" s="27"/>
      <c r="AG14" s="28"/>
      <c r="AH14" s="291" t="s">
        <v>106</v>
      </c>
      <c r="AI14" s="292"/>
      <c r="AJ14" s="292"/>
      <c r="AK14" s="292"/>
      <c r="AL14" s="293"/>
      <c r="AM14" s="294">
        <v>8</v>
      </c>
      <c r="AN14" s="295"/>
      <c r="AO14" s="296">
        <v>8</v>
      </c>
      <c r="AP14" s="297"/>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289">
        <v>8</v>
      </c>
      <c r="C15" s="290"/>
      <c r="D15" s="26" t="s">
        <v>158</v>
      </c>
      <c r="E15" s="27"/>
      <c r="F15" s="27"/>
      <c r="G15" s="27"/>
      <c r="H15" s="27"/>
      <c r="I15" s="27"/>
      <c r="J15" s="27"/>
      <c r="K15" s="28"/>
      <c r="L15" s="26" t="s">
        <v>94</v>
      </c>
      <c r="M15" s="27"/>
      <c r="N15" s="27"/>
      <c r="O15" s="27"/>
      <c r="P15" s="27"/>
      <c r="Q15" s="27"/>
      <c r="R15" s="27"/>
      <c r="S15" s="28"/>
      <c r="T15" s="29"/>
      <c r="U15" s="30"/>
      <c r="V15" s="31"/>
      <c r="W15" s="28"/>
      <c r="X15" s="31"/>
      <c r="Y15" s="28"/>
      <c r="Z15" s="31"/>
      <c r="AA15" s="28"/>
      <c r="AB15" s="32" t="s">
        <v>104</v>
      </c>
      <c r="AC15" s="32"/>
      <c r="AD15" s="30"/>
      <c r="AE15" s="33" t="s">
        <v>105</v>
      </c>
      <c r="AF15" s="27"/>
      <c r="AG15" s="28"/>
      <c r="AH15" s="291" t="s">
        <v>106</v>
      </c>
      <c r="AI15" s="292"/>
      <c r="AJ15" s="292"/>
      <c r="AK15" s="292"/>
      <c r="AL15" s="293"/>
      <c r="AM15" s="294">
        <v>15</v>
      </c>
      <c r="AN15" s="295"/>
      <c r="AO15" s="296">
        <v>15</v>
      </c>
      <c r="AP15" s="297"/>
      <c r="AQ15" s="26"/>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289">
        <v>9</v>
      </c>
      <c r="C16" s="290"/>
      <c r="D16" s="26" t="s">
        <v>157</v>
      </c>
      <c r="E16" s="27"/>
      <c r="F16" s="27"/>
      <c r="G16" s="27"/>
      <c r="H16" s="27"/>
      <c r="I16" s="27"/>
      <c r="J16" s="27"/>
      <c r="K16" s="28"/>
      <c r="L16" s="26" t="s">
        <v>96</v>
      </c>
      <c r="M16" s="27"/>
      <c r="N16" s="27"/>
      <c r="O16" s="27"/>
      <c r="P16" s="27"/>
      <c r="Q16" s="27"/>
      <c r="R16" s="27"/>
      <c r="S16" s="28"/>
      <c r="T16" s="29"/>
      <c r="U16" s="30"/>
      <c r="V16" s="31"/>
      <c r="W16" s="28"/>
      <c r="X16" s="31"/>
      <c r="Y16" s="28"/>
      <c r="Z16" s="31"/>
      <c r="AA16" s="28"/>
      <c r="AB16" s="32" t="s">
        <v>104</v>
      </c>
      <c r="AC16" s="32"/>
      <c r="AD16" s="30"/>
      <c r="AE16" s="33" t="s">
        <v>111</v>
      </c>
      <c r="AF16" s="27"/>
      <c r="AG16" s="28"/>
      <c r="AH16" s="291" t="s">
        <v>234</v>
      </c>
      <c r="AI16" s="292"/>
      <c r="AJ16" s="292"/>
      <c r="AK16" s="292"/>
      <c r="AL16" s="293"/>
      <c r="AM16" s="294">
        <v>0</v>
      </c>
      <c r="AN16" s="295"/>
      <c r="AO16" s="296">
        <v>7</v>
      </c>
      <c r="AP16" s="297"/>
      <c r="AQ16" s="2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289">
        <v>10</v>
      </c>
      <c r="C17" s="290"/>
      <c r="D17" s="26" t="s">
        <v>156</v>
      </c>
      <c r="E17" s="27"/>
      <c r="F17" s="27"/>
      <c r="G17" s="27"/>
      <c r="H17" s="27"/>
      <c r="I17" s="27"/>
      <c r="J17" s="27"/>
      <c r="K17" s="28"/>
      <c r="L17" s="26" t="s">
        <v>155</v>
      </c>
      <c r="M17" s="27"/>
      <c r="N17" s="27"/>
      <c r="O17" s="27"/>
      <c r="P17" s="27"/>
      <c r="Q17" s="27"/>
      <c r="R17" s="27"/>
      <c r="T17" s="29"/>
      <c r="U17" s="30"/>
      <c r="V17" s="31"/>
      <c r="W17" s="28"/>
      <c r="X17" s="31"/>
      <c r="Y17" s="28"/>
      <c r="Z17" s="31"/>
      <c r="AA17" s="28"/>
      <c r="AB17" s="32" t="s">
        <v>104</v>
      </c>
      <c r="AC17" s="32"/>
      <c r="AD17" s="30"/>
      <c r="AE17" s="33" t="s">
        <v>105</v>
      </c>
      <c r="AF17" s="27"/>
      <c r="AG17" s="28"/>
      <c r="AH17" s="291" t="s">
        <v>106</v>
      </c>
      <c r="AI17" s="292"/>
      <c r="AJ17" s="292"/>
      <c r="AK17" s="292"/>
      <c r="AL17" s="293"/>
      <c r="AM17" s="294">
        <v>20</v>
      </c>
      <c r="AN17" s="295"/>
      <c r="AO17" s="296">
        <v>20</v>
      </c>
      <c r="AP17" s="297"/>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289">
        <v>11</v>
      </c>
      <c r="C18" s="290"/>
      <c r="D18" s="26" t="s">
        <v>154</v>
      </c>
      <c r="E18" s="27"/>
      <c r="F18" s="27"/>
      <c r="G18" s="27"/>
      <c r="H18" s="27"/>
      <c r="I18" s="27"/>
      <c r="J18" s="27"/>
      <c r="K18" s="28"/>
      <c r="L18" s="26" t="s">
        <v>98</v>
      </c>
      <c r="M18" s="27"/>
      <c r="N18" s="27"/>
      <c r="O18" s="27"/>
      <c r="P18" s="27"/>
      <c r="Q18" s="27"/>
      <c r="R18" s="27"/>
      <c r="S18" s="28"/>
      <c r="T18" s="29"/>
      <c r="U18" s="30"/>
      <c r="V18" s="31"/>
      <c r="W18" s="28"/>
      <c r="X18" s="31"/>
      <c r="Y18" s="28"/>
      <c r="Z18" s="31"/>
      <c r="AA18" s="28"/>
      <c r="AB18" s="32" t="s">
        <v>104</v>
      </c>
      <c r="AC18" s="32"/>
      <c r="AD18" s="30"/>
      <c r="AE18" s="33" t="s">
        <v>105</v>
      </c>
      <c r="AF18" s="27"/>
      <c r="AG18" s="28"/>
      <c r="AH18" s="291" t="s">
        <v>106</v>
      </c>
      <c r="AI18" s="292"/>
      <c r="AJ18" s="292"/>
      <c r="AK18" s="292"/>
      <c r="AL18" s="293"/>
      <c r="AM18" s="294">
        <v>8</v>
      </c>
      <c r="AN18" s="295"/>
      <c r="AO18" s="296">
        <v>8</v>
      </c>
      <c r="AP18" s="297"/>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289">
        <v>12</v>
      </c>
      <c r="C19" s="290"/>
      <c r="D19" s="26" t="s">
        <v>153</v>
      </c>
      <c r="E19" s="27"/>
      <c r="F19" s="27"/>
      <c r="G19" s="27"/>
      <c r="H19" s="27"/>
      <c r="I19" s="27"/>
      <c r="J19" s="27"/>
      <c r="K19" s="28"/>
      <c r="L19" s="26" t="s">
        <v>100</v>
      </c>
      <c r="M19" s="27"/>
      <c r="N19" s="27"/>
      <c r="O19" s="27"/>
      <c r="P19" s="27"/>
      <c r="Q19" s="27"/>
      <c r="R19" s="27"/>
      <c r="S19" s="28"/>
      <c r="T19" s="29"/>
      <c r="U19" s="30"/>
      <c r="V19" s="31"/>
      <c r="W19" s="28"/>
      <c r="X19" s="31"/>
      <c r="Y19" s="28"/>
      <c r="Z19" s="31"/>
      <c r="AA19" s="28"/>
      <c r="AB19" s="32" t="s">
        <v>104</v>
      </c>
      <c r="AC19" s="32"/>
      <c r="AD19" s="30"/>
      <c r="AE19" s="33" t="s">
        <v>105</v>
      </c>
      <c r="AF19" s="27"/>
      <c r="AG19" s="28"/>
      <c r="AH19" s="291" t="s">
        <v>106</v>
      </c>
      <c r="AI19" s="292"/>
      <c r="AJ19" s="292"/>
      <c r="AK19" s="292"/>
      <c r="AL19" s="293"/>
      <c r="AM19" s="294">
        <v>15</v>
      </c>
      <c r="AN19" s="295"/>
      <c r="AO19" s="296">
        <v>15</v>
      </c>
      <c r="AP19" s="297"/>
      <c r="AQ19" s="298"/>
      <c r="AR19" s="299"/>
      <c r="AS19" s="299"/>
      <c r="AT19" s="299"/>
      <c r="AU19" s="299"/>
      <c r="AV19" s="299"/>
      <c r="AW19" s="299"/>
      <c r="AX19" s="299"/>
      <c r="AY19" s="299"/>
      <c r="AZ19" s="299"/>
      <c r="BA19" s="299"/>
      <c r="BB19" s="299"/>
      <c r="BC19" s="299"/>
      <c r="BD19" s="299"/>
      <c r="BE19" s="299"/>
      <c r="BF19" s="299"/>
      <c r="BG19" s="299"/>
      <c r="BH19" s="299"/>
      <c r="BI19" s="299"/>
      <c r="BJ19" s="299"/>
      <c r="BK19" s="299"/>
      <c r="BL19" s="299"/>
      <c r="BM19" s="299"/>
      <c r="BN19" s="299"/>
      <c r="BO19" s="299"/>
      <c r="BP19" s="299"/>
      <c r="BQ19" s="300"/>
      <c r="BR19" s="26"/>
      <c r="BS19" s="27"/>
      <c r="BT19" s="27"/>
      <c r="BU19" s="27"/>
      <c r="BV19" s="27"/>
      <c r="BW19" s="27"/>
      <c r="BX19" s="27"/>
      <c r="BY19" s="27"/>
      <c r="BZ19" s="27"/>
      <c r="CA19" s="27"/>
      <c r="CB19" s="27"/>
      <c r="CC19" s="28"/>
    </row>
    <row r="20" spans="2:81" ht="12" customHeight="1">
      <c r="B20" s="38" t="s">
        <v>185</v>
      </c>
      <c r="C20" s="38" t="s">
        <v>185</v>
      </c>
      <c r="D20" s="38" t="s">
        <v>185</v>
      </c>
      <c r="E20" s="38" t="s">
        <v>185</v>
      </c>
      <c r="F20" s="38" t="s">
        <v>185</v>
      </c>
      <c r="G20" s="38" t="s">
        <v>185</v>
      </c>
      <c r="H20" s="38" t="s">
        <v>185</v>
      </c>
      <c r="I20" s="38" t="s">
        <v>185</v>
      </c>
      <c r="J20" s="38" t="s">
        <v>185</v>
      </c>
      <c r="K20" s="38" t="s">
        <v>185</v>
      </c>
      <c r="L20" s="38" t="s">
        <v>185</v>
      </c>
      <c r="M20" s="38" t="s">
        <v>185</v>
      </c>
      <c r="N20" s="38" t="s">
        <v>185</v>
      </c>
      <c r="O20" s="38" t="s">
        <v>185</v>
      </c>
      <c r="P20" s="38" t="s">
        <v>185</v>
      </c>
      <c r="Q20" s="38" t="s">
        <v>185</v>
      </c>
      <c r="R20" s="38" t="s">
        <v>185</v>
      </c>
      <c r="S20" s="38" t="s">
        <v>185</v>
      </c>
      <c r="T20" s="38" t="s">
        <v>185</v>
      </c>
      <c r="U20" s="38" t="s">
        <v>185</v>
      </c>
      <c r="V20" s="38" t="s">
        <v>185</v>
      </c>
      <c r="W20" s="38" t="s">
        <v>185</v>
      </c>
      <c r="X20" s="38" t="s">
        <v>185</v>
      </c>
      <c r="Y20" s="38" t="s">
        <v>185</v>
      </c>
      <c r="Z20" s="38" t="s">
        <v>185</v>
      </c>
      <c r="AA20" s="38" t="s">
        <v>185</v>
      </c>
      <c r="AB20" s="38" t="s">
        <v>185</v>
      </c>
      <c r="AC20" s="38" t="s">
        <v>185</v>
      </c>
      <c r="AD20" s="38" t="s">
        <v>185</v>
      </c>
      <c r="AE20" s="38" t="s">
        <v>185</v>
      </c>
      <c r="AF20" s="38" t="s">
        <v>185</v>
      </c>
      <c r="AG20" s="38" t="s">
        <v>185</v>
      </c>
      <c r="AH20" s="38" t="s">
        <v>185</v>
      </c>
      <c r="AI20" s="38" t="s">
        <v>185</v>
      </c>
      <c r="AJ20" s="38"/>
      <c r="AK20" s="38" t="s">
        <v>185</v>
      </c>
      <c r="AL20" s="38" t="s">
        <v>185</v>
      </c>
      <c r="AM20" s="38" t="s">
        <v>185</v>
      </c>
      <c r="AN20" s="38" t="s">
        <v>185</v>
      </c>
      <c r="AO20" s="38" t="s">
        <v>185</v>
      </c>
      <c r="AP20" s="38" t="s">
        <v>185</v>
      </c>
      <c r="AQ20" s="38" t="s">
        <v>185</v>
      </c>
      <c r="AR20" s="38" t="s">
        <v>185</v>
      </c>
      <c r="AS20" s="38" t="s">
        <v>185</v>
      </c>
      <c r="AT20" s="38" t="s">
        <v>185</v>
      </c>
      <c r="AU20" s="38" t="s">
        <v>185</v>
      </c>
      <c r="AV20" s="38" t="s">
        <v>185</v>
      </c>
      <c r="AW20" s="38" t="s">
        <v>185</v>
      </c>
      <c r="AX20" s="38" t="s">
        <v>185</v>
      </c>
      <c r="AY20" s="38" t="s">
        <v>185</v>
      </c>
      <c r="AZ20" s="38" t="s">
        <v>185</v>
      </c>
      <c r="BA20" s="38" t="s">
        <v>185</v>
      </c>
      <c r="BB20" s="38" t="s">
        <v>185</v>
      </c>
      <c r="BC20" s="38" t="s">
        <v>185</v>
      </c>
      <c r="BD20" s="38" t="s">
        <v>185</v>
      </c>
      <c r="BE20" s="38" t="s">
        <v>185</v>
      </c>
      <c r="BF20" s="38" t="s">
        <v>185</v>
      </c>
      <c r="BG20" s="38" t="s">
        <v>185</v>
      </c>
      <c r="BH20" s="38" t="s">
        <v>185</v>
      </c>
      <c r="BI20" s="38" t="s">
        <v>185</v>
      </c>
      <c r="BJ20" s="38" t="s">
        <v>185</v>
      </c>
      <c r="BK20" s="38" t="s">
        <v>185</v>
      </c>
      <c r="BL20" s="38" t="s">
        <v>185</v>
      </c>
      <c r="BM20" s="38" t="s">
        <v>185</v>
      </c>
      <c r="BN20" s="38" t="s">
        <v>185</v>
      </c>
      <c r="BO20" s="38" t="s">
        <v>185</v>
      </c>
      <c r="BP20" s="38" t="s">
        <v>185</v>
      </c>
      <c r="BQ20" s="38" t="s">
        <v>185</v>
      </c>
      <c r="BR20" s="38" t="s">
        <v>185</v>
      </c>
      <c r="BS20" s="38" t="s">
        <v>185</v>
      </c>
      <c r="BT20" s="38" t="s">
        <v>185</v>
      </c>
      <c r="BU20" s="38" t="s">
        <v>185</v>
      </c>
      <c r="BV20" s="38" t="s">
        <v>185</v>
      </c>
      <c r="BW20" s="38" t="s">
        <v>185</v>
      </c>
      <c r="BX20" s="38" t="s">
        <v>185</v>
      </c>
      <c r="BY20" s="38" t="s">
        <v>185</v>
      </c>
      <c r="BZ20" s="38" t="s">
        <v>185</v>
      </c>
      <c r="CA20" s="38" t="s">
        <v>185</v>
      </c>
      <c r="CB20" s="38" t="s">
        <v>185</v>
      </c>
      <c r="CC20" s="38" t="s">
        <v>185</v>
      </c>
    </row>
  </sheetData>
  <mergeCells count="74">
    <mergeCell ref="B17:C17"/>
    <mergeCell ref="AH17:AL17"/>
    <mergeCell ref="AM17:AN17"/>
    <mergeCell ref="AO17:AP17"/>
    <mergeCell ref="AQ19:BQ19"/>
    <mergeCell ref="B18:C18"/>
    <mergeCell ref="AH18:AL18"/>
    <mergeCell ref="AM18:AN18"/>
    <mergeCell ref="AO18:AP18"/>
    <mergeCell ref="B19:C19"/>
    <mergeCell ref="AH19:AL19"/>
    <mergeCell ref="AM19:AN19"/>
    <mergeCell ref="AO19:AP19"/>
    <mergeCell ref="B15:C15"/>
    <mergeCell ref="AH15:AL15"/>
    <mergeCell ref="AM15:AN15"/>
    <mergeCell ref="AO15:AP15"/>
    <mergeCell ref="B16:C16"/>
    <mergeCell ref="AH16:AL16"/>
    <mergeCell ref="AM16:AN16"/>
    <mergeCell ref="AO16:AP16"/>
    <mergeCell ref="B13:C13"/>
    <mergeCell ref="AH13:AL13"/>
    <mergeCell ref="AM13:AN13"/>
    <mergeCell ref="AO13:AP13"/>
    <mergeCell ref="B14:C14"/>
    <mergeCell ref="AH14:AL14"/>
    <mergeCell ref="AM14:AN14"/>
    <mergeCell ref="AO14:AP14"/>
    <mergeCell ref="B11:C11"/>
    <mergeCell ref="AH11:AL11"/>
    <mergeCell ref="AM11:AN11"/>
    <mergeCell ref="AO11:AP11"/>
    <mergeCell ref="B12:C12"/>
    <mergeCell ref="AH12:AL12"/>
    <mergeCell ref="AM12:AN12"/>
    <mergeCell ref="AO12:AP12"/>
    <mergeCell ref="B2:I3"/>
    <mergeCell ref="AR5:AT5"/>
    <mergeCell ref="BR2:BS2"/>
    <mergeCell ref="BT2:BV2"/>
    <mergeCell ref="B10:C10"/>
    <mergeCell ref="AH10:AL10"/>
    <mergeCell ref="AM10:AN10"/>
    <mergeCell ref="AO10:AP10"/>
    <mergeCell ref="B9:C9"/>
    <mergeCell ref="AH9:AL9"/>
    <mergeCell ref="AM9:AN9"/>
    <mergeCell ref="AO9:AP9"/>
    <mergeCell ref="B5:I5"/>
    <mergeCell ref="AD5:AE5"/>
    <mergeCell ref="AF5:AI5"/>
    <mergeCell ref="AK5:AQ5"/>
    <mergeCell ref="B8:C8"/>
    <mergeCell ref="AH8:AL8"/>
    <mergeCell ref="AM8:AN8"/>
    <mergeCell ref="AO8:AP8"/>
    <mergeCell ref="AQ8:BQ8"/>
    <mergeCell ref="AW5:BA5"/>
    <mergeCell ref="BW2:BZ2"/>
    <mergeCell ref="CA2:CC3"/>
    <mergeCell ref="J3:N3"/>
    <mergeCell ref="O3:S3"/>
    <mergeCell ref="T3:AH3"/>
    <mergeCell ref="BK3:BM3"/>
    <mergeCell ref="BN3:BQ3"/>
    <mergeCell ref="BR3:BS3"/>
    <mergeCell ref="J2:N2"/>
    <mergeCell ref="O2:S2"/>
    <mergeCell ref="T2:AH2"/>
    <mergeCell ref="BK2:BM2"/>
    <mergeCell ref="BN2:BQ2"/>
    <mergeCell ref="BW3:BZ3"/>
    <mergeCell ref="BT3:BV3"/>
  </mergeCells>
  <phoneticPr fontId="8"/>
  <conditionalFormatting sqref="B8:C16 B18:C19">
    <cfRule type="expression" dxfId="11" priority="2">
      <formula>$S8&gt;0</formula>
    </cfRule>
  </conditionalFormatting>
  <conditionalFormatting sqref="B17:C17">
    <cfRule type="expression" dxfId="10" priority="1">
      <formula>$S17&gt;0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B1:CC40"/>
  <sheetViews>
    <sheetView showGridLines="0" view="pageBreakPreview" zoomScale="85" zoomScaleNormal="85" zoomScaleSheetLayoutView="85" workbookViewId="0">
      <pane ySplit="7" topLeftCell="A14" activePane="bottomLeft" state="frozen"/>
      <selection activeCell="AQ19" sqref="AQ19:BQ19"/>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301" t="s">
        <v>8</v>
      </c>
      <c r="C2" s="302"/>
      <c r="D2" s="302"/>
      <c r="E2" s="302"/>
      <c r="F2" s="302"/>
      <c r="G2" s="302"/>
      <c r="H2" s="302"/>
      <c r="I2" s="303"/>
      <c r="J2" s="270" t="s">
        <v>9</v>
      </c>
      <c r="K2" s="270"/>
      <c r="L2" s="270"/>
      <c r="M2" s="270"/>
      <c r="N2" s="271"/>
      <c r="O2" s="269" t="s">
        <v>10</v>
      </c>
      <c r="P2" s="270"/>
      <c r="Q2" s="270"/>
      <c r="R2" s="270"/>
      <c r="S2" s="271"/>
      <c r="T2" s="269" t="s">
        <v>11</v>
      </c>
      <c r="U2" s="270"/>
      <c r="V2" s="270"/>
      <c r="W2" s="270"/>
      <c r="X2" s="270"/>
      <c r="Y2" s="270"/>
      <c r="Z2" s="270"/>
      <c r="AA2" s="270"/>
      <c r="AB2" s="270"/>
      <c r="AC2" s="270"/>
      <c r="AD2" s="270"/>
      <c r="AE2" s="270"/>
      <c r="AF2" s="270"/>
      <c r="AG2" s="270"/>
      <c r="AH2" s="271"/>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285" t="s">
        <v>12</v>
      </c>
      <c r="BL2" s="285"/>
      <c r="BM2" s="285"/>
      <c r="BN2" s="269" t="s">
        <v>13</v>
      </c>
      <c r="BO2" s="270"/>
      <c r="BP2" s="270"/>
      <c r="BQ2" s="271"/>
      <c r="BR2" s="285" t="s">
        <v>14</v>
      </c>
      <c r="BS2" s="285"/>
      <c r="BT2" s="285" t="s">
        <v>15</v>
      </c>
      <c r="BU2" s="285"/>
      <c r="BV2" s="285"/>
      <c r="BW2" s="269" t="s">
        <v>16</v>
      </c>
      <c r="BX2" s="270"/>
      <c r="BY2" s="270"/>
      <c r="BZ2" s="271"/>
      <c r="CA2" s="272"/>
      <c r="CB2" s="272"/>
      <c r="CC2" s="273"/>
    </row>
    <row r="3" spans="2:81" s="11" customFormat="1" ht="18.75" customHeight="1" thickBot="1">
      <c r="B3" s="304"/>
      <c r="C3" s="305"/>
      <c r="D3" s="305"/>
      <c r="E3" s="305"/>
      <c r="F3" s="305"/>
      <c r="G3" s="305"/>
      <c r="H3" s="305"/>
      <c r="I3" s="306"/>
      <c r="J3" s="274" t="s">
        <v>17</v>
      </c>
      <c r="K3" s="274"/>
      <c r="L3" s="274"/>
      <c r="M3" s="274"/>
      <c r="N3" s="275"/>
      <c r="O3" s="276">
        <v>2.04</v>
      </c>
      <c r="P3" s="274"/>
      <c r="Q3" s="274"/>
      <c r="R3" s="274"/>
      <c r="S3" s="275"/>
      <c r="T3" s="277" t="s">
        <v>18</v>
      </c>
      <c r="U3" s="274"/>
      <c r="V3" s="274"/>
      <c r="W3" s="274"/>
      <c r="X3" s="274"/>
      <c r="Y3" s="274"/>
      <c r="Z3" s="274"/>
      <c r="AA3" s="274"/>
      <c r="AB3" s="274"/>
      <c r="AC3" s="274"/>
      <c r="AD3" s="274"/>
      <c r="AE3" s="274"/>
      <c r="AF3" s="274"/>
      <c r="AG3" s="274"/>
      <c r="AH3" s="275"/>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278"/>
      <c r="BL3" s="279"/>
      <c r="BM3" s="280"/>
      <c r="BN3" s="281"/>
      <c r="BO3" s="282"/>
      <c r="BP3" s="282"/>
      <c r="BQ3" s="283"/>
      <c r="BR3" s="284" t="s">
        <v>19</v>
      </c>
      <c r="BS3" s="284"/>
      <c r="BT3" s="278" t="s">
        <v>20</v>
      </c>
      <c r="BU3" s="279"/>
      <c r="BV3" s="280"/>
      <c r="BW3" s="286">
        <v>42949</v>
      </c>
      <c r="BX3" s="287"/>
      <c r="BY3" s="287"/>
      <c r="BZ3" s="288"/>
      <c r="CA3" s="274"/>
      <c r="CB3" s="274"/>
      <c r="CC3" s="275"/>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267" t="s">
        <v>21</v>
      </c>
      <c r="C5" s="268"/>
      <c r="D5" s="268"/>
      <c r="E5" s="268"/>
      <c r="F5" s="268"/>
      <c r="G5" s="268"/>
      <c r="H5" s="268"/>
      <c r="I5" s="310"/>
      <c r="J5" s="17" t="s">
        <v>22</v>
      </c>
      <c r="K5" s="18"/>
      <c r="L5" s="18"/>
      <c r="M5" s="18"/>
      <c r="N5" s="18"/>
      <c r="O5" s="18"/>
      <c r="P5" s="18"/>
      <c r="Q5" s="18"/>
      <c r="R5" s="18"/>
      <c r="S5" s="18"/>
      <c r="T5" s="18"/>
      <c r="U5" s="19" t="s">
        <v>23</v>
      </c>
      <c r="V5" s="18" t="s">
        <v>24</v>
      </c>
      <c r="W5" s="18"/>
      <c r="X5" s="18"/>
      <c r="Y5" s="18"/>
      <c r="Z5" s="18"/>
      <c r="AA5" s="18"/>
      <c r="AB5" s="18"/>
      <c r="AC5" s="20"/>
      <c r="AD5" s="311" t="s">
        <v>25</v>
      </c>
      <c r="AE5" s="312"/>
      <c r="AF5" s="313"/>
      <c r="AG5" s="308"/>
      <c r="AH5" s="308"/>
      <c r="AI5" s="309"/>
      <c r="AJ5" s="21"/>
      <c r="AK5" s="311" t="s">
        <v>26</v>
      </c>
      <c r="AL5" s="314"/>
      <c r="AM5" s="314"/>
      <c r="AN5" s="314"/>
      <c r="AO5" s="314"/>
      <c r="AP5" s="314"/>
      <c r="AQ5" s="312"/>
      <c r="AR5" s="307">
        <v>336</v>
      </c>
      <c r="AS5" s="308"/>
      <c r="AT5" s="309"/>
      <c r="AU5" s="21" t="s">
        <v>27</v>
      </c>
      <c r="AV5" s="21"/>
      <c r="AW5" s="267" t="s">
        <v>28</v>
      </c>
      <c r="AX5" s="268"/>
      <c r="AY5" s="268"/>
      <c r="AZ5" s="268"/>
      <c r="BA5" s="268"/>
      <c r="BB5" s="17" t="s">
        <v>29</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33</v>
      </c>
      <c r="U7" s="25"/>
      <c r="V7" s="22" t="s">
        <v>34</v>
      </c>
      <c r="W7" s="25"/>
      <c r="X7" s="22" t="s">
        <v>35</v>
      </c>
      <c r="Y7" s="25"/>
      <c r="Z7" s="22" t="s">
        <v>36</v>
      </c>
      <c r="AA7" s="25"/>
      <c r="AB7" s="22" t="s">
        <v>124</v>
      </c>
      <c r="AC7" s="24"/>
      <c r="AD7" s="25"/>
      <c r="AE7" s="24" t="s">
        <v>125</v>
      </c>
      <c r="AF7" s="24"/>
      <c r="AG7" s="25"/>
      <c r="AH7" s="24" t="s">
        <v>126</v>
      </c>
      <c r="AI7" s="24"/>
      <c r="AJ7" s="24"/>
      <c r="AK7" s="24"/>
      <c r="AL7" s="25"/>
      <c r="AM7" s="22" t="s">
        <v>37</v>
      </c>
      <c r="AN7" s="25"/>
      <c r="AO7" s="22" t="s">
        <v>38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289">
        <v>1</v>
      </c>
      <c r="C8" s="290"/>
      <c r="D8" s="26" t="s">
        <v>143</v>
      </c>
      <c r="E8" s="27"/>
      <c r="F8" s="27"/>
      <c r="G8" s="27"/>
      <c r="H8" s="27"/>
      <c r="I8" s="27"/>
      <c r="J8" s="27"/>
      <c r="K8" s="28"/>
      <c r="L8" s="26" t="s">
        <v>142</v>
      </c>
      <c r="M8" s="27"/>
      <c r="N8" s="27"/>
      <c r="O8" s="27"/>
      <c r="P8" s="27"/>
      <c r="Q8" s="27"/>
      <c r="R8" s="27"/>
      <c r="S8" s="28"/>
      <c r="T8" s="29"/>
      <c r="U8" s="30"/>
      <c r="V8" s="31"/>
      <c r="W8" s="28"/>
      <c r="X8" s="31"/>
      <c r="Y8" s="28"/>
      <c r="Z8" s="31"/>
      <c r="AA8" s="28"/>
      <c r="AB8" s="32" t="s">
        <v>144</v>
      </c>
      <c r="AC8" s="32"/>
      <c r="AD8" s="30"/>
      <c r="AE8" s="33" t="s">
        <v>145</v>
      </c>
      <c r="AF8" s="27"/>
      <c r="AG8" s="28"/>
      <c r="AH8" s="291" t="s">
        <v>146</v>
      </c>
      <c r="AI8" s="292"/>
      <c r="AJ8" s="292"/>
      <c r="AK8" s="292"/>
      <c r="AL8" s="293"/>
      <c r="AM8" s="294">
        <v>5</v>
      </c>
      <c r="AN8" s="295"/>
      <c r="AO8" s="296">
        <v>5</v>
      </c>
      <c r="AP8" s="297"/>
      <c r="AQ8" s="26"/>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8"/>
      <c r="BR8" s="26"/>
      <c r="BS8" s="27"/>
      <c r="BT8" s="27"/>
      <c r="BU8" s="27"/>
      <c r="BV8" s="27"/>
      <c r="BW8" s="27"/>
      <c r="BX8" s="27"/>
      <c r="BY8" s="27"/>
      <c r="BZ8" s="27"/>
      <c r="CA8" s="27"/>
      <c r="CB8" s="27"/>
      <c r="CC8" s="28"/>
    </row>
    <row r="9" spans="2:81" ht="12" customHeight="1">
      <c r="B9" s="289">
        <v>2</v>
      </c>
      <c r="C9" s="290"/>
      <c r="D9" s="26" t="s">
        <v>41</v>
      </c>
      <c r="E9" s="27"/>
      <c r="F9" s="27"/>
      <c r="G9" s="27"/>
      <c r="H9" s="27"/>
      <c r="I9" s="27"/>
      <c r="J9" s="27"/>
      <c r="K9" s="28"/>
      <c r="L9" s="26" t="s">
        <v>42</v>
      </c>
      <c r="M9" s="27"/>
      <c r="N9" s="27"/>
      <c r="O9" s="27"/>
      <c r="P9" s="27"/>
      <c r="Q9" s="27"/>
      <c r="R9" s="27"/>
      <c r="S9" s="28"/>
      <c r="T9" s="29"/>
      <c r="U9" s="30"/>
      <c r="V9" s="31"/>
      <c r="W9" s="28"/>
      <c r="X9" s="31"/>
      <c r="Y9" s="28"/>
      <c r="Z9" s="31"/>
      <c r="AA9" s="28"/>
      <c r="AB9" s="32" t="s">
        <v>104</v>
      </c>
      <c r="AC9" s="32"/>
      <c r="AD9" s="30"/>
      <c r="AE9" s="33" t="s">
        <v>105</v>
      </c>
      <c r="AF9" s="27"/>
      <c r="AG9" s="28"/>
      <c r="AH9" s="291" t="s">
        <v>106</v>
      </c>
      <c r="AI9" s="292"/>
      <c r="AJ9" s="292"/>
      <c r="AK9" s="292"/>
      <c r="AL9" s="293"/>
      <c r="AM9" s="294">
        <v>2</v>
      </c>
      <c r="AN9" s="295"/>
      <c r="AO9" s="296">
        <v>2</v>
      </c>
      <c r="AP9" s="297"/>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289">
        <v>3</v>
      </c>
      <c r="C10" s="290"/>
      <c r="D10" s="26" t="s">
        <v>43</v>
      </c>
      <c r="E10" s="27"/>
      <c r="F10" s="27"/>
      <c r="G10" s="27"/>
      <c r="H10" s="27"/>
      <c r="I10" s="27"/>
      <c r="J10" s="27"/>
      <c r="K10" s="28"/>
      <c r="L10" s="26" t="s">
        <v>44</v>
      </c>
      <c r="M10" s="27"/>
      <c r="N10" s="27"/>
      <c r="O10" s="27"/>
      <c r="P10" s="27"/>
      <c r="Q10" s="27"/>
      <c r="R10" s="27"/>
      <c r="S10" s="28"/>
      <c r="T10" s="29"/>
      <c r="U10" s="30"/>
      <c r="V10" s="31"/>
      <c r="W10" s="28"/>
      <c r="X10" s="31"/>
      <c r="Y10" s="28"/>
      <c r="Z10" s="31"/>
      <c r="AA10" s="28"/>
      <c r="AB10" s="32" t="s">
        <v>104</v>
      </c>
      <c r="AC10" s="32"/>
      <c r="AD10" s="30"/>
      <c r="AE10" s="33" t="s">
        <v>105</v>
      </c>
      <c r="AF10" s="27"/>
      <c r="AG10" s="28"/>
      <c r="AH10" s="291" t="s">
        <v>106</v>
      </c>
      <c r="AI10" s="292"/>
      <c r="AJ10" s="292"/>
      <c r="AK10" s="292"/>
      <c r="AL10" s="293"/>
      <c r="AM10" s="294">
        <v>2</v>
      </c>
      <c r="AN10" s="295"/>
      <c r="AO10" s="296">
        <v>2</v>
      </c>
      <c r="AP10" s="297"/>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289">
        <v>4</v>
      </c>
      <c r="C11" s="290"/>
      <c r="D11" s="26" t="s">
        <v>45</v>
      </c>
      <c r="E11" s="27"/>
      <c r="F11" s="27"/>
      <c r="G11" s="27"/>
      <c r="H11" s="27"/>
      <c r="I11" s="27"/>
      <c r="J11" s="27"/>
      <c r="K11" s="28"/>
      <c r="L11" s="26" t="s">
        <v>46</v>
      </c>
      <c r="M11" s="27"/>
      <c r="N11" s="27"/>
      <c r="O11" s="27"/>
      <c r="P11" s="27"/>
      <c r="Q11" s="27"/>
      <c r="R11" s="27"/>
      <c r="S11" s="28"/>
      <c r="T11" s="29"/>
      <c r="U11" s="30"/>
      <c r="V11" s="31"/>
      <c r="W11" s="28"/>
      <c r="X11" s="31"/>
      <c r="Y11" s="28"/>
      <c r="Z11" s="31"/>
      <c r="AA11" s="28"/>
      <c r="AB11" s="32" t="s">
        <v>104</v>
      </c>
      <c r="AC11" s="32"/>
      <c r="AD11" s="30"/>
      <c r="AE11" s="33" t="s">
        <v>107</v>
      </c>
      <c r="AF11" s="27"/>
      <c r="AG11" s="28"/>
      <c r="AH11" s="291" t="s">
        <v>108</v>
      </c>
      <c r="AI11" s="292"/>
      <c r="AJ11" s="292"/>
      <c r="AK11" s="292"/>
      <c r="AL11" s="293"/>
      <c r="AM11" s="294">
        <v>14</v>
      </c>
      <c r="AN11" s="295"/>
      <c r="AO11" s="296">
        <v>14</v>
      </c>
      <c r="AP11" s="297"/>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289">
        <v>5</v>
      </c>
      <c r="C12" s="290"/>
      <c r="D12" s="26" t="s">
        <v>47</v>
      </c>
      <c r="E12" s="27"/>
      <c r="F12" s="27"/>
      <c r="G12" s="27"/>
      <c r="H12" s="27"/>
      <c r="I12" s="27"/>
      <c r="J12" s="27"/>
      <c r="K12" s="28"/>
      <c r="L12" s="26" t="s">
        <v>48</v>
      </c>
      <c r="M12" s="27"/>
      <c r="N12" s="27"/>
      <c r="O12" s="27"/>
      <c r="P12" s="27"/>
      <c r="Q12" s="27"/>
      <c r="R12" s="27"/>
      <c r="S12" s="28"/>
      <c r="T12" s="31"/>
      <c r="U12" s="28"/>
      <c r="V12" s="31"/>
      <c r="W12" s="28"/>
      <c r="X12" s="31"/>
      <c r="Y12" s="28"/>
      <c r="Z12" s="31"/>
      <c r="AA12" s="28"/>
      <c r="AB12" s="32" t="s">
        <v>104</v>
      </c>
      <c r="AC12" s="32"/>
      <c r="AD12" s="30"/>
      <c r="AE12" s="33" t="s">
        <v>107</v>
      </c>
      <c r="AF12" s="27"/>
      <c r="AG12" s="28"/>
      <c r="AH12" s="291" t="s">
        <v>108</v>
      </c>
      <c r="AI12" s="292"/>
      <c r="AJ12" s="292"/>
      <c r="AK12" s="292"/>
      <c r="AL12" s="293"/>
      <c r="AM12" s="294">
        <v>8</v>
      </c>
      <c r="AN12" s="295"/>
      <c r="AO12" s="296">
        <v>8</v>
      </c>
      <c r="AP12" s="297"/>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289">
        <v>6</v>
      </c>
      <c r="C13" s="290"/>
      <c r="D13" s="26" t="s">
        <v>49</v>
      </c>
      <c r="E13" s="27"/>
      <c r="F13" s="27"/>
      <c r="G13" s="27"/>
      <c r="H13" s="27"/>
      <c r="I13" s="27"/>
      <c r="J13" s="27"/>
      <c r="K13" s="28"/>
      <c r="L13" s="26" t="s">
        <v>50</v>
      </c>
      <c r="M13" s="27"/>
      <c r="N13" s="27"/>
      <c r="O13" s="27"/>
      <c r="P13" s="27"/>
      <c r="Q13" s="27"/>
      <c r="R13" s="27"/>
      <c r="S13" s="28"/>
      <c r="T13" s="31"/>
      <c r="U13" s="28"/>
      <c r="V13" s="31"/>
      <c r="W13" s="28"/>
      <c r="X13" s="31"/>
      <c r="Y13" s="28"/>
      <c r="Z13" s="31"/>
      <c r="AA13" s="28"/>
      <c r="AB13" s="32" t="s">
        <v>104</v>
      </c>
      <c r="AC13" s="32"/>
      <c r="AD13" s="30"/>
      <c r="AE13" s="33" t="s">
        <v>107</v>
      </c>
      <c r="AF13" s="27"/>
      <c r="AG13" s="28"/>
      <c r="AH13" s="291" t="s">
        <v>108</v>
      </c>
      <c r="AI13" s="292"/>
      <c r="AJ13" s="292"/>
      <c r="AK13" s="292"/>
      <c r="AL13" s="293"/>
      <c r="AM13" s="294">
        <v>8</v>
      </c>
      <c r="AN13" s="295"/>
      <c r="AO13" s="296">
        <v>8</v>
      </c>
      <c r="AP13" s="297"/>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289">
        <v>7</v>
      </c>
      <c r="C14" s="290"/>
      <c r="D14" s="26" t="s">
        <v>51</v>
      </c>
      <c r="E14" s="27"/>
      <c r="F14" s="27"/>
      <c r="G14" s="27"/>
      <c r="H14" s="27"/>
      <c r="I14" s="27"/>
      <c r="J14" s="27"/>
      <c r="K14" s="28"/>
      <c r="L14" s="26" t="s">
        <v>52</v>
      </c>
      <c r="M14" s="27"/>
      <c r="N14" s="27"/>
      <c r="O14" s="27"/>
      <c r="P14" s="27"/>
      <c r="Q14" s="27"/>
      <c r="R14" s="27"/>
      <c r="S14" s="28"/>
      <c r="T14" s="31"/>
      <c r="U14" s="28"/>
      <c r="V14" s="31"/>
      <c r="W14" s="28"/>
      <c r="X14" s="31"/>
      <c r="Y14" s="28"/>
      <c r="Z14" s="31"/>
      <c r="AA14" s="28"/>
      <c r="AB14" s="32" t="s">
        <v>104</v>
      </c>
      <c r="AC14" s="32"/>
      <c r="AD14" s="30"/>
      <c r="AE14" s="33" t="s">
        <v>107</v>
      </c>
      <c r="AF14" s="27"/>
      <c r="AG14" s="28"/>
      <c r="AH14" s="291" t="s">
        <v>108</v>
      </c>
      <c r="AI14" s="292"/>
      <c r="AJ14" s="292"/>
      <c r="AK14" s="292"/>
      <c r="AL14" s="293"/>
      <c r="AM14" s="294">
        <v>6</v>
      </c>
      <c r="AN14" s="295"/>
      <c r="AO14" s="296">
        <v>6</v>
      </c>
      <c r="AP14" s="297"/>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289">
        <v>8</v>
      </c>
      <c r="C15" s="290"/>
      <c r="D15" s="26" t="s">
        <v>53</v>
      </c>
      <c r="E15" s="27"/>
      <c r="F15" s="27"/>
      <c r="G15" s="27"/>
      <c r="H15" s="27"/>
      <c r="I15" s="27"/>
      <c r="J15" s="27"/>
      <c r="K15" s="28"/>
      <c r="L15" s="26" t="s">
        <v>54</v>
      </c>
      <c r="M15" s="27"/>
      <c r="N15" s="27"/>
      <c r="O15" s="27"/>
      <c r="P15" s="27"/>
      <c r="Q15" s="27"/>
      <c r="R15" s="27"/>
      <c r="S15" s="28"/>
      <c r="T15" s="31"/>
      <c r="U15" s="28"/>
      <c r="V15" s="31"/>
      <c r="W15" s="28"/>
      <c r="X15" s="31"/>
      <c r="Y15" s="28"/>
      <c r="Z15" s="31"/>
      <c r="AA15" s="28"/>
      <c r="AB15" s="32" t="s">
        <v>104</v>
      </c>
      <c r="AC15" s="32"/>
      <c r="AD15" s="30"/>
      <c r="AE15" s="33" t="s">
        <v>105</v>
      </c>
      <c r="AF15" s="27"/>
      <c r="AG15" s="28"/>
      <c r="AH15" s="291" t="s">
        <v>106</v>
      </c>
      <c r="AI15" s="292"/>
      <c r="AJ15" s="292"/>
      <c r="AK15" s="292"/>
      <c r="AL15" s="293"/>
      <c r="AM15" s="294">
        <v>1</v>
      </c>
      <c r="AN15" s="295"/>
      <c r="AO15" s="296">
        <v>1</v>
      </c>
      <c r="AP15" s="297"/>
      <c r="AQ15" s="34"/>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289">
        <v>9</v>
      </c>
      <c r="C16" s="290"/>
      <c r="D16" s="26" t="s">
        <v>55</v>
      </c>
      <c r="E16" s="35"/>
      <c r="F16" s="27"/>
      <c r="G16" s="27"/>
      <c r="H16" s="27"/>
      <c r="I16" s="27"/>
      <c r="J16" s="27"/>
      <c r="K16" s="28"/>
      <c r="L16" s="26" t="s">
        <v>56</v>
      </c>
      <c r="M16" s="27"/>
      <c r="N16" s="27"/>
      <c r="O16" s="27"/>
      <c r="P16" s="27"/>
      <c r="Q16" s="27"/>
      <c r="R16" s="27"/>
      <c r="S16" s="28"/>
      <c r="T16" s="31"/>
      <c r="U16" s="28"/>
      <c r="V16" s="31"/>
      <c r="W16" s="28"/>
      <c r="X16" s="31"/>
      <c r="Y16" s="28"/>
      <c r="Z16" s="31"/>
      <c r="AA16" s="28"/>
      <c r="AB16" s="32" t="s">
        <v>104</v>
      </c>
      <c r="AC16" s="32"/>
      <c r="AD16" s="30"/>
      <c r="AE16" s="33" t="s">
        <v>107</v>
      </c>
      <c r="AF16" s="27"/>
      <c r="AG16" s="28"/>
      <c r="AH16" s="291" t="s">
        <v>108</v>
      </c>
      <c r="AI16" s="292"/>
      <c r="AJ16" s="292"/>
      <c r="AK16" s="292"/>
      <c r="AL16" s="293"/>
      <c r="AM16" s="294">
        <v>11</v>
      </c>
      <c r="AN16" s="295"/>
      <c r="AO16" s="296">
        <v>11</v>
      </c>
      <c r="AP16" s="297"/>
      <c r="AQ16" s="3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289">
        <v>10</v>
      </c>
      <c r="C17" s="290"/>
      <c r="D17" s="26" t="s">
        <v>57</v>
      </c>
      <c r="E17" s="27"/>
      <c r="F17" s="27"/>
      <c r="G17" s="27"/>
      <c r="H17" s="27"/>
      <c r="I17" s="27"/>
      <c r="J17" s="27"/>
      <c r="K17" s="28"/>
      <c r="L17" s="26" t="s">
        <v>58</v>
      </c>
      <c r="M17" s="27"/>
      <c r="N17" s="27"/>
      <c r="O17" s="27"/>
      <c r="P17" s="27"/>
      <c r="Q17" s="27"/>
      <c r="R17" s="27"/>
      <c r="S17" s="28"/>
      <c r="T17" s="31"/>
      <c r="U17" s="28"/>
      <c r="V17" s="31"/>
      <c r="W17" s="28"/>
      <c r="X17" s="31"/>
      <c r="Y17" s="28"/>
      <c r="Z17" s="31"/>
      <c r="AA17" s="28"/>
      <c r="AB17" s="32" t="s">
        <v>104</v>
      </c>
      <c r="AC17" s="32"/>
      <c r="AD17" s="30"/>
      <c r="AE17" s="33" t="s">
        <v>105</v>
      </c>
      <c r="AF17" s="27"/>
      <c r="AG17" s="28"/>
      <c r="AH17" s="291" t="s">
        <v>106</v>
      </c>
      <c r="AI17" s="292"/>
      <c r="AJ17" s="292"/>
      <c r="AK17" s="292"/>
      <c r="AL17" s="293"/>
      <c r="AM17" s="294">
        <v>18</v>
      </c>
      <c r="AN17" s="295"/>
      <c r="AO17" s="296">
        <v>18</v>
      </c>
      <c r="AP17" s="297"/>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289">
        <v>11</v>
      </c>
      <c r="C18" s="290"/>
      <c r="D18" s="26" t="s">
        <v>59</v>
      </c>
      <c r="E18" s="27"/>
      <c r="F18" s="27"/>
      <c r="G18" s="27"/>
      <c r="H18" s="27"/>
      <c r="I18" s="27"/>
      <c r="J18" s="27"/>
      <c r="K18" s="28"/>
      <c r="L18" s="37" t="s">
        <v>60</v>
      </c>
      <c r="M18" s="27"/>
      <c r="N18" s="27"/>
      <c r="O18" s="27"/>
      <c r="P18" s="27"/>
      <c r="Q18" s="27"/>
      <c r="R18" s="27"/>
      <c r="S18" s="28"/>
      <c r="T18" s="31"/>
      <c r="U18" s="28"/>
      <c r="V18" s="31"/>
      <c r="W18" s="28"/>
      <c r="X18" s="31"/>
      <c r="Y18" s="28"/>
      <c r="Z18" s="31"/>
      <c r="AA18" s="28"/>
      <c r="AB18" s="32" t="s">
        <v>104</v>
      </c>
      <c r="AC18" s="32"/>
      <c r="AD18" s="30"/>
      <c r="AE18" s="33" t="s">
        <v>105</v>
      </c>
      <c r="AF18" s="27"/>
      <c r="AG18" s="28"/>
      <c r="AH18" s="291" t="s">
        <v>106</v>
      </c>
      <c r="AI18" s="292"/>
      <c r="AJ18" s="292"/>
      <c r="AK18" s="292"/>
      <c r="AL18" s="293"/>
      <c r="AM18" s="294">
        <v>10</v>
      </c>
      <c r="AN18" s="295"/>
      <c r="AO18" s="296">
        <v>10</v>
      </c>
      <c r="AP18" s="297"/>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289">
        <v>12</v>
      </c>
      <c r="C19" s="290"/>
      <c r="D19" s="26" t="s">
        <v>61</v>
      </c>
      <c r="E19" s="27"/>
      <c r="F19" s="27"/>
      <c r="G19" s="27"/>
      <c r="H19" s="27"/>
      <c r="I19" s="27"/>
      <c r="J19" s="27"/>
      <c r="K19" s="28"/>
      <c r="L19" s="26" t="s">
        <v>62</v>
      </c>
      <c r="M19" s="27"/>
      <c r="N19" s="27"/>
      <c r="O19" s="27"/>
      <c r="P19" s="27"/>
      <c r="Q19" s="27"/>
      <c r="R19" s="27"/>
      <c r="S19" s="28"/>
      <c r="T19" s="31"/>
      <c r="U19" s="28"/>
      <c r="V19" s="31"/>
      <c r="W19" s="28"/>
      <c r="X19" s="31"/>
      <c r="Y19" s="28"/>
      <c r="Z19" s="31"/>
      <c r="AA19" s="28"/>
      <c r="AB19" s="32" t="s">
        <v>104</v>
      </c>
      <c r="AC19" s="32"/>
      <c r="AD19" s="30"/>
      <c r="AE19" s="33" t="s">
        <v>105</v>
      </c>
      <c r="AF19" s="27"/>
      <c r="AG19" s="28"/>
      <c r="AH19" s="291" t="s">
        <v>106</v>
      </c>
      <c r="AI19" s="292"/>
      <c r="AJ19" s="292"/>
      <c r="AK19" s="292"/>
      <c r="AL19" s="293"/>
      <c r="AM19" s="294">
        <v>20</v>
      </c>
      <c r="AN19" s="295"/>
      <c r="AO19" s="296">
        <v>20</v>
      </c>
      <c r="AP19" s="297"/>
      <c r="AQ19" s="26"/>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8"/>
      <c r="BR19" s="26"/>
      <c r="BS19" s="27"/>
      <c r="BT19" s="27"/>
      <c r="BU19" s="27"/>
      <c r="BV19" s="27"/>
      <c r="BW19" s="27"/>
      <c r="BX19" s="27"/>
      <c r="BY19" s="27"/>
      <c r="BZ19" s="27"/>
      <c r="CA19" s="27"/>
      <c r="CB19" s="27"/>
      <c r="CC19" s="28"/>
    </row>
    <row r="20" spans="2:81" ht="12" customHeight="1">
      <c r="B20" s="289">
        <v>13</v>
      </c>
      <c r="C20" s="290"/>
      <c r="D20" s="26" t="s">
        <v>63</v>
      </c>
      <c r="E20" s="35"/>
      <c r="F20" s="27"/>
      <c r="G20" s="27"/>
      <c r="H20" s="27"/>
      <c r="I20" s="27"/>
      <c r="J20" s="27"/>
      <c r="K20" s="28"/>
      <c r="L20" s="26" t="s">
        <v>64</v>
      </c>
      <c r="M20" s="27"/>
      <c r="N20" s="27"/>
      <c r="O20" s="27"/>
      <c r="P20" s="27"/>
      <c r="Q20" s="27"/>
      <c r="R20" s="27"/>
      <c r="S20" s="28"/>
      <c r="T20" s="31"/>
      <c r="U20" s="28"/>
      <c r="V20" s="31"/>
      <c r="W20" s="28"/>
      <c r="X20" s="31"/>
      <c r="Y20" s="28"/>
      <c r="Z20" s="31"/>
      <c r="AA20" s="28"/>
      <c r="AB20" s="32" t="s">
        <v>104</v>
      </c>
      <c r="AC20" s="32"/>
      <c r="AD20" s="30"/>
      <c r="AE20" s="33" t="s">
        <v>107</v>
      </c>
      <c r="AF20" s="27"/>
      <c r="AG20" s="28"/>
      <c r="AH20" s="291" t="s">
        <v>108</v>
      </c>
      <c r="AI20" s="292"/>
      <c r="AJ20" s="292"/>
      <c r="AK20" s="292"/>
      <c r="AL20" s="293"/>
      <c r="AM20" s="294">
        <v>8</v>
      </c>
      <c r="AN20" s="295"/>
      <c r="AO20" s="296">
        <v>8</v>
      </c>
      <c r="AP20" s="297"/>
      <c r="AQ20" s="26"/>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8"/>
      <c r="BR20" s="26"/>
      <c r="BS20" s="27"/>
      <c r="BT20" s="27"/>
      <c r="BU20" s="27"/>
      <c r="BV20" s="27"/>
      <c r="BW20" s="27"/>
      <c r="BX20" s="27"/>
      <c r="BY20" s="27"/>
      <c r="BZ20" s="27"/>
      <c r="CA20" s="27"/>
      <c r="CB20" s="27"/>
      <c r="CC20" s="28"/>
    </row>
    <row r="21" spans="2:81" ht="12" customHeight="1">
      <c r="B21" s="289">
        <v>14</v>
      </c>
      <c r="C21" s="290"/>
      <c r="D21" s="26" t="s">
        <v>65</v>
      </c>
      <c r="E21" s="27"/>
      <c r="F21" s="27"/>
      <c r="G21" s="27"/>
      <c r="H21" s="27"/>
      <c r="I21" s="27"/>
      <c r="J21" s="27"/>
      <c r="K21" s="28"/>
      <c r="L21" s="26" t="s">
        <v>66</v>
      </c>
      <c r="M21" s="27"/>
      <c r="N21" s="27"/>
      <c r="O21" s="27"/>
      <c r="P21" s="27"/>
      <c r="Q21" s="27"/>
      <c r="R21" s="27"/>
      <c r="S21" s="28"/>
      <c r="T21" s="31"/>
      <c r="U21" s="28"/>
      <c r="V21" s="31"/>
      <c r="W21" s="28"/>
      <c r="X21" s="31"/>
      <c r="Y21" s="28"/>
      <c r="Z21" s="31"/>
      <c r="AA21" s="28"/>
      <c r="AB21" s="32" t="s">
        <v>104</v>
      </c>
      <c r="AC21" s="32"/>
      <c r="AD21" s="30"/>
      <c r="AE21" s="33" t="s">
        <v>105</v>
      </c>
      <c r="AF21" s="27"/>
      <c r="AG21" s="28"/>
      <c r="AH21" s="291" t="s">
        <v>106</v>
      </c>
      <c r="AI21" s="292"/>
      <c r="AJ21" s="292"/>
      <c r="AK21" s="292"/>
      <c r="AL21" s="293"/>
      <c r="AM21" s="294">
        <v>8</v>
      </c>
      <c r="AN21" s="295"/>
      <c r="AO21" s="296">
        <v>8</v>
      </c>
      <c r="AP21" s="297"/>
      <c r="AQ21" s="26"/>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8"/>
      <c r="BR21" s="26"/>
      <c r="BS21" s="27"/>
      <c r="BT21" s="27"/>
      <c r="BU21" s="27"/>
      <c r="BV21" s="27"/>
      <c r="BW21" s="27"/>
      <c r="BX21" s="27"/>
      <c r="BY21" s="27"/>
      <c r="BZ21" s="27"/>
      <c r="CA21" s="27"/>
      <c r="CB21" s="27"/>
      <c r="CC21" s="28"/>
    </row>
    <row r="22" spans="2:81" ht="12" customHeight="1">
      <c r="B22" s="289">
        <v>15</v>
      </c>
      <c r="C22" s="290"/>
      <c r="D22" s="26" t="s">
        <v>67</v>
      </c>
      <c r="E22" s="27"/>
      <c r="F22" s="27"/>
      <c r="G22" s="27"/>
      <c r="H22" s="27"/>
      <c r="I22" s="27"/>
      <c r="J22" s="27"/>
      <c r="K22" s="28"/>
      <c r="L22" s="26" t="s">
        <v>68</v>
      </c>
      <c r="M22" s="27"/>
      <c r="N22" s="27"/>
      <c r="O22" s="27"/>
      <c r="P22" s="27"/>
      <c r="Q22" s="27"/>
      <c r="R22" s="27"/>
      <c r="S22" s="28"/>
      <c r="T22" s="29"/>
      <c r="U22" s="30"/>
      <c r="V22" s="31"/>
      <c r="W22" s="28"/>
      <c r="X22" s="31"/>
      <c r="Y22" s="28"/>
      <c r="Z22" s="31"/>
      <c r="AA22" s="28"/>
      <c r="AB22" s="32" t="s">
        <v>104</v>
      </c>
      <c r="AC22" s="32"/>
      <c r="AD22" s="30"/>
      <c r="AE22" s="33" t="s">
        <v>105</v>
      </c>
      <c r="AF22" s="27"/>
      <c r="AG22" s="28"/>
      <c r="AH22" s="291" t="s">
        <v>106</v>
      </c>
      <c r="AI22" s="292"/>
      <c r="AJ22" s="292"/>
      <c r="AK22" s="292"/>
      <c r="AL22" s="293"/>
      <c r="AM22" s="294">
        <v>8</v>
      </c>
      <c r="AN22" s="295"/>
      <c r="AO22" s="296">
        <v>8</v>
      </c>
      <c r="AP22" s="297"/>
      <c r="AQ22" s="26"/>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8"/>
      <c r="BR22" s="26"/>
      <c r="BS22" s="27"/>
      <c r="BT22" s="27"/>
      <c r="BU22" s="27"/>
      <c r="BV22" s="27"/>
      <c r="BW22" s="27"/>
      <c r="BX22" s="27"/>
      <c r="BY22" s="27"/>
      <c r="BZ22" s="27"/>
      <c r="CA22" s="27"/>
      <c r="CB22" s="27"/>
      <c r="CC22" s="28"/>
    </row>
    <row r="23" spans="2:81" ht="12" customHeight="1">
      <c r="B23" s="289">
        <v>16</v>
      </c>
      <c r="C23" s="290"/>
      <c r="D23" s="26" t="s">
        <v>69</v>
      </c>
      <c r="E23" s="27"/>
      <c r="F23" s="27"/>
      <c r="G23" s="27"/>
      <c r="H23" s="27"/>
      <c r="I23" s="27"/>
      <c r="J23" s="27"/>
      <c r="K23" s="28"/>
      <c r="L23" s="26" t="s">
        <v>70</v>
      </c>
      <c r="M23" s="27"/>
      <c r="N23" s="27"/>
      <c r="O23" s="27"/>
      <c r="P23" s="27"/>
      <c r="Q23" s="27"/>
      <c r="R23" s="27"/>
      <c r="S23" s="28"/>
      <c r="T23" s="29"/>
      <c r="U23" s="30"/>
      <c r="V23" s="31"/>
      <c r="W23" s="28"/>
      <c r="X23" s="31"/>
      <c r="Y23" s="28"/>
      <c r="Z23" s="31"/>
      <c r="AA23" s="28"/>
      <c r="AB23" s="32" t="s">
        <v>104</v>
      </c>
      <c r="AC23" s="32"/>
      <c r="AD23" s="30"/>
      <c r="AE23" s="33" t="s">
        <v>105</v>
      </c>
      <c r="AF23" s="27"/>
      <c r="AG23" s="28"/>
      <c r="AH23" s="291" t="s">
        <v>106</v>
      </c>
      <c r="AI23" s="292"/>
      <c r="AJ23" s="292"/>
      <c r="AK23" s="292"/>
      <c r="AL23" s="293"/>
      <c r="AM23" s="294">
        <v>16</v>
      </c>
      <c r="AN23" s="295"/>
      <c r="AO23" s="296">
        <v>16</v>
      </c>
      <c r="AP23" s="297"/>
      <c r="AQ23" s="26"/>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8"/>
      <c r="BR23" s="26"/>
      <c r="BS23" s="27"/>
      <c r="BT23" s="27"/>
      <c r="BU23" s="27"/>
      <c r="BV23" s="27"/>
      <c r="BW23" s="27"/>
      <c r="BX23" s="27"/>
      <c r="BY23" s="27"/>
      <c r="BZ23" s="27"/>
      <c r="CA23" s="27"/>
      <c r="CB23" s="27"/>
      <c r="CC23" s="28"/>
    </row>
    <row r="24" spans="2:81" ht="12" customHeight="1">
      <c r="B24" s="289">
        <v>17</v>
      </c>
      <c r="C24" s="290"/>
      <c r="D24" s="26" t="s">
        <v>71</v>
      </c>
      <c r="E24" s="27"/>
      <c r="F24" s="27"/>
      <c r="G24" s="27"/>
      <c r="H24" s="27"/>
      <c r="I24" s="27"/>
      <c r="J24" s="27"/>
      <c r="K24" s="28"/>
      <c r="L24" s="26" t="s">
        <v>72</v>
      </c>
      <c r="M24" s="27"/>
      <c r="N24" s="27"/>
      <c r="O24" s="27"/>
      <c r="P24" s="27"/>
      <c r="Q24" s="27"/>
      <c r="R24" s="27"/>
      <c r="S24" s="28"/>
      <c r="T24" s="29"/>
      <c r="U24" s="30"/>
      <c r="V24" s="31"/>
      <c r="W24" s="28"/>
      <c r="X24" s="31"/>
      <c r="Y24" s="28"/>
      <c r="Z24" s="31"/>
      <c r="AA24" s="28"/>
      <c r="AB24" s="32" t="s">
        <v>104</v>
      </c>
      <c r="AC24" s="32"/>
      <c r="AD24" s="30"/>
      <c r="AE24" s="33" t="s">
        <v>105</v>
      </c>
      <c r="AF24" s="27"/>
      <c r="AG24" s="28"/>
      <c r="AH24" s="291" t="s">
        <v>106</v>
      </c>
      <c r="AI24" s="292"/>
      <c r="AJ24" s="292"/>
      <c r="AK24" s="292"/>
      <c r="AL24" s="293"/>
      <c r="AM24" s="294">
        <v>5</v>
      </c>
      <c r="AN24" s="295"/>
      <c r="AO24" s="296">
        <v>5</v>
      </c>
      <c r="AP24" s="297"/>
      <c r="AQ24" s="26"/>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8"/>
      <c r="BR24" s="26"/>
      <c r="BS24" s="27"/>
      <c r="BT24" s="27"/>
      <c r="BU24" s="27"/>
      <c r="BV24" s="27"/>
      <c r="BW24" s="27"/>
      <c r="BX24" s="27"/>
      <c r="BY24" s="27"/>
      <c r="BZ24" s="27"/>
      <c r="CA24" s="27"/>
      <c r="CB24" s="27"/>
      <c r="CC24" s="28"/>
    </row>
    <row r="25" spans="2:81" ht="12" customHeight="1">
      <c r="B25" s="289">
        <v>18</v>
      </c>
      <c r="C25" s="290"/>
      <c r="D25" s="26" t="s">
        <v>73</v>
      </c>
      <c r="E25" s="27"/>
      <c r="F25" s="27"/>
      <c r="G25" s="27"/>
      <c r="H25" s="27"/>
      <c r="I25" s="27"/>
      <c r="J25" s="27"/>
      <c r="K25" s="28"/>
      <c r="L25" s="26" t="s">
        <v>74</v>
      </c>
      <c r="M25" s="27"/>
      <c r="N25" s="27"/>
      <c r="O25" s="27"/>
      <c r="P25" s="27"/>
      <c r="Q25" s="27"/>
      <c r="R25" s="27"/>
      <c r="S25" s="28"/>
      <c r="T25" s="29"/>
      <c r="U25" s="30"/>
      <c r="V25" s="31"/>
      <c r="W25" s="28"/>
      <c r="X25" s="31"/>
      <c r="Y25" s="28"/>
      <c r="Z25" s="31"/>
      <c r="AA25" s="28"/>
      <c r="AB25" s="32" t="s">
        <v>104</v>
      </c>
      <c r="AC25" s="32"/>
      <c r="AD25" s="30"/>
      <c r="AE25" s="33" t="s">
        <v>105</v>
      </c>
      <c r="AF25" s="27"/>
      <c r="AG25" s="28"/>
      <c r="AH25" s="291" t="s">
        <v>106</v>
      </c>
      <c r="AI25" s="292"/>
      <c r="AJ25" s="292"/>
      <c r="AK25" s="292"/>
      <c r="AL25" s="293"/>
      <c r="AM25" s="294">
        <v>3</v>
      </c>
      <c r="AN25" s="295"/>
      <c r="AO25" s="296">
        <v>3</v>
      </c>
      <c r="AP25" s="297"/>
      <c r="AQ25" s="26"/>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8"/>
      <c r="BR25" s="26"/>
      <c r="BS25" s="27"/>
      <c r="BT25" s="27"/>
      <c r="BU25" s="27"/>
      <c r="BV25" s="27"/>
      <c r="BW25" s="27"/>
      <c r="BX25" s="27"/>
      <c r="BY25" s="27"/>
      <c r="BZ25" s="27"/>
      <c r="CA25" s="27"/>
      <c r="CB25" s="27"/>
      <c r="CC25" s="28"/>
    </row>
    <row r="26" spans="2:81" ht="12" customHeight="1">
      <c r="B26" s="289">
        <v>19</v>
      </c>
      <c r="C26" s="290"/>
      <c r="D26" s="26" t="s">
        <v>75</v>
      </c>
      <c r="E26" s="27"/>
      <c r="F26" s="27"/>
      <c r="G26" s="27"/>
      <c r="H26" s="27"/>
      <c r="I26" s="27"/>
      <c r="J26" s="27"/>
      <c r="K26" s="28"/>
      <c r="L26" s="26" t="s">
        <v>76</v>
      </c>
      <c r="M26" s="27"/>
      <c r="N26" s="27"/>
      <c r="O26" s="27"/>
      <c r="P26" s="27"/>
      <c r="Q26" s="27"/>
      <c r="R26" s="27"/>
      <c r="S26" s="28"/>
      <c r="T26" s="29"/>
      <c r="U26" s="30"/>
      <c r="V26" s="31"/>
      <c r="W26" s="28"/>
      <c r="X26" s="31"/>
      <c r="Y26" s="28"/>
      <c r="Z26" s="31"/>
      <c r="AA26" s="28"/>
      <c r="AB26" s="32" t="s">
        <v>104</v>
      </c>
      <c r="AC26" s="32"/>
      <c r="AD26" s="30"/>
      <c r="AE26" s="33" t="s">
        <v>107</v>
      </c>
      <c r="AF26" s="27"/>
      <c r="AG26" s="28"/>
      <c r="AH26" s="291" t="s">
        <v>108</v>
      </c>
      <c r="AI26" s="292"/>
      <c r="AJ26" s="292"/>
      <c r="AK26" s="292"/>
      <c r="AL26" s="293"/>
      <c r="AM26" s="294">
        <v>8</v>
      </c>
      <c r="AN26" s="295"/>
      <c r="AO26" s="296">
        <v>8</v>
      </c>
      <c r="AP26" s="297"/>
      <c r="AQ26" s="26"/>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8"/>
      <c r="BR26" s="26"/>
      <c r="BS26" s="27"/>
      <c r="BT26" s="27"/>
      <c r="BU26" s="27"/>
      <c r="BV26" s="27"/>
      <c r="BW26" s="27"/>
      <c r="BX26" s="27"/>
      <c r="BY26" s="27"/>
      <c r="BZ26" s="27"/>
      <c r="CA26" s="27"/>
      <c r="CB26" s="27"/>
      <c r="CC26" s="28"/>
    </row>
    <row r="27" spans="2:81" ht="12" customHeight="1">
      <c r="B27" s="289">
        <v>20</v>
      </c>
      <c r="C27" s="290"/>
      <c r="D27" s="26" t="s">
        <v>77</v>
      </c>
      <c r="E27" s="35"/>
      <c r="F27" s="27"/>
      <c r="G27" s="27"/>
      <c r="H27" s="27"/>
      <c r="I27" s="27"/>
      <c r="J27" s="27"/>
      <c r="K27" s="28"/>
      <c r="L27" s="26" t="s">
        <v>78</v>
      </c>
      <c r="M27" s="27"/>
      <c r="N27" s="27"/>
      <c r="O27" s="27"/>
      <c r="P27" s="27"/>
      <c r="Q27" s="27"/>
      <c r="R27" s="27"/>
      <c r="S27" s="28"/>
      <c r="T27" s="31"/>
      <c r="U27" s="28"/>
      <c r="V27" s="31"/>
      <c r="W27" s="28"/>
      <c r="X27" s="31"/>
      <c r="Y27" s="28"/>
      <c r="Z27" s="31"/>
      <c r="AA27" s="28"/>
      <c r="AB27" s="32" t="s">
        <v>104</v>
      </c>
      <c r="AC27" s="32"/>
      <c r="AD27" s="30"/>
      <c r="AE27" s="33" t="s">
        <v>105</v>
      </c>
      <c r="AF27" s="27"/>
      <c r="AG27" s="28"/>
      <c r="AH27" s="291" t="s">
        <v>106</v>
      </c>
      <c r="AI27" s="292"/>
      <c r="AJ27" s="292"/>
      <c r="AK27" s="292"/>
      <c r="AL27" s="293"/>
      <c r="AM27" s="294">
        <v>1</v>
      </c>
      <c r="AN27" s="295"/>
      <c r="AO27" s="296">
        <v>1</v>
      </c>
      <c r="AP27" s="297"/>
      <c r="AQ27" s="26"/>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8"/>
      <c r="BR27" s="26"/>
      <c r="BS27" s="27"/>
      <c r="BT27" s="27"/>
      <c r="BU27" s="27"/>
      <c r="BV27" s="27"/>
      <c r="BW27" s="27"/>
      <c r="BX27" s="27"/>
      <c r="BY27" s="27"/>
      <c r="BZ27" s="27"/>
      <c r="CA27" s="27"/>
      <c r="CB27" s="27"/>
      <c r="CC27" s="28"/>
    </row>
    <row r="28" spans="2:81" ht="12" customHeight="1">
      <c r="B28" s="289">
        <v>21</v>
      </c>
      <c r="C28" s="290"/>
      <c r="D28" s="26" t="s">
        <v>79</v>
      </c>
      <c r="E28" s="27"/>
      <c r="F28" s="27"/>
      <c r="G28" s="27"/>
      <c r="H28" s="27"/>
      <c r="I28" s="27"/>
      <c r="J28" s="27"/>
      <c r="K28" s="28"/>
      <c r="L28" s="26" t="s">
        <v>80</v>
      </c>
      <c r="M28" s="27"/>
      <c r="N28" s="27"/>
      <c r="O28" s="27"/>
      <c r="P28" s="27"/>
      <c r="Q28" s="27"/>
      <c r="R28" s="27"/>
      <c r="S28" s="28"/>
      <c r="T28" s="31"/>
      <c r="U28" s="28"/>
      <c r="V28" s="31"/>
      <c r="W28" s="28"/>
      <c r="X28" s="31"/>
      <c r="Y28" s="28"/>
      <c r="Z28" s="31"/>
      <c r="AA28" s="28"/>
      <c r="AB28" s="32" t="s">
        <v>104</v>
      </c>
      <c r="AC28" s="32"/>
      <c r="AD28" s="30"/>
      <c r="AE28" s="33" t="s">
        <v>105</v>
      </c>
      <c r="AF28" s="27"/>
      <c r="AG28" s="28"/>
      <c r="AH28" s="291" t="s">
        <v>106</v>
      </c>
      <c r="AI28" s="292"/>
      <c r="AJ28" s="292"/>
      <c r="AK28" s="292"/>
      <c r="AL28" s="293"/>
      <c r="AM28" s="294">
        <v>10</v>
      </c>
      <c r="AN28" s="295"/>
      <c r="AO28" s="296">
        <v>10</v>
      </c>
      <c r="AP28" s="297"/>
      <c r="AQ28" s="26"/>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8"/>
      <c r="BR28" s="26"/>
      <c r="BS28" s="27"/>
      <c r="BT28" s="27"/>
      <c r="BU28" s="27"/>
      <c r="BV28" s="27"/>
      <c r="BW28" s="27"/>
      <c r="BX28" s="27"/>
      <c r="BY28" s="27"/>
      <c r="BZ28" s="27"/>
      <c r="CA28" s="27"/>
      <c r="CB28" s="27"/>
      <c r="CC28" s="28"/>
    </row>
    <row r="29" spans="2:81" ht="12" customHeight="1">
      <c r="B29" s="289">
        <v>22</v>
      </c>
      <c r="C29" s="290"/>
      <c r="D29" s="26" t="s">
        <v>81</v>
      </c>
      <c r="E29" s="27"/>
      <c r="F29" s="27"/>
      <c r="G29" s="27"/>
      <c r="H29" s="27"/>
      <c r="I29" s="27"/>
      <c r="J29" s="27"/>
      <c r="K29" s="28"/>
      <c r="L29" s="26" t="s">
        <v>82</v>
      </c>
      <c r="M29" s="27"/>
      <c r="N29" s="27"/>
      <c r="O29" s="27"/>
      <c r="P29" s="27"/>
      <c r="Q29" s="27"/>
      <c r="R29" s="27"/>
      <c r="S29" s="28"/>
      <c r="T29" s="31"/>
      <c r="U29" s="28"/>
      <c r="V29" s="31"/>
      <c r="W29" s="28"/>
      <c r="X29" s="31"/>
      <c r="Y29" s="28"/>
      <c r="Z29" s="31"/>
      <c r="AA29" s="28"/>
      <c r="AB29" s="32" t="s">
        <v>104</v>
      </c>
      <c r="AC29" s="32"/>
      <c r="AD29" s="30"/>
      <c r="AE29" s="33" t="s">
        <v>105</v>
      </c>
      <c r="AF29" s="27"/>
      <c r="AG29" s="28"/>
      <c r="AH29" s="291" t="s">
        <v>106</v>
      </c>
      <c r="AI29" s="292"/>
      <c r="AJ29" s="292"/>
      <c r="AK29" s="292"/>
      <c r="AL29" s="293"/>
      <c r="AM29" s="294">
        <v>15</v>
      </c>
      <c r="AN29" s="295"/>
      <c r="AO29" s="296">
        <v>15</v>
      </c>
      <c r="AP29" s="297"/>
      <c r="AQ29" s="26"/>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8"/>
      <c r="BR29" s="26"/>
      <c r="BS29" s="27"/>
      <c r="BT29" s="27"/>
      <c r="BU29" s="27"/>
      <c r="BV29" s="27"/>
      <c r="BW29" s="27"/>
      <c r="BX29" s="27"/>
      <c r="BY29" s="27"/>
      <c r="BZ29" s="27"/>
      <c r="CA29" s="27"/>
      <c r="CB29" s="27"/>
      <c r="CC29" s="28"/>
    </row>
    <row r="30" spans="2:81" ht="12" customHeight="1">
      <c r="B30" s="289">
        <v>23</v>
      </c>
      <c r="C30" s="290"/>
      <c r="D30" s="26" t="s">
        <v>83</v>
      </c>
      <c r="E30" s="27"/>
      <c r="F30" s="27"/>
      <c r="G30" s="27"/>
      <c r="H30" s="27"/>
      <c r="I30" s="27"/>
      <c r="J30" s="27"/>
      <c r="K30" s="28"/>
      <c r="L30" s="26" t="s">
        <v>84</v>
      </c>
      <c r="M30" s="27"/>
      <c r="N30" s="27"/>
      <c r="O30" s="27"/>
      <c r="P30" s="27"/>
      <c r="Q30" s="27"/>
      <c r="R30" s="27"/>
      <c r="S30" s="28"/>
      <c r="T30" s="31"/>
      <c r="U30" s="28"/>
      <c r="V30" s="31"/>
      <c r="W30" s="28"/>
      <c r="X30" s="31"/>
      <c r="Y30" s="28"/>
      <c r="Z30" s="31"/>
      <c r="AA30" s="28"/>
      <c r="AB30" s="32" t="s">
        <v>104</v>
      </c>
      <c r="AC30" s="32"/>
      <c r="AD30" s="30"/>
      <c r="AE30" s="33" t="s">
        <v>107</v>
      </c>
      <c r="AF30" s="27"/>
      <c r="AG30" s="28"/>
      <c r="AH30" s="291" t="s">
        <v>108</v>
      </c>
      <c r="AI30" s="292"/>
      <c r="AJ30" s="292"/>
      <c r="AK30" s="292"/>
      <c r="AL30" s="293"/>
      <c r="AM30" s="294">
        <v>10</v>
      </c>
      <c r="AN30" s="295"/>
      <c r="AO30" s="296">
        <v>10</v>
      </c>
      <c r="AP30" s="297"/>
      <c r="AQ30" s="26"/>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8"/>
      <c r="BR30" s="26"/>
      <c r="BS30" s="27"/>
      <c r="BT30" s="27"/>
      <c r="BU30" s="27"/>
      <c r="BV30" s="27"/>
      <c r="BW30" s="27"/>
      <c r="BX30" s="27"/>
      <c r="BY30" s="27"/>
      <c r="BZ30" s="27"/>
      <c r="CA30" s="27"/>
      <c r="CB30" s="27"/>
      <c r="CC30" s="28"/>
    </row>
    <row r="31" spans="2:81" ht="12" customHeight="1">
      <c r="B31" s="289">
        <v>24</v>
      </c>
      <c r="C31" s="290"/>
      <c r="D31" s="26" t="s">
        <v>85</v>
      </c>
      <c r="E31" s="27"/>
      <c r="F31" s="27"/>
      <c r="G31" s="27"/>
      <c r="H31" s="27"/>
      <c r="I31" s="27"/>
      <c r="J31" s="27"/>
      <c r="K31" s="28"/>
      <c r="L31" s="26" t="s">
        <v>86</v>
      </c>
      <c r="M31" s="27"/>
      <c r="N31" s="27"/>
      <c r="O31" s="27"/>
      <c r="P31" s="27"/>
      <c r="Q31" s="27"/>
      <c r="R31" s="27"/>
      <c r="S31" s="28"/>
      <c r="T31" s="31"/>
      <c r="U31" s="28"/>
      <c r="V31" s="31"/>
      <c r="W31" s="28"/>
      <c r="X31" s="31"/>
      <c r="Y31" s="28"/>
      <c r="Z31" s="31"/>
      <c r="AA31" s="28"/>
      <c r="AB31" s="32" t="s">
        <v>109</v>
      </c>
      <c r="AC31" s="32"/>
      <c r="AD31" s="30"/>
      <c r="AE31" s="33" t="s">
        <v>109</v>
      </c>
      <c r="AF31" s="27"/>
      <c r="AG31" s="28"/>
      <c r="AH31" s="291" t="s">
        <v>110</v>
      </c>
      <c r="AI31" s="292"/>
      <c r="AJ31" s="292"/>
      <c r="AK31" s="292"/>
      <c r="AL31" s="293"/>
      <c r="AM31" s="294">
        <v>0</v>
      </c>
      <c r="AN31" s="295"/>
      <c r="AO31" s="296">
        <v>7</v>
      </c>
      <c r="AP31" s="297"/>
      <c r="AQ31" s="26"/>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8"/>
      <c r="BR31" s="26"/>
      <c r="BS31" s="27"/>
      <c r="BT31" s="27"/>
      <c r="BU31" s="27"/>
      <c r="BV31" s="27"/>
      <c r="BW31" s="27"/>
      <c r="BX31" s="27"/>
      <c r="BY31" s="27"/>
      <c r="BZ31" s="27"/>
      <c r="CA31" s="27"/>
      <c r="CB31" s="27"/>
      <c r="CC31" s="28"/>
    </row>
    <row r="32" spans="2:81" ht="12" customHeight="1">
      <c r="B32" s="289">
        <v>25</v>
      </c>
      <c r="C32" s="290"/>
      <c r="D32" s="26" t="s">
        <v>87</v>
      </c>
      <c r="E32" s="27"/>
      <c r="F32" s="27"/>
      <c r="G32" s="27"/>
      <c r="H32" s="27"/>
      <c r="I32" s="27"/>
      <c r="J32" s="27"/>
      <c r="K32" s="28"/>
      <c r="L32" s="26" t="s">
        <v>88</v>
      </c>
      <c r="M32" s="27"/>
      <c r="N32" s="27"/>
      <c r="O32" s="27"/>
      <c r="P32" s="27"/>
      <c r="Q32" s="27"/>
      <c r="R32" s="27"/>
      <c r="S32" s="28"/>
      <c r="T32" s="31"/>
      <c r="U32" s="28"/>
      <c r="V32" s="31"/>
      <c r="W32" s="28"/>
      <c r="X32" s="31"/>
      <c r="Y32" s="28"/>
      <c r="Z32" s="31"/>
      <c r="AA32" s="28"/>
      <c r="AB32" s="32" t="s">
        <v>104</v>
      </c>
      <c r="AC32" s="32"/>
      <c r="AD32" s="30"/>
      <c r="AE32" s="33" t="s">
        <v>111</v>
      </c>
      <c r="AF32" s="27"/>
      <c r="AG32" s="28"/>
      <c r="AH32" s="291" t="s">
        <v>110</v>
      </c>
      <c r="AI32" s="292"/>
      <c r="AJ32" s="292"/>
      <c r="AK32" s="292"/>
      <c r="AL32" s="293"/>
      <c r="AM32" s="294">
        <v>0</v>
      </c>
      <c r="AN32" s="295"/>
      <c r="AO32" s="296">
        <v>7</v>
      </c>
      <c r="AP32" s="297"/>
      <c r="AQ32" s="26"/>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8"/>
      <c r="BR32" s="26"/>
      <c r="BS32" s="27"/>
      <c r="BT32" s="27"/>
      <c r="BU32" s="27"/>
      <c r="BV32" s="27"/>
      <c r="BW32" s="27"/>
      <c r="BX32" s="27"/>
      <c r="BY32" s="27"/>
      <c r="BZ32" s="27"/>
      <c r="CA32" s="27"/>
      <c r="CB32" s="27"/>
      <c r="CC32" s="28"/>
    </row>
    <row r="33" spans="2:81" ht="12" customHeight="1">
      <c r="B33" s="289">
        <v>26</v>
      </c>
      <c r="C33" s="290"/>
      <c r="D33" s="26" t="s">
        <v>89</v>
      </c>
      <c r="E33" s="27"/>
      <c r="F33" s="27"/>
      <c r="G33" s="27"/>
      <c r="H33" s="27"/>
      <c r="I33" s="27"/>
      <c r="J33" s="27"/>
      <c r="K33" s="28"/>
      <c r="L33" s="26" t="s">
        <v>90</v>
      </c>
      <c r="M33" s="27"/>
      <c r="N33" s="27"/>
      <c r="O33" s="27"/>
      <c r="P33" s="27"/>
      <c r="Q33" s="27"/>
      <c r="R33" s="27"/>
      <c r="S33" s="28"/>
      <c r="T33" s="31"/>
      <c r="U33" s="28"/>
      <c r="V33" s="31"/>
      <c r="W33" s="28"/>
      <c r="X33" s="31"/>
      <c r="Y33" s="28"/>
      <c r="Z33" s="31"/>
      <c r="AA33" s="28"/>
      <c r="AB33" s="32" t="s">
        <v>104</v>
      </c>
      <c r="AC33" s="32"/>
      <c r="AD33" s="30"/>
      <c r="AE33" s="33" t="s">
        <v>105</v>
      </c>
      <c r="AF33" s="27"/>
      <c r="AG33" s="28"/>
      <c r="AH33" s="291" t="s">
        <v>106</v>
      </c>
      <c r="AI33" s="292"/>
      <c r="AJ33" s="292"/>
      <c r="AK33" s="292"/>
      <c r="AL33" s="293"/>
      <c r="AM33" s="294">
        <v>20</v>
      </c>
      <c r="AN33" s="295"/>
      <c r="AO33" s="296">
        <v>20</v>
      </c>
      <c r="AP33" s="297"/>
      <c r="AQ33" s="26"/>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8"/>
      <c r="BR33" s="26"/>
      <c r="BS33" s="27"/>
      <c r="BT33" s="27"/>
      <c r="BU33" s="27"/>
      <c r="BV33" s="27"/>
      <c r="BW33" s="27"/>
      <c r="BX33" s="27"/>
      <c r="BY33" s="27"/>
      <c r="BZ33" s="27"/>
      <c r="CA33" s="27"/>
      <c r="CB33" s="27"/>
      <c r="CC33" s="28"/>
    </row>
    <row r="34" spans="2:81" ht="12" customHeight="1">
      <c r="B34" s="289">
        <v>27</v>
      </c>
      <c r="C34" s="290"/>
      <c r="D34" s="26" t="s">
        <v>91</v>
      </c>
      <c r="E34" s="27"/>
      <c r="F34" s="27"/>
      <c r="G34" s="27"/>
      <c r="H34" s="27"/>
      <c r="I34" s="27"/>
      <c r="J34" s="27"/>
      <c r="K34" s="28"/>
      <c r="L34" s="26" t="s">
        <v>92</v>
      </c>
      <c r="M34" s="27"/>
      <c r="N34" s="27"/>
      <c r="O34" s="27"/>
      <c r="P34" s="27"/>
      <c r="Q34" s="27"/>
      <c r="R34" s="27"/>
      <c r="S34" s="28"/>
      <c r="T34" s="31"/>
      <c r="U34" s="28"/>
      <c r="V34" s="31"/>
      <c r="W34" s="28"/>
      <c r="X34" s="31"/>
      <c r="Y34" s="28"/>
      <c r="Z34" s="31"/>
      <c r="AA34" s="28"/>
      <c r="AB34" s="32" t="s">
        <v>104</v>
      </c>
      <c r="AC34" s="32"/>
      <c r="AD34" s="30"/>
      <c r="AE34" s="33" t="s">
        <v>105</v>
      </c>
      <c r="AF34" s="27"/>
      <c r="AG34" s="28"/>
      <c r="AH34" s="291" t="s">
        <v>106</v>
      </c>
      <c r="AI34" s="292"/>
      <c r="AJ34" s="292"/>
      <c r="AK34" s="292"/>
      <c r="AL34" s="293"/>
      <c r="AM34" s="294">
        <v>8</v>
      </c>
      <c r="AN34" s="295"/>
      <c r="AO34" s="296">
        <v>8</v>
      </c>
      <c r="AP34" s="297"/>
      <c r="AQ34" s="26"/>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8"/>
      <c r="BR34" s="26"/>
      <c r="BS34" s="27"/>
      <c r="BT34" s="27"/>
      <c r="BU34" s="27"/>
      <c r="BV34" s="27"/>
      <c r="BW34" s="27"/>
      <c r="BX34" s="27"/>
      <c r="BY34" s="27"/>
      <c r="BZ34" s="27"/>
      <c r="CA34" s="27"/>
      <c r="CB34" s="27"/>
      <c r="CC34" s="28"/>
    </row>
    <row r="35" spans="2:81" ht="12" customHeight="1">
      <c r="B35" s="289">
        <v>28</v>
      </c>
      <c r="C35" s="290"/>
      <c r="D35" s="26" t="s">
        <v>93</v>
      </c>
      <c r="E35" s="27"/>
      <c r="F35" s="27"/>
      <c r="G35" s="27"/>
      <c r="H35" s="27"/>
      <c r="I35" s="27"/>
      <c r="J35" s="27"/>
      <c r="K35" s="28"/>
      <c r="L35" s="26" t="s">
        <v>94</v>
      </c>
      <c r="M35" s="27"/>
      <c r="N35" s="27"/>
      <c r="O35" s="27"/>
      <c r="P35" s="27"/>
      <c r="Q35" s="27"/>
      <c r="R35" s="27"/>
      <c r="S35" s="28"/>
      <c r="T35" s="31"/>
      <c r="U35" s="28"/>
      <c r="V35" s="31"/>
      <c r="W35" s="28"/>
      <c r="X35" s="31"/>
      <c r="Y35" s="28"/>
      <c r="Z35" s="31"/>
      <c r="AA35" s="28"/>
      <c r="AB35" s="32" t="s">
        <v>104</v>
      </c>
      <c r="AC35" s="32"/>
      <c r="AD35" s="30"/>
      <c r="AE35" s="33" t="s">
        <v>105</v>
      </c>
      <c r="AF35" s="27"/>
      <c r="AG35" s="28"/>
      <c r="AH35" s="291" t="s">
        <v>106</v>
      </c>
      <c r="AI35" s="292"/>
      <c r="AJ35" s="292"/>
      <c r="AK35" s="292"/>
      <c r="AL35" s="293"/>
      <c r="AM35" s="294">
        <v>15</v>
      </c>
      <c r="AN35" s="295"/>
      <c r="AO35" s="296">
        <v>15</v>
      </c>
      <c r="AP35" s="297"/>
      <c r="AQ35" s="26"/>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8"/>
      <c r="BR35" s="26"/>
      <c r="BS35" s="27"/>
      <c r="BT35" s="27"/>
      <c r="BU35" s="27"/>
      <c r="BV35" s="27"/>
      <c r="BW35" s="27"/>
      <c r="BX35" s="27"/>
      <c r="BY35" s="27"/>
      <c r="BZ35" s="27"/>
      <c r="CA35" s="27"/>
      <c r="CB35" s="27"/>
      <c r="CC35" s="28"/>
    </row>
    <row r="36" spans="2:81" ht="12" customHeight="1">
      <c r="B36" s="289">
        <v>29</v>
      </c>
      <c r="C36" s="290"/>
      <c r="D36" s="26" t="s">
        <v>95</v>
      </c>
      <c r="E36" s="27"/>
      <c r="F36" s="27"/>
      <c r="G36" s="27"/>
      <c r="H36" s="27"/>
      <c r="I36" s="27"/>
      <c r="J36" s="27"/>
      <c r="K36" s="28"/>
      <c r="L36" s="26" t="s">
        <v>96</v>
      </c>
      <c r="M36" s="27"/>
      <c r="N36" s="27"/>
      <c r="O36" s="27"/>
      <c r="P36" s="27"/>
      <c r="Q36" s="27"/>
      <c r="R36" s="27"/>
      <c r="S36" s="28"/>
      <c r="T36" s="31"/>
      <c r="U36" s="28"/>
      <c r="V36" s="31"/>
      <c r="W36" s="28"/>
      <c r="X36" s="31"/>
      <c r="Y36" s="28"/>
      <c r="Z36" s="31"/>
      <c r="AA36" s="28"/>
      <c r="AB36" s="32" t="s">
        <v>104</v>
      </c>
      <c r="AC36" s="32"/>
      <c r="AD36" s="30"/>
      <c r="AE36" s="33" t="s">
        <v>111</v>
      </c>
      <c r="AF36" s="27"/>
      <c r="AG36" s="28"/>
      <c r="AH36" s="291" t="s">
        <v>110</v>
      </c>
      <c r="AI36" s="292"/>
      <c r="AJ36" s="292"/>
      <c r="AK36" s="292"/>
      <c r="AL36" s="293"/>
      <c r="AM36" s="294">
        <v>0</v>
      </c>
      <c r="AN36" s="295"/>
      <c r="AO36" s="296">
        <v>7</v>
      </c>
      <c r="AP36" s="297"/>
      <c r="AQ36" s="26"/>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8"/>
      <c r="BR36" s="26"/>
      <c r="BS36" s="27"/>
      <c r="BT36" s="27"/>
      <c r="BU36" s="27"/>
      <c r="BV36" s="27"/>
      <c r="BW36" s="27"/>
      <c r="BX36" s="27"/>
      <c r="BY36" s="27"/>
      <c r="BZ36" s="27"/>
      <c r="CA36" s="27"/>
      <c r="CB36" s="27"/>
      <c r="CC36" s="28"/>
    </row>
    <row r="37" spans="2:81" ht="12" customHeight="1">
      <c r="B37" s="289">
        <v>30</v>
      </c>
      <c r="C37" s="290"/>
      <c r="D37" s="26" t="s">
        <v>132</v>
      </c>
      <c r="E37" s="27"/>
      <c r="F37" s="27"/>
      <c r="G37" s="27"/>
      <c r="H37" s="27"/>
      <c r="I37" s="27"/>
      <c r="J37" s="27"/>
      <c r="K37" s="28"/>
      <c r="L37" s="26" t="s">
        <v>131</v>
      </c>
      <c r="M37" s="27"/>
      <c r="N37" s="27"/>
      <c r="O37" s="27"/>
      <c r="P37" s="27"/>
      <c r="Q37" s="27"/>
      <c r="R37" s="27"/>
      <c r="S37" s="28"/>
      <c r="T37" s="31"/>
      <c r="U37" s="28"/>
      <c r="V37" s="31"/>
      <c r="W37" s="28"/>
      <c r="X37" s="31"/>
      <c r="Y37" s="28"/>
      <c r="Z37" s="31"/>
      <c r="AA37" s="28"/>
      <c r="AB37" s="32" t="s">
        <v>129</v>
      </c>
      <c r="AC37" s="32"/>
      <c r="AD37" s="30"/>
      <c r="AE37" s="33" t="s">
        <v>135</v>
      </c>
      <c r="AF37" s="27"/>
      <c r="AG37" s="28"/>
      <c r="AH37" s="291" t="s">
        <v>130</v>
      </c>
      <c r="AI37" s="292"/>
      <c r="AJ37" s="292"/>
      <c r="AK37" s="292"/>
      <c r="AL37" s="293"/>
      <c r="AM37" s="294">
        <v>20</v>
      </c>
      <c r="AN37" s="295"/>
      <c r="AO37" s="296">
        <v>20</v>
      </c>
      <c r="AP37" s="297"/>
      <c r="AQ37" s="26"/>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8"/>
      <c r="BR37" s="26"/>
      <c r="BS37" s="27"/>
      <c r="BT37" s="27"/>
      <c r="BU37" s="27"/>
      <c r="BV37" s="27"/>
      <c r="BW37" s="27"/>
      <c r="BX37" s="27"/>
      <c r="BY37" s="27"/>
      <c r="BZ37" s="27"/>
      <c r="CA37" s="27"/>
      <c r="CB37" s="27"/>
      <c r="CC37" s="28"/>
    </row>
    <row r="38" spans="2:81" ht="12" customHeight="1">
      <c r="B38" s="289">
        <v>31</v>
      </c>
      <c r="C38" s="290"/>
      <c r="D38" s="26" t="s">
        <v>97</v>
      </c>
      <c r="E38" s="27"/>
      <c r="F38" s="27"/>
      <c r="G38" s="27"/>
      <c r="H38" s="27"/>
      <c r="I38" s="27"/>
      <c r="J38" s="27"/>
      <c r="K38" s="28"/>
      <c r="L38" s="26" t="s">
        <v>98</v>
      </c>
      <c r="M38" s="27"/>
      <c r="N38" s="27"/>
      <c r="O38" s="27"/>
      <c r="P38" s="27"/>
      <c r="Q38" s="27"/>
      <c r="R38" s="27"/>
      <c r="S38" s="28"/>
      <c r="T38" s="31"/>
      <c r="U38" s="28"/>
      <c r="V38" s="31"/>
      <c r="W38" s="28"/>
      <c r="X38" s="31"/>
      <c r="Y38" s="28"/>
      <c r="Z38" s="31"/>
      <c r="AA38" s="28"/>
      <c r="AB38" s="32" t="s">
        <v>104</v>
      </c>
      <c r="AC38" s="32"/>
      <c r="AD38" s="30"/>
      <c r="AE38" s="33" t="s">
        <v>105</v>
      </c>
      <c r="AF38" s="27"/>
      <c r="AG38" s="28"/>
      <c r="AH38" s="291" t="s">
        <v>106</v>
      </c>
      <c r="AI38" s="292"/>
      <c r="AJ38" s="292"/>
      <c r="AK38" s="292"/>
      <c r="AL38" s="293"/>
      <c r="AM38" s="294">
        <v>8</v>
      </c>
      <c r="AN38" s="295"/>
      <c r="AO38" s="296">
        <v>8</v>
      </c>
      <c r="AP38" s="297"/>
      <c r="AQ38" s="26"/>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8"/>
      <c r="BR38" s="26"/>
      <c r="BS38" s="27"/>
      <c r="BT38" s="27"/>
      <c r="BU38" s="27"/>
      <c r="BV38" s="27"/>
      <c r="BW38" s="27"/>
      <c r="BX38" s="27"/>
      <c r="BY38" s="27"/>
      <c r="BZ38" s="27"/>
      <c r="CA38" s="27"/>
      <c r="CB38" s="27"/>
      <c r="CC38" s="28"/>
    </row>
    <row r="39" spans="2:81" ht="12" customHeight="1">
      <c r="B39" s="289">
        <v>32</v>
      </c>
      <c r="C39" s="290"/>
      <c r="D39" s="26" t="s">
        <v>99</v>
      </c>
      <c r="E39" s="27"/>
      <c r="F39" s="27"/>
      <c r="G39" s="27"/>
      <c r="H39" s="27"/>
      <c r="I39" s="27"/>
      <c r="J39" s="27"/>
      <c r="K39" s="28"/>
      <c r="L39" s="26" t="s">
        <v>100</v>
      </c>
      <c r="M39" s="27"/>
      <c r="N39" s="27"/>
      <c r="O39" s="27"/>
      <c r="P39" s="27"/>
      <c r="Q39" s="27"/>
      <c r="R39" s="27"/>
      <c r="S39" s="28"/>
      <c r="T39" s="31"/>
      <c r="U39" s="28"/>
      <c r="V39" s="31"/>
      <c r="W39" s="28"/>
      <c r="X39" s="31"/>
      <c r="Y39" s="28"/>
      <c r="Z39" s="31"/>
      <c r="AA39" s="28"/>
      <c r="AB39" s="32" t="s">
        <v>104</v>
      </c>
      <c r="AC39" s="32"/>
      <c r="AD39" s="30"/>
      <c r="AE39" s="33" t="s">
        <v>105</v>
      </c>
      <c r="AF39" s="27"/>
      <c r="AG39" s="28"/>
      <c r="AH39" s="291" t="s">
        <v>106</v>
      </c>
      <c r="AI39" s="292"/>
      <c r="AJ39" s="292"/>
      <c r="AK39" s="292"/>
      <c r="AL39" s="293"/>
      <c r="AM39" s="294">
        <v>15</v>
      </c>
      <c r="AN39" s="295"/>
      <c r="AO39" s="296">
        <v>15</v>
      </c>
      <c r="AP39" s="297"/>
      <c r="AQ39" s="26"/>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8"/>
      <c r="BR39" s="26"/>
      <c r="BS39" s="27"/>
      <c r="BT39" s="27"/>
      <c r="BU39" s="27"/>
      <c r="BV39" s="27"/>
      <c r="BW39" s="27"/>
      <c r="BX39" s="27"/>
      <c r="BY39" s="27"/>
      <c r="BZ39" s="27"/>
      <c r="CA39" s="27"/>
      <c r="CB39" s="27"/>
      <c r="CC39" s="28"/>
    </row>
    <row r="40" spans="2:81" ht="12" customHeight="1">
      <c r="B40" s="38" t="s">
        <v>101</v>
      </c>
      <c r="C40" s="38" t="s">
        <v>101</v>
      </c>
      <c r="D40" s="38" t="s">
        <v>101</v>
      </c>
      <c r="E40" s="38" t="s">
        <v>101</v>
      </c>
      <c r="F40" s="38" t="s">
        <v>101</v>
      </c>
      <c r="G40" s="38" t="s">
        <v>101</v>
      </c>
      <c r="H40" s="38" t="s">
        <v>101</v>
      </c>
      <c r="I40" s="38" t="s">
        <v>101</v>
      </c>
      <c r="J40" s="38" t="s">
        <v>101</v>
      </c>
      <c r="K40" s="38" t="s">
        <v>101</v>
      </c>
      <c r="L40" s="38" t="s">
        <v>101</v>
      </c>
      <c r="M40" s="38" t="s">
        <v>101</v>
      </c>
      <c r="N40" s="38" t="s">
        <v>101</v>
      </c>
      <c r="O40" s="38" t="s">
        <v>101</v>
      </c>
      <c r="P40" s="38" t="s">
        <v>101</v>
      </c>
      <c r="Q40" s="38" t="s">
        <v>101</v>
      </c>
      <c r="R40" s="38" t="s">
        <v>101</v>
      </c>
      <c r="S40" s="38" t="s">
        <v>101</v>
      </c>
      <c r="T40" s="38" t="s">
        <v>101</v>
      </c>
      <c r="U40" s="38" t="s">
        <v>101</v>
      </c>
      <c r="V40" s="38" t="s">
        <v>101</v>
      </c>
      <c r="W40" s="38" t="s">
        <v>101</v>
      </c>
      <c r="X40" s="38" t="s">
        <v>101</v>
      </c>
      <c r="Y40" s="38" t="s">
        <v>101</v>
      </c>
      <c r="Z40" s="38" t="s">
        <v>101</v>
      </c>
      <c r="AA40" s="38" t="s">
        <v>101</v>
      </c>
      <c r="AB40" s="38" t="s">
        <v>101</v>
      </c>
      <c r="AC40" s="38" t="s">
        <v>101</v>
      </c>
      <c r="AD40" s="38" t="s">
        <v>101</v>
      </c>
      <c r="AE40" s="38" t="s">
        <v>101</v>
      </c>
      <c r="AF40" s="38" t="s">
        <v>101</v>
      </c>
      <c r="AG40" s="38" t="s">
        <v>101</v>
      </c>
      <c r="AH40" s="38" t="s">
        <v>101</v>
      </c>
      <c r="AI40" s="38" t="s">
        <v>101</v>
      </c>
      <c r="AJ40" s="38" t="s">
        <v>101</v>
      </c>
      <c r="AK40" s="38" t="s">
        <v>101</v>
      </c>
      <c r="AL40" s="38" t="s">
        <v>101</v>
      </c>
      <c r="AM40" s="38" t="s">
        <v>101</v>
      </c>
      <c r="AN40" s="38" t="s">
        <v>101</v>
      </c>
      <c r="AO40" s="38" t="s">
        <v>101</v>
      </c>
      <c r="AP40" s="38" t="s">
        <v>101</v>
      </c>
      <c r="AQ40" s="38" t="s">
        <v>101</v>
      </c>
      <c r="AR40" s="38" t="s">
        <v>101</v>
      </c>
      <c r="AS40" s="38" t="s">
        <v>101</v>
      </c>
      <c r="AT40" s="38" t="s">
        <v>101</v>
      </c>
      <c r="AU40" s="38" t="s">
        <v>101</v>
      </c>
      <c r="AV40" s="38" t="s">
        <v>101</v>
      </c>
      <c r="AW40" s="38" t="s">
        <v>101</v>
      </c>
      <c r="AX40" s="38" t="s">
        <v>101</v>
      </c>
      <c r="AY40" s="38" t="s">
        <v>101</v>
      </c>
      <c r="AZ40" s="38" t="s">
        <v>101</v>
      </c>
      <c r="BA40" s="38" t="s">
        <v>101</v>
      </c>
      <c r="BB40" s="38" t="s">
        <v>101</v>
      </c>
      <c r="BC40" s="38" t="s">
        <v>101</v>
      </c>
      <c r="BD40" s="38" t="s">
        <v>101</v>
      </c>
      <c r="BE40" s="38" t="s">
        <v>101</v>
      </c>
      <c r="BF40" s="38" t="s">
        <v>101</v>
      </c>
      <c r="BG40" s="38" t="s">
        <v>101</v>
      </c>
      <c r="BH40" s="38" t="s">
        <v>101</v>
      </c>
      <c r="BI40" s="38" t="s">
        <v>101</v>
      </c>
      <c r="BJ40" s="38" t="s">
        <v>101</v>
      </c>
      <c r="BK40" s="38" t="s">
        <v>101</v>
      </c>
      <c r="BL40" s="38" t="s">
        <v>101</v>
      </c>
      <c r="BM40" s="38" t="s">
        <v>101</v>
      </c>
      <c r="BN40" s="38" t="s">
        <v>101</v>
      </c>
      <c r="BO40" s="38" t="s">
        <v>101</v>
      </c>
      <c r="BP40" s="38" t="s">
        <v>101</v>
      </c>
      <c r="BQ40" s="38" t="s">
        <v>101</v>
      </c>
      <c r="BR40" s="38" t="s">
        <v>101</v>
      </c>
      <c r="BS40" s="38" t="s">
        <v>101</v>
      </c>
      <c r="BT40" s="38" t="s">
        <v>101</v>
      </c>
      <c r="BU40" s="38" t="s">
        <v>101</v>
      </c>
      <c r="BV40" s="38" t="s">
        <v>101</v>
      </c>
      <c r="BW40" s="38" t="s">
        <v>101</v>
      </c>
      <c r="BX40" s="38" t="s">
        <v>101</v>
      </c>
      <c r="BY40" s="38" t="s">
        <v>101</v>
      </c>
      <c r="BZ40" s="38" t="s">
        <v>101</v>
      </c>
      <c r="CA40" s="38" t="s">
        <v>101</v>
      </c>
      <c r="CB40" s="38" t="s">
        <v>101</v>
      </c>
      <c r="CC40" s="38" t="s">
        <v>101</v>
      </c>
    </row>
  </sheetData>
  <mergeCells count="152">
    <mergeCell ref="B38:C38"/>
    <mergeCell ref="AH38:AL38"/>
    <mergeCell ref="AM38:AN38"/>
    <mergeCell ref="AO38:AP38"/>
    <mergeCell ref="B39:C39"/>
    <mergeCell ref="AH39:AL39"/>
    <mergeCell ref="AM39:AN39"/>
    <mergeCell ref="AO39:AP39"/>
    <mergeCell ref="B36:C36"/>
    <mergeCell ref="AH36:AL36"/>
    <mergeCell ref="AM36:AN36"/>
    <mergeCell ref="AO36:AP36"/>
    <mergeCell ref="B37:C37"/>
    <mergeCell ref="AH37:AL37"/>
    <mergeCell ref="AM37:AN37"/>
    <mergeCell ref="AO37:AP37"/>
    <mergeCell ref="B34:C34"/>
    <mergeCell ref="AH34:AL34"/>
    <mergeCell ref="AM34:AN34"/>
    <mergeCell ref="AO34:AP34"/>
    <mergeCell ref="B35:C35"/>
    <mergeCell ref="AH35:AL35"/>
    <mergeCell ref="AM35:AN35"/>
    <mergeCell ref="AO35:AP35"/>
    <mergeCell ref="B32:C32"/>
    <mergeCell ref="AH32:AL32"/>
    <mergeCell ref="AM32:AN32"/>
    <mergeCell ref="AO32:AP32"/>
    <mergeCell ref="B33:C33"/>
    <mergeCell ref="AH33:AL33"/>
    <mergeCell ref="AM33:AN33"/>
    <mergeCell ref="AO33:AP33"/>
    <mergeCell ref="B30:C30"/>
    <mergeCell ref="AH30:AL30"/>
    <mergeCell ref="AM30:AN30"/>
    <mergeCell ref="AO30:AP30"/>
    <mergeCell ref="B31:C31"/>
    <mergeCell ref="AH31:AL31"/>
    <mergeCell ref="AM31:AN31"/>
    <mergeCell ref="AO31:AP31"/>
    <mergeCell ref="B28:C28"/>
    <mergeCell ref="AH28:AL28"/>
    <mergeCell ref="AM28:AN28"/>
    <mergeCell ref="AO28:AP28"/>
    <mergeCell ref="B29:C29"/>
    <mergeCell ref="AH29:AL29"/>
    <mergeCell ref="AM29:AN29"/>
    <mergeCell ref="AO29:AP29"/>
    <mergeCell ref="B26:C26"/>
    <mergeCell ref="AH26:AL26"/>
    <mergeCell ref="AM26:AN26"/>
    <mergeCell ref="AO26:AP26"/>
    <mergeCell ref="B27:C27"/>
    <mergeCell ref="AH27:AL27"/>
    <mergeCell ref="AM27:AN27"/>
    <mergeCell ref="AO27:AP27"/>
    <mergeCell ref="B24:C24"/>
    <mergeCell ref="AH24:AL24"/>
    <mergeCell ref="AM24:AN24"/>
    <mergeCell ref="AO24:AP24"/>
    <mergeCell ref="B25:C25"/>
    <mergeCell ref="AH25:AL25"/>
    <mergeCell ref="AM25:AN25"/>
    <mergeCell ref="AO25:AP25"/>
    <mergeCell ref="B22:C22"/>
    <mergeCell ref="AH22:AL22"/>
    <mergeCell ref="AM22:AN22"/>
    <mergeCell ref="AO22:AP22"/>
    <mergeCell ref="B23:C23"/>
    <mergeCell ref="AH23:AL23"/>
    <mergeCell ref="AM23:AN23"/>
    <mergeCell ref="AO23:AP23"/>
    <mergeCell ref="B20:C20"/>
    <mergeCell ref="AH20:AL20"/>
    <mergeCell ref="AM20:AN20"/>
    <mergeCell ref="AO20:AP20"/>
    <mergeCell ref="B21:C21"/>
    <mergeCell ref="AH21:AL21"/>
    <mergeCell ref="AM21:AN21"/>
    <mergeCell ref="AO21:AP21"/>
    <mergeCell ref="B18:C18"/>
    <mergeCell ref="AH18:AL18"/>
    <mergeCell ref="AM18:AN18"/>
    <mergeCell ref="AO18:AP18"/>
    <mergeCell ref="B19:C19"/>
    <mergeCell ref="AH19:AL19"/>
    <mergeCell ref="AM19:AN19"/>
    <mergeCell ref="AO19:AP19"/>
    <mergeCell ref="B16:C16"/>
    <mergeCell ref="AH16:AL16"/>
    <mergeCell ref="AM16:AN16"/>
    <mergeCell ref="AO16:AP16"/>
    <mergeCell ref="B17:C17"/>
    <mergeCell ref="AH17:AL17"/>
    <mergeCell ref="AM17:AN17"/>
    <mergeCell ref="AO17:AP17"/>
    <mergeCell ref="B14:C14"/>
    <mergeCell ref="AH14:AL14"/>
    <mergeCell ref="AM14:AN14"/>
    <mergeCell ref="AO14:AP14"/>
    <mergeCell ref="B15:C15"/>
    <mergeCell ref="AH15:AL15"/>
    <mergeCell ref="AM15:AN15"/>
    <mergeCell ref="AO15:AP15"/>
    <mergeCell ref="B12:C12"/>
    <mergeCell ref="AH12:AL12"/>
    <mergeCell ref="AM12:AN12"/>
    <mergeCell ref="AO12:AP12"/>
    <mergeCell ref="B13:C13"/>
    <mergeCell ref="AH13:AL13"/>
    <mergeCell ref="AM13:AN13"/>
    <mergeCell ref="AO13:AP13"/>
    <mergeCell ref="B10:C10"/>
    <mergeCell ref="AH10:AL10"/>
    <mergeCell ref="AM10:AN10"/>
    <mergeCell ref="AO10:AP10"/>
    <mergeCell ref="B11:C11"/>
    <mergeCell ref="AH11:AL11"/>
    <mergeCell ref="AM11:AN11"/>
    <mergeCell ref="AO11:AP11"/>
    <mergeCell ref="B8:C8"/>
    <mergeCell ref="AH8:AL8"/>
    <mergeCell ref="AM8:AN8"/>
    <mergeCell ref="AO8:AP8"/>
    <mergeCell ref="B9:C9"/>
    <mergeCell ref="AH9:AL9"/>
    <mergeCell ref="AM9:AN9"/>
    <mergeCell ref="AO9:AP9"/>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8 B10:C13 B15:C33 B35:C39">
    <cfRule type="expression" dxfId="9" priority="4">
      <formula>$S8&gt;0</formula>
    </cfRule>
  </conditionalFormatting>
  <conditionalFormatting sqref="B14:C14">
    <cfRule type="expression" dxfId="8" priority="3">
      <formula>$S14&gt;0</formula>
    </cfRule>
  </conditionalFormatting>
  <conditionalFormatting sqref="B9:C9">
    <cfRule type="expression" dxfId="7" priority="2">
      <formula>$S9&gt;0</formula>
    </cfRule>
  </conditionalFormatting>
  <conditionalFormatting sqref="B34:C34">
    <cfRule type="expression" dxfId="6" priority="1">
      <formula>$S34&gt;0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DEFD-B92C-4014-A367-A9872A9E9A5C}">
  <sheetPr codeName="Sheet12">
    <pageSetUpPr fitToPage="1"/>
  </sheetPr>
  <dimension ref="B1:CC62"/>
  <sheetViews>
    <sheetView showGridLines="0" view="pageBreakPreview" zoomScale="85" zoomScaleNormal="85" zoomScaleSheetLayoutView="85" workbookViewId="0">
      <selection activeCell="AF20" sqref="AF20"/>
    </sheetView>
  </sheetViews>
  <sheetFormatPr defaultColWidth="2.6328125" defaultRowHeight="13"/>
  <cols>
    <col min="1" max="1" width="0.6328125" style="120" customWidth="1"/>
    <col min="2" max="2" width="2.6328125" style="120"/>
    <col min="3" max="3" width="2.6328125" style="120" customWidth="1"/>
    <col min="4" max="4" width="2.6328125" style="120"/>
    <col min="5" max="5" width="2.6328125" style="120" customWidth="1"/>
    <col min="6" max="11" width="2.6328125" style="120"/>
    <col min="12" max="12" width="2.6328125" style="120" customWidth="1"/>
    <col min="13" max="13" width="2.6328125" style="121"/>
    <col min="14" max="14" width="2.6328125" style="120"/>
    <col min="15" max="15" width="2.6328125" style="120" customWidth="1"/>
    <col min="16" max="25" width="2.6328125" style="120"/>
    <col min="26" max="26" width="2.6328125" style="120" customWidth="1"/>
    <col min="27" max="27" width="2.6328125" style="120"/>
    <col min="28" max="28" width="2.6328125" style="120" customWidth="1"/>
    <col min="29" max="65" width="2.6328125" style="120"/>
    <col min="66" max="81" width="2.6328125" style="120" customWidth="1"/>
    <col min="82" max="82" width="0.6328125" style="120" customWidth="1"/>
    <col min="83" max="16384" width="2.6328125" style="120"/>
  </cols>
  <sheetData>
    <row r="1" spans="2:81" ht="3.75" customHeight="1" thickBot="1"/>
    <row r="2" spans="2:81" s="126" customFormat="1" ht="14.25" customHeight="1" thickTop="1">
      <c r="B2" s="328" t="s">
        <v>8</v>
      </c>
      <c r="C2" s="329"/>
      <c r="D2" s="329"/>
      <c r="E2" s="329"/>
      <c r="F2" s="329"/>
      <c r="G2" s="329"/>
      <c r="H2" s="329"/>
      <c r="I2" s="330"/>
      <c r="J2" s="334" t="s">
        <v>9</v>
      </c>
      <c r="K2" s="334"/>
      <c r="L2" s="334"/>
      <c r="M2" s="334"/>
      <c r="N2" s="335"/>
      <c r="O2" s="336" t="s">
        <v>10</v>
      </c>
      <c r="P2" s="337"/>
      <c r="Q2" s="337"/>
      <c r="R2" s="337"/>
      <c r="S2" s="338"/>
      <c r="T2" s="336" t="s">
        <v>11</v>
      </c>
      <c r="U2" s="337"/>
      <c r="V2" s="337"/>
      <c r="W2" s="337"/>
      <c r="X2" s="337"/>
      <c r="Y2" s="337"/>
      <c r="Z2" s="337"/>
      <c r="AA2" s="337"/>
      <c r="AB2" s="337"/>
      <c r="AC2" s="337"/>
      <c r="AD2" s="337"/>
      <c r="AE2" s="337"/>
      <c r="AF2" s="337"/>
      <c r="AG2" s="337"/>
      <c r="AH2" s="338"/>
      <c r="AI2" s="122"/>
      <c r="AJ2" s="123"/>
      <c r="AK2" s="124"/>
      <c r="AL2" s="124"/>
      <c r="AM2" s="124"/>
      <c r="AN2" s="124"/>
      <c r="AO2" s="124"/>
      <c r="AP2" s="124"/>
      <c r="AQ2" s="124"/>
      <c r="AR2" s="124"/>
      <c r="AS2" s="124"/>
      <c r="AT2" s="124"/>
      <c r="AU2" s="124"/>
      <c r="AV2" s="124"/>
      <c r="AW2" s="124"/>
      <c r="AX2" s="125"/>
      <c r="AY2" s="125"/>
      <c r="AZ2" s="125"/>
      <c r="BA2" s="125"/>
      <c r="BB2" s="125"/>
      <c r="BC2" s="125"/>
      <c r="BD2" s="125"/>
      <c r="BE2" s="125"/>
      <c r="BF2" s="125"/>
      <c r="BG2" s="125"/>
      <c r="BH2" s="125"/>
      <c r="BI2" s="125"/>
      <c r="BJ2" s="125"/>
      <c r="BK2" s="339" t="s">
        <v>12</v>
      </c>
      <c r="BL2" s="339"/>
      <c r="BM2" s="339"/>
      <c r="BN2" s="336" t="s">
        <v>13</v>
      </c>
      <c r="BO2" s="337"/>
      <c r="BP2" s="337"/>
      <c r="BQ2" s="338"/>
      <c r="BR2" s="339" t="s">
        <v>14</v>
      </c>
      <c r="BS2" s="339"/>
      <c r="BT2" s="339" t="s">
        <v>15</v>
      </c>
      <c r="BU2" s="339"/>
      <c r="BV2" s="339"/>
      <c r="BW2" s="336" t="s">
        <v>16</v>
      </c>
      <c r="BX2" s="337"/>
      <c r="BY2" s="337"/>
      <c r="BZ2" s="338"/>
      <c r="CA2" s="315"/>
      <c r="CB2" s="315"/>
      <c r="CC2" s="316"/>
    </row>
    <row r="3" spans="2:81" s="126" customFormat="1" ht="18.75" customHeight="1" thickBot="1">
      <c r="B3" s="331"/>
      <c r="C3" s="332"/>
      <c r="D3" s="332"/>
      <c r="E3" s="332"/>
      <c r="F3" s="332"/>
      <c r="G3" s="332"/>
      <c r="H3" s="332"/>
      <c r="I3" s="333"/>
      <c r="J3" s="317" t="s">
        <v>444</v>
      </c>
      <c r="K3" s="317"/>
      <c r="L3" s="317"/>
      <c r="M3" s="317"/>
      <c r="N3" s="318"/>
      <c r="O3" s="319">
        <v>2.04</v>
      </c>
      <c r="P3" s="317"/>
      <c r="Q3" s="317"/>
      <c r="R3" s="317"/>
      <c r="S3" s="318"/>
      <c r="T3" s="320" t="s">
        <v>18</v>
      </c>
      <c r="U3" s="317"/>
      <c r="V3" s="317"/>
      <c r="W3" s="317"/>
      <c r="X3" s="317"/>
      <c r="Y3" s="317"/>
      <c r="Z3" s="317"/>
      <c r="AA3" s="317"/>
      <c r="AB3" s="317"/>
      <c r="AC3" s="317"/>
      <c r="AD3" s="317"/>
      <c r="AE3" s="317"/>
      <c r="AF3" s="317"/>
      <c r="AG3" s="317"/>
      <c r="AH3" s="318"/>
      <c r="AI3" s="128"/>
      <c r="AJ3" s="129"/>
      <c r="AK3" s="129"/>
      <c r="AL3" s="129"/>
      <c r="AM3" s="129"/>
      <c r="AN3" s="129"/>
      <c r="AO3" s="129"/>
      <c r="AP3" s="129"/>
      <c r="AQ3" s="129"/>
      <c r="AR3" s="129"/>
      <c r="AS3" s="129"/>
      <c r="AT3" s="129"/>
      <c r="AU3" s="129"/>
      <c r="AV3" s="129"/>
      <c r="AW3" s="129"/>
      <c r="AX3" s="130"/>
      <c r="AY3" s="130"/>
      <c r="AZ3" s="130"/>
      <c r="BA3" s="131"/>
      <c r="BB3" s="131"/>
      <c r="BC3" s="131"/>
      <c r="BD3" s="131"/>
      <c r="BE3" s="127"/>
      <c r="BF3" s="127"/>
      <c r="BG3" s="130"/>
      <c r="BH3" s="130"/>
      <c r="BI3" s="130"/>
      <c r="BJ3" s="131"/>
      <c r="BK3" s="321"/>
      <c r="BL3" s="322"/>
      <c r="BM3" s="323"/>
      <c r="BN3" s="324"/>
      <c r="BO3" s="325"/>
      <c r="BP3" s="325"/>
      <c r="BQ3" s="326"/>
      <c r="BR3" s="327" t="s">
        <v>19</v>
      </c>
      <c r="BS3" s="327"/>
      <c r="BT3" s="321" t="s">
        <v>20</v>
      </c>
      <c r="BU3" s="322"/>
      <c r="BV3" s="323"/>
      <c r="BW3" s="340">
        <v>42940</v>
      </c>
      <c r="BX3" s="341"/>
      <c r="BY3" s="341"/>
      <c r="BZ3" s="342"/>
      <c r="CA3" s="317"/>
      <c r="CB3" s="317"/>
      <c r="CC3" s="318"/>
    </row>
    <row r="4" spans="2:81" ht="11.25" customHeight="1" thickTop="1"/>
    <row r="5" spans="2:81" ht="18" customHeight="1">
      <c r="B5" s="343" t="s">
        <v>21</v>
      </c>
      <c r="C5" s="344"/>
      <c r="D5" s="344"/>
      <c r="E5" s="344"/>
      <c r="F5" s="344"/>
      <c r="G5" s="344"/>
      <c r="H5" s="344"/>
      <c r="I5" s="345"/>
      <c r="J5" s="132" t="s">
        <v>445</v>
      </c>
      <c r="K5" s="133"/>
      <c r="L5" s="133"/>
      <c r="M5" s="133"/>
      <c r="N5" s="133"/>
      <c r="O5" s="133"/>
      <c r="P5" s="133"/>
      <c r="Q5" s="133"/>
      <c r="R5" s="133"/>
      <c r="S5" s="133"/>
      <c r="T5" s="133"/>
      <c r="U5" s="134" t="s">
        <v>446</v>
      </c>
      <c r="V5" s="133" t="s">
        <v>447</v>
      </c>
      <c r="W5" s="133"/>
      <c r="X5" s="133"/>
      <c r="Y5" s="133"/>
      <c r="Z5" s="133"/>
      <c r="AA5" s="133"/>
      <c r="AB5" s="133"/>
      <c r="AC5" s="135"/>
      <c r="AD5" s="346" t="s">
        <v>25</v>
      </c>
      <c r="AE5" s="347"/>
      <c r="AF5" s="348"/>
      <c r="AG5" s="349"/>
      <c r="AH5" s="349"/>
      <c r="AI5" s="350"/>
      <c r="AJ5" s="136"/>
      <c r="AK5" s="346" t="s">
        <v>26</v>
      </c>
      <c r="AL5" s="351"/>
      <c r="AM5" s="351"/>
      <c r="AN5" s="351"/>
      <c r="AO5" s="351"/>
      <c r="AP5" s="351"/>
      <c r="AQ5" s="347"/>
      <c r="AR5" s="352">
        <f ca="1">ROUNDUP((27+ROUNDUP((MAX(B:B)-COUNTIF(AB:AB,"○"))/8,0)+IF(AF5="",0,4))/8,0)*8+SUM(AS8:AS997)</f>
        <v>854</v>
      </c>
      <c r="AS5" s="349"/>
      <c r="AT5" s="350"/>
      <c r="AU5" s="136" t="s">
        <v>27</v>
      </c>
      <c r="AV5" s="136"/>
      <c r="AW5" s="353" t="s">
        <v>28</v>
      </c>
      <c r="AX5" s="354"/>
      <c r="AY5" s="354"/>
      <c r="AZ5" s="354"/>
      <c r="BA5" s="354"/>
      <c r="BB5" s="137"/>
      <c r="BC5" s="138"/>
      <c r="BD5" s="138"/>
      <c r="BE5" s="138"/>
      <c r="BF5" s="138"/>
      <c r="BG5" s="138"/>
      <c r="BH5" s="138"/>
      <c r="BI5" s="138"/>
      <c r="BJ5" s="138"/>
      <c r="BK5" s="138"/>
      <c r="BL5" s="138"/>
      <c r="BM5" s="138"/>
      <c r="BN5" s="138"/>
      <c r="BO5" s="138"/>
      <c r="BP5" s="139"/>
      <c r="BQ5" s="138"/>
      <c r="BR5" s="138"/>
      <c r="BS5" s="138"/>
      <c r="BT5" s="138"/>
      <c r="BU5" s="138"/>
      <c r="BV5" s="138"/>
      <c r="BW5" s="138"/>
      <c r="BX5" s="138"/>
      <c r="BY5" s="138"/>
      <c r="BZ5" s="138"/>
      <c r="CA5" s="138"/>
      <c r="CB5" s="138"/>
      <c r="CC5" s="140"/>
    </row>
    <row r="6" spans="2:81" ht="11.25" customHeight="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t="s">
        <v>448</v>
      </c>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row>
    <row r="7" spans="2:81" ht="24" customHeight="1">
      <c r="B7" s="142" t="s">
        <v>30</v>
      </c>
      <c r="C7" s="143"/>
      <c r="D7" s="142" t="s">
        <v>31</v>
      </c>
      <c r="E7" s="144"/>
      <c r="F7" s="144"/>
      <c r="G7" s="144"/>
      <c r="H7" s="144"/>
      <c r="I7" s="144"/>
      <c r="J7" s="144"/>
      <c r="K7" s="145"/>
      <c r="L7" s="142" t="s">
        <v>32</v>
      </c>
      <c r="M7" s="144"/>
      <c r="N7" s="144"/>
      <c r="O7" s="144"/>
      <c r="P7" s="144"/>
      <c r="Q7" s="144"/>
      <c r="R7" s="144"/>
      <c r="S7" s="145"/>
      <c r="T7" s="142" t="s">
        <v>33</v>
      </c>
      <c r="U7" s="145"/>
      <c r="V7" s="142" t="s">
        <v>34</v>
      </c>
      <c r="W7" s="145"/>
      <c r="X7" s="142" t="s">
        <v>35</v>
      </c>
      <c r="Y7" s="145"/>
      <c r="Z7" s="142" t="s">
        <v>36</v>
      </c>
      <c r="AA7" s="145"/>
      <c r="AB7" s="355" t="s">
        <v>124</v>
      </c>
      <c r="AC7" s="356"/>
      <c r="AD7" s="357"/>
      <c r="AE7" s="358" t="s">
        <v>125</v>
      </c>
      <c r="AF7" s="359"/>
      <c r="AG7" s="360"/>
      <c r="AH7" s="146" t="s">
        <v>126</v>
      </c>
      <c r="AI7" s="146"/>
      <c r="AJ7" s="146"/>
      <c r="AK7" s="146"/>
      <c r="AL7" s="147"/>
      <c r="AM7" s="146" t="s">
        <v>449</v>
      </c>
      <c r="AN7" s="146"/>
      <c r="AO7" s="361" t="s">
        <v>450</v>
      </c>
      <c r="AP7" s="357"/>
      <c r="AQ7" s="361" t="s">
        <v>451</v>
      </c>
      <c r="AR7" s="357"/>
      <c r="AS7" s="142" t="s">
        <v>27</v>
      </c>
      <c r="AT7" s="145"/>
      <c r="AU7" s="142" t="s">
        <v>39</v>
      </c>
      <c r="AV7" s="144"/>
      <c r="AW7" s="144"/>
      <c r="AX7" s="144"/>
      <c r="AY7" s="144"/>
      <c r="AZ7" s="144"/>
      <c r="BA7" s="144"/>
      <c r="BB7" s="144"/>
      <c r="BC7" s="144"/>
      <c r="BD7" s="144"/>
      <c r="BE7" s="144"/>
      <c r="BF7" s="144"/>
      <c r="BG7" s="144"/>
      <c r="BH7" s="144"/>
      <c r="BI7" s="144"/>
      <c r="BJ7" s="144"/>
      <c r="BK7" s="144"/>
      <c r="BL7" s="144"/>
      <c r="BM7" s="144"/>
      <c r="BN7" s="144"/>
      <c r="BO7" s="144"/>
      <c r="BP7" s="144"/>
      <c r="BQ7" s="145"/>
      <c r="BR7" s="142" t="s">
        <v>40</v>
      </c>
      <c r="BS7" s="144"/>
      <c r="BT7" s="144"/>
      <c r="BU7" s="144"/>
      <c r="BV7" s="144"/>
      <c r="BW7" s="144"/>
      <c r="BX7" s="144"/>
      <c r="BY7" s="144"/>
      <c r="BZ7" s="144"/>
      <c r="CA7" s="144"/>
      <c r="CB7" s="144"/>
      <c r="CC7" s="145"/>
    </row>
    <row r="8" spans="2:81" ht="12" customHeight="1">
      <c r="B8" s="362">
        <v>1</v>
      </c>
      <c r="C8" s="363"/>
      <c r="D8" s="148" t="s">
        <v>452</v>
      </c>
      <c r="E8" s="149"/>
      <c r="F8" s="149"/>
      <c r="G8" s="149"/>
      <c r="H8" s="149"/>
      <c r="I8" s="149"/>
      <c r="J8" s="149"/>
      <c r="K8" s="150"/>
      <c r="L8" s="148" t="s">
        <v>453</v>
      </c>
      <c r="M8" s="149"/>
      <c r="N8" s="149"/>
      <c r="O8" s="149"/>
      <c r="P8" s="149"/>
      <c r="Q8" s="149"/>
      <c r="R8" s="149"/>
      <c r="S8" s="150"/>
      <c r="T8" s="151">
        <v>1</v>
      </c>
      <c r="U8" s="152"/>
      <c r="V8" s="148"/>
      <c r="W8" s="150"/>
      <c r="X8" s="148"/>
      <c r="Y8" s="150"/>
      <c r="Z8" s="148"/>
      <c r="AA8" s="150"/>
      <c r="AB8" s="153" t="s">
        <v>104</v>
      </c>
      <c r="AC8" s="153"/>
      <c r="AD8" s="152"/>
      <c r="AE8" s="154"/>
      <c r="AF8" s="149"/>
      <c r="AG8" s="149"/>
      <c r="AH8" s="364" t="s">
        <v>106</v>
      </c>
      <c r="AI8" s="365"/>
      <c r="AJ8" s="365"/>
      <c r="AK8" s="365"/>
      <c r="AL8" s="366"/>
      <c r="AM8" s="367"/>
      <c r="AN8" s="368"/>
      <c r="AO8" s="369">
        <v>3</v>
      </c>
      <c r="AP8" s="370"/>
      <c r="AQ8" s="369"/>
      <c r="AR8" s="370"/>
      <c r="AS8" s="371">
        <f>IF(AH8="timestamp",8,IF(IF(AND(AH8="character varying",AM8="○"),AO8*4,IF(AH8="character varying",AO8,2+CEILING(IFERROR((AO8/4+AQ8/4)*2,""),1)))&lt;127,IF(AND(AH8="character varying",AM8="○"),AO8*4,IF(AH8="character varying",AO8,2+CEILING(IFERROR((AO8/4+AQ8/4)*2,""),1)))+1,IF(AND(AH8="character varying",AM8="○"),AO8*4,IF(AH8="character varying",AO8,2+CEILING(IFERROR((AO8/4+AQ8/4)*2,""),1)))+4))</f>
        <v>4</v>
      </c>
      <c r="AT8" s="372"/>
      <c r="AU8" s="148"/>
      <c r="AV8" s="149"/>
      <c r="AW8" s="149"/>
      <c r="AX8" s="149"/>
      <c r="AY8" s="149"/>
      <c r="AZ8" s="149"/>
      <c r="BA8" s="149"/>
      <c r="BB8" s="149"/>
      <c r="BC8" s="149"/>
      <c r="BD8" s="149"/>
      <c r="BE8" s="149"/>
      <c r="BF8" s="149"/>
      <c r="BG8" s="149"/>
      <c r="BH8" s="149"/>
      <c r="BI8" s="149"/>
      <c r="BJ8" s="149"/>
      <c r="BK8" s="149"/>
      <c r="BL8" s="149"/>
      <c r="BM8" s="149"/>
      <c r="BN8" s="149"/>
      <c r="BO8" s="149"/>
      <c r="BP8" s="149"/>
      <c r="BQ8" s="150"/>
      <c r="BR8" s="148"/>
      <c r="BS8" s="149"/>
      <c r="BT8" s="149"/>
      <c r="BU8" s="149"/>
      <c r="BV8" s="149"/>
      <c r="BW8" s="149"/>
      <c r="BX8" s="149"/>
      <c r="BY8" s="149"/>
      <c r="BZ8" s="149"/>
      <c r="CA8" s="149"/>
      <c r="CB8" s="149"/>
      <c r="CC8" s="150"/>
    </row>
    <row r="9" spans="2:81" ht="12" customHeight="1">
      <c r="B9" s="362">
        <f ca="1">IF($D9="","",MAX(OFFSET($B$8,0,0,ROW()-ROW($B$8),2))+1)</f>
        <v>2</v>
      </c>
      <c r="C9" s="363"/>
      <c r="D9" s="148" t="s">
        <v>454</v>
      </c>
      <c r="E9" s="149"/>
      <c r="F9" s="149"/>
      <c r="G9" s="149"/>
      <c r="H9" s="149"/>
      <c r="I9" s="149"/>
      <c r="J9" s="149"/>
      <c r="K9" s="150"/>
      <c r="L9" s="148" t="s">
        <v>455</v>
      </c>
      <c r="M9" s="149"/>
      <c r="N9" s="149"/>
      <c r="O9" s="149"/>
      <c r="P9" s="149"/>
      <c r="Q9" s="149"/>
      <c r="R9" s="149"/>
      <c r="S9" s="150"/>
      <c r="T9" s="151">
        <v>2</v>
      </c>
      <c r="U9" s="152"/>
      <c r="V9" s="148"/>
      <c r="W9" s="150"/>
      <c r="X9" s="148"/>
      <c r="Y9" s="150"/>
      <c r="Z9" s="148"/>
      <c r="AA9" s="150"/>
      <c r="AB9" s="153" t="s">
        <v>104</v>
      </c>
      <c r="AC9" s="153"/>
      <c r="AD9" s="152"/>
      <c r="AE9" s="154"/>
      <c r="AF9" s="149"/>
      <c r="AG9" s="149"/>
      <c r="AH9" s="364" t="s">
        <v>106</v>
      </c>
      <c r="AI9" s="365"/>
      <c r="AJ9" s="365"/>
      <c r="AK9" s="365"/>
      <c r="AL9" s="366"/>
      <c r="AM9" s="367"/>
      <c r="AN9" s="368"/>
      <c r="AO9" s="369">
        <v>3</v>
      </c>
      <c r="AP9" s="370"/>
      <c r="AQ9" s="369"/>
      <c r="AR9" s="370"/>
      <c r="AS9" s="371">
        <f t="shared" ref="AS9:AS38" si="0">IF(AH9="timestamp",8,IF(IF(AND(AH9="character varying",AM9="○"),AO9*4,IF(AH9="character varying",AO9,2+CEILING(IFERROR((AO9/4+AQ9/4)*2,""),1)))&lt;127,IF(AND(AH9="character varying",AM9="○"),AO9*4,IF(AH9="character varying",AO9,2+CEILING(IFERROR((AO9/4+AQ9/4)*2,""),1)))+1,IF(AND(AH9="character varying",AM9="○"),AO9*4,IF(AH9="character varying",AO9,2+CEILING(IFERROR((AO9/4+AQ9/4)*2,""),1)))+4))</f>
        <v>4</v>
      </c>
      <c r="AT9" s="372"/>
      <c r="AU9" s="148"/>
      <c r="AV9" s="149"/>
      <c r="AW9" s="149"/>
      <c r="AX9" s="149"/>
      <c r="AY9" s="149"/>
      <c r="AZ9" s="149"/>
      <c r="BA9" s="149"/>
      <c r="BB9" s="149"/>
      <c r="BC9" s="149"/>
      <c r="BD9" s="149"/>
      <c r="BE9" s="149"/>
      <c r="BF9" s="149"/>
      <c r="BG9" s="149"/>
      <c r="BH9" s="149"/>
      <c r="BI9" s="149"/>
      <c r="BJ9" s="149"/>
      <c r="BK9" s="149"/>
      <c r="BL9" s="149"/>
      <c r="BM9" s="149"/>
      <c r="BN9" s="149"/>
      <c r="BO9" s="149"/>
      <c r="BP9" s="149"/>
      <c r="BQ9" s="150"/>
      <c r="BR9" s="148" t="s">
        <v>456</v>
      </c>
      <c r="BS9" s="149"/>
      <c r="BT9" s="149"/>
      <c r="BU9" s="149"/>
      <c r="BV9" s="149"/>
      <c r="BW9" s="149"/>
      <c r="BX9" s="149"/>
      <c r="BY9" s="149"/>
      <c r="BZ9" s="149"/>
      <c r="CA9" s="149"/>
      <c r="CB9" s="149"/>
      <c r="CC9" s="150"/>
    </row>
    <row r="10" spans="2:81" ht="12" customHeight="1">
      <c r="B10" s="362">
        <f t="shared" ref="B10:B61" ca="1" si="1">IF($D10="","",MAX(OFFSET($B$8,0,0,ROW()-ROW($B$8),2))+1)</f>
        <v>3</v>
      </c>
      <c r="C10" s="363"/>
      <c r="D10" s="148" t="s">
        <v>457</v>
      </c>
      <c r="E10" s="149"/>
      <c r="F10" s="149"/>
      <c r="G10" s="149"/>
      <c r="H10" s="149"/>
      <c r="I10" s="149"/>
      <c r="J10" s="149"/>
      <c r="K10" s="150"/>
      <c r="L10" s="148" t="s">
        <v>458</v>
      </c>
      <c r="M10" s="149"/>
      <c r="N10" s="149"/>
      <c r="O10" s="149"/>
      <c r="P10" s="149"/>
      <c r="Q10" s="149"/>
      <c r="R10" s="149"/>
      <c r="S10" s="150"/>
      <c r="T10" s="151">
        <v>3</v>
      </c>
      <c r="U10" s="152"/>
      <c r="V10" s="148"/>
      <c r="W10" s="150"/>
      <c r="X10" s="148"/>
      <c r="Y10" s="150"/>
      <c r="Z10" s="148"/>
      <c r="AA10" s="150"/>
      <c r="AB10" s="153" t="s">
        <v>104</v>
      </c>
      <c r="AC10" s="153"/>
      <c r="AD10" s="152"/>
      <c r="AE10" s="154"/>
      <c r="AF10" s="149"/>
      <c r="AG10" s="149"/>
      <c r="AH10" s="364" t="s">
        <v>459</v>
      </c>
      <c r="AI10" s="365"/>
      <c r="AJ10" s="365"/>
      <c r="AK10" s="365"/>
      <c r="AL10" s="366"/>
      <c r="AM10" s="367"/>
      <c r="AN10" s="368"/>
      <c r="AO10" s="369"/>
      <c r="AP10" s="370"/>
      <c r="AQ10" s="369"/>
      <c r="AR10" s="370"/>
      <c r="AS10" s="371">
        <f t="shared" si="0"/>
        <v>8</v>
      </c>
      <c r="AT10" s="372"/>
      <c r="AU10" s="148"/>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50"/>
      <c r="BR10" s="148"/>
      <c r="BS10" s="149"/>
      <c r="BT10" s="149"/>
      <c r="BU10" s="149"/>
      <c r="BV10" s="149"/>
      <c r="BW10" s="149"/>
      <c r="BX10" s="149"/>
      <c r="BY10" s="149"/>
      <c r="BZ10" s="149"/>
      <c r="CA10" s="149"/>
      <c r="CB10" s="149"/>
      <c r="CC10" s="150"/>
    </row>
    <row r="11" spans="2:81" ht="12" customHeight="1">
      <c r="B11" s="362">
        <f t="shared" ca="1" si="1"/>
        <v>4</v>
      </c>
      <c r="C11" s="363"/>
      <c r="D11" s="148" t="s">
        <v>460</v>
      </c>
      <c r="E11" s="149"/>
      <c r="F11" s="149"/>
      <c r="G11" s="149"/>
      <c r="H11" s="149"/>
      <c r="I11" s="149"/>
      <c r="J11" s="149"/>
      <c r="K11" s="150"/>
      <c r="L11" s="148" t="s">
        <v>461</v>
      </c>
      <c r="M11" s="149"/>
      <c r="N11" s="149"/>
      <c r="O11" s="149"/>
      <c r="P11" s="149"/>
      <c r="Q11" s="149"/>
      <c r="R11" s="149"/>
      <c r="S11" s="150"/>
      <c r="T11" s="151"/>
      <c r="U11" s="152"/>
      <c r="V11" s="148"/>
      <c r="W11" s="150"/>
      <c r="X11" s="148"/>
      <c r="Y11" s="150"/>
      <c r="Z11" s="148"/>
      <c r="AA11" s="150"/>
      <c r="AB11" s="153" t="s">
        <v>104</v>
      </c>
      <c r="AC11" s="153"/>
      <c r="AD11" s="152"/>
      <c r="AE11" s="154"/>
      <c r="AF11" s="149"/>
      <c r="AG11" s="149"/>
      <c r="AH11" s="364" t="s">
        <v>459</v>
      </c>
      <c r="AI11" s="365"/>
      <c r="AJ11" s="365"/>
      <c r="AK11" s="365"/>
      <c r="AL11" s="366"/>
      <c r="AM11" s="367"/>
      <c r="AN11" s="368"/>
      <c r="AO11" s="369"/>
      <c r="AP11" s="370"/>
      <c r="AQ11" s="369"/>
      <c r="AR11" s="370"/>
      <c r="AS11" s="371">
        <f t="shared" si="0"/>
        <v>8</v>
      </c>
      <c r="AT11" s="372"/>
      <c r="AU11" s="148"/>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50"/>
      <c r="BR11" s="148"/>
      <c r="BS11" s="149"/>
      <c r="BT11" s="149"/>
      <c r="BU11" s="149"/>
      <c r="BV11" s="149"/>
      <c r="BW11" s="149"/>
      <c r="BX11" s="149"/>
      <c r="BY11" s="149"/>
      <c r="BZ11" s="149"/>
      <c r="CA11" s="149"/>
      <c r="CB11" s="149"/>
      <c r="CC11" s="150"/>
    </row>
    <row r="12" spans="2:81">
      <c r="B12" s="362">
        <f t="shared" ca="1" si="1"/>
        <v>5</v>
      </c>
      <c r="C12" s="363"/>
      <c r="D12" s="148" t="s">
        <v>462</v>
      </c>
      <c r="E12" s="149"/>
      <c r="F12" s="149"/>
      <c r="G12" s="149"/>
      <c r="H12" s="149"/>
      <c r="I12" s="149"/>
      <c r="J12" s="149"/>
      <c r="K12" s="150"/>
      <c r="L12" s="148" t="s">
        <v>463</v>
      </c>
      <c r="M12" s="149"/>
      <c r="N12" s="149"/>
      <c r="O12" s="149"/>
      <c r="P12" s="149"/>
      <c r="Q12" s="149"/>
      <c r="R12" s="149"/>
      <c r="S12" s="150"/>
      <c r="T12" s="151"/>
      <c r="U12" s="152"/>
      <c r="V12" s="148"/>
      <c r="W12" s="150"/>
      <c r="X12" s="148"/>
      <c r="Y12" s="150"/>
      <c r="Z12" s="148"/>
      <c r="AA12" s="150"/>
      <c r="AB12" s="153"/>
      <c r="AC12" s="153"/>
      <c r="AD12" s="152"/>
      <c r="AE12" s="154"/>
      <c r="AF12" s="149"/>
      <c r="AG12" s="149"/>
      <c r="AH12" s="364" t="s">
        <v>106</v>
      </c>
      <c r="AI12" s="365"/>
      <c r="AJ12" s="365"/>
      <c r="AK12" s="365"/>
      <c r="AL12" s="366"/>
      <c r="AM12" s="367" t="s">
        <v>464</v>
      </c>
      <c r="AN12" s="368"/>
      <c r="AO12" s="369">
        <v>20</v>
      </c>
      <c r="AP12" s="370"/>
      <c r="AQ12" s="369"/>
      <c r="AR12" s="370"/>
      <c r="AS12" s="371">
        <f t="shared" si="0"/>
        <v>81</v>
      </c>
      <c r="AT12" s="372"/>
      <c r="AU12" s="148" t="s">
        <v>465</v>
      </c>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50"/>
      <c r="BR12" s="148"/>
      <c r="BS12" s="149"/>
      <c r="BT12" s="149"/>
      <c r="BU12" s="149"/>
      <c r="BV12" s="149"/>
      <c r="BW12" s="149"/>
      <c r="BX12" s="149"/>
      <c r="BY12" s="149"/>
      <c r="BZ12" s="149"/>
      <c r="CA12" s="149"/>
      <c r="CB12" s="149"/>
      <c r="CC12" s="150"/>
    </row>
    <row r="13" spans="2:81">
      <c r="B13" s="362">
        <f t="shared" ca="1" si="1"/>
        <v>6</v>
      </c>
      <c r="C13" s="363"/>
      <c r="D13" s="148" t="s">
        <v>466</v>
      </c>
      <c r="E13" s="149"/>
      <c r="F13" s="149"/>
      <c r="G13" s="149"/>
      <c r="H13" s="149"/>
      <c r="I13" s="149"/>
      <c r="J13" s="149"/>
      <c r="K13" s="150"/>
      <c r="L13" s="148" t="s">
        <v>467</v>
      </c>
      <c r="M13" s="149"/>
      <c r="N13" s="149"/>
      <c r="O13" s="149"/>
      <c r="P13" s="149"/>
      <c r="Q13" s="149"/>
      <c r="R13" s="149"/>
      <c r="S13" s="150"/>
      <c r="T13" s="151"/>
      <c r="U13" s="152"/>
      <c r="V13" s="148"/>
      <c r="W13" s="150"/>
      <c r="X13" s="148"/>
      <c r="Y13" s="150"/>
      <c r="Z13" s="148"/>
      <c r="AA13" s="150"/>
      <c r="AB13" s="153"/>
      <c r="AC13" s="153"/>
      <c r="AD13" s="152"/>
      <c r="AE13" s="154"/>
      <c r="AF13" s="149"/>
      <c r="AG13" s="149"/>
      <c r="AH13" s="364" t="s">
        <v>106</v>
      </c>
      <c r="AI13" s="365"/>
      <c r="AJ13" s="365"/>
      <c r="AK13" s="365"/>
      <c r="AL13" s="366"/>
      <c r="AM13" s="367" t="s">
        <v>464</v>
      </c>
      <c r="AN13" s="368"/>
      <c r="AO13" s="369">
        <v>40</v>
      </c>
      <c r="AP13" s="370"/>
      <c r="AQ13" s="369"/>
      <c r="AR13" s="370"/>
      <c r="AS13" s="371">
        <f t="shared" si="0"/>
        <v>164</v>
      </c>
      <c r="AT13" s="372"/>
      <c r="AU13" s="148" t="s">
        <v>468</v>
      </c>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50"/>
      <c r="BR13" s="148"/>
      <c r="BS13" s="149"/>
      <c r="BT13" s="149"/>
      <c r="BU13" s="149"/>
      <c r="BV13" s="149"/>
      <c r="BW13" s="149"/>
      <c r="BX13" s="149"/>
      <c r="BY13" s="149"/>
      <c r="BZ13" s="149"/>
      <c r="CA13" s="149"/>
      <c r="CB13" s="149"/>
      <c r="CC13" s="150"/>
    </row>
    <row r="14" spans="2:81">
      <c r="B14" s="362">
        <f t="shared" ca="1" si="1"/>
        <v>7</v>
      </c>
      <c r="C14" s="363"/>
      <c r="D14" s="148" t="s">
        <v>469</v>
      </c>
      <c r="E14" s="149"/>
      <c r="F14" s="149"/>
      <c r="G14" s="149"/>
      <c r="H14" s="149"/>
      <c r="I14" s="149"/>
      <c r="J14" s="149"/>
      <c r="K14" s="150"/>
      <c r="L14" s="148" t="s">
        <v>470</v>
      </c>
      <c r="M14" s="149"/>
      <c r="N14" s="149"/>
      <c r="O14" s="149"/>
      <c r="P14" s="149"/>
      <c r="Q14" s="149"/>
      <c r="R14" s="149"/>
      <c r="S14" s="150"/>
      <c r="T14" s="151"/>
      <c r="U14" s="152"/>
      <c r="V14" s="148"/>
      <c r="W14" s="150"/>
      <c r="X14" s="148"/>
      <c r="Y14" s="150"/>
      <c r="Z14" s="148"/>
      <c r="AA14" s="150"/>
      <c r="AB14" s="153"/>
      <c r="AC14" s="153"/>
      <c r="AD14" s="152"/>
      <c r="AE14" s="154"/>
      <c r="AF14" s="149"/>
      <c r="AG14" s="149"/>
      <c r="AH14" s="364" t="s">
        <v>106</v>
      </c>
      <c r="AI14" s="365"/>
      <c r="AJ14" s="365"/>
      <c r="AK14" s="365"/>
      <c r="AL14" s="366"/>
      <c r="AM14" s="367"/>
      <c r="AN14" s="368"/>
      <c r="AO14" s="369">
        <v>3</v>
      </c>
      <c r="AP14" s="370"/>
      <c r="AQ14" s="369"/>
      <c r="AR14" s="370"/>
      <c r="AS14" s="371">
        <f t="shared" si="0"/>
        <v>4</v>
      </c>
      <c r="AT14" s="372"/>
      <c r="AU14" s="148"/>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50"/>
      <c r="BR14" s="148" t="s">
        <v>456</v>
      </c>
      <c r="BS14" s="149"/>
      <c r="BT14" s="149"/>
      <c r="BU14" s="149"/>
      <c r="BV14" s="149"/>
      <c r="BW14" s="149"/>
      <c r="BX14" s="149"/>
      <c r="BY14" s="149"/>
      <c r="BZ14" s="149"/>
      <c r="CA14" s="149"/>
      <c r="CB14" s="149"/>
      <c r="CC14" s="150"/>
    </row>
    <row r="15" spans="2:81">
      <c r="B15" s="362">
        <f t="shared" ca="1" si="1"/>
        <v>8</v>
      </c>
      <c r="C15" s="363"/>
      <c r="D15" s="148" t="s">
        <v>471</v>
      </c>
      <c r="E15" s="149"/>
      <c r="F15" s="149"/>
      <c r="G15" s="149"/>
      <c r="H15" s="149"/>
      <c r="I15" s="149"/>
      <c r="J15" s="149"/>
      <c r="K15" s="150"/>
      <c r="L15" s="373" t="s">
        <v>472</v>
      </c>
      <c r="M15" s="374"/>
      <c r="N15" s="374"/>
      <c r="O15" s="374"/>
      <c r="P15" s="374"/>
      <c r="Q15" s="374"/>
      <c r="R15" s="374"/>
      <c r="S15" s="375"/>
      <c r="T15" s="151"/>
      <c r="U15" s="152"/>
      <c r="V15" s="148"/>
      <c r="W15" s="150"/>
      <c r="X15" s="148"/>
      <c r="Y15" s="150"/>
      <c r="Z15" s="148"/>
      <c r="AA15" s="150"/>
      <c r="AB15" s="153"/>
      <c r="AC15" s="153"/>
      <c r="AD15" s="152"/>
      <c r="AE15" s="154"/>
      <c r="AF15" s="149"/>
      <c r="AG15" s="149"/>
      <c r="AH15" s="364" t="s">
        <v>106</v>
      </c>
      <c r="AI15" s="365"/>
      <c r="AJ15" s="365"/>
      <c r="AK15" s="365"/>
      <c r="AL15" s="366"/>
      <c r="AM15" s="367"/>
      <c r="AN15" s="368"/>
      <c r="AO15" s="369">
        <v>1</v>
      </c>
      <c r="AP15" s="370"/>
      <c r="AQ15" s="369"/>
      <c r="AR15" s="370"/>
      <c r="AS15" s="371">
        <f t="shared" si="0"/>
        <v>2</v>
      </c>
      <c r="AT15" s="372"/>
      <c r="AU15" s="148" t="s">
        <v>473</v>
      </c>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50"/>
      <c r="BR15" s="148"/>
      <c r="BS15" s="149"/>
      <c r="BT15" s="149"/>
      <c r="BU15" s="149"/>
      <c r="BV15" s="149"/>
      <c r="BW15" s="149"/>
      <c r="BX15" s="149"/>
      <c r="BY15" s="149"/>
      <c r="BZ15" s="149"/>
      <c r="CA15" s="149"/>
      <c r="CB15" s="149"/>
      <c r="CC15" s="150"/>
    </row>
    <row r="16" spans="2:81">
      <c r="B16" s="362">
        <f t="shared" ca="1" si="1"/>
        <v>9</v>
      </c>
      <c r="C16" s="363"/>
      <c r="D16" s="148" t="s">
        <v>474</v>
      </c>
      <c r="E16" s="149"/>
      <c r="F16" s="149"/>
      <c r="G16" s="149"/>
      <c r="H16" s="149"/>
      <c r="I16" s="149"/>
      <c r="J16" s="149"/>
      <c r="K16" s="150"/>
      <c r="L16" s="148" t="s">
        <v>475</v>
      </c>
      <c r="M16" s="149"/>
      <c r="N16" s="149"/>
      <c r="O16" s="149"/>
      <c r="P16" s="149"/>
      <c r="Q16" s="149"/>
      <c r="R16" s="149"/>
      <c r="S16" s="150"/>
      <c r="T16" s="151"/>
      <c r="U16" s="152"/>
      <c r="V16" s="148"/>
      <c r="W16" s="150"/>
      <c r="X16" s="148"/>
      <c r="Y16" s="150"/>
      <c r="Z16" s="148"/>
      <c r="AA16" s="150"/>
      <c r="AB16" s="153"/>
      <c r="AC16" s="153"/>
      <c r="AD16" s="152"/>
      <c r="AE16" s="154"/>
      <c r="AF16" s="149"/>
      <c r="AG16" s="149"/>
      <c r="AH16" s="364" t="s">
        <v>106</v>
      </c>
      <c r="AI16" s="365"/>
      <c r="AJ16" s="365"/>
      <c r="AK16" s="365"/>
      <c r="AL16" s="366"/>
      <c r="AM16" s="367"/>
      <c r="AN16" s="368"/>
      <c r="AO16" s="369">
        <v>3</v>
      </c>
      <c r="AP16" s="370"/>
      <c r="AQ16" s="369"/>
      <c r="AR16" s="370"/>
      <c r="AS16" s="371">
        <f t="shared" si="0"/>
        <v>4</v>
      </c>
      <c r="AT16" s="372"/>
      <c r="AU16" s="148"/>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50"/>
      <c r="BR16" s="148" t="s">
        <v>476</v>
      </c>
      <c r="BS16" s="149"/>
      <c r="BT16" s="149"/>
      <c r="BU16" s="149"/>
      <c r="BV16" s="149"/>
      <c r="BW16" s="149"/>
      <c r="BX16" s="149"/>
      <c r="BY16" s="149"/>
      <c r="BZ16" s="149"/>
      <c r="CA16" s="149"/>
      <c r="CB16" s="149"/>
      <c r="CC16" s="150"/>
    </row>
    <row r="17" spans="2:81">
      <c r="B17" s="362">
        <f t="shared" ca="1" si="1"/>
        <v>10</v>
      </c>
      <c r="C17" s="363"/>
      <c r="D17" s="148" t="s">
        <v>477</v>
      </c>
      <c r="E17" s="149"/>
      <c r="F17" s="149"/>
      <c r="G17" s="149"/>
      <c r="H17" s="149"/>
      <c r="I17" s="149"/>
      <c r="J17" s="149"/>
      <c r="K17" s="150"/>
      <c r="L17" s="148" t="s">
        <v>478</v>
      </c>
      <c r="M17" s="149"/>
      <c r="N17" s="149"/>
      <c r="O17" s="149"/>
      <c r="P17" s="149"/>
      <c r="Q17" s="149"/>
      <c r="R17" s="149"/>
      <c r="S17" s="150"/>
      <c r="T17" s="151"/>
      <c r="U17" s="152"/>
      <c r="V17" s="148"/>
      <c r="W17" s="150"/>
      <c r="X17" s="148"/>
      <c r="Y17" s="150"/>
      <c r="Z17" s="148"/>
      <c r="AA17" s="150"/>
      <c r="AB17" s="153"/>
      <c r="AC17" s="153"/>
      <c r="AD17" s="152"/>
      <c r="AE17" s="154"/>
      <c r="AF17" s="149"/>
      <c r="AG17" s="149"/>
      <c r="AH17" s="364" t="s">
        <v>106</v>
      </c>
      <c r="AI17" s="365"/>
      <c r="AJ17" s="365"/>
      <c r="AK17" s="365"/>
      <c r="AL17" s="366"/>
      <c r="AM17" s="367"/>
      <c r="AN17" s="368"/>
      <c r="AO17" s="369">
        <v>3</v>
      </c>
      <c r="AP17" s="370"/>
      <c r="AQ17" s="369"/>
      <c r="AR17" s="370"/>
      <c r="AS17" s="371">
        <f t="shared" si="0"/>
        <v>4</v>
      </c>
      <c r="AT17" s="372"/>
      <c r="AU17" s="148"/>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50"/>
      <c r="BR17" s="148" t="s">
        <v>476</v>
      </c>
      <c r="BS17" s="149"/>
      <c r="BT17" s="149"/>
      <c r="BU17" s="149"/>
      <c r="BV17" s="149"/>
      <c r="BW17" s="149"/>
      <c r="BX17" s="149"/>
      <c r="BY17" s="149"/>
      <c r="BZ17" s="149"/>
      <c r="CA17" s="149"/>
      <c r="CB17" s="149"/>
      <c r="CC17" s="150"/>
    </row>
    <row r="18" spans="2:81">
      <c r="B18" s="362">
        <f t="shared" ca="1" si="1"/>
        <v>11</v>
      </c>
      <c r="C18" s="363"/>
      <c r="D18" s="148" t="s">
        <v>479</v>
      </c>
      <c r="E18" s="149"/>
      <c r="F18" s="149"/>
      <c r="G18" s="149"/>
      <c r="H18" s="149"/>
      <c r="I18" s="149"/>
      <c r="J18" s="149"/>
      <c r="K18" s="150"/>
      <c r="L18" s="148" t="s">
        <v>480</v>
      </c>
      <c r="M18" s="149"/>
      <c r="N18" s="149"/>
      <c r="O18" s="149"/>
      <c r="P18" s="149"/>
      <c r="Q18" s="149"/>
      <c r="R18" s="149"/>
      <c r="S18" s="150"/>
      <c r="T18" s="151"/>
      <c r="U18" s="152"/>
      <c r="V18" s="148"/>
      <c r="W18" s="150"/>
      <c r="X18" s="148"/>
      <c r="Y18" s="150"/>
      <c r="Z18" s="148"/>
      <c r="AA18" s="150"/>
      <c r="AB18" s="153"/>
      <c r="AC18" s="153"/>
      <c r="AD18" s="152"/>
      <c r="AE18" s="154"/>
      <c r="AF18" s="149"/>
      <c r="AG18" s="149"/>
      <c r="AH18" s="364" t="s">
        <v>106</v>
      </c>
      <c r="AI18" s="365"/>
      <c r="AJ18" s="365"/>
      <c r="AK18" s="365"/>
      <c r="AL18" s="366"/>
      <c r="AM18" s="367"/>
      <c r="AN18" s="368"/>
      <c r="AO18" s="369">
        <v>3</v>
      </c>
      <c r="AP18" s="370"/>
      <c r="AQ18" s="369"/>
      <c r="AR18" s="370"/>
      <c r="AS18" s="371">
        <f t="shared" si="0"/>
        <v>4</v>
      </c>
      <c r="AT18" s="372"/>
      <c r="AU18" s="148"/>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50"/>
      <c r="BR18" s="148" t="s">
        <v>476</v>
      </c>
      <c r="BS18" s="149"/>
      <c r="BT18" s="149"/>
      <c r="BU18" s="149"/>
      <c r="BV18" s="149"/>
      <c r="BW18" s="149"/>
      <c r="BX18" s="149"/>
      <c r="BY18" s="149"/>
      <c r="BZ18" s="149"/>
      <c r="CA18" s="149"/>
      <c r="CB18" s="149"/>
      <c r="CC18" s="150"/>
    </row>
    <row r="19" spans="2:81">
      <c r="B19" s="362">
        <f t="shared" ca="1" si="1"/>
        <v>12</v>
      </c>
      <c r="C19" s="363"/>
      <c r="D19" s="148" t="s">
        <v>481</v>
      </c>
      <c r="E19" s="149"/>
      <c r="F19" s="149"/>
      <c r="G19" s="149"/>
      <c r="H19" s="149"/>
      <c r="I19" s="149"/>
      <c r="J19" s="149"/>
      <c r="K19" s="150"/>
      <c r="L19" s="148" t="s">
        <v>482</v>
      </c>
      <c r="M19" s="149"/>
      <c r="N19" s="149"/>
      <c r="O19" s="149"/>
      <c r="P19" s="149"/>
      <c r="Q19" s="149"/>
      <c r="R19" s="149"/>
      <c r="S19" s="150"/>
      <c r="T19" s="151"/>
      <c r="U19" s="152"/>
      <c r="V19" s="148"/>
      <c r="W19" s="150"/>
      <c r="X19" s="148"/>
      <c r="Y19" s="150"/>
      <c r="Z19" s="148"/>
      <c r="AA19" s="150"/>
      <c r="AB19" s="153"/>
      <c r="AC19" s="153"/>
      <c r="AD19" s="152"/>
      <c r="AE19" s="154"/>
      <c r="AF19" s="149"/>
      <c r="AG19" s="149"/>
      <c r="AH19" s="364" t="s">
        <v>106</v>
      </c>
      <c r="AI19" s="365"/>
      <c r="AJ19" s="365"/>
      <c r="AK19" s="365"/>
      <c r="AL19" s="366"/>
      <c r="AM19" s="367"/>
      <c r="AN19" s="368"/>
      <c r="AO19" s="369">
        <v>3</v>
      </c>
      <c r="AP19" s="370"/>
      <c r="AQ19" s="369"/>
      <c r="AR19" s="370"/>
      <c r="AS19" s="371">
        <f t="shared" si="0"/>
        <v>4</v>
      </c>
      <c r="AT19" s="372"/>
      <c r="AU19" s="148"/>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50"/>
      <c r="BR19" s="148" t="s">
        <v>476</v>
      </c>
      <c r="BS19" s="149"/>
      <c r="BT19" s="149"/>
      <c r="BU19" s="149"/>
      <c r="BV19" s="149"/>
      <c r="BW19" s="149"/>
      <c r="BX19" s="149"/>
      <c r="BY19" s="149"/>
      <c r="BZ19" s="149"/>
      <c r="CA19" s="149"/>
      <c r="CB19" s="149"/>
      <c r="CC19" s="150"/>
    </row>
    <row r="20" spans="2:81">
      <c r="B20" s="362">
        <f t="shared" ca="1" si="1"/>
        <v>13</v>
      </c>
      <c r="C20" s="363"/>
      <c r="D20" s="148" t="s">
        <v>483</v>
      </c>
      <c r="E20" s="149"/>
      <c r="F20" s="149"/>
      <c r="G20" s="149"/>
      <c r="H20" s="149"/>
      <c r="I20" s="149"/>
      <c r="J20" s="149"/>
      <c r="K20" s="150"/>
      <c r="L20" s="148" t="s">
        <v>484</v>
      </c>
      <c r="M20" s="149"/>
      <c r="N20" s="149"/>
      <c r="O20" s="149"/>
      <c r="P20" s="149"/>
      <c r="Q20" s="149"/>
      <c r="R20" s="149"/>
      <c r="S20" s="150"/>
      <c r="T20" s="151"/>
      <c r="U20" s="152"/>
      <c r="V20" s="148"/>
      <c r="W20" s="150"/>
      <c r="X20" s="148"/>
      <c r="Y20" s="150"/>
      <c r="Z20" s="148"/>
      <c r="AA20" s="150"/>
      <c r="AB20" s="153"/>
      <c r="AC20" s="153"/>
      <c r="AD20" s="152"/>
      <c r="AE20" s="154"/>
      <c r="AF20" s="149"/>
      <c r="AG20" s="149"/>
      <c r="AH20" s="364" t="s">
        <v>108</v>
      </c>
      <c r="AI20" s="365"/>
      <c r="AJ20" s="365"/>
      <c r="AK20" s="365"/>
      <c r="AL20" s="366"/>
      <c r="AM20" s="367"/>
      <c r="AN20" s="368"/>
      <c r="AO20" s="369">
        <v>8</v>
      </c>
      <c r="AP20" s="370"/>
      <c r="AQ20" s="369">
        <v>0</v>
      </c>
      <c r="AR20" s="370"/>
      <c r="AS20" s="371">
        <f t="shared" si="0"/>
        <v>7</v>
      </c>
      <c r="AT20" s="372"/>
      <c r="AU20" s="148"/>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50"/>
      <c r="BR20" s="148"/>
      <c r="BS20" s="149"/>
      <c r="BT20" s="149"/>
      <c r="BU20" s="149"/>
      <c r="BV20" s="149"/>
      <c r="BW20" s="149"/>
      <c r="BX20" s="149"/>
      <c r="BY20" s="149"/>
      <c r="BZ20" s="149"/>
      <c r="CA20" s="149"/>
      <c r="CB20" s="149"/>
      <c r="CC20" s="150"/>
    </row>
    <row r="21" spans="2:81">
      <c r="B21" s="362">
        <f t="shared" ca="1" si="1"/>
        <v>14</v>
      </c>
      <c r="C21" s="363"/>
      <c r="D21" s="148" t="s">
        <v>485</v>
      </c>
      <c r="E21" s="149"/>
      <c r="F21" s="149"/>
      <c r="G21" s="149"/>
      <c r="H21" s="149"/>
      <c r="I21" s="149"/>
      <c r="J21" s="149"/>
      <c r="K21" s="150"/>
      <c r="L21" s="148" t="s">
        <v>486</v>
      </c>
      <c r="M21" s="149"/>
      <c r="N21" s="149"/>
      <c r="O21" s="149"/>
      <c r="P21" s="149"/>
      <c r="Q21" s="149"/>
      <c r="R21" s="149"/>
      <c r="S21" s="150"/>
      <c r="T21" s="151"/>
      <c r="U21" s="152"/>
      <c r="V21" s="148"/>
      <c r="W21" s="150"/>
      <c r="X21" s="148"/>
      <c r="Y21" s="150"/>
      <c r="Z21" s="148"/>
      <c r="AA21" s="150"/>
      <c r="AB21" s="153"/>
      <c r="AC21" s="153"/>
      <c r="AD21" s="152"/>
      <c r="AE21" s="154"/>
      <c r="AF21" s="149"/>
      <c r="AG21" s="149"/>
      <c r="AH21" s="364" t="s">
        <v>232</v>
      </c>
      <c r="AI21" s="365"/>
      <c r="AJ21" s="365"/>
      <c r="AK21" s="365"/>
      <c r="AL21" s="366"/>
      <c r="AM21" s="367"/>
      <c r="AN21" s="368"/>
      <c r="AO21" s="369">
        <v>8</v>
      </c>
      <c r="AP21" s="370"/>
      <c r="AQ21" s="369">
        <v>0</v>
      </c>
      <c r="AR21" s="370"/>
      <c r="AS21" s="371">
        <f t="shared" si="0"/>
        <v>7</v>
      </c>
      <c r="AT21" s="372"/>
      <c r="AU21" s="148"/>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50"/>
      <c r="BR21" s="148"/>
      <c r="BS21" s="133"/>
      <c r="BT21" s="133"/>
      <c r="BU21" s="133"/>
      <c r="BV21" s="133"/>
      <c r="BW21" s="133"/>
      <c r="BX21" s="133"/>
      <c r="BY21" s="133"/>
      <c r="BZ21" s="133"/>
      <c r="CA21" s="133"/>
      <c r="CB21" s="133"/>
      <c r="CC21" s="135"/>
    </row>
    <row r="22" spans="2:81">
      <c r="B22" s="362">
        <f t="shared" ca="1" si="1"/>
        <v>15</v>
      </c>
      <c r="C22" s="363"/>
      <c r="D22" s="148" t="s">
        <v>487</v>
      </c>
      <c r="E22" s="149"/>
      <c r="F22" s="149"/>
      <c r="G22" s="149"/>
      <c r="H22" s="149"/>
      <c r="I22" s="149"/>
      <c r="J22" s="149"/>
      <c r="K22" s="150"/>
      <c r="L22" s="148" t="s">
        <v>488</v>
      </c>
      <c r="M22" s="149"/>
      <c r="N22" s="149"/>
      <c r="O22" s="149"/>
      <c r="P22" s="149"/>
      <c r="Q22" s="149"/>
      <c r="R22" s="149"/>
      <c r="S22" s="150"/>
      <c r="T22" s="151"/>
      <c r="U22" s="152"/>
      <c r="V22" s="148"/>
      <c r="W22" s="150"/>
      <c r="X22" s="148"/>
      <c r="Y22" s="150"/>
      <c r="Z22" s="148"/>
      <c r="AA22" s="150"/>
      <c r="AB22" s="153"/>
      <c r="AC22" s="153"/>
      <c r="AD22" s="152"/>
      <c r="AE22" s="154"/>
      <c r="AF22" s="149"/>
      <c r="AG22" s="149"/>
      <c r="AH22" s="364" t="s">
        <v>108</v>
      </c>
      <c r="AI22" s="365"/>
      <c r="AJ22" s="365"/>
      <c r="AK22" s="365"/>
      <c r="AL22" s="366"/>
      <c r="AM22" s="367"/>
      <c r="AN22" s="368"/>
      <c r="AO22" s="369">
        <v>8</v>
      </c>
      <c r="AP22" s="370"/>
      <c r="AQ22" s="369">
        <v>0</v>
      </c>
      <c r="AR22" s="370"/>
      <c r="AS22" s="371">
        <f t="shared" si="0"/>
        <v>7</v>
      </c>
      <c r="AT22" s="372"/>
      <c r="AU22" s="148"/>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50"/>
      <c r="BR22" s="148"/>
      <c r="BS22" s="149"/>
      <c r="BT22" s="149"/>
      <c r="BU22" s="149"/>
      <c r="BV22" s="149"/>
      <c r="BW22" s="149"/>
      <c r="BX22" s="149"/>
      <c r="BY22" s="149"/>
      <c r="BZ22" s="149"/>
      <c r="CA22" s="149"/>
      <c r="CB22" s="149"/>
      <c r="CC22" s="150"/>
    </row>
    <row r="23" spans="2:81">
      <c r="B23" s="362">
        <f t="shared" ca="1" si="1"/>
        <v>16</v>
      </c>
      <c r="C23" s="363"/>
      <c r="D23" s="148" t="s">
        <v>489</v>
      </c>
      <c r="E23" s="149"/>
      <c r="F23" s="149"/>
      <c r="G23" s="149"/>
      <c r="H23" s="149"/>
      <c r="I23" s="149"/>
      <c r="J23" s="149"/>
      <c r="K23" s="150"/>
      <c r="L23" s="148" t="s">
        <v>490</v>
      </c>
      <c r="M23" s="149"/>
      <c r="N23" s="149"/>
      <c r="O23" s="149"/>
      <c r="P23" s="149"/>
      <c r="Q23" s="149"/>
      <c r="R23" s="149"/>
      <c r="S23" s="150"/>
      <c r="T23" s="151"/>
      <c r="U23" s="152"/>
      <c r="V23" s="148"/>
      <c r="W23" s="150"/>
      <c r="X23" s="148"/>
      <c r="Y23" s="150"/>
      <c r="Z23" s="148"/>
      <c r="AA23" s="150"/>
      <c r="AB23" s="153"/>
      <c r="AC23" s="153"/>
      <c r="AD23" s="152"/>
      <c r="AE23" s="154"/>
      <c r="AF23" s="149"/>
      <c r="AG23" s="149"/>
      <c r="AH23" s="364" t="s">
        <v>106</v>
      </c>
      <c r="AI23" s="365"/>
      <c r="AJ23" s="365"/>
      <c r="AK23" s="365"/>
      <c r="AL23" s="366"/>
      <c r="AM23" s="367"/>
      <c r="AN23" s="368"/>
      <c r="AO23" s="369">
        <v>7</v>
      </c>
      <c r="AP23" s="370"/>
      <c r="AQ23" s="369"/>
      <c r="AR23" s="370"/>
      <c r="AS23" s="371">
        <f t="shared" si="0"/>
        <v>8</v>
      </c>
      <c r="AT23" s="372"/>
      <c r="AU23" s="148"/>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50"/>
      <c r="BR23" s="148"/>
      <c r="BS23" s="149"/>
      <c r="BT23" s="149"/>
      <c r="BU23" s="149"/>
      <c r="BV23" s="149"/>
      <c r="BW23" s="149"/>
      <c r="BX23" s="149"/>
      <c r="BY23" s="149"/>
      <c r="BZ23" s="149"/>
      <c r="CA23" s="149"/>
      <c r="CB23" s="149"/>
      <c r="CC23" s="150"/>
    </row>
    <row r="24" spans="2:81">
      <c r="B24" s="362">
        <f t="shared" ca="1" si="1"/>
        <v>17</v>
      </c>
      <c r="C24" s="363"/>
      <c r="D24" s="148" t="s">
        <v>491</v>
      </c>
      <c r="E24" s="149"/>
      <c r="F24" s="149"/>
      <c r="G24" s="149"/>
      <c r="H24" s="149"/>
      <c r="I24" s="149"/>
      <c r="J24" s="149"/>
      <c r="K24" s="150"/>
      <c r="L24" s="148" t="s">
        <v>492</v>
      </c>
      <c r="M24" s="149"/>
      <c r="N24" s="149"/>
      <c r="O24" s="149"/>
      <c r="P24" s="149"/>
      <c r="Q24" s="149"/>
      <c r="R24" s="149"/>
      <c r="S24" s="150"/>
      <c r="T24" s="151"/>
      <c r="U24" s="152"/>
      <c r="V24" s="148"/>
      <c r="W24" s="150"/>
      <c r="X24" s="148"/>
      <c r="Y24" s="150"/>
      <c r="Z24" s="148"/>
      <c r="AA24" s="150"/>
      <c r="AB24" s="153"/>
      <c r="AC24" s="153"/>
      <c r="AD24" s="152"/>
      <c r="AE24" s="154"/>
      <c r="AF24" s="149"/>
      <c r="AG24" s="149"/>
      <c r="AH24" s="364" t="s">
        <v>106</v>
      </c>
      <c r="AI24" s="365"/>
      <c r="AJ24" s="365"/>
      <c r="AK24" s="365"/>
      <c r="AL24" s="366"/>
      <c r="AM24" s="367" t="s">
        <v>464</v>
      </c>
      <c r="AN24" s="368"/>
      <c r="AO24" s="369">
        <v>6</v>
      </c>
      <c r="AP24" s="370"/>
      <c r="AQ24" s="369"/>
      <c r="AR24" s="370"/>
      <c r="AS24" s="371">
        <f t="shared" si="0"/>
        <v>25</v>
      </c>
      <c r="AT24" s="372"/>
      <c r="AU24" s="148" t="s">
        <v>465</v>
      </c>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50"/>
      <c r="BR24" s="148"/>
      <c r="BS24" s="149"/>
      <c r="BT24" s="149"/>
      <c r="BU24" s="149"/>
      <c r="BV24" s="149"/>
      <c r="BW24" s="149"/>
      <c r="BX24" s="149"/>
      <c r="BY24" s="149"/>
      <c r="BZ24" s="149"/>
      <c r="CA24" s="149"/>
      <c r="CB24" s="149"/>
      <c r="CC24" s="150"/>
    </row>
    <row r="25" spans="2:81">
      <c r="B25" s="362">
        <f t="shared" ca="1" si="1"/>
        <v>18</v>
      </c>
      <c r="C25" s="363"/>
      <c r="D25" s="148" t="s">
        <v>493</v>
      </c>
      <c r="E25" s="149"/>
      <c r="F25" s="149"/>
      <c r="G25" s="149"/>
      <c r="H25" s="149"/>
      <c r="I25" s="149"/>
      <c r="J25" s="149"/>
      <c r="K25" s="150"/>
      <c r="L25" s="148" t="s">
        <v>494</v>
      </c>
      <c r="M25" s="149"/>
      <c r="N25" s="149"/>
      <c r="O25" s="149"/>
      <c r="P25" s="149"/>
      <c r="Q25" s="149"/>
      <c r="R25" s="149"/>
      <c r="S25" s="150"/>
      <c r="T25" s="148"/>
      <c r="U25" s="150"/>
      <c r="V25" s="148"/>
      <c r="W25" s="150"/>
      <c r="X25" s="148"/>
      <c r="Y25" s="150"/>
      <c r="Z25" s="148"/>
      <c r="AA25" s="150"/>
      <c r="AB25" s="153"/>
      <c r="AC25" s="153"/>
      <c r="AD25" s="152"/>
      <c r="AE25" s="154"/>
      <c r="AF25" s="149"/>
      <c r="AG25" s="149"/>
      <c r="AH25" s="364" t="s">
        <v>106</v>
      </c>
      <c r="AI25" s="365"/>
      <c r="AJ25" s="365"/>
      <c r="AK25" s="365"/>
      <c r="AL25" s="366"/>
      <c r="AM25" s="367" t="s">
        <v>464</v>
      </c>
      <c r="AN25" s="368"/>
      <c r="AO25" s="369">
        <v>16</v>
      </c>
      <c r="AP25" s="370"/>
      <c r="AQ25" s="369"/>
      <c r="AR25" s="370"/>
      <c r="AS25" s="371">
        <f t="shared" si="0"/>
        <v>65</v>
      </c>
      <c r="AT25" s="372"/>
      <c r="AU25" s="148" t="s">
        <v>465</v>
      </c>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50"/>
      <c r="BR25" s="148"/>
      <c r="BS25" s="149"/>
      <c r="BT25" s="149"/>
      <c r="BU25" s="149"/>
      <c r="BV25" s="149"/>
      <c r="BW25" s="149"/>
      <c r="BX25" s="149"/>
      <c r="BY25" s="149"/>
      <c r="BZ25" s="149"/>
      <c r="CA25" s="149"/>
      <c r="CB25" s="149"/>
      <c r="CC25" s="150"/>
    </row>
    <row r="26" spans="2:81">
      <c r="B26" s="362">
        <f t="shared" ca="1" si="1"/>
        <v>19</v>
      </c>
      <c r="C26" s="363"/>
      <c r="D26" s="148" t="s">
        <v>495</v>
      </c>
      <c r="E26" s="149"/>
      <c r="F26" s="149"/>
      <c r="G26" s="149"/>
      <c r="H26" s="149"/>
      <c r="I26" s="149"/>
      <c r="J26" s="149"/>
      <c r="K26" s="150"/>
      <c r="L26" s="148" t="s">
        <v>496</v>
      </c>
      <c r="M26" s="149"/>
      <c r="N26" s="149"/>
      <c r="O26" s="149"/>
      <c r="P26" s="149"/>
      <c r="Q26" s="149"/>
      <c r="R26" s="149"/>
      <c r="S26" s="150"/>
      <c r="T26" s="148"/>
      <c r="U26" s="150"/>
      <c r="V26" s="148"/>
      <c r="W26" s="150"/>
      <c r="X26" s="148"/>
      <c r="Y26" s="150"/>
      <c r="Z26" s="148"/>
      <c r="AA26" s="150"/>
      <c r="AB26" s="153"/>
      <c r="AC26" s="153"/>
      <c r="AD26" s="152"/>
      <c r="AE26" s="154"/>
      <c r="AF26" s="149"/>
      <c r="AG26" s="149"/>
      <c r="AH26" s="364" t="s">
        <v>106</v>
      </c>
      <c r="AI26" s="365"/>
      <c r="AJ26" s="365"/>
      <c r="AK26" s="365"/>
      <c r="AL26" s="366"/>
      <c r="AM26" s="367" t="s">
        <v>464</v>
      </c>
      <c r="AN26" s="368"/>
      <c r="AO26" s="369">
        <v>32</v>
      </c>
      <c r="AP26" s="370"/>
      <c r="AQ26" s="369"/>
      <c r="AR26" s="370"/>
      <c r="AS26" s="371">
        <f t="shared" si="0"/>
        <v>132</v>
      </c>
      <c r="AT26" s="372"/>
      <c r="AU26" s="148" t="s">
        <v>465</v>
      </c>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50"/>
      <c r="BR26" s="148"/>
      <c r="BS26" s="149"/>
      <c r="BT26" s="149"/>
      <c r="BU26" s="149"/>
      <c r="BV26" s="149"/>
      <c r="BW26" s="149"/>
      <c r="BX26" s="149"/>
      <c r="BY26" s="149"/>
      <c r="BZ26" s="149"/>
      <c r="CA26" s="149"/>
      <c r="CB26" s="149"/>
      <c r="CC26" s="150"/>
    </row>
    <row r="27" spans="2:81">
      <c r="B27" s="362">
        <f t="shared" ca="1" si="1"/>
        <v>20</v>
      </c>
      <c r="C27" s="363"/>
      <c r="D27" s="148" t="s">
        <v>497</v>
      </c>
      <c r="E27" s="149"/>
      <c r="F27" s="149"/>
      <c r="G27" s="149"/>
      <c r="H27" s="149"/>
      <c r="I27" s="149"/>
      <c r="J27" s="149"/>
      <c r="K27" s="150"/>
      <c r="L27" s="148" t="s">
        <v>498</v>
      </c>
      <c r="M27" s="149"/>
      <c r="N27" s="149"/>
      <c r="O27" s="149"/>
      <c r="P27" s="149"/>
      <c r="Q27" s="149"/>
      <c r="R27" s="149"/>
      <c r="S27" s="150"/>
      <c r="T27" s="148"/>
      <c r="U27" s="150"/>
      <c r="V27" s="148"/>
      <c r="W27" s="150"/>
      <c r="X27" s="148"/>
      <c r="Y27" s="150"/>
      <c r="Z27" s="148"/>
      <c r="AA27" s="150"/>
      <c r="AB27" s="153"/>
      <c r="AC27" s="153"/>
      <c r="AD27" s="152"/>
      <c r="AE27" s="154"/>
      <c r="AF27" s="149"/>
      <c r="AG27" s="149"/>
      <c r="AH27" s="364" t="s">
        <v>106</v>
      </c>
      <c r="AI27" s="365"/>
      <c r="AJ27" s="365"/>
      <c r="AK27" s="365"/>
      <c r="AL27" s="366"/>
      <c r="AM27" s="367" t="s">
        <v>464</v>
      </c>
      <c r="AN27" s="368"/>
      <c r="AO27" s="369">
        <v>32</v>
      </c>
      <c r="AP27" s="370"/>
      <c r="AQ27" s="369"/>
      <c r="AR27" s="370"/>
      <c r="AS27" s="371">
        <f t="shared" si="0"/>
        <v>132</v>
      </c>
      <c r="AT27" s="372"/>
      <c r="AU27" s="148" t="s">
        <v>465</v>
      </c>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50"/>
      <c r="BR27" s="148"/>
      <c r="BS27" s="149"/>
      <c r="BT27" s="149"/>
      <c r="BU27" s="149"/>
      <c r="BV27" s="149"/>
      <c r="BW27" s="149"/>
      <c r="BX27" s="149"/>
      <c r="BY27" s="149"/>
      <c r="BZ27" s="149"/>
      <c r="CA27" s="149"/>
      <c r="CB27" s="149"/>
      <c r="CC27" s="150"/>
    </row>
    <row r="28" spans="2:81">
      <c r="B28" s="362">
        <f t="shared" ca="1" si="1"/>
        <v>21</v>
      </c>
      <c r="C28" s="363"/>
      <c r="D28" s="148" t="s">
        <v>499</v>
      </c>
      <c r="E28" s="155"/>
      <c r="F28" s="149"/>
      <c r="G28" s="149"/>
      <c r="H28" s="149"/>
      <c r="I28" s="149"/>
      <c r="J28" s="149"/>
      <c r="K28" s="150"/>
      <c r="L28" s="148" t="s">
        <v>500</v>
      </c>
      <c r="M28" s="149"/>
      <c r="N28" s="149"/>
      <c r="O28" s="149"/>
      <c r="P28" s="149"/>
      <c r="Q28" s="149"/>
      <c r="R28" s="149"/>
      <c r="S28" s="150"/>
      <c r="T28" s="148"/>
      <c r="U28" s="150"/>
      <c r="V28" s="148"/>
      <c r="W28" s="150"/>
      <c r="X28" s="148"/>
      <c r="Y28" s="150"/>
      <c r="Z28" s="148"/>
      <c r="AA28" s="150"/>
      <c r="AB28" s="153"/>
      <c r="AC28" s="153"/>
      <c r="AD28" s="152"/>
      <c r="AE28" s="154"/>
      <c r="AF28" s="149"/>
      <c r="AG28" s="149"/>
      <c r="AH28" s="364" t="s">
        <v>106</v>
      </c>
      <c r="AI28" s="365"/>
      <c r="AJ28" s="365"/>
      <c r="AK28" s="365"/>
      <c r="AL28" s="366"/>
      <c r="AM28" s="367"/>
      <c r="AN28" s="368"/>
      <c r="AO28" s="369">
        <v>15</v>
      </c>
      <c r="AP28" s="370"/>
      <c r="AQ28" s="369"/>
      <c r="AR28" s="370"/>
      <c r="AS28" s="371">
        <f t="shared" si="0"/>
        <v>16</v>
      </c>
      <c r="AT28" s="372"/>
      <c r="AU28" s="148"/>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50"/>
      <c r="BR28" s="148"/>
      <c r="BS28" s="149"/>
      <c r="BT28" s="149"/>
      <c r="BU28" s="149"/>
      <c r="BV28" s="149"/>
      <c r="BW28" s="149"/>
      <c r="BX28" s="149"/>
      <c r="BY28" s="149"/>
      <c r="BZ28" s="149"/>
      <c r="CA28" s="149"/>
      <c r="CB28" s="149"/>
      <c r="CC28" s="150"/>
    </row>
    <row r="29" spans="2:81">
      <c r="B29" s="362">
        <f t="shared" ca="1" si="1"/>
        <v>22</v>
      </c>
      <c r="C29" s="363"/>
      <c r="D29" s="148" t="s">
        <v>501</v>
      </c>
      <c r="E29" s="149"/>
      <c r="F29" s="149"/>
      <c r="G29" s="149"/>
      <c r="H29" s="149"/>
      <c r="I29" s="149"/>
      <c r="J29" s="149"/>
      <c r="K29" s="150"/>
      <c r="L29" s="148" t="s">
        <v>502</v>
      </c>
      <c r="M29" s="149"/>
      <c r="N29" s="149"/>
      <c r="O29" s="149"/>
      <c r="P29" s="149"/>
      <c r="Q29" s="149"/>
      <c r="R29" s="149"/>
      <c r="S29" s="150"/>
      <c r="T29" s="148"/>
      <c r="U29" s="150"/>
      <c r="V29" s="148"/>
      <c r="W29" s="150"/>
      <c r="X29" s="148"/>
      <c r="Y29" s="150"/>
      <c r="Z29" s="148"/>
      <c r="AA29" s="150"/>
      <c r="AB29" s="153"/>
      <c r="AC29" s="153"/>
      <c r="AD29" s="152"/>
      <c r="AE29" s="154"/>
      <c r="AF29" s="149"/>
      <c r="AG29" s="149"/>
      <c r="AH29" s="364" t="s">
        <v>106</v>
      </c>
      <c r="AI29" s="365"/>
      <c r="AJ29" s="365"/>
      <c r="AK29" s="365"/>
      <c r="AL29" s="366"/>
      <c r="AM29" s="367"/>
      <c r="AN29" s="368"/>
      <c r="AO29" s="369">
        <v>15</v>
      </c>
      <c r="AP29" s="370"/>
      <c r="AQ29" s="369"/>
      <c r="AR29" s="370"/>
      <c r="AS29" s="371">
        <f t="shared" si="0"/>
        <v>16</v>
      </c>
      <c r="AT29" s="372"/>
      <c r="AU29" s="148"/>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50"/>
      <c r="BR29" s="148"/>
      <c r="BS29" s="149"/>
      <c r="BT29" s="149"/>
      <c r="BU29" s="149"/>
      <c r="BV29" s="149"/>
      <c r="BW29" s="149"/>
      <c r="BX29" s="149"/>
      <c r="BY29" s="149"/>
      <c r="BZ29" s="149"/>
      <c r="CA29" s="149"/>
      <c r="CB29" s="149"/>
      <c r="CC29" s="150"/>
    </row>
    <row r="30" spans="2:81">
      <c r="B30" s="362">
        <f t="shared" ca="1" si="1"/>
        <v>23</v>
      </c>
      <c r="C30" s="363"/>
      <c r="D30" s="148" t="s">
        <v>503</v>
      </c>
      <c r="E30" s="149"/>
      <c r="F30" s="149"/>
      <c r="G30" s="149"/>
      <c r="H30" s="149"/>
      <c r="I30" s="149"/>
      <c r="J30" s="149"/>
      <c r="K30" s="150"/>
      <c r="L30" s="148" t="s">
        <v>86</v>
      </c>
      <c r="M30" s="149"/>
      <c r="N30" s="149"/>
      <c r="O30" s="149"/>
      <c r="P30" s="149"/>
      <c r="Q30" s="149"/>
      <c r="R30" s="149"/>
      <c r="S30" s="150"/>
      <c r="T30" s="148"/>
      <c r="U30" s="150"/>
      <c r="V30" s="148"/>
      <c r="W30" s="150"/>
      <c r="X30" s="148"/>
      <c r="Y30" s="150"/>
      <c r="Z30" s="148"/>
      <c r="AA30" s="150"/>
      <c r="AB30" s="153"/>
      <c r="AC30" s="153"/>
      <c r="AD30" s="152"/>
      <c r="AE30" s="154"/>
      <c r="AF30" s="149"/>
      <c r="AG30" s="149"/>
      <c r="AH30" s="364" t="s">
        <v>459</v>
      </c>
      <c r="AI30" s="365"/>
      <c r="AJ30" s="365"/>
      <c r="AK30" s="365"/>
      <c r="AL30" s="366"/>
      <c r="AM30" s="367"/>
      <c r="AN30" s="368"/>
      <c r="AO30" s="369"/>
      <c r="AP30" s="370"/>
      <c r="AQ30" s="369"/>
      <c r="AR30" s="370"/>
      <c r="AS30" s="371">
        <f t="shared" si="0"/>
        <v>8</v>
      </c>
      <c r="AT30" s="372"/>
      <c r="AU30" s="148"/>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50"/>
      <c r="BR30" s="148"/>
      <c r="BS30" s="149"/>
      <c r="BT30" s="149"/>
      <c r="BU30" s="149"/>
      <c r="BV30" s="149"/>
      <c r="BW30" s="149"/>
      <c r="BX30" s="149"/>
      <c r="BY30" s="149"/>
      <c r="BZ30" s="149"/>
      <c r="CA30" s="149"/>
      <c r="CB30" s="149"/>
      <c r="CC30" s="150"/>
    </row>
    <row r="31" spans="2:81">
      <c r="B31" s="362">
        <f t="shared" ca="1" si="1"/>
        <v>24</v>
      </c>
      <c r="C31" s="363"/>
      <c r="D31" s="148" t="s">
        <v>504</v>
      </c>
      <c r="E31" s="149"/>
      <c r="F31" s="149"/>
      <c r="G31" s="149"/>
      <c r="H31" s="149"/>
      <c r="I31" s="149"/>
      <c r="J31" s="149"/>
      <c r="K31" s="150"/>
      <c r="L31" s="148" t="s">
        <v>88</v>
      </c>
      <c r="M31" s="149"/>
      <c r="N31" s="149"/>
      <c r="O31" s="149"/>
      <c r="P31" s="149"/>
      <c r="Q31" s="149"/>
      <c r="R31" s="149"/>
      <c r="S31" s="150"/>
      <c r="T31" s="148"/>
      <c r="U31" s="150"/>
      <c r="V31" s="148"/>
      <c r="W31" s="150"/>
      <c r="X31" s="148"/>
      <c r="Y31" s="150"/>
      <c r="Z31" s="148"/>
      <c r="AA31" s="150"/>
      <c r="AB31" s="153" t="s">
        <v>104</v>
      </c>
      <c r="AC31" s="153"/>
      <c r="AD31" s="152"/>
      <c r="AE31" s="154"/>
      <c r="AF31" s="149"/>
      <c r="AG31" s="149"/>
      <c r="AH31" s="364" t="s">
        <v>459</v>
      </c>
      <c r="AI31" s="365"/>
      <c r="AJ31" s="365"/>
      <c r="AK31" s="365"/>
      <c r="AL31" s="366"/>
      <c r="AM31" s="367"/>
      <c r="AN31" s="368"/>
      <c r="AO31" s="369"/>
      <c r="AP31" s="370"/>
      <c r="AQ31" s="369"/>
      <c r="AR31" s="370"/>
      <c r="AS31" s="371">
        <f t="shared" si="0"/>
        <v>8</v>
      </c>
      <c r="AT31" s="372"/>
      <c r="AU31" s="148"/>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50"/>
      <c r="BR31" s="148"/>
      <c r="BS31" s="149"/>
      <c r="BT31" s="149"/>
      <c r="BU31" s="149"/>
      <c r="BV31" s="149"/>
      <c r="BW31" s="149"/>
      <c r="BX31" s="149"/>
      <c r="BY31" s="149"/>
      <c r="BZ31" s="149"/>
      <c r="CA31" s="149"/>
      <c r="CB31" s="149"/>
      <c r="CC31" s="150"/>
    </row>
    <row r="32" spans="2:81">
      <c r="B32" s="362">
        <f t="shared" ca="1" si="1"/>
        <v>25</v>
      </c>
      <c r="C32" s="363"/>
      <c r="D32" s="148" t="s">
        <v>505</v>
      </c>
      <c r="E32" s="149"/>
      <c r="F32" s="149"/>
      <c r="G32" s="149"/>
      <c r="H32" s="149"/>
      <c r="I32" s="149"/>
      <c r="J32" s="149"/>
      <c r="K32" s="150"/>
      <c r="L32" s="148" t="s">
        <v>90</v>
      </c>
      <c r="M32" s="149"/>
      <c r="N32" s="149"/>
      <c r="O32" s="149"/>
      <c r="P32" s="149"/>
      <c r="Q32" s="149"/>
      <c r="R32" s="149"/>
      <c r="S32" s="150"/>
      <c r="T32" s="148"/>
      <c r="U32" s="150"/>
      <c r="V32" s="148"/>
      <c r="W32" s="150"/>
      <c r="X32" s="148"/>
      <c r="Y32" s="150"/>
      <c r="Z32" s="148"/>
      <c r="AA32" s="150"/>
      <c r="AB32" s="153" t="s">
        <v>104</v>
      </c>
      <c r="AC32" s="153"/>
      <c r="AD32" s="152"/>
      <c r="AE32" s="154"/>
      <c r="AF32" s="149"/>
      <c r="AG32" s="149"/>
      <c r="AH32" s="364" t="s">
        <v>106</v>
      </c>
      <c r="AI32" s="365"/>
      <c r="AJ32" s="365"/>
      <c r="AK32" s="365"/>
      <c r="AL32" s="366"/>
      <c r="AM32" s="367"/>
      <c r="AN32" s="368"/>
      <c r="AO32" s="369">
        <v>20</v>
      </c>
      <c r="AP32" s="370"/>
      <c r="AQ32" s="369"/>
      <c r="AR32" s="370"/>
      <c r="AS32" s="371">
        <f t="shared" si="0"/>
        <v>21</v>
      </c>
      <c r="AT32" s="372"/>
      <c r="AU32" s="148"/>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50"/>
      <c r="BR32" s="148"/>
      <c r="BS32" s="149"/>
      <c r="BT32" s="149"/>
      <c r="BU32" s="149"/>
      <c r="BV32" s="149"/>
      <c r="BW32" s="149"/>
      <c r="BX32" s="149"/>
      <c r="BY32" s="149"/>
      <c r="BZ32" s="149"/>
      <c r="CA32" s="149"/>
      <c r="CB32" s="149"/>
      <c r="CC32" s="150"/>
    </row>
    <row r="33" spans="2:81">
      <c r="B33" s="362">
        <f t="shared" ca="1" si="1"/>
        <v>26</v>
      </c>
      <c r="C33" s="363"/>
      <c r="D33" s="148" t="s">
        <v>506</v>
      </c>
      <c r="E33" s="149"/>
      <c r="F33" s="149"/>
      <c r="G33" s="149"/>
      <c r="H33" s="149"/>
      <c r="I33" s="149"/>
      <c r="J33" s="149"/>
      <c r="K33" s="150"/>
      <c r="L33" s="148" t="s">
        <v>159</v>
      </c>
      <c r="M33" s="149"/>
      <c r="N33" s="149"/>
      <c r="O33" s="149"/>
      <c r="P33" s="149"/>
      <c r="Q33" s="149"/>
      <c r="R33" s="149"/>
      <c r="S33" s="150"/>
      <c r="T33" s="148"/>
      <c r="U33" s="150"/>
      <c r="V33" s="148"/>
      <c r="W33" s="150"/>
      <c r="X33" s="148"/>
      <c r="Y33" s="150"/>
      <c r="Z33" s="148"/>
      <c r="AA33" s="150"/>
      <c r="AB33" s="153" t="s">
        <v>104</v>
      </c>
      <c r="AC33" s="153"/>
      <c r="AD33" s="152"/>
      <c r="AE33" s="154"/>
      <c r="AF33" s="149"/>
      <c r="AG33" s="149"/>
      <c r="AH33" s="364" t="s">
        <v>106</v>
      </c>
      <c r="AI33" s="365"/>
      <c r="AJ33" s="365"/>
      <c r="AK33" s="365"/>
      <c r="AL33" s="366"/>
      <c r="AM33" s="367"/>
      <c r="AN33" s="368"/>
      <c r="AO33" s="369">
        <v>8</v>
      </c>
      <c r="AP33" s="370"/>
      <c r="AQ33" s="369"/>
      <c r="AR33" s="370"/>
      <c r="AS33" s="371">
        <f t="shared" si="0"/>
        <v>9</v>
      </c>
      <c r="AT33" s="372"/>
      <c r="AU33" s="148"/>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50"/>
      <c r="BR33" s="148"/>
      <c r="BS33" s="149"/>
      <c r="BT33" s="149"/>
      <c r="BU33" s="149"/>
      <c r="BV33" s="149"/>
      <c r="BW33" s="149"/>
      <c r="BX33" s="149"/>
      <c r="BY33" s="149"/>
      <c r="BZ33" s="149"/>
      <c r="CA33" s="149"/>
      <c r="CB33" s="149"/>
      <c r="CC33" s="150"/>
    </row>
    <row r="34" spans="2:81">
      <c r="B34" s="362">
        <f t="shared" ca="1" si="1"/>
        <v>27</v>
      </c>
      <c r="C34" s="363"/>
      <c r="D34" s="148" t="s">
        <v>507</v>
      </c>
      <c r="E34" s="149"/>
      <c r="F34" s="149"/>
      <c r="G34" s="149"/>
      <c r="H34" s="149"/>
      <c r="I34" s="149"/>
      <c r="J34" s="149"/>
      <c r="K34" s="150"/>
      <c r="L34" s="148" t="s">
        <v>94</v>
      </c>
      <c r="M34" s="149"/>
      <c r="N34" s="149"/>
      <c r="O34" s="149"/>
      <c r="P34" s="149"/>
      <c r="Q34" s="149"/>
      <c r="R34" s="149"/>
      <c r="S34" s="150"/>
      <c r="T34" s="148"/>
      <c r="U34" s="150"/>
      <c r="V34" s="148"/>
      <c r="W34" s="150"/>
      <c r="X34" s="148"/>
      <c r="Y34" s="150"/>
      <c r="Z34" s="148"/>
      <c r="AA34" s="150"/>
      <c r="AB34" s="153" t="s">
        <v>104</v>
      </c>
      <c r="AC34" s="153"/>
      <c r="AD34" s="152"/>
      <c r="AE34" s="154"/>
      <c r="AF34" s="149"/>
      <c r="AG34" s="149"/>
      <c r="AH34" s="364" t="s">
        <v>106</v>
      </c>
      <c r="AI34" s="365"/>
      <c r="AJ34" s="365"/>
      <c r="AK34" s="365"/>
      <c r="AL34" s="366"/>
      <c r="AM34" s="367"/>
      <c r="AN34" s="368"/>
      <c r="AO34" s="369">
        <v>15</v>
      </c>
      <c r="AP34" s="370"/>
      <c r="AQ34" s="369"/>
      <c r="AR34" s="370"/>
      <c r="AS34" s="371">
        <f t="shared" si="0"/>
        <v>16</v>
      </c>
      <c r="AT34" s="372"/>
      <c r="AU34" s="148"/>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50"/>
      <c r="BR34" s="148"/>
      <c r="BS34" s="149"/>
      <c r="BT34" s="149"/>
      <c r="BU34" s="149"/>
      <c r="BV34" s="149"/>
      <c r="BW34" s="149"/>
      <c r="BX34" s="149"/>
      <c r="BY34" s="149"/>
      <c r="BZ34" s="149"/>
      <c r="CA34" s="149"/>
      <c r="CB34" s="149"/>
      <c r="CC34" s="150"/>
    </row>
    <row r="35" spans="2:81">
      <c r="B35" s="362">
        <f t="shared" ca="1" si="1"/>
        <v>28</v>
      </c>
      <c r="C35" s="363"/>
      <c r="D35" s="148" t="s">
        <v>508</v>
      </c>
      <c r="E35" s="149"/>
      <c r="F35" s="149"/>
      <c r="G35" s="149"/>
      <c r="H35" s="149"/>
      <c r="I35" s="149"/>
      <c r="J35" s="149"/>
      <c r="K35" s="150"/>
      <c r="L35" s="148" t="s">
        <v>96</v>
      </c>
      <c r="M35" s="149"/>
      <c r="N35" s="149"/>
      <c r="O35" s="149"/>
      <c r="P35" s="149"/>
      <c r="Q35" s="149"/>
      <c r="R35" s="149"/>
      <c r="S35" s="150"/>
      <c r="T35" s="148"/>
      <c r="U35" s="150"/>
      <c r="V35" s="148"/>
      <c r="W35" s="150"/>
      <c r="X35" s="148"/>
      <c r="Y35" s="150"/>
      <c r="Z35" s="148"/>
      <c r="AA35" s="150"/>
      <c r="AB35" s="153" t="s">
        <v>104</v>
      </c>
      <c r="AC35" s="153"/>
      <c r="AD35" s="152"/>
      <c r="AE35" s="154"/>
      <c r="AF35" s="149"/>
      <c r="AG35" s="149"/>
      <c r="AH35" s="364" t="s">
        <v>459</v>
      </c>
      <c r="AI35" s="365"/>
      <c r="AJ35" s="365"/>
      <c r="AK35" s="365"/>
      <c r="AL35" s="366"/>
      <c r="AM35" s="367"/>
      <c r="AN35" s="368"/>
      <c r="AO35" s="369"/>
      <c r="AP35" s="370"/>
      <c r="AQ35" s="369"/>
      <c r="AR35" s="370"/>
      <c r="AS35" s="371">
        <f t="shared" si="0"/>
        <v>8</v>
      </c>
      <c r="AT35" s="372"/>
      <c r="AU35" s="148"/>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50"/>
      <c r="BR35" s="148"/>
      <c r="BS35" s="149"/>
      <c r="BT35" s="149"/>
      <c r="BU35" s="149"/>
      <c r="BV35" s="149"/>
      <c r="BW35" s="149"/>
      <c r="BX35" s="149"/>
      <c r="BY35" s="149"/>
      <c r="BZ35" s="149"/>
      <c r="CA35" s="149"/>
      <c r="CB35" s="149"/>
      <c r="CC35" s="150"/>
    </row>
    <row r="36" spans="2:81">
      <c r="B36" s="362">
        <f t="shared" ca="1" si="1"/>
        <v>29</v>
      </c>
      <c r="C36" s="363"/>
      <c r="D36" s="148" t="s">
        <v>509</v>
      </c>
      <c r="E36" s="149"/>
      <c r="F36" s="149"/>
      <c r="G36" s="149"/>
      <c r="H36" s="149"/>
      <c r="I36" s="149"/>
      <c r="J36" s="149"/>
      <c r="K36" s="150"/>
      <c r="L36" s="148" t="s">
        <v>155</v>
      </c>
      <c r="M36" s="149"/>
      <c r="N36" s="149"/>
      <c r="O36" s="149"/>
      <c r="P36" s="149"/>
      <c r="Q36" s="149"/>
      <c r="R36" s="149"/>
      <c r="S36" s="150"/>
      <c r="T36" s="148"/>
      <c r="U36" s="150"/>
      <c r="V36" s="148"/>
      <c r="W36" s="150"/>
      <c r="X36" s="148"/>
      <c r="Y36" s="150"/>
      <c r="Z36" s="148"/>
      <c r="AA36" s="150"/>
      <c r="AB36" s="153" t="s">
        <v>104</v>
      </c>
      <c r="AC36" s="153"/>
      <c r="AD36" s="152"/>
      <c r="AE36" s="154"/>
      <c r="AF36" s="149"/>
      <c r="AG36" s="149"/>
      <c r="AH36" s="364" t="s">
        <v>106</v>
      </c>
      <c r="AI36" s="365"/>
      <c r="AJ36" s="365"/>
      <c r="AK36" s="365"/>
      <c r="AL36" s="366"/>
      <c r="AM36" s="367"/>
      <c r="AN36" s="368"/>
      <c r="AO36" s="369">
        <v>20</v>
      </c>
      <c r="AP36" s="370"/>
      <c r="AQ36" s="369"/>
      <c r="AR36" s="370"/>
      <c r="AS36" s="371">
        <f t="shared" si="0"/>
        <v>21</v>
      </c>
      <c r="AT36" s="372"/>
      <c r="AU36" s="148"/>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50"/>
      <c r="BR36" s="148"/>
      <c r="BS36" s="149"/>
      <c r="BT36" s="149"/>
      <c r="BU36" s="149"/>
      <c r="BV36" s="149"/>
      <c r="BW36" s="149"/>
      <c r="BX36" s="149"/>
      <c r="BY36" s="149"/>
      <c r="BZ36" s="149"/>
      <c r="CA36" s="149"/>
      <c r="CB36" s="149"/>
      <c r="CC36" s="150"/>
    </row>
    <row r="37" spans="2:81">
      <c r="B37" s="362">
        <f t="shared" ca="1" si="1"/>
        <v>30</v>
      </c>
      <c r="C37" s="363"/>
      <c r="D37" s="148" t="s">
        <v>510</v>
      </c>
      <c r="E37" s="149"/>
      <c r="F37" s="149"/>
      <c r="G37" s="149"/>
      <c r="H37" s="149"/>
      <c r="I37" s="149"/>
      <c r="J37" s="149"/>
      <c r="K37" s="150"/>
      <c r="L37" s="148" t="s">
        <v>98</v>
      </c>
      <c r="M37" s="149"/>
      <c r="N37" s="149"/>
      <c r="O37" s="149"/>
      <c r="P37" s="149"/>
      <c r="Q37" s="149"/>
      <c r="R37" s="149"/>
      <c r="S37" s="150"/>
      <c r="T37" s="148"/>
      <c r="U37" s="150"/>
      <c r="V37" s="148"/>
      <c r="W37" s="150"/>
      <c r="X37" s="148"/>
      <c r="Y37" s="150"/>
      <c r="Z37" s="148"/>
      <c r="AA37" s="150"/>
      <c r="AB37" s="153" t="s">
        <v>104</v>
      </c>
      <c r="AC37" s="153"/>
      <c r="AD37" s="152"/>
      <c r="AE37" s="154"/>
      <c r="AF37" s="149"/>
      <c r="AG37" s="149"/>
      <c r="AH37" s="364" t="s">
        <v>106</v>
      </c>
      <c r="AI37" s="365"/>
      <c r="AJ37" s="365"/>
      <c r="AK37" s="365"/>
      <c r="AL37" s="366"/>
      <c r="AM37" s="367"/>
      <c r="AN37" s="368"/>
      <c r="AO37" s="369">
        <v>8</v>
      </c>
      <c r="AP37" s="370"/>
      <c r="AQ37" s="369"/>
      <c r="AR37" s="370"/>
      <c r="AS37" s="371">
        <f t="shared" si="0"/>
        <v>9</v>
      </c>
      <c r="AT37" s="372"/>
      <c r="AU37" s="148"/>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50"/>
      <c r="BR37" s="148"/>
      <c r="BS37" s="149"/>
      <c r="BT37" s="149"/>
      <c r="BU37" s="149"/>
      <c r="BV37" s="149"/>
      <c r="BW37" s="149"/>
      <c r="BX37" s="149"/>
      <c r="BY37" s="149"/>
      <c r="BZ37" s="149"/>
      <c r="CA37" s="149"/>
      <c r="CB37" s="149"/>
      <c r="CC37" s="150"/>
    </row>
    <row r="38" spans="2:81">
      <c r="B38" s="362">
        <f t="shared" ca="1" si="1"/>
        <v>31</v>
      </c>
      <c r="C38" s="363"/>
      <c r="D38" s="148" t="s">
        <v>511</v>
      </c>
      <c r="E38" s="149"/>
      <c r="F38" s="149"/>
      <c r="G38" s="149"/>
      <c r="H38" s="149"/>
      <c r="I38" s="149"/>
      <c r="J38" s="149"/>
      <c r="K38" s="150"/>
      <c r="L38" s="148" t="s">
        <v>100</v>
      </c>
      <c r="M38" s="149"/>
      <c r="N38" s="149"/>
      <c r="O38" s="149"/>
      <c r="P38" s="149"/>
      <c r="Q38" s="149"/>
      <c r="R38" s="149"/>
      <c r="S38" s="150"/>
      <c r="T38" s="148"/>
      <c r="U38" s="150"/>
      <c r="V38" s="148"/>
      <c r="W38" s="150"/>
      <c r="X38" s="148"/>
      <c r="Y38" s="150"/>
      <c r="Z38" s="148"/>
      <c r="AA38" s="150"/>
      <c r="AB38" s="153" t="s">
        <v>104</v>
      </c>
      <c r="AC38" s="153"/>
      <c r="AD38" s="152"/>
      <c r="AE38" s="154"/>
      <c r="AF38" s="149"/>
      <c r="AG38" s="149"/>
      <c r="AH38" s="364" t="s">
        <v>106</v>
      </c>
      <c r="AI38" s="365"/>
      <c r="AJ38" s="365"/>
      <c r="AK38" s="365"/>
      <c r="AL38" s="366"/>
      <c r="AM38" s="367"/>
      <c r="AN38" s="368"/>
      <c r="AO38" s="369">
        <v>15</v>
      </c>
      <c r="AP38" s="370"/>
      <c r="AQ38" s="369"/>
      <c r="AR38" s="370"/>
      <c r="AS38" s="371">
        <f t="shared" si="0"/>
        <v>16</v>
      </c>
      <c r="AT38" s="372"/>
      <c r="AU38" s="148"/>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50"/>
      <c r="BR38" s="148"/>
      <c r="BS38" s="149"/>
      <c r="BT38" s="149"/>
      <c r="BU38" s="149"/>
      <c r="BV38" s="149"/>
      <c r="BW38" s="149"/>
      <c r="BX38" s="149"/>
      <c r="BY38" s="149"/>
      <c r="BZ38" s="149"/>
      <c r="CA38" s="149"/>
      <c r="CB38" s="149"/>
      <c r="CC38" s="150"/>
    </row>
    <row r="39" spans="2:81">
      <c r="B39" s="362" t="str">
        <f t="shared" ca="1" si="1"/>
        <v/>
      </c>
      <c r="C39" s="363"/>
      <c r="D39" s="148"/>
      <c r="E39" s="149"/>
      <c r="F39" s="149"/>
      <c r="G39" s="149"/>
      <c r="H39" s="149"/>
      <c r="I39" s="149"/>
      <c r="J39" s="149"/>
      <c r="K39" s="150"/>
      <c r="L39" s="148"/>
      <c r="M39" s="149"/>
      <c r="N39" s="149"/>
      <c r="O39" s="149"/>
      <c r="P39" s="149"/>
      <c r="Q39" s="149"/>
      <c r="R39" s="149"/>
      <c r="S39" s="150"/>
      <c r="T39" s="148"/>
      <c r="U39" s="150"/>
      <c r="V39" s="148"/>
      <c r="W39" s="150"/>
      <c r="X39" s="148"/>
      <c r="Y39" s="150"/>
      <c r="Z39" s="148"/>
      <c r="AA39" s="150"/>
      <c r="AB39" s="153"/>
      <c r="AC39" s="153"/>
      <c r="AD39" s="152"/>
      <c r="AE39" s="154"/>
      <c r="AF39" s="149"/>
      <c r="AG39" s="149"/>
      <c r="AH39" s="364"/>
      <c r="AI39" s="365"/>
      <c r="AJ39" s="365"/>
      <c r="AK39" s="365"/>
      <c r="AL39" s="366"/>
      <c r="AM39" s="367"/>
      <c r="AN39" s="368"/>
      <c r="AO39" s="369"/>
      <c r="AP39" s="370"/>
      <c r="AQ39" s="369"/>
      <c r="AR39" s="370"/>
      <c r="AS39" s="371"/>
      <c r="AT39" s="372"/>
      <c r="AU39" s="148"/>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50"/>
      <c r="BR39" s="148"/>
      <c r="BS39" s="149"/>
      <c r="BT39" s="149"/>
      <c r="BU39" s="149"/>
      <c r="BV39" s="149"/>
      <c r="BW39" s="149"/>
      <c r="BX39" s="149"/>
      <c r="BY39" s="149"/>
      <c r="BZ39" s="149"/>
      <c r="CA39" s="149"/>
      <c r="CB39" s="149"/>
      <c r="CC39" s="150"/>
    </row>
    <row r="40" spans="2:81">
      <c r="B40" s="362" t="str">
        <f t="shared" ca="1" si="1"/>
        <v/>
      </c>
      <c r="C40" s="363"/>
      <c r="D40" s="148"/>
      <c r="E40" s="155"/>
      <c r="F40" s="149"/>
      <c r="G40" s="149"/>
      <c r="H40" s="149"/>
      <c r="I40" s="149"/>
      <c r="J40" s="149"/>
      <c r="K40" s="150"/>
      <c r="L40" s="148"/>
      <c r="M40" s="149"/>
      <c r="N40" s="149"/>
      <c r="O40" s="149"/>
      <c r="P40" s="149"/>
      <c r="Q40" s="149"/>
      <c r="R40" s="149"/>
      <c r="S40" s="150"/>
      <c r="T40" s="148"/>
      <c r="U40" s="150"/>
      <c r="V40" s="148"/>
      <c r="W40" s="150"/>
      <c r="X40" s="148"/>
      <c r="Y40" s="150"/>
      <c r="Z40" s="148"/>
      <c r="AA40" s="150"/>
      <c r="AB40" s="153"/>
      <c r="AC40" s="153"/>
      <c r="AD40" s="152"/>
      <c r="AE40" s="154"/>
      <c r="AF40" s="149"/>
      <c r="AG40" s="149"/>
      <c r="AH40" s="364"/>
      <c r="AI40" s="365"/>
      <c r="AJ40" s="365"/>
      <c r="AK40" s="365"/>
      <c r="AL40" s="366"/>
      <c r="AM40" s="367"/>
      <c r="AN40" s="368"/>
      <c r="AO40" s="369"/>
      <c r="AP40" s="370"/>
      <c r="AQ40" s="369"/>
      <c r="AR40" s="370"/>
      <c r="AS40" s="371"/>
      <c r="AT40" s="372"/>
      <c r="AU40" s="148"/>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50"/>
      <c r="BR40" s="148"/>
      <c r="BS40" s="149"/>
      <c r="BT40" s="149"/>
      <c r="BU40" s="149"/>
      <c r="BV40" s="149"/>
      <c r="BW40" s="149"/>
      <c r="BX40" s="149"/>
      <c r="BY40" s="149"/>
      <c r="BZ40" s="149"/>
      <c r="CA40" s="149"/>
      <c r="CB40" s="149"/>
      <c r="CC40" s="150"/>
    </row>
    <row r="41" spans="2:81">
      <c r="B41" s="362" t="str">
        <f t="shared" ca="1" si="1"/>
        <v/>
      </c>
      <c r="C41" s="363"/>
      <c r="D41" s="148"/>
      <c r="E41" s="155"/>
      <c r="F41" s="149"/>
      <c r="G41" s="149"/>
      <c r="H41" s="149"/>
      <c r="I41" s="149"/>
      <c r="J41" s="149"/>
      <c r="K41" s="150"/>
      <c r="L41" s="148"/>
      <c r="M41" s="149"/>
      <c r="N41" s="149"/>
      <c r="O41" s="149"/>
      <c r="P41" s="149"/>
      <c r="Q41" s="149"/>
      <c r="R41" s="149"/>
      <c r="S41" s="150"/>
      <c r="T41" s="148"/>
      <c r="U41" s="150"/>
      <c r="V41" s="148"/>
      <c r="W41" s="150"/>
      <c r="X41" s="148"/>
      <c r="Y41" s="150"/>
      <c r="Z41" s="148"/>
      <c r="AA41" s="150"/>
      <c r="AB41" s="153"/>
      <c r="AC41" s="153"/>
      <c r="AD41" s="152"/>
      <c r="AE41" s="154"/>
      <c r="AF41" s="149"/>
      <c r="AG41" s="149"/>
      <c r="AH41" s="364"/>
      <c r="AI41" s="365"/>
      <c r="AJ41" s="365"/>
      <c r="AK41" s="365"/>
      <c r="AL41" s="366"/>
      <c r="AM41" s="367"/>
      <c r="AN41" s="368"/>
      <c r="AO41" s="369"/>
      <c r="AP41" s="370"/>
      <c r="AQ41" s="369"/>
      <c r="AR41" s="370"/>
      <c r="AS41" s="371"/>
      <c r="AT41" s="372"/>
      <c r="AU41" s="148"/>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50"/>
      <c r="BR41" s="148"/>
      <c r="BS41" s="149"/>
      <c r="BT41" s="149"/>
      <c r="BU41" s="149"/>
      <c r="BV41" s="149"/>
      <c r="BW41" s="149"/>
      <c r="BX41" s="149"/>
      <c r="BY41" s="149"/>
      <c r="BZ41" s="149"/>
      <c r="CA41" s="149"/>
      <c r="CB41" s="149"/>
      <c r="CC41" s="150"/>
    </row>
    <row r="42" spans="2:81">
      <c r="B42" s="362" t="str">
        <f t="shared" ca="1" si="1"/>
        <v/>
      </c>
      <c r="C42" s="363"/>
      <c r="D42" s="148"/>
      <c r="E42" s="149"/>
      <c r="F42" s="149"/>
      <c r="G42" s="149"/>
      <c r="H42" s="149"/>
      <c r="I42" s="149"/>
      <c r="J42" s="149"/>
      <c r="K42" s="150"/>
      <c r="L42" s="148"/>
      <c r="M42" s="149"/>
      <c r="N42" s="149"/>
      <c r="O42" s="149"/>
      <c r="P42" s="149"/>
      <c r="Q42" s="149"/>
      <c r="R42" s="149"/>
      <c r="S42" s="150"/>
      <c r="T42" s="148"/>
      <c r="U42" s="150"/>
      <c r="V42" s="148"/>
      <c r="W42" s="150"/>
      <c r="X42" s="148"/>
      <c r="Y42" s="150"/>
      <c r="Z42" s="148"/>
      <c r="AA42" s="150"/>
      <c r="AB42" s="153"/>
      <c r="AC42" s="153"/>
      <c r="AD42" s="152"/>
      <c r="AE42" s="154"/>
      <c r="AF42" s="149"/>
      <c r="AG42" s="149"/>
      <c r="AH42" s="364"/>
      <c r="AI42" s="365"/>
      <c r="AJ42" s="365"/>
      <c r="AK42" s="365"/>
      <c r="AL42" s="366"/>
      <c r="AM42" s="367"/>
      <c r="AN42" s="368"/>
      <c r="AO42" s="369"/>
      <c r="AP42" s="370"/>
      <c r="AQ42" s="369"/>
      <c r="AR42" s="370"/>
      <c r="AS42" s="371"/>
      <c r="AT42" s="372"/>
      <c r="AU42" s="148"/>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50"/>
      <c r="BR42" s="148"/>
      <c r="BS42" s="149"/>
      <c r="BT42" s="149"/>
      <c r="BU42" s="149"/>
      <c r="BV42" s="149"/>
      <c r="BW42" s="149"/>
      <c r="BX42" s="149"/>
      <c r="BY42" s="149"/>
      <c r="BZ42" s="149"/>
      <c r="CA42" s="149"/>
      <c r="CB42" s="149"/>
      <c r="CC42" s="150"/>
    </row>
    <row r="43" spans="2:81">
      <c r="B43" s="362" t="str">
        <f t="shared" ca="1" si="1"/>
        <v/>
      </c>
      <c r="C43" s="363"/>
      <c r="D43" s="148"/>
      <c r="E43" s="149"/>
      <c r="F43" s="149"/>
      <c r="G43" s="149"/>
      <c r="H43" s="149"/>
      <c r="I43" s="149"/>
      <c r="J43" s="149"/>
      <c r="K43" s="150"/>
      <c r="L43" s="148"/>
      <c r="M43" s="149"/>
      <c r="N43" s="149"/>
      <c r="O43" s="149"/>
      <c r="P43" s="149"/>
      <c r="Q43" s="149"/>
      <c r="R43" s="149"/>
      <c r="S43" s="150"/>
      <c r="T43" s="148"/>
      <c r="U43" s="150"/>
      <c r="V43" s="148"/>
      <c r="W43" s="150"/>
      <c r="X43" s="148"/>
      <c r="Y43" s="150"/>
      <c r="Z43" s="148"/>
      <c r="AA43" s="150"/>
      <c r="AB43" s="153"/>
      <c r="AC43" s="153"/>
      <c r="AD43" s="152"/>
      <c r="AE43" s="154"/>
      <c r="AF43" s="149"/>
      <c r="AG43" s="149"/>
      <c r="AH43" s="364"/>
      <c r="AI43" s="365"/>
      <c r="AJ43" s="365"/>
      <c r="AK43" s="365"/>
      <c r="AL43" s="366"/>
      <c r="AM43" s="367"/>
      <c r="AN43" s="368"/>
      <c r="AO43" s="369"/>
      <c r="AP43" s="370"/>
      <c r="AQ43" s="369"/>
      <c r="AR43" s="370"/>
      <c r="AS43" s="371"/>
      <c r="AT43" s="372"/>
      <c r="AU43" s="148"/>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50"/>
      <c r="BR43" s="148"/>
      <c r="BS43" s="149"/>
      <c r="BT43" s="149"/>
      <c r="BU43" s="149"/>
      <c r="BV43" s="149"/>
      <c r="BW43" s="149"/>
      <c r="BX43" s="149"/>
      <c r="BY43" s="149"/>
      <c r="BZ43" s="149"/>
      <c r="CA43" s="149"/>
      <c r="CB43" s="149"/>
      <c r="CC43" s="150"/>
    </row>
    <row r="44" spans="2:81">
      <c r="B44" s="362" t="str">
        <f t="shared" ca="1" si="1"/>
        <v/>
      </c>
      <c r="C44" s="363"/>
      <c r="D44" s="148"/>
      <c r="E44" s="149"/>
      <c r="F44" s="149"/>
      <c r="G44" s="149"/>
      <c r="H44" s="149"/>
      <c r="I44" s="149"/>
      <c r="J44" s="149"/>
      <c r="K44" s="150"/>
      <c r="L44" s="148"/>
      <c r="M44" s="149"/>
      <c r="N44" s="149"/>
      <c r="O44" s="149"/>
      <c r="P44" s="149"/>
      <c r="Q44" s="149"/>
      <c r="R44" s="149"/>
      <c r="S44" s="150"/>
      <c r="T44" s="148"/>
      <c r="U44" s="150"/>
      <c r="V44" s="148"/>
      <c r="W44" s="150"/>
      <c r="X44" s="148"/>
      <c r="Y44" s="150"/>
      <c r="Z44" s="148"/>
      <c r="AA44" s="150"/>
      <c r="AB44" s="153"/>
      <c r="AC44" s="153"/>
      <c r="AD44" s="152"/>
      <c r="AE44" s="154"/>
      <c r="AF44" s="149"/>
      <c r="AG44" s="149"/>
      <c r="AH44" s="364"/>
      <c r="AI44" s="365"/>
      <c r="AJ44" s="365"/>
      <c r="AK44" s="365"/>
      <c r="AL44" s="366"/>
      <c r="AM44" s="367"/>
      <c r="AN44" s="368"/>
      <c r="AO44" s="369"/>
      <c r="AP44" s="370"/>
      <c r="AQ44" s="369"/>
      <c r="AR44" s="370"/>
      <c r="AS44" s="371"/>
      <c r="AT44" s="372"/>
      <c r="AU44" s="148"/>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50"/>
      <c r="BR44" s="148"/>
      <c r="BS44" s="149"/>
      <c r="BT44" s="149"/>
      <c r="BU44" s="149"/>
      <c r="BV44" s="149"/>
      <c r="BW44" s="149"/>
      <c r="BX44" s="149"/>
      <c r="BY44" s="149"/>
      <c r="BZ44" s="149"/>
      <c r="CA44" s="149"/>
      <c r="CB44" s="149"/>
      <c r="CC44" s="150"/>
    </row>
    <row r="45" spans="2:81">
      <c r="B45" s="362" t="str">
        <f t="shared" ca="1" si="1"/>
        <v/>
      </c>
      <c r="C45" s="363"/>
      <c r="D45" s="148"/>
      <c r="E45" s="149"/>
      <c r="F45" s="149"/>
      <c r="G45" s="149"/>
      <c r="H45" s="149"/>
      <c r="I45" s="149"/>
      <c r="J45" s="149"/>
      <c r="K45" s="150"/>
      <c r="L45" s="148"/>
      <c r="M45" s="149"/>
      <c r="N45" s="149"/>
      <c r="O45" s="149"/>
      <c r="P45" s="149"/>
      <c r="Q45" s="149"/>
      <c r="R45" s="149"/>
      <c r="S45" s="150"/>
      <c r="T45" s="148"/>
      <c r="U45" s="150"/>
      <c r="V45" s="148"/>
      <c r="W45" s="150"/>
      <c r="X45" s="148"/>
      <c r="Y45" s="150"/>
      <c r="Z45" s="148"/>
      <c r="AA45" s="150"/>
      <c r="AB45" s="153"/>
      <c r="AC45" s="153"/>
      <c r="AD45" s="152"/>
      <c r="AE45" s="154"/>
      <c r="AF45" s="149"/>
      <c r="AG45" s="149"/>
      <c r="AH45" s="364"/>
      <c r="AI45" s="365"/>
      <c r="AJ45" s="365"/>
      <c r="AK45" s="365"/>
      <c r="AL45" s="366"/>
      <c r="AM45" s="367"/>
      <c r="AN45" s="368"/>
      <c r="AO45" s="369"/>
      <c r="AP45" s="370"/>
      <c r="AQ45" s="369"/>
      <c r="AR45" s="370"/>
      <c r="AS45" s="371"/>
      <c r="AT45" s="372"/>
      <c r="AU45" s="148"/>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50"/>
      <c r="BR45" s="148"/>
      <c r="BS45" s="149"/>
      <c r="BT45" s="149"/>
      <c r="BU45" s="149"/>
      <c r="BV45" s="149"/>
      <c r="BW45" s="149"/>
      <c r="BX45" s="149"/>
      <c r="BY45" s="149"/>
      <c r="BZ45" s="149"/>
      <c r="CA45" s="149"/>
      <c r="CB45" s="149"/>
      <c r="CC45" s="150"/>
    </row>
    <row r="46" spans="2:81">
      <c r="B46" s="362" t="str">
        <f t="shared" ca="1" si="1"/>
        <v/>
      </c>
      <c r="C46" s="363"/>
      <c r="D46" s="148"/>
      <c r="E46" s="149"/>
      <c r="F46" s="149"/>
      <c r="G46" s="149"/>
      <c r="H46" s="149"/>
      <c r="I46" s="149"/>
      <c r="J46" s="149"/>
      <c r="K46" s="150"/>
      <c r="L46" s="148"/>
      <c r="M46" s="149"/>
      <c r="N46" s="149"/>
      <c r="O46" s="149"/>
      <c r="P46" s="149"/>
      <c r="Q46" s="149"/>
      <c r="R46" s="149"/>
      <c r="S46" s="150"/>
      <c r="T46" s="148"/>
      <c r="U46" s="150"/>
      <c r="V46" s="148"/>
      <c r="W46" s="150"/>
      <c r="X46" s="148"/>
      <c r="Y46" s="150"/>
      <c r="Z46" s="148"/>
      <c r="AA46" s="150"/>
      <c r="AB46" s="153"/>
      <c r="AC46" s="153"/>
      <c r="AD46" s="152"/>
      <c r="AE46" s="154"/>
      <c r="AF46" s="149"/>
      <c r="AG46" s="149"/>
      <c r="AH46" s="364"/>
      <c r="AI46" s="365"/>
      <c r="AJ46" s="365"/>
      <c r="AK46" s="365"/>
      <c r="AL46" s="366"/>
      <c r="AM46" s="367"/>
      <c r="AN46" s="368"/>
      <c r="AO46" s="369"/>
      <c r="AP46" s="370"/>
      <c r="AQ46" s="369"/>
      <c r="AR46" s="370"/>
      <c r="AS46" s="371"/>
      <c r="AT46" s="372"/>
      <c r="AU46" s="148"/>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50"/>
      <c r="BR46" s="148"/>
      <c r="BS46" s="149"/>
      <c r="BT46" s="149"/>
      <c r="BU46" s="149"/>
      <c r="BV46" s="149"/>
      <c r="BW46" s="149"/>
      <c r="BX46" s="149"/>
      <c r="BY46" s="149"/>
      <c r="BZ46" s="149"/>
      <c r="CA46" s="149"/>
      <c r="CB46" s="149"/>
      <c r="CC46" s="150"/>
    </row>
    <row r="47" spans="2:81">
      <c r="B47" s="362" t="str">
        <f t="shared" ca="1" si="1"/>
        <v/>
      </c>
      <c r="C47" s="363"/>
      <c r="D47" s="148"/>
      <c r="E47" s="149"/>
      <c r="F47" s="149"/>
      <c r="G47" s="149"/>
      <c r="H47" s="149"/>
      <c r="I47" s="149"/>
      <c r="J47" s="149"/>
      <c r="K47" s="150"/>
      <c r="L47" s="148"/>
      <c r="M47" s="149"/>
      <c r="N47" s="149"/>
      <c r="O47" s="149"/>
      <c r="P47" s="149"/>
      <c r="Q47" s="149"/>
      <c r="R47" s="149"/>
      <c r="S47" s="150"/>
      <c r="T47" s="148"/>
      <c r="U47" s="150"/>
      <c r="V47" s="148"/>
      <c r="W47" s="150"/>
      <c r="X47" s="148"/>
      <c r="Y47" s="150"/>
      <c r="Z47" s="148"/>
      <c r="AA47" s="150"/>
      <c r="AB47" s="153"/>
      <c r="AC47" s="153"/>
      <c r="AD47" s="152"/>
      <c r="AE47" s="154"/>
      <c r="AF47" s="149"/>
      <c r="AG47" s="149"/>
      <c r="AH47" s="364"/>
      <c r="AI47" s="365"/>
      <c r="AJ47" s="365"/>
      <c r="AK47" s="365"/>
      <c r="AL47" s="366"/>
      <c r="AM47" s="367"/>
      <c r="AN47" s="368"/>
      <c r="AO47" s="369"/>
      <c r="AP47" s="370"/>
      <c r="AQ47" s="369"/>
      <c r="AR47" s="370"/>
      <c r="AS47" s="371"/>
      <c r="AT47" s="372"/>
      <c r="AU47" s="148"/>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50"/>
      <c r="BR47" s="148"/>
      <c r="BS47" s="149"/>
      <c r="BT47" s="149"/>
      <c r="BU47" s="149"/>
      <c r="BV47" s="149"/>
      <c r="BW47" s="149"/>
      <c r="BX47" s="149"/>
      <c r="BY47" s="149"/>
      <c r="BZ47" s="149"/>
      <c r="CA47" s="149"/>
      <c r="CB47" s="149"/>
      <c r="CC47" s="150"/>
    </row>
    <row r="48" spans="2:81">
      <c r="B48" s="362" t="str">
        <f t="shared" ca="1" si="1"/>
        <v/>
      </c>
      <c r="C48" s="363"/>
      <c r="D48" s="148"/>
      <c r="E48" s="155"/>
      <c r="F48" s="149"/>
      <c r="G48" s="149"/>
      <c r="H48" s="149"/>
      <c r="I48" s="149"/>
      <c r="J48" s="149"/>
      <c r="K48" s="150"/>
      <c r="L48" s="148"/>
      <c r="M48" s="149"/>
      <c r="N48" s="149"/>
      <c r="O48" s="149"/>
      <c r="P48" s="149"/>
      <c r="Q48" s="149"/>
      <c r="R48" s="149"/>
      <c r="S48" s="150"/>
      <c r="T48" s="148"/>
      <c r="U48" s="150"/>
      <c r="V48" s="148"/>
      <c r="W48" s="150"/>
      <c r="X48" s="148"/>
      <c r="Y48" s="150"/>
      <c r="Z48" s="148"/>
      <c r="AA48" s="150"/>
      <c r="AB48" s="153"/>
      <c r="AC48" s="153"/>
      <c r="AD48" s="152"/>
      <c r="AE48" s="154"/>
      <c r="AF48" s="149"/>
      <c r="AG48" s="149"/>
      <c r="AH48" s="364"/>
      <c r="AI48" s="365"/>
      <c r="AJ48" s="365"/>
      <c r="AK48" s="365"/>
      <c r="AL48" s="366"/>
      <c r="AM48" s="367"/>
      <c r="AN48" s="368"/>
      <c r="AO48" s="369"/>
      <c r="AP48" s="370"/>
      <c r="AQ48" s="369"/>
      <c r="AR48" s="370"/>
      <c r="AS48" s="371"/>
      <c r="AT48" s="372"/>
      <c r="AU48" s="148"/>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50"/>
      <c r="BR48" s="148"/>
      <c r="BS48" s="149"/>
      <c r="BT48" s="149"/>
      <c r="BU48" s="149"/>
      <c r="BV48" s="149"/>
      <c r="BW48" s="149"/>
      <c r="BX48" s="149"/>
      <c r="BY48" s="149"/>
      <c r="BZ48" s="149"/>
      <c r="CA48" s="149"/>
      <c r="CB48" s="149"/>
      <c r="CC48" s="150"/>
    </row>
    <row r="49" spans="2:81">
      <c r="B49" s="362" t="str">
        <f t="shared" ca="1" si="1"/>
        <v/>
      </c>
      <c r="C49" s="363"/>
      <c r="D49" s="148"/>
      <c r="E49" s="155"/>
      <c r="F49" s="149"/>
      <c r="G49" s="149"/>
      <c r="H49" s="149"/>
      <c r="I49" s="149"/>
      <c r="J49" s="149"/>
      <c r="K49" s="150"/>
      <c r="L49" s="148"/>
      <c r="M49" s="149"/>
      <c r="N49" s="149"/>
      <c r="O49" s="149"/>
      <c r="P49" s="149"/>
      <c r="Q49" s="149"/>
      <c r="R49" s="149"/>
      <c r="S49" s="150"/>
      <c r="T49" s="148"/>
      <c r="U49" s="150"/>
      <c r="V49" s="148"/>
      <c r="W49" s="150"/>
      <c r="X49" s="148"/>
      <c r="Y49" s="150"/>
      <c r="Z49" s="148"/>
      <c r="AA49" s="150"/>
      <c r="AB49" s="153"/>
      <c r="AC49" s="153"/>
      <c r="AD49" s="152"/>
      <c r="AE49" s="154"/>
      <c r="AF49" s="149"/>
      <c r="AG49" s="149"/>
      <c r="AH49" s="364"/>
      <c r="AI49" s="365"/>
      <c r="AJ49" s="365"/>
      <c r="AK49" s="365"/>
      <c r="AL49" s="366"/>
      <c r="AM49" s="367"/>
      <c r="AN49" s="368"/>
      <c r="AO49" s="369"/>
      <c r="AP49" s="370"/>
      <c r="AQ49" s="369"/>
      <c r="AR49" s="370"/>
      <c r="AS49" s="371"/>
      <c r="AT49" s="372"/>
      <c r="AU49" s="148"/>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50"/>
      <c r="BR49" s="148"/>
      <c r="BS49" s="149"/>
      <c r="BT49" s="149"/>
      <c r="BU49" s="149"/>
      <c r="BV49" s="149"/>
      <c r="BW49" s="149"/>
      <c r="BX49" s="149"/>
      <c r="BY49" s="149"/>
      <c r="BZ49" s="149"/>
      <c r="CA49" s="149"/>
      <c r="CB49" s="149"/>
      <c r="CC49" s="150"/>
    </row>
    <row r="50" spans="2:81">
      <c r="B50" s="362" t="str">
        <f t="shared" ca="1" si="1"/>
        <v/>
      </c>
      <c r="C50" s="363"/>
      <c r="D50" s="148"/>
      <c r="E50" s="155"/>
      <c r="F50" s="149"/>
      <c r="G50" s="149"/>
      <c r="H50" s="149"/>
      <c r="I50" s="149"/>
      <c r="J50" s="149"/>
      <c r="K50" s="150"/>
      <c r="L50" s="148"/>
      <c r="M50" s="149"/>
      <c r="N50" s="149"/>
      <c r="O50" s="149"/>
      <c r="P50" s="149"/>
      <c r="Q50" s="149"/>
      <c r="R50" s="149"/>
      <c r="S50" s="150"/>
      <c r="T50" s="148"/>
      <c r="U50" s="150"/>
      <c r="V50" s="148"/>
      <c r="W50" s="150"/>
      <c r="X50" s="148"/>
      <c r="Y50" s="150"/>
      <c r="Z50" s="148"/>
      <c r="AA50" s="150"/>
      <c r="AB50" s="153"/>
      <c r="AC50" s="153"/>
      <c r="AD50" s="152"/>
      <c r="AE50" s="154"/>
      <c r="AF50" s="149"/>
      <c r="AG50" s="149"/>
      <c r="AH50" s="364"/>
      <c r="AI50" s="365"/>
      <c r="AJ50" s="365"/>
      <c r="AK50" s="365"/>
      <c r="AL50" s="366"/>
      <c r="AM50" s="367"/>
      <c r="AN50" s="368"/>
      <c r="AO50" s="369"/>
      <c r="AP50" s="370"/>
      <c r="AQ50" s="369"/>
      <c r="AR50" s="370"/>
      <c r="AS50" s="371"/>
      <c r="AT50" s="372"/>
      <c r="AU50" s="148"/>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50"/>
      <c r="BR50" s="148"/>
      <c r="BS50" s="149"/>
      <c r="BT50" s="149"/>
      <c r="BU50" s="149"/>
      <c r="BV50" s="149"/>
      <c r="BW50" s="149"/>
      <c r="BX50" s="149"/>
      <c r="BY50" s="149"/>
      <c r="BZ50" s="149"/>
      <c r="CA50" s="149"/>
      <c r="CB50" s="149"/>
      <c r="CC50" s="150"/>
    </row>
    <row r="51" spans="2:81">
      <c r="B51" s="362" t="str">
        <f t="shared" ca="1" si="1"/>
        <v/>
      </c>
      <c r="C51" s="363"/>
      <c r="D51" s="148"/>
      <c r="E51" s="149"/>
      <c r="F51" s="149"/>
      <c r="G51" s="149"/>
      <c r="H51" s="149"/>
      <c r="I51" s="149"/>
      <c r="J51" s="149"/>
      <c r="K51" s="150"/>
      <c r="L51" s="148"/>
      <c r="M51" s="149"/>
      <c r="N51" s="149"/>
      <c r="O51" s="149"/>
      <c r="P51" s="149"/>
      <c r="Q51" s="149"/>
      <c r="R51" s="149"/>
      <c r="S51" s="150"/>
      <c r="T51" s="148"/>
      <c r="U51" s="150"/>
      <c r="V51" s="148"/>
      <c r="W51" s="150"/>
      <c r="X51" s="148"/>
      <c r="Y51" s="150"/>
      <c r="Z51" s="148"/>
      <c r="AA51" s="150"/>
      <c r="AB51" s="153"/>
      <c r="AC51" s="153"/>
      <c r="AD51" s="152"/>
      <c r="AE51" s="154"/>
      <c r="AF51" s="149"/>
      <c r="AG51" s="149"/>
      <c r="AH51" s="364"/>
      <c r="AI51" s="365"/>
      <c r="AJ51" s="365"/>
      <c r="AK51" s="365"/>
      <c r="AL51" s="366"/>
      <c r="AM51" s="367"/>
      <c r="AN51" s="368"/>
      <c r="AO51" s="369"/>
      <c r="AP51" s="370"/>
      <c r="AQ51" s="369"/>
      <c r="AR51" s="370"/>
      <c r="AS51" s="371"/>
      <c r="AT51" s="372"/>
      <c r="AU51" s="148"/>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50"/>
      <c r="BR51" s="148"/>
      <c r="BS51" s="149"/>
      <c r="BT51" s="149"/>
      <c r="BU51" s="149"/>
      <c r="BV51" s="149"/>
      <c r="BW51" s="149"/>
      <c r="BX51" s="149"/>
      <c r="BY51" s="149"/>
      <c r="BZ51" s="149"/>
      <c r="CA51" s="149"/>
      <c r="CB51" s="149"/>
      <c r="CC51" s="150"/>
    </row>
    <row r="52" spans="2:81">
      <c r="B52" s="362" t="str">
        <f t="shared" ca="1" si="1"/>
        <v/>
      </c>
      <c r="C52" s="363"/>
      <c r="D52" s="148"/>
      <c r="E52" s="149"/>
      <c r="F52" s="149"/>
      <c r="G52" s="149"/>
      <c r="H52" s="149"/>
      <c r="I52" s="149"/>
      <c r="J52" s="149"/>
      <c r="K52" s="150"/>
      <c r="L52" s="148"/>
      <c r="M52" s="149"/>
      <c r="N52" s="149"/>
      <c r="O52" s="149"/>
      <c r="P52" s="149"/>
      <c r="Q52" s="149"/>
      <c r="R52" s="149"/>
      <c r="S52" s="150"/>
      <c r="T52" s="148"/>
      <c r="U52" s="150"/>
      <c r="V52" s="148"/>
      <c r="W52" s="150"/>
      <c r="X52" s="148"/>
      <c r="Y52" s="150"/>
      <c r="Z52" s="148"/>
      <c r="AA52" s="150"/>
      <c r="AB52" s="153"/>
      <c r="AC52" s="153"/>
      <c r="AD52" s="152"/>
      <c r="AE52" s="154"/>
      <c r="AF52" s="149"/>
      <c r="AG52" s="149"/>
      <c r="AH52" s="364"/>
      <c r="AI52" s="365"/>
      <c r="AJ52" s="365"/>
      <c r="AK52" s="365"/>
      <c r="AL52" s="366"/>
      <c r="AM52" s="367"/>
      <c r="AN52" s="368"/>
      <c r="AO52" s="369"/>
      <c r="AP52" s="370"/>
      <c r="AQ52" s="369"/>
      <c r="AR52" s="370"/>
      <c r="AS52" s="371"/>
      <c r="AT52" s="372"/>
      <c r="AU52" s="148"/>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50"/>
      <c r="BR52" s="148"/>
      <c r="BS52" s="149"/>
      <c r="BT52" s="149"/>
      <c r="BU52" s="149"/>
      <c r="BV52" s="149"/>
      <c r="BW52" s="149"/>
      <c r="BX52" s="149"/>
      <c r="BY52" s="149"/>
      <c r="BZ52" s="149"/>
      <c r="CA52" s="149"/>
      <c r="CB52" s="149"/>
      <c r="CC52" s="150"/>
    </row>
    <row r="53" spans="2:81">
      <c r="B53" s="362" t="str">
        <f t="shared" ca="1" si="1"/>
        <v/>
      </c>
      <c r="C53" s="363"/>
      <c r="D53" s="148"/>
      <c r="E53" s="149"/>
      <c r="F53" s="149"/>
      <c r="G53" s="149"/>
      <c r="H53" s="149"/>
      <c r="I53" s="149"/>
      <c r="J53" s="149"/>
      <c r="K53" s="150"/>
      <c r="L53" s="148"/>
      <c r="M53" s="149"/>
      <c r="N53" s="149"/>
      <c r="O53" s="149"/>
      <c r="P53" s="149"/>
      <c r="Q53" s="149"/>
      <c r="R53" s="149"/>
      <c r="S53" s="150"/>
      <c r="T53" s="148"/>
      <c r="U53" s="150"/>
      <c r="V53" s="148"/>
      <c r="W53" s="150"/>
      <c r="X53" s="148"/>
      <c r="Y53" s="150"/>
      <c r="Z53" s="148"/>
      <c r="AA53" s="150"/>
      <c r="AB53" s="153"/>
      <c r="AC53" s="153"/>
      <c r="AD53" s="152"/>
      <c r="AE53" s="154"/>
      <c r="AF53" s="149"/>
      <c r="AG53" s="149"/>
      <c r="AH53" s="364"/>
      <c r="AI53" s="365"/>
      <c r="AJ53" s="365"/>
      <c r="AK53" s="365"/>
      <c r="AL53" s="366"/>
      <c r="AM53" s="367"/>
      <c r="AN53" s="368"/>
      <c r="AO53" s="369"/>
      <c r="AP53" s="370"/>
      <c r="AQ53" s="369"/>
      <c r="AR53" s="370"/>
      <c r="AS53" s="371"/>
      <c r="AT53" s="372"/>
      <c r="AU53" s="148"/>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50"/>
      <c r="BR53" s="148"/>
      <c r="BS53" s="149"/>
      <c r="BT53" s="149"/>
      <c r="BU53" s="149"/>
      <c r="BV53" s="149"/>
      <c r="BW53" s="149"/>
      <c r="BX53" s="149"/>
      <c r="BY53" s="149"/>
      <c r="BZ53" s="149"/>
      <c r="CA53" s="149"/>
      <c r="CB53" s="149"/>
      <c r="CC53" s="150"/>
    </row>
    <row r="54" spans="2:81">
      <c r="B54" s="362" t="str">
        <f t="shared" ca="1" si="1"/>
        <v/>
      </c>
      <c r="C54" s="363"/>
      <c r="D54" s="148"/>
      <c r="E54" s="155"/>
      <c r="F54" s="149"/>
      <c r="G54" s="149"/>
      <c r="H54" s="149"/>
      <c r="I54" s="149"/>
      <c r="J54" s="149"/>
      <c r="K54" s="150"/>
      <c r="L54" s="148"/>
      <c r="M54" s="149"/>
      <c r="N54" s="149"/>
      <c r="O54" s="149"/>
      <c r="P54" s="149"/>
      <c r="Q54" s="149"/>
      <c r="R54" s="149"/>
      <c r="S54" s="150"/>
      <c r="T54" s="148"/>
      <c r="U54" s="150"/>
      <c r="V54" s="148"/>
      <c r="W54" s="150"/>
      <c r="X54" s="148"/>
      <c r="Y54" s="150"/>
      <c r="Z54" s="148"/>
      <c r="AA54" s="150"/>
      <c r="AB54" s="153"/>
      <c r="AC54" s="153"/>
      <c r="AD54" s="152"/>
      <c r="AE54" s="154"/>
      <c r="AF54" s="149"/>
      <c r="AG54" s="149"/>
      <c r="AH54" s="364"/>
      <c r="AI54" s="365"/>
      <c r="AJ54" s="365"/>
      <c r="AK54" s="365"/>
      <c r="AL54" s="366"/>
      <c r="AM54" s="367"/>
      <c r="AN54" s="368"/>
      <c r="AO54" s="369"/>
      <c r="AP54" s="370"/>
      <c r="AQ54" s="369"/>
      <c r="AR54" s="370"/>
      <c r="AS54" s="371"/>
      <c r="AT54" s="372"/>
      <c r="AU54" s="148"/>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50"/>
      <c r="BR54" s="148"/>
      <c r="BS54" s="149"/>
      <c r="BT54" s="149"/>
      <c r="BU54" s="149"/>
      <c r="BV54" s="149"/>
      <c r="BW54" s="149"/>
      <c r="BX54" s="149"/>
      <c r="BY54" s="149"/>
      <c r="BZ54" s="149"/>
      <c r="CA54" s="149"/>
      <c r="CB54" s="149"/>
      <c r="CC54" s="150"/>
    </row>
    <row r="55" spans="2:81">
      <c r="B55" s="362" t="str">
        <f t="shared" ca="1" si="1"/>
        <v/>
      </c>
      <c r="C55" s="363"/>
      <c r="D55" s="148"/>
      <c r="E55" s="149"/>
      <c r="F55" s="149"/>
      <c r="G55" s="149"/>
      <c r="H55" s="149"/>
      <c r="I55" s="149"/>
      <c r="J55" s="149"/>
      <c r="K55" s="150"/>
      <c r="L55" s="148"/>
      <c r="M55" s="149"/>
      <c r="N55" s="149"/>
      <c r="O55" s="149"/>
      <c r="P55" s="149"/>
      <c r="Q55" s="149"/>
      <c r="R55" s="149"/>
      <c r="S55" s="150"/>
      <c r="T55" s="148"/>
      <c r="U55" s="150"/>
      <c r="V55" s="148"/>
      <c r="W55" s="150"/>
      <c r="X55" s="148"/>
      <c r="Y55" s="150"/>
      <c r="Z55" s="148"/>
      <c r="AA55" s="150"/>
      <c r="AB55" s="153"/>
      <c r="AC55" s="153"/>
      <c r="AD55" s="152"/>
      <c r="AE55" s="154"/>
      <c r="AF55" s="149"/>
      <c r="AG55" s="149"/>
      <c r="AH55" s="364"/>
      <c r="AI55" s="365"/>
      <c r="AJ55" s="365"/>
      <c r="AK55" s="365"/>
      <c r="AL55" s="366"/>
      <c r="AM55" s="367"/>
      <c r="AN55" s="368"/>
      <c r="AO55" s="369"/>
      <c r="AP55" s="370"/>
      <c r="AQ55" s="369"/>
      <c r="AR55" s="370"/>
      <c r="AS55" s="371"/>
      <c r="AT55" s="372"/>
      <c r="AU55" s="148"/>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50"/>
      <c r="BR55" s="148"/>
      <c r="BS55" s="149"/>
      <c r="BT55" s="149"/>
      <c r="BU55" s="149"/>
      <c r="BV55" s="149"/>
      <c r="BW55" s="149"/>
      <c r="BX55" s="149"/>
      <c r="BY55" s="149"/>
      <c r="BZ55" s="149"/>
      <c r="CA55" s="149"/>
      <c r="CB55" s="149"/>
      <c r="CC55" s="150"/>
    </row>
    <row r="56" spans="2:81">
      <c r="B56" s="362" t="str">
        <f t="shared" ca="1" si="1"/>
        <v/>
      </c>
      <c r="C56" s="363"/>
      <c r="D56" s="148"/>
      <c r="E56" s="149"/>
      <c r="F56" s="149"/>
      <c r="G56" s="149"/>
      <c r="H56" s="149"/>
      <c r="I56" s="149"/>
      <c r="J56" s="149"/>
      <c r="K56" s="150"/>
      <c r="L56" s="148"/>
      <c r="M56" s="149"/>
      <c r="N56" s="149"/>
      <c r="O56" s="149"/>
      <c r="P56" s="149"/>
      <c r="Q56" s="149"/>
      <c r="R56" s="149"/>
      <c r="S56" s="150"/>
      <c r="T56" s="148"/>
      <c r="U56" s="150"/>
      <c r="V56" s="148"/>
      <c r="W56" s="150"/>
      <c r="X56" s="148"/>
      <c r="Y56" s="150"/>
      <c r="Z56" s="148"/>
      <c r="AA56" s="150"/>
      <c r="AB56" s="153"/>
      <c r="AC56" s="153"/>
      <c r="AD56" s="152"/>
      <c r="AE56" s="154"/>
      <c r="AF56" s="149"/>
      <c r="AG56" s="149"/>
      <c r="AH56" s="364"/>
      <c r="AI56" s="365"/>
      <c r="AJ56" s="365"/>
      <c r="AK56" s="365"/>
      <c r="AL56" s="366"/>
      <c r="AM56" s="367"/>
      <c r="AN56" s="368"/>
      <c r="AO56" s="369"/>
      <c r="AP56" s="370"/>
      <c r="AQ56" s="369"/>
      <c r="AR56" s="370"/>
      <c r="AS56" s="371"/>
      <c r="AT56" s="372"/>
      <c r="AU56" s="148"/>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50"/>
      <c r="BR56" s="148"/>
      <c r="BS56" s="149"/>
      <c r="BT56" s="149"/>
      <c r="BU56" s="149"/>
      <c r="BV56" s="149"/>
      <c r="BW56" s="149"/>
      <c r="BX56" s="149"/>
      <c r="BY56" s="149"/>
      <c r="BZ56" s="149"/>
      <c r="CA56" s="149"/>
      <c r="CB56" s="149"/>
      <c r="CC56" s="150"/>
    </row>
    <row r="57" spans="2:81">
      <c r="B57" s="362" t="str">
        <f t="shared" ca="1" si="1"/>
        <v/>
      </c>
      <c r="C57" s="363"/>
      <c r="D57" s="148"/>
      <c r="E57" s="155"/>
      <c r="F57" s="149"/>
      <c r="G57" s="149"/>
      <c r="H57" s="149"/>
      <c r="I57" s="149"/>
      <c r="J57" s="149"/>
      <c r="K57" s="150"/>
      <c r="L57" s="148"/>
      <c r="M57" s="149"/>
      <c r="N57" s="149"/>
      <c r="O57" s="149"/>
      <c r="P57" s="149"/>
      <c r="Q57" s="149"/>
      <c r="R57" s="149"/>
      <c r="S57" s="150"/>
      <c r="T57" s="148"/>
      <c r="U57" s="150"/>
      <c r="V57" s="148"/>
      <c r="W57" s="150"/>
      <c r="X57" s="148"/>
      <c r="Y57" s="150"/>
      <c r="Z57" s="148"/>
      <c r="AA57" s="150"/>
      <c r="AB57" s="153"/>
      <c r="AC57" s="153"/>
      <c r="AD57" s="152"/>
      <c r="AE57" s="154"/>
      <c r="AF57" s="149"/>
      <c r="AG57" s="149"/>
      <c r="AH57" s="364"/>
      <c r="AI57" s="365"/>
      <c r="AJ57" s="365"/>
      <c r="AK57" s="365"/>
      <c r="AL57" s="366"/>
      <c r="AM57" s="367"/>
      <c r="AN57" s="368"/>
      <c r="AO57" s="369"/>
      <c r="AP57" s="370"/>
      <c r="AQ57" s="369"/>
      <c r="AR57" s="370"/>
      <c r="AS57" s="371"/>
      <c r="AT57" s="372"/>
      <c r="AU57" s="148"/>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50"/>
      <c r="BR57" s="148"/>
      <c r="BS57" s="149"/>
      <c r="BT57" s="149"/>
      <c r="BU57" s="149"/>
      <c r="BV57" s="149"/>
      <c r="BW57" s="149"/>
      <c r="BX57" s="149"/>
      <c r="BY57" s="149"/>
      <c r="BZ57" s="149"/>
      <c r="CA57" s="149"/>
      <c r="CB57" s="149"/>
      <c r="CC57" s="150"/>
    </row>
    <row r="58" spans="2:81">
      <c r="B58" s="362" t="str">
        <f t="shared" ca="1" si="1"/>
        <v/>
      </c>
      <c r="C58" s="363"/>
      <c r="D58" s="148"/>
      <c r="E58" s="155"/>
      <c r="F58" s="149"/>
      <c r="G58" s="149"/>
      <c r="H58" s="149"/>
      <c r="I58" s="149"/>
      <c r="J58" s="149"/>
      <c r="K58" s="150"/>
      <c r="L58" s="148"/>
      <c r="M58" s="149"/>
      <c r="N58" s="149"/>
      <c r="O58" s="149"/>
      <c r="P58" s="149"/>
      <c r="Q58" s="149"/>
      <c r="R58" s="149"/>
      <c r="S58" s="150"/>
      <c r="T58" s="148"/>
      <c r="U58" s="150"/>
      <c r="V58" s="148"/>
      <c r="W58" s="150"/>
      <c r="X58" s="148"/>
      <c r="Y58" s="150"/>
      <c r="Z58" s="148"/>
      <c r="AA58" s="150"/>
      <c r="AB58" s="153"/>
      <c r="AC58" s="153"/>
      <c r="AD58" s="152"/>
      <c r="AE58" s="154"/>
      <c r="AF58" s="149"/>
      <c r="AG58" s="149"/>
      <c r="AH58" s="364"/>
      <c r="AI58" s="365"/>
      <c r="AJ58" s="365"/>
      <c r="AK58" s="365"/>
      <c r="AL58" s="366"/>
      <c r="AM58" s="367"/>
      <c r="AN58" s="368"/>
      <c r="AO58" s="369"/>
      <c r="AP58" s="370"/>
      <c r="AQ58" s="369"/>
      <c r="AR58" s="370"/>
      <c r="AS58" s="371"/>
      <c r="AT58" s="372"/>
      <c r="AU58" s="148"/>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50"/>
      <c r="BR58" s="148"/>
      <c r="BS58" s="149"/>
      <c r="BT58" s="149"/>
      <c r="BU58" s="149"/>
      <c r="BV58" s="149"/>
      <c r="BW58" s="149"/>
      <c r="BX58" s="149"/>
      <c r="BY58" s="149"/>
      <c r="BZ58" s="149"/>
      <c r="CA58" s="149"/>
      <c r="CB58" s="149"/>
      <c r="CC58" s="150"/>
    </row>
    <row r="59" spans="2:81">
      <c r="B59" s="362" t="str">
        <f t="shared" ca="1" si="1"/>
        <v/>
      </c>
      <c r="C59" s="363"/>
      <c r="D59" s="148"/>
      <c r="E59" s="155"/>
      <c r="F59" s="149"/>
      <c r="G59" s="149"/>
      <c r="H59" s="149"/>
      <c r="I59" s="149"/>
      <c r="J59" s="149"/>
      <c r="K59" s="150"/>
      <c r="L59" s="148"/>
      <c r="M59" s="149"/>
      <c r="N59" s="149"/>
      <c r="O59" s="149"/>
      <c r="P59" s="149"/>
      <c r="Q59" s="149"/>
      <c r="R59" s="149"/>
      <c r="S59" s="150"/>
      <c r="T59" s="148"/>
      <c r="U59" s="150"/>
      <c r="V59" s="148"/>
      <c r="W59" s="150"/>
      <c r="X59" s="148"/>
      <c r="Y59" s="150"/>
      <c r="Z59" s="148"/>
      <c r="AA59" s="150"/>
      <c r="AB59" s="153"/>
      <c r="AC59" s="153"/>
      <c r="AD59" s="152"/>
      <c r="AE59" s="154"/>
      <c r="AF59" s="149"/>
      <c r="AG59" s="149"/>
      <c r="AH59" s="364"/>
      <c r="AI59" s="365"/>
      <c r="AJ59" s="365"/>
      <c r="AK59" s="365"/>
      <c r="AL59" s="366"/>
      <c r="AM59" s="367"/>
      <c r="AN59" s="368"/>
      <c r="AO59" s="369"/>
      <c r="AP59" s="370"/>
      <c r="AQ59" s="369"/>
      <c r="AR59" s="370"/>
      <c r="AS59" s="371"/>
      <c r="AT59" s="372"/>
      <c r="AU59" s="148"/>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50"/>
      <c r="BR59" s="148"/>
      <c r="BS59" s="149"/>
      <c r="BT59" s="149"/>
      <c r="BU59" s="149"/>
      <c r="BV59" s="149"/>
      <c r="BW59" s="149"/>
      <c r="BX59" s="149"/>
      <c r="BY59" s="149"/>
      <c r="BZ59" s="149"/>
      <c r="CA59" s="149"/>
      <c r="CB59" s="149"/>
      <c r="CC59" s="150"/>
    </row>
    <row r="60" spans="2:81">
      <c r="B60" s="362" t="str">
        <f t="shared" ca="1" si="1"/>
        <v/>
      </c>
      <c r="C60" s="363"/>
      <c r="D60" s="148"/>
      <c r="E60" s="155"/>
      <c r="F60" s="149"/>
      <c r="G60" s="149"/>
      <c r="H60" s="149"/>
      <c r="I60" s="149"/>
      <c r="J60" s="149"/>
      <c r="K60" s="150"/>
      <c r="L60" s="148"/>
      <c r="M60" s="149"/>
      <c r="N60" s="149"/>
      <c r="O60" s="149"/>
      <c r="P60" s="149"/>
      <c r="Q60" s="149"/>
      <c r="R60" s="149"/>
      <c r="S60" s="150"/>
      <c r="T60" s="148"/>
      <c r="U60" s="150"/>
      <c r="V60" s="148"/>
      <c r="W60" s="150"/>
      <c r="X60" s="148"/>
      <c r="Y60" s="150"/>
      <c r="Z60" s="148"/>
      <c r="AA60" s="150"/>
      <c r="AB60" s="153"/>
      <c r="AC60" s="153"/>
      <c r="AD60" s="152"/>
      <c r="AE60" s="154"/>
      <c r="AF60" s="149"/>
      <c r="AG60" s="149"/>
      <c r="AH60" s="364"/>
      <c r="AI60" s="365"/>
      <c r="AJ60" s="365"/>
      <c r="AK60" s="365"/>
      <c r="AL60" s="366"/>
      <c r="AM60" s="367"/>
      <c r="AN60" s="368"/>
      <c r="AO60" s="369"/>
      <c r="AP60" s="370"/>
      <c r="AQ60" s="369"/>
      <c r="AR60" s="370"/>
      <c r="AS60" s="371"/>
      <c r="AT60" s="372"/>
      <c r="AU60" s="148"/>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50"/>
      <c r="BR60" s="148"/>
      <c r="BS60" s="149"/>
      <c r="BT60" s="149"/>
      <c r="BU60" s="149"/>
      <c r="BV60" s="149"/>
      <c r="BW60" s="149"/>
      <c r="BX60" s="149"/>
      <c r="BY60" s="149"/>
      <c r="BZ60" s="149"/>
      <c r="CA60" s="149"/>
      <c r="CB60" s="149"/>
      <c r="CC60" s="150"/>
    </row>
    <row r="61" spans="2:81">
      <c r="B61" s="362" t="str">
        <f t="shared" ca="1" si="1"/>
        <v/>
      </c>
      <c r="C61" s="363"/>
      <c r="D61" s="148"/>
      <c r="E61" s="149"/>
      <c r="F61" s="149"/>
      <c r="G61" s="149"/>
      <c r="H61" s="149"/>
      <c r="I61" s="149"/>
      <c r="J61" s="149"/>
      <c r="K61" s="150"/>
      <c r="L61" s="148"/>
      <c r="M61" s="149"/>
      <c r="N61" s="149"/>
      <c r="O61" s="149"/>
      <c r="P61" s="149"/>
      <c r="Q61" s="149"/>
      <c r="R61" s="149"/>
      <c r="S61" s="150"/>
      <c r="T61" s="148"/>
      <c r="U61" s="150"/>
      <c r="V61" s="148"/>
      <c r="W61" s="150"/>
      <c r="X61" s="148"/>
      <c r="Y61" s="150"/>
      <c r="Z61" s="148"/>
      <c r="AA61" s="150"/>
      <c r="AB61" s="153"/>
      <c r="AC61" s="153"/>
      <c r="AD61" s="152"/>
      <c r="AE61" s="154"/>
      <c r="AF61" s="149"/>
      <c r="AG61" s="149"/>
      <c r="AH61" s="364"/>
      <c r="AI61" s="365"/>
      <c r="AJ61" s="365"/>
      <c r="AK61" s="365"/>
      <c r="AL61" s="366"/>
      <c r="AM61" s="367"/>
      <c r="AN61" s="368"/>
      <c r="AO61" s="369"/>
      <c r="AP61" s="370"/>
      <c r="AQ61" s="369"/>
      <c r="AR61" s="370"/>
      <c r="AS61" s="371"/>
      <c r="AT61" s="372"/>
      <c r="AU61" s="148"/>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50"/>
      <c r="BR61" s="148"/>
      <c r="BS61" s="149"/>
      <c r="BT61" s="149"/>
      <c r="BU61" s="149"/>
      <c r="BV61" s="149"/>
      <c r="BW61" s="149"/>
      <c r="BX61" s="149"/>
      <c r="BY61" s="149"/>
      <c r="BZ61" s="149"/>
      <c r="CA61" s="149"/>
      <c r="CB61" s="149"/>
      <c r="CC61" s="150"/>
    </row>
    <row r="62" spans="2:81">
      <c r="B62" s="156" t="s">
        <v>101</v>
      </c>
      <c r="C62" s="156" t="s">
        <v>101</v>
      </c>
      <c r="D62" s="156" t="s">
        <v>101</v>
      </c>
      <c r="E62" s="156" t="s">
        <v>101</v>
      </c>
      <c r="F62" s="156" t="s">
        <v>101</v>
      </c>
      <c r="G62" s="156" t="s">
        <v>101</v>
      </c>
      <c r="H62" s="156" t="s">
        <v>101</v>
      </c>
      <c r="I62" s="156" t="s">
        <v>101</v>
      </c>
      <c r="J62" s="156" t="s">
        <v>101</v>
      </c>
      <c r="K62" s="156" t="s">
        <v>101</v>
      </c>
      <c r="L62" s="156" t="s">
        <v>101</v>
      </c>
      <c r="M62" s="156" t="s">
        <v>101</v>
      </c>
      <c r="N62" s="156" t="s">
        <v>101</v>
      </c>
      <c r="O62" s="156" t="s">
        <v>101</v>
      </c>
      <c r="P62" s="156" t="s">
        <v>101</v>
      </c>
      <c r="Q62" s="156" t="s">
        <v>101</v>
      </c>
      <c r="R62" s="156" t="s">
        <v>101</v>
      </c>
      <c r="S62" s="156" t="s">
        <v>101</v>
      </c>
      <c r="T62" s="156" t="s">
        <v>101</v>
      </c>
      <c r="U62" s="156" t="s">
        <v>101</v>
      </c>
      <c r="V62" s="156" t="s">
        <v>101</v>
      </c>
      <c r="W62" s="156" t="s">
        <v>101</v>
      </c>
      <c r="X62" s="156" t="s">
        <v>101</v>
      </c>
      <c r="Y62" s="156" t="s">
        <v>101</v>
      </c>
      <c r="Z62" s="156" t="s">
        <v>101</v>
      </c>
      <c r="AA62" s="156" t="s">
        <v>101</v>
      </c>
      <c r="AB62" s="156" t="s">
        <v>101</v>
      </c>
      <c r="AC62" s="156" t="s">
        <v>101</v>
      </c>
      <c r="AD62" s="156" t="s">
        <v>101</v>
      </c>
      <c r="AE62" s="156" t="s">
        <v>101</v>
      </c>
      <c r="AF62" s="156" t="s">
        <v>101</v>
      </c>
      <c r="AG62" s="156" t="s">
        <v>101</v>
      </c>
      <c r="AH62" s="156" t="s">
        <v>101</v>
      </c>
      <c r="AI62" s="156" t="s">
        <v>101</v>
      </c>
      <c r="AJ62" s="156" t="s">
        <v>101</v>
      </c>
      <c r="AK62" s="156" t="s">
        <v>101</v>
      </c>
      <c r="AL62" s="156" t="s">
        <v>101</v>
      </c>
      <c r="AM62" s="156" t="s">
        <v>101</v>
      </c>
      <c r="AN62" s="156" t="s">
        <v>101</v>
      </c>
      <c r="AO62" s="156" t="s">
        <v>101</v>
      </c>
      <c r="AP62" s="156" t="s">
        <v>101</v>
      </c>
      <c r="AQ62" s="156" t="s">
        <v>101</v>
      </c>
      <c r="AR62" s="156" t="s">
        <v>101</v>
      </c>
      <c r="AS62" s="156" t="s">
        <v>101</v>
      </c>
      <c r="AT62" s="156" t="s">
        <v>101</v>
      </c>
      <c r="AU62" s="156" t="s">
        <v>101</v>
      </c>
      <c r="AV62" s="156" t="s">
        <v>101</v>
      </c>
      <c r="AW62" s="156" t="s">
        <v>101</v>
      </c>
      <c r="AX62" s="156" t="s">
        <v>101</v>
      </c>
      <c r="AY62" s="156" t="s">
        <v>101</v>
      </c>
      <c r="AZ62" s="156" t="s">
        <v>101</v>
      </c>
      <c r="BA62" s="156" t="s">
        <v>101</v>
      </c>
      <c r="BB62" s="156" t="s">
        <v>101</v>
      </c>
      <c r="BC62" s="156" t="s">
        <v>101</v>
      </c>
      <c r="BD62" s="156" t="s">
        <v>101</v>
      </c>
      <c r="BE62" s="156" t="s">
        <v>101</v>
      </c>
      <c r="BF62" s="156" t="s">
        <v>101</v>
      </c>
      <c r="BG62" s="156" t="s">
        <v>101</v>
      </c>
      <c r="BH62" s="156" t="s">
        <v>101</v>
      </c>
      <c r="BI62" s="156" t="s">
        <v>101</v>
      </c>
      <c r="BJ62" s="156" t="s">
        <v>101</v>
      </c>
      <c r="BK62" s="156" t="s">
        <v>101</v>
      </c>
      <c r="BL62" s="156" t="s">
        <v>101</v>
      </c>
      <c r="BM62" s="156" t="s">
        <v>101</v>
      </c>
      <c r="BN62" s="156" t="s">
        <v>101</v>
      </c>
      <c r="BO62" s="156" t="s">
        <v>101</v>
      </c>
      <c r="BP62" s="156" t="s">
        <v>101</v>
      </c>
      <c r="BQ62" s="156" t="s">
        <v>101</v>
      </c>
      <c r="BR62" s="156" t="s">
        <v>101</v>
      </c>
      <c r="BS62" s="156" t="s">
        <v>101</v>
      </c>
      <c r="BT62" s="156" t="s">
        <v>101</v>
      </c>
      <c r="BU62" s="156" t="s">
        <v>101</v>
      </c>
      <c r="BV62" s="156" t="s">
        <v>101</v>
      </c>
      <c r="BW62" s="156" t="s">
        <v>101</v>
      </c>
      <c r="BX62" s="156" t="s">
        <v>101</v>
      </c>
      <c r="BY62" s="156" t="s">
        <v>101</v>
      </c>
      <c r="BZ62" s="156" t="s">
        <v>101</v>
      </c>
      <c r="CA62" s="156" t="s">
        <v>101</v>
      </c>
      <c r="CB62" s="156" t="s">
        <v>101</v>
      </c>
      <c r="CC62" s="156" t="s">
        <v>101</v>
      </c>
    </row>
  </sheetData>
  <mergeCells count="353">
    <mergeCell ref="B61:C61"/>
    <mergeCell ref="AH61:AL61"/>
    <mergeCell ref="AM61:AN61"/>
    <mergeCell ref="AO61:AP61"/>
    <mergeCell ref="AQ61:AR61"/>
    <mergeCell ref="AS61:AT61"/>
    <mergeCell ref="B60:C60"/>
    <mergeCell ref="AH60:AL60"/>
    <mergeCell ref="AM60:AN60"/>
    <mergeCell ref="AO60:AP60"/>
    <mergeCell ref="AQ60:AR60"/>
    <mergeCell ref="AS60:AT60"/>
    <mergeCell ref="B59:C59"/>
    <mergeCell ref="AH59:AL59"/>
    <mergeCell ref="AM59:AN59"/>
    <mergeCell ref="AO59:AP59"/>
    <mergeCell ref="AQ59:AR59"/>
    <mergeCell ref="AS59:AT59"/>
    <mergeCell ref="B58:C58"/>
    <mergeCell ref="AH58:AL58"/>
    <mergeCell ref="AM58:AN58"/>
    <mergeCell ref="AO58:AP58"/>
    <mergeCell ref="AQ58:AR58"/>
    <mergeCell ref="AS58:AT58"/>
    <mergeCell ref="B57:C57"/>
    <mergeCell ref="AH57:AL57"/>
    <mergeCell ref="AM57:AN57"/>
    <mergeCell ref="AO57:AP57"/>
    <mergeCell ref="AQ57:AR57"/>
    <mergeCell ref="AS57:AT57"/>
    <mergeCell ref="B56:C56"/>
    <mergeCell ref="AH56:AL56"/>
    <mergeCell ref="AM56:AN56"/>
    <mergeCell ref="AO56:AP56"/>
    <mergeCell ref="AQ56:AR56"/>
    <mergeCell ref="AS56:AT56"/>
    <mergeCell ref="B55:C55"/>
    <mergeCell ref="AH55:AL55"/>
    <mergeCell ref="AM55:AN55"/>
    <mergeCell ref="AO55:AP55"/>
    <mergeCell ref="AQ55:AR55"/>
    <mergeCell ref="AS55:AT55"/>
    <mergeCell ref="B54:C54"/>
    <mergeCell ref="AH54:AL54"/>
    <mergeCell ref="AM54:AN54"/>
    <mergeCell ref="AO54:AP54"/>
    <mergeCell ref="AQ54:AR54"/>
    <mergeCell ref="AS54:AT54"/>
    <mergeCell ref="B53:C53"/>
    <mergeCell ref="AH53:AL53"/>
    <mergeCell ref="AM53:AN53"/>
    <mergeCell ref="AO53:AP53"/>
    <mergeCell ref="AQ53:AR53"/>
    <mergeCell ref="AS53:AT53"/>
    <mergeCell ref="B52:C52"/>
    <mergeCell ref="AH52:AL52"/>
    <mergeCell ref="AM52:AN52"/>
    <mergeCell ref="AO52:AP52"/>
    <mergeCell ref="AQ52:AR52"/>
    <mergeCell ref="AS52:AT52"/>
    <mergeCell ref="B51:C51"/>
    <mergeCell ref="AH51:AL51"/>
    <mergeCell ref="AM51:AN51"/>
    <mergeCell ref="AO51:AP51"/>
    <mergeCell ref="AQ51:AR51"/>
    <mergeCell ref="AS51:AT51"/>
    <mergeCell ref="B50:C50"/>
    <mergeCell ref="AH50:AL50"/>
    <mergeCell ref="AM50:AN50"/>
    <mergeCell ref="AO50:AP50"/>
    <mergeCell ref="AQ50:AR50"/>
    <mergeCell ref="AS50:AT50"/>
    <mergeCell ref="B49:C49"/>
    <mergeCell ref="AH49:AL49"/>
    <mergeCell ref="AM49:AN49"/>
    <mergeCell ref="AO49:AP49"/>
    <mergeCell ref="AQ49:AR49"/>
    <mergeCell ref="AS49:AT49"/>
    <mergeCell ref="B48:C48"/>
    <mergeCell ref="AH48:AL48"/>
    <mergeCell ref="AM48:AN48"/>
    <mergeCell ref="AO48:AP48"/>
    <mergeCell ref="AQ48:AR48"/>
    <mergeCell ref="AS48:AT48"/>
    <mergeCell ref="B47:C47"/>
    <mergeCell ref="AH47:AL47"/>
    <mergeCell ref="AM47:AN47"/>
    <mergeCell ref="AO47:AP47"/>
    <mergeCell ref="AQ47:AR47"/>
    <mergeCell ref="AS47:AT47"/>
    <mergeCell ref="B46:C46"/>
    <mergeCell ref="AH46:AL46"/>
    <mergeCell ref="AM46:AN46"/>
    <mergeCell ref="AO46:AP46"/>
    <mergeCell ref="AQ46:AR46"/>
    <mergeCell ref="AS46:AT46"/>
    <mergeCell ref="B45:C45"/>
    <mergeCell ref="AH45:AL45"/>
    <mergeCell ref="AM45:AN45"/>
    <mergeCell ref="AO45:AP45"/>
    <mergeCell ref="AQ45:AR45"/>
    <mergeCell ref="AS45:AT45"/>
    <mergeCell ref="B44:C44"/>
    <mergeCell ref="AH44:AL44"/>
    <mergeCell ref="AM44:AN44"/>
    <mergeCell ref="AO44:AP44"/>
    <mergeCell ref="AQ44:AR44"/>
    <mergeCell ref="AS44:AT44"/>
    <mergeCell ref="B43:C43"/>
    <mergeCell ref="AH43:AL43"/>
    <mergeCell ref="AM43:AN43"/>
    <mergeCell ref="AO43:AP43"/>
    <mergeCell ref="AQ43:AR43"/>
    <mergeCell ref="AS43:AT43"/>
    <mergeCell ref="B42:C42"/>
    <mergeCell ref="AH42:AL42"/>
    <mergeCell ref="AM42:AN42"/>
    <mergeCell ref="AO42:AP42"/>
    <mergeCell ref="AQ42:AR42"/>
    <mergeCell ref="AS42:AT42"/>
    <mergeCell ref="B41:C41"/>
    <mergeCell ref="AH41:AL41"/>
    <mergeCell ref="AM41:AN41"/>
    <mergeCell ref="AO41:AP41"/>
    <mergeCell ref="AQ41:AR41"/>
    <mergeCell ref="AS41:AT41"/>
    <mergeCell ref="B40:C40"/>
    <mergeCell ref="AH40:AL40"/>
    <mergeCell ref="AM40:AN40"/>
    <mergeCell ref="AO40:AP40"/>
    <mergeCell ref="AQ40:AR40"/>
    <mergeCell ref="AS40:AT40"/>
    <mergeCell ref="B39:C39"/>
    <mergeCell ref="AH39:AL39"/>
    <mergeCell ref="AM39:AN39"/>
    <mergeCell ref="AO39:AP39"/>
    <mergeCell ref="AQ39:AR39"/>
    <mergeCell ref="AS39:AT39"/>
    <mergeCell ref="B38:C38"/>
    <mergeCell ref="AH38:AL38"/>
    <mergeCell ref="AM38:AN38"/>
    <mergeCell ref="AO38:AP38"/>
    <mergeCell ref="AQ38:AR38"/>
    <mergeCell ref="AS38:AT38"/>
    <mergeCell ref="B37:C37"/>
    <mergeCell ref="AH37:AL37"/>
    <mergeCell ref="AM37:AN37"/>
    <mergeCell ref="AO37:AP37"/>
    <mergeCell ref="AQ37:AR37"/>
    <mergeCell ref="AS37:AT37"/>
    <mergeCell ref="B36:C36"/>
    <mergeCell ref="AH36:AL36"/>
    <mergeCell ref="AM36:AN36"/>
    <mergeCell ref="AO36:AP36"/>
    <mergeCell ref="AQ36:AR36"/>
    <mergeCell ref="AS36:AT36"/>
    <mergeCell ref="B35:C35"/>
    <mergeCell ref="AH35:AL35"/>
    <mergeCell ref="AM35:AN35"/>
    <mergeCell ref="AO35:AP35"/>
    <mergeCell ref="AQ35:AR35"/>
    <mergeCell ref="AS35:AT35"/>
    <mergeCell ref="B34:C34"/>
    <mergeCell ref="AH34:AL34"/>
    <mergeCell ref="AM34:AN34"/>
    <mergeCell ref="AO34:AP34"/>
    <mergeCell ref="AQ34:AR34"/>
    <mergeCell ref="AS34:AT34"/>
    <mergeCell ref="B33:C33"/>
    <mergeCell ref="AH33:AL33"/>
    <mergeCell ref="AM33:AN33"/>
    <mergeCell ref="AO33:AP33"/>
    <mergeCell ref="AQ33:AR33"/>
    <mergeCell ref="AS33:AT33"/>
    <mergeCell ref="B32:C32"/>
    <mergeCell ref="AH32:AL32"/>
    <mergeCell ref="AM32:AN32"/>
    <mergeCell ref="AO32:AP32"/>
    <mergeCell ref="AQ32:AR32"/>
    <mergeCell ref="AS32:AT32"/>
    <mergeCell ref="B31:C31"/>
    <mergeCell ref="AH31:AL31"/>
    <mergeCell ref="AM31:AN31"/>
    <mergeCell ref="AO31:AP31"/>
    <mergeCell ref="AQ31:AR31"/>
    <mergeCell ref="AS31:AT31"/>
    <mergeCell ref="B30:C30"/>
    <mergeCell ref="AH30:AL30"/>
    <mergeCell ref="AM30:AN30"/>
    <mergeCell ref="AO30:AP30"/>
    <mergeCell ref="AQ30:AR30"/>
    <mergeCell ref="AS30:AT30"/>
    <mergeCell ref="B29:C29"/>
    <mergeCell ref="AH29:AL29"/>
    <mergeCell ref="AM29:AN29"/>
    <mergeCell ref="AO29:AP29"/>
    <mergeCell ref="AQ29:AR29"/>
    <mergeCell ref="AS29:AT29"/>
    <mergeCell ref="B28:C28"/>
    <mergeCell ref="AH28:AL28"/>
    <mergeCell ref="AM28:AN28"/>
    <mergeCell ref="AO28:AP28"/>
    <mergeCell ref="AQ28:AR28"/>
    <mergeCell ref="AS28:AT28"/>
    <mergeCell ref="B27:C27"/>
    <mergeCell ref="AH27:AL27"/>
    <mergeCell ref="AM27:AN27"/>
    <mergeCell ref="AO27:AP27"/>
    <mergeCell ref="AQ27:AR27"/>
    <mergeCell ref="AS27:AT27"/>
    <mergeCell ref="B26:C26"/>
    <mergeCell ref="AH26:AL26"/>
    <mergeCell ref="AM26:AN26"/>
    <mergeCell ref="AO26:AP26"/>
    <mergeCell ref="AQ26:AR26"/>
    <mergeCell ref="AS26:AT26"/>
    <mergeCell ref="B25:C25"/>
    <mergeCell ref="AH25:AL25"/>
    <mergeCell ref="AM25:AN25"/>
    <mergeCell ref="AO25:AP25"/>
    <mergeCell ref="AQ25:AR25"/>
    <mergeCell ref="AS25:AT25"/>
    <mergeCell ref="B24:C24"/>
    <mergeCell ref="AH24:AL24"/>
    <mergeCell ref="AM24:AN24"/>
    <mergeCell ref="AO24:AP24"/>
    <mergeCell ref="AQ24:AR24"/>
    <mergeCell ref="AS24:AT24"/>
    <mergeCell ref="B23:C23"/>
    <mergeCell ref="AH23:AL23"/>
    <mergeCell ref="AM23:AN23"/>
    <mergeCell ref="AO23:AP23"/>
    <mergeCell ref="AQ23:AR23"/>
    <mergeCell ref="AS23:AT23"/>
    <mergeCell ref="B22:C22"/>
    <mergeCell ref="AH22:AL22"/>
    <mergeCell ref="AM22:AN22"/>
    <mergeCell ref="AO22:AP22"/>
    <mergeCell ref="AQ22:AR22"/>
    <mergeCell ref="AS22:AT22"/>
    <mergeCell ref="B21:C21"/>
    <mergeCell ref="AH21:AL21"/>
    <mergeCell ref="AM21:AN21"/>
    <mergeCell ref="AO21:AP21"/>
    <mergeCell ref="AQ21:AR21"/>
    <mergeCell ref="AS21:AT21"/>
    <mergeCell ref="B20:C20"/>
    <mergeCell ref="AH20:AL20"/>
    <mergeCell ref="AM20:AN20"/>
    <mergeCell ref="AO20:AP20"/>
    <mergeCell ref="AQ20:AR20"/>
    <mergeCell ref="AS20:AT20"/>
    <mergeCell ref="B19:C19"/>
    <mergeCell ref="AH19:AL19"/>
    <mergeCell ref="AM19:AN19"/>
    <mergeCell ref="AO19:AP19"/>
    <mergeCell ref="AQ19:AR19"/>
    <mergeCell ref="AS19:AT19"/>
    <mergeCell ref="B18:C18"/>
    <mergeCell ref="AH18:AL18"/>
    <mergeCell ref="AM18:AN18"/>
    <mergeCell ref="AO18:AP18"/>
    <mergeCell ref="AQ18:AR18"/>
    <mergeCell ref="AS18:AT18"/>
    <mergeCell ref="B17:C17"/>
    <mergeCell ref="AH17:AL17"/>
    <mergeCell ref="AM17:AN17"/>
    <mergeCell ref="AO17:AP17"/>
    <mergeCell ref="AQ17:AR17"/>
    <mergeCell ref="AS17:AT17"/>
    <mergeCell ref="AS15:AT15"/>
    <mergeCell ref="B16:C16"/>
    <mergeCell ref="AH16:AL16"/>
    <mergeCell ref="AM16:AN16"/>
    <mergeCell ref="AO16:AP16"/>
    <mergeCell ref="AQ16:AR16"/>
    <mergeCell ref="AS16:AT16"/>
    <mergeCell ref="B15:C15"/>
    <mergeCell ref="L15:S15"/>
    <mergeCell ref="AH15:AL15"/>
    <mergeCell ref="AM15:AN15"/>
    <mergeCell ref="AO15:AP15"/>
    <mergeCell ref="AQ15:AR15"/>
    <mergeCell ref="B14:C14"/>
    <mergeCell ref="AH14:AL14"/>
    <mergeCell ref="AM14:AN14"/>
    <mergeCell ref="AO14:AP14"/>
    <mergeCell ref="AQ14:AR14"/>
    <mergeCell ref="AS14:AT14"/>
    <mergeCell ref="B13:C13"/>
    <mergeCell ref="AH13:AL13"/>
    <mergeCell ref="AM13:AN13"/>
    <mergeCell ref="AO13:AP13"/>
    <mergeCell ref="AQ13:AR13"/>
    <mergeCell ref="AS13:AT13"/>
    <mergeCell ref="B12:C12"/>
    <mergeCell ref="AH12:AL12"/>
    <mergeCell ref="AM12:AN12"/>
    <mergeCell ref="AO12:AP12"/>
    <mergeCell ref="AQ12:AR12"/>
    <mergeCell ref="AS12:AT12"/>
    <mergeCell ref="B11:C11"/>
    <mergeCell ref="AH11:AL11"/>
    <mergeCell ref="AM11:AN11"/>
    <mergeCell ref="AO11:AP11"/>
    <mergeCell ref="AQ11:AR11"/>
    <mergeCell ref="AS11:AT11"/>
    <mergeCell ref="B10:C10"/>
    <mergeCell ref="AH10:AL10"/>
    <mergeCell ref="AM10:AN10"/>
    <mergeCell ref="AO10:AP10"/>
    <mergeCell ref="AQ10:AR10"/>
    <mergeCell ref="AS10:AT10"/>
    <mergeCell ref="AS8:AT8"/>
    <mergeCell ref="B9:C9"/>
    <mergeCell ref="AH9:AL9"/>
    <mergeCell ref="AM9:AN9"/>
    <mergeCell ref="AO9:AP9"/>
    <mergeCell ref="AQ9:AR9"/>
    <mergeCell ref="AS9:AT9"/>
    <mergeCell ref="AB7:AD7"/>
    <mergeCell ref="AE7:AG7"/>
    <mergeCell ref="AO7:AP7"/>
    <mergeCell ref="AQ7:AR7"/>
    <mergeCell ref="B8:C8"/>
    <mergeCell ref="AH8:AL8"/>
    <mergeCell ref="AM8:AN8"/>
    <mergeCell ref="AO8:AP8"/>
    <mergeCell ref="AQ8:AR8"/>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61">
    <cfRule type="expression" dxfId="5" priority="1">
      <formula>$S8&gt;0</formula>
    </cfRule>
  </conditionalFormatting>
  <dataValidations count="1">
    <dataValidation type="list" allowBlank="1" showInputMessage="1" showErrorMessage="1" sqref="AH8:AH61" xr:uid="{549B684F-C2A8-4C65-A2D6-CD301398AACC}">
      <formula1>"character varying,numeric,timestamp"</formula1>
    </dataValidation>
  </dataValidations>
  <printOptions horizontalCentered="1"/>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CD39"/>
  <sheetViews>
    <sheetView showGridLines="0" view="pageBreakPreview" zoomScale="85" zoomScaleNormal="70" zoomScaleSheetLayoutView="85" workbookViewId="0">
      <pane xSplit="39" ySplit="9" topLeftCell="AN10" activePane="bottomRight" state="frozen"/>
      <selection activeCell="AQ19" sqref="AQ19:BQ19"/>
      <selection pane="topRight" activeCell="AQ19" sqref="AQ19:BQ19"/>
      <selection pane="bottomLeft" activeCell="AQ19" sqref="AQ19:BQ19"/>
      <selection pane="bottomRight" activeCell="O10" sqref="O10:U39"/>
    </sheetView>
  </sheetViews>
  <sheetFormatPr defaultColWidth="2" defaultRowHeight="11.25" customHeight="1"/>
  <cols>
    <col min="1" max="1" width="1.08984375" style="50" customWidth="1"/>
    <col min="2" max="2" width="2.6328125" style="50" customWidth="1"/>
    <col min="3" max="5" width="2.6328125" style="47" customWidth="1"/>
    <col min="6" max="6" width="2.6328125" style="49" customWidth="1"/>
    <col min="7" max="9" width="2.6328125" style="48" customWidth="1"/>
    <col min="10" max="68" width="2.6328125" style="47" customWidth="1"/>
    <col min="69" max="71" width="2.90625" style="47" customWidth="1"/>
    <col min="72" max="78" width="2.81640625" style="47" customWidth="1"/>
    <col min="79" max="251" width="2" style="47"/>
    <col min="252" max="324" width="2.6328125" style="47" customWidth="1"/>
    <col min="325" max="507" width="2" style="47"/>
    <col min="508" max="580" width="2.6328125" style="47" customWidth="1"/>
    <col min="581" max="763" width="2" style="47"/>
    <col min="764" max="836" width="2.6328125" style="47" customWidth="1"/>
    <col min="837" max="1019" width="2" style="47"/>
    <col min="1020" max="1092" width="2.6328125" style="47" customWidth="1"/>
    <col min="1093" max="1275" width="2" style="47"/>
    <col min="1276" max="1348" width="2.6328125" style="47" customWidth="1"/>
    <col min="1349" max="1531" width="2" style="47"/>
    <col min="1532" max="1604" width="2.6328125" style="47" customWidth="1"/>
    <col min="1605" max="1787" width="2" style="47"/>
    <col min="1788" max="1860" width="2.6328125" style="47" customWidth="1"/>
    <col min="1861" max="2043" width="2" style="47"/>
    <col min="2044" max="2116" width="2.6328125" style="47" customWidth="1"/>
    <col min="2117" max="2299" width="2" style="47"/>
    <col min="2300" max="2372" width="2.6328125" style="47" customWidth="1"/>
    <col min="2373" max="2555" width="2" style="47"/>
    <col min="2556" max="2628" width="2.6328125" style="47" customWidth="1"/>
    <col min="2629" max="2811" width="2" style="47"/>
    <col min="2812" max="2884" width="2.6328125" style="47" customWidth="1"/>
    <col min="2885" max="3067" width="2" style="47"/>
    <col min="3068" max="3140" width="2.6328125" style="47" customWidth="1"/>
    <col min="3141" max="3323" width="2" style="47"/>
    <col min="3324" max="3396" width="2.6328125" style="47" customWidth="1"/>
    <col min="3397" max="3579" width="2" style="47"/>
    <col min="3580" max="3652" width="2.6328125" style="47" customWidth="1"/>
    <col min="3653" max="3835" width="2" style="47"/>
    <col min="3836" max="3908" width="2.6328125" style="47" customWidth="1"/>
    <col min="3909" max="4091" width="2" style="47"/>
    <col min="4092" max="4164" width="2.6328125" style="47" customWidth="1"/>
    <col min="4165" max="4347" width="2" style="47"/>
    <col min="4348" max="4420" width="2.6328125" style="47" customWidth="1"/>
    <col min="4421" max="4603" width="2" style="47"/>
    <col min="4604" max="4676" width="2.6328125" style="47" customWidth="1"/>
    <col min="4677" max="4859" width="2" style="47"/>
    <col min="4860" max="4932" width="2.6328125" style="47" customWidth="1"/>
    <col min="4933" max="5115" width="2" style="47"/>
    <col min="5116" max="5188" width="2.6328125" style="47" customWidth="1"/>
    <col min="5189" max="5371" width="2" style="47"/>
    <col min="5372" max="5444" width="2.6328125" style="47" customWidth="1"/>
    <col min="5445" max="5627" width="2" style="47"/>
    <col min="5628" max="5700" width="2.6328125" style="47" customWidth="1"/>
    <col min="5701" max="5883" width="2" style="47"/>
    <col min="5884" max="5956" width="2.6328125" style="47" customWidth="1"/>
    <col min="5957" max="6139" width="2" style="47"/>
    <col min="6140" max="6212" width="2.6328125" style="47" customWidth="1"/>
    <col min="6213" max="6395" width="2" style="47"/>
    <col min="6396" max="6468" width="2.6328125" style="47" customWidth="1"/>
    <col min="6469" max="6651" width="2" style="47"/>
    <col min="6652" max="6724" width="2.6328125" style="47" customWidth="1"/>
    <col min="6725" max="6907" width="2" style="47"/>
    <col min="6908" max="6980" width="2.6328125" style="47" customWidth="1"/>
    <col min="6981" max="7163" width="2" style="47"/>
    <col min="7164" max="7236" width="2.6328125" style="47" customWidth="1"/>
    <col min="7237" max="7419" width="2" style="47"/>
    <col min="7420" max="7492" width="2.6328125" style="47" customWidth="1"/>
    <col min="7493" max="7675" width="2" style="47"/>
    <col min="7676" max="7748" width="2.6328125" style="47" customWidth="1"/>
    <col min="7749" max="7931" width="2" style="47"/>
    <col min="7932" max="8004" width="2.6328125" style="47" customWidth="1"/>
    <col min="8005" max="8187" width="2" style="47"/>
    <col min="8188" max="8260" width="2.6328125" style="47" customWidth="1"/>
    <col min="8261" max="8443" width="2" style="47"/>
    <col min="8444" max="8516" width="2.6328125" style="47" customWidth="1"/>
    <col min="8517" max="8699" width="2" style="47"/>
    <col min="8700" max="8772" width="2.6328125" style="47" customWidth="1"/>
    <col min="8773" max="8955" width="2" style="47"/>
    <col min="8956" max="9028" width="2.6328125" style="47" customWidth="1"/>
    <col min="9029" max="9211" width="2" style="47"/>
    <col min="9212" max="9284" width="2.6328125" style="47" customWidth="1"/>
    <col min="9285" max="9467" width="2" style="47"/>
    <col min="9468" max="9540" width="2.6328125" style="47" customWidth="1"/>
    <col min="9541" max="9723" width="2" style="47"/>
    <col min="9724" max="9796" width="2.6328125" style="47" customWidth="1"/>
    <col min="9797" max="9979" width="2" style="47"/>
    <col min="9980" max="10052" width="2.6328125" style="47" customWidth="1"/>
    <col min="10053" max="10235" width="2" style="47"/>
    <col min="10236" max="10308" width="2.6328125" style="47" customWidth="1"/>
    <col min="10309" max="10491" width="2" style="47"/>
    <col min="10492" max="10564" width="2.6328125" style="47" customWidth="1"/>
    <col min="10565" max="10747" width="2" style="47"/>
    <col min="10748" max="10820" width="2.6328125" style="47" customWidth="1"/>
    <col min="10821" max="11003" width="2" style="47"/>
    <col min="11004" max="11076" width="2.6328125" style="47" customWidth="1"/>
    <col min="11077" max="11259" width="2" style="47"/>
    <col min="11260" max="11332" width="2.6328125" style="47" customWidth="1"/>
    <col min="11333" max="11515" width="2" style="47"/>
    <col min="11516" max="11588" width="2.6328125" style="47" customWidth="1"/>
    <col min="11589" max="11771" width="2" style="47"/>
    <col min="11772" max="11844" width="2.6328125" style="47" customWidth="1"/>
    <col min="11845" max="12027" width="2" style="47"/>
    <col min="12028" max="12100" width="2.6328125" style="47" customWidth="1"/>
    <col min="12101" max="12283" width="2" style="47"/>
    <col min="12284" max="12356" width="2.6328125" style="47" customWidth="1"/>
    <col min="12357" max="12539" width="2" style="47"/>
    <col min="12540" max="12612" width="2.6328125" style="47" customWidth="1"/>
    <col min="12613" max="12795" width="2" style="47"/>
    <col min="12796" max="12868" width="2.6328125" style="47" customWidth="1"/>
    <col min="12869" max="13051" width="2" style="47"/>
    <col min="13052" max="13124" width="2.6328125" style="47" customWidth="1"/>
    <col min="13125" max="13307" width="2" style="47"/>
    <col min="13308" max="13380" width="2.6328125" style="47" customWidth="1"/>
    <col min="13381" max="13563" width="2" style="47"/>
    <col min="13564" max="13636" width="2.6328125" style="47" customWidth="1"/>
    <col min="13637" max="13819" width="2" style="47"/>
    <col min="13820" max="13892" width="2.6328125" style="47" customWidth="1"/>
    <col min="13893" max="14075" width="2" style="47"/>
    <col min="14076" max="14148" width="2.6328125" style="47" customWidth="1"/>
    <col min="14149" max="14331" width="2" style="47"/>
    <col min="14332" max="14404" width="2.6328125" style="47" customWidth="1"/>
    <col min="14405" max="14587" width="2" style="47"/>
    <col min="14588" max="14660" width="2.6328125" style="47" customWidth="1"/>
    <col min="14661" max="14843" width="2" style="47"/>
    <col min="14844" max="14916" width="2.6328125" style="47" customWidth="1"/>
    <col min="14917" max="15099" width="2" style="47"/>
    <col min="15100" max="15172" width="2.6328125" style="47" customWidth="1"/>
    <col min="15173" max="15355" width="2" style="47"/>
    <col min="15356" max="15428" width="2.6328125" style="47" customWidth="1"/>
    <col min="15429" max="15611" width="2" style="47"/>
    <col min="15612" max="15684" width="2.6328125" style="47" customWidth="1"/>
    <col min="15685" max="15867" width="2" style="47"/>
    <col min="15868" max="15940" width="2.6328125" style="47" customWidth="1"/>
    <col min="15941" max="16123" width="2" style="47"/>
    <col min="16124" max="16196" width="2.6328125" style="47" customWidth="1"/>
    <col min="16197" max="16384" width="2" style="47"/>
  </cols>
  <sheetData>
    <row r="1" spans="2:82" s="36" customFormat="1" ht="3" customHeight="1" thickBot="1"/>
    <row r="2" spans="2:82" s="102" customFormat="1" ht="14.25" customHeight="1" thickTop="1">
      <c r="B2" s="386" t="s">
        <v>386</v>
      </c>
      <c r="C2" s="387"/>
      <c r="D2" s="387"/>
      <c r="E2" s="387"/>
      <c r="F2" s="387"/>
      <c r="G2" s="387"/>
      <c r="H2" s="387"/>
      <c r="I2" s="388"/>
      <c r="J2" s="423" t="s">
        <v>385</v>
      </c>
      <c r="K2" s="423"/>
      <c r="L2" s="423"/>
      <c r="M2" s="423"/>
      <c r="N2" s="424"/>
      <c r="O2" s="425" t="s">
        <v>384</v>
      </c>
      <c r="P2" s="423"/>
      <c r="Q2" s="423"/>
      <c r="R2" s="423"/>
      <c r="S2" s="424"/>
      <c r="T2" s="425" t="s">
        <v>383</v>
      </c>
      <c r="U2" s="423"/>
      <c r="V2" s="423"/>
      <c r="W2" s="423"/>
      <c r="X2" s="423"/>
      <c r="Y2" s="423"/>
      <c r="Z2" s="423"/>
      <c r="AA2" s="423"/>
      <c r="AB2" s="423"/>
      <c r="AC2" s="423"/>
      <c r="AD2" s="423"/>
      <c r="AE2" s="423"/>
      <c r="AF2" s="424"/>
      <c r="AG2" s="426"/>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7"/>
      <c r="BH2" s="427"/>
      <c r="BI2" s="427"/>
      <c r="BJ2" s="428"/>
      <c r="BK2" s="432" t="s">
        <v>12</v>
      </c>
      <c r="BL2" s="432"/>
      <c r="BM2" s="432"/>
      <c r="BN2" s="425" t="s">
        <v>13</v>
      </c>
      <c r="BO2" s="423"/>
      <c r="BP2" s="423"/>
      <c r="BQ2" s="424"/>
      <c r="BR2" s="432" t="s">
        <v>14</v>
      </c>
      <c r="BS2" s="432"/>
      <c r="BT2" s="432" t="s">
        <v>15</v>
      </c>
      <c r="BU2" s="432"/>
      <c r="BV2" s="432"/>
      <c r="BW2" s="425" t="s">
        <v>16</v>
      </c>
      <c r="BX2" s="423"/>
      <c r="BY2" s="423"/>
      <c r="BZ2" s="424"/>
      <c r="CA2" s="412"/>
      <c r="CB2" s="412"/>
      <c r="CC2" s="413"/>
    </row>
    <row r="3" spans="2:82" s="102" customFormat="1" ht="18.75" customHeight="1" thickBot="1">
      <c r="B3" s="389"/>
      <c r="C3" s="390"/>
      <c r="D3" s="390"/>
      <c r="E3" s="390"/>
      <c r="F3" s="390"/>
      <c r="G3" s="390"/>
      <c r="H3" s="390"/>
      <c r="I3" s="391"/>
      <c r="J3" s="414" t="s">
        <v>17</v>
      </c>
      <c r="K3" s="414"/>
      <c r="L3" s="414"/>
      <c r="M3" s="414"/>
      <c r="N3" s="415"/>
      <c r="O3" s="276">
        <v>3.07</v>
      </c>
      <c r="P3" s="274"/>
      <c r="Q3" s="274"/>
      <c r="R3" s="274"/>
      <c r="S3" s="275"/>
      <c r="T3" s="416" t="s">
        <v>382</v>
      </c>
      <c r="U3" s="414"/>
      <c r="V3" s="414"/>
      <c r="W3" s="414"/>
      <c r="X3" s="414"/>
      <c r="Y3" s="414"/>
      <c r="Z3" s="414"/>
      <c r="AA3" s="414"/>
      <c r="AB3" s="414"/>
      <c r="AC3" s="414"/>
      <c r="AD3" s="414"/>
      <c r="AE3" s="414"/>
      <c r="AF3" s="415"/>
      <c r="AG3" s="429"/>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0"/>
      <c r="BH3" s="430"/>
      <c r="BI3" s="430"/>
      <c r="BJ3" s="431"/>
      <c r="BK3" s="417"/>
      <c r="BL3" s="418"/>
      <c r="BM3" s="419"/>
      <c r="BN3" s="420"/>
      <c r="BO3" s="421"/>
      <c r="BP3" s="421"/>
      <c r="BQ3" s="422"/>
      <c r="BR3" s="433" t="s">
        <v>19</v>
      </c>
      <c r="BS3" s="433"/>
      <c r="BT3" s="417" t="s">
        <v>20</v>
      </c>
      <c r="BU3" s="418"/>
      <c r="BV3" s="419"/>
      <c r="BW3" s="420">
        <v>42964</v>
      </c>
      <c r="BX3" s="421"/>
      <c r="BY3" s="421"/>
      <c r="BZ3" s="422"/>
      <c r="CA3" s="414"/>
      <c r="CB3" s="414"/>
      <c r="CC3" s="415"/>
    </row>
    <row r="4" spans="2:82" s="36" customFormat="1" ht="5.25" customHeight="1" thickTop="1">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row>
    <row r="5" spans="2:82" s="75" customFormat="1" ht="13.5" customHeight="1">
      <c r="B5" s="400" t="s">
        <v>381</v>
      </c>
      <c r="C5" s="401"/>
      <c r="D5" s="401"/>
      <c r="E5" s="401"/>
      <c r="F5" s="402"/>
      <c r="G5" s="403" t="s">
        <v>380</v>
      </c>
      <c r="H5" s="404"/>
      <c r="I5" s="404"/>
      <c r="J5" s="404"/>
      <c r="K5" s="404"/>
      <c r="L5" s="404"/>
      <c r="M5" s="404"/>
      <c r="N5" s="404"/>
      <c r="O5" s="404"/>
      <c r="P5" s="404"/>
      <c r="Q5" s="404"/>
      <c r="R5" s="405" t="s">
        <v>379</v>
      </c>
      <c r="S5" s="406"/>
      <c r="T5" s="406"/>
      <c r="U5" s="406"/>
      <c r="V5" s="406"/>
      <c r="W5" s="406"/>
      <c r="X5" s="407"/>
      <c r="Y5" s="408" t="s">
        <v>378</v>
      </c>
      <c r="Z5" s="409"/>
      <c r="AA5" s="409"/>
      <c r="AB5" s="409"/>
      <c r="AC5" s="409"/>
      <c r="AD5" s="409"/>
      <c r="AE5" s="438" t="s">
        <v>377</v>
      </c>
      <c r="AF5" s="439"/>
      <c r="AG5" s="439"/>
      <c r="AH5" s="439"/>
      <c r="AI5" s="439"/>
      <c r="AJ5" s="439"/>
      <c r="AK5" s="440"/>
      <c r="AL5" s="101" t="s">
        <v>376</v>
      </c>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99"/>
      <c r="BS5" s="99"/>
      <c r="BT5" s="99"/>
      <c r="BU5" s="99"/>
      <c r="BV5" s="99"/>
      <c r="BW5" s="99"/>
      <c r="BX5" s="99"/>
      <c r="BY5" s="99"/>
      <c r="BZ5" s="99"/>
      <c r="CA5" s="99"/>
      <c r="CB5" s="99"/>
      <c r="CC5" s="99"/>
      <c r="CD5" s="98"/>
    </row>
    <row r="6" spans="2:82" s="75" customFormat="1" ht="13.5" customHeight="1">
      <c r="B6" s="400" t="s">
        <v>375</v>
      </c>
      <c r="C6" s="401"/>
      <c r="D6" s="401"/>
      <c r="E6" s="401"/>
      <c r="F6" s="402"/>
      <c r="G6" s="380" t="s">
        <v>374</v>
      </c>
      <c r="H6" s="447"/>
      <c r="I6" s="447"/>
      <c r="J6" s="447"/>
      <c r="K6" s="447"/>
      <c r="L6" s="447"/>
      <c r="M6" s="447"/>
      <c r="N6" s="447"/>
      <c r="O6" s="447"/>
      <c r="P6" s="447"/>
      <c r="Q6" s="381"/>
      <c r="R6" s="410" t="s">
        <v>373</v>
      </c>
      <c r="S6" s="410"/>
      <c r="T6" s="410"/>
      <c r="U6" s="410"/>
      <c r="V6" s="408"/>
      <c r="W6" s="411"/>
      <c r="X6" s="434" t="s">
        <v>372</v>
      </c>
      <c r="Y6" s="406"/>
      <c r="Z6" s="406"/>
      <c r="AA6" s="406"/>
      <c r="AB6" s="407"/>
      <c r="AC6" s="408"/>
      <c r="AD6" s="409"/>
      <c r="AE6" s="441"/>
      <c r="AF6" s="442"/>
      <c r="AG6" s="442"/>
      <c r="AH6" s="442"/>
      <c r="AI6" s="442"/>
      <c r="AJ6" s="442"/>
      <c r="AK6" s="443"/>
      <c r="AL6" s="97"/>
      <c r="AM6" s="82"/>
      <c r="AN6" s="82"/>
      <c r="AO6" s="82"/>
      <c r="AP6" s="82"/>
      <c r="AQ6" s="82"/>
      <c r="AR6" s="82"/>
      <c r="AS6" s="82"/>
      <c r="AT6" s="82"/>
      <c r="AU6" s="82"/>
      <c r="AV6" s="82"/>
      <c r="AW6" s="82"/>
      <c r="AX6" s="96"/>
      <c r="AY6" s="96"/>
      <c r="AZ6" s="96"/>
      <c r="BA6" s="96"/>
      <c r="BB6" s="96"/>
      <c r="BC6" s="96"/>
      <c r="BD6" s="95"/>
      <c r="BE6" s="95"/>
      <c r="BF6" s="95"/>
      <c r="BG6" s="95"/>
      <c r="BH6" s="95"/>
      <c r="BI6" s="95"/>
      <c r="BJ6" s="95"/>
      <c r="BK6" s="95"/>
      <c r="BL6" s="95"/>
      <c r="BM6" s="95"/>
      <c r="BN6" s="95"/>
      <c r="BO6" s="95"/>
      <c r="BP6" s="95"/>
      <c r="BQ6" s="95"/>
      <c r="CD6" s="94"/>
    </row>
    <row r="7" spans="2:82" s="75" customFormat="1" ht="13.5" customHeight="1">
      <c r="B7" s="400" t="s">
        <v>371</v>
      </c>
      <c r="C7" s="401"/>
      <c r="D7" s="401"/>
      <c r="E7" s="401"/>
      <c r="F7" s="402"/>
      <c r="G7" s="403" t="s">
        <v>370</v>
      </c>
      <c r="H7" s="404"/>
      <c r="I7" s="404"/>
      <c r="J7" s="404"/>
      <c r="K7" s="404"/>
      <c r="L7" s="404"/>
      <c r="M7" s="404"/>
      <c r="N7" s="404"/>
      <c r="O7" s="404"/>
      <c r="P7" s="404"/>
      <c r="Q7" s="404"/>
      <c r="R7" s="400" t="s">
        <v>369</v>
      </c>
      <c r="S7" s="406"/>
      <c r="T7" s="406"/>
      <c r="U7" s="406"/>
      <c r="V7" s="406"/>
      <c r="W7" s="406"/>
      <c r="X7" s="407"/>
      <c r="Y7" s="435">
        <f>IF($G$5="可変長ラインシーケンシャル","－",IF($G$5="CSV",SUM(AJ9:AK16)+MAX(B9:C28)-1,SUM(AJ9:AK16)))</f>
        <v>150</v>
      </c>
      <c r="Z7" s="436"/>
      <c r="AA7" s="436"/>
      <c r="AB7" s="436"/>
      <c r="AC7" s="437" t="s">
        <v>357</v>
      </c>
      <c r="AD7" s="437"/>
      <c r="AE7" s="444"/>
      <c r="AF7" s="445"/>
      <c r="AG7" s="445"/>
      <c r="AH7" s="445"/>
      <c r="AI7" s="445"/>
      <c r="AJ7" s="445"/>
      <c r="AK7" s="446"/>
      <c r="AL7" s="93"/>
      <c r="AM7" s="92"/>
      <c r="AN7" s="89"/>
      <c r="AO7" s="89"/>
      <c r="AP7" s="89"/>
      <c r="AQ7" s="89"/>
      <c r="AR7" s="89"/>
      <c r="AS7" s="91"/>
      <c r="AT7" s="91"/>
      <c r="AU7" s="91"/>
      <c r="AV7" s="91"/>
      <c r="AW7" s="90"/>
      <c r="AX7" s="89"/>
      <c r="AY7" s="89"/>
      <c r="AZ7" s="89"/>
      <c r="BA7" s="89"/>
      <c r="BB7" s="89"/>
      <c r="BC7" s="89"/>
      <c r="BD7" s="88"/>
      <c r="BE7" s="88"/>
      <c r="BF7" s="88"/>
      <c r="BG7" s="88"/>
      <c r="BH7" s="88"/>
      <c r="BI7" s="88"/>
      <c r="BJ7" s="88"/>
      <c r="BK7" s="88"/>
      <c r="BL7" s="88"/>
      <c r="BM7" s="88"/>
      <c r="BN7" s="88"/>
      <c r="BO7" s="88"/>
      <c r="BP7" s="88"/>
      <c r="BQ7" s="88"/>
      <c r="BR7" s="87"/>
      <c r="BS7" s="87"/>
      <c r="BT7" s="87"/>
      <c r="BU7" s="87"/>
      <c r="BV7" s="87"/>
      <c r="BW7" s="87"/>
      <c r="BX7" s="87"/>
      <c r="BY7" s="87"/>
      <c r="BZ7" s="87"/>
      <c r="CA7" s="87"/>
      <c r="CB7" s="87"/>
      <c r="CC7" s="87"/>
      <c r="CD7" s="86"/>
    </row>
    <row r="8" spans="2:82" s="75" customFormat="1" ht="13.5" customHeight="1">
      <c r="B8" s="83"/>
      <c r="C8" s="85"/>
      <c r="D8" s="83"/>
      <c r="E8" s="83"/>
      <c r="F8" s="83"/>
      <c r="G8" s="83"/>
      <c r="H8" s="83"/>
      <c r="I8" s="83"/>
      <c r="J8" s="83"/>
      <c r="K8" s="83"/>
      <c r="L8" s="83"/>
      <c r="M8" s="83"/>
      <c r="N8" s="83"/>
      <c r="O8" s="83"/>
      <c r="P8" s="83"/>
      <c r="Q8" s="83"/>
      <c r="R8" s="83"/>
      <c r="S8" s="83"/>
      <c r="T8" s="83"/>
      <c r="U8" s="84" t="s">
        <v>368</v>
      </c>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2"/>
    </row>
    <row r="9" spans="2:82" s="75" customFormat="1" ht="47.25" customHeight="1">
      <c r="B9" s="394" t="s">
        <v>367</v>
      </c>
      <c r="C9" s="395"/>
      <c r="D9" s="81" t="s">
        <v>366</v>
      </c>
      <c r="E9" s="80"/>
      <c r="F9" s="80"/>
      <c r="G9" s="80"/>
      <c r="H9" s="80"/>
      <c r="I9" s="80"/>
      <c r="J9" s="80"/>
      <c r="K9" s="80"/>
      <c r="L9" s="80"/>
      <c r="M9" s="80"/>
      <c r="N9" s="79"/>
      <c r="O9" s="396" t="s">
        <v>365</v>
      </c>
      <c r="P9" s="397"/>
      <c r="Q9" s="397"/>
      <c r="R9" s="397"/>
      <c r="S9" s="397"/>
      <c r="T9" s="397"/>
      <c r="U9" s="398"/>
      <c r="V9" s="399" t="s">
        <v>364</v>
      </c>
      <c r="W9" s="395"/>
      <c r="X9" s="394" t="s">
        <v>363</v>
      </c>
      <c r="Y9" s="395"/>
      <c r="Z9" s="394" t="s">
        <v>362</v>
      </c>
      <c r="AA9" s="395"/>
      <c r="AB9" s="394" t="s">
        <v>361</v>
      </c>
      <c r="AC9" s="395"/>
      <c r="AD9" s="394" t="s">
        <v>360</v>
      </c>
      <c r="AE9" s="395"/>
      <c r="AF9" s="394" t="s">
        <v>359</v>
      </c>
      <c r="AG9" s="395"/>
      <c r="AH9" s="394" t="s">
        <v>358</v>
      </c>
      <c r="AI9" s="395"/>
      <c r="AJ9" s="399" t="s">
        <v>357</v>
      </c>
      <c r="AK9" s="395"/>
      <c r="AL9" s="399" t="s">
        <v>356</v>
      </c>
      <c r="AM9" s="395"/>
      <c r="AN9" s="394" t="s">
        <v>355</v>
      </c>
      <c r="AO9" s="459"/>
      <c r="AP9" s="459"/>
      <c r="AQ9" s="459"/>
      <c r="AR9" s="459"/>
      <c r="AS9" s="459"/>
      <c r="AT9" s="460"/>
      <c r="AU9" s="394" t="s">
        <v>354</v>
      </c>
      <c r="AV9" s="459"/>
      <c r="AW9" s="460"/>
      <c r="AX9" s="394" t="s">
        <v>353</v>
      </c>
      <c r="AY9" s="395"/>
      <c r="AZ9" s="394" t="s">
        <v>352</v>
      </c>
      <c r="BA9" s="395"/>
      <c r="BB9" s="394" t="s">
        <v>351</v>
      </c>
      <c r="BC9" s="395"/>
      <c r="BD9" s="394" t="s">
        <v>350</v>
      </c>
      <c r="BE9" s="395"/>
      <c r="BF9" s="394" t="s">
        <v>39</v>
      </c>
      <c r="BG9" s="459"/>
      <c r="BH9" s="459"/>
      <c r="BI9" s="459"/>
      <c r="BJ9" s="459"/>
      <c r="BK9" s="459"/>
      <c r="BL9" s="459"/>
      <c r="BM9" s="459"/>
      <c r="BN9" s="459"/>
      <c r="BO9" s="459"/>
      <c r="BP9" s="459"/>
      <c r="BQ9" s="459"/>
      <c r="BR9" s="459"/>
      <c r="BS9" s="460"/>
      <c r="BT9" s="78" t="s">
        <v>40</v>
      </c>
      <c r="BU9" s="77"/>
      <c r="BV9" s="77"/>
      <c r="BW9" s="77"/>
      <c r="BX9" s="77"/>
      <c r="BY9" s="77"/>
      <c r="BZ9" s="77"/>
      <c r="CA9" s="77"/>
      <c r="CB9" s="77"/>
      <c r="CC9" s="77"/>
      <c r="CD9" s="76"/>
    </row>
    <row r="10" spans="2:82" s="51" customFormat="1" ht="13.5" customHeight="1">
      <c r="B10" s="376"/>
      <c r="C10" s="377"/>
      <c r="D10" s="73" t="s">
        <v>423</v>
      </c>
      <c r="E10" s="72"/>
      <c r="F10" s="72"/>
      <c r="G10" s="72"/>
      <c r="H10" s="72"/>
      <c r="I10" s="72"/>
      <c r="J10" s="72"/>
      <c r="K10" s="72"/>
      <c r="L10" s="72"/>
      <c r="M10" s="69"/>
      <c r="N10" s="69"/>
      <c r="O10" s="71"/>
      <c r="P10" s="70"/>
      <c r="Q10" s="70"/>
      <c r="R10" s="70"/>
      <c r="S10" s="70"/>
      <c r="T10" s="69"/>
      <c r="U10" s="68"/>
      <c r="V10" s="384"/>
      <c r="W10" s="385"/>
      <c r="X10" s="382"/>
      <c r="Y10" s="383"/>
      <c r="Z10" s="382"/>
      <c r="AA10" s="383"/>
      <c r="AB10" s="382"/>
      <c r="AC10" s="383"/>
      <c r="AD10" s="382"/>
      <c r="AE10" s="383"/>
      <c r="AF10" s="382"/>
      <c r="AG10" s="383"/>
      <c r="AH10" s="382"/>
      <c r="AI10" s="383"/>
      <c r="AJ10" s="382"/>
      <c r="AK10" s="383"/>
      <c r="AL10" s="382"/>
      <c r="AM10" s="383"/>
      <c r="AN10" s="66"/>
      <c r="AO10" s="68"/>
      <c r="AP10" s="68"/>
      <c r="AQ10" s="68"/>
      <c r="AR10" s="68"/>
      <c r="AS10" s="68"/>
      <c r="AT10" s="67"/>
      <c r="AU10" s="66"/>
      <c r="AV10" s="65"/>
      <c r="AW10" s="64"/>
      <c r="AX10" s="382"/>
      <c r="AY10" s="383"/>
      <c r="AZ10" s="382"/>
      <c r="BA10" s="383"/>
      <c r="BB10" s="382"/>
      <c r="BC10" s="383"/>
      <c r="BD10" s="382"/>
      <c r="BE10" s="383"/>
      <c r="BF10" s="63"/>
      <c r="BG10" s="63"/>
      <c r="BH10" s="63"/>
      <c r="BI10" s="63"/>
      <c r="BJ10" s="63"/>
      <c r="BK10" s="63"/>
      <c r="BL10" s="63"/>
      <c r="BM10" s="63"/>
      <c r="BN10" s="63"/>
      <c r="BO10" s="63"/>
      <c r="BP10" s="63"/>
      <c r="BQ10" s="63"/>
      <c r="BR10" s="63"/>
      <c r="BS10" s="62"/>
      <c r="BT10" s="448"/>
      <c r="BU10" s="449"/>
      <c r="BV10" s="449"/>
      <c r="BW10" s="449"/>
      <c r="BX10" s="449"/>
      <c r="BY10" s="449"/>
      <c r="BZ10" s="449"/>
      <c r="CA10" s="449"/>
      <c r="CB10" s="449"/>
      <c r="CC10" s="449"/>
      <c r="CD10" s="450"/>
    </row>
    <row r="11" spans="2:82" s="51" customFormat="1" ht="27" customHeight="1">
      <c r="B11" s="376">
        <v>1</v>
      </c>
      <c r="C11" s="377"/>
      <c r="D11" s="61" t="s">
        <v>301</v>
      </c>
      <c r="E11" s="59"/>
      <c r="F11" s="59"/>
      <c r="G11" s="59"/>
      <c r="H11" s="59"/>
      <c r="I11" s="59"/>
      <c r="J11" s="59"/>
      <c r="K11" s="59"/>
      <c r="L11" s="59"/>
      <c r="M11" s="52"/>
      <c r="N11" s="52"/>
      <c r="O11" s="58" t="s">
        <v>391</v>
      </c>
      <c r="P11" s="57"/>
      <c r="Q11" s="57"/>
      <c r="R11" s="57"/>
      <c r="S11" s="57"/>
      <c r="T11" s="52"/>
      <c r="U11" s="52"/>
      <c r="V11" s="378" t="s">
        <v>292</v>
      </c>
      <c r="W11" s="379"/>
      <c r="X11" s="380">
        <v>1</v>
      </c>
      <c r="Y11" s="381"/>
      <c r="Z11" s="380"/>
      <c r="AA11" s="381"/>
      <c r="AB11" s="380">
        <v>1</v>
      </c>
      <c r="AC11" s="381"/>
      <c r="AD11" s="380"/>
      <c r="AE11" s="381"/>
      <c r="AF11" s="378"/>
      <c r="AG11" s="379"/>
      <c r="AH11" s="378"/>
      <c r="AI11" s="379"/>
      <c r="AJ11" s="392">
        <f t="shared" ref="AJ11:AJ16" si="0">IF(V11="","",IF(V11="N",AB11*2,IF(V11="X",AB11,IF(V11=9,AB11+AD11,IF(V11="±9",AB11+AD11+1,IF(V11="S9",AB11+AD11,IF(V11="S9C3",ROUNDDOWN((AB11+AD11)/2,0)+1,"")))))))</f>
        <v>1</v>
      </c>
      <c r="AK11" s="393"/>
      <c r="AL11" s="392">
        <f t="shared" ref="AL11:AL16" si="1">AJ10+AL10</f>
        <v>0</v>
      </c>
      <c r="AM11" s="393"/>
      <c r="AN11" s="56" t="s">
        <v>297</v>
      </c>
      <c r="AO11" s="52"/>
      <c r="AP11" s="52"/>
      <c r="AQ11" s="52"/>
      <c r="AR11" s="55"/>
      <c r="AS11" s="55"/>
      <c r="AT11" s="54"/>
      <c r="AU11" s="53" t="s">
        <v>300</v>
      </c>
      <c r="AV11" s="52"/>
      <c r="AW11" s="52"/>
      <c r="AX11" s="378"/>
      <c r="AY11" s="379"/>
      <c r="AZ11" s="378"/>
      <c r="BA11" s="379"/>
      <c r="BB11" s="378"/>
      <c r="BC11" s="379"/>
      <c r="BD11" s="451" t="s">
        <v>289</v>
      </c>
      <c r="BE11" s="452"/>
      <c r="BF11" s="453" t="s">
        <v>349</v>
      </c>
      <c r="BG11" s="454"/>
      <c r="BH11" s="454"/>
      <c r="BI11" s="454"/>
      <c r="BJ11" s="454"/>
      <c r="BK11" s="454"/>
      <c r="BL11" s="454"/>
      <c r="BM11" s="454"/>
      <c r="BN11" s="454"/>
      <c r="BO11" s="454"/>
      <c r="BP11" s="454"/>
      <c r="BQ11" s="454"/>
      <c r="BR11" s="454"/>
      <c r="BS11" s="455"/>
      <c r="BT11" s="456"/>
      <c r="BU11" s="457"/>
      <c r="BV11" s="457"/>
      <c r="BW11" s="457"/>
      <c r="BX11" s="457"/>
      <c r="BY11" s="457"/>
      <c r="BZ11" s="457"/>
      <c r="CA11" s="457"/>
      <c r="CB11" s="457"/>
      <c r="CC11" s="457"/>
      <c r="CD11" s="458"/>
    </row>
    <row r="12" spans="2:82" s="51" customFormat="1" ht="27.75" customHeight="1">
      <c r="B12" s="376">
        <f ca="1">IF($V12="","",MAX(OFFSET($B$11,0,0,ROW()-ROW($B$11),2))+1)</f>
        <v>2</v>
      </c>
      <c r="C12" s="377"/>
      <c r="D12" s="61" t="s">
        <v>348</v>
      </c>
      <c r="E12" s="59"/>
      <c r="F12" s="59"/>
      <c r="G12" s="59"/>
      <c r="H12" s="59"/>
      <c r="I12" s="59"/>
      <c r="J12" s="59"/>
      <c r="K12" s="59"/>
      <c r="L12" s="59"/>
      <c r="M12" s="52"/>
      <c r="N12" s="52"/>
      <c r="O12" s="58" t="s">
        <v>392</v>
      </c>
      <c r="P12" s="57"/>
      <c r="Q12" s="57"/>
      <c r="R12" s="57"/>
      <c r="S12" s="57"/>
      <c r="T12" s="52"/>
      <c r="U12" s="52"/>
      <c r="V12" s="378">
        <v>9</v>
      </c>
      <c r="W12" s="379"/>
      <c r="X12" s="380">
        <v>1</v>
      </c>
      <c r="Y12" s="381"/>
      <c r="Z12" s="380"/>
      <c r="AA12" s="381"/>
      <c r="AB12" s="380">
        <v>5</v>
      </c>
      <c r="AC12" s="381"/>
      <c r="AD12" s="380"/>
      <c r="AE12" s="381"/>
      <c r="AF12" s="378"/>
      <c r="AG12" s="379"/>
      <c r="AH12" s="378"/>
      <c r="AI12" s="379"/>
      <c r="AJ12" s="392">
        <f t="shared" si="0"/>
        <v>5</v>
      </c>
      <c r="AK12" s="393"/>
      <c r="AL12" s="392">
        <f t="shared" si="1"/>
        <v>1</v>
      </c>
      <c r="AM12" s="393"/>
      <c r="AN12" s="56" t="s">
        <v>297</v>
      </c>
      <c r="AO12" s="52"/>
      <c r="AP12" s="52"/>
      <c r="AQ12" s="52"/>
      <c r="AR12" s="55"/>
      <c r="AS12" s="55"/>
      <c r="AT12" s="54"/>
      <c r="AU12" s="53">
        <v>0</v>
      </c>
      <c r="AV12" s="52"/>
      <c r="AW12" s="52"/>
      <c r="AX12" s="378"/>
      <c r="AY12" s="379"/>
      <c r="AZ12" s="378"/>
      <c r="BA12" s="379"/>
      <c r="BB12" s="378"/>
      <c r="BC12" s="379"/>
      <c r="BD12" s="451" t="s">
        <v>296</v>
      </c>
      <c r="BE12" s="452"/>
      <c r="BF12" s="453" t="s">
        <v>347</v>
      </c>
      <c r="BG12" s="454"/>
      <c r="BH12" s="454"/>
      <c r="BI12" s="454"/>
      <c r="BJ12" s="454"/>
      <c r="BK12" s="454"/>
      <c r="BL12" s="454"/>
      <c r="BM12" s="454"/>
      <c r="BN12" s="454"/>
      <c r="BO12" s="454"/>
      <c r="BP12" s="454"/>
      <c r="BQ12" s="454"/>
      <c r="BR12" s="454"/>
      <c r="BS12" s="455"/>
      <c r="BT12" s="456" t="s">
        <v>294</v>
      </c>
      <c r="BU12" s="457"/>
      <c r="BV12" s="457"/>
      <c r="BW12" s="457"/>
      <c r="BX12" s="457"/>
      <c r="BY12" s="457"/>
      <c r="BZ12" s="457"/>
      <c r="CA12" s="457"/>
      <c r="CB12" s="457"/>
      <c r="CC12" s="457"/>
      <c r="CD12" s="458"/>
    </row>
    <row r="13" spans="2:82" s="51" customFormat="1" ht="27.75" customHeight="1">
      <c r="B13" s="376">
        <f ca="1">IF($V13="","",MAX(OFFSET($B$11,0,0,ROW()-ROW($B$11),2))+1)</f>
        <v>3</v>
      </c>
      <c r="C13" s="377"/>
      <c r="D13" s="61" t="s">
        <v>346</v>
      </c>
      <c r="E13" s="59"/>
      <c r="F13" s="59"/>
      <c r="G13" s="59"/>
      <c r="H13" s="59"/>
      <c r="I13" s="59"/>
      <c r="J13" s="59"/>
      <c r="K13" s="59"/>
      <c r="L13" s="59"/>
      <c r="M13" s="52"/>
      <c r="N13" s="52"/>
      <c r="O13" s="58" t="s">
        <v>42</v>
      </c>
      <c r="P13" s="57"/>
      <c r="Q13" s="57"/>
      <c r="R13" s="57"/>
      <c r="S13" s="57"/>
      <c r="T13" s="52"/>
      <c r="U13" s="52"/>
      <c r="V13" s="378" t="s">
        <v>292</v>
      </c>
      <c r="W13" s="379"/>
      <c r="X13" s="380">
        <v>1</v>
      </c>
      <c r="Y13" s="381"/>
      <c r="Z13" s="380"/>
      <c r="AA13" s="381"/>
      <c r="AB13" s="380">
        <v>2</v>
      </c>
      <c r="AC13" s="381"/>
      <c r="AD13" s="380"/>
      <c r="AE13" s="381"/>
      <c r="AF13" s="378"/>
      <c r="AG13" s="379"/>
      <c r="AH13" s="378"/>
      <c r="AI13" s="379"/>
      <c r="AJ13" s="392">
        <f t="shared" si="0"/>
        <v>2</v>
      </c>
      <c r="AK13" s="393"/>
      <c r="AL13" s="392">
        <f t="shared" si="1"/>
        <v>6</v>
      </c>
      <c r="AM13" s="393"/>
      <c r="AN13" s="56" t="s">
        <v>297</v>
      </c>
      <c r="AO13" s="52"/>
      <c r="AP13" s="52"/>
      <c r="AQ13" s="52"/>
      <c r="AR13" s="55"/>
      <c r="AS13" s="55"/>
      <c r="AT13" s="54"/>
      <c r="AU13" s="53" t="s">
        <v>300</v>
      </c>
      <c r="AV13" s="52"/>
      <c r="AW13" s="52"/>
      <c r="AX13" s="378"/>
      <c r="AY13" s="379"/>
      <c r="AZ13" s="378"/>
      <c r="BA13" s="379"/>
      <c r="BB13" s="378"/>
      <c r="BC13" s="379"/>
      <c r="BD13" s="451" t="s">
        <v>289</v>
      </c>
      <c r="BE13" s="452"/>
      <c r="BF13" s="453" t="s">
        <v>345</v>
      </c>
      <c r="BG13" s="454"/>
      <c r="BH13" s="454"/>
      <c r="BI13" s="454"/>
      <c r="BJ13" s="454"/>
      <c r="BK13" s="454"/>
      <c r="BL13" s="454"/>
      <c r="BM13" s="454"/>
      <c r="BN13" s="454"/>
      <c r="BO13" s="454"/>
      <c r="BP13" s="454"/>
      <c r="BQ13" s="454"/>
      <c r="BR13" s="454"/>
      <c r="BS13" s="455"/>
      <c r="BT13" s="456"/>
      <c r="BU13" s="457"/>
      <c r="BV13" s="457"/>
      <c r="BW13" s="457"/>
      <c r="BX13" s="457"/>
      <c r="BY13" s="457"/>
      <c r="BZ13" s="457"/>
      <c r="CA13" s="457"/>
      <c r="CB13" s="457"/>
      <c r="CC13" s="457"/>
      <c r="CD13" s="458"/>
    </row>
    <row r="14" spans="2:82" s="51" customFormat="1" ht="27.75" customHeight="1">
      <c r="B14" s="376">
        <f ca="1">IF($V14="","",MAX(OFFSET($B$11,0,0,ROW()-ROW($B$11),2))+1)</f>
        <v>4</v>
      </c>
      <c r="C14" s="377"/>
      <c r="D14" s="61" t="s">
        <v>344</v>
      </c>
      <c r="E14" s="59"/>
      <c r="F14" s="59"/>
      <c r="G14" s="59"/>
      <c r="H14" s="59"/>
      <c r="I14" s="59"/>
      <c r="J14" s="59"/>
      <c r="K14" s="59"/>
      <c r="L14" s="59"/>
      <c r="M14" s="52"/>
      <c r="N14" s="52"/>
      <c r="O14" s="58" t="s">
        <v>46</v>
      </c>
      <c r="P14" s="57"/>
      <c r="Q14" s="57"/>
      <c r="R14" s="57"/>
      <c r="S14" s="57"/>
      <c r="T14" s="52"/>
      <c r="U14" s="52"/>
      <c r="V14" s="378">
        <v>9</v>
      </c>
      <c r="W14" s="379"/>
      <c r="X14" s="380">
        <v>1</v>
      </c>
      <c r="Y14" s="381"/>
      <c r="Z14" s="380"/>
      <c r="AA14" s="381"/>
      <c r="AB14" s="380">
        <v>14</v>
      </c>
      <c r="AC14" s="381"/>
      <c r="AD14" s="380"/>
      <c r="AE14" s="381"/>
      <c r="AF14" s="378"/>
      <c r="AG14" s="379"/>
      <c r="AH14" s="378"/>
      <c r="AI14" s="379"/>
      <c r="AJ14" s="392">
        <f t="shared" si="0"/>
        <v>14</v>
      </c>
      <c r="AK14" s="393"/>
      <c r="AL14" s="392">
        <f t="shared" si="1"/>
        <v>8</v>
      </c>
      <c r="AM14" s="393"/>
      <c r="AN14" s="56" t="s">
        <v>297</v>
      </c>
      <c r="AO14" s="52"/>
      <c r="AP14" s="52"/>
      <c r="AQ14" s="52"/>
      <c r="AR14" s="55"/>
      <c r="AS14" s="55"/>
      <c r="AT14" s="54"/>
      <c r="AU14" s="53">
        <v>0</v>
      </c>
      <c r="AV14" s="52"/>
      <c r="AW14" s="52"/>
      <c r="AX14" s="378"/>
      <c r="AY14" s="379"/>
      <c r="AZ14" s="378"/>
      <c r="BA14" s="379"/>
      <c r="BB14" s="378"/>
      <c r="BC14" s="379"/>
      <c r="BD14" s="451" t="s">
        <v>296</v>
      </c>
      <c r="BE14" s="452"/>
      <c r="BF14" s="453" t="s">
        <v>343</v>
      </c>
      <c r="BG14" s="454"/>
      <c r="BH14" s="454"/>
      <c r="BI14" s="454"/>
      <c r="BJ14" s="454"/>
      <c r="BK14" s="454"/>
      <c r="BL14" s="454"/>
      <c r="BM14" s="454"/>
      <c r="BN14" s="454"/>
      <c r="BO14" s="454"/>
      <c r="BP14" s="454"/>
      <c r="BQ14" s="454"/>
      <c r="BR14" s="454"/>
      <c r="BS14" s="455"/>
      <c r="BT14" s="456" t="s">
        <v>342</v>
      </c>
      <c r="BU14" s="457"/>
      <c r="BV14" s="457"/>
      <c r="BW14" s="457"/>
      <c r="BX14" s="457"/>
      <c r="BY14" s="457"/>
      <c r="BZ14" s="457"/>
      <c r="CA14" s="457"/>
      <c r="CB14" s="457"/>
      <c r="CC14" s="457"/>
      <c r="CD14" s="458"/>
    </row>
    <row r="15" spans="2:82" s="51" customFormat="1" ht="54" customHeight="1">
      <c r="B15" s="376">
        <f ca="1">IF($V15="","",MAX(OFFSET($B$11,0,0,ROW()-ROW($B$11),2))+1)</f>
        <v>5</v>
      </c>
      <c r="C15" s="377"/>
      <c r="D15" s="61" t="s">
        <v>341</v>
      </c>
      <c r="E15" s="59"/>
      <c r="F15" s="59"/>
      <c r="G15" s="59"/>
      <c r="H15" s="59"/>
      <c r="I15" s="59"/>
      <c r="J15" s="59"/>
      <c r="K15" s="59"/>
      <c r="L15" s="59"/>
      <c r="M15" s="52"/>
      <c r="N15" s="52"/>
      <c r="O15" s="58" t="s">
        <v>48</v>
      </c>
      <c r="P15" s="57"/>
      <c r="Q15" s="57"/>
      <c r="R15" s="57"/>
      <c r="S15" s="57"/>
      <c r="T15" s="52"/>
      <c r="U15" s="52"/>
      <c r="V15" s="378">
        <v>9</v>
      </c>
      <c r="W15" s="379"/>
      <c r="X15" s="380">
        <v>1</v>
      </c>
      <c r="Y15" s="381"/>
      <c r="Z15" s="380"/>
      <c r="AA15" s="381"/>
      <c r="AB15" s="380">
        <v>8</v>
      </c>
      <c r="AC15" s="381"/>
      <c r="AD15" s="380"/>
      <c r="AE15" s="381"/>
      <c r="AF15" s="378"/>
      <c r="AG15" s="379"/>
      <c r="AH15" s="378"/>
      <c r="AI15" s="379"/>
      <c r="AJ15" s="392">
        <f t="shared" si="0"/>
        <v>8</v>
      </c>
      <c r="AK15" s="393"/>
      <c r="AL15" s="392">
        <f t="shared" si="1"/>
        <v>22</v>
      </c>
      <c r="AM15" s="393"/>
      <c r="AN15" s="56" t="s">
        <v>297</v>
      </c>
      <c r="AO15" s="52"/>
      <c r="AP15" s="52"/>
      <c r="AQ15" s="52"/>
      <c r="AR15" s="55"/>
      <c r="AS15" s="55"/>
      <c r="AT15" s="54"/>
      <c r="AU15" s="53">
        <v>0</v>
      </c>
      <c r="AV15" s="52"/>
      <c r="AW15" s="52"/>
      <c r="AX15" s="378"/>
      <c r="AY15" s="379"/>
      <c r="AZ15" s="378"/>
      <c r="BA15" s="379"/>
      <c r="BB15" s="378"/>
      <c r="BC15" s="379"/>
      <c r="BD15" s="451" t="s">
        <v>296</v>
      </c>
      <c r="BE15" s="452"/>
      <c r="BF15" s="453" t="s">
        <v>340</v>
      </c>
      <c r="BG15" s="454"/>
      <c r="BH15" s="454"/>
      <c r="BI15" s="454"/>
      <c r="BJ15" s="454"/>
      <c r="BK15" s="454"/>
      <c r="BL15" s="454"/>
      <c r="BM15" s="454"/>
      <c r="BN15" s="454"/>
      <c r="BO15" s="454"/>
      <c r="BP15" s="454"/>
      <c r="BQ15" s="454"/>
      <c r="BR15" s="454"/>
      <c r="BS15" s="455"/>
      <c r="BT15" s="456" t="s">
        <v>314</v>
      </c>
      <c r="BU15" s="457"/>
      <c r="BV15" s="457"/>
      <c r="BW15" s="457"/>
      <c r="BX15" s="457"/>
      <c r="BY15" s="457"/>
      <c r="BZ15" s="457"/>
      <c r="CA15" s="457"/>
      <c r="CB15" s="457"/>
      <c r="CC15" s="457"/>
      <c r="CD15" s="458"/>
    </row>
    <row r="16" spans="2:82" s="51" customFormat="1" ht="27.75" customHeight="1">
      <c r="B16" s="376">
        <f ca="1">IF($V16="","",MAX(OFFSET($B$11,0,0,ROW()-ROW($B$11),2))+1)</f>
        <v>6</v>
      </c>
      <c r="C16" s="377"/>
      <c r="D16" s="61" t="s">
        <v>293</v>
      </c>
      <c r="E16" s="59"/>
      <c r="F16" s="59"/>
      <c r="G16" s="59"/>
      <c r="H16" s="59"/>
      <c r="I16" s="59"/>
      <c r="J16" s="59"/>
      <c r="K16" s="59"/>
      <c r="L16" s="59"/>
      <c r="M16" s="52"/>
      <c r="N16" s="52"/>
      <c r="O16" s="58" t="s">
        <v>393</v>
      </c>
      <c r="P16" s="57"/>
      <c r="Q16" s="57"/>
      <c r="R16" s="57"/>
      <c r="S16" s="57"/>
      <c r="T16" s="52"/>
      <c r="U16" s="52"/>
      <c r="V16" s="378" t="s">
        <v>292</v>
      </c>
      <c r="W16" s="379"/>
      <c r="X16" s="380">
        <v>1</v>
      </c>
      <c r="Y16" s="381"/>
      <c r="Z16" s="380"/>
      <c r="AA16" s="381"/>
      <c r="AB16" s="380">
        <v>120</v>
      </c>
      <c r="AC16" s="381"/>
      <c r="AD16" s="380"/>
      <c r="AE16" s="381"/>
      <c r="AF16" s="378"/>
      <c r="AG16" s="379"/>
      <c r="AH16" s="378"/>
      <c r="AI16" s="379"/>
      <c r="AJ16" s="392">
        <f t="shared" si="0"/>
        <v>120</v>
      </c>
      <c r="AK16" s="393"/>
      <c r="AL16" s="392">
        <f t="shared" si="1"/>
        <v>30</v>
      </c>
      <c r="AM16" s="393"/>
      <c r="AN16" s="56" t="s">
        <v>297</v>
      </c>
      <c r="AO16" s="52"/>
      <c r="AP16" s="52"/>
      <c r="AQ16" s="52"/>
      <c r="AR16" s="55"/>
      <c r="AS16" s="55"/>
      <c r="AT16" s="54"/>
      <c r="AU16" s="53" t="s">
        <v>300</v>
      </c>
      <c r="AV16" s="52"/>
      <c r="AW16" s="52"/>
      <c r="AX16" s="378"/>
      <c r="AY16" s="379"/>
      <c r="AZ16" s="378"/>
      <c r="BA16" s="379"/>
      <c r="BB16" s="378"/>
      <c r="BC16" s="379"/>
      <c r="BD16" s="451" t="s">
        <v>289</v>
      </c>
      <c r="BE16" s="452"/>
      <c r="BF16" s="461"/>
      <c r="BG16" s="462"/>
      <c r="BH16" s="462"/>
      <c r="BI16" s="462"/>
      <c r="BJ16" s="462"/>
      <c r="BK16" s="462"/>
      <c r="BL16" s="462"/>
      <c r="BM16" s="462"/>
      <c r="BN16" s="462"/>
      <c r="BO16" s="462"/>
      <c r="BP16" s="462"/>
      <c r="BQ16" s="462"/>
      <c r="BR16" s="462"/>
      <c r="BS16" s="463"/>
      <c r="BT16" s="456"/>
      <c r="BU16" s="457"/>
      <c r="BV16" s="457"/>
      <c r="BW16" s="457"/>
      <c r="BX16" s="457"/>
      <c r="BY16" s="457"/>
      <c r="BZ16" s="457"/>
      <c r="CA16" s="457"/>
      <c r="CB16" s="457"/>
      <c r="CC16" s="457"/>
      <c r="CD16" s="458"/>
    </row>
    <row r="17" spans="2:82" s="51" customFormat="1" ht="13.5" customHeight="1">
      <c r="B17" s="376"/>
      <c r="C17" s="377"/>
      <c r="D17" s="73" t="s">
        <v>339</v>
      </c>
      <c r="E17" s="72"/>
      <c r="F17" s="72"/>
      <c r="G17" s="72"/>
      <c r="H17" s="72"/>
      <c r="I17" s="72"/>
      <c r="J17" s="72"/>
      <c r="K17" s="72"/>
      <c r="L17" s="72"/>
      <c r="M17" s="69"/>
      <c r="N17" s="69"/>
      <c r="O17" s="71"/>
      <c r="P17" s="70"/>
      <c r="Q17" s="70"/>
      <c r="R17" s="70"/>
      <c r="S17" s="70"/>
      <c r="T17" s="69"/>
      <c r="U17" s="68"/>
      <c r="V17" s="384"/>
      <c r="W17" s="385"/>
      <c r="X17" s="382"/>
      <c r="Y17" s="383"/>
      <c r="Z17" s="382"/>
      <c r="AA17" s="383"/>
      <c r="AB17" s="382"/>
      <c r="AC17" s="383"/>
      <c r="AD17" s="382"/>
      <c r="AE17" s="383"/>
      <c r="AF17" s="382"/>
      <c r="AG17" s="383"/>
      <c r="AH17" s="382"/>
      <c r="AI17" s="383"/>
      <c r="AJ17" s="382"/>
      <c r="AK17" s="383"/>
      <c r="AL17" s="382"/>
      <c r="AM17" s="383"/>
      <c r="AN17" s="66"/>
      <c r="AO17" s="68"/>
      <c r="AP17" s="68"/>
      <c r="AQ17" s="68"/>
      <c r="AR17" s="68"/>
      <c r="AS17" s="68"/>
      <c r="AT17" s="67"/>
      <c r="AU17" s="66"/>
      <c r="AV17" s="65"/>
      <c r="AW17" s="64"/>
      <c r="AX17" s="382"/>
      <c r="AY17" s="383"/>
      <c r="AZ17" s="382"/>
      <c r="BA17" s="383"/>
      <c r="BB17" s="382"/>
      <c r="BC17" s="383"/>
      <c r="BD17" s="382"/>
      <c r="BE17" s="383"/>
      <c r="BF17" s="63"/>
      <c r="BG17" s="63"/>
      <c r="BH17" s="63"/>
      <c r="BI17" s="63"/>
      <c r="BJ17" s="63"/>
      <c r="BK17" s="63"/>
      <c r="BL17" s="63"/>
      <c r="BM17" s="63"/>
      <c r="BN17" s="63"/>
      <c r="BO17" s="63"/>
      <c r="BP17" s="63"/>
      <c r="BQ17" s="63"/>
      <c r="BR17" s="63"/>
      <c r="BS17" s="62"/>
      <c r="BT17" s="448"/>
      <c r="BU17" s="449"/>
      <c r="BV17" s="449"/>
      <c r="BW17" s="449"/>
      <c r="BX17" s="449"/>
      <c r="BY17" s="449"/>
      <c r="BZ17" s="449"/>
      <c r="CA17" s="449"/>
      <c r="CB17" s="449"/>
      <c r="CC17" s="449"/>
      <c r="CD17" s="450"/>
    </row>
    <row r="18" spans="2:82" s="51" customFormat="1" ht="27" customHeight="1">
      <c r="B18" s="376">
        <f t="shared" ref="B18:B35" ca="1" si="2">IF($V18="","",MAX(OFFSET($B$11,0,0,ROW()-ROW($B$11),2))+1)</f>
        <v>7</v>
      </c>
      <c r="C18" s="377"/>
      <c r="D18" s="61" t="s">
        <v>301</v>
      </c>
      <c r="E18" s="59"/>
      <c r="F18" s="59"/>
      <c r="G18" s="59"/>
      <c r="H18" s="59"/>
      <c r="I18" s="59"/>
      <c r="J18" s="59"/>
      <c r="K18" s="59"/>
      <c r="L18" s="59"/>
      <c r="M18" s="52"/>
      <c r="N18" s="52"/>
      <c r="O18" s="58" t="s">
        <v>391</v>
      </c>
      <c r="P18" s="57"/>
      <c r="Q18" s="57"/>
      <c r="R18" s="57"/>
      <c r="S18" s="57"/>
      <c r="T18" s="52"/>
      <c r="U18" s="52"/>
      <c r="V18" s="378" t="s">
        <v>292</v>
      </c>
      <c r="W18" s="379"/>
      <c r="X18" s="380">
        <v>1</v>
      </c>
      <c r="Y18" s="381"/>
      <c r="Z18" s="380"/>
      <c r="AA18" s="381"/>
      <c r="AB18" s="380">
        <v>1</v>
      </c>
      <c r="AC18" s="381"/>
      <c r="AD18" s="380"/>
      <c r="AE18" s="381"/>
      <c r="AF18" s="378"/>
      <c r="AG18" s="379"/>
      <c r="AH18" s="378"/>
      <c r="AI18" s="379"/>
      <c r="AJ18" s="392">
        <f t="shared" ref="AJ18:AJ35" si="3">IF(V18="","",IF(V18="N",AB18*2,IF(V18="X",AB18,IF(V18=9,AB18+AD18,IF(V18="±9",AB18+AD18+1,IF(V18="S9",AB18+AD18,IF(V18="S9C3",ROUNDDOWN((AB18+AD18)/2,0)+1,"")))))))</f>
        <v>1</v>
      </c>
      <c r="AK18" s="393"/>
      <c r="AL18" s="392">
        <f t="shared" ref="AL18:AL35" si="4">AJ17+AL17</f>
        <v>0</v>
      </c>
      <c r="AM18" s="393"/>
      <c r="AN18" s="56" t="s">
        <v>297</v>
      </c>
      <c r="AO18" s="52"/>
      <c r="AP18" s="52"/>
      <c r="AQ18" s="52"/>
      <c r="AR18" s="55"/>
      <c r="AS18" s="55"/>
      <c r="AT18" s="54"/>
      <c r="AU18" s="53" t="s">
        <v>300</v>
      </c>
      <c r="AV18" s="52"/>
      <c r="AW18" s="52"/>
      <c r="AX18" s="378"/>
      <c r="AY18" s="379"/>
      <c r="AZ18" s="378"/>
      <c r="BA18" s="379"/>
      <c r="BB18" s="378"/>
      <c r="BC18" s="379"/>
      <c r="BD18" s="451" t="s">
        <v>289</v>
      </c>
      <c r="BE18" s="452"/>
      <c r="BF18" s="453" t="s">
        <v>338</v>
      </c>
      <c r="BG18" s="454"/>
      <c r="BH18" s="454"/>
      <c r="BI18" s="454"/>
      <c r="BJ18" s="454"/>
      <c r="BK18" s="454"/>
      <c r="BL18" s="454"/>
      <c r="BM18" s="454"/>
      <c r="BN18" s="454"/>
      <c r="BO18" s="454"/>
      <c r="BP18" s="454"/>
      <c r="BQ18" s="454"/>
      <c r="BR18" s="454"/>
      <c r="BS18" s="455"/>
      <c r="BT18" s="456"/>
      <c r="BU18" s="457"/>
      <c r="BV18" s="457"/>
      <c r="BW18" s="457"/>
      <c r="BX18" s="457"/>
      <c r="BY18" s="457"/>
      <c r="BZ18" s="457"/>
      <c r="CA18" s="457"/>
      <c r="CB18" s="457"/>
      <c r="CC18" s="457"/>
      <c r="CD18" s="458"/>
    </row>
    <row r="19" spans="2:82" s="51" customFormat="1" ht="54" customHeight="1">
      <c r="B19" s="376">
        <f t="shared" ca="1" si="2"/>
        <v>8</v>
      </c>
      <c r="C19" s="377"/>
      <c r="D19" s="60" t="s">
        <v>337</v>
      </c>
      <c r="E19" s="59"/>
      <c r="F19" s="59"/>
      <c r="G19" s="59"/>
      <c r="H19" s="59"/>
      <c r="I19" s="59"/>
      <c r="J19" s="59"/>
      <c r="K19" s="59"/>
      <c r="L19" s="59"/>
      <c r="M19" s="52"/>
      <c r="N19" s="52"/>
      <c r="O19" s="58" t="s">
        <v>66</v>
      </c>
      <c r="P19" s="57"/>
      <c r="Q19" s="57"/>
      <c r="R19" s="57"/>
      <c r="S19" s="57"/>
      <c r="T19" s="52"/>
      <c r="U19" s="52"/>
      <c r="V19" s="378" t="s">
        <v>292</v>
      </c>
      <c r="W19" s="379"/>
      <c r="X19" s="380">
        <v>1</v>
      </c>
      <c r="Y19" s="381"/>
      <c r="Z19" s="380"/>
      <c r="AA19" s="381"/>
      <c r="AB19" s="380">
        <v>8</v>
      </c>
      <c r="AC19" s="381"/>
      <c r="AD19" s="380"/>
      <c r="AE19" s="381"/>
      <c r="AF19" s="378"/>
      <c r="AG19" s="379"/>
      <c r="AH19" s="378"/>
      <c r="AI19" s="379"/>
      <c r="AJ19" s="392">
        <f t="shared" si="3"/>
        <v>8</v>
      </c>
      <c r="AK19" s="393"/>
      <c r="AL19" s="392">
        <f t="shared" si="4"/>
        <v>1</v>
      </c>
      <c r="AM19" s="393"/>
      <c r="AN19" s="56" t="s">
        <v>297</v>
      </c>
      <c r="AO19" s="74"/>
      <c r="AP19" s="74"/>
      <c r="AQ19" s="74"/>
      <c r="AR19" s="55"/>
      <c r="AS19" s="55"/>
      <c r="AT19" s="54"/>
      <c r="AU19" s="53" t="s">
        <v>300</v>
      </c>
      <c r="AV19" s="52"/>
      <c r="AW19" s="52"/>
      <c r="AX19" s="378"/>
      <c r="AY19" s="379"/>
      <c r="AZ19" s="378"/>
      <c r="BA19" s="379"/>
      <c r="BB19" s="378"/>
      <c r="BC19" s="379"/>
      <c r="BD19" s="451" t="s">
        <v>289</v>
      </c>
      <c r="BE19" s="452"/>
      <c r="BF19" s="453" t="s">
        <v>336</v>
      </c>
      <c r="BG19" s="454"/>
      <c r="BH19" s="454"/>
      <c r="BI19" s="454"/>
      <c r="BJ19" s="454"/>
      <c r="BK19" s="454"/>
      <c r="BL19" s="454"/>
      <c r="BM19" s="454"/>
      <c r="BN19" s="454"/>
      <c r="BO19" s="454"/>
      <c r="BP19" s="454"/>
      <c r="BQ19" s="454"/>
      <c r="BR19" s="454"/>
      <c r="BS19" s="455"/>
      <c r="BT19" s="456" t="s">
        <v>323</v>
      </c>
      <c r="BU19" s="457"/>
      <c r="BV19" s="457"/>
      <c r="BW19" s="457"/>
      <c r="BX19" s="457"/>
      <c r="BY19" s="457"/>
      <c r="BZ19" s="457"/>
      <c r="CA19" s="457"/>
      <c r="CB19" s="457"/>
      <c r="CC19" s="457"/>
      <c r="CD19" s="458"/>
    </row>
    <row r="20" spans="2:82" s="51" customFormat="1" ht="54" customHeight="1">
      <c r="B20" s="376">
        <f t="shared" ca="1" si="2"/>
        <v>9</v>
      </c>
      <c r="C20" s="377"/>
      <c r="D20" s="61" t="s">
        <v>335</v>
      </c>
      <c r="E20" s="59"/>
      <c r="F20" s="59"/>
      <c r="G20" s="59"/>
      <c r="H20" s="59"/>
      <c r="I20" s="59"/>
      <c r="J20" s="59"/>
      <c r="K20" s="59"/>
      <c r="L20" s="59"/>
      <c r="M20" s="52"/>
      <c r="N20" s="52"/>
      <c r="O20" s="58" t="s">
        <v>64</v>
      </c>
      <c r="P20" s="57"/>
      <c r="Q20" s="57"/>
      <c r="R20" s="57"/>
      <c r="S20" s="57"/>
      <c r="T20" s="52"/>
      <c r="U20" s="52"/>
      <c r="V20" s="378">
        <v>9</v>
      </c>
      <c r="W20" s="379"/>
      <c r="X20" s="380">
        <v>1</v>
      </c>
      <c r="Y20" s="381"/>
      <c r="Z20" s="380"/>
      <c r="AA20" s="381"/>
      <c r="AB20" s="380">
        <v>8</v>
      </c>
      <c r="AC20" s="381"/>
      <c r="AD20" s="380"/>
      <c r="AE20" s="381"/>
      <c r="AF20" s="378"/>
      <c r="AG20" s="379"/>
      <c r="AH20" s="378"/>
      <c r="AI20" s="379"/>
      <c r="AJ20" s="392">
        <f t="shared" si="3"/>
        <v>8</v>
      </c>
      <c r="AK20" s="393"/>
      <c r="AL20" s="392">
        <f t="shared" si="4"/>
        <v>9</v>
      </c>
      <c r="AM20" s="393"/>
      <c r="AN20" s="56" t="s">
        <v>297</v>
      </c>
      <c r="AO20" s="52"/>
      <c r="AP20" s="52"/>
      <c r="AQ20" s="52"/>
      <c r="AR20" s="55"/>
      <c r="AS20" s="55"/>
      <c r="AT20" s="54"/>
      <c r="AU20" s="53">
        <v>0</v>
      </c>
      <c r="AV20" s="52"/>
      <c r="AW20" s="52"/>
      <c r="AX20" s="378"/>
      <c r="AY20" s="379"/>
      <c r="AZ20" s="378"/>
      <c r="BA20" s="379"/>
      <c r="BB20" s="378"/>
      <c r="BC20" s="379"/>
      <c r="BD20" s="451" t="s">
        <v>296</v>
      </c>
      <c r="BE20" s="452"/>
      <c r="BF20" s="453" t="s">
        <v>334</v>
      </c>
      <c r="BG20" s="454"/>
      <c r="BH20" s="454"/>
      <c r="BI20" s="454"/>
      <c r="BJ20" s="454"/>
      <c r="BK20" s="454"/>
      <c r="BL20" s="454"/>
      <c r="BM20" s="454"/>
      <c r="BN20" s="454"/>
      <c r="BO20" s="454"/>
      <c r="BP20" s="454"/>
      <c r="BQ20" s="454"/>
      <c r="BR20" s="454"/>
      <c r="BS20" s="455"/>
      <c r="BT20" s="456" t="s">
        <v>314</v>
      </c>
      <c r="BU20" s="457"/>
      <c r="BV20" s="457"/>
      <c r="BW20" s="457"/>
      <c r="BX20" s="457"/>
      <c r="BY20" s="457"/>
      <c r="BZ20" s="457"/>
      <c r="CA20" s="457"/>
      <c r="CB20" s="457"/>
      <c r="CC20" s="457"/>
      <c r="CD20" s="458"/>
    </row>
    <row r="21" spans="2:82" s="51" customFormat="1" ht="27.75" customHeight="1">
      <c r="B21" s="376">
        <f t="shared" ca="1" si="2"/>
        <v>10</v>
      </c>
      <c r="C21" s="377"/>
      <c r="D21" s="60" t="s">
        <v>333</v>
      </c>
      <c r="E21" s="59"/>
      <c r="F21" s="59"/>
      <c r="G21" s="59"/>
      <c r="H21" s="59"/>
      <c r="I21" s="59"/>
      <c r="J21" s="59"/>
      <c r="K21" s="59"/>
      <c r="L21" s="59"/>
      <c r="M21" s="52"/>
      <c r="N21" s="52"/>
      <c r="O21" s="103" t="s">
        <v>399</v>
      </c>
      <c r="P21" s="104"/>
      <c r="Q21" s="104"/>
      <c r="R21" s="104"/>
      <c r="S21" s="104"/>
      <c r="T21" s="68"/>
      <c r="U21" s="68"/>
      <c r="V21" s="378" t="s">
        <v>292</v>
      </c>
      <c r="W21" s="379"/>
      <c r="X21" s="380">
        <v>1</v>
      </c>
      <c r="Y21" s="381"/>
      <c r="Z21" s="380"/>
      <c r="AA21" s="381"/>
      <c r="AB21" s="380">
        <v>8</v>
      </c>
      <c r="AC21" s="381"/>
      <c r="AD21" s="380"/>
      <c r="AE21" s="381"/>
      <c r="AF21" s="378"/>
      <c r="AG21" s="379"/>
      <c r="AH21" s="378"/>
      <c r="AI21" s="379"/>
      <c r="AJ21" s="392">
        <f t="shared" si="3"/>
        <v>8</v>
      </c>
      <c r="AK21" s="393"/>
      <c r="AL21" s="392">
        <f t="shared" si="4"/>
        <v>17</v>
      </c>
      <c r="AM21" s="393"/>
      <c r="AN21" s="56" t="s">
        <v>297</v>
      </c>
      <c r="AO21" s="52"/>
      <c r="AP21" s="52"/>
      <c r="AQ21" s="52"/>
      <c r="AR21" s="55"/>
      <c r="AS21" s="55"/>
      <c r="AT21" s="54"/>
      <c r="AU21" s="53" t="s">
        <v>300</v>
      </c>
      <c r="AV21" s="52"/>
      <c r="AW21" s="52"/>
      <c r="AX21" s="378"/>
      <c r="AY21" s="379"/>
      <c r="AZ21" s="378"/>
      <c r="BA21" s="379"/>
      <c r="BB21" s="378"/>
      <c r="BC21" s="379"/>
      <c r="BD21" s="451" t="s">
        <v>289</v>
      </c>
      <c r="BE21" s="452"/>
      <c r="BF21" s="453" t="s">
        <v>332</v>
      </c>
      <c r="BG21" s="454"/>
      <c r="BH21" s="454"/>
      <c r="BI21" s="454"/>
      <c r="BJ21" s="454"/>
      <c r="BK21" s="454"/>
      <c r="BL21" s="454"/>
      <c r="BM21" s="454"/>
      <c r="BN21" s="454"/>
      <c r="BO21" s="454"/>
      <c r="BP21" s="454"/>
      <c r="BQ21" s="454"/>
      <c r="BR21" s="454"/>
      <c r="BS21" s="455"/>
      <c r="BT21" s="456"/>
      <c r="BU21" s="457"/>
      <c r="BV21" s="457"/>
      <c r="BW21" s="457"/>
      <c r="BX21" s="457"/>
      <c r="BY21" s="457"/>
      <c r="BZ21" s="457"/>
      <c r="CA21" s="457"/>
      <c r="CB21" s="457"/>
      <c r="CC21" s="457"/>
      <c r="CD21" s="458"/>
    </row>
    <row r="22" spans="2:82" s="51" customFormat="1" ht="27.75" customHeight="1">
      <c r="B22" s="376">
        <f t="shared" ca="1" si="2"/>
        <v>11</v>
      </c>
      <c r="C22" s="377"/>
      <c r="D22" s="60" t="s">
        <v>331</v>
      </c>
      <c r="E22" s="59"/>
      <c r="F22" s="59"/>
      <c r="G22" s="59"/>
      <c r="H22" s="59"/>
      <c r="I22" s="59"/>
      <c r="J22" s="59"/>
      <c r="K22" s="59"/>
      <c r="L22" s="59"/>
      <c r="M22" s="52"/>
      <c r="N22" s="52"/>
      <c r="O22" s="103" t="s">
        <v>400</v>
      </c>
      <c r="P22" s="104"/>
      <c r="Q22" s="104"/>
      <c r="R22" s="104"/>
      <c r="S22" s="104"/>
      <c r="T22" s="68"/>
      <c r="U22" s="68"/>
      <c r="V22" s="378" t="s">
        <v>292</v>
      </c>
      <c r="W22" s="379"/>
      <c r="X22" s="380">
        <v>1</v>
      </c>
      <c r="Y22" s="381"/>
      <c r="Z22" s="380"/>
      <c r="AA22" s="381"/>
      <c r="AB22" s="380">
        <v>16</v>
      </c>
      <c r="AC22" s="381"/>
      <c r="AD22" s="380"/>
      <c r="AE22" s="381"/>
      <c r="AF22" s="378"/>
      <c r="AG22" s="379"/>
      <c r="AH22" s="378"/>
      <c r="AI22" s="379"/>
      <c r="AJ22" s="392">
        <f t="shared" si="3"/>
        <v>16</v>
      </c>
      <c r="AK22" s="393"/>
      <c r="AL22" s="392">
        <f t="shared" si="4"/>
        <v>25</v>
      </c>
      <c r="AM22" s="393"/>
      <c r="AN22" s="56" t="s">
        <v>297</v>
      </c>
      <c r="AO22" s="52"/>
      <c r="AP22" s="52"/>
      <c r="AQ22" s="52"/>
      <c r="AR22" s="55"/>
      <c r="AS22" s="55"/>
      <c r="AT22" s="54"/>
      <c r="AU22" s="53" t="s">
        <v>300</v>
      </c>
      <c r="AV22" s="52"/>
      <c r="AW22" s="52"/>
      <c r="AX22" s="378"/>
      <c r="AY22" s="379"/>
      <c r="AZ22" s="378"/>
      <c r="BA22" s="379"/>
      <c r="BB22" s="378"/>
      <c r="BC22" s="379"/>
      <c r="BD22" s="451" t="s">
        <v>289</v>
      </c>
      <c r="BE22" s="452"/>
      <c r="BF22" s="453" t="s">
        <v>330</v>
      </c>
      <c r="BG22" s="454"/>
      <c r="BH22" s="454"/>
      <c r="BI22" s="454"/>
      <c r="BJ22" s="454"/>
      <c r="BK22" s="454"/>
      <c r="BL22" s="454"/>
      <c r="BM22" s="454"/>
      <c r="BN22" s="454"/>
      <c r="BO22" s="454"/>
      <c r="BP22" s="454"/>
      <c r="BQ22" s="454"/>
      <c r="BR22" s="454"/>
      <c r="BS22" s="455"/>
      <c r="BT22" s="456" t="s">
        <v>323</v>
      </c>
      <c r="BU22" s="457"/>
      <c r="BV22" s="457"/>
      <c r="BW22" s="457"/>
      <c r="BX22" s="457"/>
      <c r="BY22" s="457"/>
      <c r="BZ22" s="457"/>
      <c r="CA22" s="457"/>
      <c r="CB22" s="457"/>
      <c r="CC22" s="457"/>
      <c r="CD22" s="458"/>
    </row>
    <row r="23" spans="2:82" s="51" customFormat="1" ht="27" customHeight="1">
      <c r="B23" s="376">
        <f t="shared" ca="1" si="2"/>
        <v>12</v>
      </c>
      <c r="C23" s="377"/>
      <c r="D23" s="60" t="s">
        <v>329</v>
      </c>
      <c r="E23" s="59"/>
      <c r="F23" s="59"/>
      <c r="G23" s="59"/>
      <c r="H23" s="59"/>
      <c r="I23" s="59"/>
      <c r="J23" s="59"/>
      <c r="K23" s="59"/>
      <c r="L23" s="59"/>
      <c r="M23" s="52"/>
      <c r="N23" s="52"/>
      <c r="O23" s="103" t="s">
        <v>395</v>
      </c>
      <c r="P23" s="104"/>
      <c r="Q23" s="104"/>
      <c r="R23" s="104"/>
      <c r="S23" s="104"/>
      <c r="T23" s="68"/>
      <c r="U23" s="68"/>
      <c r="V23" s="378" t="s">
        <v>292</v>
      </c>
      <c r="W23" s="379"/>
      <c r="X23" s="380">
        <v>1</v>
      </c>
      <c r="Y23" s="381"/>
      <c r="Z23" s="380"/>
      <c r="AA23" s="381"/>
      <c r="AB23" s="380">
        <v>8</v>
      </c>
      <c r="AC23" s="381"/>
      <c r="AD23" s="380"/>
      <c r="AE23" s="381"/>
      <c r="AF23" s="378"/>
      <c r="AG23" s="379"/>
      <c r="AH23" s="378"/>
      <c r="AI23" s="379"/>
      <c r="AJ23" s="392">
        <f t="shared" si="3"/>
        <v>8</v>
      </c>
      <c r="AK23" s="393"/>
      <c r="AL23" s="392">
        <f t="shared" si="4"/>
        <v>41</v>
      </c>
      <c r="AM23" s="393"/>
      <c r="AN23" s="56" t="s">
        <v>297</v>
      </c>
      <c r="AO23" s="52"/>
      <c r="AP23" s="52"/>
      <c r="AQ23" s="52"/>
      <c r="AR23" s="55"/>
      <c r="AS23" s="55"/>
      <c r="AT23" s="54"/>
      <c r="AU23" s="53" t="s">
        <v>300</v>
      </c>
      <c r="AV23" s="52"/>
      <c r="AW23" s="52"/>
      <c r="AX23" s="378"/>
      <c r="AY23" s="379"/>
      <c r="AZ23" s="378"/>
      <c r="BA23" s="379"/>
      <c r="BB23" s="378"/>
      <c r="BC23" s="379"/>
      <c r="BD23" s="451" t="s">
        <v>289</v>
      </c>
      <c r="BE23" s="452"/>
      <c r="BF23" s="453" t="s">
        <v>328</v>
      </c>
      <c r="BG23" s="454"/>
      <c r="BH23" s="454"/>
      <c r="BI23" s="454"/>
      <c r="BJ23" s="454"/>
      <c r="BK23" s="454"/>
      <c r="BL23" s="454"/>
      <c r="BM23" s="454"/>
      <c r="BN23" s="454"/>
      <c r="BO23" s="454"/>
      <c r="BP23" s="454"/>
      <c r="BQ23" s="454"/>
      <c r="BR23" s="454"/>
      <c r="BS23" s="455"/>
      <c r="BT23" s="456" t="s">
        <v>323</v>
      </c>
      <c r="BU23" s="457"/>
      <c r="BV23" s="457"/>
      <c r="BW23" s="457"/>
      <c r="BX23" s="457"/>
      <c r="BY23" s="457"/>
      <c r="BZ23" s="457"/>
      <c r="CA23" s="457"/>
      <c r="CB23" s="457"/>
      <c r="CC23" s="457"/>
      <c r="CD23" s="458"/>
    </row>
    <row r="24" spans="2:82" s="51" customFormat="1" ht="27.75" customHeight="1">
      <c r="B24" s="376">
        <f t="shared" ca="1" si="2"/>
        <v>13</v>
      </c>
      <c r="C24" s="377"/>
      <c r="D24" s="60" t="s">
        <v>327</v>
      </c>
      <c r="E24" s="59"/>
      <c r="F24" s="59"/>
      <c r="G24" s="59"/>
      <c r="H24" s="59"/>
      <c r="I24" s="59"/>
      <c r="J24" s="59"/>
      <c r="K24" s="59"/>
      <c r="L24" s="59"/>
      <c r="M24" s="52"/>
      <c r="N24" s="52"/>
      <c r="O24" s="103" t="s">
        <v>396</v>
      </c>
      <c r="P24" s="104"/>
      <c r="Q24" s="104"/>
      <c r="R24" s="104"/>
      <c r="S24" s="104"/>
      <c r="T24" s="68"/>
      <c r="U24" s="68"/>
      <c r="V24" s="378">
        <v>9</v>
      </c>
      <c r="W24" s="379"/>
      <c r="X24" s="380">
        <v>1</v>
      </c>
      <c r="Y24" s="381"/>
      <c r="Z24" s="380"/>
      <c r="AA24" s="381"/>
      <c r="AB24" s="380">
        <v>10</v>
      </c>
      <c r="AC24" s="381"/>
      <c r="AD24" s="380"/>
      <c r="AE24" s="381"/>
      <c r="AF24" s="378"/>
      <c r="AG24" s="379"/>
      <c r="AH24" s="378"/>
      <c r="AI24" s="379"/>
      <c r="AJ24" s="392">
        <f t="shared" si="3"/>
        <v>10</v>
      </c>
      <c r="AK24" s="393"/>
      <c r="AL24" s="392">
        <f t="shared" si="4"/>
        <v>49</v>
      </c>
      <c r="AM24" s="393"/>
      <c r="AN24" s="56" t="s">
        <v>297</v>
      </c>
      <c r="AO24" s="52"/>
      <c r="AP24" s="52"/>
      <c r="AQ24" s="52"/>
      <c r="AR24" s="55"/>
      <c r="AS24" s="55"/>
      <c r="AT24" s="54"/>
      <c r="AU24" s="53">
        <v>0</v>
      </c>
      <c r="AV24" s="52"/>
      <c r="AW24" s="52"/>
      <c r="AX24" s="378"/>
      <c r="AY24" s="379"/>
      <c r="AZ24" s="378"/>
      <c r="BA24" s="379"/>
      <c r="BB24" s="378"/>
      <c r="BC24" s="379"/>
      <c r="BD24" s="451" t="s">
        <v>296</v>
      </c>
      <c r="BE24" s="452"/>
      <c r="BF24" s="453" t="s">
        <v>326</v>
      </c>
      <c r="BG24" s="454"/>
      <c r="BH24" s="454"/>
      <c r="BI24" s="454"/>
      <c r="BJ24" s="454"/>
      <c r="BK24" s="454"/>
      <c r="BL24" s="454"/>
      <c r="BM24" s="454"/>
      <c r="BN24" s="454"/>
      <c r="BO24" s="454"/>
      <c r="BP24" s="454"/>
      <c r="BQ24" s="454"/>
      <c r="BR24" s="454"/>
      <c r="BS24" s="455"/>
      <c r="BT24" s="456" t="s">
        <v>294</v>
      </c>
      <c r="BU24" s="457"/>
      <c r="BV24" s="457"/>
      <c r="BW24" s="457"/>
      <c r="BX24" s="457"/>
      <c r="BY24" s="457"/>
      <c r="BZ24" s="457"/>
      <c r="CA24" s="457"/>
      <c r="CB24" s="457"/>
      <c r="CC24" s="457"/>
      <c r="CD24" s="458"/>
    </row>
    <row r="25" spans="2:82" s="51" customFormat="1" ht="27.75" customHeight="1">
      <c r="B25" s="376">
        <f t="shared" ca="1" si="2"/>
        <v>14</v>
      </c>
      <c r="C25" s="377"/>
      <c r="D25" s="60" t="s">
        <v>325</v>
      </c>
      <c r="E25" s="59"/>
      <c r="F25" s="59"/>
      <c r="G25" s="59"/>
      <c r="H25" s="59"/>
      <c r="I25" s="59"/>
      <c r="J25" s="59"/>
      <c r="K25" s="59"/>
      <c r="L25" s="59"/>
      <c r="M25" s="52"/>
      <c r="N25" s="52"/>
      <c r="O25" s="58" t="s">
        <v>70</v>
      </c>
      <c r="P25" s="57"/>
      <c r="Q25" s="57"/>
      <c r="R25" s="57"/>
      <c r="S25" s="57"/>
      <c r="T25" s="52"/>
      <c r="U25" s="52"/>
      <c r="V25" s="378" t="s">
        <v>292</v>
      </c>
      <c r="W25" s="379"/>
      <c r="X25" s="380">
        <v>1</v>
      </c>
      <c r="Y25" s="381"/>
      <c r="Z25" s="380"/>
      <c r="AA25" s="381"/>
      <c r="AB25" s="380">
        <v>16</v>
      </c>
      <c r="AC25" s="381"/>
      <c r="AD25" s="380"/>
      <c r="AE25" s="381"/>
      <c r="AF25" s="378"/>
      <c r="AG25" s="379"/>
      <c r="AH25" s="378"/>
      <c r="AI25" s="379"/>
      <c r="AJ25" s="392">
        <f t="shared" si="3"/>
        <v>16</v>
      </c>
      <c r="AK25" s="393"/>
      <c r="AL25" s="392">
        <f t="shared" si="4"/>
        <v>59</v>
      </c>
      <c r="AM25" s="393"/>
      <c r="AN25" s="56" t="s">
        <v>297</v>
      </c>
      <c r="AO25" s="52"/>
      <c r="AP25" s="52"/>
      <c r="AQ25" s="52"/>
      <c r="AR25" s="55"/>
      <c r="AS25" s="55"/>
      <c r="AT25" s="54"/>
      <c r="AU25" s="53" t="s">
        <v>300</v>
      </c>
      <c r="AV25" s="52"/>
      <c r="AW25" s="52"/>
      <c r="AX25" s="378"/>
      <c r="AY25" s="379"/>
      <c r="AZ25" s="378"/>
      <c r="BA25" s="379"/>
      <c r="BB25" s="378"/>
      <c r="BC25" s="379"/>
      <c r="BD25" s="451" t="s">
        <v>289</v>
      </c>
      <c r="BE25" s="452"/>
      <c r="BF25" s="453" t="s">
        <v>324</v>
      </c>
      <c r="BG25" s="454"/>
      <c r="BH25" s="454"/>
      <c r="BI25" s="454"/>
      <c r="BJ25" s="454"/>
      <c r="BK25" s="454"/>
      <c r="BL25" s="454"/>
      <c r="BM25" s="454"/>
      <c r="BN25" s="454"/>
      <c r="BO25" s="454"/>
      <c r="BP25" s="454"/>
      <c r="BQ25" s="454"/>
      <c r="BR25" s="454"/>
      <c r="BS25" s="455"/>
      <c r="BT25" s="456" t="s">
        <v>323</v>
      </c>
      <c r="BU25" s="457"/>
      <c r="BV25" s="457"/>
      <c r="BW25" s="457"/>
      <c r="BX25" s="457"/>
      <c r="BY25" s="457"/>
      <c r="BZ25" s="457"/>
      <c r="CA25" s="457"/>
      <c r="CB25" s="457"/>
      <c r="CC25" s="457"/>
      <c r="CD25" s="458"/>
    </row>
    <row r="26" spans="2:82" s="51" customFormat="1" ht="27.75" customHeight="1">
      <c r="B26" s="376">
        <f t="shared" ca="1" si="2"/>
        <v>15</v>
      </c>
      <c r="C26" s="377"/>
      <c r="D26" s="60" t="s">
        <v>322</v>
      </c>
      <c r="E26" s="59"/>
      <c r="F26" s="59"/>
      <c r="G26" s="59"/>
      <c r="H26" s="59"/>
      <c r="I26" s="59"/>
      <c r="J26" s="59"/>
      <c r="K26" s="59"/>
      <c r="L26" s="59"/>
      <c r="M26" s="52"/>
      <c r="N26" s="52"/>
      <c r="O26" s="58" t="s">
        <v>72</v>
      </c>
      <c r="P26" s="57"/>
      <c r="Q26" s="57"/>
      <c r="R26" s="57"/>
      <c r="S26" s="57"/>
      <c r="T26" s="52"/>
      <c r="U26" s="52"/>
      <c r="V26" s="378">
        <v>9</v>
      </c>
      <c r="W26" s="379"/>
      <c r="X26" s="380">
        <v>1</v>
      </c>
      <c r="Y26" s="381"/>
      <c r="Z26" s="380"/>
      <c r="AA26" s="381"/>
      <c r="AB26" s="380">
        <v>5</v>
      </c>
      <c r="AC26" s="381"/>
      <c r="AD26" s="380"/>
      <c r="AE26" s="381"/>
      <c r="AF26" s="378"/>
      <c r="AG26" s="379"/>
      <c r="AH26" s="378"/>
      <c r="AI26" s="379"/>
      <c r="AJ26" s="392">
        <f t="shared" si="3"/>
        <v>5</v>
      </c>
      <c r="AK26" s="393"/>
      <c r="AL26" s="392">
        <f t="shared" si="4"/>
        <v>75</v>
      </c>
      <c r="AM26" s="393"/>
      <c r="AN26" s="56" t="s">
        <v>297</v>
      </c>
      <c r="AO26" s="52"/>
      <c r="AP26" s="52"/>
      <c r="AQ26" s="52"/>
      <c r="AR26" s="55"/>
      <c r="AS26" s="55"/>
      <c r="AT26" s="54"/>
      <c r="AU26" s="53">
        <v>0</v>
      </c>
      <c r="AV26" s="52"/>
      <c r="AW26" s="52"/>
      <c r="AX26" s="378"/>
      <c r="AY26" s="379"/>
      <c r="AZ26" s="378"/>
      <c r="BA26" s="379"/>
      <c r="BB26" s="378"/>
      <c r="BC26" s="379"/>
      <c r="BD26" s="451" t="s">
        <v>296</v>
      </c>
      <c r="BE26" s="452"/>
      <c r="BF26" s="453" t="s">
        <v>321</v>
      </c>
      <c r="BG26" s="454"/>
      <c r="BH26" s="454"/>
      <c r="BI26" s="454"/>
      <c r="BJ26" s="454"/>
      <c r="BK26" s="454"/>
      <c r="BL26" s="454"/>
      <c r="BM26" s="454"/>
      <c r="BN26" s="454"/>
      <c r="BO26" s="454"/>
      <c r="BP26" s="454"/>
      <c r="BQ26" s="454"/>
      <c r="BR26" s="454"/>
      <c r="BS26" s="455"/>
      <c r="BT26" s="456" t="s">
        <v>294</v>
      </c>
      <c r="BU26" s="457"/>
      <c r="BV26" s="457"/>
      <c r="BW26" s="457"/>
      <c r="BX26" s="457"/>
      <c r="BY26" s="457"/>
      <c r="BZ26" s="457"/>
      <c r="CA26" s="457"/>
      <c r="CB26" s="457"/>
      <c r="CC26" s="457"/>
      <c r="CD26" s="458"/>
    </row>
    <row r="27" spans="2:82" s="51" customFormat="1" ht="27.75" customHeight="1">
      <c r="B27" s="376">
        <f t="shared" ca="1" si="2"/>
        <v>16</v>
      </c>
      <c r="C27" s="377"/>
      <c r="D27" s="60" t="s">
        <v>320</v>
      </c>
      <c r="E27" s="59"/>
      <c r="F27" s="59"/>
      <c r="G27" s="59"/>
      <c r="H27" s="59"/>
      <c r="I27" s="59"/>
      <c r="J27" s="59"/>
      <c r="K27" s="59"/>
      <c r="L27" s="59"/>
      <c r="M27" s="52"/>
      <c r="N27" s="52"/>
      <c r="O27" s="58" t="s">
        <v>74</v>
      </c>
      <c r="P27" s="57"/>
      <c r="Q27" s="57"/>
      <c r="R27" s="57"/>
      <c r="S27" s="57"/>
      <c r="T27" s="52"/>
      <c r="U27" s="52"/>
      <c r="V27" s="378">
        <v>9</v>
      </c>
      <c r="W27" s="379"/>
      <c r="X27" s="380">
        <v>1</v>
      </c>
      <c r="Y27" s="381"/>
      <c r="Z27" s="380"/>
      <c r="AA27" s="381"/>
      <c r="AB27" s="380">
        <v>3</v>
      </c>
      <c r="AC27" s="381"/>
      <c r="AD27" s="380"/>
      <c r="AE27" s="381"/>
      <c r="AF27" s="378"/>
      <c r="AG27" s="379"/>
      <c r="AH27" s="378"/>
      <c r="AI27" s="379"/>
      <c r="AJ27" s="392">
        <f t="shared" si="3"/>
        <v>3</v>
      </c>
      <c r="AK27" s="393"/>
      <c r="AL27" s="392">
        <f t="shared" si="4"/>
        <v>80</v>
      </c>
      <c r="AM27" s="393"/>
      <c r="AN27" s="56" t="s">
        <v>297</v>
      </c>
      <c r="AO27" s="52"/>
      <c r="AP27" s="52"/>
      <c r="AQ27" s="52"/>
      <c r="AR27" s="55"/>
      <c r="AS27" s="55"/>
      <c r="AT27" s="54"/>
      <c r="AU27" s="53">
        <v>0</v>
      </c>
      <c r="AV27" s="52"/>
      <c r="AW27" s="52"/>
      <c r="AX27" s="378"/>
      <c r="AY27" s="379"/>
      <c r="AZ27" s="378"/>
      <c r="BA27" s="379"/>
      <c r="BB27" s="378"/>
      <c r="BC27" s="379"/>
      <c r="BD27" s="451" t="s">
        <v>296</v>
      </c>
      <c r="BE27" s="452"/>
      <c r="BF27" s="453" t="s">
        <v>319</v>
      </c>
      <c r="BG27" s="454"/>
      <c r="BH27" s="454"/>
      <c r="BI27" s="454"/>
      <c r="BJ27" s="454"/>
      <c r="BK27" s="454"/>
      <c r="BL27" s="454"/>
      <c r="BM27" s="454"/>
      <c r="BN27" s="454"/>
      <c r="BO27" s="454"/>
      <c r="BP27" s="454"/>
      <c r="BQ27" s="454"/>
      <c r="BR27" s="454"/>
      <c r="BS27" s="455"/>
      <c r="BT27" s="456" t="s">
        <v>294</v>
      </c>
      <c r="BU27" s="457"/>
      <c r="BV27" s="457"/>
      <c r="BW27" s="457"/>
      <c r="BX27" s="457"/>
      <c r="BY27" s="457"/>
      <c r="BZ27" s="457"/>
      <c r="CA27" s="457"/>
      <c r="CB27" s="457"/>
      <c r="CC27" s="457"/>
      <c r="CD27" s="458"/>
    </row>
    <row r="28" spans="2:82" s="51" customFormat="1" ht="27.75" customHeight="1">
      <c r="B28" s="376">
        <f t="shared" ca="1" si="2"/>
        <v>17</v>
      </c>
      <c r="C28" s="377"/>
      <c r="D28" s="60" t="s">
        <v>318</v>
      </c>
      <c r="E28" s="59"/>
      <c r="F28" s="59"/>
      <c r="G28" s="59"/>
      <c r="H28" s="59"/>
      <c r="I28" s="59"/>
      <c r="J28" s="59"/>
      <c r="K28" s="59"/>
      <c r="L28" s="59"/>
      <c r="M28" s="52"/>
      <c r="N28" s="52"/>
      <c r="O28" s="58" t="s">
        <v>76</v>
      </c>
      <c r="P28" s="57"/>
      <c r="Q28" s="57"/>
      <c r="R28" s="57"/>
      <c r="S28" s="57"/>
      <c r="T28" s="52"/>
      <c r="U28" s="52"/>
      <c r="V28" s="378">
        <v>9</v>
      </c>
      <c r="W28" s="379"/>
      <c r="X28" s="380">
        <v>1</v>
      </c>
      <c r="Y28" s="381"/>
      <c r="Z28" s="380"/>
      <c r="AA28" s="381"/>
      <c r="AB28" s="380">
        <v>8</v>
      </c>
      <c r="AC28" s="381"/>
      <c r="AD28" s="380"/>
      <c r="AE28" s="381"/>
      <c r="AF28" s="378"/>
      <c r="AG28" s="379"/>
      <c r="AH28" s="378"/>
      <c r="AI28" s="379"/>
      <c r="AJ28" s="392">
        <f t="shared" si="3"/>
        <v>8</v>
      </c>
      <c r="AK28" s="393"/>
      <c r="AL28" s="392">
        <f t="shared" si="4"/>
        <v>83</v>
      </c>
      <c r="AM28" s="393"/>
      <c r="AN28" s="56" t="s">
        <v>297</v>
      </c>
      <c r="AO28" s="52"/>
      <c r="AP28" s="52"/>
      <c r="AQ28" s="52"/>
      <c r="AR28" s="55"/>
      <c r="AS28" s="55"/>
      <c r="AT28" s="54"/>
      <c r="AU28" s="53">
        <v>0</v>
      </c>
      <c r="AV28" s="52"/>
      <c r="AW28" s="52"/>
      <c r="AX28" s="378"/>
      <c r="AY28" s="379"/>
      <c r="AZ28" s="378"/>
      <c r="BA28" s="379"/>
      <c r="BB28" s="378"/>
      <c r="BC28" s="379"/>
      <c r="BD28" s="451" t="s">
        <v>296</v>
      </c>
      <c r="BE28" s="452"/>
      <c r="BF28" s="453" t="s">
        <v>317</v>
      </c>
      <c r="BG28" s="454"/>
      <c r="BH28" s="454"/>
      <c r="BI28" s="454"/>
      <c r="BJ28" s="454"/>
      <c r="BK28" s="454"/>
      <c r="BL28" s="454"/>
      <c r="BM28" s="454"/>
      <c r="BN28" s="454"/>
      <c r="BO28" s="454"/>
      <c r="BP28" s="454"/>
      <c r="BQ28" s="454"/>
      <c r="BR28" s="454"/>
      <c r="BS28" s="455"/>
      <c r="BT28" s="456" t="s">
        <v>314</v>
      </c>
      <c r="BU28" s="457"/>
      <c r="BV28" s="457"/>
      <c r="BW28" s="457"/>
      <c r="BX28" s="457"/>
      <c r="BY28" s="457"/>
      <c r="BZ28" s="457"/>
      <c r="CA28" s="457"/>
      <c r="CB28" s="457"/>
      <c r="CC28" s="457"/>
      <c r="CD28" s="458"/>
    </row>
    <row r="29" spans="2:82" s="51" customFormat="1" ht="27.75" customHeight="1">
      <c r="B29" s="376">
        <f t="shared" ca="1" si="2"/>
        <v>18</v>
      </c>
      <c r="C29" s="377"/>
      <c r="D29" s="60" t="s">
        <v>316</v>
      </c>
      <c r="E29" s="59"/>
      <c r="F29" s="59"/>
      <c r="G29" s="59"/>
      <c r="H29" s="59"/>
      <c r="I29" s="59"/>
      <c r="J29" s="59"/>
      <c r="K29" s="59"/>
      <c r="L29" s="59"/>
      <c r="M29" s="52"/>
      <c r="N29" s="52"/>
      <c r="O29" s="103" t="s">
        <v>397</v>
      </c>
      <c r="P29" s="104"/>
      <c r="Q29" s="104"/>
      <c r="R29" s="104"/>
      <c r="S29" s="104"/>
      <c r="T29" s="68"/>
      <c r="U29" s="68"/>
      <c r="V29" s="378">
        <v>9</v>
      </c>
      <c r="W29" s="379"/>
      <c r="X29" s="380">
        <v>1</v>
      </c>
      <c r="Y29" s="381"/>
      <c r="Z29" s="380"/>
      <c r="AA29" s="381"/>
      <c r="AB29" s="380">
        <v>8</v>
      </c>
      <c r="AC29" s="381"/>
      <c r="AD29" s="380"/>
      <c r="AE29" s="381"/>
      <c r="AF29" s="378"/>
      <c r="AG29" s="379"/>
      <c r="AH29" s="378"/>
      <c r="AI29" s="379"/>
      <c r="AJ29" s="392">
        <f t="shared" si="3"/>
        <v>8</v>
      </c>
      <c r="AK29" s="393"/>
      <c r="AL29" s="392">
        <f t="shared" si="4"/>
        <v>91</v>
      </c>
      <c r="AM29" s="393"/>
      <c r="AN29" s="56" t="s">
        <v>297</v>
      </c>
      <c r="AO29" s="52"/>
      <c r="AP29" s="52"/>
      <c r="AQ29" s="52"/>
      <c r="AR29" s="55"/>
      <c r="AS29" s="55"/>
      <c r="AT29" s="54"/>
      <c r="AU29" s="53">
        <v>0</v>
      </c>
      <c r="AV29" s="52"/>
      <c r="AW29" s="52"/>
      <c r="AX29" s="378"/>
      <c r="AY29" s="379"/>
      <c r="AZ29" s="378"/>
      <c r="BA29" s="379"/>
      <c r="BB29" s="378"/>
      <c r="BC29" s="379"/>
      <c r="BD29" s="451" t="s">
        <v>296</v>
      </c>
      <c r="BE29" s="452"/>
      <c r="BF29" s="453" t="s">
        <v>315</v>
      </c>
      <c r="BG29" s="454"/>
      <c r="BH29" s="454"/>
      <c r="BI29" s="454"/>
      <c r="BJ29" s="454"/>
      <c r="BK29" s="454"/>
      <c r="BL29" s="454"/>
      <c r="BM29" s="454"/>
      <c r="BN29" s="454"/>
      <c r="BO29" s="454"/>
      <c r="BP29" s="454"/>
      <c r="BQ29" s="454"/>
      <c r="BR29" s="454"/>
      <c r="BS29" s="455"/>
      <c r="BT29" s="456" t="s">
        <v>314</v>
      </c>
      <c r="BU29" s="457"/>
      <c r="BV29" s="457"/>
      <c r="BW29" s="457"/>
      <c r="BX29" s="457"/>
      <c r="BY29" s="457"/>
      <c r="BZ29" s="457"/>
      <c r="CA29" s="457"/>
      <c r="CB29" s="457"/>
      <c r="CC29" s="457"/>
      <c r="CD29" s="458"/>
    </row>
    <row r="30" spans="2:82" s="51" customFormat="1" ht="27.75" customHeight="1">
      <c r="B30" s="376">
        <f t="shared" ca="1" si="2"/>
        <v>19</v>
      </c>
      <c r="C30" s="377"/>
      <c r="D30" s="60" t="s">
        <v>313</v>
      </c>
      <c r="E30" s="59"/>
      <c r="F30" s="59"/>
      <c r="G30" s="59"/>
      <c r="H30" s="59"/>
      <c r="I30" s="59"/>
      <c r="J30" s="59"/>
      <c r="K30" s="59"/>
      <c r="L30" s="59"/>
      <c r="M30" s="52"/>
      <c r="N30" s="52"/>
      <c r="O30" s="103" t="s">
        <v>398</v>
      </c>
      <c r="P30" s="104"/>
      <c r="Q30" s="104"/>
      <c r="R30" s="104"/>
      <c r="S30" s="104"/>
      <c r="T30" s="68"/>
      <c r="U30" s="68"/>
      <c r="V30" s="378">
        <v>9</v>
      </c>
      <c r="W30" s="379"/>
      <c r="X30" s="380">
        <v>1</v>
      </c>
      <c r="Y30" s="381"/>
      <c r="Z30" s="380"/>
      <c r="AA30" s="381"/>
      <c r="AB30" s="380">
        <v>6</v>
      </c>
      <c r="AC30" s="381"/>
      <c r="AD30" s="380"/>
      <c r="AE30" s="381"/>
      <c r="AF30" s="378"/>
      <c r="AG30" s="379"/>
      <c r="AH30" s="378"/>
      <c r="AI30" s="379"/>
      <c r="AJ30" s="392">
        <f t="shared" si="3"/>
        <v>6</v>
      </c>
      <c r="AK30" s="393"/>
      <c r="AL30" s="392">
        <f t="shared" si="4"/>
        <v>99</v>
      </c>
      <c r="AM30" s="393"/>
      <c r="AN30" s="56" t="s">
        <v>297</v>
      </c>
      <c r="AO30" s="52"/>
      <c r="AP30" s="52"/>
      <c r="AQ30" s="52"/>
      <c r="AR30" s="55"/>
      <c r="AS30" s="55"/>
      <c r="AT30" s="54"/>
      <c r="AU30" s="53">
        <v>0</v>
      </c>
      <c r="AV30" s="52"/>
      <c r="AW30" s="52"/>
      <c r="AX30" s="378"/>
      <c r="AY30" s="379"/>
      <c r="AZ30" s="378"/>
      <c r="BA30" s="379"/>
      <c r="BB30" s="378"/>
      <c r="BC30" s="379"/>
      <c r="BD30" s="451" t="s">
        <v>296</v>
      </c>
      <c r="BE30" s="452"/>
      <c r="BF30" s="453" t="s">
        <v>312</v>
      </c>
      <c r="BG30" s="454"/>
      <c r="BH30" s="454"/>
      <c r="BI30" s="454"/>
      <c r="BJ30" s="454"/>
      <c r="BK30" s="454"/>
      <c r="BL30" s="454"/>
      <c r="BM30" s="454"/>
      <c r="BN30" s="454"/>
      <c r="BO30" s="454"/>
      <c r="BP30" s="454"/>
      <c r="BQ30" s="454"/>
      <c r="BR30" s="454"/>
      <c r="BS30" s="455"/>
      <c r="BT30" s="456" t="s">
        <v>311</v>
      </c>
      <c r="BU30" s="457"/>
      <c r="BV30" s="457"/>
      <c r="BW30" s="457"/>
      <c r="BX30" s="457"/>
      <c r="BY30" s="457"/>
      <c r="BZ30" s="457"/>
      <c r="CA30" s="457"/>
      <c r="CB30" s="457"/>
      <c r="CC30" s="457"/>
      <c r="CD30" s="458"/>
    </row>
    <row r="31" spans="2:82" s="51" customFormat="1" ht="27.75" customHeight="1">
      <c r="B31" s="376">
        <f t="shared" ca="1" si="2"/>
        <v>20</v>
      </c>
      <c r="C31" s="377"/>
      <c r="D31" s="60" t="s">
        <v>310</v>
      </c>
      <c r="E31" s="59"/>
      <c r="F31" s="59"/>
      <c r="G31" s="59"/>
      <c r="H31" s="59"/>
      <c r="I31" s="59"/>
      <c r="J31" s="59"/>
      <c r="K31" s="59"/>
      <c r="L31" s="59"/>
      <c r="M31" s="52"/>
      <c r="N31" s="52"/>
      <c r="O31" s="58" t="s">
        <v>394</v>
      </c>
      <c r="P31" s="57"/>
      <c r="Q31" s="57"/>
      <c r="R31" s="57"/>
      <c r="S31" s="57"/>
      <c r="T31" s="52"/>
      <c r="U31" s="52"/>
      <c r="V31" s="378">
        <v>9</v>
      </c>
      <c r="W31" s="379"/>
      <c r="X31" s="380">
        <v>1</v>
      </c>
      <c r="Y31" s="381"/>
      <c r="Z31" s="380"/>
      <c r="AA31" s="381"/>
      <c r="AB31" s="380">
        <v>14</v>
      </c>
      <c r="AC31" s="381"/>
      <c r="AD31" s="380"/>
      <c r="AE31" s="381"/>
      <c r="AF31" s="378"/>
      <c r="AG31" s="379"/>
      <c r="AH31" s="378"/>
      <c r="AI31" s="379"/>
      <c r="AJ31" s="392">
        <f t="shared" si="3"/>
        <v>14</v>
      </c>
      <c r="AK31" s="393"/>
      <c r="AL31" s="392">
        <f t="shared" si="4"/>
        <v>105</v>
      </c>
      <c r="AM31" s="393"/>
      <c r="AN31" s="56" t="s">
        <v>297</v>
      </c>
      <c r="AO31" s="52"/>
      <c r="AP31" s="52"/>
      <c r="AQ31" s="52"/>
      <c r="AR31" s="55"/>
      <c r="AS31" s="55"/>
      <c r="AT31" s="54"/>
      <c r="AU31" s="53">
        <v>0</v>
      </c>
      <c r="AV31" s="52"/>
      <c r="AW31" s="52"/>
      <c r="AX31" s="378"/>
      <c r="AY31" s="379"/>
      <c r="AZ31" s="378"/>
      <c r="BA31" s="379"/>
      <c r="BB31" s="378"/>
      <c r="BC31" s="379"/>
      <c r="BD31" s="451" t="s">
        <v>296</v>
      </c>
      <c r="BE31" s="452"/>
      <c r="BF31" s="453" t="s">
        <v>309</v>
      </c>
      <c r="BG31" s="454"/>
      <c r="BH31" s="454"/>
      <c r="BI31" s="454"/>
      <c r="BJ31" s="454"/>
      <c r="BK31" s="454"/>
      <c r="BL31" s="454"/>
      <c r="BM31" s="454"/>
      <c r="BN31" s="454"/>
      <c r="BO31" s="454"/>
      <c r="BP31" s="454"/>
      <c r="BQ31" s="454"/>
      <c r="BR31" s="454"/>
      <c r="BS31" s="455"/>
      <c r="BT31" s="456" t="s">
        <v>294</v>
      </c>
      <c r="BU31" s="457"/>
      <c r="BV31" s="457"/>
      <c r="BW31" s="457"/>
      <c r="BX31" s="457"/>
      <c r="BY31" s="457"/>
      <c r="BZ31" s="457"/>
      <c r="CA31" s="457"/>
      <c r="CB31" s="457"/>
      <c r="CC31" s="457"/>
      <c r="CD31" s="458"/>
    </row>
    <row r="32" spans="2:82" s="51" customFormat="1" ht="102" customHeight="1">
      <c r="B32" s="376">
        <f t="shared" ca="1" si="2"/>
        <v>21</v>
      </c>
      <c r="C32" s="377"/>
      <c r="D32" s="60" t="s">
        <v>308</v>
      </c>
      <c r="E32" s="59"/>
      <c r="F32" s="59"/>
      <c r="G32" s="59"/>
      <c r="H32" s="59"/>
      <c r="I32" s="59"/>
      <c r="J32" s="59"/>
      <c r="K32" s="59"/>
      <c r="L32" s="59"/>
      <c r="M32" s="52"/>
      <c r="N32" s="52"/>
      <c r="O32" s="58" t="s">
        <v>78</v>
      </c>
      <c r="P32" s="57"/>
      <c r="Q32" s="57"/>
      <c r="R32" s="57"/>
      <c r="S32" s="57"/>
      <c r="T32" s="52"/>
      <c r="U32" s="52"/>
      <c r="V32" s="378">
        <v>9</v>
      </c>
      <c r="W32" s="379"/>
      <c r="X32" s="380">
        <v>1</v>
      </c>
      <c r="Y32" s="381"/>
      <c r="Z32" s="380"/>
      <c r="AA32" s="381"/>
      <c r="AB32" s="380">
        <v>1</v>
      </c>
      <c r="AC32" s="381"/>
      <c r="AD32" s="380"/>
      <c r="AE32" s="381"/>
      <c r="AF32" s="378"/>
      <c r="AG32" s="379"/>
      <c r="AH32" s="378"/>
      <c r="AI32" s="379"/>
      <c r="AJ32" s="392">
        <f t="shared" si="3"/>
        <v>1</v>
      </c>
      <c r="AK32" s="393"/>
      <c r="AL32" s="392">
        <f t="shared" si="4"/>
        <v>119</v>
      </c>
      <c r="AM32" s="393"/>
      <c r="AN32" s="56" t="s">
        <v>297</v>
      </c>
      <c r="AO32" s="52"/>
      <c r="AP32" s="52"/>
      <c r="AQ32" s="52"/>
      <c r="AR32" s="55"/>
      <c r="AS32" s="55"/>
      <c r="AT32" s="54"/>
      <c r="AU32" s="53">
        <v>0</v>
      </c>
      <c r="AV32" s="52"/>
      <c r="AW32" s="52"/>
      <c r="AX32" s="378"/>
      <c r="AY32" s="379"/>
      <c r="AZ32" s="378"/>
      <c r="BA32" s="379"/>
      <c r="BB32" s="378"/>
      <c r="BC32" s="379"/>
      <c r="BD32" s="451" t="s">
        <v>296</v>
      </c>
      <c r="BE32" s="452"/>
      <c r="BF32" s="453" t="s">
        <v>307</v>
      </c>
      <c r="BG32" s="454"/>
      <c r="BH32" s="454"/>
      <c r="BI32" s="454"/>
      <c r="BJ32" s="454"/>
      <c r="BK32" s="454"/>
      <c r="BL32" s="454"/>
      <c r="BM32" s="454"/>
      <c r="BN32" s="454"/>
      <c r="BO32" s="454"/>
      <c r="BP32" s="454"/>
      <c r="BQ32" s="454"/>
      <c r="BR32" s="454"/>
      <c r="BS32" s="455"/>
      <c r="BT32" s="456" t="s">
        <v>294</v>
      </c>
      <c r="BU32" s="457"/>
      <c r="BV32" s="457"/>
      <c r="BW32" s="457"/>
      <c r="BX32" s="457"/>
      <c r="BY32" s="457"/>
      <c r="BZ32" s="457"/>
      <c r="CA32" s="457"/>
      <c r="CB32" s="457"/>
      <c r="CC32" s="457"/>
      <c r="CD32" s="458"/>
    </row>
    <row r="33" spans="2:82" s="51" customFormat="1" ht="27.75" customHeight="1">
      <c r="B33" s="376">
        <f t="shared" ca="1" si="2"/>
        <v>22</v>
      </c>
      <c r="C33" s="377"/>
      <c r="D33" s="60" t="s">
        <v>293</v>
      </c>
      <c r="E33" s="59"/>
      <c r="F33" s="59"/>
      <c r="G33" s="59"/>
      <c r="H33" s="59"/>
      <c r="I33" s="59"/>
      <c r="J33" s="59"/>
      <c r="K33" s="59"/>
      <c r="L33" s="59"/>
      <c r="M33" s="52"/>
      <c r="N33" s="52"/>
      <c r="O33" s="58" t="s">
        <v>393</v>
      </c>
      <c r="P33" s="57"/>
      <c r="Q33" s="57"/>
      <c r="R33" s="57"/>
      <c r="S33" s="57"/>
      <c r="T33" s="52"/>
      <c r="U33" s="52"/>
      <c r="V33" s="378" t="s">
        <v>292</v>
      </c>
      <c r="W33" s="379"/>
      <c r="X33" s="380">
        <v>1</v>
      </c>
      <c r="Y33" s="381"/>
      <c r="Z33" s="380"/>
      <c r="AA33" s="381"/>
      <c r="AB33" s="380">
        <v>5</v>
      </c>
      <c r="AC33" s="381"/>
      <c r="AD33" s="380"/>
      <c r="AE33" s="381"/>
      <c r="AF33" s="378"/>
      <c r="AG33" s="379"/>
      <c r="AH33" s="378"/>
      <c r="AI33" s="379"/>
      <c r="AJ33" s="392">
        <f t="shared" si="3"/>
        <v>5</v>
      </c>
      <c r="AK33" s="393"/>
      <c r="AL33" s="392">
        <f t="shared" si="4"/>
        <v>120</v>
      </c>
      <c r="AM33" s="393"/>
      <c r="AN33" s="56" t="s">
        <v>291</v>
      </c>
      <c r="AO33" s="52"/>
      <c r="AP33" s="52"/>
      <c r="AQ33" s="52"/>
      <c r="AR33" s="55"/>
      <c r="AS33" s="55"/>
      <c r="AT33" s="54"/>
      <c r="AU33" s="53" t="s">
        <v>290</v>
      </c>
      <c r="AV33" s="52"/>
      <c r="AW33" s="52"/>
      <c r="AX33" s="378"/>
      <c r="AY33" s="379"/>
      <c r="AZ33" s="378"/>
      <c r="BA33" s="379"/>
      <c r="BB33" s="378"/>
      <c r="BC33" s="379"/>
      <c r="BD33" s="451" t="s">
        <v>289</v>
      </c>
      <c r="BE33" s="452"/>
      <c r="BF33" s="453"/>
      <c r="BG33" s="454"/>
      <c r="BH33" s="454"/>
      <c r="BI33" s="454"/>
      <c r="BJ33" s="454"/>
      <c r="BK33" s="454"/>
      <c r="BL33" s="454"/>
      <c r="BM33" s="454"/>
      <c r="BN33" s="454"/>
      <c r="BO33" s="454"/>
      <c r="BP33" s="454"/>
      <c r="BQ33" s="454"/>
      <c r="BR33" s="454"/>
      <c r="BS33" s="455"/>
      <c r="BT33" s="456"/>
      <c r="BU33" s="457"/>
      <c r="BV33" s="457"/>
      <c r="BW33" s="457"/>
      <c r="BX33" s="457"/>
      <c r="BY33" s="457"/>
      <c r="BZ33" s="457"/>
      <c r="CA33" s="457"/>
      <c r="CB33" s="457"/>
      <c r="CC33" s="457"/>
      <c r="CD33" s="458"/>
    </row>
    <row r="34" spans="2:82" s="51" customFormat="1" ht="27.75" customHeight="1">
      <c r="B34" s="376">
        <f t="shared" ca="1" si="2"/>
        <v>23</v>
      </c>
      <c r="C34" s="377"/>
      <c r="D34" s="60" t="s">
        <v>306</v>
      </c>
      <c r="E34" s="59"/>
      <c r="F34" s="59"/>
      <c r="G34" s="59"/>
      <c r="H34" s="59"/>
      <c r="I34" s="59"/>
      <c r="J34" s="59"/>
      <c r="K34" s="59"/>
      <c r="L34" s="59"/>
      <c r="M34" s="52"/>
      <c r="N34" s="52"/>
      <c r="O34" s="58" t="s">
        <v>80</v>
      </c>
      <c r="P34" s="57"/>
      <c r="Q34" s="57"/>
      <c r="R34" s="57"/>
      <c r="S34" s="57"/>
      <c r="T34" s="52"/>
      <c r="U34" s="52"/>
      <c r="V34" s="378">
        <v>9</v>
      </c>
      <c r="W34" s="379"/>
      <c r="X34" s="380">
        <v>1</v>
      </c>
      <c r="Y34" s="381"/>
      <c r="Z34" s="380"/>
      <c r="AA34" s="381"/>
      <c r="AB34" s="380">
        <v>10</v>
      </c>
      <c r="AC34" s="381"/>
      <c r="AD34" s="380"/>
      <c r="AE34" s="381"/>
      <c r="AF34" s="378"/>
      <c r="AG34" s="379"/>
      <c r="AH34" s="378"/>
      <c r="AI34" s="379"/>
      <c r="AJ34" s="392">
        <f t="shared" si="3"/>
        <v>10</v>
      </c>
      <c r="AK34" s="393"/>
      <c r="AL34" s="392">
        <f t="shared" si="4"/>
        <v>125</v>
      </c>
      <c r="AM34" s="393"/>
      <c r="AN34" s="56" t="s">
        <v>291</v>
      </c>
      <c r="AO34" s="52"/>
      <c r="AP34" s="52"/>
      <c r="AQ34" s="52"/>
      <c r="AR34" s="55"/>
      <c r="AS34" s="55"/>
      <c r="AT34" s="54"/>
      <c r="AU34" s="53">
        <v>0</v>
      </c>
      <c r="AV34" s="52"/>
      <c r="AW34" s="52"/>
      <c r="AX34" s="378"/>
      <c r="AY34" s="379"/>
      <c r="AZ34" s="378"/>
      <c r="BA34" s="379"/>
      <c r="BB34" s="378"/>
      <c r="BC34" s="379"/>
      <c r="BD34" s="451" t="s">
        <v>296</v>
      </c>
      <c r="BE34" s="452"/>
      <c r="BF34" s="453" t="s">
        <v>305</v>
      </c>
      <c r="BG34" s="454"/>
      <c r="BH34" s="454"/>
      <c r="BI34" s="454"/>
      <c r="BJ34" s="454"/>
      <c r="BK34" s="454"/>
      <c r="BL34" s="454"/>
      <c r="BM34" s="454"/>
      <c r="BN34" s="454"/>
      <c r="BO34" s="454"/>
      <c r="BP34" s="454"/>
      <c r="BQ34" s="454"/>
      <c r="BR34" s="454"/>
      <c r="BS34" s="455"/>
      <c r="BT34" s="456" t="s">
        <v>294</v>
      </c>
      <c r="BU34" s="457"/>
      <c r="BV34" s="457"/>
      <c r="BW34" s="457"/>
      <c r="BX34" s="457"/>
      <c r="BY34" s="457"/>
      <c r="BZ34" s="457"/>
      <c r="CA34" s="457"/>
      <c r="CB34" s="457"/>
      <c r="CC34" s="457"/>
      <c r="CD34" s="458"/>
    </row>
    <row r="35" spans="2:82" s="51" customFormat="1" ht="27.75" customHeight="1">
      <c r="B35" s="376">
        <f t="shared" ca="1" si="2"/>
        <v>24</v>
      </c>
      <c r="C35" s="377"/>
      <c r="D35" s="60" t="s">
        <v>304</v>
      </c>
      <c r="E35" s="59"/>
      <c r="F35" s="59"/>
      <c r="G35" s="59"/>
      <c r="H35" s="59"/>
      <c r="I35" s="59"/>
      <c r="J35" s="59"/>
      <c r="K35" s="59"/>
      <c r="L35" s="59"/>
      <c r="M35" s="52"/>
      <c r="N35" s="52"/>
      <c r="O35" s="58" t="s">
        <v>82</v>
      </c>
      <c r="P35" s="57"/>
      <c r="Q35" s="57"/>
      <c r="R35" s="57"/>
      <c r="S35" s="57"/>
      <c r="T35" s="52"/>
      <c r="U35" s="52"/>
      <c r="V35" s="378">
        <v>9</v>
      </c>
      <c r="W35" s="379"/>
      <c r="X35" s="380">
        <v>1</v>
      </c>
      <c r="Y35" s="381"/>
      <c r="Z35" s="380"/>
      <c r="AA35" s="381"/>
      <c r="AB35" s="380">
        <v>15</v>
      </c>
      <c r="AC35" s="381"/>
      <c r="AD35" s="380"/>
      <c r="AE35" s="381"/>
      <c r="AF35" s="378"/>
      <c r="AG35" s="379"/>
      <c r="AH35" s="378"/>
      <c r="AI35" s="379"/>
      <c r="AJ35" s="392">
        <f t="shared" si="3"/>
        <v>15</v>
      </c>
      <c r="AK35" s="393"/>
      <c r="AL35" s="392">
        <f t="shared" si="4"/>
        <v>135</v>
      </c>
      <c r="AM35" s="393"/>
      <c r="AN35" s="56" t="s">
        <v>291</v>
      </c>
      <c r="AO35" s="52"/>
      <c r="AP35" s="52"/>
      <c r="AQ35" s="52"/>
      <c r="AR35" s="55"/>
      <c r="AS35" s="55"/>
      <c r="AT35" s="54"/>
      <c r="AU35" s="53">
        <v>0</v>
      </c>
      <c r="AV35" s="52"/>
      <c r="AW35" s="52"/>
      <c r="AX35" s="378"/>
      <c r="AY35" s="379"/>
      <c r="AZ35" s="378"/>
      <c r="BA35" s="379"/>
      <c r="BB35" s="378"/>
      <c r="BC35" s="379"/>
      <c r="BD35" s="451" t="s">
        <v>296</v>
      </c>
      <c r="BE35" s="452"/>
      <c r="BF35" s="453" t="s">
        <v>303</v>
      </c>
      <c r="BG35" s="454"/>
      <c r="BH35" s="454"/>
      <c r="BI35" s="454"/>
      <c r="BJ35" s="454"/>
      <c r="BK35" s="454"/>
      <c r="BL35" s="454"/>
      <c r="BM35" s="454"/>
      <c r="BN35" s="454"/>
      <c r="BO35" s="454"/>
      <c r="BP35" s="454"/>
      <c r="BQ35" s="454"/>
      <c r="BR35" s="454"/>
      <c r="BS35" s="455"/>
      <c r="BT35" s="456" t="s">
        <v>294</v>
      </c>
      <c r="BU35" s="457"/>
      <c r="BV35" s="457"/>
      <c r="BW35" s="457"/>
      <c r="BX35" s="457"/>
      <c r="BY35" s="457"/>
      <c r="BZ35" s="457"/>
      <c r="CA35" s="457"/>
      <c r="CB35" s="457"/>
      <c r="CC35" s="457"/>
      <c r="CD35" s="458"/>
    </row>
    <row r="36" spans="2:82" s="51" customFormat="1" ht="13.5" customHeight="1">
      <c r="B36" s="376"/>
      <c r="C36" s="377"/>
      <c r="D36" s="73" t="s">
        <v>302</v>
      </c>
      <c r="E36" s="72"/>
      <c r="F36" s="72"/>
      <c r="G36" s="72"/>
      <c r="H36" s="72"/>
      <c r="I36" s="72"/>
      <c r="J36" s="72"/>
      <c r="K36" s="72"/>
      <c r="L36" s="72"/>
      <c r="M36" s="69"/>
      <c r="N36" s="69"/>
      <c r="O36" s="71"/>
      <c r="P36" s="70"/>
      <c r="Q36" s="70"/>
      <c r="R36" s="70"/>
      <c r="S36" s="70"/>
      <c r="T36" s="69"/>
      <c r="U36" s="68"/>
      <c r="V36" s="384"/>
      <c r="W36" s="385"/>
      <c r="X36" s="382"/>
      <c r="Y36" s="383"/>
      <c r="Z36" s="382"/>
      <c r="AA36" s="383"/>
      <c r="AB36" s="382"/>
      <c r="AC36" s="383"/>
      <c r="AD36" s="382"/>
      <c r="AE36" s="383"/>
      <c r="AF36" s="382"/>
      <c r="AG36" s="383"/>
      <c r="AH36" s="382"/>
      <c r="AI36" s="383"/>
      <c r="AJ36" s="382"/>
      <c r="AK36" s="383"/>
      <c r="AL36" s="382"/>
      <c r="AM36" s="383"/>
      <c r="AN36" s="66"/>
      <c r="AO36" s="68"/>
      <c r="AP36" s="68"/>
      <c r="AQ36" s="68"/>
      <c r="AR36" s="68"/>
      <c r="AS36" s="68"/>
      <c r="AT36" s="67"/>
      <c r="AU36" s="66"/>
      <c r="AV36" s="65"/>
      <c r="AW36" s="64"/>
      <c r="AX36" s="382"/>
      <c r="AY36" s="383"/>
      <c r="AZ36" s="382"/>
      <c r="BA36" s="383"/>
      <c r="BB36" s="382"/>
      <c r="BC36" s="383"/>
      <c r="BD36" s="382"/>
      <c r="BE36" s="383"/>
      <c r="BF36" s="63"/>
      <c r="BG36" s="63"/>
      <c r="BH36" s="63"/>
      <c r="BI36" s="63"/>
      <c r="BJ36" s="63"/>
      <c r="BK36" s="63"/>
      <c r="BL36" s="63"/>
      <c r="BM36" s="63"/>
      <c r="BN36" s="63"/>
      <c r="BO36" s="63"/>
      <c r="BP36" s="63"/>
      <c r="BQ36" s="63"/>
      <c r="BR36" s="63"/>
      <c r="BS36" s="62"/>
      <c r="BT36" s="448"/>
      <c r="BU36" s="449"/>
      <c r="BV36" s="449"/>
      <c r="BW36" s="449"/>
      <c r="BX36" s="449"/>
      <c r="BY36" s="449"/>
      <c r="BZ36" s="449"/>
      <c r="CA36" s="449"/>
      <c r="CB36" s="449"/>
      <c r="CC36" s="449"/>
      <c r="CD36" s="450"/>
    </row>
    <row r="37" spans="2:82" s="51" customFormat="1" ht="27" customHeight="1">
      <c r="B37" s="376">
        <f ca="1">IF($V37="","",MAX(OFFSET($B$11,0,0,ROW()-ROW($B$11),2))+1)</f>
        <v>25</v>
      </c>
      <c r="C37" s="377"/>
      <c r="D37" s="61" t="s">
        <v>301</v>
      </c>
      <c r="E37" s="59"/>
      <c r="F37" s="59"/>
      <c r="G37" s="59"/>
      <c r="H37" s="59"/>
      <c r="I37" s="59"/>
      <c r="J37" s="59"/>
      <c r="K37" s="59"/>
      <c r="L37" s="59"/>
      <c r="M37" s="52"/>
      <c r="N37" s="52"/>
      <c r="O37" s="58" t="s">
        <v>391</v>
      </c>
      <c r="P37" s="57"/>
      <c r="Q37" s="57"/>
      <c r="R37" s="57"/>
      <c r="S37" s="57"/>
      <c r="T37" s="52"/>
      <c r="U37" s="52"/>
      <c r="V37" s="378" t="s">
        <v>292</v>
      </c>
      <c r="W37" s="379"/>
      <c r="X37" s="380">
        <v>1</v>
      </c>
      <c r="Y37" s="381"/>
      <c r="Z37" s="380"/>
      <c r="AA37" s="381"/>
      <c r="AB37" s="380">
        <v>1</v>
      </c>
      <c r="AC37" s="381"/>
      <c r="AD37" s="380"/>
      <c r="AE37" s="381"/>
      <c r="AF37" s="378"/>
      <c r="AG37" s="379"/>
      <c r="AH37" s="378"/>
      <c r="AI37" s="379"/>
      <c r="AJ37" s="392">
        <f>IF(V37="","",IF(V37="N",AB37*2,IF(V37="X",AB37,IF(V37=9,AB37+AD37,IF(V37="±9",AB37+AD37+1,IF(V37="S9",AB37+AD37,IF(V37="S9C3",ROUNDDOWN((AB37+AD37)/2,0)+1,"")))))))</f>
        <v>1</v>
      </c>
      <c r="AK37" s="393"/>
      <c r="AL37" s="392">
        <f>AJ36+AL36</f>
        <v>0</v>
      </c>
      <c r="AM37" s="393"/>
      <c r="AN37" s="56" t="s">
        <v>297</v>
      </c>
      <c r="AO37" s="52"/>
      <c r="AP37" s="52"/>
      <c r="AQ37" s="52"/>
      <c r="AR37" s="55"/>
      <c r="AS37" s="55"/>
      <c r="AT37" s="54"/>
      <c r="AU37" s="53" t="s">
        <v>300</v>
      </c>
      <c r="AV37" s="52"/>
      <c r="AW37" s="52"/>
      <c r="AX37" s="378"/>
      <c r="AY37" s="379"/>
      <c r="AZ37" s="378"/>
      <c r="BA37" s="379"/>
      <c r="BB37" s="378"/>
      <c r="BC37" s="379"/>
      <c r="BD37" s="451" t="s">
        <v>289</v>
      </c>
      <c r="BE37" s="452"/>
      <c r="BF37" s="453" t="s">
        <v>299</v>
      </c>
      <c r="BG37" s="454"/>
      <c r="BH37" s="454"/>
      <c r="BI37" s="454"/>
      <c r="BJ37" s="454"/>
      <c r="BK37" s="454"/>
      <c r="BL37" s="454"/>
      <c r="BM37" s="454"/>
      <c r="BN37" s="454"/>
      <c r="BO37" s="454"/>
      <c r="BP37" s="454"/>
      <c r="BQ37" s="454"/>
      <c r="BR37" s="454"/>
      <c r="BS37" s="455"/>
      <c r="BT37" s="456"/>
      <c r="BU37" s="457"/>
      <c r="BV37" s="457"/>
      <c r="BW37" s="457"/>
      <c r="BX37" s="457"/>
      <c r="BY37" s="457"/>
      <c r="BZ37" s="457"/>
      <c r="CA37" s="457"/>
      <c r="CB37" s="457"/>
      <c r="CC37" s="457"/>
      <c r="CD37" s="458"/>
    </row>
    <row r="38" spans="2:82" s="51" customFormat="1" ht="27.75" customHeight="1">
      <c r="B38" s="376">
        <f ca="1">IF($V38="","",MAX(OFFSET($B$11,0,0,ROW()-ROW($B$11),2))+1)</f>
        <v>26</v>
      </c>
      <c r="C38" s="377"/>
      <c r="D38" s="60" t="s">
        <v>298</v>
      </c>
      <c r="E38" s="59"/>
      <c r="F38" s="59"/>
      <c r="G38" s="59"/>
      <c r="H38" s="59"/>
      <c r="I38" s="59"/>
      <c r="J38" s="59"/>
      <c r="K38" s="59"/>
      <c r="L38" s="59"/>
      <c r="M38" s="52"/>
      <c r="N38" s="52"/>
      <c r="O38" s="58" t="s">
        <v>84</v>
      </c>
      <c r="P38" s="57"/>
      <c r="Q38" s="57"/>
      <c r="R38" s="57"/>
      <c r="S38" s="57"/>
      <c r="T38" s="52"/>
      <c r="U38" s="52"/>
      <c r="V38" s="378">
        <v>9</v>
      </c>
      <c r="W38" s="379"/>
      <c r="X38" s="380">
        <v>1</v>
      </c>
      <c r="Y38" s="381"/>
      <c r="Z38" s="380"/>
      <c r="AA38" s="381"/>
      <c r="AB38" s="380">
        <v>10</v>
      </c>
      <c r="AC38" s="381"/>
      <c r="AD38" s="380"/>
      <c r="AE38" s="381"/>
      <c r="AF38" s="378"/>
      <c r="AG38" s="379"/>
      <c r="AH38" s="378"/>
      <c r="AI38" s="379"/>
      <c r="AJ38" s="392">
        <f>IF(V38="","",IF(V38="N",AB38*2,IF(V38="X",AB38,IF(V38=9,AB38+AD38,IF(V38="±9",AB38+AD38+1,IF(V38="S9",AB38+AD38,IF(V38="S9C3",ROUNDDOWN((AB38+AD38)/2,0)+1,"")))))))</f>
        <v>10</v>
      </c>
      <c r="AK38" s="393"/>
      <c r="AL38" s="392">
        <f>AJ37+AL37</f>
        <v>1</v>
      </c>
      <c r="AM38" s="393"/>
      <c r="AN38" s="56" t="s">
        <v>297</v>
      </c>
      <c r="AO38" s="52"/>
      <c r="AP38" s="52"/>
      <c r="AQ38" s="52"/>
      <c r="AR38" s="55"/>
      <c r="AS38" s="55"/>
      <c r="AT38" s="54"/>
      <c r="AU38" s="53">
        <v>0</v>
      </c>
      <c r="AV38" s="52"/>
      <c r="AW38" s="52"/>
      <c r="AX38" s="378"/>
      <c r="AY38" s="379"/>
      <c r="AZ38" s="378"/>
      <c r="BA38" s="379"/>
      <c r="BB38" s="378"/>
      <c r="BC38" s="379"/>
      <c r="BD38" s="451" t="s">
        <v>296</v>
      </c>
      <c r="BE38" s="452"/>
      <c r="BF38" s="453" t="s">
        <v>295</v>
      </c>
      <c r="BG38" s="454"/>
      <c r="BH38" s="454"/>
      <c r="BI38" s="454"/>
      <c r="BJ38" s="454"/>
      <c r="BK38" s="454"/>
      <c r="BL38" s="454"/>
      <c r="BM38" s="454"/>
      <c r="BN38" s="454"/>
      <c r="BO38" s="454"/>
      <c r="BP38" s="454"/>
      <c r="BQ38" s="454"/>
      <c r="BR38" s="454"/>
      <c r="BS38" s="455"/>
      <c r="BT38" s="456" t="s">
        <v>294</v>
      </c>
      <c r="BU38" s="457"/>
      <c r="BV38" s="457"/>
      <c r="BW38" s="457"/>
      <c r="BX38" s="457"/>
      <c r="BY38" s="457"/>
      <c r="BZ38" s="457"/>
      <c r="CA38" s="457"/>
      <c r="CB38" s="457"/>
      <c r="CC38" s="457"/>
      <c r="CD38" s="458"/>
    </row>
    <row r="39" spans="2:82" s="51" customFormat="1" ht="27.75" customHeight="1">
      <c r="B39" s="376">
        <f ca="1">IF($V39="","",MAX(OFFSET($B$11,0,0,ROW()-ROW($B$11),2))+1)</f>
        <v>27</v>
      </c>
      <c r="C39" s="377"/>
      <c r="D39" s="60" t="s">
        <v>293</v>
      </c>
      <c r="E39" s="59"/>
      <c r="F39" s="59"/>
      <c r="G39" s="59"/>
      <c r="H39" s="59"/>
      <c r="I39" s="59"/>
      <c r="J39" s="59"/>
      <c r="K39" s="59"/>
      <c r="L39" s="59"/>
      <c r="M39" s="52"/>
      <c r="N39" s="52"/>
      <c r="O39" s="58" t="s">
        <v>393</v>
      </c>
      <c r="P39" s="57"/>
      <c r="Q39" s="57"/>
      <c r="R39" s="57"/>
      <c r="S39" s="57"/>
      <c r="T39" s="52"/>
      <c r="U39" s="52"/>
      <c r="V39" s="378" t="s">
        <v>292</v>
      </c>
      <c r="W39" s="379"/>
      <c r="X39" s="380">
        <v>1</v>
      </c>
      <c r="Y39" s="381"/>
      <c r="Z39" s="380"/>
      <c r="AA39" s="381"/>
      <c r="AB39" s="380">
        <v>139</v>
      </c>
      <c r="AC39" s="381"/>
      <c r="AD39" s="380"/>
      <c r="AE39" s="381"/>
      <c r="AF39" s="378"/>
      <c r="AG39" s="379"/>
      <c r="AH39" s="378"/>
      <c r="AI39" s="379"/>
      <c r="AJ39" s="392">
        <f>IF(V39="","",IF(V39="N",AB39*2,IF(V39="X",AB39,IF(V39=9,AB39+AD39,IF(V39="±9",AB39+AD39+1,IF(V39="S9",AB39+AD39,IF(V39="S9C3",ROUNDDOWN((AB39+AD39)/2,0)+1,"")))))))</f>
        <v>139</v>
      </c>
      <c r="AK39" s="393"/>
      <c r="AL39" s="392">
        <f>AJ38+AL38</f>
        <v>11</v>
      </c>
      <c r="AM39" s="393"/>
      <c r="AN39" s="56" t="s">
        <v>291</v>
      </c>
      <c r="AO39" s="52"/>
      <c r="AP39" s="52"/>
      <c r="AQ39" s="52"/>
      <c r="AR39" s="55"/>
      <c r="AS39" s="55"/>
      <c r="AT39" s="54"/>
      <c r="AU39" s="53" t="s">
        <v>290</v>
      </c>
      <c r="AV39" s="52"/>
      <c r="AW39" s="52"/>
      <c r="AX39" s="378"/>
      <c r="AY39" s="379"/>
      <c r="AZ39" s="378"/>
      <c r="BA39" s="379"/>
      <c r="BB39" s="378"/>
      <c r="BC39" s="379"/>
      <c r="BD39" s="451" t="s">
        <v>289</v>
      </c>
      <c r="BE39" s="452"/>
      <c r="BF39" s="453"/>
      <c r="BG39" s="454"/>
      <c r="BH39" s="454"/>
      <c r="BI39" s="454"/>
      <c r="BJ39" s="454"/>
      <c r="BK39" s="454"/>
      <c r="BL39" s="454"/>
      <c r="BM39" s="454"/>
      <c r="BN39" s="454"/>
      <c r="BO39" s="454"/>
      <c r="BP39" s="454"/>
      <c r="BQ39" s="454"/>
      <c r="BR39" s="454"/>
      <c r="BS39" s="455"/>
      <c r="BT39" s="456"/>
      <c r="BU39" s="457"/>
      <c r="BV39" s="457"/>
      <c r="BW39" s="457"/>
      <c r="BX39" s="457"/>
      <c r="BY39" s="457"/>
      <c r="BZ39" s="457"/>
      <c r="CA39" s="457"/>
      <c r="CB39" s="457"/>
      <c r="CC39" s="457"/>
      <c r="CD39" s="458"/>
    </row>
  </sheetData>
  <mergeCells count="530">
    <mergeCell ref="BT35:CD35"/>
    <mergeCell ref="AH35:AI35"/>
    <mergeCell ref="AJ35:AK35"/>
    <mergeCell ref="AL35:AM35"/>
    <mergeCell ref="AF35:AG35"/>
    <mergeCell ref="AH38:AI38"/>
    <mergeCell ref="AJ38:AK38"/>
    <mergeCell ref="AL38:AM38"/>
    <mergeCell ref="AX38:AY38"/>
    <mergeCell ref="AZ38:BA38"/>
    <mergeCell ref="AZ35:BA35"/>
    <mergeCell ref="BB35:BC35"/>
    <mergeCell ref="AH37:AI37"/>
    <mergeCell ref="AJ37:AK37"/>
    <mergeCell ref="BT36:CD36"/>
    <mergeCell ref="BT37:CD37"/>
    <mergeCell ref="BD36:BE36"/>
    <mergeCell ref="AL37:AM37"/>
    <mergeCell ref="AX37:AY37"/>
    <mergeCell ref="AZ37:BA37"/>
    <mergeCell ref="BB37:BC37"/>
    <mergeCell ref="BD37:BE37"/>
    <mergeCell ref="BB38:BC38"/>
    <mergeCell ref="BF37:BS37"/>
    <mergeCell ref="AH16:AI16"/>
    <mergeCell ref="AJ16:AK16"/>
    <mergeCell ref="BF38:BS38"/>
    <mergeCell ref="BT38:CD38"/>
    <mergeCell ref="B35:C35"/>
    <mergeCell ref="V35:W35"/>
    <mergeCell ref="X35:Y35"/>
    <mergeCell ref="Z35:AA35"/>
    <mergeCell ref="AB35:AC35"/>
    <mergeCell ref="AD35:AE35"/>
    <mergeCell ref="AB16:AC16"/>
    <mergeCell ref="AD16:AE16"/>
    <mergeCell ref="AF16:AG16"/>
    <mergeCell ref="BD16:BE16"/>
    <mergeCell ref="BF16:BS16"/>
    <mergeCell ref="BT16:CD16"/>
    <mergeCell ref="AL16:AM16"/>
    <mergeCell ref="AX16:AY16"/>
    <mergeCell ref="AZ16:BA16"/>
    <mergeCell ref="BB16:BC16"/>
    <mergeCell ref="BT34:CD34"/>
    <mergeCell ref="AH34:AI34"/>
    <mergeCell ref="AJ34:AK34"/>
    <mergeCell ref="AX35:AY35"/>
    <mergeCell ref="BD39:BE39"/>
    <mergeCell ref="BF39:BS39"/>
    <mergeCell ref="BT39:CD39"/>
    <mergeCell ref="B38:C38"/>
    <mergeCell ref="V38:W38"/>
    <mergeCell ref="X38:Y38"/>
    <mergeCell ref="Z38:AA38"/>
    <mergeCell ref="AB38:AC38"/>
    <mergeCell ref="AD38:AE38"/>
    <mergeCell ref="AF38:AG38"/>
    <mergeCell ref="B39:C39"/>
    <mergeCell ref="V39:W39"/>
    <mergeCell ref="X39:Y39"/>
    <mergeCell ref="Z39:AA39"/>
    <mergeCell ref="AB39:AC39"/>
    <mergeCell ref="AD39:AE39"/>
    <mergeCell ref="AF39:AG39"/>
    <mergeCell ref="AH39:AI39"/>
    <mergeCell ref="AJ39:AK39"/>
    <mergeCell ref="AL39:AM39"/>
    <mergeCell ref="AX39:AY39"/>
    <mergeCell ref="AZ39:BA39"/>
    <mergeCell ref="BB39:BC39"/>
    <mergeCell ref="BD38:BE38"/>
    <mergeCell ref="BD35:BE35"/>
    <mergeCell ref="BF35:BS35"/>
    <mergeCell ref="AX36:AY36"/>
    <mergeCell ref="AZ36:BA36"/>
    <mergeCell ref="BB36:BC36"/>
    <mergeCell ref="B34:C34"/>
    <mergeCell ref="V34:W34"/>
    <mergeCell ref="X34:Y34"/>
    <mergeCell ref="Z34:AA34"/>
    <mergeCell ref="AB34:AC34"/>
    <mergeCell ref="AD34:AE34"/>
    <mergeCell ref="BB33:BC33"/>
    <mergeCell ref="AF34:AG34"/>
    <mergeCell ref="AH33:AI33"/>
    <mergeCell ref="AJ33:AK33"/>
    <mergeCell ref="BD34:BE34"/>
    <mergeCell ref="BF34:BS34"/>
    <mergeCell ref="AL34:AM34"/>
    <mergeCell ref="AX34:AY34"/>
    <mergeCell ref="AZ34:BA34"/>
    <mergeCell ref="BB34:BC34"/>
    <mergeCell ref="BT32:CD32"/>
    <mergeCell ref="B33:C33"/>
    <mergeCell ref="V33:W33"/>
    <mergeCell ref="X33:Y33"/>
    <mergeCell ref="Z33:AA33"/>
    <mergeCell ref="AB33:AC33"/>
    <mergeCell ref="AD33:AE33"/>
    <mergeCell ref="AF33:AG33"/>
    <mergeCell ref="AH32:AI32"/>
    <mergeCell ref="AJ32:AK32"/>
    <mergeCell ref="AF32:AG32"/>
    <mergeCell ref="B32:C32"/>
    <mergeCell ref="V32:W32"/>
    <mergeCell ref="X32:Y32"/>
    <mergeCell ref="AL32:AM32"/>
    <mergeCell ref="AX32:AY32"/>
    <mergeCell ref="AZ32:BA32"/>
    <mergeCell ref="BB32:BC32"/>
    <mergeCell ref="BD33:BE33"/>
    <mergeCell ref="BF33:BS33"/>
    <mergeCell ref="BT33:CD33"/>
    <mergeCell ref="AL33:AM33"/>
    <mergeCell ref="AX33:AY33"/>
    <mergeCell ref="AZ33:BA33"/>
    <mergeCell ref="AH31:AI31"/>
    <mergeCell ref="AJ31:AK31"/>
    <mergeCell ref="BF30:BS30"/>
    <mergeCell ref="Z30:AA30"/>
    <mergeCell ref="AB30:AC30"/>
    <mergeCell ref="AD30:AE30"/>
    <mergeCell ref="AF30:AG30"/>
    <mergeCell ref="BD32:BE32"/>
    <mergeCell ref="BF32:BS32"/>
    <mergeCell ref="AB31:AC31"/>
    <mergeCell ref="AD31:AE31"/>
    <mergeCell ref="AF31:AG31"/>
    <mergeCell ref="AH30:AI30"/>
    <mergeCell ref="B30:C30"/>
    <mergeCell ref="V30:W30"/>
    <mergeCell ref="X30:Y30"/>
    <mergeCell ref="Z32:AA32"/>
    <mergeCell ref="AB32:AC32"/>
    <mergeCell ref="AD32:AE32"/>
    <mergeCell ref="BF31:BS31"/>
    <mergeCell ref="BT31:CD31"/>
    <mergeCell ref="AL31:AM31"/>
    <mergeCell ref="AX31:AY31"/>
    <mergeCell ref="AZ31:BA31"/>
    <mergeCell ref="BB31:BC31"/>
    <mergeCell ref="AJ30:AK30"/>
    <mergeCell ref="AL30:AM30"/>
    <mergeCell ref="AX30:AY30"/>
    <mergeCell ref="AZ30:BA30"/>
    <mergeCell ref="BB30:BC30"/>
    <mergeCell ref="BD31:BE31"/>
    <mergeCell ref="BD30:BE30"/>
    <mergeCell ref="BT30:CD30"/>
    <mergeCell ref="B31:C31"/>
    <mergeCell ref="V31:W31"/>
    <mergeCell ref="X31:Y31"/>
    <mergeCell ref="Z31:AA31"/>
    <mergeCell ref="B28:C28"/>
    <mergeCell ref="V28:W28"/>
    <mergeCell ref="AH29:AI29"/>
    <mergeCell ref="AJ29:AK29"/>
    <mergeCell ref="BD28:BE28"/>
    <mergeCell ref="X28:Y28"/>
    <mergeCell ref="Z28:AA28"/>
    <mergeCell ref="AB28:AC28"/>
    <mergeCell ref="AD28:AE28"/>
    <mergeCell ref="AF28:AG28"/>
    <mergeCell ref="BD29:BE29"/>
    <mergeCell ref="BF29:BS29"/>
    <mergeCell ref="BT29:CD29"/>
    <mergeCell ref="AL29:AM29"/>
    <mergeCell ref="AX29:AY29"/>
    <mergeCell ref="AZ29:BA29"/>
    <mergeCell ref="BB29:BC29"/>
    <mergeCell ref="AH28:AI28"/>
    <mergeCell ref="AJ28:AK28"/>
    <mergeCell ref="AL28:AM28"/>
    <mergeCell ref="AX28:AY28"/>
    <mergeCell ref="AZ28:BA28"/>
    <mergeCell ref="BB28:BC28"/>
    <mergeCell ref="B26:C26"/>
    <mergeCell ref="BF28:BS28"/>
    <mergeCell ref="BT28:CD28"/>
    <mergeCell ref="B29:C29"/>
    <mergeCell ref="V29:W29"/>
    <mergeCell ref="X29:Y29"/>
    <mergeCell ref="Z29:AA29"/>
    <mergeCell ref="AB29:AC29"/>
    <mergeCell ref="AD29:AE29"/>
    <mergeCell ref="AF29:AG29"/>
    <mergeCell ref="BD27:BE27"/>
    <mergeCell ref="BF27:BS27"/>
    <mergeCell ref="BT27:CD27"/>
    <mergeCell ref="AL27:AM27"/>
    <mergeCell ref="AX27:AY27"/>
    <mergeCell ref="AZ27:BA27"/>
    <mergeCell ref="BB27:BC27"/>
    <mergeCell ref="BT26:CD26"/>
    <mergeCell ref="B27:C27"/>
    <mergeCell ref="V27:W27"/>
    <mergeCell ref="X27:Y27"/>
    <mergeCell ref="Z27:AA27"/>
    <mergeCell ref="AB27:AC27"/>
    <mergeCell ref="AD27:AE27"/>
    <mergeCell ref="BT25:CD25"/>
    <mergeCell ref="AL25:AM25"/>
    <mergeCell ref="AX25:AY25"/>
    <mergeCell ref="AZ25:BA25"/>
    <mergeCell ref="BB25:BC25"/>
    <mergeCell ref="BD25:BE25"/>
    <mergeCell ref="AF27:AG27"/>
    <mergeCell ref="AH26:AI26"/>
    <mergeCell ref="AJ26:AK26"/>
    <mergeCell ref="AH25:AI25"/>
    <mergeCell ref="AJ25:AK25"/>
    <mergeCell ref="AH27:AI27"/>
    <mergeCell ref="AJ27:AK27"/>
    <mergeCell ref="BD26:BE26"/>
    <mergeCell ref="BF26:BS26"/>
    <mergeCell ref="AL26:AM26"/>
    <mergeCell ref="AX26:AY26"/>
    <mergeCell ref="AZ26:BA26"/>
    <mergeCell ref="BB26:BC26"/>
    <mergeCell ref="AZ24:BA24"/>
    <mergeCell ref="BB24:BC24"/>
    <mergeCell ref="V26:W26"/>
    <mergeCell ref="X26:Y26"/>
    <mergeCell ref="Z26:AA26"/>
    <mergeCell ref="AB26:AC26"/>
    <mergeCell ref="AD26:AE26"/>
    <mergeCell ref="AF26:AG26"/>
    <mergeCell ref="BF25:BS25"/>
    <mergeCell ref="AF23:AG23"/>
    <mergeCell ref="AH23:AI23"/>
    <mergeCell ref="AJ23:AK23"/>
    <mergeCell ref="BF24:BS24"/>
    <mergeCell ref="BT24:CD24"/>
    <mergeCell ref="B25:C25"/>
    <mergeCell ref="V25:W25"/>
    <mergeCell ref="X25:Y25"/>
    <mergeCell ref="Z25:AA25"/>
    <mergeCell ref="AB25:AC25"/>
    <mergeCell ref="AD25:AE25"/>
    <mergeCell ref="AF25:AG25"/>
    <mergeCell ref="AH24:AI24"/>
    <mergeCell ref="AF24:AG24"/>
    <mergeCell ref="X24:Y24"/>
    <mergeCell ref="Z24:AA24"/>
    <mergeCell ref="AB24:AC24"/>
    <mergeCell ref="AD24:AE24"/>
    <mergeCell ref="B24:C24"/>
    <mergeCell ref="V24:W24"/>
    <mergeCell ref="BD24:BE24"/>
    <mergeCell ref="AJ24:AK24"/>
    <mergeCell ref="AL24:AM24"/>
    <mergeCell ref="AX24:AY24"/>
    <mergeCell ref="AJ22:AK22"/>
    <mergeCell ref="AL22:AM22"/>
    <mergeCell ref="AX22:AY22"/>
    <mergeCell ref="AZ22:BA22"/>
    <mergeCell ref="BB22:BC22"/>
    <mergeCell ref="BD23:BE23"/>
    <mergeCell ref="BF22:BS22"/>
    <mergeCell ref="BT22:CD22"/>
    <mergeCell ref="B22:C22"/>
    <mergeCell ref="V22:W22"/>
    <mergeCell ref="AH22:AI22"/>
    <mergeCell ref="BD22:BE22"/>
    <mergeCell ref="X22:Y22"/>
    <mergeCell ref="Z22:AA22"/>
    <mergeCell ref="AB22:AC22"/>
    <mergeCell ref="AD22:AE22"/>
    <mergeCell ref="AF22:AG22"/>
    <mergeCell ref="BF23:BS23"/>
    <mergeCell ref="B23:C23"/>
    <mergeCell ref="V23:W23"/>
    <mergeCell ref="X23:Y23"/>
    <mergeCell ref="Z23:AA23"/>
    <mergeCell ref="AB23:AC23"/>
    <mergeCell ref="AD23:AE23"/>
    <mergeCell ref="BF21:BS21"/>
    <mergeCell ref="BT21:CD21"/>
    <mergeCell ref="AL21:AM21"/>
    <mergeCell ref="AX21:AY21"/>
    <mergeCell ref="AZ21:BA21"/>
    <mergeCell ref="BB21:BC21"/>
    <mergeCell ref="BF20:BS20"/>
    <mergeCell ref="BT20:CD20"/>
    <mergeCell ref="BT23:CD23"/>
    <mergeCell ref="AL23:AM23"/>
    <mergeCell ref="AX23:AY23"/>
    <mergeCell ref="AZ23:BA23"/>
    <mergeCell ref="BB23:BC23"/>
    <mergeCell ref="B21:C21"/>
    <mergeCell ref="V21:W21"/>
    <mergeCell ref="X21:Y21"/>
    <mergeCell ref="Z21:AA21"/>
    <mergeCell ref="AB21:AC21"/>
    <mergeCell ref="AD21:AE21"/>
    <mergeCell ref="AF21:AG21"/>
    <mergeCell ref="AH20:AI20"/>
    <mergeCell ref="AF20:AG20"/>
    <mergeCell ref="AJ19:AK19"/>
    <mergeCell ref="AH21:AI21"/>
    <mergeCell ref="AJ21:AK21"/>
    <mergeCell ref="BD20:BE20"/>
    <mergeCell ref="AJ20:AK20"/>
    <mergeCell ref="AL20:AM20"/>
    <mergeCell ref="AX20:AY20"/>
    <mergeCell ref="AZ20:BA20"/>
    <mergeCell ref="BD19:BE19"/>
    <mergeCell ref="BB20:BC20"/>
    <mergeCell ref="BD21:BE21"/>
    <mergeCell ref="B16:C16"/>
    <mergeCell ref="V20:W20"/>
    <mergeCell ref="X20:Y20"/>
    <mergeCell ref="Z20:AA20"/>
    <mergeCell ref="AB20:AC20"/>
    <mergeCell ref="AD20:AE20"/>
    <mergeCell ref="B20:C20"/>
    <mergeCell ref="V16:W16"/>
    <mergeCell ref="X16:Y16"/>
    <mergeCell ref="Z16:AA16"/>
    <mergeCell ref="B19:C19"/>
    <mergeCell ref="V19:W19"/>
    <mergeCell ref="X19:Y19"/>
    <mergeCell ref="Z19:AA19"/>
    <mergeCell ref="AB19:AC19"/>
    <mergeCell ref="AD19:AE19"/>
    <mergeCell ref="B17:C17"/>
    <mergeCell ref="V17:W17"/>
    <mergeCell ref="AD17:AE17"/>
    <mergeCell ref="BF19:BS19"/>
    <mergeCell ref="BT19:CD19"/>
    <mergeCell ref="AL19:AM19"/>
    <mergeCell ref="AX19:AY19"/>
    <mergeCell ref="AZ19:BA19"/>
    <mergeCell ref="BB19:BC19"/>
    <mergeCell ref="AH15:AI15"/>
    <mergeCell ref="AJ15:AK15"/>
    <mergeCell ref="AL15:AM15"/>
    <mergeCell ref="AX15:AY15"/>
    <mergeCell ref="AZ15:BA15"/>
    <mergeCell ref="BB15:BC15"/>
    <mergeCell ref="BD15:BE15"/>
    <mergeCell ref="BF15:BS15"/>
    <mergeCell ref="BT15:CD15"/>
    <mergeCell ref="BF18:BS18"/>
    <mergeCell ref="BT18:CD18"/>
    <mergeCell ref="AL17:AM17"/>
    <mergeCell ref="AX17:AY17"/>
    <mergeCell ref="AZ17:BA17"/>
    <mergeCell ref="BB17:BC17"/>
    <mergeCell ref="BD17:BE17"/>
    <mergeCell ref="BT17:CD17"/>
    <mergeCell ref="AH19:AI19"/>
    <mergeCell ref="AF19:AG19"/>
    <mergeCell ref="AD15:AE15"/>
    <mergeCell ref="AF15:AG15"/>
    <mergeCell ref="AH14:AI14"/>
    <mergeCell ref="AJ14:AK14"/>
    <mergeCell ref="BD13:BE13"/>
    <mergeCell ref="X13:Y13"/>
    <mergeCell ref="Z13:AA13"/>
    <mergeCell ref="AB13:AC13"/>
    <mergeCell ref="AD13:AE13"/>
    <mergeCell ref="AF13:AG13"/>
    <mergeCell ref="Z14:AA14"/>
    <mergeCell ref="AB14:AC14"/>
    <mergeCell ref="AD14:AE14"/>
    <mergeCell ref="AF14:AG14"/>
    <mergeCell ref="AH13:AI13"/>
    <mergeCell ref="AF17:AG17"/>
    <mergeCell ref="AH17:AI17"/>
    <mergeCell ref="AJ17:AK17"/>
    <mergeCell ref="BB18:BC18"/>
    <mergeCell ref="BD18:BE18"/>
    <mergeCell ref="X17:Y17"/>
    <mergeCell ref="Z17:AA17"/>
    <mergeCell ref="AB17:AC17"/>
    <mergeCell ref="B13:C13"/>
    <mergeCell ref="V13:W13"/>
    <mergeCell ref="V15:W15"/>
    <mergeCell ref="X15:Y15"/>
    <mergeCell ref="Z15:AA15"/>
    <mergeCell ref="AB15:AC15"/>
    <mergeCell ref="B15:C15"/>
    <mergeCell ref="BF14:BS14"/>
    <mergeCell ref="BT14:CD14"/>
    <mergeCell ref="AL14:AM14"/>
    <mergeCell ref="AX14:AY14"/>
    <mergeCell ref="AZ14:BA14"/>
    <mergeCell ref="BB14:BC14"/>
    <mergeCell ref="AJ13:AK13"/>
    <mergeCell ref="AL13:AM13"/>
    <mergeCell ref="AX13:AY13"/>
    <mergeCell ref="AZ13:BA13"/>
    <mergeCell ref="BB13:BC13"/>
    <mergeCell ref="BD14:BE14"/>
    <mergeCell ref="BF13:BS13"/>
    <mergeCell ref="BT13:CD13"/>
    <mergeCell ref="B14:C14"/>
    <mergeCell ref="V14:W14"/>
    <mergeCell ref="X14:Y14"/>
    <mergeCell ref="BD12:BE12"/>
    <mergeCell ref="BF12:BS12"/>
    <mergeCell ref="BT12:CD12"/>
    <mergeCell ref="AL12:AM12"/>
    <mergeCell ref="AX12:AY12"/>
    <mergeCell ref="AZ12:BA12"/>
    <mergeCell ref="BB12:BC12"/>
    <mergeCell ref="AD12:AE12"/>
    <mergeCell ref="AF12:AG12"/>
    <mergeCell ref="B12:C12"/>
    <mergeCell ref="V12:W12"/>
    <mergeCell ref="X12:Y12"/>
    <mergeCell ref="Z12:AA12"/>
    <mergeCell ref="AB12:AC12"/>
    <mergeCell ref="AH10:AI10"/>
    <mergeCell ref="AJ10:AK10"/>
    <mergeCell ref="AL10:AM10"/>
    <mergeCell ref="AX10:AY10"/>
    <mergeCell ref="B10:C10"/>
    <mergeCell ref="V10:W10"/>
    <mergeCell ref="X10:Y10"/>
    <mergeCell ref="Z10:AA10"/>
    <mergeCell ref="AB10:AC10"/>
    <mergeCell ref="AH12:AI12"/>
    <mergeCell ref="AJ12:AK12"/>
    <mergeCell ref="AH11:AI11"/>
    <mergeCell ref="AJ11:AK11"/>
    <mergeCell ref="AX11:AY11"/>
    <mergeCell ref="BF9:BS9"/>
    <mergeCell ref="AF9:AG9"/>
    <mergeCell ref="AH9:AI9"/>
    <mergeCell ref="AJ9:AK9"/>
    <mergeCell ref="AL9:AM9"/>
    <mergeCell ref="AN9:AT9"/>
    <mergeCell ref="AU9:AW9"/>
    <mergeCell ref="AX9:AY9"/>
    <mergeCell ref="AZ9:BA9"/>
    <mergeCell ref="BB9:BC9"/>
    <mergeCell ref="BD9:BE9"/>
    <mergeCell ref="BT10:CD10"/>
    <mergeCell ref="B11:C11"/>
    <mergeCell ref="V11:W11"/>
    <mergeCell ref="X11:Y11"/>
    <mergeCell ref="Z11:AA11"/>
    <mergeCell ref="AB11:AC11"/>
    <mergeCell ref="AD11:AE11"/>
    <mergeCell ref="AF11:AG11"/>
    <mergeCell ref="AF10:AG10"/>
    <mergeCell ref="BB10:BC10"/>
    <mergeCell ref="BD10:BE10"/>
    <mergeCell ref="AD10:AE10"/>
    <mergeCell ref="BD11:BE11"/>
    <mergeCell ref="BF11:BS11"/>
    <mergeCell ref="BT11:CD11"/>
    <mergeCell ref="AL11:AM11"/>
    <mergeCell ref="AZ10:BA10"/>
    <mergeCell ref="BB11:BC11"/>
    <mergeCell ref="AZ11:BA11"/>
    <mergeCell ref="X6:AB6"/>
    <mergeCell ref="AC6:AD6"/>
    <mergeCell ref="B7:F7"/>
    <mergeCell ref="G7:Q7"/>
    <mergeCell ref="R7:X7"/>
    <mergeCell ref="Y7:AB7"/>
    <mergeCell ref="AC7:AD7"/>
    <mergeCell ref="AD9:AE9"/>
    <mergeCell ref="AB9:AC9"/>
    <mergeCell ref="AE5:AK7"/>
    <mergeCell ref="B6:F6"/>
    <mergeCell ref="G6:Q6"/>
    <mergeCell ref="CA2:CC3"/>
    <mergeCell ref="J3:N3"/>
    <mergeCell ref="O3:S3"/>
    <mergeCell ref="T3:AF3"/>
    <mergeCell ref="BK3:BM3"/>
    <mergeCell ref="BN3:BQ3"/>
    <mergeCell ref="J2:N2"/>
    <mergeCell ref="O2:S2"/>
    <mergeCell ref="T2:AF2"/>
    <mergeCell ref="AG2:BJ3"/>
    <mergeCell ref="BT2:BV2"/>
    <mergeCell ref="BW2:BZ2"/>
    <mergeCell ref="BK2:BM2"/>
    <mergeCell ref="BR3:BS3"/>
    <mergeCell ref="BT3:BV3"/>
    <mergeCell ref="BW3:BZ3"/>
    <mergeCell ref="BN2:BQ2"/>
    <mergeCell ref="BR2:BS2"/>
    <mergeCell ref="B2:I3"/>
    <mergeCell ref="AF18:AG18"/>
    <mergeCell ref="AH18:AI18"/>
    <mergeCell ref="AJ18:AK18"/>
    <mergeCell ref="AL18:AM18"/>
    <mergeCell ref="AX18:AY18"/>
    <mergeCell ref="AZ18:BA18"/>
    <mergeCell ref="B18:C18"/>
    <mergeCell ref="V18:W18"/>
    <mergeCell ref="X18:Y18"/>
    <mergeCell ref="Z18:AA18"/>
    <mergeCell ref="AB18:AC18"/>
    <mergeCell ref="AD18:AE18"/>
    <mergeCell ref="B9:C9"/>
    <mergeCell ref="O9:U9"/>
    <mergeCell ref="V9:W9"/>
    <mergeCell ref="X9:Y9"/>
    <mergeCell ref="Z9:AA9"/>
    <mergeCell ref="B5:F5"/>
    <mergeCell ref="G5:Q5"/>
    <mergeCell ref="R5:X5"/>
    <mergeCell ref="Y5:AD5"/>
    <mergeCell ref="R6:U6"/>
    <mergeCell ref="V6:W6"/>
    <mergeCell ref="B37:C37"/>
    <mergeCell ref="V37:W37"/>
    <mergeCell ref="X37:Y37"/>
    <mergeCell ref="Z37:AA37"/>
    <mergeCell ref="AB37:AC37"/>
    <mergeCell ref="AD37:AE37"/>
    <mergeCell ref="AF37:AG37"/>
    <mergeCell ref="AJ36:AK36"/>
    <mergeCell ref="AL36:AM36"/>
    <mergeCell ref="B36:C36"/>
    <mergeCell ref="V36:W36"/>
    <mergeCell ref="X36:Y36"/>
    <mergeCell ref="Z36:AA36"/>
    <mergeCell ref="AB36:AC36"/>
    <mergeCell ref="AD36:AE36"/>
    <mergeCell ref="AF36:AG36"/>
    <mergeCell ref="AH36:AI36"/>
  </mergeCells>
  <phoneticPr fontId="8"/>
  <dataValidations count="10">
    <dataValidation type="list" allowBlank="1" showInputMessage="1" showErrorMessage="1" sqref="AX11:AX16 AX18:AX35 AX37:AX39" xr:uid="{00000000-0002-0000-0600-000000000000}">
      <formula1>"○,,"</formula1>
    </dataValidation>
    <dataValidation type="list" allowBlank="1" showInputMessage="1" showErrorMessage="1" sqref="BB11:BB16 BB18:BB35 BB37:BB39" xr:uid="{00000000-0002-0000-0600-000001000000}">
      <formula1>"昇順,降順,"</formula1>
    </dataValidation>
    <dataValidation type="list" allowBlank="1" showInputMessage="1" showErrorMessage="1" sqref="AF11:AG16 AF18:AG35 AF37:AG39" xr:uid="{00000000-0002-0000-0600-000002000000}">
      <formula1>"+,その他"</formula1>
    </dataValidation>
    <dataValidation type="list" allowBlank="1" showInputMessage="1" showErrorMessage="1" sqref="AH11:AI16 AH18:AI35 AH37:AI39" xr:uid="{00000000-0002-0000-0600-000003000000}">
      <formula1>"-,▲,,その他"</formula1>
    </dataValidation>
    <dataValidation type="list" allowBlank="1" showInputMessage="1" showErrorMessage="1" sqref="BD18:BD35 BD11:BD16 BD37:BD39" xr:uid="{00000000-0002-0000-0600-000004000000}">
      <formula1>"前詰,後詰,"</formula1>
    </dataValidation>
    <dataValidation type="list" allowBlank="1" showInputMessage="1" showErrorMessage="1" sqref="Y5:AD5 JT5:JY5 TP5:TU5 ADL5:ADQ5 ANH5:ANM5 AXD5:AXI5 BGZ5:BHE5 BQV5:BRA5 CAR5:CAW5 CKN5:CKS5 CUJ5:CUO5 DEF5:DEK5 DOB5:DOG5 DXX5:DYC5 EHT5:EHY5 ERP5:ERU5 FBL5:FBQ5 FLH5:FLM5 FVD5:FVI5 GEZ5:GFE5 GOV5:GPA5 GYR5:GYW5 HIN5:HIS5 HSJ5:HSO5 ICF5:ICK5 IMB5:IMG5 IVX5:IWC5 JFT5:JFY5 JPP5:JPU5 JZL5:JZQ5 KJH5:KJM5 KTD5:KTI5 LCZ5:LDE5 LMV5:LNA5 LWR5:LWW5 MGN5:MGS5 MQJ5:MQO5 NAF5:NAK5 NKB5:NKG5 NTX5:NUC5 ODT5:ODY5 ONP5:ONU5 OXL5:OXQ5 PHH5:PHM5 PRD5:PRI5 QAZ5:QBE5 QKV5:QLA5 QUR5:QUW5 REN5:RES5 ROJ5:ROO5 RYF5:RYK5 SIB5:SIG5 SRX5:SSC5 TBT5:TBY5 TLP5:TLU5 TVL5:TVQ5 UFH5:UFM5 UPD5:UPI5 UYZ5:UZE5 VIV5:VJA5 VSR5:VSW5 WCN5:WCS5 WMJ5:WMO5 WWF5:WWK5 X65553:AC65553 JO65553:JT65553 TK65553:TP65553 ADG65553:ADL65553 ANC65553:ANH65553 AWY65553:AXD65553 BGU65553:BGZ65553 BQQ65553:BQV65553 CAM65553:CAR65553 CKI65553:CKN65553 CUE65553:CUJ65553 DEA65553:DEF65553 DNW65553:DOB65553 DXS65553:DXX65553 EHO65553:EHT65553 ERK65553:ERP65553 FBG65553:FBL65553 FLC65553:FLH65553 FUY65553:FVD65553 GEU65553:GEZ65553 GOQ65553:GOV65553 GYM65553:GYR65553 HII65553:HIN65553 HSE65553:HSJ65553 ICA65553:ICF65553 ILW65553:IMB65553 IVS65553:IVX65553 JFO65553:JFT65553 JPK65553:JPP65553 JZG65553:JZL65553 KJC65553:KJH65553 KSY65553:KTD65553 LCU65553:LCZ65553 LMQ65553:LMV65553 LWM65553:LWR65553 MGI65553:MGN65553 MQE65553:MQJ65553 NAA65553:NAF65553 NJW65553:NKB65553 NTS65553:NTX65553 ODO65553:ODT65553 ONK65553:ONP65553 OXG65553:OXL65553 PHC65553:PHH65553 PQY65553:PRD65553 QAU65553:QAZ65553 QKQ65553:QKV65553 QUM65553:QUR65553 REI65553:REN65553 ROE65553:ROJ65553 RYA65553:RYF65553 SHW65553:SIB65553 SRS65553:SRX65553 TBO65553:TBT65553 TLK65553:TLP65553 TVG65553:TVL65553 UFC65553:UFH65553 UOY65553:UPD65553 UYU65553:UYZ65553 VIQ65553:VIV65553 VSM65553:VSR65553 WCI65553:WCN65553 WME65553:WMJ65553 WWA65553:WWF65553 X131089:AC131089 JO131089:JT131089 TK131089:TP131089 ADG131089:ADL131089 ANC131089:ANH131089 AWY131089:AXD131089 BGU131089:BGZ131089 BQQ131089:BQV131089 CAM131089:CAR131089 CKI131089:CKN131089 CUE131089:CUJ131089 DEA131089:DEF131089 DNW131089:DOB131089 DXS131089:DXX131089 EHO131089:EHT131089 ERK131089:ERP131089 FBG131089:FBL131089 FLC131089:FLH131089 FUY131089:FVD131089 GEU131089:GEZ131089 GOQ131089:GOV131089 GYM131089:GYR131089 HII131089:HIN131089 HSE131089:HSJ131089 ICA131089:ICF131089 ILW131089:IMB131089 IVS131089:IVX131089 JFO131089:JFT131089 JPK131089:JPP131089 JZG131089:JZL131089 KJC131089:KJH131089 KSY131089:KTD131089 LCU131089:LCZ131089 LMQ131089:LMV131089 LWM131089:LWR131089 MGI131089:MGN131089 MQE131089:MQJ131089 NAA131089:NAF131089 NJW131089:NKB131089 NTS131089:NTX131089 ODO131089:ODT131089 ONK131089:ONP131089 OXG131089:OXL131089 PHC131089:PHH131089 PQY131089:PRD131089 QAU131089:QAZ131089 QKQ131089:QKV131089 QUM131089:QUR131089 REI131089:REN131089 ROE131089:ROJ131089 RYA131089:RYF131089 SHW131089:SIB131089 SRS131089:SRX131089 TBO131089:TBT131089 TLK131089:TLP131089 TVG131089:TVL131089 UFC131089:UFH131089 UOY131089:UPD131089 UYU131089:UYZ131089 VIQ131089:VIV131089 VSM131089:VSR131089 WCI131089:WCN131089 WME131089:WMJ131089 WWA131089:WWF131089 X196625:AC196625 JO196625:JT196625 TK196625:TP196625 ADG196625:ADL196625 ANC196625:ANH196625 AWY196625:AXD196625 BGU196625:BGZ196625 BQQ196625:BQV196625 CAM196625:CAR196625 CKI196625:CKN196625 CUE196625:CUJ196625 DEA196625:DEF196625 DNW196625:DOB196625 DXS196625:DXX196625 EHO196625:EHT196625 ERK196625:ERP196625 FBG196625:FBL196625 FLC196625:FLH196625 FUY196625:FVD196625 GEU196625:GEZ196625 GOQ196625:GOV196625 GYM196625:GYR196625 HII196625:HIN196625 HSE196625:HSJ196625 ICA196625:ICF196625 ILW196625:IMB196625 IVS196625:IVX196625 JFO196625:JFT196625 JPK196625:JPP196625 JZG196625:JZL196625 KJC196625:KJH196625 KSY196625:KTD196625 LCU196625:LCZ196625 LMQ196625:LMV196625 LWM196625:LWR196625 MGI196625:MGN196625 MQE196625:MQJ196625 NAA196625:NAF196625 NJW196625:NKB196625 NTS196625:NTX196625 ODO196625:ODT196625 ONK196625:ONP196625 OXG196625:OXL196625 PHC196625:PHH196625 PQY196625:PRD196625 QAU196625:QAZ196625 QKQ196625:QKV196625 QUM196625:QUR196625 REI196625:REN196625 ROE196625:ROJ196625 RYA196625:RYF196625 SHW196625:SIB196625 SRS196625:SRX196625 TBO196625:TBT196625 TLK196625:TLP196625 TVG196625:TVL196625 UFC196625:UFH196625 UOY196625:UPD196625 UYU196625:UYZ196625 VIQ196625:VIV196625 VSM196625:VSR196625 WCI196625:WCN196625 WME196625:WMJ196625 WWA196625:WWF196625 X262161:AC262161 JO262161:JT262161 TK262161:TP262161 ADG262161:ADL262161 ANC262161:ANH262161 AWY262161:AXD262161 BGU262161:BGZ262161 BQQ262161:BQV262161 CAM262161:CAR262161 CKI262161:CKN262161 CUE262161:CUJ262161 DEA262161:DEF262161 DNW262161:DOB262161 DXS262161:DXX262161 EHO262161:EHT262161 ERK262161:ERP262161 FBG262161:FBL262161 FLC262161:FLH262161 FUY262161:FVD262161 GEU262161:GEZ262161 GOQ262161:GOV262161 GYM262161:GYR262161 HII262161:HIN262161 HSE262161:HSJ262161 ICA262161:ICF262161 ILW262161:IMB262161 IVS262161:IVX262161 JFO262161:JFT262161 JPK262161:JPP262161 JZG262161:JZL262161 KJC262161:KJH262161 KSY262161:KTD262161 LCU262161:LCZ262161 LMQ262161:LMV262161 LWM262161:LWR262161 MGI262161:MGN262161 MQE262161:MQJ262161 NAA262161:NAF262161 NJW262161:NKB262161 NTS262161:NTX262161 ODO262161:ODT262161 ONK262161:ONP262161 OXG262161:OXL262161 PHC262161:PHH262161 PQY262161:PRD262161 QAU262161:QAZ262161 QKQ262161:QKV262161 QUM262161:QUR262161 REI262161:REN262161 ROE262161:ROJ262161 RYA262161:RYF262161 SHW262161:SIB262161 SRS262161:SRX262161 TBO262161:TBT262161 TLK262161:TLP262161 TVG262161:TVL262161 UFC262161:UFH262161 UOY262161:UPD262161 UYU262161:UYZ262161 VIQ262161:VIV262161 VSM262161:VSR262161 WCI262161:WCN262161 WME262161:WMJ262161 WWA262161:WWF262161 X327697:AC327697 JO327697:JT327697 TK327697:TP327697 ADG327697:ADL327697 ANC327697:ANH327697 AWY327697:AXD327697 BGU327697:BGZ327697 BQQ327697:BQV327697 CAM327697:CAR327697 CKI327697:CKN327697 CUE327697:CUJ327697 DEA327697:DEF327697 DNW327697:DOB327697 DXS327697:DXX327697 EHO327697:EHT327697 ERK327697:ERP327697 FBG327697:FBL327697 FLC327697:FLH327697 FUY327697:FVD327697 GEU327697:GEZ327697 GOQ327697:GOV327697 GYM327697:GYR327697 HII327697:HIN327697 HSE327697:HSJ327697 ICA327697:ICF327697 ILW327697:IMB327697 IVS327697:IVX327697 JFO327697:JFT327697 JPK327697:JPP327697 JZG327697:JZL327697 KJC327697:KJH327697 KSY327697:KTD327697 LCU327697:LCZ327697 LMQ327697:LMV327697 LWM327697:LWR327697 MGI327697:MGN327697 MQE327697:MQJ327697 NAA327697:NAF327697 NJW327697:NKB327697 NTS327697:NTX327697 ODO327697:ODT327697 ONK327697:ONP327697 OXG327697:OXL327697 PHC327697:PHH327697 PQY327697:PRD327697 QAU327697:QAZ327697 QKQ327697:QKV327697 QUM327697:QUR327697 REI327697:REN327697 ROE327697:ROJ327697 RYA327697:RYF327697 SHW327697:SIB327697 SRS327697:SRX327697 TBO327697:TBT327697 TLK327697:TLP327697 TVG327697:TVL327697 UFC327697:UFH327697 UOY327697:UPD327697 UYU327697:UYZ327697 VIQ327697:VIV327697 VSM327697:VSR327697 WCI327697:WCN327697 WME327697:WMJ327697 WWA327697:WWF327697 X393233:AC393233 JO393233:JT393233 TK393233:TP393233 ADG393233:ADL393233 ANC393233:ANH393233 AWY393233:AXD393233 BGU393233:BGZ393233 BQQ393233:BQV393233 CAM393233:CAR393233 CKI393233:CKN393233 CUE393233:CUJ393233 DEA393233:DEF393233 DNW393233:DOB393233 DXS393233:DXX393233 EHO393233:EHT393233 ERK393233:ERP393233 FBG393233:FBL393233 FLC393233:FLH393233 FUY393233:FVD393233 GEU393233:GEZ393233 GOQ393233:GOV393233 GYM393233:GYR393233 HII393233:HIN393233 HSE393233:HSJ393233 ICA393233:ICF393233 ILW393233:IMB393233 IVS393233:IVX393233 JFO393233:JFT393233 JPK393233:JPP393233 JZG393233:JZL393233 KJC393233:KJH393233 KSY393233:KTD393233 LCU393233:LCZ393233 LMQ393233:LMV393233 LWM393233:LWR393233 MGI393233:MGN393233 MQE393233:MQJ393233 NAA393233:NAF393233 NJW393233:NKB393233 NTS393233:NTX393233 ODO393233:ODT393233 ONK393233:ONP393233 OXG393233:OXL393233 PHC393233:PHH393233 PQY393233:PRD393233 QAU393233:QAZ393233 QKQ393233:QKV393233 QUM393233:QUR393233 REI393233:REN393233 ROE393233:ROJ393233 RYA393233:RYF393233 SHW393233:SIB393233 SRS393233:SRX393233 TBO393233:TBT393233 TLK393233:TLP393233 TVG393233:TVL393233 UFC393233:UFH393233 UOY393233:UPD393233 UYU393233:UYZ393233 VIQ393233:VIV393233 VSM393233:VSR393233 WCI393233:WCN393233 WME393233:WMJ393233 WWA393233:WWF393233 X458769:AC458769 JO458769:JT458769 TK458769:TP458769 ADG458769:ADL458769 ANC458769:ANH458769 AWY458769:AXD458769 BGU458769:BGZ458769 BQQ458769:BQV458769 CAM458769:CAR458769 CKI458769:CKN458769 CUE458769:CUJ458769 DEA458769:DEF458769 DNW458769:DOB458769 DXS458769:DXX458769 EHO458769:EHT458769 ERK458769:ERP458769 FBG458769:FBL458769 FLC458769:FLH458769 FUY458769:FVD458769 GEU458769:GEZ458769 GOQ458769:GOV458769 GYM458769:GYR458769 HII458769:HIN458769 HSE458769:HSJ458769 ICA458769:ICF458769 ILW458769:IMB458769 IVS458769:IVX458769 JFO458769:JFT458769 JPK458769:JPP458769 JZG458769:JZL458769 KJC458769:KJH458769 KSY458769:KTD458769 LCU458769:LCZ458769 LMQ458769:LMV458769 LWM458769:LWR458769 MGI458769:MGN458769 MQE458769:MQJ458769 NAA458769:NAF458769 NJW458769:NKB458769 NTS458769:NTX458769 ODO458769:ODT458769 ONK458769:ONP458769 OXG458769:OXL458769 PHC458769:PHH458769 PQY458769:PRD458769 QAU458769:QAZ458769 QKQ458769:QKV458769 QUM458769:QUR458769 REI458769:REN458769 ROE458769:ROJ458769 RYA458769:RYF458769 SHW458769:SIB458769 SRS458769:SRX458769 TBO458769:TBT458769 TLK458769:TLP458769 TVG458769:TVL458769 UFC458769:UFH458769 UOY458769:UPD458769 UYU458769:UYZ458769 VIQ458769:VIV458769 VSM458769:VSR458769 WCI458769:WCN458769 WME458769:WMJ458769 WWA458769:WWF458769 X524305:AC524305 JO524305:JT524305 TK524305:TP524305 ADG524305:ADL524305 ANC524305:ANH524305 AWY524305:AXD524305 BGU524305:BGZ524305 BQQ524305:BQV524305 CAM524305:CAR524305 CKI524305:CKN524305 CUE524305:CUJ524305 DEA524305:DEF524305 DNW524305:DOB524305 DXS524305:DXX524305 EHO524305:EHT524305 ERK524305:ERP524305 FBG524305:FBL524305 FLC524305:FLH524305 FUY524305:FVD524305 GEU524305:GEZ524305 GOQ524305:GOV524305 GYM524305:GYR524305 HII524305:HIN524305 HSE524305:HSJ524305 ICA524305:ICF524305 ILW524305:IMB524305 IVS524305:IVX524305 JFO524305:JFT524305 JPK524305:JPP524305 JZG524305:JZL524305 KJC524305:KJH524305 KSY524305:KTD524305 LCU524305:LCZ524305 LMQ524305:LMV524305 LWM524305:LWR524305 MGI524305:MGN524305 MQE524305:MQJ524305 NAA524305:NAF524305 NJW524305:NKB524305 NTS524305:NTX524305 ODO524305:ODT524305 ONK524305:ONP524305 OXG524305:OXL524305 PHC524305:PHH524305 PQY524305:PRD524305 QAU524305:QAZ524305 QKQ524305:QKV524305 QUM524305:QUR524305 REI524305:REN524305 ROE524305:ROJ524305 RYA524305:RYF524305 SHW524305:SIB524305 SRS524305:SRX524305 TBO524305:TBT524305 TLK524305:TLP524305 TVG524305:TVL524305 UFC524305:UFH524305 UOY524305:UPD524305 UYU524305:UYZ524305 VIQ524305:VIV524305 VSM524305:VSR524305 WCI524305:WCN524305 WME524305:WMJ524305 WWA524305:WWF524305 X589841:AC589841 JO589841:JT589841 TK589841:TP589841 ADG589841:ADL589841 ANC589841:ANH589841 AWY589841:AXD589841 BGU589841:BGZ589841 BQQ589841:BQV589841 CAM589841:CAR589841 CKI589841:CKN589841 CUE589841:CUJ589841 DEA589841:DEF589841 DNW589841:DOB589841 DXS589841:DXX589841 EHO589841:EHT589841 ERK589841:ERP589841 FBG589841:FBL589841 FLC589841:FLH589841 FUY589841:FVD589841 GEU589841:GEZ589841 GOQ589841:GOV589841 GYM589841:GYR589841 HII589841:HIN589841 HSE589841:HSJ589841 ICA589841:ICF589841 ILW589841:IMB589841 IVS589841:IVX589841 JFO589841:JFT589841 JPK589841:JPP589841 JZG589841:JZL589841 KJC589841:KJH589841 KSY589841:KTD589841 LCU589841:LCZ589841 LMQ589841:LMV589841 LWM589841:LWR589841 MGI589841:MGN589841 MQE589841:MQJ589841 NAA589841:NAF589841 NJW589841:NKB589841 NTS589841:NTX589841 ODO589841:ODT589841 ONK589841:ONP589841 OXG589841:OXL589841 PHC589841:PHH589841 PQY589841:PRD589841 QAU589841:QAZ589841 QKQ589841:QKV589841 QUM589841:QUR589841 REI589841:REN589841 ROE589841:ROJ589841 RYA589841:RYF589841 SHW589841:SIB589841 SRS589841:SRX589841 TBO589841:TBT589841 TLK589841:TLP589841 TVG589841:TVL589841 UFC589841:UFH589841 UOY589841:UPD589841 UYU589841:UYZ589841 VIQ589841:VIV589841 VSM589841:VSR589841 WCI589841:WCN589841 WME589841:WMJ589841 WWA589841:WWF589841 X655377:AC655377 JO655377:JT655377 TK655377:TP655377 ADG655377:ADL655377 ANC655377:ANH655377 AWY655377:AXD655377 BGU655377:BGZ655377 BQQ655377:BQV655377 CAM655377:CAR655377 CKI655377:CKN655377 CUE655377:CUJ655377 DEA655377:DEF655377 DNW655377:DOB655377 DXS655377:DXX655377 EHO655377:EHT655377 ERK655377:ERP655377 FBG655377:FBL655377 FLC655377:FLH655377 FUY655377:FVD655377 GEU655377:GEZ655377 GOQ655377:GOV655377 GYM655377:GYR655377 HII655377:HIN655377 HSE655377:HSJ655377 ICA655377:ICF655377 ILW655377:IMB655377 IVS655377:IVX655377 JFO655377:JFT655377 JPK655377:JPP655377 JZG655377:JZL655377 KJC655377:KJH655377 KSY655377:KTD655377 LCU655377:LCZ655377 LMQ655377:LMV655377 LWM655377:LWR655377 MGI655377:MGN655377 MQE655377:MQJ655377 NAA655377:NAF655377 NJW655377:NKB655377 NTS655377:NTX655377 ODO655377:ODT655377 ONK655377:ONP655377 OXG655377:OXL655377 PHC655377:PHH655377 PQY655377:PRD655377 QAU655377:QAZ655377 QKQ655377:QKV655377 QUM655377:QUR655377 REI655377:REN655377 ROE655377:ROJ655377 RYA655377:RYF655377 SHW655377:SIB655377 SRS655377:SRX655377 TBO655377:TBT655377 TLK655377:TLP655377 TVG655377:TVL655377 UFC655377:UFH655377 UOY655377:UPD655377 UYU655377:UYZ655377 VIQ655377:VIV655377 VSM655377:VSR655377 WCI655377:WCN655377 WME655377:WMJ655377 WWA655377:WWF655377 X720913:AC720913 JO720913:JT720913 TK720913:TP720913 ADG720913:ADL720913 ANC720913:ANH720913 AWY720913:AXD720913 BGU720913:BGZ720913 BQQ720913:BQV720913 CAM720913:CAR720913 CKI720913:CKN720913 CUE720913:CUJ720913 DEA720913:DEF720913 DNW720913:DOB720913 DXS720913:DXX720913 EHO720913:EHT720913 ERK720913:ERP720913 FBG720913:FBL720913 FLC720913:FLH720913 FUY720913:FVD720913 GEU720913:GEZ720913 GOQ720913:GOV720913 GYM720913:GYR720913 HII720913:HIN720913 HSE720913:HSJ720913 ICA720913:ICF720913 ILW720913:IMB720913 IVS720913:IVX720913 JFO720913:JFT720913 JPK720913:JPP720913 JZG720913:JZL720913 KJC720913:KJH720913 KSY720913:KTD720913 LCU720913:LCZ720913 LMQ720913:LMV720913 LWM720913:LWR720913 MGI720913:MGN720913 MQE720913:MQJ720913 NAA720913:NAF720913 NJW720913:NKB720913 NTS720913:NTX720913 ODO720913:ODT720913 ONK720913:ONP720913 OXG720913:OXL720913 PHC720913:PHH720913 PQY720913:PRD720913 QAU720913:QAZ720913 QKQ720913:QKV720913 QUM720913:QUR720913 REI720913:REN720913 ROE720913:ROJ720913 RYA720913:RYF720913 SHW720913:SIB720913 SRS720913:SRX720913 TBO720913:TBT720913 TLK720913:TLP720913 TVG720913:TVL720913 UFC720913:UFH720913 UOY720913:UPD720913 UYU720913:UYZ720913 VIQ720913:VIV720913 VSM720913:VSR720913 WCI720913:WCN720913 WME720913:WMJ720913 WWA720913:WWF720913 X786449:AC786449 JO786449:JT786449 TK786449:TP786449 ADG786449:ADL786449 ANC786449:ANH786449 AWY786449:AXD786449 BGU786449:BGZ786449 BQQ786449:BQV786449 CAM786449:CAR786449 CKI786449:CKN786449 CUE786449:CUJ786449 DEA786449:DEF786449 DNW786449:DOB786449 DXS786449:DXX786449 EHO786449:EHT786449 ERK786449:ERP786449 FBG786449:FBL786449 FLC786449:FLH786449 FUY786449:FVD786449 GEU786449:GEZ786449 GOQ786449:GOV786449 GYM786449:GYR786449 HII786449:HIN786449 HSE786449:HSJ786449 ICA786449:ICF786449 ILW786449:IMB786449 IVS786449:IVX786449 JFO786449:JFT786449 JPK786449:JPP786449 JZG786449:JZL786449 KJC786449:KJH786449 KSY786449:KTD786449 LCU786449:LCZ786449 LMQ786449:LMV786449 LWM786449:LWR786449 MGI786449:MGN786449 MQE786449:MQJ786449 NAA786449:NAF786449 NJW786449:NKB786449 NTS786449:NTX786449 ODO786449:ODT786449 ONK786449:ONP786449 OXG786449:OXL786449 PHC786449:PHH786449 PQY786449:PRD786449 QAU786449:QAZ786449 QKQ786449:QKV786449 QUM786449:QUR786449 REI786449:REN786449 ROE786449:ROJ786449 RYA786449:RYF786449 SHW786449:SIB786449 SRS786449:SRX786449 TBO786449:TBT786449 TLK786449:TLP786449 TVG786449:TVL786449 UFC786449:UFH786449 UOY786449:UPD786449 UYU786449:UYZ786449 VIQ786449:VIV786449 VSM786449:VSR786449 WCI786449:WCN786449 WME786449:WMJ786449 WWA786449:WWF786449 X851985:AC851985 JO851985:JT851985 TK851985:TP851985 ADG851985:ADL851985 ANC851985:ANH851985 AWY851985:AXD851985 BGU851985:BGZ851985 BQQ851985:BQV851985 CAM851985:CAR851985 CKI851985:CKN851985 CUE851985:CUJ851985 DEA851985:DEF851985 DNW851985:DOB851985 DXS851985:DXX851985 EHO851985:EHT851985 ERK851985:ERP851985 FBG851985:FBL851985 FLC851985:FLH851985 FUY851985:FVD851985 GEU851985:GEZ851985 GOQ851985:GOV851985 GYM851985:GYR851985 HII851985:HIN851985 HSE851985:HSJ851985 ICA851985:ICF851985 ILW851985:IMB851985 IVS851985:IVX851985 JFO851985:JFT851985 JPK851985:JPP851985 JZG851985:JZL851985 KJC851985:KJH851985 KSY851985:KTD851985 LCU851985:LCZ851985 LMQ851985:LMV851985 LWM851985:LWR851985 MGI851985:MGN851985 MQE851985:MQJ851985 NAA851985:NAF851985 NJW851985:NKB851985 NTS851985:NTX851985 ODO851985:ODT851985 ONK851985:ONP851985 OXG851985:OXL851985 PHC851985:PHH851985 PQY851985:PRD851985 QAU851985:QAZ851985 QKQ851985:QKV851985 QUM851985:QUR851985 REI851985:REN851985 ROE851985:ROJ851985 RYA851985:RYF851985 SHW851985:SIB851985 SRS851985:SRX851985 TBO851985:TBT851985 TLK851985:TLP851985 TVG851985:TVL851985 UFC851985:UFH851985 UOY851985:UPD851985 UYU851985:UYZ851985 VIQ851985:VIV851985 VSM851985:VSR851985 WCI851985:WCN851985 WME851985:WMJ851985 WWA851985:WWF851985 X917521:AC917521 JO917521:JT917521 TK917521:TP917521 ADG917521:ADL917521 ANC917521:ANH917521 AWY917521:AXD917521 BGU917521:BGZ917521 BQQ917521:BQV917521 CAM917521:CAR917521 CKI917521:CKN917521 CUE917521:CUJ917521 DEA917521:DEF917521 DNW917521:DOB917521 DXS917521:DXX917521 EHO917521:EHT917521 ERK917521:ERP917521 FBG917521:FBL917521 FLC917521:FLH917521 FUY917521:FVD917521 GEU917521:GEZ917521 GOQ917521:GOV917521 GYM917521:GYR917521 HII917521:HIN917521 HSE917521:HSJ917521 ICA917521:ICF917521 ILW917521:IMB917521 IVS917521:IVX917521 JFO917521:JFT917521 JPK917521:JPP917521 JZG917521:JZL917521 KJC917521:KJH917521 KSY917521:KTD917521 LCU917521:LCZ917521 LMQ917521:LMV917521 LWM917521:LWR917521 MGI917521:MGN917521 MQE917521:MQJ917521 NAA917521:NAF917521 NJW917521:NKB917521 NTS917521:NTX917521 ODO917521:ODT917521 ONK917521:ONP917521 OXG917521:OXL917521 PHC917521:PHH917521 PQY917521:PRD917521 QAU917521:QAZ917521 QKQ917521:QKV917521 QUM917521:QUR917521 REI917521:REN917521 ROE917521:ROJ917521 RYA917521:RYF917521 SHW917521:SIB917521 SRS917521:SRX917521 TBO917521:TBT917521 TLK917521:TLP917521 TVG917521:TVL917521 UFC917521:UFH917521 UOY917521:UPD917521 UYU917521:UYZ917521 VIQ917521:VIV917521 VSM917521:VSR917521 WCI917521:WCN917521 WME917521:WMJ917521 WWA917521:WWF917521 X983057:AC983057 JO983057:JT983057 TK983057:TP983057 ADG983057:ADL983057 ANC983057:ANH983057 AWY983057:AXD983057 BGU983057:BGZ983057 BQQ983057:BQV983057 CAM983057:CAR983057 CKI983057:CKN983057 CUE983057:CUJ983057 DEA983057:DEF983057 DNW983057:DOB983057 DXS983057:DXX983057 EHO983057:EHT983057 ERK983057:ERP983057 FBG983057:FBL983057 FLC983057:FLH983057 FUY983057:FVD983057 GEU983057:GEZ983057 GOQ983057:GOV983057 GYM983057:GYR983057 HII983057:HIN983057 HSE983057:HSJ983057 ICA983057:ICF983057 ILW983057:IMB983057 IVS983057:IVX983057 JFO983057:JFT983057 JPK983057:JPP983057 JZG983057:JZL983057 KJC983057:KJH983057 KSY983057:KTD983057 LCU983057:LCZ983057 LMQ983057:LMV983057 LWM983057:LWR983057 MGI983057:MGN983057 MQE983057:MQJ983057 NAA983057:NAF983057 NJW983057:NKB983057 NTS983057:NTX983057 ODO983057:ODT983057 ONK983057:ONP983057 OXG983057:OXL983057 PHC983057:PHH983057 PQY983057:PRD983057 QAU983057:QAZ983057 QKQ983057:QKV983057 QUM983057:QUR983057 REI983057:REN983057 ROE983057:ROJ983057 RYA983057:RYF983057 SHW983057:SIB983057 SRS983057:SRX983057 TBO983057:TBT983057 TLK983057:TLP983057 TVG983057:TVL983057 UFC983057:UFH983057 UOY983057:UPD983057 UYU983057:UYZ983057 VIQ983057:VIV983057 VSM983057:VSR983057 WCI983057:WCN983057 WME983057:WMJ983057 WWA983057:WWF983057" xr:uid="{00000000-0002-0000-0600-000005000000}">
      <formula1>"EUC,JIS,Shift-JIS,windows-31j,Unicode(UTF-8)"</formula1>
    </dataValidation>
    <dataValidation type="list" allowBlank="1" showInputMessage="1" showErrorMessage="1" sqref="AC6:AD6 JX6:JY6 TT6:TU6 ADP6:ADQ6 ANL6:ANM6 AXH6:AXI6 BHD6:BHE6 BQZ6:BRA6 CAV6:CAW6 CKR6:CKS6 CUN6:CUO6 DEJ6:DEK6 DOF6:DOG6 DYB6:DYC6 EHX6:EHY6 ERT6:ERU6 FBP6:FBQ6 FLL6:FLM6 FVH6:FVI6 GFD6:GFE6 GOZ6:GPA6 GYV6:GYW6 HIR6:HIS6 HSN6:HSO6 ICJ6:ICK6 IMF6:IMG6 IWB6:IWC6 JFX6:JFY6 JPT6:JPU6 JZP6:JZQ6 KJL6:KJM6 KTH6:KTI6 LDD6:LDE6 LMZ6:LNA6 LWV6:LWW6 MGR6:MGS6 MQN6:MQO6 NAJ6:NAK6 NKF6:NKG6 NUB6:NUC6 ODX6:ODY6 ONT6:ONU6 OXP6:OXQ6 PHL6:PHM6 PRH6:PRI6 QBD6:QBE6 QKZ6:QLA6 QUV6:QUW6 RER6:RES6 RON6:ROO6 RYJ6:RYK6 SIF6:SIG6 SSB6:SSC6 TBX6:TBY6 TLT6:TLU6 TVP6:TVQ6 UFL6:UFM6 UPH6:UPI6 UZD6:UZE6 VIZ6:VJA6 VSV6:VSW6 WCR6:WCS6 WMN6:WMO6 WWJ6:WWK6 AB65554:AC65554 JS65554:JT65554 TO65554:TP65554 ADK65554:ADL65554 ANG65554:ANH65554 AXC65554:AXD65554 BGY65554:BGZ65554 BQU65554:BQV65554 CAQ65554:CAR65554 CKM65554:CKN65554 CUI65554:CUJ65554 DEE65554:DEF65554 DOA65554:DOB65554 DXW65554:DXX65554 EHS65554:EHT65554 ERO65554:ERP65554 FBK65554:FBL65554 FLG65554:FLH65554 FVC65554:FVD65554 GEY65554:GEZ65554 GOU65554:GOV65554 GYQ65554:GYR65554 HIM65554:HIN65554 HSI65554:HSJ65554 ICE65554:ICF65554 IMA65554:IMB65554 IVW65554:IVX65554 JFS65554:JFT65554 JPO65554:JPP65554 JZK65554:JZL65554 KJG65554:KJH65554 KTC65554:KTD65554 LCY65554:LCZ65554 LMU65554:LMV65554 LWQ65554:LWR65554 MGM65554:MGN65554 MQI65554:MQJ65554 NAE65554:NAF65554 NKA65554:NKB65554 NTW65554:NTX65554 ODS65554:ODT65554 ONO65554:ONP65554 OXK65554:OXL65554 PHG65554:PHH65554 PRC65554:PRD65554 QAY65554:QAZ65554 QKU65554:QKV65554 QUQ65554:QUR65554 REM65554:REN65554 ROI65554:ROJ65554 RYE65554:RYF65554 SIA65554:SIB65554 SRW65554:SRX65554 TBS65554:TBT65554 TLO65554:TLP65554 TVK65554:TVL65554 UFG65554:UFH65554 UPC65554:UPD65554 UYY65554:UYZ65554 VIU65554:VIV65554 VSQ65554:VSR65554 WCM65554:WCN65554 WMI65554:WMJ65554 WWE65554:WWF65554 AB131090:AC131090 JS131090:JT131090 TO131090:TP131090 ADK131090:ADL131090 ANG131090:ANH131090 AXC131090:AXD131090 BGY131090:BGZ131090 BQU131090:BQV131090 CAQ131090:CAR131090 CKM131090:CKN131090 CUI131090:CUJ131090 DEE131090:DEF131090 DOA131090:DOB131090 DXW131090:DXX131090 EHS131090:EHT131090 ERO131090:ERP131090 FBK131090:FBL131090 FLG131090:FLH131090 FVC131090:FVD131090 GEY131090:GEZ131090 GOU131090:GOV131090 GYQ131090:GYR131090 HIM131090:HIN131090 HSI131090:HSJ131090 ICE131090:ICF131090 IMA131090:IMB131090 IVW131090:IVX131090 JFS131090:JFT131090 JPO131090:JPP131090 JZK131090:JZL131090 KJG131090:KJH131090 KTC131090:KTD131090 LCY131090:LCZ131090 LMU131090:LMV131090 LWQ131090:LWR131090 MGM131090:MGN131090 MQI131090:MQJ131090 NAE131090:NAF131090 NKA131090:NKB131090 NTW131090:NTX131090 ODS131090:ODT131090 ONO131090:ONP131090 OXK131090:OXL131090 PHG131090:PHH131090 PRC131090:PRD131090 QAY131090:QAZ131090 QKU131090:QKV131090 QUQ131090:QUR131090 REM131090:REN131090 ROI131090:ROJ131090 RYE131090:RYF131090 SIA131090:SIB131090 SRW131090:SRX131090 TBS131090:TBT131090 TLO131090:TLP131090 TVK131090:TVL131090 UFG131090:UFH131090 UPC131090:UPD131090 UYY131090:UYZ131090 VIU131090:VIV131090 VSQ131090:VSR131090 WCM131090:WCN131090 WMI131090:WMJ131090 WWE131090:WWF131090 AB196626:AC196626 JS196626:JT196626 TO196626:TP196626 ADK196626:ADL196626 ANG196626:ANH196626 AXC196626:AXD196626 BGY196626:BGZ196626 BQU196626:BQV196626 CAQ196626:CAR196626 CKM196626:CKN196626 CUI196626:CUJ196626 DEE196626:DEF196626 DOA196626:DOB196626 DXW196626:DXX196626 EHS196626:EHT196626 ERO196626:ERP196626 FBK196626:FBL196626 FLG196626:FLH196626 FVC196626:FVD196626 GEY196626:GEZ196626 GOU196626:GOV196626 GYQ196626:GYR196626 HIM196626:HIN196626 HSI196626:HSJ196626 ICE196626:ICF196626 IMA196626:IMB196626 IVW196626:IVX196626 JFS196626:JFT196626 JPO196626:JPP196626 JZK196626:JZL196626 KJG196626:KJH196626 KTC196626:KTD196626 LCY196626:LCZ196626 LMU196626:LMV196626 LWQ196626:LWR196626 MGM196626:MGN196626 MQI196626:MQJ196626 NAE196626:NAF196626 NKA196626:NKB196626 NTW196626:NTX196626 ODS196626:ODT196626 ONO196626:ONP196626 OXK196626:OXL196626 PHG196626:PHH196626 PRC196626:PRD196626 QAY196626:QAZ196626 QKU196626:QKV196626 QUQ196626:QUR196626 REM196626:REN196626 ROI196626:ROJ196626 RYE196626:RYF196626 SIA196626:SIB196626 SRW196626:SRX196626 TBS196626:TBT196626 TLO196626:TLP196626 TVK196626:TVL196626 UFG196626:UFH196626 UPC196626:UPD196626 UYY196626:UYZ196626 VIU196626:VIV196626 VSQ196626:VSR196626 WCM196626:WCN196626 WMI196626:WMJ196626 WWE196626:WWF196626 AB262162:AC262162 JS262162:JT262162 TO262162:TP262162 ADK262162:ADL262162 ANG262162:ANH262162 AXC262162:AXD262162 BGY262162:BGZ262162 BQU262162:BQV262162 CAQ262162:CAR262162 CKM262162:CKN262162 CUI262162:CUJ262162 DEE262162:DEF262162 DOA262162:DOB262162 DXW262162:DXX262162 EHS262162:EHT262162 ERO262162:ERP262162 FBK262162:FBL262162 FLG262162:FLH262162 FVC262162:FVD262162 GEY262162:GEZ262162 GOU262162:GOV262162 GYQ262162:GYR262162 HIM262162:HIN262162 HSI262162:HSJ262162 ICE262162:ICF262162 IMA262162:IMB262162 IVW262162:IVX262162 JFS262162:JFT262162 JPO262162:JPP262162 JZK262162:JZL262162 KJG262162:KJH262162 KTC262162:KTD262162 LCY262162:LCZ262162 LMU262162:LMV262162 LWQ262162:LWR262162 MGM262162:MGN262162 MQI262162:MQJ262162 NAE262162:NAF262162 NKA262162:NKB262162 NTW262162:NTX262162 ODS262162:ODT262162 ONO262162:ONP262162 OXK262162:OXL262162 PHG262162:PHH262162 PRC262162:PRD262162 QAY262162:QAZ262162 QKU262162:QKV262162 QUQ262162:QUR262162 REM262162:REN262162 ROI262162:ROJ262162 RYE262162:RYF262162 SIA262162:SIB262162 SRW262162:SRX262162 TBS262162:TBT262162 TLO262162:TLP262162 TVK262162:TVL262162 UFG262162:UFH262162 UPC262162:UPD262162 UYY262162:UYZ262162 VIU262162:VIV262162 VSQ262162:VSR262162 WCM262162:WCN262162 WMI262162:WMJ262162 WWE262162:WWF262162 AB327698:AC327698 JS327698:JT327698 TO327698:TP327698 ADK327698:ADL327698 ANG327698:ANH327698 AXC327698:AXD327698 BGY327698:BGZ327698 BQU327698:BQV327698 CAQ327698:CAR327698 CKM327698:CKN327698 CUI327698:CUJ327698 DEE327698:DEF327698 DOA327698:DOB327698 DXW327698:DXX327698 EHS327698:EHT327698 ERO327698:ERP327698 FBK327698:FBL327698 FLG327698:FLH327698 FVC327698:FVD327698 GEY327698:GEZ327698 GOU327698:GOV327698 GYQ327698:GYR327698 HIM327698:HIN327698 HSI327698:HSJ327698 ICE327698:ICF327698 IMA327698:IMB327698 IVW327698:IVX327698 JFS327698:JFT327698 JPO327698:JPP327698 JZK327698:JZL327698 KJG327698:KJH327698 KTC327698:KTD327698 LCY327698:LCZ327698 LMU327698:LMV327698 LWQ327698:LWR327698 MGM327698:MGN327698 MQI327698:MQJ327698 NAE327698:NAF327698 NKA327698:NKB327698 NTW327698:NTX327698 ODS327698:ODT327698 ONO327698:ONP327698 OXK327698:OXL327698 PHG327698:PHH327698 PRC327698:PRD327698 QAY327698:QAZ327698 QKU327698:QKV327698 QUQ327698:QUR327698 REM327698:REN327698 ROI327698:ROJ327698 RYE327698:RYF327698 SIA327698:SIB327698 SRW327698:SRX327698 TBS327698:TBT327698 TLO327698:TLP327698 TVK327698:TVL327698 UFG327698:UFH327698 UPC327698:UPD327698 UYY327698:UYZ327698 VIU327698:VIV327698 VSQ327698:VSR327698 WCM327698:WCN327698 WMI327698:WMJ327698 WWE327698:WWF327698 AB393234:AC393234 JS393234:JT393234 TO393234:TP393234 ADK393234:ADL393234 ANG393234:ANH393234 AXC393234:AXD393234 BGY393234:BGZ393234 BQU393234:BQV393234 CAQ393234:CAR393234 CKM393234:CKN393234 CUI393234:CUJ393234 DEE393234:DEF393234 DOA393234:DOB393234 DXW393234:DXX393234 EHS393234:EHT393234 ERO393234:ERP393234 FBK393234:FBL393234 FLG393234:FLH393234 FVC393234:FVD393234 GEY393234:GEZ393234 GOU393234:GOV393234 GYQ393234:GYR393234 HIM393234:HIN393234 HSI393234:HSJ393234 ICE393234:ICF393234 IMA393234:IMB393234 IVW393234:IVX393234 JFS393234:JFT393234 JPO393234:JPP393234 JZK393234:JZL393234 KJG393234:KJH393234 KTC393234:KTD393234 LCY393234:LCZ393234 LMU393234:LMV393234 LWQ393234:LWR393234 MGM393234:MGN393234 MQI393234:MQJ393234 NAE393234:NAF393234 NKA393234:NKB393234 NTW393234:NTX393234 ODS393234:ODT393234 ONO393234:ONP393234 OXK393234:OXL393234 PHG393234:PHH393234 PRC393234:PRD393234 QAY393234:QAZ393234 QKU393234:QKV393234 QUQ393234:QUR393234 REM393234:REN393234 ROI393234:ROJ393234 RYE393234:RYF393234 SIA393234:SIB393234 SRW393234:SRX393234 TBS393234:TBT393234 TLO393234:TLP393234 TVK393234:TVL393234 UFG393234:UFH393234 UPC393234:UPD393234 UYY393234:UYZ393234 VIU393234:VIV393234 VSQ393234:VSR393234 WCM393234:WCN393234 WMI393234:WMJ393234 WWE393234:WWF393234 AB458770:AC458770 JS458770:JT458770 TO458770:TP458770 ADK458770:ADL458770 ANG458770:ANH458770 AXC458770:AXD458770 BGY458770:BGZ458770 BQU458770:BQV458770 CAQ458770:CAR458770 CKM458770:CKN458770 CUI458770:CUJ458770 DEE458770:DEF458770 DOA458770:DOB458770 DXW458770:DXX458770 EHS458770:EHT458770 ERO458770:ERP458770 FBK458770:FBL458770 FLG458770:FLH458770 FVC458770:FVD458770 GEY458770:GEZ458770 GOU458770:GOV458770 GYQ458770:GYR458770 HIM458770:HIN458770 HSI458770:HSJ458770 ICE458770:ICF458770 IMA458770:IMB458770 IVW458770:IVX458770 JFS458770:JFT458770 JPO458770:JPP458770 JZK458770:JZL458770 KJG458770:KJH458770 KTC458770:KTD458770 LCY458770:LCZ458770 LMU458770:LMV458770 LWQ458770:LWR458770 MGM458770:MGN458770 MQI458770:MQJ458770 NAE458770:NAF458770 NKA458770:NKB458770 NTW458770:NTX458770 ODS458770:ODT458770 ONO458770:ONP458770 OXK458770:OXL458770 PHG458770:PHH458770 PRC458770:PRD458770 QAY458770:QAZ458770 QKU458770:QKV458770 QUQ458770:QUR458770 REM458770:REN458770 ROI458770:ROJ458770 RYE458770:RYF458770 SIA458770:SIB458770 SRW458770:SRX458770 TBS458770:TBT458770 TLO458770:TLP458770 TVK458770:TVL458770 UFG458770:UFH458770 UPC458770:UPD458770 UYY458770:UYZ458770 VIU458770:VIV458770 VSQ458770:VSR458770 WCM458770:WCN458770 WMI458770:WMJ458770 WWE458770:WWF458770 AB524306:AC524306 JS524306:JT524306 TO524306:TP524306 ADK524306:ADL524306 ANG524306:ANH524306 AXC524306:AXD524306 BGY524306:BGZ524306 BQU524306:BQV524306 CAQ524306:CAR524306 CKM524306:CKN524306 CUI524306:CUJ524306 DEE524306:DEF524306 DOA524306:DOB524306 DXW524306:DXX524306 EHS524306:EHT524306 ERO524306:ERP524306 FBK524306:FBL524306 FLG524306:FLH524306 FVC524306:FVD524306 GEY524306:GEZ524306 GOU524306:GOV524306 GYQ524306:GYR524306 HIM524306:HIN524306 HSI524306:HSJ524306 ICE524306:ICF524306 IMA524306:IMB524306 IVW524306:IVX524306 JFS524306:JFT524306 JPO524306:JPP524306 JZK524306:JZL524306 KJG524306:KJH524306 KTC524306:KTD524306 LCY524306:LCZ524306 LMU524306:LMV524306 LWQ524306:LWR524306 MGM524306:MGN524306 MQI524306:MQJ524306 NAE524306:NAF524306 NKA524306:NKB524306 NTW524306:NTX524306 ODS524306:ODT524306 ONO524306:ONP524306 OXK524306:OXL524306 PHG524306:PHH524306 PRC524306:PRD524306 QAY524306:QAZ524306 QKU524306:QKV524306 QUQ524306:QUR524306 REM524306:REN524306 ROI524306:ROJ524306 RYE524306:RYF524306 SIA524306:SIB524306 SRW524306:SRX524306 TBS524306:TBT524306 TLO524306:TLP524306 TVK524306:TVL524306 UFG524306:UFH524306 UPC524306:UPD524306 UYY524306:UYZ524306 VIU524306:VIV524306 VSQ524306:VSR524306 WCM524306:WCN524306 WMI524306:WMJ524306 WWE524306:WWF524306 AB589842:AC589842 JS589842:JT589842 TO589842:TP589842 ADK589842:ADL589842 ANG589842:ANH589842 AXC589842:AXD589842 BGY589842:BGZ589842 BQU589842:BQV589842 CAQ589842:CAR589842 CKM589842:CKN589842 CUI589842:CUJ589842 DEE589842:DEF589842 DOA589842:DOB589842 DXW589842:DXX589842 EHS589842:EHT589842 ERO589842:ERP589842 FBK589842:FBL589842 FLG589842:FLH589842 FVC589842:FVD589842 GEY589842:GEZ589842 GOU589842:GOV589842 GYQ589842:GYR589842 HIM589842:HIN589842 HSI589842:HSJ589842 ICE589842:ICF589842 IMA589842:IMB589842 IVW589842:IVX589842 JFS589842:JFT589842 JPO589842:JPP589842 JZK589842:JZL589842 KJG589842:KJH589842 KTC589842:KTD589842 LCY589842:LCZ589842 LMU589842:LMV589842 LWQ589842:LWR589842 MGM589842:MGN589842 MQI589842:MQJ589842 NAE589842:NAF589842 NKA589842:NKB589842 NTW589842:NTX589842 ODS589842:ODT589842 ONO589842:ONP589842 OXK589842:OXL589842 PHG589842:PHH589842 PRC589842:PRD589842 QAY589842:QAZ589842 QKU589842:QKV589842 QUQ589842:QUR589842 REM589842:REN589842 ROI589842:ROJ589842 RYE589842:RYF589842 SIA589842:SIB589842 SRW589842:SRX589842 TBS589842:TBT589842 TLO589842:TLP589842 TVK589842:TVL589842 UFG589842:UFH589842 UPC589842:UPD589842 UYY589842:UYZ589842 VIU589842:VIV589842 VSQ589842:VSR589842 WCM589842:WCN589842 WMI589842:WMJ589842 WWE589842:WWF589842 AB655378:AC655378 JS655378:JT655378 TO655378:TP655378 ADK655378:ADL655378 ANG655378:ANH655378 AXC655378:AXD655378 BGY655378:BGZ655378 BQU655378:BQV655378 CAQ655378:CAR655378 CKM655378:CKN655378 CUI655378:CUJ655378 DEE655378:DEF655378 DOA655378:DOB655378 DXW655378:DXX655378 EHS655378:EHT655378 ERO655378:ERP655378 FBK655378:FBL655378 FLG655378:FLH655378 FVC655378:FVD655378 GEY655378:GEZ655378 GOU655378:GOV655378 GYQ655378:GYR655378 HIM655378:HIN655378 HSI655378:HSJ655378 ICE655378:ICF655378 IMA655378:IMB655378 IVW655378:IVX655378 JFS655378:JFT655378 JPO655378:JPP655378 JZK655378:JZL655378 KJG655378:KJH655378 KTC655378:KTD655378 LCY655378:LCZ655378 LMU655378:LMV655378 LWQ655378:LWR655378 MGM655378:MGN655378 MQI655378:MQJ655378 NAE655378:NAF655378 NKA655378:NKB655378 NTW655378:NTX655378 ODS655378:ODT655378 ONO655378:ONP655378 OXK655378:OXL655378 PHG655378:PHH655378 PRC655378:PRD655378 QAY655378:QAZ655378 QKU655378:QKV655378 QUQ655378:QUR655378 REM655378:REN655378 ROI655378:ROJ655378 RYE655378:RYF655378 SIA655378:SIB655378 SRW655378:SRX655378 TBS655378:TBT655378 TLO655378:TLP655378 TVK655378:TVL655378 UFG655378:UFH655378 UPC655378:UPD655378 UYY655378:UYZ655378 VIU655378:VIV655378 VSQ655378:VSR655378 WCM655378:WCN655378 WMI655378:WMJ655378 WWE655378:WWF655378 AB720914:AC720914 JS720914:JT720914 TO720914:TP720914 ADK720914:ADL720914 ANG720914:ANH720914 AXC720914:AXD720914 BGY720914:BGZ720914 BQU720914:BQV720914 CAQ720914:CAR720914 CKM720914:CKN720914 CUI720914:CUJ720914 DEE720914:DEF720914 DOA720914:DOB720914 DXW720914:DXX720914 EHS720914:EHT720914 ERO720914:ERP720914 FBK720914:FBL720914 FLG720914:FLH720914 FVC720914:FVD720914 GEY720914:GEZ720914 GOU720914:GOV720914 GYQ720914:GYR720914 HIM720914:HIN720914 HSI720914:HSJ720914 ICE720914:ICF720914 IMA720914:IMB720914 IVW720914:IVX720914 JFS720914:JFT720914 JPO720914:JPP720914 JZK720914:JZL720914 KJG720914:KJH720914 KTC720914:KTD720914 LCY720914:LCZ720914 LMU720914:LMV720914 LWQ720914:LWR720914 MGM720914:MGN720914 MQI720914:MQJ720914 NAE720914:NAF720914 NKA720914:NKB720914 NTW720914:NTX720914 ODS720914:ODT720914 ONO720914:ONP720914 OXK720914:OXL720914 PHG720914:PHH720914 PRC720914:PRD720914 QAY720914:QAZ720914 QKU720914:QKV720914 QUQ720914:QUR720914 REM720914:REN720914 ROI720914:ROJ720914 RYE720914:RYF720914 SIA720914:SIB720914 SRW720914:SRX720914 TBS720914:TBT720914 TLO720914:TLP720914 TVK720914:TVL720914 UFG720914:UFH720914 UPC720914:UPD720914 UYY720914:UYZ720914 VIU720914:VIV720914 VSQ720914:VSR720914 WCM720914:WCN720914 WMI720914:WMJ720914 WWE720914:WWF720914 AB786450:AC786450 JS786450:JT786450 TO786450:TP786450 ADK786450:ADL786450 ANG786450:ANH786450 AXC786450:AXD786450 BGY786450:BGZ786450 BQU786450:BQV786450 CAQ786450:CAR786450 CKM786450:CKN786450 CUI786450:CUJ786450 DEE786450:DEF786450 DOA786450:DOB786450 DXW786450:DXX786450 EHS786450:EHT786450 ERO786450:ERP786450 FBK786450:FBL786450 FLG786450:FLH786450 FVC786450:FVD786450 GEY786450:GEZ786450 GOU786450:GOV786450 GYQ786450:GYR786450 HIM786450:HIN786450 HSI786450:HSJ786450 ICE786450:ICF786450 IMA786450:IMB786450 IVW786450:IVX786450 JFS786450:JFT786450 JPO786450:JPP786450 JZK786450:JZL786450 KJG786450:KJH786450 KTC786450:KTD786450 LCY786450:LCZ786450 LMU786450:LMV786450 LWQ786450:LWR786450 MGM786450:MGN786450 MQI786450:MQJ786450 NAE786450:NAF786450 NKA786450:NKB786450 NTW786450:NTX786450 ODS786450:ODT786450 ONO786450:ONP786450 OXK786450:OXL786450 PHG786450:PHH786450 PRC786450:PRD786450 QAY786450:QAZ786450 QKU786450:QKV786450 QUQ786450:QUR786450 REM786450:REN786450 ROI786450:ROJ786450 RYE786450:RYF786450 SIA786450:SIB786450 SRW786450:SRX786450 TBS786450:TBT786450 TLO786450:TLP786450 TVK786450:TVL786450 UFG786450:UFH786450 UPC786450:UPD786450 UYY786450:UYZ786450 VIU786450:VIV786450 VSQ786450:VSR786450 WCM786450:WCN786450 WMI786450:WMJ786450 WWE786450:WWF786450 AB851986:AC851986 JS851986:JT851986 TO851986:TP851986 ADK851986:ADL851986 ANG851986:ANH851986 AXC851986:AXD851986 BGY851986:BGZ851986 BQU851986:BQV851986 CAQ851986:CAR851986 CKM851986:CKN851986 CUI851986:CUJ851986 DEE851986:DEF851986 DOA851986:DOB851986 DXW851986:DXX851986 EHS851986:EHT851986 ERO851986:ERP851986 FBK851986:FBL851986 FLG851986:FLH851986 FVC851986:FVD851986 GEY851986:GEZ851986 GOU851986:GOV851986 GYQ851986:GYR851986 HIM851986:HIN851986 HSI851986:HSJ851986 ICE851986:ICF851986 IMA851986:IMB851986 IVW851986:IVX851986 JFS851986:JFT851986 JPO851986:JPP851986 JZK851986:JZL851986 KJG851986:KJH851986 KTC851986:KTD851986 LCY851986:LCZ851986 LMU851986:LMV851986 LWQ851986:LWR851986 MGM851986:MGN851986 MQI851986:MQJ851986 NAE851986:NAF851986 NKA851986:NKB851986 NTW851986:NTX851986 ODS851986:ODT851986 ONO851986:ONP851986 OXK851986:OXL851986 PHG851986:PHH851986 PRC851986:PRD851986 QAY851986:QAZ851986 QKU851986:QKV851986 QUQ851986:QUR851986 REM851986:REN851986 ROI851986:ROJ851986 RYE851986:RYF851986 SIA851986:SIB851986 SRW851986:SRX851986 TBS851986:TBT851986 TLO851986:TLP851986 TVK851986:TVL851986 UFG851986:UFH851986 UPC851986:UPD851986 UYY851986:UYZ851986 VIU851986:VIV851986 VSQ851986:VSR851986 WCM851986:WCN851986 WMI851986:WMJ851986 WWE851986:WWF851986 AB917522:AC917522 JS917522:JT917522 TO917522:TP917522 ADK917522:ADL917522 ANG917522:ANH917522 AXC917522:AXD917522 BGY917522:BGZ917522 BQU917522:BQV917522 CAQ917522:CAR917522 CKM917522:CKN917522 CUI917522:CUJ917522 DEE917522:DEF917522 DOA917522:DOB917522 DXW917522:DXX917522 EHS917522:EHT917522 ERO917522:ERP917522 FBK917522:FBL917522 FLG917522:FLH917522 FVC917522:FVD917522 GEY917522:GEZ917522 GOU917522:GOV917522 GYQ917522:GYR917522 HIM917522:HIN917522 HSI917522:HSJ917522 ICE917522:ICF917522 IMA917522:IMB917522 IVW917522:IVX917522 JFS917522:JFT917522 JPO917522:JPP917522 JZK917522:JZL917522 KJG917522:KJH917522 KTC917522:KTD917522 LCY917522:LCZ917522 LMU917522:LMV917522 LWQ917522:LWR917522 MGM917522:MGN917522 MQI917522:MQJ917522 NAE917522:NAF917522 NKA917522:NKB917522 NTW917522:NTX917522 ODS917522:ODT917522 ONO917522:ONP917522 OXK917522:OXL917522 PHG917522:PHH917522 PRC917522:PRD917522 QAY917522:QAZ917522 QKU917522:QKV917522 QUQ917522:QUR917522 REM917522:REN917522 ROI917522:ROJ917522 RYE917522:RYF917522 SIA917522:SIB917522 SRW917522:SRX917522 TBS917522:TBT917522 TLO917522:TLP917522 TVK917522:TVL917522 UFG917522:UFH917522 UPC917522:UPD917522 UYY917522:UYZ917522 VIU917522:VIV917522 VSQ917522:VSR917522 WCM917522:WCN917522 WMI917522:WMJ917522 WWE917522:WWF917522 AB983058:AC983058 JS983058:JT983058 TO983058:TP983058 ADK983058:ADL983058 ANG983058:ANH983058 AXC983058:AXD983058 BGY983058:BGZ983058 BQU983058:BQV983058 CAQ983058:CAR983058 CKM983058:CKN983058 CUI983058:CUJ983058 DEE983058:DEF983058 DOA983058:DOB983058 DXW983058:DXX983058 EHS983058:EHT983058 ERO983058:ERP983058 FBK983058:FBL983058 FLG983058:FLH983058 FVC983058:FVD983058 GEY983058:GEZ983058 GOU983058:GOV983058 GYQ983058:GYR983058 HIM983058:HIN983058 HSI983058:HSJ983058 ICE983058:ICF983058 IMA983058:IMB983058 IVW983058:IVX983058 JFS983058:JFT983058 JPO983058:JPP983058 JZK983058:JZL983058 KJG983058:KJH983058 KTC983058:KTD983058 LCY983058:LCZ983058 LMU983058:LMV983058 LWQ983058:LWR983058 MGM983058:MGN983058 MQI983058:MQJ983058 NAE983058:NAF983058 NKA983058:NKB983058 NTW983058:NTX983058 ODS983058:ODT983058 ONO983058:ONP983058 OXK983058:OXL983058 PHG983058:PHH983058 PRC983058:PRD983058 QAY983058:QAZ983058 QKU983058:QKV983058 QUQ983058:QUR983058 REM983058:REN983058 ROI983058:ROJ983058 RYE983058:RYF983058 SIA983058:SIB983058 SRW983058:SRX983058 TBS983058:TBT983058 TLO983058:TLP983058 TVK983058:TVL983058 UFG983058:UFH983058 UPC983058:UPD983058 UYY983058:UYZ983058 VIU983058:VIV983058 VSQ983058:VSR983058 WCM983058:WCN983058 WMI983058:WMJ983058 WWE983058:WWF983058" xr:uid="{00000000-0002-0000-0600-000006000000}">
      <formula1>"（無し）,.csv,.dat,.txt,.xls"</formula1>
    </dataValidation>
    <dataValidation type="list" allowBlank="1" showInputMessage="1" showErrorMessage="1" sqref="G5:Q5 JB5:JL5 SX5:TH5 ACT5:ADD5 AMP5:AMZ5 AWL5:AWV5 BGH5:BGR5 BQD5:BQN5 BZZ5:CAJ5 CJV5:CKF5 CTR5:CUB5 DDN5:DDX5 DNJ5:DNT5 DXF5:DXP5 EHB5:EHL5 EQX5:ERH5 FAT5:FBD5 FKP5:FKZ5 FUL5:FUV5 GEH5:GER5 GOD5:GON5 GXZ5:GYJ5 HHV5:HIF5 HRR5:HSB5 IBN5:IBX5 ILJ5:ILT5 IVF5:IVP5 JFB5:JFL5 JOX5:JPH5 JYT5:JZD5 KIP5:KIZ5 KSL5:KSV5 LCH5:LCR5 LMD5:LMN5 LVZ5:LWJ5 MFV5:MGF5 MPR5:MQB5 MZN5:MZX5 NJJ5:NJT5 NTF5:NTP5 ODB5:ODL5 OMX5:ONH5 OWT5:OXD5 PGP5:PGZ5 PQL5:PQV5 QAH5:QAR5 QKD5:QKN5 QTZ5:QUJ5 RDV5:REF5 RNR5:ROB5 RXN5:RXX5 SHJ5:SHT5 SRF5:SRP5 TBB5:TBL5 TKX5:TLH5 TUT5:TVD5 UEP5:UEZ5 UOL5:UOV5 UYH5:UYR5 VID5:VIN5 VRZ5:VSJ5 WBV5:WCF5 WLR5:WMB5 WVN5:WVX5 F65553:P65553 IW65553:JG65553 SS65553:TC65553 ACO65553:ACY65553 AMK65553:AMU65553 AWG65553:AWQ65553 BGC65553:BGM65553 BPY65553:BQI65553 BZU65553:CAE65553 CJQ65553:CKA65553 CTM65553:CTW65553 DDI65553:DDS65553 DNE65553:DNO65553 DXA65553:DXK65553 EGW65553:EHG65553 EQS65553:ERC65553 FAO65553:FAY65553 FKK65553:FKU65553 FUG65553:FUQ65553 GEC65553:GEM65553 GNY65553:GOI65553 GXU65553:GYE65553 HHQ65553:HIA65553 HRM65553:HRW65553 IBI65553:IBS65553 ILE65553:ILO65553 IVA65553:IVK65553 JEW65553:JFG65553 JOS65553:JPC65553 JYO65553:JYY65553 KIK65553:KIU65553 KSG65553:KSQ65553 LCC65553:LCM65553 LLY65553:LMI65553 LVU65553:LWE65553 MFQ65553:MGA65553 MPM65553:MPW65553 MZI65553:MZS65553 NJE65553:NJO65553 NTA65553:NTK65553 OCW65553:ODG65553 OMS65553:ONC65553 OWO65553:OWY65553 PGK65553:PGU65553 PQG65553:PQQ65553 QAC65553:QAM65553 QJY65553:QKI65553 QTU65553:QUE65553 RDQ65553:REA65553 RNM65553:RNW65553 RXI65553:RXS65553 SHE65553:SHO65553 SRA65553:SRK65553 TAW65553:TBG65553 TKS65553:TLC65553 TUO65553:TUY65553 UEK65553:UEU65553 UOG65553:UOQ65553 UYC65553:UYM65553 VHY65553:VII65553 VRU65553:VSE65553 WBQ65553:WCA65553 WLM65553:WLW65553 WVI65553:WVS65553 F131089:P131089 IW131089:JG131089 SS131089:TC131089 ACO131089:ACY131089 AMK131089:AMU131089 AWG131089:AWQ131089 BGC131089:BGM131089 BPY131089:BQI131089 BZU131089:CAE131089 CJQ131089:CKA131089 CTM131089:CTW131089 DDI131089:DDS131089 DNE131089:DNO131089 DXA131089:DXK131089 EGW131089:EHG131089 EQS131089:ERC131089 FAO131089:FAY131089 FKK131089:FKU131089 FUG131089:FUQ131089 GEC131089:GEM131089 GNY131089:GOI131089 GXU131089:GYE131089 HHQ131089:HIA131089 HRM131089:HRW131089 IBI131089:IBS131089 ILE131089:ILO131089 IVA131089:IVK131089 JEW131089:JFG131089 JOS131089:JPC131089 JYO131089:JYY131089 KIK131089:KIU131089 KSG131089:KSQ131089 LCC131089:LCM131089 LLY131089:LMI131089 LVU131089:LWE131089 MFQ131089:MGA131089 MPM131089:MPW131089 MZI131089:MZS131089 NJE131089:NJO131089 NTA131089:NTK131089 OCW131089:ODG131089 OMS131089:ONC131089 OWO131089:OWY131089 PGK131089:PGU131089 PQG131089:PQQ131089 QAC131089:QAM131089 QJY131089:QKI131089 QTU131089:QUE131089 RDQ131089:REA131089 RNM131089:RNW131089 RXI131089:RXS131089 SHE131089:SHO131089 SRA131089:SRK131089 TAW131089:TBG131089 TKS131089:TLC131089 TUO131089:TUY131089 UEK131089:UEU131089 UOG131089:UOQ131089 UYC131089:UYM131089 VHY131089:VII131089 VRU131089:VSE131089 WBQ131089:WCA131089 WLM131089:WLW131089 WVI131089:WVS131089 F196625:P196625 IW196625:JG196625 SS196625:TC196625 ACO196625:ACY196625 AMK196625:AMU196625 AWG196625:AWQ196625 BGC196625:BGM196625 BPY196625:BQI196625 BZU196625:CAE196625 CJQ196625:CKA196625 CTM196625:CTW196625 DDI196625:DDS196625 DNE196625:DNO196625 DXA196625:DXK196625 EGW196625:EHG196625 EQS196625:ERC196625 FAO196625:FAY196625 FKK196625:FKU196625 FUG196625:FUQ196625 GEC196625:GEM196625 GNY196625:GOI196625 GXU196625:GYE196625 HHQ196625:HIA196625 HRM196625:HRW196625 IBI196625:IBS196625 ILE196625:ILO196625 IVA196625:IVK196625 JEW196625:JFG196625 JOS196625:JPC196625 JYO196625:JYY196625 KIK196625:KIU196625 KSG196625:KSQ196625 LCC196625:LCM196625 LLY196625:LMI196625 LVU196625:LWE196625 MFQ196625:MGA196625 MPM196625:MPW196625 MZI196625:MZS196625 NJE196625:NJO196625 NTA196625:NTK196625 OCW196625:ODG196625 OMS196625:ONC196625 OWO196625:OWY196625 PGK196625:PGU196625 PQG196625:PQQ196625 QAC196625:QAM196625 QJY196625:QKI196625 QTU196625:QUE196625 RDQ196625:REA196625 RNM196625:RNW196625 RXI196625:RXS196625 SHE196625:SHO196625 SRA196625:SRK196625 TAW196625:TBG196625 TKS196625:TLC196625 TUO196625:TUY196625 UEK196625:UEU196625 UOG196625:UOQ196625 UYC196625:UYM196625 VHY196625:VII196625 VRU196625:VSE196625 WBQ196625:WCA196625 WLM196625:WLW196625 WVI196625:WVS196625 F262161:P262161 IW262161:JG262161 SS262161:TC262161 ACO262161:ACY262161 AMK262161:AMU262161 AWG262161:AWQ262161 BGC262161:BGM262161 BPY262161:BQI262161 BZU262161:CAE262161 CJQ262161:CKA262161 CTM262161:CTW262161 DDI262161:DDS262161 DNE262161:DNO262161 DXA262161:DXK262161 EGW262161:EHG262161 EQS262161:ERC262161 FAO262161:FAY262161 FKK262161:FKU262161 FUG262161:FUQ262161 GEC262161:GEM262161 GNY262161:GOI262161 GXU262161:GYE262161 HHQ262161:HIA262161 HRM262161:HRW262161 IBI262161:IBS262161 ILE262161:ILO262161 IVA262161:IVK262161 JEW262161:JFG262161 JOS262161:JPC262161 JYO262161:JYY262161 KIK262161:KIU262161 KSG262161:KSQ262161 LCC262161:LCM262161 LLY262161:LMI262161 LVU262161:LWE262161 MFQ262161:MGA262161 MPM262161:MPW262161 MZI262161:MZS262161 NJE262161:NJO262161 NTA262161:NTK262161 OCW262161:ODG262161 OMS262161:ONC262161 OWO262161:OWY262161 PGK262161:PGU262161 PQG262161:PQQ262161 QAC262161:QAM262161 QJY262161:QKI262161 QTU262161:QUE262161 RDQ262161:REA262161 RNM262161:RNW262161 RXI262161:RXS262161 SHE262161:SHO262161 SRA262161:SRK262161 TAW262161:TBG262161 TKS262161:TLC262161 TUO262161:TUY262161 UEK262161:UEU262161 UOG262161:UOQ262161 UYC262161:UYM262161 VHY262161:VII262161 VRU262161:VSE262161 WBQ262161:WCA262161 WLM262161:WLW262161 WVI262161:WVS262161 F327697:P327697 IW327697:JG327697 SS327697:TC327697 ACO327697:ACY327697 AMK327697:AMU327697 AWG327697:AWQ327697 BGC327697:BGM327697 BPY327697:BQI327697 BZU327697:CAE327697 CJQ327697:CKA327697 CTM327697:CTW327697 DDI327697:DDS327697 DNE327697:DNO327697 DXA327697:DXK327697 EGW327697:EHG327697 EQS327697:ERC327697 FAO327697:FAY327697 FKK327697:FKU327697 FUG327697:FUQ327697 GEC327697:GEM327697 GNY327697:GOI327697 GXU327697:GYE327697 HHQ327697:HIA327697 HRM327697:HRW327697 IBI327697:IBS327697 ILE327697:ILO327697 IVA327697:IVK327697 JEW327697:JFG327697 JOS327697:JPC327697 JYO327697:JYY327697 KIK327697:KIU327697 KSG327697:KSQ327697 LCC327697:LCM327697 LLY327697:LMI327697 LVU327697:LWE327697 MFQ327697:MGA327697 MPM327697:MPW327697 MZI327697:MZS327697 NJE327697:NJO327697 NTA327697:NTK327697 OCW327697:ODG327697 OMS327697:ONC327697 OWO327697:OWY327697 PGK327697:PGU327697 PQG327697:PQQ327697 QAC327697:QAM327697 QJY327697:QKI327697 QTU327697:QUE327697 RDQ327697:REA327697 RNM327697:RNW327697 RXI327697:RXS327697 SHE327697:SHO327697 SRA327697:SRK327697 TAW327697:TBG327697 TKS327697:TLC327697 TUO327697:TUY327697 UEK327697:UEU327697 UOG327697:UOQ327697 UYC327697:UYM327697 VHY327697:VII327697 VRU327697:VSE327697 WBQ327697:WCA327697 WLM327697:WLW327697 WVI327697:WVS327697 F393233:P393233 IW393233:JG393233 SS393233:TC393233 ACO393233:ACY393233 AMK393233:AMU393233 AWG393233:AWQ393233 BGC393233:BGM393233 BPY393233:BQI393233 BZU393233:CAE393233 CJQ393233:CKA393233 CTM393233:CTW393233 DDI393233:DDS393233 DNE393233:DNO393233 DXA393233:DXK393233 EGW393233:EHG393233 EQS393233:ERC393233 FAO393233:FAY393233 FKK393233:FKU393233 FUG393233:FUQ393233 GEC393233:GEM393233 GNY393233:GOI393233 GXU393233:GYE393233 HHQ393233:HIA393233 HRM393233:HRW393233 IBI393233:IBS393233 ILE393233:ILO393233 IVA393233:IVK393233 JEW393233:JFG393233 JOS393233:JPC393233 JYO393233:JYY393233 KIK393233:KIU393233 KSG393233:KSQ393233 LCC393233:LCM393233 LLY393233:LMI393233 LVU393233:LWE393233 MFQ393233:MGA393233 MPM393233:MPW393233 MZI393233:MZS393233 NJE393233:NJO393233 NTA393233:NTK393233 OCW393233:ODG393233 OMS393233:ONC393233 OWO393233:OWY393233 PGK393233:PGU393233 PQG393233:PQQ393233 QAC393233:QAM393233 QJY393233:QKI393233 QTU393233:QUE393233 RDQ393233:REA393233 RNM393233:RNW393233 RXI393233:RXS393233 SHE393233:SHO393233 SRA393233:SRK393233 TAW393233:TBG393233 TKS393233:TLC393233 TUO393233:TUY393233 UEK393233:UEU393233 UOG393233:UOQ393233 UYC393233:UYM393233 VHY393233:VII393233 VRU393233:VSE393233 WBQ393233:WCA393233 WLM393233:WLW393233 WVI393233:WVS393233 F458769:P458769 IW458769:JG458769 SS458769:TC458769 ACO458769:ACY458769 AMK458769:AMU458769 AWG458769:AWQ458769 BGC458769:BGM458769 BPY458769:BQI458769 BZU458769:CAE458769 CJQ458769:CKA458769 CTM458769:CTW458769 DDI458769:DDS458769 DNE458769:DNO458769 DXA458769:DXK458769 EGW458769:EHG458769 EQS458769:ERC458769 FAO458769:FAY458769 FKK458769:FKU458769 FUG458769:FUQ458769 GEC458769:GEM458769 GNY458769:GOI458769 GXU458769:GYE458769 HHQ458769:HIA458769 HRM458769:HRW458769 IBI458769:IBS458769 ILE458769:ILO458769 IVA458769:IVK458769 JEW458769:JFG458769 JOS458769:JPC458769 JYO458769:JYY458769 KIK458769:KIU458769 KSG458769:KSQ458769 LCC458769:LCM458769 LLY458769:LMI458769 LVU458769:LWE458769 MFQ458769:MGA458769 MPM458769:MPW458769 MZI458769:MZS458769 NJE458769:NJO458769 NTA458769:NTK458769 OCW458769:ODG458769 OMS458769:ONC458769 OWO458769:OWY458769 PGK458769:PGU458769 PQG458769:PQQ458769 QAC458769:QAM458769 QJY458769:QKI458769 QTU458769:QUE458769 RDQ458769:REA458769 RNM458769:RNW458769 RXI458769:RXS458769 SHE458769:SHO458769 SRA458769:SRK458769 TAW458769:TBG458769 TKS458769:TLC458769 TUO458769:TUY458769 UEK458769:UEU458769 UOG458769:UOQ458769 UYC458769:UYM458769 VHY458769:VII458769 VRU458769:VSE458769 WBQ458769:WCA458769 WLM458769:WLW458769 WVI458769:WVS458769 F524305:P524305 IW524305:JG524305 SS524305:TC524305 ACO524305:ACY524305 AMK524305:AMU524305 AWG524305:AWQ524305 BGC524305:BGM524305 BPY524305:BQI524305 BZU524305:CAE524305 CJQ524305:CKA524305 CTM524305:CTW524305 DDI524305:DDS524305 DNE524305:DNO524305 DXA524305:DXK524305 EGW524305:EHG524305 EQS524305:ERC524305 FAO524305:FAY524305 FKK524305:FKU524305 FUG524305:FUQ524305 GEC524305:GEM524305 GNY524305:GOI524305 GXU524305:GYE524305 HHQ524305:HIA524305 HRM524305:HRW524305 IBI524305:IBS524305 ILE524305:ILO524305 IVA524305:IVK524305 JEW524305:JFG524305 JOS524305:JPC524305 JYO524305:JYY524305 KIK524305:KIU524305 KSG524305:KSQ524305 LCC524305:LCM524305 LLY524305:LMI524305 LVU524305:LWE524305 MFQ524305:MGA524305 MPM524305:MPW524305 MZI524305:MZS524305 NJE524305:NJO524305 NTA524305:NTK524305 OCW524305:ODG524305 OMS524305:ONC524305 OWO524305:OWY524305 PGK524305:PGU524305 PQG524305:PQQ524305 QAC524305:QAM524305 QJY524305:QKI524305 QTU524305:QUE524305 RDQ524305:REA524305 RNM524305:RNW524305 RXI524305:RXS524305 SHE524305:SHO524305 SRA524305:SRK524305 TAW524305:TBG524305 TKS524305:TLC524305 TUO524305:TUY524305 UEK524305:UEU524305 UOG524305:UOQ524305 UYC524305:UYM524305 VHY524305:VII524305 VRU524305:VSE524305 WBQ524305:WCA524305 WLM524305:WLW524305 WVI524305:WVS524305 F589841:P589841 IW589841:JG589841 SS589841:TC589841 ACO589841:ACY589841 AMK589841:AMU589841 AWG589841:AWQ589841 BGC589841:BGM589841 BPY589841:BQI589841 BZU589841:CAE589841 CJQ589841:CKA589841 CTM589841:CTW589841 DDI589841:DDS589841 DNE589841:DNO589841 DXA589841:DXK589841 EGW589841:EHG589841 EQS589841:ERC589841 FAO589841:FAY589841 FKK589841:FKU589841 FUG589841:FUQ589841 GEC589841:GEM589841 GNY589841:GOI589841 GXU589841:GYE589841 HHQ589841:HIA589841 HRM589841:HRW589841 IBI589841:IBS589841 ILE589841:ILO589841 IVA589841:IVK589841 JEW589841:JFG589841 JOS589841:JPC589841 JYO589841:JYY589841 KIK589841:KIU589841 KSG589841:KSQ589841 LCC589841:LCM589841 LLY589841:LMI589841 LVU589841:LWE589841 MFQ589841:MGA589841 MPM589841:MPW589841 MZI589841:MZS589841 NJE589841:NJO589841 NTA589841:NTK589841 OCW589841:ODG589841 OMS589841:ONC589841 OWO589841:OWY589841 PGK589841:PGU589841 PQG589841:PQQ589841 QAC589841:QAM589841 QJY589841:QKI589841 QTU589841:QUE589841 RDQ589841:REA589841 RNM589841:RNW589841 RXI589841:RXS589841 SHE589841:SHO589841 SRA589841:SRK589841 TAW589841:TBG589841 TKS589841:TLC589841 TUO589841:TUY589841 UEK589841:UEU589841 UOG589841:UOQ589841 UYC589841:UYM589841 VHY589841:VII589841 VRU589841:VSE589841 WBQ589841:WCA589841 WLM589841:WLW589841 WVI589841:WVS589841 F655377:P655377 IW655377:JG655377 SS655377:TC655377 ACO655377:ACY655377 AMK655377:AMU655377 AWG655377:AWQ655377 BGC655377:BGM655377 BPY655377:BQI655377 BZU655377:CAE655377 CJQ655377:CKA655377 CTM655377:CTW655377 DDI655377:DDS655377 DNE655377:DNO655377 DXA655377:DXK655377 EGW655377:EHG655377 EQS655377:ERC655377 FAO655377:FAY655377 FKK655377:FKU655377 FUG655377:FUQ655377 GEC655377:GEM655377 GNY655377:GOI655377 GXU655377:GYE655377 HHQ655377:HIA655377 HRM655377:HRW655377 IBI655377:IBS655377 ILE655377:ILO655377 IVA655377:IVK655377 JEW655377:JFG655377 JOS655377:JPC655377 JYO655377:JYY655377 KIK655377:KIU655377 KSG655377:KSQ655377 LCC655377:LCM655377 LLY655377:LMI655377 LVU655377:LWE655377 MFQ655377:MGA655377 MPM655377:MPW655377 MZI655377:MZS655377 NJE655377:NJO655377 NTA655377:NTK655377 OCW655377:ODG655377 OMS655377:ONC655377 OWO655377:OWY655377 PGK655377:PGU655377 PQG655377:PQQ655377 QAC655377:QAM655377 QJY655377:QKI655377 QTU655377:QUE655377 RDQ655377:REA655377 RNM655377:RNW655377 RXI655377:RXS655377 SHE655377:SHO655377 SRA655377:SRK655377 TAW655377:TBG655377 TKS655377:TLC655377 TUO655377:TUY655377 UEK655377:UEU655377 UOG655377:UOQ655377 UYC655377:UYM655377 VHY655377:VII655377 VRU655377:VSE655377 WBQ655377:WCA655377 WLM655377:WLW655377 WVI655377:WVS655377 F720913:P720913 IW720913:JG720913 SS720913:TC720913 ACO720913:ACY720913 AMK720913:AMU720913 AWG720913:AWQ720913 BGC720913:BGM720913 BPY720913:BQI720913 BZU720913:CAE720913 CJQ720913:CKA720913 CTM720913:CTW720913 DDI720913:DDS720913 DNE720913:DNO720913 DXA720913:DXK720913 EGW720913:EHG720913 EQS720913:ERC720913 FAO720913:FAY720913 FKK720913:FKU720913 FUG720913:FUQ720913 GEC720913:GEM720913 GNY720913:GOI720913 GXU720913:GYE720913 HHQ720913:HIA720913 HRM720913:HRW720913 IBI720913:IBS720913 ILE720913:ILO720913 IVA720913:IVK720913 JEW720913:JFG720913 JOS720913:JPC720913 JYO720913:JYY720913 KIK720913:KIU720913 KSG720913:KSQ720913 LCC720913:LCM720913 LLY720913:LMI720913 LVU720913:LWE720913 MFQ720913:MGA720913 MPM720913:MPW720913 MZI720913:MZS720913 NJE720913:NJO720913 NTA720913:NTK720913 OCW720913:ODG720913 OMS720913:ONC720913 OWO720913:OWY720913 PGK720913:PGU720913 PQG720913:PQQ720913 QAC720913:QAM720913 QJY720913:QKI720913 QTU720913:QUE720913 RDQ720913:REA720913 RNM720913:RNW720913 RXI720913:RXS720913 SHE720913:SHO720913 SRA720913:SRK720913 TAW720913:TBG720913 TKS720913:TLC720913 TUO720913:TUY720913 UEK720913:UEU720913 UOG720913:UOQ720913 UYC720913:UYM720913 VHY720913:VII720913 VRU720913:VSE720913 WBQ720913:WCA720913 WLM720913:WLW720913 WVI720913:WVS720913 F786449:P786449 IW786449:JG786449 SS786449:TC786449 ACO786449:ACY786449 AMK786449:AMU786449 AWG786449:AWQ786449 BGC786449:BGM786449 BPY786449:BQI786449 BZU786449:CAE786449 CJQ786449:CKA786449 CTM786449:CTW786449 DDI786449:DDS786449 DNE786449:DNO786449 DXA786449:DXK786449 EGW786449:EHG786449 EQS786449:ERC786449 FAO786449:FAY786449 FKK786449:FKU786449 FUG786449:FUQ786449 GEC786449:GEM786449 GNY786449:GOI786449 GXU786449:GYE786449 HHQ786449:HIA786449 HRM786449:HRW786449 IBI786449:IBS786449 ILE786449:ILO786449 IVA786449:IVK786449 JEW786449:JFG786449 JOS786449:JPC786449 JYO786449:JYY786449 KIK786449:KIU786449 KSG786449:KSQ786449 LCC786449:LCM786449 LLY786449:LMI786449 LVU786449:LWE786449 MFQ786449:MGA786449 MPM786449:MPW786449 MZI786449:MZS786449 NJE786449:NJO786449 NTA786449:NTK786449 OCW786449:ODG786449 OMS786449:ONC786449 OWO786449:OWY786449 PGK786449:PGU786449 PQG786449:PQQ786449 QAC786449:QAM786449 QJY786449:QKI786449 QTU786449:QUE786449 RDQ786449:REA786449 RNM786449:RNW786449 RXI786449:RXS786449 SHE786449:SHO786449 SRA786449:SRK786449 TAW786449:TBG786449 TKS786449:TLC786449 TUO786449:TUY786449 UEK786449:UEU786449 UOG786449:UOQ786449 UYC786449:UYM786449 VHY786449:VII786449 VRU786449:VSE786449 WBQ786449:WCA786449 WLM786449:WLW786449 WVI786449:WVS786449 F851985:P851985 IW851985:JG851985 SS851985:TC851985 ACO851985:ACY851985 AMK851985:AMU851985 AWG851985:AWQ851985 BGC851985:BGM851985 BPY851985:BQI851985 BZU851985:CAE851985 CJQ851985:CKA851985 CTM851985:CTW851985 DDI851985:DDS851985 DNE851985:DNO851985 DXA851985:DXK851985 EGW851985:EHG851985 EQS851985:ERC851985 FAO851985:FAY851985 FKK851985:FKU851985 FUG851985:FUQ851985 GEC851985:GEM851985 GNY851985:GOI851985 GXU851985:GYE851985 HHQ851985:HIA851985 HRM851985:HRW851985 IBI851985:IBS851985 ILE851985:ILO851985 IVA851985:IVK851985 JEW851985:JFG851985 JOS851985:JPC851985 JYO851985:JYY851985 KIK851985:KIU851985 KSG851985:KSQ851985 LCC851985:LCM851985 LLY851985:LMI851985 LVU851985:LWE851985 MFQ851985:MGA851985 MPM851985:MPW851985 MZI851985:MZS851985 NJE851985:NJO851985 NTA851985:NTK851985 OCW851985:ODG851985 OMS851985:ONC851985 OWO851985:OWY851985 PGK851985:PGU851985 PQG851985:PQQ851985 QAC851985:QAM851985 QJY851985:QKI851985 QTU851985:QUE851985 RDQ851985:REA851985 RNM851985:RNW851985 RXI851985:RXS851985 SHE851985:SHO851985 SRA851985:SRK851985 TAW851985:TBG851985 TKS851985:TLC851985 TUO851985:TUY851985 UEK851985:UEU851985 UOG851985:UOQ851985 UYC851985:UYM851985 VHY851985:VII851985 VRU851985:VSE851985 WBQ851985:WCA851985 WLM851985:WLW851985 WVI851985:WVS851985 F917521:P917521 IW917521:JG917521 SS917521:TC917521 ACO917521:ACY917521 AMK917521:AMU917521 AWG917521:AWQ917521 BGC917521:BGM917521 BPY917521:BQI917521 BZU917521:CAE917521 CJQ917521:CKA917521 CTM917521:CTW917521 DDI917521:DDS917521 DNE917521:DNO917521 DXA917521:DXK917521 EGW917521:EHG917521 EQS917521:ERC917521 FAO917521:FAY917521 FKK917521:FKU917521 FUG917521:FUQ917521 GEC917521:GEM917521 GNY917521:GOI917521 GXU917521:GYE917521 HHQ917521:HIA917521 HRM917521:HRW917521 IBI917521:IBS917521 ILE917521:ILO917521 IVA917521:IVK917521 JEW917521:JFG917521 JOS917521:JPC917521 JYO917521:JYY917521 KIK917521:KIU917521 KSG917521:KSQ917521 LCC917521:LCM917521 LLY917521:LMI917521 LVU917521:LWE917521 MFQ917521:MGA917521 MPM917521:MPW917521 MZI917521:MZS917521 NJE917521:NJO917521 NTA917521:NTK917521 OCW917521:ODG917521 OMS917521:ONC917521 OWO917521:OWY917521 PGK917521:PGU917521 PQG917521:PQQ917521 QAC917521:QAM917521 QJY917521:QKI917521 QTU917521:QUE917521 RDQ917521:REA917521 RNM917521:RNW917521 RXI917521:RXS917521 SHE917521:SHO917521 SRA917521:SRK917521 TAW917521:TBG917521 TKS917521:TLC917521 TUO917521:TUY917521 UEK917521:UEU917521 UOG917521:UOQ917521 UYC917521:UYM917521 VHY917521:VII917521 VRU917521:VSE917521 WBQ917521:WCA917521 WLM917521:WLW917521 WVI917521:WVS917521 F983057:P983057 IW983057:JG983057 SS983057:TC983057 ACO983057:ACY983057 AMK983057:AMU983057 AWG983057:AWQ983057 BGC983057:BGM983057 BPY983057:BQI983057 BZU983057:CAE983057 CJQ983057:CKA983057 CTM983057:CTW983057 DDI983057:DDS983057 DNE983057:DNO983057 DXA983057:DXK983057 EGW983057:EHG983057 EQS983057:ERC983057 FAO983057:FAY983057 FKK983057:FKU983057 FUG983057:FUQ983057 GEC983057:GEM983057 GNY983057:GOI983057 GXU983057:GYE983057 HHQ983057:HIA983057 HRM983057:HRW983057 IBI983057:IBS983057 ILE983057:ILO983057 IVA983057:IVK983057 JEW983057:JFG983057 JOS983057:JPC983057 JYO983057:JYY983057 KIK983057:KIU983057 KSG983057:KSQ983057 LCC983057:LCM983057 LLY983057:LMI983057 LVU983057:LWE983057 MFQ983057:MGA983057 MPM983057:MPW983057 MZI983057:MZS983057 NJE983057:NJO983057 NTA983057:NTK983057 OCW983057:ODG983057 OMS983057:ONC983057 OWO983057:OWY983057 PGK983057:PGU983057 PQG983057:PQQ983057 QAC983057:QAM983057 QJY983057:QKI983057 QTU983057:QUE983057 RDQ983057:REA983057 RNM983057:RNW983057 RXI983057:RXS983057 SHE983057:SHO983057 SRA983057:SRK983057 TAW983057:TBG983057 TKS983057:TLC983057 TUO983057:TUY983057 UEK983057:UEU983057 UOG983057:UOQ983057 UYC983057:UYM983057 VHY983057:VII983057 VRU983057:VSE983057 WBQ983057:WCA983057 WLM983057:WLW983057 WVI983057:WVS983057" xr:uid="{00000000-0002-0000-0600-000007000000}">
      <formula1>"シーケンシャル,固定長ラインシーケンシャル,可変長ラインシーケンシャル,CSV"</formula1>
    </dataValidation>
    <dataValidation type="list" allowBlank="1" showInputMessage="1" showErrorMessage="1" sqref="V6:W6 JQ6:JR6 TM6:TN6 ADI6:ADJ6 ANE6:ANF6 AXA6:AXB6 BGW6:BGX6 BQS6:BQT6 CAO6:CAP6 CKK6:CKL6 CUG6:CUH6 DEC6:DED6 DNY6:DNZ6 DXU6:DXV6 EHQ6:EHR6 ERM6:ERN6 FBI6:FBJ6 FLE6:FLF6 FVA6:FVB6 GEW6:GEX6 GOS6:GOT6 GYO6:GYP6 HIK6:HIL6 HSG6:HSH6 ICC6:ICD6 ILY6:ILZ6 IVU6:IVV6 JFQ6:JFR6 JPM6:JPN6 JZI6:JZJ6 KJE6:KJF6 KTA6:KTB6 LCW6:LCX6 LMS6:LMT6 LWO6:LWP6 MGK6:MGL6 MQG6:MQH6 NAC6:NAD6 NJY6:NJZ6 NTU6:NTV6 ODQ6:ODR6 ONM6:ONN6 OXI6:OXJ6 PHE6:PHF6 PRA6:PRB6 QAW6:QAX6 QKS6:QKT6 QUO6:QUP6 REK6:REL6 ROG6:ROH6 RYC6:RYD6 SHY6:SHZ6 SRU6:SRV6 TBQ6:TBR6 TLM6:TLN6 TVI6:TVJ6 UFE6:UFF6 UPA6:UPB6 UYW6:UYX6 VIS6:VIT6 VSO6:VSP6 WCK6:WCL6 WMG6:WMH6 WWC6:WWD6 U65554:V65554 JL65554:JM65554 TH65554:TI65554 ADD65554:ADE65554 AMZ65554:ANA65554 AWV65554:AWW65554 BGR65554:BGS65554 BQN65554:BQO65554 CAJ65554:CAK65554 CKF65554:CKG65554 CUB65554:CUC65554 DDX65554:DDY65554 DNT65554:DNU65554 DXP65554:DXQ65554 EHL65554:EHM65554 ERH65554:ERI65554 FBD65554:FBE65554 FKZ65554:FLA65554 FUV65554:FUW65554 GER65554:GES65554 GON65554:GOO65554 GYJ65554:GYK65554 HIF65554:HIG65554 HSB65554:HSC65554 IBX65554:IBY65554 ILT65554:ILU65554 IVP65554:IVQ65554 JFL65554:JFM65554 JPH65554:JPI65554 JZD65554:JZE65554 KIZ65554:KJA65554 KSV65554:KSW65554 LCR65554:LCS65554 LMN65554:LMO65554 LWJ65554:LWK65554 MGF65554:MGG65554 MQB65554:MQC65554 MZX65554:MZY65554 NJT65554:NJU65554 NTP65554:NTQ65554 ODL65554:ODM65554 ONH65554:ONI65554 OXD65554:OXE65554 PGZ65554:PHA65554 PQV65554:PQW65554 QAR65554:QAS65554 QKN65554:QKO65554 QUJ65554:QUK65554 REF65554:REG65554 ROB65554:ROC65554 RXX65554:RXY65554 SHT65554:SHU65554 SRP65554:SRQ65554 TBL65554:TBM65554 TLH65554:TLI65554 TVD65554:TVE65554 UEZ65554:UFA65554 UOV65554:UOW65554 UYR65554:UYS65554 VIN65554:VIO65554 VSJ65554:VSK65554 WCF65554:WCG65554 WMB65554:WMC65554 WVX65554:WVY65554 U131090:V131090 JL131090:JM131090 TH131090:TI131090 ADD131090:ADE131090 AMZ131090:ANA131090 AWV131090:AWW131090 BGR131090:BGS131090 BQN131090:BQO131090 CAJ131090:CAK131090 CKF131090:CKG131090 CUB131090:CUC131090 DDX131090:DDY131090 DNT131090:DNU131090 DXP131090:DXQ131090 EHL131090:EHM131090 ERH131090:ERI131090 FBD131090:FBE131090 FKZ131090:FLA131090 FUV131090:FUW131090 GER131090:GES131090 GON131090:GOO131090 GYJ131090:GYK131090 HIF131090:HIG131090 HSB131090:HSC131090 IBX131090:IBY131090 ILT131090:ILU131090 IVP131090:IVQ131090 JFL131090:JFM131090 JPH131090:JPI131090 JZD131090:JZE131090 KIZ131090:KJA131090 KSV131090:KSW131090 LCR131090:LCS131090 LMN131090:LMO131090 LWJ131090:LWK131090 MGF131090:MGG131090 MQB131090:MQC131090 MZX131090:MZY131090 NJT131090:NJU131090 NTP131090:NTQ131090 ODL131090:ODM131090 ONH131090:ONI131090 OXD131090:OXE131090 PGZ131090:PHA131090 PQV131090:PQW131090 QAR131090:QAS131090 QKN131090:QKO131090 QUJ131090:QUK131090 REF131090:REG131090 ROB131090:ROC131090 RXX131090:RXY131090 SHT131090:SHU131090 SRP131090:SRQ131090 TBL131090:TBM131090 TLH131090:TLI131090 TVD131090:TVE131090 UEZ131090:UFA131090 UOV131090:UOW131090 UYR131090:UYS131090 VIN131090:VIO131090 VSJ131090:VSK131090 WCF131090:WCG131090 WMB131090:WMC131090 WVX131090:WVY131090 U196626:V196626 JL196626:JM196626 TH196626:TI196626 ADD196626:ADE196626 AMZ196626:ANA196626 AWV196626:AWW196626 BGR196626:BGS196626 BQN196626:BQO196626 CAJ196626:CAK196626 CKF196626:CKG196626 CUB196626:CUC196626 DDX196626:DDY196626 DNT196626:DNU196626 DXP196626:DXQ196626 EHL196626:EHM196626 ERH196626:ERI196626 FBD196626:FBE196626 FKZ196626:FLA196626 FUV196626:FUW196626 GER196626:GES196626 GON196626:GOO196626 GYJ196626:GYK196626 HIF196626:HIG196626 HSB196626:HSC196626 IBX196626:IBY196626 ILT196626:ILU196626 IVP196626:IVQ196626 JFL196626:JFM196626 JPH196626:JPI196626 JZD196626:JZE196626 KIZ196626:KJA196626 KSV196626:KSW196626 LCR196626:LCS196626 LMN196626:LMO196626 LWJ196626:LWK196626 MGF196626:MGG196626 MQB196626:MQC196626 MZX196626:MZY196626 NJT196626:NJU196626 NTP196626:NTQ196626 ODL196626:ODM196626 ONH196626:ONI196626 OXD196626:OXE196626 PGZ196626:PHA196626 PQV196626:PQW196626 QAR196626:QAS196626 QKN196626:QKO196626 QUJ196626:QUK196626 REF196626:REG196626 ROB196626:ROC196626 RXX196626:RXY196626 SHT196626:SHU196626 SRP196626:SRQ196626 TBL196626:TBM196626 TLH196626:TLI196626 TVD196626:TVE196626 UEZ196626:UFA196626 UOV196626:UOW196626 UYR196626:UYS196626 VIN196626:VIO196626 VSJ196626:VSK196626 WCF196626:WCG196626 WMB196626:WMC196626 WVX196626:WVY196626 U262162:V262162 JL262162:JM262162 TH262162:TI262162 ADD262162:ADE262162 AMZ262162:ANA262162 AWV262162:AWW262162 BGR262162:BGS262162 BQN262162:BQO262162 CAJ262162:CAK262162 CKF262162:CKG262162 CUB262162:CUC262162 DDX262162:DDY262162 DNT262162:DNU262162 DXP262162:DXQ262162 EHL262162:EHM262162 ERH262162:ERI262162 FBD262162:FBE262162 FKZ262162:FLA262162 FUV262162:FUW262162 GER262162:GES262162 GON262162:GOO262162 GYJ262162:GYK262162 HIF262162:HIG262162 HSB262162:HSC262162 IBX262162:IBY262162 ILT262162:ILU262162 IVP262162:IVQ262162 JFL262162:JFM262162 JPH262162:JPI262162 JZD262162:JZE262162 KIZ262162:KJA262162 KSV262162:KSW262162 LCR262162:LCS262162 LMN262162:LMO262162 LWJ262162:LWK262162 MGF262162:MGG262162 MQB262162:MQC262162 MZX262162:MZY262162 NJT262162:NJU262162 NTP262162:NTQ262162 ODL262162:ODM262162 ONH262162:ONI262162 OXD262162:OXE262162 PGZ262162:PHA262162 PQV262162:PQW262162 QAR262162:QAS262162 QKN262162:QKO262162 QUJ262162:QUK262162 REF262162:REG262162 ROB262162:ROC262162 RXX262162:RXY262162 SHT262162:SHU262162 SRP262162:SRQ262162 TBL262162:TBM262162 TLH262162:TLI262162 TVD262162:TVE262162 UEZ262162:UFA262162 UOV262162:UOW262162 UYR262162:UYS262162 VIN262162:VIO262162 VSJ262162:VSK262162 WCF262162:WCG262162 WMB262162:WMC262162 WVX262162:WVY262162 U327698:V327698 JL327698:JM327698 TH327698:TI327698 ADD327698:ADE327698 AMZ327698:ANA327698 AWV327698:AWW327698 BGR327698:BGS327698 BQN327698:BQO327698 CAJ327698:CAK327698 CKF327698:CKG327698 CUB327698:CUC327698 DDX327698:DDY327698 DNT327698:DNU327698 DXP327698:DXQ327698 EHL327698:EHM327698 ERH327698:ERI327698 FBD327698:FBE327698 FKZ327698:FLA327698 FUV327698:FUW327698 GER327698:GES327698 GON327698:GOO327698 GYJ327698:GYK327698 HIF327698:HIG327698 HSB327698:HSC327698 IBX327698:IBY327698 ILT327698:ILU327698 IVP327698:IVQ327698 JFL327698:JFM327698 JPH327698:JPI327698 JZD327698:JZE327698 KIZ327698:KJA327698 KSV327698:KSW327698 LCR327698:LCS327698 LMN327698:LMO327698 LWJ327698:LWK327698 MGF327698:MGG327698 MQB327698:MQC327698 MZX327698:MZY327698 NJT327698:NJU327698 NTP327698:NTQ327698 ODL327698:ODM327698 ONH327698:ONI327698 OXD327698:OXE327698 PGZ327698:PHA327698 PQV327698:PQW327698 QAR327698:QAS327698 QKN327698:QKO327698 QUJ327698:QUK327698 REF327698:REG327698 ROB327698:ROC327698 RXX327698:RXY327698 SHT327698:SHU327698 SRP327698:SRQ327698 TBL327698:TBM327698 TLH327698:TLI327698 TVD327698:TVE327698 UEZ327698:UFA327698 UOV327698:UOW327698 UYR327698:UYS327698 VIN327698:VIO327698 VSJ327698:VSK327698 WCF327698:WCG327698 WMB327698:WMC327698 WVX327698:WVY327698 U393234:V393234 JL393234:JM393234 TH393234:TI393234 ADD393234:ADE393234 AMZ393234:ANA393234 AWV393234:AWW393234 BGR393234:BGS393234 BQN393234:BQO393234 CAJ393234:CAK393234 CKF393234:CKG393234 CUB393234:CUC393234 DDX393234:DDY393234 DNT393234:DNU393234 DXP393234:DXQ393234 EHL393234:EHM393234 ERH393234:ERI393234 FBD393234:FBE393234 FKZ393234:FLA393234 FUV393234:FUW393234 GER393234:GES393234 GON393234:GOO393234 GYJ393234:GYK393234 HIF393234:HIG393234 HSB393234:HSC393234 IBX393234:IBY393234 ILT393234:ILU393234 IVP393234:IVQ393234 JFL393234:JFM393234 JPH393234:JPI393234 JZD393234:JZE393234 KIZ393234:KJA393234 KSV393234:KSW393234 LCR393234:LCS393234 LMN393234:LMO393234 LWJ393234:LWK393234 MGF393234:MGG393234 MQB393234:MQC393234 MZX393234:MZY393234 NJT393234:NJU393234 NTP393234:NTQ393234 ODL393234:ODM393234 ONH393234:ONI393234 OXD393234:OXE393234 PGZ393234:PHA393234 PQV393234:PQW393234 QAR393234:QAS393234 QKN393234:QKO393234 QUJ393234:QUK393234 REF393234:REG393234 ROB393234:ROC393234 RXX393234:RXY393234 SHT393234:SHU393234 SRP393234:SRQ393234 TBL393234:TBM393234 TLH393234:TLI393234 TVD393234:TVE393234 UEZ393234:UFA393234 UOV393234:UOW393234 UYR393234:UYS393234 VIN393234:VIO393234 VSJ393234:VSK393234 WCF393234:WCG393234 WMB393234:WMC393234 WVX393234:WVY393234 U458770:V458770 JL458770:JM458770 TH458770:TI458770 ADD458770:ADE458770 AMZ458770:ANA458770 AWV458770:AWW458770 BGR458770:BGS458770 BQN458770:BQO458770 CAJ458770:CAK458770 CKF458770:CKG458770 CUB458770:CUC458770 DDX458770:DDY458770 DNT458770:DNU458770 DXP458770:DXQ458770 EHL458770:EHM458770 ERH458770:ERI458770 FBD458770:FBE458770 FKZ458770:FLA458770 FUV458770:FUW458770 GER458770:GES458770 GON458770:GOO458770 GYJ458770:GYK458770 HIF458770:HIG458770 HSB458770:HSC458770 IBX458770:IBY458770 ILT458770:ILU458770 IVP458770:IVQ458770 JFL458770:JFM458770 JPH458770:JPI458770 JZD458770:JZE458770 KIZ458770:KJA458770 KSV458770:KSW458770 LCR458770:LCS458770 LMN458770:LMO458770 LWJ458770:LWK458770 MGF458770:MGG458770 MQB458770:MQC458770 MZX458770:MZY458770 NJT458770:NJU458770 NTP458770:NTQ458770 ODL458770:ODM458770 ONH458770:ONI458770 OXD458770:OXE458770 PGZ458770:PHA458770 PQV458770:PQW458770 QAR458770:QAS458770 QKN458770:QKO458770 QUJ458770:QUK458770 REF458770:REG458770 ROB458770:ROC458770 RXX458770:RXY458770 SHT458770:SHU458770 SRP458770:SRQ458770 TBL458770:TBM458770 TLH458770:TLI458770 TVD458770:TVE458770 UEZ458770:UFA458770 UOV458770:UOW458770 UYR458770:UYS458770 VIN458770:VIO458770 VSJ458770:VSK458770 WCF458770:WCG458770 WMB458770:WMC458770 WVX458770:WVY458770 U524306:V524306 JL524306:JM524306 TH524306:TI524306 ADD524306:ADE524306 AMZ524306:ANA524306 AWV524306:AWW524306 BGR524306:BGS524306 BQN524306:BQO524306 CAJ524306:CAK524306 CKF524306:CKG524306 CUB524306:CUC524306 DDX524306:DDY524306 DNT524306:DNU524306 DXP524306:DXQ524306 EHL524306:EHM524306 ERH524306:ERI524306 FBD524306:FBE524306 FKZ524306:FLA524306 FUV524306:FUW524306 GER524306:GES524306 GON524306:GOO524306 GYJ524306:GYK524306 HIF524306:HIG524306 HSB524306:HSC524306 IBX524306:IBY524306 ILT524306:ILU524306 IVP524306:IVQ524306 JFL524306:JFM524306 JPH524306:JPI524306 JZD524306:JZE524306 KIZ524306:KJA524306 KSV524306:KSW524306 LCR524306:LCS524306 LMN524306:LMO524306 LWJ524306:LWK524306 MGF524306:MGG524306 MQB524306:MQC524306 MZX524306:MZY524306 NJT524306:NJU524306 NTP524306:NTQ524306 ODL524306:ODM524306 ONH524306:ONI524306 OXD524306:OXE524306 PGZ524306:PHA524306 PQV524306:PQW524306 QAR524306:QAS524306 QKN524306:QKO524306 QUJ524306:QUK524306 REF524306:REG524306 ROB524306:ROC524306 RXX524306:RXY524306 SHT524306:SHU524306 SRP524306:SRQ524306 TBL524306:TBM524306 TLH524306:TLI524306 TVD524306:TVE524306 UEZ524306:UFA524306 UOV524306:UOW524306 UYR524306:UYS524306 VIN524306:VIO524306 VSJ524306:VSK524306 WCF524306:WCG524306 WMB524306:WMC524306 WVX524306:WVY524306 U589842:V589842 JL589842:JM589842 TH589842:TI589842 ADD589842:ADE589842 AMZ589842:ANA589842 AWV589842:AWW589842 BGR589842:BGS589842 BQN589842:BQO589842 CAJ589842:CAK589842 CKF589842:CKG589842 CUB589842:CUC589842 DDX589842:DDY589842 DNT589842:DNU589842 DXP589842:DXQ589842 EHL589842:EHM589842 ERH589842:ERI589842 FBD589842:FBE589842 FKZ589842:FLA589842 FUV589842:FUW589842 GER589842:GES589842 GON589842:GOO589842 GYJ589842:GYK589842 HIF589842:HIG589842 HSB589842:HSC589842 IBX589842:IBY589842 ILT589842:ILU589842 IVP589842:IVQ589842 JFL589842:JFM589842 JPH589842:JPI589842 JZD589842:JZE589842 KIZ589842:KJA589842 KSV589842:KSW589842 LCR589842:LCS589842 LMN589842:LMO589842 LWJ589842:LWK589842 MGF589842:MGG589842 MQB589842:MQC589842 MZX589842:MZY589842 NJT589842:NJU589842 NTP589842:NTQ589842 ODL589842:ODM589842 ONH589842:ONI589842 OXD589842:OXE589842 PGZ589842:PHA589842 PQV589842:PQW589842 QAR589842:QAS589842 QKN589842:QKO589842 QUJ589842:QUK589842 REF589842:REG589842 ROB589842:ROC589842 RXX589842:RXY589842 SHT589842:SHU589842 SRP589842:SRQ589842 TBL589842:TBM589842 TLH589842:TLI589842 TVD589842:TVE589842 UEZ589842:UFA589842 UOV589842:UOW589842 UYR589842:UYS589842 VIN589842:VIO589842 VSJ589842:VSK589842 WCF589842:WCG589842 WMB589842:WMC589842 WVX589842:WVY589842 U655378:V655378 JL655378:JM655378 TH655378:TI655378 ADD655378:ADE655378 AMZ655378:ANA655378 AWV655378:AWW655378 BGR655378:BGS655378 BQN655378:BQO655378 CAJ655378:CAK655378 CKF655378:CKG655378 CUB655378:CUC655378 DDX655378:DDY655378 DNT655378:DNU655378 DXP655378:DXQ655378 EHL655378:EHM655378 ERH655378:ERI655378 FBD655378:FBE655378 FKZ655378:FLA655378 FUV655378:FUW655378 GER655378:GES655378 GON655378:GOO655378 GYJ655378:GYK655378 HIF655378:HIG655378 HSB655378:HSC655378 IBX655378:IBY655378 ILT655378:ILU655378 IVP655378:IVQ655378 JFL655378:JFM655378 JPH655378:JPI655378 JZD655378:JZE655378 KIZ655378:KJA655378 KSV655378:KSW655378 LCR655378:LCS655378 LMN655378:LMO655378 LWJ655378:LWK655378 MGF655378:MGG655378 MQB655378:MQC655378 MZX655378:MZY655378 NJT655378:NJU655378 NTP655378:NTQ655378 ODL655378:ODM655378 ONH655378:ONI655378 OXD655378:OXE655378 PGZ655378:PHA655378 PQV655378:PQW655378 QAR655378:QAS655378 QKN655378:QKO655378 QUJ655378:QUK655378 REF655378:REG655378 ROB655378:ROC655378 RXX655378:RXY655378 SHT655378:SHU655378 SRP655378:SRQ655378 TBL655378:TBM655378 TLH655378:TLI655378 TVD655378:TVE655378 UEZ655378:UFA655378 UOV655378:UOW655378 UYR655378:UYS655378 VIN655378:VIO655378 VSJ655378:VSK655378 WCF655378:WCG655378 WMB655378:WMC655378 WVX655378:WVY655378 U720914:V720914 JL720914:JM720914 TH720914:TI720914 ADD720914:ADE720914 AMZ720914:ANA720914 AWV720914:AWW720914 BGR720914:BGS720914 BQN720914:BQO720914 CAJ720914:CAK720914 CKF720914:CKG720914 CUB720914:CUC720914 DDX720914:DDY720914 DNT720914:DNU720914 DXP720914:DXQ720914 EHL720914:EHM720914 ERH720914:ERI720914 FBD720914:FBE720914 FKZ720914:FLA720914 FUV720914:FUW720914 GER720914:GES720914 GON720914:GOO720914 GYJ720914:GYK720914 HIF720914:HIG720914 HSB720914:HSC720914 IBX720914:IBY720914 ILT720914:ILU720914 IVP720914:IVQ720914 JFL720914:JFM720914 JPH720914:JPI720914 JZD720914:JZE720914 KIZ720914:KJA720914 KSV720914:KSW720914 LCR720914:LCS720914 LMN720914:LMO720914 LWJ720914:LWK720914 MGF720914:MGG720914 MQB720914:MQC720914 MZX720914:MZY720914 NJT720914:NJU720914 NTP720914:NTQ720914 ODL720914:ODM720914 ONH720914:ONI720914 OXD720914:OXE720914 PGZ720914:PHA720914 PQV720914:PQW720914 QAR720914:QAS720914 QKN720914:QKO720914 QUJ720914:QUK720914 REF720914:REG720914 ROB720914:ROC720914 RXX720914:RXY720914 SHT720914:SHU720914 SRP720914:SRQ720914 TBL720914:TBM720914 TLH720914:TLI720914 TVD720914:TVE720914 UEZ720914:UFA720914 UOV720914:UOW720914 UYR720914:UYS720914 VIN720914:VIO720914 VSJ720914:VSK720914 WCF720914:WCG720914 WMB720914:WMC720914 WVX720914:WVY720914 U786450:V786450 JL786450:JM786450 TH786450:TI786450 ADD786450:ADE786450 AMZ786450:ANA786450 AWV786450:AWW786450 BGR786450:BGS786450 BQN786450:BQO786450 CAJ786450:CAK786450 CKF786450:CKG786450 CUB786450:CUC786450 DDX786450:DDY786450 DNT786450:DNU786450 DXP786450:DXQ786450 EHL786450:EHM786450 ERH786450:ERI786450 FBD786450:FBE786450 FKZ786450:FLA786450 FUV786450:FUW786450 GER786450:GES786450 GON786450:GOO786450 GYJ786450:GYK786450 HIF786450:HIG786450 HSB786450:HSC786450 IBX786450:IBY786450 ILT786450:ILU786450 IVP786450:IVQ786450 JFL786450:JFM786450 JPH786450:JPI786450 JZD786450:JZE786450 KIZ786450:KJA786450 KSV786450:KSW786450 LCR786450:LCS786450 LMN786450:LMO786450 LWJ786450:LWK786450 MGF786450:MGG786450 MQB786450:MQC786450 MZX786450:MZY786450 NJT786450:NJU786450 NTP786450:NTQ786450 ODL786450:ODM786450 ONH786450:ONI786450 OXD786450:OXE786450 PGZ786450:PHA786450 PQV786450:PQW786450 QAR786450:QAS786450 QKN786450:QKO786450 QUJ786450:QUK786450 REF786450:REG786450 ROB786450:ROC786450 RXX786450:RXY786450 SHT786450:SHU786450 SRP786450:SRQ786450 TBL786450:TBM786450 TLH786450:TLI786450 TVD786450:TVE786450 UEZ786450:UFA786450 UOV786450:UOW786450 UYR786450:UYS786450 VIN786450:VIO786450 VSJ786450:VSK786450 WCF786450:WCG786450 WMB786450:WMC786450 WVX786450:WVY786450 U851986:V851986 JL851986:JM851986 TH851986:TI851986 ADD851986:ADE851986 AMZ851986:ANA851986 AWV851986:AWW851986 BGR851986:BGS851986 BQN851986:BQO851986 CAJ851986:CAK851986 CKF851986:CKG851986 CUB851986:CUC851986 DDX851986:DDY851986 DNT851986:DNU851986 DXP851986:DXQ851986 EHL851986:EHM851986 ERH851986:ERI851986 FBD851986:FBE851986 FKZ851986:FLA851986 FUV851986:FUW851986 GER851986:GES851986 GON851986:GOO851986 GYJ851986:GYK851986 HIF851986:HIG851986 HSB851986:HSC851986 IBX851986:IBY851986 ILT851986:ILU851986 IVP851986:IVQ851986 JFL851986:JFM851986 JPH851986:JPI851986 JZD851986:JZE851986 KIZ851986:KJA851986 KSV851986:KSW851986 LCR851986:LCS851986 LMN851986:LMO851986 LWJ851986:LWK851986 MGF851986:MGG851986 MQB851986:MQC851986 MZX851986:MZY851986 NJT851986:NJU851986 NTP851986:NTQ851986 ODL851986:ODM851986 ONH851986:ONI851986 OXD851986:OXE851986 PGZ851986:PHA851986 PQV851986:PQW851986 QAR851986:QAS851986 QKN851986:QKO851986 QUJ851986:QUK851986 REF851986:REG851986 ROB851986:ROC851986 RXX851986:RXY851986 SHT851986:SHU851986 SRP851986:SRQ851986 TBL851986:TBM851986 TLH851986:TLI851986 TVD851986:TVE851986 UEZ851986:UFA851986 UOV851986:UOW851986 UYR851986:UYS851986 VIN851986:VIO851986 VSJ851986:VSK851986 WCF851986:WCG851986 WMB851986:WMC851986 WVX851986:WVY851986 U917522:V917522 JL917522:JM917522 TH917522:TI917522 ADD917522:ADE917522 AMZ917522:ANA917522 AWV917522:AWW917522 BGR917522:BGS917522 BQN917522:BQO917522 CAJ917522:CAK917522 CKF917522:CKG917522 CUB917522:CUC917522 DDX917522:DDY917522 DNT917522:DNU917522 DXP917522:DXQ917522 EHL917522:EHM917522 ERH917522:ERI917522 FBD917522:FBE917522 FKZ917522:FLA917522 FUV917522:FUW917522 GER917522:GES917522 GON917522:GOO917522 GYJ917522:GYK917522 HIF917522:HIG917522 HSB917522:HSC917522 IBX917522:IBY917522 ILT917522:ILU917522 IVP917522:IVQ917522 JFL917522:JFM917522 JPH917522:JPI917522 JZD917522:JZE917522 KIZ917522:KJA917522 KSV917522:KSW917522 LCR917522:LCS917522 LMN917522:LMO917522 LWJ917522:LWK917522 MGF917522:MGG917522 MQB917522:MQC917522 MZX917522:MZY917522 NJT917522:NJU917522 NTP917522:NTQ917522 ODL917522:ODM917522 ONH917522:ONI917522 OXD917522:OXE917522 PGZ917522:PHA917522 PQV917522:PQW917522 QAR917522:QAS917522 QKN917522:QKO917522 QUJ917522:QUK917522 REF917522:REG917522 ROB917522:ROC917522 RXX917522:RXY917522 SHT917522:SHU917522 SRP917522:SRQ917522 TBL917522:TBM917522 TLH917522:TLI917522 TVD917522:TVE917522 UEZ917522:UFA917522 UOV917522:UOW917522 UYR917522:UYS917522 VIN917522:VIO917522 VSJ917522:VSK917522 WCF917522:WCG917522 WMB917522:WMC917522 WVX917522:WVY917522 U983058:V983058 JL983058:JM983058 TH983058:TI983058 ADD983058:ADE983058 AMZ983058:ANA983058 AWV983058:AWW983058 BGR983058:BGS983058 BQN983058:BQO983058 CAJ983058:CAK983058 CKF983058:CKG983058 CUB983058:CUC983058 DDX983058:DDY983058 DNT983058:DNU983058 DXP983058:DXQ983058 EHL983058:EHM983058 ERH983058:ERI983058 FBD983058:FBE983058 FKZ983058:FLA983058 FUV983058:FUW983058 GER983058:GES983058 GON983058:GOO983058 GYJ983058:GYK983058 HIF983058:HIG983058 HSB983058:HSC983058 IBX983058:IBY983058 ILT983058:ILU983058 IVP983058:IVQ983058 JFL983058:JFM983058 JPH983058:JPI983058 JZD983058:JZE983058 KIZ983058:KJA983058 KSV983058:KSW983058 LCR983058:LCS983058 LMN983058:LMO983058 LWJ983058:LWK983058 MGF983058:MGG983058 MQB983058:MQC983058 MZX983058:MZY983058 NJT983058:NJU983058 NTP983058:NTQ983058 ODL983058:ODM983058 ONH983058:ONI983058 OXD983058:OXE983058 PGZ983058:PHA983058 PQV983058:PQW983058 QAR983058:QAS983058 QKN983058:QKO983058 QUJ983058:QUK983058 REF983058:REG983058 ROB983058:ROC983058 RXX983058:RXY983058 SHT983058:SHU983058 SRP983058:SRQ983058 TBL983058:TBM983058 TLH983058:TLI983058 TVD983058:TVE983058 UEZ983058:UFA983058 UOV983058:UOW983058 UYR983058:UYS983058 VIN983058:VIO983058 VSJ983058:VSK983058 WCF983058:WCG983058 WMB983058:WMC983058 WVX983058:WVY983058" xr:uid="{00000000-0002-0000-0600-000008000000}">
      <formula1>"CRLF,CR,LF"</formula1>
    </dataValidation>
    <dataValidation type="list" allowBlank="1" showInputMessage="1" showErrorMessage="1" sqref="Y65558:Y65575 JP65558:JP65575 TL65558:TL65575 ADH65558:ADH65575 AND65558:AND65575 AWZ65558:AWZ65575 BGV65558:BGV65575 BQR65558:BQR65575 CAN65558:CAN65575 CKJ65558:CKJ65575 CUF65558:CUF65575 DEB65558:DEB65575 DNX65558:DNX65575 DXT65558:DXT65575 EHP65558:EHP65575 ERL65558:ERL65575 FBH65558:FBH65575 FLD65558:FLD65575 FUZ65558:FUZ65575 GEV65558:GEV65575 GOR65558:GOR65575 GYN65558:GYN65575 HIJ65558:HIJ65575 HSF65558:HSF65575 ICB65558:ICB65575 ILX65558:ILX65575 IVT65558:IVT65575 JFP65558:JFP65575 JPL65558:JPL65575 JZH65558:JZH65575 KJD65558:KJD65575 KSZ65558:KSZ65575 LCV65558:LCV65575 LMR65558:LMR65575 LWN65558:LWN65575 MGJ65558:MGJ65575 MQF65558:MQF65575 NAB65558:NAB65575 NJX65558:NJX65575 NTT65558:NTT65575 ODP65558:ODP65575 ONL65558:ONL65575 OXH65558:OXH65575 PHD65558:PHD65575 PQZ65558:PQZ65575 QAV65558:QAV65575 QKR65558:QKR65575 QUN65558:QUN65575 REJ65558:REJ65575 ROF65558:ROF65575 RYB65558:RYB65575 SHX65558:SHX65575 SRT65558:SRT65575 TBP65558:TBP65575 TLL65558:TLL65575 TVH65558:TVH65575 UFD65558:UFD65575 UOZ65558:UOZ65575 UYV65558:UYV65575 VIR65558:VIR65575 VSN65558:VSN65575 WCJ65558:WCJ65575 WMF65558:WMF65575 WWB65558:WWB65575 Y131094:Y131111 JP131094:JP131111 TL131094:TL131111 ADH131094:ADH131111 AND131094:AND131111 AWZ131094:AWZ131111 BGV131094:BGV131111 BQR131094:BQR131111 CAN131094:CAN131111 CKJ131094:CKJ131111 CUF131094:CUF131111 DEB131094:DEB131111 DNX131094:DNX131111 DXT131094:DXT131111 EHP131094:EHP131111 ERL131094:ERL131111 FBH131094:FBH131111 FLD131094:FLD131111 FUZ131094:FUZ131111 GEV131094:GEV131111 GOR131094:GOR131111 GYN131094:GYN131111 HIJ131094:HIJ131111 HSF131094:HSF131111 ICB131094:ICB131111 ILX131094:ILX131111 IVT131094:IVT131111 JFP131094:JFP131111 JPL131094:JPL131111 JZH131094:JZH131111 KJD131094:KJD131111 KSZ131094:KSZ131111 LCV131094:LCV131111 LMR131094:LMR131111 LWN131094:LWN131111 MGJ131094:MGJ131111 MQF131094:MQF131111 NAB131094:NAB131111 NJX131094:NJX131111 NTT131094:NTT131111 ODP131094:ODP131111 ONL131094:ONL131111 OXH131094:OXH131111 PHD131094:PHD131111 PQZ131094:PQZ131111 QAV131094:QAV131111 QKR131094:QKR131111 QUN131094:QUN131111 REJ131094:REJ131111 ROF131094:ROF131111 RYB131094:RYB131111 SHX131094:SHX131111 SRT131094:SRT131111 TBP131094:TBP131111 TLL131094:TLL131111 TVH131094:TVH131111 UFD131094:UFD131111 UOZ131094:UOZ131111 UYV131094:UYV131111 VIR131094:VIR131111 VSN131094:VSN131111 WCJ131094:WCJ131111 WMF131094:WMF131111 WWB131094:WWB131111 Y196630:Y196647 JP196630:JP196647 TL196630:TL196647 ADH196630:ADH196647 AND196630:AND196647 AWZ196630:AWZ196647 BGV196630:BGV196647 BQR196630:BQR196647 CAN196630:CAN196647 CKJ196630:CKJ196647 CUF196630:CUF196647 DEB196630:DEB196647 DNX196630:DNX196647 DXT196630:DXT196647 EHP196630:EHP196647 ERL196630:ERL196647 FBH196630:FBH196647 FLD196630:FLD196647 FUZ196630:FUZ196647 GEV196630:GEV196647 GOR196630:GOR196647 GYN196630:GYN196647 HIJ196630:HIJ196647 HSF196630:HSF196647 ICB196630:ICB196647 ILX196630:ILX196647 IVT196630:IVT196647 JFP196630:JFP196647 JPL196630:JPL196647 JZH196630:JZH196647 KJD196630:KJD196647 KSZ196630:KSZ196647 LCV196630:LCV196647 LMR196630:LMR196647 LWN196630:LWN196647 MGJ196630:MGJ196647 MQF196630:MQF196647 NAB196630:NAB196647 NJX196630:NJX196647 NTT196630:NTT196647 ODP196630:ODP196647 ONL196630:ONL196647 OXH196630:OXH196647 PHD196630:PHD196647 PQZ196630:PQZ196647 QAV196630:QAV196647 QKR196630:QKR196647 QUN196630:QUN196647 REJ196630:REJ196647 ROF196630:ROF196647 RYB196630:RYB196647 SHX196630:SHX196647 SRT196630:SRT196647 TBP196630:TBP196647 TLL196630:TLL196647 TVH196630:TVH196647 UFD196630:UFD196647 UOZ196630:UOZ196647 UYV196630:UYV196647 VIR196630:VIR196647 VSN196630:VSN196647 WCJ196630:WCJ196647 WMF196630:WMF196647 WWB196630:WWB196647 Y262166:Y262183 JP262166:JP262183 TL262166:TL262183 ADH262166:ADH262183 AND262166:AND262183 AWZ262166:AWZ262183 BGV262166:BGV262183 BQR262166:BQR262183 CAN262166:CAN262183 CKJ262166:CKJ262183 CUF262166:CUF262183 DEB262166:DEB262183 DNX262166:DNX262183 DXT262166:DXT262183 EHP262166:EHP262183 ERL262166:ERL262183 FBH262166:FBH262183 FLD262166:FLD262183 FUZ262166:FUZ262183 GEV262166:GEV262183 GOR262166:GOR262183 GYN262166:GYN262183 HIJ262166:HIJ262183 HSF262166:HSF262183 ICB262166:ICB262183 ILX262166:ILX262183 IVT262166:IVT262183 JFP262166:JFP262183 JPL262166:JPL262183 JZH262166:JZH262183 KJD262166:KJD262183 KSZ262166:KSZ262183 LCV262166:LCV262183 LMR262166:LMR262183 LWN262166:LWN262183 MGJ262166:MGJ262183 MQF262166:MQF262183 NAB262166:NAB262183 NJX262166:NJX262183 NTT262166:NTT262183 ODP262166:ODP262183 ONL262166:ONL262183 OXH262166:OXH262183 PHD262166:PHD262183 PQZ262166:PQZ262183 QAV262166:QAV262183 QKR262166:QKR262183 QUN262166:QUN262183 REJ262166:REJ262183 ROF262166:ROF262183 RYB262166:RYB262183 SHX262166:SHX262183 SRT262166:SRT262183 TBP262166:TBP262183 TLL262166:TLL262183 TVH262166:TVH262183 UFD262166:UFD262183 UOZ262166:UOZ262183 UYV262166:UYV262183 VIR262166:VIR262183 VSN262166:VSN262183 WCJ262166:WCJ262183 WMF262166:WMF262183 WWB262166:WWB262183 Y327702:Y327719 JP327702:JP327719 TL327702:TL327719 ADH327702:ADH327719 AND327702:AND327719 AWZ327702:AWZ327719 BGV327702:BGV327719 BQR327702:BQR327719 CAN327702:CAN327719 CKJ327702:CKJ327719 CUF327702:CUF327719 DEB327702:DEB327719 DNX327702:DNX327719 DXT327702:DXT327719 EHP327702:EHP327719 ERL327702:ERL327719 FBH327702:FBH327719 FLD327702:FLD327719 FUZ327702:FUZ327719 GEV327702:GEV327719 GOR327702:GOR327719 GYN327702:GYN327719 HIJ327702:HIJ327719 HSF327702:HSF327719 ICB327702:ICB327719 ILX327702:ILX327719 IVT327702:IVT327719 JFP327702:JFP327719 JPL327702:JPL327719 JZH327702:JZH327719 KJD327702:KJD327719 KSZ327702:KSZ327719 LCV327702:LCV327719 LMR327702:LMR327719 LWN327702:LWN327719 MGJ327702:MGJ327719 MQF327702:MQF327719 NAB327702:NAB327719 NJX327702:NJX327719 NTT327702:NTT327719 ODP327702:ODP327719 ONL327702:ONL327719 OXH327702:OXH327719 PHD327702:PHD327719 PQZ327702:PQZ327719 QAV327702:QAV327719 QKR327702:QKR327719 QUN327702:QUN327719 REJ327702:REJ327719 ROF327702:ROF327719 RYB327702:RYB327719 SHX327702:SHX327719 SRT327702:SRT327719 TBP327702:TBP327719 TLL327702:TLL327719 TVH327702:TVH327719 UFD327702:UFD327719 UOZ327702:UOZ327719 UYV327702:UYV327719 VIR327702:VIR327719 VSN327702:VSN327719 WCJ327702:WCJ327719 WMF327702:WMF327719 WWB327702:WWB327719 Y393238:Y393255 JP393238:JP393255 TL393238:TL393255 ADH393238:ADH393255 AND393238:AND393255 AWZ393238:AWZ393255 BGV393238:BGV393255 BQR393238:BQR393255 CAN393238:CAN393255 CKJ393238:CKJ393255 CUF393238:CUF393255 DEB393238:DEB393255 DNX393238:DNX393255 DXT393238:DXT393255 EHP393238:EHP393255 ERL393238:ERL393255 FBH393238:FBH393255 FLD393238:FLD393255 FUZ393238:FUZ393255 GEV393238:GEV393255 GOR393238:GOR393255 GYN393238:GYN393255 HIJ393238:HIJ393255 HSF393238:HSF393255 ICB393238:ICB393255 ILX393238:ILX393255 IVT393238:IVT393255 JFP393238:JFP393255 JPL393238:JPL393255 JZH393238:JZH393255 KJD393238:KJD393255 KSZ393238:KSZ393255 LCV393238:LCV393255 LMR393238:LMR393255 LWN393238:LWN393255 MGJ393238:MGJ393255 MQF393238:MQF393255 NAB393238:NAB393255 NJX393238:NJX393255 NTT393238:NTT393255 ODP393238:ODP393255 ONL393238:ONL393255 OXH393238:OXH393255 PHD393238:PHD393255 PQZ393238:PQZ393255 QAV393238:QAV393255 QKR393238:QKR393255 QUN393238:QUN393255 REJ393238:REJ393255 ROF393238:ROF393255 RYB393238:RYB393255 SHX393238:SHX393255 SRT393238:SRT393255 TBP393238:TBP393255 TLL393238:TLL393255 TVH393238:TVH393255 UFD393238:UFD393255 UOZ393238:UOZ393255 UYV393238:UYV393255 VIR393238:VIR393255 VSN393238:VSN393255 WCJ393238:WCJ393255 WMF393238:WMF393255 WWB393238:WWB393255 Y458774:Y458791 JP458774:JP458791 TL458774:TL458791 ADH458774:ADH458791 AND458774:AND458791 AWZ458774:AWZ458791 BGV458774:BGV458791 BQR458774:BQR458791 CAN458774:CAN458791 CKJ458774:CKJ458791 CUF458774:CUF458791 DEB458774:DEB458791 DNX458774:DNX458791 DXT458774:DXT458791 EHP458774:EHP458791 ERL458774:ERL458791 FBH458774:FBH458791 FLD458774:FLD458791 FUZ458774:FUZ458791 GEV458774:GEV458791 GOR458774:GOR458791 GYN458774:GYN458791 HIJ458774:HIJ458791 HSF458774:HSF458791 ICB458774:ICB458791 ILX458774:ILX458791 IVT458774:IVT458791 JFP458774:JFP458791 JPL458774:JPL458791 JZH458774:JZH458791 KJD458774:KJD458791 KSZ458774:KSZ458791 LCV458774:LCV458791 LMR458774:LMR458791 LWN458774:LWN458791 MGJ458774:MGJ458791 MQF458774:MQF458791 NAB458774:NAB458791 NJX458774:NJX458791 NTT458774:NTT458791 ODP458774:ODP458791 ONL458774:ONL458791 OXH458774:OXH458791 PHD458774:PHD458791 PQZ458774:PQZ458791 QAV458774:QAV458791 QKR458774:QKR458791 QUN458774:QUN458791 REJ458774:REJ458791 ROF458774:ROF458791 RYB458774:RYB458791 SHX458774:SHX458791 SRT458774:SRT458791 TBP458774:TBP458791 TLL458774:TLL458791 TVH458774:TVH458791 UFD458774:UFD458791 UOZ458774:UOZ458791 UYV458774:UYV458791 VIR458774:VIR458791 VSN458774:VSN458791 WCJ458774:WCJ458791 WMF458774:WMF458791 WWB458774:WWB458791 Y524310:Y524327 JP524310:JP524327 TL524310:TL524327 ADH524310:ADH524327 AND524310:AND524327 AWZ524310:AWZ524327 BGV524310:BGV524327 BQR524310:BQR524327 CAN524310:CAN524327 CKJ524310:CKJ524327 CUF524310:CUF524327 DEB524310:DEB524327 DNX524310:DNX524327 DXT524310:DXT524327 EHP524310:EHP524327 ERL524310:ERL524327 FBH524310:FBH524327 FLD524310:FLD524327 FUZ524310:FUZ524327 GEV524310:GEV524327 GOR524310:GOR524327 GYN524310:GYN524327 HIJ524310:HIJ524327 HSF524310:HSF524327 ICB524310:ICB524327 ILX524310:ILX524327 IVT524310:IVT524327 JFP524310:JFP524327 JPL524310:JPL524327 JZH524310:JZH524327 KJD524310:KJD524327 KSZ524310:KSZ524327 LCV524310:LCV524327 LMR524310:LMR524327 LWN524310:LWN524327 MGJ524310:MGJ524327 MQF524310:MQF524327 NAB524310:NAB524327 NJX524310:NJX524327 NTT524310:NTT524327 ODP524310:ODP524327 ONL524310:ONL524327 OXH524310:OXH524327 PHD524310:PHD524327 PQZ524310:PQZ524327 QAV524310:QAV524327 QKR524310:QKR524327 QUN524310:QUN524327 REJ524310:REJ524327 ROF524310:ROF524327 RYB524310:RYB524327 SHX524310:SHX524327 SRT524310:SRT524327 TBP524310:TBP524327 TLL524310:TLL524327 TVH524310:TVH524327 UFD524310:UFD524327 UOZ524310:UOZ524327 UYV524310:UYV524327 VIR524310:VIR524327 VSN524310:VSN524327 WCJ524310:WCJ524327 WMF524310:WMF524327 WWB524310:WWB524327 Y589846:Y589863 JP589846:JP589863 TL589846:TL589863 ADH589846:ADH589863 AND589846:AND589863 AWZ589846:AWZ589863 BGV589846:BGV589863 BQR589846:BQR589863 CAN589846:CAN589863 CKJ589846:CKJ589863 CUF589846:CUF589863 DEB589846:DEB589863 DNX589846:DNX589863 DXT589846:DXT589863 EHP589846:EHP589863 ERL589846:ERL589863 FBH589846:FBH589863 FLD589846:FLD589863 FUZ589846:FUZ589863 GEV589846:GEV589863 GOR589846:GOR589863 GYN589846:GYN589863 HIJ589846:HIJ589863 HSF589846:HSF589863 ICB589846:ICB589863 ILX589846:ILX589863 IVT589846:IVT589863 JFP589846:JFP589863 JPL589846:JPL589863 JZH589846:JZH589863 KJD589846:KJD589863 KSZ589846:KSZ589863 LCV589846:LCV589863 LMR589846:LMR589863 LWN589846:LWN589863 MGJ589846:MGJ589863 MQF589846:MQF589863 NAB589846:NAB589863 NJX589846:NJX589863 NTT589846:NTT589863 ODP589846:ODP589863 ONL589846:ONL589863 OXH589846:OXH589863 PHD589846:PHD589863 PQZ589846:PQZ589863 QAV589846:QAV589863 QKR589846:QKR589863 QUN589846:QUN589863 REJ589846:REJ589863 ROF589846:ROF589863 RYB589846:RYB589863 SHX589846:SHX589863 SRT589846:SRT589863 TBP589846:TBP589863 TLL589846:TLL589863 TVH589846:TVH589863 UFD589846:UFD589863 UOZ589846:UOZ589863 UYV589846:UYV589863 VIR589846:VIR589863 VSN589846:VSN589863 WCJ589846:WCJ589863 WMF589846:WMF589863 WWB589846:WWB589863 Y655382:Y655399 JP655382:JP655399 TL655382:TL655399 ADH655382:ADH655399 AND655382:AND655399 AWZ655382:AWZ655399 BGV655382:BGV655399 BQR655382:BQR655399 CAN655382:CAN655399 CKJ655382:CKJ655399 CUF655382:CUF655399 DEB655382:DEB655399 DNX655382:DNX655399 DXT655382:DXT655399 EHP655382:EHP655399 ERL655382:ERL655399 FBH655382:FBH655399 FLD655382:FLD655399 FUZ655382:FUZ655399 GEV655382:GEV655399 GOR655382:GOR655399 GYN655382:GYN655399 HIJ655382:HIJ655399 HSF655382:HSF655399 ICB655382:ICB655399 ILX655382:ILX655399 IVT655382:IVT655399 JFP655382:JFP655399 JPL655382:JPL655399 JZH655382:JZH655399 KJD655382:KJD655399 KSZ655382:KSZ655399 LCV655382:LCV655399 LMR655382:LMR655399 LWN655382:LWN655399 MGJ655382:MGJ655399 MQF655382:MQF655399 NAB655382:NAB655399 NJX655382:NJX655399 NTT655382:NTT655399 ODP655382:ODP655399 ONL655382:ONL655399 OXH655382:OXH655399 PHD655382:PHD655399 PQZ655382:PQZ655399 QAV655382:QAV655399 QKR655382:QKR655399 QUN655382:QUN655399 REJ655382:REJ655399 ROF655382:ROF655399 RYB655382:RYB655399 SHX655382:SHX655399 SRT655382:SRT655399 TBP655382:TBP655399 TLL655382:TLL655399 TVH655382:TVH655399 UFD655382:UFD655399 UOZ655382:UOZ655399 UYV655382:UYV655399 VIR655382:VIR655399 VSN655382:VSN655399 WCJ655382:WCJ655399 WMF655382:WMF655399 WWB655382:WWB655399 Y720918:Y720935 JP720918:JP720935 TL720918:TL720935 ADH720918:ADH720935 AND720918:AND720935 AWZ720918:AWZ720935 BGV720918:BGV720935 BQR720918:BQR720935 CAN720918:CAN720935 CKJ720918:CKJ720935 CUF720918:CUF720935 DEB720918:DEB720935 DNX720918:DNX720935 DXT720918:DXT720935 EHP720918:EHP720935 ERL720918:ERL720935 FBH720918:FBH720935 FLD720918:FLD720935 FUZ720918:FUZ720935 GEV720918:GEV720935 GOR720918:GOR720935 GYN720918:GYN720935 HIJ720918:HIJ720935 HSF720918:HSF720935 ICB720918:ICB720935 ILX720918:ILX720935 IVT720918:IVT720935 JFP720918:JFP720935 JPL720918:JPL720935 JZH720918:JZH720935 KJD720918:KJD720935 KSZ720918:KSZ720935 LCV720918:LCV720935 LMR720918:LMR720935 LWN720918:LWN720935 MGJ720918:MGJ720935 MQF720918:MQF720935 NAB720918:NAB720935 NJX720918:NJX720935 NTT720918:NTT720935 ODP720918:ODP720935 ONL720918:ONL720935 OXH720918:OXH720935 PHD720918:PHD720935 PQZ720918:PQZ720935 QAV720918:QAV720935 QKR720918:QKR720935 QUN720918:QUN720935 REJ720918:REJ720935 ROF720918:ROF720935 RYB720918:RYB720935 SHX720918:SHX720935 SRT720918:SRT720935 TBP720918:TBP720935 TLL720918:TLL720935 TVH720918:TVH720935 UFD720918:UFD720935 UOZ720918:UOZ720935 UYV720918:UYV720935 VIR720918:VIR720935 VSN720918:VSN720935 WCJ720918:WCJ720935 WMF720918:WMF720935 WWB720918:WWB720935 Y786454:Y786471 JP786454:JP786471 TL786454:TL786471 ADH786454:ADH786471 AND786454:AND786471 AWZ786454:AWZ786471 BGV786454:BGV786471 BQR786454:BQR786471 CAN786454:CAN786471 CKJ786454:CKJ786471 CUF786454:CUF786471 DEB786454:DEB786471 DNX786454:DNX786471 DXT786454:DXT786471 EHP786454:EHP786471 ERL786454:ERL786471 FBH786454:FBH786471 FLD786454:FLD786471 FUZ786454:FUZ786471 GEV786454:GEV786471 GOR786454:GOR786471 GYN786454:GYN786471 HIJ786454:HIJ786471 HSF786454:HSF786471 ICB786454:ICB786471 ILX786454:ILX786471 IVT786454:IVT786471 JFP786454:JFP786471 JPL786454:JPL786471 JZH786454:JZH786471 KJD786454:KJD786471 KSZ786454:KSZ786471 LCV786454:LCV786471 LMR786454:LMR786471 LWN786454:LWN786471 MGJ786454:MGJ786471 MQF786454:MQF786471 NAB786454:NAB786471 NJX786454:NJX786471 NTT786454:NTT786471 ODP786454:ODP786471 ONL786454:ONL786471 OXH786454:OXH786471 PHD786454:PHD786471 PQZ786454:PQZ786471 QAV786454:QAV786471 QKR786454:QKR786471 QUN786454:QUN786471 REJ786454:REJ786471 ROF786454:ROF786471 RYB786454:RYB786471 SHX786454:SHX786471 SRT786454:SRT786471 TBP786454:TBP786471 TLL786454:TLL786471 TVH786454:TVH786471 UFD786454:UFD786471 UOZ786454:UOZ786471 UYV786454:UYV786471 VIR786454:VIR786471 VSN786454:VSN786471 WCJ786454:WCJ786471 WMF786454:WMF786471 WWB786454:WWB786471 Y851990:Y852007 JP851990:JP852007 TL851990:TL852007 ADH851990:ADH852007 AND851990:AND852007 AWZ851990:AWZ852007 BGV851990:BGV852007 BQR851990:BQR852007 CAN851990:CAN852007 CKJ851990:CKJ852007 CUF851990:CUF852007 DEB851990:DEB852007 DNX851990:DNX852007 DXT851990:DXT852007 EHP851990:EHP852007 ERL851990:ERL852007 FBH851990:FBH852007 FLD851990:FLD852007 FUZ851990:FUZ852007 GEV851990:GEV852007 GOR851990:GOR852007 GYN851990:GYN852007 HIJ851990:HIJ852007 HSF851990:HSF852007 ICB851990:ICB852007 ILX851990:ILX852007 IVT851990:IVT852007 JFP851990:JFP852007 JPL851990:JPL852007 JZH851990:JZH852007 KJD851990:KJD852007 KSZ851990:KSZ852007 LCV851990:LCV852007 LMR851990:LMR852007 LWN851990:LWN852007 MGJ851990:MGJ852007 MQF851990:MQF852007 NAB851990:NAB852007 NJX851990:NJX852007 NTT851990:NTT852007 ODP851990:ODP852007 ONL851990:ONL852007 OXH851990:OXH852007 PHD851990:PHD852007 PQZ851990:PQZ852007 QAV851990:QAV852007 QKR851990:QKR852007 QUN851990:QUN852007 REJ851990:REJ852007 ROF851990:ROF852007 RYB851990:RYB852007 SHX851990:SHX852007 SRT851990:SRT852007 TBP851990:TBP852007 TLL851990:TLL852007 TVH851990:TVH852007 UFD851990:UFD852007 UOZ851990:UOZ852007 UYV851990:UYV852007 VIR851990:VIR852007 VSN851990:VSN852007 WCJ851990:WCJ852007 WMF851990:WMF852007 WWB851990:WWB852007 Y917526:Y917543 JP917526:JP917543 TL917526:TL917543 ADH917526:ADH917543 AND917526:AND917543 AWZ917526:AWZ917543 BGV917526:BGV917543 BQR917526:BQR917543 CAN917526:CAN917543 CKJ917526:CKJ917543 CUF917526:CUF917543 DEB917526:DEB917543 DNX917526:DNX917543 DXT917526:DXT917543 EHP917526:EHP917543 ERL917526:ERL917543 FBH917526:FBH917543 FLD917526:FLD917543 FUZ917526:FUZ917543 GEV917526:GEV917543 GOR917526:GOR917543 GYN917526:GYN917543 HIJ917526:HIJ917543 HSF917526:HSF917543 ICB917526:ICB917543 ILX917526:ILX917543 IVT917526:IVT917543 JFP917526:JFP917543 JPL917526:JPL917543 JZH917526:JZH917543 KJD917526:KJD917543 KSZ917526:KSZ917543 LCV917526:LCV917543 LMR917526:LMR917543 LWN917526:LWN917543 MGJ917526:MGJ917543 MQF917526:MQF917543 NAB917526:NAB917543 NJX917526:NJX917543 NTT917526:NTT917543 ODP917526:ODP917543 ONL917526:ONL917543 OXH917526:OXH917543 PHD917526:PHD917543 PQZ917526:PQZ917543 QAV917526:QAV917543 QKR917526:QKR917543 QUN917526:QUN917543 REJ917526:REJ917543 ROF917526:ROF917543 RYB917526:RYB917543 SHX917526:SHX917543 SRT917526:SRT917543 TBP917526:TBP917543 TLL917526:TLL917543 TVH917526:TVH917543 UFD917526:UFD917543 UOZ917526:UOZ917543 UYV917526:UYV917543 VIR917526:VIR917543 VSN917526:VSN917543 WCJ917526:WCJ917543 WMF917526:WMF917543 WWB917526:WWB917543 Y983062:Y983079 JP983062:JP983079 TL983062:TL983079 ADH983062:ADH983079 AND983062:AND983079 AWZ983062:AWZ983079 BGV983062:BGV983079 BQR983062:BQR983079 CAN983062:CAN983079 CKJ983062:CKJ983079 CUF983062:CUF983079 DEB983062:DEB983079 DNX983062:DNX983079 DXT983062:DXT983079 EHP983062:EHP983079 ERL983062:ERL983079 FBH983062:FBH983079 FLD983062:FLD983079 FUZ983062:FUZ983079 GEV983062:GEV983079 GOR983062:GOR983079 GYN983062:GYN983079 HIJ983062:HIJ983079 HSF983062:HSF983079 ICB983062:ICB983079 ILX983062:ILX983079 IVT983062:IVT983079 JFP983062:JFP983079 JPL983062:JPL983079 JZH983062:JZH983079 KJD983062:KJD983079 KSZ983062:KSZ983079 LCV983062:LCV983079 LMR983062:LMR983079 LWN983062:LWN983079 MGJ983062:MGJ983079 MQF983062:MQF983079 NAB983062:NAB983079 NJX983062:NJX983079 NTT983062:NTT983079 ODP983062:ODP983079 ONL983062:ONL983079 OXH983062:OXH983079 PHD983062:PHD983079 PQZ983062:PQZ983079 QAV983062:QAV983079 QKR983062:QKR983079 QUN983062:QUN983079 REJ983062:REJ983079 ROF983062:ROF983079 RYB983062:RYB983079 SHX983062:SHX983079 SRT983062:SRT983079 TBP983062:TBP983079 TLL983062:TLL983079 TVH983062:TVH983079 UFD983062:UFD983079 UOZ983062:UOZ983079 UYV983062:UYV983079 VIR983062:VIR983079 VSN983062:VSN983079 WCJ983062:WCJ983079 WMF983062:WMF983079 WWB983062:WWB983079 Z65559:Z65574 JQ65559:JQ65574 TM65559:TM65574 ADI65559:ADI65574 ANE65559:ANE65574 AXA65559:AXA65574 BGW65559:BGW65574 BQS65559:BQS65574 CAO65559:CAO65574 CKK65559:CKK65574 CUG65559:CUG65574 DEC65559:DEC65574 DNY65559:DNY65574 DXU65559:DXU65574 EHQ65559:EHQ65574 ERM65559:ERM65574 FBI65559:FBI65574 FLE65559:FLE65574 FVA65559:FVA65574 GEW65559:GEW65574 GOS65559:GOS65574 GYO65559:GYO65574 HIK65559:HIK65574 HSG65559:HSG65574 ICC65559:ICC65574 ILY65559:ILY65574 IVU65559:IVU65574 JFQ65559:JFQ65574 JPM65559:JPM65574 JZI65559:JZI65574 KJE65559:KJE65574 KTA65559:KTA65574 LCW65559:LCW65574 LMS65559:LMS65574 LWO65559:LWO65574 MGK65559:MGK65574 MQG65559:MQG65574 NAC65559:NAC65574 NJY65559:NJY65574 NTU65559:NTU65574 ODQ65559:ODQ65574 ONM65559:ONM65574 OXI65559:OXI65574 PHE65559:PHE65574 PRA65559:PRA65574 QAW65559:QAW65574 QKS65559:QKS65574 QUO65559:QUO65574 REK65559:REK65574 ROG65559:ROG65574 RYC65559:RYC65574 SHY65559:SHY65574 SRU65559:SRU65574 TBQ65559:TBQ65574 TLM65559:TLM65574 TVI65559:TVI65574 UFE65559:UFE65574 UPA65559:UPA65574 UYW65559:UYW65574 VIS65559:VIS65574 VSO65559:VSO65574 WCK65559:WCK65574 WMG65559:WMG65574 WWC65559:WWC65574 Z131095:Z131110 JQ131095:JQ131110 TM131095:TM131110 ADI131095:ADI131110 ANE131095:ANE131110 AXA131095:AXA131110 BGW131095:BGW131110 BQS131095:BQS131110 CAO131095:CAO131110 CKK131095:CKK131110 CUG131095:CUG131110 DEC131095:DEC131110 DNY131095:DNY131110 DXU131095:DXU131110 EHQ131095:EHQ131110 ERM131095:ERM131110 FBI131095:FBI131110 FLE131095:FLE131110 FVA131095:FVA131110 GEW131095:GEW131110 GOS131095:GOS131110 GYO131095:GYO131110 HIK131095:HIK131110 HSG131095:HSG131110 ICC131095:ICC131110 ILY131095:ILY131110 IVU131095:IVU131110 JFQ131095:JFQ131110 JPM131095:JPM131110 JZI131095:JZI131110 KJE131095:KJE131110 KTA131095:KTA131110 LCW131095:LCW131110 LMS131095:LMS131110 LWO131095:LWO131110 MGK131095:MGK131110 MQG131095:MQG131110 NAC131095:NAC131110 NJY131095:NJY131110 NTU131095:NTU131110 ODQ131095:ODQ131110 ONM131095:ONM131110 OXI131095:OXI131110 PHE131095:PHE131110 PRA131095:PRA131110 QAW131095:QAW131110 QKS131095:QKS131110 QUO131095:QUO131110 REK131095:REK131110 ROG131095:ROG131110 RYC131095:RYC131110 SHY131095:SHY131110 SRU131095:SRU131110 TBQ131095:TBQ131110 TLM131095:TLM131110 TVI131095:TVI131110 UFE131095:UFE131110 UPA131095:UPA131110 UYW131095:UYW131110 VIS131095:VIS131110 VSO131095:VSO131110 WCK131095:WCK131110 WMG131095:WMG131110 WWC131095:WWC131110 Z196631:Z196646 JQ196631:JQ196646 TM196631:TM196646 ADI196631:ADI196646 ANE196631:ANE196646 AXA196631:AXA196646 BGW196631:BGW196646 BQS196631:BQS196646 CAO196631:CAO196646 CKK196631:CKK196646 CUG196631:CUG196646 DEC196631:DEC196646 DNY196631:DNY196646 DXU196631:DXU196646 EHQ196631:EHQ196646 ERM196631:ERM196646 FBI196631:FBI196646 FLE196631:FLE196646 FVA196631:FVA196646 GEW196631:GEW196646 GOS196631:GOS196646 GYO196631:GYO196646 HIK196631:HIK196646 HSG196631:HSG196646 ICC196631:ICC196646 ILY196631:ILY196646 IVU196631:IVU196646 JFQ196631:JFQ196646 JPM196631:JPM196646 JZI196631:JZI196646 KJE196631:KJE196646 KTA196631:KTA196646 LCW196631:LCW196646 LMS196631:LMS196646 LWO196631:LWO196646 MGK196631:MGK196646 MQG196631:MQG196646 NAC196631:NAC196646 NJY196631:NJY196646 NTU196631:NTU196646 ODQ196631:ODQ196646 ONM196631:ONM196646 OXI196631:OXI196646 PHE196631:PHE196646 PRA196631:PRA196646 QAW196631:QAW196646 QKS196631:QKS196646 QUO196631:QUO196646 REK196631:REK196646 ROG196631:ROG196646 RYC196631:RYC196646 SHY196631:SHY196646 SRU196631:SRU196646 TBQ196631:TBQ196646 TLM196631:TLM196646 TVI196631:TVI196646 UFE196631:UFE196646 UPA196631:UPA196646 UYW196631:UYW196646 VIS196631:VIS196646 VSO196631:VSO196646 WCK196631:WCK196646 WMG196631:WMG196646 WWC196631:WWC196646 Z262167:Z262182 JQ262167:JQ262182 TM262167:TM262182 ADI262167:ADI262182 ANE262167:ANE262182 AXA262167:AXA262182 BGW262167:BGW262182 BQS262167:BQS262182 CAO262167:CAO262182 CKK262167:CKK262182 CUG262167:CUG262182 DEC262167:DEC262182 DNY262167:DNY262182 DXU262167:DXU262182 EHQ262167:EHQ262182 ERM262167:ERM262182 FBI262167:FBI262182 FLE262167:FLE262182 FVA262167:FVA262182 GEW262167:GEW262182 GOS262167:GOS262182 GYO262167:GYO262182 HIK262167:HIK262182 HSG262167:HSG262182 ICC262167:ICC262182 ILY262167:ILY262182 IVU262167:IVU262182 JFQ262167:JFQ262182 JPM262167:JPM262182 JZI262167:JZI262182 KJE262167:KJE262182 KTA262167:KTA262182 LCW262167:LCW262182 LMS262167:LMS262182 LWO262167:LWO262182 MGK262167:MGK262182 MQG262167:MQG262182 NAC262167:NAC262182 NJY262167:NJY262182 NTU262167:NTU262182 ODQ262167:ODQ262182 ONM262167:ONM262182 OXI262167:OXI262182 PHE262167:PHE262182 PRA262167:PRA262182 QAW262167:QAW262182 QKS262167:QKS262182 QUO262167:QUO262182 REK262167:REK262182 ROG262167:ROG262182 RYC262167:RYC262182 SHY262167:SHY262182 SRU262167:SRU262182 TBQ262167:TBQ262182 TLM262167:TLM262182 TVI262167:TVI262182 UFE262167:UFE262182 UPA262167:UPA262182 UYW262167:UYW262182 VIS262167:VIS262182 VSO262167:VSO262182 WCK262167:WCK262182 WMG262167:WMG262182 WWC262167:WWC262182 Z327703:Z327718 JQ327703:JQ327718 TM327703:TM327718 ADI327703:ADI327718 ANE327703:ANE327718 AXA327703:AXA327718 BGW327703:BGW327718 BQS327703:BQS327718 CAO327703:CAO327718 CKK327703:CKK327718 CUG327703:CUG327718 DEC327703:DEC327718 DNY327703:DNY327718 DXU327703:DXU327718 EHQ327703:EHQ327718 ERM327703:ERM327718 FBI327703:FBI327718 FLE327703:FLE327718 FVA327703:FVA327718 GEW327703:GEW327718 GOS327703:GOS327718 GYO327703:GYO327718 HIK327703:HIK327718 HSG327703:HSG327718 ICC327703:ICC327718 ILY327703:ILY327718 IVU327703:IVU327718 JFQ327703:JFQ327718 JPM327703:JPM327718 JZI327703:JZI327718 KJE327703:KJE327718 KTA327703:KTA327718 LCW327703:LCW327718 LMS327703:LMS327718 LWO327703:LWO327718 MGK327703:MGK327718 MQG327703:MQG327718 NAC327703:NAC327718 NJY327703:NJY327718 NTU327703:NTU327718 ODQ327703:ODQ327718 ONM327703:ONM327718 OXI327703:OXI327718 PHE327703:PHE327718 PRA327703:PRA327718 QAW327703:QAW327718 QKS327703:QKS327718 QUO327703:QUO327718 REK327703:REK327718 ROG327703:ROG327718 RYC327703:RYC327718 SHY327703:SHY327718 SRU327703:SRU327718 TBQ327703:TBQ327718 TLM327703:TLM327718 TVI327703:TVI327718 UFE327703:UFE327718 UPA327703:UPA327718 UYW327703:UYW327718 VIS327703:VIS327718 VSO327703:VSO327718 WCK327703:WCK327718 WMG327703:WMG327718 WWC327703:WWC327718 Z393239:Z393254 JQ393239:JQ393254 TM393239:TM393254 ADI393239:ADI393254 ANE393239:ANE393254 AXA393239:AXA393254 BGW393239:BGW393254 BQS393239:BQS393254 CAO393239:CAO393254 CKK393239:CKK393254 CUG393239:CUG393254 DEC393239:DEC393254 DNY393239:DNY393254 DXU393239:DXU393254 EHQ393239:EHQ393254 ERM393239:ERM393254 FBI393239:FBI393254 FLE393239:FLE393254 FVA393239:FVA393254 GEW393239:GEW393254 GOS393239:GOS393254 GYO393239:GYO393254 HIK393239:HIK393254 HSG393239:HSG393254 ICC393239:ICC393254 ILY393239:ILY393254 IVU393239:IVU393254 JFQ393239:JFQ393254 JPM393239:JPM393254 JZI393239:JZI393254 KJE393239:KJE393254 KTA393239:KTA393254 LCW393239:LCW393254 LMS393239:LMS393254 LWO393239:LWO393254 MGK393239:MGK393254 MQG393239:MQG393254 NAC393239:NAC393254 NJY393239:NJY393254 NTU393239:NTU393254 ODQ393239:ODQ393254 ONM393239:ONM393254 OXI393239:OXI393254 PHE393239:PHE393254 PRA393239:PRA393254 QAW393239:QAW393254 QKS393239:QKS393254 QUO393239:QUO393254 REK393239:REK393254 ROG393239:ROG393254 RYC393239:RYC393254 SHY393239:SHY393254 SRU393239:SRU393254 TBQ393239:TBQ393254 TLM393239:TLM393254 TVI393239:TVI393254 UFE393239:UFE393254 UPA393239:UPA393254 UYW393239:UYW393254 VIS393239:VIS393254 VSO393239:VSO393254 WCK393239:WCK393254 WMG393239:WMG393254 WWC393239:WWC393254 Z458775:Z458790 JQ458775:JQ458790 TM458775:TM458790 ADI458775:ADI458790 ANE458775:ANE458790 AXA458775:AXA458790 BGW458775:BGW458790 BQS458775:BQS458790 CAO458775:CAO458790 CKK458775:CKK458790 CUG458775:CUG458790 DEC458775:DEC458790 DNY458775:DNY458790 DXU458775:DXU458790 EHQ458775:EHQ458790 ERM458775:ERM458790 FBI458775:FBI458790 FLE458775:FLE458790 FVA458775:FVA458790 GEW458775:GEW458790 GOS458775:GOS458790 GYO458775:GYO458790 HIK458775:HIK458790 HSG458775:HSG458790 ICC458775:ICC458790 ILY458775:ILY458790 IVU458775:IVU458790 JFQ458775:JFQ458790 JPM458775:JPM458790 JZI458775:JZI458790 KJE458775:KJE458790 KTA458775:KTA458790 LCW458775:LCW458790 LMS458775:LMS458790 LWO458775:LWO458790 MGK458775:MGK458790 MQG458775:MQG458790 NAC458775:NAC458790 NJY458775:NJY458790 NTU458775:NTU458790 ODQ458775:ODQ458790 ONM458775:ONM458790 OXI458775:OXI458790 PHE458775:PHE458790 PRA458775:PRA458790 QAW458775:QAW458790 QKS458775:QKS458790 QUO458775:QUO458790 REK458775:REK458790 ROG458775:ROG458790 RYC458775:RYC458790 SHY458775:SHY458790 SRU458775:SRU458790 TBQ458775:TBQ458790 TLM458775:TLM458790 TVI458775:TVI458790 UFE458775:UFE458790 UPA458775:UPA458790 UYW458775:UYW458790 VIS458775:VIS458790 VSO458775:VSO458790 WCK458775:WCK458790 WMG458775:WMG458790 WWC458775:WWC458790 Z524311:Z524326 JQ524311:JQ524326 TM524311:TM524326 ADI524311:ADI524326 ANE524311:ANE524326 AXA524311:AXA524326 BGW524311:BGW524326 BQS524311:BQS524326 CAO524311:CAO524326 CKK524311:CKK524326 CUG524311:CUG524326 DEC524311:DEC524326 DNY524311:DNY524326 DXU524311:DXU524326 EHQ524311:EHQ524326 ERM524311:ERM524326 FBI524311:FBI524326 FLE524311:FLE524326 FVA524311:FVA524326 GEW524311:GEW524326 GOS524311:GOS524326 GYO524311:GYO524326 HIK524311:HIK524326 HSG524311:HSG524326 ICC524311:ICC524326 ILY524311:ILY524326 IVU524311:IVU524326 JFQ524311:JFQ524326 JPM524311:JPM524326 JZI524311:JZI524326 KJE524311:KJE524326 KTA524311:KTA524326 LCW524311:LCW524326 LMS524311:LMS524326 LWO524311:LWO524326 MGK524311:MGK524326 MQG524311:MQG524326 NAC524311:NAC524326 NJY524311:NJY524326 NTU524311:NTU524326 ODQ524311:ODQ524326 ONM524311:ONM524326 OXI524311:OXI524326 PHE524311:PHE524326 PRA524311:PRA524326 QAW524311:QAW524326 QKS524311:QKS524326 QUO524311:QUO524326 REK524311:REK524326 ROG524311:ROG524326 RYC524311:RYC524326 SHY524311:SHY524326 SRU524311:SRU524326 TBQ524311:TBQ524326 TLM524311:TLM524326 TVI524311:TVI524326 UFE524311:UFE524326 UPA524311:UPA524326 UYW524311:UYW524326 VIS524311:VIS524326 VSO524311:VSO524326 WCK524311:WCK524326 WMG524311:WMG524326 WWC524311:WWC524326 Z589847:Z589862 JQ589847:JQ589862 TM589847:TM589862 ADI589847:ADI589862 ANE589847:ANE589862 AXA589847:AXA589862 BGW589847:BGW589862 BQS589847:BQS589862 CAO589847:CAO589862 CKK589847:CKK589862 CUG589847:CUG589862 DEC589847:DEC589862 DNY589847:DNY589862 DXU589847:DXU589862 EHQ589847:EHQ589862 ERM589847:ERM589862 FBI589847:FBI589862 FLE589847:FLE589862 FVA589847:FVA589862 GEW589847:GEW589862 GOS589847:GOS589862 GYO589847:GYO589862 HIK589847:HIK589862 HSG589847:HSG589862 ICC589847:ICC589862 ILY589847:ILY589862 IVU589847:IVU589862 JFQ589847:JFQ589862 JPM589847:JPM589862 JZI589847:JZI589862 KJE589847:KJE589862 KTA589847:KTA589862 LCW589847:LCW589862 LMS589847:LMS589862 LWO589847:LWO589862 MGK589847:MGK589862 MQG589847:MQG589862 NAC589847:NAC589862 NJY589847:NJY589862 NTU589847:NTU589862 ODQ589847:ODQ589862 ONM589847:ONM589862 OXI589847:OXI589862 PHE589847:PHE589862 PRA589847:PRA589862 QAW589847:QAW589862 QKS589847:QKS589862 QUO589847:QUO589862 REK589847:REK589862 ROG589847:ROG589862 RYC589847:RYC589862 SHY589847:SHY589862 SRU589847:SRU589862 TBQ589847:TBQ589862 TLM589847:TLM589862 TVI589847:TVI589862 UFE589847:UFE589862 UPA589847:UPA589862 UYW589847:UYW589862 VIS589847:VIS589862 VSO589847:VSO589862 WCK589847:WCK589862 WMG589847:WMG589862 WWC589847:WWC589862 Z655383:Z655398 JQ655383:JQ655398 TM655383:TM655398 ADI655383:ADI655398 ANE655383:ANE655398 AXA655383:AXA655398 BGW655383:BGW655398 BQS655383:BQS655398 CAO655383:CAO655398 CKK655383:CKK655398 CUG655383:CUG655398 DEC655383:DEC655398 DNY655383:DNY655398 DXU655383:DXU655398 EHQ655383:EHQ655398 ERM655383:ERM655398 FBI655383:FBI655398 FLE655383:FLE655398 FVA655383:FVA655398 GEW655383:GEW655398 GOS655383:GOS655398 GYO655383:GYO655398 HIK655383:HIK655398 HSG655383:HSG655398 ICC655383:ICC655398 ILY655383:ILY655398 IVU655383:IVU655398 JFQ655383:JFQ655398 JPM655383:JPM655398 JZI655383:JZI655398 KJE655383:KJE655398 KTA655383:KTA655398 LCW655383:LCW655398 LMS655383:LMS655398 LWO655383:LWO655398 MGK655383:MGK655398 MQG655383:MQG655398 NAC655383:NAC655398 NJY655383:NJY655398 NTU655383:NTU655398 ODQ655383:ODQ655398 ONM655383:ONM655398 OXI655383:OXI655398 PHE655383:PHE655398 PRA655383:PRA655398 QAW655383:QAW655398 QKS655383:QKS655398 QUO655383:QUO655398 REK655383:REK655398 ROG655383:ROG655398 RYC655383:RYC655398 SHY655383:SHY655398 SRU655383:SRU655398 TBQ655383:TBQ655398 TLM655383:TLM655398 TVI655383:TVI655398 UFE655383:UFE655398 UPA655383:UPA655398 UYW655383:UYW655398 VIS655383:VIS655398 VSO655383:VSO655398 WCK655383:WCK655398 WMG655383:WMG655398 WWC655383:WWC655398 Z720919:Z720934 JQ720919:JQ720934 TM720919:TM720934 ADI720919:ADI720934 ANE720919:ANE720934 AXA720919:AXA720934 BGW720919:BGW720934 BQS720919:BQS720934 CAO720919:CAO720934 CKK720919:CKK720934 CUG720919:CUG720934 DEC720919:DEC720934 DNY720919:DNY720934 DXU720919:DXU720934 EHQ720919:EHQ720934 ERM720919:ERM720934 FBI720919:FBI720934 FLE720919:FLE720934 FVA720919:FVA720934 GEW720919:GEW720934 GOS720919:GOS720934 GYO720919:GYO720934 HIK720919:HIK720934 HSG720919:HSG720934 ICC720919:ICC720934 ILY720919:ILY720934 IVU720919:IVU720934 JFQ720919:JFQ720934 JPM720919:JPM720934 JZI720919:JZI720934 KJE720919:KJE720934 KTA720919:KTA720934 LCW720919:LCW720934 LMS720919:LMS720934 LWO720919:LWO720934 MGK720919:MGK720934 MQG720919:MQG720934 NAC720919:NAC720934 NJY720919:NJY720934 NTU720919:NTU720934 ODQ720919:ODQ720934 ONM720919:ONM720934 OXI720919:OXI720934 PHE720919:PHE720934 PRA720919:PRA720934 QAW720919:QAW720934 QKS720919:QKS720934 QUO720919:QUO720934 REK720919:REK720934 ROG720919:ROG720934 RYC720919:RYC720934 SHY720919:SHY720934 SRU720919:SRU720934 TBQ720919:TBQ720934 TLM720919:TLM720934 TVI720919:TVI720934 UFE720919:UFE720934 UPA720919:UPA720934 UYW720919:UYW720934 VIS720919:VIS720934 VSO720919:VSO720934 WCK720919:WCK720934 WMG720919:WMG720934 WWC720919:WWC720934 Z786455:Z786470 JQ786455:JQ786470 TM786455:TM786470 ADI786455:ADI786470 ANE786455:ANE786470 AXA786455:AXA786470 BGW786455:BGW786470 BQS786455:BQS786470 CAO786455:CAO786470 CKK786455:CKK786470 CUG786455:CUG786470 DEC786455:DEC786470 DNY786455:DNY786470 DXU786455:DXU786470 EHQ786455:EHQ786470 ERM786455:ERM786470 FBI786455:FBI786470 FLE786455:FLE786470 FVA786455:FVA786470 GEW786455:GEW786470 GOS786455:GOS786470 GYO786455:GYO786470 HIK786455:HIK786470 HSG786455:HSG786470 ICC786455:ICC786470 ILY786455:ILY786470 IVU786455:IVU786470 JFQ786455:JFQ786470 JPM786455:JPM786470 JZI786455:JZI786470 KJE786455:KJE786470 KTA786455:KTA786470 LCW786455:LCW786470 LMS786455:LMS786470 LWO786455:LWO786470 MGK786455:MGK786470 MQG786455:MQG786470 NAC786455:NAC786470 NJY786455:NJY786470 NTU786455:NTU786470 ODQ786455:ODQ786470 ONM786455:ONM786470 OXI786455:OXI786470 PHE786455:PHE786470 PRA786455:PRA786470 QAW786455:QAW786470 QKS786455:QKS786470 QUO786455:QUO786470 REK786455:REK786470 ROG786455:ROG786470 RYC786455:RYC786470 SHY786455:SHY786470 SRU786455:SRU786470 TBQ786455:TBQ786470 TLM786455:TLM786470 TVI786455:TVI786470 UFE786455:UFE786470 UPA786455:UPA786470 UYW786455:UYW786470 VIS786455:VIS786470 VSO786455:VSO786470 WCK786455:WCK786470 WMG786455:WMG786470 WWC786455:WWC786470 Z851991:Z852006 JQ851991:JQ852006 TM851991:TM852006 ADI851991:ADI852006 ANE851991:ANE852006 AXA851991:AXA852006 BGW851991:BGW852006 BQS851991:BQS852006 CAO851991:CAO852006 CKK851991:CKK852006 CUG851991:CUG852006 DEC851991:DEC852006 DNY851991:DNY852006 DXU851991:DXU852006 EHQ851991:EHQ852006 ERM851991:ERM852006 FBI851991:FBI852006 FLE851991:FLE852006 FVA851991:FVA852006 GEW851991:GEW852006 GOS851991:GOS852006 GYO851991:GYO852006 HIK851991:HIK852006 HSG851991:HSG852006 ICC851991:ICC852006 ILY851991:ILY852006 IVU851991:IVU852006 JFQ851991:JFQ852006 JPM851991:JPM852006 JZI851991:JZI852006 KJE851991:KJE852006 KTA851991:KTA852006 LCW851991:LCW852006 LMS851991:LMS852006 LWO851991:LWO852006 MGK851991:MGK852006 MQG851991:MQG852006 NAC851991:NAC852006 NJY851991:NJY852006 NTU851991:NTU852006 ODQ851991:ODQ852006 ONM851991:ONM852006 OXI851991:OXI852006 PHE851991:PHE852006 PRA851991:PRA852006 QAW851991:QAW852006 QKS851991:QKS852006 QUO851991:QUO852006 REK851991:REK852006 ROG851991:ROG852006 RYC851991:RYC852006 SHY851991:SHY852006 SRU851991:SRU852006 TBQ851991:TBQ852006 TLM851991:TLM852006 TVI851991:TVI852006 UFE851991:UFE852006 UPA851991:UPA852006 UYW851991:UYW852006 VIS851991:VIS852006 VSO851991:VSO852006 WCK851991:WCK852006 WMG851991:WMG852006 WWC851991:WWC852006 Z917527:Z917542 JQ917527:JQ917542 TM917527:TM917542 ADI917527:ADI917542 ANE917527:ANE917542 AXA917527:AXA917542 BGW917527:BGW917542 BQS917527:BQS917542 CAO917527:CAO917542 CKK917527:CKK917542 CUG917527:CUG917542 DEC917527:DEC917542 DNY917527:DNY917542 DXU917527:DXU917542 EHQ917527:EHQ917542 ERM917527:ERM917542 FBI917527:FBI917542 FLE917527:FLE917542 FVA917527:FVA917542 GEW917527:GEW917542 GOS917527:GOS917542 GYO917527:GYO917542 HIK917527:HIK917542 HSG917527:HSG917542 ICC917527:ICC917542 ILY917527:ILY917542 IVU917527:IVU917542 JFQ917527:JFQ917542 JPM917527:JPM917542 JZI917527:JZI917542 KJE917527:KJE917542 KTA917527:KTA917542 LCW917527:LCW917542 LMS917527:LMS917542 LWO917527:LWO917542 MGK917527:MGK917542 MQG917527:MQG917542 NAC917527:NAC917542 NJY917527:NJY917542 NTU917527:NTU917542 ODQ917527:ODQ917542 ONM917527:ONM917542 OXI917527:OXI917542 PHE917527:PHE917542 PRA917527:PRA917542 QAW917527:QAW917542 QKS917527:QKS917542 QUO917527:QUO917542 REK917527:REK917542 ROG917527:ROG917542 RYC917527:RYC917542 SHY917527:SHY917542 SRU917527:SRU917542 TBQ917527:TBQ917542 TLM917527:TLM917542 TVI917527:TVI917542 UFE917527:UFE917542 UPA917527:UPA917542 UYW917527:UYW917542 VIS917527:VIS917542 VSO917527:VSO917542 WCK917527:WCK917542 WMG917527:WMG917542 WWC917527:WWC917542 Z983063:Z983078 JQ983063:JQ983078 TM983063:TM983078 ADI983063:ADI983078 ANE983063:ANE983078 AXA983063:AXA983078 BGW983063:BGW983078 BQS983063:BQS983078 CAO983063:CAO983078 CKK983063:CKK983078 CUG983063:CUG983078 DEC983063:DEC983078 DNY983063:DNY983078 DXU983063:DXU983078 EHQ983063:EHQ983078 ERM983063:ERM983078 FBI983063:FBI983078 FLE983063:FLE983078 FVA983063:FVA983078 GEW983063:GEW983078 GOS983063:GOS983078 GYO983063:GYO983078 HIK983063:HIK983078 HSG983063:HSG983078 ICC983063:ICC983078 ILY983063:ILY983078 IVU983063:IVU983078 JFQ983063:JFQ983078 JPM983063:JPM983078 JZI983063:JZI983078 KJE983063:KJE983078 KTA983063:KTA983078 LCW983063:LCW983078 LMS983063:LMS983078 LWO983063:LWO983078 MGK983063:MGK983078 MQG983063:MQG983078 NAC983063:NAC983078 NJY983063:NJY983078 NTU983063:NTU983078 ODQ983063:ODQ983078 ONM983063:ONM983078 OXI983063:OXI983078 PHE983063:PHE983078 PRA983063:PRA983078 QAW983063:QAW983078 QKS983063:QKS983078 QUO983063:QUO983078 REK983063:REK983078 ROG983063:ROG983078 RYC983063:RYC983078 SHY983063:SHY983078 SRU983063:SRU983078 TBQ983063:TBQ983078 TLM983063:TLM983078 TVI983063:TVI983078 UFE983063:UFE983078 UPA983063:UPA983078 UYW983063:UYW983078 VIS983063:VIS983078 VSO983063:VSO983078 WCK983063:WCK983078 WMG983063:WMG983078 WWC983063:WWC983078 TR10 ADN10 ANJ10 AXF10 BHB10 BQX10 CAT10 CKP10 CUL10 DEH10 DOD10 DXZ10 EHV10 ERR10 FBN10 FLJ10 FVF10 GFB10 GOX10 GYT10 HIP10 HSL10 ICH10 IMD10 IVZ10 JFV10 JPR10 JZN10 KJJ10 KTF10 LDB10 LMX10 LWT10 MGP10 MQL10 NAH10 NKD10 NTZ10 ODV10 ONR10 OXN10 PHJ10 PRF10 QBB10 QKX10 QUT10 REP10 ROL10 RYH10 SID10 SRZ10 TBV10 TLR10 TVN10 UFJ10 UPF10 UZB10 VIX10 VST10 WCP10 WML10 WWH10 V17:V18 W11:W15 TR17 JV17:JV18 W18 ADN17 ANJ17 AXF17 BHB17 BQX17 CAT17 CKP17 CUL17 DEH17 DOD17 DXZ17 EHV17 ERR17 FBN17 FLJ17 FVF17 GFB17 GOX17 GYT17 HIP17 HSL17 ICH17 IMD17 IVZ17 JFV17 JPR17 JZN17 KJJ17 KTF17 LDB17 LMX17 LWT17 MGP17 MQL17 NAH17 NKD17 NTZ17 ODV17 ONR17 OXN17 PHJ17 PRF17 QBB17 QKX17 QUT17 REP17 ROL17 RYH17 SID17 SRZ17 TBV17 TLR17 TVN17 UFJ17 UPF17 UZB17 VIX17 VST17 WCP17 WML17 WWH17 JW18 JV10:JV15 V10:V15 JW11:JW15 V16:W16 WCP11:WCQ16 WWH11:WWI16 WML11:WMM16 TR11:TS16 ADN11:ADO16 ANJ11:ANK16 AXF11:AXG16 BHB11:BHC16 BQX11:BQY16 CAT11:CAU16 CKP11:CKQ16 CUL11:CUM16 DEH11:DEI16 DOD11:DOE16 DXZ11:DYA16 EHV11:EHW16 ERR11:ERS16 FBN11:FBO16 FLJ11:FLK16 FVF11:FVG16 GFB11:GFC16 GOX11:GOY16 GYT11:GYU16 HIP11:HIQ16 HSL11:HSM16 ICH11:ICI16 IMD11:IME16 IVZ11:IWA16 JFV11:JFW16 JPR11:JPS16 JZN11:JZO16 KJJ11:KJK16 KTF11:KTG16 LDB11:LDC16 LMX11:LMY16 LWT11:LWU16 MGP11:MGQ16 MQL11:MQM16 NAH11:NAI16 NKD11:NKE16 NTZ11:NUA16 ODV11:ODW16 ONR11:ONS16 OXN11:OXO16 PHJ11:PHK16 PRF11:PRG16 QBB11:QBC16 QKX11:QKY16 QUT11:QUU16 REP11:REQ16 ROL11:ROM16 RYH11:RYI16 SID11:SIE16 SRZ11:SSA16 TBV11:TBW16 TLR11:TLS16 TVN11:TVO16 UFJ11:UFK16 UPF11:UPG16 UZB11:UZC16 VIX11:VIY16 VST11:VSU16 JV16:JW16 WCP18:WCQ35 WWH18:WWI35 WML18:WMM35 TR18:TS35 ADN18:ADO35 ANJ18:ANK35 AXF18:AXG35 BHB18:BHC35 BQX18:BQY35 CAT18:CAU35 CKP18:CKQ35 CUL18:CUM35 DEH18:DEI35 DOD18:DOE35 DXZ18:DYA35 EHV18:EHW35 ERR18:ERS35 FBN18:FBO35 FLJ18:FLK35 FVF18:FVG35 GFB18:GFC35 GOX18:GOY35 GYT18:GYU35 HIP18:HIQ35 HSL18:HSM35 ICH18:ICI35 IMD18:IME35 IVZ18:IWA35 JFV18:JFW35 JPR18:JPS35 JZN18:JZO35 KJJ18:KJK35 KTF18:KTG35 LDB18:LDC35 LMX18:LMY35 LWT18:LWU35 MGP18:MGQ35 MQL18:MQM35 NAH18:NAI35 NKD18:NKE35 NTZ18:NUA35 ODV18:ODW35 ONR18:ONS35 OXN18:OXO35 PHJ18:PHK35 PRF18:PRG35 QBB18:QBC35 QKX18:QKY35 QUT18:QUU35 REP18:REQ35 ROL18:ROM35 RYH18:RYI35 SID18:SIE35 SRZ18:SSA35 TBV18:TBW35 TLR18:TLS35 TVN18:TVO35 UFJ18:UFK35 UPF18:UPG35 UZB18:UZC35 VIX18:VIY35 VST18:VSU35 JV19:JW35 V19:W35 V36 TR36 JV36 ADN36 ANJ36 AXF36 BHB36 BQX36 CAT36 CKP36 CUL36 DEH36 DOD36 DXZ36 EHV36 ERR36 FBN36 FLJ36 FVF36 GFB36 GOX36 GYT36 HIP36 HSL36 ICH36 IMD36 IVZ36 JFV36 JPR36 JZN36 KJJ36 KTF36 LDB36 LMX36 LWT36 MGP36 MQL36 NAH36 NKD36 NTZ36 ODV36 ONR36 OXN36 PHJ36 PRF36 QBB36 QKX36 QUT36 REP36 ROL36 RYH36 SID36 SRZ36 TBV36 TLR36 TVN36 UFJ36 UPF36 UZB36 VIX36 VST36 WCP36 WML36 WWH36 V37:W39 WCP37:WCQ39 WWH37:WWI39 WML37:WMM39 TR37:TS39 ADN37:ADO39 ANJ37:ANK39 AXF37:AXG39 BHB37:BHC39 BQX37:BQY39 CAT37:CAU39 CKP37:CKQ39 CUL37:CUM39 DEH37:DEI39 DOD37:DOE39 DXZ37:DYA39 EHV37:EHW39 ERR37:ERS39 FBN37:FBO39 FLJ37:FLK39 FVF37:FVG39 GFB37:GFC39 GOX37:GOY39 GYT37:GYU39 HIP37:HIQ39 HSL37:HSM39 ICH37:ICI39 IMD37:IME39 IVZ37:IWA39 JFV37:JFW39 JPR37:JPS39 JZN37:JZO39 KJJ37:KJK39 KTF37:KTG39 LDB37:LDC39 LMX37:LMY39 LWT37:LWU39 MGP37:MGQ39 MQL37:MQM39 NAH37:NAI39 NKD37:NKE39 NTZ37:NUA39 ODV37:ODW39 ONR37:ONS39 OXN37:OXO39 PHJ37:PHK39 PRF37:PRG39 QBB37:QBC39 QKX37:QKY39 QUT37:QUU39 REP37:REQ39 ROL37:ROM39 RYH37:RYI39 SID37:SIE39 SRZ37:SSA39 TBV37:TBW39 TLR37:TLS39 TVN37:TVO39 UFJ37:UFK39 UPF37:UPG39 UZB37:UZC39 VIX37:VIY39 VST37:VSU39 JV37:JW39" xr:uid="{00000000-0002-0000-0600-000009000000}">
      <formula1>"X,9,±9,N,S9,9C3,S9C3"</formula1>
    </dataValidation>
  </dataValidations>
  <printOptions horizontalCentered="1"/>
  <pageMargins left="0.15748031496062992" right="0.15748031496062992" top="0.55118110236220474" bottom="0.31496062992125984" header="0.35433070866141736" footer="0.15748031496062992"/>
  <pageSetup paperSize="9" scale="69" fitToHeight="0" orientation="landscape" r:id="rId1"/>
  <headerFooter alignWithMargins="0">
    <oddFooter>&amp;R&amp;"Tahoma,標準"&amp;10Copyright 2017 FUJITSU LIMITED</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E17"/>
  <sheetViews>
    <sheetView workbookViewId="0">
      <selection activeCell="F17" sqref="F17"/>
    </sheetView>
  </sheetViews>
  <sheetFormatPr defaultRowHeight="15"/>
  <cols>
    <col min="1" max="1" width="18.36328125" style="1" customWidth="1"/>
    <col min="2" max="2" width="35.08984375" style="1" bestFit="1" customWidth="1"/>
    <col min="3" max="3" width="25.90625" customWidth="1"/>
  </cols>
  <sheetData>
    <row r="1" spans="1:5">
      <c r="A1" s="2" t="s">
        <v>0</v>
      </c>
      <c r="B1" s="2" t="s">
        <v>102</v>
      </c>
      <c r="C1" s="2" t="s">
        <v>103</v>
      </c>
    </row>
    <row r="2" spans="1:5">
      <c r="A2" s="1" t="s">
        <v>4</v>
      </c>
      <c r="B2" s="1" t="s">
        <v>190</v>
      </c>
      <c r="C2" s="1" t="s">
        <v>199</v>
      </c>
    </row>
    <row r="3" spans="1:5">
      <c r="A3" s="1" t="s">
        <v>7</v>
      </c>
      <c r="B3" s="3">
        <v>1</v>
      </c>
      <c r="C3" s="1"/>
    </row>
    <row r="4" spans="1:5">
      <c r="A4" s="1" t="s">
        <v>137</v>
      </c>
      <c r="B4" s="1" t="s">
        <v>191</v>
      </c>
      <c r="C4" s="1">
        <v>32</v>
      </c>
    </row>
    <row r="5" spans="1:5">
      <c r="A5" s="1" t="s">
        <v>118</v>
      </c>
      <c r="B5" s="1" t="s">
        <v>192</v>
      </c>
      <c r="C5" s="1" t="s">
        <v>203</v>
      </c>
    </row>
    <row r="6" spans="1:5">
      <c r="A6" s="1" t="s">
        <v>119</v>
      </c>
      <c r="B6" s="1" t="s">
        <v>193</v>
      </c>
      <c r="C6" s="1" t="s">
        <v>204</v>
      </c>
    </row>
    <row r="7" spans="1:5">
      <c r="A7" s="1" t="s">
        <v>128</v>
      </c>
      <c r="B7" s="1" t="s">
        <v>194</v>
      </c>
      <c r="C7" s="1"/>
    </row>
    <row r="8" spans="1:5">
      <c r="A8" s="1" t="s">
        <v>150</v>
      </c>
      <c r="B8" s="1" t="s">
        <v>195</v>
      </c>
      <c r="C8" s="1" t="s">
        <v>200</v>
      </c>
    </row>
    <row r="9" spans="1:5">
      <c r="A9" s="1" t="s">
        <v>120</v>
      </c>
      <c r="B9" s="1" t="s">
        <v>196</v>
      </c>
      <c r="C9" s="40" t="s">
        <v>201</v>
      </c>
    </row>
    <row r="10" spans="1:5">
      <c r="A10" s="1" t="s">
        <v>121</v>
      </c>
      <c r="B10" s="1" t="s">
        <v>197</v>
      </c>
      <c r="C10" s="1" t="s">
        <v>202</v>
      </c>
    </row>
    <row r="11" spans="1:5">
      <c r="A11" s="1" t="s">
        <v>122</v>
      </c>
      <c r="B11" s="1" t="s">
        <v>198</v>
      </c>
      <c r="C11" s="1">
        <v>15</v>
      </c>
    </row>
    <row r="12" spans="1:5">
      <c r="C12" s="1"/>
    </row>
    <row r="13" spans="1:5">
      <c r="C13" s="1"/>
      <c r="E13" t="s">
        <v>136</v>
      </c>
    </row>
    <row r="14" spans="1:5">
      <c r="C14" s="1"/>
    </row>
    <row r="17" spans="2:2">
      <c r="B17" s="41" t="s">
        <v>161</v>
      </c>
    </row>
  </sheetData>
  <phoneticPr fontId="8"/>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B_GetValue2">
                <anchor moveWithCells="1" sizeWithCells="1">
                  <from>
                    <xdr:col>0</xdr:col>
                    <xdr:colOff>82550</xdr:colOff>
                    <xdr:row>14</xdr:row>
                    <xdr:rowOff>190500</xdr:rowOff>
                  </from>
                  <to>
                    <xdr:col>0</xdr:col>
                    <xdr:colOff>1250950</xdr:colOff>
                    <xdr:row>17</xdr:row>
                    <xdr:rowOff>6350</xdr:rowOff>
                  </to>
                </anchor>
              </controlPr>
            </control>
          </mc:Choice>
        </mc:AlternateContent>
        <mc:AlternateContent xmlns:mc="http://schemas.openxmlformats.org/markup-compatibility/2006">
          <mc:Choice Requires="x14">
            <control shapeId="4098" r:id="rId5" name="Button 2">
              <controlPr defaultSize="0" print="0" autoFill="0" autoPict="0" macro="[0]!Call_Clear">
                <anchor moveWithCells="1" sizeWithCells="1">
                  <from>
                    <xdr:col>2</xdr:col>
                    <xdr:colOff>996950</xdr:colOff>
                    <xdr:row>18</xdr:row>
                    <xdr:rowOff>25400</xdr:rowOff>
                  </from>
                  <to>
                    <xdr:col>2</xdr:col>
                    <xdr:colOff>1949450</xdr:colOff>
                    <xdr:row>19</xdr:row>
                    <xdr:rowOff>177800</xdr:rowOff>
                  </to>
                </anchor>
              </controlPr>
            </control>
          </mc:Choice>
        </mc:AlternateContent>
        <mc:AlternateContent xmlns:mc="http://schemas.openxmlformats.org/markup-compatibility/2006">
          <mc:Choice Requires="x14">
            <control shapeId="4099" r:id="rId6" name="Button 3">
              <controlPr defaultSize="0" print="0" autoFill="0" autoPict="0" macro="[0]!Form_InitDataSet">
                <anchor moveWithCells="1" sizeWithCells="1">
                  <from>
                    <xdr:col>0</xdr:col>
                    <xdr:colOff>146050</xdr:colOff>
                    <xdr:row>18</xdr:row>
                    <xdr:rowOff>0</xdr:rowOff>
                  </from>
                  <to>
                    <xdr:col>0</xdr:col>
                    <xdr:colOff>1250950</xdr:colOff>
                    <xdr:row>19</xdr:row>
                    <xdr:rowOff>190500</xdr:rowOff>
                  </to>
                </anchor>
              </controlPr>
            </control>
          </mc:Choice>
        </mc:AlternateContent>
        <mc:AlternateContent xmlns:mc="http://schemas.openxmlformats.org/markup-compatibility/2006">
          <mc:Choice Requires="x14">
            <control shapeId="4100" r:id="rId7" name="Button 4">
              <controlPr defaultSize="0" print="0" autoFill="0" autoPict="0" macro="[0]!Form_MovePrev">
                <anchor moveWithCells="1" sizeWithCells="1">
                  <from>
                    <xdr:col>1</xdr:col>
                    <xdr:colOff>717550</xdr:colOff>
                    <xdr:row>17</xdr:row>
                    <xdr:rowOff>190500</xdr:rowOff>
                  </from>
                  <to>
                    <xdr:col>1</xdr:col>
                    <xdr:colOff>1301750</xdr:colOff>
                    <xdr:row>19</xdr:row>
                    <xdr:rowOff>190500</xdr:rowOff>
                  </to>
                </anchor>
              </controlPr>
            </control>
          </mc:Choice>
        </mc:AlternateContent>
        <mc:AlternateContent xmlns:mc="http://schemas.openxmlformats.org/markup-compatibility/2006">
          <mc:Choice Requires="x14">
            <control shapeId="4101" r:id="rId8" name="Button 5">
              <controlPr defaultSize="0" print="0" autoFill="0" autoPict="0" macro="[0]!Form_MoveNext">
                <anchor moveWithCells="1" sizeWithCells="1">
                  <from>
                    <xdr:col>1</xdr:col>
                    <xdr:colOff>1416050</xdr:colOff>
                    <xdr:row>18</xdr:row>
                    <xdr:rowOff>0</xdr:rowOff>
                  </from>
                  <to>
                    <xdr:col>1</xdr:col>
                    <xdr:colOff>2012950</xdr:colOff>
                    <xdr:row>19</xdr:row>
                    <xdr:rowOff>184150</xdr:rowOff>
                  </to>
                </anchor>
              </controlPr>
            </control>
          </mc:Choice>
        </mc:AlternateContent>
        <mc:AlternateContent xmlns:mc="http://schemas.openxmlformats.org/markup-compatibility/2006">
          <mc:Choice Requires="x14">
            <control shapeId="4102" r:id="rId9" name="Button 6">
              <controlPr defaultSize="0" print="0" autoFill="0" autoPict="0" macro="[0]!Form_MoveFirst">
                <anchor moveWithCells="1" sizeWithCells="1">
                  <from>
                    <xdr:col>1</xdr:col>
                    <xdr:colOff>25400</xdr:colOff>
                    <xdr:row>18</xdr:row>
                    <xdr:rowOff>0</xdr:rowOff>
                  </from>
                  <to>
                    <xdr:col>1</xdr:col>
                    <xdr:colOff>609600</xdr:colOff>
                    <xdr:row>19</xdr:row>
                    <xdr:rowOff>190500</xdr:rowOff>
                  </to>
                </anchor>
              </controlPr>
            </control>
          </mc:Choice>
        </mc:AlternateContent>
        <mc:AlternateContent xmlns:mc="http://schemas.openxmlformats.org/markup-compatibility/2006">
          <mc:Choice Requires="x14">
            <control shapeId="4103" r:id="rId10" name="Button 7">
              <controlPr defaultSize="0" print="0" autoFill="0" autoPict="0" macro="[0]!Form_MoveLast">
                <anchor moveWithCells="1" sizeWithCells="1">
                  <from>
                    <xdr:col>1</xdr:col>
                    <xdr:colOff>2127250</xdr:colOff>
                    <xdr:row>18</xdr:row>
                    <xdr:rowOff>0</xdr:rowOff>
                  </from>
                  <to>
                    <xdr:col>2</xdr:col>
                    <xdr:colOff>38100</xdr:colOff>
                    <xdr:row>19</xdr:row>
                    <xdr:rowOff>184150</xdr:rowOff>
                  </to>
                </anchor>
              </controlPr>
            </control>
          </mc:Choice>
        </mc:AlternateContent>
        <mc:AlternateContent xmlns:mc="http://schemas.openxmlformats.org/markup-compatibility/2006">
          <mc:Choice Requires="x14">
            <control shapeId="4104" r:id="rId11" name="Button 8">
              <controlPr defaultSize="0" print="0" autoFill="0" autoPict="0" macro="[0]!Form_Update">
                <anchor moveWithCells="1" sizeWithCells="1">
                  <from>
                    <xdr:col>2</xdr:col>
                    <xdr:colOff>146050</xdr:colOff>
                    <xdr:row>18</xdr:row>
                    <xdr:rowOff>0</xdr:rowOff>
                  </from>
                  <to>
                    <xdr:col>2</xdr:col>
                    <xdr:colOff>730250</xdr:colOff>
                    <xdr:row>19</xdr:row>
                    <xdr:rowOff>190500</xdr:rowOff>
                  </to>
                </anchor>
              </controlPr>
            </control>
          </mc:Choice>
        </mc:AlternateContent>
      </controls>
    </mc:Choice>
  </mc:AlternateContent>
  <tableParts count="1">
    <tablePart r:id="rId1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19"/>
  <sheetViews>
    <sheetView workbookViewId="0">
      <selection activeCell="L19" sqref="L19"/>
    </sheetView>
  </sheetViews>
  <sheetFormatPr defaultRowHeight="13"/>
  <sheetData>
    <row r="1" spans="1:1">
      <c r="A1" t="s">
        <v>219</v>
      </c>
    </row>
    <row r="2" spans="1:1">
      <c r="A2" t="s">
        <v>227</v>
      </c>
    </row>
    <row r="3" spans="1:1">
      <c r="A3" t="s">
        <v>220</v>
      </c>
    </row>
    <row r="4" spans="1:1">
      <c r="A4" t="s">
        <v>248</v>
      </c>
    </row>
    <row r="5" spans="1:1">
      <c r="A5" t="s">
        <v>221</v>
      </c>
    </row>
    <row r="7" spans="1:1">
      <c r="A7" t="s">
        <v>225</v>
      </c>
    </row>
    <row r="9" spans="1:1">
      <c r="A9" t="s">
        <v>222</v>
      </c>
    </row>
    <row r="10" spans="1:1">
      <c r="A10" t="s">
        <v>223</v>
      </c>
    </row>
    <row r="12" spans="1:1">
      <c r="A12" t="s">
        <v>224</v>
      </c>
    </row>
    <row r="14" spans="1:1">
      <c r="A14" t="s">
        <v>228</v>
      </c>
    </row>
    <row r="15" spans="1:1">
      <c r="A15" t="s">
        <v>231</v>
      </c>
    </row>
    <row r="16" spans="1:1">
      <c r="A16" t="s">
        <v>221</v>
      </c>
    </row>
    <row r="17" spans="1:1">
      <c r="A17" t="s">
        <v>230</v>
      </c>
    </row>
    <row r="19" spans="1:1">
      <c r="A19" t="s">
        <v>229</v>
      </c>
    </row>
  </sheetData>
  <phoneticPr fontId="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A30"/>
  <sheetViews>
    <sheetView workbookViewId="0"/>
  </sheetViews>
  <sheetFormatPr defaultRowHeight="13"/>
  <sheetData>
    <row r="2" spans="1:1">
      <c r="A2" t="s">
        <v>241</v>
      </c>
    </row>
    <row r="3" spans="1:1">
      <c r="A3" t="s">
        <v>242</v>
      </c>
    </row>
    <row r="4" spans="1:1">
      <c r="A4" t="s">
        <v>243</v>
      </c>
    </row>
    <row r="5" spans="1:1">
      <c r="A5" t="s">
        <v>237</v>
      </c>
    </row>
    <row r="6" spans="1:1">
      <c r="A6" t="s">
        <v>244</v>
      </c>
    </row>
    <row r="7" spans="1:1">
      <c r="A7" t="s">
        <v>245</v>
      </c>
    </row>
    <row r="8" spans="1:1">
      <c r="A8" t="s">
        <v>240</v>
      </c>
    </row>
    <row r="10" spans="1:1">
      <c r="A10" t="s">
        <v>241</v>
      </c>
    </row>
    <row r="11" spans="1:1">
      <c r="A11" t="s">
        <v>235</v>
      </c>
    </row>
    <row r="12" spans="1:1">
      <c r="A12" t="s">
        <v>236</v>
      </c>
    </row>
    <row r="13" spans="1:1">
      <c r="A13" t="s">
        <v>237</v>
      </c>
    </row>
    <row r="14" spans="1:1">
      <c r="A14" t="s">
        <v>238</v>
      </c>
    </row>
    <row r="15" spans="1:1">
      <c r="A15" t="s">
        <v>239</v>
      </c>
    </row>
    <row r="16" spans="1:1">
      <c r="A16" t="s">
        <v>240</v>
      </c>
    </row>
    <row r="18" spans="1:1">
      <c r="A18" s="44"/>
    </row>
    <row r="19" spans="1:1">
      <c r="A19" s="44"/>
    </row>
    <row r="20" spans="1:1">
      <c r="A20" s="44"/>
    </row>
    <row r="21" spans="1:1">
      <c r="A21" s="44"/>
    </row>
    <row r="22" spans="1:1">
      <c r="A22" s="44"/>
    </row>
    <row r="23" spans="1:1">
      <c r="A23" s="44"/>
    </row>
    <row r="24" spans="1:1">
      <c r="A24" s="44"/>
    </row>
    <row r="25" spans="1:1">
      <c r="A25" s="44"/>
    </row>
    <row r="26" spans="1:1">
      <c r="A26" s="44"/>
    </row>
    <row r="27" spans="1:1">
      <c r="A27" s="44"/>
    </row>
    <row r="28" spans="1:1">
      <c r="A28" s="44"/>
    </row>
    <row r="29" spans="1:1">
      <c r="A29" s="44"/>
    </row>
    <row r="30" spans="1:1">
      <c r="A30" s="44"/>
    </row>
  </sheetData>
  <phoneticPr fontId="8"/>
  <pageMargins left="0.7" right="0.7" top="0.75" bottom="0.75" header="0.3" footer="0.3"/>
  <pageSetup paperSize="9" orientation="portrait"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30"/>
  <sheetViews>
    <sheetView workbookViewId="0">
      <selection activeCell="E23" sqref="E23"/>
    </sheetView>
  </sheetViews>
  <sheetFormatPr defaultRowHeight="13"/>
  <sheetData>
    <row r="1" spans="1:1">
      <c r="A1" t="s">
        <v>219</v>
      </c>
    </row>
    <row r="2" spans="1:1">
      <c r="A2" t="s">
        <v>390</v>
      </c>
    </row>
    <row r="3" spans="1:1">
      <c r="A3" t="s">
        <v>388</v>
      </c>
    </row>
    <row r="4" spans="1:1">
      <c r="A4" t="s">
        <v>389</v>
      </c>
    </row>
    <row r="5" spans="1:1">
      <c r="A5" t="s">
        <v>221</v>
      </c>
    </row>
    <row r="6" spans="1:1">
      <c r="A6" t="s">
        <v>251</v>
      </c>
    </row>
    <row r="8" spans="1:1">
      <c r="A8" t="s">
        <v>222</v>
      </c>
    </row>
    <row r="10" spans="1:1">
      <c r="A10" t="s">
        <v>252</v>
      </c>
    </row>
    <row r="11" spans="1:1">
      <c r="A11" t="s">
        <v>253</v>
      </c>
    </row>
    <row r="12" spans="1:1">
      <c r="A12" t="s">
        <v>254</v>
      </c>
    </row>
    <row r="13" spans="1:1">
      <c r="A13" t="s">
        <v>255</v>
      </c>
    </row>
    <row r="14" spans="1:1">
      <c r="A14" t="s">
        <v>256</v>
      </c>
    </row>
    <row r="16" spans="1:1">
      <c r="A16" t="s">
        <v>228</v>
      </c>
    </row>
    <row r="17" spans="1:1">
      <c r="A17" t="s">
        <v>390</v>
      </c>
    </row>
    <row r="18" spans="1:1">
      <c r="A18" t="s">
        <v>220</v>
      </c>
    </row>
    <row r="19" spans="1:1">
      <c r="A19" t="s">
        <v>257</v>
      </c>
    </row>
    <row r="20" spans="1:1">
      <c r="A20" t="str">
        <f ca="1">" * @since " &amp; TEXT(NOW(),"yyyy/mm/dd")</f>
        <v xml:space="preserve"> * @since 2025/08/12</v>
      </c>
    </row>
    <row r="21" spans="1:1">
      <c r="A21" t="s">
        <v>220</v>
      </c>
    </row>
    <row r="22" spans="1:1">
      <c r="A22" t="s">
        <v>221</v>
      </c>
    </row>
    <row r="24" spans="1:1">
      <c r="A24" t="s">
        <v>422</v>
      </c>
    </row>
    <row r="26" spans="1:1">
      <c r="A26" t="s">
        <v>401</v>
      </c>
    </row>
    <row r="27" spans="1:1">
      <c r="A27" t="s">
        <v>412</v>
      </c>
    </row>
    <row r="29" spans="1:1">
      <c r="A29" t="s">
        <v>402</v>
      </c>
    </row>
    <row r="30" spans="1:1">
      <c r="A30" t="s">
        <v>411</v>
      </c>
    </row>
  </sheetData>
  <phoneticPr fontId="8"/>
  <pageMargins left="0.7" right="0.7" top="0.75" bottom="0.75" header="0.3" footer="0.3"/>
  <pageSetup paperSize="9" orientation="portrait"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12"/>
  <sheetViews>
    <sheetView workbookViewId="0">
      <selection activeCell="A7" sqref="A7"/>
    </sheetView>
  </sheetViews>
  <sheetFormatPr defaultRowHeight="13"/>
  <sheetData>
    <row r="1" spans="1:1">
      <c r="A1" t="s">
        <v>424</v>
      </c>
    </row>
    <row r="3" spans="1:1">
      <c r="A3" t="s">
        <v>403</v>
      </c>
    </row>
    <row r="5" spans="1:1">
      <c r="A5" t="s">
        <v>414</v>
      </c>
    </row>
    <row r="6" spans="1:1">
      <c r="A6" t="s">
        <v>425</v>
      </c>
    </row>
    <row r="8" spans="1:1">
      <c r="A8" t="s">
        <v>404</v>
      </c>
    </row>
    <row r="9" spans="1:1">
      <c r="A9" t="s">
        <v>405</v>
      </c>
    </row>
    <row r="11" spans="1:1">
      <c r="A11" t="s">
        <v>406</v>
      </c>
    </row>
    <row r="12" spans="1:1">
      <c r="A12" t="s">
        <v>407</v>
      </c>
    </row>
  </sheetData>
  <phoneticPr fontId="8"/>
  <pageMargins left="0.7" right="0.7" top="0.75" bottom="0.75" header="0.3" footer="0.3"/>
  <pageSetup paperSize="9" orientation="portrait"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10</vt:i4>
      </vt:variant>
    </vt:vector>
  </HeadingPairs>
  <TitlesOfParts>
    <vt:vector size="26" baseType="lpstr">
      <vt:lpstr>ReviseHistory</vt:lpstr>
      <vt:lpstr>MENU</vt:lpstr>
      <vt:lpstr>CFG-SHEET</vt:lpstr>
      <vt:lpstr>TABLE-CFG</vt:lpstr>
      <vt:lpstr>お支払明細書</vt:lpstr>
      <vt:lpstr>TABLE-CFG (2)</vt:lpstr>
      <vt:lpstr>FILE-CFG</vt:lpstr>
      <vt:lpstr>材料品在高ワーク</vt:lpstr>
      <vt:lpstr>還元データテーブル</vt:lpstr>
      <vt:lpstr>店マスタ</vt:lpstr>
      <vt:lpstr>楽天Edy</vt:lpstr>
      <vt:lpstr>TEST-DataSet</vt:lpstr>
      <vt:lpstr>BEAN_HEAD</vt:lpstr>
      <vt:lpstr>BEAN_COMMON</vt:lpstr>
      <vt:lpstr>SF_HEAD</vt:lpstr>
      <vt:lpstr>SF_CONSTRUCT</vt:lpstr>
      <vt:lpstr>お支払明細書!Print_Area</vt:lpstr>
      <vt:lpstr>楽天Edy!Print_Area</vt:lpstr>
      <vt:lpstr>還元データテーブル!Print_Area</vt:lpstr>
      <vt:lpstr>材料品在高ワーク!Print_Area</vt:lpstr>
      <vt:lpstr>店マスタ!Print_Area</vt:lpstr>
      <vt:lpstr>お支払明細書!Print_Titles</vt:lpstr>
      <vt:lpstr>楽天Edy!Print_Titles</vt:lpstr>
      <vt:lpstr>還元データテーブル!Print_Titles</vt:lpstr>
      <vt:lpstr>材料品在高ワーク!Print_Titles</vt:lpstr>
      <vt:lpstr>店マスタ!Print_Titles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zengj</dc:creator>
  <cp:lastModifiedBy>t78006</cp:lastModifiedBy>
  <dcterms:created xsi:type="dcterms:W3CDTF">2017-06-13T11:56:28Z</dcterms:created>
  <dcterms:modified xsi:type="dcterms:W3CDTF">2025-08-11T23:48:58Z</dcterms:modified>
</cp:coreProperties>
</file>