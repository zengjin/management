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saline\Desktop\work\04近鉄\02_UI工程\PDF化作業\2_機能要件（データ）\2-04_テーブル仕様\"/>
    </mc:Choice>
  </mc:AlternateContent>
  <bookViews>
    <workbookView xWindow="-15" yWindow="15" windowWidth="9720" windowHeight="11730" tabRatio="872" activeTab="1"/>
  </bookViews>
  <sheets>
    <sheet name="更新履歴" sheetId="22" r:id="rId1"/>
    <sheet name="店マスタ" sheetId="21" r:id="rId2"/>
  </sheets>
  <externalReferences>
    <externalReference r:id="rId3"/>
  </externalReferences>
  <definedNames>
    <definedName name="_Fill" hidden="1">#REF!</definedName>
    <definedName name="_xlnm._FilterDatabase" localSheetId="1" hidden="1">店マスタ!#REF!</definedName>
    <definedName name="_Key1" hidden="1">#REF!</definedName>
    <definedName name="_Key2" hidden="1">[1]案件元帳!$C$5:$C$80</definedName>
    <definedName name="_Order1" hidden="1">255</definedName>
    <definedName name="_Order2" hidden="1">255</definedName>
    <definedName name="_Regression_X" hidden="1">#REF!</definedName>
    <definedName name="_Sort" hidden="1">#REF!</definedName>
    <definedName name="aaaa" hidden="1">{"'フローチャート'!$A$1:$AO$191"}</definedName>
    <definedName name="aaaaaaaaaaaaaaaa" hidden="1">#REF!</definedName>
    <definedName name="aaaaaaaaaaaaaaaaaaaaa" hidden="1">#REF!</definedName>
    <definedName name="ＧＷメッセージ一覧" hidden="1">#REF!</definedName>
    <definedName name="HTML_CodePage" hidden="1">932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"[帳票管理資料.xls]集計表!$A$1:$R$32"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"帳票管理資料.xls"</definedName>
    <definedName name="HTML1_4" hidden="1">"集計表"</definedName>
    <definedName name="HTML1_5" hidden="1">""</definedName>
    <definedName name="HTML1_6" hidden="1">-4146</definedName>
    <definedName name="HTML1_7" hidden="1">-4146</definedName>
    <definedName name="HTML1_8" hidden="1">"97/07/14"</definedName>
    <definedName name="HTML1_9" hidden="1">"お客様各位"</definedName>
    <definedName name="HTMLCount" hidden="1">1</definedName>
    <definedName name="Ｉ" hidden="1">#REF!</definedName>
    <definedName name="ｊ" hidden="1">#REF!</definedName>
    <definedName name="ｋ" hidden="1">#REF!</definedName>
    <definedName name="ｌ" hidden="1">#REF!</definedName>
    <definedName name="ｍ" hidden="1">#REF!</definedName>
    <definedName name="ｎ" hidden="1">#REF!</definedName>
    <definedName name="ｐ" hidden="1">#REF!</definedName>
    <definedName name="_xlnm.Print_Area" localSheetId="1">店マスタ!$A$2:$CD$61</definedName>
    <definedName name="_xlnm.Print_Titles" localSheetId="1">店マスタ!$1:$7</definedName>
    <definedName name="ＱＱ" hidden="1">{"'フローチャート'!$A$1:$AO$191"}</definedName>
    <definedName name="test" hidden="1">#REF!</definedName>
    <definedName name="u" hidden="1">#REF!</definedName>
    <definedName name="WW" hidden="1">#REF!</definedName>
    <definedName name="z" hidden="1">#REF!</definedName>
    <definedName name="あ" hidden="1">{"'フローチャート'!$A$1:$AO$191"}</definedName>
    <definedName name="ああああ" hidden="1">#REF!</definedName>
    <definedName name="プレーヤー区分" hidden="1">#REF!</definedName>
    <definedName name="安藤" hidden="1">#REF!</definedName>
    <definedName name="改ページ" hidden="1">#REF!</definedName>
    <definedName name="関連表" hidden="1">#REF!</definedName>
    <definedName name="住所区分" hidden="1">#REF!</definedName>
    <definedName name="束原" hidden="1">#REF!</definedName>
    <definedName name="表1" hidden="1">#REF!</definedName>
  </definedNames>
  <calcPr calcId="152511"/>
</workbook>
</file>

<file path=xl/calcChain.xml><?xml version="1.0" encoding="utf-8"?>
<calcChain xmlns="http://schemas.openxmlformats.org/spreadsheetml/2006/main">
  <c r="AS23" i="21" l="1"/>
  <c r="AS24" i="21"/>
  <c r="AS25" i="21"/>
  <c r="AS26" i="21"/>
  <c r="AS27" i="21"/>
  <c r="AS28" i="21"/>
  <c r="AS29" i="21"/>
  <c r="AS30" i="21"/>
  <c r="AS31" i="21"/>
  <c r="AS32" i="21"/>
  <c r="AS33" i="21"/>
  <c r="AS34" i="21"/>
  <c r="AS35" i="21"/>
  <c r="AS36" i="21"/>
  <c r="AS37" i="21"/>
  <c r="AS38" i="21"/>
  <c r="AS9" i="21" l="1"/>
  <c r="AS10" i="21"/>
  <c r="AS11" i="21"/>
  <c r="AS12" i="21"/>
  <c r="AS13" i="21"/>
  <c r="AS14" i="21"/>
  <c r="AS15" i="21"/>
  <c r="AS16" i="21"/>
  <c r="AS17" i="21"/>
  <c r="AS18" i="21"/>
  <c r="AS19" i="21"/>
  <c r="AS20" i="21"/>
  <c r="AS21" i="21"/>
  <c r="AS22" i="21"/>
  <c r="AS8" i="21"/>
  <c r="B9" i="21" l="1"/>
  <c r="B10" i="21" l="1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B11" i="21" l="1"/>
  <c r="B12" i="21" l="1"/>
  <c r="B13" i="21" s="1"/>
  <c r="B14" i="21" l="1"/>
  <c r="B15" i="21" l="1"/>
  <c r="B16" i="21" s="1"/>
  <c r="B17" i="21" s="1"/>
  <c r="B18" i="21" l="1"/>
  <c r="B19" i="21" s="1"/>
  <c r="B20" i="21" l="1"/>
  <c r="B21" i="21" s="1"/>
  <c r="B22" i="21" l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AR5" i="21" s="1"/>
</calcChain>
</file>

<file path=xl/sharedStrings.xml><?xml version="1.0" encoding="utf-8"?>
<sst xmlns="http://schemas.openxmlformats.org/spreadsheetml/2006/main" count="252" uniqueCount="120">
  <si>
    <t>サブシステム分類</t>
    <phoneticPr fontId="4"/>
  </si>
  <si>
    <t>ドキュメント ID</t>
    <phoneticPr fontId="4"/>
  </si>
  <si>
    <t>ドキュメント名</t>
    <phoneticPr fontId="4"/>
  </si>
  <si>
    <t>更新者</t>
    <rPh sb="0" eb="3">
      <t>コウシンシャ</t>
    </rPh>
    <phoneticPr fontId="4"/>
  </si>
  <si>
    <t>最終更新日</t>
    <rPh sb="0" eb="2">
      <t>サイシュウ</t>
    </rPh>
    <rPh sb="2" eb="5">
      <t>コウシンビ</t>
    </rPh>
    <phoneticPr fontId="4"/>
  </si>
  <si>
    <t>履歴</t>
    <rPh sb="0" eb="2">
      <t>リレキ</t>
    </rPh>
    <phoneticPr fontId="4"/>
  </si>
  <si>
    <t>作成者</t>
    <rPh sb="0" eb="3">
      <t>サクセイシャ</t>
    </rPh>
    <phoneticPr fontId="4"/>
  </si>
  <si>
    <t>作成日</t>
    <rPh sb="0" eb="3">
      <t>サクセイビ</t>
    </rPh>
    <phoneticPr fontId="4"/>
  </si>
  <si>
    <t>富士通</t>
    <rPh sb="0" eb="3">
      <t>フジツウ</t>
    </rPh>
    <phoneticPr fontId="4"/>
  </si>
  <si>
    <t>第1版</t>
    <rPh sb="0" eb="1">
      <t>ダイ</t>
    </rPh>
    <rPh sb="2" eb="3">
      <t>ハン</t>
    </rPh>
    <phoneticPr fontId="4"/>
  </si>
  <si>
    <t>備考</t>
    <rPh sb="0" eb="2">
      <t>ビコウ</t>
    </rPh>
    <phoneticPr fontId="4"/>
  </si>
  <si>
    <t>更新者名</t>
    <rPh sb="0" eb="3">
      <t>コウシンシャ</t>
    </rPh>
    <rPh sb="3" eb="4">
      <t>メイ</t>
    </rPh>
    <phoneticPr fontId="4"/>
  </si>
  <si>
    <t>更新内容</t>
    <rPh sb="0" eb="2">
      <t>コウシン</t>
    </rPh>
    <rPh sb="2" eb="4">
      <t>ナイヨウ</t>
    </rPh>
    <phoneticPr fontId="4"/>
  </si>
  <si>
    <t>更新資料（シート名）</t>
    <rPh sb="0" eb="2">
      <t>コウシン</t>
    </rPh>
    <rPh sb="2" eb="4">
      <t>シリョウ</t>
    </rPh>
    <rPh sb="8" eb="9">
      <t>メイ</t>
    </rPh>
    <phoneticPr fontId="4"/>
  </si>
  <si>
    <t>更新日付</t>
    <rPh sb="0" eb="2">
      <t>コウシン</t>
    </rPh>
    <rPh sb="2" eb="4">
      <t>ヒヅケ</t>
    </rPh>
    <phoneticPr fontId="4"/>
  </si>
  <si>
    <t>№</t>
    <phoneticPr fontId="4"/>
  </si>
  <si>
    <t>更新履歴</t>
    <rPh sb="0" eb="2">
      <t>コウシン</t>
    </rPh>
    <rPh sb="2" eb="4">
      <t>リレキ</t>
    </rPh>
    <phoneticPr fontId="4"/>
  </si>
  <si>
    <t>初版</t>
    <rPh sb="0" eb="2">
      <t>ショハン</t>
    </rPh>
    <phoneticPr fontId="4"/>
  </si>
  <si>
    <t>a</t>
    <phoneticPr fontId="4"/>
  </si>
  <si>
    <t>a</t>
    <phoneticPr fontId="4"/>
  </si>
  <si>
    <t>項番</t>
    <rPh sb="0" eb="1">
      <t>コウ</t>
    </rPh>
    <rPh sb="1" eb="2">
      <t>バン</t>
    </rPh>
    <phoneticPr fontId="4"/>
  </si>
  <si>
    <t>項目論理名称</t>
    <rPh sb="0" eb="2">
      <t>コウモク</t>
    </rPh>
    <rPh sb="2" eb="4">
      <t>ロンリ</t>
    </rPh>
    <rPh sb="4" eb="6">
      <t>メイショウ</t>
    </rPh>
    <phoneticPr fontId="4"/>
  </si>
  <si>
    <t>項目物理名称</t>
    <rPh sb="0" eb="2">
      <t>コウモク</t>
    </rPh>
    <rPh sb="2" eb="4">
      <t>ブツリ</t>
    </rPh>
    <rPh sb="4" eb="6">
      <t>メイショウ</t>
    </rPh>
    <phoneticPr fontId="4"/>
  </si>
  <si>
    <t>PKey</t>
    <phoneticPr fontId="4"/>
  </si>
  <si>
    <t>IDX1</t>
    <phoneticPr fontId="4"/>
  </si>
  <si>
    <t>IDX2</t>
    <phoneticPr fontId="4"/>
  </si>
  <si>
    <t>IDX3</t>
    <phoneticPr fontId="4"/>
  </si>
  <si>
    <t>NOTNULL</t>
    <phoneticPr fontId="4"/>
  </si>
  <si>
    <t>Byte</t>
    <phoneticPr fontId="4"/>
  </si>
  <si>
    <t>項目説明</t>
    <rPh sb="0" eb="2">
      <t>コウモク</t>
    </rPh>
    <rPh sb="2" eb="4">
      <t>セツメイ</t>
    </rPh>
    <phoneticPr fontId="4"/>
  </si>
  <si>
    <t>概念データ名／ID</t>
    <rPh sb="0" eb="2">
      <t>ガイネン</t>
    </rPh>
    <rPh sb="5" eb="6">
      <t>メイ</t>
    </rPh>
    <phoneticPr fontId="4"/>
  </si>
  <si>
    <t xml:space="preserve"> 最大レコード長</t>
    <rPh sb="1" eb="3">
      <t>サイダイ</t>
    </rPh>
    <rPh sb="7" eb="8">
      <t>チョウ</t>
    </rPh>
    <phoneticPr fontId="4"/>
  </si>
  <si>
    <t>全シート</t>
    <rPh sb="0" eb="1">
      <t>ゼン</t>
    </rPh>
    <phoneticPr fontId="4"/>
  </si>
  <si>
    <t>用途</t>
    <rPh sb="0" eb="2">
      <t>ヨウト</t>
    </rPh>
    <phoneticPr fontId="4"/>
  </si>
  <si>
    <t>富士通）佐藤</t>
    <rPh sb="0" eb="3">
      <t>フジツウ</t>
    </rPh>
    <rPh sb="4" eb="6">
      <t>サトウ</t>
    </rPh>
    <phoneticPr fontId="4"/>
  </si>
  <si>
    <t>マスタ管理</t>
    <rPh sb="3" eb="5">
      <t>カンリ</t>
    </rPh>
    <phoneticPr fontId="4"/>
  </si>
  <si>
    <t>ユーザインタフェース
設計書</t>
    <rPh sb="11" eb="14">
      <t>セッケイショ</t>
    </rPh>
    <phoneticPr fontId="4"/>
  </si>
  <si>
    <t>テーブル定義</t>
    <rPh sb="4" eb="6">
      <t>テイギ</t>
    </rPh>
    <phoneticPr fontId="4"/>
  </si>
  <si>
    <t>OID</t>
    <phoneticPr fontId="4"/>
  </si>
  <si>
    <t>character varying</t>
  </si>
  <si>
    <t>DEFAULT</t>
    <phoneticPr fontId="4"/>
  </si>
  <si>
    <t>Type</t>
    <phoneticPr fontId="4"/>
  </si>
  <si>
    <t>numeric</t>
  </si>
  <si>
    <t>N</t>
    <phoneticPr fontId="4"/>
  </si>
  <si>
    <t>全体
桁数</t>
    <rPh sb="0" eb="2">
      <t>ゼンタイ</t>
    </rPh>
    <rPh sb="3" eb="4">
      <t>ケタ</t>
    </rPh>
    <rPh sb="4" eb="5">
      <t>スウ</t>
    </rPh>
    <phoneticPr fontId="4"/>
  </si>
  <si>
    <t>小数
桁数</t>
    <rPh sb="0" eb="2">
      <t>ショウスウ</t>
    </rPh>
    <rPh sb="3" eb="4">
      <t>ケタ</t>
    </rPh>
    <rPh sb="4" eb="5">
      <t>スウ</t>
    </rPh>
    <phoneticPr fontId="4"/>
  </si>
  <si>
    <t>※N：全角文字 or 半角文字（ｶﾅ含む）</t>
    <phoneticPr fontId="4"/>
  </si>
  <si>
    <t>timestamp</t>
    <phoneticPr fontId="4"/>
  </si>
  <si>
    <t>店マスタ</t>
    <rPh sb="0" eb="1">
      <t>ミセ</t>
    </rPh>
    <phoneticPr fontId="4"/>
  </si>
  <si>
    <t>／</t>
  </si>
  <si>
    <t>LMA04_MISE</t>
  </si>
  <si>
    <t>企業グループコード</t>
    <rPh sb="0" eb="2">
      <t>キギョウ</t>
    </rPh>
    <phoneticPr fontId="3"/>
  </si>
  <si>
    <t>KGYGRPCD</t>
  </si>
  <si>
    <t>○</t>
  </si>
  <si>
    <t>店コード</t>
    <rPh sb="0" eb="1">
      <t>ミセ</t>
    </rPh>
    <phoneticPr fontId="3"/>
  </si>
  <si>
    <t>MISECD</t>
  </si>
  <si>
    <t>開始日</t>
    <rPh sb="0" eb="2">
      <t>カイシ</t>
    </rPh>
    <rPh sb="2" eb="3">
      <t>ヒ</t>
    </rPh>
    <phoneticPr fontId="3"/>
  </si>
  <si>
    <t>STARTYMD</t>
  </si>
  <si>
    <t>終了日</t>
    <rPh sb="0" eb="2">
      <t>シュウリョウ</t>
    </rPh>
    <rPh sb="2" eb="3">
      <t>ヒ</t>
    </rPh>
    <phoneticPr fontId="3"/>
  </si>
  <si>
    <t>ENDYMD</t>
  </si>
  <si>
    <t>店名漢字</t>
    <rPh sb="0" eb="1">
      <t>ミセ</t>
    </rPh>
    <phoneticPr fontId="3"/>
  </si>
  <si>
    <t>MISENMKJ</t>
  </si>
  <si>
    <t>店名カナ</t>
    <rPh sb="0" eb="1">
      <t>ミセ</t>
    </rPh>
    <phoneticPr fontId="3"/>
  </si>
  <si>
    <t>MISENMKN</t>
  </si>
  <si>
    <t>企業コード</t>
  </si>
  <si>
    <t>KGYCD</t>
  </si>
  <si>
    <t>商品勘定対象店</t>
    <rPh sb="0" eb="2">
      <t>ショウヒン</t>
    </rPh>
    <rPh sb="2" eb="4">
      <t>カンジョウ</t>
    </rPh>
    <rPh sb="4" eb="6">
      <t>タイショウ</t>
    </rPh>
    <rPh sb="6" eb="7">
      <t>テン</t>
    </rPh>
    <phoneticPr fontId="3"/>
  </si>
  <si>
    <t>SHHNKANJOTAISHOTEN</t>
  </si>
  <si>
    <t>母店コード</t>
  </si>
  <si>
    <t>BOTENCD</t>
  </si>
  <si>
    <t>集計店コード１</t>
    <rPh sb="0" eb="2">
      <t>シュウケイ</t>
    </rPh>
    <rPh sb="2" eb="3">
      <t>ミセ</t>
    </rPh>
    <phoneticPr fontId="3"/>
  </si>
  <si>
    <t>SUMMISECD1</t>
  </si>
  <si>
    <t>集計店コード２</t>
    <rPh sb="0" eb="2">
      <t>シュウケイ</t>
    </rPh>
    <rPh sb="2" eb="3">
      <t>ミセ</t>
    </rPh>
    <phoneticPr fontId="3"/>
  </si>
  <si>
    <t>SUMMISECD2</t>
  </si>
  <si>
    <t>集計店コード３</t>
    <rPh sb="0" eb="2">
      <t>シュウケイ</t>
    </rPh>
    <rPh sb="2" eb="3">
      <t>ミセ</t>
    </rPh>
    <phoneticPr fontId="3"/>
  </si>
  <si>
    <t>SUMMISECD3</t>
  </si>
  <si>
    <t>表示順１</t>
    <rPh sb="0" eb="2">
      <t>ヒョウジ</t>
    </rPh>
    <rPh sb="2" eb="3">
      <t>ジュン</t>
    </rPh>
    <phoneticPr fontId="3"/>
  </si>
  <si>
    <t>DISPSEQ1</t>
  </si>
  <si>
    <t>表示順２</t>
    <rPh sb="0" eb="2">
      <t>ヒョウジ</t>
    </rPh>
    <rPh sb="2" eb="3">
      <t>ジュン</t>
    </rPh>
    <phoneticPr fontId="3"/>
  </si>
  <si>
    <t>DISPSEQ2</t>
  </si>
  <si>
    <t>表示順３</t>
    <rPh sb="0" eb="2">
      <t>ヒョウジ</t>
    </rPh>
    <rPh sb="2" eb="3">
      <t>ジュン</t>
    </rPh>
    <phoneticPr fontId="3"/>
  </si>
  <si>
    <t>DISPSEQ3</t>
  </si>
  <si>
    <t>郵便番号</t>
    <rPh sb="0" eb="2">
      <t>ユウビン</t>
    </rPh>
    <rPh sb="2" eb="4">
      <t>バンゴウ</t>
    </rPh>
    <phoneticPr fontId="3"/>
  </si>
  <si>
    <t>POSTNO</t>
  </si>
  <si>
    <t>住所都道府県</t>
  </si>
  <si>
    <t>JSHTDFKN</t>
  </si>
  <si>
    <t>住所市区町村</t>
    <rPh sb="2" eb="4">
      <t>シク</t>
    </rPh>
    <rPh sb="4" eb="6">
      <t>チョウソン</t>
    </rPh>
    <phoneticPr fontId="3"/>
  </si>
  <si>
    <t>JSHSKCHSN</t>
  </si>
  <si>
    <t>住所番地１</t>
    <rPh sb="0" eb="2">
      <t>ジュウショ</t>
    </rPh>
    <rPh sb="2" eb="4">
      <t>バンチ</t>
    </rPh>
    <phoneticPr fontId="3"/>
  </si>
  <si>
    <t>JSHBNCH1</t>
  </si>
  <si>
    <t>住所番地２</t>
    <rPh sb="0" eb="2">
      <t>ジュウショ</t>
    </rPh>
    <rPh sb="2" eb="4">
      <t>バンチ</t>
    </rPh>
    <phoneticPr fontId="3"/>
  </si>
  <si>
    <t>JSHBNCH2</t>
  </si>
  <si>
    <t>電話番号</t>
    <rPh sb="0" eb="2">
      <t>デンワ</t>
    </rPh>
    <rPh sb="2" eb="4">
      <t>バンゴウ</t>
    </rPh>
    <phoneticPr fontId="3"/>
  </si>
  <si>
    <t>TEL</t>
  </si>
  <si>
    <t>ＦＡＸ番号</t>
    <rPh sb="3" eb="5">
      <t>バンゴウ</t>
    </rPh>
    <phoneticPr fontId="3"/>
  </si>
  <si>
    <t>FAX</t>
  </si>
  <si>
    <t>削除日時</t>
    <rPh sb="0" eb="2">
      <t>サクジョ</t>
    </rPh>
    <rPh sb="2" eb="4">
      <t>ニチジ</t>
    </rPh>
    <phoneticPr fontId="4"/>
  </si>
  <si>
    <t>DELDTE</t>
  </si>
  <si>
    <t>登録日時</t>
    <rPh sb="0" eb="2">
      <t>トウロク</t>
    </rPh>
    <rPh sb="2" eb="3">
      <t>ヒ</t>
    </rPh>
    <rPh sb="3" eb="4">
      <t>トキ</t>
    </rPh>
    <phoneticPr fontId="4"/>
  </si>
  <si>
    <t>INSTDTE</t>
  </si>
  <si>
    <t>登録ユーザID</t>
    <rPh sb="0" eb="2">
      <t>トウロク</t>
    </rPh>
    <phoneticPr fontId="4"/>
  </si>
  <si>
    <t>INSTUSRID</t>
  </si>
  <si>
    <t>登録プログラムID</t>
    <rPh sb="0" eb="2">
      <t>トウロク</t>
    </rPh>
    <phoneticPr fontId="4"/>
  </si>
  <si>
    <t>INSTPRGID</t>
  </si>
  <si>
    <t>登録IPアドレス</t>
    <rPh sb="0" eb="2">
      <t>トウロク</t>
    </rPh>
    <phoneticPr fontId="4"/>
  </si>
  <si>
    <t>INSIPADDR</t>
  </si>
  <si>
    <t>更新日時</t>
    <rPh sb="0" eb="2">
      <t>コウシン</t>
    </rPh>
    <rPh sb="2" eb="4">
      <t>ニチジ</t>
    </rPh>
    <phoneticPr fontId="4"/>
  </si>
  <si>
    <t>UPDDTE</t>
  </si>
  <si>
    <t>更新ユーザID</t>
    <rPh sb="0" eb="2">
      <t>コウシン</t>
    </rPh>
    <phoneticPr fontId="4"/>
  </si>
  <si>
    <t>UPDUSRID</t>
  </si>
  <si>
    <t>更新プログラムID</t>
    <rPh sb="0" eb="2">
      <t>コウシン</t>
    </rPh>
    <phoneticPr fontId="4"/>
  </si>
  <si>
    <t>UPDPRGID</t>
  </si>
  <si>
    <t>更新IPアドレス</t>
    <rPh sb="0" eb="2">
      <t>コウシン</t>
    </rPh>
    <phoneticPr fontId="4"/>
  </si>
  <si>
    <t>UPDIPADDR</t>
  </si>
  <si>
    <t>全角</t>
    <rPh sb="0" eb="2">
      <t>ゼンカク</t>
    </rPh>
    <phoneticPr fontId="4"/>
  </si>
  <si>
    <t>半角</t>
    <rPh sb="0" eb="2">
      <t>ハンカク</t>
    </rPh>
    <phoneticPr fontId="4"/>
  </si>
  <si>
    <t>0:対象外 1:対象</t>
  </si>
  <si>
    <t>左詰２桁</t>
    <rPh sb="0" eb="2">
      <t>ヒダリヅメ</t>
    </rPh>
    <rPh sb="3" eb="4">
      <t>ケタ</t>
    </rPh>
    <phoneticPr fontId="4"/>
  </si>
  <si>
    <t>左詰２桁</t>
  </si>
  <si>
    <t>○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</si>
</sst>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0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&quot;第&quot;0&quot;版&quot;"/>
    <numFmt numFmtId="177" formatCode="0_ "/>
    <numFmt numFmtId="178" formatCode="?"/>
    <numFmt numFmtId="179" formatCode=";;;"/>
    <numFmt numFmtId="180" formatCode="&quot;$&quot;#,##0_);\(&quot;$&quot;#,##0\)"/>
    <numFmt numFmtId="181" formatCode="#,##0.0;[Red]\-#,##0.0"/>
    <numFmt numFmtId="182" formatCode="General_)"/>
    <numFmt numFmtId="183" formatCode="&quot;¥&quot;&quot;¥&quot;&quot;¥&quot;&quot;¥&quot;&quot;¥&quot;&quot;¥&quot;&quot;¥&quot;\$#,##0_);[Red]&quot;¥&quot;&quot;¥&quot;&quot;¥&quot;&quot;¥&quot;&quot;¥&quot;&quot;¥&quot;&quot;¥&quot;\(&quot;¥&quot;&quot;¥&quot;&quot;¥&quot;&quot;¥&quot;&quot;¥&quot;&quot;¥&quot;&quot;¥&quot;\$#,##0&quot;¥&quot;&quot;¥&quot;&quot;¥&quot;&quot;¥&quot;&quot;¥&quot;&quot;¥&quot;&quot;¥&quot;\)"/>
    <numFmt numFmtId="184" formatCode="&quot;$&quot;#,##0_);[Red]\(&quot;$&quot;#,##0\)"/>
    <numFmt numFmtId="185" formatCode="_(&quot;$&quot;* #,##0.00_);_(&quot;$&quot;* \(#,##0.00\);_(&quot;$&quot;* &quot;-&quot;??_);_(@_)"/>
    <numFmt numFmtId="186" formatCode="_ * #,##0_ ;_ * &quot;¥&quot;&quot;¥&quot;&quot;¥&quot;&quot;¥&quot;&quot;¥&quot;&quot;¥&quot;\-#,##0_ ;_ * &quot;-&quot;_ ;_ @_ "/>
    <numFmt numFmtId="187" formatCode="_ * #,##0.00_ ;_ * &quot;¥&quot;&quot;¥&quot;&quot;¥&quot;&quot;¥&quot;&quot;¥&quot;&quot;¥&quot;\-#,##0.00_ ;_ * &quot;-&quot;??_ ;_ @_ "/>
    <numFmt numFmtId="188" formatCode="_(&quot;$&quot;* #,##0.0_);_(&quot;$&quot;* \(#,##0.0\);_(&quot;$&quot;* &quot;-&quot;??_);_(@_)"/>
    <numFmt numFmtId="189" formatCode="&quot;¥&quot;#,##0.00;[Red]&quot;¥&quot;&quot;¥&quot;&quot;¥&quot;\-#,##0.00"/>
    <numFmt numFmtId="190" formatCode="0.0%"/>
    <numFmt numFmtId="191" formatCode="yyyy/mm/dd"/>
    <numFmt numFmtId="192" formatCode="_(&quot;$&quot;* #,##0_);_(&quot;$&quot;* \(#,##0\);_(&quot;$&quot;* &quot;-&quot;_);_(@_)"/>
    <numFmt numFmtId="193" formatCode="0_);\(0\)"/>
    <numFmt numFmtId="194" formatCode="_-* #,##0.0_-;\-* #,##0.0_-;_-* &quot;-&quot;??_-;_-@_-"/>
    <numFmt numFmtId="195" formatCode="dd"/>
    <numFmt numFmtId="196" formatCode="&quot;$&quot;#,##0.00_);[Red]\(&quot;$&quot;#,##0.00\)"/>
    <numFmt numFmtId="197" formatCode="#,##0_ ;[Red]\-#,##0\ "/>
    <numFmt numFmtId="198" formatCode="#,##0.0&quot;人月&quot;"/>
    <numFmt numFmtId="199" formatCode="0_ ;[Red]\-0\ "/>
    <numFmt numFmtId="200" formatCode="#,##0.00_ ;[Red]\-#,##0.00\ "/>
    <numFmt numFmtId="201" formatCode="#,##0_ "/>
    <numFmt numFmtId="202" formatCode="0.00000_ "/>
    <numFmt numFmtId="203" formatCode="0%;\(0%\)"/>
    <numFmt numFmtId="204" formatCode="#,##0.0_);\(#,##0.0\)"/>
    <numFmt numFmtId="205" formatCode="&quot;$&quot;#,##0.00_);\(&quot;$&quot;#,##0.00\)"/>
    <numFmt numFmtId="206" formatCode="d\.m\.yy"/>
    <numFmt numFmtId="207" formatCode="d\.mmm"/>
    <numFmt numFmtId="208" formatCode="#,##0.00&quot; F&quot;_);\(#,##0.00&quot; F&quot;\)"/>
    <numFmt numFmtId="209" formatCode="#,##0&quot; $&quot;;\-#,##0&quot; $&quot;"/>
    <numFmt numFmtId="210" formatCode="yy/m/d"/>
    <numFmt numFmtId="211" formatCode="0;0;"/>
  </numFmts>
  <fonts count="8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color indexed="8"/>
      <name val="HGSｺﾞｼｯｸM"/>
      <family val="3"/>
      <charset val="128"/>
    </font>
    <font>
      <b/>
      <sz val="18"/>
      <color indexed="12"/>
      <name val="ＭＳ ゴシック"/>
      <family val="3"/>
      <charset val="128"/>
    </font>
    <font>
      <sz val="10"/>
      <name val="中ゴシックＢＢＢ"/>
      <family val="3"/>
      <charset val="128"/>
    </font>
    <font>
      <b/>
      <sz val="11"/>
      <name val="Arial"/>
      <family val="2"/>
    </font>
    <font>
      <b/>
      <sz val="10"/>
      <name val="MS Sans Serif"/>
      <family val="2"/>
    </font>
    <font>
      <b/>
      <sz val="12"/>
      <name val="Helv"/>
      <family val="2"/>
    </font>
    <font>
      <sz val="12"/>
      <name val="Helv"/>
      <family val="2"/>
    </font>
    <font>
      <sz val="10"/>
      <name val="MS Sans Serif"/>
      <family val="2"/>
    </font>
    <font>
      <sz val="11"/>
      <name val="ＭＳ ゴシック"/>
      <family val="3"/>
      <charset val="128"/>
    </font>
    <font>
      <sz val="10"/>
      <name val="Arial"/>
      <family val="2"/>
    </font>
    <font>
      <sz val="12"/>
      <name val="ＭＳ ゴシック"/>
      <family val="3"/>
      <charset val="128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22"/>
      <name val="ＭＳ 明朝"/>
      <family val="1"/>
      <charset val="128"/>
    </font>
    <font>
      <sz val="12"/>
      <name val="中ゴシック体"/>
      <family val="3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b/>
      <i/>
      <sz val="14"/>
      <name val="中ゴシックＢＢＢ"/>
      <family val="3"/>
      <charset val="128"/>
    </font>
    <font>
      <sz val="12"/>
      <name val="ＭＳ Ｐゴシック"/>
      <family val="3"/>
      <charset val="128"/>
    </font>
    <font>
      <sz val="10"/>
      <name val="中ゴシック体"/>
      <family val="3"/>
      <charset val="128"/>
    </font>
    <font>
      <sz val="14"/>
      <name val="ＭＳ 明朝"/>
      <family val="1"/>
      <charset val="128"/>
    </font>
    <font>
      <b/>
      <i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color indexed="16"/>
      <name val="ＭＳ Ｐゴシック"/>
      <family val="3"/>
      <charset val="128"/>
    </font>
    <font>
      <sz val="9"/>
      <color indexed="27"/>
      <name val="明朝"/>
      <family val="1"/>
      <charset val="128"/>
    </font>
    <font>
      <sz val="10"/>
      <name val="ＭＳ Ｐ明朝"/>
      <family val="1"/>
      <charset val="128"/>
    </font>
    <font>
      <sz val="9"/>
      <name val="Helv"/>
      <family val="2"/>
    </font>
    <font>
      <b/>
      <sz val="10"/>
      <name val="Helv"/>
      <family val="2"/>
    </font>
    <font>
      <sz val="10"/>
      <color indexed="0"/>
      <name val="MS Sans Serif"/>
      <family val="2"/>
    </font>
    <font>
      <sz val="10"/>
      <color indexed="8"/>
      <name val="Arial"/>
      <family val="2"/>
    </font>
    <font>
      <sz val="11"/>
      <name val="ＭＳ Ｐ明朝"/>
      <family val="1"/>
      <charset val="128"/>
    </font>
    <font>
      <sz val="9"/>
      <name val="Times New Roman"/>
      <family val="1"/>
    </font>
    <font>
      <sz val="9"/>
      <name val="ＭＳ 明朝"/>
      <family val="1"/>
      <charset val="128"/>
    </font>
    <font>
      <sz val="14"/>
      <name val="ＭＳ ゴシック"/>
      <family val="3"/>
      <charset val="128"/>
    </font>
    <font>
      <b/>
      <sz val="11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1"/>
      <color indexed="48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明朝"/>
      <family val="1"/>
      <charset val="128"/>
    </font>
    <font>
      <sz val="10"/>
      <name val="Geneva"/>
      <family val="2"/>
    </font>
    <font>
      <sz val="9"/>
      <color indexed="18"/>
      <name val="ＭＳ 明朝"/>
      <family val="1"/>
      <charset val="128"/>
    </font>
    <font>
      <u/>
      <sz val="11"/>
      <color indexed="36"/>
      <name val="ＭＳ Ｐゴシック"/>
      <family val="3"/>
      <charset val="128"/>
    </font>
    <font>
      <sz val="10"/>
      <color indexed="8"/>
      <name val="MS Sans Serif"/>
      <family val="2"/>
    </font>
    <font>
      <sz val="10"/>
      <name val="Helv"/>
      <family val="2"/>
    </font>
    <font>
      <sz val="13"/>
      <name val="Tms Rmn"/>
      <family val="1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3"/>
      <name val="Tms Rmn"/>
      <family val="1"/>
    </font>
    <font>
      <sz val="10"/>
      <name val="Times New Roman"/>
      <family val="1"/>
    </font>
    <font>
      <sz val="8"/>
      <name val="ＭＳ 明朝"/>
      <family val="1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7"/>
      <name val="ＭＳ 明朝"/>
      <family val="1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  <fill>
      <patternFill patternType="solid">
        <fgColor indexed="9"/>
      </patternFill>
    </fill>
    <fill>
      <patternFill patternType="lightGray"/>
    </fill>
    <fill>
      <patternFill patternType="solid">
        <fgColor indexed="31"/>
        <bgColor indexed="64"/>
      </patternFill>
    </fill>
    <fill>
      <patternFill patternType="mediumGray">
        <fgColor indexed="8"/>
        <bgColor indexed="37"/>
      </patternFill>
    </fill>
    <fill>
      <patternFill patternType="solid">
        <fgColor indexed="1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264">
    <xf numFmtId="0" fontId="0" fillId="0" borderId="0">
      <alignment vertical="center"/>
    </xf>
    <xf numFmtId="178" fontId="7" fillId="0" borderId="1">
      <alignment horizontal="right"/>
    </xf>
    <xf numFmtId="0" fontId="8" fillId="0" borderId="0"/>
    <xf numFmtId="179" fontId="9" fillId="0" borderId="0" applyFont="0" applyFill="0" applyBorder="0" applyAlignment="0" applyProtection="0">
      <alignment horizontal="right"/>
    </xf>
    <xf numFmtId="180" fontId="10" fillId="0" borderId="2" applyAlignment="0" applyProtection="0"/>
    <xf numFmtId="181" fontId="3" fillId="0" borderId="0" applyFill="0" applyBorder="0" applyAlignment="0"/>
    <xf numFmtId="182" fontId="11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38" fontId="13" fillId="0" borderId="0" applyFont="0" applyFill="0" applyBorder="0" applyAlignment="0" applyProtection="0"/>
    <xf numFmtId="183" fontId="14" fillId="0" borderId="0"/>
    <xf numFmtId="0" fontId="16" fillId="0" borderId="0" applyNumberFormat="0" applyFont="0" applyBorder="0" applyAlignment="0" applyProtection="0"/>
    <xf numFmtId="184" fontId="13" fillId="0" borderId="0" applyFont="0" applyFill="0" applyBorder="0" applyAlignment="0" applyProtection="0"/>
    <xf numFmtId="186" fontId="14" fillId="0" borderId="0"/>
    <xf numFmtId="187" fontId="14" fillId="0" borderId="0"/>
    <xf numFmtId="38" fontId="17" fillId="2" borderId="0" applyNumberFormat="0" applyBorder="0" applyAlignment="0" applyProtection="0"/>
    <xf numFmtId="188" fontId="9" fillId="0" borderId="0" applyNumberFormat="0" applyFill="0" applyBorder="0" applyProtection="0">
      <alignment horizontal="right"/>
    </xf>
    <xf numFmtId="0" fontId="18" fillId="0" borderId="3" applyNumberFormat="0" applyAlignment="0" applyProtection="0">
      <alignment horizontal="left" vertical="center"/>
    </xf>
    <xf numFmtId="0" fontId="18" fillId="0" borderId="4">
      <alignment horizontal="left" vertical="center"/>
    </xf>
    <xf numFmtId="0" fontId="19" fillId="0" borderId="0" applyBorder="0"/>
    <xf numFmtId="10" fontId="17" fillId="3" borderId="1" applyNumberFormat="0" applyBorder="0" applyAlignment="0" applyProtection="0"/>
    <xf numFmtId="0" fontId="19" fillId="0" borderId="0"/>
    <xf numFmtId="189" fontId="3" fillId="0" borderId="0"/>
    <xf numFmtId="19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0" fillId="0" borderId="5">
      <alignment horizontal="center"/>
    </xf>
    <xf numFmtId="3" fontId="13" fillId="0" borderId="0" applyFont="0" applyFill="0" applyBorder="0" applyAlignment="0" applyProtection="0"/>
    <xf numFmtId="0" fontId="13" fillId="4" borderId="0" applyNumberFormat="0" applyFont="0" applyBorder="0" applyAlignment="0" applyProtection="0"/>
    <xf numFmtId="0" fontId="20" fillId="0" borderId="0">
      <alignment vertical="center"/>
    </xf>
    <xf numFmtId="0" fontId="21" fillId="0" borderId="0"/>
    <xf numFmtId="0" fontId="5" fillId="0" borderId="0"/>
    <xf numFmtId="0" fontId="22" fillId="0" borderId="0">
      <alignment vertical="top" wrapText="1"/>
    </xf>
    <xf numFmtId="0" fontId="5" fillId="0" borderId="0">
      <alignment vertical="center"/>
    </xf>
    <xf numFmtId="0" fontId="23" fillId="5" borderId="0"/>
    <xf numFmtId="0" fontId="24" fillId="0" borderId="6">
      <alignment horizontal="left"/>
    </xf>
    <xf numFmtId="177" fontId="25" fillId="0" borderId="7" applyNumberFormat="0" applyFont="0" applyAlignment="0" applyProtection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1" fillId="0" borderId="0"/>
    <xf numFmtId="0" fontId="27" fillId="0" borderId="0"/>
    <xf numFmtId="0" fontId="28" fillId="6" borderId="0">
      <alignment horizontal="center"/>
    </xf>
    <xf numFmtId="192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0" fontId="19" fillId="0" borderId="0"/>
    <xf numFmtId="4" fontId="31" fillId="8" borderId="0" applyNumberFormat="0" applyBorder="0" applyAlignment="0" applyProtection="0">
      <alignment horizontal="left"/>
    </xf>
    <xf numFmtId="0" fontId="32" fillId="0" borderId="0">
      <alignment vertical="center" wrapText="1"/>
    </xf>
    <xf numFmtId="193" fontId="33" fillId="0" borderId="0" applyFill="0" applyBorder="0" applyAlignment="0"/>
    <xf numFmtId="20" fontId="3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20" fontId="3" fillId="0" borderId="0" applyFill="0" applyBorder="0" applyAlignment="0"/>
    <xf numFmtId="0" fontId="15" fillId="0" borderId="0" applyFill="0" applyBorder="0" applyAlignment="0"/>
    <xf numFmtId="193" fontId="33" fillId="0" borderId="0" applyFill="0" applyBorder="0" applyAlignment="0"/>
    <xf numFmtId="0" fontId="34" fillId="0" borderId="0"/>
    <xf numFmtId="20" fontId="3" fillId="0" borderId="0" applyFont="0" applyFill="0" applyBorder="0" applyAlignment="0" applyProtection="0"/>
    <xf numFmtId="194" fontId="1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93" fontId="33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4" fontId="36" fillId="0" borderId="0" applyFill="0" applyBorder="0" applyAlignment="0"/>
    <xf numFmtId="0" fontId="37" fillId="0" borderId="0"/>
    <xf numFmtId="20" fontId="3" fillId="0" borderId="0" applyFill="0" applyBorder="0" applyAlignment="0"/>
    <xf numFmtId="193" fontId="33" fillId="0" borderId="0" applyFill="0" applyBorder="0" applyAlignment="0"/>
    <xf numFmtId="20" fontId="3" fillId="0" borderId="0" applyFill="0" applyBorder="0" applyAlignment="0"/>
    <xf numFmtId="0" fontId="15" fillId="0" borderId="0" applyFill="0" applyBorder="0" applyAlignment="0"/>
    <xf numFmtId="193" fontId="33" fillId="0" borderId="0" applyFill="0" applyBorder="0" applyAlignment="0"/>
    <xf numFmtId="0" fontId="38" fillId="0" borderId="0">
      <alignment horizontal="left"/>
    </xf>
    <xf numFmtId="191" fontId="39" fillId="0" borderId="9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95" fontId="40" fillId="9" borderId="1"/>
    <xf numFmtId="20" fontId="3" fillId="0" borderId="0" applyFill="0" applyBorder="0" applyAlignment="0"/>
    <xf numFmtId="193" fontId="33" fillId="0" borderId="0" applyFill="0" applyBorder="0" applyAlignment="0"/>
    <xf numFmtId="20" fontId="3" fillId="0" borderId="0" applyFill="0" applyBorder="0" applyAlignment="0"/>
    <xf numFmtId="0" fontId="15" fillId="0" borderId="0" applyFill="0" applyBorder="0" applyAlignment="0"/>
    <xf numFmtId="193" fontId="33" fillId="0" borderId="0" applyFill="0" applyBorder="0" applyAlignment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0" fontId="41" fillId="0" borderId="5"/>
    <xf numFmtId="184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0" fontId="15" fillId="0" borderId="0"/>
    <xf numFmtId="0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20" fontId="3" fillId="0" borderId="0" applyFill="0" applyBorder="0" applyAlignment="0"/>
    <xf numFmtId="193" fontId="33" fillId="0" borderId="0" applyFill="0" applyBorder="0" applyAlignment="0"/>
    <xf numFmtId="20" fontId="3" fillId="0" borderId="0" applyFill="0" applyBorder="0" applyAlignment="0"/>
    <xf numFmtId="0" fontId="15" fillId="0" borderId="0" applyFill="0" applyBorder="0" applyAlignment="0"/>
    <xf numFmtId="193" fontId="33" fillId="0" borderId="0" applyFill="0" applyBorder="0" applyAlignment="0"/>
    <xf numFmtId="4" fontId="38" fillId="0" borderId="0">
      <alignment horizontal="right"/>
    </xf>
    <xf numFmtId="4" fontId="42" fillId="0" borderId="0">
      <alignment horizontal="right"/>
    </xf>
    <xf numFmtId="0" fontId="43" fillId="0" borderId="0">
      <alignment horizontal="left"/>
    </xf>
    <xf numFmtId="0" fontId="41" fillId="0" borderId="0"/>
    <xf numFmtId="49" fontId="36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44" fillId="0" borderId="0">
      <alignment horizontal="center"/>
    </xf>
    <xf numFmtId="0" fontId="35" fillId="0" borderId="0" applyNumberFormat="0" applyFill="0" applyBorder="0" applyAlignment="0" applyProtection="0"/>
    <xf numFmtId="0" fontId="45" fillId="10" borderId="0" applyNumberFormat="0"/>
    <xf numFmtId="0" fontId="46" fillId="0" borderId="0"/>
    <xf numFmtId="0" fontId="46" fillId="0" borderId="0"/>
    <xf numFmtId="0" fontId="3" fillId="0" borderId="21"/>
    <xf numFmtId="197" fontId="29" fillId="0" borderId="0" applyBorder="0">
      <alignment horizontal="right"/>
    </xf>
    <xf numFmtId="0" fontId="47" fillId="0" borderId="0">
      <alignment vertical="center"/>
    </xf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" fontId="48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0" fontId="49" fillId="0" borderId="0" applyBorder="0">
      <alignment vertical="center"/>
    </xf>
    <xf numFmtId="198" fontId="46" fillId="0" borderId="0"/>
    <xf numFmtId="199" fontId="29" fillId="0" borderId="0" applyFill="0" applyBorder="0"/>
    <xf numFmtId="197" fontId="29" fillId="0" borderId="0" applyFill="0" applyBorder="0"/>
    <xf numFmtId="200" fontId="3" fillId="0" borderId="0" applyFill="0" applyBorder="0"/>
    <xf numFmtId="49" fontId="29" fillId="11" borderId="22">
      <alignment horizontal="center"/>
    </xf>
    <xf numFmtId="201" fontId="29" fillId="11" borderId="22">
      <alignment horizontal="right"/>
    </xf>
    <xf numFmtId="14" fontId="29" fillId="11" borderId="0" applyBorder="0">
      <alignment horizontal="center"/>
    </xf>
    <xf numFmtId="49" fontId="29" fillId="0" borderId="22"/>
    <xf numFmtId="0" fontId="3" fillId="0" borderId="0">
      <alignment vertical="top" wrapText="1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02" fontId="3" fillId="0" borderId="0" applyFont="0" applyFill="0" applyBorder="0" applyAlignment="0" applyProtection="0"/>
    <xf numFmtId="14" fontId="29" fillId="0" borderId="14" applyBorder="0">
      <alignment horizontal="left"/>
    </xf>
    <xf numFmtId="14" fontId="29" fillId="0" borderId="0" applyFill="0" applyBorder="0"/>
    <xf numFmtId="0" fontId="1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0" borderId="0"/>
    <xf numFmtId="0" fontId="3" fillId="0" borderId="0"/>
    <xf numFmtId="0" fontId="3" fillId="0" borderId="0"/>
    <xf numFmtId="0" fontId="46" fillId="0" borderId="10" applyFont="0"/>
    <xf numFmtId="0" fontId="50" fillId="0" borderId="0" applyNumberFormat="0" applyFill="0" applyBorder="0" applyAlignment="0" applyProtection="0">
      <alignment vertical="top"/>
      <protection locked="0"/>
    </xf>
    <xf numFmtId="49" fontId="3" fillId="0" borderId="0"/>
    <xf numFmtId="49" fontId="29" fillId="0" borderId="0" applyFill="0" applyBorder="0"/>
    <xf numFmtId="0" fontId="47" fillId="0" borderId="0"/>
    <xf numFmtId="0" fontId="2" fillId="0" borderId="0">
      <alignment vertical="center"/>
    </xf>
    <xf numFmtId="0" fontId="3" fillId="0" borderId="0"/>
    <xf numFmtId="9" fontId="14" fillId="0" borderId="0" applyFont="0" applyFill="0" applyBorder="0" applyAlignment="0" applyProtection="0"/>
    <xf numFmtId="0" fontId="51" fillId="0" borderId="0"/>
    <xf numFmtId="0" fontId="52" fillId="0" borderId="0"/>
    <xf numFmtId="0" fontId="52" fillId="0" borderId="0"/>
    <xf numFmtId="203" fontId="53" fillId="0" borderId="0" applyFont="0" applyFill="0" applyBorder="0" applyAlignment="0" applyProtection="0"/>
    <xf numFmtId="0" fontId="3" fillId="0" borderId="0"/>
    <xf numFmtId="190" fontId="53" fillId="0" borderId="0" applyFont="0" applyFill="0" applyBorder="0" applyAlignment="0" applyProtection="0"/>
    <xf numFmtId="10" fontId="53" fillId="0" borderId="0" applyFont="0" applyFill="0" applyBorder="0" applyAlignment="0" applyProtection="0"/>
    <xf numFmtId="0" fontId="23" fillId="0" borderId="23" applyNumberFormat="0" applyFont="0" applyFill="0" applyAlignment="0" applyProtection="0"/>
    <xf numFmtId="0" fontId="54" fillId="5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0" borderId="9" applyNumberFormat="0" applyFill="0" applyProtection="0">
      <alignment horizontal="center"/>
    </xf>
    <xf numFmtId="37" fontId="53" fillId="0" borderId="0" applyFont="0" applyFill="0" applyBorder="0" applyAlignment="0" applyProtection="0"/>
    <xf numFmtId="204" fontId="53" fillId="0" borderId="0" applyFont="0" applyFill="0" applyBorder="0" applyAlignment="0" applyProtection="0"/>
    <xf numFmtId="39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205" fontId="53" fillId="0" borderId="0" applyFont="0" applyFill="0" applyBorder="0" applyAlignment="0" applyProtection="0"/>
    <xf numFmtId="0" fontId="46" fillId="0" borderId="0"/>
    <xf numFmtId="0" fontId="57" fillId="0" borderId="0">
      <alignment vertical="center"/>
    </xf>
    <xf numFmtId="0" fontId="58" fillId="0" borderId="0" applyNumberFormat="0" applyFill="0" applyBorder="0" applyAlignment="0">
      <alignment vertical="center"/>
    </xf>
    <xf numFmtId="206" fontId="46" fillId="0" borderId="0" applyFont="0" applyFill="0" applyBorder="0" applyAlignment="0" applyProtection="0"/>
    <xf numFmtId="207" fontId="46" fillId="0" borderId="0" applyFont="0" applyFill="0" applyBorder="0" applyAlignment="0" applyProtection="0"/>
    <xf numFmtId="0" fontId="13" fillId="0" borderId="0"/>
    <xf numFmtId="1" fontId="15" fillId="0" borderId="0"/>
    <xf numFmtId="208" fontId="46" fillId="0" borderId="0" applyFont="0" applyFill="0" applyBorder="0" applyAlignment="0" applyProtection="0"/>
    <xf numFmtId="209" fontId="46" fillId="0" borderId="0" applyFont="0" applyFill="0" applyBorder="0" applyAlignment="0" applyProtection="0"/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210" fontId="19" fillId="0" borderId="0" applyNumberFormat="0">
      <alignment vertical="center"/>
    </xf>
    <xf numFmtId="0" fontId="51" fillId="0" borderId="0"/>
    <xf numFmtId="0" fontId="15" fillId="0" borderId="0"/>
    <xf numFmtId="0" fontId="59" fillId="0" borderId="0" applyNumberFormat="0" applyFill="0" applyBorder="0" applyAlignment="0" applyProtection="0">
      <alignment vertical="center"/>
    </xf>
    <xf numFmtId="0" fontId="60" fillId="24" borderId="24" applyNumberFormat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14" fillId="25" borderId="1" applyNumberFormat="0" applyFill="0" applyBorder="0">
      <alignment vertical="center" wrapText="1"/>
    </xf>
    <xf numFmtId="0" fontId="62" fillId="0" borderId="25" applyBorder="0" applyAlignment="0">
      <alignment vertical="center" textRotation="255"/>
    </xf>
    <xf numFmtId="0" fontId="29" fillId="13" borderId="26" applyNumberFormat="0" applyFont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5" fillId="5" borderId="28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211" fontId="3" fillId="0" borderId="0">
      <protection locked="0"/>
    </xf>
    <xf numFmtId="38" fontId="3" fillId="0" borderId="0" applyFont="0" applyFill="0" applyBorder="0" applyAlignment="0" applyProtection="0"/>
    <xf numFmtId="38" fontId="54" fillId="0" borderId="0" applyFont="0" applyFill="0" applyBorder="0" applyAlignment="0" applyProtection="0">
      <alignment vertical="center"/>
    </xf>
    <xf numFmtId="38" fontId="29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67" fillId="0" borderId="29" applyNumberFormat="0" applyFill="0" applyAlignment="0" applyProtection="0">
      <alignment vertical="center"/>
    </xf>
    <xf numFmtId="0" fontId="68" fillId="0" borderId="30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2" applyNumberFormat="0" applyFill="0" applyAlignment="0" applyProtection="0">
      <alignment vertical="center"/>
    </xf>
    <xf numFmtId="0" fontId="71" fillId="5" borderId="33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8" fontId="19" fillId="0" borderId="0" applyFont="0" applyFill="0" applyBorder="0" applyAlignment="0" applyProtection="0"/>
    <xf numFmtId="6" fontId="3" fillId="0" borderId="0" applyFont="0" applyFill="0" applyBorder="0" applyAlignment="0" applyProtection="0"/>
    <xf numFmtId="0" fontId="73" fillId="12" borderId="28" applyNumberFormat="0" applyAlignment="0" applyProtection="0">
      <alignment vertical="center"/>
    </xf>
    <xf numFmtId="0" fontId="1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75" fillId="0" borderId="0"/>
    <xf numFmtId="0" fontId="3" fillId="0" borderId="0">
      <alignment vertical="center"/>
    </xf>
    <xf numFmtId="0" fontId="54" fillId="0" borderId="0">
      <alignment vertical="center"/>
    </xf>
    <xf numFmtId="0" fontId="74" fillId="0" borderId="0">
      <alignment vertical="center"/>
    </xf>
    <xf numFmtId="0" fontId="3" fillId="0" borderId="0"/>
    <xf numFmtId="0" fontId="5" fillId="0" borderId="0"/>
    <xf numFmtId="0" fontId="5" fillId="0" borderId="0"/>
    <xf numFmtId="0" fontId="3" fillId="0" borderId="0"/>
    <xf numFmtId="0" fontId="54" fillId="0" borderId="0">
      <alignment vertical="center"/>
    </xf>
    <xf numFmtId="0" fontId="6" fillId="0" borderId="0">
      <alignment vertical="center"/>
    </xf>
    <xf numFmtId="0" fontId="54" fillId="0" borderId="0">
      <alignment vertical="center"/>
    </xf>
    <xf numFmtId="0" fontId="74" fillId="0" borderId="0">
      <alignment vertical="center"/>
    </xf>
    <xf numFmtId="0" fontId="54" fillId="0" borderId="0">
      <alignment vertical="center"/>
    </xf>
    <xf numFmtId="0" fontId="1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" fillId="0" borderId="0"/>
    <xf numFmtId="0" fontId="76" fillId="0" borderId="0"/>
    <xf numFmtId="0" fontId="77" fillId="0" borderId="0" applyNumberFormat="0" applyFill="0" applyBorder="0" applyAlignment="0" applyProtection="0">
      <alignment vertical="top"/>
      <protection locked="0"/>
    </xf>
    <xf numFmtId="49" fontId="46" fillId="0" borderId="34" applyBorder="0"/>
    <xf numFmtId="0" fontId="78" fillId="27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26">
    <xf numFmtId="0" fontId="0" fillId="0" borderId="0" xfId="0">
      <alignment vertical="center"/>
    </xf>
    <xf numFmtId="0" fontId="29" fillId="0" borderId="0" xfId="0" applyFont="1" applyFill="1">
      <alignment vertical="center"/>
    </xf>
    <xf numFmtId="0" fontId="29" fillId="0" borderId="0" xfId="0" applyFont="1" applyFill="1" applyBorder="1">
      <alignment vertical="center"/>
    </xf>
    <xf numFmtId="0" fontId="29" fillId="0" borderId="0" xfId="0" applyFont="1" applyFill="1" applyBorder="1" applyAlignment="1"/>
    <xf numFmtId="177" fontId="29" fillId="0" borderId="0" xfId="0" applyNumberFormat="1" applyFont="1" applyFill="1" applyBorder="1" applyAlignment="1"/>
    <xf numFmtId="0" fontId="29" fillId="0" borderId="0" xfId="0" applyFont="1" applyFill="1" applyBorder="1" applyAlignment="1">
      <alignment horizontal="center"/>
    </xf>
    <xf numFmtId="0" fontId="30" fillId="0" borderId="0" xfId="0" applyFont="1" applyFill="1">
      <alignment vertical="center"/>
    </xf>
    <xf numFmtId="0" fontId="79" fillId="0" borderId="0" xfId="45" applyFont="1" applyFill="1" applyAlignment="1">
      <alignment vertical="center"/>
    </xf>
    <xf numFmtId="0" fontId="74" fillId="0" borderId="8" xfId="45" applyFont="1" applyFill="1" applyBorder="1" applyAlignment="1">
      <alignment horizontal="left" vertical="center" wrapText="1"/>
    </xf>
    <xf numFmtId="0" fontId="74" fillId="0" borderId="35" xfId="45" applyFont="1" applyFill="1" applyBorder="1" applyAlignment="1">
      <alignment horizontal="left" vertical="center" wrapText="1"/>
    </xf>
    <xf numFmtId="0" fontId="74" fillId="0" borderId="35" xfId="45" applyFont="1" applyFill="1" applyBorder="1" applyAlignment="1">
      <alignment horizontal="left" vertical="center"/>
    </xf>
    <xf numFmtId="0" fontId="74" fillId="0" borderId="35" xfId="45" applyFont="1" applyFill="1" applyBorder="1" applyAlignment="1">
      <alignment horizontal="center" vertical="center"/>
    </xf>
    <xf numFmtId="0" fontId="74" fillId="0" borderId="10" xfId="45" applyFont="1" applyFill="1" applyBorder="1" applyAlignment="1">
      <alignment horizontal="left" vertical="center"/>
    </xf>
    <xf numFmtId="0" fontId="74" fillId="0" borderId="9" xfId="45" applyFont="1" applyFill="1" applyBorder="1" applyAlignment="1">
      <alignment horizontal="left" vertical="center"/>
    </xf>
    <xf numFmtId="0" fontId="74" fillId="0" borderId="9" xfId="45" applyFont="1" applyFill="1" applyBorder="1" applyAlignment="1">
      <alignment horizontal="center" vertical="center" shrinkToFit="1"/>
    </xf>
    <xf numFmtId="14" fontId="74" fillId="0" borderId="9" xfId="45" applyNumberFormat="1" applyFont="1" applyFill="1" applyBorder="1" applyAlignment="1">
      <alignment horizontal="center" vertical="center"/>
    </xf>
    <xf numFmtId="0" fontId="74" fillId="0" borderId="9" xfId="45" applyFont="1" applyFill="1" applyBorder="1" applyAlignment="1">
      <alignment horizontal="center" vertical="center"/>
    </xf>
    <xf numFmtId="0" fontId="79" fillId="0" borderId="0" xfId="48" applyFont="1"/>
    <xf numFmtId="0" fontId="79" fillId="0" borderId="0" xfId="48" applyFont="1" applyAlignment="1">
      <alignment horizontal="right"/>
    </xf>
    <xf numFmtId="0" fontId="79" fillId="0" borderId="12" xfId="0" applyFont="1" applyFill="1" applyBorder="1" applyAlignment="1">
      <alignment vertical="center"/>
    </xf>
    <xf numFmtId="0" fontId="79" fillId="0" borderId="4" xfId="0" applyFont="1" applyFill="1" applyBorder="1" applyAlignment="1">
      <alignment vertical="center"/>
    </xf>
    <xf numFmtId="0" fontId="79" fillId="0" borderId="4" xfId="0" applyFont="1" applyFill="1" applyBorder="1" applyAlignment="1">
      <alignment horizontal="center" vertical="center"/>
    </xf>
    <xf numFmtId="0" fontId="79" fillId="0" borderId="13" xfId="0" applyFont="1" applyFill="1" applyBorder="1" applyAlignment="1">
      <alignment vertical="center"/>
    </xf>
    <xf numFmtId="0" fontId="79" fillId="0" borderId="0" xfId="0" applyFont="1" applyFill="1" applyBorder="1" applyAlignment="1">
      <alignment vertical="center"/>
    </xf>
    <xf numFmtId="0" fontId="79" fillId="28" borderId="12" xfId="0" applyFont="1" applyFill="1" applyBorder="1" applyAlignment="1">
      <alignment horizontal="centerContinuous" vertical="center"/>
    </xf>
    <xf numFmtId="0" fontId="79" fillId="28" borderId="1" xfId="0" quotePrefix="1" applyFont="1" applyFill="1" applyBorder="1" applyAlignment="1">
      <alignment horizontal="centerContinuous" vertical="center"/>
    </xf>
    <xf numFmtId="0" fontId="79" fillId="28" borderId="4" xfId="0" applyFont="1" applyFill="1" applyBorder="1" applyAlignment="1">
      <alignment horizontal="centerContinuous" vertical="center"/>
    </xf>
    <xf numFmtId="0" fontId="79" fillId="28" borderId="13" xfId="0" applyFont="1" applyFill="1" applyBorder="1" applyAlignment="1">
      <alignment horizontal="centerContinuous" vertical="center"/>
    </xf>
    <xf numFmtId="0" fontId="79" fillId="0" borderId="12" xfId="263" applyFont="1" applyFill="1" applyBorder="1" applyAlignment="1">
      <alignment vertical="center"/>
    </xf>
    <xf numFmtId="0" fontId="79" fillId="0" borderId="4" xfId="263" applyFont="1" applyFill="1" applyBorder="1" applyAlignment="1">
      <alignment vertical="center"/>
    </xf>
    <xf numFmtId="0" fontId="79" fillId="0" borderId="13" xfId="263" applyFont="1" applyFill="1" applyBorder="1" applyAlignment="1">
      <alignment vertical="center"/>
    </xf>
    <xf numFmtId="0" fontId="79" fillId="0" borderId="12" xfId="263" applyFont="1" applyFill="1" applyBorder="1" applyAlignment="1">
      <alignment horizontal="centerContinuous" vertical="center"/>
    </xf>
    <xf numFmtId="0" fontId="79" fillId="0" borderId="13" xfId="263" applyFont="1" applyFill="1" applyBorder="1" applyAlignment="1">
      <alignment horizontal="centerContinuous" vertical="center"/>
    </xf>
    <xf numFmtId="0" fontId="79" fillId="0" borderId="4" xfId="263" applyFont="1" applyFill="1" applyBorder="1" applyAlignment="1">
      <alignment horizontal="centerContinuous" vertical="center"/>
    </xf>
    <xf numFmtId="0" fontId="79" fillId="0" borderId="4" xfId="263" quotePrefix="1" applyFont="1" applyFill="1" applyBorder="1" applyAlignment="1">
      <alignment vertical="center"/>
    </xf>
    <xf numFmtId="0" fontId="80" fillId="0" borderId="4" xfId="263" applyFont="1" applyFill="1" applyBorder="1" applyAlignment="1">
      <alignment vertical="center"/>
    </xf>
    <xf numFmtId="0" fontId="81" fillId="0" borderId="0" xfId="48" applyFont="1"/>
    <xf numFmtId="0" fontId="74" fillId="0" borderId="0" xfId="0" applyFont="1" applyFill="1" applyBorder="1" applyAlignment="1">
      <alignment vertical="center"/>
    </xf>
    <xf numFmtId="0" fontId="74" fillId="0" borderId="12" xfId="0" applyFont="1" applyFill="1" applyBorder="1" applyAlignment="1">
      <alignment vertical="center"/>
    </xf>
    <xf numFmtId="0" fontId="74" fillId="0" borderId="4" xfId="0" applyFont="1" applyFill="1" applyBorder="1" applyAlignment="1">
      <alignment vertical="center"/>
    </xf>
    <xf numFmtId="0" fontId="74" fillId="0" borderId="4" xfId="0" applyFont="1" applyFill="1" applyBorder="1" applyAlignment="1">
      <alignment horizontal="center" vertical="center"/>
    </xf>
    <xf numFmtId="0" fontId="74" fillId="0" borderId="4" xfId="0" applyFont="1" applyBorder="1">
      <alignment vertical="center"/>
    </xf>
    <xf numFmtId="0" fontId="74" fillId="0" borderId="4" xfId="0" applyFont="1" applyBorder="1" applyAlignment="1">
      <alignment vertical="center"/>
    </xf>
    <xf numFmtId="0" fontId="74" fillId="0" borderId="13" xfId="0" applyFont="1" applyBorder="1" applyAlignment="1">
      <alignment vertical="center"/>
    </xf>
    <xf numFmtId="0" fontId="74" fillId="28" borderId="4" xfId="0" applyFont="1" applyFill="1" applyBorder="1" applyAlignment="1">
      <alignment horizontal="centerContinuous" vertical="center"/>
    </xf>
    <xf numFmtId="0" fontId="74" fillId="28" borderId="13" xfId="0" applyFont="1" applyFill="1" applyBorder="1" applyAlignment="1">
      <alignment horizontal="centerContinuous" vertical="center"/>
    </xf>
    <xf numFmtId="177" fontId="29" fillId="0" borderId="12" xfId="0" applyNumberFormat="1" applyFont="1" applyFill="1" applyBorder="1" applyAlignment="1">
      <alignment vertical="top"/>
    </xf>
    <xf numFmtId="177" fontId="29" fillId="0" borderId="13" xfId="0" applyNumberFormat="1" applyFont="1" applyFill="1" applyBorder="1" applyAlignment="1">
      <alignment vertical="top"/>
    </xf>
    <xf numFmtId="191" fontId="29" fillId="0" borderId="12" xfId="0" quotePrefix="1" applyNumberFormat="1" applyFont="1" applyFill="1" applyBorder="1" applyAlignment="1" applyProtection="1">
      <alignment horizontal="center" vertical="top"/>
      <protection locked="0"/>
    </xf>
    <xf numFmtId="191" fontId="29" fillId="0" borderId="4" xfId="0" quotePrefix="1" applyNumberFormat="1" applyFont="1" applyFill="1" applyBorder="1" applyAlignment="1" applyProtection="1">
      <alignment horizontal="center" vertical="top"/>
      <protection locked="0"/>
    </xf>
    <xf numFmtId="191" fontId="29" fillId="0" borderId="13" xfId="0" quotePrefix="1" applyNumberFormat="1" applyFont="1" applyFill="1" applyBorder="1" applyAlignment="1" applyProtection="1">
      <alignment horizontal="center" vertical="top"/>
      <protection locked="0"/>
    </xf>
    <xf numFmtId="0" fontId="29" fillId="0" borderId="1" xfId="0" applyFont="1" applyFill="1" applyBorder="1" applyAlignment="1" applyProtection="1">
      <alignment vertical="top" wrapText="1"/>
      <protection locked="0"/>
    </xf>
    <xf numFmtId="0" fontId="29" fillId="0" borderId="12" xfId="0" applyFont="1" applyFill="1" applyBorder="1" applyAlignment="1" applyProtection="1">
      <alignment vertical="top"/>
      <protection locked="0"/>
    </xf>
    <xf numFmtId="0" fontId="29" fillId="0" borderId="4" xfId="0" applyFont="1" applyFill="1" applyBorder="1" applyAlignment="1" applyProtection="1">
      <alignment vertical="top"/>
      <protection locked="0"/>
    </xf>
    <xf numFmtId="0" fontId="29" fillId="0" borderId="13" xfId="0" applyFont="1" applyFill="1" applyBorder="1" applyAlignment="1" applyProtection="1">
      <alignment vertical="top"/>
      <protection locked="0"/>
    </xf>
    <xf numFmtId="0" fontId="29" fillId="0" borderId="12" xfId="0" applyFont="1" applyFill="1" applyBorder="1" applyAlignment="1" applyProtection="1">
      <alignment vertical="top" wrapText="1"/>
      <protection locked="0"/>
    </xf>
    <xf numFmtId="0" fontId="29" fillId="0" borderId="4" xfId="0" applyFont="1" applyFill="1" applyBorder="1" applyAlignment="1" applyProtection="1">
      <alignment vertical="top" wrapText="1"/>
      <protection locked="0"/>
    </xf>
    <xf numFmtId="0" fontId="29" fillId="0" borderId="13" xfId="0" applyFont="1" applyFill="1" applyBorder="1" applyAlignment="1" applyProtection="1">
      <alignment vertical="top" wrapText="1"/>
      <protection locked="0"/>
    </xf>
    <xf numFmtId="0" fontId="29" fillId="0" borderId="1" xfId="0" applyFont="1" applyFill="1" applyBorder="1" applyAlignment="1" applyProtection="1">
      <alignment vertical="top" wrapText="1"/>
    </xf>
    <xf numFmtId="0" fontId="29" fillId="7" borderId="1" xfId="0" applyFont="1" applyFill="1" applyBorder="1" applyAlignment="1">
      <alignment horizontal="center"/>
    </xf>
    <xf numFmtId="0" fontId="29" fillId="7" borderId="12" xfId="0" applyFont="1" applyFill="1" applyBorder="1" applyAlignment="1">
      <alignment horizontal="center"/>
    </xf>
    <xf numFmtId="0" fontId="29" fillId="7" borderId="13" xfId="0" applyFont="1" applyFill="1" applyBorder="1" applyAlignment="1">
      <alignment horizontal="center"/>
    </xf>
    <xf numFmtId="0" fontId="0" fillId="7" borderId="1" xfId="0" applyFill="1" applyBorder="1" applyAlignment="1"/>
    <xf numFmtId="191" fontId="29" fillId="0" borderId="12" xfId="0" applyNumberFormat="1" applyFont="1" applyFill="1" applyBorder="1" applyAlignment="1" applyProtection="1">
      <alignment horizontal="center" vertical="top"/>
      <protection locked="0"/>
    </xf>
    <xf numFmtId="0" fontId="29" fillId="7" borderId="4" xfId="0" applyFont="1" applyFill="1" applyBorder="1" applyAlignment="1">
      <alignment horizontal="center"/>
    </xf>
    <xf numFmtId="0" fontId="79" fillId="0" borderId="12" xfId="263" applyFont="1" applyFill="1" applyBorder="1" applyAlignment="1">
      <alignment horizontal="center" vertical="center" shrinkToFit="1"/>
    </xf>
    <xf numFmtId="0" fontId="79" fillId="0" borderId="4" xfId="263" applyFont="1" applyFill="1" applyBorder="1" applyAlignment="1">
      <alignment horizontal="center" vertical="center" shrinkToFit="1"/>
    </xf>
    <xf numFmtId="0" fontId="79" fillId="0" borderId="13" xfId="263" applyFont="1" applyFill="1" applyBorder="1" applyAlignment="1">
      <alignment horizontal="center" vertical="center" shrinkToFit="1"/>
    </xf>
    <xf numFmtId="177" fontId="79" fillId="0" borderId="12" xfId="263" applyNumberFormat="1" applyFont="1" applyFill="1" applyBorder="1" applyAlignment="1">
      <alignment horizontal="center" vertical="center"/>
    </xf>
    <xf numFmtId="177" fontId="79" fillId="0" borderId="13" xfId="263" applyNumberFormat="1" applyFont="1" applyFill="1" applyBorder="1" applyAlignment="1">
      <alignment horizontal="center" vertical="center"/>
    </xf>
    <xf numFmtId="177" fontId="79" fillId="0" borderId="12" xfId="263" applyNumberFormat="1" applyFont="1" applyFill="1" applyBorder="1" applyAlignment="1">
      <alignment horizontal="right" vertical="center"/>
    </xf>
    <xf numFmtId="177" fontId="79" fillId="0" borderId="13" xfId="263" applyNumberFormat="1" applyFont="1" applyFill="1" applyBorder="1" applyAlignment="1">
      <alignment horizontal="right" vertical="center"/>
    </xf>
    <xf numFmtId="201" fontId="74" fillId="0" borderId="12" xfId="263" applyNumberFormat="1" applyFont="1" applyFill="1" applyBorder="1" applyAlignment="1">
      <alignment vertical="center" wrapText="1"/>
    </xf>
    <xf numFmtId="0" fontId="74" fillId="0" borderId="4" xfId="0" applyFont="1" applyBorder="1" applyAlignment="1">
      <alignment vertical="center" wrapText="1"/>
    </xf>
    <xf numFmtId="0" fontId="74" fillId="0" borderId="13" xfId="0" applyFont="1" applyBorder="1" applyAlignment="1">
      <alignment vertical="center" wrapText="1"/>
    </xf>
    <xf numFmtId="0" fontId="79" fillId="28" borderId="12" xfId="0" applyFont="1" applyFill="1" applyBorder="1" applyAlignment="1">
      <alignment horizontal="center" vertical="center" wrapText="1" shrinkToFit="1"/>
    </xf>
    <xf numFmtId="0" fontId="79" fillId="28" borderId="13" xfId="0" applyFont="1" applyFill="1" applyBorder="1" applyAlignment="1">
      <alignment horizontal="center" vertical="center" shrinkToFit="1"/>
    </xf>
    <xf numFmtId="0" fontId="74" fillId="0" borderId="15" xfId="47" applyFont="1" applyFill="1" applyBorder="1" applyAlignment="1">
      <alignment horizontal="center" vertical="center" wrapText="1" shrinkToFit="1"/>
    </xf>
    <xf numFmtId="0" fontId="74" fillId="0" borderId="16" xfId="47" applyFont="1" applyFill="1" applyBorder="1" applyAlignment="1">
      <alignment horizontal="center" vertical="center" shrinkToFit="1"/>
    </xf>
    <xf numFmtId="0" fontId="74" fillId="0" borderId="17" xfId="47" applyFont="1" applyFill="1" applyBorder="1" applyAlignment="1">
      <alignment horizontal="center" vertical="center" shrinkToFit="1"/>
    </xf>
    <xf numFmtId="0" fontId="74" fillId="0" borderId="18" xfId="47" applyFont="1" applyFill="1" applyBorder="1" applyAlignment="1">
      <alignment horizontal="center" vertical="center" shrinkToFit="1"/>
    </xf>
    <xf numFmtId="0" fontId="74" fillId="0" borderId="19" xfId="47" applyFont="1" applyFill="1" applyBorder="1" applyAlignment="1">
      <alignment horizontal="center" vertical="center" shrinkToFit="1"/>
    </xf>
    <xf numFmtId="0" fontId="74" fillId="0" borderId="20" xfId="47" applyFont="1" applyFill="1" applyBorder="1" applyAlignment="1">
      <alignment horizontal="center" vertical="center" shrinkToFit="1"/>
    </xf>
    <xf numFmtId="0" fontId="74" fillId="0" borderId="1" xfId="45" applyFont="1" applyFill="1" applyBorder="1" applyAlignment="1">
      <alignment horizontal="center" vertical="center"/>
    </xf>
    <xf numFmtId="0" fontId="74" fillId="0" borderId="12" xfId="45" applyFont="1" applyFill="1" applyBorder="1" applyAlignment="1">
      <alignment horizontal="center" vertical="center"/>
    </xf>
    <xf numFmtId="0" fontId="74" fillId="0" borderId="4" xfId="45" applyFont="1" applyFill="1" applyBorder="1" applyAlignment="1">
      <alignment horizontal="center" vertical="center"/>
    </xf>
    <xf numFmtId="0" fontId="74" fillId="0" borderId="13" xfId="45" applyFont="1" applyFill="1" applyBorder="1" applyAlignment="1">
      <alignment horizontal="center" vertical="center"/>
    </xf>
    <xf numFmtId="177" fontId="79" fillId="0" borderId="12" xfId="263" applyNumberFormat="1" applyFont="1" applyFill="1" applyBorder="1" applyAlignment="1">
      <alignment vertical="center"/>
    </xf>
    <xf numFmtId="177" fontId="79" fillId="0" borderId="13" xfId="263" applyNumberFormat="1" applyFont="1" applyFill="1" applyBorder="1" applyAlignment="1">
      <alignment vertical="center"/>
    </xf>
    <xf numFmtId="177" fontId="79" fillId="0" borderId="12" xfId="0" quotePrefix="1" applyNumberFormat="1" applyFont="1" applyFill="1" applyBorder="1" applyAlignment="1">
      <alignment vertical="center"/>
    </xf>
    <xf numFmtId="177" fontId="79" fillId="0" borderId="13" xfId="0" quotePrefix="1" applyNumberFormat="1" applyFont="1" applyFill="1" applyBorder="1" applyAlignment="1">
      <alignment vertical="center"/>
    </xf>
    <xf numFmtId="0" fontId="74" fillId="0" borderId="35" xfId="45" applyFont="1" applyFill="1" applyBorder="1" applyAlignment="1">
      <alignment horizontal="center" vertical="center"/>
    </xf>
    <xf numFmtId="0" fontId="74" fillId="0" borderId="14" xfId="45" applyFont="1" applyFill="1" applyBorder="1" applyAlignment="1">
      <alignment horizontal="center" vertical="center"/>
    </xf>
    <xf numFmtId="0" fontId="74" fillId="0" borderId="9" xfId="45" applyFont="1" applyFill="1" applyBorder="1" applyAlignment="1">
      <alignment horizontal="center" vertical="center"/>
    </xf>
    <xf numFmtId="0" fontId="74" fillId="0" borderId="11" xfId="45" applyFont="1" applyFill="1" applyBorder="1" applyAlignment="1">
      <alignment horizontal="center" vertical="center"/>
    </xf>
    <xf numFmtId="0" fontId="74" fillId="0" borderId="10" xfId="45" quotePrefix="1" applyFont="1" applyFill="1" applyBorder="1" applyAlignment="1">
      <alignment horizontal="center" vertical="center"/>
    </xf>
    <xf numFmtId="0" fontId="74" fillId="0" borderId="10" xfId="45" applyFont="1" applyFill="1" applyBorder="1" applyAlignment="1">
      <alignment horizontal="center" vertical="center" shrinkToFit="1"/>
    </xf>
    <xf numFmtId="0" fontId="74" fillId="0" borderId="9" xfId="45" applyFont="1" applyFill="1" applyBorder="1" applyAlignment="1">
      <alignment horizontal="center" vertical="center" shrinkToFit="1"/>
    </xf>
    <xf numFmtId="0" fontId="74" fillId="0" borderId="11" xfId="45" applyFont="1" applyFill="1" applyBorder="1" applyAlignment="1">
      <alignment horizontal="center" vertical="center" shrinkToFit="1"/>
    </xf>
    <xf numFmtId="14" fontId="74" fillId="0" borderId="10" xfId="45" applyNumberFormat="1" applyFont="1" applyFill="1" applyBorder="1" applyAlignment="1">
      <alignment horizontal="center" vertical="center"/>
    </xf>
    <xf numFmtId="14" fontId="74" fillId="0" borderId="9" xfId="45" applyNumberFormat="1" applyFont="1" applyFill="1" applyBorder="1" applyAlignment="1">
      <alignment horizontal="center" vertical="center"/>
    </xf>
    <xf numFmtId="14" fontId="74" fillId="0" borderId="11" xfId="45" applyNumberFormat="1" applyFont="1" applyFill="1" applyBorder="1" applyAlignment="1">
      <alignment horizontal="center" vertical="center"/>
    </xf>
    <xf numFmtId="176" fontId="74" fillId="0" borderId="1" xfId="45" applyNumberFormat="1" applyFont="1" applyFill="1" applyBorder="1" applyAlignment="1">
      <alignment horizontal="center" vertical="center"/>
    </xf>
    <xf numFmtId="0" fontId="74" fillId="0" borderId="4" xfId="45" applyFont="1" applyFill="1" applyBorder="1" applyAlignment="1">
      <alignment horizontal="center" vertical="center" shrinkToFit="1"/>
    </xf>
    <xf numFmtId="0" fontId="74" fillId="0" borderId="13" xfId="45" applyFont="1" applyFill="1" applyBorder="1" applyAlignment="1">
      <alignment horizontal="center" vertical="center" shrinkToFit="1"/>
    </xf>
    <xf numFmtId="14" fontId="74" fillId="0" borderId="10" xfId="46" applyNumberFormat="1" applyFont="1" applyFill="1" applyBorder="1" applyAlignment="1">
      <alignment horizontal="center" vertical="center"/>
    </xf>
    <xf numFmtId="14" fontId="74" fillId="0" borderId="9" xfId="46" applyNumberFormat="1" applyFont="1" applyFill="1" applyBorder="1" applyAlignment="1">
      <alignment horizontal="center" vertical="center"/>
    </xf>
    <xf numFmtId="14" fontId="74" fillId="0" borderId="11" xfId="46" applyNumberFormat="1" applyFont="1" applyFill="1" applyBorder="1" applyAlignment="1">
      <alignment horizontal="center" vertical="center"/>
    </xf>
    <xf numFmtId="0" fontId="74" fillId="0" borderId="10" xfId="45" applyFont="1" applyFill="1" applyBorder="1" applyAlignment="1">
      <alignment horizontal="center" vertical="center"/>
    </xf>
    <xf numFmtId="0" fontId="79" fillId="28" borderId="12" xfId="0" applyFont="1" applyFill="1" applyBorder="1" applyAlignment="1">
      <alignment horizontal="center" vertical="center" shrinkToFit="1"/>
    </xf>
    <xf numFmtId="0" fontId="79" fillId="28" borderId="4" xfId="0" applyFont="1" applyFill="1" applyBorder="1" applyAlignment="1">
      <alignment horizontal="center" vertical="center" shrinkToFit="1"/>
    </xf>
    <xf numFmtId="0" fontId="82" fillId="28" borderId="12" xfId="0" applyFont="1" applyFill="1" applyBorder="1" applyAlignment="1">
      <alignment horizontal="center" vertical="center" wrapText="1"/>
    </xf>
    <xf numFmtId="0" fontId="74" fillId="0" borderId="13" xfId="0" applyFont="1" applyBorder="1" applyAlignment="1">
      <alignment horizontal="center" vertical="center" wrapText="1"/>
    </xf>
    <xf numFmtId="0" fontId="74" fillId="0" borderId="12" xfId="0" applyFont="1" applyFill="1" applyBorder="1" applyAlignment="1">
      <alignment vertical="center" wrapText="1"/>
    </xf>
    <xf numFmtId="0" fontId="74" fillId="0" borderId="4" xfId="0" applyFont="1" applyBorder="1" applyAlignment="1">
      <alignment horizontal="center" vertical="center" wrapText="1"/>
    </xf>
    <xf numFmtId="0" fontId="74" fillId="28" borderId="12" xfId="0" applyFont="1" applyFill="1" applyBorder="1" applyAlignment="1">
      <alignment horizontal="center" vertical="center" shrinkToFit="1"/>
    </xf>
    <xf numFmtId="0" fontId="74" fillId="28" borderId="4" xfId="0" applyFont="1" applyFill="1" applyBorder="1" applyAlignment="1">
      <alignment horizontal="center" vertical="center" shrinkToFit="1"/>
    </xf>
    <xf numFmtId="0" fontId="74" fillId="28" borderId="13" xfId="0" applyFont="1" applyFill="1" applyBorder="1" applyAlignment="1">
      <alignment horizontal="center" vertical="center" shrinkToFit="1"/>
    </xf>
    <xf numFmtId="0" fontId="80" fillId="28" borderId="12" xfId="0" applyFont="1" applyFill="1" applyBorder="1" applyAlignment="1">
      <alignment horizontal="center" vertical="center"/>
    </xf>
    <xf numFmtId="0" fontId="80" fillId="28" borderId="4" xfId="0" applyFont="1" applyFill="1" applyBorder="1" applyAlignment="1">
      <alignment horizontal="center" vertical="center"/>
    </xf>
    <xf numFmtId="0" fontId="80" fillId="28" borderId="13" xfId="0" applyFont="1" applyFill="1" applyBorder="1" applyAlignment="1">
      <alignment horizontal="center" vertical="center"/>
    </xf>
    <xf numFmtId="0" fontId="82" fillId="28" borderId="12" xfId="0" applyFont="1" applyFill="1" applyBorder="1" applyAlignment="1">
      <alignment horizontal="center" vertical="center"/>
    </xf>
    <xf numFmtId="0" fontId="82" fillId="28" borderId="4" xfId="0" applyFont="1" applyFill="1" applyBorder="1" applyAlignment="1">
      <alignment horizontal="center" vertical="center"/>
    </xf>
    <xf numFmtId="0" fontId="79" fillId="0" borderId="12" xfId="263" applyFont="1" applyFill="1" applyBorder="1" applyAlignment="1">
      <alignment vertical="center" shrinkToFit="1"/>
    </xf>
    <xf numFmtId="0" fontId="79" fillId="0" borderId="4" xfId="263" applyFont="1" applyFill="1" applyBorder="1" applyAlignment="1">
      <alignment vertical="center" shrinkToFit="1"/>
    </xf>
    <xf numFmtId="0" fontId="79" fillId="0" borderId="13" xfId="263" applyFont="1" applyFill="1" applyBorder="1" applyAlignment="1">
      <alignment vertical="center" shrinkToFit="1"/>
    </xf>
  </cellXfs>
  <cellStyles count="264">
    <cellStyle name="_x000c_ーセン_x000c_" xfId="154"/>
    <cellStyle name="_x000d__x000a_JournalTemplate=C:\COMFO\CTALK\JOURSTD.TPL_x000d__x000a_LbStateAddress=3 3 0 251 1 89 2 311_x000d__x000a_LbStateJou" xfId="155"/>
    <cellStyle name="??" xfId="53"/>
    <cellStyle name="?? [0.00]_PERSONAL" xfId="54"/>
    <cellStyle name="???? [0.00]_PERSONAL" xfId="55"/>
    <cellStyle name="????_PERSONAL" xfId="56"/>
    <cellStyle name="??_PERSONAL" xfId="57"/>
    <cellStyle name="_【提出】見積もり_20070717（LAN・WAN・セキュリティ・インターネット）" xfId="156"/>
    <cellStyle name="_テープ媒体運用 (2)" xfId="157"/>
    <cellStyle name="0%" xfId="158"/>
    <cellStyle name="0,0_x000d__x000a_NA_x000d__x000a_" xfId="159"/>
    <cellStyle name="0.0%" xfId="160"/>
    <cellStyle name="0.00%" xfId="161"/>
    <cellStyle name="11.5" xfId="1"/>
    <cellStyle name="121" xfId="162"/>
    <cellStyle name="20% - アクセント 1 2" xfId="163"/>
    <cellStyle name="20% - アクセント 2 2" xfId="164"/>
    <cellStyle name="20% - アクセント 3 2" xfId="165"/>
    <cellStyle name="20% - アクセント 4 2" xfId="166"/>
    <cellStyle name="20% - アクセント 5 2" xfId="167"/>
    <cellStyle name="20% - アクセント 6 2" xfId="168"/>
    <cellStyle name="40% - アクセント 1 2" xfId="169"/>
    <cellStyle name="40% - アクセント 2 2" xfId="170"/>
    <cellStyle name="40% - アクセント 3 2" xfId="171"/>
    <cellStyle name="40% - アクセント 4 2" xfId="172"/>
    <cellStyle name="40% - アクセント 5 2" xfId="173"/>
    <cellStyle name="40% - アクセント 6 2" xfId="174"/>
    <cellStyle name="60% - アクセント 1 2" xfId="175"/>
    <cellStyle name="60% - アクセント 2 2" xfId="176"/>
    <cellStyle name="60% - アクセント 3 2" xfId="177"/>
    <cellStyle name="60% - アクセント 4 2" xfId="178"/>
    <cellStyle name="60% - アクセント 5 2" xfId="179"/>
    <cellStyle name="60% - アクセント 6 2" xfId="180"/>
    <cellStyle name="ando" xfId="58"/>
    <cellStyle name="B10" xfId="2"/>
    <cellStyle name="Background" xfId="59"/>
    <cellStyle name="BD標準" xfId="60"/>
    <cellStyle name="blank" xfId="3"/>
    <cellStyle name="Border" xfId="4"/>
    <cellStyle name="Calc Currency (0)" xfId="5"/>
    <cellStyle name="Calc Currency (2)" xfId="61"/>
    <cellStyle name="Calc Percent (0)" xfId="62"/>
    <cellStyle name="Calc Percent (1)" xfId="63"/>
    <cellStyle name="Calc Percent (2)" xfId="64"/>
    <cellStyle name="Calc Units (0)" xfId="65"/>
    <cellStyle name="Calc Units (1)" xfId="66"/>
    <cellStyle name="Calc Units (2)" xfId="67"/>
    <cellStyle name="category" xfId="68"/>
    <cellStyle name="Col Heads" xfId="181"/>
    <cellStyle name="Comma  - Style1" xfId="6"/>
    <cellStyle name="Comma  - Style2" xfId="7"/>
    <cellStyle name="Comma  - Style3" xfId="8"/>
    <cellStyle name="Comma  - Style4" xfId="9"/>
    <cellStyle name="Comma  - Style5" xfId="10"/>
    <cellStyle name="Comma  - Style6" xfId="11"/>
    <cellStyle name="Comma  - Style7" xfId="12"/>
    <cellStyle name="Comma  - Style8" xfId="13"/>
    <cellStyle name="Comma [0]" xfId="14"/>
    <cellStyle name="Comma [00]" xfId="69"/>
    <cellStyle name="comma zerodec" xfId="15"/>
    <cellStyle name="Comma,0" xfId="182"/>
    <cellStyle name="Comma,1" xfId="183"/>
    <cellStyle name="Comma,2" xfId="184"/>
    <cellStyle name="Comma_#6 Temps &amp; Contractors" xfId="70"/>
    <cellStyle name="Comma0" xfId="71"/>
    <cellStyle name="COMP定番表書式" xfId="16"/>
    <cellStyle name="Currency [0]" xfId="17"/>
    <cellStyle name="Currency [00]" xfId="72"/>
    <cellStyle name="Currency,0" xfId="185"/>
    <cellStyle name="Currency,2" xfId="186"/>
    <cellStyle name="Currency_#6 Temps &amp; Contractors" xfId="73"/>
    <cellStyle name="Currency0" xfId="74"/>
    <cellStyle name="Currency1" xfId="18"/>
    <cellStyle name="Date Short" xfId="75"/>
    <cellStyle name="DDD" xfId="76"/>
    <cellStyle name="dialog" xfId="187"/>
    <cellStyle name="Dollar (zero dec)" xfId="19"/>
    <cellStyle name="Enter Currency (0)" xfId="77"/>
    <cellStyle name="Enter Currency (2)" xfId="78"/>
    <cellStyle name="Enter Units (0)" xfId="79"/>
    <cellStyle name="Enter Units (1)" xfId="80"/>
    <cellStyle name="Enter Units (2)" xfId="81"/>
    <cellStyle name="entry" xfId="82"/>
    <cellStyle name="fuji" xfId="83"/>
    <cellStyle name="GBS Files" xfId="188"/>
    <cellStyle name="Grey" xfId="20"/>
    <cellStyle name="handbook" xfId="189"/>
    <cellStyle name="Header" xfId="21"/>
    <cellStyle name="Header1" xfId="22"/>
    <cellStyle name="Header2" xfId="23"/>
    <cellStyle name="Heading 1" xfId="84"/>
    <cellStyle name="Heading 2" xfId="85"/>
    <cellStyle name="IBM(401K)" xfId="24"/>
    <cellStyle name="Input [yellow]" xfId="25"/>
    <cellStyle name="J401K" xfId="26"/>
    <cellStyle name="Komma [0]_laroux" xfId="190"/>
    <cellStyle name="Komma_laroux" xfId="191"/>
    <cellStyle name="kyuujitu" xfId="86"/>
    <cellStyle name="Link Currency (0)" xfId="87"/>
    <cellStyle name="Link Currency (2)" xfId="88"/>
    <cellStyle name="Link Units (0)" xfId="89"/>
    <cellStyle name="Link Units (1)" xfId="90"/>
    <cellStyle name="Link Units (2)" xfId="91"/>
    <cellStyle name="Milliers [0]_AR1194" xfId="92"/>
    <cellStyle name="Milliers_AR1194" xfId="93"/>
    <cellStyle name="Model" xfId="94"/>
    <cellStyle name="Mon騁aire [0]_AR1194" xfId="95"/>
    <cellStyle name="Mon騁aire_AR1194" xfId="96"/>
    <cellStyle name="Normal - Style1" xfId="27"/>
    <cellStyle name="Normal_# 41-Market &amp;Trends" xfId="97"/>
    <cellStyle name="Percent (0)" xfId="28"/>
    <cellStyle name="Percent [0]" xfId="98"/>
    <cellStyle name="Percent [00]" xfId="99"/>
    <cellStyle name="Percent [2]" xfId="29"/>
    <cellStyle name="Percent_#6 Temps &amp; Contractors" xfId="100"/>
    <cellStyle name="PrePop Currency (0)" xfId="101"/>
    <cellStyle name="PrePop Currency (2)" xfId="102"/>
    <cellStyle name="PrePop Units (0)" xfId="103"/>
    <cellStyle name="PrePop Units (1)" xfId="104"/>
    <cellStyle name="PrePop Units (2)" xfId="105"/>
    <cellStyle name="price" xfId="106"/>
    <cellStyle name="PSChar" xfId="30"/>
    <cellStyle name="PSDate" xfId="31"/>
    <cellStyle name="PSDec" xfId="32"/>
    <cellStyle name="PSHeading" xfId="33"/>
    <cellStyle name="PSInt" xfId="34"/>
    <cellStyle name="PSSpacer" xfId="35"/>
    <cellStyle name="revised" xfId="107"/>
    <cellStyle name="section" xfId="108"/>
    <cellStyle name="Standaard_laroux" xfId="192"/>
    <cellStyle name="subhead" xfId="109"/>
    <cellStyle name="Text Indent A" xfId="110"/>
    <cellStyle name="Text Indent B" xfId="111"/>
    <cellStyle name="Text Indent C" xfId="112"/>
    <cellStyle name="title" xfId="113"/>
    <cellStyle name="Total" xfId="114"/>
    <cellStyle name="Units Rounded" xfId="193"/>
    <cellStyle name="Valuta [0]_laroux" xfId="194"/>
    <cellStyle name="Valuta_laroux" xfId="195"/>
    <cellStyle name="アクセント 1 2" xfId="196"/>
    <cellStyle name="アクセント 2 2" xfId="197"/>
    <cellStyle name="アクセント 3 2" xfId="198"/>
    <cellStyle name="アクセント 4 2" xfId="199"/>
    <cellStyle name="アクセント 5 2" xfId="200"/>
    <cellStyle name="アクセント 6 2" xfId="201"/>
    <cellStyle name="ｱﾍﾞﾝﾄﾞ一覧" xfId="202"/>
    <cellStyle name="スタイル 1" xfId="203"/>
    <cellStyle name="スタイル 2" xfId="204"/>
    <cellStyle name="すたいる１" xfId="115"/>
    <cellStyle name="センター" xfId="36"/>
    <cellStyle name="タイトル 2" xfId="205"/>
    <cellStyle name="チェック セル 2" xfId="206"/>
    <cellStyle name="チャート" xfId="37"/>
    <cellStyle name="テーブル定義書" xfId="38"/>
    <cellStyle name="ドキュメント標準" xfId="39"/>
    <cellStyle name="どちらでもない 2" xfId="207"/>
    <cellStyle name="パーセント 2" xfId="208"/>
    <cellStyle name="パラメータ" xfId="209"/>
    <cellStyle name="ﾊﾝﾄﾞﾌﾞｯｸ" xfId="210"/>
    <cellStyle name="メモ 2" xfId="211"/>
    <cellStyle name="リンク セル 2" xfId="212"/>
    <cellStyle name="_x001d_・_x000c_ﾏ・_x000d_ﾂ・_x0001__x0016__x0011_F5_x0007__x0001__x0001_" xfId="116"/>
    <cellStyle name="_x001d__x000c_K_x0014__x000d_&gt;V_x0001_&gt;_x0014_n_x001e__x0007__x0001__x0001_" xfId="117"/>
    <cellStyle name="悪い 2" xfId="213"/>
    <cellStyle name="下点線" xfId="118"/>
    <cellStyle name="価格桁区切り" xfId="119"/>
    <cellStyle name="議事録" xfId="40"/>
    <cellStyle name="型番" xfId="120"/>
    <cellStyle name="計算 2" xfId="214"/>
    <cellStyle name="警告文 2" xfId="215"/>
    <cellStyle name="桁蟻唇Ｆ [0.00]_laroux" xfId="121"/>
    <cellStyle name="桁蟻唇Ｆ_laroux" xfId="122"/>
    <cellStyle name="桁区切り [0.00" xfId="216"/>
    <cellStyle name="桁区切り [0.00]???瑳?倨???渭湯??:l search ; *.xla; *.xlt; *.xlm; *t match these search criteria:" xfId="123"/>
    <cellStyle name="桁区切り 2" xfId="124"/>
    <cellStyle name="桁区切り 2 2" xfId="217"/>
    <cellStyle name="桁区切り 3" xfId="218"/>
    <cellStyle name="桁区切り 3 2" xfId="219"/>
    <cellStyle name="桁区切り 4" xfId="220"/>
    <cellStyle name="見出し 1 2" xfId="221"/>
    <cellStyle name="見出し 2 2" xfId="222"/>
    <cellStyle name="見出し 3 2" xfId="223"/>
    <cellStyle name="見出し 4 2" xfId="224"/>
    <cellStyle name="在庫" xfId="41"/>
    <cellStyle name="仕様書標準" xfId="125"/>
    <cellStyle name="集計 2" xfId="225"/>
    <cellStyle name="出力 2" xfId="226"/>
    <cellStyle name="人月" xfId="126"/>
    <cellStyle name="数値" xfId="127"/>
    <cellStyle name="数値（桁区切り）" xfId="128"/>
    <cellStyle name="数値_0413ｻｲｼﾞﾝｸﾞ報告会ﾒﾓ" xfId="129"/>
    <cellStyle name="製品通知&quot;-&quot;" xfId="130"/>
    <cellStyle name="製品通知価格" xfId="131"/>
    <cellStyle name="製品通知日付" xfId="132"/>
    <cellStyle name="製品通知文字列" xfId="133"/>
    <cellStyle name="折り返し明細" xfId="134"/>
    <cellStyle name="説明文 2" xfId="227"/>
    <cellStyle name="大見出し" xfId="42"/>
    <cellStyle name="脱浦 [0.00]_laroux" xfId="135"/>
    <cellStyle name="脱浦_laroux" xfId="136"/>
    <cellStyle name="通貨 [0.00" xfId="228"/>
    <cellStyle name="通貨 [0.00]0]???瑳?倨???渭湯畳?????earch ;riteria *.xlt; *.xlm;hat match these searc" xfId="137"/>
    <cellStyle name="通貨 2" xfId="229"/>
    <cellStyle name="日付" xfId="138"/>
    <cellStyle name="入力 2" xfId="230"/>
    <cellStyle name="年月日" xfId="139"/>
    <cellStyle name="破線" xfId="43"/>
    <cellStyle name="標準" xfId="0" builtinId="0"/>
    <cellStyle name="標準 10" xfId="231"/>
    <cellStyle name="標準 10 2 2" xfId="232"/>
    <cellStyle name="標準 10 2 2 2 3" xfId="233"/>
    <cellStyle name="標準 11" xfId="234"/>
    <cellStyle name="標準 12" xfId="235"/>
    <cellStyle name="標準 12 2" xfId="236"/>
    <cellStyle name="標準 13" xfId="237"/>
    <cellStyle name="標準 14" xfId="238"/>
    <cellStyle name="標準 15" xfId="239"/>
    <cellStyle name="標準 2" xfId="140"/>
    <cellStyle name="標準 2 2" xfId="153"/>
    <cellStyle name="標準 2 3" xfId="240"/>
    <cellStyle name="標準 2 4" xfId="241"/>
    <cellStyle name="標準 2 5" xfId="242"/>
    <cellStyle name="標準 2_◎00_01_01_取り組み総括" xfId="243"/>
    <cellStyle name="標準 3" xfId="44"/>
    <cellStyle name="標準 3 2" xfId="141"/>
    <cellStyle name="標準 3 2 2" xfId="244"/>
    <cellStyle name="標準 3 3" xfId="142"/>
    <cellStyle name="標準 3 3 2" xfId="245"/>
    <cellStyle name="標準 3 3 3" xfId="246"/>
    <cellStyle name="標準 3 3_Sheet1" xfId="247"/>
    <cellStyle name="標準 3 4" xfId="248"/>
    <cellStyle name="標準 3 5" xfId="249"/>
    <cellStyle name="標準 3 6" xfId="250"/>
    <cellStyle name="標準 3 7" xfId="251"/>
    <cellStyle name="標準 3_01_全体業務配置_2" xfId="143"/>
    <cellStyle name="標準 4" xfId="144"/>
    <cellStyle name="標準 4 2" xfId="152"/>
    <cellStyle name="標準 4 3" xfId="252"/>
    <cellStyle name="標準 4_2013.02.20_運用設計書" xfId="253"/>
    <cellStyle name="標準 5" xfId="145"/>
    <cellStyle name="標準 5 2" xfId="254"/>
    <cellStyle name="標準 6" xfId="146"/>
    <cellStyle name="標準 6 2" xfId="255"/>
    <cellStyle name="標準 7" xfId="256"/>
    <cellStyle name="標準 8" xfId="257"/>
    <cellStyle name="標準 9" xfId="258"/>
    <cellStyle name="標準_02. テーブルレイアウト定義 3" xfId="263"/>
    <cellStyle name="標準_080.論理ファイル設計(ﾌｧｲﾙﾚｲｱｳﾄ)_20050518_UIドキュメント_3-3-1-2.画面一覧_02 機能関連図_期末処理_扱業務フロー_1-1-1. 業務機能一覧" xfId="45"/>
    <cellStyle name="標準_080.論理ファイル設計(ﾌｧｲﾙﾚｲｱｳﾄ)_20050518_UIドキュメント_3-3-1-2.画面一覧_02 機能関連図_期末処理_扱業務フロー_業務機能一覧" xfId="46"/>
    <cellStyle name="標準_080.論理ファイル設計(ﾌｧｲﾙﾚｲｱｳﾄ)_20050518_UIドキュメント_3-3-1-2.画面一覧_02 機能関連図_取引区分一覧_売上区分の捉え方_1-1-1. 業務機能一覧" xfId="47"/>
    <cellStyle name="標準_3.機能一覧_1-1-1. 業務機能一覧" xfId="48"/>
    <cellStyle name="標準1" xfId="147"/>
    <cellStyle name="標準１" xfId="259"/>
    <cellStyle name="標準10" xfId="49"/>
    <cellStyle name="標準12" xfId="50"/>
    <cellStyle name="表旨巧・・ハイパーリンク" xfId="148"/>
    <cellStyle name="表旨巧・・ハイパーリンク 2" xfId="260"/>
    <cellStyle name="文字" xfId="149"/>
    <cellStyle name="文字入力" xfId="261"/>
    <cellStyle name="文字列" xfId="150"/>
    <cellStyle name="未定義" xfId="51"/>
    <cellStyle name="網掛け" xfId="52"/>
    <cellStyle name="良い 2" xfId="262"/>
    <cellStyle name="樘準_購－表紙 (2)_1_型－PRINT_ＳＩ型番 (2)_構成明細  (原調込み） (2)" xfId="151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2" name="Line 340"/>
        <xdr:cNvSpPr>
          <a:spLocks noChangeShapeType="1"/>
        </xdr:cNvSpPr>
      </xdr:nvSpPr>
      <xdr:spPr bwMode="auto">
        <a:xfrm flipH="1">
          <a:off x="1290637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3" name="Line 340"/>
        <xdr:cNvSpPr>
          <a:spLocks noChangeShapeType="1"/>
        </xdr:cNvSpPr>
      </xdr:nvSpPr>
      <xdr:spPr bwMode="auto">
        <a:xfrm flipH="1">
          <a:off x="1555432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4" name="Line 340"/>
        <xdr:cNvSpPr>
          <a:spLocks noChangeShapeType="1"/>
        </xdr:cNvSpPr>
      </xdr:nvSpPr>
      <xdr:spPr bwMode="auto">
        <a:xfrm flipH="1">
          <a:off x="1555432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5" name="Line 340"/>
        <xdr:cNvSpPr>
          <a:spLocks noChangeShapeType="1"/>
        </xdr:cNvSpPr>
      </xdr:nvSpPr>
      <xdr:spPr bwMode="auto">
        <a:xfrm flipH="1">
          <a:off x="1555432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6" name="Line 340"/>
        <xdr:cNvSpPr>
          <a:spLocks noChangeShapeType="1"/>
        </xdr:cNvSpPr>
      </xdr:nvSpPr>
      <xdr:spPr bwMode="auto">
        <a:xfrm flipH="1">
          <a:off x="1555432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7" name="Line 340"/>
        <xdr:cNvSpPr>
          <a:spLocks noChangeShapeType="1"/>
        </xdr:cNvSpPr>
      </xdr:nvSpPr>
      <xdr:spPr bwMode="auto">
        <a:xfrm flipH="1">
          <a:off x="1555432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my\&#33258;&#24049;&#26619;&#23450;\WINDOWS\TEMP\&#26696;&#20214;&#31649;&#2970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スケジュール表"/>
      <sheetName val="実績報告"/>
      <sheetName val="実施状況"/>
      <sheetName val="ﾜｰｸｼｰﾄ"/>
      <sheetName val="案件元帳"/>
      <sheetName val="マクロ"/>
      <sheetName val="座席"/>
      <sheetName val="表紙"/>
      <sheetName val="改訂履歴"/>
      <sheetName val="1"/>
      <sheetName val="2-3"/>
      <sheetName val="【設定シート】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A5">
            <v>5</v>
          </cell>
          <cell r="C5">
            <v>351</v>
          </cell>
        </row>
        <row r="6">
          <cell r="C6">
            <v>183</v>
          </cell>
        </row>
        <row r="7">
          <cell r="C7">
            <v>419</v>
          </cell>
        </row>
        <row r="8">
          <cell r="C8">
            <v>339</v>
          </cell>
        </row>
        <row r="9">
          <cell r="C9">
            <v>3</v>
          </cell>
        </row>
        <row r="10">
          <cell r="C10">
            <v>111</v>
          </cell>
        </row>
        <row r="11">
          <cell r="C11">
            <v>410</v>
          </cell>
        </row>
        <row r="12">
          <cell r="C12">
            <v>452</v>
          </cell>
        </row>
        <row r="13">
          <cell r="C13">
            <v>465</v>
          </cell>
        </row>
        <row r="14">
          <cell r="C14">
            <v>501</v>
          </cell>
        </row>
        <row r="15">
          <cell r="C15">
            <v>525</v>
          </cell>
        </row>
        <row r="16">
          <cell r="C16">
            <v>3</v>
          </cell>
        </row>
        <row r="17">
          <cell r="C17">
            <v>53</v>
          </cell>
        </row>
        <row r="18">
          <cell r="C18">
            <v>69</v>
          </cell>
        </row>
        <row r="19">
          <cell r="C19">
            <v>70</v>
          </cell>
        </row>
        <row r="20">
          <cell r="C20">
            <v>81</v>
          </cell>
        </row>
        <row r="21">
          <cell r="C21">
            <v>88</v>
          </cell>
        </row>
        <row r="22">
          <cell r="C22">
            <v>93</v>
          </cell>
        </row>
        <row r="23">
          <cell r="C23">
            <v>104</v>
          </cell>
        </row>
        <row r="24">
          <cell r="C24">
            <v>106</v>
          </cell>
        </row>
        <row r="25">
          <cell r="C25">
            <v>114</v>
          </cell>
        </row>
        <row r="26">
          <cell r="C26">
            <v>123</v>
          </cell>
        </row>
        <row r="27">
          <cell r="C27">
            <v>161</v>
          </cell>
        </row>
        <row r="28">
          <cell r="C28">
            <v>169</v>
          </cell>
        </row>
        <row r="29">
          <cell r="C29">
            <v>170</v>
          </cell>
        </row>
        <row r="30">
          <cell r="C30">
            <v>223</v>
          </cell>
        </row>
        <row r="31">
          <cell r="C31">
            <v>224</v>
          </cell>
        </row>
        <row r="32">
          <cell r="C32">
            <v>225</v>
          </cell>
        </row>
        <row r="33">
          <cell r="C33">
            <v>235</v>
          </cell>
        </row>
        <row r="34">
          <cell r="C34">
            <v>238</v>
          </cell>
        </row>
        <row r="35">
          <cell r="C35">
            <v>239</v>
          </cell>
        </row>
        <row r="36">
          <cell r="C36">
            <v>240</v>
          </cell>
        </row>
        <row r="37">
          <cell r="C37">
            <v>261</v>
          </cell>
        </row>
        <row r="38">
          <cell r="C38">
            <v>278</v>
          </cell>
        </row>
        <row r="39">
          <cell r="C39">
            <v>278</v>
          </cell>
        </row>
        <row r="40">
          <cell r="C40">
            <v>279</v>
          </cell>
        </row>
        <row r="41">
          <cell r="C41">
            <v>280</v>
          </cell>
        </row>
        <row r="42">
          <cell r="C42">
            <v>281</v>
          </cell>
        </row>
        <row r="43">
          <cell r="C43">
            <v>282</v>
          </cell>
        </row>
        <row r="44">
          <cell r="C44">
            <v>284</v>
          </cell>
        </row>
        <row r="45">
          <cell r="C45">
            <v>285</v>
          </cell>
        </row>
        <row r="46">
          <cell r="C46">
            <v>286</v>
          </cell>
        </row>
        <row r="47">
          <cell r="C47">
            <v>287</v>
          </cell>
        </row>
        <row r="48">
          <cell r="C48">
            <v>289</v>
          </cell>
        </row>
        <row r="49">
          <cell r="C49">
            <v>301</v>
          </cell>
        </row>
        <row r="50">
          <cell r="C50">
            <v>302</v>
          </cell>
        </row>
        <row r="51">
          <cell r="C51">
            <v>317</v>
          </cell>
        </row>
        <row r="52">
          <cell r="C52">
            <v>334</v>
          </cell>
        </row>
        <row r="53">
          <cell r="C53">
            <v>350</v>
          </cell>
        </row>
        <row r="54">
          <cell r="C54">
            <v>352</v>
          </cell>
        </row>
        <row r="55">
          <cell r="C55">
            <v>353</v>
          </cell>
        </row>
        <row r="56">
          <cell r="C56">
            <v>356</v>
          </cell>
        </row>
        <row r="57">
          <cell r="C57">
            <v>358</v>
          </cell>
        </row>
        <row r="58">
          <cell r="C58">
            <v>363</v>
          </cell>
        </row>
        <row r="59">
          <cell r="C59">
            <v>384</v>
          </cell>
        </row>
        <row r="60">
          <cell r="C60">
            <v>386</v>
          </cell>
        </row>
        <row r="61">
          <cell r="C61">
            <v>400</v>
          </cell>
        </row>
        <row r="62">
          <cell r="C62">
            <v>403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34"/>
  <sheetViews>
    <sheetView showGridLines="0" view="pageBreakPreview"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C6" sqref="C6:F6"/>
    </sheetView>
  </sheetViews>
  <sheetFormatPr defaultColWidth="2.625" defaultRowHeight="11.25" customHeight="1"/>
  <cols>
    <col min="1" max="16384" width="2.625" style="1"/>
  </cols>
  <sheetData>
    <row r="1" spans="1:43" ht="14.25">
      <c r="A1" s="6" t="s">
        <v>16</v>
      </c>
      <c r="AD1" s="2"/>
      <c r="AE1" s="2"/>
      <c r="AF1" s="2"/>
      <c r="AG1" s="5"/>
      <c r="AH1" s="5"/>
      <c r="AI1" s="5"/>
      <c r="AJ1" s="5"/>
      <c r="AK1" s="4"/>
      <c r="AL1" s="3"/>
      <c r="AM1" s="2"/>
      <c r="AN1" s="2"/>
      <c r="AO1" s="2"/>
      <c r="AP1" s="2"/>
      <c r="AQ1" s="2"/>
    </row>
    <row r="4" spans="1:43" ht="11.25" customHeight="1">
      <c r="A4" s="60" t="s">
        <v>15</v>
      </c>
      <c r="B4" s="61"/>
      <c r="C4" s="59" t="s">
        <v>14</v>
      </c>
      <c r="D4" s="59"/>
      <c r="E4" s="59"/>
      <c r="F4" s="62"/>
      <c r="G4" s="59" t="s">
        <v>13</v>
      </c>
      <c r="H4" s="59"/>
      <c r="I4" s="59"/>
      <c r="J4" s="59"/>
      <c r="K4" s="59"/>
      <c r="L4" s="59"/>
      <c r="M4" s="59" t="s">
        <v>12</v>
      </c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60" t="s">
        <v>11</v>
      </c>
      <c r="AC4" s="64"/>
      <c r="AD4" s="64"/>
      <c r="AE4" s="61"/>
      <c r="AF4" s="59" t="s">
        <v>10</v>
      </c>
      <c r="AG4" s="59"/>
      <c r="AH4" s="59"/>
      <c r="AI4" s="59"/>
      <c r="AJ4" s="59"/>
      <c r="AK4" s="59"/>
      <c r="AL4" s="59"/>
    </row>
    <row r="5" spans="1:43" ht="27" customHeight="1">
      <c r="A5" s="46">
        <f t="shared" ref="A5:A34" si="0">IF(M5="","",ROW()-4)</f>
        <v>1</v>
      </c>
      <c r="B5" s="47"/>
      <c r="C5" s="63">
        <v>42940</v>
      </c>
      <c r="D5" s="49"/>
      <c r="E5" s="49"/>
      <c r="F5" s="50"/>
      <c r="G5" s="58" t="s">
        <v>32</v>
      </c>
      <c r="H5" s="58"/>
      <c r="I5" s="58"/>
      <c r="J5" s="58"/>
      <c r="K5" s="58"/>
      <c r="L5" s="58"/>
      <c r="M5" s="58" t="s">
        <v>17</v>
      </c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5" t="s">
        <v>34</v>
      </c>
      <c r="AC5" s="53"/>
      <c r="AD5" s="53"/>
      <c r="AE5" s="54"/>
      <c r="AF5" s="55"/>
      <c r="AG5" s="56"/>
      <c r="AH5" s="56"/>
      <c r="AI5" s="56"/>
      <c r="AJ5" s="56"/>
      <c r="AK5" s="56"/>
      <c r="AL5" s="57"/>
    </row>
    <row r="6" spans="1:43" ht="27" customHeight="1">
      <c r="A6" s="46" t="str">
        <f t="shared" si="0"/>
        <v/>
      </c>
      <c r="B6" s="47"/>
      <c r="C6" s="48"/>
      <c r="D6" s="49"/>
      <c r="E6" s="49"/>
      <c r="F6" s="50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5"/>
      <c r="AC6" s="53"/>
      <c r="AD6" s="53"/>
      <c r="AE6" s="54"/>
      <c r="AF6" s="55"/>
      <c r="AG6" s="56"/>
      <c r="AH6" s="56"/>
      <c r="AI6" s="56"/>
      <c r="AJ6" s="56"/>
      <c r="AK6" s="56"/>
      <c r="AL6" s="57"/>
    </row>
    <row r="7" spans="1:43" ht="27" customHeight="1">
      <c r="A7" s="46" t="str">
        <f t="shared" si="0"/>
        <v/>
      </c>
      <c r="B7" s="47"/>
      <c r="C7" s="48"/>
      <c r="D7" s="49"/>
      <c r="E7" s="49"/>
      <c r="F7" s="50"/>
      <c r="G7" s="58"/>
      <c r="H7" s="58"/>
      <c r="I7" s="58"/>
      <c r="J7" s="58"/>
      <c r="K7" s="58"/>
      <c r="L7" s="58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5"/>
      <c r="AC7" s="53"/>
      <c r="AD7" s="53"/>
      <c r="AE7" s="54"/>
      <c r="AF7" s="55"/>
      <c r="AG7" s="56"/>
      <c r="AH7" s="56"/>
      <c r="AI7" s="56"/>
      <c r="AJ7" s="56"/>
      <c r="AK7" s="56"/>
      <c r="AL7" s="57"/>
    </row>
    <row r="8" spans="1:43" ht="27" customHeight="1">
      <c r="A8" s="46" t="str">
        <f t="shared" si="0"/>
        <v/>
      </c>
      <c r="B8" s="47"/>
      <c r="C8" s="48"/>
      <c r="D8" s="49"/>
      <c r="E8" s="49"/>
      <c r="F8" s="50"/>
      <c r="G8" s="58"/>
      <c r="H8" s="58"/>
      <c r="I8" s="58"/>
      <c r="J8" s="58"/>
      <c r="K8" s="58"/>
      <c r="L8" s="58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5"/>
      <c r="AC8" s="53"/>
      <c r="AD8" s="53"/>
      <c r="AE8" s="54"/>
      <c r="AF8" s="55"/>
      <c r="AG8" s="56"/>
      <c r="AH8" s="56"/>
      <c r="AI8" s="56"/>
      <c r="AJ8" s="56"/>
      <c r="AK8" s="56"/>
      <c r="AL8" s="57"/>
    </row>
    <row r="9" spans="1:43" ht="27" customHeight="1">
      <c r="A9" s="46" t="str">
        <f t="shared" si="0"/>
        <v/>
      </c>
      <c r="B9" s="47"/>
      <c r="C9" s="48"/>
      <c r="D9" s="49"/>
      <c r="E9" s="49"/>
      <c r="F9" s="50"/>
      <c r="G9" s="58"/>
      <c r="H9" s="58"/>
      <c r="I9" s="58"/>
      <c r="J9" s="58"/>
      <c r="K9" s="58"/>
      <c r="L9" s="58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5"/>
      <c r="AC9" s="53"/>
      <c r="AD9" s="53"/>
      <c r="AE9" s="54"/>
      <c r="AF9" s="55"/>
      <c r="AG9" s="56"/>
      <c r="AH9" s="56"/>
      <c r="AI9" s="56"/>
      <c r="AJ9" s="56"/>
      <c r="AK9" s="56"/>
      <c r="AL9" s="57"/>
    </row>
    <row r="10" spans="1:43" ht="27" customHeight="1">
      <c r="A10" s="46" t="str">
        <f t="shared" si="0"/>
        <v/>
      </c>
      <c r="B10" s="47"/>
      <c r="C10" s="48"/>
      <c r="D10" s="49"/>
      <c r="E10" s="49"/>
      <c r="F10" s="50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5"/>
      <c r="AC10" s="53"/>
      <c r="AD10" s="53"/>
      <c r="AE10" s="54"/>
      <c r="AF10" s="55"/>
      <c r="AG10" s="56"/>
      <c r="AH10" s="56"/>
      <c r="AI10" s="56"/>
      <c r="AJ10" s="56"/>
      <c r="AK10" s="56"/>
      <c r="AL10" s="57"/>
    </row>
    <row r="11" spans="1:43" ht="27" customHeight="1">
      <c r="A11" s="46" t="str">
        <f t="shared" si="0"/>
        <v/>
      </c>
      <c r="B11" s="47"/>
      <c r="C11" s="48"/>
      <c r="D11" s="49"/>
      <c r="E11" s="49"/>
      <c r="F11" s="50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5"/>
      <c r="AC11" s="53"/>
      <c r="AD11" s="53"/>
      <c r="AE11" s="54"/>
      <c r="AF11" s="55"/>
      <c r="AG11" s="56"/>
      <c r="AH11" s="56"/>
      <c r="AI11" s="56"/>
      <c r="AJ11" s="56"/>
      <c r="AK11" s="56"/>
      <c r="AL11" s="57"/>
    </row>
    <row r="12" spans="1:43" ht="27" customHeight="1">
      <c r="A12" s="46" t="str">
        <f t="shared" si="0"/>
        <v/>
      </c>
      <c r="B12" s="47"/>
      <c r="C12" s="48"/>
      <c r="D12" s="49"/>
      <c r="E12" s="49"/>
      <c r="F12" s="50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5"/>
      <c r="AC12" s="56"/>
      <c r="AD12" s="56"/>
      <c r="AE12" s="57"/>
      <c r="AF12" s="55"/>
      <c r="AG12" s="56"/>
      <c r="AH12" s="56"/>
      <c r="AI12" s="56"/>
      <c r="AJ12" s="56"/>
      <c r="AK12" s="56"/>
      <c r="AL12" s="57"/>
    </row>
    <row r="13" spans="1:43" ht="27" customHeight="1">
      <c r="A13" s="46" t="str">
        <f t="shared" si="0"/>
        <v/>
      </c>
      <c r="B13" s="47"/>
      <c r="C13" s="48"/>
      <c r="D13" s="49"/>
      <c r="E13" s="49"/>
      <c r="F13" s="50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5"/>
      <c r="AC13" s="56"/>
      <c r="AD13" s="56"/>
      <c r="AE13" s="57"/>
      <c r="AF13" s="55"/>
      <c r="AG13" s="56"/>
      <c r="AH13" s="56"/>
      <c r="AI13" s="56"/>
      <c r="AJ13" s="56"/>
      <c r="AK13" s="56"/>
      <c r="AL13" s="57"/>
    </row>
    <row r="14" spans="1:43" ht="27" customHeight="1">
      <c r="A14" s="46" t="str">
        <f t="shared" si="0"/>
        <v/>
      </c>
      <c r="B14" s="47"/>
      <c r="C14" s="48"/>
      <c r="D14" s="49"/>
      <c r="E14" s="49"/>
      <c r="F14" s="50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5"/>
      <c r="AC14" s="56"/>
      <c r="AD14" s="56"/>
      <c r="AE14" s="57"/>
      <c r="AF14" s="55"/>
      <c r="AG14" s="56"/>
      <c r="AH14" s="56"/>
      <c r="AI14" s="56"/>
      <c r="AJ14" s="56"/>
      <c r="AK14" s="56"/>
      <c r="AL14" s="57"/>
    </row>
    <row r="15" spans="1:43" ht="27" customHeight="1">
      <c r="A15" s="46" t="str">
        <f t="shared" si="0"/>
        <v/>
      </c>
      <c r="B15" s="47"/>
      <c r="C15" s="48"/>
      <c r="D15" s="49"/>
      <c r="E15" s="49"/>
      <c r="F15" s="50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5"/>
      <c r="AC15" s="56"/>
      <c r="AD15" s="56"/>
      <c r="AE15" s="57"/>
      <c r="AF15" s="55"/>
      <c r="AG15" s="56"/>
      <c r="AH15" s="56"/>
      <c r="AI15" s="56"/>
      <c r="AJ15" s="56"/>
      <c r="AK15" s="56"/>
      <c r="AL15" s="57"/>
    </row>
    <row r="16" spans="1:43" ht="27" customHeight="1">
      <c r="A16" s="46" t="str">
        <f t="shared" si="0"/>
        <v/>
      </c>
      <c r="B16" s="47"/>
      <c r="C16" s="48"/>
      <c r="D16" s="49"/>
      <c r="E16" s="49"/>
      <c r="F16" s="50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5"/>
      <c r="AC16" s="56"/>
      <c r="AD16" s="56"/>
      <c r="AE16" s="57"/>
      <c r="AF16" s="55"/>
      <c r="AG16" s="56"/>
      <c r="AH16" s="56"/>
      <c r="AI16" s="56"/>
      <c r="AJ16" s="56"/>
      <c r="AK16" s="56"/>
      <c r="AL16" s="57"/>
    </row>
    <row r="17" spans="1:38" ht="27" customHeight="1">
      <c r="A17" s="46" t="str">
        <f t="shared" si="0"/>
        <v/>
      </c>
      <c r="B17" s="47"/>
      <c r="C17" s="48"/>
      <c r="D17" s="49"/>
      <c r="E17" s="49"/>
      <c r="F17" s="50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2"/>
      <c r="AC17" s="53"/>
      <c r="AD17" s="53"/>
      <c r="AE17" s="54"/>
      <c r="AF17" s="55"/>
      <c r="AG17" s="56"/>
      <c r="AH17" s="56"/>
      <c r="AI17" s="56"/>
      <c r="AJ17" s="56"/>
      <c r="AK17" s="56"/>
      <c r="AL17" s="57"/>
    </row>
    <row r="18" spans="1:38" ht="27" customHeight="1">
      <c r="A18" s="46" t="str">
        <f t="shared" si="0"/>
        <v/>
      </c>
      <c r="B18" s="47"/>
      <c r="C18" s="48"/>
      <c r="D18" s="49"/>
      <c r="E18" s="49"/>
      <c r="F18" s="50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2"/>
      <c r="AC18" s="53"/>
      <c r="AD18" s="53"/>
      <c r="AE18" s="54"/>
      <c r="AF18" s="55"/>
      <c r="AG18" s="56"/>
      <c r="AH18" s="56"/>
      <c r="AI18" s="56"/>
      <c r="AJ18" s="56"/>
      <c r="AK18" s="56"/>
      <c r="AL18" s="57"/>
    </row>
    <row r="19" spans="1:38" ht="27" customHeight="1">
      <c r="A19" s="46" t="str">
        <f t="shared" si="0"/>
        <v/>
      </c>
      <c r="B19" s="47"/>
      <c r="C19" s="48"/>
      <c r="D19" s="49"/>
      <c r="E19" s="49"/>
      <c r="F19" s="50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2"/>
      <c r="AC19" s="53"/>
      <c r="AD19" s="53"/>
      <c r="AE19" s="54"/>
      <c r="AF19" s="55"/>
      <c r="AG19" s="56"/>
      <c r="AH19" s="56"/>
      <c r="AI19" s="56"/>
      <c r="AJ19" s="56"/>
      <c r="AK19" s="56"/>
      <c r="AL19" s="57"/>
    </row>
    <row r="20" spans="1:38" ht="27" customHeight="1">
      <c r="A20" s="46" t="str">
        <f t="shared" si="0"/>
        <v/>
      </c>
      <c r="B20" s="47"/>
      <c r="C20" s="48"/>
      <c r="D20" s="49"/>
      <c r="E20" s="49"/>
      <c r="F20" s="50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2"/>
      <c r="AC20" s="53"/>
      <c r="AD20" s="53"/>
      <c r="AE20" s="54"/>
      <c r="AF20" s="55"/>
      <c r="AG20" s="56"/>
      <c r="AH20" s="56"/>
      <c r="AI20" s="56"/>
      <c r="AJ20" s="56"/>
      <c r="AK20" s="56"/>
      <c r="AL20" s="57"/>
    </row>
    <row r="21" spans="1:38" ht="27" customHeight="1">
      <c r="A21" s="46" t="str">
        <f t="shared" si="0"/>
        <v/>
      </c>
      <c r="B21" s="47"/>
      <c r="C21" s="48"/>
      <c r="D21" s="49"/>
      <c r="E21" s="49"/>
      <c r="F21" s="50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2"/>
      <c r="AC21" s="53"/>
      <c r="AD21" s="53"/>
      <c r="AE21" s="54"/>
      <c r="AF21" s="55"/>
      <c r="AG21" s="56"/>
      <c r="AH21" s="56"/>
      <c r="AI21" s="56"/>
      <c r="AJ21" s="56"/>
      <c r="AK21" s="56"/>
      <c r="AL21" s="57"/>
    </row>
    <row r="22" spans="1:38" ht="27" customHeight="1">
      <c r="A22" s="46" t="str">
        <f t="shared" si="0"/>
        <v/>
      </c>
      <c r="B22" s="47"/>
      <c r="C22" s="48"/>
      <c r="D22" s="49"/>
      <c r="E22" s="49"/>
      <c r="F22" s="50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2"/>
      <c r="AC22" s="53"/>
      <c r="AD22" s="53"/>
      <c r="AE22" s="54"/>
      <c r="AF22" s="55"/>
      <c r="AG22" s="56"/>
      <c r="AH22" s="56"/>
      <c r="AI22" s="56"/>
      <c r="AJ22" s="56"/>
      <c r="AK22" s="56"/>
      <c r="AL22" s="57"/>
    </row>
    <row r="23" spans="1:38" ht="27" customHeight="1">
      <c r="A23" s="46" t="str">
        <f t="shared" si="0"/>
        <v/>
      </c>
      <c r="B23" s="47"/>
      <c r="C23" s="48"/>
      <c r="D23" s="49"/>
      <c r="E23" s="49"/>
      <c r="F23" s="50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2"/>
      <c r="AC23" s="53"/>
      <c r="AD23" s="53"/>
      <c r="AE23" s="54"/>
      <c r="AF23" s="55"/>
      <c r="AG23" s="56"/>
      <c r="AH23" s="56"/>
      <c r="AI23" s="56"/>
      <c r="AJ23" s="56"/>
      <c r="AK23" s="56"/>
      <c r="AL23" s="57"/>
    </row>
    <row r="24" spans="1:38" ht="27" customHeight="1">
      <c r="A24" s="46" t="str">
        <f t="shared" si="0"/>
        <v/>
      </c>
      <c r="B24" s="47"/>
      <c r="C24" s="48"/>
      <c r="D24" s="49"/>
      <c r="E24" s="49"/>
      <c r="F24" s="50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2"/>
      <c r="AC24" s="53"/>
      <c r="AD24" s="53"/>
      <c r="AE24" s="54"/>
      <c r="AF24" s="55"/>
      <c r="AG24" s="56"/>
      <c r="AH24" s="56"/>
      <c r="AI24" s="56"/>
      <c r="AJ24" s="56"/>
      <c r="AK24" s="56"/>
      <c r="AL24" s="57"/>
    </row>
    <row r="25" spans="1:38" ht="27" customHeight="1">
      <c r="A25" s="46" t="str">
        <f t="shared" si="0"/>
        <v/>
      </c>
      <c r="B25" s="47"/>
      <c r="C25" s="48"/>
      <c r="D25" s="49"/>
      <c r="E25" s="49"/>
      <c r="F25" s="50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2"/>
      <c r="AC25" s="53"/>
      <c r="AD25" s="53"/>
      <c r="AE25" s="54"/>
      <c r="AF25" s="55"/>
      <c r="AG25" s="56"/>
      <c r="AH25" s="56"/>
      <c r="AI25" s="56"/>
      <c r="AJ25" s="56"/>
      <c r="AK25" s="56"/>
      <c r="AL25" s="57"/>
    </row>
    <row r="26" spans="1:38" ht="27" customHeight="1">
      <c r="A26" s="46" t="str">
        <f t="shared" si="0"/>
        <v/>
      </c>
      <c r="B26" s="47"/>
      <c r="C26" s="48"/>
      <c r="D26" s="49"/>
      <c r="E26" s="49"/>
      <c r="F26" s="50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2"/>
      <c r="AC26" s="53"/>
      <c r="AD26" s="53"/>
      <c r="AE26" s="54"/>
      <c r="AF26" s="55"/>
      <c r="AG26" s="56"/>
      <c r="AH26" s="56"/>
      <c r="AI26" s="56"/>
      <c r="AJ26" s="56"/>
      <c r="AK26" s="56"/>
      <c r="AL26" s="57"/>
    </row>
    <row r="27" spans="1:38" ht="27" customHeight="1">
      <c r="A27" s="46" t="str">
        <f t="shared" si="0"/>
        <v/>
      </c>
      <c r="B27" s="47"/>
      <c r="C27" s="48"/>
      <c r="D27" s="49"/>
      <c r="E27" s="49"/>
      <c r="F27" s="50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2"/>
      <c r="AC27" s="53"/>
      <c r="AD27" s="53"/>
      <c r="AE27" s="54"/>
      <c r="AF27" s="55"/>
      <c r="AG27" s="56"/>
      <c r="AH27" s="56"/>
      <c r="AI27" s="56"/>
      <c r="AJ27" s="56"/>
      <c r="AK27" s="56"/>
      <c r="AL27" s="57"/>
    </row>
    <row r="28" spans="1:38" ht="27" customHeight="1">
      <c r="A28" s="46" t="str">
        <f t="shared" si="0"/>
        <v/>
      </c>
      <c r="B28" s="47"/>
      <c r="C28" s="48"/>
      <c r="D28" s="49"/>
      <c r="E28" s="49"/>
      <c r="F28" s="50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2"/>
      <c r="AC28" s="53"/>
      <c r="AD28" s="53"/>
      <c r="AE28" s="54"/>
      <c r="AF28" s="55"/>
      <c r="AG28" s="56"/>
      <c r="AH28" s="56"/>
      <c r="AI28" s="56"/>
      <c r="AJ28" s="56"/>
      <c r="AK28" s="56"/>
      <c r="AL28" s="57"/>
    </row>
    <row r="29" spans="1:38" ht="27" customHeight="1">
      <c r="A29" s="46" t="str">
        <f t="shared" si="0"/>
        <v/>
      </c>
      <c r="B29" s="47"/>
      <c r="C29" s="48"/>
      <c r="D29" s="49"/>
      <c r="E29" s="49"/>
      <c r="F29" s="50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2"/>
      <c r="AC29" s="53"/>
      <c r="AD29" s="53"/>
      <c r="AE29" s="54"/>
      <c r="AF29" s="55"/>
      <c r="AG29" s="56"/>
      <c r="AH29" s="56"/>
      <c r="AI29" s="56"/>
      <c r="AJ29" s="56"/>
      <c r="AK29" s="56"/>
      <c r="AL29" s="57"/>
    </row>
    <row r="30" spans="1:38" ht="27" customHeight="1">
      <c r="A30" s="46" t="str">
        <f t="shared" si="0"/>
        <v/>
      </c>
      <c r="B30" s="47"/>
      <c r="C30" s="48"/>
      <c r="D30" s="49"/>
      <c r="E30" s="49"/>
      <c r="F30" s="50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2"/>
      <c r="AC30" s="53"/>
      <c r="AD30" s="53"/>
      <c r="AE30" s="54"/>
      <c r="AF30" s="55"/>
      <c r="AG30" s="56"/>
      <c r="AH30" s="56"/>
      <c r="AI30" s="56"/>
      <c r="AJ30" s="56"/>
      <c r="AK30" s="56"/>
      <c r="AL30" s="57"/>
    </row>
    <row r="31" spans="1:38" ht="27" customHeight="1">
      <c r="A31" s="46" t="str">
        <f t="shared" si="0"/>
        <v/>
      </c>
      <c r="B31" s="47"/>
      <c r="C31" s="48"/>
      <c r="D31" s="49"/>
      <c r="E31" s="49"/>
      <c r="F31" s="50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2"/>
      <c r="AC31" s="53"/>
      <c r="AD31" s="53"/>
      <c r="AE31" s="54"/>
      <c r="AF31" s="55"/>
      <c r="AG31" s="56"/>
      <c r="AH31" s="56"/>
      <c r="AI31" s="56"/>
      <c r="AJ31" s="56"/>
      <c r="AK31" s="56"/>
      <c r="AL31" s="57"/>
    </row>
    <row r="32" spans="1:38" ht="27" customHeight="1">
      <c r="A32" s="46" t="str">
        <f t="shared" si="0"/>
        <v/>
      </c>
      <c r="B32" s="47"/>
      <c r="C32" s="48"/>
      <c r="D32" s="49"/>
      <c r="E32" s="49"/>
      <c r="F32" s="50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2"/>
      <c r="AC32" s="53"/>
      <c r="AD32" s="53"/>
      <c r="AE32" s="54"/>
      <c r="AF32" s="55"/>
      <c r="AG32" s="56"/>
      <c r="AH32" s="56"/>
      <c r="AI32" s="56"/>
      <c r="AJ32" s="56"/>
      <c r="AK32" s="56"/>
      <c r="AL32" s="57"/>
    </row>
    <row r="33" spans="1:38" ht="27" customHeight="1">
      <c r="A33" s="46" t="str">
        <f t="shared" si="0"/>
        <v/>
      </c>
      <c r="B33" s="47"/>
      <c r="C33" s="48"/>
      <c r="D33" s="49"/>
      <c r="E33" s="49"/>
      <c r="F33" s="50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2"/>
      <c r="AC33" s="53"/>
      <c r="AD33" s="53"/>
      <c r="AE33" s="54"/>
      <c r="AF33" s="55"/>
      <c r="AG33" s="56"/>
      <c r="AH33" s="56"/>
      <c r="AI33" s="56"/>
      <c r="AJ33" s="56"/>
      <c r="AK33" s="56"/>
      <c r="AL33" s="57"/>
    </row>
    <row r="34" spans="1:38" ht="27" customHeight="1">
      <c r="A34" s="46" t="str">
        <f t="shared" si="0"/>
        <v/>
      </c>
      <c r="B34" s="47"/>
      <c r="C34" s="48"/>
      <c r="D34" s="49"/>
      <c r="E34" s="49"/>
      <c r="F34" s="50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2"/>
      <c r="AC34" s="53"/>
      <c r="AD34" s="53"/>
      <c r="AE34" s="54"/>
      <c r="AF34" s="55"/>
      <c r="AG34" s="56"/>
      <c r="AH34" s="56"/>
      <c r="AI34" s="56"/>
      <c r="AJ34" s="56"/>
      <c r="AK34" s="56"/>
      <c r="AL34" s="57"/>
    </row>
  </sheetData>
  <mergeCells count="186">
    <mergeCell ref="AB5:AE5"/>
    <mergeCell ref="AF5:AL5"/>
    <mergeCell ref="G4:L4"/>
    <mergeCell ref="M4:AA4"/>
    <mergeCell ref="AF11:AL11"/>
    <mergeCell ref="AF10:AL10"/>
    <mergeCell ref="A4:B4"/>
    <mergeCell ref="C4:F4"/>
    <mergeCell ref="A5:B5"/>
    <mergeCell ref="C5:F5"/>
    <mergeCell ref="G5:L5"/>
    <mergeCell ref="M5:AA5"/>
    <mergeCell ref="AB4:AE4"/>
    <mergeCell ref="AF4:AL4"/>
    <mergeCell ref="AF8:AL8"/>
    <mergeCell ref="AB9:AE9"/>
    <mergeCell ref="AF9:AL9"/>
    <mergeCell ref="G11:L11"/>
    <mergeCell ref="M11:AA11"/>
    <mergeCell ref="G8:L8"/>
    <mergeCell ref="M8:AA8"/>
    <mergeCell ref="G10:L10"/>
    <mergeCell ref="M10:AA10"/>
    <mergeCell ref="AB11:AE11"/>
    <mergeCell ref="C10:F10"/>
    <mergeCell ref="AB8:AE8"/>
    <mergeCell ref="AB14:AE14"/>
    <mergeCell ref="AF14:AL14"/>
    <mergeCell ref="AB12:AE12"/>
    <mergeCell ref="AF12:AL12"/>
    <mergeCell ref="A9:B9"/>
    <mergeCell ref="C9:F9"/>
    <mergeCell ref="G9:L9"/>
    <mergeCell ref="M9:AA9"/>
    <mergeCell ref="A11:B11"/>
    <mergeCell ref="C11:F11"/>
    <mergeCell ref="G12:L12"/>
    <mergeCell ref="M12:AA12"/>
    <mergeCell ref="AB13:AE13"/>
    <mergeCell ref="AF13:AL13"/>
    <mergeCell ref="G13:L13"/>
    <mergeCell ref="M13:AA13"/>
    <mergeCell ref="AB16:AE16"/>
    <mergeCell ref="AF16:AL16"/>
    <mergeCell ref="A17:B17"/>
    <mergeCell ref="C17:F17"/>
    <mergeCell ref="G17:L17"/>
    <mergeCell ref="M17:AA17"/>
    <mergeCell ref="AB7:AE7"/>
    <mergeCell ref="AF7:AL7"/>
    <mergeCell ref="A15:B15"/>
    <mergeCell ref="C15:F15"/>
    <mergeCell ref="A7:B7"/>
    <mergeCell ref="C7:F7"/>
    <mergeCell ref="G7:L7"/>
    <mergeCell ref="M7:AA7"/>
    <mergeCell ref="A13:B13"/>
    <mergeCell ref="C13:F13"/>
    <mergeCell ref="A16:B16"/>
    <mergeCell ref="C16:F16"/>
    <mergeCell ref="G16:L16"/>
    <mergeCell ref="M16:AA16"/>
    <mergeCell ref="A12:B12"/>
    <mergeCell ref="C12:F12"/>
    <mergeCell ref="AB10:AE10"/>
    <mergeCell ref="A10:B10"/>
    <mergeCell ref="AF6:AL6"/>
    <mergeCell ref="A27:B27"/>
    <mergeCell ref="C27:F27"/>
    <mergeCell ref="G27:L27"/>
    <mergeCell ref="M27:AA27"/>
    <mergeCell ref="AB26:AE26"/>
    <mergeCell ref="AF26:AL26"/>
    <mergeCell ref="AB27:AE27"/>
    <mergeCell ref="AF27:AL27"/>
    <mergeCell ref="AB25:AE25"/>
    <mergeCell ref="AF25:AL25"/>
    <mergeCell ref="A25:B25"/>
    <mergeCell ref="C25:F25"/>
    <mergeCell ref="G25:L25"/>
    <mergeCell ref="M25:AA25"/>
    <mergeCell ref="A8:B8"/>
    <mergeCell ref="C8:F8"/>
    <mergeCell ref="G15:L15"/>
    <mergeCell ref="M15:AA15"/>
    <mergeCell ref="AB15:AE15"/>
    <mergeCell ref="AF15:AL15"/>
    <mergeCell ref="A14:B14"/>
    <mergeCell ref="C14:F14"/>
    <mergeCell ref="G14:L14"/>
    <mergeCell ref="AF28:AL28"/>
    <mergeCell ref="A29:B29"/>
    <mergeCell ref="C29:F29"/>
    <mergeCell ref="G29:L29"/>
    <mergeCell ref="M29:AA29"/>
    <mergeCell ref="AB29:AE29"/>
    <mergeCell ref="AF29:AL29"/>
    <mergeCell ref="A6:B6"/>
    <mergeCell ref="C6:F6"/>
    <mergeCell ref="AF20:AL20"/>
    <mergeCell ref="AF23:AL23"/>
    <mergeCell ref="AF22:AL22"/>
    <mergeCell ref="A24:B24"/>
    <mergeCell ref="C24:F24"/>
    <mergeCell ref="G24:L24"/>
    <mergeCell ref="M24:AA24"/>
    <mergeCell ref="AB24:AE24"/>
    <mergeCell ref="AF24:AL24"/>
    <mergeCell ref="A26:B26"/>
    <mergeCell ref="C26:F26"/>
    <mergeCell ref="G26:L26"/>
    <mergeCell ref="M26:AA26"/>
    <mergeCell ref="G28:L28"/>
    <mergeCell ref="M28:AA28"/>
    <mergeCell ref="G6:L6"/>
    <mergeCell ref="M6:AA6"/>
    <mergeCell ref="A28:B28"/>
    <mergeCell ref="C28:F28"/>
    <mergeCell ref="G32:L32"/>
    <mergeCell ref="M32:AA32"/>
    <mergeCell ref="AB32:AE32"/>
    <mergeCell ref="M20:AA20"/>
    <mergeCell ref="AB20:AE20"/>
    <mergeCell ref="A23:B23"/>
    <mergeCell ref="C23:F23"/>
    <mergeCell ref="G23:L23"/>
    <mergeCell ref="M23:AA23"/>
    <mergeCell ref="AB23:AE23"/>
    <mergeCell ref="A22:B22"/>
    <mergeCell ref="C22:F22"/>
    <mergeCell ref="G22:L22"/>
    <mergeCell ref="M22:AA22"/>
    <mergeCell ref="AB22:AE22"/>
    <mergeCell ref="A30:B30"/>
    <mergeCell ref="C30:F30"/>
    <mergeCell ref="AB28:AE28"/>
    <mergeCell ref="AB6:AE6"/>
    <mergeCell ref="M14:AA14"/>
    <mergeCell ref="A33:B33"/>
    <mergeCell ref="C33:F33"/>
    <mergeCell ref="G33:L33"/>
    <mergeCell ref="M33:AA33"/>
    <mergeCell ref="AB33:AE33"/>
    <mergeCell ref="AF33:AL33"/>
    <mergeCell ref="A32:B32"/>
    <mergeCell ref="C32:F32"/>
    <mergeCell ref="AB34:AE34"/>
    <mergeCell ref="AF34:AL34"/>
    <mergeCell ref="A34:B34"/>
    <mergeCell ref="C34:F34"/>
    <mergeCell ref="G34:L34"/>
    <mergeCell ref="M34:AA34"/>
    <mergeCell ref="AF32:AL32"/>
    <mergeCell ref="G30:L30"/>
    <mergeCell ref="M30:AA30"/>
    <mergeCell ref="AB30:AE30"/>
    <mergeCell ref="AF30:AL30"/>
    <mergeCell ref="A31:B31"/>
    <mergeCell ref="C31:F31"/>
    <mergeCell ref="G31:L31"/>
    <mergeCell ref="M31:AA31"/>
    <mergeCell ref="AB31:AE31"/>
    <mergeCell ref="AF31:AL31"/>
    <mergeCell ref="A19:B19"/>
    <mergeCell ref="C19:F19"/>
    <mergeCell ref="G19:L19"/>
    <mergeCell ref="M19:AA19"/>
    <mergeCell ref="AB19:AE19"/>
    <mergeCell ref="AF19:AL19"/>
    <mergeCell ref="AB17:AE17"/>
    <mergeCell ref="AF17:AL17"/>
    <mergeCell ref="A18:B18"/>
    <mergeCell ref="C18:F18"/>
    <mergeCell ref="G18:L18"/>
    <mergeCell ref="M18:AA18"/>
    <mergeCell ref="AB18:AE18"/>
    <mergeCell ref="AF18:AL18"/>
    <mergeCell ref="A21:B21"/>
    <mergeCell ref="C21:F21"/>
    <mergeCell ref="G21:L21"/>
    <mergeCell ref="M21:AA21"/>
    <mergeCell ref="AB21:AE21"/>
    <mergeCell ref="AF21:AL21"/>
    <mergeCell ref="A20:B20"/>
    <mergeCell ref="C20:F20"/>
    <mergeCell ref="G20:L20"/>
  </mergeCells>
  <phoneticPr fontId="4"/>
  <pageMargins left="0.39370078740157483" right="0.39370078740157483" top="0.59055118110236227" bottom="0.59055118110236227" header="0.19685039370078741" footer="0.19685039370078741"/>
  <pageSetup paperSize="9" scale="96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C62"/>
  <sheetViews>
    <sheetView showGridLines="0" tabSelected="1" view="pageBreakPreview" zoomScale="85" zoomScaleNormal="85" zoomScaleSheetLayoutView="85" workbookViewId="0">
      <selection activeCell="B2" sqref="B2:I3"/>
    </sheetView>
  </sheetViews>
  <sheetFormatPr defaultColWidth="2.625" defaultRowHeight="13.5"/>
  <cols>
    <col min="1" max="1" width="0.625" style="17" customWidth="1"/>
    <col min="2" max="2" width="2.625" style="17"/>
    <col min="3" max="3" width="2.625" style="17" customWidth="1"/>
    <col min="4" max="4" width="2.625" style="17"/>
    <col min="5" max="5" width="2.625" style="17" customWidth="1"/>
    <col min="6" max="11" width="2.625" style="17"/>
    <col min="12" max="12" width="2.625" style="17" customWidth="1"/>
    <col min="13" max="13" width="2.625" style="18"/>
    <col min="14" max="14" width="2.625" style="17"/>
    <col min="15" max="15" width="2.625" style="17" customWidth="1"/>
    <col min="16" max="25" width="2.625" style="17"/>
    <col min="26" max="26" width="2.625" style="17" customWidth="1"/>
    <col min="27" max="27" width="2.625" style="17"/>
    <col min="28" max="28" width="2.625" style="17" customWidth="1"/>
    <col min="29" max="65" width="2.625" style="17"/>
    <col min="66" max="81" width="2.625" style="17" customWidth="1"/>
    <col min="82" max="82" width="0.625" style="17" customWidth="1"/>
    <col min="83" max="16384" width="2.625" style="17"/>
  </cols>
  <sheetData>
    <row r="1" spans="2:81" ht="3.75" customHeight="1" thickBot="1"/>
    <row r="2" spans="2:81" s="7" customFormat="1" ht="14.25" customHeight="1" thickTop="1">
      <c r="B2" s="77" t="s">
        <v>36</v>
      </c>
      <c r="C2" s="78"/>
      <c r="D2" s="78"/>
      <c r="E2" s="78"/>
      <c r="F2" s="78"/>
      <c r="G2" s="78"/>
      <c r="H2" s="78"/>
      <c r="I2" s="79"/>
      <c r="J2" s="103" t="s">
        <v>0</v>
      </c>
      <c r="K2" s="103"/>
      <c r="L2" s="103"/>
      <c r="M2" s="103"/>
      <c r="N2" s="104"/>
      <c r="O2" s="84" t="s">
        <v>1</v>
      </c>
      <c r="P2" s="85"/>
      <c r="Q2" s="85"/>
      <c r="R2" s="85"/>
      <c r="S2" s="86"/>
      <c r="T2" s="84" t="s">
        <v>2</v>
      </c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6"/>
      <c r="AI2" s="8"/>
      <c r="AJ2" s="9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83" t="s">
        <v>3</v>
      </c>
      <c r="BL2" s="83"/>
      <c r="BM2" s="83"/>
      <c r="BN2" s="84" t="s">
        <v>4</v>
      </c>
      <c r="BO2" s="85"/>
      <c r="BP2" s="85"/>
      <c r="BQ2" s="86"/>
      <c r="BR2" s="83" t="s">
        <v>5</v>
      </c>
      <c r="BS2" s="83"/>
      <c r="BT2" s="83" t="s">
        <v>6</v>
      </c>
      <c r="BU2" s="83"/>
      <c r="BV2" s="83"/>
      <c r="BW2" s="84" t="s">
        <v>7</v>
      </c>
      <c r="BX2" s="85"/>
      <c r="BY2" s="85"/>
      <c r="BZ2" s="86"/>
      <c r="CA2" s="91"/>
      <c r="CB2" s="91"/>
      <c r="CC2" s="92"/>
    </row>
    <row r="3" spans="2:81" s="7" customFormat="1" ht="18.75" customHeight="1" thickBot="1">
      <c r="B3" s="80"/>
      <c r="C3" s="81"/>
      <c r="D3" s="81"/>
      <c r="E3" s="81"/>
      <c r="F3" s="81"/>
      <c r="G3" s="81"/>
      <c r="H3" s="81"/>
      <c r="I3" s="82"/>
      <c r="J3" s="93" t="s">
        <v>35</v>
      </c>
      <c r="K3" s="93"/>
      <c r="L3" s="93"/>
      <c r="M3" s="93"/>
      <c r="N3" s="94"/>
      <c r="O3" s="95">
        <v>2.04</v>
      </c>
      <c r="P3" s="93"/>
      <c r="Q3" s="93"/>
      <c r="R3" s="93"/>
      <c r="S3" s="94"/>
      <c r="T3" s="108" t="s">
        <v>37</v>
      </c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4"/>
      <c r="AI3" s="12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4"/>
      <c r="AY3" s="14"/>
      <c r="AZ3" s="14"/>
      <c r="BA3" s="15"/>
      <c r="BB3" s="15"/>
      <c r="BC3" s="15"/>
      <c r="BD3" s="15"/>
      <c r="BE3" s="16"/>
      <c r="BF3" s="16"/>
      <c r="BG3" s="14"/>
      <c r="BH3" s="14"/>
      <c r="BI3" s="14"/>
      <c r="BJ3" s="15"/>
      <c r="BK3" s="96"/>
      <c r="BL3" s="97"/>
      <c r="BM3" s="98"/>
      <c r="BN3" s="99"/>
      <c r="BO3" s="100"/>
      <c r="BP3" s="100"/>
      <c r="BQ3" s="101"/>
      <c r="BR3" s="102" t="s">
        <v>9</v>
      </c>
      <c r="BS3" s="102"/>
      <c r="BT3" s="96" t="s">
        <v>8</v>
      </c>
      <c r="BU3" s="97"/>
      <c r="BV3" s="98"/>
      <c r="BW3" s="105">
        <v>42940</v>
      </c>
      <c r="BX3" s="106"/>
      <c r="BY3" s="106"/>
      <c r="BZ3" s="107"/>
      <c r="CA3" s="93"/>
      <c r="CB3" s="93"/>
      <c r="CC3" s="94"/>
    </row>
    <row r="4" spans="2:81" ht="11.25" customHeight="1" thickTop="1"/>
    <row r="5" spans="2:81" ht="18" customHeight="1">
      <c r="B5" s="118" t="s">
        <v>30</v>
      </c>
      <c r="C5" s="119"/>
      <c r="D5" s="119"/>
      <c r="E5" s="119"/>
      <c r="F5" s="119"/>
      <c r="G5" s="119"/>
      <c r="H5" s="119"/>
      <c r="I5" s="120"/>
      <c r="J5" s="19" t="s">
        <v>48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1" t="s">
        <v>49</v>
      </c>
      <c r="V5" s="20" t="s">
        <v>50</v>
      </c>
      <c r="W5" s="20"/>
      <c r="X5" s="20"/>
      <c r="Y5" s="20"/>
      <c r="Z5" s="20"/>
      <c r="AA5" s="20"/>
      <c r="AB5" s="20"/>
      <c r="AC5" s="22"/>
      <c r="AD5" s="111" t="s">
        <v>38</v>
      </c>
      <c r="AE5" s="112"/>
      <c r="AF5" s="113"/>
      <c r="AG5" s="73"/>
      <c r="AH5" s="73"/>
      <c r="AI5" s="74"/>
      <c r="AJ5" s="37"/>
      <c r="AK5" s="111" t="s">
        <v>31</v>
      </c>
      <c r="AL5" s="114"/>
      <c r="AM5" s="114"/>
      <c r="AN5" s="114"/>
      <c r="AO5" s="114"/>
      <c r="AP5" s="114"/>
      <c r="AQ5" s="112"/>
      <c r="AR5" s="72">
        <f ca="1">ROUNDUP((27+ROUNDUP((MAX(B:B)-COUNTIF(AB:AB,"○"))/8,0)+IF(AF5="",0,4))/8,0)*8+SUM(AS8:AS997)</f>
        <v>854</v>
      </c>
      <c r="AS5" s="73"/>
      <c r="AT5" s="74"/>
      <c r="AU5" s="37" t="s">
        <v>28</v>
      </c>
      <c r="AV5" s="37"/>
      <c r="AW5" s="121" t="s">
        <v>33</v>
      </c>
      <c r="AX5" s="122"/>
      <c r="AY5" s="122"/>
      <c r="AZ5" s="122"/>
      <c r="BA5" s="122"/>
      <c r="BB5" s="38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40"/>
      <c r="BQ5" s="39"/>
      <c r="BR5" s="39"/>
      <c r="BS5" s="39"/>
      <c r="BT5" s="39"/>
      <c r="BU5" s="39"/>
      <c r="BV5" s="39"/>
      <c r="BW5" s="39"/>
      <c r="BX5" s="39"/>
      <c r="BY5" s="41"/>
      <c r="BZ5" s="41"/>
      <c r="CA5" s="42"/>
      <c r="CB5" s="42"/>
      <c r="CC5" s="43"/>
    </row>
    <row r="6" spans="2:81" ht="11.25" customHeight="1"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 t="s">
        <v>46</v>
      </c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</row>
    <row r="7" spans="2:81" ht="24" customHeight="1">
      <c r="B7" s="24" t="s">
        <v>20</v>
      </c>
      <c r="C7" s="25"/>
      <c r="D7" s="24" t="s">
        <v>21</v>
      </c>
      <c r="E7" s="26"/>
      <c r="F7" s="26"/>
      <c r="G7" s="26"/>
      <c r="H7" s="26"/>
      <c r="I7" s="26"/>
      <c r="J7" s="26"/>
      <c r="K7" s="27"/>
      <c r="L7" s="24" t="s">
        <v>22</v>
      </c>
      <c r="M7" s="26"/>
      <c r="N7" s="26"/>
      <c r="O7" s="26"/>
      <c r="P7" s="26"/>
      <c r="Q7" s="26"/>
      <c r="R7" s="26"/>
      <c r="S7" s="27"/>
      <c r="T7" s="24" t="s">
        <v>23</v>
      </c>
      <c r="U7" s="27"/>
      <c r="V7" s="24" t="s">
        <v>24</v>
      </c>
      <c r="W7" s="27"/>
      <c r="X7" s="24" t="s">
        <v>25</v>
      </c>
      <c r="Y7" s="27"/>
      <c r="Z7" s="24" t="s">
        <v>26</v>
      </c>
      <c r="AA7" s="27"/>
      <c r="AB7" s="109" t="s">
        <v>27</v>
      </c>
      <c r="AC7" s="110"/>
      <c r="AD7" s="76"/>
      <c r="AE7" s="115" t="s">
        <v>40</v>
      </c>
      <c r="AF7" s="116"/>
      <c r="AG7" s="117"/>
      <c r="AH7" s="44" t="s">
        <v>41</v>
      </c>
      <c r="AI7" s="44"/>
      <c r="AJ7" s="44"/>
      <c r="AK7" s="44"/>
      <c r="AL7" s="45"/>
      <c r="AM7" s="44" t="s">
        <v>43</v>
      </c>
      <c r="AN7" s="44"/>
      <c r="AO7" s="75" t="s">
        <v>44</v>
      </c>
      <c r="AP7" s="76"/>
      <c r="AQ7" s="75" t="s">
        <v>45</v>
      </c>
      <c r="AR7" s="76"/>
      <c r="AS7" s="24" t="s">
        <v>28</v>
      </c>
      <c r="AT7" s="27"/>
      <c r="AU7" s="24" t="s">
        <v>29</v>
      </c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7"/>
      <c r="BR7" s="24" t="s">
        <v>10</v>
      </c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7"/>
    </row>
    <row r="8" spans="2:81" ht="12" customHeight="1">
      <c r="B8" s="89">
        <v>1</v>
      </c>
      <c r="C8" s="90"/>
      <c r="D8" s="28" t="s">
        <v>51</v>
      </c>
      <c r="E8" s="29"/>
      <c r="F8" s="29"/>
      <c r="G8" s="29"/>
      <c r="H8" s="29"/>
      <c r="I8" s="29"/>
      <c r="J8" s="29"/>
      <c r="K8" s="30"/>
      <c r="L8" s="28" t="s">
        <v>52</v>
      </c>
      <c r="M8" s="29"/>
      <c r="N8" s="29"/>
      <c r="O8" s="29"/>
      <c r="P8" s="29"/>
      <c r="Q8" s="29"/>
      <c r="R8" s="29"/>
      <c r="S8" s="30"/>
      <c r="T8" s="31">
        <v>1</v>
      </c>
      <c r="U8" s="32"/>
      <c r="V8" s="28"/>
      <c r="W8" s="30"/>
      <c r="X8" s="28"/>
      <c r="Y8" s="30"/>
      <c r="Z8" s="28"/>
      <c r="AA8" s="30"/>
      <c r="AB8" s="33" t="s">
        <v>53</v>
      </c>
      <c r="AC8" s="33"/>
      <c r="AD8" s="32"/>
      <c r="AE8" s="34"/>
      <c r="AF8" s="29"/>
      <c r="AG8" s="29"/>
      <c r="AH8" s="65" t="s">
        <v>39</v>
      </c>
      <c r="AI8" s="66"/>
      <c r="AJ8" s="66"/>
      <c r="AK8" s="66"/>
      <c r="AL8" s="67"/>
      <c r="AM8" s="68"/>
      <c r="AN8" s="69"/>
      <c r="AO8" s="70">
        <v>3</v>
      </c>
      <c r="AP8" s="71"/>
      <c r="AQ8" s="70"/>
      <c r="AR8" s="71"/>
      <c r="AS8" s="87">
        <f>IF(AH8="timestamp",8,IF(IF(AND(AH8="character varying",AM8="○"),AO8*4,IF(AH8="character varying",AO8,2+CEILING(IFERROR((AO8/4+AQ8/4)*2,""),1)))&lt;127,IF(AND(AH8="character varying",AM8="○"),AO8*4,IF(AH8="character varying",AO8,2+CEILING(IFERROR((AO8/4+AQ8/4)*2,""),1)))+1,IF(AND(AH8="character varying",AM8="○"),AO8*4,IF(AH8="character varying",AO8,2+CEILING(IFERROR((AO8/4+AQ8/4)*2,""),1)))+4))</f>
        <v>4</v>
      </c>
      <c r="AT8" s="88"/>
      <c r="AU8" s="28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30"/>
      <c r="BR8" s="28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30"/>
    </row>
    <row r="9" spans="2:81" ht="12" customHeight="1">
      <c r="B9" s="89">
        <f ca="1">IF($D9="","",MAX(OFFSET($B$8,0,0,ROW()-ROW($B$8),2))+1)</f>
        <v>2</v>
      </c>
      <c r="C9" s="90"/>
      <c r="D9" s="28" t="s">
        <v>54</v>
      </c>
      <c r="E9" s="29"/>
      <c r="F9" s="29"/>
      <c r="G9" s="29"/>
      <c r="H9" s="29"/>
      <c r="I9" s="29"/>
      <c r="J9" s="29"/>
      <c r="K9" s="30"/>
      <c r="L9" s="28" t="s">
        <v>55</v>
      </c>
      <c r="M9" s="29"/>
      <c r="N9" s="29"/>
      <c r="O9" s="29"/>
      <c r="P9" s="29"/>
      <c r="Q9" s="29"/>
      <c r="R9" s="29"/>
      <c r="S9" s="30"/>
      <c r="T9" s="31">
        <v>2</v>
      </c>
      <c r="U9" s="32"/>
      <c r="V9" s="28"/>
      <c r="W9" s="30"/>
      <c r="X9" s="28"/>
      <c r="Y9" s="30"/>
      <c r="Z9" s="28"/>
      <c r="AA9" s="30"/>
      <c r="AB9" s="33" t="s">
        <v>53</v>
      </c>
      <c r="AC9" s="33"/>
      <c r="AD9" s="32"/>
      <c r="AE9" s="34"/>
      <c r="AF9" s="29"/>
      <c r="AG9" s="29"/>
      <c r="AH9" s="65" t="s">
        <v>39</v>
      </c>
      <c r="AI9" s="66"/>
      <c r="AJ9" s="66"/>
      <c r="AK9" s="66"/>
      <c r="AL9" s="67"/>
      <c r="AM9" s="68"/>
      <c r="AN9" s="69"/>
      <c r="AO9" s="70">
        <v>3</v>
      </c>
      <c r="AP9" s="71"/>
      <c r="AQ9" s="70"/>
      <c r="AR9" s="71"/>
      <c r="AS9" s="87">
        <f t="shared" ref="AS9:AS22" si="0">IF(AH9="timestamp",8,IF(IF(AND(AH9="character varying",AM9="○"),AO9*4,IF(AH9="character varying",AO9,2+CEILING(IFERROR((AO9/4+AQ9/4)*2,""),1)))&lt;127,IF(AND(AH9="character varying",AM9="○"),AO9*4,IF(AH9="character varying",AO9,2+CEILING(IFERROR((AO9/4+AQ9/4)*2,""),1)))+1,IF(AND(AH9="character varying",AM9="○"),AO9*4,IF(AH9="character varying",AO9,2+CEILING(IFERROR((AO9/4+AQ9/4)*2,""),1)))+4))</f>
        <v>4</v>
      </c>
      <c r="AT9" s="88"/>
      <c r="AU9" s="28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30"/>
      <c r="BR9" s="28" t="s">
        <v>117</v>
      </c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30"/>
    </row>
    <row r="10" spans="2:81" ht="12" customHeight="1">
      <c r="B10" s="89">
        <f t="shared" ref="B10:B61" ca="1" si="1">IF($D10="","",MAX(OFFSET($B$8,0,0,ROW()-ROW($B$8),2))+1)</f>
        <v>3</v>
      </c>
      <c r="C10" s="90"/>
      <c r="D10" s="28" t="s">
        <v>56</v>
      </c>
      <c r="E10" s="29"/>
      <c r="F10" s="29"/>
      <c r="G10" s="29"/>
      <c r="H10" s="29"/>
      <c r="I10" s="29"/>
      <c r="J10" s="29"/>
      <c r="K10" s="30"/>
      <c r="L10" s="28" t="s">
        <v>57</v>
      </c>
      <c r="M10" s="29"/>
      <c r="N10" s="29"/>
      <c r="O10" s="29"/>
      <c r="P10" s="29"/>
      <c r="Q10" s="29"/>
      <c r="R10" s="29"/>
      <c r="S10" s="30"/>
      <c r="T10" s="31">
        <v>3</v>
      </c>
      <c r="U10" s="32"/>
      <c r="V10" s="28"/>
      <c r="W10" s="30"/>
      <c r="X10" s="28"/>
      <c r="Y10" s="30"/>
      <c r="Z10" s="28"/>
      <c r="AA10" s="30"/>
      <c r="AB10" s="33" t="s">
        <v>53</v>
      </c>
      <c r="AC10" s="33"/>
      <c r="AD10" s="32"/>
      <c r="AE10" s="34"/>
      <c r="AF10" s="29"/>
      <c r="AG10" s="29"/>
      <c r="AH10" s="65" t="s">
        <v>47</v>
      </c>
      <c r="AI10" s="66"/>
      <c r="AJ10" s="66"/>
      <c r="AK10" s="66"/>
      <c r="AL10" s="67"/>
      <c r="AM10" s="68"/>
      <c r="AN10" s="69"/>
      <c r="AO10" s="70"/>
      <c r="AP10" s="71"/>
      <c r="AQ10" s="70"/>
      <c r="AR10" s="71"/>
      <c r="AS10" s="87">
        <f t="shared" si="0"/>
        <v>8</v>
      </c>
      <c r="AT10" s="88"/>
      <c r="AU10" s="28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30"/>
      <c r="BR10" s="28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30"/>
    </row>
    <row r="11" spans="2:81" ht="12" customHeight="1">
      <c r="B11" s="89">
        <f t="shared" ca="1" si="1"/>
        <v>4</v>
      </c>
      <c r="C11" s="90"/>
      <c r="D11" s="28" t="s">
        <v>58</v>
      </c>
      <c r="E11" s="29"/>
      <c r="F11" s="29"/>
      <c r="G11" s="29"/>
      <c r="H11" s="29"/>
      <c r="I11" s="29"/>
      <c r="J11" s="29"/>
      <c r="K11" s="30"/>
      <c r="L11" s="28" t="s">
        <v>59</v>
      </c>
      <c r="M11" s="29"/>
      <c r="N11" s="29"/>
      <c r="O11" s="29"/>
      <c r="P11" s="29"/>
      <c r="Q11" s="29"/>
      <c r="R11" s="29"/>
      <c r="S11" s="30"/>
      <c r="T11" s="31"/>
      <c r="U11" s="32"/>
      <c r="V11" s="28"/>
      <c r="W11" s="30"/>
      <c r="X11" s="28"/>
      <c r="Y11" s="30"/>
      <c r="Z11" s="28"/>
      <c r="AA11" s="30"/>
      <c r="AB11" s="33" t="s">
        <v>53</v>
      </c>
      <c r="AC11" s="33"/>
      <c r="AD11" s="32"/>
      <c r="AE11" s="34"/>
      <c r="AF11" s="29"/>
      <c r="AG11" s="29"/>
      <c r="AH11" s="65" t="s">
        <v>47</v>
      </c>
      <c r="AI11" s="66"/>
      <c r="AJ11" s="66"/>
      <c r="AK11" s="66"/>
      <c r="AL11" s="67"/>
      <c r="AM11" s="68"/>
      <c r="AN11" s="69"/>
      <c r="AO11" s="70"/>
      <c r="AP11" s="71"/>
      <c r="AQ11" s="70"/>
      <c r="AR11" s="71"/>
      <c r="AS11" s="87">
        <f t="shared" si="0"/>
        <v>8</v>
      </c>
      <c r="AT11" s="88"/>
      <c r="AU11" s="28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30"/>
      <c r="BR11" s="28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30"/>
    </row>
    <row r="12" spans="2:81">
      <c r="B12" s="89">
        <f t="shared" ca="1" si="1"/>
        <v>5</v>
      </c>
      <c r="C12" s="90"/>
      <c r="D12" s="28" t="s">
        <v>60</v>
      </c>
      <c r="E12" s="29"/>
      <c r="F12" s="29"/>
      <c r="G12" s="29"/>
      <c r="H12" s="29"/>
      <c r="I12" s="29"/>
      <c r="J12" s="29"/>
      <c r="K12" s="30"/>
      <c r="L12" s="28" t="s">
        <v>61</v>
      </c>
      <c r="M12" s="29"/>
      <c r="N12" s="29"/>
      <c r="O12" s="29"/>
      <c r="P12" s="29"/>
      <c r="Q12" s="29"/>
      <c r="R12" s="29"/>
      <c r="S12" s="30"/>
      <c r="T12" s="31"/>
      <c r="U12" s="32"/>
      <c r="V12" s="28"/>
      <c r="W12" s="30"/>
      <c r="X12" s="28"/>
      <c r="Y12" s="30"/>
      <c r="Z12" s="28"/>
      <c r="AA12" s="30"/>
      <c r="AB12" s="33"/>
      <c r="AC12" s="33"/>
      <c r="AD12" s="32"/>
      <c r="AE12" s="34"/>
      <c r="AF12" s="29"/>
      <c r="AG12" s="29"/>
      <c r="AH12" s="65" t="s">
        <v>39</v>
      </c>
      <c r="AI12" s="66"/>
      <c r="AJ12" s="66"/>
      <c r="AK12" s="66"/>
      <c r="AL12" s="67"/>
      <c r="AM12" s="68" t="s">
        <v>119</v>
      </c>
      <c r="AN12" s="69"/>
      <c r="AO12" s="70">
        <v>20</v>
      </c>
      <c r="AP12" s="71"/>
      <c r="AQ12" s="70"/>
      <c r="AR12" s="71"/>
      <c r="AS12" s="87">
        <f t="shared" si="0"/>
        <v>81</v>
      </c>
      <c r="AT12" s="88"/>
      <c r="AU12" s="28" t="s">
        <v>114</v>
      </c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30"/>
      <c r="BR12" s="28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30"/>
    </row>
    <row r="13" spans="2:81">
      <c r="B13" s="89">
        <f t="shared" ca="1" si="1"/>
        <v>6</v>
      </c>
      <c r="C13" s="90"/>
      <c r="D13" s="28" t="s">
        <v>62</v>
      </c>
      <c r="E13" s="29"/>
      <c r="F13" s="29"/>
      <c r="G13" s="29"/>
      <c r="H13" s="29"/>
      <c r="I13" s="29"/>
      <c r="J13" s="29"/>
      <c r="K13" s="30"/>
      <c r="L13" s="28" t="s">
        <v>63</v>
      </c>
      <c r="M13" s="29"/>
      <c r="N13" s="29"/>
      <c r="O13" s="29"/>
      <c r="P13" s="29"/>
      <c r="Q13" s="29"/>
      <c r="R13" s="29"/>
      <c r="S13" s="30"/>
      <c r="T13" s="31"/>
      <c r="U13" s="32"/>
      <c r="V13" s="28"/>
      <c r="W13" s="30"/>
      <c r="X13" s="28"/>
      <c r="Y13" s="30"/>
      <c r="Z13" s="28"/>
      <c r="AA13" s="30"/>
      <c r="AB13" s="33"/>
      <c r="AC13" s="33"/>
      <c r="AD13" s="32"/>
      <c r="AE13" s="34"/>
      <c r="AF13" s="29"/>
      <c r="AG13" s="29"/>
      <c r="AH13" s="65" t="s">
        <v>39</v>
      </c>
      <c r="AI13" s="66"/>
      <c r="AJ13" s="66"/>
      <c r="AK13" s="66"/>
      <c r="AL13" s="67"/>
      <c r="AM13" s="68" t="s">
        <v>119</v>
      </c>
      <c r="AN13" s="69"/>
      <c r="AO13" s="70">
        <v>40</v>
      </c>
      <c r="AP13" s="71"/>
      <c r="AQ13" s="70"/>
      <c r="AR13" s="71"/>
      <c r="AS13" s="87">
        <f t="shared" si="0"/>
        <v>164</v>
      </c>
      <c r="AT13" s="88"/>
      <c r="AU13" s="28" t="s">
        <v>115</v>
      </c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30"/>
      <c r="BR13" s="28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30"/>
    </row>
    <row r="14" spans="2:81">
      <c r="B14" s="89">
        <f t="shared" ca="1" si="1"/>
        <v>7</v>
      </c>
      <c r="C14" s="90"/>
      <c r="D14" s="28" t="s">
        <v>64</v>
      </c>
      <c r="E14" s="29"/>
      <c r="F14" s="29"/>
      <c r="G14" s="29"/>
      <c r="H14" s="29"/>
      <c r="I14" s="29"/>
      <c r="J14" s="29"/>
      <c r="K14" s="30"/>
      <c r="L14" s="28" t="s">
        <v>65</v>
      </c>
      <c r="M14" s="29"/>
      <c r="N14" s="29"/>
      <c r="O14" s="29"/>
      <c r="P14" s="29"/>
      <c r="Q14" s="29"/>
      <c r="R14" s="29"/>
      <c r="S14" s="30"/>
      <c r="T14" s="31"/>
      <c r="U14" s="32"/>
      <c r="V14" s="28"/>
      <c r="W14" s="30"/>
      <c r="X14" s="28"/>
      <c r="Y14" s="30"/>
      <c r="Z14" s="28"/>
      <c r="AA14" s="30"/>
      <c r="AB14" s="33"/>
      <c r="AC14" s="33"/>
      <c r="AD14" s="32"/>
      <c r="AE14" s="34"/>
      <c r="AF14" s="29"/>
      <c r="AG14" s="29"/>
      <c r="AH14" s="65" t="s">
        <v>39</v>
      </c>
      <c r="AI14" s="66"/>
      <c r="AJ14" s="66"/>
      <c r="AK14" s="66"/>
      <c r="AL14" s="67"/>
      <c r="AM14" s="68"/>
      <c r="AN14" s="69"/>
      <c r="AO14" s="70">
        <v>3</v>
      </c>
      <c r="AP14" s="71"/>
      <c r="AQ14" s="70"/>
      <c r="AR14" s="71"/>
      <c r="AS14" s="87">
        <f t="shared" si="0"/>
        <v>4</v>
      </c>
      <c r="AT14" s="88"/>
      <c r="AU14" s="28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30"/>
      <c r="BR14" s="28" t="s">
        <v>117</v>
      </c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30"/>
    </row>
    <row r="15" spans="2:81">
      <c r="B15" s="89">
        <f t="shared" ca="1" si="1"/>
        <v>8</v>
      </c>
      <c r="C15" s="90"/>
      <c r="D15" s="28" t="s">
        <v>66</v>
      </c>
      <c r="E15" s="29"/>
      <c r="F15" s="29"/>
      <c r="G15" s="29"/>
      <c r="H15" s="29"/>
      <c r="I15" s="29"/>
      <c r="J15" s="29"/>
      <c r="K15" s="30"/>
      <c r="L15" s="123" t="s">
        <v>67</v>
      </c>
      <c r="M15" s="124"/>
      <c r="N15" s="124"/>
      <c r="O15" s="124"/>
      <c r="P15" s="124"/>
      <c r="Q15" s="124"/>
      <c r="R15" s="124"/>
      <c r="S15" s="125"/>
      <c r="T15" s="31"/>
      <c r="U15" s="32"/>
      <c r="V15" s="28"/>
      <c r="W15" s="30"/>
      <c r="X15" s="28"/>
      <c r="Y15" s="30"/>
      <c r="Z15" s="28"/>
      <c r="AA15" s="30"/>
      <c r="AB15" s="33"/>
      <c r="AC15" s="33"/>
      <c r="AD15" s="32"/>
      <c r="AE15" s="34"/>
      <c r="AF15" s="29"/>
      <c r="AG15" s="29"/>
      <c r="AH15" s="65" t="s">
        <v>39</v>
      </c>
      <c r="AI15" s="66"/>
      <c r="AJ15" s="66"/>
      <c r="AK15" s="66"/>
      <c r="AL15" s="67"/>
      <c r="AM15" s="68"/>
      <c r="AN15" s="69"/>
      <c r="AO15" s="70">
        <v>1</v>
      </c>
      <c r="AP15" s="71"/>
      <c r="AQ15" s="70"/>
      <c r="AR15" s="71"/>
      <c r="AS15" s="87">
        <f t="shared" si="0"/>
        <v>2</v>
      </c>
      <c r="AT15" s="88"/>
      <c r="AU15" s="28" t="s">
        <v>116</v>
      </c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30"/>
      <c r="BR15" s="28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30"/>
    </row>
    <row r="16" spans="2:81">
      <c r="B16" s="89">
        <f t="shared" ca="1" si="1"/>
        <v>9</v>
      </c>
      <c r="C16" s="90"/>
      <c r="D16" s="28" t="s">
        <v>68</v>
      </c>
      <c r="E16" s="29"/>
      <c r="F16" s="29"/>
      <c r="G16" s="29"/>
      <c r="H16" s="29"/>
      <c r="I16" s="29"/>
      <c r="J16" s="29"/>
      <c r="K16" s="30"/>
      <c r="L16" s="28" t="s">
        <v>69</v>
      </c>
      <c r="M16" s="29"/>
      <c r="N16" s="29"/>
      <c r="O16" s="29"/>
      <c r="P16" s="29"/>
      <c r="Q16" s="29"/>
      <c r="R16" s="29"/>
      <c r="S16" s="30"/>
      <c r="T16" s="31"/>
      <c r="U16" s="32"/>
      <c r="V16" s="28"/>
      <c r="W16" s="30"/>
      <c r="X16" s="28"/>
      <c r="Y16" s="30"/>
      <c r="Z16" s="28"/>
      <c r="AA16" s="30"/>
      <c r="AB16" s="33"/>
      <c r="AC16" s="33"/>
      <c r="AD16" s="32"/>
      <c r="AE16" s="34"/>
      <c r="AF16" s="29"/>
      <c r="AG16" s="29"/>
      <c r="AH16" s="65" t="s">
        <v>39</v>
      </c>
      <c r="AI16" s="66"/>
      <c r="AJ16" s="66"/>
      <c r="AK16" s="66"/>
      <c r="AL16" s="67"/>
      <c r="AM16" s="68"/>
      <c r="AN16" s="69"/>
      <c r="AO16" s="70">
        <v>3</v>
      </c>
      <c r="AP16" s="71"/>
      <c r="AQ16" s="70"/>
      <c r="AR16" s="71"/>
      <c r="AS16" s="87">
        <f t="shared" si="0"/>
        <v>4</v>
      </c>
      <c r="AT16" s="88"/>
      <c r="AU16" s="28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30"/>
      <c r="BR16" s="28" t="s">
        <v>118</v>
      </c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30"/>
    </row>
    <row r="17" spans="2:81">
      <c r="B17" s="89">
        <f t="shared" ca="1" si="1"/>
        <v>10</v>
      </c>
      <c r="C17" s="90"/>
      <c r="D17" s="28" t="s">
        <v>70</v>
      </c>
      <c r="E17" s="29"/>
      <c r="F17" s="29"/>
      <c r="G17" s="29"/>
      <c r="H17" s="29"/>
      <c r="I17" s="29"/>
      <c r="J17" s="29"/>
      <c r="K17" s="30"/>
      <c r="L17" s="28" t="s">
        <v>71</v>
      </c>
      <c r="M17" s="29"/>
      <c r="N17" s="29"/>
      <c r="O17" s="29"/>
      <c r="P17" s="29"/>
      <c r="Q17" s="29"/>
      <c r="R17" s="29"/>
      <c r="S17" s="30"/>
      <c r="T17" s="31"/>
      <c r="U17" s="32"/>
      <c r="V17" s="28"/>
      <c r="W17" s="30"/>
      <c r="X17" s="28"/>
      <c r="Y17" s="30"/>
      <c r="Z17" s="28"/>
      <c r="AA17" s="30"/>
      <c r="AB17" s="33"/>
      <c r="AC17" s="33"/>
      <c r="AD17" s="32"/>
      <c r="AE17" s="34"/>
      <c r="AF17" s="29"/>
      <c r="AG17" s="29"/>
      <c r="AH17" s="65" t="s">
        <v>39</v>
      </c>
      <c r="AI17" s="66"/>
      <c r="AJ17" s="66"/>
      <c r="AK17" s="66"/>
      <c r="AL17" s="67"/>
      <c r="AM17" s="68"/>
      <c r="AN17" s="69"/>
      <c r="AO17" s="70">
        <v>3</v>
      </c>
      <c r="AP17" s="71"/>
      <c r="AQ17" s="70"/>
      <c r="AR17" s="71"/>
      <c r="AS17" s="87">
        <f t="shared" si="0"/>
        <v>4</v>
      </c>
      <c r="AT17" s="88"/>
      <c r="AU17" s="28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30"/>
      <c r="BR17" s="28" t="s">
        <v>118</v>
      </c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30"/>
    </row>
    <row r="18" spans="2:81">
      <c r="B18" s="89">
        <f t="shared" ca="1" si="1"/>
        <v>11</v>
      </c>
      <c r="C18" s="90"/>
      <c r="D18" s="28" t="s">
        <v>72</v>
      </c>
      <c r="E18" s="29"/>
      <c r="F18" s="29"/>
      <c r="G18" s="29"/>
      <c r="H18" s="29"/>
      <c r="I18" s="29"/>
      <c r="J18" s="29"/>
      <c r="K18" s="30"/>
      <c r="L18" s="28" t="s">
        <v>73</v>
      </c>
      <c r="M18" s="29"/>
      <c r="N18" s="29"/>
      <c r="O18" s="29"/>
      <c r="P18" s="29"/>
      <c r="Q18" s="29"/>
      <c r="R18" s="29"/>
      <c r="S18" s="30"/>
      <c r="T18" s="31"/>
      <c r="U18" s="32"/>
      <c r="V18" s="28"/>
      <c r="W18" s="30"/>
      <c r="X18" s="28"/>
      <c r="Y18" s="30"/>
      <c r="Z18" s="28"/>
      <c r="AA18" s="30"/>
      <c r="AB18" s="33"/>
      <c r="AC18" s="33"/>
      <c r="AD18" s="32"/>
      <c r="AE18" s="34"/>
      <c r="AF18" s="29"/>
      <c r="AG18" s="29"/>
      <c r="AH18" s="65" t="s">
        <v>39</v>
      </c>
      <c r="AI18" s="66"/>
      <c r="AJ18" s="66"/>
      <c r="AK18" s="66"/>
      <c r="AL18" s="67"/>
      <c r="AM18" s="68"/>
      <c r="AN18" s="69"/>
      <c r="AO18" s="70">
        <v>3</v>
      </c>
      <c r="AP18" s="71"/>
      <c r="AQ18" s="70"/>
      <c r="AR18" s="71"/>
      <c r="AS18" s="87">
        <f t="shared" si="0"/>
        <v>4</v>
      </c>
      <c r="AT18" s="88"/>
      <c r="AU18" s="28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30"/>
      <c r="BR18" s="28" t="s">
        <v>118</v>
      </c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30"/>
    </row>
    <row r="19" spans="2:81">
      <c r="B19" s="89">
        <f t="shared" ca="1" si="1"/>
        <v>12</v>
      </c>
      <c r="C19" s="90"/>
      <c r="D19" s="28" t="s">
        <v>74</v>
      </c>
      <c r="E19" s="29"/>
      <c r="F19" s="29"/>
      <c r="G19" s="29"/>
      <c r="H19" s="29"/>
      <c r="I19" s="29"/>
      <c r="J19" s="29"/>
      <c r="K19" s="30"/>
      <c r="L19" s="28" t="s">
        <v>75</v>
      </c>
      <c r="M19" s="29"/>
      <c r="N19" s="29"/>
      <c r="O19" s="29"/>
      <c r="P19" s="29"/>
      <c r="Q19" s="29"/>
      <c r="R19" s="29"/>
      <c r="S19" s="30"/>
      <c r="T19" s="31"/>
      <c r="U19" s="32"/>
      <c r="V19" s="28"/>
      <c r="W19" s="30"/>
      <c r="X19" s="28"/>
      <c r="Y19" s="30"/>
      <c r="Z19" s="28"/>
      <c r="AA19" s="30"/>
      <c r="AB19" s="33"/>
      <c r="AC19" s="33"/>
      <c r="AD19" s="32"/>
      <c r="AE19" s="34"/>
      <c r="AF19" s="29"/>
      <c r="AG19" s="29"/>
      <c r="AH19" s="65" t="s">
        <v>39</v>
      </c>
      <c r="AI19" s="66"/>
      <c r="AJ19" s="66"/>
      <c r="AK19" s="66"/>
      <c r="AL19" s="67"/>
      <c r="AM19" s="68"/>
      <c r="AN19" s="69"/>
      <c r="AO19" s="70">
        <v>3</v>
      </c>
      <c r="AP19" s="71"/>
      <c r="AQ19" s="70"/>
      <c r="AR19" s="71"/>
      <c r="AS19" s="87">
        <f t="shared" si="0"/>
        <v>4</v>
      </c>
      <c r="AT19" s="88"/>
      <c r="AU19" s="28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30"/>
      <c r="BR19" s="28" t="s">
        <v>118</v>
      </c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30"/>
    </row>
    <row r="20" spans="2:81">
      <c r="B20" s="89">
        <f t="shared" ca="1" si="1"/>
        <v>13</v>
      </c>
      <c r="C20" s="90"/>
      <c r="D20" s="28" t="s">
        <v>76</v>
      </c>
      <c r="E20" s="29"/>
      <c r="F20" s="29"/>
      <c r="G20" s="29"/>
      <c r="H20" s="29"/>
      <c r="I20" s="29"/>
      <c r="J20" s="29"/>
      <c r="K20" s="30"/>
      <c r="L20" s="28" t="s">
        <v>77</v>
      </c>
      <c r="M20" s="29"/>
      <c r="N20" s="29"/>
      <c r="O20" s="29"/>
      <c r="P20" s="29"/>
      <c r="Q20" s="29"/>
      <c r="R20" s="29"/>
      <c r="S20" s="30"/>
      <c r="T20" s="31"/>
      <c r="U20" s="32"/>
      <c r="V20" s="28"/>
      <c r="W20" s="30"/>
      <c r="X20" s="28"/>
      <c r="Y20" s="30"/>
      <c r="Z20" s="28"/>
      <c r="AA20" s="30"/>
      <c r="AB20" s="33"/>
      <c r="AC20" s="33"/>
      <c r="AD20" s="32"/>
      <c r="AE20" s="34"/>
      <c r="AF20" s="29"/>
      <c r="AG20" s="29"/>
      <c r="AH20" s="65" t="s">
        <v>42</v>
      </c>
      <c r="AI20" s="66"/>
      <c r="AJ20" s="66"/>
      <c r="AK20" s="66"/>
      <c r="AL20" s="67"/>
      <c r="AM20" s="68"/>
      <c r="AN20" s="69"/>
      <c r="AO20" s="70">
        <v>8</v>
      </c>
      <c r="AP20" s="71"/>
      <c r="AQ20" s="70">
        <v>0</v>
      </c>
      <c r="AR20" s="71"/>
      <c r="AS20" s="87">
        <f t="shared" si="0"/>
        <v>7</v>
      </c>
      <c r="AT20" s="88"/>
      <c r="AU20" s="28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30"/>
      <c r="BR20" s="28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30"/>
    </row>
    <row r="21" spans="2:81">
      <c r="B21" s="89">
        <f t="shared" ca="1" si="1"/>
        <v>14</v>
      </c>
      <c r="C21" s="90"/>
      <c r="D21" s="28" t="s">
        <v>78</v>
      </c>
      <c r="E21" s="29"/>
      <c r="F21" s="29"/>
      <c r="G21" s="29"/>
      <c r="H21" s="29"/>
      <c r="I21" s="29"/>
      <c r="J21" s="29"/>
      <c r="K21" s="30"/>
      <c r="L21" s="28" t="s">
        <v>79</v>
      </c>
      <c r="M21" s="29"/>
      <c r="N21" s="29"/>
      <c r="O21" s="29"/>
      <c r="P21" s="29"/>
      <c r="Q21" s="29"/>
      <c r="R21" s="29"/>
      <c r="S21" s="30"/>
      <c r="T21" s="31"/>
      <c r="U21" s="32"/>
      <c r="V21" s="28"/>
      <c r="W21" s="30"/>
      <c r="X21" s="28"/>
      <c r="Y21" s="30"/>
      <c r="Z21" s="28"/>
      <c r="AA21" s="30"/>
      <c r="AB21" s="33"/>
      <c r="AC21" s="33"/>
      <c r="AD21" s="32"/>
      <c r="AE21" s="34"/>
      <c r="AF21" s="29"/>
      <c r="AG21" s="29"/>
      <c r="AH21" s="65" t="s">
        <v>42</v>
      </c>
      <c r="AI21" s="66"/>
      <c r="AJ21" s="66"/>
      <c r="AK21" s="66"/>
      <c r="AL21" s="67"/>
      <c r="AM21" s="68"/>
      <c r="AN21" s="69"/>
      <c r="AO21" s="70">
        <v>8</v>
      </c>
      <c r="AP21" s="71"/>
      <c r="AQ21" s="70">
        <v>0</v>
      </c>
      <c r="AR21" s="71"/>
      <c r="AS21" s="87">
        <f t="shared" si="0"/>
        <v>7</v>
      </c>
      <c r="AT21" s="88"/>
      <c r="AU21" s="28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30"/>
      <c r="BR21" s="28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2"/>
    </row>
    <row r="22" spans="2:81">
      <c r="B22" s="89">
        <f t="shared" ca="1" si="1"/>
        <v>15</v>
      </c>
      <c r="C22" s="90"/>
      <c r="D22" s="28" t="s">
        <v>80</v>
      </c>
      <c r="E22" s="29"/>
      <c r="F22" s="29"/>
      <c r="G22" s="29"/>
      <c r="H22" s="29"/>
      <c r="I22" s="29"/>
      <c r="J22" s="29"/>
      <c r="K22" s="30"/>
      <c r="L22" s="28" t="s">
        <v>81</v>
      </c>
      <c r="M22" s="29"/>
      <c r="N22" s="29"/>
      <c r="O22" s="29"/>
      <c r="P22" s="29"/>
      <c r="Q22" s="29"/>
      <c r="R22" s="29"/>
      <c r="S22" s="30"/>
      <c r="T22" s="31"/>
      <c r="U22" s="32"/>
      <c r="V22" s="28"/>
      <c r="W22" s="30"/>
      <c r="X22" s="28"/>
      <c r="Y22" s="30"/>
      <c r="Z22" s="28"/>
      <c r="AA22" s="30"/>
      <c r="AB22" s="33"/>
      <c r="AC22" s="33"/>
      <c r="AD22" s="32"/>
      <c r="AE22" s="34"/>
      <c r="AF22" s="29"/>
      <c r="AG22" s="29"/>
      <c r="AH22" s="65" t="s">
        <v>42</v>
      </c>
      <c r="AI22" s="66"/>
      <c r="AJ22" s="66"/>
      <c r="AK22" s="66"/>
      <c r="AL22" s="67"/>
      <c r="AM22" s="68"/>
      <c r="AN22" s="69"/>
      <c r="AO22" s="70">
        <v>8</v>
      </c>
      <c r="AP22" s="71"/>
      <c r="AQ22" s="70">
        <v>0</v>
      </c>
      <c r="AR22" s="71"/>
      <c r="AS22" s="87">
        <f t="shared" si="0"/>
        <v>7</v>
      </c>
      <c r="AT22" s="88"/>
      <c r="AU22" s="28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30"/>
      <c r="BR22" s="28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30"/>
    </row>
    <row r="23" spans="2:81">
      <c r="B23" s="89">
        <f t="shared" ca="1" si="1"/>
        <v>16</v>
      </c>
      <c r="C23" s="90"/>
      <c r="D23" s="28" t="s">
        <v>82</v>
      </c>
      <c r="E23" s="29"/>
      <c r="F23" s="29"/>
      <c r="G23" s="29"/>
      <c r="H23" s="29"/>
      <c r="I23" s="29"/>
      <c r="J23" s="29"/>
      <c r="K23" s="30"/>
      <c r="L23" s="28" t="s">
        <v>83</v>
      </c>
      <c r="M23" s="29"/>
      <c r="N23" s="29"/>
      <c r="O23" s="29"/>
      <c r="P23" s="29"/>
      <c r="Q23" s="29"/>
      <c r="R23" s="29"/>
      <c r="S23" s="30"/>
      <c r="T23" s="31"/>
      <c r="U23" s="32"/>
      <c r="V23" s="28"/>
      <c r="W23" s="30"/>
      <c r="X23" s="28"/>
      <c r="Y23" s="30"/>
      <c r="Z23" s="28"/>
      <c r="AA23" s="30"/>
      <c r="AB23" s="33"/>
      <c r="AC23" s="33"/>
      <c r="AD23" s="32"/>
      <c r="AE23" s="34"/>
      <c r="AF23" s="29"/>
      <c r="AG23" s="29"/>
      <c r="AH23" s="65" t="s">
        <v>39</v>
      </c>
      <c r="AI23" s="66"/>
      <c r="AJ23" s="66"/>
      <c r="AK23" s="66"/>
      <c r="AL23" s="67"/>
      <c r="AM23" s="68"/>
      <c r="AN23" s="69"/>
      <c r="AO23" s="70">
        <v>7</v>
      </c>
      <c r="AP23" s="71"/>
      <c r="AQ23" s="70"/>
      <c r="AR23" s="71"/>
      <c r="AS23" s="87">
        <f t="shared" ref="AS23:AS38" si="2">IF(AH23="timestamp",8,IF(IF(AND(AH23="character varying",AM23="○"),AO23*4,IF(AH23="character varying",AO23,2+CEILING(IFERROR((AO23/4+AQ23/4)*2,""),1)))&lt;127,IF(AND(AH23="character varying",AM23="○"),AO23*4,IF(AH23="character varying",AO23,2+CEILING(IFERROR((AO23/4+AQ23/4)*2,""),1)))+1,IF(AND(AH23="character varying",AM23="○"),AO23*4,IF(AH23="character varying",AO23,2+CEILING(IFERROR((AO23/4+AQ23/4)*2,""),1)))+4))</f>
        <v>8</v>
      </c>
      <c r="AT23" s="88"/>
      <c r="AU23" s="28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30"/>
      <c r="BR23" s="28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30"/>
    </row>
    <row r="24" spans="2:81">
      <c r="B24" s="89">
        <f t="shared" ca="1" si="1"/>
        <v>17</v>
      </c>
      <c r="C24" s="90"/>
      <c r="D24" s="28" t="s">
        <v>84</v>
      </c>
      <c r="E24" s="29"/>
      <c r="F24" s="29"/>
      <c r="G24" s="29"/>
      <c r="H24" s="29"/>
      <c r="I24" s="29"/>
      <c r="J24" s="29"/>
      <c r="K24" s="30"/>
      <c r="L24" s="28" t="s">
        <v>85</v>
      </c>
      <c r="M24" s="29"/>
      <c r="N24" s="29"/>
      <c r="O24" s="29"/>
      <c r="P24" s="29"/>
      <c r="Q24" s="29"/>
      <c r="R24" s="29"/>
      <c r="S24" s="30"/>
      <c r="T24" s="31"/>
      <c r="U24" s="32"/>
      <c r="V24" s="28"/>
      <c r="W24" s="30"/>
      <c r="X24" s="28"/>
      <c r="Y24" s="30"/>
      <c r="Z24" s="28"/>
      <c r="AA24" s="30"/>
      <c r="AB24" s="33"/>
      <c r="AC24" s="33"/>
      <c r="AD24" s="32"/>
      <c r="AE24" s="34"/>
      <c r="AF24" s="29"/>
      <c r="AG24" s="29"/>
      <c r="AH24" s="65" t="s">
        <v>39</v>
      </c>
      <c r="AI24" s="66"/>
      <c r="AJ24" s="66"/>
      <c r="AK24" s="66"/>
      <c r="AL24" s="67"/>
      <c r="AM24" s="68" t="s">
        <v>119</v>
      </c>
      <c r="AN24" s="69"/>
      <c r="AO24" s="70">
        <v>6</v>
      </c>
      <c r="AP24" s="71"/>
      <c r="AQ24" s="70"/>
      <c r="AR24" s="71"/>
      <c r="AS24" s="87">
        <f t="shared" si="2"/>
        <v>25</v>
      </c>
      <c r="AT24" s="88"/>
      <c r="AU24" s="28" t="s">
        <v>114</v>
      </c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30"/>
      <c r="BR24" s="28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30"/>
    </row>
    <row r="25" spans="2:81">
      <c r="B25" s="89">
        <f t="shared" ca="1" si="1"/>
        <v>18</v>
      </c>
      <c r="C25" s="90"/>
      <c r="D25" s="28" t="s">
        <v>86</v>
      </c>
      <c r="E25" s="29"/>
      <c r="F25" s="29"/>
      <c r="G25" s="29"/>
      <c r="H25" s="29"/>
      <c r="I25" s="29"/>
      <c r="J25" s="29"/>
      <c r="K25" s="30"/>
      <c r="L25" s="28" t="s">
        <v>87</v>
      </c>
      <c r="M25" s="29"/>
      <c r="N25" s="29"/>
      <c r="O25" s="29"/>
      <c r="P25" s="29"/>
      <c r="Q25" s="29"/>
      <c r="R25" s="29"/>
      <c r="S25" s="30"/>
      <c r="T25" s="28"/>
      <c r="U25" s="30"/>
      <c r="V25" s="28"/>
      <c r="W25" s="30"/>
      <c r="X25" s="28"/>
      <c r="Y25" s="30"/>
      <c r="Z25" s="28"/>
      <c r="AA25" s="30"/>
      <c r="AB25" s="33"/>
      <c r="AC25" s="33"/>
      <c r="AD25" s="32"/>
      <c r="AE25" s="34"/>
      <c r="AF25" s="29"/>
      <c r="AG25" s="29"/>
      <c r="AH25" s="65" t="s">
        <v>39</v>
      </c>
      <c r="AI25" s="66"/>
      <c r="AJ25" s="66"/>
      <c r="AK25" s="66"/>
      <c r="AL25" s="67"/>
      <c r="AM25" s="68" t="s">
        <v>119</v>
      </c>
      <c r="AN25" s="69"/>
      <c r="AO25" s="70">
        <v>16</v>
      </c>
      <c r="AP25" s="71"/>
      <c r="AQ25" s="70"/>
      <c r="AR25" s="71"/>
      <c r="AS25" s="87">
        <f t="shared" si="2"/>
        <v>65</v>
      </c>
      <c r="AT25" s="88"/>
      <c r="AU25" s="28" t="s">
        <v>114</v>
      </c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30"/>
      <c r="BR25" s="28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30"/>
    </row>
    <row r="26" spans="2:81">
      <c r="B26" s="89">
        <f t="shared" ca="1" si="1"/>
        <v>19</v>
      </c>
      <c r="C26" s="90"/>
      <c r="D26" s="28" t="s">
        <v>88</v>
      </c>
      <c r="E26" s="29"/>
      <c r="F26" s="29"/>
      <c r="G26" s="29"/>
      <c r="H26" s="29"/>
      <c r="I26" s="29"/>
      <c r="J26" s="29"/>
      <c r="K26" s="30"/>
      <c r="L26" s="28" t="s">
        <v>89</v>
      </c>
      <c r="M26" s="29"/>
      <c r="N26" s="29"/>
      <c r="O26" s="29"/>
      <c r="P26" s="29"/>
      <c r="Q26" s="29"/>
      <c r="R26" s="29"/>
      <c r="S26" s="30"/>
      <c r="T26" s="28"/>
      <c r="U26" s="30"/>
      <c r="V26" s="28"/>
      <c r="W26" s="30"/>
      <c r="X26" s="28"/>
      <c r="Y26" s="30"/>
      <c r="Z26" s="28"/>
      <c r="AA26" s="30"/>
      <c r="AB26" s="33"/>
      <c r="AC26" s="33"/>
      <c r="AD26" s="32"/>
      <c r="AE26" s="34"/>
      <c r="AF26" s="29"/>
      <c r="AG26" s="29"/>
      <c r="AH26" s="65" t="s">
        <v>39</v>
      </c>
      <c r="AI26" s="66"/>
      <c r="AJ26" s="66"/>
      <c r="AK26" s="66"/>
      <c r="AL26" s="67"/>
      <c r="AM26" s="68" t="s">
        <v>119</v>
      </c>
      <c r="AN26" s="69"/>
      <c r="AO26" s="70">
        <v>32</v>
      </c>
      <c r="AP26" s="71"/>
      <c r="AQ26" s="70"/>
      <c r="AR26" s="71"/>
      <c r="AS26" s="87">
        <f t="shared" si="2"/>
        <v>132</v>
      </c>
      <c r="AT26" s="88"/>
      <c r="AU26" s="28" t="s">
        <v>114</v>
      </c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30"/>
      <c r="BR26" s="28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30"/>
    </row>
    <row r="27" spans="2:81">
      <c r="B27" s="89">
        <f t="shared" ca="1" si="1"/>
        <v>20</v>
      </c>
      <c r="C27" s="90"/>
      <c r="D27" s="28" t="s">
        <v>90</v>
      </c>
      <c r="E27" s="29"/>
      <c r="F27" s="29"/>
      <c r="G27" s="29"/>
      <c r="H27" s="29"/>
      <c r="I27" s="29"/>
      <c r="J27" s="29"/>
      <c r="K27" s="30"/>
      <c r="L27" s="28" t="s">
        <v>91</v>
      </c>
      <c r="M27" s="29"/>
      <c r="N27" s="29"/>
      <c r="O27" s="29"/>
      <c r="P27" s="29"/>
      <c r="Q27" s="29"/>
      <c r="R27" s="29"/>
      <c r="S27" s="30"/>
      <c r="T27" s="28"/>
      <c r="U27" s="30"/>
      <c r="V27" s="28"/>
      <c r="W27" s="30"/>
      <c r="X27" s="28"/>
      <c r="Y27" s="30"/>
      <c r="Z27" s="28"/>
      <c r="AA27" s="30"/>
      <c r="AB27" s="33"/>
      <c r="AC27" s="33"/>
      <c r="AD27" s="32"/>
      <c r="AE27" s="34"/>
      <c r="AF27" s="29"/>
      <c r="AG27" s="29"/>
      <c r="AH27" s="65" t="s">
        <v>39</v>
      </c>
      <c r="AI27" s="66"/>
      <c r="AJ27" s="66"/>
      <c r="AK27" s="66"/>
      <c r="AL27" s="67"/>
      <c r="AM27" s="68" t="s">
        <v>119</v>
      </c>
      <c r="AN27" s="69"/>
      <c r="AO27" s="70">
        <v>32</v>
      </c>
      <c r="AP27" s="71"/>
      <c r="AQ27" s="70"/>
      <c r="AR27" s="71"/>
      <c r="AS27" s="87">
        <f t="shared" si="2"/>
        <v>132</v>
      </c>
      <c r="AT27" s="88"/>
      <c r="AU27" s="28" t="s">
        <v>114</v>
      </c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30"/>
      <c r="BR27" s="28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30"/>
    </row>
    <row r="28" spans="2:81">
      <c r="B28" s="89">
        <f t="shared" ca="1" si="1"/>
        <v>21</v>
      </c>
      <c r="C28" s="90"/>
      <c r="D28" s="28" t="s">
        <v>92</v>
      </c>
      <c r="E28" s="35"/>
      <c r="F28" s="29"/>
      <c r="G28" s="29"/>
      <c r="H28" s="29"/>
      <c r="I28" s="29"/>
      <c r="J28" s="29"/>
      <c r="K28" s="30"/>
      <c r="L28" s="28" t="s">
        <v>93</v>
      </c>
      <c r="M28" s="29"/>
      <c r="N28" s="29"/>
      <c r="O28" s="29"/>
      <c r="P28" s="29"/>
      <c r="Q28" s="29"/>
      <c r="R28" s="29"/>
      <c r="S28" s="30"/>
      <c r="T28" s="28"/>
      <c r="U28" s="30"/>
      <c r="V28" s="28"/>
      <c r="W28" s="30"/>
      <c r="X28" s="28"/>
      <c r="Y28" s="30"/>
      <c r="Z28" s="28"/>
      <c r="AA28" s="30"/>
      <c r="AB28" s="33"/>
      <c r="AC28" s="33"/>
      <c r="AD28" s="32"/>
      <c r="AE28" s="34"/>
      <c r="AF28" s="29"/>
      <c r="AG28" s="29"/>
      <c r="AH28" s="65" t="s">
        <v>39</v>
      </c>
      <c r="AI28" s="66"/>
      <c r="AJ28" s="66"/>
      <c r="AK28" s="66"/>
      <c r="AL28" s="67"/>
      <c r="AM28" s="68"/>
      <c r="AN28" s="69"/>
      <c r="AO28" s="70">
        <v>15</v>
      </c>
      <c r="AP28" s="71"/>
      <c r="AQ28" s="70"/>
      <c r="AR28" s="71"/>
      <c r="AS28" s="87">
        <f t="shared" si="2"/>
        <v>16</v>
      </c>
      <c r="AT28" s="88"/>
      <c r="AU28" s="28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30"/>
      <c r="BR28" s="28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30"/>
    </row>
    <row r="29" spans="2:81">
      <c r="B29" s="89">
        <f t="shared" ca="1" si="1"/>
        <v>22</v>
      </c>
      <c r="C29" s="90"/>
      <c r="D29" s="28" t="s">
        <v>94</v>
      </c>
      <c r="E29" s="29"/>
      <c r="F29" s="29"/>
      <c r="G29" s="29"/>
      <c r="H29" s="29"/>
      <c r="I29" s="29"/>
      <c r="J29" s="29"/>
      <c r="K29" s="30"/>
      <c r="L29" s="28" t="s">
        <v>95</v>
      </c>
      <c r="M29" s="29"/>
      <c r="N29" s="29"/>
      <c r="O29" s="29"/>
      <c r="P29" s="29"/>
      <c r="Q29" s="29"/>
      <c r="R29" s="29"/>
      <c r="S29" s="30"/>
      <c r="T29" s="28"/>
      <c r="U29" s="30"/>
      <c r="V29" s="28"/>
      <c r="W29" s="30"/>
      <c r="X29" s="28"/>
      <c r="Y29" s="30"/>
      <c r="Z29" s="28"/>
      <c r="AA29" s="30"/>
      <c r="AB29" s="33"/>
      <c r="AC29" s="33"/>
      <c r="AD29" s="32"/>
      <c r="AE29" s="34"/>
      <c r="AF29" s="29"/>
      <c r="AG29" s="29"/>
      <c r="AH29" s="65" t="s">
        <v>39</v>
      </c>
      <c r="AI29" s="66"/>
      <c r="AJ29" s="66"/>
      <c r="AK29" s="66"/>
      <c r="AL29" s="67"/>
      <c r="AM29" s="68"/>
      <c r="AN29" s="69"/>
      <c r="AO29" s="70">
        <v>15</v>
      </c>
      <c r="AP29" s="71"/>
      <c r="AQ29" s="70"/>
      <c r="AR29" s="71"/>
      <c r="AS29" s="87">
        <f t="shared" si="2"/>
        <v>16</v>
      </c>
      <c r="AT29" s="88"/>
      <c r="AU29" s="28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30"/>
      <c r="BR29" s="28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30"/>
    </row>
    <row r="30" spans="2:81">
      <c r="B30" s="89">
        <f t="shared" ca="1" si="1"/>
        <v>23</v>
      </c>
      <c r="C30" s="90"/>
      <c r="D30" s="28" t="s">
        <v>96</v>
      </c>
      <c r="E30" s="29"/>
      <c r="F30" s="29"/>
      <c r="G30" s="29"/>
      <c r="H30" s="29"/>
      <c r="I30" s="29"/>
      <c r="J30" s="29"/>
      <c r="K30" s="30"/>
      <c r="L30" s="28" t="s">
        <v>97</v>
      </c>
      <c r="M30" s="29"/>
      <c r="N30" s="29"/>
      <c r="O30" s="29"/>
      <c r="P30" s="29"/>
      <c r="Q30" s="29"/>
      <c r="R30" s="29"/>
      <c r="S30" s="30"/>
      <c r="T30" s="28"/>
      <c r="U30" s="30"/>
      <c r="V30" s="28"/>
      <c r="W30" s="30"/>
      <c r="X30" s="28"/>
      <c r="Y30" s="30"/>
      <c r="Z30" s="28"/>
      <c r="AA30" s="30"/>
      <c r="AB30" s="33"/>
      <c r="AC30" s="33"/>
      <c r="AD30" s="32"/>
      <c r="AE30" s="34"/>
      <c r="AF30" s="29"/>
      <c r="AG30" s="29"/>
      <c r="AH30" s="65" t="s">
        <v>47</v>
      </c>
      <c r="AI30" s="66"/>
      <c r="AJ30" s="66"/>
      <c r="AK30" s="66"/>
      <c r="AL30" s="67"/>
      <c r="AM30" s="68"/>
      <c r="AN30" s="69"/>
      <c r="AO30" s="70"/>
      <c r="AP30" s="71"/>
      <c r="AQ30" s="70"/>
      <c r="AR30" s="71"/>
      <c r="AS30" s="87">
        <f t="shared" si="2"/>
        <v>8</v>
      </c>
      <c r="AT30" s="88"/>
      <c r="AU30" s="28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30"/>
      <c r="BR30" s="28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30"/>
    </row>
    <row r="31" spans="2:81">
      <c r="B31" s="89">
        <f t="shared" ca="1" si="1"/>
        <v>24</v>
      </c>
      <c r="C31" s="90"/>
      <c r="D31" s="28" t="s">
        <v>98</v>
      </c>
      <c r="E31" s="29"/>
      <c r="F31" s="29"/>
      <c r="G31" s="29"/>
      <c r="H31" s="29"/>
      <c r="I31" s="29"/>
      <c r="J31" s="29"/>
      <c r="K31" s="30"/>
      <c r="L31" s="28" t="s">
        <v>99</v>
      </c>
      <c r="M31" s="29"/>
      <c r="N31" s="29"/>
      <c r="O31" s="29"/>
      <c r="P31" s="29"/>
      <c r="Q31" s="29"/>
      <c r="R31" s="29"/>
      <c r="S31" s="30"/>
      <c r="T31" s="28"/>
      <c r="U31" s="30"/>
      <c r="V31" s="28"/>
      <c r="W31" s="30"/>
      <c r="X31" s="28"/>
      <c r="Y31" s="30"/>
      <c r="Z31" s="28"/>
      <c r="AA31" s="30"/>
      <c r="AB31" s="33" t="s">
        <v>53</v>
      </c>
      <c r="AC31" s="33"/>
      <c r="AD31" s="32"/>
      <c r="AE31" s="34"/>
      <c r="AF31" s="29"/>
      <c r="AG31" s="29"/>
      <c r="AH31" s="65" t="s">
        <v>47</v>
      </c>
      <c r="AI31" s="66"/>
      <c r="AJ31" s="66"/>
      <c r="AK31" s="66"/>
      <c r="AL31" s="67"/>
      <c r="AM31" s="68"/>
      <c r="AN31" s="69"/>
      <c r="AO31" s="70"/>
      <c r="AP31" s="71"/>
      <c r="AQ31" s="70"/>
      <c r="AR31" s="71"/>
      <c r="AS31" s="87">
        <f t="shared" si="2"/>
        <v>8</v>
      </c>
      <c r="AT31" s="88"/>
      <c r="AU31" s="28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30"/>
      <c r="BR31" s="28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30"/>
    </row>
    <row r="32" spans="2:81">
      <c r="B32" s="89">
        <f t="shared" ca="1" si="1"/>
        <v>25</v>
      </c>
      <c r="C32" s="90"/>
      <c r="D32" s="28" t="s">
        <v>100</v>
      </c>
      <c r="E32" s="29"/>
      <c r="F32" s="29"/>
      <c r="G32" s="29"/>
      <c r="H32" s="29"/>
      <c r="I32" s="29"/>
      <c r="J32" s="29"/>
      <c r="K32" s="30"/>
      <c r="L32" s="28" t="s">
        <v>101</v>
      </c>
      <c r="M32" s="29"/>
      <c r="N32" s="29"/>
      <c r="O32" s="29"/>
      <c r="P32" s="29"/>
      <c r="Q32" s="29"/>
      <c r="R32" s="29"/>
      <c r="S32" s="30"/>
      <c r="T32" s="28"/>
      <c r="U32" s="30"/>
      <c r="V32" s="28"/>
      <c r="W32" s="30"/>
      <c r="X32" s="28"/>
      <c r="Y32" s="30"/>
      <c r="Z32" s="28"/>
      <c r="AA32" s="30"/>
      <c r="AB32" s="33" t="s">
        <v>53</v>
      </c>
      <c r="AC32" s="33"/>
      <c r="AD32" s="32"/>
      <c r="AE32" s="34"/>
      <c r="AF32" s="29"/>
      <c r="AG32" s="29"/>
      <c r="AH32" s="65" t="s">
        <v>39</v>
      </c>
      <c r="AI32" s="66"/>
      <c r="AJ32" s="66"/>
      <c r="AK32" s="66"/>
      <c r="AL32" s="67"/>
      <c r="AM32" s="68"/>
      <c r="AN32" s="69"/>
      <c r="AO32" s="70">
        <v>20</v>
      </c>
      <c r="AP32" s="71"/>
      <c r="AQ32" s="70"/>
      <c r="AR32" s="71"/>
      <c r="AS32" s="87">
        <f t="shared" si="2"/>
        <v>21</v>
      </c>
      <c r="AT32" s="88"/>
      <c r="AU32" s="28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30"/>
      <c r="BR32" s="28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30"/>
    </row>
    <row r="33" spans="2:81">
      <c r="B33" s="89">
        <f t="shared" ca="1" si="1"/>
        <v>26</v>
      </c>
      <c r="C33" s="90"/>
      <c r="D33" s="28" t="s">
        <v>102</v>
      </c>
      <c r="E33" s="29"/>
      <c r="F33" s="29"/>
      <c r="G33" s="29"/>
      <c r="H33" s="29"/>
      <c r="I33" s="29"/>
      <c r="J33" s="29"/>
      <c r="K33" s="30"/>
      <c r="L33" s="28" t="s">
        <v>103</v>
      </c>
      <c r="M33" s="29"/>
      <c r="N33" s="29"/>
      <c r="O33" s="29"/>
      <c r="P33" s="29"/>
      <c r="Q33" s="29"/>
      <c r="R33" s="29"/>
      <c r="S33" s="30"/>
      <c r="T33" s="28"/>
      <c r="U33" s="30"/>
      <c r="V33" s="28"/>
      <c r="W33" s="30"/>
      <c r="X33" s="28"/>
      <c r="Y33" s="30"/>
      <c r="Z33" s="28"/>
      <c r="AA33" s="30"/>
      <c r="AB33" s="33" t="s">
        <v>53</v>
      </c>
      <c r="AC33" s="33"/>
      <c r="AD33" s="32"/>
      <c r="AE33" s="34"/>
      <c r="AF33" s="29"/>
      <c r="AG33" s="29"/>
      <c r="AH33" s="65" t="s">
        <v>39</v>
      </c>
      <c r="AI33" s="66"/>
      <c r="AJ33" s="66"/>
      <c r="AK33" s="66"/>
      <c r="AL33" s="67"/>
      <c r="AM33" s="68"/>
      <c r="AN33" s="69"/>
      <c r="AO33" s="70">
        <v>8</v>
      </c>
      <c r="AP33" s="71"/>
      <c r="AQ33" s="70"/>
      <c r="AR33" s="71"/>
      <c r="AS33" s="87">
        <f t="shared" si="2"/>
        <v>9</v>
      </c>
      <c r="AT33" s="88"/>
      <c r="AU33" s="28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30"/>
      <c r="BR33" s="28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30"/>
    </row>
    <row r="34" spans="2:81">
      <c r="B34" s="89">
        <f t="shared" ca="1" si="1"/>
        <v>27</v>
      </c>
      <c r="C34" s="90"/>
      <c r="D34" s="28" t="s">
        <v>104</v>
      </c>
      <c r="E34" s="29"/>
      <c r="F34" s="29"/>
      <c r="G34" s="29"/>
      <c r="H34" s="29"/>
      <c r="I34" s="29"/>
      <c r="J34" s="29"/>
      <c r="K34" s="30"/>
      <c r="L34" s="28" t="s">
        <v>105</v>
      </c>
      <c r="M34" s="29"/>
      <c r="N34" s="29"/>
      <c r="O34" s="29"/>
      <c r="P34" s="29"/>
      <c r="Q34" s="29"/>
      <c r="R34" s="29"/>
      <c r="S34" s="30"/>
      <c r="T34" s="28"/>
      <c r="U34" s="30"/>
      <c r="V34" s="28"/>
      <c r="W34" s="30"/>
      <c r="X34" s="28"/>
      <c r="Y34" s="30"/>
      <c r="Z34" s="28"/>
      <c r="AA34" s="30"/>
      <c r="AB34" s="33" t="s">
        <v>53</v>
      </c>
      <c r="AC34" s="33"/>
      <c r="AD34" s="32"/>
      <c r="AE34" s="34"/>
      <c r="AF34" s="29"/>
      <c r="AG34" s="29"/>
      <c r="AH34" s="65" t="s">
        <v>39</v>
      </c>
      <c r="AI34" s="66"/>
      <c r="AJ34" s="66"/>
      <c r="AK34" s="66"/>
      <c r="AL34" s="67"/>
      <c r="AM34" s="68"/>
      <c r="AN34" s="69"/>
      <c r="AO34" s="70">
        <v>15</v>
      </c>
      <c r="AP34" s="71"/>
      <c r="AQ34" s="70"/>
      <c r="AR34" s="71"/>
      <c r="AS34" s="87">
        <f t="shared" si="2"/>
        <v>16</v>
      </c>
      <c r="AT34" s="88"/>
      <c r="AU34" s="28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30"/>
      <c r="BR34" s="28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30"/>
    </row>
    <row r="35" spans="2:81">
      <c r="B35" s="89">
        <f t="shared" ca="1" si="1"/>
        <v>28</v>
      </c>
      <c r="C35" s="90"/>
      <c r="D35" s="28" t="s">
        <v>106</v>
      </c>
      <c r="E35" s="29"/>
      <c r="F35" s="29"/>
      <c r="G35" s="29"/>
      <c r="H35" s="29"/>
      <c r="I35" s="29"/>
      <c r="J35" s="29"/>
      <c r="K35" s="30"/>
      <c r="L35" s="28" t="s">
        <v>107</v>
      </c>
      <c r="M35" s="29"/>
      <c r="N35" s="29"/>
      <c r="O35" s="29"/>
      <c r="P35" s="29"/>
      <c r="Q35" s="29"/>
      <c r="R35" s="29"/>
      <c r="S35" s="30"/>
      <c r="T35" s="28"/>
      <c r="U35" s="30"/>
      <c r="V35" s="28"/>
      <c r="W35" s="30"/>
      <c r="X35" s="28"/>
      <c r="Y35" s="30"/>
      <c r="Z35" s="28"/>
      <c r="AA35" s="30"/>
      <c r="AB35" s="33" t="s">
        <v>53</v>
      </c>
      <c r="AC35" s="33"/>
      <c r="AD35" s="32"/>
      <c r="AE35" s="34"/>
      <c r="AF35" s="29"/>
      <c r="AG35" s="29"/>
      <c r="AH35" s="65" t="s">
        <v>47</v>
      </c>
      <c r="AI35" s="66"/>
      <c r="AJ35" s="66"/>
      <c r="AK35" s="66"/>
      <c r="AL35" s="67"/>
      <c r="AM35" s="68"/>
      <c r="AN35" s="69"/>
      <c r="AO35" s="70"/>
      <c r="AP35" s="71"/>
      <c r="AQ35" s="70"/>
      <c r="AR35" s="71"/>
      <c r="AS35" s="87">
        <f t="shared" si="2"/>
        <v>8</v>
      </c>
      <c r="AT35" s="88"/>
      <c r="AU35" s="28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30"/>
      <c r="BR35" s="28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30"/>
    </row>
    <row r="36" spans="2:81">
      <c r="B36" s="89">
        <f t="shared" ca="1" si="1"/>
        <v>29</v>
      </c>
      <c r="C36" s="90"/>
      <c r="D36" s="28" t="s">
        <v>108</v>
      </c>
      <c r="E36" s="29"/>
      <c r="F36" s="29"/>
      <c r="G36" s="29"/>
      <c r="H36" s="29"/>
      <c r="I36" s="29"/>
      <c r="J36" s="29"/>
      <c r="K36" s="30"/>
      <c r="L36" s="28" t="s">
        <v>109</v>
      </c>
      <c r="M36" s="29"/>
      <c r="N36" s="29"/>
      <c r="O36" s="29"/>
      <c r="P36" s="29"/>
      <c r="Q36" s="29"/>
      <c r="R36" s="29"/>
      <c r="S36" s="30"/>
      <c r="T36" s="28"/>
      <c r="U36" s="30"/>
      <c r="V36" s="28"/>
      <c r="W36" s="30"/>
      <c r="X36" s="28"/>
      <c r="Y36" s="30"/>
      <c r="Z36" s="28"/>
      <c r="AA36" s="30"/>
      <c r="AB36" s="33" t="s">
        <v>53</v>
      </c>
      <c r="AC36" s="33"/>
      <c r="AD36" s="32"/>
      <c r="AE36" s="34"/>
      <c r="AF36" s="29"/>
      <c r="AG36" s="29"/>
      <c r="AH36" s="65" t="s">
        <v>39</v>
      </c>
      <c r="AI36" s="66"/>
      <c r="AJ36" s="66"/>
      <c r="AK36" s="66"/>
      <c r="AL36" s="67"/>
      <c r="AM36" s="68"/>
      <c r="AN36" s="69"/>
      <c r="AO36" s="70">
        <v>20</v>
      </c>
      <c r="AP36" s="71"/>
      <c r="AQ36" s="70"/>
      <c r="AR36" s="71"/>
      <c r="AS36" s="87">
        <f t="shared" si="2"/>
        <v>21</v>
      </c>
      <c r="AT36" s="88"/>
      <c r="AU36" s="28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30"/>
      <c r="BR36" s="28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30"/>
    </row>
    <row r="37" spans="2:81">
      <c r="B37" s="89">
        <f t="shared" ca="1" si="1"/>
        <v>30</v>
      </c>
      <c r="C37" s="90"/>
      <c r="D37" s="28" t="s">
        <v>110</v>
      </c>
      <c r="E37" s="29"/>
      <c r="F37" s="29"/>
      <c r="G37" s="29"/>
      <c r="H37" s="29"/>
      <c r="I37" s="29"/>
      <c r="J37" s="29"/>
      <c r="K37" s="30"/>
      <c r="L37" s="28" t="s">
        <v>111</v>
      </c>
      <c r="M37" s="29"/>
      <c r="N37" s="29"/>
      <c r="O37" s="29"/>
      <c r="P37" s="29"/>
      <c r="Q37" s="29"/>
      <c r="R37" s="29"/>
      <c r="S37" s="30"/>
      <c r="T37" s="28"/>
      <c r="U37" s="30"/>
      <c r="V37" s="28"/>
      <c r="W37" s="30"/>
      <c r="X37" s="28"/>
      <c r="Y37" s="30"/>
      <c r="Z37" s="28"/>
      <c r="AA37" s="30"/>
      <c r="AB37" s="33" t="s">
        <v>53</v>
      </c>
      <c r="AC37" s="33"/>
      <c r="AD37" s="32"/>
      <c r="AE37" s="34"/>
      <c r="AF37" s="29"/>
      <c r="AG37" s="29"/>
      <c r="AH37" s="65" t="s">
        <v>39</v>
      </c>
      <c r="AI37" s="66"/>
      <c r="AJ37" s="66"/>
      <c r="AK37" s="66"/>
      <c r="AL37" s="67"/>
      <c r="AM37" s="68"/>
      <c r="AN37" s="69"/>
      <c r="AO37" s="70">
        <v>8</v>
      </c>
      <c r="AP37" s="71"/>
      <c r="AQ37" s="70"/>
      <c r="AR37" s="71"/>
      <c r="AS37" s="87">
        <f t="shared" si="2"/>
        <v>9</v>
      </c>
      <c r="AT37" s="88"/>
      <c r="AU37" s="28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30"/>
      <c r="BR37" s="28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30"/>
    </row>
    <row r="38" spans="2:81">
      <c r="B38" s="89">
        <f t="shared" ca="1" si="1"/>
        <v>31</v>
      </c>
      <c r="C38" s="90"/>
      <c r="D38" s="28" t="s">
        <v>112</v>
      </c>
      <c r="E38" s="29"/>
      <c r="F38" s="29"/>
      <c r="G38" s="29"/>
      <c r="H38" s="29"/>
      <c r="I38" s="29"/>
      <c r="J38" s="29"/>
      <c r="K38" s="30"/>
      <c r="L38" s="28" t="s">
        <v>113</v>
      </c>
      <c r="M38" s="29"/>
      <c r="N38" s="29"/>
      <c r="O38" s="29"/>
      <c r="P38" s="29"/>
      <c r="Q38" s="29"/>
      <c r="R38" s="29"/>
      <c r="S38" s="30"/>
      <c r="T38" s="28"/>
      <c r="U38" s="30"/>
      <c r="V38" s="28"/>
      <c r="W38" s="30"/>
      <c r="X38" s="28"/>
      <c r="Y38" s="30"/>
      <c r="Z38" s="28"/>
      <c r="AA38" s="30"/>
      <c r="AB38" s="33" t="s">
        <v>53</v>
      </c>
      <c r="AC38" s="33"/>
      <c r="AD38" s="32"/>
      <c r="AE38" s="34"/>
      <c r="AF38" s="29"/>
      <c r="AG38" s="29"/>
      <c r="AH38" s="65" t="s">
        <v>39</v>
      </c>
      <c r="AI38" s="66"/>
      <c r="AJ38" s="66"/>
      <c r="AK38" s="66"/>
      <c r="AL38" s="67"/>
      <c r="AM38" s="68"/>
      <c r="AN38" s="69"/>
      <c r="AO38" s="70">
        <v>15</v>
      </c>
      <c r="AP38" s="71"/>
      <c r="AQ38" s="70"/>
      <c r="AR38" s="71"/>
      <c r="AS38" s="87">
        <f t="shared" si="2"/>
        <v>16</v>
      </c>
      <c r="AT38" s="88"/>
      <c r="AU38" s="28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30"/>
      <c r="BR38" s="28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30"/>
    </row>
    <row r="39" spans="2:81">
      <c r="B39" s="89" t="str">
        <f t="shared" ca="1" si="1"/>
        <v/>
      </c>
      <c r="C39" s="90"/>
      <c r="D39" s="28"/>
      <c r="E39" s="29"/>
      <c r="F39" s="29"/>
      <c r="G39" s="29"/>
      <c r="H39" s="29"/>
      <c r="I39" s="29"/>
      <c r="J39" s="29"/>
      <c r="K39" s="30"/>
      <c r="L39" s="28"/>
      <c r="M39" s="29"/>
      <c r="N39" s="29"/>
      <c r="O39" s="29"/>
      <c r="P39" s="29"/>
      <c r="Q39" s="29"/>
      <c r="R39" s="29"/>
      <c r="S39" s="30"/>
      <c r="T39" s="28"/>
      <c r="U39" s="30"/>
      <c r="V39" s="28"/>
      <c r="W39" s="30"/>
      <c r="X39" s="28"/>
      <c r="Y39" s="30"/>
      <c r="Z39" s="28"/>
      <c r="AA39" s="30"/>
      <c r="AB39" s="33"/>
      <c r="AC39" s="33"/>
      <c r="AD39" s="32"/>
      <c r="AE39" s="34"/>
      <c r="AF39" s="29"/>
      <c r="AG39" s="29"/>
      <c r="AH39" s="65"/>
      <c r="AI39" s="66"/>
      <c r="AJ39" s="66"/>
      <c r="AK39" s="66"/>
      <c r="AL39" s="67"/>
      <c r="AM39" s="68"/>
      <c r="AN39" s="69"/>
      <c r="AO39" s="70"/>
      <c r="AP39" s="71"/>
      <c r="AQ39" s="70"/>
      <c r="AR39" s="71"/>
      <c r="AS39" s="87"/>
      <c r="AT39" s="88"/>
      <c r="AU39" s="28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30"/>
      <c r="BR39" s="28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30"/>
    </row>
    <row r="40" spans="2:81">
      <c r="B40" s="89" t="str">
        <f t="shared" ca="1" si="1"/>
        <v/>
      </c>
      <c r="C40" s="90"/>
      <c r="D40" s="28"/>
      <c r="E40" s="35"/>
      <c r="F40" s="29"/>
      <c r="G40" s="29"/>
      <c r="H40" s="29"/>
      <c r="I40" s="29"/>
      <c r="J40" s="29"/>
      <c r="K40" s="30"/>
      <c r="L40" s="28"/>
      <c r="M40" s="29"/>
      <c r="N40" s="29"/>
      <c r="O40" s="29"/>
      <c r="P40" s="29"/>
      <c r="Q40" s="29"/>
      <c r="R40" s="29"/>
      <c r="S40" s="30"/>
      <c r="T40" s="28"/>
      <c r="U40" s="30"/>
      <c r="V40" s="28"/>
      <c r="W40" s="30"/>
      <c r="X40" s="28"/>
      <c r="Y40" s="30"/>
      <c r="Z40" s="28"/>
      <c r="AA40" s="30"/>
      <c r="AB40" s="33"/>
      <c r="AC40" s="33"/>
      <c r="AD40" s="32"/>
      <c r="AE40" s="34"/>
      <c r="AF40" s="29"/>
      <c r="AG40" s="29"/>
      <c r="AH40" s="65"/>
      <c r="AI40" s="66"/>
      <c r="AJ40" s="66"/>
      <c r="AK40" s="66"/>
      <c r="AL40" s="67"/>
      <c r="AM40" s="68"/>
      <c r="AN40" s="69"/>
      <c r="AO40" s="70"/>
      <c r="AP40" s="71"/>
      <c r="AQ40" s="70"/>
      <c r="AR40" s="71"/>
      <c r="AS40" s="87"/>
      <c r="AT40" s="88"/>
      <c r="AU40" s="28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30"/>
      <c r="BR40" s="28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30"/>
    </row>
    <row r="41" spans="2:81">
      <c r="B41" s="89" t="str">
        <f t="shared" ca="1" si="1"/>
        <v/>
      </c>
      <c r="C41" s="90"/>
      <c r="D41" s="28"/>
      <c r="E41" s="35"/>
      <c r="F41" s="29"/>
      <c r="G41" s="29"/>
      <c r="H41" s="29"/>
      <c r="I41" s="29"/>
      <c r="J41" s="29"/>
      <c r="K41" s="30"/>
      <c r="L41" s="28"/>
      <c r="M41" s="29"/>
      <c r="N41" s="29"/>
      <c r="O41" s="29"/>
      <c r="P41" s="29"/>
      <c r="Q41" s="29"/>
      <c r="R41" s="29"/>
      <c r="S41" s="30"/>
      <c r="T41" s="28"/>
      <c r="U41" s="30"/>
      <c r="V41" s="28"/>
      <c r="W41" s="30"/>
      <c r="X41" s="28"/>
      <c r="Y41" s="30"/>
      <c r="Z41" s="28"/>
      <c r="AA41" s="30"/>
      <c r="AB41" s="33"/>
      <c r="AC41" s="33"/>
      <c r="AD41" s="32"/>
      <c r="AE41" s="34"/>
      <c r="AF41" s="29"/>
      <c r="AG41" s="29"/>
      <c r="AH41" s="65"/>
      <c r="AI41" s="66"/>
      <c r="AJ41" s="66"/>
      <c r="AK41" s="66"/>
      <c r="AL41" s="67"/>
      <c r="AM41" s="68"/>
      <c r="AN41" s="69"/>
      <c r="AO41" s="70"/>
      <c r="AP41" s="71"/>
      <c r="AQ41" s="70"/>
      <c r="AR41" s="71"/>
      <c r="AS41" s="87"/>
      <c r="AT41" s="88"/>
      <c r="AU41" s="28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30"/>
      <c r="BR41" s="28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30"/>
    </row>
    <row r="42" spans="2:81">
      <c r="B42" s="89" t="str">
        <f t="shared" ca="1" si="1"/>
        <v/>
      </c>
      <c r="C42" s="90"/>
      <c r="D42" s="28"/>
      <c r="E42" s="29"/>
      <c r="F42" s="29"/>
      <c r="G42" s="29"/>
      <c r="H42" s="29"/>
      <c r="I42" s="29"/>
      <c r="J42" s="29"/>
      <c r="K42" s="30"/>
      <c r="L42" s="28"/>
      <c r="M42" s="29"/>
      <c r="N42" s="29"/>
      <c r="O42" s="29"/>
      <c r="P42" s="29"/>
      <c r="Q42" s="29"/>
      <c r="R42" s="29"/>
      <c r="S42" s="30"/>
      <c r="T42" s="28"/>
      <c r="U42" s="30"/>
      <c r="V42" s="28"/>
      <c r="W42" s="30"/>
      <c r="X42" s="28"/>
      <c r="Y42" s="30"/>
      <c r="Z42" s="28"/>
      <c r="AA42" s="30"/>
      <c r="AB42" s="33"/>
      <c r="AC42" s="33"/>
      <c r="AD42" s="32"/>
      <c r="AE42" s="34"/>
      <c r="AF42" s="29"/>
      <c r="AG42" s="29"/>
      <c r="AH42" s="65"/>
      <c r="AI42" s="66"/>
      <c r="AJ42" s="66"/>
      <c r="AK42" s="66"/>
      <c r="AL42" s="67"/>
      <c r="AM42" s="68"/>
      <c r="AN42" s="69"/>
      <c r="AO42" s="70"/>
      <c r="AP42" s="71"/>
      <c r="AQ42" s="70"/>
      <c r="AR42" s="71"/>
      <c r="AS42" s="87"/>
      <c r="AT42" s="88"/>
      <c r="AU42" s="28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30"/>
      <c r="BR42" s="28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30"/>
    </row>
    <row r="43" spans="2:81">
      <c r="B43" s="89" t="str">
        <f t="shared" ca="1" si="1"/>
        <v/>
      </c>
      <c r="C43" s="90"/>
      <c r="D43" s="28"/>
      <c r="E43" s="29"/>
      <c r="F43" s="29"/>
      <c r="G43" s="29"/>
      <c r="H43" s="29"/>
      <c r="I43" s="29"/>
      <c r="J43" s="29"/>
      <c r="K43" s="30"/>
      <c r="L43" s="28"/>
      <c r="M43" s="29"/>
      <c r="N43" s="29"/>
      <c r="O43" s="29"/>
      <c r="P43" s="29"/>
      <c r="Q43" s="29"/>
      <c r="R43" s="29"/>
      <c r="S43" s="30"/>
      <c r="T43" s="28"/>
      <c r="U43" s="30"/>
      <c r="V43" s="28"/>
      <c r="W43" s="30"/>
      <c r="X43" s="28"/>
      <c r="Y43" s="30"/>
      <c r="Z43" s="28"/>
      <c r="AA43" s="30"/>
      <c r="AB43" s="33"/>
      <c r="AC43" s="33"/>
      <c r="AD43" s="32"/>
      <c r="AE43" s="34"/>
      <c r="AF43" s="29"/>
      <c r="AG43" s="29"/>
      <c r="AH43" s="65"/>
      <c r="AI43" s="66"/>
      <c r="AJ43" s="66"/>
      <c r="AK43" s="66"/>
      <c r="AL43" s="67"/>
      <c r="AM43" s="68"/>
      <c r="AN43" s="69"/>
      <c r="AO43" s="70"/>
      <c r="AP43" s="71"/>
      <c r="AQ43" s="70"/>
      <c r="AR43" s="71"/>
      <c r="AS43" s="87"/>
      <c r="AT43" s="88"/>
      <c r="AU43" s="28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30"/>
      <c r="BR43" s="28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30"/>
    </row>
    <row r="44" spans="2:81">
      <c r="B44" s="89" t="str">
        <f t="shared" ca="1" si="1"/>
        <v/>
      </c>
      <c r="C44" s="90"/>
      <c r="D44" s="28"/>
      <c r="E44" s="29"/>
      <c r="F44" s="29"/>
      <c r="G44" s="29"/>
      <c r="H44" s="29"/>
      <c r="I44" s="29"/>
      <c r="J44" s="29"/>
      <c r="K44" s="30"/>
      <c r="L44" s="28"/>
      <c r="M44" s="29"/>
      <c r="N44" s="29"/>
      <c r="O44" s="29"/>
      <c r="P44" s="29"/>
      <c r="Q44" s="29"/>
      <c r="R44" s="29"/>
      <c r="S44" s="30"/>
      <c r="T44" s="28"/>
      <c r="U44" s="30"/>
      <c r="V44" s="28"/>
      <c r="W44" s="30"/>
      <c r="X44" s="28"/>
      <c r="Y44" s="30"/>
      <c r="Z44" s="28"/>
      <c r="AA44" s="30"/>
      <c r="AB44" s="33"/>
      <c r="AC44" s="33"/>
      <c r="AD44" s="32"/>
      <c r="AE44" s="34"/>
      <c r="AF44" s="29"/>
      <c r="AG44" s="29"/>
      <c r="AH44" s="65"/>
      <c r="AI44" s="66"/>
      <c r="AJ44" s="66"/>
      <c r="AK44" s="66"/>
      <c r="AL44" s="67"/>
      <c r="AM44" s="68"/>
      <c r="AN44" s="69"/>
      <c r="AO44" s="70"/>
      <c r="AP44" s="71"/>
      <c r="AQ44" s="70"/>
      <c r="AR44" s="71"/>
      <c r="AS44" s="87"/>
      <c r="AT44" s="88"/>
      <c r="AU44" s="28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30"/>
      <c r="BR44" s="28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30"/>
    </row>
    <row r="45" spans="2:81">
      <c r="B45" s="89" t="str">
        <f t="shared" ca="1" si="1"/>
        <v/>
      </c>
      <c r="C45" s="90"/>
      <c r="D45" s="28"/>
      <c r="E45" s="29"/>
      <c r="F45" s="29"/>
      <c r="G45" s="29"/>
      <c r="H45" s="29"/>
      <c r="I45" s="29"/>
      <c r="J45" s="29"/>
      <c r="K45" s="30"/>
      <c r="L45" s="28"/>
      <c r="M45" s="29"/>
      <c r="N45" s="29"/>
      <c r="O45" s="29"/>
      <c r="P45" s="29"/>
      <c r="Q45" s="29"/>
      <c r="R45" s="29"/>
      <c r="S45" s="30"/>
      <c r="T45" s="28"/>
      <c r="U45" s="30"/>
      <c r="V45" s="28"/>
      <c r="W45" s="30"/>
      <c r="X45" s="28"/>
      <c r="Y45" s="30"/>
      <c r="Z45" s="28"/>
      <c r="AA45" s="30"/>
      <c r="AB45" s="33"/>
      <c r="AC45" s="33"/>
      <c r="AD45" s="32"/>
      <c r="AE45" s="34"/>
      <c r="AF45" s="29"/>
      <c r="AG45" s="29"/>
      <c r="AH45" s="65"/>
      <c r="AI45" s="66"/>
      <c r="AJ45" s="66"/>
      <c r="AK45" s="66"/>
      <c r="AL45" s="67"/>
      <c r="AM45" s="68"/>
      <c r="AN45" s="69"/>
      <c r="AO45" s="70"/>
      <c r="AP45" s="71"/>
      <c r="AQ45" s="70"/>
      <c r="AR45" s="71"/>
      <c r="AS45" s="87"/>
      <c r="AT45" s="88"/>
      <c r="AU45" s="28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30"/>
      <c r="BR45" s="28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30"/>
    </row>
    <row r="46" spans="2:81">
      <c r="B46" s="89" t="str">
        <f t="shared" ca="1" si="1"/>
        <v/>
      </c>
      <c r="C46" s="90"/>
      <c r="D46" s="28"/>
      <c r="E46" s="29"/>
      <c r="F46" s="29"/>
      <c r="G46" s="29"/>
      <c r="H46" s="29"/>
      <c r="I46" s="29"/>
      <c r="J46" s="29"/>
      <c r="K46" s="30"/>
      <c r="L46" s="28"/>
      <c r="M46" s="29"/>
      <c r="N46" s="29"/>
      <c r="O46" s="29"/>
      <c r="P46" s="29"/>
      <c r="Q46" s="29"/>
      <c r="R46" s="29"/>
      <c r="S46" s="30"/>
      <c r="T46" s="28"/>
      <c r="U46" s="30"/>
      <c r="V46" s="28"/>
      <c r="W46" s="30"/>
      <c r="X46" s="28"/>
      <c r="Y46" s="30"/>
      <c r="Z46" s="28"/>
      <c r="AA46" s="30"/>
      <c r="AB46" s="33"/>
      <c r="AC46" s="33"/>
      <c r="AD46" s="32"/>
      <c r="AE46" s="34"/>
      <c r="AF46" s="29"/>
      <c r="AG46" s="29"/>
      <c r="AH46" s="65"/>
      <c r="AI46" s="66"/>
      <c r="AJ46" s="66"/>
      <c r="AK46" s="66"/>
      <c r="AL46" s="67"/>
      <c r="AM46" s="68"/>
      <c r="AN46" s="69"/>
      <c r="AO46" s="70"/>
      <c r="AP46" s="71"/>
      <c r="AQ46" s="70"/>
      <c r="AR46" s="71"/>
      <c r="AS46" s="87"/>
      <c r="AT46" s="88"/>
      <c r="AU46" s="28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30"/>
      <c r="BR46" s="28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30"/>
    </row>
    <row r="47" spans="2:81">
      <c r="B47" s="89" t="str">
        <f t="shared" ca="1" si="1"/>
        <v/>
      </c>
      <c r="C47" s="90"/>
      <c r="D47" s="28"/>
      <c r="E47" s="29"/>
      <c r="F47" s="29"/>
      <c r="G47" s="29"/>
      <c r="H47" s="29"/>
      <c r="I47" s="29"/>
      <c r="J47" s="29"/>
      <c r="K47" s="30"/>
      <c r="L47" s="28"/>
      <c r="M47" s="29"/>
      <c r="N47" s="29"/>
      <c r="O47" s="29"/>
      <c r="P47" s="29"/>
      <c r="Q47" s="29"/>
      <c r="R47" s="29"/>
      <c r="S47" s="30"/>
      <c r="T47" s="28"/>
      <c r="U47" s="30"/>
      <c r="V47" s="28"/>
      <c r="W47" s="30"/>
      <c r="X47" s="28"/>
      <c r="Y47" s="30"/>
      <c r="Z47" s="28"/>
      <c r="AA47" s="30"/>
      <c r="AB47" s="33"/>
      <c r="AC47" s="33"/>
      <c r="AD47" s="32"/>
      <c r="AE47" s="34"/>
      <c r="AF47" s="29"/>
      <c r="AG47" s="29"/>
      <c r="AH47" s="65"/>
      <c r="AI47" s="66"/>
      <c r="AJ47" s="66"/>
      <c r="AK47" s="66"/>
      <c r="AL47" s="67"/>
      <c r="AM47" s="68"/>
      <c r="AN47" s="69"/>
      <c r="AO47" s="70"/>
      <c r="AP47" s="71"/>
      <c r="AQ47" s="70"/>
      <c r="AR47" s="71"/>
      <c r="AS47" s="87"/>
      <c r="AT47" s="88"/>
      <c r="AU47" s="28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30"/>
      <c r="BR47" s="28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30"/>
    </row>
    <row r="48" spans="2:81">
      <c r="B48" s="89" t="str">
        <f t="shared" ca="1" si="1"/>
        <v/>
      </c>
      <c r="C48" s="90"/>
      <c r="D48" s="28"/>
      <c r="E48" s="35"/>
      <c r="F48" s="29"/>
      <c r="G48" s="29"/>
      <c r="H48" s="29"/>
      <c r="I48" s="29"/>
      <c r="J48" s="29"/>
      <c r="K48" s="30"/>
      <c r="L48" s="28"/>
      <c r="M48" s="29"/>
      <c r="N48" s="29"/>
      <c r="O48" s="29"/>
      <c r="P48" s="29"/>
      <c r="Q48" s="29"/>
      <c r="R48" s="29"/>
      <c r="S48" s="30"/>
      <c r="T48" s="28"/>
      <c r="U48" s="30"/>
      <c r="V48" s="28"/>
      <c r="W48" s="30"/>
      <c r="X48" s="28"/>
      <c r="Y48" s="30"/>
      <c r="Z48" s="28"/>
      <c r="AA48" s="30"/>
      <c r="AB48" s="33"/>
      <c r="AC48" s="33"/>
      <c r="AD48" s="32"/>
      <c r="AE48" s="34"/>
      <c r="AF48" s="29"/>
      <c r="AG48" s="29"/>
      <c r="AH48" s="65"/>
      <c r="AI48" s="66"/>
      <c r="AJ48" s="66"/>
      <c r="AK48" s="66"/>
      <c r="AL48" s="67"/>
      <c r="AM48" s="68"/>
      <c r="AN48" s="69"/>
      <c r="AO48" s="70"/>
      <c r="AP48" s="71"/>
      <c r="AQ48" s="70"/>
      <c r="AR48" s="71"/>
      <c r="AS48" s="87"/>
      <c r="AT48" s="88"/>
      <c r="AU48" s="28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30"/>
      <c r="BR48" s="28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30"/>
    </row>
    <row r="49" spans="2:81">
      <c r="B49" s="89" t="str">
        <f t="shared" ca="1" si="1"/>
        <v/>
      </c>
      <c r="C49" s="90"/>
      <c r="D49" s="28"/>
      <c r="E49" s="35"/>
      <c r="F49" s="29"/>
      <c r="G49" s="29"/>
      <c r="H49" s="29"/>
      <c r="I49" s="29"/>
      <c r="J49" s="29"/>
      <c r="K49" s="30"/>
      <c r="L49" s="28"/>
      <c r="M49" s="29"/>
      <c r="N49" s="29"/>
      <c r="O49" s="29"/>
      <c r="P49" s="29"/>
      <c r="Q49" s="29"/>
      <c r="R49" s="29"/>
      <c r="S49" s="30"/>
      <c r="T49" s="28"/>
      <c r="U49" s="30"/>
      <c r="V49" s="28"/>
      <c r="W49" s="30"/>
      <c r="X49" s="28"/>
      <c r="Y49" s="30"/>
      <c r="Z49" s="28"/>
      <c r="AA49" s="30"/>
      <c r="AB49" s="33"/>
      <c r="AC49" s="33"/>
      <c r="AD49" s="32"/>
      <c r="AE49" s="34"/>
      <c r="AF49" s="29"/>
      <c r="AG49" s="29"/>
      <c r="AH49" s="65"/>
      <c r="AI49" s="66"/>
      <c r="AJ49" s="66"/>
      <c r="AK49" s="66"/>
      <c r="AL49" s="67"/>
      <c r="AM49" s="68"/>
      <c r="AN49" s="69"/>
      <c r="AO49" s="70"/>
      <c r="AP49" s="71"/>
      <c r="AQ49" s="70"/>
      <c r="AR49" s="71"/>
      <c r="AS49" s="87"/>
      <c r="AT49" s="88"/>
      <c r="AU49" s="28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30"/>
      <c r="BR49" s="28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30"/>
    </row>
    <row r="50" spans="2:81">
      <c r="B50" s="89" t="str">
        <f t="shared" ca="1" si="1"/>
        <v/>
      </c>
      <c r="C50" s="90"/>
      <c r="D50" s="28"/>
      <c r="E50" s="35"/>
      <c r="F50" s="29"/>
      <c r="G50" s="29"/>
      <c r="H50" s="29"/>
      <c r="I50" s="29"/>
      <c r="J50" s="29"/>
      <c r="K50" s="30"/>
      <c r="L50" s="28"/>
      <c r="M50" s="29"/>
      <c r="N50" s="29"/>
      <c r="O50" s="29"/>
      <c r="P50" s="29"/>
      <c r="Q50" s="29"/>
      <c r="R50" s="29"/>
      <c r="S50" s="30"/>
      <c r="T50" s="28"/>
      <c r="U50" s="30"/>
      <c r="V50" s="28"/>
      <c r="W50" s="30"/>
      <c r="X50" s="28"/>
      <c r="Y50" s="30"/>
      <c r="Z50" s="28"/>
      <c r="AA50" s="30"/>
      <c r="AB50" s="33"/>
      <c r="AC50" s="33"/>
      <c r="AD50" s="32"/>
      <c r="AE50" s="34"/>
      <c r="AF50" s="29"/>
      <c r="AG50" s="29"/>
      <c r="AH50" s="65"/>
      <c r="AI50" s="66"/>
      <c r="AJ50" s="66"/>
      <c r="AK50" s="66"/>
      <c r="AL50" s="67"/>
      <c r="AM50" s="68"/>
      <c r="AN50" s="69"/>
      <c r="AO50" s="70"/>
      <c r="AP50" s="71"/>
      <c r="AQ50" s="70"/>
      <c r="AR50" s="71"/>
      <c r="AS50" s="87"/>
      <c r="AT50" s="88"/>
      <c r="AU50" s="28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30"/>
      <c r="BR50" s="28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30"/>
    </row>
    <row r="51" spans="2:81">
      <c r="B51" s="89" t="str">
        <f t="shared" ca="1" si="1"/>
        <v/>
      </c>
      <c r="C51" s="90"/>
      <c r="D51" s="28"/>
      <c r="E51" s="29"/>
      <c r="F51" s="29"/>
      <c r="G51" s="29"/>
      <c r="H51" s="29"/>
      <c r="I51" s="29"/>
      <c r="J51" s="29"/>
      <c r="K51" s="30"/>
      <c r="L51" s="28"/>
      <c r="M51" s="29"/>
      <c r="N51" s="29"/>
      <c r="O51" s="29"/>
      <c r="P51" s="29"/>
      <c r="Q51" s="29"/>
      <c r="R51" s="29"/>
      <c r="S51" s="30"/>
      <c r="T51" s="28"/>
      <c r="U51" s="30"/>
      <c r="V51" s="28"/>
      <c r="W51" s="30"/>
      <c r="X51" s="28"/>
      <c r="Y51" s="30"/>
      <c r="Z51" s="28"/>
      <c r="AA51" s="30"/>
      <c r="AB51" s="33"/>
      <c r="AC51" s="33"/>
      <c r="AD51" s="32"/>
      <c r="AE51" s="34"/>
      <c r="AF51" s="29"/>
      <c r="AG51" s="29"/>
      <c r="AH51" s="65"/>
      <c r="AI51" s="66"/>
      <c r="AJ51" s="66"/>
      <c r="AK51" s="66"/>
      <c r="AL51" s="67"/>
      <c r="AM51" s="68"/>
      <c r="AN51" s="69"/>
      <c r="AO51" s="70"/>
      <c r="AP51" s="71"/>
      <c r="AQ51" s="70"/>
      <c r="AR51" s="71"/>
      <c r="AS51" s="87"/>
      <c r="AT51" s="88"/>
      <c r="AU51" s="28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30"/>
      <c r="BR51" s="28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30"/>
    </row>
    <row r="52" spans="2:81">
      <c r="B52" s="89" t="str">
        <f t="shared" ca="1" si="1"/>
        <v/>
      </c>
      <c r="C52" s="90"/>
      <c r="D52" s="28"/>
      <c r="E52" s="29"/>
      <c r="F52" s="29"/>
      <c r="G52" s="29"/>
      <c r="H52" s="29"/>
      <c r="I52" s="29"/>
      <c r="J52" s="29"/>
      <c r="K52" s="30"/>
      <c r="L52" s="28"/>
      <c r="M52" s="29"/>
      <c r="N52" s="29"/>
      <c r="O52" s="29"/>
      <c r="P52" s="29"/>
      <c r="Q52" s="29"/>
      <c r="R52" s="29"/>
      <c r="S52" s="30"/>
      <c r="T52" s="28"/>
      <c r="U52" s="30"/>
      <c r="V52" s="28"/>
      <c r="W52" s="30"/>
      <c r="X52" s="28"/>
      <c r="Y52" s="30"/>
      <c r="Z52" s="28"/>
      <c r="AA52" s="30"/>
      <c r="AB52" s="33"/>
      <c r="AC52" s="33"/>
      <c r="AD52" s="32"/>
      <c r="AE52" s="34"/>
      <c r="AF52" s="29"/>
      <c r="AG52" s="29"/>
      <c r="AH52" s="65"/>
      <c r="AI52" s="66"/>
      <c r="AJ52" s="66"/>
      <c r="AK52" s="66"/>
      <c r="AL52" s="67"/>
      <c r="AM52" s="68"/>
      <c r="AN52" s="69"/>
      <c r="AO52" s="70"/>
      <c r="AP52" s="71"/>
      <c r="AQ52" s="70"/>
      <c r="AR52" s="71"/>
      <c r="AS52" s="87"/>
      <c r="AT52" s="88"/>
      <c r="AU52" s="28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30"/>
      <c r="BR52" s="28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30"/>
    </row>
    <row r="53" spans="2:81">
      <c r="B53" s="89" t="str">
        <f t="shared" ca="1" si="1"/>
        <v/>
      </c>
      <c r="C53" s="90"/>
      <c r="D53" s="28"/>
      <c r="E53" s="29"/>
      <c r="F53" s="29"/>
      <c r="G53" s="29"/>
      <c r="H53" s="29"/>
      <c r="I53" s="29"/>
      <c r="J53" s="29"/>
      <c r="K53" s="30"/>
      <c r="L53" s="28"/>
      <c r="M53" s="29"/>
      <c r="N53" s="29"/>
      <c r="O53" s="29"/>
      <c r="P53" s="29"/>
      <c r="Q53" s="29"/>
      <c r="R53" s="29"/>
      <c r="S53" s="30"/>
      <c r="T53" s="28"/>
      <c r="U53" s="30"/>
      <c r="V53" s="28"/>
      <c r="W53" s="30"/>
      <c r="X53" s="28"/>
      <c r="Y53" s="30"/>
      <c r="Z53" s="28"/>
      <c r="AA53" s="30"/>
      <c r="AB53" s="33"/>
      <c r="AC53" s="33"/>
      <c r="AD53" s="32"/>
      <c r="AE53" s="34"/>
      <c r="AF53" s="29"/>
      <c r="AG53" s="29"/>
      <c r="AH53" s="65"/>
      <c r="AI53" s="66"/>
      <c r="AJ53" s="66"/>
      <c r="AK53" s="66"/>
      <c r="AL53" s="67"/>
      <c r="AM53" s="68"/>
      <c r="AN53" s="69"/>
      <c r="AO53" s="70"/>
      <c r="AP53" s="71"/>
      <c r="AQ53" s="70"/>
      <c r="AR53" s="71"/>
      <c r="AS53" s="87"/>
      <c r="AT53" s="88"/>
      <c r="AU53" s="28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30"/>
      <c r="BR53" s="28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30"/>
    </row>
    <row r="54" spans="2:81">
      <c r="B54" s="89" t="str">
        <f t="shared" ca="1" si="1"/>
        <v/>
      </c>
      <c r="C54" s="90"/>
      <c r="D54" s="28"/>
      <c r="E54" s="35"/>
      <c r="F54" s="29"/>
      <c r="G54" s="29"/>
      <c r="H54" s="29"/>
      <c r="I54" s="29"/>
      <c r="J54" s="29"/>
      <c r="K54" s="30"/>
      <c r="L54" s="28"/>
      <c r="M54" s="29"/>
      <c r="N54" s="29"/>
      <c r="O54" s="29"/>
      <c r="P54" s="29"/>
      <c r="Q54" s="29"/>
      <c r="R54" s="29"/>
      <c r="S54" s="30"/>
      <c r="T54" s="28"/>
      <c r="U54" s="30"/>
      <c r="V54" s="28"/>
      <c r="W54" s="30"/>
      <c r="X54" s="28"/>
      <c r="Y54" s="30"/>
      <c r="Z54" s="28"/>
      <c r="AA54" s="30"/>
      <c r="AB54" s="33"/>
      <c r="AC54" s="33"/>
      <c r="AD54" s="32"/>
      <c r="AE54" s="34"/>
      <c r="AF54" s="29"/>
      <c r="AG54" s="29"/>
      <c r="AH54" s="65"/>
      <c r="AI54" s="66"/>
      <c r="AJ54" s="66"/>
      <c r="AK54" s="66"/>
      <c r="AL54" s="67"/>
      <c r="AM54" s="68"/>
      <c r="AN54" s="69"/>
      <c r="AO54" s="70"/>
      <c r="AP54" s="71"/>
      <c r="AQ54" s="70"/>
      <c r="AR54" s="71"/>
      <c r="AS54" s="87"/>
      <c r="AT54" s="88"/>
      <c r="AU54" s="28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30"/>
      <c r="BR54" s="28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30"/>
    </row>
    <row r="55" spans="2:81">
      <c r="B55" s="89" t="str">
        <f t="shared" ca="1" si="1"/>
        <v/>
      </c>
      <c r="C55" s="90"/>
      <c r="D55" s="28"/>
      <c r="E55" s="29"/>
      <c r="F55" s="29"/>
      <c r="G55" s="29"/>
      <c r="H55" s="29"/>
      <c r="I55" s="29"/>
      <c r="J55" s="29"/>
      <c r="K55" s="30"/>
      <c r="L55" s="28"/>
      <c r="M55" s="29"/>
      <c r="N55" s="29"/>
      <c r="O55" s="29"/>
      <c r="P55" s="29"/>
      <c r="Q55" s="29"/>
      <c r="R55" s="29"/>
      <c r="S55" s="30"/>
      <c r="T55" s="28"/>
      <c r="U55" s="30"/>
      <c r="V55" s="28"/>
      <c r="W55" s="30"/>
      <c r="X55" s="28"/>
      <c r="Y55" s="30"/>
      <c r="Z55" s="28"/>
      <c r="AA55" s="30"/>
      <c r="AB55" s="33"/>
      <c r="AC55" s="33"/>
      <c r="AD55" s="32"/>
      <c r="AE55" s="34"/>
      <c r="AF55" s="29"/>
      <c r="AG55" s="29"/>
      <c r="AH55" s="65"/>
      <c r="AI55" s="66"/>
      <c r="AJ55" s="66"/>
      <c r="AK55" s="66"/>
      <c r="AL55" s="67"/>
      <c r="AM55" s="68"/>
      <c r="AN55" s="69"/>
      <c r="AO55" s="70"/>
      <c r="AP55" s="71"/>
      <c r="AQ55" s="70"/>
      <c r="AR55" s="71"/>
      <c r="AS55" s="87"/>
      <c r="AT55" s="88"/>
      <c r="AU55" s="28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30"/>
      <c r="BR55" s="28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30"/>
    </row>
    <row r="56" spans="2:81">
      <c r="B56" s="89" t="str">
        <f t="shared" ca="1" si="1"/>
        <v/>
      </c>
      <c r="C56" s="90"/>
      <c r="D56" s="28"/>
      <c r="E56" s="29"/>
      <c r="F56" s="29"/>
      <c r="G56" s="29"/>
      <c r="H56" s="29"/>
      <c r="I56" s="29"/>
      <c r="J56" s="29"/>
      <c r="K56" s="30"/>
      <c r="L56" s="28"/>
      <c r="M56" s="29"/>
      <c r="N56" s="29"/>
      <c r="O56" s="29"/>
      <c r="P56" s="29"/>
      <c r="Q56" s="29"/>
      <c r="R56" s="29"/>
      <c r="S56" s="30"/>
      <c r="T56" s="28"/>
      <c r="U56" s="30"/>
      <c r="V56" s="28"/>
      <c r="W56" s="30"/>
      <c r="X56" s="28"/>
      <c r="Y56" s="30"/>
      <c r="Z56" s="28"/>
      <c r="AA56" s="30"/>
      <c r="AB56" s="33"/>
      <c r="AC56" s="33"/>
      <c r="AD56" s="32"/>
      <c r="AE56" s="34"/>
      <c r="AF56" s="29"/>
      <c r="AG56" s="29"/>
      <c r="AH56" s="65"/>
      <c r="AI56" s="66"/>
      <c r="AJ56" s="66"/>
      <c r="AK56" s="66"/>
      <c r="AL56" s="67"/>
      <c r="AM56" s="68"/>
      <c r="AN56" s="69"/>
      <c r="AO56" s="70"/>
      <c r="AP56" s="71"/>
      <c r="AQ56" s="70"/>
      <c r="AR56" s="71"/>
      <c r="AS56" s="87"/>
      <c r="AT56" s="88"/>
      <c r="AU56" s="28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30"/>
      <c r="BR56" s="28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30"/>
    </row>
    <row r="57" spans="2:81">
      <c r="B57" s="89" t="str">
        <f t="shared" ca="1" si="1"/>
        <v/>
      </c>
      <c r="C57" s="90"/>
      <c r="D57" s="28"/>
      <c r="E57" s="35"/>
      <c r="F57" s="29"/>
      <c r="G57" s="29"/>
      <c r="H57" s="29"/>
      <c r="I57" s="29"/>
      <c r="J57" s="29"/>
      <c r="K57" s="30"/>
      <c r="L57" s="28"/>
      <c r="M57" s="29"/>
      <c r="N57" s="29"/>
      <c r="O57" s="29"/>
      <c r="P57" s="29"/>
      <c r="Q57" s="29"/>
      <c r="R57" s="29"/>
      <c r="S57" s="30"/>
      <c r="T57" s="28"/>
      <c r="U57" s="30"/>
      <c r="V57" s="28"/>
      <c r="W57" s="30"/>
      <c r="X57" s="28"/>
      <c r="Y57" s="30"/>
      <c r="Z57" s="28"/>
      <c r="AA57" s="30"/>
      <c r="AB57" s="33"/>
      <c r="AC57" s="33"/>
      <c r="AD57" s="32"/>
      <c r="AE57" s="34"/>
      <c r="AF57" s="29"/>
      <c r="AG57" s="29"/>
      <c r="AH57" s="65"/>
      <c r="AI57" s="66"/>
      <c r="AJ57" s="66"/>
      <c r="AK57" s="66"/>
      <c r="AL57" s="67"/>
      <c r="AM57" s="68"/>
      <c r="AN57" s="69"/>
      <c r="AO57" s="70"/>
      <c r="AP57" s="71"/>
      <c r="AQ57" s="70"/>
      <c r="AR57" s="71"/>
      <c r="AS57" s="87"/>
      <c r="AT57" s="88"/>
      <c r="AU57" s="28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30"/>
      <c r="BR57" s="28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30"/>
    </row>
    <row r="58" spans="2:81">
      <c r="B58" s="89" t="str">
        <f t="shared" ca="1" si="1"/>
        <v/>
      </c>
      <c r="C58" s="90"/>
      <c r="D58" s="28"/>
      <c r="E58" s="35"/>
      <c r="F58" s="29"/>
      <c r="G58" s="29"/>
      <c r="H58" s="29"/>
      <c r="I58" s="29"/>
      <c r="J58" s="29"/>
      <c r="K58" s="30"/>
      <c r="L58" s="28"/>
      <c r="M58" s="29"/>
      <c r="N58" s="29"/>
      <c r="O58" s="29"/>
      <c r="P58" s="29"/>
      <c r="Q58" s="29"/>
      <c r="R58" s="29"/>
      <c r="S58" s="30"/>
      <c r="T58" s="28"/>
      <c r="U58" s="30"/>
      <c r="V58" s="28"/>
      <c r="W58" s="30"/>
      <c r="X58" s="28"/>
      <c r="Y58" s="30"/>
      <c r="Z58" s="28"/>
      <c r="AA58" s="30"/>
      <c r="AB58" s="33"/>
      <c r="AC58" s="33"/>
      <c r="AD58" s="32"/>
      <c r="AE58" s="34"/>
      <c r="AF58" s="29"/>
      <c r="AG58" s="29"/>
      <c r="AH58" s="65"/>
      <c r="AI58" s="66"/>
      <c r="AJ58" s="66"/>
      <c r="AK58" s="66"/>
      <c r="AL58" s="67"/>
      <c r="AM58" s="68"/>
      <c r="AN58" s="69"/>
      <c r="AO58" s="70"/>
      <c r="AP58" s="71"/>
      <c r="AQ58" s="70"/>
      <c r="AR58" s="71"/>
      <c r="AS58" s="87"/>
      <c r="AT58" s="88"/>
      <c r="AU58" s="28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30"/>
      <c r="BR58" s="28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30"/>
    </row>
    <row r="59" spans="2:81">
      <c r="B59" s="89" t="str">
        <f t="shared" ca="1" si="1"/>
        <v/>
      </c>
      <c r="C59" s="90"/>
      <c r="D59" s="28"/>
      <c r="E59" s="35"/>
      <c r="F59" s="29"/>
      <c r="G59" s="29"/>
      <c r="H59" s="29"/>
      <c r="I59" s="29"/>
      <c r="J59" s="29"/>
      <c r="K59" s="30"/>
      <c r="L59" s="28"/>
      <c r="M59" s="29"/>
      <c r="N59" s="29"/>
      <c r="O59" s="29"/>
      <c r="P59" s="29"/>
      <c r="Q59" s="29"/>
      <c r="R59" s="29"/>
      <c r="S59" s="30"/>
      <c r="T59" s="28"/>
      <c r="U59" s="30"/>
      <c r="V59" s="28"/>
      <c r="W59" s="30"/>
      <c r="X59" s="28"/>
      <c r="Y59" s="30"/>
      <c r="Z59" s="28"/>
      <c r="AA59" s="30"/>
      <c r="AB59" s="33"/>
      <c r="AC59" s="33"/>
      <c r="AD59" s="32"/>
      <c r="AE59" s="34"/>
      <c r="AF59" s="29"/>
      <c r="AG59" s="29"/>
      <c r="AH59" s="65"/>
      <c r="AI59" s="66"/>
      <c r="AJ59" s="66"/>
      <c r="AK59" s="66"/>
      <c r="AL59" s="67"/>
      <c r="AM59" s="68"/>
      <c r="AN59" s="69"/>
      <c r="AO59" s="70"/>
      <c r="AP59" s="71"/>
      <c r="AQ59" s="70"/>
      <c r="AR59" s="71"/>
      <c r="AS59" s="87"/>
      <c r="AT59" s="88"/>
      <c r="AU59" s="28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30"/>
      <c r="BR59" s="28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30"/>
    </row>
    <row r="60" spans="2:81">
      <c r="B60" s="89" t="str">
        <f t="shared" ca="1" si="1"/>
        <v/>
      </c>
      <c r="C60" s="90"/>
      <c r="D60" s="28"/>
      <c r="E60" s="35"/>
      <c r="F60" s="29"/>
      <c r="G60" s="29"/>
      <c r="H60" s="29"/>
      <c r="I60" s="29"/>
      <c r="J60" s="29"/>
      <c r="K60" s="30"/>
      <c r="L60" s="28"/>
      <c r="M60" s="29"/>
      <c r="N60" s="29"/>
      <c r="O60" s="29"/>
      <c r="P60" s="29"/>
      <c r="Q60" s="29"/>
      <c r="R60" s="29"/>
      <c r="S60" s="30"/>
      <c r="T60" s="28"/>
      <c r="U60" s="30"/>
      <c r="V60" s="28"/>
      <c r="W60" s="30"/>
      <c r="X60" s="28"/>
      <c r="Y60" s="30"/>
      <c r="Z60" s="28"/>
      <c r="AA60" s="30"/>
      <c r="AB60" s="33"/>
      <c r="AC60" s="33"/>
      <c r="AD60" s="32"/>
      <c r="AE60" s="34"/>
      <c r="AF60" s="29"/>
      <c r="AG60" s="29"/>
      <c r="AH60" s="65"/>
      <c r="AI60" s="66"/>
      <c r="AJ60" s="66"/>
      <c r="AK60" s="66"/>
      <c r="AL60" s="67"/>
      <c r="AM60" s="68"/>
      <c r="AN60" s="69"/>
      <c r="AO60" s="70"/>
      <c r="AP60" s="71"/>
      <c r="AQ60" s="70"/>
      <c r="AR60" s="71"/>
      <c r="AS60" s="87"/>
      <c r="AT60" s="88"/>
      <c r="AU60" s="28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30"/>
      <c r="BR60" s="28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30"/>
    </row>
    <row r="61" spans="2:81">
      <c r="B61" s="89" t="str">
        <f t="shared" ca="1" si="1"/>
        <v/>
      </c>
      <c r="C61" s="90"/>
      <c r="D61" s="28"/>
      <c r="E61" s="29"/>
      <c r="F61" s="29"/>
      <c r="G61" s="29"/>
      <c r="H61" s="29"/>
      <c r="I61" s="29"/>
      <c r="J61" s="29"/>
      <c r="K61" s="30"/>
      <c r="L61" s="28"/>
      <c r="M61" s="29"/>
      <c r="N61" s="29"/>
      <c r="O61" s="29"/>
      <c r="P61" s="29"/>
      <c r="Q61" s="29"/>
      <c r="R61" s="29"/>
      <c r="S61" s="30"/>
      <c r="T61" s="28"/>
      <c r="U61" s="30"/>
      <c r="V61" s="28"/>
      <c r="W61" s="30"/>
      <c r="X61" s="28"/>
      <c r="Y61" s="30"/>
      <c r="Z61" s="28"/>
      <c r="AA61" s="30"/>
      <c r="AB61" s="33"/>
      <c r="AC61" s="33"/>
      <c r="AD61" s="32"/>
      <c r="AE61" s="34"/>
      <c r="AF61" s="29"/>
      <c r="AG61" s="29"/>
      <c r="AH61" s="65"/>
      <c r="AI61" s="66"/>
      <c r="AJ61" s="66"/>
      <c r="AK61" s="66"/>
      <c r="AL61" s="67"/>
      <c r="AM61" s="68"/>
      <c r="AN61" s="69"/>
      <c r="AO61" s="70"/>
      <c r="AP61" s="71"/>
      <c r="AQ61" s="70"/>
      <c r="AR61" s="71"/>
      <c r="AS61" s="87"/>
      <c r="AT61" s="88"/>
      <c r="AU61" s="28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30"/>
      <c r="BR61" s="28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30"/>
    </row>
    <row r="62" spans="2:81">
      <c r="B62" s="36" t="s">
        <v>18</v>
      </c>
      <c r="C62" s="36" t="s">
        <v>18</v>
      </c>
      <c r="D62" s="36" t="s">
        <v>18</v>
      </c>
      <c r="E62" s="36" t="s">
        <v>18</v>
      </c>
      <c r="F62" s="36" t="s">
        <v>18</v>
      </c>
      <c r="G62" s="36" t="s">
        <v>18</v>
      </c>
      <c r="H62" s="36" t="s">
        <v>18</v>
      </c>
      <c r="I62" s="36" t="s">
        <v>18</v>
      </c>
      <c r="J62" s="36" t="s">
        <v>18</v>
      </c>
      <c r="K62" s="36" t="s">
        <v>18</v>
      </c>
      <c r="L62" s="36" t="s">
        <v>18</v>
      </c>
      <c r="M62" s="36" t="s">
        <v>18</v>
      </c>
      <c r="N62" s="36" t="s">
        <v>18</v>
      </c>
      <c r="O62" s="36" t="s">
        <v>18</v>
      </c>
      <c r="P62" s="36" t="s">
        <v>18</v>
      </c>
      <c r="Q62" s="36" t="s">
        <v>18</v>
      </c>
      <c r="R62" s="36" t="s">
        <v>18</v>
      </c>
      <c r="S62" s="36" t="s">
        <v>18</v>
      </c>
      <c r="T62" s="36" t="s">
        <v>18</v>
      </c>
      <c r="U62" s="36" t="s">
        <v>18</v>
      </c>
      <c r="V62" s="36" t="s">
        <v>18</v>
      </c>
      <c r="W62" s="36" t="s">
        <v>18</v>
      </c>
      <c r="X62" s="36" t="s">
        <v>18</v>
      </c>
      <c r="Y62" s="36" t="s">
        <v>18</v>
      </c>
      <c r="Z62" s="36" t="s">
        <v>18</v>
      </c>
      <c r="AA62" s="36" t="s">
        <v>18</v>
      </c>
      <c r="AB62" s="36" t="s">
        <v>18</v>
      </c>
      <c r="AC62" s="36" t="s">
        <v>18</v>
      </c>
      <c r="AD62" s="36" t="s">
        <v>18</v>
      </c>
      <c r="AE62" s="36" t="s">
        <v>18</v>
      </c>
      <c r="AF62" s="36" t="s">
        <v>18</v>
      </c>
      <c r="AG62" s="36" t="s">
        <v>18</v>
      </c>
      <c r="AH62" s="36" t="s">
        <v>18</v>
      </c>
      <c r="AI62" s="36" t="s">
        <v>18</v>
      </c>
      <c r="AJ62" s="36" t="s">
        <v>18</v>
      </c>
      <c r="AK62" s="36" t="s">
        <v>18</v>
      </c>
      <c r="AL62" s="36" t="s">
        <v>18</v>
      </c>
      <c r="AM62" s="36" t="s">
        <v>18</v>
      </c>
      <c r="AN62" s="36" t="s">
        <v>18</v>
      </c>
      <c r="AO62" s="36" t="s">
        <v>18</v>
      </c>
      <c r="AP62" s="36" t="s">
        <v>18</v>
      </c>
      <c r="AQ62" s="36" t="s">
        <v>18</v>
      </c>
      <c r="AR62" s="36" t="s">
        <v>18</v>
      </c>
      <c r="AS62" s="36" t="s">
        <v>18</v>
      </c>
      <c r="AT62" s="36" t="s">
        <v>18</v>
      </c>
      <c r="AU62" s="36" t="s">
        <v>18</v>
      </c>
      <c r="AV62" s="36" t="s">
        <v>18</v>
      </c>
      <c r="AW62" s="36" t="s">
        <v>18</v>
      </c>
      <c r="AX62" s="36" t="s">
        <v>18</v>
      </c>
      <c r="AY62" s="36" t="s">
        <v>18</v>
      </c>
      <c r="AZ62" s="36" t="s">
        <v>18</v>
      </c>
      <c r="BA62" s="36" t="s">
        <v>18</v>
      </c>
      <c r="BB62" s="36" t="s">
        <v>18</v>
      </c>
      <c r="BC62" s="36" t="s">
        <v>18</v>
      </c>
      <c r="BD62" s="36" t="s">
        <v>18</v>
      </c>
      <c r="BE62" s="36" t="s">
        <v>18</v>
      </c>
      <c r="BF62" s="36" t="s">
        <v>18</v>
      </c>
      <c r="BG62" s="36" t="s">
        <v>18</v>
      </c>
      <c r="BH62" s="36" t="s">
        <v>18</v>
      </c>
      <c r="BI62" s="36" t="s">
        <v>18</v>
      </c>
      <c r="BJ62" s="36" t="s">
        <v>18</v>
      </c>
      <c r="BK62" s="36" t="s">
        <v>18</v>
      </c>
      <c r="BL62" s="36" t="s">
        <v>18</v>
      </c>
      <c r="BM62" s="36" t="s">
        <v>18</v>
      </c>
      <c r="BN62" s="36" t="s">
        <v>18</v>
      </c>
      <c r="BO62" s="36" t="s">
        <v>18</v>
      </c>
      <c r="BP62" s="36" t="s">
        <v>18</v>
      </c>
      <c r="BQ62" s="36" t="s">
        <v>18</v>
      </c>
      <c r="BR62" s="36" t="s">
        <v>18</v>
      </c>
      <c r="BS62" s="36" t="s">
        <v>18</v>
      </c>
      <c r="BT62" s="36" t="s">
        <v>18</v>
      </c>
      <c r="BU62" s="36" t="s">
        <v>19</v>
      </c>
      <c r="BV62" s="36" t="s">
        <v>19</v>
      </c>
      <c r="BW62" s="36" t="s">
        <v>19</v>
      </c>
      <c r="BX62" s="36" t="s">
        <v>18</v>
      </c>
      <c r="BY62" s="36" t="s">
        <v>18</v>
      </c>
      <c r="BZ62" s="36" t="s">
        <v>19</v>
      </c>
      <c r="CA62" s="36" t="s">
        <v>19</v>
      </c>
      <c r="CB62" s="36" t="s">
        <v>19</v>
      </c>
      <c r="CC62" s="36" t="s">
        <v>19</v>
      </c>
    </row>
  </sheetData>
  <mergeCells count="353">
    <mergeCell ref="L15:S15"/>
    <mergeCell ref="AW5:BA5"/>
    <mergeCell ref="B57:C57"/>
    <mergeCell ref="AO57:AP57"/>
    <mergeCell ref="AS57:AT57"/>
    <mergeCell ref="B56:C56"/>
    <mergeCell ref="AO56:AP56"/>
    <mergeCell ref="AS56:AT56"/>
    <mergeCell ref="B54:C54"/>
    <mergeCell ref="AO54:AP54"/>
    <mergeCell ref="AS54:AT54"/>
    <mergeCell ref="B55:C55"/>
    <mergeCell ref="AO55:AP55"/>
    <mergeCell ref="AS55:AT55"/>
    <mergeCell ref="B51:C51"/>
    <mergeCell ref="AO51:AP51"/>
    <mergeCell ref="AS51:AT51"/>
    <mergeCell ref="B52:C52"/>
    <mergeCell ref="AO52:AP52"/>
    <mergeCell ref="AS52:AT52"/>
    <mergeCell ref="B53:C53"/>
    <mergeCell ref="AO53:AP53"/>
    <mergeCell ref="AS53:AT53"/>
    <mergeCell ref="AM52:AN52"/>
    <mergeCell ref="AM53:AN53"/>
    <mergeCell ref="AM54:AN54"/>
    <mergeCell ref="AM55:AN55"/>
    <mergeCell ref="AH51:AL51"/>
    <mergeCell ref="AH52:AL52"/>
    <mergeCell ref="AH53:AL53"/>
    <mergeCell ref="B48:C48"/>
    <mergeCell ref="AO48:AP48"/>
    <mergeCell ref="AS48:AT48"/>
    <mergeCell ref="B49:C49"/>
    <mergeCell ref="AO49:AP49"/>
    <mergeCell ref="AS49:AT49"/>
    <mergeCell ref="B50:C50"/>
    <mergeCell ref="AO50:AP50"/>
    <mergeCell ref="AS50:AT50"/>
    <mergeCell ref="AH49:AL49"/>
    <mergeCell ref="AH50:AL50"/>
    <mergeCell ref="AQ50:AR50"/>
    <mergeCell ref="AQ51:AR51"/>
    <mergeCell ref="AQ52:AR52"/>
    <mergeCell ref="AQ53:AR53"/>
    <mergeCell ref="AQ54:AR54"/>
    <mergeCell ref="AQ55:AR55"/>
    <mergeCell ref="AH54:AL54"/>
    <mergeCell ref="AH55:AL55"/>
    <mergeCell ref="B25:C25"/>
    <mergeCell ref="AO25:AP25"/>
    <mergeCell ref="AS25:AT25"/>
    <mergeCell ref="B47:C47"/>
    <mergeCell ref="AO47:AP47"/>
    <mergeCell ref="AS47:AT47"/>
    <mergeCell ref="B46:C46"/>
    <mergeCell ref="AO46:AP46"/>
    <mergeCell ref="AS46:AT46"/>
    <mergeCell ref="B45:C45"/>
    <mergeCell ref="AO45:AP45"/>
    <mergeCell ref="AS45:AT45"/>
    <mergeCell ref="B37:C37"/>
    <mergeCell ref="AO37:AP37"/>
    <mergeCell ref="AS37:AT37"/>
    <mergeCell ref="AS38:AT38"/>
    <mergeCell ref="B39:C39"/>
    <mergeCell ref="AO39:AP39"/>
    <mergeCell ref="AS39:AT39"/>
    <mergeCell ref="B34:C34"/>
    <mergeCell ref="AO34:AP34"/>
    <mergeCell ref="AS34:AT34"/>
    <mergeCell ref="B35:C35"/>
    <mergeCell ref="AO35:AP35"/>
    <mergeCell ref="B22:C22"/>
    <mergeCell ref="AO22:AP22"/>
    <mergeCell ref="AS22:AT22"/>
    <mergeCell ref="B23:C23"/>
    <mergeCell ref="AO23:AP23"/>
    <mergeCell ref="AS23:AT23"/>
    <mergeCell ref="AH22:AL22"/>
    <mergeCell ref="AH23:AL23"/>
    <mergeCell ref="B24:C24"/>
    <mergeCell ref="AO24:AP24"/>
    <mergeCell ref="AS24:AT24"/>
    <mergeCell ref="AQ24:AR24"/>
    <mergeCell ref="AM24:AN24"/>
    <mergeCell ref="AB7:AD7"/>
    <mergeCell ref="AD5:AE5"/>
    <mergeCell ref="AF5:AI5"/>
    <mergeCell ref="AK5:AQ5"/>
    <mergeCell ref="AE7:AG7"/>
    <mergeCell ref="B18:C18"/>
    <mergeCell ref="AO18:AP18"/>
    <mergeCell ref="AS18:AT18"/>
    <mergeCell ref="B19:C19"/>
    <mergeCell ref="AO19:AP19"/>
    <mergeCell ref="AS19:AT19"/>
    <mergeCell ref="B5:I5"/>
    <mergeCell ref="B13:C13"/>
    <mergeCell ref="AO13:AP13"/>
    <mergeCell ref="AS13:AT13"/>
    <mergeCell ref="B14:C14"/>
    <mergeCell ref="AO14:AP14"/>
    <mergeCell ref="AS14:AT14"/>
    <mergeCell ref="B9:C9"/>
    <mergeCell ref="B8:C8"/>
    <mergeCell ref="B11:C11"/>
    <mergeCell ref="B10:C10"/>
    <mergeCell ref="B17:C17"/>
    <mergeCell ref="AO17:AP17"/>
    <mergeCell ref="AS17:AT17"/>
    <mergeCell ref="B43:C43"/>
    <mergeCell ref="AO43:AP43"/>
    <mergeCell ref="AS43:AT43"/>
    <mergeCell ref="B44:C44"/>
    <mergeCell ref="AO44:AP44"/>
    <mergeCell ref="AS44:AT44"/>
    <mergeCell ref="B40:C40"/>
    <mergeCell ref="AO40:AP40"/>
    <mergeCell ref="AS40:AT40"/>
    <mergeCell ref="B41:C41"/>
    <mergeCell ref="AO41:AP41"/>
    <mergeCell ref="AS41:AT41"/>
    <mergeCell ref="B42:C42"/>
    <mergeCell ref="AO42:AP42"/>
    <mergeCell ref="AS42:AT42"/>
    <mergeCell ref="B20:C20"/>
    <mergeCell ref="AO20:AP20"/>
    <mergeCell ref="AS20:AT20"/>
    <mergeCell ref="B21:C21"/>
    <mergeCell ref="AO21:AP21"/>
    <mergeCell ref="AS21:AT21"/>
    <mergeCell ref="B38:C38"/>
    <mergeCell ref="AO38:AP38"/>
    <mergeCell ref="AS35:AT35"/>
    <mergeCell ref="B36:C36"/>
    <mergeCell ref="AO36:AP36"/>
    <mergeCell ref="AS36:AT36"/>
    <mergeCell ref="AQ34:AR34"/>
    <mergeCell ref="AQ35:AR35"/>
    <mergeCell ref="AQ36:AR36"/>
    <mergeCell ref="AQ37:AR37"/>
    <mergeCell ref="B31:C31"/>
    <mergeCell ref="AO31:AP31"/>
    <mergeCell ref="AS31:AT31"/>
    <mergeCell ref="B32:C32"/>
    <mergeCell ref="AO32:AP32"/>
    <mergeCell ref="AS32:AT32"/>
    <mergeCell ref="B33:C33"/>
    <mergeCell ref="AO33:AP33"/>
    <mergeCell ref="AS33:AT33"/>
    <mergeCell ref="AQ33:AR33"/>
    <mergeCell ref="AM33:AN33"/>
    <mergeCell ref="B61:C61"/>
    <mergeCell ref="B58:C58"/>
    <mergeCell ref="B12:C12"/>
    <mergeCell ref="B60:C60"/>
    <mergeCell ref="B59:C59"/>
    <mergeCell ref="AO60:AP60"/>
    <mergeCell ref="AS60:AT60"/>
    <mergeCell ref="B15:C15"/>
    <mergeCell ref="AO15:AP15"/>
    <mergeCell ref="AS15:AT15"/>
    <mergeCell ref="B16:C16"/>
    <mergeCell ref="AO61:AP61"/>
    <mergeCell ref="AS61:AT61"/>
    <mergeCell ref="B26:C26"/>
    <mergeCell ref="AS26:AT26"/>
    <mergeCell ref="B27:C27"/>
    <mergeCell ref="AO27:AP27"/>
    <mergeCell ref="AS27:AT27"/>
    <mergeCell ref="B28:C28"/>
    <mergeCell ref="AO28:AP28"/>
    <mergeCell ref="AS28:AT28"/>
    <mergeCell ref="B29:C29"/>
    <mergeCell ref="AO29:AP29"/>
    <mergeCell ref="AS29:AT29"/>
    <mergeCell ref="CA2:CC3"/>
    <mergeCell ref="J3:N3"/>
    <mergeCell ref="O3:S3"/>
    <mergeCell ref="BK3:BM3"/>
    <mergeCell ref="BN3:BQ3"/>
    <mergeCell ref="BR3:BS3"/>
    <mergeCell ref="J2:N2"/>
    <mergeCell ref="O2:S2"/>
    <mergeCell ref="BK2:BM2"/>
    <mergeCell ref="BN2:BQ2"/>
    <mergeCell ref="BT3:BV3"/>
    <mergeCell ref="BW3:BZ3"/>
    <mergeCell ref="T2:AH2"/>
    <mergeCell ref="T3:AH3"/>
    <mergeCell ref="B2:I3"/>
    <mergeCell ref="BR2:BS2"/>
    <mergeCell ref="BT2:BV2"/>
    <mergeCell ref="BW2:BZ2"/>
    <mergeCell ref="AO8:AP8"/>
    <mergeCell ref="AS8:AT8"/>
    <mergeCell ref="AO59:AP59"/>
    <mergeCell ref="AS59:AT59"/>
    <mergeCell ref="AO10:AP10"/>
    <mergeCell ref="AS10:AT10"/>
    <mergeCell ref="AO11:AP11"/>
    <mergeCell ref="AS11:AT11"/>
    <mergeCell ref="AO9:AP9"/>
    <mergeCell ref="AS9:AT9"/>
    <mergeCell ref="AO12:AP12"/>
    <mergeCell ref="AS12:AT12"/>
    <mergeCell ref="AO58:AP58"/>
    <mergeCell ref="AS58:AT58"/>
    <mergeCell ref="AO16:AP16"/>
    <mergeCell ref="AS16:AT16"/>
    <mergeCell ref="AO26:AP26"/>
    <mergeCell ref="B30:C30"/>
    <mergeCell ref="AO30:AP30"/>
    <mergeCell ref="AS30:AT30"/>
    <mergeCell ref="AR5:AT5"/>
    <mergeCell ref="AH8:AL8"/>
    <mergeCell ref="AH9:AL9"/>
    <mergeCell ref="AH12:AL12"/>
    <mergeCell ref="AH13:AL13"/>
    <mergeCell ref="AH17:AL17"/>
    <mergeCell ref="AH18:AL18"/>
    <mergeCell ref="AH19:AL19"/>
    <mergeCell ref="AH21:AL21"/>
    <mergeCell ref="AH10:AL10"/>
    <mergeCell ref="AH11:AL11"/>
    <mergeCell ref="AH15:AL15"/>
    <mergeCell ref="AH16:AL16"/>
    <mergeCell ref="AH20:AL20"/>
    <mergeCell ref="AH14:AL14"/>
    <mergeCell ref="AO7:AP7"/>
    <mergeCell ref="AQ7:AR7"/>
    <mergeCell ref="AQ8:AR8"/>
    <mergeCell ref="AQ9:AR9"/>
    <mergeCell ref="AQ10:AR10"/>
    <mergeCell ref="AQ11:AR11"/>
    <mergeCell ref="AQ12:AR12"/>
    <mergeCell ref="AQ13:AR13"/>
    <mergeCell ref="AQ14:AR14"/>
    <mergeCell ref="AQ15:AR15"/>
    <mergeCell ref="AQ16:AR16"/>
    <mergeCell ref="AQ17:AR17"/>
    <mergeCell ref="AQ18:AR18"/>
    <mergeCell ref="AQ19:AR19"/>
    <mergeCell ref="AQ20:AR20"/>
    <mergeCell ref="AQ21:AR21"/>
    <mergeCell ref="AQ22:AR22"/>
    <mergeCell ref="AQ23:AR23"/>
    <mergeCell ref="AQ25:AR25"/>
    <mergeCell ref="AQ26:AR26"/>
    <mergeCell ref="AQ27:AR27"/>
    <mergeCell ref="AQ28:AR28"/>
    <mergeCell ref="AQ29:AR29"/>
    <mergeCell ref="AQ30:AR30"/>
    <mergeCell ref="AQ31:AR31"/>
    <mergeCell ref="AQ32:AR32"/>
    <mergeCell ref="AQ49:AR49"/>
    <mergeCell ref="AQ38:AR38"/>
    <mergeCell ref="AQ39:AR39"/>
    <mergeCell ref="AQ40:AR40"/>
    <mergeCell ref="AQ41:AR41"/>
    <mergeCell ref="AQ42:AR42"/>
    <mergeCell ref="AQ43:AR43"/>
    <mergeCell ref="AQ44:AR44"/>
    <mergeCell ref="AQ45:AR45"/>
    <mergeCell ref="AQ46:AR46"/>
    <mergeCell ref="AQ56:AR56"/>
    <mergeCell ref="AQ57:AR57"/>
    <mergeCell ref="AQ58:AR58"/>
    <mergeCell ref="AQ59:AR59"/>
    <mergeCell ref="AQ60:AR60"/>
    <mergeCell ref="AQ61:AR61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Q47:AR47"/>
    <mergeCell ref="AQ48:AR48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45:AN45"/>
    <mergeCell ref="AM46:AN46"/>
    <mergeCell ref="AM47:AN47"/>
    <mergeCell ref="AM48:AN48"/>
    <mergeCell ref="AM49:AN49"/>
    <mergeCell ref="AM50:AN50"/>
    <mergeCell ref="AM51:AN51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56:AN56"/>
    <mergeCell ref="AM57:AN57"/>
    <mergeCell ref="AM58:AN58"/>
    <mergeCell ref="AM59:AN59"/>
    <mergeCell ref="AM60:AN60"/>
    <mergeCell ref="AM61:AN61"/>
    <mergeCell ref="AH24:AL24"/>
    <mergeCell ref="AH25:AL25"/>
    <mergeCell ref="AH26:AL26"/>
    <mergeCell ref="AH27:AL27"/>
    <mergeCell ref="AH28:AL28"/>
    <mergeCell ref="AH29:AL29"/>
    <mergeCell ref="AH30:AL30"/>
    <mergeCell ref="AH31:AL31"/>
    <mergeCell ref="AH32:AL32"/>
    <mergeCell ref="AH33:AL33"/>
    <mergeCell ref="AH34:AL34"/>
    <mergeCell ref="AH35:AL35"/>
    <mergeCell ref="AH36:AL36"/>
    <mergeCell ref="AH37:AL37"/>
    <mergeCell ref="AH38:AL38"/>
    <mergeCell ref="AH39:AL39"/>
    <mergeCell ref="AM43:AN43"/>
    <mergeCell ref="AM44:AN44"/>
    <mergeCell ref="AH56:AL56"/>
    <mergeCell ref="AH57:AL57"/>
    <mergeCell ref="AH58:AL58"/>
    <mergeCell ref="AH59:AL59"/>
    <mergeCell ref="AH60:AL60"/>
    <mergeCell ref="AH61:AL61"/>
    <mergeCell ref="AH40:AL40"/>
    <mergeCell ref="AH41:AL41"/>
    <mergeCell ref="AH42:AL42"/>
    <mergeCell ref="AH43:AL43"/>
    <mergeCell ref="AH44:AL44"/>
    <mergeCell ref="AH45:AL45"/>
    <mergeCell ref="AH46:AL46"/>
    <mergeCell ref="AH47:AL47"/>
    <mergeCell ref="AH48:AL48"/>
  </mergeCells>
  <phoneticPr fontId="4"/>
  <conditionalFormatting sqref="B8:C61">
    <cfRule type="expression" dxfId="0" priority="1">
      <formula>$S8&gt;0</formula>
    </cfRule>
  </conditionalFormatting>
  <dataValidations count="1">
    <dataValidation type="list" allowBlank="1" showInputMessage="1" showErrorMessage="1" sqref="AH8:AH61">
      <formula1>"character varying,numeric,timestamp"</formula1>
    </dataValidation>
  </dataValidations>
  <printOptions horizontalCentered="1"/>
  <pageMargins left="0.19685039370078741" right="0.19685039370078741" top="0.59055118110236227" bottom="0.39370078740157483" header="0.19685039370078741" footer="0.19685039370078741"/>
  <pageSetup paperSize="9" scale="70" fitToHeight="0" orientation="landscape" r:id="rId1"/>
  <headerFooter>
    <oddFooter>&amp;RCopyright 2017 FUJITSU LIMITED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更新履歴</vt:lpstr>
      <vt:lpstr>店マスタ</vt:lpstr>
      <vt:lpstr>店マスタ!Print_Area</vt:lpstr>
      <vt:lpstr>店マスタ!Print_Titles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Ota, Yumiko/太田 裕美子</dc:creator>
  <cp:lastModifiedBy>saline</cp:lastModifiedBy>
  <cp:lastPrinted>2017-09-14T02:42:40Z</cp:lastPrinted>
  <dcterms:created xsi:type="dcterms:W3CDTF">2016-08-08T00:11:21Z</dcterms:created>
  <dcterms:modified xsi:type="dcterms:W3CDTF">2017-09-14T02:43:15Z</dcterms:modified>
</cp:coreProperties>
</file>