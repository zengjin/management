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D12PC131N-user\AppData\Roaming\FJADriveWork\1\Work\"/>
    </mc:Choice>
  </mc:AlternateContent>
  <bookViews>
    <workbookView xWindow="945" yWindow="180" windowWidth="15480" windowHeight="9945" tabRatio="858" activeTab="1"/>
  </bookViews>
  <sheets>
    <sheet name="更新履歴" sheetId="1" r:id="rId1"/>
    <sheet name="楽天Edy" sheetId="7" r:id="rId2"/>
  </sheets>
  <externalReferences>
    <externalReference r:id="rId3"/>
  </externalReferences>
  <definedNames>
    <definedName name="_Fill" localSheetId="1" hidden="1">#REF!</definedName>
    <definedName name="_Fill" hidden="1">#REF!</definedName>
    <definedName name="_xlnm._FilterDatabase" localSheetId="1" hidden="1">楽天Edy!$B$9:$CG$28</definedName>
    <definedName name="_Key1" localSheetId="1" hidden="1">#REF!</definedName>
    <definedName name="_Key1" hidden="1">#REF!</definedName>
    <definedName name="_Key2" hidden="1">[1]案件元帳!$C$5:$C$80</definedName>
    <definedName name="_Order1" hidden="1">255</definedName>
    <definedName name="_Order2" hidden="1">255</definedName>
    <definedName name="_Regression_X" localSheetId="1" hidden="1">#REF!</definedName>
    <definedName name="_Regression_X" hidden="1">#REF!</definedName>
    <definedName name="_Sort" localSheetId="1" hidden="1">#REF!</definedName>
    <definedName name="_Sort" hidden="1">#REF!</definedName>
    <definedName name="aaaa" localSheetId="1" hidden="1">{"'フローチャート'!$A$1:$AO$191"}</definedName>
    <definedName name="aaaa" hidden="1">{"'フローチャート'!$A$1:$AO$191"}</definedName>
    <definedName name="aaaaaaaaaaaaaaaa" localSheetId="1" hidden="1">#REF!</definedName>
    <definedName name="aaaaaaaaaaaaaaaa" hidden="1">#REF!</definedName>
    <definedName name="aaaaaaaaaaaaaaaaaaaaa" localSheetId="1" hidden="1">#REF!</definedName>
    <definedName name="aaaaaaaaaaaaaaaaaaaaa" hidden="1">#REF!</definedName>
    <definedName name="ＧＷメッセージ一覧" localSheetId="1" hidden="1">#REF!</definedName>
    <definedName name="ＧＷメッセージ一覧" hidden="1">#REF!</definedName>
    <definedName name="HTML_CodePage" hidden="1">932</definedName>
    <definedName name="HTML_Control" localSheetId="1" hidden="1">{"'フローチャート'!$A$1:$AO$191"}</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Ｉ" localSheetId="1" hidden="1">#REF!</definedName>
    <definedName name="Ｉ" hidden="1">#REF!</definedName>
    <definedName name="ｊ" localSheetId="1" hidden="1">#REF!</definedName>
    <definedName name="ｊ" hidden="1">#REF!</definedName>
    <definedName name="ｋ" localSheetId="1" hidden="1">#REF!</definedName>
    <definedName name="ｋ" hidden="1">#REF!</definedName>
    <definedName name="ｌ" localSheetId="1" hidden="1">#REF!</definedName>
    <definedName name="ｌ" hidden="1">#REF!</definedName>
    <definedName name="ＬＬＬＬＬ" localSheetId="1" hidden="1">#REF!</definedName>
    <definedName name="ＬＬＬＬＬ" hidden="1">#REF!</definedName>
    <definedName name="ｍ" localSheetId="1" hidden="1">#REF!</definedName>
    <definedName name="ｍ" hidden="1">#REF!</definedName>
    <definedName name="ｎ" localSheetId="1" hidden="1">#REF!</definedName>
    <definedName name="ｎ" hidden="1">#REF!</definedName>
    <definedName name="ｐ" localSheetId="1" hidden="1">#REF!</definedName>
    <definedName name="ｐ" hidden="1">#REF!</definedName>
    <definedName name="_xlnm.Print_Area" localSheetId="1">楽天Edy!$A$1:$CD$40</definedName>
    <definedName name="_xlnm.Print_Titles" localSheetId="1">楽天Edy!$1:$9</definedName>
    <definedName name="ＱＱ" localSheetId="1" hidden="1">{"'フローチャート'!$A$1:$AO$191"}</definedName>
    <definedName name="ＱＱ" hidden="1">{"'フローチャート'!$A$1:$AO$191"}</definedName>
    <definedName name="test" localSheetId="1" hidden="1">#REF!</definedName>
    <definedName name="test" hidden="1">#REF!</definedName>
    <definedName name="u" localSheetId="1" hidden="1">#REF!</definedName>
    <definedName name="u" hidden="1">#REF!</definedName>
    <definedName name="WW" localSheetId="1" hidden="1">#REF!</definedName>
    <definedName name="WW" hidden="1">#REF!</definedName>
    <definedName name="z" localSheetId="1" hidden="1">#REF!</definedName>
    <definedName name="z" hidden="1">#REF!</definedName>
    <definedName name="あ" localSheetId="1" hidden="1">{"'フローチャート'!$A$1:$AO$191"}</definedName>
    <definedName name="あ" hidden="1">{"'フローチャート'!$A$1:$AO$191"}</definedName>
    <definedName name="ああああ" localSheetId="1" hidden="1">#REF!</definedName>
    <definedName name="ああああ" hidden="1">#REF!</definedName>
    <definedName name="プレーヤー区分" localSheetId="1" hidden="1">#REF!</definedName>
    <definedName name="プレーヤー区分" hidden="1">#REF!</definedName>
    <definedName name="安藤" localSheetId="1" hidden="1">#REF!</definedName>
    <definedName name="安藤" hidden="1">#REF!</definedName>
    <definedName name="改ページ" localSheetId="1" hidden="1">#REF!</definedName>
    <definedName name="改ページ" hidden="1">#REF!</definedName>
    <definedName name="関連表" localSheetId="1" hidden="1">#REF!</definedName>
    <definedName name="関連表" hidden="1">#REF!</definedName>
    <definedName name="住所区分" localSheetId="1" hidden="1">#REF!</definedName>
    <definedName name="住所区分" hidden="1">#REF!</definedName>
    <definedName name="束原" localSheetId="1" hidden="1">#REF!</definedName>
    <definedName name="束原" hidden="1">#REF!</definedName>
    <definedName name="表1" localSheetId="1" hidden="1">#REF!</definedName>
    <definedName name="表1" hidden="1">#REF!</definedName>
  </definedNames>
  <calcPr calcId="152511"/>
</workbook>
</file>

<file path=xl/calcChain.xml><?xml version="1.0" encoding="utf-8"?>
<calcChain xmlns="http://schemas.openxmlformats.org/spreadsheetml/2006/main">
  <c r="AL37" i="7" l="1"/>
  <c r="AJ33" i="7"/>
  <c r="AJ37" i="7"/>
  <c r="AL18" i="7"/>
  <c r="AJ18" i="7"/>
  <c r="AL19" i="7" l="1"/>
  <c r="AL38" i="7"/>
  <c r="AJ39" i="7"/>
  <c r="AJ16" i="7"/>
  <c r="AJ38" i="7"/>
  <c r="AJ35" i="7"/>
  <c r="AJ34" i="7"/>
  <c r="AJ32" i="7"/>
  <c r="AJ31" i="7"/>
  <c r="AJ30" i="7"/>
  <c r="AJ29" i="7"/>
  <c r="AJ28" i="7"/>
  <c r="AJ27" i="7"/>
  <c r="AJ26" i="7"/>
  <c r="AJ25" i="7"/>
  <c r="AJ24" i="7"/>
  <c r="AJ23" i="7"/>
  <c r="AJ22" i="7"/>
  <c r="AJ21" i="7"/>
  <c r="AJ20" i="7"/>
  <c r="AJ19" i="7"/>
  <c r="AJ15" i="7"/>
  <c r="AJ14" i="7"/>
  <c r="AJ13" i="7"/>
  <c r="AJ12" i="7"/>
  <c r="AL11" i="7"/>
  <c r="AJ11" i="7"/>
  <c r="B12" i="7"/>
  <c r="AL39" i="7" l="1"/>
  <c r="Y7" i="7"/>
  <c r="AL12" i="7"/>
  <c r="AL13" i="7" s="1"/>
  <c r="AL14" i="7" s="1"/>
  <c r="AL15" i="7" s="1"/>
  <c r="B13" i="7"/>
  <c r="B14" i="7" s="1"/>
  <c r="B15" i="7" s="1"/>
  <c r="AL16" i="7" l="1"/>
  <c r="AL20" i="7"/>
  <c r="AL21" i="7" s="1"/>
  <c r="AL22" i="7" s="1"/>
  <c r="AL23" i="7" s="1"/>
  <c r="AL24" i="7" s="1"/>
  <c r="AL25" i="7" s="1"/>
  <c r="AL26" i="7" s="1"/>
  <c r="AL27" i="7" s="1"/>
  <c r="AL28" i="7" s="1"/>
  <c r="AL29" i="7" s="1"/>
  <c r="AL30" i="7" s="1"/>
  <c r="AL31" i="7" s="1"/>
  <c r="AL32" i="7" s="1"/>
  <c r="AL33" i="7" l="1"/>
  <c r="AL34" i="7" s="1"/>
  <c r="AL35" i="7" s="1"/>
  <c r="A11" i="1" l="1"/>
  <c r="A22" i="1" l="1"/>
  <c r="A21" i="1"/>
  <c r="A20" i="1"/>
  <c r="A19" i="1"/>
  <c r="A18" i="1"/>
  <c r="A17" i="1"/>
  <c r="A16" i="1"/>
  <c r="A15" i="1"/>
  <c r="A14" i="1"/>
  <c r="A13" i="1"/>
  <c r="A12" i="1"/>
  <c r="A10" i="1"/>
  <c r="A9" i="1"/>
  <c r="A8" i="1"/>
  <c r="A7" i="1"/>
  <c r="A6" i="1"/>
  <c r="A31" i="1"/>
  <c r="A30" i="1"/>
  <c r="A29" i="1"/>
  <c r="A28" i="1"/>
  <c r="A27" i="1"/>
  <c r="A26" i="1"/>
  <c r="A25" i="1"/>
  <c r="A24" i="1"/>
  <c r="A23" i="1"/>
  <c r="A32" i="1" l="1"/>
  <c r="A33" i="1" l="1"/>
  <c r="A5" i="1"/>
  <c r="B16" i="7" l="1"/>
  <c r="B18" i="7" s="1"/>
  <c r="B19" i="7" l="1"/>
  <c r="B20" i="7" s="1"/>
  <c r="B21" i="7" s="1"/>
  <c r="B22" i="7" l="1"/>
  <c r="B23" i="7" l="1"/>
  <c r="B24" i="7" l="1"/>
  <c r="B25" i="7" l="1"/>
  <c r="B26" i="7" l="1"/>
  <c r="B27" i="7" l="1"/>
  <c r="B28" i="7" s="1"/>
  <c r="B29" i="7" s="1"/>
  <c r="B30" i="7" s="1"/>
  <c r="B31" i="7" s="1"/>
  <c r="B32" i="7" s="1"/>
  <c r="B33" i="7" l="1"/>
  <c r="B34" i="7" s="1"/>
  <c r="B35" i="7" l="1"/>
  <c r="B37" i="7" s="1"/>
  <c r="B38" i="7" s="1"/>
  <c r="B39" i="7" l="1"/>
</calcChain>
</file>

<file path=xl/sharedStrings.xml><?xml version="1.0" encoding="utf-8"?>
<sst xmlns="http://schemas.openxmlformats.org/spreadsheetml/2006/main" count="236" uniqueCount="140">
  <si>
    <t>更新者</t>
    <rPh sb="0" eb="3">
      <t>コウシンシャ</t>
    </rPh>
    <phoneticPr fontId="4"/>
  </si>
  <si>
    <t>最終更新日</t>
    <rPh sb="0" eb="2">
      <t>サイシュウ</t>
    </rPh>
    <rPh sb="2" eb="5">
      <t>コウシンビ</t>
    </rPh>
    <phoneticPr fontId="4"/>
  </si>
  <si>
    <t>履歴</t>
    <rPh sb="0" eb="2">
      <t>リレキ</t>
    </rPh>
    <phoneticPr fontId="4"/>
  </si>
  <si>
    <t>作成者</t>
    <rPh sb="0" eb="3">
      <t>サクセイシャ</t>
    </rPh>
    <phoneticPr fontId="4"/>
  </si>
  <si>
    <t>作成日</t>
    <rPh sb="0" eb="3">
      <t>サクセイビ</t>
    </rPh>
    <phoneticPr fontId="4"/>
  </si>
  <si>
    <t>更新履歴</t>
    <rPh sb="0" eb="2">
      <t>コウシン</t>
    </rPh>
    <rPh sb="2" eb="4">
      <t>リレキ</t>
    </rPh>
    <phoneticPr fontId="4"/>
  </si>
  <si>
    <t>№</t>
    <phoneticPr fontId="4"/>
  </si>
  <si>
    <t>更新日付</t>
    <rPh sb="0" eb="2">
      <t>コウシン</t>
    </rPh>
    <rPh sb="2" eb="4">
      <t>ヒヅケ</t>
    </rPh>
    <phoneticPr fontId="4"/>
  </si>
  <si>
    <t>更新資料（シート名）</t>
    <rPh sb="0" eb="2">
      <t>コウシン</t>
    </rPh>
    <rPh sb="2" eb="4">
      <t>シリョウ</t>
    </rPh>
    <rPh sb="8" eb="9">
      <t>メイ</t>
    </rPh>
    <phoneticPr fontId="4"/>
  </si>
  <si>
    <t>更新内容</t>
    <rPh sb="0" eb="2">
      <t>コウシン</t>
    </rPh>
    <rPh sb="2" eb="4">
      <t>ナイヨウ</t>
    </rPh>
    <phoneticPr fontId="4"/>
  </si>
  <si>
    <t>更新者名</t>
    <rPh sb="0" eb="3">
      <t>コウシンシャ</t>
    </rPh>
    <rPh sb="3" eb="4">
      <t>メイ</t>
    </rPh>
    <phoneticPr fontId="4"/>
  </si>
  <si>
    <t>備考</t>
    <rPh sb="0" eb="2">
      <t>ビコウ</t>
    </rPh>
    <phoneticPr fontId="4"/>
  </si>
  <si>
    <t>富士通</t>
    <rPh sb="0" eb="3">
      <t>フジツウ</t>
    </rPh>
    <phoneticPr fontId="4"/>
  </si>
  <si>
    <t>第1版</t>
    <rPh sb="0" eb="1">
      <t>ダイ</t>
    </rPh>
    <rPh sb="2" eb="3">
      <t>ハン</t>
    </rPh>
    <phoneticPr fontId="4"/>
  </si>
  <si>
    <t>全シート</t>
    <rPh sb="0" eb="1">
      <t>ゼン</t>
    </rPh>
    <phoneticPr fontId="4"/>
  </si>
  <si>
    <t>初版</t>
    <rPh sb="0" eb="2">
      <t>ショハン</t>
    </rPh>
    <phoneticPr fontId="4"/>
  </si>
  <si>
    <t>ユーザインタフェース
設計書</t>
    <rPh sb="11" eb="13">
      <t>セッケイ</t>
    </rPh>
    <phoneticPr fontId="4"/>
  </si>
  <si>
    <t>　ファイル定義</t>
    <rPh sb="5" eb="7">
      <t>テイギ</t>
    </rPh>
    <phoneticPr fontId="4"/>
  </si>
  <si>
    <t>　文字コード</t>
    <rPh sb="1" eb="3">
      <t>モジ</t>
    </rPh>
    <phoneticPr fontId="4"/>
  </si>
  <si>
    <t>Shift-JIS</t>
  </si>
  <si>
    <t>　補足説明</t>
    <rPh sb="1" eb="3">
      <t>ホソク</t>
    </rPh>
    <rPh sb="3" eb="5">
      <t>セツメイ</t>
    </rPh>
    <phoneticPr fontId="4"/>
  </si>
  <si>
    <t>　ファイル名</t>
    <rPh sb="5" eb="6">
      <t>メイ</t>
    </rPh>
    <phoneticPr fontId="4"/>
  </si>
  <si>
    <t>　改行コード</t>
    <rPh sb="1" eb="3">
      <t>カイギョウ</t>
    </rPh>
    <phoneticPr fontId="4"/>
  </si>
  <si>
    <t>　レコード物理サイズ</t>
    <rPh sb="5" eb="7">
      <t>ブツリ</t>
    </rPh>
    <phoneticPr fontId="4"/>
  </si>
  <si>
    <t>Byte</t>
    <phoneticPr fontId="4"/>
  </si>
  <si>
    <t>※Type ⇒ N：全角文字、X：半角英数、9：十進数、±9：外部十進数、S9:内部十進数、9C3：パック型十進数、S9C3：パック型内部十進数</t>
    <rPh sb="10" eb="12">
      <t>ゼンカク</t>
    </rPh>
    <rPh sb="12" eb="14">
      <t>モジ</t>
    </rPh>
    <rPh sb="17" eb="19">
      <t>ハンカク</t>
    </rPh>
    <rPh sb="19" eb="21">
      <t>エイスウ</t>
    </rPh>
    <rPh sb="24" eb="25">
      <t>ジュウ</t>
    </rPh>
    <rPh sb="25" eb="27">
      <t>シンスウ</t>
    </rPh>
    <rPh sb="31" eb="33">
      <t>ガイブ</t>
    </rPh>
    <rPh sb="33" eb="36">
      <t>ジュウシンスウ</t>
    </rPh>
    <rPh sb="40" eb="42">
      <t>ナイブ</t>
    </rPh>
    <rPh sb="42" eb="44">
      <t>ジッシン</t>
    </rPh>
    <rPh sb="44" eb="45">
      <t>スウ</t>
    </rPh>
    <rPh sb="66" eb="67">
      <t>カタ</t>
    </rPh>
    <rPh sb="67" eb="69">
      <t>ナイブ</t>
    </rPh>
    <rPh sb="69" eb="71">
      <t>ジッシン</t>
    </rPh>
    <rPh sb="71" eb="72">
      <t>スウ</t>
    </rPh>
    <phoneticPr fontId="4"/>
  </si>
  <si>
    <t>No</t>
    <phoneticPr fontId="4"/>
  </si>
  <si>
    <t>項目論理名称（和名）</t>
    <rPh sb="0" eb="2">
      <t>コウモク</t>
    </rPh>
    <rPh sb="2" eb="4">
      <t>ロンリ</t>
    </rPh>
    <rPh sb="4" eb="6">
      <t>メイショウ</t>
    </rPh>
    <rPh sb="7" eb="9">
      <t>ワメイ</t>
    </rPh>
    <phoneticPr fontId="4"/>
  </si>
  <si>
    <t>項目論理名称（英名）</t>
    <rPh sb="0" eb="2">
      <t>コウモク</t>
    </rPh>
    <rPh sb="2" eb="4">
      <t>ロンリ</t>
    </rPh>
    <rPh sb="4" eb="6">
      <t>メイショウ</t>
    </rPh>
    <rPh sb="7" eb="9">
      <t>エイメイ</t>
    </rPh>
    <phoneticPr fontId="4"/>
  </si>
  <si>
    <t>繰り返し数</t>
    <rPh sb="0" eb="1">
      <t>ク</t>
    </rPh>
    <rPh sb="2" eb="3">
      <t>カエ</t>
    </rPh>
    <rPh sb="4" eb="5">
      <t>スウ</t>
    </rPh>
    <phoneticPr fontId="4"/>
  </si>
  <si>
    <t>階層レベル</t>
    <rPh sb="0" eb="2">
      <t>カイソウ</t>
    </rPh>
    <phoneticPr fontId="4"/>
  </si>
  <si>
    <t>桁数
整数</t>
    <rPh sb="0" eb="2">
      <t>ケタスウ</t>
    </rPh>
    <rPh sb="3" eb="5">
      <t>セイスウ</t>
    </rPh>
    <phoneticPr fontId="4"/>
  </si>
  <si>
    <t>桁数
小数</t>
    <rPh sb="0" eb="2">
      <t>ケタスウ</t>
    </rPh>
    <rPh sb="3" eb="5">
      <t>ショウスウ</t>
    </rPh>
    <phoneticPr fontId="4"/>
  </si>
  <si>
    <t>位置</t>
    <rPh sb="0" eb="2">
      <t>イチ</t>
    </rPh>
    <phoneticPr fontId="4"/>
  </si>
  <si>
    <t>有効桁
ﾌｫｰﾏｯﾄ</t>
    <rPh sb="0" eb="2">
      <t>ユウコウ</t>
    </rPh>
    <rPh sb="2" eb="3">
      <t>ケタ</t>
    </rPh>
    <phoneticPr fontId="4"/>
  </si>
  <si>
    <t>初期値</t>
    <rPh sb="0" eb="3">
      <t>ショキチ</t>
    </rPh>
    <phoneticPr fontId="4"/>
  </si>
  <si>
    <t>項目説明</t>
    <rPh sb="0" eb="2">
      <t>コウモク</t>
    </rPh>
    <rPh sb="2" eb="4">
      <t>セツメイ</t>
    </rPh>
    <phoneticPr fontId="4"/>
  </si>
  <si>
    <t>X</t>
  </si>
  <si>
    <t>全桁有効</t>
    <phoneticPr fontId="4"/>
  </si>
  <si>
    <t>SPACE</t>
    <phoneticPr fontId="4"/>
  </si>
  <si>
    <t>サブシステム分類</t>
    <phoneticPr fontId="4"/>
  </si>
  <si>
    <t>ドキュメント ID</t>
    <phoneticPr fontId="4"/>
  </si>
  <si>
    <t>インターフェース項目定義</t>
    <rPh sb="8" eb="10">
      <t>コウモク</t>
    </rPh>
    <rPh sb="10" eb="12">
      <t>テイギ</t>
    </rPh>
    <phoneticPr fontId="4"/>
  </si>
  <si>
    <t>必須</t>
    <rPh sb="0" eb="2">
      <t>ヒッス</t>
    </rPh>
    <phoneticPr fontId="4"/>
  </si>
  <si>
    <t>ソート優先順</t>
    <rPh sb="3" eb="5">
      <t>ユウセン</t>
    </rPh>
    <rPh sb="5" eb="6">
      <t>ジュン</t>
    </rPh>
    <phoneticPr fontId="4"/>
  </si>
  <si>
    <t>ソート並び</t>
    <rPh sb="3" eb="4">
      <t>ナラ</t>
    </rPh>
    <phoneticPr fontId="4"/>
  </si>
  <si>
    <t>符号正</t>
    <rPh sb="0" eb="2">
      <t>フゴウ</t>
    </rPh>
    <rPh sb="2" eb="3">
      <t>セイ</t>
    </rPh>
    <phoneticPr fontId="4"/>
  </si>
  <si>
    <t>符号負</t>
    <rPh sb="0" eb="2">
      <t>フゴウ</t>
    </rPh>
    <rPh sb="2" eb="3">
      <t>フ</t>
    </rPh>
    <phoneticPr fontId="4"/>
  </si>
  <si>
    <t>セット方法</t>
    <rPh sb="3" eb="5">
      <t>ホウホウ</t>
    </rPh>
    <phoneticPr fontId="4"/>
  </si>
  <si>
    <t>前詰</t>
  </si>
  <si>
    <t>商品勘定</t>
    <rPh sb="0" eb="2">
      <t>ショウヒン</t>
    </rPh>
    <rPh sb="2" eb="4">
      <t>カンジョウ</t>
    </rPh>
    <phoneticPr fontId="4"/>
  </si>
  <si>
    <t>富士通）塩見</t>
    <rPh sb="0" eb="3">
      <t>フジツウ</t>
    </rPh>
    <rPh sb="4" eb="6">
      <t>シオミ</t>
    </rPh>
    <phoneticPr fontId="4"/>
  </si>
  <si>
    <t>固定長ラインシーケンシャル</t>
  </si>
  <si>
    <t>楽天Edy</t>
    <rPh sb="0" eb="2">
      <t>ラクテン</t>
    </rPh>
    <phoneticPr fontId="4"/>
  </si>
  <si>
    <t>レコード区分</t>
    <rPh sb="4" eb="6">
      <t>クブン</t>
    </rPh>
    <phoneticPr fontId="4"/>
  </si>
  <si>
    <t>GCAN加盟店コード</t>
    <rPh sb="4" eb="6">
      <t>カメイ</t>
    </rPh>
    <rPh sb="6" eb="7">
      <t>テン</t>
    </rPh>
    <phoneticPr fontId="4"/>
  </si>
  <si>
    <t>電子マネー識別子</t>
    <rPh sb="0" eb="2">
      <t>デンシ</t>
    </rPh>
    <rPh sb="5" eb="8">
      <t>シキベツシ</t>
    </rPh>
    <phoneticPr fontId="4"/>
  </si>
  <si>
    <t>作成年月日時</t>
    <rPh sb="0" eb="2">
      <t>サクセイ</t>
    </rPh>
    <rPh sb="2" eb="3">
      <t>ネン</t>
    </rPh>
    <rPh sb="3" eb="4">
      <t>ガツ</t>
    </rPh>
    <rPh sb="5" eb="6">
      <t>ジ</t>
    </rPh>
    <phoneticPr fontId="4"/>
  </si>
  <si>
    <t>集計対象年月日</t>
    <rPh sb="0" eb="2">
      <t>シュウケイ</t>
    </rPh>
    <rPh sb="2" eb="4">
      <t>タイショウ</t>
    </rPh>
    <rPh sb="4" eb="7">
      <t>ネンガッピ</t>
    </rPh>
    <phoneticPr fontId="4"/>
  </si>
  <si>
    <t>締め対象日</t>
    <rPh sb="0" eb="1">
      <t>シ</t>
    </rPh>
    <rPh sb="2" eb="4">
      <t>タイショウ</t>
    </rPh>
    <rPh sb="4" eb="5">
      <t>ビ</t>
    </rPh>
    <phoneticPr fontId="4"/>
  </si>
  <si>
    <t>POS号機情報-店舗番号</t>
    <rPh sb="3" eb="5">
      <t>ゴウキ</t>
    </rPh>
    <rPh sb="5" eb="7">
      <t>ジョウホウ</t>
    </rPh>
    <rPh sb="8" eb="10">
      <t>テンポ</t>
    </rPh>
    <rPh sb="10" eb="12">
      <t>バンゴウ</t>
    </rPh>
    <phoneticPr fontId="4"/>
  </si>
  <si>
    <t>POS号機情報-号機番号</t>
    <rPh sb="3" eb="5">
      <t>ゴウキ</t>
    </rPh>
    <rPh sb="5" eb="7">
      <t>ジョウホウ</t>
    </rPh>
    <rPh sb="8" eb="10">
      <t>ゴウキ</t>
    </rPh>
    <rPh sb="10" eb="12">
      <t>バンゴウ</t>
    </rPh>
    <phoneticPr fontId="4"/>
  </si>
  <si>
    <t>データ件数</t>
    <rPh sb="3" eb="5">
      <t>ケンスウ</t>
    </rPh>
    <phoneticPr fontId="4"/>
  </si>
  <si>
    <t>YYYYMMDD方式</t>
    <rPh sb="8" eb="10">
      <t>ホウシキ</t>
    </rPh>
    <phoneticPr fontId="4"/>
  </si>
  <si>
    <t>YYYYMMDDHHMMSS方式</t>
    <rPh sb="14" eb="16">
      <t>ホウシキ</t>
    </rPh>
    <phoneticPr fontId="4"/>
  </si>
  <si>
    <t>支払先ID/請求先ID</t>
    <rPh sb="0" eb="2">
      <t>シハライ</t>
    </rPh>
    <rPh sb="2" eb="3">
      <t>サキ</t>
    </rPh>
    <rPh sb="6" eb="8">
      <t>セイキュウ</t>
    </rPh>
    <rPh sb="8" eb="9">
      <t>サキ</t>
    </rPh>
    <phoneticPr fontId="4"/>
  </si>
  <si>
    <t>EM－ID</t>
    <phoneticPr fontId="4"/>
  </si>
  <si>
    <t>Edy取引通番</t>
    <rPh sb="3" eb="5">
      <t>トリヒキ</t>
    </rPh>
    <rPh sb="5" eb="7">
      <t>ツウバン</t>
    </rPh>
    <phoneticPr fontId="4"/>
  </si>
  <si>
    <t>Edy番号</t>
    <rPh sb="3" eb="5">
      <t>バンゴウ</t>
    </rPh>
    <phoneticPr fontId="4"/>
  </si>
  <si>
    <t>カード通番</t>
    <rPh sb="3" eb="5">
      <t>ツウバン</t>
    </rPh>
    <phoneticPr fontId="4"/>
  </si>
  <si>
    <t>ログ種別</t>
    <rPh sb="2" eb="4">
      <t>シュベツ</t>
    </rPh>
    <phoneticPr fontId="4"/>
  </si>
  <si>
    <t>営業日</t>
    <rPh sb="0" eb="3">
      <t>エイギョウビ</t>
    </rPh>
    <phoneticPr fontId="4"/>
  </si>
  <si>
    <t>取引年月日</t>
    <rPh sb="0" eb="2">
      <t>トリヒキ</t>
    </rPh>
    <rPh sb="2" eb="5">
      <t>ネンガッピ</t>
    </rPh>
    <phoneticPr fontId="4"/>
  </si>
  <si>
    <t>取引時刻</t>
    <rPh sb="0" eb="2">
      <t>トリヒキ</t>
    </rPh>
    <rPh sb="2" eb="4">
      <t>ジコク</t>
    </rPh>
    <phoneticPr fontId="4"/>
  </si>
  <si>
    <t>取引金額</t>
    <rPh sb="0" eb="2">
      <t>トリヒキ</t>
    </rPh>
    <rPh sb="2" eb="4">
      <t>キンガク</t>
    </rPh>
    <phoneticPr fontId="4"/>
  </si>
  <si>
    <t>アラームFLG</t>
    <phoneticPr fontId="4"/>
  </si>
  <si>
    <t>HHMMSS方式</t>
    <rPh sb="6" eb="8">
      <t>ホウシキ</t>
    </rPh>
    <phoneticPr fontId="4"/>
  </si>
  <si>
    <t>加盟店ID</t>
    <rPh sb="0" eb="2">
      <t>カメイ</t>
    </rPh>
    <rPh sb="2" eb="3">
      <t>テン</t>
    </rPh>
    <phoneticPr fontId="4"/>
  </si>
  <si>
    <t>上位端末ID</t>
    <rPh sb="0" eb="2">
      <t>ジョウイ</t>
    </rPh>
    <rPh sb="2" eb="4">
      <t>タンマツ</t>
    </rPh>
    <phoneticPr fontId="4"/>
  </si>
  <si>
    <t>ドキュメント名</t>
    <phoneticPr fontId="4"/>
  </si>
  <si>
    <t>　ファイル拡張子</t>
    <phoneticPr fontId="4"/>
  </si>
  <si>
    <t>　ファイルID</t>
    <phoneticPr fontId="4"/>
  </si>
  <si>
    <t>Byte</t>
    <phoneticPr fontId="4"/>
  </si>
  <si>
    <t>Type</t>
    <phoneticPr fontId="4"/>
  </si>
  <si>
    <t>０８：Ｅｄｙ（メイサイ）</t>
    <phoneticPr fontId="4"/>
  </si>
  <si>
    <t>１：利用
２：入金</t>
    <rPh sb="1" eb="3">
      <t>リヨウ</t>
    </rPh>
    <rPh sb="6" eb="8">
      <t>ニュウキン</t>
    </rPh>
    <phoneticPr fontId="4"/>
  </si>
  <si>
    <t>０：正常データ
１：強制残高参照結果OK
３：強制残高参照結果不明
４：アラーム取引データ
５：書込
６：未書込
７：時効</t>
    <rPh sb="1" eb="3">
      <t>セイジョウ</t>
    </rPh>
    <rPh sb="10" eb="12">
      <t>キョウセイ</t>
    </rPh>
    <rPh sb="12" eb="14">
      <t>ザンダカ</t>
    </rPh>
    <rPh sb="14" eb="16">
      <t>サンショウ</t>
    </rPh>
    <rPh sb="16" eb="18">
      <t>ケッカ</t>
    </rPh>
    <rPh sb="31" eb="33">
      <t>フメイ</t>
    </rPh>
    <rPh sb="40" eb="42">
      <t>トリヒキ</t>
    </rPh>
    <rPh sb="48" eb="50">
      <t>ショコミ</t>
    </rPh>
    <rPh sb="53" eb="54">
      <t>ミ</t>
    </rPh>
    <rPh sb="59" eb="61">
      <t>ジコウ</t>
    </rPh>
    <phoneticPr fontId="4"/>
  </si>
  <si>
    <t>ヘッダーレコード</t>
    <phoneticPr fontId="4"/>
  </si>
  <si>
    <t>１：ヘッダーレコード</t>
    <phoneticPr fontId="4"/>
  </si>
  <si>
    <t>データレコード</t>
  </si>
  <si>
    <t>予備</t>
    <rPh sb="0" eb="2">
      <t>ヨビ</t>
    </rPh>
    <phoneticPr fontId="4"/>
  </si>
  <si>
    <t>トレーラーレコード</t>
  </si>
  <si>
    <t>３：トレーラーレコード</t>
    <phoneticPr fontId="4"/>
  </si>
  <si>
    <t>当該売上データのＥｄｙカード（媒体）内での取引通番</t>
    <phoneticPr fontId="4"/>
  </si>
  <si>
    <t>２：データレコード</t>
    <phoneticPr fontId="4"/>
  </si>
  <si>
    <t>別紙外部I/F一覧に記載</t>
    <phoneticPr fontId="4"/>
  </si>
  <si>
    <t>前方ゼロ埋め</t>
    <rPh sb="0" eb="2">
      <t>ゼンポウ</t>
    </rPh>
    <phoneticPr fontId="4"/>
  </si>
  <si>
    <t>後方スペース埋め</t>
    <rPh sb="0" eb="2">
      <t>コウホウ</t>
    </rPh>
    <phoneticPr fontId="4"/>
  </si>
  <si>
    <t>後詰</t>
  </si>
  <si>
    <t>サービス契約単位に採番される加盟店識別コード。</t>
    <phoneticPr fontId="4"/>
  </si>
  <si>
    <t>還元データ作成対象日
対象日の０：００～２３：５９（ＰｉＴａＰａは１：００～２４：５９）の間に上位中継センターで受信した取引について還元データ作成。</t>
    <phoneticPr fontId="4"/>
  </si>
  <si>
    <t>楽天Edy が支払先/請求先ごとに採番。支払先ＩＤ：利用。請求先ＩＤ：入金。（代表加盟店を通しての間接加盟の場合は、代表加盟店が楽天Ｅｄｙから付与されたＩＤ。）</t>
    <phoneticPr fontId="4"/>
  </si>
  <si>
    <t>８桁の加盟店ＩＤ</t>
    <phoneticPr fontId="4"/>
  </si>
  <si>
    <t>８～１６桁の上位端末ＩＤ(Ｒ／Ｗ識別ＩＤ。端末メーカー採番。弊社設置Ｒ／Ｗは８桁。）</t>
    <phoneticPr fontId="4"/>
  </si>
  <si>
    <t>Ｅｄｙアプリに付与されるＩＤ。</t>
    <phoneticPr fontId="4"/>
  </si>
  <si>
    <t>当該売上データのＥｄｙアプリ内での取引通番。</t>
    <phoneticPr fontId="4"/>
  </si>
  <si>
    <t>当該売上データが利用されたＥｄｙカード（媒体）の番号。</t>
    <phoneticPr fontId="4"/>
  </si>
  <si>
    <t>該当営業日</t>
    <phoneticPr fontId="4"/>
  </si>
  <si>
    <t>当該売上データ計上日</t>
    <phoneticPr fontId="4"/>
  </si>
  <si>
    <t>当該売上データ計上時刻</t>
    <phoneticPr fontId="4"/>
  </si>
  <si>
    <t>売上金額</t>
    <phoneticPr fontId="4"/>
  </si>
  <si>
    <t>Ｒ／Ｗ接続先上位機器(ＰＯＳレジなど) の号機情報-店舗番号。</t>
    <phoneticPr fontId="4"/>
  </si>
  <si>
    <t>Ｒ／Ｗ接続先上位機器(ＰＯＳレジなど) の号機情報-号機番号。</t>
    <phoneticPr fontId="4"/>
  </si>
  <si>
    <t>明細部レコード件数。</t>
    <phoneticPr fontId="4"/>
  </si>
  <si>
    <t>該当締め日
アラームＦＬＧが「４：アラーム取引データ or ６：未書込 or ７：時効」で、ログ種別が「１：利用」の場合は、オールゼロがセットされる。</t>
    <phoneticPr fontId="4"/>
  </si>
  <si>
    <t>ファイル作成日時
通常、「5.集計対象年月日」の翌日。</t>
    <phoneticPr fontId="4"/>
  </si>
  <si>
    <t>作成対象日における取引件数が０件の場合は、ヘッダーレコード・トレーラーレコードのみ作成される。</t>
  </si>
  <si>
    <t>KAMEITEN_ID</t>
    <phoneticPr fontId="4"/>
  </si>
  <si>
    <t>EM_ID</t>
    <phoneticPr fontId="4"/>
  </si>
  <si>
    <t>JYOUI_TERMINAL_ID</t>
    <phoneticPr fontId="4"/>
  </si>
  <si>
    <t>TORIHIKI_YMD</t>
    <phoneticPr fontId="4"/>
  </si>
  <si>
    <t>TORIHIKI_TIME</t>
    <phoneticPr fontId="4"/>
  </si>
  <si>
    <t>RECORDKBN</t>
  </si>
  <si>
    <t>GCAN_KAMEITEN_CD</t>
  </si>
  <si>
    <t>EMONEY_ID</t>
  </si>
  <si>
    <t>CREATE_DATE</t>
  </si>
  <si>
    <t>SYUKEITAISHOYMD</t>
  </si>
  <si>
    <t>RSV</t>
  </si>
  <si>
    <t>TORIHIKISAKI_ID</t>
  </si>
  <si>
    <t>SHIME_TAISHO_YMD</t>
  </si>
  <si>
    <t>EDY_NO</t>
  </si>
  <si>
    <t>CARD_NO</t>
  </si>
  <si>
    <t>LOG_SHUBETSU</t>
  </si>
  <si>
    <t>EIGYOYMD</t>
  </si>
  <si>
    <t>TORIHIKIGK</t>
  </si>
  <si>
    <t>ALARM_FLG</t>
  </si>
  <si>
    <t>POS_TENPO</t>
  </si>
  <si>
    <t>POS_GOUKI</t>
  </si>
  <si>
    <t>DATA_KENSU</t>
  </si>
  <si>
    <t>DDY_DEAL_SEQ</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</si>
</sst>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30">
    <numFmt numFmtId="41" formatCode="_ * #,##0_ ;_ * \-#,##0_ ;_ * &quot;-&quot;_ ;_ @_ "/>
    <numFmt numFmtId="43" formatCode="_ * #,##0.00_ ;_ * \-#,##0.00_ ;_ * &quot;-&quot;??_ ;_ @_ "/>
    <numFmt numFmtId="176" formatCode="&quot;第&quot;0&quot;版&quot;"/>
    <numFmt numFmtId="177" formatCode="0_ "/>
    <numFmt numFmtId="178" formatCode="yyyy/mm/dd"/>
    <numFmt numFmtId="179" formatCode="#,##0_ "/>
    <numFmt numFmtId="180" formatCode="0.0%"/>
    <numFmt numFmtId="181" formatCode="0_ ;[Red]\-0\ "/>
    <numFmt numFmtId="182" formatCode="#,##0;\-#,##0;&quot;-&quot;"/>
    <numFmt numFmtId="183" formatCode="&quot;¥&quot;#,##0.00;[Red]&quot;¥&quot;&quot;¥&quot;&quot;¥&quot;\-#,##0.00"/>
    <numFmt numFmtId="184" formatCode="_(&quot;$&quot;* #,##0.00_);_(&quot;$&quot;* \(#,##0.00\);_(&quot;$&quot;* &quot;-&quot;??_);_(@_)"/>
    <numFmt numFmtId="185" formatCode="?"/>
    <numFmt numFmtId="186" formatCode="&quot;$&quot;#,##0_);\(&quot;$&quot;#,##0\)"/>
    <numFmt numFmtId="187" formatCode="&quot;$&quot;#,##0_);[Red]\(&quot;$&quot;#,##0\)"/>
    <numFmt numFmtId="188" formatCode="General_)"/>
    <numFmt numFmtId="189" formatCode="_(&quot;$&quot;* #,##0.0_);_(&quot;$&quot;* \(#,##0.0\);_(&quot;$&quot;* &quot;-&quot;??_);_(@_)"/>
    <numFmt numFmtId="190" formatCode=";;;"/>
    <numFmt numFmtId="191" formatCode="_ * #,##0_ ;_ * &quot;¥&quot;&quot;¥&quot;&quot;¥&quot;&quot;¥&quot;&quot;¥&quot;&quot;¥&quot;\-#,##0_ ;_ * &quot;-&quot;_ ;_ @_ "/>
    <numFmt numFmtId="192" formatCode="_ * #,##0.00_ ;_ * &quot;¥&quot;&quot;¥&quot;&quot;¥&quot;&quot;¥&quot;&quot;¥&quot;&quot;¥&quot;\-#,##0.00_ ;_ * &quot;-&quot;??_ ;_ @_ "/>
    <numFmt numFmtId="193" formatCode="&quot;¥&quot;&quot;¥&quot;&quot;¥&quot;&quot;¥&quot;&quot;¥&quot;&quot;¥&quot;&quot;¥&quot;\$#,##0_);[Red]&quot;¥&quot;&quot;¥&quot;&quot;¥&quot;&quot;¥&quot;&quot;¥&quot;&quot;¥&quot;&quot;¥&quot;\(&quot;¥&quot;&quot;¥&quot;&quot;¥&quot;&quot;¥&quot;&quot;¥&quot;&quot;¥&quot;&quot;¥&quot;\$#,##0&quot;¥&quot;&quot;¥&quot;&quot;¥&quot;&quot;¥&quot;&quot;¥&quot;&quot;¥&quot;&quot;¥&quot;\)"/>
    <numFmt numFmtId="194" formatCode="_(&quot;$&quot;* #,##0_);_(&quot;$&quot;* \(#,##0\);_(&quot;$&quot;* &quot;-&quot;_);_(@_)"/>
    <numFmt numFmtId="195" formatCode="#,##0_ ;[Red]\-#,##0\ "/>
    <numFmt numFmtId="196" formatCode="&quot;$&quot;#,##0.00_);[Red]\(&quot;$&quot;#,##0.00\)"/>
    <numFmt numFmtId="197" formatCode="0.00000_ "/>
    <numFmt numFmtId="198" formatCode="0_);\(0\)"/>
    <numFmt numFmtId="199" formatCode="_-* #,##0.0_-;\-* #,##0.0_-;_-* &quot;-&quot;??_-;_-@_-"/>
    <numFmt numFmtId="200" formatCode="#,##0.00_ ;[Red]\-#,##0.00\ "/>
    <numFmt numFmtId="201" formatCode="dd"/>
    <numFmt numFmtId="202" formatCode="#,##0.0&quot;人月&quot;"/>
    <numFmt numFmtId="203" formatCode="0_);[Red]\(0\)"/>
  </numFmts>
  <fonts count="82">
    <font>
      <sz val="11"/>
      <name val="ＭＳ Ｐゴシック"/>
      <family val="3"/>
      <charset val="128"/>
    </font>
    <font>
      <sz val="11"/>
      <name val="ＭＳ Ｐ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0"/>
      <name val="ＭＳ Ｐゴシック"/>
      <family val="3"/>
      <charset val="128"/>
    </font>
    <font>
      <b/>
      <sz val="12"/>
      <color indexed="16"/>
      <name val="ＭＳ Ｐゴシック"/>
      <family val="3"/>
      <charset val="128"/>
    </font>
    <font>
      <b/>
      <sz val="11"/>
      <color indexed="9"/>
      <name val="ＭＳ Ｐゴシック"/>
      <family val="3"/>
      <charset val="128"/>
    </font>
    <font>
      <sz val="11"/>
      <color indexed="9"/>
      <name val="ＭＳ Ｐゴシック"/>
      <family val="3"/>
      <charset val="128"/>
    </font>
    <font>
      <sz val="10"/>
      <name val="ＭＳ ゴシック"/>
      <family val="3"/>
      <charset val="128"/>
    </font>
    <font>
      <sz val="10"/>
      <name val="Arial"/>
      <family val="2"/>
    </font>
    <font>
      <b/>
      <sz val="18"/>
      <color indexed="12"/>
      <name val="ＭＳ ゴシック"/>
      <family val="3"/>
      <charset val="128"/>
    </font>
    <font>
      <sz val="11"/>
      <color indexed="8"/>
      <name val="ＭＳ Ｐゴシック"/>
      <family val="3"/>
      <charset val="128"/>
    </font>
    <font>
      <sz val="10"/>
      <name val="中ゴシックＢＢＢ"/>
      <family val="3"/>
      <charset val="128"/>
    </font>
    <font>
      <sz val="9"/>
      <color indexed="27"/>
      <name val="明朝"/>
      <family val="1"/>
      <charset val="128"/>
    </font>
    <font>
      <sz val="10"/>
      <name val="ＭＳ Ｐ明朝"/>
      <family val="1"/>
      <charset val="128"/>
    </font>
    <font>
      <b/>
      <sz val="11"/>
      <name val="Arial"/>
      <family val="2"/>
    </font>
    <font>
      <b/>
      <sz val="10"/>
      <name val="MS Sans Serif"/>
      <family val="2"/>
    </font>
    <font>
      <sz val="10"/>
      <color indexed="8"/>
      <name val="Arial"/>
      <family val="2"/>
    </font>
    <font>
      <sz val="9"/>
      <name val="Helv"/>
      <family val="2"/>
    </font>
    <font>
      <b/>
      <sz val="10"/>
      <name val="Helv"/>
      <family val="2"/>
    </font>
    <font>
      <b/>
      <sz val="12"/>
      <name val="Helv"/>
      <family val="2"/>
    </font>
    <font>
      <sz val="12"/>
      <name val="Helv"/>
      <family val="2"/>
    </font>
    <font>
      <sz val="10"/>
      <name val="MS Sans Serif"/>
      <family val="2"/>
    </font>
    <font>
      <sz val="11"/>
      <name val="ＭＳ ゴシック"/>
      <family val="3"/>
      <charset val="128"/>
    </font>
    <font>
      <sz val="10"/>
      <color indexed="0"/>
      <name val="MS Sans Serif"/>
      <family val="2"/>
    </font>
    <font>
      <sz val="12"/>
      <name val="ＭＳ ゴシック"/>
      <family val="3"/>
      <charset val="128"/>
    </font>
    <font>
      <sz val="11"/>
      <name val="ＭＳ Ｐ明朝"/>
      <family val="1"/>
      <charset val="128"/>
    </font>
    <font>
      <sz val="9"/>
      <name val="Times New Roman"/>
      <family val="1"/>
    </font>
    <font>
      <sz val="9"/>
      <name val="ＭＳ 明朝"/>
      <family val="1"/>
      <charset val="128"/>
    </font>
    <font>
      <sz val="8"/>
      <name val="Arial"/>
      <family val="2"/>
    </font>
    <font>
      <b/>
      <sz val="12"/>
      <name val="Arial"/>
      <family val="2"/>
    </font>
    <font>
      <sz val="14"/>
      <name val="ＭＳ ゴシック"/>
      <family val="3"/>
      <charset val="128"/>
    </font>
    <font>
      <b/>
      <sz val="11"/>
      <name val="Helv"/>
      <family val="2"/>
    </font>
    <font>
      <sz val="8"/>
      <color indexed="16"/>
      <name val="Century Schoolbook"/>
      <family val="1"/>
    </font>
    <font>
      <b/>
      <i/>
      <sz val="10"/>
      <name val="Times New Roman"/>
      <family val="1"/>
    </font>
    <font>
      <b/>
      <sz val="9"/>
      <name val="Times New Roman"/>
      <family val="1"/>
    </font>
    <font>
      <sz val="11"/>
      <color indexed="48"/>
      <name val="ＭＳ Ｐゴシック"/>
      <family val="3"/>
      <charset val="128"/>
    </font>
    <font>
      <sz val="22"/>
      <name val="ＭＳ 明朝"/>
      <family val="1"/>
      <charset val="128"/>
    </font>
    <font>
      <b/>
      <sz val="18"/>
      <color indexed="56"/>
      <name val="ＭＳ Ｐゴシック"/>
      <family val="3"/>
      <charset val="128"/>
    </font>
    <font>
      <sz val="12"/>
      <name val="中ゴシック体"/>
      <family val="3"/>
      <charset val="128"/>
    </font>
    <font>
      <sz val="9"/>
      <name val="ＭＳ 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0"/>
      <name val="Geneva"/>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2"/>
      <name val="ＭＳ 明朝"/>
      <family val="1"/>
      <charset val="128"/>
    </font>
    <font>
      <sz val="9"/>
      <color indexed="18"/>
      <name val="ＭＳ 明朝"/>
      <family val="1"/>
      <charset val="128"/>
    </font>
    <font>
      <b/>
      <sz val="11"/>
      <color indexed="8"/>
      <name val="ＭＳ Ｐゴシック"/>
      <family val="3"/>
      <charset val="128"/>
    </font>
    <font>
      <b/>
      <sz val="11"/>
      <color indexed="63"/>
      <name val="ＭＳ Ｐゴシック"/>
      <family val="3"/>
      <charset val="128"/>
    </font>
    <font>
      <sz val="11"/>
      <name val="明朝"/>
      <family val="1"/>
      <charset val="128"/>
    </font>
    <font>
      <i/>
      <sz val="11"/>
      <color indexed="23"/>
      <name val="ＭＳ Ｐゴシック"/>
      <family val="3"/>
      <charset val="128"/>
    </font>
    <font>
      <b/>
      <i/>
      <sz val="14"/>
      <name val="中ゴシックＢＢＢ"/>
      <family val="3"/>
      <charset val="128"/>
    </font>
    <font>
      <sz val="11"/>
      <color indexed="62"/>
      <name val="ＭＳ Ｐゴシック"/>
      <family val="3"/>
      <charset val="128"/>
    </font>
    <font>
      <sz val="12"/>
      <name val="ＭＳ Ｐゴシック"/>
      <family val="3"/>
      <charset val="128"/>
    </font>
    <font>
      <sz val="8"/>
      <color indexed="8"/>
      <name val="HGSｺﾞｼｯｸM"/>
      <family val="3"/>
      <charset val="128"/>
    </font>
    <font>
      <sz val="10"/>
      <name val="中ゴシック体"/>
      <family val="3"/>
      <charset val="128"/>
    </font>
    <font>
      <u/>
      <sz val="11"/>
      <color indexed="36"/>
      <name val="ＭＳ Ｐゴシック"/>
      <family val="3"/>
      <charset val="128"/>
    </font>
    <font>
      <sz val="14"/>
      <name val="ＭＳ 明朝"/>
      <family val="1"/>
      <charset val="128"/>
    </font>
    <font>
      <b/>
      <i/>
      <sz val="11"/>
      <name val="ＭＳ Ｐゴシック"/>
      <family val="3"/>
      <charset val="128"/>
    </font>
    <font>
      <sz val="11"/>
      <color indexed="17"/>
      <name val="ＭＳ Ｐゴシック"/>
      <family val="3"/>
      <charset val="128"/>
    </font>
    <font>
      <b/>
      <sz val="10"/>
      <name val="Arial"/>
      <family val="2"/>
    </font>
    <font>
      <b/>
      <sz val="14"/>
      <name val="Arial"/>
      <family val="2"/>
    </font>
    <font>
      <sz val="20"/>
      <name val="HP Logo LG"/>
      <family val="2"/>
    </font>
    <font>
      <b/>
      <sz val="10"/>
      <color indexed="12"/>
      <name val="Times New Roman"/>
      <family val="1"/>
    </font>
    <font>
      <sz val="10"/>
      <color indexed="12"/>
      <name val="Arial"/>
      <family val="2"/>
    </font>
    <font>
      <b/>
      <sz val="8"/>
      <name val="Arial"/>
      <family val="2"/>
    </font>
    <font>
      <sz val="12"/>
      <name val="Arial"/>
      <family val="2"/>
    </font>
    <font>
      <sz val="11"/>
      <color theme="1"/>
      <name val="ＭＳ Ｐゴシック"/>
      <family val="3"/>
      <charset val="128"/>
      <scheme val="minor"/>
    </font>
    <font>
      <sz val="10"/>
      <color theme="1"/>
      <name val="ＭＳ ゴシック"/>
      <family val="3"/>
      <charset val="128"/>
    </font>
    <font>
      <sz val="9"/>
      <name val="ＭＳ Ｐゴシック"/>
      <family val="3"/>
      <charset val="128"/>
      <scheme val="major"/>
    </font>
    <font>
      <sz val="11"/>
      <name val="ＭＳ Ｐゴシック"/>
      <family val="3"/>
      <charset val="128"/>
      <scheme val="major"/>
    </font>
    <font>
      <sz val="10"/>
      <name val="ＭＳ Ｐゴシック"/>
      <family val="3"/>
      <charset val="128"/>
      <scheme val="major"/>
    </font>
    <font>
      <b/>
      <sz val="10"/>
      <name val="ＭＳ Ｐゴシック"/>
      <family val="3"/>
      <charset val="128"/>
      <scheme val="major"/>
    </font>
    <font>
      <sz val="10"/>
      <color rgb="FFFF0000"/>
      <name val="ＭＳ Ｐゴシック"/>
      <family val="3"/>
      <charset val="128"/>
      <scheme val="major"/>
    </font>
    <font>
      <sz val="9"/>
      <color indexed="52"/>
      <name val="ＭＳ Ｐゴシック"/>
      <family val="3"/>
      <charset val="128"/>
      <scheme val="major"/>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22"/>
        <bgColor indexed="64"/>
      </patternFill>
    </fill>
    <fill>
      <patternFill patternType="solid">
        <fgColor indexed="26"/>
        <bgColor indexed="64"/>
      </patternFill>
    </fill>
    <fill>
      <patternFill patternType="solid">
        <fgColor indexed="15"/>
        <bgColor indexed="64"/>
      </patternFill>
    </fill>
    <fill>
      <patternFill patternType="mediumGray">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0"/>
        <bgColor indexed="64"/>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patternFill>
    </fill>
    <fill>
      <patternFill patternType="solid">
        <fgColor indexed="9"/>
        <bgColor indexed="64"/>
      </patternFill>
    </fill>
    <fill>
      <patternFill patternType="lightGray"/>
    </fill>
    <fill>
      <patternFill patternType="solid">
        <fgColor indexed="31"/>
        <bgColor indexed="64"/>
      </patternFill>
    </fill>
    <fill>
      <patternFill patternType="solid">
        <fgColor indexed="44"/>
        <bgColor indexed="64"/>
      </patternFill>
    </fill>
    <fill>
      <patternFill patternType="solid">
        <fgColor rgb="FF99CCFF"/>
        <bgColor indexed="64"/>
      </patternFill>
    </fill>
    <fill>
      <patternFill patternType="solid">
        <fgColor theme="8" tint="0.79998168889431442"/>
        <bgColor indexed="64"/>
      </patternFill>
    </fill>
    <fill>
      <patternFill patternType="solid">
        <fgColor indexed="13"/>
        <bgColor indexed="64"/>
      </patternFill>
    </fill>
    <fill>
      <patternFill patternType="solid">
        <fgColor rgb="FFFFFF00"/>
        <bgColor indexed="64"/>
      </patternFill>
    </fill>
    <fill>
      <patternFill patternType="solid">
        <fgColor indexed="42"/>
        <bgColor indexed="42"/>
      </patternFill>
    </fill>
    <fill>
      <patternFill patternType="solid">
        <fgColor indexed="4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top/>
      <bottom style="thick">
        <color indexed="64"/>
      </bottom>
      <diagonal/>
    </border>
    <border>
      <left/>
      <right style="thin">
        <color indexed="64"/>
      </right>
      <top style="thin">
        <color indexed="64"/>
      </top>
      <bottom/>
      <diagonal/>
    </border>
    <border>
      <left style="dotted">
        <color indexed="64"/>
      </left>
      <right style="dotted">
        <color indexed="64"/>
      </right>
      <top style="dotted">
        <color indexed="64"/>
      </top>
      <bottom style="dotted">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s>
  <cellStyleXfs count="227">
    <xf numFmtId="0" fontId="0" fillId="0" borderId="0">
      <alignment vertical="center"/>
    </xf>
    <xf numFmtId="19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185" fontId="11" fillId="0" borderId="1">
      <alignment horizontal="right"/>
    </xf>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9" fillId="0" borderId="0"/>
    <xf numFmtId="0" fontId="13" fillId="0" borderId="0"/>
    <xf numFmtId="4" fontId="14" fillId="16" borderId="0" applyNumberFormat="0" applyBorder="0" applyAlignment="0" applyProtection="0">
      <alignment horizontal="left"/>
    </xf>
    <xf numFmtId="0" fontId="15" fillId="0" borderId="0">
      <alignment vertical="center" wrapText="1"/>
    </xf>
    <xf numFmtId="190" fontId="16" fillId="0" borderId="0" applyFont="0" applyFill="0" applyBorder="0" applyAlignment="0" applyProtection="0">
      <alignment horizontal="right"/>
    </xf>
    <xf numFmtId="186" fontId="17" fillId="0" borderId="2" applyAlignment="0" applyProtection="0"/>
    <xf numFmtId="182" fontId="18"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0" fontId="10"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0" fillId="0" borderId="0"/>
    <xf numFmtId="188" fontId="21"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38" fontId="23" fillId="0" borderId="0" applyFont="0" applyFill="0" applyBorder="0" applyAlignment="0" applyProtection="0"/>
    <xf numFmtId="20" fontId="1" fillId="0" borderId="0" applyFont="0" applyFill="0" applyBorder="0" applyAlignment="0" applyProtection="0"/>
    <xf numFmtId="193" fontId="24" fillId="0" borderId="0"/>
    <xf numFmtId="199" fontId="10" fillId="0" borderId="0" applyFont="0" applyFill="0" applyBorder="0" applyAlignment="0" applyProtection="0"/>
    <xf numFmtId="0" fontId="25" fillId="0" borderId="0" applyNumberFormat="0" applyFill="0" applyBorder="0" applyAlignment="0" applyProtection="0"/>
    <xf numFmtId="0" fontId="26" fillId="0" borderId="0" applyNumberFormat="0" applyFont="0" applyBorder="0" applyAlignment="0" applyProtection="0"/>
    <xf numFmtId="187" fontId="23" fillId="0" borderId="0" applyFont="0" applyFill="0" applyBorder="0" applyAlignment="0" applyProtection="0"/>
    <xf numFmtId="198" fontId="19" fillId="0" borderId="0" applyFont="0" applyFill="0" applyBorder="0" applyAlignment="0" applyProtection="0"/>
    <xf numFmtId="0" fontId="10" fillId="0" borderId="0" applyFont="0" applyFill="0" applyBorder="0" applyAlignment="0" applyProtection="0"/>
    <xf numFmtId="0" fontId="25" fillId="0" borderId="0" applyNumberFormat="0" applyFill="0" applyBorder="0" applyAlignment="0" applyProtection="0"/>
    <xf numFmtId="191" fontId="24" fillId="0" borderId="0"/>
    <xf numFmtId="14" fontId="18" fillId="0" borderId="0" applyFill="0" applyBorder="0" applyAlignment="0"/>
    <xf numFmtId="0" fontId="27" fillId="0" borderId="0"/>
    <xf numFmtId="192" fontId="24" fillId="0" borderId="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8" fillId="0" borderId="0">
      <alignment horizontal="left"/>
    </xf>
    <xf numFmtId="178" fontId="29" fillId="0" borderId="3"/>
    <xf numFmtId="38" fontId="30" fillId="17" borderId="0" applyNumberFormat="0" applyBorder="0" applyAlignment="0" applyProtection="0"/>
    <xf numFmtId="189" fontId="16" fillId="0" borderId="0" applyNumberFormat="0" applyFill="0" applyBorder="0" applyProtection="0">
      <alignment horizontal="right"/>
    </xf>
    <xf numFmtId="0" fontId="31" fillId="0" borderId="4" applyNumberFormat="0" applyAlignment="0" applyProtection="0">
      <alignment horizontal="left" vertical="center"/>
    </xf>
    <xf numFmtId="0" fontId="31" fillId="0" borderId="5">
      <alignment horizontal="left" vertical="center"/>
    </xf>
    <xf numFmtId="0" fontId="25" fillId="0" borderId="0" applyNumberFormat="0" applyFill="0" applyBorder="0" applyAlignment="0" applyProtection="0"/>
    <xf numFmtId="0" fontId="25" fillId="0" borderId="0" applyNumberFormat="0" applyFill="0" applyBorder="0" applyAlignment="0" applyProtection="0"/>
    <xf numFmtId="0" fontId="9" fillId="0" borderId="0" applyBorder="0"/>
    <xf numFmtId="10" fontId="30" fillId="18" borderId="1" applyNumberFormat="0" applyBorder="0" applyAlignment="0" applyProtection="0"/>
    <xf numFmtId="0" fontId="9" fillId="0" borderId="0"/>
    <xf numFmtId="201" fontId="32" fillId="19" borderId="1"/>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38" fontId="23" fillId="0" borderId="0" applyFont="0" applyFill="0" applyBorder="0" applyAlignment="0" applyProtection="0"/>
    <xf numFmtId="40" fontId="23" fillId="0" borderId="0" applyFont="0" applyFill="0" applyBorder="0" applyAlignment="0" applyProtection="0"/>
    <xf numFmtId="0" fontId="33" fillId="0" borderId="6"/>
    <xf numFmtId="187" fontId="23" fillId="0" borderId="0" applyFont="0" applyFill="0" applyBorder="0" applyAlignment="0" applyProtection="0"/>
    <xf numFmtId="196" fontId="23" fillId="0" borderId="0" applyFont="0" applyFill="0" applyBorder="0" applyAlignment="0" applyProtection="0"/>
    <xf numFmtId="183" fontId="1" fillId="0" borderId="0"/>
    <xf numFmtId="0" fontId="10" fillId="0" borderId="0"/>
    <xf numFmtId="180" fontId="10" fillId="0" borderId="0" applyFont="0" applyFill="0" applyBorder="0" applyAlignment="0" applyProtection="0"/>
    <xf numFmtId="0" fontId="10" fillId="0" borderId="0" applyFont="0" applyFill="0" applyBorder="0" applyAlignment="0" applyProtection="0"/>
    <xf numFmtId="199" fontId="10" fillId="0" borderId="0" applyFont="0" applyFill="0" applyBorder="0" applyAlignment="0" applyProtection="0"/>
    <xf numFmtId="10" fontId="10" fillId="0" borderId="0" applyFont="0" applyFill="0" applyBorder="0" applyAlignment="0" applyProtection="0"/>
    <xf numFmtId="0" fontId="10" fillId="0" borderId="0" applyFont="0" applyFill="0" applyBorder="0" applyAlignment="0" applyProtection="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4" fontId="28" fillId="0" borderId="0">
      <alignment horizontal="right"/>
    </xf>
    <xf numFmtId="0" fontId="23" fillId="0" borderId="0" applyNumberFormat="0" applyFont="0" applyFill="0" applyBorder="0" applyAlignment="0" applyProtection="0">
      <alignment horizontal="left"/>
    </xf>
    <xf numFmtId="15" fontId="23" fillId="0" borderId="0" applyFont="0" applyFill="0" applyBorder="0" applyAlignment="0" applyProtection="0"/>
    <xf numFmtId="4" fontId="23" fillId="0" borderId="0" applyFont="0" applyFill="0" applyBorder="0" applyAlignment="0" applyProtection="0"/>
    <xf numFmtId="0" fontId="17" fillId="0" borderId="6">
      <alignment horizontal="center"/>
    </xf>
    <xf numFmtId="3" fontId="23" fillId="0" borderId="0" applyFont="0" applyFill="0" applyBorder="0" applyAlignment="0" applyProtection="0"/>
    <xf numFmtId="0" fontId="23" fillId="20" borderId="0" applyNumberFormat="0" applyFont="0" applyBorder="0" applyAlignment="0" applyProtection="0"/>
    <xf numFmtId="4" fontId="34" fillId="0" borderId="0">
      <alignment horizontal="right"/>
    </xf>
    <xf numFmtId="0" fontId="35" fillId="0" borderId="0">
      <alignment horizontal="left"/>
    </xf>
    <xf numFmtId="0" fontId="33" fillId="0" borderId="0"/>
    <xf numFmtId="49" fontId="18" fillId="0" borderId="0" applyFill="0" applyBorder="0" applyAlignment="0"/>
    <xf numFmtId="0" fontId="10" fillId="0" borderId="0" applyFill="0" applyBorder="0" applyAlignment="0"/>
    <xf numFmtId="0" fontId="10" fillId="0" borderId="0" applyFill="0" applyBorder="0" applyAlignment="0"/>
    <xf numFmtId="0" fontId="36" fillId="0" borderId="0">
      <alignment horizontal="center"/>
    </xf>
    <xf numFmtId="0" fontId="25" fillId="0" borderId="0" applyNumberFormat="0" applyFill="0" applyBorder="0" applyAlignment="0" applyProtection="0"/>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24" borderId="0" applyNumberFormat="0" applyBorder="0" applyAlignment="0" applyProtection="0">
      <alignment vertical="center"/>
    </xf>
    <xf numFmtId="0" fontId="37" fillId="25" borderId="0" applyNumberFormat="0"/>
    <xf numFmtId="0" fontId="38" fillId="0" borderId="0">
      <alignment vertical="center"/>
    </xf>
    <xf numFmtId="0" fontId="39" fillId="0" borderId="0" applyNumberFormat="0" applyFill="0" applyBorder="0" applyAlignment="0" applyProtection="0">
      <alignment vertical="center"/>
    </xf>
    <xf numFmtId="0" fontId="7" fillId="26" borderId="7" applyNumberFormat="0" applyAlignment="0" applyProtection="0">
      <alignment vertical="center"/>
    </xf>
    <xf numFmtId="0" fontId="40" fillId="0" borderId="0"/>
    <xf numFmtId="0" fontId="3" fillId="0" borderId="0"/>
    <xf numFmtId="0" fontId="41" fillId="0" borderId="0">
      <alignment vertical="top" wrapText="1"/>
    </xf>
    <xf numFmtId="0" fontId="42" fillId="27" borderId="0" applyNumberFormat="0" applyBorder="0" applyAlignment="0" applyProtection="0">
      <alignment vertical="center"/>
    </xf>
    <xf numFmtId="0" fontId="1" fillId="28" borderId="8" applyNumberFormat="0" applyFont="0" applyAlignment="0" applyProtection="0">
      <alignment vertical="center"/>
    </xf>
    <xf numFmtId="0" fontId="43" fillId="0" borderId="9" applyNumberFormat="0" applyFill="0" applyAlignment="0" applyProtection="0">
      <alignment vertical="center"/>
    </xf>
    <xf numFmtId="0" fontId="44" fillId="3" borderId="0" applyNumberFormat="0" applyBorder="0" applyAlignment="0" applyProtection="0">
      <alignment vertical="center"/>
    </xf>
    <xf numFmtId="0" fontId="1" fillId="0" borderId="10"/>
    <xf numFmtId="195" fontId="5" fillId="0" borderId="0" applyBorder="0">
      <alignment horizontal="right"/>
    </xf>
    <xf numFmtId="0" fontId="3" fillId="0" borderId="0">
      <alignment vertical="center"/>
    </xf>
    <xf numFmtId="0" fontId="45" fillId="0" borderId="0">
      <alignment vertical="center"/>
    </xf>
    <xf numFmtId="0" fontId="46" fillId="29" borderId="11" applyNumberFormat="0" applyAlignment="0" applyProtection="0">
      <alignment vertical="center"/>
    </xf>
    <xf numFmtId="0" fontId="47" fillId="0" borderId="0" applyNumberFormat="0" applyFill="0" applyBorder="0" applyAlignment="0" applyProtection="0">
      <alignment vertical="center"/>
    </xf>
    <xf numFmtId="43" fontId="10" fillId="0" borderId="0" applyFont="0" applyFill="0" applyBorder="0" applyAlignment="0" applyProtection="0"/>
    <xf numFmtId="41" fontId="10" fillId="0" borderId="0" applyFont="0" applyFill="0" applyBorder="0" applyAlignment="0" applyProtection="0"/>
    <xf numFmtId="4" fontId="48" fillId="0" borderId="0" applyFont="0" applyFill="0" applyBorder="0" applyAlignment="0" applyProtection="0"/>
    <xf numFmtId="38" fontId="1" fillId="0" borderId="0" applyFont="0" applyFill="0" applyBorder="0" applyAlignment="0" applyProtection="0">
      <alignment vertical="center"/>
    </xf>
    <xf numFmtId="0" fontId="49" fillId="0" borderId="12" applyNumberFormat="0" applyFill="0" applyAlignment="0" applyProtection="0">
      <alignment vertical="center"/>
    </xf>
    <xf numFmtId="0" fontId="50" fillId="0" borderId="13" applyNumberFormat="0" applyFill="0" applyAlignment="0" applyProtection="0">
      <alignment vertical="center"/>
    </xf>
    <xf numFmtId="0" fontId="51" fillId="0" borderId="14" applyNumberFormat="0" applyFill="0" applyAlignment="0" applyProtection="0">
      <alignment vertical="center"/>
    </xf>
    <xf numFmtId="0" fontId="51" fillId="0" borderId="0" applyNumberFormat="0" applyFill="0" applyBorder="0" applyAlignment="0" applyProtection="0">
      <alignment vertical="center"/>
    </xf>
    <xf numFmtId="0" fontId="52" fillId="30" borderId="0"/>
    <xf numFmtId="0" fontId="53" fillId="0" borderId="0" applyBorder="0">
      <alignment vertical="center"/>
    </xf>
    <xf numFmtId="0" fontId="54" fillId="0" borderId="15" applyNumberFormat="0" applyFill="0" applyAlignment="0" applyProtection="0">
      <alignment vertical="center"/>
    </xf>
    <xf numFmtId="0" fontId="55" fillId="29" borderId="16" applyNumberFormat="0" applyAlignment="0" applyProtection="0">
      <alignment vertical="center"/>
    </xf>
    <xf numFmtId="202" fontId="56" fillId="0" borderId="0"/>
    <xf numFmtId="181" fontId="5" fillId="0" borderId="0" applyFill="0" applyBorder="0"/>
    <xf numFmtId="195" fontId="5" fillId="0" borderId="0" applyFill="0" applyBorder="0"/>
    <xf numFmtId="200" fontId="1" fillId="0" borderId="0" applyFill="0" applyBorder="0"/>
    <xf numFmtId="49" fontId="5" fillId="31" borderId="17">
      <alignment horizontal="center"/>
    </xf>
    <xf numFmtId="179" fontId="5" fillId="31" borderId="17">
      <alignment horizontal="right"/>
    </xf>
    <xf numFmtId="14" fontId="5" fillId="31" borderId="0" applyBorder="0">
      <alignment horizontal="center"/>
    </xf>
    <xf numFmtId="49" fontId="5" fillId="0" borderId="17"/>
    <xf numFmtId="0" fontId="1" fillId="0" borderId="0">
      <alignment vertical="top" wrapText="1"/>
    </xf>
    <xf numFmtId="0" fontId="57" fillId="0" borderId="0" applyNumberFormat="0" applyFill="0" applyBorder="0" applyAlignment="0" applyProtection="0">
      <alignment vertical="center"/>
    </xf>
    <xf numFmtId="0" fontId="58" fillId="0" borderId="18">
      <alignment horizontal="left"/>
    </xf>
    <xf numFmtId="0" fontId="23" fillId="0" borderId="0" applyFont="0" applyFill="0" applyBorder="0" applyAlignment="0" applyProtection="0"/>
    <xf numFmtId="0" fontId="23" fillId="0" borderId="0" applyFont="0" applyFill="0" applyBorder="0" applyAlignment="0" applyProtection="0"/>
    <xf numFmtId="197" fontId="1" fillId="0" borderId="0" applyFont="0" applyFill="0" applyBorder="0" applyAlignment="0" applyProtection="0"/>
    <xf numFmtId="14" fontId="5" fillId="0" borderId="19" applyBorder="0">
      <alignment horizontal="left"/>
    </xf>
    <xf numFmtId="0" fontId="59" fillId="7" borderId="11" applyNumberFormat="0" applyAlignment="0" applyProtection="0">
      <alignment vertical="center"/>
    </xf>
    <xf numFmtId="14" fontId="5" fillId="0" borderId="0" applyFill="0" applyBorder="0"/>
    <xf numFmtId="177" fontId="60" fillId="0" borderId="20" applyNumberFormat="0" applyFont="0" applyAlignment="0" applyProtection="0"/>
    <xf numFmtId="0" fontId="24"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4" fillId="0" borderId="0"/>
    <xf numFmtId="0" fontId="1" fillId="0" borderId="0"/>
    <xf numFmtId="0" fontId="2" fillId="0" borderId="0"/>
    <xf numFmtId="0" fontId="56" fillId="0" borderId="21" applyFont="0"/>
    <xf numFmtId="0" fontId="62" fillId="0" borderId="0"/>
    <xf numFmtId="0" fontId="40" fillId="0" borderId="0"/>
    <xf numFmtId="0" fontId="63" fillId="0" borderId="0" applyNumberFormat="0" applyFill="0" applyBorder="0" applyAlignment="0" applyProtection="0">
      <alignment vertical="top"/>
      <protection locked="0"/>
    </xf>
    <xf numFmtId="49" fontId="1" fillId="0" borderId="0"/>
    <xf numFmtId="49" fontId="5" fillId="0" borderId="0" applyFill="0" applyBorder="0"/>
    <xf numFmtId="0" fontId="64" fillId="0" borderId="0"/>
    <xf numFmtId="0" fontId="65" fillId="32" borderId="0">
      <alignment horizontal="center"/>
    </xf>
    <xf numFmtId="0" fontId="66" fillId="4" borderId="0" applyNumberFormat="0" applyBorder="0" applyAlignment="0" applyProtection="0">
      <alignment vertical="center"/>
    </xf>
    <xf numFmtId="0" fontId="45"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67" fillId="0" borderId="26" applyFill="0" applyBorder="0"/>
    <xf numFmtId="0" fontId="30" fillId="0" borderId="26" applyBorder="0">
      <alignment horizontal="center" vertical="center"/>
    </xf>
    <xf numFmtId="0" fontId="68" fillId="0" borderId="26" applyBorder="0">
      <alignment horizontal="center" vertical="center"/>
    </xf>
    <xf numFmtId="0" fontId="69" fillId="0" borderId="26" applyBorder="0">
      <alignment horizontal="center" vertical="center"/>
    </xf>
    <xf numFmtId="0" fontId="70" fillId="0" borderId="34" applyNumberFormat="0" applyFill="0" applyBorder="0">
      <alignment horizontal="centerContinuous" vertical="center" wrapText="1"/>
      <protection locked="0"/>
    </xf>
    <xf numFmtId="0" fontId="67" fillId="39" borderId="35" applyFill="0" applyBorder="0">
      <alignment horizontal="left" vertical="center"/>
    </xf>
    <xf numFmtId="0" fontId="67" fillId="39" borderId="35" applyFill="0" applyBorder="0">
      <alignment horizontal="center" vertical="center"/>
    </xf>
    <xf numFmtId="0" fontId="67" fillId="39" borderId="36" applyNumberFormat="0" applyFill="0" applyBorder="0" applyProtection="0">
      <alignment horizontal="centerContinuous"/>
    </xf>
    <xf numFmtId="0" fontId="71" fillId="0" borderId="34" applyFill="0" applyBorder="0" applyProtection="0">
      <alignment vertical="center"/>
      <protection locked="0"/>
    </xf>
    <xf numFmtId="0" fontId="30" fillId="0" borderId="0" applyFill="0" applyBorder="0">
      <alignment vertical="center"/>
    </xf>
    <xf numFmtId="0" fontId="72" fillId="39" borderId="37" applyFill="0" applyBorder="0" applyAlignment="0">
      <alignment horizontal="center" vertical="center"/>
    </xf>
    <xf numFmtId="0" fontId="30" fillId="0" borderId="0" applyFill="0" applyBorder="0">
      <alignment horizontal="centerContinuous" vertical="center"/>
    </xf>
    <xf numFmtId="0" fontId="67" fillId="0" borderId="0" applyNumberFormat="0" applyFill="0" applyBorder="0">
      <alignment vertical="center"/>
    </xf>
    <xf numFmtId="194" fontId="73" fillId="0" borderId="0" applyFont="0" applyFill="0" applyBorder="0" applyAlignment="0" applyProtection="0"/>
    <xf numFmtId="0" fontId="24" fillId="40" borderId="1" applyNumberFormat="0" applyFill="0" applyBorder="0">
      <alignment vertical="center" wrapText="1"/>
    </xf>
    <xf numFmtId="38" fontId="24" fillId="0" borderId="0" applyFont="0" applyFill="0" applyBorder="0" applyAlignment="0" applyProtection="0"/>
    <xf numFmtId="0" fontId="74" fillId="0" borderId="0">
      <alignment vertical="center"/>
    </xf>
    <xf numFmtId="0" fontId="74" fillId="0" borderId="0">
      <alignment vertical="center"/>
    </xf>
    <xf numFmtId="0" fontId="5" fillId="0" borderId="0"/>
    <xf numFmtId="0" fontId="1" fillId="0" borderId="0">
      <alignment vertical="center"/>
    </xf>
    <xf numFmtId="0" fontId="74" fillId="0" borderId="0">
      <alignment vertical="center"/>
    </xf>
    <xf numFmtId="0" fontId="1" fillId="0" borderId="0"/>
    <xf numFmtId="0" fontId="61" fillId="0" borderId="0">
      <alignment vertical="center"/>
    </xf>
    <xf numFmtId="0" fontId="75" fillId="0" borderId="0">
      <alignment vertical="center"/>
    </xf>
    <xf numFmtId="0" fontId="1" fillId="0" borderId="0">
      <alignment vertical="center"/>
    </xf>
    <xf numFmtId="0" fontId="1" fillId="0" borderId="0">
      <alignment vertical="center"/>
    </xf>
    <xf numFmtId="0" fontId="74" fillId="0" borderId="0">
      <alignment vertical="center"/>
    </xf>
    <xf numFmtId="0" fontId="74" fillId="0" borderId="0">
      <alignment vertical="center"/>
    </xf>
    <xf numFmtId="0" fontId="1" fillId="0" borderId="0"/>
  </cellStyleXfs>
  <cellXfs count="185">
    <xf numFmtId="0" fontId="0" fillId="0" borderId="0" xfId="0">
      <alignment vertical="center"/>
    </xf>
    <xf numFmtId="0" fontId="6" fillId="0" borderId="0" xfId="0" applyFont="1" applyFill="1">
      <alignment vertical="center"/>
    </xf>
    <xf numFmtId="0" fontId="5" fillId="0" borderId="0" xfId="0" applyFont="1" applyFill="1">
      <alignment vertical="center"/>
    </xf>
    <xf numFmtId="0" fontId="5" fillId="0" borderId="0" xfId="0" applyFont="1" applyFill="1" applyBorder="1">
      <alignment vertical="center"/>
    </xf>
    <xf numFmtId="0" fontId="5" fillId="0" borderId="0" xfId="0" applyFont="1" applyFill="1" applyBorder="1" applyAlignment="1">
      <alignment horizontal="center"/>
    </xf>
    <xf numFmtId="177" fontId="5" fillId="0" borderId="0" xfId="0" applyNumberFormat="1" applyFont="1" applyFill="1" applyBorder="1" applyAlignment="1"/>
    <xf numFmtId="0" fontId="5" fillId="0" borderId="0" xfId="0" applyFont="1" applyFill="1" applyBorder="1" applyAlignment="1"/>
    <xf numFmtId="0" fontId="76" fillId="0" borderId="0" xfId="0" applyFont="1">
      <alignment vertical="center"/>
    </xf>
    <xf numFmtId="0" fontId="77" fillId="0" borderId="0" xfId="190" applyFont="1" applyFill="1" applyAlignment="1">
      <alignment vertical="center"/>
    </xf>
    <xf numFmtId="0" fontId="78" fillId="0" borderId="0" xfId="0" applyFont="1">
      <alignment vertical="center"/>
    </xf>
    <xf numFmtId="0" fontId="78" fillId="0" borderId="22" xfId="175" applyFont="1" applyFill="1" applyBorder="1" applyAlignment="1">
      <alignment vertical="center"/>
    </xf>
    <xf numFmtId="0" fontId="78" fillId="0" borderId="2" xfId="175" applyFont="1" applyFill="1" applyBorder="1" applyAlignment="1">
      <alignment vertical="center"/>
    </xf>
    <xf numFmtId="0" fontId="77" fillId="0" borderId="2" xfId="175" applyFont="1" applyBorder="1"/>
    <xf numFmtId="0" fontId="77" fillId="0" borderId="19" xfId="175" applyFont="1" applyBorder="1"/>
    <xf numFmtId="0" fontId="77" fillId="0" borderId="0" xfId="175" applyFont="1" applyBorder="1"/>
    <xf numFmtId="0" fontId="78" fillId="0" borderId="32" xfId="175" applyFont="1" applyBorder="1"/>
    <xf numFmtId="0" fontId="78" fillId="0" borderId="0" xfId="175" applyFont="1" applyBorder="1"/>
    <xf numFmtId="0" fontId="79" fillId="0" borderId="0" xfId="175" applyFont="1" applyFill="1" applyBorder="1" applyAlignment="1">
      <alignment vertical="center"/>
    </xf>
    <xf numFmtId="0" fontId="78" fillId="0" borderId="0" xfId="175" applyFont="1" applyFill="1" applyBorder="1" applyAlignment="1">
      <alignment vertical="center"/>
    </xf>
    <xf numFmtId="0" fontId="77" fillId="0" borderId="33" xfId="175" applyFont="1" applyBorder="1"/>
    <xf numFmtId="0" fontId="80" fillId="0" borderId="21" xfId="191" applyFont="1" applyFill="1" applyBorder="1" applyAlignment="1">
      <alignment vertical="center"/>
    </xf>
    <xf numFmtId="0" fontId="78" fillId="0" borderId="3" xfId="191" applyFont="1" applyFill="1" applyBorder="1" applyAlignment="1">
      <alignment vertical="center"/>
    </xf>
    <xf numFmtId="0" fontId="79" fillId="0" borderId="3" xfId="175" applyFont="1" applyFill="1" applyBorder="1" applyAlignment="1">
      <alignment vertical="center"/>
    </xf>
    <xf numFmtId="0" fontId="79" fillId="0" borderId="3" xfId="175" applyFont="1" applyFill="1" applyBorder="1" applyAlignment="1">
      <alignment vertical="top"/>
    </xf>
    <xf numFmtId="0" fontId="79" fillId="0" borderId="3" xfId="175" applyFont="1" applyFill="1" applyBorder="1" applyAlignment="1">
      <alignment vertical="center" wrapText="1"/>
    </xf>
    <xf numFmtId="0" fontId="78" fillId="0" borderId="3" xfId="175" applyFont="1" applyFill="1" applyBorder="1" applyAlignment="1">
      <alignment vertical="center"/>
    </xf>
    <xf numFmtId="0" fontId="77" fillId="0" borderId="3" xfId="175" applyFont="1" applyBorder="1"/>
    <xf numFmtId="0" fontId="77" fillId="0" borderId="25" xfId="175" applyFont="1" applyBorder="1"/>
    <xf numFmtId="0" fontId="78" fillId="0" borderId="0" xfId="191" applyFont="1" applyFill="1" applyAlignment="1">
      <alignment vertical="center"/>
    </xf>
    <xf numFmtId="0" fontId="81" fillId="0" borderId="0" xfId="191" applyFont="1" applyFill="1" applyAlignment="1">
      <alignment vertical="center"/>
    </xf>
    <xf numFmtId="0" fontId="78" fillId="0" borderId="0" xfId="191" applyFont="1" applyFill="1" applyBorder="1" applyAlignment="1">
      <alignment vertical="center"/>
    </xf>
    <xf numFmtId="0" fontId="78" fillId="0" borderId="0" xfId="193" applyFont="1" applyFill="1" applyAlignment="1">
      <alignment vertical="center"/>
    </xf>
    <xf numFmtId="0" fontId="78" fillId="0" borderId="0" xfId="175" applyFont="1" applyFill="1" applyBorder="1" applyAlignment="1"/>
    <xf numFmtId="0" fontId="78" fillId="35" borderId="23" xfId="191" applyFont="1" applyFill="1" applyBorder="1" applyAlignment="1">
      <alignment horizontal="centerContinuous" vertical="center"/>
    </xf>
    <xf numFmtId="0" fontId="77" fillId="35" borderId="5" xfId="175" applyFont="1" applyFill="1" applyBorder="1" applyAlignment="1">
      <alignment horizontal="centerContinuous"/>
    </xf>
    <xf numFmtId="0" fontId="77" fillId="35" borderId="24" xfId="175" applyFont="1" applyFill="1" applyBorder="1" applyAlignment="1">
      <alignment horizontal="centerContinuous"/>
    </xf>
    <xf numFmtId="0" fontId="78" fillId="34" borderId="23" xfId="191" applyFont="1" applyFill="1" applyBorder="1" applyAlignment="1">
      <alignment horizontal="centerContinuous" vertical="center"/>
    </xf>
    <xf numFmtId="0" fontId="78" fillId="34" borderId="5" xfId="191" applyFont="1" applyFill="1" applyBorder="1" applyAlignment="1">
      <alignment horizontal="centerContinuous" vertical="center"/>
    </xf>
    <xf numFmtId="0" fontId="78" fillId="34" borderId="24" xfId="191" applyFont="1" applyFill="1" applyBorder="1" applyAlignment="1">
      <alignment horizontal="centerContinuous" vertical="center"/>
    </xf>
    <xf numFmtId="3" fontId="78" fillId="37" borderId="23" xfId="195" applyNumberFormat="1" applyFont="1" applyFill="1" applyBorder="1" applyAlignment="1">
      <alignment vertical="center"/>
    </xf>
    <xf numFmtId="3" fontId="78" fillId="37" borderId="5" xfId="195" applyNumberFormat="1" applyFont="1" applyFill="1" applyBorder="1" applyAlignment="1">
      <alignment vertical="center"/>
    </xf>
    <xf numFmtId="3" fontId="78" fillId="37" borderId="5" xfId="195" applyNumberFormat="1" applyFont="1" applyFill="1" applyBorder="1" applyAlignment="1">
      <alignment horizontal="left" vertical="center"/>
    </xf>
    <xf numFmtId="0" fontId="78" fillId="37" borderId="23" xfId="175" applyFont="1" applyFill="1" applyBorder="1" applyAlignment="1">
      <alignment horizontal="center" vertical="center"/>
    </xf>
    <xf numFmtId="0" fontId="78" fillId="37" borderId="5" xfId="196" applyFont="1" applyFill="1" applyBorder="1" applyAlignment="1">
      <alignment vertical="center"/>
    </xf>
    <xf numFmtId="3" fontId="78" fillId="38" borderId="5" xfId="195" applyNumberFormat="1" applyFont="1" applyFill="1" applyBorder="1" applyAlignment="1">
      <alignment horizontal="left" vertical="center"/>
    </xf>
    <xf numFmtId="3" fontId="78" fillId="38" borderId="24" xfId="195" applyNumberFormat="1" applyFont="1" applyFill="1" applyBorder="1" applyAlignment="1">
      <alignment horizontal="left" vertical="center"/>
    </xf>
    <xf numFmtId="3" fontId="78" fillId="38" borderId="23" xfId="195" applyNumberFormat="1" applyFont="1" applyFill="1" applyBorder="1" applyAlignment="1">
      <alignment horizontal="left" vertical="center"/>
    </xf>
    <xf numFmtId="0" fontId="77" fillId="38" borderId="5" xfId="175" applyFont="1" applyFill="1" applyBorder="1" applyAlignment="1"/>
    <xf numFmtId="0" fontId="77" fillId="38" borderId="24" xfId="175" applyFont="1" applyFill="1" applyBorder="1" applyAlignment="1"/>
    <xf numFmtId="0" fontId="77" fillId="0" borderId="0" xfId="175" applyFont="1" applyBorder="1" applyAlignment="1">
      <alignment vertical="center"/>
    </xf>
    <xf numFmtId="3" fontId="78" fillId="0" borderId="5" xfId="195" applyNumberFormat="1" applyFont="1" applyFill="1" applyBorder="1" applyAlignment="1">
      <alignment vertical="center"/>
    </xf>
    <xf numFmtId="3" fontId="78" fillId="0" borderId="5" xfId="195" applyNumberFormat="1" applyFont="1" applyFill="1" applyBorder="1" applyAlignment="1">
      <alignment horizontal="left" vertical="center"/>
    </xf>
    <xf numFmtId="0" fontId="78" fillId="0" borderId="23" xfId="175" applyFont="1" applyFill="1" applyBorder="1" applyAlignment="1">
      <alignment horizontal="left" vertical="center"/>
    </xf>
    <xf numFmtId="0" fontId="78" fillId="0" borderId="5" xfId="196" applyFont="1" applyFill="1" applyBorder="1" applyAlignment="1">
      <alignment vertical="center"/>
    </xf>
    <xf numFmtId="3" fontId="78" fillId="0" borderId="5" xfId="197" applyNumberFormat="1" applyFont="1" applyFill="1" applyBorder="1" applyAlignment="1">
      <alignment horizontal="left" vertical="center"/>
    </xf>
    <xf numFmtId="3" fontId="78" fillId="0" borderId="23" xfId="195" applyNumberFormat="1" applyFont="1" applyFill="1" applyBorder="1" applyAlignment="1">
      <alignment horizontal="left" vertical="center"/>
    </xf>
    <xf numFmtId="3" fontId="78" fillId="0" borderId="5" xfId="195" applyNumberFormat="1" applyFont="1" applyFill="1" applyBorder="1" applyAlignment="1">
      <alignment horizontal="left" vertical="center" shrinkToFit="1"/>
    </xf>
    <xf numFmtId="49" fontId="78" fillId="0" borderId="0" xfId="175" applyNumberFormat="1" applyFont="1" applyAlignment="1">
      <alignment horizontal="center" vertical="top"/>
    </xf>
    <xf numFmtId="49" fontId="78" fillId="0" borderId="0" xfId="175" applyNumberFormat="1" applyFont="1" applyAlignment="1">
      <alignment vertical="top"/>
    </xf>
    <xf numFmtId="0" fontId="78" fillId="0" borderId="0" xfId="175" applyNumberFormat="1" applyFont="1" applyAlignment="1">
      <alignment horizontal="left" vertical="top"/>
    </xf>
    <xf numFmtId="0" fontId="78" fillId="0" borderId="0" xfId="175" applyNumberFormat="1" applyFont="1" applyAlignment="1">
      <alignment vertical="top"/>
    </xf>
    <xf numFmtId="49" fontId="78" fillId="0" borderId="0" xfId="175" applyNumberFormat="1" applyFont="1" applyFill="1" applyAlignment="1">
      <alignment vertical="top"/>
    </xf>
    <xf numFmtId="49" fontId="78" fillId="0" borderId="0" xfId="175" applyNumberFormat="1" applyFont="1" applyBorder="1" applyAlignment="1">
      <alignment vertical="top"/>
    </xf>
    <xf numFmtId="0" fontId="77" fillId="38" borderId="5" xfId="175" applyFont="1" applyFill="1" applyBorder="1" applyAlignment="1">
      <alignment vertical="center"/>
    </xf>
    <xf numFmtId="0" fontId="77" fillId="38" borderId="24" xfId="175" applyFont="1" applyFill="1" applyBorder="1" applyAlignment="1">
      <alignment vertical="center"/>
    </xf>
    <xf numFmtId="0" fontId="77" fillId="0" borderId="5" xfId="175" applyFont="1" applyBorder="1" applyAlignment="1">
      <alignment vertical="center"/>
    </xf>
    <xf numFmtId="0" fontId="77" fillId="0" borderId="24" xfId="175" applyFont="1" applyBorder="1" applyAlignment="1">
      <alignment vertical="center"/>
    </xf>
    <xf numFmtId="3" fontId="78" fillId="0" borderId="5" xfId="195" applyNumberFormat="1" applyFont="1" applyFill="1" applyBorder="1" applyAlignment="1">
      <alignment horizontal="left" vertical="center" indent="1"/>
    </xf>
    <xf numFmtId="3" fontId="78" fillId="0" borderId="23" xfId="195" applyNumberFormat="1" applyFont="1" applyFill="1" applyBorder="1" applyAlignment="1">
      <alignment horizontal="left" vertical="center" indent="1"/>
    </xf>
    <xf numFmtId="0" fontId="5" fillId="0" borderId="23" xfId="0" applyFont="1" applyFill="1" applyBorder="1" applyAlignment="1" applyProtection="1">
      <alignment vertical="top" wrapText="1"/>
      <protection locked="0"/>
    </xf>
    <xf numFmtId="0" fontId="5" fillId="0" borderId="5" xfId="0" applyFont="1" applyFill="1" applyBorder="1" applyAlignment="1" applyProtection="1">
      <alignment vertical="top" wrapText="1"/>
      <protection locked="0"/>
    </xf>
    <xf numFmtId="0" fontId="5" fillId="0" borderId="24" xfId="0" applyFont="1" applyFill="1" applyBorder="1" applyAlignment="1" applyProtection="1">
      <alignment vertical="top" wrapText="1"/>
      <protection locked="0"/>
    </xf>
    <xf numFmtId="177" fontId="5" fillId="0" borderId="23" xfId="0" applyNumberFormat="1" applyFont="1" applyFill="1" applyBorder="1" applyAlignment="1">
      <alignment vertical="top"/>
    </xf>
    <xf numFmtId="177" fontId="5" fillId="0" borderId="24" xfId="0" applyNumberFormat="1" applyFont="1" applyFill="1" applyBorder="1" applyAlignment="1">
      <alignment vertical="top"/>
    </xf>
    <xf numFmtId="178" fontId="5" fillId="0" borderId="23" xfId="0" quotePrefix="1" applyNumberFormat="1" applyFont="1" applyFill="1" applyBorder="1" applyAlignment="1" applyProtection="1">
      <alignment horizontal="center" vertical="top"/>
      <protection locked="0"/>
    </xf>
    <xf numFmtId="178" fontId="5" fillId="0" borderId="5" xfId="0" quotePrefix="1" applyNumberFormat="1" applyFont="1" applyFill="1" applyBorder="1" applyAlignment="1" applyProtection="1">
      <alignment horizontal="center" vertical="top"/>
      <protection locked="0"/>
    </xf>
    <xf numFmtId="178" fontId="5" fillId="0" borderId="24" xfId="0" quotePrefix="1" applyNumberFormat="1" applyFont="1" applyFill="1" applyBorder="1" applyAlignment="1" applyProtection="1">
      <alignment horizontal="center" vertical="top"/>
      <protection locked="0"/>
    </xf>
    <xf numFmtId="0" fontId="5" fillId="0" borderId="1" xfId="0" applyFont="1" applyFill="1" applyBorder="1" applyAlignment="1" applyProtection="1">
      <alignment vertical="top" wrapText="1"/>
      <protection locked="0"/>
    </xf>
    <xf numFmtId="0" fontId="5" fillId="0" borderId="23" xfId="0" applyFont="1" applyFill="1" applyBorder="1" applyAlignment="1" applyProtection="1">
      <alignment vertical="top"/>
      <protection locked="0"/>
    </xf>
    <xf numFmtId="0" fontId="5" fillId="0" borderId="5" xfId="0" applyFont="1" applyFill="1" applyBorder="1" applyAlignment="1" applyProtection="1">
      <alignment vertical="top"/>
      <protection locked="0"/>
    </xf>
    <xf numFmtId="0" fontId="5" fillId="0" borderId="24" xfId="0" applyFont="1" applyFill="1" applyBorder="1" applyAlignment="1" applyProtection="1">
      <alignment vertical="top"/>
      <protection locked="0"/>
    </xf>
    <xf numFmtId="0" fontId="5" fillId="33" borderId="23" xfId="0" applyFont="1" applyFill="1" applyBorder="1" applyAlignment="1">
      <alignment horizontal="center"/>
    </xf>
    <xf numFmtId="0" fontId="5" fillId="33" borderId="24" xfId="0" applyFont="1" applyFill="1" applyBorder="1" applyAlignment="1">
      <alignment horizontal="center"/>
    </xf>
    <xf numFmtId="0" fontId="5" fillId="33" borderId="1" xfId="0" applyFont="1" applyFill="1" applyBorder="1" applyAlignment="1">
      <alignment horizontal="center"/>
    </xf>
    <xf numFmtId="0" fontId="0" fillId="33" borderId="1" xfId="0" applyFill="1" applyBorder="1" applyAlignment="1"/>
    <xf numFmtId="178" fontId="5" fillId="0" borderId="23" xfId="0" applyNumberFormat="1" applyFont="1" applyFill="1" applyBorder="1" applyAlignment="1" applyProtection="1">
      <alignment horizontal="center" vertical="top"/>
      <protection locked="0"/>
    </xf>
    <xf numFmtId="0" fontId="5" fillId="0" borderId="1" xfId="0" applyFont="1" applyFill="1" applyBorder="1" applyAlignment="1" applyProtection="1">
      <alignment vertical="top" wrapText="1"/>
    </xf>
    <xf numFmtId="0" fontId="5" fillId="33" borderId="5" xfId="0" applyFont="1" applyFill="1" applyBorder="1" applyAlignment="1">
      <alignment horizontal="center"/>
    </xf>
    <xf numFmtId="3" fontId="78" fillId="0" borderId="23" xfId="195" quotePrefix="1" applyNumberFormat="1" applyFont="1" applyFill="1" applyBorder="1" applyAlignment="1">
      <alignment vertical="center" wrapText="1"/>
    </xf>
    <xf numFmtId="3" fontId="78" fillId="0" borderId="5" xfId="195" quotePrefix="1" applyNumberFormat="1" applyFont="1" applyFill="1" applyBorder="1" applyAlignment="1">
      <alignment vertical="center" wrapText="1"/>
    </xf>
    <xf numFmtId="3" fontId="78" fillId="0" borderId="24" xfId="195" quotePrefix="1" applyNumberFormat="1" applyFont="1" applyFill="1" applyBorder="1" applyAlignment="1">
      <alignment vertical="center" wrapText="1"/>
    </xf>
    <xf numFmtId="3" fontId="78" fillId="0" borderId="23" xfId="195" applyNumberFormat="1" applyFont="1" applyFill="1" applyBorder="1" applyAlignment="1">
      <alignment vertical="center" wrapText="1"/>
    </xf>
    <xf numFmtId="3" fontId="78" fillId="0" borderId="5" xfId="195" applyNumberFormat="1" applyFont="1" applyFill="1" applyBorder="1" applyAlignment="1">
      <alignment vertical="center" wrapText="1"/>
    </xf>
    <xf numFmtId="3" fontId="78" fillId="0" borderId="24" xfId="195" applyNumberFormat="1" applyFont="1" applyFill="1" applyBorder="1" applyAlignment="1">
      <alignment vertical="center" wrapText="1"/>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3" fontId="78" fillId="38" borderId="24" xfId="195" applyNumberFormat="1" applyFont="1" applyFill="1" applyBorder="1" applyAlignment="1">
      <alignment vertical="center"/>
    </xf>
    <xf numFmtId="0" fontId="78" fillId="0" borderId="23" xfId="175" applyFont="1" applyBorder="1" applyAlignment="1">
      <alignment horizontal="center" vertical="center" shrinkToFit="1"/>
    </xf>
    <xf numFmtId="0" fontId="78" fillId="0" borderId="24" xfId="175" applyFont="1" applyBorder="1" applyAlignment="1">
      <alignment horizontal="center" vertical="center" shrinkToFit="1"/>
    </xf>
    <xf numFmtId="0" fontId="78" fillId="0" borderId="23" xfId="175" applyFont="1" applyFill="1" applyBorder="1" applyAlignment="1">
      <alignment vertical="center" shrinkToFit="1"/>
    </xf>
    <xf numFmtId="0" fontId="78" fillId="0" borderId="24" xfId="175" applyFont="1" applyFill="1" applyBorder="1" applyAlignment="1">
      <alignment vertical="center" shrinkToFit="1"/>
    </xf>
    <xf numFmtId="0" fontId="78" fillId="0" borderId="23" xfId="175" applyFont="1" applyFill="1" applyBorder="1" applyAlignment="1">
      <alignment horizontal="center" vertical="center" shrinkToFit="1"/>
    </xf>
    <xf numFmtId="0" fontId="78" fillId="0" borderId="24" xfId="175" applyFont="1" applyFill="1" applyBorder="1" applyAlignment="1">
      <alignment horizontal="center" vertical="center" shrinkToFit="1"/>
    </xf>
    <xf numFmtId="0" fontId="78" fillId="36" borderId="23" xfId="175" applyFont="1" applyFill="1" applyBorder="1" applyAlignment="1">
      <alignment vertical="center" shrinkToFit="1"/>
    </xf>
    <xf numFmtId="0" fontId="78" fillId="36" borderId="24" xfId="175" applyFont="1" applyFill="1" applyBorder="1" applyAlignment="1">
      <alignment vertical="center" shrinkToFit="1"/>
    </xf>
    <xf numFmtId="0" fontId="78" fillId="0" borderId="23" xfId="175" applyFont="1" applyFill="1" applyBorder="1" applyAlignment="1">
      <alignment horizontal="center" vertical="center" wrapText="1"/>
    </xf>
    <xf numFmtId="0" fontId="78" fillId="0" borderId="24" xfId="175" applyFont="1" applyFill="1" applyBorder="1" applyAlignment="1">
      <alignment horizontal="center" vertical="center" wrapText="1"/>
    </xf>
    <xf numFmtId="0" fontId="76" fillId="0" borderId="23" xfId="190" applyFont="1" applyFill="1" applyBorder="1" applyAlignment="1">
      <alignment horizontal="center" vertical="center"/>
    </xf>
    <xf numFmtId="0" fontId="76" fillId="0" borderId="5" xfId="190" applyFont="1" applyFill="1" applyBorder="1" applyAlignment="1">
      <alignment horizontal="center" vertical="center"/>
    </xf>
    <xf numFmtId="0" fontId="76" fillId="0" borderId="24" xfId="190" applyFont="1" applyFill="1" applyBorder="1" applyAlignment="1">
      <alignment horizontal="center" vertical="center"/>
    </xf>
    <xf numFmtId="0" fontId="76" fillId="0" borderId="1" xfId="190" applyFont="1" applyFill="1" applyBorder="1" applyAlignment="1">
      <alignment horizontal="center" vertical="center"/>
    </xf>
    <xf numFmtId="0" fontId="78" fillId="34" borderId="23" xfId="191" applyFont="1" applyFill="1" applyBorder="1" applyAlignment="1">
      <alignment horizontal="center" vertical="center" wrapText="1"/>
    </xf>
    <xf numFmtId="0" fontId="78" fillId="34" borderId="5" xfId="191" applyFont="1" applyFill="1" applyBorder="1" applyAlignment="1">
      <alignment horizontal="center" vertical="center" wrapText="1"/>
    </xf>
    <xf numFmtId="0" fontId="78" fillId="34" borderId="24" xfId="191" applyFont="1" applyFill="1" applyBorder="1" applyAlignment="1">
      <alignment horizontal="center" vertical="center" wrapText="1"/>
    </xf>
    <xf numFmtId="0" fontId="77" fillId="0" borderId="24" xfId="175" applyFont="1" applyBorder="1"/>
    <xf numFmtId="0" fontId="78" fillId="34" borderId="23" xfId="191" applyFont="1" applyFill="1" applyBorder="1" applyAlignment="1">
      <alignment horizontal="center" vertical="center"/>
    </xf>
    <xf numFmtId="0" fontId="76" fillId="0" borderId="2" xfId="190" applyFont="1" applyFill="1" applyBorder="1" applyAlignment="1">
      <alignment horizontal="center" vertical="center"/>
    </xf>
    <xf numFmtId="0" fontId="76" fillId="0" borderId="19" xfId="190" applyFont="1" applyFill="1" applyBorder="1" applyAlignment="1">
      <alignment horizontal="center" vertical="center"/>
    </xf>
    <xf numFmtId="0" fontId="76" fillId="0" borderId="3" xfId="190" applyFont="1" applyFill="1" applyBorder="1" applyAlignment="1">
      <alignment horizontal="center" vertical="center"/>
    </xf>
    <xf numFmtId="0" fontId="76" fillId="0" borderId="25" xfId="190" applyFont="1" applyFill="1" applyBorder="1" applyAlignment="1">
      <alignment horizontal="center" vertical="center"/>
    </xf>
    <xf numFmtId="0" fontId="76" fillId="0" borderId="21" xfId="226" quotePrefix="1" applyFont="1" applyFill="1" applyBorder="1" applyAlignment="1">
      <alignment horizontal="center" vertical="center"/>
    </xf>
    <xf numFmtId="0" fontId="76" fillId="0" borderId="3" xfId="226" applyFont="1" applyFill="1" applyBorder="1" applyAlignment="1">
      <alignment horizontal="center" vertical="center"/>
    </xf>
    <xf numFmtId="0" fontId="76" fillId="0" borderId="25" xfId="226" applyFont="1" applyFill="1" applyBorder="1" applyAlignment="1">
      <alignment horizontal="center" vertical="center"/>
    </xf>
    <xf numFmtId="0" fontId="76" fillId="0" borderId="21" xfId="190" applyFont="1" applyFill="1" applyBorder="1" applyAlignment="1">
      <alignment horizontal="center" vertical="center"/>
    </xf>
    <xf numFmtId="0" fontId="76" fillId="0" borderId="21" xfId="190" applyFont="1" applyFill="1" applyBorder="1" applyAlignment="1">
      <alignment horizontal="center" vertical="center" shrinkToFit="1"/>
    </xf>
    <xf numFmtId="0" fontId="76" fillId="0" borderId="3" xfId="190" applyFont="1" applyFill="1" applyBorder="1" applyAlignment="1">
      <alignment horizontal="center" vertical="center" shrinkToFit="1"/>
    </xf>
    <xf numFmtId="0" fontId="76" fillId="0" borderId="25" xfId="190" applyFont="1" applyFill="1" applyBorder="1" applyAlignment="1">
      <alignment horizontal="center" vertical="center" shrinkToFit="1"/>
    </xf>
    <xf numFmtId="14" fontId="76" fillId="0" borderId="21" xfId="190" applyNumberFormat="1" applyFont="1" applyFill="1" applyBorder="1" applyAlignment="1">
      <alignment horizontal="center" vertical="center"/>
    </xf>
    <xf numFmtId="14" fontId="76" fillId="0" borderId="3" xfId="190" applyNumberFormat="1" applyFont="1" applyFill="1" applyBorder="1" applyAlignment="1">
      <alignment horizontal="center" vertical="center"/>
    </xf>
    <xf numFmtId="14" fontId="76" fillId="0" borderId="25" xfId="190" applyNumberFormat="1" applyFont="1" applyFill="1" applyBorder="1" applyAlignment="1">
      <alignment horizontal="center" vertical="center"/>
    </xf>
    <xf numFmtId="0" fontId="76" fillId="0" borderId="22" xfId="190" applyFont="1" applyFill="1" applyBorder="1" applyAlignment="1">
      <alignment horizontal="center" vertical="center" wrapText="1"/>
    </xf>
    <xf numFmtId="0" fontId="76" fillId="0" borderId="2" xfId="190" applyFont="1" applyFill="1" applyBorder="1" applyAlignment="1">
      <alignment horizontal="center" vertical="center" wrapText="1"/>
    </xf>
    <xf numFmtId="0" fontId="76" fillId="0" borderId="19" xfId="190" applyFont="1" applyFill="1" applyBorder="1" applyAlignment="1">
      <alignment horizontal="center" vertical="center" wrapText="1"/>
    </xf>
    <xf numFmtId="0" fontId="76" fillId="0" borderId="21" xfId="190" applyFont="1" applyFill="1" applyBorder="1" applyAlignment="1">
      <alignment horizontal="center" vertical="center" wrapText="1"/>
    </xf>
    <xf numFmtId="0" fontId="76" fillId="0" borderId="3" xfId="190" applyFont="1" applyFill="1" applyBorder="1" applyAlignment="1">
      <alignment horizontal="center" vertical="center" wrapText="1"/>
    </xf>
    <xf numFmtId="0" fontId="76" fillId="0" borderId="25" xfId="190" applyFont="1" applyFill="1" applyBorder="1" applyAlignment="1">
      <alignment horizontal="center" vertical="center" wrapText="1"/>
    </xf>
    <xf numFmtId="176" fontId="76" fillId="0" borderId="1" xfId="189" applyNumberFormat="1" applyFont="1" applyFill="1" applyBorder="1" applyAlignment="1">
      <alignment horizontal="center" vertical="center"/>
    </xf>
    <xf numFmtId="0" fontId="78" fillId="34" borderId="23" xfId="191" applyFont="1" applyFill="1" applyBorder="1" applyAlignment="1">
      <alignment vertical="center"/>
    </xf>
    <xf numFmtId="0" fontId="78" fillId="34" borderId="5" xfId="191" applyFont="1" applyFill="1" applyBorder="1" applyAlignment="1">
      <alignment vertical="center"/>
    </xf>
    <xf numFmtId="0" fontId="78" fillId="34" borderId="24" xfId="191" applyFont="1" applyFill="1" applyBorder="1" applyAlignment="1">
      <alignment vertical="center"/>
    </xf>
    <xf numFmtId="0" fontId="78" fillId="0" borderId="23" xfId="175" applyFont="1" applyFill="1" applyBorder="1" applyAlignment="1">
      <alignment vertical="center"/>
    </xf>
    <xf numFmtId="0" fontId="78" fillId="0" borderId="5" xfId="175" applyFont="1" applyFill="1" applyBorder="1" applyAlignment="1">
      <alignment vertical="center"/>
    </xf>
    <xf numFmtId="0" fontId="78" fillId="34" borderId="23" xfId="192" applyFont="1" applyFill="1" applyBorder="1" applyAlignment="1">
      <alignment vertical="center"/>
    </xf>
    <xf numFmtId="0" fontId="78" fillId="34" borderId="5" xfId="175" applyFont="1" applyFill="1" applyBorder="1"/>
    <xf numFmtId="0" fontId="78" fillId="34" borderId="24" xfId="175" applyFont="1" applyFill="1" applyBorder="1"/>
    <xf numFmtId="0" fontId="78" fillId="0" borderId="23" xfId="175" applyNumberFormat="1" applyFont="1" applyBorder="1" applyAlignment="1">
      <alignment horizontal="center"/>
    </xf>
    <xf numFmtId="0" fontId="78" fillId="0" borderId="5" xfId="175" applyNumberFormat="1" applyFont="1" applyBorder="1" applyAlignment="1">
      <alignment horizontal="center"/>
    </xf>
    <xf numFmtId="0" fontId="78" fillId="0" borderId="5" xfId="175" applyFont="1" applyBorder="1" applyAlignment="1">
      <alignment horizontal="center"/>
    </xf>
    <xf numFmtId="0" fontId="78" fillId="34" borderId="22" xfId="191" applyFont="1" applyFill="1" applyBorder="1" applyAlignment="1">
      <alignment vertical="center"/>
    </xf>
    <xf numFmtId="0" fontId="78" fillId="34" borderId="2" xfId="191" applyFont="1" applyFill="1" applyBorder="1" applyAlignment="1">
      <alignment vertical="center"/>
    </xf>
    <xf numFmtId="0" fontId="78" fillId="34" borderId="19" xfId="191" applyFont="1" applyFill="1" applyBorder="1" applyAlignment="1">
      <alignment vertical="center"/>
    </xf>
    <xf numFmtId="0" fontId="78" fillId="34" borderId="32" xfId="175" applyFont="1" applyFill="1" applyBorder="1" applyAlignment="1">
      <alignment vertical="center"/>
    </xf>
    <xf numFmtId="0" fontId="78" fillId="34" borderId="0" xfId="175" applyFont="1" applyFill="1" applyBorder="1" applyAlignment="1">
      <alignment vertical="center"/>
    </xf>
    <xf numFmtId="0" fontId="78" fillId="34" borderId="33" xfId="175" applyFont="1" applyFill="1" applyBorder="1" applyAlignment="1">
      <alignment vertical="center"/>
    </xf>
    <xf numFmtId="0" fontId="78" fillId="34" borderId="21" xfId="175" applyFont="1" applyFill="1" applyBorder="1" applyAlignment="1">
      <alignment vertical="center"/>
    </xf>
    <xf numFmtId="0" fontId="78" fillId="34" borderId="3" xfId="175" applyFont="1" applyFill="1" applyBorder="1" applyAlignment="1">
      <alignment vertical="center"/>
    </xf>
    <xf numFmtId="0" fontId="78" fillId="34" borderId="25" xfId="175" applyFont="1" applyFill="1" applyBorder="1" applyAlignment="1">
      <alignment vertical="center"/>
    </xf>
    <xf numFmtId="0" fontId="78" fillId="0" borderId="5" xfId="175" applyFont="1" applyFill="1" applyBorder="1" applyAlignment="1">
      <alignment vertical="center" shrinkToFit="1"/>
    </xf>
    <xf numFmtId="0" fontId="77" fillId="0" borderId="26" xfId="189" applyFont="1" applyFill="1" applyBorder="1" applyAlignment="1">
      <alignment horizontal="center" vertical="center" wrapText="1" shrinkToFit="1"/>
    </xf>
    <xf numFmtId="0" fontId="77" fillId="0" borderId="27" xfId="189" applyFont="1" applyFill="1" applyBorder="1" applyAlignment="1">
      <alignment horizontal="center" vertical="center" shrinkToFit="1"/>
    </xf>
    <xf numFmtId="0" fontId="77" fillId="0" borderId="28" xfId="189" applyFont="1" applyFill="1" applyBorder="1" applyAlignment="1">
      <alignment horizontal="center" vertical="center" shrinkToFit="1"/>
    </xf>
    <xf numFmtId="0" fontId="77" fillId="0" borderId="30" xfId="189" applyFont="1" applyFill="1" applyBorder="1" applyAlignment="1">
      <alignment horizontal="center" vertical="center" shrinkToFit="1"/>
    </xf>
    <xf numFmtId="0" fontId="77" fillId="0" borderId="31" xfId="189" applyFont="1" applyFill="1" applyBorder="1" applyAlignment="1">
      <alignment horizontal="center" vertical="center" shrinkToFit="1"/>
    </xf>
    <xf numFmtId="0" fontId="77" fillId="0" borderId="29" xfId="189" applyFont="1" applyFill="1" applyBorder="1" applyAlignment="1">
      <alignment horizontal="center" vertical="center" shrinkToFit="1"/>
    </xf>
    <xf numFmtId="0" fontId="78" fillId="35" borderId="23" xfId="175" applyFont="1" applyFill="1" applyBorder="1" applyAlignment="1">
      <alignment horizontal="center" vertical="center"/>
    </xf>
    <xf numFmtId="0" fontId="77" fillId="0" borderId="5" xfId="0" applyFont="1" applyBorder="1" applyAlignment="1">
      <alignment horizontal="center" vertical="center"/>
    </xf>
    <xf numFmtId="0" fontId="77" fillId="0" borderId="24" xfId="0" applyFont="1" applyBorder="1" applyAlignment="1">
      <alignment horizontal="center" vertical="center"/>
    </xf>
    <xf numFmtId="0" fontId="78" fillId="34" borderId="1" xfId="175" applyFont="1" applyFill="1" applyBorder="1" applyAlignment="1">
      <alignment horizontal="left"/>
    </xf>
    <xf numFmtId="0" fontId="78" fillId="0" borderId="23" xfId="175" applyFont="1" applyBorder="1" applyAlignment="1">
      <alignment horizontal="center"/>
    </xf>
    <xf numFmtId="0" fontId="78" fillId="0" borderId="24" xfId="175" applyFont="1" applyBorder="1" applyAlignment="1">
      <alignment horizontal="center"/>
    </xf>
    <xf numFmtId="0" fontId="78" fillId="34" borderId="23" xfId="175" applyFont="1" applyFill="1" applyBorder="1" applyAlignment="1"/>
    <xf numFmtId="0" fontId="78" fillId="34" borderId="5" xfId="175" applyFont="1" applyFill="1" applyBorder="1" applyAlignment="1"/>
    <xf numFmtId="0" fontId="78" fillId="34" borderId="24" xfId="175" applyFont="1" applyFill="1" applyBorder="1" applyAlignment="1"/>
    <xf numFmtId="179" fontId="78" fillId="0" borderId="23" xfId="175" applyNumberFormat="1" applyFont="1" applyBorder="1" applyAlignment="1">
      <alignment horizontal="right"/>
    </xf>
    <xf numFmtId="179" fontId="78" fillId="0" borderId="5" xfId="175" applyNumberFormat="1" applyFont="1" applyBorder="1" applyAlignment="1">
      <alignment horizontal="right"/>
    </xf>
    <xf numFmtId="0" fontId="78" fillId="0" borderId="5" xfId="191" applyFont="1" applyFill="1" applyBorder="1" applyAlignment="1">
      <alignment horizontal="center" vertical="center"/>
    </xf>
    <xf numFmtId="3" fontId="78" fillId="0" borderId="23" xfId="195" quotePrefix="1" applyNumberFormat="1" applyFont="1" applyFill="1" applyBorder="1" applyAlignment="1">
      <alignment horizontal="center" vertical="center" wrapText="1"/>
    </xf>
    <xf numFmtId="3" fontId="78" fillId="0" borderId="5" xfId="195" quotePrefix="1" applyNumberFormat="1" applyFont="1" applyFill="1" applyBorder="1" applyAlignment="1">
      <alignment horizontal="center" vertical="center" wrapText="1"/>
    </xf>
    <xf numFmtId="3" fontId="78" fillId="0" borderId="24" xfId="195" quotePrefix="1" applyNumberFormat="1" applyFont="1" applyFill="1" applyBorder="1" applyAlignment="1">
      <alignment horizontal="center" vertical="center" wrapText="1"/>
    </xf>
  </cellXfs>
  <cellStyles count="227">
    <cellStyle name="??" xfId="1"/>
    <cellStyle name="?? [0.00]_PERSONAL" xfId="2"/>
    <cellStyle name="???? [0.00]_PERSONAL" xfId="3"/>
    <cellStyle name="????_PERSONAL" xfId="4"/>
    <cellStyle name="??_PERSONAL" xfId="5"/>
    <cellStyle name="11.5" xfId="6"/>
    <cellStyle name="20% - アクセント 1" xfId="7" builtinId="30" customBuiltin="1"/>
    <cellStyle name="20% - アクセント 2" xfId="8" builtinId="34" customBuiltin="1"/>
    <cellStyle name="20% - アクセント 3" xfId="9" builtinId="38" customBuiltin="1"/>
    <cellStyle name="20% - アクセント 4" xfId="10" builtinId="42" customBuiltin="1"/>
    <cellStyle name="20% - アクセント 5" xfId="11" builtinId="46" customBuiltin="1"/>
    <cellStyle name="20% - アクセント 6" xfId="12" builtinId="50" customBuiltin="1"/>
    <cellStyle name="40% - アクセント 1" xfId="13" builtinId="31" customBuiltin="1"/>
    <cellStyle name="40% - アクセント 2" xfId="14" builtinId="35" customBuiltin="1"/>
    <cellStyle name="40% - アクセント 3" xfId="15" builtinId="39" customBuiltin="1"/>
    <cellStyle name="40% - アクセント 4" xfId="16" builtinId="43" customBuiltin="1"/>
    <cellStyle name="40% - アクセント 5" xfId="17" builtinId="47" customBuiltin="1"/>
    <cellStyle name="40% - アクセント 6" xfId="18" builtinId="51" customBuiltin="1"/>
    <cellStyle name="60% - アクセント 1" xfId="19" builtinId="32" customBuiltin="1"/>
    <cellStyle name="60% - アクセント 2" xfId="20" builtinId="36" customBuiltin="1"/>
    <cellStyle name="60% - アクセント 3" xfId="21" builtinId="40" customBuiltin="1"/>
    <cellStyle name="60% - アクセント 4" xfId="22" builtinId="44" customBuiltin="1"/>
    <cellStyle name="60% - アクセント 5" xfId="23" builtinId="48" customBuiltin="1"/>
    <cellStyle name="60% - アクセント 6" xfId="24" builtinId="52" customBuiltin="1"/>
    <cellStyle name="ando" xfId="25"/>
    <cellStyle name="B10" xfId="26"/>
    <cellStyle name="Background" xfId="27"/>
    <cellStyle name="BD標準" xfId="28"/>
    <cellStyle name="blank" xfId="29"/>
    <cellStyle name="Border" xfId="30"/>
    <cellStyle name="Calc Currency (0)" xfId="31"/>
    <cellStyle name="Calc Currency (2)" xfId="32"/>
    <cellStyle name="Calc Percent (0)" xfId="33"/>
    <cellStyle name="Calc Percent (1)" xfId="34"/>
    <cellStyle name="Calc Percent (2)" xfId="35"/>
    <cellStyle name="Calc Units (0)" xfId="36"/>
    <cellStyle name="Calc Units (1)" xfId="37"/>
    <cellStyle name="Calc Units (2)" xfId="38"/>
    <cellStyle name="category" xfId="39"/>
    <cellStyle name="Comma  - Style1" xfId="40"/>
    <cellStyle name="Comma  - Style2" xfId="41"/>
    <cellStyle name="Comma  - Style3" xfId="42"/>
    <cellStyle name="Comma  - Style4" xfId="43"/>
    <cellStyle name="Comma  - Style5" xfId="44"/>
    <cellStyle name="Comma  - Style6" xfId="45"/>
    <cellStyle name="Comma  - Style7" xfId="46"/>
    <cellStyle name="Comma  - Style8" xfId="47"/>
    <cellStyle name="Comma [0]" xfId="48"/>
    <cellStyle name="Comma [00]" xfId="49"/>
    <cellStyle name="comma zerodec" xfId="50"/>
    <cellStyle name="Comma_#6 Temps &amp; Contractors" xfId="51"/>
    <cellStyle name="Comma0" xfId="52"/>
    <cellStyle name="COMP定番表書式" xfId="53"/>
    <cellStyle name="Currency [0]" xfId="54"/>
    <cellStyle name="Currency [00]" xfId="55"/>
    <cellStyle name="Currency_#6 Temps &amp; Contractors" xfId="56"/>
    <cellStyle name="Currency0" xfId="57"/>
    <cellStyle name="Currency1" xfId="58"/>
    <cellStyle name="Date Short" xfId="59"/>
    <cellStyle name="DDD" xfId="60"/>
    <cellStyle name="Dollar (zero dec)" xfId="61"/>
    <cellStyle name="Enter Currency (0)" xfId="62"/>
    <cellStyle name="Enter Currency (2)" xfId="63"/>
    <cellStyle name="Enter Units (0)" xfId="64"/>
    <cellStyle name="Enter Units (1)" xfId="65"/>
    <cellStyle name="Enter Units (2)" xfId="66"/>
    <cellStyle name="entry" xfId="67"/>
    <cellStyle name="fuji" xfId="68"/>
    <cellStyle name="Grey" xfId="69"/>
    <cellStyle name="Header" xfId="70"/>
    <cellStyle name="Header 1" xfId="198"/>
    <cellStyle name="Header 2" xfId="199"/>
    <cellStyle name="Header Center" xfId="200"/>
    <cellStyle name="Header1" xfId="71"/>
    <cellStyle name="Header2" xfId="72"/>
    <cellStyle name="Heading 1" xfId="73"/>
    <cellStyle name="Heading 2" xfId="74"/>
    <cellStyle name="HP Logo" xfId="201"/>
    <cellStyle name="IBM(401K)" xfId="75"/>
    <cellStyle name="Input [yellow]" xfId="76"/>
    <cellStyle name="J401K" xfId="77"/>
    <cellStyle name="kyuujitu" xfId="78"/>
    <cellStyle name="Link Currency (0)" xfId="79"/>
    <cellStyle name="Link Currency (2)" xfId="80"/>
    <cellStyle name="Link Units (0)" xfId="81"/>
    <cellStyle name="Link Units (1)" xfId="82"/>
    <cellStyle name="Link Units (2)" xfId="83"/>
    <cellStyle name="Milliers [0]_AR1194" xfId="84"/>
    <cellStyle name="Milliers_AR1194" xfId="85"/>
    <cellStyle name="Model" xfId="86"/>
    <cellStyle name="Mon騁aire [0]_AR1194" xfId="87"/>
    <cellStyle name="Mon騁aire_AR1194" xfId="88"/>
    <cellStyle name="Normal - Style1" xfId="89"/>
    <cellStyle name="Normal_# 41-Market &amp;Trends" xfId="90"/>
    <cellStyle name="Percent (0)" xfId="91"/>
    <cellStyle name="Percent [0]" xfId="92"/>
    <cellStyle name="Percent [00]" xfId="93"/>
    <cellStyle name="Percent [2]" xfId="94"/>
    <cellStyle name="Percent_#6 Temps &amp; Contractors" xfId="95"/>
    <cellStyle name="PrePop Currency (0)" xfId="96"/>
    <cellStyle name="PrePop Currency (2)" xfId="97"/>
    <cellStyle name="PrePop Units (0)" xfId="98"/>
    <cellStyle name="PrePop Units (1)" xfId="99"/>
    <cellStyle name="PrePop Units (2)" xfId="100"/>
    <cellStyle name="price" xfId="101"/>
    <cellStyle name="PSChar" xfId="102"/>
    <cellStyle name="PSDate" xfId="103"/>
    <cellStyle name="PSDec" xfId="104"/>
    <cellStyle name="PSHeading" xfId="105"/>
    <cellStyle name="PSInt" xfId="106"/>
    <cellStyle name="PSSpacer" xfId="107"/>
    <cellStyle name="revised" xfId="108"/>
    <cellStyle name="section" xfId="109"/>
    <cellStyle name="subhead" xfId="110"/>
    <cellStyle name="Table Entry" xfId="202"/>
    <cellStyle name="Table Heading" xfId="203"/>
    <cellStyle name="Table Heading Center" xfId="204"/>
    <cellStyle name="Table Medium" xfId="205"/>
    <cellStyle name="Table Normal" xfId="206"/>
    <cellStyle name="Table Small" xfId="207"/>
    <cellStyle name="Table Small Bold" xfId="208"/>
    <cellStyle name="Table Small Center" xfId="209"/>
    <cellStyle name="Table Title" xfId="210"/>
    <cellStyle name="Text Indent A" xfId="111"/>
    <cellStyle name="Text Indent B" xfId="112"/>
    <cellStyle name="Text Indent C" xfId="113"/>
    <cellStyle name="title" xfId="114"/>
    <cellStyle name="Total" xfId="115"/>
    <cellStyle name="アクセント 1" xfId="116" builtinId="29" customBuiltin="1"/>
    <cellStyle name="アクセント 2" xfId="117" builtinId="33" customBuiltin="1"/>
    <cellStyle name="アクセント 3" xfId="118" builtinId="37" customBuiltin="1"/>
    <cellStyle name="アクセント 4" xfId="119" builtinId="41" customBuiltin="1"/>
    <cellStyle name="アクセント 5" xfId="120" builtinId="45" customBuiltin="1"/>
    <cellStyle name="アクセント 6" xfId="121" builtinId="49" customBuiltin="1"/>
    <cellStyle name="スタイル 1" xfId="211"/>
    <cellStyle name="すたいる１" xfId="122"/>
    <cellStyle name="センター" xfId="123"/>
    <cellStyle name="タイトル" xfId="124" builtinId="15" customBuiltin="1"/>
    <cellStyle name="チェック セル" xfId="125" builtinId="23" customBuiltin="1"/>
    <cellStyle name="チャート" xfId="126"/>
    <cellStyle name="テーブル定義書" xfId="127"/>
    <cellStyle name="ドキュメント標準" xfId="128"/>
    <cellStyle name="どちらでもない" xfId="129" builtinId="28" customBuiltin="1"/>
    <cellStyle name="パラメータ" xfId="212"/>
    <cellStyle name="メモ" xfId="130" builtinId="10" customBuiltin="1"/>
    <cellStyle name="リンク セル" xfId="131" builtinId="24" customBuiltin="1"/>
    <cellStyle name="_x001d_・_x000c_ﾏ・_x000d_ﾂ・_x0001__x0016__x0011_F5_x0007__x0001__x0001_" xfId="187"/>
    <cellStyle name="_x001d__x000c_K_x0014__x000d_&gt;V_x0001_&gt;_x0014_n_x001e__x0007__x0001__x0001_" xfId="188"/>
    <cellStyle name="悪い" xfId="132" builtinId="27" customBuiltin="1"/>
    <cellStyle name="下点線" xfId="133"/>
    <cellStyle name="価格桁区切り" xfId="134"/>
    <cellStyle name="議事録" xfId="135"/>
    <cellStyle name="型番" xfId="136"/>
    <cellStyle name="計算" xfId="137" builtinId="22" customBuiltin="1"/>
    <cellStyle name="警告文" xfId="138" builtinId="11" customBuiltin="1"/>
    <cellStyle name="桁蟻唇Ｆ [0.00]_laroux" xfId="139"/>
    <cellStyle name="桁蟻唇Ｆ_laroux" xfId="140"/>
    <cellStyle name="桁区切り [0.00]???瑳?倨???渭湯??:l search ; *.xla; *.xlt; *.xlm; *t match these search criteria:" xfId="141"/>
    <cellStyle name="桁区切り 2" xfId="142"/>
    <cellStyle name="桁区切り 3" xfId="213"/>
    <cellStyle name="見出し 1" xfId="143" builtinId="16" customBuiltin="1"/>
    <cellStyle name="見出し 2" xfId="144" builtinId="17" customBuiltin="1"/>
    <cellStyle name="見出し 3" xfId="145" builtinId="18" customBuiltin="1"/>
    <cellStyle name="見出し 4" xfId="146" builtinId="19" customBuiltin="1"/>
    <cellStyle name="在庫" xfId="147"/>
    <cellStyle name="仕様書標準" xfId="148"/>
    <cellStyle name="集計" xfId="149" builtinId="25" customBuiltin="1"/>
    <cellStyle name="出力" xfId="150" builtinId="21" customBuiltin="1"/>
    <cellStyle name="人月" xfId="151"/>
    <cellStyle name="数値" xfId="152"/>
    <cellStyle name="数値（桁区切り）" xfId="153"/>
    <cellStyle name="数値_0413ｻｲｼﾞﾝｸﾞ報告会ﾒﾓ" xfId="154"/>
    <cellStyle name="製品通知&quot;-&quot;" xfId="155"/>
    <cellStyle name="製品通知価格" xfId="156"/>
    <cellStyle name="製品通知日付" xfId="157"/>
    <cellStyle name="製品通知文字列" xfId="158"/>
    <cellStyle name="折り返し明細" xfId="159"/>
    <cellStyle name="説明文" xfId="160" builtinId="53" customBuiltin="1"/>
    <cellStyle name="大見出し" xfId="161"/>
    <cellStyle name="脱浦 [0.00]_laroux" xfId="162"/>
    <cellStyle name="脱浦_laroux" xfId="163"/>
    <cellStyle name="通貨 [0.00]0]???瑳?倨???渭湯畳?????earch ;riteria *.xlt; *.xlm;hat match these searc" xfId="164"/>
    <cellStyle name="日付" xfId="165"/>
    <cellStyle name="入力" xfId="166" builtinId="20" customBuiltin="1"/>
    <cellStyle name="年月日" xfId="167"/>
    <cellStyle name="破線" xfId="168"/>
    <cellStyle name="標準" xfId="0" builtinId="0"/>
    <cellStyle name="標準 10" xfId="214"/>
    <cellStyle name="標準 10 2" xfId="215"/>
    <cellStyle name="標準 11" xfId="216"/>
    <cellStyle name="標準 12" xfId="217"/>
    <cellStyle name="標準 2" xfId="169"/>
    <cellStyle name="標準 2 2" xfId="218"/>
    <cellStyle name="標準 2_051. 予算管理業務" xfId="219"/>
    <cellStyle name="標準 3" xfId="170"/>
    <cellStyle name="標準 3 2" xfId="171"/>
    <cellStyle name="標準 3 3" xfId="172"/>
    <cellStyle name="標準 3 4" xfId="220"/>
    <cellStyle name="標準 3_01_全体業務配置_2" xfId="173"/>
    <cellStyle name="標準 4" xfId="174"/>
    <cellStyle name="標準 5" xfId="175"/>
    <cellStyle name="標準 5 2" xfId="221"/>
    <cellStyle name="標準 6" xfId="176"/>
    <cellStyle name="標準 7" xfId="222"/>
    <cellStyle name="標準 8" xfId="223"/>
    <cellStyle name="標準 9" xfId="224"/>
    <cellStyle name="標準 9 2" xfId="225"/>
    <cellStyle name="標準_02. テーブルレイアウト定義 2" xfId="196"/>
    <cellStyle name="標準_080.論理ファイル設計(ﾌｧｲﾙﾚｲｱｳﾄ)_20050518" xfId="194"/>
    <cellStyle name="標準_080.論理ファイル設計(ﾌｧｲﾙﾚｲｱｳﾄ)_20050518_1.4.2. 中間ファイルレイアウト 2" xfId="195"/>
    <cellStyle name="標準_080.論理ファイル設計(ﾌｧｲﾙﾚｲｱｳﾄ)_20050518_1.4.2. 中間ファイルレイアウト_中間ファイルレイアウト（BMS）" xfId="197"/>
    <cellStyle name="標準_080.論理ファイル設計(ﾌｧｲﾙﾚｲｱｳﾄ)_20050518_3-1-3-3.ファイルレイアウト定義_1.4.2. 中間ファイルレイアウト 2" xfId="191"/>
    <cellStyle name="標準_080.論理ファイル設計(ﾌｧｲﾙﾚｲｱｳﾄ)_20050518_3-1-3-3.ファイルレイアウト定義_1.4.2. 中間ファイルレイアウト_⊂中間ファイルレイアウト⊃" xfId="193"/>
    <cellStyle name="標準_080.論理ファイル設計(ﾌｧｲﾙﾚｲｱｳﾄ)_20050518_3-1-3-3.ファイルレイアウト定義_1.4.2. 中間ファイルレイアウト_中間ファイルレイアウト（BMS）" xfId="192"/>
    <cellStyle name="標準_080.論理ファイル設計(ﾌｧｲﾙﾚｲｱｳﾄ)_20050518_UIドキュメント_3-3-1-2.画面一覧_02 機能関連図_期末処理_扱業務フロー_1-1-1. 業務機能一覧" xfId="226"/>
    <cellStyle name="標準_080.論理ファイル設計(ﾌｧｲﾙﾚｲｱｳﾄ)_20050518_UIドキュメント_3-3-1-2.画面一覧_02 機能関連図_棚卸付上明細修正" xfId="189"/>
    <cellStyle name="標準_080.論理ファイル設計(ﾌｧｲﾙﾚｲｱｳﾄ)_20050518_UIドキュメント_3-3-1-2.画面一覧_02 機能関連図_棚卸付上明細修正_1-3-3-04. 共通在庫違算高入力" xfId="190"/>
    <cellStyle name="標準1" xfId="177"/>
    <cellStyle name="標準10" xfId="178"/>
    <cellStyle name="標準12" xfId="179"/>
    <cellStyle name="表旨巧・・ハイパーリンク" xfId="180"/>
    <cellStyle name="文字" xfId="181"/>
    <cellStyle name="文字列" xfId="182"/>
    <cellStyle name="未定義" xfId="183"/>
    <cellStyle name="網掛け" xfId="184"/>
    <cellStyle name="良い" xfId="185" builtinId="26" customBuiltin="1"/>
    <cellStyle name="樘準_購－表紙 (2)_1_型－PRINT_ＳＩ型番 (2)_構成明細  (原調込み） (2)" xfId="186"/>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1"/>
        <xdr:cNvSpPr>
          <a:spLocks noChangeShapeType="1"/>
        </xdr:cNvSpPr>
      </xdr:nvSpPr>
      <xdr:spPr bwMode="auto">
        <a:xfrm flipH="1">
          <a:off x="15716250" y="180975"/>
          <a:ext cx="25717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my\&#33258;&#24049;&#26619;&#23450;\WINDOWS\TEMP\&#26696;&#20214;&#31649;&#297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表"/>
      <sheetName val="実績報告"/>
      <sheetName val="実施状況"/>
      <sheetName val="ﾜｰｸｼｰﾄ"/>
      <sheetName val="案件元帳"/>
      <sheetName val="マクロ"/>
      <sheetName val="座席"/>
      <sheetName val="表紙"/>
      <sheetName val="改訂履歴"/>
      <sheetName val="1"/>
      <sheetName val="2-3"/>
      <sheetName val="【設定シート】"/>
      <sheetName val="設定"/>
    </sheetNames>
    <sheetDataSet>
      <sheetData sheetId="0" refreshError="1"/>
      <sheetData sheetId="1" refreshError="1"/>
      <sheetData sheetId="2" refreshError="1"/>
      <sheetData sheetId="3" refreshError="1"/>
      <sheetData sheetId="4" refreshError="1">
        <row r="5">
          <cell r="A5">
            <v>5</v>
          </cell>
          <cell r="C5">
            <v>351</v>
          </cell>
        </row>
        <row r="6">
          <cell r="C6">
            <v>183</v>
          </cell>
        </row>
        <row r="7">
          <cell r="C7">
            <v>419</v>
          </cell>
        </row>
        <row r="8">
          <cell r="C8">
            <v>339</v>
          </cell>
        </row>
        <row r="9">
          <cell r="C9">
            <v>3</v>
          </cell>
        </row>
        <row r="10">
          <cell r="C10">
            <v>111</v>
          </cell>
        </row>
        <row r="11">
          <cell r="C11">
            <v>410</v>
          </cell>
        </row>
        <row r="12">
          <cell r="C12">
            <v>452</v>
          </cell>
        </row>
        <row r="13">
          <cell r="C13">
            <v>465</v>
          </cell>
        </row>
        <row r="14">
          <cell r="C14">
            <v>501</v>
          </cell>
        </row>
        <row r="15">
          <cell r="C15">
            <v>525</v>
          </cell>
        </row>
        <row r="16">
          <cell r="C16">
            <v>3</v>
          </cell>
        </row>
        <row r="17">
          <cell r="C17">
            <v>53</v>
          </cell>
        </row>
        <row r="18">
          <cell r="C18">
            <v>69</v>
          </cell>
        </row>
        <row r="19">
          <cell r="C19">
            <v>70</v>
          </cell>
        </row>
        <row r="20">
          <cell r="C20">
            <v>81</v>
          </cell>
        </row>
        <row r="21">
          <cell r="C21">
            <v>88</v>
          </cell>
        </row>
        <row r="22">
          <cell r="C22">
            <v>93</v>
          </cell>
        </row>
        <row r="23">
          <cell r="C23">
            <v>104</v>
          </cell>
        </row>
        <row r="24">
          <cell r="C24">
            <v>106</v>
          </cell>
        </row>
        <row r="25">
          <cell r="C25">
            <v>114</v>
          </cell>
        </row>
        <row r="26">
          <cell r="C26">
            <v>123</v>
          </cell>
        </row>
        <row r="27">
          <cell r="C27">
            <v>161</v>
          </cell>
        </row>
        <row r="28">
          <cell r="C28">
            <v>169</v>
          </cell>
        </row>
        <row r="29">
          <cell r="C29">
            <v>170</v>
          </cell>
        </row>
        <row r="30">
          <cell r="C30">
            <v>223</v>
          </cell>
        </row>
        <row r="31">
          <cell r="C31">
            <v>224</v>
          </cell>
        </row>
        <row r="32">
          <cell r="C32">
            <v>225</v>
          </cell>
        </row>
        <row r="33">
          <cell r="C33">
            <v>235</v>
          </cell>
        </row>
        <row r="34">
          <cell r="C34">
            <v>238</v>
          </cell>
        </row>
        <row r="35">
          <cell r="C35">
            <v>239</v>
          </cell>
        </row>
        <row r="36">
          <cell r="C36">
            <v>240</v>
          </cell>
        </row>
        <row r="37">
          <cell r="C37">
            <v>261</v>
          </cell>
        </row>
        <row r="38">
          <cell r="C38">
            <v>278</v>
          </cell>
        </row>
        <row r="39">
          <cell r="C39">
            <v>278</v>
          </cell>
        </row>
        <row r="40">
          <cell r="C40">
            <v>279</v>
          </cell>
        </row>
        <row r="41">
          <cell r="C41">
            <v>280</v>
          </cell>
        </row>
        <row r="42">
          <cell r="C42">
            <v>281</v>
          </cell>
        </row>
        <row r="43">
          <cell r="C43">
            <v>282</v>
          </cell>
        </row>
        <row r="44">
          <cell r="C44">
            <v>284</v>
          </cell>
        </row>
        <row r="45">
          <cell r="C45">
            <v>285</v>
          </cell>
        </row>
        <row r="46">
          <cell r="C46">
            <v>286</v>
          </cell>
        </row>
        <row r="47">
          <cell r="C47">
            <v>287</v>
          </cell>
        </row>
        <row r="48">
          <cell r="C48">
            <v>289</v>
          </cell>
        </row>
        <row r="49">
          <cell r="C49">
            <v>301</v>
          </cell>
        </row>
        <row r="50">
          <cell r="C50">
            <v>302</v>
          </cell>
        </row>
        <row r="51">
          <cell r="C51">
            <v>317</v>
          </cell>
        </row>
        <row r="52">
          <cell r="C52">
            <v>334</v>
          </cell>
        </row>
        <row r="53">
          <cell r="C53">
            <v>350</v>
          </cell>
        </row>
        <row r="54">
          <cell r="C54">
            <v>352</v>
          </cell>
        </row>
        <row r="55">
          <cell r="C55">
            <v>353</v>
          </cell>
        </row>
        <row r="56">
          <cell r="C56">
            <v>356</v>
          </cell>
        </row>
        <row r="57">
          <cell r="C57">
            <v>358</v>
          </cell>
        </row>
        <row r="58">
          <cell r="C58">
            <v>363</v>
          </cell>
        </row>
        <row r="59">
          <cell r="C59">
            <v>384</v>
          </cell>
        </row>
        <row r="60">
          <cell r="C60">
            <v>386</v>
          </cell>
        </row>
        <row r="61">
          <cell r="C61">
            <v>400</v>
          </cell>
        </row>
        <row r="62">
          <cell r="C62">
            <v>403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33"/>
  <sheetViews>
    <sheetView showGridLines="0" view="pageBreakPreview" zoomScale="85" zoomScaleNormal="100" zoomScaleSheetLayoutView="85" workbookViewId="0">
      <pane xSplit="6" ySplit="4" topLeftCell="G5" activePane="bottomRight" state="frozen"/>
      <selection pane="topRight" activeCell="G1" sqref="G1"/>
      <selection pane="bottomLeft" activeCell="A5" sqref="A5"/>
      <selection pane="bottomRight" activeCell="G5" sqref="G5:L5"/>
    </sheetView>
  </sheetViews>
  <sheetFormatPr defaultColWidth="2.625" defaultRowHeight="11.25" customHeight="1"/>
  <cols>
    <col min="1" max="16384" width="2.625" style="2"/>
  </cols>
  <sheetData>
    <row r="1" spans="1:43" ht="14.25">
      <c r="A1" s="1" t="s">
        <v>5</v>
      </c>
      <c r="AD1" s="3"/>
      <c r="AE1" s="3"/>
      <c r="AF1" s="3"/>
      <c r="AG1" s="4"/>
      <c r="AH1" s="4"/>
      <c r="AI1" s="4"/>
      <c r="AJ1" s="4"/>
      <c r="AK1" s="5"/>
      <c r="AL1" s="6"/>
      <c r="AM1" s="3"/>
      <c r="AN1" s="3"/>
      <c r="AO1" s="3"/>
      <c r="AP1" s="3"/>
      <c r="AQ1" s="3"/>
    </row>
    <row r="4" spans="1:43" ht="11.25" customHeight="1">
      <c r="A4" s="81" t="s">
        <v>6</v>
      </c>
      <c r="B4" s="82"/>
      <c r="C4" s="83" t="s">
        <v>7</v>
      </c>
      <c r="D4" s="83"/>
      <c r="E4" s="83"/>
      <c r="F4" s="84"/>
      <c r="G4" s="83" t="s">
        <v>8</v>
      </c>
      <c r="H4" s="83"/>
      <c r="I4" s="83"/>
      <c r="J4" s="83"/>
      <c r="K4" s="83"/>
      <c r="L4" s="83"/>
      <c r="M4" s="83" t="s">
        <v>9</v>
      </c>
      <c r="N4" s="83"/>
      <c r="O4" s="83"/>
      <c r="P4" s="83"/>
      <c r="Q4" s="83"/>
      <c r="R4" s="83"/>
      <c r="S4" s="83"/>
      <c r="T4" s="83"/>
      <c r="U4" s="83"/>
      <c r="V4" s="83"/>
      <c r="W4" s="83"/>
      <c r="X4" s="83"/>
      <c r="Y4" s="83"/>
      <c r="Z4" s="83"/>
      <c r="AA4" s="83"/>
      <c r="AB4" s="81" t="s">
        <v>10</v>
      </c>
      <c r="AC4" s="87"/>
      <c r="AD4" s="87"/>
      <c r="AE4" s="82"/>
      <c r="AF4" s="83" t="s">
        <v>11</v>
      </c>
      <c r="AG4" s="83"/>
      <c r="AH4" s="83"/>
      <c r="AI4" s="83"/>
      <c r="AJ4" s="83"/>
      <c r="AK4" s="83"/>
      <c r="AL4" s="83"/>
    </row>
    <row r="5" spans="1:43" ht="27" customHeight="1">
      <c r="A5" s="72">
        <f>IF(M5="","",ROW()-4)</f>
        <v>1</v>
      </c>
      <c r="B5" s="73"/>
      <c r="C5" s="85">
        <v>42964</v>
      </c>
      <c r="D5" s="75"/>
      <c r="E5" s="75"/>
      <c r="F5" s="76"/>
      <c r="G5" s="86" t="s">
        <v>14</v>
      </c>
      <c r="H5" s="86"/>
      <c r="I5" s="86"/>
      <c r="J5" s="86"/>
      <c r="K5" s="86"/>
      <c r="L5" s="86"/>
      <c r="M5" s="86" t="s">
        <v>15</v>
      </c>
      <c r="N5" s="86"/>
      <c r="O5" s="86"/>
      <c r="P5" s="86"/>
      <c r="Q5" s="86"/>
      <c r="R5" s="86"/>
      <c r="S5" s="86"/>
      <c r="T5" s="86"/>
      <c r="U5" s="86"/>
      <c r="V5" s="86"/>
      <c r="W5" s="86"/>
      <c r="X5" s="86"/>
      <c r="Y5" s="86"/>
      <c r="Z5" s="86"/>
      <c r="AA5" s="86"/>
      <c r="AB5" s="69" t="s">
        <v>51</v>
      </c>
      <c r="AC5" s="79"/>
      <c r="AD5" s="79"/>
      <c r="AE5" s="80"/>
      <c r="AF5" s="69"/>
      <c r="AG5" s="70"/>
      <c r="AH5" s="70"/>
      <c r="AI5" s="70"/>
      <c r="AJ5" s="70"/>
      <c r="AK5" s="70"/>
      <c r="AL5" s="71"/>
    </row>
    <row r="6" spans="1:43" ht="27" customHeight="1">
      <c r="A6" s="72" t="str">
        <f t="shared" ref="A6:A22" si="0">IF(M6="","",ROW()-4)</f>
        <v/>
      </c>
      <c r="B6" s="73"/>
      <c r="C6" s="74"/>
      <c r="D6" s="75"/>
      <c r="E6" s="75"/>
      <c r="F6" s="76"/>
      <c r="G6" s="77"/>
      <c r="H6" s="77"/>
      <c r="I6" s="77"/>
      <c r="J6" s="77"/>
      <c r="K6" s="77"/>
      <c r="L6" s="77"/>
      <c r="M6" s="77"/>
      <c r="N6" s="77"/>
      <c r="O6" s="77"/>
      <c r="P6" s="77"/>
      <c r="Q6" s="77"/>
      <c r="R6" s="77"/>
      <c r="S6" s="77"/>
      <c r="T6" s="77"/>
      <c r="U6" s="77"/>
      <c r="V6" s="77"/>
      <c r="W6" s="77"/>
      <c r="X6" s="77"/>
      <c r="Y6" s="77"/>
      <c r="Z6" s="77"/>
      <c r="AA6" s="77"/>
      <c r="AB6" s="69"/>
      <c r="AC6" s="79"/>
      <c r="AD6" s="79"/>
      <c r="AE6" s="80"/>
      <c r="AF6" s="69"/>
      <c r="AG6" s="70"/>
      <c r="AH6" s="70"/>
      <c r="AI6" s="70"/>
      <c r="AJ6" s="70"/>
      <c r="AK6" s="70"/>
      <c r="AL6" s="71"/>
    </row>
    <row r="7" spans="1:43" ht="27" customHeight="1">
      <c r="A7" s="72" t="str">
        <f t="shared" si="0"/>
        <v/>
      </c>
      <c r="B7" s="73"/>
      <c r="C7" s="74"/>
      <c r="D7" s="75"/>
      <c r="E7" s="75"/>
      <c r="F7" s="76"/>
      <c r="G7" s="77"/>
      <c r="H7" s="77"/>
      <c r="I7" s="77"/>
      <c r="J7" s="77"/>
      <c r="K7" s="77"/>
      <c r="L7" s="77"/>
      <c r="M7" s="77"/>
      <c r="N7" s="77"/>
      <c r="O7" s="77"/>
      <c r="P7" s="77"/>
      <c r="Q7" s="77"/>
      <c r="R7" s="77"/>
      <c r="S7" s="77"/>
      <c r="T7" s="77"/>
      <c r="U7" s="77"/>
      <c r="V7" s="77"/>
      <c r="W7" s="77"/>
      <c r="X7" s="77"/>
      <c r="Y7" s="77"/>
      <c r="Z7" s="77"/>
      <c r="AA7" s="77"/>
      <c r="AB7" s="69"/>
      <c r="AC7" s="79"/>
      <c r="AD7" s="79"/>
      <c r="AE7" s="80"/>
      <c r="AF7" s="69"/>
      <c r="AG7" s="70"/>
      <c r="AH7" s="70"/>
      <c r="AI7" s="70"/>
      <c r="AJ7" s="70"/>
      <c r="AK7" s="70"/>
      <c r="AL7" s="71"/>
    </row>
    <row r="8" spans="1:43" ht="27" customHeight="1">
      <c r="A8" s="72" t="str">
        <f t="shared" si="0"/>
        <v/>
      </c>
      <c r="B8" s="73"/>
      <c r="C8" s="74"/>
      <c r="D8" s="75"/>
      <c r="E8" s="75"/>
      <c r="F8" s="76"/>
      <c r="G8" s="77"/>
      <c r="H8" s="77"/>
      <c r="I8" s="77"/>
      <c r="J8" s="77"/>
      <c r="K8" s="77"/>
      <c r="L8" s="77"/>
      <c r="M8" s="77"/>
      <c r="N8" s="77"/>
      <c r="O8" s="77"/>
      <c r="P8" s="77"/>
      <c r="Q8" s="77"/>
      <c r="R8" s="77"/>
      <c r="S8" s="77"/>
      <c r="T8" s="77"/>
      <c r="U8" s="77"/>
      <c r="V8" s="77"/>
      <c r="W8" s="77"/>
      <c r="X8" s="77"/>
      <c r="Y8" s="77"/>
      <c r="Z8" s="77"/>
      <c r="AA8" s="77"/>
      <c r="AB8" s="69"/>
      <c r="AC8" s="79"/>
      <c r="AD8" s="79"/>
      <c r="AE8" s="80"/>
      <c r="AF8" s="69"/>
      <c r="AG8" s="70"/>
      <c r="AH8" s="70"/>
      <c r="AI8" s="70"/>
      <c r="AJ8" s="70"/>
      <c r="AK8" s="70"/>
      <c r="AL8" s="71"/>
    </row>
    <row r="9" spans="1:43" ht="27" customHeight="1">
      <c r="A9" s="72" t="str">
        <f t="shared" si="0"/>
        <v/>
      </c>
      <c r="B9" s="73"/>
      <c r="C9" s="74"/>
      <c r="D9" s="75"/>
      <c r="E9" s="75"/>
      <c r="F9" s="76"/>
      <c r="G9" s="77"/>
      <c r="H9" s="77"/>
      <c r="I9" s="77"/>
      <c r="J9" s="77"/>
      <c r="K9" s="77"/>
      <c r="L9" s="77"/>
      <c r="M9" s="77"/>
      <c r="N9" s="77"/>
      <c r="O9" s="77"/>
      <c r="P9" s="77"/>
      <c r="Q9" s="77"/>
      <c r="R9" s="77"/>
      <c r="S9" s="77"/>
      <c r="T9" s="77"/>
      <c r="U9" s="77"/>
      <c r="V9" s="77"/>
      <c r="W9" s="77"/>
      <c r="X9" s="77"/>
      <c r="Y9" s="77"/>
      <c r="Z9" s="77"/>
      <c r="AA9" s="77"/>
      <c r="AB9" s="69"/>
      <c r="AC9" s="79"/>
      <c r="AD9" s="79"/>
      <c r="AE9" s="80"/>
      <c r="AF9" s="69"/>
      <c r="AG9" s="70"/>
      <c r="AH9" s="70"/>
      <c r="AI9" s="70"/>
      <c r="AJ9" s="70"/>
      <c r="AK9" s="70"/>
      <c r="AL9" s="71"/>
    </row>
    <row r="10" spans="1:43" ht="27" customHeight="1">
      <c r="A10" s="72" t="str">
        <f t="shared" si="0"/>
        <v/>
      </c>
      <c r="B10" s="73"/>
      <c r="C10" s="74"/>
      <c r="D10" s="75"/>
      <c r="E10" s="75"/>
      <c r="F10" s="76"/>
      <c r="G10" s="77"/>
      <c r="H10" s="77"/>
      <c r="I10" s="77"/>
      <c r="J10" s="77"/>
      <c r="K10" s="77"/>
      <c r="L10" s="77"/>
      <c r="M10" s="77"/>
      <c r="N10" s="77"/>
      <c r="O10" s="77"/>
      <c r="P10" s="77"/>
      <c r="Q10" s="77"/>
      <c r="R10" s="77"/>
      <c r="S10" s="77"/>
      <c r="T10" s="77"/>
      <c r="U10" s="77"/>
      <c r="V10" s="77"/>
      <c r="W10" s="77"/>
      <c r="X10" s="77"/>
      <c r="Y10" s="77"/>
      <c r="Z10" s="77"/>
      <c r="AA10" s="77"/>
      <c r="AB10" s="69"/>
      <c r="AC10" s="70"/>
      <c r="AD10" s="70"/>
      <c r="AE10" s="71"/>
      <c r="AF10" s="69"/>
      <c r="AG10" s="70"/>
      <c r="AH10" s="70"/>
      <c r="AI10" s="70"/>
      <c r="AJ10" s="70"/>
      <c r="AK10" s="70"/>
      <c r="AL10" s="71"/>
    </row>
    <row r="11" spans="1:43" ht="27" customHeight="1">
      <c r="A11" s="72" t="str">
        <f t="shared" ref="A11" si="1">IF(M11="","",ROW()-4)</f>
        <v/>
      </c>
      <c r="B11" s="73"/>
      <c r="C11" s="74"/>
      <c r="D11" s="75"/>
      <c r="E11" s="75"/>
      <c r="F11" s="76"/>
      <c r="G11" s="77"/>
      <c r="H11" s="77"/>
      <c r="I11" s="77"/>
      <c r="J11" s="77"/>
      <c r="K11" s="77"/>
      <c r="L11" s="77"/>
      <c r="M11" s="77"/>
      <c r="N11" s="77"/>
      <c r="O11" s="77"/>
      <c r="P11" s="77"/>
      <c r="Q11" s="77"/>
      <c r="R11" s="77"/>
      <c r="S11" s="77"/>
      <c r="T11" s="77"/>
      <c r="U11" s="77"/>
      <c r="V11" s="77"/>
      <c r="W11" s="77"/>
      <c r="X11" s="77"/>
      <c r="Y11" s="77"/>
      <c r="Z11" s="77"/>
      <c r="AA11" s="77"/>
      <c r="AB11" s="69"/>
      <c r="AC11" s="70"/>
      <c r="AD11" s="70"/>
      <c r="AE11" s="71"/>
      <c r="AF11" s="69"/>
      <c r="AG11" s="70"/>
      <c r="AH11" s="70"/>
      <c r="AI11" s="70"/>
      <c r="AJ11" s="70"/>
      <c r="AK11" s="70"/>
      <c r="AL11" s="71"/>
    </row>
    <row r="12" spans="1:43" ht="27" customHeight="1">
      <c r="A12" s="72" t="str">
        <f t="shared" si="0"/>
        <v/>
      </c>
      <c r="B12" s="73"/>
      <c r="C12" s="74"/>
      <c r="D12" s="75"/>
      <c r="E12" s="75"/>
      <c r="F12" s="76"/>
      <c r="G12" s="77"/>
      <c r="H12" s="77"/>
      <c r="I12" s="77"/>
      <c r="J12" s="77"/>
      <c r="K12" s="77"/>
      <c r="L12" s="77"/>
      <c r="M12" s="77"/>
      <c r="N12" s="77"/>
      <c r="O12" s="77"/>
      <c r="P12" s="77"/>
      <c r="Q12" s="77"/>
      <c r="R12" s="77"/>
      <c r="S12" s="77"/>
      <c r="T12" s="77"/>
      <c r="U12" s="77"/>
      <c r="V12" s="77"/>
      <c r="W12" s="77"/>
      <c r="X12" s="77"/>
      <c r="Y12" s="77"/>
      <c r="Z12" s="77"/>
      <c r="AA12" s="77"/>
      <c r="AB12" s="69"/>
      <c r="AC12" s="70"/>
      <c r="AD12" s="70"/>
      <c r="AE12" s="71"/>
      <c r="AF12" s="69"/>
      <c r="AG12" s="70"/>
      <c r="AH12" s="70"/>
      <c r="AI12" s="70"/>
      <c r="AJ12" s="70"/>
      <c r="AK12" s="70"/>
      <c r="AL12" s="71"/>
    </row>
    <row r="13" spans="1:43" ht="27" customHeight="1">
      <c r="A13" s="72" t="str">
        <f t="shared" si="0"/>
        <v/>
      </c>
      <c r="B13" s="73"/>
      <c r="C13" s="74"/>
      <c r="D13" s="75"/>
      <c r="E13" s="75"/>
      <c r="F13" s="76"/>
      <c r="G13" s="77"/>
      <c r="H13" s="77"/>
      <c r="I13" s="77"/>
      <c r="J13" s="77"/>
      <c r="K13" s="77"/>
      <c r="L13" s="77"/>
      <c r="M13" s="77"/>
      <c r="N13" s="77"/>
      <c r="O13" s="77"/>
      <c r="P13" s="77"/>
      <c r="Q13" s="77"/>
      <c r="R13" s="77"/>
      <c r="S13" s="77"/>
      <c r="T13" s="77"/>
      <c r="U13" s="77"/>
      <c r="V13" s="77"/>
      <c r="W13" s="77"/>
      <c r="X13" s="77"/>
      <c r="Y13" s="77"/>
      <c r="Z13" s="77"/>
      <c r="AA13" s="77"/>
      <c r="AB13" s="69"/>
      <c r="AC13" s="70"/>
      <c r="AD13" s="70"/>
      <c r="AE13" s="71"/>
      <c r="AF13" s="69"/>
      <c r="AG13" s="70"/>
      <c r="AH13" s="70"/>
      <c r="AI13" s="70"/>
      <c r="AJ13" s="70"/>
      <c r="AK13" s="70"/>
      <c r="AL13" s="71"/>
    </row>
    <row r="14" spans="1:43" ht="27" customHeight="1">
      <c r="A14" s="72" t="str">
        <f t="shared" si="0"/>
        <v/>
      </c>
      <c r="B14" s="73"/>
      <c r="C14" s="74"/>
      <c r="D14" s="75"/>
      <c r="E14" s="75"/>
      <c r="F14" s="76"/>
      <c r="G14" s="77"/>
      <c r="H14" s="77"/>
      <c r="I14" s="77"/>
      <c r="J14" s="77"/>
      <c r="K14" s="77"/>
      <c r="L14" s="77"/>
      <c r="M14" s="77"/>
      <c r="N14" s="77"/>
      <c r="O14" s="77"/>
      <c r="P14" s="77"/>
      <c r="Q14" s="77"/>
      <c r="R14" s="77"/>
      <c r="S14" s="77"/>
      <c r="T14" s="77"/>
      <c r="U14" s="77"/>
      <c r="V14" s="77"/>
      <c r="W14" s="77"/>
      <c r="X14" s="77"/>
      <c r="Y14" s="77"/>
      <c r="Z14" s="77"/>
      <c r="AA14" s="77"/>
      <c r="AB14" s="69"/>
      <c r="AC14" s="70"/>
      <c r="AD14" s="70"/>
      <c r="AE14" s="71"/>
      <c r="AF14" s="69"/>
      <c r="AG14" s="70"/>
      <c r="AH14" s="70"/>
      <c r="AI14" s="70"/>
      <c r="AJ14" s="70"/>
      <c r="AK14" s="70"/>
      <c r="AL14" s="71"/>
    </row>
    <row r="15" spans="1:43" ht="27" customHeight="1">
      <c r="A15" s="72" t="str">
        <f t="shared" si="0"/>
        <v/>
      </c>
      <c r="B15" s="73"/>
      <c r="C15" s="74"/>
      <c r="D15" s="75"/>
      <c r="E15" s="75"/>
      <c r="F15" s="76"/>
      <c r="G15" s="77"/>
      <c r="H15" s="77"/>
      <c r="I15" s="77"/>
      <c r="J15" s="77"/>
      <c r="K15" s="77"/>
      <c r="L15" s="77"/>
      <c r="M15" s="77"/>
      <c r="N15" s="77"/>
      <c r="O15" s="77"/>
      <c r="P15" s="77"/>
      <c r="Q15" s="77"/>
      <c r="R15" s="77"/>
      <c r="S15" s="77"/>
      <c r="T15" s="77"/>
      <c r="U15" s="77"/>
      <c r="V15" s="77"/>
      <c r="W15" s="77"/>
      <c r="X15" s="77"/>
      <c r="Y15" s="77"/>
      <c r="Z15" s="77"/>
      <c r="AA15" s="77"/>
      <c r="AB15" s="78"/>
      <c r="AC15" s="79"/>
      <c r="AD15" s="79"/>
      <c r="AE15" s="80"/>
      <c r="AF15" s="69"/>
      <c r="AG15" s="70"/>
      <c r="AH15" s="70"/>
      <c r="AI15" s="70"/>
      <c r="AJ15" s="70"/>
      <c r="AK15" s="70"/>
      <c r="AL15" s="71"/>
    </row>
    <row r="16" spans="1:43" ht="27" customHeight="1">
      <c r="A16" s="72" t="str">
        <f t="shared" si="0"/>
        <v/>
      </c>
      <c r="B16" s="73"/>
      <c r="C16" s="74"/>
      <c r="D16" s="75"/>
      <c r="E16" s="75"/>
      <c r="F16" s="76"/>
      <c r="G16" s="77"/>
      <c r="H16" s="77"/>
      <c r="I16" s="77"/>
      <c r="J16" s="77"/>
      <c r="K16" s="77"/>
      <c r="L16" s="77"/>
      <c r="M16" s="77"/>
      <c r="N16" s="77"/>
      <c r="O16" s="77"/>
      <c r="P16" s="77"/>
      <c r="Q16" s="77"/>
      <c r="R16" s="77"/>
      <c r="S16" s="77"/>
      <c r="T16" s="77"/>
      <c r="U16" s="77"/>
      <c r="V16" s="77"/>
      <c r="W16" s="77"/>
      <c r="X16" s="77"/>
      <c r="Y16" s="77"/>
      <c r="Z16" s="77"/>
      <c r="AA16" s="77"/>
      <c r="AB16" s="78"/>
      <c r="AC16" s="79"/>
      <c r="AD16" s="79"/>
      <c r="AE16" s="80"/>
      <c r="AF16" s="69"/>
      <c r="AG16" s="70"/>
      <c r="AH16" s="70"/>
      <c r="AI16" s="70"/>
      <c r="AJ16" s="70"/>
      <c r="AK16" s="70"/>
      <c r="AL16" s="71"/>
    </row>
    <row r="17" spans="1:38" ht="27" customHeight="1">
      <c r="A17" s="72" t="str">
        <f t="shared" si="0"/>
        <v/>
      </c>
      <c r="B17" s="73"/>
      <c r="C17" s="74"/>
      <c r="D17" s="75"/>
      <c r="E17" s="75"/>
      <c r="F17" s="76"/>
      <c r="G17" s="77"/>
      <c r="H17" s="77"/>
      <c r="I17" s="77"/>
      <c r="J17" s="77"/>
      <c r="K17" s="77"/>
      <c r="L17" s="77"/>
      <c r="M17" s="77"/>
      <c r="N17" s="77"/>
      <c r="O17" s="77"/>
      <c r="P17" s="77"/>
      <c r="Q17" s="77"/>
      <c r="R17" s="77"/>
      <c r="S17" s="77"/>
      <c r="T17" s="77"/>
      <c r="U17" s="77"/>
      <c r="V17" s="77"/>
      <c r="W17" s="77"/>
      <c r="X17" s="77"/>
      <c r="Y17" s="77"/>
      <c r="Z17" s="77"/>
      <c r="AA17" s="77"/>
      <c r="AB17" s="78"/>
      <c r="AC17" s="79"/>
      <c r="AD17" s="79"/>
      <c r="AE17" s="80"/>
      <c r="AF17" s="69"/>
      <c r="AG17" s="70"/>
      <c r="AH17" s="70"/>
      <c r="AI17" s="70"/>
      <c r="AJ17" s="70"/>
      <c r="AK17" s="70"/>
      <c r="AL17" s="71"/>
    </row>
    <row r="18" spans="1:38" ht="27" customHeight="1">
      <c r="A18" s="72" t="str">
        <f t="shared" si="0"/>
        <v/>
      </c>
      <c r="B18" s="73"/>
      <c r="C18" s="74"/>
      <c r="D18" s="75"/>
      <c r="E18" s="75"/>
      <c r="F18" s="76"/>
      <c r="G18" s="77"/>
      <c r="H18" s="77"/>
      <c r="I18" s="77"/>
      <c r="J18" s="77"/>
      <c r="K18" s="77"/>
      <c r="L18" s="77"/>
      <c r="M18" s="77"/>
      <c r="N18" s="77"/>
      <c r="O18" s="77"/>
      <c r="P18" s="77"/>
      <c r="Q18" s="77"/>
      <c r="R18" s="77"/>
      <c r="S18" s="77"/>
      <c r="T18" s="77"/>
      <c r="U18" s="77"/>
      <c r="V18" s="77"/>
      <c r="W18" s="77"/>
      <c r="X18" s="77"/>
      <c r="Y18" s="77"/>
      <c r="Z18" s="77"/>
      <c r="AA18" s="77"/>
      <c r="AB18" s="78"/>
      <c r="AC18" s="79"/>
      <c r="AD18" s="79"/>
      <c r="AE18" s="80"/>
      <c r="AF18" s="69"/>
      <c r="AG18" s="70"/>
      <c r="AH18" s="70"/>
      <c r="AI18" s="70"/>
      <c r="AJ18" s="70"/>
      <c r="AK18" s="70"/>
      <c r="AL18" s="71"/>
    </row>
    <row r="19" spans="1:38" ht="27" customHeight="1">
      <c r="A19" s="72" t="str">
        <f t="shared" si="0"/>
        <v/>
      </c>
      <c r="B19" s="73"/>
      <c r="C19" s="74"/>
      <c r="D19" s="75"/>
      <c r="E19" s="75"/>
      <c r="F19" s="76"/>
      <c r="G19" s="77"/>
      <c r="H19" s="77"/>
      <c r="I19" s="77"/>
      <c r="J19" s="77"/>
      <c r="K19" s="77"/>
      <c r="L19" s="77"/>
      <c r="M19" s="77"/>
      <c r="N19" s="77"/>
      <c r="O19" s="77"/>
      <c r="P19" s="77"/>
      <c r="Q19" s="77"/>
      <c r="R19" s="77"/>
      <c r="S19" s="77"/>
      <c r="T19" s="77"/>
      <c r="U19" s="77"/>
      <c r="V19" s="77"/>
      <c r="W19" s="77"/>
      <c r="X19" s="77"/>
      <c r="Y19" s="77"/>
      <c r="Z19" s="77"/>
      <c r="AA19" s="77"/>
      <c r="AB19" s="78"/>
      <c r="AC19" s="79"/>
      <c r="AD19" s="79"/>
      <c r="AE19" s="80"/>
      <c r="AF19" s="69"/>
      <c r="AG19" s="70"/>
      <c r="AH19" s="70"/>
      <c r="AI19" s="70"/>
      <c r="AJ19" s="70"/>
      <c r="AK19" s="70"/>
      <c r="AL19" s="71"/>
    </row>
    <row r="20" spans="1:38" ht="27" customHeight="1">
      <c r="A20" s="72" t="str">
        <f t="shared" si="0"/>
        <v/>
      </c>
      <c r="B20" s="73"/>
      <c r="C20" s="74"/>
      <c r="D20" s="75"/>
      <c r="E20" s="75"/>
      <c r="F20" s="76"/>
      <c r="G20" s="77"/>
      <c r="H20" s="77"/>
      <c r="I20" s="77"/>
      <c r="J20" s="77"/>
      <c r="K20" s="77"/>
      <c r="L20" s="77"/>
      <c r="M20" s="77"/>
      <c r="N20" s="77"/>
      <c r="O20" s="77"/>
      <c r="P20" s="77"/>
      <c r="Q20" s="77"/>
      <c r="R20" s="77"/>
      <c r="S20" s="77"/>
      <c r="T20" s="77"/>
      <c r="U20" s="77"/>
      <c r="V20" s="77"/>
      <c r="W20" s="77"/>
      <c r="X20" s="77"/>
      <c r="Y20" s="77"/>
      <c r="Z20" s="77"/>
      <c r="AA20" s="77"/>
      <c r="AB20" s="78"/>
      <c r="AC20" s="79"/>
      <c r="AD20" s="79"/>
      <c r="AE20" s="80"/>
      <c r="AF20" s="69"/>
      <c r="AG20" s="70"/>
      <c r="AH20" s="70"/>
      <c r="AI20" s="70"/>
      <c r="AJ20" s="70"/>
      <c r="AK20" s="70"/>
      <c r="AL20" s="71"/>
    </row>
    <row r="21" spans="1:38" ht="27" customHeight="1">
      <c r="A21" s="72" t="str">
        <f t="shared" si="0"/>
        <v/>
      </c>
      <c r="B21" s="73"/>
      <c r="C21" s="74"/>
      <c r="D21" s="75"/>
      <c r="E21" s="75"/>
      <c r="F21" s="76"/>
      <c r="G21" s="77"/>
      <c r="H21" s="77"/>
      <c r="I21" s="77"/>
      <c r="J21" s="77"/>
      <c r="K21" s="77"/>
      <c r="L21" s="77"/>
      <c r="M21" s="77"/>
      <c r="N21" s="77"/>
      <c r="O21" s="77"/>
      <c r="P21" s="77"/>
      <c r="Q21" s="77"/>
      <c r="R21" s="77"/>
      <c r="S21" s="77"/>
      <c r="T21" s="77"/>
      <c r="U21" s="77"/>
      <c r="V21" s="77"/>
      <c r="W21" s="77"/>
      <c r="X21" s="77"/>
      <c r="Y21" s="77"/>
      <c r="Z21" s="77"/>
      <c r="AA21" s="77"/>
      <c r="AB21" s="78"/>
      <c r="AC21" s="79"/>
      <c r="AD21" s="79"/>
      <c r="AE21" s="80"/>
      <c r="AF21" s="69"/>
      <c r="AG21" s="70"/>
      <c r="AH21" s="70"/>
      <c r="AI21" s="70"/>
      <c r="AJ21" s="70"/>
      <c r="AK21" s="70"/>
      <c r="AL21" s="71"/>
    </row>
    <row r="22" spans="1:38" ht="27" customHeight="1">
      <c r="A22" s="72" t="str">
        <f t="shared" si="0"/>
        <v/>
      </c>
      <c r="B22" s="73"/>
      <c r="C22" s="74"/>
      <c r="D22" s="75"/>
      <c r="E22" s="75"/>
      <c r="F22" s="76"/>
      <c r="G22" s="77"/>
      <c r="H22" s="77"/>
      <c r="I22" s="77"/>
      <c r="J22" s="77"/>
      <c r="K22" s="77"/>
      <c r="L22" s="77"/>
      <c r="M22" s="77"/>
      <c r="N22" s="77"/>
      <c r="O22" s="77"/>
      <c r="P22" s="77"/>
      <c r="Q22" s="77"/>
      <c r="R22" s="77"/>
      <c r="S22" s="77"/>
      <c r="T22" s="77"/>
      <c r="U22" s="77"/>
      <c r="V22" s="77"/>
      <c r="W22" s="77"/>
      <c r="X22" s="77"/>
      <c r="Y22" s="77"/>
      <c r="Z22" s="77"/>
      <c r="AA22" s="77"/>
      <c r="AB22" s="78"/>
      <c r="AC22" s="79"/>
      <c r="AD22" s="79"/>
      <c r="AE22" s="80"/>
      <c r="AF22" s="69"/>
      <c r="AG22" s="70"/>
      <c r="AH22" s="70"/>
      <c r="AI22" s="70"/>
      <c r="AJ22" s="70"/>
      <c r="AK22" s="70"/>
      <c r="AL22" s="71"/>
    </row>
    <row r="23" spans="1:38" ht="27" customHeight="1">
      <c r="A23" s="72" t="str">
        <f t="shared" ref="A23:A31" si="2">IF(M23="","",ROW()-4)</f>
        <v/>
      </c>
      <c r="B23" s="73"/>
      <c r="C23" s="74"/>
      <c r="D23" s="75"/>
      <c r="E23" s="75"/>
      <c r="F23" s="76"/>
      <c r="G23" s="77"/>
      <c r="H23" s="77"/>
      <c r="I23" s="77"/>
      <c r="J23" s="77"/>
      <c r="K23" s="77"/>
      <c r="L23" s="77"/>
      <c r="M23" s="77"/>
      <c r="N23" s="77"/>
      <c r="O23" s="77"/>
      <c r="P23" s="77"/>
      <c r="Q23" s="77"/>
      <c r="R23" s="77"/>
      <c r="S23" s="77"/>
      <c r="T23" s="77"/>
      <c r="U23" s="77"/>
      <c r="V23" s="77"/>
      <c r="W23" s="77"/>
      <c r="X23" s="77"/>
      <c r="Y23" s="77"/>
      <c r="Z23" s="77"/>
      <c r="AA23" s="77"/>
      <c r="AB23" s="78"/>
      <c r="AC23" s="79"/>
      <c r="AD23" s="79"/>
      <c r="AE23" s="80"/>
      <c r="AF23" s="69"/>
      <c r="AG23" s="70"/>
      <c r="AH23" s="70"/>
      <c r="AI23" s="70"/>
      <c r="AJ23" s="70"/>
      <c r="AK23" s="70"/>
      <c r="AL23" s="71"/>
    </row>
    <row r="24" spans="1:38" ht="27" customHeight="1">
      <c r="A24" s="72" t="str">
        <f t="shared" si="2"/>
        <v/>
      </c>
      <c r="B24" s="73"/>
      <c r="C24" s="74"/>
      <c r="D24" s="75"/>
      <c r="E24" s="75"/>
      <c r="F24" s="76"/>
      <c r="G24" s="77"/>
      <c r="H24" s="77"/>
      <c r="I24" s="77"/>
      <c r="J24" s="77"/>
      <c r="K24" s="77"/>
      <c r="L24" s="77"/>
      <c r="M24" s="77"/>
      <c r="N24" s="77"/>
      <c r="O24" s="77"/>
      <c r="P24" s="77"/>
      <c r="Q24" s="77"/>
      <c r="R24" s="77"/>
      <c r="S24" s="77"/>
      <c r="T24" s="77"/>
      <c r="U24" s="77"/>
      <c r="V24" s="77"/>
      <c r="W24" s="77"/>
      <c r="X24" s="77"/>
      <c r="Y24" s="77"/>
      <c r="Z24" s="77"/>
      <c r="AA24" s="77"/>
      <c r="AB24" s="78"/>
      <c r="AC24" s="79"/>
      <c r="AD24" s="79"/>
      <c r="AE24" s="80"/>
      <c r="AF24" s="69"/>
      <c r="AG24" s="70"/>
      <c r="AH24" s="70"/>
      <c r="AI24" s="70"/>
      <c r="AJ24" s="70"/>
      <c r="AK24" s="70"/>
      <c r="AL24" s="71"/>
    </row>
    <row r="25" spans="1:38" ht="27" customHeight="1">
      <c r="A25" s="72" t="str">
        <f t="shared" si="2"/>
        <v/>
      </c>
      <c r="B25" s="73"/>
      <c r="C25" s="74"/>
      <c r="D25" s="75"/>
      <c r="E25" s="75"/>
      <c r="F25" s="76"/>
      <c r="G25" s="77"/>
      <c r="H25" s="77"/>
      <c r="I25" s="77"/>
      <c r="J25" s="77"/>
      <c r="K25" s="77"/>
      <c r="L25" s="77"/>
      <c r="M25" s="77"/>
      <c r="N25" s="77"/>
      <c r="O25" s="77"/>
      <c r="P25" s="77"/>
      <c r="Q25" s="77"/>
      <c r="R25" s="77"/>
      <c r="S25" s="77"/>
      <c r="T25" s="77"/>
      <c r="U25" s="77"/>
      <c r="V25" s="77"/>
      <c r="W25" s="77"/>
      <c r="X25" s="77"/>
      <c r="Y25" s="77"/>
      <c r="Z25" s="77"/>
      <c r="AA25" s="77"/>
      <c r="AB25" s="78"/>
      <c r="AC25" s="79"/>
      <c r="AD25" s="79"/>
      <c r="AE25" s="80"/>
      <c r="AF25" s="69"/>
      <c r="AG25" s="70"/>
      <c r="AH25" s="70"/>
      <c r="AI25" s="70"/>
      <c r="AJ25" s="70"/>
      <c r="AK25" s="70"/>
      <c r="AL25" s="71"/>
    </row>
    <row r="26" spans="1:38" ht="27" customHeight="1">
      <c r="A26" s="72" t="str">
        <f t="shared" si="2"/>
        <v/>
      </c>
      <c r="B26" s="73"/>
      <c r="C26" s="74"/>
      <c r="D26" s="75"/>
      <c r="E26" s="75"/>
      <c r="F26" s="76"/>
      <c r="G26" s="77"/>
      <c r="H26" s="77"/>
      <c r="I26" s="77"/>
      <c r="J26" s="77"/>
      <c r="K26" s="77"/>
      <c r="L26" s="77"/>
      <c r="M26" s="77"/>
      <c r="N26" s="77"/>
      <c r="O26" s="77"/>
      <c r="P26" s="77"/>
      <c r="Q26" s="77"/>
      <c r="R26" s="77"/>
      <c r="S26" s="77"/>
      <c r="T26" s="77"/>
      <c r="U26" s="77"/>
      <c r="V26" s="77"/>
      <c r="W26" s="77"/>
      <c r="X26" s="77"/>
      <c r="Y26" s="77"/>
      <c r="Z26" s="77"/>
      <c r="AA26" s="77"/>
      <c r="AB26" s="78"/>
      <c r="AC26" s="79"/>
      <c r="AD26" s="79"/>
      <c r="AE26" s="80"/>
      <c r="AF26" s="69"/>
      <c r="AG26" s="70"/>
      <c r="AH26" s="70"/>
      <c r="AI26" s="70"/>
      <c r="AJ26" s="70"/>
      <c r="AK26" s="70"/>
      <c r="AL26" s="71"/>
    </row>
    <row r="27" spans="1:38" ht="27" customHeight="1">
      <c r="A27" s="72" t="str">
        <f t="shared" si="2"/>
        <v/>
      </c>
      <c r="B27" s="73"/>
      <c r="C27" s="74"/>
      <c r="D27" s="75"/>
      <c r="E27" s="75"/>
      <c r="F27" s="76"/>
      <c r="G27" s="77"/>
      <c r="H27" s="77"/>
      <c r="I27" s="77"/>
      <c r="J27" s="77"/>
      <c r="K27" s="77"/>
      <c r="L27" s="77"/>
      <c r="M27" s="77"/>
      <c r="N27" s="77"/>
      <c r="O27" s="77"/>
      <c r="P27" s="77"/>
      <c r="Q27" s="77"/>
      <c r="R27" s="77"/>
      <c r="S27" s="77"/>
      <c r="T27" s="77"/>
      <c r="U27" s="77"/>
      <c r="V27" s="77"/>
      <c r="W27" s="77"/>
      <c r="X27" s="77"/>
      <c r="Y27" s="77"/>
      <c r="Z27" s="77"/>
      <c r="AA27" s="77"/>
      <c r="AB27" s="78"/>
      <c r="AC27" s="79"/>
      <c r="AD27" s="79"/>
      <c r="AE27" s="80"/>
      <c r="AF27" s="69"/>
      <c r="AG27" s="70"/>
      <c r="AH27" s="70"/>
      <c r="AI27" s="70"/>
      <c r="AJ27" s="70"/>
      <c r="AK27" s="70"/>
      <c r="AL27" s="71"/>
    </row>
    <row r="28" spans="1:38" ht="27" customHeight="1">
      <c r="A28" s="72" t="str">
        <f t="shared" si="2"/>
        <v/>
      </c>
      <c r="B28" s="73"/>
      <c r="C28" s="74"/>
      <c r="D28" s="75"/>
      <c r="E28" s="75"/>
      <c r="F28" s="76"/>
      <c r="G28" s="77"/>
      <c r="H28" s="77"/>
      <c r="I28" s="77"/>
      <c r="J28" s="77"/>
      <c r="K28" s="77"/>
      <c r="L28" s="77"/>
      <c r="M28" s="77"/>
      <c r="N28" s="77"/>
      <c r="O28" s="77"/>
      <c r="P28" s="77"/>
      <c r="Q28" s="77"/>
      <c r="R28" s="77"/>
      <c r="S28" s="77"/>
      <c r="T28" s="77"/>
      <c r="U28" s="77"/>
      <c r="V28" s="77"/>
      <c r="W28" s="77"/>
      <c r="X28" s="77"/>
      <c r="Y28" s="77"/>
      <c r="Z28" s="77"/>
      <c r="AA28" s="77"/>
      <c r="AB28" s="78"/>
      <c r="AC28" s="79"/>
      <c r="AD28" s="79"/>
      <c r="AE28" s="80"/>
      <c r="AF28" s="69"/>
      <c r="AG28" s="70"/>
      <c r="AH28" s="70"/>
      <c r="AI28" s="70"/>
      <c r="AJ28" s="70"/>
      <c r="AK28" s="70"/>
      <c r="AL28" s="71"/>
    </row>
    <row r="29" spans="1:38" ht="27" customHeight="1">
      <c r="A29" s="72" t="str">
        <f t="shared" si="2"/>
        <v/>
      </c>
      <c r="B29" s="73"/>
      <c r="C29" s="74"/>
      <c r="D29" s="75"/>
      <c r="E29" s="75"/>
      <c r="F29" s="76"/>
      <c r="G29" s="77"/>
      <c r="H29" s="77"/>
      <c r="I29" s="77"/>
      <c r="J29" s="77"/>
      <c r="K29" s="77"/>
      <c r="L29" s="77"/>
      <c r="M29" s="77"/>
      <c r="N29" s="77"/>
      <c r="O29" s="77"/>
      <c r="P29" s="77"/>
      <c r="Q29" s="77"/>
      <c r="R29" s="77"/>
      <c r="S29" s="77"/>
      <c r="T29" s="77"/>
      <c r="U29" s="77"/>
      <c r="V29" s="77"/>
      <c r="W29" s="77"/>
      <c r="X29" s="77"/>
      <c r="Y29" s="77"/>
      <c r="Z29" s="77"/>
      <c r="AA29" s="77"/>
      <c r="AB29" s="78"/>
      <c r="AC29" s="79"/>
      <c r="AD29" s="79"/>
      <c r="AE29" s="80"/>
      <c r="AF29" s="69"/>
      <c r="AG29" s="70"/>
      <c r="AH29" s="70"/>
      <c r="AI29" s="70"/>
      <c r="AJ29" s="70"/>
      <c r="AK29" s="70"/>
      <c r="AL29" s="71"/>
    </row>
    <row r="30" spans="1:38" ht="27" customHeight="1">
      <c r="A30" s="72" t="str">
        <f t="shared" si="2"/>
        <v/>
      </c>
      <c r="B30" s="73"/>
      <c r="C30" s="74"/>
      <c r="D30" s="75"/>
      <c r="E30" s="75"/>
      <c r="F30" s="76"/>
      <c r="G30" s="77"/>
      <c r="H30" s="77"/>
      <c r="I30" s="77"/>
      <c r="J30" s="77"/>
      <c r="K30" s="77"/>
      <c r="L30" s="77"/>
      <c r="M30" s="77"/>
      <c r="N30" s="77"/>
      <c r="O30" s="77"/>
      <c r="P30" s="77"/>
      <c r="Q30" s="77"/>
      <c r="R30" s="77"/>
      <c r="S30" s="77"/>
      <c r="T30" s="77"/>
      <c r="U30" s="77"/>
      <c r="V30" s="77"/>
      <c r="W30" s="77"/>
      <c r="X30" s="77"/>
      <c r="Y30" s="77"/>
      <c r="Z30" s="77"/>
      <c r="AA30" s="77"/>
      <c r="AB30" s="78"/>
      <c r="AC30" s="79"/>
      <c r="AD30" s="79"/>
      <c r="AE30" s="80"/>
      <c r="AF30" s="69"/>
      <c r="AG30" s="70"/>
      <c r="AH30" s="70"/>
      <c r="AI30" s="70"/>
      <c r="AJ30" s="70"/>
      <c r="AK30" s="70"/>
      <c r="AL30" s="71"/>
    </row>
    <row r="31" spans="1:38" ht="27" customHeight="1">
      <c r="A31" s="72" t="str">
        <f t="shared" si="2"/>
        <v/>
      </c>
      <c r="B31" s="73"/>
      <c r="C31" s="74"/>
      <c r="D31" s="75"/>
      <c r="E31" s="75"/>
      <c r="F31" s="76"/>
      <c r="G31" s="77"/>
      <c r="H31" s="77"/>
      <c r="I31" s="77"/>
      <c r="J31" s="77"/>
      <c r="K31" s="77"/>
      <c r="L31" s="77"/>
      <c r="M31" s="77"/>
      <c r="N31" s="77"/>
      <c r="O31" s="77"/>
      <c r="P31" s="77"/>
      <c r="Q31" s="77"/>
      <c r="R31" s="77"/>
      <c r="S31" s="77"/>
      <c r="T31" s="77"/>
      <c r="U31" s="77"/>
      <c r="V31" s="77"/>
      <c r="W31" s="77"/>
      <c r="X31" s="77"/>
      <c r="Y31" s="77"/>
      <c r="Z31" s="77"/>
      <c r="AA31" s="77"/>
      <c r="AB31" s="78"/>
      <c r="AC31" s="79"/>
      <c r="AD31" s="79"/>
      <c r="AE31" s="80"/>
      <c r="AF31" s="69"/>
      <c r="AG31" s="70"/>
      <c r="AH31" s="70"/>
      <c r="AI31" s="70"/>
      <c r="AJ31" s="70"/>
      <c r="AK31" s="70"/>
      <c r="AL31" s="71"/>
    </row>
    <row r="32" spans="1:38" ht="27" customHeight="1">
      <c r="A32" s="72" t="str">
        <f t="shared" ref="A32" si="3">IF(M32="","",ROW()-4)</f>
        <v/>
      </c>
      <c r="B32" s="73"/>
      <c r="C32" s="74"/>
      <c r="D32" s="75"/>
      <c r="E32" s="75"/>
      <c r="F32" s="76"/>
      <c r="G32" s="77"/>
      <c r="H32" s="77"/>
      <c r="I32" s="77"/>
      <c r="J32" s="77"/>
      <c r="K32" s="77"/>
      <c r="L32" s="77"/>
      <c r="M32" s="77"/>
      <c r="N32" s="77"/>
      <c r="O32" s="77"/>
      <c r="P32" s="77"/>
      <c r="Q32" s="77"/>
      <c r="R32" s="77"/>
      <c r="S32" s="77"/>
      <c r="T32" s="77"/>
      <c r="U32" s="77"/>
      <c r="V32" s="77"/>
      <c r="W32" s="77"/>
      <c r="X32" s="77"/>
      <c r="Y32" s="77"/>
      <c r="Z32" s="77"/>
      <c r="AA32" s="77"/>
      <c r="AB32" s="78"/>
      <c r="AC32" s="79"/>
      <c r="AD32" s="79"/>
      <c r="AE32" s="80"/>
      <c r="AF32" s="69"/>
      <c r="AG32" s="70"/>
      <c r="AH32" s="70"/>
      <c r="AI32" s="70"/>
      <c r="AJ32" s="70"/>
      <c r="AK32" s="70"/>
      <c r="AL32" s="71"/>
    </row>
    <row r="33" spans="1:38" ht="27" customHeight="1">
      <c r="A33" s="72" t="str">
        <f t="shared" ref="A33" si="4">IF(M33="","",ROW()-4)</f>
        <v/>
      </c>
      <c r="B33" s="73"/>
      <c r="C33" s="74"/>
      <c r="D33" s="75"/>
      <c r="E33" s="75"/>
      <c r="F33" s="76"/>
      <c r="G33" s="77"/>
      <c r="H33" s="77"/>
      <c r="I33" s="77"/>
      <c r="J33" s="77"/>
      <c r="K33" s="77"/>
      <c r="L33" s="77"/>
      <c r="M33" s="77"/>
      <c r="N33" s="77"/>
      <c r="O33" s="77"/>
      <c r="P33" s="77"/>
      <c r="Q33" s="77"/>
      <c r="R33" s="77"/>
      <c r="S33" s="77"/>
      <c r="T33" s="77"/>
      <c r="U33" s="77"/>
      <c r="V33" s="77"/>
      <c r="W33" s="77"/>
      <c r="X33" s="77"/>
      <c r="Y33" s="77"/>
      <c r="Z33" s="77"/>
      <c r="AA33" s="77"/>
      <c r="AB33" s="78"/>
      <c r="AC33" s="79"/>
      <c r="AD33" s="79"/>
      <c r="AE33" s="80"/>
      <c r="AF33" s="69"/>
      <c r="AG33" s="70"/>
      <c r="AH33" s="70"/>
      <c r="AI33" s="70"/>
      <c r="AJ33" s="70"/>
      <c r="AK33" s="70"/>
      <c r="AL33" s="71"/>
    </row>
  </sheetData>
  <mergeCells count="180">
    <mergeCell ref="A4:B4"/>
    <mergeCell ref="C4:F4"/>
    <mergeCell ref="A5:B5"/>
    <mergeCell ref="C5:F5"/>
    <mergeCell ref="G5:L5"/>
    <mergeCell ref="M5:AA5"/>
    <mergeCell ref="AB4:AE4"/>
    <mergeCell ref="AF4:AL4"/>
    <mergeCell ref="AB5:AE5"/>
    <mergeCell ref="AF5:AL5"/>
    <mergeCell ref="G4:L4"/>
    <mergeCell ref="M4:AA4"/>
    <mergeCell ref="AB6:AE6"/>
    <mergeCell ref="AF6:AL6"/>
    <mergeCell ref="AB7:AE7"/>
    <mergeCell ref="AF7:AL7"/>
    <mergeCell ref="G9:L9"/>
    <mergeCell ref="M9:AA9"/>
    <mergeCell ref="G6:L6"/>
    <mergeCell ref="M6:AA6"/>
    <mergeCell ref="G8:L8"/>
    <mergeCell ref="M8:AA8"/>
    <mergeCell ref="AB9:AE9"/>
    <mergeCell ref="AF9:AL9"/>
    <mergeCell ref="AF8:AL8"/>
    <mergeCell ref="A9:B9"/>
    <mergeCell ref="C9:F9"/>
    <mergeCell ref="A10:B10"/>
    <mergeCell ref="C10:F10"/>
    <mergeCell ref="AB8:AE8"/>
    <mergeCell ref="A8:B8"/>
    <mergeCell ref="C8:F8"/>
    <mergeCell ref="G12:L12"/>
    <mergeCell ref="M12:AA12"/>
    <mergeCell ref="AB23:AE23"/>
    <mergeCell ref="AF23:AL23"/>
    <mergeCell ref="A12:B12"/>
    <mergeCell ref="C12:F12"/>
    <mergeCell ref="A13:B13"/>
    <mergeCell ref="C13:F13"/>
    <mergeCell ref="A23:B23"/>
    <mergeCell ref="C23:F23"/>
    <mergeCell ref="G23:L23"/>
    <mergeCell ref="M23:AA23"/>
    <mergeCell ref="AB14:AE14"/>
    <mergeCell ref="AF14:AL14"/>
    <mergeCell ref="A15:B15"/>
    <mergeCell ref="C15:F15"/>
    <mergeCell ref="G15:L15"/>
    <mergeCell ref="M15:AA15"/>
    <mergeCell ref="AB18:AE18"/>
    <mergeCell ref="AF18:AL18"/>
    <mergeCell ref="AB12:AE12"/>
    <mergeCell ref="AF12:AL12"/>
    <mergeCell ref="AB15:AE15"/>
    <mergeCell ref="AF15:AL15"/>
    <mergeCell ref="A16:B16"/>
    <mergeCell ref="C16:F16"/>
    <mergeCell ref="A6:B6"/>
    <mergeCell ref="C6:F6"/>
    <mergeCell ref="G13:L13"/>
    <mergeCell ref="M13:AA13"/>
    <mergeCell ref="AB13:AE13"/>
    <mergeCell ref="AF13:AL13"/>
    <mergeCell ref="A14:B14"/>
    <mergeCell ref="C14:F14"/>
    <mergeCell ref="G14:L14"/>
    <mergeCell ref="M14:AA14"/>
    <mergeCell ref="A11:B11"/>
    <mergeCell ref="C11:F11"/>
    <mergeCell ref="G10:L10"/>
    <mergeCell ref="M10:AA10"/>
    <mergeCell ref="AB11:AE11"/>
    <mergeCell ref="AF11:AL11"/>
    <mergeCell ref="G11:L11"/>
    <mergeCell ref="M11:AA11"/>
    <mergeCell ref="AB10:AE10"/>
    <mergeCell ref="AF10:AL10"/>
    <mergeCell ref="A7:B7"/>
    <mergeCell ref="C7:F7"/>
    <mergeCell ref="G7:L7"/>
    <mergeCell ref="M7:AA7"/>
    <mergeCell ref="AF28:AL28"/>
    <mergeCell ref="A25:B25"/>
    <mergeCell ref="C25:F25"/>
    <mergeCell ref="G25:L25"/>
    <mergeCell ref="M25:AA25"/>
    <mergeCell ref="AB24:AE24"/>
    <mergeCell ref="AF24:AL24"/>
    <mergeCell ref="AB25:AE25"/>
    <mergeCell ref="AF25:AL25"/>
    <mergeCell ref="A28:B28"/>
    <mergeCell ref="C28:F28"/>
    <mergeCell ref="A24:B24"/>
    <mergeCell ref="C24:F24"/>
    <mergeCell ref="G24:L24"/>
    <mergeCell ref="M24:AA24"/>
    <mergeCell ref="G28:L28"/>
    <mergeCell ref="M28:AA28"/>
    <mergeCell ref="AB28:AE28"/>
    <mergeCell ref="A26:B26"/>
    <mergeCell ref="C26:F26"/>
    <mergeCell ref="G26:L26"/>
    <mergeCell ref="M26:AA26"/>
    <mergeCell ref="AB26:AE26"/>
    <mergeCell ref="AF26:AL26"/>
    <mergeCell ref="A27:B27"/>
    <mergeCell ref="C27:F27"/>
    <mergeCell ref="G27:L27"/>
    <mergeCell ref="M27:AA27"/>
    <mergeCell ref="AB27:AE27"/>
    <mergeCell ref="AF27:AL27"/>
    <mergeCell ref="AB33:AE33"/>
    <mergeCell ref="AF33:AL33"/>
    <mergeCell ref="A33:B33"/>
    <mergeCell ref="C33:F33"/>
    <mergeCell ref="G33:L33"/>
    <mergeCell ref="M33:AA33"/>
    <mergeCell ref="AB32:AE32"/>
    <mergeCell ref="AF32:AL32"/>
    <mergeCell ref="A32:B32"/>
    <mergeCell ref="C32:F32"/>
    <mergeCell ref="G32:L32"/>
    <mergeCell ref="M32:AA32"/>
    <mergeCell ref="A29:B29"/>
    <mergeCell ref="C29:F29"/>
    <mergeCell ref="G29:L29"/>
    <mergeCell ref="M29:AA29"/>
    <mergeCell ref="AB29:AE29"/>
    <mergeCell ref="AF29:AL29"/>
    <mergeCell ref="A30:B30"/>
    <mergeCell ref="C30:F30"/>
    <mergeCell ref="G30:L30"/>
    <mergeCell ref="M30:AA30"/>
    <mergeCell ref="AB30:AE30"/>
    <mergeCell ref="AF30:AL30"/>
    <mergeCell ref="A31:B31"/>
    <mergeCell ref="C31:F31"/>
    <mergeCell ref="G31:L31"/>
    <mergeCell ref="M31:AA31"/>
    <mergeCell ref="AB31:AE31"/>
    <mergeCell ref="AF31:AL31"/>
    <mergeCell ref="G16:L16"/>
    <mergeCell ref="M16:AA16"/>
    <mergeCell ref="AB16:AE16"/>
    <mergeCell ref="AF16:AL16"/>
    <mergeCell ref="A17:B17"/>
    <mergeCell ref="C17:F17"/>
    <mergeCell ref="G17:L17"/>
    <mergeCell ref="M17:AA17"/>
    <mergeCell ref="AB17:AE17"/>
    <mergeCell ref="AF17:AL17"/>
    <mergeCell ref="A18:B18"/>
    <mergeCell ref="C18:F18"/>
    <mergeCell ref="G18:L18"/>
    <mergeCell ref="M18:AA18"/>
    <mergeCell ref="A19:B19"/>
    <mergeCell ref="C19:F19"/>
    <mergeCell ref="G19:L19"/>
    <mergeCell ref="M19:AA19"/>
    <mergeCell ref="AB19:AE19"/>
    <mergeCell ref="AF19:AL19"/>
    <mergeCell ref="A22:B22"/>
    <mergeCell ref="C22:F22"/>
    <mergeCell ref="G22:L22"/>
    <mergeCell ref="M22:AA22"/>
    <mergeCell ref="AB22:AE22"/>
    <mergeCell ref="AF22:AL22"/>
    <mergeCell ref="A20:B20"/>
    <mergeCell ref="C20:F20"/>
    <mergeCell ref="G20:L20"/>
    <mergeCell ref="M20:AA20"/>
    <mergeCell ref="AB20:AE20"/>
    <mergeCell ref="AF20:AL20"/>
    <mergeCell ref="A21:B21"/>
    <mergeCell ref="C21:F21"/>
    <mergeCell ref="G21:L21"/>
    <mergeCell ref="M21:AA21"/>
    <mergeCell ref="AB21:AE21"/>
    <mergeCell ref="AF21:AL21"/>
  </mergeCells>
  <phoneticPr fontId="4"/>
  <pageMargins left="0.78700000000000003" right="0.78700000000000003" top="0.98399999999999999" bottom="0.98399999999999999" header="0.51200000000000001" footer="0.51200000000000001"/>
  <pageSetup paperSize="9" scale="87"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D86"/>
  <sheetViews>
    <sheetView showGridLines="0" tabSelected="1" view="pageBreakPreview" zoomScale="85" zoomScaleNormal="70" zoomScaleSheetLayoutView="85" workbookViewId="0">
      <pane xSplit="39" ySplit="9" topLeftCell="AN10" activePane="bottomRight" state="frozen"/>
      <selection pane="topRight" activeCell="AN1" sqref="AN1"/>
      <selection pane="bottomLeft" activeCell="A10" sqref="A10"/>
      <selection pane="bottomRight" activeCell="R20" sqref="R20"/>
    </sheetView>
  </sheetViews>
  <sheetFormatPr defaultColWidth="2" defaultRowHeight="11.25" customHeight="1"/>
  <cols>
    <col min="1" max="1" width="1.125" style="57" customWidth="1"/>
    <col min="2" max="2" width="2.625" style="57" customWidth="1"/>
    <col min="3" max="5" width="2.625" style="58" customWidth="1"/>
    <col min="6" max="6" width="2.625" style="59" customWidth="1"/>
    <col min="7" max="9" width="2.625" style="60" customWidth="1"/>
    <col min="10" max="33" width="2.625" style="58" customWidth="1"/>
    <col min="34" max="35" width="2.625" style="61" customWidth="1"/>
    <col min="36" max="68" width="2.625" style="58" customWidth="1"/>
    <col min="69" max="71" width="2.875" style="62" customWidth="1"/>
    <col min="72" max="78" width="2.75" style="62" customWidth="1"/>
    <col min="79" max="251" width="2" style="62"/>
    <col min="252" max="324" width="2.625" style="62" customWidth="1"/>
    <col min="325" max="507" width="2" style="62"/>
    <col min="508" max="580" width="2.625" style="62" customWidth="1"/>
    <col min="581" max="763" width="2" style="62"/>
    <col min="764" max="836" width="2.625" style="62" customWidth="1"/>
    <col min="837" max="1019" width="2" style="62"/>
    <col min="1020" max="1092" width="2.625" style="62" customWidth="1"/>
    <col min="1093" max="1275" width="2" style="62"/>
    <col min="1276" max="1348" width="2.625" style="62" customWidth="1"/>
    <col min="1349" max="1531" width="2" style="62"/>
    <col min="1532" max="1604" width="2.625" style="62" customWidth="1"/>
    <col min="1605" max="1787" width="2" style="62"/>
    <col min="1788" max="1860" width="2.625" style="62" customWidth="1"/>
    <col min="1861" max="2043" width="2" style="62"/>
    <col min="2044" max="2116" width="2.625" style="62" customWidth="1"/>
    <col min="2117" max="2299" width="2" style="62"/>
    <col min="2300" max="2372" width="2.625" style="62" customWidth="1"/>
    <col min="2373" max="2555" width="2" style="62"/>
    <col min="2556" max="2628" width="2.625" style="62" customWidth="1"/>
    <col min="2629" max="2811" width="2" style="62"/>
    <col min="2812" max="2884" width="2.625" style="62" customWidth="1"/>
    <col min="2885" max="3067" width="2" style="62"/>
    <col min="3068" max="3140" width="2.625" style="62" customWidth="1"/>
    <col min="3141" max="3323" width="2" style="62"/>
    <col min="3324" max="3396" width="2.625" style="62" customWidth="1"/>
    <col min="3397" max="3579" width="2" style="62"/>
    <col min="3580" max="3652" width="2.625" style="62" customWidth="1"/>
    <col min="3653" max="3835" width="2" style="62"/>
    <col min="3836" max="3908" width="2.625" style="62" customWidth="1"/>
    <col min="3909" max="4091" width="2" style="62"/>
    <col min="4092" max="4164" width="2.625" style="62" customWidth="1"/>
    <col min="4165" max="4347" width="2" style="62"/>
    <col min="4348" max="4420" width="2.625" style="62" customWidth="1"/>
    <col min="4421" max="4603" width="2" style="62"/>
    <col min="4604" max="4676" width="2.625" style="62" customWidth="1"/>
    <col min="4677" max="4859" width="2" style="62"/>
    <col min="4860" max="4932" width="2.625" style="62" customWidth="1"/>
    <col min="4933" max="5115" width="2" style="62"/>
    <col min="5116" max="5188" width="2.625" style="62" customWidth="1"/>
    <col min="5189" max="5371" width="2" style="62"/>
    <col min="5372" max="5444" width="2.625" style="62" customWidth="1"/>
    <col min="5445" max="5627" width="2" style="62"/>
    <col min="5628" max="5700" width="2.625" style="62" customWidth="1"/>
    <col min="5701" max="5883" width="2" style="62"/>
    <col min="5884" max="5956" width="2.625" style="62" customWidth="1"/>
    <col min="5957" max="6139" width="2" style="62"/>
    <col min="6140" max="6212" width="2.625" style="62" customWidth="1"/>
    <col min="6213" max="6395" width="2" style="62"/>
    <col min="6396" max="6468" width="2.625" style="62" customWidth="1"/>
    <col min="6469" max="6651" width="2" style="62"/>
    <col min="6652" max="6724" width="2.625" style="62" customWidth="1"/>
    <col min="6725" max="6907" width="2" style="62"/>
    <col min="6908" max="6980" width="2.625" style="62" customWidth="1"/>
    <col min="6981" max="7163" width="2" style="62"/>
    <col min="7164" max="7236" width="2.625" style="62" customWidth="1"/>
    <col min="7237" max="7419" width="2" style="62"/>
    <col min="7420" max="7492" width="2.625" style="62" customWidth="1"/>
    <col min="7493" max="7675" width="2" style="62"/>
    <col min="7676" max="7748" width="2.625" style="62" customWidth="1"/>
    <col min="7749" max="7931" width="2" style="62"/>
    <col min="7932" max="8004" width="2.625" style="62" customWidth="1"/>
    <col min="8005" max="8187" width="2" style="62"/>
    <col min="8188" max="8260" width="2.625" style="62" customWidth="1"/>
    <col min="8261" max="8443" width="2" style="62"/>
    <col min="8444" max="8516" width="2.625" style="62" customWidth="1"/>
    <col min="8517" max="8699" width="2" style="62"/>
    <col min="8700" max="8772" width="2.625" style="62" customWidth="1"/>
    <col min="8773" max="8955" width="2" style="62"/>
    <col min="8956" max="9028" width="2.625" style="62" customWidth="1"/>
    <col min="9029" max="9211" width="2" style="62"/>
    <col min="9212" max="9284" width="2.625" style="62" customWidth="1"/>
    <col min="9285" max="9467" width="2" style="62"/>
    <col min="9468" max="9540" width="2.625" style="62" customWidth="1"/>
    <col min="9541" max="9723" width="2" style="62"/>
    <col min="9724" max="9796" width="2.625" style="62" customWidth="1"/>
    <col min="9797" max="9979" width="2" style="62"/>
    <col min="9980" max="10052" width="2.625" style="62" customWidth="1"/>
    <col min="10053" max="10235" width="2" style="62"/>
    <col min="10236" max="10308" width="2.625" style="62" customWidth="1"/>
    <col min="10309" max="10491" width="2" style="62"/>
    <col min="10492" max="10564" width="2.625" style="62" customWidth="1"/>
    <col min="10565" max="10747" width="2" style="62"/>
    <col min="10748" max="10820" width="2.625" style="62" customWidth="1"/>
    <col min="10821" max="11003" width="2" style="62"/>
    <col min="11004" max="11076" width="2.625" style="62" customWidth="1"/>
    <col min="11077" max="11259" width="2" style="62"/>
    <col min="11260" max="11332" width="2.625" style="62" customWidth="1"/>
    <col min="11333" max="11515" width="2" style="62"/>
    <col min="11516" max="11588" width="2.625" style="62" customWidth="1"/>
    <col min="11589" max="11771" width="2" style="62"/>
    <col min="11772" max="11844" width="2.625" style="62" customWidth="1"/>
    <col min="11845" max="12027" width="2" style="62"/>
    <col min="12028" max="12100" width="2.625" style="62" customWidth="1"/>
    <col min="12101" max="12283" width="2" style="62"/>
    <col min="12284" max="12356" width="2.625" style="62" customWidth="1"/>
    <col min="12357" max="12539" width="2" style="62"/>
    <col min="12540" max="12612" width="2.625" style="62" customWidth="1"/>
    <col min="12613" max="12795" width="2" style="62"/>
    <col min="12796" max="12868" width="2.625" style="62" customWidth="1"/>
    <col min="12869" max="13051" width="2" style="62"/>
    <col min="13052" max="13124" width="2.625" style="62" customWidth="1"/>
    <col min="13125" max="13307" width="2" style="62"/>
    <col min="13308" max="13380" width="2.625" style="62" customWidth="1"/>
    <col min="13381" max="13563" width="2" style="62"/>
    <col min="13564" max="13636" width="2.625" style="62" customWidth="1"/>
    <col min="13637" max="13819" width="2" style="62"/>
    <col min="13820" max="13892" width="2.625" style="62" customWidth="1"/>
    <col min="13893" max="14075" width="2" style="62"/>
    <col min="14076" max="14148" width="2.625" style="62" customWidth="1"/>
    <col min="14149" max="14331" width="2" style="62"/>
    <col min="14332" max="14404" width="2.625" style="62" customWidth="1"/>
    <col min="14405" max="14587" width="2" style="62"/>
    <col min="14588" max="14660" width="2.625" style="62" customWidth="1"/>
    <col min="14661" max="14843" width="2" style="62"/>
    <col min="14844" max="14916" width="2.625" style="62" customWidth="1"/>
    <col min="14917" max="15099" width="2" style="62"/>
    <col min="15100" max="15172" width="2.625" style="62" customWidth="1"/>
    <col min="15173" max="15355" width="2" style="62"/>
    <col min="15356" max="15428" width="2.625" style="62" customWidth="1"/>
    <col min="15429" max="15611" width="2" style="62"/>
    <col min="15612" max="15684" width="2.625" style="62" customWidth="1"/>
    <col min="15685" max="15867" width="2" style="62"/>
    <col min="15868" max="15940" width="2.625" style="62" customWidth="1"/>
    <col min="15941" max="16123" width="2" style="62"/>
    <col min="16124" max="16196" width="2.625" style="62" customWidth="1"/>
    <col min="16197" max="16384" width="2" style="62"/>
  </cols>
  <sheetData>
    <row r="1" spans="2:82" s="7" customFormat="1" ht="3" customHeight="1" thickBot="1"/>
    <row r="2" spans="2:82" s="8" customFormat="1" ht="14.25" customHeight="1" thickTop="1">
      <c r="B2" s="164" t="s">
        <v>16</v>
      </c>
      <c r="C2" s="165"/>
      <c r="D2" s="165"/>
      <c r="E2" s="165"/>
      <c r="F2" s="165"/>
      <c r="G2" s="165"/>
      <c r="H2" s="165"/>
      <c r="I2" s="166"/>
      <c r="J2" s="114" t="s">
        <v>40</v>
      </c>
      <c r="K2" s="114"/>
      <c r="L2" s="114"/>
      <c r="M2" s="114"/>
      <c r="N2" s="115"/>
      <c r="O2" s="113" t="s">
        <v>41</v>
      </c>
      <c r="P2" s="114"/>
      <c r="Q2" s="114"/>
      <c r="R2" s="114"/>
      <c r="S2" s="115"/>
      <c r="T2" s="113" t="s">
        <v>79</v>
      </c>
      <c r="U2" s="114"/>
      <c r="V2" s="114"/>
      <c r="W2" s="114"/>
      <c r="X2" s="114"/>
      <c r="Y2" s="114"/>
      <c r="Z2" s="114"/>
      <c r="AA2" s="114"/>
      <c r="AB2" s="114"/>
      <c r="AC2" s="114"/>
      <c r="AD2" s="114"/>
      <c r="AE2" s="114"/>
      <c r="AF2" s="115"/>
      <c r="AG2" s="136"/>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8"/>
      <c r="BK2" s="116" t="s">
        <v>0</v>
      </c>
      <c r="BL2" s="116"/>
      <c r="BM2" s="116"/>
      <c r="BN2" s="113" t="s">
        <v>1</v>
      </c>
      <c r="BO2" s="114"/>
      <c r="BP2" s="114"/>
      <c r="BQ2" s="115"/>
      <c r="BR2" s="116" t="s">
        <v>2</v>
      </c>
      <c r="BS2" s="116"/>
      <c r="BT2" s="116" t="s">
        <v>3</v>
      </c>
      <c r="BU2" s="116"/>
      <c r="BV2" s="116"/>
      <c r="BW2" s="113" t="s">
        <v>4</v>
      </c>
      <c r="BX2" s="114"/>
      <c r="BY2" s="114"/>
      <c r="BZ2" s="115"/>
      <c r="CA2" s="122"/>
      <c r="CB2" s="122"/>
      <c r="CC2" s="123"/>
    </row>
    <row r="3" spans="2:82" s="8" customFormat="1" ht="18.75" customHeight="1" thickBot="1">
      <c r="B3" s="167"/>
      <c r="C3" s="168"/>
      <c r="D3" s="168"/>
      <c r="E3" s="168"/>
      <c r="F3" s="168"/>
      <c r="G3" s="168"/>
      <c r="H3" s="168"/>
      <c r="I3" s="169"/>
      <c r="J3" s="124" t="s">
        <v>50</v>
      </c>
      <c r="K3" s="124"/>
      <c r="L3" s="124"/>
      <c r="M3" s="124"/>
      <c r="N3" s="125"/>
      <c r="O3" s="126">
        <v>3.07</v>
      </c>
      <c r="P3" s="127"/>
      <c r="Q3" s="127"/>
      <c r="R3" s="127"/>
      <c r="S3" s="128"/>
      <c r="T3" s="129" t="s">
        <v>42</v>
      </c>
      <c r="U3" s="124"/>
      <c r="V3" s="124"/>
      <c r="W3" s="124"/>
      <c r="X3" s="124"/>
      <c r="Y3" s="124"/>
      <c r="Z3" s="124"/>
      <c r="AA3" s="124"/>
      <c r="AB3" s="124"/>
      <c r="AC3" s="124"/>
      <c r="AD3" s="124"/>
      <c r="AE3" s="124"/>
      <c r="AF3" s="125"/>
      <c r="AG3" s="139"/>
      <c r="AH3" s="140"/>
      <c r="AI3" s="140"/>
      <c r="AJ3" s="140"/>
      <c r="AK3" s="140"/>
      <c r="AL3" s="140"/>
      <c r="AM3" s="140"/>
      <c r="AN3" s="140"/>
      <c r="AO3" s="140"/>
      <c r="AP3" s="140"/>
      <c r="AQ3" s="140"/>
      <c r="AR3" s="140"/>
      <c r="AS3" s="140"/>
      <c r="AT3" s="140"/>
      <c r="AU3" s="140"/>
      <c r="AV3" s="140"/>
      <c r="AW3" s="140"/>
      <c r="AX3" s="140"/>
      <c r="AY3" s="140"/>
      <c r="AZ3" s="140"/>
      <c r="BA3" s="140"/>
      <c r="BB3" s="140"/>
      <c r="BC3" s="140"/>
      <c r="BD3" s="140"/>
      <c r="BE3" s="140"/>
      <c r="BF3" s="140"/>
      <c r="BG3" s="140"/>
      <c r="BH3" s="140"/>
      <c r="BI3" s="140"/>
      <c r="BJ3" s="141"/>
      <c r="BK3" s="130"/>
      <c r="BL3" s="131"/>
      <c r="BM3" s="132"/>
      <c r="BN3" s="133"/>
      <c r="BO3" s="134"/>
      <c r="BP3" s="134"/>
      <c r="BQ3" s="135"/>
      <c r="BR3" s="142" t="s">
        <v>13</v>
      </c>
      <c r="BS3" s="142"/>
      <c r="BT3" s="130" t="s">
        <v>12</v>
      </c>
      <c r="BU3" s="131"/>
      <c r="BV3" s="132"/>
      <c r="BW3" s="133">
        <v>42964</v>
      </c>
      <c r="BX3" s="134"/>
      <c r="BY3" s="134"/>
      <c r="BZ3" s="135"/>
      <c r="CA3" s="124"/>
      <c r="CB3" s="124"/>
      <c r="CC3" s="125"/>
    </row>
    <row r="4" spans="2:82" s="7" customFormat="1" ht="5.25" customHeight="1" thickTop="1">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row>
    <row r="5" spans="2:82" s="14" customFormat="1" ht="13.5" customHeight="1">
      <c r="B5" s="143" t="s">
        <v>17</v>
      </c>
      <c r="C5" s="144"/>
      <c r="D5" s="144"/>
      <c r="E5" s="144"/>
      <c r="F5" s="145"/>
      <c r="G5" s="146" t="s">
        <v>52</v>
      </c>
      <c r="H5" s="147"/>
      <c r="I5" s="147"/>
      <c r="J5" s="147"/>
      <c r="K5" s="147"/>
      <c r="L5" s="147"/>
      <c r="M5" s="147"/>
      <c r="N5" s="147"/>
      <c r="O5" s="147"/>
      <c r="P5" s="147"/>
      <c r="Q5" s="147"/>
      <c r="R5" s="148" t="s">
        <v>18</v>
      </c>
      <c r="S5" s="149"/>
      <c r="T5" s="149"/>
      <c r="U5" s="149"/>
      <c r="V5" s="149"/>
      <c r="W5" s="149"/>
      <c r="X5" s="150"/>
      <c r="Y5" s="151" t="s">
        <v>19</v>
      </c>
      <c r="Z5" s="152"/>
      <c r="AA5" s="152"/>
      <c r="AB5" s="152"/>
      <c r="AC5" s="153"/>
      <c r="AD5" s="153"/>
      <c r="AE5" s="154" t="s">
        <v>20</v>
      </c>
      <c r="AF5" s="155"/>
      <c r="AG5" s="155"/>
      <c r="AH5" s="155"/>
      <c r="AI5" s="155"/>
      <c r="AJ5" s="155"/>
      <c r="AK5" s="156"/>
      <c r="AL5" s="10" t="s">
        <v>116</v>
      </c>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2"/>
      <c r="BS5" s="12"/>
      <c r="BT5" s="12"/>
      <c r="BU5" s="12"/>
      <c r="BV5" s="12"/>
      <c r="BW5" s="12"/>
      <c r="BX5" s="12"/>
      <c r="BY5" s="12"/>
      <c r="BZ5" s="12"/>
      <c r="CA5" s="12"/>
      <c r="CB5" s="12"/>
      <c r="CC5" s="12"/>
      <c r="CD5" s="13"/>
    </row>
    <row r="6" spans="2:82" s="14" customFormat="1" ht="13.5" customHeight="1">
      <c r="B6" s="143" t="s">
        <v>21</v>
      </c>
      <c r="C6" s="144"/>
      <c r="D6" s="144"/>
      <c r="E6" s="144"/>
      <c r="F6" s="145"/>
      <c r="G6" s="105" t="s">
        <v>53</v>
      </c>
      <c r="H6" s="163"/>
      <c r="I6" s="163"/>
      <c r="J6" s="163"/>
      <c r="K6" s="163"/>
      <c r="L6" s="163"/>
      <c r="M6" s="163"/>
      <c r="N6" s="163"/>
      <c r="O6" s="163"/>
      <c r="P6" s="163"/>
      <c r="Q6" s="106"/>
      <c r="R6" s="173" t="s">
        <v>22</v>
      </c>
      <c r="S6" s="173"/>
      <c r="T6" s="173"/>
      <c r="U6" s="173"/>
      <c r="V6" s="174"/>
      <c r="W6" s="175"/>
      <c r="X6" s="176" t="s">
        <v>80</v>
      </c>
      <c r="Y6" s="177"/>
      <c r="Z6" s="177"/>
      <c r="AA6" s="177"/>
      <c r="AB6" s="178"/>
      <c r="AC6" s="174"/>
      <c r="AD6" s="153"/>
      <c r="AE6" s="157"/>
      <c r="AF6" s="158"/>
      <c r="AG6" s="158"/>
      <c r="AH6" s="158"/>
      <c r="AI6" s="158"/>
      <c r="AJ6" s="158"/>
      <c r="AK6" s="159"/>
      <c r="AL6" s="15"/>
      <c r="AM6" s="16"/>
      <c r="AN6" s="16"/>
      <c r="AO6" s="16"/>
      <c r="AP6" s="16"/>
      <c r="AQ6" s="16"/>
      <c r="AR6" s="16"/>
      <c r="AS6" s="16"/>
      <c r="AT6" s="16"/>
      <c r="AU6" s="16"/>
      <c r="AV6" s="16"/>
      <c r="AW6" s="16"/>
      <c r="AX6" s="17"/>
      <c r="AY6" s="17"/>
      <c r="AZ6" s="17"/>
      <c r="BA6" s="17"/>
      <c r="BB6" s="17"/>
      <c r="BC6" s="17"/>
      <c r="BD6" s="18"/>
      <c r="BE6" s="18"/>
      <c r="BF6" s="18"/>
      <c r="BG6" s="18"/>
      <c r="BH6" s="18"/>
      <c r="BI6" s="18"/>
      <c r="BJ6" s="18"/>
      <c r="BK6" s="18"/>
      <c r="BL6" s="18"/>
      <c r="BM6" s="18"/>
      <c r="BN6" s="18"/>
      <c r="BO6" s="18"/>
      <c r="BP6" s="18"/>
      <c r="BQ6" s="18"/>
      <c r="CD6" s="19"/>
    </row>
    <row r="7" spans="2:82" s="14" customFormat="1" ht="13.5" customHeight="1">
      <c r="B7" s="143" t="s">
        <v>81</v>
      </c>
      <c r="C7" s="144"/>
      <c r="D7" s="144"/>
      <c r="E7" s="144"/>
      <c r="F7" s="145"/>
      <c r="G7" s="146" t="s">
        <v>95</v>
      </c>
      <c r="H7" s="147"/>
      <c r="I7" s="147"/>
      <c r="J7" s="147"/>
      <c r="K7" s="147"/>
      <c r="L7" s="147"/>
      <c r="M7" s="147"/>
      <c r="N7" s="147"/>
      <c r="O7" s="147"/>
      <c r="P7" s="147"/>
      <c r="Q7" s="147"/>
      <c r="R7" s="143" t="s">
        <v>23</v>
      </c>
      <c r="S7" s="149"/>
      <c r="T7" s="149"/>
      <c r="U7" s="149"/>
      <c r="V7" s="149"/>
      <c r="W7" s="149"/>
      <c r="X7" s="150"/>
      <c r="Y7" s="179">
        <f>IF($G$5="可変長ラインシーケンシャル","－",IF($G$5="CSV",SUM(AJ9:AK16)+MAX(B9:C28)-1,SUM(AJ9:AK16)))</f>
        <v>150</v>
      </c>
      <c r="Z7" s="180"/>
      <c r="AA7" s="180"/>
      <c r="AB7" s="180"/>
      <c r="AC7" s="181" t="s">
        <v>82</v>
      </c>
      <c r="AD7" s="181"/>
      <c r="AE7" s="160"/>
      <c r="AF7" s="161"/>
      <c r="AG7" s="161"/>
      <c r="AH7" s="161"/>
      <c r="AI7" s="161"/>
      <c r="AJ7" s="161"/>
      <c r="AK7" s="162"/>
      <c r="AL7" s="20"/>
      <c r="AM7" s="21"/>
      <c r="AN7" s="22"/>
      <c r="AO7" s="22"/>
      <c r="AP7" s="22"/>
      <c r="AQ7" s="22"/>
      <c r="AR7" s="22"/>
      <c r="AS7" s="23"/>
      <c r="AT7" s="23"/>
      <c r="AU7" s="23"/>
      <c r="AV7" s="23"/>
      <c r="AW7" s="24"/>
      <c r="AX7" s="22"/>
      <c r="AY7" s="22"/>
      <c r="AZ7" s="22"/>
      <c r="BA7" s="22"/>
      <c r="BB7" s="22"/>
      <c r="BC7" s="22"/>
      <c r="BD7" s="25"/>
      <c r="BE7" s="25"/>
      <c r="BF7" s="25"/>
      <c r="BG7" s="25"/>
      <c r="BH7" s="25"/>
      <c r="BI7" s="25"/>
      <c r="BJ7" s="25"/>
      <c r="BK7" s="25"/>
      <c r="BL7" s="25"/>
      <c r="BM7" s="25"/>
      <c r="BN7" s="25"/>
      <c r="BO7" s="25"/>
      <c r="BP7" s="25"/>
      <c r="BQ7" s="25"/>
      <c r="BR7" s="26"/>
      <c r="BS7" s="26"/>
      <c r="BT7" s="26"/>
      <c r="BU7" s="26"/>
      <c r="BV7" s="26"/>
      <c r="BW7" s="26"/>
      <c r="BX7" s="26"/>
      <c r="BY7" s="26"/>
      <c r="BZ7" s="26"/>
      <c r="CA7" s="26"/>
      <c r="CB7" s="26"/>
      <c r="CC7" s="26"/>
      <c r="CD7" s="27"/>
    </row>
    <row r="8" spans="2:82" s="14" customFormat="1" ht="13.5" customHeight="1">
      <c r="B8" s="28"/>
      <c r="C8" s="29"/>
      <c r="D8" s="28"/>
      <c r="E8" s="28"/>
      <c r="F8" s="28"/>
      <c r="G8" s="28"/>
      <c r="H8" s="28"/>
      <c r="I8" s="28"/>
      <c r="J8" s="28"/>
      <c r="K8" s="30"/>
      <c r="L8" s="28"/>
      <c r="M8" s="28"/>
      <c r="N8" s="28"/>
      <c r="O8" s="28"/>
      <c r="P8" s="28"/>
      <c r="Q8" s="28"/>
      <c r="R8" s="28"/>
      <c r="S8" s="28"/>
      <c r="T8" s="28"/>
      <c r="U8" s="31" t="s">
        <v>25</v>
      </c>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30"/>
      <c r="BK8" s="28"/>
      <c r="BL8" s="28"/>
      <c r="BM8" s="28"/>
      <c r="BN8" s="28"/>
      <c r="BO8" s="28"/>
      <c r="BP8" s="28"/>
      <c r="BQ8" s="32"/>
    </row>
    <row r="9" spans="2:82" s="14" customFormat="1" ht="47.25" customHeight="1">
      <c r="B9" s="117" t="s">
        <v>26</v>
      </c>
      <c r="C9" s="120"/>
      <c r="D9" s="33" t="s">
        <v>27</v>
      </c>
      <c r="E9" s="34"/>
      <c r="F9" s="34"/>
      <c r="G9" s="34"/>
      <c r="H9" s="34"/>
      <c r="I9" s="34"/>
      <c r="J9" s="34"/>
      <c r="K9" s="34"/>
      <c r="L9" s="34"/>
      <c r="M9" s="34"/>
      <c r="N9" s="35"/>
      <c r="O9" s="170" t="s">
        <v>28</v>
      </c>
      <c r="P9" s="171"/>
      <c r="Q9" s="171"/>
      <c r="R9" s="171"/>
      <c r="S9" s="171"/>
      <c r="T9" s="171"/>
      <c r="U9" s="172"/>
      <c r="V9" s="121" t="s">
        <v>83</v>
      </c>
      <c r="W9" s="120"/>
      <c r="X9" s="117" t="s">
        <v>30</v>
      </c>
      <c r="Y9" s="120"/>
      <c r="Z9" s="117" t="s">
        <v>29</v>
      </c>
      <c r="AA9" s="120"/>
      <c r="AB9" s="117" t="s">
        <v>31</v>
      </c>
      <c r="AC9" s="120"/>
      <c r="AD9" s="117" t="s">
        <v>32</v>
      </c>
      <c r="AE9" s="120"/>
      <c r="AF9" s="117" t="s">
        <v>46</v>
      </c>
      <c r="AG9" s="120"/>
      <c r="AH9" s="117" t="s">
        <v>47</v>
      </c>
      <c r="AI9" s="120"/>
      <c r="AJ9" s="121" t="s">
        <v>24</v>
      </c>
      <c r="AK9" s="120"/>
      <c r="AL9" s="121" t="s">
        <v>33</v>
      </c>
      <c r="AM9" s="120"/>
      <c r="AN9" s="117" t="s">
        <v>34</v>
      </c>
      <c r="AO9" s="118"/>
      <c r="AP9" s="118"/>
      <c r="AQ9" s="118"/>
      <c r="AR9" s="118"/>
      <c r="AS9" s="118"/>
      <c r="AT9" s="119"/>
      <c r="AU9" s="117" t="s">
        <v>35</v>
      </c>
      <c r="AV9" s="118"/>
      <c r="AW9" s="119"/>
      <c r="AX9" s="117" t="s">
        <v>43</v>
      </c>
      <c r="AY9" s="120"/>
      <c r="AZ9" s="117" t="s">
        <v>44</v>
      </c>
      <c r="BA9" s="120"/>
      <c r="BB9" s="117" t="s">
        <v>45</v>
      </c>
      <c r="BC9" s="120"/>
      <c r="BD9" s="117" t="s">
        <v>48</v>
      </c>
      <c r="BE9" s="120"/>
      <c r="BF9" s="117" t="s">
        <v>36</v>
      </c>
      <c r="BG9" s="118"/>
      <c r="BH9" s="118"/>
      <c r="BI9" s="118"/>
      <c r="BJ9" s="118"/>
      <c r="BK9" s="118"/>
      <c r="BL9" s="118"/>
      <c r="BM9" s="118"/>
      <c r="BN9" s="118"/>
      <c r="BO9" s="118"/>
      <c r="BP9" s="118"/>
      <c r="BQ9" s="118"/>
      <c r="BR9" s="118"/>
      <c r="BS9" s="119"/>
      <c r="BT9" s="36" t="s">
        <v>11</v>
      </c>
      <c r="BU9" s="37"/>
      <c r="BV9" s="37"/>
      <c r="BW9" s="37"/>
      <c r="BX9" s="37"/>
      <c r="BY9" s="37"/>
      <c r="BZ9" s="37"/>
      <c r="CA9" s="37"/>
      <c r="CB9" s="37"/>
      <c r="CC9" s="37"/>
      <c r="CD9" s="38"/>
    </row>
    <row r="10" spans="2:82" s="49" customFormat="1" ht="13.5" customHeight="1">
      <c r="B10" s="94"/>
      <c r="C10" s="95"/>
      <c r="D10" s="39" t="s">
        <v>87</v>
      </c>
      <c r="E10" s="40"/>
      <c r="F10" s="40"/>
      <c r="G10" s="40"/>
      <c r="H10" s="40"/>
      <c r="I10" s="40"/>
      <c r="J10" s="40"/>
      <c r="K10" s="40"/>
      <c r="L10" s="40"/>
      <c r="M10" s="41"/>
      <c r="N10" s="41"/>
      <c r="O10" s="42"/>
      <c r="P10" s="43"/>
      <c r="Q10" s="43"/>
      <c r="R10" s="43"/>
      <c r="S10" s="43"/>
      <c r="T10" s="41"/>
      <c r="U10" s="44"/>
      <c r="V10" s="96"/>
      <c r="W10" s="97"/>
      <c r="X10" s="98"/>
      <c r="Y10" s="99"/>
      <c r="Z10" s="98"/>
      <c r="AA10" s="99"/>
      <c r="AB10" s="98"/>
      <c r="AC10" s="99"/>
      <c r="AD10" s="98"/>
      <c r="AE10" s="99"/>
      <c r="AF10" s="98"/>
      <c r="AG10" s="99"/>
      <c r="AH10" s="98"/>
      <c r="AI10" s="99"/>
      <c r="AJ10" s="98"/>
      <c r="AK10" s="99"/>
      <c r="AL10" s="98"/>
      <c r="AM10" s="99"/>
      <c r="AN10" s="46"/>
      <c r="AO10" s="44"/>
      <c r="AP10" s="44"/>
      <c r="AQ10" s="44"/>
      <c r="AR10" s="44"/>
      <c r="AS10" s="44"/>
      <c r="AT10" s="45"/>
      <c r="AU10" s="46"/>
      <c r="AV10" s="63"/>
      <c r="AW10" s="64"/>
      <c r="AX10" s="98"/>
      <c r="AY10" s="99"/>
      <c r="AZ10" s="98"/>
      <c r="BA10" s="99"/>
      <c r="BB10" s="98"/>
      <c r="BC10" s="99"/>
      <c r="BD10" s="98"/>
      <c r="BE10" s="99"/>
      <c r="BF10" s="47"/>
      <c r="BG10" s="47"/>
      <c r="BH10" s="47"/>
      <c r="BI10" s="47"/>
      <c r="BJ10" s="47"/>
      <c r="BK10" s="47"/>
      <c r="BL10" s="47"/>
      <c r="BM10" s="47"/>
      <c r="BN10" s="47"/>
      <c r="BO10" s="47"/>
      <c r="BP10" s="47"/>
      <c r="BQ10" s="47"/>
      <c r="BR10" s="47"/>
      <c r="BS10" s="48"/>
      <c r="BT10" s="100"/>
      <c r="BU10" s="101"/>
      <c r="BV10" s="101"/>
      <c r="BW10" s="101"/>
      <c r="BX10" s="101"/>
      <c r="BY10" s="101"/>
      <c r="BZ10" s="101"/>
      <c r="CA10" s="101"/>
      <c r="CB10" s="101"/>
      <c r="CC10" s="101"/>
      <c r="CD10" s="102"/>
    </row>
    <row r="11" spans="2:82" s="49" customFormat="1" ht="27" customHeight="1">
      <c r="B11" s="94">
        <v>1</v>
      </c>
      <c r="C11" s="95"/>
      <c r="D11" s="67" t="s">
        <v>54</v>
      </c>
      <c r="E11" s="50"/>
      <c r="F11" s="50"/>
      <c r="G11" s="50"/>
      <c r="H11" s="50"/>
      <c r="I11" s="50"/>
      <c r="J11" s="50"/>
      <c r="K11" s="50"/>
      <c r="L11" s="50"/>
      <c r="M11" s="51"/>
      <c r="N11" s="51"/>
      <c r="O11" s="52" t="s">
        <v>122</v>
      </c>
      <c r="P11" s="53"/>
      <c r="Q11" s="53"/>
      <c r="R11" s="53"/>
      <c r="S11" s="53"/>
      <c r="T11" s="51"/>
      <c r="U11" s="51"/>
      <c r="V11" s="103" t="s">
        <v>37</v>
      </c>
      <c r="W11" s="104"/>
      <c r="X11" s="105">
        <v>1</v>
      </c>
      <c r="Y11" s="106"/>
      <c r="Z11" s="105"/>
      <c r="AA11" s="106"/>
      <c r="AB11" s="105">
        <v>1</v>
      </c>
      <c r="AC11" s="106"/>
      <c r="AD11" s="105"/>
      <c r="AE11" s="106"/>
      <c r="AF11" s="107"/>
      <c r="AG11" s="108"/>
      <c r="AH11" s="107"/>
      <c r="AI11" s="108"/>
      <c r="AJ11" s="109">
        <f t="shared" ref="AJ11:AJ37" si="0">IF(V11="","",IF(V11="N",AB11*2,IF(V11="X",AB11,IF(V11=9,AB11+AD11,IF(V11="±9",AB11+AD11+1,IF(V11="S9",AB11+AD11,IF(V11="S9C3",ROUNDDOWN((AB11+AD11)/2,0)+1,"")))))))</f>
        <v>1</v>
      </c>
      <c r="AK11" s="110"/>
      <c r="AL11" s="109">
        <f t="shared" ref="AL11:AL35" si="1">AJ10+AL10</f>
        <v>0</v>
      </c>
      <c r="AM11" s="110"/>
      <c r="AN11" s="54" t="s">
        <v>38</v>
      </c>
      <c r="AO11" s="51"/>
      <c r="AP11" s="51"/>
      <c r="AQ11" s="51"/>
      <c r="AR11" s="65"/>
      <c r="AS11" s="65"/>
      <c r="AT11" s="66"/>
      <c r="AU11" s="55" t="s">
        <v>39</v>
      </c>
      <c r="AV11" s="51"/>
      <c r="AW11" s="51"/>
      <c r="AX11" s="107"/>
      <c r="AY11" s="108"/>
      <c r="AZ11" s="107"/>
      <c r="BA11" s="108"/>
      <c r="BB11" s="107"/>
      <c r="BC11" s="108"/>
      <c r="BD11" s="111" t="s">
        <v>49</v>
      </c>
      <c r="BE11" s="112"/>
      <c r="BF11" s="88" t="s">
        <v>88</v>
      </c>
      <c r="BG11" s="89"/>
      <c r="BH11" s="89"/>
      <c r="BI11" s="89"/>
      <c r="BJ11" s="89"/>
      <c r="BK11" s="89"/>
      <c r="BL11" s="89"/>
      <c r="BM11" s="89"/>
      <c r="BN11" s="89"/>
      <c r="BO11" s="89"/>
      <c r="BP11" s="89"/>
      <c r="BQ11" s="89"/>
      <c r="BR11" s="89"/>
      <c r="BS11" s="90"/>
      <c r="BT11" s="91"/>
      <c r="BU11" s="92"/>
      <c r="BV11" s="92"/>
      <c r="BW11" s="92"/>
      <c r="BX11" s="92"/>
      <c r="BY11" s="92"/>
      <c r="BZ11" s="92"/>
      <c r="CA11" s="92"/>
      <c r="CB11" s="92"/>
      <c r="CC11" s="92"/>
      <c r="CD11" s="93"/>
    </row>
    <row r="12" spans="2:82" s="49" customFormat="1" ht="27.75" customHeight="1">
      <c r="B12" s="94">
        <f ca="1">IF($V12="","",MAX(OFFSET($B$11,0,0,ROW()-ROW($B$11),2))+1)</f>
        <v>2</v>
      </c>
      <c r="C12" s="95"/>
      <c r="D12" s="67" t="s">
        <v>55</v>
      </c>
      <c r="E12" s="50"/>
      <c r="F12" s="50"/>
      <c r="G12" s="50"/>
      <c r="H12" s="50"/>
      <c r="I12" s="50"/>
      <c r="J12" s="50"/>
      <c r="K12" s="50"/>
      <c r="L12" s="50"/>
      <c r="M12" s="51"/>
      <c r="N12" s="51"/>
      <c r="O12" s="52" t="s">
        <v>123</v>
      </c>
      <c r="P12" s="53"/>
      <c r="Q12" s="53"/>
      <c r="R12" s="53"/>
      <c r="S12" s="53"/>
      <c r="T12" s="51"/>
      <c r="U12" s="51"/>
      <c r="V12" s="103">
        <v>9</v>
      </c>
      <c r="W12" s="104"/>
      <c r="X12" s="105">
        <v>1</v>
      </c>
      <c r="Y12" s="106"/>
      <c r="Z12" s="105"/>
      <c r="AA12" s="106"/>
      <c r="AB12" s="105">
        <v>5</v>
      </c>
      <c r="AC12" s="106"/>
      <c r="AD12" s="105"/>
      <c r="AE12" s="106"/>
      <c r="AF12" s="107"/>
      <c r="AG12" s="108"/>
      <c r="AH12" s="107"/>
      <c r="AI12" s="108"/>
      <c r="AJ12" s="109">
        <f t="shared" si="0"/>
        <v>5</v>
      </c>
      <c r="AK12" s="110"/>
      <c r="AL12" s="109">
        <f t="shared" si="1"/>
        <v>1</v>
      </c>
      <c r="AM12" s="110"/>
      <c r="AN12" s="54" t="s">
        <v>38</v>
      </c>
      <c r="AO12" s="51"/>
      <c r="AP12" s="51"/>
      <c r="AQ12" s="51"/>
      <c r="AR12" s="65"/>
      <c r="AS12" s="65"/>
      <c r="AT12" s="66"/>
      <c r="AU12" s="55">
        <v>0</v>
      </c>
      <c r="AV12" s="51"/>
      <c r="AW12" s="51"/>
      <c r="AX12" s="107"/>
      <c r="AY12" s="108"/>
      <c r="AZ12" s="107"/>
      <c r="BA12" s="108"/>
      <c r="BB12" s="107"/>
      <c r="BC12" s="108"/>
      <c r="BD12" s="111" t="s">
        <v>98</v>
      </c>
      <c r="BE12" s="112"/>
      <c r="BF12" s="88" t="s">
        <v>99</v>
      </c>
      <c r="BG12" s="89"/>
      <c r="BH12" s="89"/>
      <c r="BI12" s="89"/>
      <c r="BJ12" s="89"/>
      <c r="BK12" s="89"/>
      <c r="BL12" s="89"/>
      <c r="BM12" s="89"/>
      <c r="BN12" s="89"/>
      <c r="BO12" s="89"/>
      <c r="BP12" s="89"/>
      <c r="BQ12" s="89"/>
      <c r="BR12" s="89"/>
      <c r="BS12" s="90"/>
      <c r="BT12" s="91" t="s">
        <v>96</v>
      </c>
      <c r="BU12" s="92"/>
      <c r="BV12" s="92"/>
      <c r="BW12" s="92"/>
      <c r="BX12" s="92"/>
      <c r="BY12" s="92"/>
      <c r="BZ12" s="92"/>
      <c r="CA12" s="92"/>
      <c r="CB12" s="92"/>
      <c r="CC12" s="92"/>
      <c r="CD12" s="93"/>
    </row>
    <row r="13" spans="2:82" s="49" customFormat="1" ht="27.75" customHeight="1">
      <c r="B13" s="94">
        <f t="shared" ref="B13:B39" ca="1" si="2">IF($V13="","",MAX(OFFSET($B$11,0,0,ROW()-ROW($B$11),2))+1)</f>
        <v>3</v>
      </c>
      <c r="C13" s="95"/>
      <c r="D13" s="67" t="s">
        <v>56</v>
      </c>
      <c r="E13" s="50"/>
      <c r="F13" s="50"/>
      <c r="G13" s="50"/>
      <c r="H13" s="50"/>
      <c r="I13" s="50"/>
      <c r="J13" s="50"/>
      <c r="K13" s="50"/>
      <c r="L13" s="50"/>
      <c r="M13" s="51"/>
      <c r="N13" s="51"/>
      <c r="O13" s="52" t="s">
        <v>124</v>
      </c>
      <c r="P13" s="53"/>
      <c r="Q13" s="53"/>
      <c r="R13" s="53"/>
      <c r="S13" s="53"/>
      <c r="T13" s="51"/>
      <c r="U13" s="51"/>
      <c r="V13" s="103" t="s">
        <v>37</v>
      </c>
      <c r="W13" s="104"/>
      <c r="X13" s="105">
        <v>1</v>
      </c>
      <c r="Y13" s="106"/>
      <c r="Z13" s="105"/>
      <c r="AA13" s="106"/>
      <c r="AB13" s="105">
        <v>2</v>
      </c>
      <c r="AC13" s="106"/>
      <c r="AD13" s="105"/>
      <c r="AE13" s="106"/>
      <c r="AF13" s="107"/>
      <c r="AG13" s="108"/>
      <c r="AH13" s="107"/>
      <c r="AI13" s="108"/>
      <c r="AJ13" s="109">
        <f t="shared" si="0"/>
        <v>2</v>
      </c>
      <c r="AK13" s="110"/>
      <c r="AL13" s="109">
        <f t="shared" si="1"/>
        <v>6</v>
      </c>
      <c r="AM13" s="110"/>
      <c r="AN13" s="54" t="s">
        <v>38</v>
      </c>
      <c r="AO13" s="51"/>
      <c r="AP13" s="51"/>
      <c r="AQ13" s="51"/>
      <c r="AR13" s="65"/>
      <c r="AS13" s="65"/>
      <c r="AT13" s="66"/>
      <c r="AU13" s="55" t="s">
        <v>39</v>
      </c>
      <c r="AV13" s="51"/>
      <c r="AW13" s="51"/>
      <c r="AX13" s="107"/>
      <c r="AY13" s="108"/>
      <c r="AZ13" s="107"/>
      <c r="BA13" s="108"/>
      <c r="BB13" s="107"/>
      <c r="BC13" s="108"/>
      <c r="BD13" s="111" t="s">
        <v>49</v>
      </c>
      <c r="BE13" s="112"/>
      <c r="BF13" s="88" t="s">
        <v>84</v>
      </c>
      <c r="BG13" s="89"/>
      <c r="BH13" s="89"/>
      <c r="BI13" s="89"/>
      <c r="BJ13" s="89"/>
      <c r="BK13" s="89"/>
      <c r="BL13" s="89"/>
      <c r="BM13" s="89"/>
      <c r="BN13" s="89"/>
      <c r="BO13" s="89"/>
      <c r="BP13" s="89"/>
      <c r="BQ13" s="89"/>
      <c r="BR13" s="89"/>
      <c r="BS13" s="90"/>
      <c r="BT13" s="91"/>
      <c r="BU13" s="92"/>
      <c r="BV13" s="92"/>
      <c r="BW13" s="92"/>
      <c r="BX13" s="92"/>
      <c r="BY13" s="92"/>
      <c r="BZ13" s="92"/>
      <c r="CA13" s="92"/>
      <c r="CB13" s="92"/>
      <c r="CC13" s="92"/>
      <c r="CD13" s="93"/>
    </row>
    <row r="14" spans="2:82" s="49" customFormat="1" ht="27.75" customHeight="1">
      <c r="B14" s="94">
        <f t="shared" ca="1" si="2"/>
        <v>4</v>
      </c>
      <c r="C14" s="95"/>
      <c r="D14" s="67" t="s">
        <v>57</v>
      </c>
      <c r="E14" s="50"/>
      <c r="F14" s="50"/>
      <c r="G14" s="50"/>
      <c r="H14" s="50"/>
      <c r="I14" s="50"/>
      <c r="J14" s="50"/>
      <c r="K14" s="50"/>
      <c r="L14" s="50"/>
      <c r="M14" s="51"/>
      <c r="N14" s="51"/>
      <c r="O14" s="52" t="s">
        <v>125</v>
      </c>
      <c r="P14" s="53"/>
      <c r="Q14" s="53"/>
      <c r="R14" s="53"/>
      <c r="S14" s="53"/>
      <c r="T14" s="51"/>
      <c r="U14" s="51"/>
      <c r="V14" s="103">
        <v>9</v>
      </c>
      <c r="W14" s="104"/>
      <c r="X14" s="105">
        <v>1</v>
      </c>
      <c r="Y14" s="106"/>
      <c r="Z14" s="105"/>
      <c r="AA14" s="106"/>
      <c r="AB14" s="105">
        <v>14</v>
      </c>
      <c r="AC14" s="106"/>
      <c r="AD14" s="105"/>
      <c r="AE14" s="106"/>
      <c r="AF14" s="107"/>
      <c r="AG14" s="108"/>
      <c r="AH14" s="107"/>
      <c r="AI14" s="108"/>
      <c r="AJ14" s="109">
        <f t="shared" si="0"/>
        <v>14</v>
      </c>
      <c r="AK14" s="110"/>
      <c r="AL14" s="109">
        <f t="shared" si="1"/>
        <v>8</v>
      </c>
      <c r="AM14" s="110"/>
      <c r="AN14" s="54" t="s">
        <v>38</v>
      </c>
      <c r="AO14" s="51"/>
      <c r="AP14" s="51"/>
      <c r="AQ14" s="51"/>
      <c r="AR14" s="65"/>
      <c r="AS14" s="65"/>
      <c r="AT14" s="66"/>
      <c r="AU14" s="55">
        <v>0</v>
      </c>
      <c r="AV14" s="51"/>
      <c r="AW14" s="51"/>
      <c r="AX14" s="107"/>
      <c r="AY14" s="108"/>
      <c r="AZ14" s="107"/>
      <c r="BA14" s="108"/>
      <c r="BB14" s="107"/>
      <c r="BC14" s="108"/>
      <c r="BD14" s="111" t="s">
        <v>98</v>
      </c>
      <c r="BE14" s="112"/>
      <c r="BF14" s="88" t="s">
        <v>115</v>
      </c>
      <c r="BG14" s="89"/>
      <c r="BH14" s="89"/>
      <c r="BI14" s="89"/>
      <c r="BJ14" s="89"/>
      <c r="BK14" s="89"/>
      <c r="BL14" s="89"/>
      <c r="BM14" s="89"/>
      <c r="BN14" s="89"/>
      <c r="BO14" s="89"/>
      <c r="BP14" s="89"/>
      <c r="BQ14" s="89"/>
      <c r="BR14" s="89"/>
      <c r="BS14" s="90"/>
      <c r="BT14" s="91" t="s">
        <v>64</v>
      </c>
      <c r="BU14" s="92"/>
      <c r="BV14" s="92"/>
      <c r="BW14" s="92"/>
      <c r="BX14" s="92"/>
      <c r="BY14" s="92"/>
      <c r="BZ14" s="92"/>
      <c r="CA14" s="92"/>
      <c r="CB14" s="92"/>
      <c r="CC14" s="92"/>
      <c r="CD14" s="93"/>
    </row>
    <row r="15" spans="2:82" s="49" customFormat="1" ht="54" customHeight="1">
      <c r="B15" s="94">
        <f t="shared" ca="1" si="2"/>
        <v>5</v>
      </c>
      <c r="C15" s="95"/>
      <c r="D15" s="67" t="s">
        <v>58</v>
      </c>
      <c r="E15" s="50"/>
      <c r="F15" s="50"/>
      <c r="G15" s="50"/>
      <c r="H15" s="50"/>
      <c r="I15" s="50"/>
      <c r="J15" s="50"/>
      <c r="K15" s="50"/>
      <c r="L15" s="50"/>
      <c r="M15" s="51"/>
      <c r="N15" s="51"/>
      <c r="O15" s="52" t="s">
        <v>126</v>
      </c>
      <c r="P15" s="53"/>
      <c r="Q15" s="53"/>
      <c r="R15" s="53"/>
      <c r="S15" s="53"/>
      <c r="T15" s="51"/>
      <c r="U15" s="51"/>
      <c r="V15" s="103">
        <v>9</v>
      </c>
      <c r="W15" s="104"/>
      <c r="X15" s="105">
        <v>1</v>
      </c>
      <c r="Y15" s="106"/>
      <c r="Z15" s="105"/>
      <c r="AA15" s="106"/>
      <c r="AB15" s="105">
        <v>8</v>
      </c>
      <c r="AC15" s="106"/>
      <c r="AD15" s="105"/>
      <c r="AE15" s="106"/>
      <c r="AF15" s="107"/>
      <c r="AG15" s="108"/>
      <c r="AH15" s="107"/>
      <c r="AI15" s="108"/>
      <c r="AJ15" s="109">
        <f t="shared" si="0"/>
        <v>8</v>
      </c>
      <c r="AK15" s="110"/>
      <c r="AL15" s="109">
        <f t="shared" si="1"/>
        <v>22</v>
      </c>
      <c r="AM15" s="110"/>
      <c r="AN15" s="54" t="s">
        <v>38</v>
      </c>
      <c r="AO15" s="51"/>
      <c r="AP15" s="51"/>
      <c r="AQ15" s="51"/>
      <c r="AR15" s="65"/>
      <c r="AS15" s="65"/>
      <c r="AT15" s="66"/>
      <c r="AU15" s="55">
        <v>0</v>
      </c>
      <c r="AV15" s="51"/>
      <c r="AW15" s="51"/>
      <c r="AX15" s="107"/>
      <c r="AY15" s="108"/>
      <c r="AZ15" s="107"/>
      <c r="BA15" s="108"/>
      <c r="BB15" s="107"/>
      <c r="BC15" s="108"/>
      <c r="BD15" s="111" t="s">
        <v>98</v>
      </c>
      <c r="BE15" s="112"/>
      <c r="BF15" s="88" t="s">
        <v>100</v>
      </c>
      <c r="BG15" s="89"/>
      <c r="BH15" s="89"/>
      <c r="BI15" s="89"/>
      <c r="BJ15" s="89"/>
      <c r="BK15" s="89"/>
      <c r="BL15" s="89"/>
      <c r="BM15" s="89"/>
      <c r="BN15" s="89"/>
      <c r="BO15" s="89"/>
      <c r="BP15" s="89"/>
      <c r="BQ15" s="89"/>
      <c r="BR15" s="89"/>
      <c r="BS15" s="90"/>
      <c r="BT15" s="91" t="s">
        <v>63</v>
      </c>
      <c r="BU15" s="92"/>
      <c r="BV15" s="92"/>
      <c r="BW15" s="92"/>
      <c r="BX15" s="92"/>
      <c r="BY15" s="92"/>
      <c r="BZ15" s="92"/>
      <c r="CA15" s="92"/>
      <c r="CB15" s="92"/>
      <c r="CC15" s="92"/>
      <c r="CD15" s="93"/>
    </row>
    <row r="16" spans="2:82" s="49" customFormat="1" ht="27.75" customHeight="1">
      <c r="B16" s="94">
        <f ca="1">IF($V16="","",MAX(OFFSET($B$11,0,0,ROW()-ROW($B$11),2))+1)</f>
        <v>6</v>
      </c>
      <c r="C16" s="95"/>
      <c r="D16" s="67" t="s">
        <v>90</v>
      </c>
      <c r="E16" s="50"/>
      <c r="F16" s="50"/>
      <c r="G16" s="50"/>
      <c r="H16" s="50"/>
      <c r="I16" s="50"/>
      <c r="J16" s="50"/>
      <c r="K16" s="50"/>
      <c r="L16" s="50"/>
      <c r="M16" s="51"/>
      <c r="N16" s="51"/>
      <c r="O16" s="52" t="s">
        <v>127</v>
      </c>
      <c r="P16" s="53"/>
      <c r="Q16" s="53"/>
      <c r="R16" s="53"/>
      <c r="S16" s="53"/>
      <c r="T16" s="51"/>
      <c r="U16" s="51"/>
      <c r="V16" s="103" t="s">
        <v>37</v>
      </c>
      <c r="W16" s="104"/>
      <c r="X16" s="105">
        <v>1</v>
      </c>
      <c r="Y16" s="106"/>
      <c r="Z16" s="105"/>
      <c r="AA16" s="106"/>
      <c r="AB16" s="105">
        <v>120</v>
      </c>
      <c r="AC16" s="106"/>
      <c r="AD16" s="105"/>
      <c r="AE16" s="106"/>
      <c r="AF16" s="107"/>
      <c r="AG16" s="108"/>
      <c r="AH16" s="107"/>
      <c r="AI16" s="108"/>
      <c r="AJ16" s="109">
        <f>IF(V16="","",IF(V16="N",AB16*2,IF(V16="X",AB16,IF(V16=9,AB16+AD16,IF(V16="±9",AB16+AD16+1,IF(V16="S9",AB16+AD16,IF(V16="S9C3",ROUNDDOWN((AB16+AD16)/2,0)+1,"")))))))</f>
        <v>120</v>
      </c>
      <c r="AK16" s="110"/>
      <c r="AL16" s="109">
        <f t="shared" ref="AL16" si="3">AJ15+AL15</f>
        <v>30</v>
      </c>
      <c r="AM16" s="110"/>
      <c r="AN16" s="54" t="s">
        <v>38</v>
      </c>
      <c r="AO16" s="51"/>
      <c r="AP16" s="51"/>
      <c r="AQ16" s="51"/>
      <c r="AR16" s="65"/>
      <c r="AS16" s="65"/>
      <c r="AT16" s="66"/>
      <c r="AU16" s="55" t="s">
        <v>39</v>
      </c>
      <c r="AV16" s="51"/>
      <c r="AW16" s="51"/>
      <c r="AX16" s="107"/>
      <c r="AY16" s="108"/>
      <c r="AZ16" s="107"/>
      <c r="BA16" s="108"/>
      <c r="BB16" s="107"/>
      <c r="BC16" s="108"/>
      <c r="BD16" s="111" t="s">
        <v>49</v>
      </c>
      <c r="BE16" s="112"/>
      <c r="BF16" s="182"/>
      <c r="BG16" s="183"/>
      <c r="BH16" s="183"/>
      <c r="BI16" s="183"/>
      <c r="BJ16" s="183"/>
      <c r="BK16" s="183"/>
      <c r="BL16" s="183"/>
      <c r="BM16" s="183"/>
      <c r="BN16" s="183"/>
      <c r="BO16" s="183"/>
      <c r="BP16" s="183"/>
      <c r="BQ16" s="183"/>
      <c r="BR16" s="183"/>
      <c r="BS16" s="184"/>
      <c r="BT16" s="91"/>
      <c r="BU16" s="92"/>
      <c r="BV16" s="92"/>
      <c r="BW16" s="92"/>
      <c r="BX16" s="92"/>
      <c r="BY16" s="92"/>
      <c r="BZ16" s="92"/>
      <c r="CA16" s="92"/>
      <c r="CB16" s="92"/>
      <c r="CC16" s="92"/>
      <c r="CD16" s="93"/>
    </row>
    <row r="17" spans="2:82" s="49" customFormat="1" ht="13.5" customHeight="1">
      <c r="B17" s="94"/>
      <c r="C17" s="95"/>
      <c r="D17" s="39" t="s">
        <v>89</v>
      </c>
      <c r="E17" s="40"/>
      <c r="F17" s="40"/>
      <c r="G17" s="40"/>
      <c r="H17" s="40"/>
      <c r="I17" s="40"/>
      <c r="J17" s="40"/>
      <c r="K17" s="40"/>
      <c r="L17" s="40"/>
      <c r="M17" s="41"/>
      <c r="N17" s="41"/>
      <c r="O17" s="42"/>
      <c r="P17" s="43"/>
      <c r="Q17" s="43"/>
      <c r="R17" s="43"/>
      <c r="S17" s="43"/>
      <c r="T17" s="41"/>
      <c r="U17" s="44"/>
      <c r="V17" s="96"/>
      <c r="W17" s="97"/>
      <c r="X17" s="98"/>
      <c r="Y17" s="99"/>
      <c r="Z17" s="98"/>
      <c r="AA17" s="99"/>
      <c r="AB17" s="98"/>
      <c r="AC17" s="99"/>
      <c r="AD17" s="98"/>
      <c r="AE17" s="99"/>
      <c r="AF17" s="98"/>
      <c r="AG17" s="99"/>
      <c r="AH17" s="98"/>
      <c r="AI17" s="99"/>
      <c r="AJ17" s="98"/>
      <c r="AK17" s="99"/>
      <c r="AL17" s="98"/>
      <c r="AM17" s="99"/>
      <c r="AN17" s="46"/>
      <c r="AO17" s="44"/>
      <c r="AP17" s="44"/>
      <c r="AQ17" s="44"/>
      <c r="AR17" s="44"/>
      <c r="AS17" s="44"/>
      <c r="AT17" s="45"/>
      <c r="AU17" s="46"/>
      <c r="AV17" s="63"/>
      <c r="AW17" s="64"/>
      <c r="AX17" s="98"/>
      <c r="AY17" s="99"/>
      <c r="AZ17" s="98"/>
      <c r="BA17" s="99"/>
      <c r="BB17" s="98"/>
      <c r="BC17" s="99"/>
      <c r="BD17" s="98"/>
      <c r="BE17" s="99"/>
      <c r="BF17" s="47"/>
      <c r="BG17" s="47"/>
      <c r="BH17" s="47"/>
      <c r="BI17" s="47"/>
      <c r="BJ17" s="47"/>
      <c r="BK17" s="47"/>
      <c r="BL17" s="47"/>
      <c r="BM17" s="47"/>
      <c r="BN17" s="47"/>
      <c r="BO17" s="47"/>
      <c r="BP17" s="47"/>
      <c r="BQ17" s="47"/>
      <c r="BR17" s="47"/>
      <c r="BS17" s="48"/>
      <c r="BT17" s="100"/>
      <c r="BU17" s="101"/>
      <c r="BV17" s="101"/>
      <c r="BW17" s="101"/>
      <c r="BX17" s="101"/>
      <c r="BY17" s="101"/>
      <c r="BZ17" s="101"/>
      <c r="CA17" s="101"/>
      <c r="CB17" s="101"/>
      <c r="CC17" s="101"/>
      <c r="CD17" s="102"/>
    </row>
    <row r="18" spans="2:82" s="49" customFormat="1" ht="27" customHeight="1">
      <c r="B18" s="94">
        <f t="shared" ca="1" si="2"/>
        <v>7</v>
      </c>
      <c r="C18" s="95"/>
      <c r="D18" s="67" t="s">
        <v>54</v>
      </c>
      <c r="E18" s="50"/>
      <c r="F18" s="50"/>
      <c r="G18" s="50"/>
      <c r="H18" s="50"/>
      <c r="I18" s="50"/>
      <c r="J18" s="50"/>
      <c r="K18" s="50"/>
      <c r="L18" s="50"/>
      <c r="M18" s="51"/>
      <c r="N18" s="51"/>
      <c r="O18" s="52" t="s">
        <v>122</v>
      </c>
      <c r="P18" s="53"/>
      <c r="Q18" s="53"/>
      <c r="R18" s="53"/>
      <c r="S18" s="53"/>
      <c r="T18" s="51"/>
      <c r="U18" s="51"/>
      <c r="V18" s="103" t="s">
        <v>37</v>
      </c>
      <c r="W18" s="104"/>
      <c r="X18" s="105">
        <v>1</v>
      </c>
      <c r="Y18" s="106"/>
      <c r="Z18" s="105"/>
      <c r="AA18" s="106"/>
      <c r="AB18" s="105">
        <v>1</v>
      </c>
      <c r="AC18" s="106"/>
      <c r="AD18" s="105"/>
      <c r="AE18" s="106"/>
      <c r="AF18" s="107"/>
      <c r="AG18" s="108"/>
      <c r="AH18" s="107"/>
      <c r="AI18" s="108"/>
      <c r="AJ18" s="109">
        <f t="shared" ref="AJ18" si="4">IF(V18="","",IF(V18="N",AB18*2,IF(V18="X",AB18,IF(V18=9,AB18+AD18,IF(V18="±9",AB18+AD18+1,IF(V18="S9",AB18+AD18,IF(V18="S9C3",ROUNDDOWN((AB18+AD18)/2,0)+1,"")))))))</f>
        <v>1</v>
      </c>
      <c r="AK18" s="110"/>
      <c r="AL18" s="109">
        <f t="shared" ref="AL18" si="5">AJ17+AL17</f>
        <v>0</v>
      </c>
      <c r="AM18" s="110"/>
      <c r="AN18" s="54" t="s">
        <v>38</v>
      </c>
      <c r="AO18" s="51"/>
      <c r="AP18" s="51"/>
      <c r="AQ18" s="51"/>
      <c r="AR18" s="65"/>
      <c r="AS18" s="65"/>
      <c r="AT18" s="66"/>
      <c r="AU18" s="55" t="s">
        <v>39</v>
      </c>
      <c r="AV18" s="51"/>
      <c r="AW18" s="51"/>
      <c r="AX18" s="107"/>
      <c r="AY18" s="108"/>
      <c r="AZ18" s="107"/>
      <c r="BA18" s="108"/>
      <c r="BB18" s="107"/>
      <c r="BC18" s="108"/>
      <c r="BD18" s="111" t="s">
        <v>49</v>
      </c>
      <c r="BE18" s="112"/>
      <c r="BF18" s="88" t="s">
        <v>94</v>
      </c>
      <c r="BG18" s="89"/>
      <c r="BH18" s="89"/>
      <c r="BI18" s="89"/>
      <c r="BJ18" s="89"/>
      <c r="BK18" s="89"/>
      <c r="BL18" s="89"/>
      <c r="BM18" s="89"/>
      <c r="BN18" s="89"/>
      <c r="BO18" s="89"/>
      <c r="BP18" s="89"/>
      <c r="BQ18" s="89"/>
      <c r="BR18" s="89"/>
      <c r="BS18" s="90"/>
      <c r="BT18" s="91"/>
      <c r="BU18" s="92"/>
      <c r="BV18" s="92"/>
      <c r="BW18" s="92"/>
      <c r="BX18" s="92"/>
      <c r="BY18" s="92"/>
      <c r="BZ18" s="92"/>
      <c r="CA18" s="92"/>
      <c r="CB18" s="92"/>
      <c r="CC18" s="92"/>
      <c r="CD18" s="93"/>
    </row>
    <row r="19" spans="2:82" s="49" customFormat="1" ht="54" customHeight="1">
      <c r="B19" s="94">
        <f t="shared" ca="1" si="2"/>
        <v>8</v>
      </c>
      <c r="C19" s="95"/>
      <c r="D19" s="68" t="s">
        <v>65</v>
      </c>
      <c r="E19" s="50"/>
      <c r="F19" s="50"/>
      <c r="G19" s="50"/>
      <c r="H19" s="50"/>
      <c r="I19" s="50"/>
      <c r="J19" s="50"/>
      <c r="K19" s="50"/>
      <c r="L19" s="50"/>
      <c r="M19" s="51"/>
      <c r="N19" s="51"/>
      <c r="O19" s="52" t="s">
        <v>128</v>
      </c>
      <c r="P19" s="53"/>
      <c r="Q19" s="53"/>
      <c r="R19" s="53"/>
      <c r="S19" s="53"/>
      <c r="T19" s="51"/>
      <c r="U19" s="51"/>
      <c r="V19" s="103" t="s">
        <v>37</v>
      </c>
      <c r="W19" s="104"/>
      <c r="X19" s="105">
        <v>1</v>
      </c>
      <c r="Y19" s="106"/>
      <c r="Z19" s="105"/>
      <c r="AA19" s="106"/>
      <c r="AB19" s="105">
        <v>8</v>
      </c>
      <c r="AC19" s="106"/>
      <c r="AD19" s="105"/>
      <c r="AE19" s="106"/>
      <c r="AF19" s="107"/>
      <c r="AG19" s="108"/>
      <c r="AH19" s="107"/>
      <c r="AI19" s="108"/>
      <c r="AJ19" s="109">
        <f t="shared" si="0"/>
        <v>8</v>
      </c>
      <c r="AK19" s="110"/>
      <c r="AL19" s="109">
        <f t="shared" ref="AL19" si="6">AJ18+AL18</f>
        <v>1</v>
      </c>
      <c r="AM19" s="110"/>
      <c r="AN19" s="54" t="s">
        <v>38</v>
      </c>
      <c r="AO19" s="56"/>
      <c r="AP19" s="56"/>
      <c r="AQ19" s="56"/>
      <c r="AR19" s="65"/>
      <c r="AS19" s="65"/>
      <c r="AT19" s="66"/>
      <c r="AU19" s="55" t="s">
        <v>39</v>
      </c>
      <c r="AV19" s="51"/>
      <c r="AW19" s="51"/>
      <c r="AX19" s="107"/>
      <c r="AY19" s="108"/>
      <c r="AZ19" s="107"/>
      <c r="BA19" s="108"/>
      <c r="BB19" s="107"/>
      <c r="BC19" s="108"/>
      <c r="BD19" s="111" t="s">
        <v>49</v>
      </c>
      <c r="BE19" s="112"/>
      <c r="BF19" s="88" t="s">
        <v>101</v>
      </c>
      <c r="BG19" s="89"/>
      <c r="BH19" s="89"/>
      <c r="BI19" s="89"/>
      <c r="BJ19" s="89"/>
      <c r="BK19" s="89"/>
      <c r="BL19" s="89"/>
      <c r="BM19" s="89"/>
      <c r="BN19" s="89"/>
      <c r="BO19" s="89"/>
      <c r="BP19" s="89"/>
      <c r="BQ19" s="89"/>
      <c r="BR19" s="89"/>
      <c r="BS19" s="90"/>
      <c r="BT19" s="91" t="s">
        <v>97</v>
      </c>
      <c r="BU19" s="92"/>
      <c r="BV19" s="92"/>
      <c r="BW19" s="92"/>
      <c r="BX19" s="92"/>
      <c r="BY19" s="92"/>
      <c r="BZ19" s="92"/>
      <c r="CA19" s="92"/>
      <c r="CB19" s="92"/>
      <c r="CC19" s="92"/>
      <c r="CD19" s="93"/>
    </row>
    <row r="20" spans="2:82" s="49" customFormat="1" ht="54" customHeight="1">
      <c r="B20" s="94">
        <f t="shared" ca="1" si="2"/>
        <v>9</v>
      </c>
      <c r="C20" s="95"/>
      <c r="D20" s="67" t="s">
        <v>59</v>
      </c>
      <c r="E20" s="50"/>
      <c r="F20" s="50"/>
      <c r="G20" s="50"/>
      <c r="H20" s="50"/>
      <c r="I20" s="50"/>
      <c r="J20" s="50"/>
      <c r="K20" s="50"/>
      <c r="L20" s="50"/>
      <c r="M20" s="51"/>
      <c r="N20" s="51"/>
      <c r="O20" s="52" t="s">
        <v>129</v>
      </c>
      <c r="P20" s="53"/>
      <c r="Q20" s="53"/>
      <c r="R20" s="53"/>
      <c r="S20" s="53"/>
      <c r="T20" s="51"/>
      <c r="U20" s="51"/>
      <c r="V20" s="103">
        <v>9</v>
      </c>
      <c r="W20" s="104"/>
      <c r="X20" s="105">
        <v>1</v>
      </c>
      <c r="Y20" s="106"/>
      <c r="Z20" s="105"/>
      <c r="AA20" s="106"/>
      <c r="AB20" s="105">
        <v>8</v>
      </c>
      <c r="AC20" s="106"/>
      <c r="AD20" s="105"/>
      <c r="AE20" s="106"/>
      <c r="AF20" s="107"/>
      <c r="AG20" s="108"/>
      <c r="AH20" s="107"/>
      <c r="AI20" s="108"/>
      <c r="AJ20" s="109">
        <f t="shared" si="0"/>
        <v>8</v>
      </c>
      <c r="AK20" s="110"/>
      <c r="AL20" s="109">
        <f t="shared" si="1"/>
        <v>9</v>
      </c>
      <c r="AM20" s="110"/>
      <c r="AN20" s="54" t="s">
        <v>38</v>
      </c>
      <c r="AO20" s="51"/>
      <c r="AP20" s="51"/>
      <c r="AQ20" s="51"/>
      <c r="AR20" s="65"/>
      <c r="AS20" s="65"/>
      <c r="AT20" s="66"/>
      <c r="AU20" s="55">
        <v>0</v>
      </c>
      <c r="AV20" s="51"/>
      <c r="AW20" s="51"/>
      <c r="AX20" s="107"/>
      <c r="AY20" s="108"/>
      <c r="AZ20" s="107"/>
      <c r="BA20" s="108"/>
      <c r="BB20" s="107"/>
      <c r="BC20" s="108"/>
      <c r="BD20" s="111" t="s">
        <v>98</v>
      </c>
      <c r="BE20" s="112"/>
      <c r="BF20" s="88" t="s">
        <v>114</v>
      </c>
      <c r="BG20" s="89"/>
      <c r="BH20" s="89"/>
      <c r="BI20" s="89"/>
      <c r="BJ20" s="89"/>
      <c r="BK20" s="89"/>
      <c r="BL20" s="89"/>
      <c r="BM20" s="89"/>
      <c r="BN20" s="89"/>
      <c r="BO20" s="89"/>
      <c r="BP20" s="89"/>
      <c r="BQ20" s="89"/>
      <c r="BR20" s="89"/>
      <c r="BS20" s="90"/>
      <c r="BT20" s="91" t="s">
        <v>63</v>
      </c>
      <c r="BU20" s="92"/>
      <c r="BV20" s="92"/>
      <c r="BW20" s="92"/>
      <c r="BX20" s="92"/>
      <c r="BY20" s="92"/>
      <c r="BZ20" s="92"/>
      <c r="CA20" s="92"/>
      <c r="CB20" s="92"/>
      <c r="CC20" s="92"/>
      <c r="CD20" s="93"/>
    </row>
    <row r="21" spans="2:82" s="49" customFormat="1" ht="27.75" customHeight="1">
      <c r="B21" s="94">
        <f t="shared" ca="1" si="2"/>
        <v>10</v>
      </c>
      <c r="C21" s="95"/>
      <c r="D21" s="68" t="s">
        <v>77</v>
      </c>
      <c r="E21" s="50"/>
      <c r="F21" s="50"/>
      <c r="G21" s="50"/>
      <c r="H21" s="50"/>
      <c r="I21" s="50"/>
      <c r="J21" s="50"/>
      <c r="K21" s="50"/>
      <c r="L21" s="50"/>
      <c r="M21" s="51"/>
      <c r="N21" s="51"/>
      <c r="O21" s="52" t="s">
        <v>117</v>
      </c>
      <c r="P21" s="53"/>
      <c r="Q21" s="53"/>
      <c r="R21" s="53"/>
      <c r="S21" s="53"/>
      <c r="T21" s="51"/>
      <c r="U21" s="51"/>
      <c r="V21" s="103" t="s">
        <v>37</v>
      </c>
      <c r="W21" s="104"/>
      <c r="X21" s="105">
        <v>1</v>
      </c>
      <c r="Y21" s="106"/>
      <c r="Z21" s="105"/>
      <c r="AA21" s="106"/>
      <c r="AB21" s="105">
        <v>8</v>
      </c>
      <c r="AC21" s="106"/>
      <c r="AD21" s="105"/>
      <c r="AE21" s="106"/>
      <c r="AF21" s="107"/>
      <c r="AG21" s="108"/>
      <c r="AH21" s="107"/>
      <c r="AI21" s="108"/>
      <c r="AJ21" s="109">
        <f t="shared" si="0"/>
        <v>8</v>
      </c>
      <c r="AK21" s="110"/>
      <c r="AL21" s="109">
        <f t="shared" ref="AL21" si="7">AJ20+AL20</f>
        <v>17</v>
      </c>
      <c r="AM21" s="110"/>
      <c r="AN21" s="54" t="s">
        <v>38</v>
      </c>
      <c r="AO21" s="51"/>
      <c r="AP21" s="51"/>
      <c r="AQ21" s="51"/>
      <c r="AR21" s="65"/>
      <c r="AS21" s="65"/>
      <c r="AT21" s="66"/>
      <c r="AU21" s="55" t="s">
        <v>39</v>
      </c>
      <c r="AV21" s="51"/>
      <c r="AW21" s="51"/>
      <c r="AX21" s="107"/>
      <c r="AY21" s="108"/>
      <c r="AZ21" s="107"/>
      <c r="BA21" s="108"/>
      <c r="BB21" s="107"/>
      <c r="BC21" s="108"/>
      <c r="BD21" s="111" t="s">
        <v>49</v>
      </c>
      <c r="BE21" s="112"/>
      <c r="BF21" s="88" t="s">
        <v>102</v>
      </c>
      <c r="BG21" s="89"/>
      <c r="BH21" s="89"/>
      <c r="BI21" s="89"/>
      <c r="BJ21" s="89"/>
      <c r="BK21" s="89"/>
      <c r="BL21" s="89"/>
      <c r="BM21" s="89"/>
      <c r="BN21" s="89"/>
      <c r="BO21" s="89"/>
      <c r="BP21" s="89"/>
      <c r="BQ21" s="89"/>
      <c r="BR21" s="89"/>
      <c r="BS21" s="90"/>
      <c r="BT21" s="91"/>
      <c r="BU21" s="92"/>
      <c r="BV21" s="92"/>
      <c r="BW21" s="92"/>
      <c r="BX21" s="92"/>
      <c r="BY21" s="92"/>
      <c r="BZ21" s="92"/>
      <c r="CA21" s="92"/>
      <c r="CB21" s="92"/>
      <c r="CC21" s="92"/>
      <c r="CD21" s="93"/>
    </row>
    <row r="22" spans="2:82" s="49" customFormat="1" ht="27.75" customHeight="1">
      <c r="B22" s="94">
        <f t="shared" ca="1" si="2"/>
        <v>11</v>
      </c>
      <c r="C22" s="95"/>
      <c r="D22" s="68" t="s">
        <v>78</v>
      </c>
      <c r="E22" s="50"/>
      <c r="F22" s="50"/>
      <c r="G22" s="50"/>
      <c r="H22" s="50"/>
      <c r="I22" s="50"/>
      <c r="J22" s="50"/>
      <c r="K22" s="50"/>
      <c r="L22" s="50"/>
      <c r="M22" s="51"/>
      <c r="N22" s="51"/>
      <c r="O22" s="52" t="s">
        <v>119</v>
      </c>
      <c r="P22" s="53"/>
      <c r="Q22" s="53"/>
      <c r="R22" s="53"/>
      <c r="S22" s="53"/>
      <c r="T22" s="51"/>
      <c r="U22" s="51"/>
      <c r="V22" s="103" t="s">
        <v>37</v>
      </c>
      <c r="W22" s="104"/>
      <c r="X22" s="105">
        <v>1</v>
      </c>
      <c r="Y22" s="106"/>
      <c r="Z22" s="105"/>
      <c r="AA22" s="106"/>
      <c r="AB22" s="105">
        <v>16</v>
      </c>
      <c r="AC22" s="106"/>
      <c r="AD22" s="105"/>
      <c r="AE22" s="106"/>
      <c r="AF22" s="107"/>
      <c r="AG22" s="108"/>
      <c r="AH22" s="107"/>
      <c r="AI22" s="108"/>
      <c r="AJ22" s="109">
        <f t="shared" si="0"/>
        <v>16</v>
      </c>
      <c r="AK22" s="110"/>
      <c r="AL22" s="109">
        <f t="shared" si="1"/>
        <v>25</v>
      </c>
      <c r="AM22" s="110"/>
      <c r="AN22" s="54" t="s">
        <v>38</v>
      </c>
      <c r="AO22" s="51"/>
      <c r="AP22" s="51"/>
      <c r="AQ22" s="51"/>
      <c r="AR22" s="65"/>
      <c r="AS22" s="65"/>
      <c r="AT22" s="66"/>
      <c r="AU22" s="55" t="s">
        <v>39</v>
      </c>
      <c r="AV22" s="51"/>
      <c r="AW22" s="51"/>
      <c r="AX22" s="107"/>
      <c r="AY22" s="108"/>
      <c r="AZ22" s="107"/>
      <c r="BA22" s="108"/>
      <c r="BB22" s="107"/>
      <c r="BC22" s="108"/>
      <c r="BD22" s="111" t="s">
        <v>49</v>
      </c>
      <c r="BE22" s="112"/>
      <c r="BF22" s="88" t="s">
        <v>103</v>
      </c>
      <c r="BG22" s="89"/>
      <c r="BH22" s="89"/>
      <c r="BI22" s="89"/>
      <c r="BJ22" s="89"/>
      <c r="BK22" s="89"/>
      <c r="BL22" s="89"/>
      <c r="BM22" s="89"/>
      <c r="BN22" s="89"/>
      <c r="BO22" s="89"/>
      <c r="BP22" s="89"/>
      <c r="BQ22" s="89"/>
      <c r="BR22" s="89"/>
      <c r="BS22" s="90"/>
      <c r="BT22" s="91" t="s">
        <v>97</v>
      </c>
      <c r="BU22" s="92"/>
      <c r="BV22" s="92"/>
      <c r="BW22" s="92"/>
      <c r="BX22" s="92"/>
      <c r="BY22" s="92"/>
      <c r="BZ22" s="92"/>
      <c r="CA22" s="92"/>
      <c r="CB22" s="92"/>
      <c r="CC22" s="92"/>
      <c r="CD22" s="93"/>
    </row>
    <row r="23" spans="2:82" s="49" customFormat="1" ht="27" customHeight="1">
      <c r="B23" s="94">
        <f t="shared" ca="1" si="2"/>
        <v>12</v>
      </c>
      <c r="C23" s="95"/>
      <c r="D23" s="68" t="s">
        <v>66</v>
      </c>
      <c r="E23" s="50"/>
      <c r="F23" s="50"/>
      <c r="G23" s="50"/>
      <c r="H23" s="50"/>
      <c r="I23" s="50"/>
      <c r="J23" s="50"/>
      <c r="K23" s="50"/>
      <c r="L23" s="50"/>
      <c r="M23" s="51"/>
      <c r="N23" s="51"/>
      <c r="O23" s="52" t="s">
        <v>118</v>
      </c>
      <c r="P23" s="53"/>
      <c r="Q23" s="53"/>
      <c r="R23" s="53"/>
      <c r="S23" s="53"/>
      <c r="T23" s="51"/>
      <c r="U23" s="51"/>
      <c r="V23" s="103" t="s">
        <v>37</v>
      </c>
      <c r="W23" s="104"/>
      <c r="X23" s="105">
        <v>1</v>
      </c>
      <c r="Y23" s="106"/>
      <c r="Z23" s="105"/>
      <c r="AA23" s="106"/>
      <c r="AB23" s="105">
        <v>8</v>
      </c>
      <c r="AC23" s="106"/>
      <c r="AD23" s="105"/>
      <c r="AE23" s="106"/>
      <c r="AF23" s="107"/>
      <c r="AG23" s="108"/>
      <c r="AH23" s="107"/>
      <c r="AI23" s="108"/>
      <c r="AJ23" s="109">
        <f t="shared" si="0"/>
        <v>8</v>
      </c>
      <c r="AK23" s="110"/>
      <c r="AL23" s="109">
        <f t="shared" si="1"/>
        <v>41</v>
      </c>
      <c r="AM23" s="110"/>
      <c r="AN23" s="54" t="s">
        <v>38</v>
      </c>
      <c r="AO23" s="51"/>
      <c r="AP23" s="51"/>
      <c r="AQ23" s="51"/>
      <c r="AR23" s="65"/>
      <c r="AS23" s="65"/>
      <c r="AT23" s="66"/>
      <c r="AU23" s="55" t="s">
        <v>39</v>
      </c>
      <c r="AV23" s="51"/>
      <c r="AW23" s="51"/>
      <c r="AX23" s="107"/>
      <c r="AY23" s="108"/>
      <c r="AZ23" s="107"/>
      <c r="BA23" s="108"/>
      <c r="BB23" s="107"/>
      <c r="BC23" s="108"/>
      <c r="BD23" s="111" t="s">
        <v>49</v>
      </c>
      <c r="BE23" s="112"/>
      <c r="BF23" s="88" t="s">
        <v>104</v>
      </c>
      <c r="BG23" s="89"/>
      <c r="BH23" s="89"/>
      <c r="BI23" s="89"/>
      <c r="BJ23" s="89"/>
      <c r="BK23" s="89"/>
      <c r="BL23" s="89"/>
      <c r="BM23" s="89"/>
      <c r="BN23" s="89"/>
      <c r="BO23" s="89"/>
      <c r="BP23" s="89"/>
      <c r="BQ23" s="89"/>
      <c r="BR23" s="89"/>
      <c r="BS23" s="90"/>
      <c r="BT23" s="91" t="s">
        <v>97</v>
      </c>
      <c r="BU23" s="92"/>
      <c r="BV23" s="92"/>
      <c r="BW23" s="92"/>
      <c r="BX23" s="92"/>
      <c r="BY23" s="92"/>
      <c r="BZ23" s="92"/>
      <c r="CA23" s="92"/>
      <c r="CB23" s="92"/>
      <c r="CC23" s="92"/>
      <c r="CD23" s="93"/>
    </row>
    <row r="24" spans="2:82" s="49" customFormat="1" ht="27.75" customHeight="1">
      <c r="B24" s="94">
        <f t="shared" ca="1" si="2"/>
        <v>13</v>
      </c>
      <c r="C24" s="95"/>
      <c r="D24" s="68" t="s">
        <v>67</v>
      </c>
      <c r="E24" s="50"/>
      <c r="F24" s="50"/>
      <c r="G24" s="50"/>
      <c r="H24" s="50"/>
      <c r="I24" s="50"/>
      <c r="J24" s="50"/>
      <c r="K24" s="50"/>
      <c r="L24" s="50"/>
      <c r="M24" s="51"/>
      <c r="N24" s="51"/>
      <c r="O24" s="52" t="s">
        <v>139</v>
      </c>
      <c r="P24" s="53"/>
      <c r="Q24" s="53"/>
      <c r="R24" s="53"/>
      <c r="S24" s="53"/>
      <c r="T24" s="51"/>
      <c r="U24" s="51"/>
      <c r="V24" s="103">
        <v>9</v>
      </c>
      <c r="W24" s="104"/>
      <c r="X24" s="105">
        <v>1</v>
      </c>
      <c r="Y24" s="106"/>
      <c r="Z24" s="105"/>
      <c r="AA24" s="106"/>
      <c r="AB24" s="105">
        <v>10</v>
      </c>
      <c r="AC24" s="106"/>
      <c r="AD24" s="105"/>
      <c r="AE24" s="106"/>
      <c r="AF24" s="107"/>
      <c r="AG24" s="108"/>
      <c r="AH24" s="107"/>
      <c r="AI24" s="108"/>
      <c r="AJ24" s="109">
        <f t="shared" si="0"/>
        <v>10</v>
      </c>
      <c r="AK24" s="110"/>
      <c r="AL24" s="109">
        <f t="shared" si="1"/>
        <v>49</v>
      </c>
      <c r="AM24" s="110"/>
      <c r="AN24" s="54" t="s">
        <v>38</v>
      </c>
      <c r="AO24" s="51"/>
      <c r="AP24" s="51"/>
      <c r="AQ24" s="51"/>
      <c r="AR24" s="65"/>
      <c r="AS24" s="65"/>
      <c r="AT24" s="66"/>
      <c r="AU24" s="55">
        <v>0</v>
      </c>
      <c r="AV24" s="51"/>
      <c r="AW24" s="51"/>
      <c r="AX24" s="107"/>
      <c r="AY24" s="108"/>
      <c r="AZ24" s="107"/>
      <c r="BA24" s="108"/>
      <c r="BB24" s="107"/>
      <c r="BC24" s="108"/>
      <c r="BD24" s="111" t="s">
        <v>98</v>
      </c>
      <c r="BE24" s="112"/>
      <c r="BF24" s="88" t="s">
        <v>105</v>
      </c>
      <c r="BG24" s="89"/>
      <c r="BH24" s="89"/>
      <c r="BI24" s="89"/>
      <c r="BJ24" s="89"/>
      <c r="BK24" s="89"/>
      <c r="BL24" s="89"/>
      <c r="BM24" s="89"/>
      <c r="BN24" s="89"/>
      <c r="BO24" s="89"/>
      <c r="BP24" s="89"/>
      <c r="BQ24" s="89"/>
      <c r="BR24" s="89"/>
      <c r="BS24" s="90"/>
      <c r="BT24" s="91" t="s">
        <v>96</v>
      </c>
      <c r="BU24" s="92"/>
      <c r="BV24" s="92"/>
      <c r="BW24" s="92"/>
      <c r="BX24" s="92"/>
      <c r="BY24" s="92"/>
      <c r="BZ24" s="92"/>
      <c r="CA24" s="92"/>
      <c r="CB24" s="92"/>
      <c r="CC24" s="92"/>
      <c r="CD24" s="93"/>
    </row>
    <row r="25" spans="2:82" s="49" customFormat="1" ht="27.75" customHeight="1">
      <c r="B25" s="94">
        <f t="shared" ca="1" si="2"/>
        <v>14</v>
      </c>
      <c r="C25" s="95"/>
      <c r="D25" s="68" t="s">
        <v>68</v>
      </c>
      <c r="E25" s="50"/>
      <c r="F25" s="50"/>
      <c r="G25" s="50"/>
      <c r="H25" s="50"/>
      <c r="I25" s="50"/>
      <c r="J25" s="50"/>
      <c r="K25" s="50"/>
      <c r="L25" s="50"/>
      <c r="M25" s="51"/>
      <c r="N25" s="51"/>
      <c r="O25" s="52" t="s">
        <v>130</v>
      </c>
      <c r="P25" s="53"/>
      <c r="Q25" s="53"/>
      <c r="R25" s="53"/>
      <c r="S25" s="53"/>
      <c r="T25" s="51"/>
      <c r="U25" s="51"/>
      <c r="V25" s="103" t="s">
        <v>37</v>
      </c>
      <c r="W25" s="104"/>
      <c r="X25" s="105">
        <v>1</v>
      </c>
      <c r="Y25" s="106"/>
      <c r="Z25" s="105"/>
      <c r="AA25" s="106"/>
      <c r="AB25" s="105">
        <v>16</v>
      </c>
      <c r="AC25" s="106"/>
      <c r="AD25" s="105"/>
      <c r="AE25" s="106"/>
      <c r="AF25" s="107"/>
      <c r="AG25" s="108"/>
      <c r="AH25" s="107"/>
      <c r="AI25" s="108"/>
      <c r="AJ25" s="109">
        <f t="shared" si="0"/>
        <v>16</v>
      </c>
      <c r="AK25" s="110"/>
      <c r="AL25" s="109">
        <f t="shared" si="1"/>
        <v>59</v>
      </c>
      <c r="AM25" s="110"/>
      <c r="AN25" s="54" t="s">
        <v>38</v>
      </c>
      <c r="AO25" s="51"/>
      <c r="AP25" s="51"/>
      <c r="AQ25" s="51"/>
      <c r="AR25" s="65"/>
      <c r="AS25" s="65"/>
      <c r="AT25" s="66"/>
      <c r="AU25" s="55" t="s">
        <v>39</v>
      </c>
      <c r="AV25" s="51"/>
      <c r="AW25" s="51"/>
      <c r="AX25" s="107"/>
      <c r="AY25" s="108"/>
      <c r="AZ25" s="107"/>
      <c r="BA25" s="108"/>
      <c r="BB25" s="107"/>
      <c r="BC25" s="108"/>
      <c r="BD25" s="111" t="s">
        <v>49</v>
      </c>
      <c r="BE25" s="112"/>
      <c r="BF25" s="88" t="s">
        <v>106</v>
      </c>
      <c r="BG25" s="89"/>
      <c r="BH25" s="89"/>
      <c r="BI25" s="89"/>
      <c r="BJ25" s="89"/>
      <c r="BK25" s="89"/>
      <c r="BL25" s="89"/>
      <c r="BM25" s="89"/>
      <c r="BN25" s="89"/>
      <c r="BO25" s="89"/>
      <c r="BP25" s="89"/>
      <c r="BQ25" s="89"/>
      <c r="BR25" s="89"/>
      <c r="BS25" s="90"/>
      <c r="BT25" s="91" t="s">
        <v>97</v>
      </c>
      <c r="BU25" s="92"/>
      <c r="BV25" s="92"/>
      <c r="BW25" s="92"/>
      <c r="BX25" s="92"/>
      <c r="BY25" s="92"/>
      <c r="BZ25" s="92"/>
      <c r="CA25" s="92"/>
      <c r="CB25" s="92"/>
      <c r="CC25" s="92"/>
      <c r="CD25" s="93"/>
    </row>
    <row r="26" spans="2:82" s="49" customFormat="1" ht="27.75" customHeight="1">
      <c r="B26" s="94">
        <f t="shared" ca="1" si="2"/>
        <v>15</v>
      </c>
      <c r="C26" s="95"/>
      <c r="D26" s="68" t="s">
        <v>69</v>
      </c>
      <c r="E26" s="50"/>
      <c r="F26" s="50"/>
      <c r="G26" s="50"/>
      <c r="H26" s="50"/>
      <c r="I26" s="50"/>
      <c r="J26" s="50"/>
      <c r="K26" s="50"/>
      <c r="L26" s="50"/>
      <c r="M26" s="51"/>
      <c r="N26" s="51"/>
      <c r="O26" s="52" t="s">
        <v>131</v>
      </c>
      <c r="P26" s="53"/>
      <c r="Q26" s="53"/>
      <c r="R26" s="53"/>
      <c r="S26" s="53"/>
      <c r="T26" s="51"/>
      <c r="U26" s="51"/>
      <c r="V26" s="103">
        <v>9</v>
      </c>
      <c r="W26" s="104"/>
      <c r="X26" s="105">
        <v>1</v>
      </c>
      <c r="Y26" s="106"/>
      <c r="Z26" s="105"/>
      <c r="AA26" s="106"/>
      <c r="AB26" s="105">
        <v>5</v>
      </c>
      <c r="AC26" s="106"/>
      <c r="AD26" s="105"/>
      <c r="AE26" s="106"/>
      <c r="AF26" s="107"/>
      <c r="AG26" s="108"/>
      <c r="AH26" s="107"/>
      <c r="AI26" s="108"/>
      <c r="AJ26" s="109">
        <f t="shared" si="0"/>
        <v>5</v>
      </c>
      <c r="AK26" s="110"/>
      <c r="AL26" s="109">
        <f t="shared" si="1"/>
        <v>75</v>
      </c>
      <c r="AM26" s="110"/>
      <c r="AN26" s="54" t="s">
        <v>38</v>
      </c>
      <c r="AO26" s="51"/>
      <c r="AP26" s="51"/>
      <c r="AQ26" s="51"/>
      <c r="AR26" s="65"/>
      <c r="AS26" s="65"/>
      <c r="AT26" s="66"/>
      <c r="AU26" s="55">
        <v>0</v>
      </c>
      <c r="AV26" s="51"/>
      <c r="AW26" s="51"/>
      <c r="AX26" s="107"/>
      <c r="AY26" s="108"/>
      <c r="AZ26" s="107"/>
      <c r="BA26" s="108"/>
      <c r="BB26" s="107"/>
      <c r="BC26" s="108"/>
      <c r="BD26" s="111" t="s">
        <v>98</v>
      </c>
      <c r="BE26" s="112"/>
      <c r="BF26" s="88" t="s">
        <v>93</v>
      </c>
      <c r="BG26" s="89"/>
      <c r="BH26" s="89"/>
      <c r="BI26" s="89"/>
      <c r="BJ26" s="89"/>
      <c r="BK26" s="89"/>
      <c r="BL26" s="89"/>
      <c r="BM26" s="89"/>
      <c r="BN26" s="89"/>
      <c r="BO26" s="89"/>
      <c r="BP26" s="89"/>
      <c r="BQ26" s="89"/>
      <c r="BR26" s="89"/>
      <c r="BS26" s="90"/>
      <c r="BT26" s="91" t="s">
        <v>96</v>
      </c>
      <c r="BU26" s="92"/>
      <c r="BV26" s="92"/>
      <c r="BW26" s="92"/>
      <c r="BX26" s="92"/>
      <c r="BY26" s="92"/>
      <c r="BZ26" s="92"/>
      <c r="CA26" s="92"/>
      <c r="CB26" s="92"/>
      <c r="CC26" s="92"/>
      <c r="CD26" s="93"/>
    </row>
    <row r="27" spans="2:82" s="49" customFormat="1" ht="27.75" customHeight="1">
      <c r="B27" s="94">
        <f t="shared" ca="1" si="2"/>
        <v>16</v>
      </c>
      <c r="C27" s="95"/>
      <c r="D27" s="68" t="s">
        <v>70</v>
      </c>
      <c r="E27" s="50"/>
      <c r="F27" s="50"/>
      <c r="G27" s="50"/>
      <c r="H27" s="50"/>
      <c r="I27" s="50"/>
      <c r="J27" s="50"/>
      <c r="K27" s="50"/>
      <c r="L27" s="50"/>
      <c r="M27" s="51"/>
      <c r="N27" s="51"/>
      <c r="O27" s="52" t="s">
        <v>132</v>
      </c>
      <c r="P27" s="53"/>
      <c r="Q27" s="53"/>
      <c r="R27" s="53"/>
      <c r="S27" s="53"/>
      <c r="T27" s="51"/>
      <c r="U27" s="51"/>
      <c r="V27" s="103">
        <v>9</v>
      </c>
      <c r="W27" s="104"/>
      <c r="X27" s="105">
        <v>1</v>
      </c>
      <c r="Y27" s="106"/>
      <c r="Z27" s="105"/>
      <c r="AA27" s="106"/>
      <c r="AB27" s="105">
        <v>3</v>
      </c>
      <c r="AC27" s="106"/>
      <c r="AD27" s="105"/>
      <c r="AE27" s="106"/>
      <c r="AF27" s="107"/>
      <c r="AG27" s="108"/>
      <c r="AH27" s="107"/>
      <c r="AI27" s="108"/>
      <c r="AJ27" s="109">
        <f t="shared" si="0"/>
        <v>3</v>
      </c>
      <c r="AK27" s="110"/>
      <c r="AL27" s="109">
        <f t="shared" si="1"/>
        <v>80</v>
      </c>
      <c r="AM27" s="110"/>
      <c r="AN27" s="54" t="s">
        <v>38</v>
      </c>
      <c r="AO27" s="51"/>
      <c r="AP27" s="51"/>
      <c r="AQ27" s="51"/>
      <c r="AR27" s="65"/>
      <c r="AS27" s="65"/>
      <c r="AT27" s="66"/>
      <c r="AU27" s="55">
        <v>0</v>
      </c>
      <c r="AV27" s="51"/>
      <c r="AW27" s="51"/>
      <c r="AX27" s="107"/>
      <c r="AY27" s="108"/>
      <c r="AZ27" s="107"/>
      <c r="BA27" s="108"/>
      <c r="BB27" s="107"/>
      <c r="BC27" s="108"/>
      <c r="BD27" s="111" t="s">
        <v>98</v>
      </c>
      <c r="BE27" s="112"/>
      <c r="BF27" s="88" t="s">
        <v>85</v>
      </c>
      <c r="BG27" s="89"/>
      <c r="BH27" s="89"/>
      <c r="BI27" s="89"/>
      <c r="BJ27" s="89"/>
      <c r="BK27" s="89"/>
      <c r="BL27" s="89"/>
      <c r="BM27" s="89"/>
      <c r="BN27" s="89"/>
      <c r="BO27" s="89"/>
      <c r="BP27" s="89"/>
      <c r="BQ27" s="89"/>
      <c r="BR27" s="89"/>
      <c r="BS27" s="90"/>
      <c r="BT27" s="91" t="s">
        <v>96</v>
      </c>
      <c r="BU27" s="92"/>
      <c r="BV27" s="92"/>
      <c r="BW27" s="92"/>
      <c r="BX27" s="92"/>
      <c r="BY27" s="92"/>
      <c r="BZ27" s="92"/>
      <c r="CA27" s="92"/>
      <c r="CB27" s="92"/>
      <c r="CC27" s="92"/>
      <c r="CD27" s="93"/>
    </row>
    <row r="28" spans="2:82" s="49" customFormat="1" ht="27.75" customHeight="1">
      <c r="B28" s="94">
        <f t="shared" ca="1" si="2"/>
        <v>17</v>
      </c>
      <c r="C28" s="95"/>
      <c r="D28" s="68" t="s">
        <v>71</v>
      </c>
      <c r="E28" s="50"/>
      <c r="F28" s="50"/>
      <c r="G28" s="50"/>
      <c r="H28" s="50"/>
      <c r="I28" s="50"/>
      <c r="J28" s="50"/>
      <c r="K28" s="50"/>
      <c r="L28" s="50"/>
      <c r="M28" s="51"/>
      <c r="N28" s="51"/>
      <c r="O28" s="52" t="s">
        <v>133</v>
      </c>
      <c r="P28" s="53"/>
      <c r="Q28" s="53"/>
      <c r="R28" s="53"/>
      <c r="S28" s="53"/>
      <c r="T28" s="51"/>
      <c r="U28" s="51"/>
      <c r="V28" s="103">
        <v>9</v>
      </c>
      <c r="W28" s="104"/>
      <c r="X28" s="105">
        <v>1</v>
      </c>
      <c r="Y28" s="106"/>
      <c r="Z28" s="105"/>
      <c r="AA28" s="106"/>
      <c r="AB28" s="105">
        <v>8</v>
      </c>
      <c r="AC28" s="106"/>
      <c r="AD28" s="105"/>
      <c r="AE28" s="106"/>
      <c r="AF28" s="107"/>
      <c r="AG28" s="108"/>
      <c r="AH28" s="107"/>
      <c r="AI28" s="108"/>
      <c r="AJ28" s="109">
        <f t="shared" si="0"/>
        <v>8</v>
      </c>
      <c r="AK28" s="110"/>
      <c r="AL28" s="109">
        <f t="shared" si="1"/>
        <v>83</v>
      </c>
      <c r="AM28" s="110"/>
      <c r="AN28" s="54" t="s">
        <v>38</v>
      </c>
      <c r="AO28" s="51"/>
      <c r="AP28" s="51"/>
      <c r="AQ28" s="51"/>
      <c r="AR28" s="65"/>
      <c r="AS28" s="65"/>
      <c r="AT28" s="66"/>
      <c r="AU28" s="55">
        <v>0</v>
      </c>
      <c r="AV28" s="51"/>
      <c r="AW28" s="51"/>
      <c r="AX28" s="107"/>
      <c r="AY28" s="108"/>
      <c r="AZ28" s="107"/>
      <c r="BA28" s="108"/>
      <c r="BB28" s="107"/>
      <c r="BC28" s="108"/>
      <c r="BD28" s="111" t="s">
        <v>98</v>
      </c>
      <c r="BE28" s="112"/>
      <c r="BF28" s="88" t="s">
        <v>107</v>
      </c>
      <c r="BG28" s="89"/>
      <c r="BH28" s="89"/>
      <c r="BI28" s="89"/>
      <c r="BJ28" s="89"/>
      <c r="BK28" s="89"/>
      <c r="BL28" s="89"/>
      <c r="BM28" s="89"/>
      <c r="BN28" s="89"/>
      <c r="BO28" s="89"/>
      <c r="BP28" s="89"/>
      <c r="BQ28" s="89"/>
      <c r="BR28" s="89"/>
      <c r="BS28" s="90"/>
      <c r="BT28" s="91" t="s">
        <v>63</v>
      </c>
      <c r="BU28" s="92"/>
      <c r="BV28" s="92"/>
      <c r="BW28" s="92"/>
      <c r="BX28" s="92"/>
      <c r="BY28" s="92"/>
      <c r="BZ28" s="92"/>
      <c r="CA28" s="92"/>
      <c r="CB28" s="92"/>
      <c r="CC28" s="92"/>
      <c r="CD28" s="93"/>
    </row>
    <row r="29" spans="2:82" s="49" customFormat="1" ht="27.75" customHeight="1">
      <c r="B29" s="94">
        <f t="shared" ca="1" si="2"/>
        <v>18</v>
      </c>
      <c r="C29" s="95"/>
      <c r="D29" s="68" t="s">
        <v>72</v>
      </c>
      <c r="E29" s="50"/>
      <c r="F29" s="50"/>
      <c r="G29" s="50"/>
      <c r="H29" s="50"/>
      <c r="I29" s="50"/>
      <c r="J29" s="50"/>
      <c r="K29" s="50"/>
      <c r="L29" s="50"/>
      <c r="M29" s="51"/>
      <c r="N29" s="51"/>
      <c r="O29" s="52" t="s">
        <v>120</v>
      </c>
      <c r="P29" s="53"/>
      <c r="Q29" s="53"/>
      <c r="R29" s="53"/>
      <c r="S29" s="53"/>
      <c r="T29" s="51"/>
      <c r="U29" s="51"/>
      <c r="V29" s="103">
        <v>9</v>
      </c>
      <c r="W29" s="104"/>
      <c r="X29" s="105">
        <v>1</v>
      </c>
      <c r="Y29" s="106"/>
      <c r="Z29" s="105"/>
      <c r="AA29" s="106"/>
      <c r="AB29" s="105">
        <v>8</v>
      </c>
      <c r="AC29" s="106"/>
      <c r="AD29" s="105"/>
      <c r="AE29" s="106"/>
      <c r="AF29" s="107"/>
      <c r="AG29" s="108"/>
      <c r="AH29" s="107"/>
      <c r="AI29" s="108"/>
      <c r="AJ29" s="109">
        <f t="shared" si="0"/>
        <v>8</v>
      </c>
      <c r="AK29" s="110"/>
      <c r="AL29" s="109">
        <f t="shared" si="1"/>
        <v>91</v>
      </c>
      <c r="AM29" s="110"/>
      <c r="AN29" s="54" t="s">
        <v>38</v>
      </c>
      <c r="AO29" s="51"/>
      <c r="AP29" s="51"/>
      <c r="AQ29" s="51"/>
      <c r="AR29" s="65"/>
      <c r="AS29" s="65"/>
      <c r="AT29" s="66"/>
      <c r="AU29" s="55">
        <v>0</v>
      </c>
      <c r="AV29" s="51"/>
      <c r="AW29" s="51"/>
      <c r="AX29" s="107"/>
      <c r="AY29" s="108"/>
      <c r="AZ29" s="107"/>
      <c r="BA29" s="108"/>
      <c r="BB29" s="107"/>
      <c r="BC29" s="108"/>
      <c r="BD29" s="111" t="s">
        <v>98</v>
      </c>
      <c r="BE29" s="112"/>
      <c r="BF29" s="88" t="s">
        <v>108</v>
      </c>
      <c r="BG29" s="89"/>
      <c r="BH29" s="89"/>
      <c r="BI29" s="89"/>
      <c r="BJ29" s="89"/>
      <c r="BK29" s="89"/>
      <c r="BL29" s="89"/>
      <c r="BM29" s="89"/>
      <c r="BN29" s="89"/>
      <c r="BO29" s="89"/>
      <c r="BP29" s="89"/>
      <c r="BQ29" s="89"/>
      <c r="BR29" s="89"/>
      <c r="BS29" s="90"/>
      <c r="BT29" s="91" t="s">
        <v>63</v>
      </c>
      <c r="BU29" s="92"/>
      <c r="BV29" s="92"/>
      <c r="BW29" s="92"/>
      <c r="BX29" s="92"/>
      <c r="BY29" s="92"/>
      <c r="BZ29" s="92"/>
      <c r="CA29" s="92"/>
      <c r="CB29" s="92"/>
      <c r="CC29" s="92"/>
      <c r="CD29" s="93"/>
    </row>
    <row r="30" spans="2:82" s="49" customFormat="1" ht="27.75" customHeight="1">
      <c r="B30" s="94">
        <f t="shared" ca="1" si="2"/>
        <v>19</v>
      </c>
      <c r="C30" s="95"/>
      <c r="D30" s="68" t="s">
        <v>73</v>
      </c>
      <c r="E30" s="50"/>
      <c r="F30" s="50"/>
      <c r="G30" s="50"/>
      <c r="H30" s="50"/>
      <c r="I30" s="50"/>
      <c r="J30" s="50"/>
      <c r="K30" s="50"/>
      <c r="L30" s="50"/>
      <c r="M30" s="51"/>
      <c r="N30" s="51"/>
      <c r="O30" s="52" t="s">
        <v>121</v>
      </c>
      <c r="P30" s="53"/>
      <c r="Q30" s="53"/>
      <c r="R30" s="53"/>
      <c r="S30" s="53"/>
      <c r="T30" s="51"/>
      <c r="U30" s="51"/>
      <c r="V30" s="103">
        <v>9</v>
      </c>
      <c r="W30" s="104"/>
      <c r="X30" s="105">
        <v>1</v>
      </c>
      <c r="Y30" s="106"/>
      <c r="Z30" s="105"/>
      <c r="AA30" s="106"/>
      <c r="AB30" s="105">
        <v>6</v>
      </c>
      <c r="AC30" s="106"/>
      <c r="AD30" s="105"/>
      <c r="AE30" s="106"/>
      <c r="AF30" s="107"/>
      <c r="AG30" s="108"/>
      <c r="AH30" s="107"/>
      <c r="AI30" s="108"/>
      <c r="AJ30" s="109">
        <f t="shared" si="0"/>
        <v>6</v>
      </c>
      <c r="AK30" s="110"/>
      <c r="AL30" s="109">
        <f t="shared" si="1"/>
        <v>99</v>
      </c>
      <c r="AM30" s="110"/>
      <c r="AN30" s="54" t="s">
        <v>38</v>
      </c>
      <c r="AO30" s="51"/>
      <c r="AP30" s="51"/>
      <c r="AQ30" s="51"/>
      <c r="AR30" s="65"/>
      <c r="AS30" s="65"/>
      <c r="AT30" s="66"/>
      <c r="AU30" s="55">
        <v>0</v>
      </c>
      <c r="AV30" s="51"/>
      <c r="AW30" s="51"/>
      <c r="AX30" s="107"/>
      <c r="AY30" s="108"/>
      <c r="AZ30" s="107"/>
      <c r="BA30" s="108"/>
      <c r="BB30" s="107"/>
      <c r="BC30" s="108"/>
      <c r="BD30" s="111" t="s">
        <v>98</v>
      </c>
      <c r="BE30" s="112"/>
      <c r="BF30" s="88" t="s">
        <v>109</v>
      </c>
      <c r="BG30" s="89"/>
      <c r="BH30" s="89"/>
      <c r="BI30" s="89"/>
      <c r="BJ30" s="89"/>
      <c r="BK30" s="89"/>
      <c r="BL30" s="89"/>
      <c r="BM30" s="89"/>
      <c r="BN30" s="89"/>
      <c r="BO30" s="89"/>
      <c r="BP30" s="89"/>
      <c r="BQ30" s="89"/>
      <c r="BR30" s="89"/>
      <c r="BS30" s="90"/>
      <c r="BT30" s="91" t="s">
        <v>76</v>
      </c>
      <c r="BU30" s="92"/>
      <c r="BV30" s="92"/>
      <c r="BW30" s="92"/>
      <c r="BX30" s="92"/>
      <c r="BY30" s="92"/>
      <c r="BZ30" s="92"/>
      <c r="CA30" s="92"/>
      <c r="CB30" s="92"/>
      <c r="CC30" s="92"/>
      <c r="CD30" s="93"/>
    </row>
    <row r="31" spans="2:82" s="49" customFormat="1" ht="27.75" customHeight="1">
      <c r="B31" s="94">
        <f t="shared" ca="1" si="2"/>
        <v>20</v>
      </c>
      <c r="C31" s="95"/>
      <c r="D31" s="68" t="s">
        <v>74</v>
      </c>
      <c r="E31" s="50"/>
      <c r="F31" s="50"/>
      <c r="G31" s="50"/>
      <c r="H31" s="50"/>
      <c r="I31" s="50"/>
      <c r="J31" s="50"/>
      <c r="K31" s="50"/>
      <c r="L31" s="50"/>
      <c r="M31" s="51"/>
      <c r="N31" s="51"/>
      <c r="O31" s="52" t="s">
        <v>134</v>
      </c>
      <c r="P31" s="53"/>
      <c r="Q31" s="53"/>
      <c r="R31" s="53"/>
      <c r="S31" s="53"/>
      <c r="T31" s="51"/>
      <c r="U31" s="51"/>
      <c r="V31" s="103">
        <v>9</v>
      </c>
      <c r="W31" s="104"/>
      <c r="X31" s="105">
        <v>1</v>
      </c>
      <c r="Y31" s="106"/>
      <c r="Z31" s="105"/>
      <c r="AA31" s="106"/>
      <c r="AB31" s="105">
        <v>14</v>
      </c>
      <c r="AC31" s="106"/>
      <c r="AD31" s="105"/>
      <c r="AE31" s="106"/>
      <c r="AF31" s="107"/>
      <c r="AG31" s="108"/>
      <c r="AH31" s="107"/>
      <c r="AI31" s="108"/>
      <c r="AJ31" s="109">
        <f t="shared" si="0"/>
        <v>14</v>
      </c>
      <c r="AK31" s="110"/>
      <c r="AL31" s="109">
        <f t="shared" si="1"/>
        <v>105</v>
      </c>
      <c r="AM31" s="110"/>
      <c r="AN31" s="54" t="s">
        <v>38</v>
      </c>
      <c r="AO31" s="51"/>
      <c r="AP31" s="51"/>
      <c r="AQ31" s="51"/>
      <c r="AR31" s="65"/>
      <c r="AS31" s="65"/>
      <c r="AT31" s="66"/>
      <c r="AU31" s="55">
        <v>0</v>
      </c>
      <c r="AV31" s="51"/>
      <c r="AW31" s="51"/>
      <c r="AX31" s="107"/>
      <c r="AY31" s="108"/>
      <c r="AZ31" s="107"/>
      <c r="BA31" s="108"/>
      <c r="BB31" s="107"/>
      <c r="BC31" s="108"/>
      <c r="BD31" s="111" t="s">
        <v>98</v>
      </c>
      <c r="BE31" s="112"/>
      <c r="BF31" s="88" t="s">
        <v>110</v>
      </c>
      <c r="BG31" s="89"/>
      <c r="BH31" s="89"/>
      <c r="BI31" s="89"/>
      <c r="BJ31" s="89"/>
      <c r="BK31" s="89"/>
      <c r="BL31" s="89"/>
      <c r="BM31" s="89"/>
      <c r="BN31" s="89"/>
      <c r="BO31" s="89"/>
      <c r="BP31" s="89"/>
      <c r="BQ31" s="89"/>
      <c r="BR31" s="89"/>
      <c r="BS31" s="90"/>
      <c r="BT31" s="91" t="s">
        <v>96</v>
      </c>
      <c r="BU31" s="92"/>
      <c r="BV31" s="92"/>
      <c r="BW31" s="92"/>
      <c r="BX31" s="92"/>
      <c r="BY31" s="92"/>
      <c r="BZ31" s="92"/>
      <c r="CA31" s="92"/>
      <c r="CB31" s="92"/>
      <c r="CC31" s="92"/>
      <c r="CD31" s="93"/>
    </row>
    <row r="32" spans="2:82" s="49" customFormat="1" ht="102" customHeight="1">
      <c r="B32" s="94">
        <f t="shared" ca="1" si="2"/>
        <v>21</v>
      </c>
      <c r="C32" s="95"/>
      <c r="D32" s="68" t="s">
        <v>75</v>
      </c>
      <c r="E32" s="50"/>
      <c r="F32" s="50"/>
      <c r="G32" s="50"/>
      <c r="H32" s="50"/>
      <c r="I32" s="50"/>
      <c r="J32" s="50"/>
      <c r="K32" s="50"/>
      <c r="L32" s="50"/>
      <c r="M32" s="51"/>
      <c r="N32" s="51"/>
      <c r="O32" s="52" t="s">
        <v>135</v>
      </c>
      <c r="P32" s="53"/>
      <c r="Q32" s="53"/>
      <c r="R32" s="53"/>
      <c r="S32" s="53"/>
      <c r="T32" s="51"/>
      <c r="U32" s="51"/>
      <c r="V32" s="103">
        <v>9</v>
      </c>
      <c r="W32" s="104"/>
      <c r="X32" s="105">
        <v>1</v>
      </c>
      <c r="Y32" s="106"/>
      <c r="Z32" s="105"/>
      <c r="AA32" s="106"/>
      <c r="AB32" s="105">
        <v>1</v>
      </c>
      <c r="AC32" s="106"/>
      <c r="AD32" s="105"/>
      <c r="AE32" s="106"/>
      <c r="AF32" s="107"/>
      <c r="AG32" s="108"/>
      <c r="AH32" s="107"/>
      <c r="AI32" s="108"/>
      <c r="AJ32" s="109">
        <f t="shared" si="0"/>
        <v>1</v>
      </c>
      <c r="AK32" s="110"/>
      <c r="AL32" s="109">
        <f t="shared" si="1"/>
        <v>119</v>
      </c>
      <c r="AM32" s="110"/>
      <c r="AN32" s="54" t="s">
        <v>38</v>
      </c>
      <c r="AO32" s="51"/>
      <c r="AP32" s="51"/>
      <c r="AQ32" s="51"/>
      <c r="AR32" s="65"/>
      <c r="AS32" s="65"/>
      <c r="AT32" s="66"/>
      <c r="AU32" s="55">
        <v>0</v>
      </c>
      <c r="AV32" s="51"/>
      <c r="AW32" s="51"/>
      <c r="AX32" s="107"/>
      <c r="AY32" s="108"/>
      <c r="AZ32" s="107"/>
      <c r="BA32" s="108"/>
      <c r="BB32" s="107"/>
      <c r="BC32" s="108"/>
      <c r="BD32" s="111" t="s">
        <v>98</v>
      </c>
      <c r="BE32" s="112"/>
      <c r="BF32" s="88" t="s">
        <v>86</v>
      </c>
      <c r="BG32" s="89"/>
      <c r="BH32" s="89"/>
      <c r="BI32" s="89"/>
      <c r="BJ32" s="89"/>
      <c r="BK32" s="89"/>
      <c r="BL32" s="89"/>
      <c r="BM32" s="89"/>
      <c r="BN32" s="89"/>
      <c r="BO32" s="89"/>
      <c r="BP32" s="89"/>
      <c r="BQ32" s="89"/>
      <c r="BR32" s="89"/>
      <c r="BS32" s="90"/>
      <c r="BT32" s="91" t="s">
        <v>96</v>
      </c>
      <c r="BU32" s="92"/>
      <c r="BV32" s="92"/>
      <c r="BW32" s="92"/>
      <c r="BX32" s="92"/>
      <c r="BY32" s="92"/>
      <c r="BZ32" s="92"/>
      <c r="CA32" s="92"/>
      <c r="CB32" s="92"/>
      <c r="CC32" s="92"/>
      <c r="CD32" s="93"/>
    </row>
    <row r="33" spans="2:82" s="49" customFormat="1" ht="27.75" customHeight="1">
      <c r="B33" s="94">
        <f ca="1">IF($V33="","",MAX(OFFSET($B$11,0,0,ROW()-ROW($B$11),2))+1)</f>
        <v>22</v>
      </c>
      <c r="C33" s="95"/>
      <c r="D33" s="68" t="s">
        <v>90</v>
      </c>
      <c r="E33" s="50"/>
      <c r="F33" s="50"/>
      <c r="G33" s="50"/>
      <c r="H33" s="50"/>
      <c r="I33" s="50"/>
      <c r="J33" s="50"/>
      <c r="K33" s="50"/>
      <c r="L33" s="50"/>
      <c r="M33" s="51"/>
      <c r="N33" s="51"/>
      <c r="O33" s="52" t="s">
        <v>127</v>
      </c>
      <c r="P33" s="53"/>
      <c r="Q33" s="53"/>
      <c r="R33" s="53"/>
      <c r="S33" s="53"/>
      <c r="T33" s="51"/>
      <c r="U33" s="51"/>
      <c r="V33" s="103" t="s">
        <v>37</v>
      </c>
      <c r="W33" s="104"/>
      <c r="X33" s="105">
        <v>1</v>
      </c>
      <c r="Y33" s="106"/>
      <c r="Z33" s="105"/>
      <c r="AA33" s="106"/>
      <c r="AB33" s="105">
        <v>5</v>
      </c>
      <c r="AC33" s="106"/>
      <c r="AD33" s="105"/>
      <c r="AE33" s="106"/>
      <c r="AF33" s="107"/>
      <c r="AG33" s="108"/>
      <c r="AH33" s="107"/>
      <c r="AI33" s="108"/>
      <c r="AJ33" s="109">
        <f t="shared" ref="AJ33" si="8">IF(V33="","",IF(V33="N",AB33*2,IF(V33="X",AB33,IF(V33=9,AB33+AD33,IF(V33="±9",AB33+AD33+1,IF(V33="S9",AB33+AD33,IF(V33="S9C3",ROUNDDOWN((AB33+AD33)/2,0)+1,"")))))))</f>
        <v>5</v>
      </c>
      <c r="AK33" s="110"/>
      <c r="AL33" s="109">
        <f t="shared" ref="AL33" si="9">AJ32+AL32</f>
        <v>120</v>
      </c>
      <c r="AM33" s="110"/>
      <c r="AN33" s="54" t="s">
        <v>38</v>
      </c>
      <c r="AO33" s="51"/>
      <c r="AP33" s="51"/>
      <c r="AQ33" s="51"/>
      <c r="AR33" s="65"/>
      <c r="AS33" s="65"/>
      <c r="AT33" s="66"/>
      <c r="AU33" s="55" t="s">
        <v>39</v>
      </c>
      <c r="AV33" s="51"/>
      <c r="AW33" s="51"/>
      <c r="AX33" s="107"/>
      <c r="AY33" s="108"/>
      <c r="AZ33" s="107"/>
      <c r="BA33" s="108"/>
      <c r="BB33" s="107"/>
      <c r="BC33" s="108"/>
      <c r="BD33" s="111" t="s">
        <v>49</v>
      </c>
      <c r="BE33" s="112"/>
      <c r="BF33" s="88"/>
      <c r="BG33" s="89"/>
      <c r="BH33" s="89"/>
      <c r="BI33" s="89"/>
      <c r="BJ33" s="89"/>
      <c r="BK33" s="89"/>
      <c r="BL33" s="89"/>
      <c r="BM33" s="89"/>
      <c r="BN33" s="89"/>
      <c r="BO33" s="89"/>
      <c r="BP33" s="89"/>
      <c r="BQ33" s="89"/>
      <c r="BR33" s="89"/>
      <c r="BS33" s="90"/>
      <c r="BT33" s="91"/>
      <c r="BU33" s="92"/>
      <c r="BV33" s="92"/>
      <c r="BW33" s="92"/>
      <c r="BX33" s="92"/>
      <c r="BY33" s="92"/>
      <c r="BZ33" s="92"/>
      <c r="CA33" s="92"/>
      <c r="CB33" s="92"/>
      <c r="CC33" s="92"/>
      <c r="CD33" s="93"/>
    </row>
    <row r="34" spans="2:82" s="49" customFormat="1" ht="27.75" customHeight="1">
      <c r="B34" s="94">
        <f t="shared" ca="1" si="2"/>
        <v>23</v>
      </c>
      <c r="C34" s="95"/>
      <c r="D34" s="68" t="s">
        <v>60</v>
      </c>
      <c r="E34" s="50"/>
      <c r="F34" s="50"/>
      <c r="G34" s="50"/>
      <c r="H34" s="50"/>
      <c r="I34" s="50"/>
      <c r="J34" s="50"/>
      <c r="K34" s="50"/>
      <c r="L34" s="50"/>
      <c r="M34" s="51"/>
      <c r="N34" s="51"/>
      <c r="O34" s="52" t="s">
        <v>136</v>
      </c>
      <c r="P34" s="53"/>
      <c r="Q34" s="53"/>
      <c r="R34" s="53"/>
      <c r="S34" s="53"/>
      <c r="T34" s="51"/>
      <c r="U34" s="51"/>
      <c r="V34" s="103">
        <v>9</v>
      </c>
      <c r="W34" s="104"/>
      <c r="X34" s="105">
        <v>1</v>
      </c>
      <c r="Y34" s="106"/>
      <c r="Z34" s="105"/>
      <c r="AA34" s="106"/>
      <c r="AB34" s="105">
        <v>10</v>
      </c>
      <c r="AC34" s="106"/>
      <c r="AD34" s="105"/>
      <c r="AE34" s="106"/>
      <c r="AF34" s="107"/>
      <c r="AG34" s="108"/>
      <c r="AH34" s="107"/>
      <c r="AI34" s="108"/>
      <c r="AJ34" s="109">
        <f t="shared" si="0"/>
        <v>10</v>
      </c>
      <c r="AK34" s="110"/>
      <c r="AL34" s="109">
        <f t="shared" ref="AL34" si="10">AJ33+AL33</f>
        <v>125</v>
      </c>
      <c r="AM34" s="110"/>
      <c r="AN34" s="54" t="s">
        <v>38</v>
      </c>
      <c r="AO34" s="51"/>
      <c r="AP34" s="51"/>
      <c r="AQ34" s="51"/>
      <c r="AR34" s="65"/>
      <c r="AS34" s="65"/>
      <c r="AT34" s="66"/>
      <c r="AU34" s="55">
        <v>0</v>
      </c>
      <c r="AV34" s="51"/>
      <c r="AW34" s="51"/>
      <c r="AX34" s="107"/>
      <c r="AY34" s="108"/>
      <c r="AZ34" s="107"/>
      <c r="BA34" s="108"/>
      <c r="BB34" s="107"/>
      <c r="BC34" s="108"/>
      <c r="BD34" s="111" t="s">
        <v>98</v>
      </c>
      <c r="BE34" s="112"/>
      <c r="BF34" s="88" t="s">
        <v>111</v>
      </c>
      <c r="BG34" s="89"/>
      <c r="BH34" s="89"/>
      <c r="BI34" s="89"/>
      <c r="BJ34" s="89"/>
      <c r="BK34" s="89"/>
      <c r="BL34" s="89"/>
      <c r="BM34" s="89"/>
      <c r="BN34" s="89"/>
      <c r="BO34" s="89"/>
      <c r="BP34" s="89"/>
      <c r="BQ34" s="89"/>
      <c r="BR34" s="89"/>
      <c r="BS34" s="90"/>
      <c r="BT34" s="91" t="s">
        <v>96</v>
      </c>
      <c r="BU34" s="92"/>
      <c r="BV34" s="92"/>
      <c r="BW34" s="92"/>
      <c r="BX34" s="92"/>
      <c r="BY34" s="92"/>
      <c r="BZ34" s="92"/>
      <c r="CA34" s="92"/>
      <c r="CB34" s="92"/>
      <c r="CC34" s="92"/>
      <c r="CD34" s="93"/>
    </row>
    <row r="35" spans="2:82" s="49" customFormat="1" ht="27.75" customHeight="1">
      <c r="B35" s="94">
        <f t="shared" ca="1" si="2"/>
        <v>24</v>
      </c>
      <c r="C35" s="95"/>
      <c r="D35" s="68" t="s">
        <v>61</v>
      </c>
      <c r="E35" s="50"/>
      <c r="F35" s="50"/>
      <c r="G35" s="50"/>
      <c r="H35" s="50"/>
      <c r="I35" s="50"/>
      <c r="J35" s="50"/>
      <c r="K35" s="50"/>
      <c r="L35" s="50"/>
      <c r="M35" s="51"/>
      <c r="N35" s="51"/>
      <c r="O35" s="52" t="s">
        <v>137</v>
      </c>
      <c r="P35" s="53"/>
      <c r="Q35" s="53"/>
      <c r="R35" s="53"/>
      <c r="S35" s="53"/>
      <c r="T35" s="51"/>
      <c r="U35" s="51"/>
      <c r="V35" s="103">
        <v>9</v>
      </c>
      <c r="W35" s="104"/>
      <c r="X35" s="105">
        <v>1</v>
      </c>
      <c r="Y35" s="106"/>
      <c r="Z35" s="105"/>
      <c r="AA35" s="106"/>
      <c r="AB35" s="105">
        <v>15</v>
      </c>
      <c r="AC35" s="106"/>
      <c r="AD35" s="105"/>
      <c r="AE35" s="106"/>
      <c r="AF35" s="107"/>
      <c r="AG35" s="108"/>
      <c r="AH35" s="107"/>
      <c r="AI35" s="108"/>
      <c r="AJ35" s="109">
        <f t="shared" si="0"/>
        <v>15</v>
      </c>
      <c r="AK35" s="110"/>
      <c r="AL35" s="109">
        <f t="shared" si="1"/>
        <v>135</v>
      </c>
      <c r="AM35" s="110"/>
      <c r="AN35" s="54" t="s">
        <v>38</v>
      </c>
      <c r="AO35" s="51"/>
      <c r="AP35" s="51"/>
      <c r="AQ35" s="51"/>
      <c r="AR35" s="65"/>
      <c r="AS35" s="65"/>
      <c r="AT35" s="66"/>
      <c r="AU35" s="55">
        <v>0</v>
      </c>
      <c r="AV35" s="51"/>
      <c r="AW35" s="51"/>
      <c r="AX35" s="107"/>
      <c r="AY35" s="108"/>
      <c r="AZ35" s="107"/>
      <c r="BA35" s="108"/>
      <c r="BB35" s="107"/>
      <c r="BC35" s="108"/>
      <c r="BD35" s="111" t="s">
        <v>98</v>
      </c>
      <c r="BE35" s="112"/>
      <c r="BF35" s="88" t="s">
        <v>112</v>
      </c>
      <c r="BG35" s="89"/>
      <c r="BH35" s="89"/>
      <c r="BI35" s="89"/>
      <c r="BJ35" s="89"/>
      <c r="BK35" s="89"/>
      <c r="BL35" s="89"/>
      <c r="BM35" s="89"/>
      <c r="BN35" s="89"/>
      <c r="BO35" s="89"/>
      <c r="BP35" s="89"/>
      <c r="BQ35" s="89"/>
      <c r="BR35" s="89"/>
      <c r="BS35" s="90"/>
      <c r="BT35" s="91" t="s">
        <v>96</v>
      </c>
      <c r="BU35" s="92"/>
      <c r="BV35" s="92"/>
      <c r="BW35" s="92"/>
      <c r="BX35" s="92"/>
      <c r="BY35" s="92"/>
      <c r="BZ35" s="92"/>
      <c r="CA35" s="92"/>
      <c r="CB35" s="92"/>
      <c r="CC35" s="92"/>
      <c r="CD35" s="93"/>
    </row>
    <row r="36" spans="2:82" s="49" customFormat="1" ht="13.5" customHeight="1">
      <c r="B36" s="94"/>
      <c r="C36" s="95"/>
      <c r="D36" s="39" t="s">
        <v>91</v>
      </c>
      <c r="E36" s="40"/>
      <c r="F36" s="40"/>
      <c r="G36" s="40"/>
      <c r="H36" s="40"/>
      <c r="I36" s="40"/>
      <c r="J36" s="40"/>
      <c r="K36" s="40"/>
      <c r="L36" s="40"/>
      <c r="M36" s="41"/>
      <c r="N36" s="41"/>
      <c r="O36" s="42"/>
      <c r="P36" s="43"/>
      <c r="Q36" s="43"/>
      <c r="R36" s="43"/>
      <c r="S36" s="43"/>
      <c r="T36" s="41"/>
      <c r="U36" s="44"/>
      <c r="V36" s="96"/>
      <c r="W36" s="97"/>
      <c r="X36" s="98"/>
      <c r="Y36" s="99"/>
      <c r="Z36" s="98"/>
      <c r="AA36" s="99"/>
      <c r="AB36" s="98"/>
      <c r="AC36" s="99"/>
      <c r="AD36" s="98"/>
      <c r="AE36" s="99"/>
      <c r="AF36" s="98"/>
      <c r="AG36" s="99"/>
      <c r="AH36" s="98"/>
      <c r="AI36" s="99"/>
      <c r="AJ36" s="98"/>
      <c r="AK36" s="99"/>
      <c r="AL36" s="98"/>
      <c r="AM36" s="99"/>
      <c r="AN36" s="46"/>
      <c r="AO36" s="44"/>
      <c r="AP36" s="44"/>
      <c r="AQ36" s="44"/>
      <c r="AR36" s="44"/>
      <c r="AS36" s="44"/>
      <c r="AT36" s="45"/>
      <c r="AU36" s="46"/>
      <c r="AV36" s="63"/>
      <c r="AW36" s="64"/>
      <c r="AX36" s="98"/>
      <c r="AY36" s="99"/>
      <c r="AZ36" s="98"/>
      <c r="BA36" s="99"/>
      <c r="BB36" s="98"/>
      <c r="BC36" s="99"/>
      <c r="BD36" s="98"/>
      <c r="BE36" s="99"/>
      <c r="BF36" s="47"/>
      <c r="BG36" s="47"/>
      <c r="BH36" s="47"/>
      <c r="BI36" s="47"/>
      <c r="BJ36" s="47"/>
      <c r="BK36" s="47"/>
      <c r="BL36" s="47"/>
      <c r="BM36" s="47"/>
      <c r="BN36" s="47"/>
      <c r="BO36" s="47"/>
      <c r="BP36" s="47"/>
      <c r="BQ36" s="47"/>
      <c r="BR36" s="47"/>
      <c r="BS36" s="48"/>
      <c r="BT36" s="100"/>
      <c r="BU36" s="101"/>
      <c r="BV36" s="101"/>
      <c r="BW36" s="101"/>
      <c r="BX36" s="101"/>
      <c r="BY36" s="101"/>
      <c r="BZ36" s="101"/>
      <c r="CA36" s="101"/>
      <c r="CB36" s="101"/>
      <c r="CC36" s="101"/>
      <c r="CD36" s="102"/>
    </row>
    <row r="37" spans="2:82" s="49" customFormat="1" ht="27" customHeight="1">
      <c r="B37" s="94">
        <f t="shared" ca="1" si="2"/>
        <v>25</v>
      </c>
      <c r="C37" s="95"/>
      <c r="D37" s="67" t="s">
        <v>54</v>
      </c>
      <c r="E37" s="50"/>
      <c r="F37" s="50"/>
      <c r="G37" s="50"/>
      <c r="H37" s="50"/>
      <c r="I37" s="50"/>
      <c r="J37" s="50"/>
      <c r="K37" s="50"/>
      <c r="L37" s="50"/>
      <c r="M37" s="51"/>
      <c r="N37" s="51"/>
      <c r="O37" s="52" t="s">
        <v>122</v>
      </c>
      <c r="P37" s="53"/>
      <c r="Q37" s="53"/>
      <c r="R37" s="53"/>
      <c r="S37" s="53"/>
      <c r="T37" s="51"/>
      <c r="U37" s="51"/>
      <c r="V37" s="103" t="s">
        <v>37</v>
      </c>
      <c r="W37" s="104"/>
      <c r="X37" s="105">
        <v>1</v>
      </c>
      <c r="Y37" s="106"/>
      <c r="Z37" s="105"/>
      <c r="AA37" s="106"/>
      <c r="AB37" s="105">
        <v>1</v>
      </c>
      <c r="AC37" s="106"/>
      <c r="AD37" s="105"/>
      <c r="AE37" s="106"/>
      <c r="AF37" s="107"/>
      <c r="AG37" s="108"/>
      <c r="AH37" s="107"/>
      <c r="AI37" s="108"/>
      <c r="AJ37" s="109">
        <f t="shared" si="0"/>
        <v>1</v>
      </c>
      <c r="AK37" s="110"/>
      <c r="AL37" s="109">
        <f t="shared" ref="AL37:AL39" si="11">AJ36+AL36</f>
        <v>0</v>
      </c>
      <c r="AM37" s="110"/>
      <c r="AN37" s="54" t="s">
        <v>38</v>
      </c>
      <c r="AO37" s="51"/>
      <c r="AP37" s="51"/>
      <c r="AQ37" s="51"/>
      <c r="AR37" s="65"/>
      <c r="AS37" s="65"/>
      <c r="AT37" s="66"/>
      <c r="AU37" s="55" t="s">
        <v>39</v>
      </c>
      <c r="AV37" s="51"/>
      <c r="AW37" s="51"/>
      <c r="AX37" s="107"/>
      <c r="AY37" s="108"/>
      <c r="AZ37" s="107"/>
      <c r="BA37" s="108"/>
      <c r="BB37" s="107"/>
      <c r="BC37" s="108"/>
      <c r="BD37" s="111" t="s">
        <v>49</v>
      </c>
      <c r="BE37" s="112"/>
      <c r="BF37" s="88" t="s">
        <v>92</v>
      </c>
      <c r="BG37" s="89"/>
      <c r="BH37" s="89"/>
      <c r="BI37" s="89"/>
      <c r="BJ37" s="89"/>
      <c r="BK37" s="89"/>
      <c r="BL37" s="89"/>
      <c r="BM37" s="89"/>
      <c r="BN37" s="89"/>
      <c r="BO37" s="89"/>
      <c r="BP37" s="89"/>
      <c r="BQ37" s="89"/>
      <c r="BR37" s="89"/>
      <c r="BS37" s="90"/>
      <c r="BT37" s="91"/>
      <c r="BU37" s="92"/>
      <c r="BV37" s="92"/>
      <c r="BW37" s="92"/>
      <c r="BX37" s="92"/>
      <c r="BY37" s="92"/>
      <c r="BZ37" s="92"/>
      <c r="CA37" s="92"/>
      <c r="CB37" s="92"/>
      <c r="CC37" s="92"/>
      <c r="CD37" s="93"/>
    </row>
    <row r="38" spans="2:82" s="49" customFormat="1" ht="27.75" customHeight="1">
      <c r="B38" s="94">
        <f t="shared" ca="1" si="2"/>
        <v>26</v>
      </c>
      <c r="C38" s="95"/>
      <c r="D38" s="68" t="s">
        <v>62</v>
      </c>
      <c r="E38" s="50"/>
      <c r="F38" s="50"/>
      <c r="G38" s="50"/>
      <c r="H38" s="50"/>
      <c r="I38" s="50"/>
      <c r="J38" s="50"/>
      <c r="K38" s="50"/>
      <c r="L38" s="50"/>
      <c r="M38" s="51"/>
      <c r="N38" s="51"/>
      <c r="O38" s="52" t="s">
        <v>138</v>
      </c>
      <c r="P38" s="53"/>
      <c r="Q38" s="53"/>
      <c r="R38" s="53"/>
      <c r="S38" s="53"/>
      <c r="T38" s="51"/>
      <c r="U38" s="51"/>
      <c r="V38" s="103">
        <v>9</v>
      </c>
      <c r="W38" s="104"/>
      <c r="X38" s="105">
        <v>1</v>
      </c>
      <c r="Y38" s="106"/>
      <c r="Z38" s="105"/>
      <c r="AA38" s="106"/>
      <c r="AB38" s="105">
        <v>10</v>
      </c>
      <c r="AC38" s="106"/>
      <c r="AD38" s="105"/>
      <c r="AE38" s="106"/>
      <c r="AF38" s="107"/>
      <c r="AG38" s="108"/>
      <c r="AH38" s="107"/>
      <c r="AI38" s="108"/>
      <c r="AJ38" s="109">
        <f>IF(V38="","",IF(V38="N",AB38*2,IF(V38="X",AB38,IF(V38=9,AB38+AD38,IF(V38="±9",AB38+AD38+1,IF(V38="S9",AB38+AD38,IF(V38="S9C3",ROUNDDOWN((AB38+AD38)/2,0)+1,"")))))))</f>
        <v>10</v>
      </c>
      <c r="AK38" s="110"/>
      <c r="AL38" s="109">
        <f t="shared" si="11"/>
        <v>1</v>
      </c>
      <c r="AM38" s="110"/>
      <c r="AN38" s="54" t="s">
        <v>38</v>
      </c>
      <c r="AO38" s="51"/>
      <c r="AP38" s="51"/>
      <c r="AQ38" s="51"/>
      <c r="AR38" s="65"/>
      <c r="AS38" s="65"/>
      <c r="AT38" s="66"/>
      <c r="AU38" s="55">
        <v>0</v>
      </c>
      <c r="AV38" s="51"/>
      <c r="AW38" s="51"/>
      <c r="AX38" s="107"/>
      <c r="AY38" s="108"/>
      <c r="AZ38" s="107"/>
      <c r="BA38" s="108"/>
      <c r="BB38" s="107"/>
      <c r="BC38" s="108"/>
      <c r="BD38" s="111" t="s">
        <v>98</v>
      </c>
      <c r="BE38" s="112"/>
      <c r="BF38" s="88" t="s">
        <v>113</v>
      </c>
      <c r="BG38" s="89"/>
      <c r="BH38" s="89"/>
      <c r="BI38" s="89"/>
      <c r="BJ38" s="89"/>
      <c r="BK38" s="89"/>
      <c r="BL38" s="89"/>
      <c r="BM38" s="89"/>
      <c r="BN38" s="89"/>
      <c r="BO38" s="89"/>
      <c r="BP38" s="89"/>
      <c r="BQ38" s="89"/>
      <c r="BR38" s="89"/>
      <c r="BS38" s="90"/>
      <c r="BT38" s="91" t="s">
        <v>96</v>
      </c>
      <c r="BU38" s="92"/>
      <c r="BV38" s="92"/>
      <c r="BW38" s="92"/>
      <c r="BX38" s="92"/>
      <c r="BY38" s="92"/>
      <c r="BZ38" s="92"/>
      <c r="CA38" s="92"/>
      <c r="CB38" s="92"/>
      <c r="CC38" s="92"/>
      <c r="CD38" s="93"/>
    </row>
    <row r="39" spans="2:82" s="49" customFormat="1" ht="27.75" customHeight="1">
      <c r="B39" s="94">
        <f t="shared" ca="1" si="2"/>
        <v>27</v>
      </c>
      <c r="C39" s="95"/>
      <c r="D39" s="68" t="s">
        <v>90</v>
      </c>
      <c r="E39" s="50"/>
      <c r="F39" s="50"/>
      <c r="G39" s="50"/>
      <c r="H39" s="50"/>
      <c r="I39" s="50"/>
      <c r="J39" s="50"/>
      <c r="K39" s="50"/>
      <c r="L39" s="50"/>
      <c r="M39" s="51"/>
      <c r="N39" s="51"/>
      <c r="O39" s="52" t="s">
        <v>127</v>
      </c>
      <c r="P39" s="53"/>
      <c r="Q39" s="53"/>
      <c r="R39" s="53"/>
      <c r="S39" s="53"/>
      <c r="T39" s="51"/>
      <c r="U39" s="51"/>
      <c r="V39" s="103" t="s">
        <v>37</v>
      </c>
      <c r="W39" s="104"/>
      <c r="X39" s="105">
        <v>1</v>
      </c>
      <c r="Y39" s="106"/>
      <c r="Z39" s="105"/>
      <c r="AA39" s="106"/>
      <c r="AB39" s="105">
        <v>139</v>
      </c>
      <c r="AC39" s="106"/>
      <c r="AD39" s="105"/>
      <c r="AE39" s="106"/>
      <c r="AF39" s="107"/>
      <c r="AG39" s="108"/>
      <c r="AH39" s="107"/>
      <c r="AI39" s="108"/>
      <c r="AJ39" s="109">
        <f>IF(V39="","",IF(V39="N",AB39*2,IF(V39="X",AB39,IF(V39=9,AB39+AD39,IF(V39="±9",AB39+AD39+1,IF(V39="S9",AB39+AD39,IF(V39="S9C3",ROUNDDOWN((AB39+AD39)/2,0)+1,"")))))))</f>
        <v>139</v>
      </c>
      <c r="AK39" s="110"/>
      <c r="AL39" s="109">
        <f t="shared" si="11"/>
        <v>11</v>
      </c>
      <c r="AM39" s="110"/>
      <c r="AN39" s="54" t="s">
        <v>38</v>
      </c>
      <c r="AO39" s="51"/>
      <c r="AP39" s="51"/>
      <c r="AQ39" s="51"/>
      <c r="AR39" s="65"/>
      <c r="AS39" s="65"/>
      <c r="AT39" s="66"/>
      <c r="AU39" s="55" t="s">
        <v>39</v>
      </c>
      <c r="AV39" s="51"/>
      <c r="AW39" s="51"/>
      <c r="AX39" s="107"/>
      <c r="AY39" s="108"/>
      <c r="AZ39" s="107"/>
      <c r="BA39" s="108"/>
      <c r="BB39" s="107"/>
      <c r="BC39" s="108"/>
      <c r="BD39" s="111" t="s">
        <v>49</v>
      </c>
      <c r="BE39" s="112"/>
      <c r="BF39" s="88"/>
      <c r="BG39" s="89"/>
      <c r="BH39" s="89"/>
      <c r="BI39" s="89"/>
      <c r="BJ39" s="89"/>
      <c r="BK39" s="89"/>
      <c r="BL39" s="89"/>
      <c r="BM39" s="89"/>
      <c r="BN39" s="89"/>
      <c r="BO39" s="89"/>
      <c r="BP39" s="89"/>
      <c r="BQ39" s="89"/>
      <c r="BR39" s="89"/>
      <c r="BS39" s="90"/>
      <c r="BT39" s="91"/>
      <c r="BU39" s="92"/>
      <c r="BV39" s="92"/>
      <c r="BW39" s="92"/>
      <c r="BX39" s="92"/>
      <c r="BY39" s="92"/>
      <c r="BZ39" s="92"/>
      <c r="CA39" s="92"/>
      <c r="CB39" s="92"/>
      <c r="CC39" s="92"/>
      <c r="CD39" s="93"/>
    </row>
    <row r="54" spans="66:68" ht="11.25" customHeight="1">
      <c r="BN54" s="62"/>
      <c r="BO54" s="62"/>
      <c r="BP54" s="62"/>
    </row>
    <row r="55" spans="66:68" ht="11.25" customHeight="1">
      <c r="BN55" s="62"/>
      <c r="BO55" s="62"/>
      <c r="BP55" s="62"/>
    </row>
    <row r="56" spans="66:68" ht="11.25" customHeight="1">
      <c r="BN56" s="62"/>
      <c r="BO56" s="62"/>
      <c r="BP56" s="62"/>
    </row>
    <row r="57" spans="66:68" ht="11.25" customHeight="1">
      <c r="BN57" s="62"/>
      <c r="BO57" s="62"/>
      <c r="BP57" s="62"/>
    </row>
    <row r="58" spans="66:68" ht="11.25" customHeight="1">
      <c r="BN58" s="62"/>
      <c r="BO58" s="62"/>
      <c r="BP58" s="62"/>
    </row>
    <row r="59" spans="66:68" ht="11.25" customHeight="1">
      <c r="BN59" s="62"/>
      <c r="BO59" s="62"/>
      <c r="BP59" s="62"/>
    </row>
    <row r="60" spans="66:68" ht="11.25" customHeight="1">
      <c r="BN60" s="62"/>
      <c r="BO60" s="62"/>
      <c r="BP60" s="62"/>
    </row>
    <row r="61" spans="66:68" ht="11.25" customHeight="1">
      <c r="BN61" s="62"/>
      <c r="BO61" s="62"/>
      <c r="BP61" s="62"/>
    </row>
    <row r="62" spans="66:68" ht="11.25" customHeight="1">
      <c r="BN62" s="62"/>
      <c r="BO62" s="62"/>
      <c r="BP62" s="62"/>
    </row>
    <row r="63" spans="66:68" ht="11.25" customHeight="1">
      <c r="BN63" s="62"/>
      <c r="BO63" s="62"/>
      <c r="BP63" s="62"/>
    </row>
    <row r="64" spans="66:68" ht="11.25" customHeight="1">
      <c r="BN64" s="62"/>
      <c r="BO64" s="62"/>
      <c r="BP64" s="62"/>
    </row>
    <row r="65" spans="66:68" ht="11.25" customHeight="1">
      <c r="BN65" s="62"/>
      <c r="BO65" s="62"/>
      <c r="BP65" s="62"/>
    </row>
    <row r="66" spans="66:68" ht="11.25" customHeight="1">
      <c r="BN66" s="62"/>
      <c r="BO66" s="62"/>
      <c r="BP66" s="62"/>
    </row>
    <row r="67" spans="66:68" ht="11.25" customHeight="1">
      <c r="BN67" s="62"/>
      <c r="BO67" s="62"/>
      <c r="BP67" s="62"/>
    </row>
    <row r="68" spans="66:68" ht="11.25" customHeight="1">
      <c r="BN68" s="62"/>
      <c r="BO68" s="62"/>
      <c r="BP68" s="62"/>
    </row>
    <row r="69" spans="66:68" ht="11.25" customHeight="1">
      <c r="BN69" s="62"/>
      <c r="BO69" s="62"/>
      <c r="BP69" s="62"/>
    </row>
    <row r="70" spans="66:68" ht="11.25" customHeight="1">
      <c r="BN70" s="62"/>
      <c r="BO70" s="62"/>
      <c r="BP70" s="62"/>
    </row>
    <row r="71" spans="66:68" ht="11.25" customHeight="1">
      <c r="BN71" s="62"/>
      <c r="BO71" s="62"/>
      <c r="BP71" s="62"/>
    </row>
    <row r="72" spans="66:68" ht="11.25" customHeight="1">
      <c r="BN72" s="62"/>
      <c r="BO72" s="62"/>
      <c r="BP72" s="62"/>
    </row>
    <row r="73" spans="66:68" ht="11.25" customHeight="1">
      <c r="BN73" s="62"/>
      <c r="BO73" s="62"/>
      <c r="BP73" s="62"/>
    </row>
    <row r="74" spans="66:68" ht="11.25" customHeight="1">
      <c r="BN74" s="62"/>
      <c r="BO74" s="62"/>
      <c r="BP74" s="62"/>
    </row>
    <row r="75" spans="66:68" ht="11.25" customHeight="1">
      <c r="BN75" s="62"/>
      <c r="BO75" s="62"/>
      <c r="BP75" s="62"/>
    </row>
    <row r="76" spans="66:68" ht="11.25" customHeight="1">
      <c r="BN76" s="62"/>
      <c r="BO76" s="62"/>
      <c r="BP76" s="62"/>
    </row>
    <row r="77" spans="66:68" ht="11.25" customHeight="1">
      <c r="BN77" s="62"/>
      <c r="BO77" s="62"/>
      <c r="BP77" s="62"/>
    </row>
    <row r="78" spans="66:68" ht="11.25" customHeight="1">
      <c r="BN78" s="62"/>
      <c r="BO78" s="62"/>
      <c r="BP78" s="62"/>
    </row>
    <row r="79" spans="66:68" ht="11.25" customHeight="1">
      <c r="BN79" s="62"/>
      <c r="BO79" s="62"/>
      <c r="BP79" s="62"/>
    </row>
    <row r="80" spans="66:68" ht="11.25" customHeight="1">
      <c r="BN80" s="62"/>
      <c r="BO80" s="62"/>
      <c r="BP80" s="62"/>
    </row>
    <row r="81" spans="66:68" ht="11.25" customHeight="1">
      <c r="BN81" s="62"/>
      <c r="BO81" s="62"/>
      <c r="BP81" s="62"/>
    </row>
    <row r="82" spans="66:68" ht="11.25" customHeight="1">
      <c r="BN82" s="62"/>
      <c r="BO82" s="62"/>
      <c r="BP82" s="62"/>
    </row>
    <row r="83" spans="66:68" ht="11.25" customHeight="1">
      <c r="BN83" s="62"/>
      <c r="BO83" s="62"/>
      <c r="BP83" s="62"/>
    </row>
    <row r="84" spans="66:68" ht="11.25" customHeight="1">
      <c r="BN84" s="62"/>
      <c r="BO84" s="62"/>
      <c r="BP84" s="62"/>
    </row>
    <row r="85" spans="66:68" ht="11.25" customHeight="1">
      <c r="BN85" s="62"/>
      <c r="BO85" s="62"/>
      <c r="BP85" s="62"/>
    </row>
    <row r="86" spans="66:68" ht="11.25" customHeight="1">
      <c r="BN86" s="62"/>
      <c r="BO86" s="62"/>
      <c r="BP86" s="62"/>
    </row>
  </sheetData>
  <mergeCells count="530">
    <mergeCell ref="AF38:AG38"/>
    <mergeCell ref="AH16:AI16"/>
    <mergeCell ref="AJ16:AK16"/>
    <mergeCell ref="BF38:BS38"/>
    <mergeCell ref="BT38:CD38"/>
    <mergeCell ref="B35:C35"/>
    <mergeCell ref="V35:W35"/>
    <mergeCell ref="X35:Y35"/>
    <mergeCell ref="Z35:AA35"/>
    <mergeCell ref="AB35:AC35"/>
    <mergeCell ref="AD35:AE35"/>
    <mergeCell ref="AF35:AG35"/>
    <mergeCell ref="AH38:AI38"/>
    <mergeCell ref="AJ38:AK38"/>
    <mergeCell ref="AL38:AM38"/>
    <mergeCell ref="AX38:AY38"/>
    <mergeCell ref="AZ38:BA38"/>
    <mergeCell ref="BB38:BC38"/>
    <mergeCell ref="BD35:BE35"/>
    <mergeCell ref="BF35:BS35"/>
    <mergeCell ref="BT35:CD35"/>
    <mergeCell ref="AH35:AI35"/>
    <mergeCell ref="AJ35:AK35"/>
    <mergeCell ref="AL35:AM35"/>
    <mergeCell ref="V16:W16"/>
    <mergeCell ref="X16:Y16"/>
    <mergeCell ref="Z16:AA16"/>
    <mergeCell ref="AB16:AC16"/>
    <mergeCell ref="AD16:AE16"/>
    <mergeCell ref="AF16:AG16"/>
    <mergeCell ref="BD16:BE16"/>
    <mergeCell ref="BF16:BS16"/>
    <mergeCell ref="BT16:CD16"/>
    <mergeCell ref="AL16:AM16"/>
    <mergeCell ref="AX16:AY16"/>
    <mergeCell ref="AZ16:BA16"/>
    <mergeCell ref="BB16:BC16"/>
    <mergeCell ref="BF34:BS34"/>
    <mergeCell ref="BT34:CD34"/>
    <mergeCell ref="B39:C39"/>
    <mergeCell ref="V39:W39"/>
    <mergeCell ref="X39:Y39"/>
    <mergeCell ref="Z39:AA39"/>
    <mergeCell ref="AB39:AC39"/>
    <mergeCell ref="AD39:AE39"/>
    <mergeCell ref="AF39:AG39"/>
    <mergeCell ref="AH34:AI34"/>
    <mergeCell ref="AJ34:AK34"/>
    <mergeCell ref="AL34:AM34"/>
    <mergeCell ref="AX34:AY34"/>
    <mergeCell ref="AZ34:BA34"/>
    <mergeCell ref="BB34:BC34"/>
    <mergeCell ref="BD39:BE39"/>
    <mergeCell ref="BF39:BS39"/>
    <mergeCell ref="BT39:CD39"/>
    <mergeCell ref="B38:C38"/>
    <mergeCell ref="V38:W38"/>
    <mergeCell ref="X38:Y38"/>
    <mergeCell ref="Z38:AA38"/>
    <mergeCell ref="AB38:AC38"/>
    <mergeCell ref="AD38:AE38"/>
    <mergeCell ref="BD34:BE34"/>
    <mergeCell ref="AH39:AI39"/>
    <mergeCell ref="AJ39:AK39"/>
    <mergeCell ref="AL39:AM39"/>
    <mergeCell ref="AX39:AY39"/>
    <mergeCell ref="AZ39:BA39"/>
    <mergeCell ref="BB39:BC39"/>
    <mergeCell ref="BD38:BE38"/>
    <mergeCell ref="AL37:AM37"/>
    <mergeCell ref="AX37:AY37"/>
    <mergeCell ref="AZ37:BA37"/>
    <mergeCell ref="BB37:BC37"/>
    <mergeCell ref="BD37:BE37"/>
    <mergeCell ref="AX35:AY35"/>
    <mergeCell ref="AZ35:BA35"/>
    <mergeCell ref="BB35:BC35"/>
    <mergeCell ref="AH37:AI37"/>
    <mergeCell ref="AJ37:AK37"/>
    <mergeCell ref="B34:C34"/>
    <mergeCell ref="V34:W34"/>
    <mergeCell ref="X34:Y34"/>
    <mergeCell ref="Z34:AA34"/>
    <mergeCell ref="AB34:AC34"/>
    <mergeCell ref="AD34:AE34"/>
    <mergeCell ref="AF34:AG34"/>
    <mergeCell ref="AH33:AI33"/>
    <mergeCell ref="AJ33:AK33"/>
    <mergeCell ref="BT32:CD32"/>
    <mergeCell ref="B33:C33"/>
    <mergeCell ref="V33:W33"/>
    <mergeCell ref="X33:Y33"/>
    <mergeCell ref="Z33:AA33"/>
    <mergeCell ref="AB33:AC33"/>
    <mergeCell ref="AD33:AE33"/>
    <mergeCell ref="AF33:AG33"/>
    <mergeCell ref="AH32:AI32"/>
    <mergeCell ref="AJ32:AK32"/>
    <mergeCell ref="AL32:AM32"/>
    <mergeCell ref="AX32:AY32"/>
    <mergeCell ref="AZ32:BA32"/>
    <mergeCell ref="BB32:BC32"/>
    <mergeCell ref="BD33:BE33"/>
    <mergeCell ref="BF33:BS33"/>
    <mergeCell ref="BT33:CD33"/>
    <mergeCell ref="AL33:AM33"/>
    <mergeCell ref="AX33:AY33"/>
    <mergeCell ref="AZ33:BA33"/>
    <mergeCell ref="BB33:BC33"/>
    <mergeCell ref="B32:C32"/>
    <mergeCell ref="V32:W32"/>
    <mergeCell ref="X32:Y32"/>
    <mergeCell ref="Z32:AA32"/>
    <mergeCell ref="AB32:AC32"/>
    <mergeCell ref="AD32:AE32"/>
    <mergeCell ref="AF32:AG32"/>
    <mergeCell ref="AH31:AI31"/>
    <mergeCell ref="AJ31:AK31"/>
    <mergeCell ref="BF30:BS30"/>
    <mergeCell ref="Z30:AA30"/>
    <mergeCell ref="AB30:AC30"/>
    <mergeCell ref="AD30:AE30"/>
    <mergeCell ref="AF30:AG30"/>
    <mergeCell ref="BD32:BE32"/>
    <mergeCell ref="BF32:BS32"/>
    <mergeCell ref="BT30:CD30"/>
    <mergeCell ref="B31:C31"/>
    <mergeCell ref="V31:W31"/>
    <mergeCell ref="X31:Y31"/>
    <mergeCell ref="Z31:AA31"/>
    <mergeCell ref="AB31:AC31"/>
    <mergeCell ref="AD31:AE31"/>
    <mergeCell ref="AF31:AG31"/>
    <mergeCell ref="AH30:AI30"/>
    <mergeCell ref="AJ30:AK30"/>
    <mergeCell ref="AL30:AM30"/>
    <mergeCell ref="AX30:AY30"/>
    <mergeCell ref="AZ30:BA30"/>
    <mergeCell ref="BB30:BC30"/>
    <mergeCell ref="BD31:BE31"/>
    <mergeCell ref="BF31:BS31"/>
    <mergeCell ref="BT31:CD31"/>
    <mergeCell ref="AL31:AM31"/>
    <mergeCell ref="AX31:AY31"/>
    <mergeCell ref="AZ31:BA31"/>
    <mergeCell ref="BB31:BC31"/>
    <mergeCell ref="B30:C30"/>
    <mergeCell ref="V30:W30"/>
    <mergeCell ref="X30:Y30"/>
    <mergeCell ref="AH29:AI29"/>
    <mergeCell ref="AJ29:AK29"/>
    <mergeCell ref="BD28:BE28"/>
    <mergeCell ref="X28:Y28"/>
    <mergeCell ref="Z28:AA28"/>
    <mergeCell ref="AB28:AC28"/>
    <mergeCell ref="AD28:AE28"/>
    <mergeCell ref="AF28:AG28"/>
    <mergeCell ref="BD30:BE30"/>
    <mergeCell ref="BF28:BS28"/>
    <mergeCell ref="BT28:CD28"/>
    <mergeCell ref="B29:C29"/>
    <mergeCell ref="V29:W29"/>
    <mergeCell ref="X29:Y29"/>
    <mergeCell ref="Z29:AA29"/>
    <mergeCell ref="AB29:AC29"/>
    <mergeCell ref="AD29:AE29"/>
    <mergeCell ref="AF29:AG29"/>
    <mergeCell ref="AH28:AI28"/>
    <mergeCell ref="AJ28:AK28"/>
    <mergeCell ref="AL28:AM28"/>
    <mergeCell ref="AX28:AY28"/>
    <mergeCell ref="AZ28:BA28"/>
    <mergeCell ref="BB28:BC28"/>
    <mergeCell ref="BD29:BE29"/>
    <mergeCell ref="BF29:BS29"/>
    <mergeCell ref="BT29:CD29"/>
    <mergeCell ref="AL29:AM29"/>
    <mergeCell ref="AX29:AY29"/>
    <mergeCell ref="AZ29:BA29"/>
    <mergeCell ref="BB29:BC29"/>
    <mergeCell ref="B28:C28"/>
    <mergeCell ref="V28:W28"/>
    <mergeCell ref="BD26:BE26"/>
    <mergeCell ref="BF26:BS26"/>
    <mergeCell ref="BT26:CD26"/>
    <mergeCell ref="B27:C27"/>
    <mergeCell ref="V27:W27"/>
    <mergeCell ref="X27:Y27"/>
    <mergeCell ref="Z27:AA27"/>
    <mergeCell ref="AB27:AC27"/>
    <mergeCell ref="AD27:AE27"/>
    <mergeCell ref="AF27:AG27"/>
    <mergeCell ref="AH26:AI26"/>
    <mergeCell ref="AJ26:AK26"/>
    <mergeCell ref="AL26:AM26"/>
    <mergeCell ref="AX26:AY26"/>
    <mergeCell ref="AZ26:BA26"/>
    <mergeCell ref="BB26:BC26"/>
    <mergeCell ref="BD27:BE27"/>
    <mergeCell ref="BF27:BS27"/>
    <mergeCell ref="BT27:CD27"/>
    <mergeCell ref="AL27:AM27"/>
    <mergeCell ref="AX27:AY27"/>
    <mergeCell ref="AZ27:BA27"/>
    <mergeCell ref="BB27:BC27"/>
    <mergeCell ref="B26:C26"/>
    <mergeCell ref="V26:W26"/>
    <mergeCell ref="X26:Y26"/>
    <mergeCell ref="Z26:AA26"/>
    <mergeCell ref="AB26:AC26"/>
    <mergeCell ref="AD26:AE26"/>
    <mergeCell ref="AF26:AG26"/>
    <mergeCell ref="AH25:AI25"/>
    <mergeCell ref="AJ25:AK25"/>
    <mergeCell ref="AH27:AI27"/>
    <mergeCell ref="AJ27:AK27"/>
    <mergeCell ref="BF24:BS24"/>
    <mergeCell ref="BT24:CD24"/>
    <mergeCell ref="B25:C25"/>
    <mergeCell ref="V25:W25"/>
    <mergeCell ref="X25:Y25"/>
    <mergeCell ref="Z25:AA25"/>
    <mergeCell ref="AB25:AC25"/>
    <mergeCell ref="AD25:AE25"/>
    <mergeCell ref="AF25:AG25"/>
    <mergeCell ref="AH24:AI24"/>
    <mergeCell ref="AJ24:AK24"/>
    <mergeCell ref="AL24:AM24"/>
    <mergeCell ref="AX24:AY24"/>
    <mergeCell ref="AZ24:BA24"/>
    <mergeCell ref="BB24:BC24"/>
    <mergeCell ref="BD25:BE25"/>
    <mergeCell ref="BF25:BS25"/>
    <mergeCell ref="BT25:CD25"/>
    <mergeCell ref="AL25:AM25"/>
    <mergeCell ref="AX25:AY25"/>
    <mergeCell ref="AZ25:BA25"/>
    <mergeCell ref="BB25:BC25"/>
    <mergeCell ref="B24:C24"/>
    <mergeCell ref="V24:W24"/>
    <mergeCell ref="X24:Y24"/>
    <mergeCell ref="Z24:AA24"/>
    <mergeCell ref="AB24:AC24"/>
    <mergeCell ref="AD24:AE24"/>
    <mergeCell ref="AF24:AG24"/>
    <mergeCell ref="AH23:AI23"/>
    <mergeCell ref="AJ23:AK23"/>
    <mergeCell ref="BD22:BE22"/>
    <mergeCell ref="X22:Y22"/>
    <mergeCell ref="Z22:AA22"/>
    <mergeCell ref="AB22:AC22"/>
    <mergeCell ref="AD22:AE22"/>
    <mergeCell ref="AF22:AG22"/>
    <mergeCell ref="BD24:BE24"/>
    <mergeCell ref="BF22:BS22"/>
    <mergeCell ref="BT22:CD22"/>
    <mergeCell ref="B23:C23"/>
    <mergeCell ref="V23:W23"/>
    <mergeCell ref="X23:Y23"/>
    <mergeCell ref="Z23:AA23"/>
    <mergeCell ref="AB23:AC23"/>
    <mergeCell ref="AD23:AE23"/>
    <mergeCell ref="AF23:AG23"/>
    <mergeCell ref="AH22:AI22"/>
    <mergeCell ref="AJ22:AK22"/>
    <mergeCell ref="AL22:AM22"/>
    <mergeCell ref="AX22:AY22"/>
    <mergeCell ref="AZ22:BA22"/>
    <mergeCell ref="BB22:BC22"/>
    <mergeCell ref="BD23:BE23"/>
    <mergeCell ref="BF23:BS23"/>
    <mergeCell ref="BT23:CD23"/>
    <mergeCell ref="AL23:AM23"/>
    <mergeCell ref="AX23:AY23"/>
    <mergeCell ref="AZ23:BA23"/>
    <mergeCell ref="BB23:BC23"/>
    <mergeCell ref="B22:C22"/>
    <mergeCell ref="V22:W22"/>
    <mergeCell ref="BD20:BE20"/>
    <mergeCell ref="BF20:BS20"/>
    <mergeCell ref="BT20:CD20"/>
    <mergeCell ref="B21:C21"/>
    <mergeCell ref="V21:W21"/>
    <mergeCell ref="X21:Y21"/>
    <mergeCell ref="Z21:AA21"/>
    <mergeCell ref="AB21:AC21"/>
    <mergeCell ref="AD21:AE21"/>
    <mergeCell ref="AF21:AG21"/>
    <mergeCell ref="AH20:AI20"/>
    <mergeCell ref="AJ20:AK20"/>
    <mergeCell ref="AL20:AM20"/>
    <mergeCell ref="AX20:AY20"/>
    <mergeCell ref="AZ20:BA20"/>
    <mergeCell ref="BB20:BC20"/>
    <mergeCell ref="BD21:BE21"/>
    <mergeCell ref="BF21:BS21"/>
    <mergeCell ref="BT21:CD21"/>
    <mergeCell ref="AL21:AM21"/>
    <mergeCell ref="AX21:AY21"/>
    <mergeCell ref="AZ21:BA21"/>
    <mergeCell ref="BB21:BC21"/>
    <mergeCell ref="B20:C20"/>
    <mergeCell ref="V20:W20"/>
    <mergeCell ref="X20:Y20"/>
    <mergeCell ref="Z20:AA20"/>
    <mergeCell ref="AB20:AC20"/>
    <mergeCell ref="AD20:AE20"/>
    <mergeCell ref="AF20:AG20"/>
    <mergeCell ref="AH19:AI19"/>
    <mergeCell ref="AJ19:AK19"/>
    <mergeCell ref="AH21:AI21"/>
    <mergeCell ref="AJ21:AK21"/>
    <mergeCell ref="BF15:BS15"/>
    <mergeCell ref="BT15:CD15"/>
    <mergeCell ref="B19:C19"/>
    <mergeCell ref="V19:W19"/>
    <mergeCell ref="X19:Y19"/>
    <mergeCell ref="Z19:AA19"/>
    <mergeCell ref="AB19:AC19"/>
    <mergeCell ref="AD19:AE19"/>
    <mergeCell ref="AF19:AG19"/>
    <mergeCell ref="AH15:AI15"/>
    <mergeCell ref="AJ15:AK15"/>
    <mergeCell ref="AL15:AM15"/>
    <mergeCell ref="AX15:AY15"/>
    <mergeCell ref="AZ15:BA15"/>
    <mergeCell ref="BB15:BC15"/>
    <mergeCell ref="BD19:BE19"/>
    <mergeCell ref="BF19:BS19"/>
    <mergeCell ref="BT19:CD19"/>
    <mergeCell ref="AL19:AM19"/>
    <mergeCell ref="AX19:AY19"/>
    <mergeCell ref="AZ19:BA19"/>
    <mergeCell ref="BB19:BC19"/>
    <mergeCell ref="B15:C15"/>
    <mergeCell ref="B16:C16"/>
    <mergeCell ref="V15:W15"/>
    <mergeCell ref="X15:Y15"/>
    <mergeCell ref="Z15:AA15"/>
    <mergeCell ref="AB15:AC15"/>
    <mergeCell ref="AD15:AE15"/>
    <mergeCell ref="AF15:AG15"/>
    <mergeCell ref="AH14:AI14"/>
    <mergeCell ref="AJ14:AK14"/>
    <mergeCell ref="BD13:BE13"/>
    <mergeCell ref="X13:Y13"/>
    <mergeCell ref="Z13:AA13"/>
    <mergeCell ref="AB13:AC13"/>
    <mergeCell ref="AD13:AE13"/>
    <mergeCell ref="AF13:AG13"/>
    <mergeCell ref="BD15:BE15"/>
    <mergeCell ref="BF13:BS13"/>
    <mergeCell ref="BT13:CD13"/>
    <mergeCell ref="B14:C14"/>
    <mergeCell ref="V14:W14"/>
    <mergeCell ref="X14:Y14"/>
    <mergeCell ref="Z14:AA14"/>
    <mergeCell ref="AB14:AC14"/>
    <mergeCell ref="AD14:AE14"/>
    <mergeCell ref="AF14:AG14"/>
    <mergeCell ref="AH13:AI13"/>
    <mergeCell ref="AJ13:AK13"/>
    <mergeCell ref="AL13:AM13"/>
    <mergeCell ref="AX13:AY13"/>
    <mergeCell ref="AZ13:BA13"/>
    <mergeCell ref="BB13:BC13"/>
    <mergeCell ref="BD14:BE14"/>
    <mergeCell ref="BF14:BS14"/>
    <mergeCell ref="BT14:CD14"/>
    <mergeCell ref="AL14:AM14"/>
    <mergeCell ref="AX14:AY14"/>
    <mergeCell ref="AZ14:BA14"/>
    <mergeCell ref="BB14:BC14"/>
    <mergeCell ref="B13:C13"/>
    <mergeCell ref="V13:W13"/>
    <mergeCell ref="AX11:AY11"/>
    <mergeCell ref="AZ11:BA11"/>
    <mergeCell ref="BB11:BC11"/>
    <mergeCell ref="BD12:BE12"/>
    <mergeCell ref="BF12:BS12"/>
    <mergeCell ref="BT12:CD12"/>
    <mergeCell ref="AL12:AM12"/>
    <mergeCell ref="AX12:AY12"/>
    <mergeCell ref="AZ12:BA12"/>
    <mergeCell ref="BB12:BC12"/>
    <mergeCell ref="B12:C12"/>
    <mergeCell ref="V12:W12"/>
    <mergeCell ref="X12:Y12"/>
    <mergeCell ref="Z12:AA12"/>
    <mergeCell ref="AB12:AC12"/>
    <mergeCell ref="AD12:AE12"/>
    <mergeCell ref="AF12:AG12"/>
    <mergeCell ref="AH11:AI11"/>
    <mergeCell ref="AJ11:AK11"/>
    <mergeCell ref="BT10:CD10"/>
    <mergeCell ref="B11:C11"/>
    <mergeCell ref="V11:W11"/>
    <mergeCell ref="X11:Y11"/>
    <mergeCell ref="Z11:AA11"/>
    <mergeCell ref="AB11:AC11"/>
    <mergeCell ref="AD11:AE11"/>
    <mergeCell ref="AF11:AG11"/>
    <mergeCell ref="AF10:AG10"/>
    <mergeCell ref="AH10:AI10"/>
    <mergeCell ref="AJ10:AK10"/>
    <mergeCell ref="AL10:AM10"/>
    <mergeCell ref="AX10:AY10"/>
    <mergeCell ref="AZ10:BA10"/>
    <mergeCell ref="B10:C10"/>
    <mergeCell ref="V10:W10"/>
    <mergeCell ref="X10:Y10"/>
    <mergeCell ref="Z10:AA10"/>
    <mergeCell ref="AB10:AC10"/>
    <mergeCell ref="AD10:AE10"/>
    <mergeCell ref="BD11:BE11"/>
    <mergeCell ref="BF11:BS11"/>
    <mergeCell ref="BT11:CD11"/>
    <mergeCell ref="AL11:AM11"/>
    <mergeCell ref="B5:F5"/>
    <mergeCell ref="G5:Q5"/>
    <mergeCell ref="R5:X5"/>
    <mergeCell ref="Y5:AD5"/>
    <mergeCell ref="AE5:AK7"/>
    <mergeCell ref="B6:F6"/>
    <mergeCell ref="G6:Q6"/>
    <mergeCell ref="B2:I3"/>
    <mergeCell ref="B9:C9"/>
    <mergeCell ref="O9:U9"/>
    <mergeCell ref="V9:W9"/>
    <mergeCell ref="X9:Y9"/>
    <mergeCell ref="Z9:AA9"/>
    <mergeCell ref="AB9:AC9"/>
    <mergeCell ref="R6:U6"/>
    <mergeCell ref="V6:W6"/>
    <mergeCell ref="X6:AB6"/>
    <mergeCell ref="AC6:AD6"/>
    <mergeCell ref="B7:F7"/>
    <mergeCell ref="G7:Q7"/>
    <mergeCell ref="R7:X7"/>
    <mergeCell ref="Y7:AB7"/>
    <mergeCell ref="AC7:AD7"/>
    <mergeCell ref="AD9:AE9"/>
    <mergeCell ref="BT2:BV2"/>
    <mergeCell ref="BW2:BZ2"/>
    <mergeCell ref="CA2:CC3"/>
    <mergeCell ref="J3:N3"/>
    <mergeCell ref="O3:S3"/>
    <mergeCell ref="T3:AF3"/>
    <mergeCell ref="BK3:BM3"/>
    <mergeCell ref="BN3:BQ3"/>
    <mergeCell ref="J2:N2"/>
    <mergeCell ref="O2:S2"/>
    <mergeCell ref="T2:AF2"/>
    <mergeCell ref="AG2:BJ3"/>
    <mergeCell ref="BK2:BM2"/>
    <mergeCell ref="BR3:BS3"/>
    <mergeCell ref="BT3:BV3"/>
    <mergeCell ref="BW3:BZ3"/>
    <mergeCell ref="X17:Y17"/>
    <mergeCell ref="Z17:AA17"/>
    <mergeCell ref="AB17:AC17"/>
    <mergeCell ref="AD17:AE17"/>
    <mergeCell ref="AF17:AG17"/>
    <mergeCell ref="AH17:AI17"/>
    <mergeCell ref="AJ17:AK17"/>
    <mergeCell ref="BN2:BQ2"/>
    <mergeCell ref="BR2:BS2"/>
    <mergeCell ref="AU9:AW9"/>
    <mergeCell ref="AX9:AY9"/>
    <mergeCell ref="AZ9:BA9"/>
    <mergeCell ref="BB9:BC9"/>
    <mergeCell ref="BD9:BE9"/>
    <mergeCell ref="BF9:BS9"/>
    <mergeCell ref="AF9:AG9"/>
    <mergeCell ref="AH9:AI9"/>
    <mergeCell ref="AJ9:AK9"/>
    <mergeCell ref="AL9:AM9"/>
    <mergeCell ref="AN9:AT9"/>
    <mergeCell ref="BB10:BC10"/>
    <mergeCell ref="BD10:BE10"/>
    <mergeCell ref="AH12:AI12"/>
    <mergeCell ref="AJ12:AK12"/>
    <mergeCell ref="AL17:AM17"/>
    <mergeCell ref="AX17:AY17"/>
    <mergeCell ref="AZ17:BA17"/>
    <mergeCell ref="BB17:BC17"/>
    <mergeCell ref="BD17:BE17"/>
    <mergeCell ref="BT17:CD17"/>
    <mergeCell ref="B18:C18"/>
    <mergeCell ref="V18:W18"/>
    <mergeCell ref="X18:Y18"/>
    <mergeCell ref="Z18:AA18"/>
    <mergeCell ref="AB18:AC18"/>
    <mergeCell ref="AD18:AE18"/>
    <mergeCell ref="AF18:AG18"/>
    <mergeCell ref="AH18:AI18"/>
    <mergeCell ref="AJ18:AK18"/>
    <mergeCell ref="AL18:AM18"/>
    <mergeCell ref="AX18:AY18"/>
    <mergeCell ref="AZ18:BA18"/>
    <mergeCell ref="BB18:BC18"/>
    <mergeCell ref="BD18:BE18"/>
    <mergeCell ref="BF18:BS18"/>
    <mergeCell ref="BT18:CD18"/>
    <mergeCell ref="B17:C17"/>
    <mergeCell ref="V17:W17"/>
    <mergeCell ref="BF37:BS37"/>
    <mergeCell ref="BT37:CD37"/>
    <mergeCell ref="B36:C36"/>
    <mergeCell ref="V36:W36"/>
    <mergeCell ref="X36:Y36"/>
    <mergeCell ref="Z36:AA36"/>
    <mergeCell ref="AB36:AC36"/>
    <mergeCell ref="AD36:AE36"/>
    <mergeCell ref="AF36:AG36"/>
    <mergeCell ref="AH36:AI36"/>
    <mergeCell ref="AJ36:AK36"/>
    <mergeCell ref="AL36:AM36"/>
    <mergeCell ref="AX36:AY36"/>
    <mergeCell ref="AZ36:BA36"/>
    <mergeCell ref="BB36:BC36"/>
    <mergeCell ref="BD36:BE36"/>
    <mergeCell ref="BT36:CD36"/>
    <mergeCell ref="B37:C37"/>
    <mergeCell ref="V37:W37"/>
    <mergeCell ref="X37:Y37"/>
    <mergeCell ref="Z37:AA37"/>
    <mergeCell ref="AB37:AC37"/>
    <mergeCell ref="AD37:AE37"/>
    <mergeCell ref="AF37:AG37"/>
  </mergeCells>
  <phoneticPr fontId="4"/>
  <dataValidations count="10">
    <dataValidation type="list" allowBlank="1" showInputMessage="1" showErrorMessage="1" sqref="Y65558:Y65575 JP65558:JP65575 TL65558:TL65575 ADH65558:ADH65575 AND65558:AND65575 AWZ65558:AWZ65575 BGV65558:BGV65575 BQR65558:BQR65575 CAN65558:CAN65575 CKJ65558:CKJ65575 CUF65558:CUF65575 DEB65558:DEB65575 DNX65558:DNX65575 DXT65558:DXT65575 EHP65558:EHP65575 ERL65558:ERL65575 FBH65558:FBH65575 FLD65558:FLD65575 FUZ65558:FUZ65575 GEV65558:GEV65575 GOR65558:GOR65575 GYN65558:GYN65575 HIJ65558:HIJ65575 HSF65558:HSF65575 ICB65558:ICB65575 ILX65558:ILX65575 IVT65558:IVT65575 JFP65558:JFP65575 JPL65558:JPL65575 JZH65558:JZH65575 KJD65558:KJD65575 KSZ65558:KSZ65575 LCV65558:LCV65575 LMR65558:LMR65575 LWN65558:LWN65575 MGJ65558:MGJ65575 MQF65558:MQF65575 NAB65558:NAB65575 NJX65558:NJX65575 NTT65558:NTT65575 ODP65558:ODP65575 ONL65558:ONL65575 OXH65558:OXH65575 PHD65558:PHD65575 PQZ65558:PQZ65575 QAV65558:QAV65575 QKR65558:QKR65575 QUN65558:QUN65575 REJ65558:REJ65575 ROF65558:ROF65575 RYB65558:RYB65575 SHX65558:SHX65575 SRT65558:SRT65575 TBP65558:TBP65575 TLL65558:TLL65575 TVH65558:TVH65575 UFD65558:UFD65575 UOZ65558:UOZ65575 UYV65558:UYV65575 VIR65558:VIR65575 VSN65558:VSN65575 WCJ65558:WCJ65575 WMF65558:WMF65575 WWB65558:WWB65575 Y131094:Y131111 JP131094:JP131111 TL131094:TL131111 ADH131094:ADH131111 AND131094:AND131111 AWZ131094:AWZ131111 BGV131094:BGV131111 BQR131094:BQR131111 CAN131094:CAN131111 CKJ131094:CKJ131111 CUF131094:CUF131111 DEB131094:DEB131111 DNX131094:DNX131111 DXT131094:DXT131111 EHP131094:EHP131111 ERL131094:ERL131111 FBH131094:FBH131111 FLD131094:FLD131111 FUZ131094:FUZ131111 GEV131094:GEV131111 GOR131094:GOR131111 GYN131094:GYN131111 HIJ131094:HIJ131111 HSF131094:HSF131111 ICB131094:ICB131111 ILX131094:ILX131111 IVT131094:IVT131111 JFP131094:JFP131111 JPL131094:JPL131111 JZH131094:JZH131111 KJD131094:KJD131111 KSZ131094:KSZ131111 LCV131094:LCV131111 LMR131094:LMR131111 LWN131094:LWN131111 MGJ131094:MGJ131111 MQF131094:MQF131111 NAB131094:NAB131111 NJX131094:NJX131111 NTT131094:NTT131111 ODP131094:ODP131111 ONL131094:ONL131111 OXH131094:OXH131111 PHD131094:PHD131111 PQZ131094:PQZ131111 QAV131094:QAV131111 QKR131094:QKR131111 QUN131094:QUN131111 REJ131094:REJ131111 ROF131094:ROF131111 RYB131094:RYB131111 SHX131094:SHX131111 SRT131094:SRT131111 TBP131094:TBP131111 TLL131094:TLL131111 TVH131094:TVH131111 UFD131094:UFD131111 UOZ131094:UOZ131111 UYV131094:UYV131111 VIR131094:VIR131111 VSN131094:VSN131111 WCJ131094:WCJ131111 WMF131094:WMF131111 WWB131094:WWB131111 Y196630:Y196647 JP196630:JP196647 TL196630:TL196647 ADH196630:ADH196647 AND196630:AND196647 AWZ196630:AWZ196647 BGV196630:BGV196647 BQR196630:BQR196647 CAN196630:CAN196647 CKJ196630:CKJ196647 CUF196630:CUF196647 DEB196630:DEB196647 DNX196630:DNX196647 DXT196630:DXT196647 EHP196630:EHP196647 ERL196630:ERL196647 FBH196630:FBH196647 FLD196630:FLD196647 FUZ196630:FUZ196647 GEV196630:GEV196647 GOR196630:GOR196647 GYN196630:GYN196647 HIJ196630:HIJ196647 HSF196630:HSF196647 ICB196630:ICB196647 ILX196630:ILX196647 IVT196630:IVT196647 JFP196630:JFP196647 JPL196630:JPL196647 JZH196630:JZH196647 KJD196630:KJD196647 KSZ196630:KSZ196647 LCV196630:LCV196647 LMR196630:LMR196647 LWN196630:LWN196647 MGJ196630:MGJ196647 MQF196630:MQF196647 NAB196630:NAB196647 NJX196630:NJX196647 NTT196630:NTT196647 ODP196630:ODP196647 ONL196630:ONL196647 OXH196630:OXH196647 PHD196630:PHD196647 PQZ196630:PQZ196647 QAV196630:QAV196647 QKR196630:QKR196647 QUN196630:QUN196647 REJ196630:REJ196647 ROF196630:ROF196647 RYB196630:RYB196647 SHX196630:SHX196647 SRT196630:SRT196647 TBP196630:TBP196647 TLL196630:TLL196647 TVH196630:TVH196647 UFD196630:UFD196647 UOZ196630:UOZ196647 UYV196630:UYV196647 VIR196630:VIR196647 VSN196630:VSN196647 WCJ196630:WCJ196647 WMF196630:WMF196647 WWB196630:WWB196647 Y262166:Y262183 JP262166:JP262183 TL262166:TL262183 ADH262166:ADH262183 AND262166:AND262183 AWZ262166:AWZ262183 BGV262166:BGV262183 BQR262166:BQR262183 CAN262166:CAN262183 CKJ262166:CKJ262183 CUF262166:CUF262183 DEB262166:DEB262183 DNX262166:DNX262183 DXT262166:DXT262183 EHP262166:EHP262183 ERL262166:ERL262183 FBH262166:FBH262183 FLD262166:FLD262183 FUZ262166:FUZ262183 GEV262166:GEV262183 GOR262166:GOR262183 GYN262166:GYN262183 HIJ262166:HIJ262183 HSF262166:HSF262183 ICB262166:ICB262183 ILX262166:ILX262183 IVT262166:IVT262183 JFP262166:JFP262183 JPL262166:JPL262183 JZH262166:JZH262183 KJD262166:KJD262183 KSZ262166:KSZ262183 LCV262166:LCV262183 LMR262166:LMR262183 LWN262166:LWN262183 MGJ262166:MGJ262183 MQF262166:MQF262183 NAB262166:NAB262183 NJX262166:NJX262183 NTT262166:NTT262183 ODP262166:ODP262183 ONL262166:ONL262183 OXH262166:OXH262183 PHD262166:PHD262183 PQZ262166:PQZ262183 QAV262166:QAV262183 QKR262166:QKR262183 QUN262166:QUN262183 REJ262166:REJ262183 ROF262166:ROF262183 RYB262166:RYB262183 SHX262166:SHX262183 SRT262166:SRT262183 TBP262166:TBP262183 TLL262166:TLL262183 TVH262166:TVH262183 UFD262166:UFD262183 UOZ262166:UOZ262183 UYV262166:UYV262183 VIR262166:VIR262183 VSN262166:VSN262183 WCJ262166:WCJ262183 WMF262166:WMF262183 WWB262166:WWB262183 Y327702:Y327719 JP327702:JP327719 TL327702:TL327719 ADH327702:ADH327719 AND327702:AND327719 AWZ327702:AWZ327719 BGV327702:BGV327719 BQR327702:BQR327719 CAN327702:CAN327719 CKJ327702:CKJ327719 CUF327702:CUF327719 DEB327702:DEB327719 DNX327702:DNX327719 DXT327702:DXT327719 EHP327702:EHP327719 ERL327702:ERL327719 FBH327702:FBH327719 FLD327702:FLD327719 FUZ327702:FUZ327719 GEV327702:GEV327719 GOR327702:GOR327719 GYN327702:GYN327719 HIJ327702:HIJ327719 HSF327702:HSF327719 ICB327702:ICB327719 ILX327702:ILX327719 IVT327702:IVT327719 JFP327702:JFP327719 JPL327702:JPL327719 JZH327702:JZH327719 KJD327702:KJD327719 KSZ327702:KSZ327719 LCV327702:LCV327719 LMR327702:LMR327719 LWN327702:LWN327719 MGJ327702:MGJ327719 MQF327702:MQF327719 NAB327702:NAB327719 NJX327702:NJX327719 NTT327702:NTT327719 ODP327702:ODP327719 ONL327702:ONL327719 OXH327702:OXH327719 PHD327702:PHD327719 PQZ327702:PQZ327719 QAV327702:QAV327719 QKR327702:QKR327719 QUN327702:QUN327719 REJ327702:REJ327719 ROF327702:ROF327719 RYB327702:RYB327719 SHX327702:SHX327719 SRT327702:SRT327719 TBP327702:TBP327719 TLL327702:TLL327719 TVH327702:TVH327719 UFD327702:UFD327719 UOZ327702:UOZ327719 UYV327702:UYV327719 VIR327702:VIR327719 VSN327702:VSN327719 WCJ327702:WCJ327719 WMF327702:WMF327719 WWB327702:WWB327719 Y393238:Y393255 JP393238:JP393255 TL393238:TL393255 ADH393238:ADH393255 AND393238:AND393255 AWZ393238:AWZ393255 BGV393238:BGV393255 BQR393238:BQR393255 CAN393238:CAN393255 CKJ393238:CKJ393255 CUF393238:CUF393255 DEB393238:DEB393255 DNX393238:DNX393255 DXT393238:DXT393255 EHP393238:EHP393255 ERL393238:ERL393255 FBH393238:FBH393255 FLD393238:FLD393255 FUZ393238:FUZ393255 GEV393238:GEV393255 GOR393238:GOR393255 GYN393238:GYN393255 HIJ393238:HIJ393255 HSF393238:HSF393255 ICB393238:ICB393255 ILX393238:ILX393255 IVT393238:IVT393255 JFP393238:JFP393255 JPL393238:JPL393255 JZH393238:JZH393255 KJD393238:KJD393255 KSZ393238:KSZ393255 LCV393238:LCV393255 LMR393238:LMR393255 LWN393238:LWN393255 MGJ393238:MGJ393255 MQF393238:MQF393255 NAB393238:NAB393255 NJX393238:NJX393255 NTT393238:NTT393255 ODP393238:ODP393255 ONL393238:ONL393255 OXH393238:OXH393255 PHD393238:PHD393255 PQZ393238:PQZ393255 QAV393238:QAV393255 QKR393238:QKR393255 QUN393238:QUN393255 REJ393238:REJ393255 ROF393238:ROF393255 RYB393238:RYB393255 SHX393238:SHX393255 SRT393238:SRT393255 TBP393238:TBP393255 TLL393238:TLL393255 TVH393238:TVH393255 UFD393238:UFD393255 UOZ393238:UOZ393255 UYV393238:UYV393255 VIR393238:VIR393255 VSN393238:VSN393255 WCJ393238:WCJ393255 WMF393238:WMF393255 WWB393238:WWB393255 Y458774:Y458791 JP458774:JP458791 TL458774:TL458791 ADH458774:ADH458791 AND458774:AND458791 AWZ458774:AWZ458791 BGV458774:BGV458791 BQR458774:BQR458791 CAN458774:CAN458791 CKJ458774:CKJ458791 CUF458774:CUF458791 DEB458774:DEB458791 DNX458774:DNX458791 DXT458774:DXT458791 EHP458774:EHP458791 ERL458774:ERL458791 FBH458774:FBH458791 FLD458774:FLD458791 FUZ458774:FUZ458791 GEV458774:GEV458791 GOR458774:GOR458791 GYN458774:GYN458791 HIJ458774:HIJ458791 HSF458774:HSF458791 ICB458774:ICB458791 ILX458774:ILX458791 IVT458774:IVT458791 JFP458774:JFP458791 JPL458774:JPL458791 JZH458774:JZH458791 KJD458774:KJD458791 KSZ458774:KSZ458791 LCV458774:LCV458791 LMR458774:LMR458791 LWN458774:LWN458791 MGJ458774:MGJ458791 MQF458774:MQF458791 NAB458774:NAB458791 NJX458774:NJX458791 NTT458774:NTT458791 ODP458774:ODP458791 ONL458774:ONL458791 OXH458774:OXH458791 PHD458774:PHD458791 PQZ458774:PQZ458791 QAV458774:QAV458791 QKR458774:QKR458791 QUN458774:QUN458791 REJ458774:REJ458791 ROF458774:ROF458791 RYB458774:RYB458791 SHX458774:SHX458791 SRT458774:SRT458791 TBP458774:TBP458791 TLL458774:TLL458791 TVH458774:TVH458791 UFD458774:UFD458791 UOZ458774:UOZ458791 UYV458774:UYV458791 VIR458774:VIR458791 VSN458774:VSN458791 WCJ458774:WCJ458791 WMF458774:WMF458791 WWB458774:WWB458791 Y524310:Y524327 JP524310:JP524327 TL524310:TL524327 ADH524310:ADH524327 AND524310:AND524327 AWZ524310:AWZ524327 BGV524310:BGV524327 BQR524310:BQR524327 CAN524310:CAN524327 CKJ524310:CKJ524327 CUF524310:CUF524327 DEB524310:DEB524327 DNX524310:DNX524327 DXT524310:DXT524327 EHP524310:EHP524327 ERL524310:ERL524327 FBH524310:FBH524327 FLD524310:FLD524327 FUZ524310:FUZ524327 GEV524310:GEV524327 GOR524310:GOR524327 GYN524310:GYN524327 HIJ524310:HIJ524327 HSF524310:HSF524327 ICB524310:ICB524327 ILX524310:ILX524327 IVT524310:IVT524327 JFP524310:JFP524327 JPL524310:JPL524327 JZH524310:JZH524327 KJD524310:KJD524327 KSZ524310:KSZ524327 LCV524310:LCV524327 LMR524310:LMR524327 LWN524310:LWN524327 MGJ524310:MGJ524327 MQF524310:MQF524327 NAB524310:NAB524327 NJX524310:NJX524327 NTT524310:NTT524327 ODP524310:ODP524327 ONL524310:ONL524327 OXH524310:OXH524327 PHD524310:PHD524327 PQZ524310:PQZ524327 QAV524310:QAV524327 QKR524310:QKR524327 QUN524310:QUN524327 REJ524310:REJ524327 ROF524310:ROF524327 RYB524310:RYB524327 SHX524310:SHX524327 SRT524310:SRT524327 TBP524310:TBP524327 TLL524310:TLL524327 TVH524310:TVH524327 UFD524310:UFD524327 UOZ524310:UOZ524327 UYV524310:UYV524327 VIR524310:VIR524327 VSN524310:VSN524327 WCJ524310:WCJ524327 WMF524310:WMF524327 WWB524310:WWB524327 Y589846:Y589863 JP589846:JP589863 TL589846:TL589863 ADH589846:ADH589863 AND589846:AND589863 AWZ589846:AWZ589863 BGV589846:BGV589863 BQR589846:BQR589863 CAN589846:CAN589863 CKJ589846:CKJ589863 CUF589846:CUF589863 DEB589846:DEB589863 DNX589846:DNX589863 DXT589846:DXT589863 EHP589846:EHP589863 ERL589846:ERL589863 FBH589846:FBH589863 FLD589846:FLD589863 FUZ589846:FUZ589863 GEV589846:GEV589863 GOR589846:GOR589863 GYN589846:GYN589863 HIJ589846:HIJ589863 HSF589846:HSF589863 ICB589846:ICB589863 ILX589846:ILX589863 IVT589846:IVT589863 JFP589846:JFP589863 JPL589846:JPL589863 JZH589846:JZH589863 KJD589846:KJD589863 KSZ589846:KSZ589863 LCV589846:LCV589863 LMR589846:LMR589863 LWN589846:LWN589863 MGJ589846:MGJ589863 MQF589846:MQF589863 NAB589846:NAB589863 NJX589846:NJX589863 NTT589846:NTT589863 ODP589846:ODP589863 ONL589846:ONL589863 OXH589846:OXH589863 PHD589846:PHD589863 PQZ589846:PQZ589863 QAV589846:QAV589863 QKR589846:QKR589863 QUN589846:QUN589863 REJ589846:REJ589863 ROF589846:ROF589863 RYB589846:RYB589863 SHX589846:SHX589863 SRT589846:SRT589863 TBP589846:TBP589863 TLL589846:TLL589863 TVH589846:TVH589863 UFD589846:UFD589863 UOZ589846:UOZ589863 UYV589846:UYV589863 VIR589846:VIR589863 VSN589846:VSN589863 WCJ589846:WCJ589863 WMF589846:WMF589863 WWB589846:WWB589863 Y655382:Y655399 JP655382:JP655399 TL655382:TL655399 ADH655382:ADH655399 AND655382:AND655399 AWZ655382:AWZ655399 BGV655382:BGV655399 BQR655382:BQR655399 CAN655382:CAN655399 CKJ655382:CKJ655399 CUF655382:CUF655399 DEB655382:DEB655399 DNX655382:DNX655399 DXT655382:DXT655399 EHP655382:EHP655399 ERL655382:ERL655399 FBH655382:FBH655399 FLD655382:FLD655399 FUZ655382:FUZ655399 GEV655382:GEV655399 GOR655382:GOR655399 GYN655382:GYN655399 HIJ655382:HIJ655399 HSF655382:HSF655399 ICB655382:ICB655399 ILX655382:ILX655399 IVT655382:IVT655399 JFP655382:JFP655399 JPL655382:JPL655399 JZH655382:JZH655399 KJD655382:KJD655399 KSZ655382:KSZ655399 LCV655382:LCV655399 LMR655382:LMR655399 LWN655382:LWN655399 MGJ655382:MGJ655399 MQF655382:MQF655399 NAB655382:NAB655399 NJX655382:NJX655399 NTT655382:NTT655399 ODP655382:ODP655399 ONL655382:ONL655399 OXH655382:OXH655399 PHD655382:PHD655399 PQZ655382:PQZ655399 QAV655382:QAV655399 QKR655382:QKR655399 QUN655382:QUN655399 REJ655382:REJ655399 ROF655382:ROF655399 RYB655382:RYB655399 SHX655382:SHX655399 SRT655382:SRT655399 TBP655382:TBP655399 TLL655382:TLL655399 TVH655382:TVH655399 UFD655382:UFD655399 UOZ655382:UOZ655399 UYV655382:UYV655399 VIR655382:VIR655399 VSN655382:VSN655399 WCJ655382:WCJ655399 WMF655382:WMF655399 WWB655382:WWB655399 Y720918:Y720935 JP720918:JP720935 TL720918:TL720935 ADH720918:ADH720935 AND720918:AND720935 AWZ720918:AWZ720935 BGV720918:BGV720935 BQR720918:BQR720935 CAN720918:CAN720935 CKJ720918:CKJ720935 CUF720918:CUF720935 DEB720918:DEB720935 DNX720918:DNX720935 DXT720918:DXT720935 EHP720918:EHP720935 ERL720918:ERL720935 FBH720918:FBH720935 FLD720918:FLD720935 FUZ720918:FUZ720935 GEV720918:GEV720935 GOR720918:GOR720935 GYN720918:GYN720935 HIJ720918:HIJ720935 HSF720918:HSF720935 ICB720918:ICB720935 ILX720918:ILX720935 IVT720918:IVT720935 JFP720918:JFP720935 JPL720918:JPL720935 JZH720918:JZH720935 KJD720918:KJD720935 KSZ720918:KSZ720935 LCV720918:LCV720935 LMR720918:LMR720935 LWN720918:LWN720935 MGJ720918:MGJ720935 MQF720918:MQF720935 NAB720918:NAB720935 NJX720918:NJX720935 NTT720918:NTT720935 ODP720918:ODP720935 ONL720918:ONL720935 OXH720918:OXH720935 PHD720918:PHD720935 PQZ720918:PQZ720935 QAV720918:QAV720935 QKR720918:QKR720935 QUN720918:QUN720935 REJ720918:REJ720935 ROF720918:ROF720935 RYB720918:RYB720935 SHX720918:SHX720935 SRT720918:SRT720935 TBP720918:TBP720935 TLL720918:TLL720935 TVH720918:TVH720935 UFD720918:UFD720935 UOZ720918:UOZ720935 UYV720918:UYV720935 VIR720918:VIR720935 VSN720918:VSN720935 WCJ720918:WCJ720935 WMF720918:WMF720935 WWB720918:WWB720935 Y786454:Y786471 JP786454:JP786471 TL786454:TL786471 ADH786454:ADH786471 AND786454:AND786471 AWZ786454:AWZ786471 BGV786454:BGV786471 BQR786454:BQR786471 CAN786454:CAN786471 CKJ786454:CKJ786471 CUF786454:CUF786471 DEB786454:DEB786471 DNX786454:DNX786471 DXT786454:DXT786471 EHP786454:EHP786471 ERL786454:ERL786471 FBH786454:FBH786471 FLD786454:FLD786471 FUZ786454:FUZ786471 GEV786454:GEV786471 GOR786454:GOR786471 GYN786454:GYN786471 HIJ786454:HIJ786471 HSF786454:HSF786471 ICB786454:ICB786471 ILX786454:ILX786471 IVT786454:IVT786471 JFP786454:JFP786471 JPL786454:JPL786471 JZH786454:JZH786471 KJD786454:KJD786471 KSZ786454:KSZ786471 LCV786454:LCV786471 LMR786454:LMR786471 LWN786454:LWN786471 MGJ786454:MGJ786471 MQF786454:MQF786471 NAB786454:NAB786471 NJX786454:NJX786471 NTT786454:NTT786471 ODP786454:ODP786471 ONL786454:ONL786471 OXH786454:OXH786471 PHD786454:PHD786471 PQZ786454:PQZ786471 QAV786454:QAV786471 QKR786454:QKR786471 QUN786454:QUN786471 REJ786454:REJ786471 ROF786454:ROF786471 RYB786454:RYB786471 SHX786454:SHX786471 SRT786454:SRT786471 TBP786454:TBP786471 TLL786454:TLL786471 TVH786454:TVH786471 UFD786454:UFD786471 UOZ786454:UOZ786471 UYV786454:UYV786471 VIR786454:VIR786471 VSN786454:VSN786471 WCJ786454:WCJ786471 WMF786454:WMF786471 WWB786454:WWB786471 Y851990:Y852007 JP851990:JP852007 TL851990:TL852007 ADH851990:ADH852007 AND851990:AND852007 AWZ851990:AWZ852007 BGV851990:BGV852007 BQR851990:BQR852007 CAN851990:CAN852007 CKJ851990:CKJ852007 CUF851990:CUF852007 DEB851990:DEB852007 DNX851990:DNX852007 DXT851990:DXT852007 EHP851990:EHP852007 ERL851990:ERL852007 FBH851990:FBH852007 FLD851990:FLD852007 FUZ851990:FUZ852007 GEV851990:GEV852007 GOR851990:GOR852007 GYN851990:GYN852007 HIJ851990:HIJ852007 HSF851990:HSF852007 ICB851990:ICB852007 ILX851990:ILX852007 IVT851990:IVT852007 JFP851990:JFP852007 JPL851990:JPL852007 JZH851990:JZH852007 KJD851990:KJD852007 KSZ851990:KSZ852007 LCV851990:LCV852007 LMR851990:LMR852007 LWN851990:LWN852007 MGJ851990:MGJ852007 MQF851990:MQF852007 NAB851990:NAB852007 NJX851990:NJX852007 NTT851990:NTT852007 ODP851990:ODP852007 ONL851990:ONL852007 OXH851990:OXH852007 PHD851990:PHD852007 PQZ851990:PQZ852007 QAV851990:QAV852007 QKR851990:QKR852007 QUN851990:QUN852007 REJ851990:REJ852007 ROF851990:ROF852007 RYB851990:RYB852007 SHX851990:SHX852007 SRT851990:SRT852007 TBP851990:TBP852007 TLL851990:TLL852007 TVH851990:TVH852007 UFD851990:UFD852007 UOZ851990:UOZ852007 UYV851990:UYV852007 VIR851990:VIR852007 VSN851990:VSN852007 WCJ851990:WCJ852007 WMF851990:WMF852007 WWB851990:WWB852007 Y917526:Y917543 JP917526:JP917543 TL917526:TL917543 ADH917526:ADH917543 AND917526:AND917543 AWZ917526:AWZ917543 BGV917526:BGV917543 BQR917526:BQR917543 CAN917526:CAN917543 CKJ917526:CKJ917543 CUF917526:CUF917543 DEB917526:DEB917543 DNX917526:DNX917543 DXT917526:DXT917543 EHP917526:EHP917543 ERL917526:ERL917543 FBH917526:FBH917543 FLD917526:FLD917543 FUZ917526:FUZ917543 GEV917526:GEV917543 GOR917526:GOR917543 GYN917526:GYN917543 HIJ917526:HIJ917543 HSF917526:HSF917543 ICB917526:ICB917543 ILX917526:ILX917543 IVT917526:IVT917543 JFP917526:JFP917543 JPL917526:JPL917543 JZH917526:JZH917543 KJD917526:KJD917543 KSZ917526:KSZ917543 LCV917526:LCV917543 LMR917526:LMR917543 LWN917526:LWN917543 MGJ917526:MGJ917543 MQF917526:MQF917543 NAB917526:NAB917543 NJX917526:NJX917543 NTT917526:NTT917543 ODP917526:ODP917543 ONL917526:ONL917543 OXH917526:OXH917543 PHD917526:PHD917543 PQZ917526:PQZ917543 QAV917526:QAV917543 QKR917526:QKR917543 QUN917526:QUN917543 REJ917526:REJ917543 ROF917526:ROF917543 RYB917526:RYB917543 SHX917526:SHX917543 SRT917526:SRT917543 TBP917526:TBP917543 TLL917526:TLL917543 TVH917526:TVH917543 UFD917526:UFD917543 UOZ917526:UOZ917543 UYV917526:UYV917543 VIR917526:VIR917543 VSN917526:VSN917543 WCJ917526:WCJ917543 WMF917526:WMF917543 WWB917526:WWB917543 Y983062:Y983079 JP983062:JP983079 TL983062:TL983079 ADH983062:ADH983079 AND983062:AND983079 AWZ983062:AWZ983079 BGV983062:BGV983079 BQR983062:BQR983079 CAN983062:CAN983079 CKJ983062:CKJ983079 CUF983062:CUF983079 DEB983062:DEB983079 DNX983062:DNX983079 DXT983062:DXT983079 EHP983062:EHP983079 ERL983062:ERL983079 FBH983062:FBH983079 FLD983062:FLD983079 FUZ983062:FUZ983079 GEV983062:GEV983079 GOR983062:GOR983079 GYN983062:GYN983079 HIJ983062:HIJ983079 HSF983062:HSF983079 ICB983062:ICB983079 ILX983062:ILX983079 IVT983062:IVT983079 JFP983062:JFP983079 JPL983062:JPL983079 JZH983062:JZH983079 KJD983062:KJD983079 KSZ983062:KSZ983079 LCV983062:LCV983079 LMR983062:LMR983079 LWN983062:LWN983079 MGJ983062:MGJ983079 MQF983062:MQF983079 NAB983062:NAB983079 NJX983062:NJX983079 NTT983062:NTT983079 ODP983062:ODP983079 ONL983062:ONL983079 OXH983062:OXH983079 PHD983062:PHD983079 PQZ983062:PQZ983079 QAV983062:QAV983079 QKR983062:QKR983079 QUN983062:QUN983079 REJ983062:REJ983079 ROF983062:ROF983079 RYB983062:RYB983079 SHX983062:SHX983079 SRT983062:SRT983079 TBP983062:TBP983079 TLL983062:TLL983079 TVH983062:TVH983079 UFD983062:UFD983079 UOZ983062:UOZ983079 UYV983062:UYV983079 VIR983062:VIR983079 VSN983062:VSN983079 WCJ983062:WCJ983079 WMF983062:WMF983079 WWB983062:WWB983079 Z65559:Z65574 JQ65559:JQ65574 TM65559:TM65574 ADI65559:ADI65574 ANE65559:ANE65574 AXA65559:AXA65574 BGW65559:BGW65574 BQS65559:BQS65574 CAO65559:CAO65574 CKK65559:CKK65574 CUG65559:CUG65574 DEC65559:DEC65574 DNY65559:DNY65574 DXU65559:DXU65574 EHQ65559:EHQ65574 ERM65559:ERM65574 FBI65559:FBI65574 FLE65559:FLE65574 FVA65559:FVA65574 GEW65559:GEW65574 GOS65559:GOS65574 GYO65559:GYO65574 HIK65559:HIK65574 HSG65559:HSG65574 ICC65559:ICC65574 ILY65559:ILY65574 IVU65559:IVU65574 JFQ65559:JFQ65574 JPM65559:JPM65574 JZI65559:JZI65574 KJE65559:KJE65574 KTA65559:KTA65574 LCW65559:LCW65574 LMS65559:LMS65574 LWO65559:LWO65574 MGK65559:MGK65574 MQG65559:MQG65574 NAC65559:NAC65574 NJY65559:NJY65574 NTU65559:NTU65574 ODQ65559:ODQ65574 ONM65559:ONM65574 OXI65559:OXI65574 PHE65559:PHE65574 PRA65559:PRA65574 QAW65559:QAW65574 QKS65559:QKS65574 QUO65559:QUO65574 REK65559:REK65574 ROG65559:ROG65574 RYC65559:RYC65574 SHY65559:SHY65574 SRU65559:SRU65574 TBQ65559:TBQ65574 TLM65559:TLM65574 TVI65559:TVI65574 UFE65559:UFE65574 UPA65559:UPA65574 UYW65559:UYW65574 VIS65559:VIS65574 VSO65559:VSO65574 WCK65559:WCK65574 WMG65559:WMG65574 WWC65559:WWC65574 Z131095:Z131110 JQ131095:JQ131110 TM131095:TM131110 ADI131095:ADI131110 ANE131095:ANE131110 AXA131095:AXA131110 BGW131095:BGW131110 BQS131095:BQS131110 CAO131095:CAO131110 CKK131095:CKK131110 CUG131095:CUG131110 DEC131095:DEC131110 DNY131095:DNY131110 DXU131095:DXU131110 EHQ131095:EHQ131110 ERM131095:ERM131110 FBI131095:FBI131110 FLE131095:FLE131110 FVA131095:FVA131110 GEW131095:GEW131110 GOS131095:GOS131110 GYO131095:GYO131110 HIK131095:HIK131110 HSG131095:HSG131110 ICC131095:ICC131110 ILY131095:ILY131110 IVU131095:IVU131110 JFQ131095:JFQ131110 JPM131095:JPM131110 JZI131095:JZI131110 KJE131095:KJE131110 KTA131095:KTA131110 LCW131095:LCW131110 LMS131095:LMS131110 LWO131095:LWO131110 MGK131095:MGK131110 MQG131095:MQG131110 NAC131095:NAC131110 NJY131095:NJY131110 NTU131095:NTU131110 ODQ131095:ODQ131110 ONM131095:ONM131110 OXI131095:OXI131110 PHE131095:PHE131110 PRA131095:PRA131110 QAW131095:QAW131110 QKS131095:QKS131110 QUO131095:QUO131110 REK131095:REK131110 ROG131095:ROG131110 RYC131095:RYC131110 SHY131095:SHY131110 SRU131095:SRU131110 TBQ131095:TBQ131110 TLM131095:TLM131110 TVI131095:TVI131110 UFE131095:UFE131110 UPA131095:UPA131110 UYW131095:UYW131110 VIS131095:VIS131110 VSO131095:VSO131110 WCK131095:WCK131110 WMG131095:WMG131110 WWC131095:WWC131110 Z196631:Z196646 JQ196631:JQ196646 TM196631:TM196646 ADI196631:ADI196646 ANE196631:ANE196646 AXA196631:AXA196646 BGW196631:BGW196646 BQS196631:BQS196646 CAO196631:CAO196646 CKK196631:CKK196646 CUG196631:CUG196646 DEC196631:DEC196646 DNY196631:DNY196646 DXU196631:DXU196646 EHQ196631:EHQ196646 ERM196631:ERM196646 FBI196631:FBI196646 FLE196631:FLE196646 FVA196631:FVA196646 GEW196631:GEW196646 GOS196631:GOS196646 GYO196631:GYO196646 HIK196631:HIK196646 HSG196631:HSG196646 ICC196631:ICC196646 ILY196631:ILY196646 IVU196631:IVU196646 JFQ196631:JFQ196646 JPM196631:JPM196646 JZI196631:JZI196646 KJE196631:KJE196646 KTA196631:KTA196646 LCW196631:LCW196646 LMS196631:LMS196646 LWO196631:LWO196646 MGK196631:MGK196646 MQG196631:MQG196646 NAC196631:NAC196646 NJY196631:NJY196646 NTU196631:NTU196646 ODQ196631:ODQ196646 ONM196631:ONM196646 OXI196631:OXI196646 PHE196631:PHE196646 PRA196631:PRA196646 QAW196631:QAW196646 QKS196631:QKS196646 QUO196631:QUO196646 REK196631:REK196646 ROG196631:ROG196646 RYC196631:RYC196646 SHY196631:SHY196646 SRU196631:SRU196646 TBQ196631:TBQ196646 TLM196631:TLM196646 TVI196631:TVI196646 UFE196631:UFE196646 UPA196631:UPA196646 UYW196631:UYW196646 VIS196631:VIS196646 VSO196631:VSO196646 WCK196631:WCK196646 WMG196631:WMG196646 WWC196631:WWC196646 Z262167:Z262182 JQ262167:JQ262182 TM262167:TM262182 ADI262167:ADI262182 ANE262167:ANE262182 AXA262167:AXA262182 BGW262167:BGW262182 BQS262167:BQS262182 CAO262167:CAO262182 CKK262167:CKK262182 CUG262167:CUG262182 DEC262167:DEC262182 DNY262167:DNY262182 DXU262167:DXU262182 EHQ262167:EHQ262182 ERM262167:ERM262182 FBI262167:FBI262182 FLE262167:FLE262182 FVA262167:FVA262182 GEW262167:GEW262182 GOS262167:GOS262182 GYO262167:GYO262182 HIK262167:HIK262182 HSG262167:HSG262182 ICC262167:ICC262182 ILY262167:ILY262182 IVU262167:IVU262182 JFQ262167:JFQ262182 JPM262167:JPM262182 JZI262167:JZI262182 KJE262167:KJE262182 KTA262167:KTA262182 LCW262167:LCW262182 LMS262167:LMS262182 LWO262167:LWO262182 MGK262167:MGK262182 MQG262167:MQG262182 NAC262167:NAC262182 NJY262167:NJY262182 NTU262167:NTU262182 ODQ262167:ODQ262182 ONM262167:ONM262182 OXI262167:OXI262182 PHE262167:PHE262182 PRA262167:PRA262182 QAW262167:QAW262182 QKS262167:QKS262182 QUO262167:QUO262182 REK262167:REK262182 ROG262167:ROG262182 RYC262167:RYC262182 SHY262167:SHY262182 SRU262167:SRU262182 TBQ262167:TBQ262182 TLM262167:TLM262182 TVI262167:TVI262182 UFE262167:UFE262182 UPA262167:UPA262182 UYW262167:UYW262182 VIS262167:VIS262182 VSO262167:VSO262182 WCK262167:WCK262182 WMG262167:WMG262182 WWC262167:WWC262182 Z327703:Z327718 JQ327703:JQ327718 TM327703:TM327718 ADI327703:ADI327718 ANE327703:ANE327718 AXA327703:AXA327718 BGW327703:BGW327718 BQS327703:BQS327718 CAO327703:CAO327718 CKK327703:CKK327718 CUG327703:CUG327718 DEC327703:DEC327718 DNY327703:DNY327718 DXU327703:DXU327718 EHQ327703:EHQ327718 ERM327703:ERM327718 FBI327703:FBI327718 FLE327703:FLE327718 FVA327703:FVA327718 GEW327703:GEW327718 GOS327703:GOS327718 GYO327703:GYO327718 HIK327703:HIK327718 HSG327703:HSG327718 ICC327703:ICC327718 ILY327703:ILY327718 IVU327703:IVU327718 JFQ327703:JFQ327718 JPM327703:JPM327718 JZI327703:JZI327718 KJE327703:KJE327718 KTA327703:KTA327718 LCW327703:LCW327718 LMS327703:LMS327718 LWO327703:LWO327718 MGK327703:MGK327718 MQG327703:MQG327718 NAC327703:NAC327718 NJY327703:NJY327718 NTU327703:NTU327718 ODQ327703:ODQ327718 ONM327703:ONM327718 OXI327703:OXI327718 PHE327703:PHE327718 PRA327703:PRA327718 QAW327703:QAW327718 QKS327703:QKS327718 QUO327703:QUO327718 REK327703:REK327718 ROG327703:ROG327718 RYC327703:RYC327718 SHY327703:SHY327718 SRU327703:SRU327718 TBQ327703:TBQ327718 TLM327703:TLM327718 TVI327703:TVI327718 UFE327703:UFE327718 UPA327703:UPA327718 UYW327703:UYW327718 VIS327703:VIS327718 VSO327703:VSO327718 WCK327703:WCK327718 WMG327703:WMG327718 WWC327703:WWC327718 Z393239:Z393254 JQ393239:JQ393254 TM393239:TM393254 ADI393239:ADI393254 ANE393239:ANE393254 AXA393239:AXA393254 BGW393239:BGW393254 BQS393239:BQS393254 CAO393239:CAO393254 CKK393239:CKK393254 CUG393239:CUG393254 DEC393239:DEC393254 DNY393239:DNY393254 DXU393239:DXU393254 EHQ393239:EHQ393254 ERM393239:ERM393254 FBI393239:FBI393254 FLE393239:FLE393254 FVA393239:FVA393254 GEW393239:GEW393254 GOS393239:GOS393254 GYO393239:GYO393254 HIK393239:HIK393254 HSG393239:HSG393254 ICC393239:ICC393254 ILY393239:ILY393254 IVU393239:IVU393254 JFQ393239:JFQ393254 JPM393239:JPM393254 JZI393239:JZI393254 KJE393239:KJE393254 KTA393239:KTA393254 LCW393239:LCW393254 LMS393239:LMS393254 LWO393239:LWO393254 MGK393239:MGK393254 MQG393239:MQG393254 NAC393239:NAC393254 NJY393239:NJY393254 NTU393239:NTU393254 ODQ393239:ODQ393254 ONM393239:ONM393254 OXI393239:OXI393254 PHE393239:PHE393254 PRA393239:PRA393254 QAW393239:QAW393254 QKS393239:QKS393254 QUO393239:QUO393254 REK393239:REK393254 ROG393239:ROG393254 RYC393239:RYC393254 SHY393239:SHY393254 SRU393239:SRU393254 TBQ393239:TBQ393254 TLM393239:TLM393254 TVI393239:TVI393254 UFE393239:UFE393254 UPA393239:UPA393254 UYW393239:UYW393254 VIS393239:VIS393254 VSO393239:VSO393254 WCK393239:WCK393254 WMG393239:WMG393254 WWC393239:WWC393254 Z458775:Z458790 JQ458775:JQ458790 TM458775:TM458790 ADI458775:ADI458790 ANE458775:ANE458790 AXA458775:AXA458790 BGW458775:BGW458790 BQS458775:BQS458790 CAO458775:CAO458790 CKK458775:CKK458790 CUG458775:CUG458790 DEC458775:DEC458790 DNY458775:DNY458790 DXU458775:DXU458790 EHQ458775:EHQ458790 ERM458775:ERM458790 FBI458775:FBI458790 FLE458775:FLE458790 FVA458775:FVA458790 GEW458775:GEW458790 GOS458775:GOS458790 GYO458775:GYO458790 HIK458775:HIK458790 HSG458775:HSG458790 ICC458775:ICC458790 ILY458775:ILY458790 IVU458775:IVU458790 JFQ458775:JFQ458790 JPM458775:JPM458790 JZI458775:JZI458790 KJE458775:KJE458790 KTA458775:KTA458790 LCW458775:LCW458790 LMS458775:LMS458790 LWO458775:LWO458790 MGK458775:MGK458790 MQG458775:MQG458790 NAC458775:NAC458790 NJY458775:NJY458790 NTU458775:NTU458790 ODQ458775:ODQ458790 ONM458775:ONM458790 OXI458775:OXI458790 PHE458775:PHE458790 PRA458775:PRA458790 QAW458775:QAW458790 QKS458775:QKS458790 QUO458775:QUO458790 REK458775:REK458790 ROG458775:ROG458790 RYC458775:RYC458790 SHY458775:SHY458790 SRU458775:SRU458790 TBQ458775:TBQ458790 TLM458775:TLM458790 TVI458775:TVI458790 UFE458775:UFE458790 UPA458775:UPA458790 UYW458775:UYW458790 VIS458775:VIS458790 VSO458775:VSO458790 WCK458775:WCK458790 WMG458775:WMG458790 WWC458775:WWC458790 Z524311:Z524326 JQ524311:JQ524326 TM524311:TM524326 ADI524311:ADI524326 ANE524311:ANE524326 AXA524311:AXA524326 BGW524311:BGW524326 BQS524311:BQS524326 CAO524311:CAO524326 CKK524311:CKK524326 CUG524311:CUG524326 DEC524311:DEC524326 DNY524311:DNY524326 DXU524311:DXU524326 EHQ524311:EHQ524326 ERM524311:ERM524326 FBI524311:FBI524326 FLE524311:FLE524326 FVA524311:FVA524326 GEW524311:GEW524326 GOS524311:GOS524326 GYO524311:GYO524326 HIK524311:HIK524326 HSG524311:HSG524326 ICC524311:ICC524326 ILY524311:ILY524326 IVU524311:IVU524326 JFQ524311:JFQ524326 JPM524311:JPM524326 JZI524311:JZI524326 KJE524311:KJE524326 KTA524311:KTA524326 LCW524311:LCW524326 LMS524311:LMS524326 LWO524311:LWO524326 MGK524311:MGK524326 MQG524311:MQG524326 NAC524311:NAC524326 NJY524311:NJY524326 NTU524311:NTU524326 ODQ524311:ODQ524326 ONM524311:ONM524326 OXI524311:OXI524326 PHE524311:PHE524326 PRA524311:PRA524326 QAW524311:QAW524326 QKS524311:QKS524326 QUO524311:QUO524326 REK524311:REK524326 ROG524311:ROG524326 RYC524311:RYC524326 SHY524311:SHY524326 SRU524311:SRU524326 TBQ524311:TBQ524326 TLM524311:TLM524326 TVI524311:TVI524326 UFE524311:UFE524326 UPA524311:UPA524326 UYW524311:UYW524326 VIS524311:VIS524326 VSO524311:VSO524326 WCK524311:WCK524326 WMG524311:WMG524326 WWC524311:WWC524326 Z589847:Z589862 JQ589847:JQ589862 TM589847:TM589862 ADI589847:ADI589862 ANE589847:ANE589862 AXA589847:AXA589862 BGW589847:BGW589862 BQS589847:BQS589862 CAO589847:CAO589862 CKK589847:CKK589862 CUG589847:CUG589862 DEC589847:DEC589862 DNY589847:DNY589862 DXU589847:DXU589862 EHQ589847:EHQ589862 ERM589847:ERM589862 FBI589847:FBI589862 FLE589847:FLE589862 FVA589847:FVA589862 GEW589847:GEW589862 GOS589847:GOS589862 GYO589847:GYO589862 HIK589847:HIK589862 HSG589847:HSG589862 ICC589847:ICC589862 ILY589847:ILY589862 IVU589847:IVU589862 JFQ589847:JFQ589862 JPM589847:JPM589862 JZI589847:JZI589862 KJE589847:KJE589862 KTA589847:KTA589862 LCW589847:LCW589862 LMS589847:LMS589862 LWO589847:LWO589862 MGK589847:MGK589862 MQG589847:MQG589862 NAC589847:NAC589862 NJY589847:NJY589862 NTU589847:NTU589862 ODQ589847:ODQ589862 ONM589847:ONM589862 OXI589847:OXI589862 PHE589847:PHE589862 PRA589847:PRA589862 QAW589847:QAW589862 QKS589847:QKS589862 QUO589847:QUO589862 REK589847:REK589862 ROG589847:ROG589862 RYC589847:RYC589862 SHY589847:SHY589862 SRU589847:SRU589862 TBQ589847:TBQ589862 TLM589847:TLM589862 TVI589847:TVI589862 UFE589847:UFE589862 UPA589847:UPA589862 UYW589847:UYW589862 VIS589847:VIS589862 VSO589847:VSO589862 WCK589847:WCK589862 WMG589847:WMG589862 WWC589847:WWC589862 Z655383:Z655398 JQ655383:JQ655398 TM655383:TM655398 ADI655383:ADI655398 ANE655383:ANE655398 AXA655383:AXA655398 BGW655383:BGW655398 BQS655383:BQS655398 CAO655383:CAO655398 CKK655383:CKK655398 CUG655383:CUG655398 DEC655383:DEC655398 DNY655383:DNY655398 DXU655383:DXU655398 EHQ655383:EHQ655398 ERM655383:ERM655398 FBI655383:FBI655398 FLE655383:FLE655398 FVA655383:FVA655398 GEW655383:GEW655398 GOS655383:GOS655398 GYO655383:GYO655398 HIK655383:HIK655398 HSG655383:HSG655398 ICC655383:ICC655398 ILY655383:ILY655398 IVU655383:IVU655398 JFQ655383:JFQ655398 JPM655383:JPM655398 JZI655383:JZI655398 KJE655383:KJE655398 KTA655383:KTA655398 LCW655383:LCW655398 LMS655383:LMS655398 LWO655383:LWO655398 MGK655383:MGK655398 MQG655383:MQG655398 NAC655383:NAC655398 NJY655383:NJY655398 NTU655383:NTU655398 ODQ655383:ODQ655398 ONM655383:ONM655398 OXI655383:OXI655398 PHE655383:PHE655398 PRA655383:PRA655398 QAW655383:QAW655398 QKS655383:QKS655398 QUO655383:QUO655398 REK655383:REK655398 ROG655383:ROG655398 RYC655383:RYC655398 SHY655383:SHY655398 SRU655383:SRU655398 TBQ655383:TBQ655398 TLM655383:TLM655398 TVI655383:TVI655398 UFE655383:UFE655398 UPA655383:UPA655398 UYW655383:UYW655398 VIS655383:VIS655398 VSO655383:VSO655398 WCK655383:WCK655398 WMG655383:WMG655398 WWC655383:WWC655398 Z720919:Z720934 JQ720919:JQ720934 TM720919:TM720934 ADI720919:ADI720934 ANE720919:ANE720934 AXA720919:AXA720934 BGW720919:BGW720934 BQS720919:BQS720934 CAO720919:CAO720934 CKK720919:CKK720934 CUG720919:CUG720934 DEC720919:DEC720934 DNY720919:DNY720934 DXU720919:DXU720934 EHQ720919:EHQ720934 ERM720919:ERM720934 FBI720919:FBI720934 FLE720919:FLE720934 FVA720919:FVA720934 GEW720919:GEW720934 GOS720919:GOS720934 GYO720919:GYO720934 HIK720919:HIK720934 HSG720919:HSG720934 ICC720919:ICC720934 ILY720919:ILY720934 IVU720919:IVU720934 JFQ720919:JFQ720934 JPM720919:JPM720934 JZI720919:JZI720934 KJE720919:KJE720934 KTA720919:KTA720934 LCW720919:LCW720934 LMS720919:LMS720934 LWO720919:LWO720934 MGK720919:MGK720934 MQG720919:MQG720934 NAC720919:NAC720934 NJY720919:NJY720934 NTU720919:NTU720934 ODQ720919:ODQ720934 ONM720919:ONM720934 OXI720919:OXI720934 PHE720919:PHE720934 PRA720919:PRA720934 QAW720919:QAW720934 QKS720919:QKS720934 QUO720919:QUO720934 REK720919:REK720934 ROG720919:ROG720934 RYC720919:RYC720934 SHY720919:SHY720934 SRU720919:SRU720934 TBQ720919:TBQ720934 TLM720919:TLM720934 TVI720919:TVI720934 UFE720919:UFE720934 UPA720919:UPA720934 UYW720919:UYW720934 VIS720919:VIS720934 VSO720919:VSO720934 WCK720919:WCK720934 WMG720919:WMG720934 WWC720919:WWC720934 Z786455:Z786470 JQ786455:JQ786470 TM786455:TM786470 ADI786455:ADI786470 ANE786455:ANE786470 AXA786455:AXA786470 BGW786455:BGW786470 BQS786455:BQS786470 CAO786455:CAO786470 CKK786455:CKK786470 CUG786455:CUG786470 DEC786455:DEC786470 DNY786455:DNY786470 DXU786455:DXU786470 EHQ786455:EHQ786470 ERM786455:ERM786470 FBI786455:FBI786470 FLE786455:FLE786470 FVA786455:FVA786470 GEW786455:GEW786470 GOS786455:GOS786470 GYO786455:GYO786470 HIK786455:HIK786470 HSG786455:HSG786470 ICC786455:ICC786470 ILY786455:ILY786470 IVU786455:IVU786470 JFQ786455:JFQ786470 JPM786455:JPM786470 JZI786455:JZI786470 KJE786455:KJE786470 KTA786455:KTA786470 LCW786455:LCW786470 LMS786455:LMS786470 LWO786455:LWO786470 MGK786455:MGK786470 MQG786455:MQG786470 NAC786455:NAC786470 NJY786455:NJY786470 NTU786455:NTU786470 ODQ786455:ODQ786470 ONM786455:ONM786470 OXI786455:OXI786470 PHE786455:PHE786470 PRA786455:PRA786470 QAW786455:QAW786470 QKS786455:QKS786470 QUO786455:QUO786470 REK786455:REK786470 ROG786455:ROG786470 RYC786455:RYC786470 SHY786455:SHY786470 SRU786455:SRU786470 TBQ786455:TBQ786470 TLM786455:TLM786470 TVI786455:TVI786470 UFE786455:UFE786470 UPA786455:UPA786470 UYW786455:UYW786470 VIS786455:VIS786470 VSO786455:VSO786470 WCK786455:WCK786470 WMG786455:WMG786470 WWC786455:WWC786470 Z851991:Z852006 JQ851991:JQ852006 TM851991:TM852006 ADI851991:ADI852006 ANE851991:ANE852006 AXA851991:AXA852006 BGW851991:BGW852006 BQS851991:BQS852006 CAO851991:CAO852006 CKK851991:CKK852006 CUG851991:CUG852006 DEC851991:DEC852006 DNY851991:DNY852006 DXU851991:DXU852006 EHQ851991:EHQ852006 ERM851991:ERM852006 FBI851991:FBI852006 FLE851991:FLE852006 FVA851991:FVA852006 GEW851991:GEW852006 GOS851991:GOS852006 GYO851991:GYO852006 HIK851991:HIK852006 HSG851991:HSG852006 ICC851991:ICC852006 ILY851991:ILY852006 IVU851991:IVU852006 JFQ851991:JFQ852006 JPM851991:JPM852006 JZI851991:JZI852006 KJE851991:KJE852006 KTA851991:KTA852006 LCW851991:LCW852006 LMS851991:LMS852006 LWO851991:LWO852006 MGK851991:MGK852006 MQG851991:MQG852006 NAC851991:NAC852006 NJY851991:NJY852006 NTU851991:NTU852006 ODQ851991:ODQ852006 ONM851991:ONM852006 OXI851991:OXI852006 PHE851991:PHE852006 PRA851991:PRA852006 QAW851991:QAW852006 QKS851991:QKS852006 QUO851991:QUO852006 REK851991:REK852006 ROG851991:ROG852006 RYC851991:RYC852006 SHY851991:SHY852006 SRU851991:SRU852006 TBQ851991:TBQ852006 TLM851991:TLM852006 TVI851991:TVI852006 UFE851991:UFE852006 UPA851991:UPA852006 UYW851991:UYW852006 VIS851991:VIS852006 VSO851991:VSO852006 WCK851991:WCK852006 WMG851991:WMG852006 WWC851991:WWC852006 Z917527:Z917542 JQ917527:JQ917542 TM917527:TM917542 ADI917527:ADI917542 ANE917527:ANE917542 AXA917527:AXA917542 BGW917527:BGW917542 BQS917527:BQS917542 CAO917527:CAO917542 CKK917527:CKK917542 CUG917527:CUG917542 DEC917527:DEC917542 DNY917527:DNY917542 DXU917527:DXU917542 EHQ917527:EHQ917542 ERM917527:ERM917542 FBI917527:FBI917542 FLE917527:FLE917542 FVA917527:FVA917542 GEW917527:GEW917542 GOS917527:GOS917542 GYO917527:GYO917542 HIK917527:HIK917542 HSG917527:HSG917542 ICC917527:ICC917542 ILY917527:ILY917542 IVU917527:IVU917542 JFQ917527:JFQ917542 JPM917527:JPM917542 JZI917527:JZI917542 KJE917527:KJE917542 KTA917527:KTA917542 LCW917527:LCW917542 LMS917527:LMS917542 LWO917527:LWO917542 MGK917527:MGK917542 MQG917527:MQG917542 NAC917527:NAC917542 NJY917527:NJY917542 NTU917527:NTU917542 ODQ917527:ODQ917542 ONM917527:ONM917542 OXI917527:OXI917542 PHE917527:PHE917542 PRA917527:PRA917542 QAW917527:QAW917542 QKS917527:QKS917542 QUO917527:QUO917542 REK917527:REK917542 ROG917527:ROG917542 RYC917527:RYC917542 SHY917527:SHY917542 SRU917527:SRU917542 TBQ917527:TBQ917542 TLM917527:TLM917542 TVI917527:TVI917542 UFE917527:UFE917542 UPA917527:UPA917542 UYW917527:UYW917542 VIS917527:VIS917542 VSO917527:VSO917542 WCK917527:WCK917542 WMG917527:WMG917542 WWC917527:WWC917542 Z983063:Z983078 JQ983063:JQ983078 TM983063:TM983078 ADI983063:ADI983078 ANE983063:ANE983078 AXA983063:AXA983078 BGW983063:BGW983078 BQS983063:BQS983078 CAO983063:CAO983078 CKK983063:CKK983078 CUG983063:CUG983078 DEC983063:DEC983078 DNY983063:DNY983078 DXU983063:DXU983078 EHQ983063:EHQ983078 ERM983063:ERM983078 FBI983063:FBI983078 FLE983063:FLE983078 FVA983063:FVA983078 GEW983063:GEW983078 GOS983063:GOS983078 GYO983063:GYO983078 HIK983063:HIK983078 HSG983063:HSG983078 ICC983063:ICC983078 ILY983063:ILY983078 IVU983063:IVU983078 JFQ983063:JFQ983078 JPM983063:JPM983078 JZI983063:JZI983078 KJE983063:KJE983078 KTA983063:KTA983078 LCW983063:LCW983078 LMS983063:LMS983078 LWO983063:LWO983078 MGK983063:MGK983078 MQG983063:MQG983078 NAC983063:NAC983078 NJY983063:NJY983078 NTU983063:NTU983078 ODQ983063:ODQ983078 ONM983063:ONM983078 OXI983063:OXI983078 PHE983063:PHE983078 PRA983063:PRA983078 QAW983063:QAW983078 QKS983063:QKS983078 QUO983063:QUO983078 REK983063:REK983078 ROG983063:ROG983078 RYC983063:RYC983078 SHY983063:SHY983078 SRU983063:SRU983078 TBQ983063:TBQ983078 TLM983063:TLM983078 TVI983063:TVI983078 UFE983063:UFE983078 UPA983063:UPA983078 UYW983063:UYW983078 VIS983063:VIS983078 VSO983063:VSO983078 WCK983063:WCK983078 WMG983063:WMG983078 WWC983063:WWC983078 TR10 ADN10 ANJ10 AXF10 BHB10 BQX10 CAT10 CKP10 CUL10 DEH10 DOD10 DXZ10 EHV10 ERR10 FBN10 FLJ10 FVF10 GFB10 GOX10 GYT10 HIP10 HSL10 ICH10 IMD10 IVZ10 JFV10 JPR10 JZN10 KJJ10 KTF10 LDB10 LMX10 LWT10 MGP10 MQL10 NAH10 NKD10 NTZ10 ODV10 ONR10 OXN10 PHJ10 PRF10 QBB10 QKX10 QUT10 REP10 ROL10 RYH10 SID10 SRZ10 TBV10 TLR10 TVN10 UFJ10 UPF10 UZB10 VIX10 VST10 WCP10 WML10 WWH10 V17:V18 W11:W15 TR17 JV17:JV18 W18 ADN17 ANJ17 AXF17 BHB17 BQX17 CAT17 CKP17 CUL17 DEH17 DOD17 DXZ17 EHV17 ERR17 FBN17 FLJ17 FVF17 GFB17 GOX17 GYT17 HIP17 HSL17 ICH17 IMD17 IVZ17 JFV17 JPR17 JZN17 KJJ17 KTF17 LDB17 LMX17 LWT17 MGP17 MQL17 NAH17 NKD17 NTZ17 ODV17 ONR17 OXN17 PHJ17 PRF17 QBB17 QKX17 QUT17 REP17 ROL17 RYH17 SID17 SRZ17 TBV17 TLR17 TVN17 UFJ17 UPF17 UZB17 VIX17 VST17 WCP17 WML17 WWH17 JW18 JV10:JV15 V10:V15 JW11:JW15 V16:W16 WCP11:WCQ16 WWH11:WWI16 WML11:WMM16 TR11:TS16 ADN11:ADO16 ANJ11:ANK16 AXF11:AXG16 BHB11:BHC16 BQX11:BQY16 CAT11:CAU16 CKP11:CKQ16 CUL11:CUM16 DEH11:DEI16 DOD11:DOE16 DXZ11:DYA16 EHV11:EHW16 ERR11:ERS16 FBN11:FBO16 FLJ11:FLK16 FVF11:FVG16 GFB11:GFC16 GOX11:GOY16 GYT11:GYU16 HIP11:HIQ16 HSL11:HSM16 ICH11:ICI16 IMD11:IME16 IVZ11:IWA16 JFV11:JFW16 JPR11:JPS16 JZN11:JZO16 KJJ11:KJK16 KTF11:KTG16 LDB11:LDC16 LMX11:LMY16 LWT11:LWU16 MGP11:MGQ16 MQL11:MQM16 NAH11:NAI16 NKD11:NKE16 NTZ11:NUA16 ODV11:ODW16 ONR11:ONS16 OXN11:OXO16 PHJ11:PHK16 PRF11:PRG16 QBB11:QBC16 QKX11:QKY16 QUT11:QUU16 REP11:REQ16 ROL11:ROM16 RYH11:RYI16 SID11:SIE16 SRZ11:SSA16 TBV11:TBW16 TLR11:TLS16 TVN11:TVO16 UFJ11:UFK16 UPF11:UPG16 UZB11:UZC16 VIX11:VIY16 VST11:VSU16 JV16:JW16 WCP18:WCQ35 WWH18:WWI35 WML18:WMM35 TR18:TS35 ADN18:ADO35 ANJ18:ANK35 AXF18:AXG35 BHB18:BHC35 BQX18:BQY35 CAT18:CAU35 CKP18:CKQ35 CUL18:CUM35 DEH18:DEI35 DOD18:DOE35 DXZ18:DYA35 EHV18:EHW35 ERR18:ERS35 FBN18:FBO35 FLJ18:FLK35 FVF18:FVG35 GFB18:GFC35 GOX18:GOY35 GYT18:GYU35 HIP18:HIQ35 HSL18:HSM35 ICH18:ICI35 IMD18:IME35 IVZ18:IWA35 JFV18:JFW35 JPR18:JPS35 JZN18:JZO35 KJJ18:KJK35 KTF18:KTG35 LDB18:LDC35 LMX18:LMY35 LWT18:LWU35 MGP18:MGQ35 MQL18:MQM35 NAH18:NAI35 NKD18:NKE35 NTZ18:NUA35 ODV18:ODW35 ONR18:ONS35 OXN18:OXO35 PHJ18:PHK35 PRF18:PRG35 QBB18:QBC35 QKX18:QKY35 QUT18:QUU35 REP18:REQ35 ROL18:ROM35 RYH18:RYI35 SID18:SIE35 SRZ18:SSA35 TBV18:TBW35 TLR18:TLS35 TVN18:TVO35 UFJ18:UFK35 UPF18:UPG35 UZB18:UZC35 VIX18:VIY35 VST18:VSU35 JV19:JW35 V19:W35 V36 TR36 JV36 ADN36 ANJ36 AXF36 BHB36 BQX36 CAT36 CKP36 CUL36 DEH36 DOD36 DXZ36 EHV36 ERR36 FBN36 FLJ36 FVF36 GFB36 GOX36 GYT36 HIP36 HSL36 ICH36 IMD36 IVZ36 JFV36 JPR36 JZN36 KJJ36 KTF36 LDB36 LMX36 LWT36 MGP36 MQL36 NAH36 NKD36 NTZ36 ODV36 ONR36 OXN36 PHJ36 PRF36 QBB36 QKX36 QUT36 REP36 ROL36 RYH36 SID36 SRZ36 TBV36 TLR36 TVN36 UFJ36 UPF36 UZB36 VIX36 VST36 WCP36 WML36 WWH36 V37:W39 WCP37:WCQ39 WWH37:WWI39 WML37:WMM39 TR37:TS39 ADN37:ADO39 ANJ37:ANK39 AXF37:AXG39 BHB37:BHC39 BQX37:BQY39 CAT37:CAU39 CKP37:CKQ39 CUL37:CUM39 DEH37:DEI39 DOD37:DOE39 DXZ37:DYA39 EHV37:EHW39 ERR37:ERS39 FBN37:FBO39 FLJ37:FLK39 FVF37:FVG39 GFB37:GFC39 GOX37:GOY39 GYT37:GYU39 HIP37:HIQ39 HSL37:HSM39 ICH37:ICI39 IMD37:IME39 IVZ37:IWA39 JFV37:JFW39 JPR37:JPS39 JZN37:JZO39 KJJ37:KJK39 KTF37:KTG39 LDB37:LDC39 LMX37:LMY39 LWT37:LWU39 MGP37:MGQ39 MQL37:MQM39 NAH37:NAI39 NKD37:NKE39 NTZ37:NUA39 ODV37:ODW39 ONR37:ONS39 OXN37:OXO39 PHJ37:PHK39 PRF37:PRG39 QBB37:QBC39 QKX37:QKY39 QUT37:QUU39 REP37:REQ39 ROL37:ROM39 RYH37:RYI39 SID37:SIE39 SRZ37:SSA39 TBV37:TBW39 TLR37:TLS39 TVN37:TVO39 UFJ37:UFK39 UPF37:UPG39 UZB37:UZC39 VIX37:VIY39 VST37:VSU39 JV37:JW39">
      <formula1>"X,9,±9,N,S9,9C3,S9C3"</formula1>
    </dataValidation>
    <dataValidation type="list" allowBlank="1" showInputMessage="1" showErrorMessage="1" sqref="V6:W6 JQ6:JR6 TM6:TN6 ADI6:ADJ6 ANE6:ANF6 AXA6:AXB6 BGW6:BGX6 BQS6:BQT6 CAO6:CAP6 CKK6:CKL6 CUG6:CUH6 DEC6:DED6 DNY6:DNZ6 DXU6:DXV6 EHQ6:EHR6 ERM6:ERN6 FBI6:FBJ6 FLE6:FLF6 FVA6:FVB6 GEW6:GEX6 GOS6:GOT6 GYO6:GYP6 HIK6:HIL6 HSG6:HSH6 ICC6:ICD6 ILY6:ILZ6 IVU6:IVV6 JFQ6:JFR6 JPM6:JPN6 JZI6:JZJ6 KJE6:KJF6 KTA6:KTB6 LCW6:LCX6 LMS6:LMT6 LWO6:LWP6 MGK6:MGL6 MQG6:MQH6 NAC6:NAD6 NJY6:NJZ6 NTU6:NTV6 ODQ6:ODR6 ONM6:ONN6 OXI6:OXJ6 PHE6:PHF6 PRA6:PRB6 QAW6:QAX6 QKS6:QKT6 QUO6:QUP6 REK6:REL6 ROG6:ROH6 RYC6:RYD6 SHY6:SHZ6 SRU6:SRV6 TBQ6:TBR6 TLM6:TLN6 TVI6:TVJ6 UFE6:UFF6 UPA6:UPB6 UYW6:UYX6 VIS6:VIT6 VSO6:VSP6 WCK6:WCL6 WMG6:WMH6 WWC6:WWD6 U65554:V65554 JL65554:JM65554 TH65554:TI65554 ADD65554:ADE65554 AMZ65554:ANA65554 AWV65554:AWW65554 BGR65554:BGS65554 BQN65554:BQO65554 CAJ65554:CAK65554 CKF65554:CKG65554 CUB65554:CUC65554 DDX65554:DDY65554 DNT65554:DNU65554 DXP65554:DXQ65554 EHL65554:EHM65554 ERH65554:ERI65554 FBD65554:FBE65554 FKZ65554:FLA65554 FUV65554:FUW65554 GER65554:GES65554 GON65554:GOO65554 GYJ65554:GYK65554 HIF65554:HIG65554 HSB65554:HSC65554 IBX65554:IBY65554 ILT65554:ILU65554 IVP65554:IVQ65554 JFL65554:JFM65554 JPH65554:JPI65554 JZD65554:JZE65554 KIZ65554:KJA65554 KSV65554:KSW65554 LCR65554:LCS65554 LMN65554:LMO65554 LWJ65554:LWK65554 MGF65554:MGG65554 MQB65554:MQC65554 MZX65554:MZY65554 NJT65554:NJU65554 NTP65554:NTQ65554 ODL65554:ODM65554 ONH65554:ONI65554 OXD65554:OXE65554 PGZ65554:PHA65554 PQV65554:PQW65554 QAR65554:QAS65554 QKN65554:QKO65554 QUJ65554:QUK65554 REF65554:REG65554 ROB65554:ROC65554 RXX65554:RXY65554 SHT65554:SHU65554 SRP65554:SRQ65554 TBL65554:TBM65554 TLH65554:TLI65554 TVD65554:TVE65554 UEZ65554:UFA65554 UOV65554:UOW65554 UYR65554:UYS65554 VIN65554:VIO65554 VSJ65554:VSK65554 WCF65554:WCG65554 WMB65554:WMC65554 WVX65554:WVY65554 U131090:V131090 JL131090:JM131090 TH131090:TI131090 ADD131090:ADE131090 AMZ131090:ANA131090 AWV131090:AWW131090 BGR131090:BGS131090 BQN131090:BQO131090 CAJ131090:CAK131090 CKF131090:CKG131090 CUB131090:CUC131090 DDX131090:DDY131090 DNT131090:DNU131090 DXP131090:DXQ131090 EHL131090:EHM131090 ERH131090:ERI131090 FBD131090:FBE131090 FKZ131090:FLA131090 FUV131090:FUW131090 GER131090:GES131090 GON131090:GOO131090 GYJ131090:GYK131090 HIF131090:HIG131090 HSB131090:HSC131090 IBX131090:IBY131090 ILT131090:ILU131090 IVP131090:IVQ131090 JFL131090:JFM131090 JPH131090:JPI131090 JZD131090:JZE131090 KIZ131090:KJA131090 KSV131090:KSW131090 LCR131090:LCS131090 LMN131090:LMO131090 LWJ131090:LWK131090 MGF131090:MGG131090 MQB131090:MQC131090 MZX131090:MZY131090 NJT131090:NJU131090 NTP131090:NTQ131090 ODL131090:ODM131090 ONH131090:ONI131090 OXD131090:OXE131090 PGZ131090:PHA131090 PQV131090:PQW131090 QAR131090:QAS131090 QKN131090:QKO131090 QUJ131090:QUK131090 REF131090:REG131090 ROB131090:ROC131090 RXX131090:RXY131090 SHT131090:SHU131090 SRP131090:SRQ131090 TBL131090:TBM131090 TLH131090:TLI131090 TVD131090:TVE131090 UEZ131090:UFA131090 UOV131090:UOW131090 UYR131090:UYS131090 VIN131090:VIO131090 VSJ131090:VSK131090 WCF131090:WCG131090 WMB131090:WMC131090 WVX131090:WVY131090 U196626:V196626 JL196626:JM196626 TH196626:TI196626 ADD196626:ADE196626 AMZ196626:ANA196626 AWV196626:AWW196626 BGR196626:BGS196626 BQN196626:BQO196626 CAJ196626:CAK196626 CKF196626:CKG196626 CUB196626:CUC196626 DDX196626:DDY196626 DNT196626:DNU196626 DXP196626:DXQ196626 EHL196626:EHM196626 ERH196626:ERI196626 FBD196626:FBE196626 FKZ196626:FLA196626 FUV196626:FUW196626 GER196626:GES196626 GON196626:GOO196626 GYJ196626:GYK196626 HIF196626:HIG196626 HSB196626:HSC196626 IBX196626:IBY196626 ILT196626:ILU196626 IVP196626:IVQ196626 JFL196626:JFM196626 JPH196626:JPI196626 JZD196626:JZE196626 KIZ196626:KJA196626 KSV196626:KSW196626 LCR196626:LCS196626 LMN196626:LMO196626 LWJ196626:LWK196626 MGF196626:MGG196626 MQB196626:MQC196626 MZX196626:MZY196626 NJT196626:NJU196626 NTP196626:NTQ196626 ODL196626:ODM196626 ONH196626:ONI196626 OXD196626:OXE196626 PGZ196626:PHA196626 PQV196626:PQW196626 QAR196626:QAS196626 QKN196626:QKO196626 QUJ196626:QUK196626 REF196626:REG196626 ROB196626:ROC196626 RXX196626:RXY196626 SHT196626:SHU196626 SRP196626:SRQ196626 TBL196626:TBM196626 TLH196626:TLI196626 TVD196626:TVE196626 UEZ196626:UFA196626 UOV196626:UOW196626 UYR196626:UYS196626 VIN196626:VIO196626 VSJ196626:VSK196626 WCF196626:WCG196626 WMB196626:WMC196626 WVX196626:WVY196626 U262162:V262162 JL262162:JM262162 TH262162:TI262162 ADD262162:ADE262162 AMZ262162:ANA262162 AWV262162:AWW262162 BGR262162:BGS262162 BQN262162:BQO262162 CAJ262162:CAK262162 CKF262162:CKG262162 CUB262162:CUC262162 DDX262162:DDY262162 DNT262162:DNU262162 DXP262162:DXQ262162 EHL262162:EHM262162 ERH262162:ERI262162 FBD262162:FBE262162 FKZ262162:FLA262162 FUV262162:FUW262162 GER262162:GES262162 GON262162:GOO262162 GYJ262162:GYK262162 HIF262162:HIG262162 HSB262162:HSC262162 IBX262162:IBY262162 ILT262162:ILU262162 IVP262162:IVQ262162 JFL262162:JFM262162 JPH262162:JPI262162 JZD262162:JZE262162 KIZ262162:KJA262162 KSV262162:KSW262162 LCR262162:LCS262162 LMN262162:LMO262162 LWJ262162:LWK262162 MGF262162:MGG262162 MQB262162:MQC262162 MZX262162:MZY262162 NJT262162:NJU262162 NTP262162:NTQ262162 ODL262162:ODM262162 ONH262162:ONI262162 OXD262162:OXE262162 PGZ262162:PHA262162 PQV262162:PQW262162 QAR262162:QAS262162 QKN262162:QKO262162 QUJ262162:QUK262162 REF262162:REG262162 ROB262162:ROC262162 RXX262162:RXY262162 SHT262162:SHU262162 SRP262162:SRQ262162 TBL262162:TBM262162 TLH262162:TLI262162 TVD262162:TVE262162 UEZ262162:UFA262162 UOV262162:UOW262162 UYR262162:UYS262162 VIN262162:VIO262162 VSJ262162:VSK262162 WCF262162:WCG262162 WMB262162:WMC262162 WVX262162:WVY262162 U327698:V327698 JL327698:JM327698 TH327698:TI327698 ADD327698:ADE327698 AMZ327698:ANA327698 AWV327698:AWW327698 BGR327698:BGS327698 BQN327698:BQO327698 CAJ327698:CAK327698 CKF327698:CKG327698 CUB327698:CUC327698 DDX327698:DDY327698 DNT327698:DNU327698 DXP327698:DXQ327698 EHL327698:EHM327698 ERH327698:ERI327698 FBD327698:FBE327698 FKZ327698:FLA327698 FUV327698:FUW327698 GER327698:GES327698 GON327698:GOO327698 GYJ327698:GYK327698 HIF327698:HIG327698 HSB327698:HSC327698 IBX327698:IBY327698 ILT327698:ILU327698 IVP327698:IVQ327698 JFL327698:JFM327698 JPH327698:JPI327698 JZD327698:JZE327698 KIZ327698:KJA327698 KSV327698:KSW327698 LCR327698:LCS327698 LMN327698:LMO327698 LWJ327698:LWK327698 MGF327698:MGG327698 MQB327698:MQC327698 MZX327698:MZY327698 NJT327698:NJU327698 NTP327698:NTQ327698 ODL327698:ODM327698 ONH327698:ONI327698 OXD327698:OXE327698 PGZ327698:PHA327698 PQV327698:PQW327698 QAR327698:QAS327698 QKN327698:QKO327698 QUJ327698:QUK327698 REF327698:REG327698 ROB327698:ROC327698 RXX327698:RXY327698 SHT327698:SHU327698 SRP327698:SRQ327698 TBL327698:TBM327698 TLH327698:TLI327698 TVD327698:TVE327698 UEZ327698:UFA327698 UOV327698:UOW327698 UYR327698:UYS327698 VIN327698:VIO327698 VSJ327698:VSK327698 WCF327698:WCG327698 WMB327698:WMC327698 WVX327698:WVY327698 U393234:V393234 JL393234:JM393234 TH393234:TI393234 ADD393234:ADE393234 AMZ393234:ANA393234 AWV393234:AWW393234 BGR393234:BGS393234 BQN393234:BQO393234 CAJ393234:CAK393234 CKF393234:CKG393234 CUB393234:CUC393234 DDX393234:DDY393234 DNT393234:DNU393234 DXP393234:DXQ393234 EHL393234:EHM393234 ERH393234:ERI393234 FBD393234:FBE393234 FKZ393234:FLA393234 FUV393234:FUW393234 GER393234:GES393234 GON393234:GOO393234 GYJ393234:GYK393234 HIF393234:HIG393234 HSB393234:HSC393234 IBX393234:IBY393234 ILT393234:ILU393234 IVP393234:IVQ393234 JFL393234:JFM393234 JPH393234:JPI393234 JZD393234:JZE393234 KIZ393234:KJA393234 KSV393234:KSW393234 LCR393234:LCS393234 LMN393234:LMO393234 LWJ393234:LWK393234 MGF393234:MGG393234 MQB393234:MQC393234 MZX393234:MZY393234 NJT393234:NJU393234 NTP393234:NTQ393234 ODL393234:ODM393234 ONH393234:ONI393234 OXD393234:OXE393234 PGZ393234:PHA393234 PQV393234:PQW393234 QAR393234:QAS393234 QKN393234:QKO393234 QUJ393234:QUK393234 REF393234:REG393234 ROB393234:ROC393234 RXX393234:RXY393234 SHT393234:SHU393234 SRP393234:SRQ393234 TBL393234:TBM393234 TLH393234:TLI393234 TVD393234:TVE393234 UEZ393234:UFA393234 UOV393234:UOW393234 UYR393234:UYS393234 VIN393234:VIO393234 VSJ393234:VSK393234 WCF393234:WCG393234 WMB393234:WMC393234 WVX393234:WVY393234 U458770:V458770 JL458770:JM458770 TH458770:TI458770 ADD458770:ADE458770 AMZ458770:ANA458770 AWV458770:AWW458770 BGR458770:BGS458770 BQN458770:BQO458770 CAJ458770:CAK458770 CKF458770:CKG458770 CUB458770:CUC458770 DDX458770:DDY458770 DNT458770:DNU458770 DXP458770:DXQ458770 EHL458770:EHM458770 ERH458770:ERI458770 FBD458770:FBE458770 FKZ458770:FLA458770 FUV458770:FUW458770 GER458770:GES458770 GON458770:GOO458770 GYJ458770:GYK458770 HIF458770:HIG458770 HSB458770:HSC458770 IBX458770:IBY458770 ILT458770:ILU458770 IVP458770:IVQ458770 JFL458770:JFM458770 JPH458770:JPI458770 JZD458770:JZE458770 KIZ458770:KJA458770 KSV458770:KSW458770 LCR458770:LCS458770 LMN458770:LMO458770 LWJ458770:LWK458770 MGF458770:MGG458770 MQB458770:MQC458770 MZX458770:MZY458770 NJT458770:NJU458770 NTP458770:NTQ458770 ODL458770:ODM458770 ONH458770:ONI458770 OXD458770:OXE458770 PGZ458770:PHA458770 PQV458770:PQW458770 QAR458770:QAS458770 QKN458770:QKO458770 QUJ458770:QUK458770 REF458770:REG458770 ROB458770:ROC458770 RXX458770:RXY458770 SHT458770:SHU458770 SRP458770:SRQ458770 TBL458770:TBM458770 TLH458770:TLI458770 TVD458770:TVE458770 UEZ458770:UFA458770 UOV458770:UOW458770 UYR458770:UYS458770 VIN458770:VIO458770 VSJ458770:VSK458770 WCF458770:WCG458770 WMB458770:WMC458770 WVX458770:WVY458770 U524306:V524306 JL524306:JM524306 TH524306:TI524306 ADD524306:ADE524306 AMZ524306:ANA524306 AWV524306:AWW524306 BGR524306:BGS524306 BQN524306:BQO524306 CAJ524306:CAK524306 CKF524306:CKG524306 CUB524306:CUC524306 DDX524306:DDY524306 DNT524306:DNU524306 DXP524306:DXQ524306 EHL524306:EHM524306 ERH524306:ERI524306 FBD524306:FBE524306 FKZ524306:FLA524306 FUV524306:FUW524306 GER524306:GES524306 GON524306:GOO524306 GYJ524306:GYK524306 HIF524306:HIG524306 HSB524306:HSC524306 IBX524306:IBY524306 ILT524306:ILU524306 IVP524306:IVQ524306 JFL524306:JFM524306 JPH524306:JPI524306 JZD524306:JZE524306 KIZ524306:KJA524306 KSV524306:KSW524306 LCR524306:LCS524306 LMN524306:LMO524306 LWJ524306:LWK524306 MGF524306:MGG524306 MQB524306:MQC524306 MZX524306:MZY524306 NJT524306:NJU524306 NTP524306:NTQ524306 ODL524306:ODM524306 ONH524306:ONI524306 OXD524306:OXE524306 PGZ524306:PHA524306 PQV524306:PQW524306 QAR524306:QAS524306 QKN524306:QKO524306 QUJ524306:QUK524306 REF524306:REG524306 ROB524306:ROC524306 RXX524306:RXY524306 SHT524306:SHU524306 SRP524306:SRQ524306 TBL524306:TBM524306 TLH524306:TLI524306 TVD524306:TVE524306 UEZ524306:UFA524306 UOV524306:UOW524306 UYR524306:UYS524306 VIN524306:VIO524306 VSJ524306:VSK524306 WCF524306:WCG524306 WMB524306:WMC524306 WVX524306:WVY524306 U589842:V589842 JL589842:JM589842 TH589842:TI589842 ADD589842:ADE589842 AMZ589842:ANA589842 AWV589842:AWW589842 BGR589842:BGS589842 BQN589842:BQO589842 CAJ589842:CAK589842 CKF589842:CKG589842 CUB589842:CUC589842 DDX589842:DDY589842 DNT589842:DNU589842 DXP589842:DXQ589842 EHL589842:EHM589842 ERH589842:ERI589842 FBD589842:FBE589842 FKZ589842:FLA589842 FUV589842:FUW589842 GER589842:GES589842 GON589842:GOO589842 GYJ589842:GYK589842 HIF589842:HIG589842 HSB589842:HSC589842 IBX589842:IBY589842 ILT589842:ILU589842 IVP589842:IVQ589842 JFL589842:JFM589842 JPH589842:JPI589842 JZD589842:JZE589842 KIZ589842:KJA589842 KSV589842:KSW589842 LCR589842:LCS589842 LMN589842:LMO589842 LWJ589842:LWK589842 MGF589842:MGG589842 MQB589842:MQC589842 MZX589842:MZY589842 NJT589842:NJU589842 NTP589842:NTQ589842 ODL589842:ODM589842 ONH589842:ONI589842 OXD589842:OXE589842 PGZ589842:PHA589842 PQV589842:PQW589842 QAR589842:QAS589842 QKN589842:QKO589842 QUJ589842:QUK589842 REF589842:REG589842 ROB589842:ROC589842 RXX589842:RXY589842 SHT589842:SHU589842 SRP589842:SRQ589842 TBL589842:TBM589842 TLH589842:TLI589842 TVD589842:TVE589842 UEZ589842:UFA589842 UOV589842:UOW589842 UYR589842:UYS589842 VIN589842:VIO589842 VSJ589842:VSK589842 WCF589842:WCG589842 WMB589842:WMC589842 WVX589842:WVY589842 U655378:V655378 JL655378:JM655378 TH655378:TI655378 ADD655378:ADE655378 AMZ655378:ANA655378 AWV655378:AWW655378 BGR655378:BGS655378 BQN655378:BQO655378 CAJ655378:CAK655378 CKF655378:CKG655378 CUB655378:CUC655378 DDX655378:DDY655378 DNT655378:DNU655378 DXP655378:DXQ655378 EHL655378:EHM655378 ERH655378:ERI655378 FBD655378:FBE655378 FKZ655378:FLA655378 FUV655378:FUW655378 GER655378:GES655378 GON655378:GOO655378 GYJ655378:GYK655378 HIF655378:HIG655378 HSB655378:HSC655378 IBX655378:IBY655378 ILT655378:ILU655378 IVP655378:IVQ655378 JFL655378:JFM655378 JPH655378:JPI655378 JZD655378:JZE655378 KIZ655378:KJA655378 KSV655378:KSW655378 LCR655378:LCS655378 LMN655378:LMO655378 LWJ655378:LWK655378 MGF655378:MGG655378 MQB655378:MQC655378 MZX655378:MZY655378 NJT655378:NJU655378 NTP655378:NTQ655378 ODL655378:ODM655378 ONH655378:ONI655378 OXD655378:OXE655378 PGZ655378:PHA655378 PQV655378:PQW655378 QAR655378:QAS655378 QKN655378:QKO655378 QUJ655378:QUK655378 REF655378:REG655378 ROB655378:ROC655378 RXX655378:RXY655378 SHT655378:SHU655378 SRP655378:SRQ655378 TBL655378:TBM655378 TLH655378:TLI655378 TVD655378:TVE655378 UEZ655378:UFA655378 UOV655378:UOW655378 UYR655378:UYS655378 VIN655378:VIO655378 VSJ655378:VSK655378 WCF655378:WCG655378 WMB655378:WMC655378 WVX655378:WVY655378 U720914:V720914 JL720914:JM720914 TH720914:TI720914 ADD720914:ADE720914 AMZ720914:ANA720914 AWV720914:AWW720914 BGR720914:BGS720914 BQN720914:BQO720914 CAJ720914:CAK720914 CKF720914:CKG720914 CUB720914:CUC720914 DDX720914:DDY720914 DNT720914:DNU720914 DXP720914:DXQ720914 EHL720914:EHM720914 ERH720914:ERI720914 FBD720914:FBE720914 FKZ720914:FLA720914 FUV720914:FUW720914 GER720914:GES720914 GON720914:GOO720914 GYJ720914:GYK720914 HIF720914:HIG720914 HSB720914:HSC720914 IBX720914:IBY720914 ILT720914:ILU720914 IVP720914:IVQ720914 JFL720914:JFM720914 JPH720914:JPI720914 JZD720914:JZE720914 KIZ720914:KJA720914 KSV720914:KSW720914 LCR720914:LCS720914 LMN720914:LMO720914 LWJ720914:LWK720914 MGF720914:MGG720914 MQB720914:MQC720914 MZX720914:MZY720914 NJT720914:NJU720914 NTP720914:NTQ720914 ODL720914:ODM720914 ONH720914:ONI720914 OXD720914:OXE720914 PGZ720914:PHA720914 PQV720914:PQW720914 QAR720914:QAS720914 QKN720914:QKO720914 QUJ720914:QUK720914 REF720914:REG720914 ROB720914:ROC720914 RXX720914:RXY720914 SHT720914:SHU720914 SRP720914:SRQ720914 TBL720914:TBM720914 TLH720914:TLI720914 TVD720914:TVE720914 UEZ720914:UFA720914 UOV720914:UOW720914 UYR720914:UYS720914 VIN720914:VIO720914 VSJ720914:VSK720914 WCF720914:WCG720914 WMB720914:WMC720914 WVX720914:WVY720914 U786450:V786450 JL786450:JM786450 TH786450:TI786450 ADD786450:ADE786450 AMZ786450:ANA786450 AWV786450:AWW786450 BGR786450:BGS786450 BQN786450:BQO786450 CAJ786450:CAK786450 CKF786450:CKG786450 CUB786450:CUC786450 DDX786450:DDY786450 DNT786450:DNU786450 DXP786450:DXQ786450 EHL786450:EHM786450 ERH786450:ERI786450 FBD786450:FBE786450 FKZ786450:FLA786450 FUV786450:FUW786450 GER786450:GES786450 GON786450:GOO786450 GYJ786450:GYK786450 HIF786450:HIG786450 HSB786450:HSC786450 IBX786450:IBY786450 ILT786450:ILU786450 IVP786450:IVQ786450 JFL786450:JFM786450 JPH786450:JPI786450 JZD786450:JZE786450 KIZ786450:KJA786450 KSV786450:KSW786450 LCR786450:LCS786450 LMN786450:LMO786450 LWJ786450:LWK786450 MGF786450:MGG786450 MQB786450:MQC786450 MZX786450:MZY786450 NJT786450:NJU786450 NTP786450:NTQ786450 ODL786450:ODM786450 ONH786450:ONI786450 OXD786450:OXE786450 PGZ786450:PHA786450 PQV786450:PQW786450 QAR786450:QAS786450 QKN786450:QKO786450 QUJ786450:QUK786450 REF786450:REG786450 ROB786450:ROC786450 RXX786450:RXY786450 SHT786450:SHU786450 SRP786450:SRQ786450 TBL786450:TBM786450 TLH786450:TLI786450 TVD786450:TVE786450 UEZ786450:UFA786450 UOV786450:UOW786450 UYR786450:UYS786450 VIN786450:VIO786450 VSJ786450:VSK786450 WCF786450:WCG786450 WMB786450:WMC786450 WVX786450:WVY786450 U851986:V851986 JL851986:JM851986 TH851986:TI851986 ADD851986:ADE851986 AMZ851986:ANA851986 AWV851986:AWW851986 BGR851986:BGS851986 BQN851986:BQO851986 CAJ851986:CAK851986 CKF851986:CKG851986 CUB851986:CUC851986 DDX851986:DDY851986 DNT851986:DNU851986 DXP851986:DXQ851986 EHL851986:EHM851986 ERH851986:ERI851986 FBD851986:FBE851986 FKZ851986:FLA851986 FUV851986:FUW851986 GER851986:GES851986 GON851986:GOO851986 GYJ851986:GYK851986 HIF851986:HIG851986 HSB851986:HSC851986 IBX851986:IBY851986 ILT851986:ILU851986 IVP851986:IVQ851986 JFL851986:JFM851986 JPH851986:JPI851986 JZD851986:JZE851986 KIZ851986:KJA851986 KSV851986:KSW851986 LCR851986:LCS851986 LMN851986:LMO851986 LWJ851986:LWK851986 MGF851986:MGG851986 MQB851986:MQC851986 MZX851986:MZY851986 NJT851986:NJU851986 NTP851986:NTQ851986 ODL851986:ODM851986 ONH851986:ONI851986 OXD851986:OXE851986 PGZ851986:PHA851986 PQV851986:PQW851986 QAR851986:QAS851986 QKN851986:QKO851986 QUJ851986:QUK851986 REF851986:REG851986 ROB851986:ROC851986 RXX851986:RXY851986 SHT851986:SHU851986 SRP851986:SRQ851986 TBL851986:TBM851986 TLH851986:TLI851986 TVD851986:TVE851986 UEZ851986:UFA851986 UOV851986:UOW851986 UYR851986:UYS851986 VIN851986:VIO851986 VSJ851986:VSK851986 WCF851986:WCG851986 WMB851986:WMC851986 WVX851986:WVY851986 U917522:V917522 JL917522:JM917522 TH917522:TI917522 ADD917522:ADE917522 AMZ917522:ANA917522 AWV917522:AWW917522 BGR917522:BGS917522 BQN917522:BQO917522 CAJ917522:CAK917522 CKF917522:CKG917522 CUB917522:CUC917522 DDX917522:DDY917522 DNT917522:DNU917522 DXP917522:DXQ917522 EHL917522:EHM917522 ERH917522:ERI917522 FBD917522:FBE917522 FKZ917522:FLA917522 FUV917522:FUW917522 GER917522:GES917522 GON917522:GOO917522 GYJ917522:GYK917522 HIF917522:HIG917522 HSB917522:HSC917522 IBX917522:IBY917522 ILT917522:ILU917522 IVP917522:IVQ917522 JFL917522:JFM917522 JPH917522:JPI917522 JZD917522:JZE917522 KIZ917522:KJA917522 KSV917522:KSW917522 LCR917522:LCS917522 LMN917522:LMO917522 LWJ917522:LWK917522 MGF917522:MGG917522 MQB917522:MQC917522 MZX917522:MZY917522 NJT917522:NJU917522 NTP917522:NTQ917522 ODL917522:ODM917522 ONH917522:ONI917522 OXD917522:OXE917522 PGZ917522:PHA917522 PQV917522:PQW917522 QAR917522:QAS917522 QKN917522:QKO917522 QUJ917522:QUK917522 REF917522:REG917522 ROB917522:ROC917522 RXX917522:RXY917522 SHT917522:SHU917522 SRP917522:SRQ917522 TBL917522:TBM917522 TLH917522:TLI917522 TVD917522:TVE917522 UEZ917522:UFA917522 UOV917522:UOW917522 UYR917522:UYS917522 VIN917522:VIO917522 VSJ917522:VSK917522 WCF917522:WCG917522 WMB917522:WMC917522 WVX917522:WVY917522 U983058:V983058 JL983058:JM983058 TH983058:TI983058 ADD983058:ADE983058 AMZ983058:ANA983058 AWV983058:AWW983058 BGR983058:BGS983058 BQN983058:BQO983058 CAJ983058:CAK983058 CKF983058:CKG983058 CUB983058:CUC983058 DDX983058:DDY983058 DNT983058:DNU983058 DXP983058:DXQ983058 EHL983058:EHM983058 ERH983058:ERI983058 FBD983058:FBE983058 FKZ983058:FLA983058 FUV983058:FUW983058 GER983058:GES983058 GON983058:GOO983058 GYJ983058:GYK983058 HIF983058:HIG983058 HSB983058:HSC983058 IBX983058:IBY983058 ILT983058:ILU983058 IVP983058:IVQ983058 JFL983058:JFM983058 JPH983058:JPI983058 JZD983058:JZE983058 KIZ983058:KJA983058 KSV983058:KSW983058 LCR983058:LCS983058 LMN983058:LMO983058 LWJ983058:LWK983058 MGF983058:MGG983058 MQB983058:MQC983058 MZX983058:MZY983058 NJT983058:NJU983058 NTP983058:NTQ983058 ODL983058:ODM983058 ONH983058:ONI983058 OXD983058:OXE983058 PGZ983058:PHA983058 PQV983058:PQW983058 QAR983058:QAS983058 QKN983058:QKO983058 QUJ983058:QUK983058 REF983058:REG983058 ROB983058:ROC983058 RXX983058:RXY983058 SHT983058:SHU983058 SRP983058:SRQ983058 TBL983058:TBM983058 TLH983058:TLI983058 TVD983058:TVE983058 UEZ983058:UFA983058 UOV983058:UOW983058 UYR983058:UYS983058 VIN983058:VIO983058 VSJ983058:VSK983058 WCF983058:WCG983058 WMB983058:WMC983058 WVX983058:WVY983058">
      <formula1>"CRLF,CR,LF"</formula1>
    </dataValidation>
    <dataValidation type="list" allowBlank="1" showInputMessage="1" showErrorMessage="1" sqref="G5:Q5 JB5:JL5 SX5:TH5 ACT5:ADD5 AMP5:AMZ5 AWL5:AWV5 BGH5:BGR5 BQD5:BQN5 BZZ5:CAJ5 CJV5:CKF5 CTR5:CUB5 DDN5:DDX5 DNJ5:DNT5 DXF5:DXP5 EHB5:EHL5 EQX5:ERH5 FAT5:FBD5 FKP5:FKZ5 FUL5:FUV5 GEH5:GER5 GOD5:GON5 GXZ5:GYJ5 HHV5:HIF5 HRR5:HSB5 IBN5:IBX5 ILJ5:ILT5 IVF5:IVP5 JFB5:JFL5 JOX5:JPH5 JYT5:JZD5 KIP5:KIZ5 KSL5:KSV5 LCH5:LCR5 LMD5:LMN5 LVZ5:LWJ5 MFV5:MGF5 MPR5:MQB5 MZN5:MZX5 NJJ5:NJT5 NTF5:NTP5 ODB5:ODL5 OMX5:ONH5 OWT5:OXD5 PGP5:PGZ5 PQL5:PQV5 QAH5:QAR5 QKD5:QKN5 QTZ5:QUJ5 RDV5:REF5 RNR5:ROB5 RXN5:RXX5 SHJ5:SHT5 SRF5:SRP5 TBB5:TBL5 TKX5:TLH5 TUT5:TVD5 UEP5:UEZ5 UOL5:UOV5 UYH5:UYR5 VID5:VIN5 VRZ5:VSJ5 WBV5:WCF5 WLR5:WMB5 WVN5:WVX5 F65553:P65553 IW65553:JG65553 SS65553:TC65553 ACO65553:ACY65553 AMK65553:AMU65553 AWG65553:AWQ65553 BGC65553:BGM65553 BPY65553:BQI65553 BZU65553:CAE65553 CJQ65553:CKA65553 CTM65553:CTW65553 DDI65553:DDS65553 DNE65553:DNO65553 DXA65553:DXK65553 EGW65553:EHG65553 EQS65553:ERC65553 FAO65553:FAY65553 FKK65553:FKU65553 FUG65553:FUQ65553 GEC65553:GEM65553 GNY65553:GOI65553 GXU65553:GYE65553 HHQ65553:HIA65553 HRM65553:HRW65553 IBI65553:IBS65553 ILE65553:ILO65553 IVA65553:IVK65553 JEW65553:JFG65553 JOS65553:JPC65553 JYO65553:JYY65553 KIK65553:KIU65553 KSG65553:KSQ65553 LCC65553:LCM65553 LLY65553:LMI65553 LVU65553:LWE65553 MFQ65553:MGA65553 MPM65553:MPW65553 MZI65553:MZS65553 NJE65553:NJO65553 NTA65553:NTK65553 OCW65553:ODG65553 OMS65553:ONC65553 OWO65553:OWY65553 PGK65553:PGU65553 PQG65553:PQQ65553 QAC65553:QAM65553 QJY65553:QKI65553 QTU65553:QUE65553 RDQ65553:REA65553 RNM65553:RNW65553 RXI65553:RXS65553 SHE65553:SHO65553 SRA65553:SRK65553 TAW65553:TBG65553 TKS65553:TLC65553 TUO65553:TUY65553 UEK65553:UEU65553 UOG65553:UOQ65553 UYC65553:UYM65553 VHY65553:VII65553 VRU65553:VSE65553 WBQ65553:WCA65553 WLM65553:WLW65553 WVI65553:WVS65553 F131089:P131089 IW131089:JG131089 SS131089:TC131089 ACO131089:ACY131089 AMK131089:AMU131089 AWG131089:AWQ131089 BGC131089:BGM131089 BPY131089:BQI131089 BZU131089:CAE131089 CJQ131089:CKA131089 CTM131089:CTW131089 DDI131089:DDS131089 DNE131089:DNO131089 DXA131089:DXK131089 EGW131089:EHG131089 EQS131089:ERC131089 FAO131089:FAY131089 FKK131089:FKU131089 FUG131089:FUQ131089 GEC131089:GEM131089 GNY131089:GOI131089 GXU131089:GYE131089 HHQ131089:HIA131089 HRM131089:HRW131089 IBI131089:IBS131089 ILE131089:ILO131089 IVA131089:IVK131089 JEW131089:JFG131089 JOS131089:JPC131089 JYO131089:JYY131089 KIK131089:KIU131089 KSG131089:KSQ131089 LCC131089:LCM131089 LLY131089:LMI131089 LVU131089:LWE131089 MFQ131089:MGA131089 MPM131089:MPW131089 MZI131089:MZS131089 NJE131089:NJO131089 NTA131089:NTK131089 OCW131089:ODG131089 OMS131089:ONC131089 OWO131089:OWY131089 PGK131089:PGU131089 PQG131089:PQQ131089 QAC131089:QAM131089 QJY131089:QKI131089 QTU131089:QUE131089 RDQ131089:REA131089 RNM131089:RNW131089 RXI131089:RXS131089 SHE131089:SHO131089 SRA131089:SRK131089 TAW131089:TBG131089 TKS131089:TLC131089 TUO131089:TUY131089 UEK131089:UEU131089 UOG131089:UOQ131089 UYC131089:UYM131089 VHY131089:VII131089 VRU131089:VSE131089 WBQ131089:WCA131089 WLM131089:WLW131089 WVI131089:WVS131089 F196625:P196625 IW196625:JG196625 SS196625:TC196625 ACO196625:ACY196625 AMK196625:AMU196625 AWG196625:AWQ196625 BGC196625:BGM196625 BPY196625:BQI196625 BZU196625:CAE196625 CJQ196625:CKA196625 CTM196625:CTW196625 DDI196625:DDS196625 DNE196625:DNO196625 DXA196625:DXK196625 EGW196625:EHG196625 EQS196625:ERC196625 FAO196625:FAY196625 FKK196625:FKU196625 FUG196625:FUQ196625 GEC196625:GEM196625 GNY196625:GOI196625 GXU196625:GYE196625 HHQ196625:HIA196625 HRM196625:HRW196625 IBI196625:IBS196625 ILE196625:ILO196625 IVA196625:IVK196625 JEW196625:JFG196625 JOS196625:JPC196625 JYO196625:JYY196625 KIK196625:KIU196625 KSG196625:KSQ196625 LCC196625:LCM196625 LLY196625:LMI196625 LVU196625:LWE196625 MFQ196625:MGA196625 MPM196625:MPW196625 MZI196625:MZS196625 NJE196625:NJO196625 NTA196625:NTK196625 OCW196625:ODG196625 OMS196625:ONC196625 OWO196625:OWY196625 PGK196625:PGU196625 PQG196625:PQQ196625 QAC196625:QAM196625 QJY196625:QKI196625 QTU196625:QUE196625 RDQ196625:REA196625 RNM196625:RNW196625 RXI196625:RXS196625 SHE196625:SHO196625 SRA196625:SRK196625 TAW196625:TBG196625 TKS196625:TLC196625 TUO196625:TUY196625 UEK196625:UEU196625 UOG196625:UOQ196625 UYC196625:UYM196625 VHY196625:VII196625 VRU196625:VSE196625 WBQ196625:WCA196625 WLM196625:WLW196625 WVI196625:WVS196625 F262161:P262161 IW262161:JG262161 SS262161:TC262161 ACO262161:ACY262161 AMK262161:AMU262161 AWG262161:AWQ262161 BGC262161:BGM262161 BPY262161:BQI262161 BZU262161:CAE262161 CJQ262161:CKA262161 CTM262161:CTW262161 DDI262161:DDS262161 DNE262161:DNO262161 DXA262161:DXK262161 EGW262161:EHG262161 EQS262161:ERC262161 FAO262161:FAY262161 FKK262161:FKU262161 FUG262161:FUQ262161 GEC262161:GEM262161 GNY262161:GOI262161 GXU262161:GYE262161 HHQ262161:HIA262161 HRM262161:HRW262161 IBI262161:IBS262161 ILE262161:ILO262161 IVA262161:IVK262161 JEW262161:JFG262161 JOS262161:JPC262161 JYO262161:JYY262161 KIK262161:KIU262161 KSG262161:KSQ262161 LCC262161:LCM262161 LLY262161:LMI262161 LVU262161:LWE262161 MFQ262161:MGA262161 MPM262161:MPW262161 MZI262161:MZS262161 NJE262161:NJO262161 NTA262161:NTK262161 OCW262161:ODG262161 OMS262161:ONC262161 OWO262161:OWY262161 PGK262161:PGU262161 PQG262161:PQQ262161 QAC262161:QAM262161 QJY262161:QKI262161 QTU262161:QUE262161 RDQ262161:REA262161 RNM262161:RNW262161 RXI262161:RXS262161 SHE262161:SHO262161 SRA262161:SRK262161 TAW262161:TBG262161 TKS262161:TLC262161 TUO262161:TUY262161 UEK262161:UEU262161 UOG262161:UOQ262161 UYC262161:UYM262161 VHY262161:VII262161 VRU262161:VSE262161 WBQ262161:WCA262161 WLM262161:WLW262161 WVI262161:WVS262161 F327697:P327697 IW327697:JG327697 SS327697:TC327697 ACO327697:ACY327697 AMK327697:AMU327697 AWG327697:AWQ327697 BGC327697:BGM327697 BPY327697:BQI327697 BZU327697:CAE327697 CJQ327697:CKA327697 CTM327697:CTW327697 DDI327697:DDS327697 DNE327697:DNO327697 DXA327697:DXK327697 EGW327697:EHG327697 EQS327697:ERC327697 FAO327697:FAY327697 FKK327697:FKU327697 FUG327697:FUQ327697 GEC327697:GEM327697 GNY327697:GOI327697 GXU327697:GYE327697 HHQ327697:HIA327697 HRM327697:HRW327697 IBI327697:IBS327697 ILE327697:ILO327697 IVA327697:IVK327697 JEW327697:JFG327697 JOS327697:JPC327697 JYO327697:JYY327697 KIK327697:KIU327697 KSG327697:KSQ327697 LCC327697:LCM327697 LLY327697:LMI327697 LVU327697:LWE327697 MFQ327697:MGA327697 MPM327697:MPW327697 MZI327697:MZS327697 NJE327697:NJO327697 NTA327697:NTK327697 OCW327697:ODG327697 OMS327697:ONC327697 OWO327697:OWY327697 PGK327697:PGU327697 PQG327697:PQQ327697 QAC327697:QAM327697 QJY327697:QKI327697 QTU327697:QUE327697 RDQ327697:REA327697 RNM327697:RNW327697 RXI327697:RXS327697 SHE327697:SHO327697 SRA327697:SRK327697 TAW327697:TBG327697 TKS327697:TLC327697 TUO327697:TUY327697 UEK327697:UEU327697 UOG327697:UOQ327697 UYC327697:UYM327697 VHY327697:VII327697 VRU327697:VSE327697 WBQ327697:WCA327697 WLM327697:WLW327697 WVI327697:WVS327697 F393233:P393233 IW393233:JG393233 SS393233:TC393233 ACO393233:ACY393233 AMK393233:AMU393233 AWG393233:AWQ393233 BGC393233:BGM393233 BPY393233:BQI393233 BZU393233:CAE393233 CJQ393233:CKA393233 CTM393233:CTW393233 DDI393233:DDS393233 DNE393233:DNO393233 DXA393233:DXK393233 EGW393233:EHG393233 EQS393233:ERC393233 FAO393233:FAY393233 FKK393233:FKU393233 FUG393233:FUQ393233 GEC393233:GEM393233 GNY393233:GOI393233 GXU393233:GYE393233 HHQ393233:HIA393233 HRM393233:HRW393233 IBI393233:IBS393233 ILE393233:ILO393233 IVA393233:IVK393233 JEW393233:JFG393233 JOS393233:JPC393233 JYO393233:JYY393233 KIK393233:KIU393233 KSG393233:KSQ393233 LCC393233:LCM393233 LLY393233:LMI393233 LVU393233:LWE393233 MFQ393233:MGA393233 MPM393233:MPW393233 MZI393233:MZS393233 NJE393233:NJO393233 NTA393233:NTK393233 OCW393233:ODG393233 OMS393233:ONC393233 OWO393233:OWY393233 PGK393233:PGU393233 PQG393233:PQQ393233 QAC393233:QAM393233 QJY393233:QKI393233 QTU393233:QUE393233 RDQ393233:REA393233 RNM393233:RNW393233 RXI393233:RXS393233 SHE393233:SHO393233 SRA393233:SRK393233 TAW393233:TBG393233 TKS393233:TLC393233 TUO393233:TUY393233 UEK393233:UEU393233 UOG393233:UOQ393233 UYC393233:UYM393233 VHY393233:VII393233 VRU393233:VSE393233 WBQ393233:WCA393233 WLM393233:WLW393233 WVI393233:WVS393233 F458769:P458769 IW458769:JG458769 SS458769:TC458769 ACO458769:ACY458769 AMK458769:AMU458769 AWG458769:AWQ458769 BGC458769:BGM458769 BPY458769:BQI458769 BZU458769:CAE458769 CJQ458769:CKA458769 CTM458769:CTW458769 DDI458769:DDS458769 DNE458769:DNO458769 DXA458769:DXK458769 EGW458769:EHG458769 EQS458769:ERC458769 FAO458769:FAY458769 FKK458769:FKU458769 FUG458769:FUQ458769 GEC458769:GEM458769 GNY458769:GOI458769 GXU458769:GYE458769 HHQ458769:HIA458769 HRM458769:HRW458769 IBI458769:IBS458769 ILE458769:ILO458769 IVA458769:IVK458769 JEW458769:JFG458769 JOS458769:JPC458769 JYO458769:JYY458769 KIK458769:KIU458769 KSG458769:KSQ458769 LCC458769:LCM458769 LLY458769:LMI458769 LVU458769:LWE458769 MFQ458769:MGA458769 MPM458769:MPW458769 MZI458769:MZS458769 NJE458769:NJO458769 NTA458769:NTK458769 OCW458769:ODG458769 OMS458769:ONC458769 OWO458769:OWY458769 PGK458769:PGU458769 PQG458769:PQQ458769 QAC458769:QAM458769 QJY458769:QKI458769 QTU458769:QUE458769 RDQ458769:REA458769 RNM458769:RNW458769 RXI458769:RXS458769 SHE458769:SHO458769 SRA458769:SRK458769 TAW458769:TBG458769 TKS458769:TLC458769 TUO458769:TUY458769 UEK458769:UEU458769 UOG458769:UOQ458769 UYC458769:UYM458769 VHY458769:VII458769 VRU458769:VSE458769 WBQ458769:WCA458769 WLM458769:WLW458769 WVI458769:WVS458769 F524305:P524305 IW524305:JG524305 SS524305:TC524305 ACO524305:ACY524305 AMK524305:AMU524305 AWG524305:AWQ524305 BGC524305:BGM524305 BPY524305:BQI524305 BZU524305:CAE524305 CJQ524305:CKA524305 CTM524305:CTW524305 DDI524305:DDS524305 DNE524305:DNO524305 DXA524305:DXK524305 EGW524305:EHG524305 EQS524305:ERC524305 FAO524305:FAY524305 FKK524305:FKU524305 FUG524305:FUQ524305 GEC524305:GEM524305 GNY524305:GOI524305 GXU524305:GYE524305 HHQ524305:HIA524305 HRM524305:HRW524305 IBI524305:IBS524305 ILE524305:ILO524305 IVA524305:IVK524305 JEW524305:JFG524305 JOS524305:JPC524305 JYO524305:JYY524305 KIK524305:KIU524305 KSG524305:KSQ524305 LCC524305:LCM524305 LLY524305:LMI524305 LVU524305:LWE524305 MFQ524305:MGA524305 MPM524305:MPW524305 MZI524305:MZS524305 NJE524305:NJO524305 NTA524305:NTK524305 OCW524305:ODG524305 OMS524305:ONC524305 OWO524305:OWY524305 PGK524305:PGU524305 PQG524305:PQQ524305 QAC524305:QAM524305 QJY524305:QKI524305 QTU524305:QUE524305 RDQ524305:REA524305 RNM524305:RNW524305 RXI524305:RXS524305 SHE524305:SHO524305 SRA524305:SRK524305 TAW524305:TBG524305 TKS524305:TLC524305 TUO524305:TUY524305 UEK524305:UEU524305 UOG524305:UOQ524305 UYC524305:UYM524305 VHY524305:VII524305 VRU524305:VSE524305 WBQ524305:WCA524305 WLM524305:WLW524305 WVI524305:WVS524305 F589841:P589841 IW589841:JG589841 SS589841:TC589841 ACO589841:ACY589841 AMK589841:AMU589841 AWG589841:AWQ589841 BGC589841:BGM589841 BPY589841:BQI589841 BZU589841:CAE589841 CJQ589841:CKA589841 CTM589841:CTW589841 DDI589841:DDS589841 DNE589841:DNO589841 DXA589841:DXK589841 EGW589841:EHG589841 EQS589841:ERC589841 FAO589841:FAY589841 FKK589841:FKU589841 FUG589841:FUQ589841 GEC589841:GEM589841 GNY589841:GOI589841 GXU589841:GYE589841 HHQ589841:HIA589841 HRM589841:HRW589841 IBI589841:IBS589841 ILE589841:ILO589841 IVA589841:IVK589841 JEW589841:JFG589841 JOS589841:JPC589841 JYO589841:JYY589841 KIK589841:KIU589841 KSG589841:KSQ589841 LCC589841:LCM589841 LLY589841:LMI589841 LVU589841:LWE589841 MFQ589841:MGA589841 MPM589841:MPW589841 MZI589841:MZS589841 NJE589841:NJO589841 NTA589841:NTK589841 OCW589841:ODG589841 OMS589841:ONC589841 OWO589841:OWY589841 PGK589841:PGU589841 PQG589841:PQQ589841 QAC589841:QAM589841 QJY589841:QKI589841 QTU589841:QUE589841 RDQ589841:REA589841 RNM589841:RNW589841 RXI589841:RXS589841 SHE589841:SHO589841 SRA589841:SRK589841 TAW589841:TBG589841 TKS589841:TLC589841 TUO589841:TUY589841 UEK589841:UEU589841 UOG589841:UOQ589841 UYC589841:UYM589841 VHY589841:VII589841 VRU589841:VSE589841 WBQ589841:WCA589841 WLM589841:WLW589841 WVI589841:WVS589841 F655377:P655377 IW655377:JG655377 SS655377:TC655377 ACO655377:ACY655377 AMK655377:AMU655377 AWG655377:AWQ655377 BGC655377:BGM655377 BPY655377:BQI655377 BZU655377:CAE655377 CJQ655377:CKA655377 CTM655377:CTW655377 DDI655377:DDS655377 DNE655377:DNO655377 DXA655377:DXK655377 EGW655377:EHG655377 EQS655377:ERC655377 FAO655377:FAY655377 FKK655377:FKU655377 FUG655377:FUQ655377 GEC655377:GEM655377 GNY655377:GOI655377 GXU655377:GYE655377 HHQ655377:HIA655377 HRM655377:HRW655377 IBI655377:IBS655377 ILE655377:ILO655377 IVA655377:IVK655377 JEW655377:JFG655377 JOS655377:JPC655377 JYO655377:JYY655377 KIK655377:KIU655377 KSG655377:KSQ655377 LCC655377:LCM655377 LLY655377:LMI655377 LVU655377:LWE655377 MFQ655377:MGA655377 MPM655377:MPW655377 MZI655377:MZS655377 NJE655377:NJO655377 NTA655377:NTK655377 OCW655377:ODG655377 OMS655377:ONC655377 OWO655377:OWY655377 PGK655377:PGU655377 PQG655377:PQQ655377 QAC655377:QAM655377 QJY655377:QKI655377 QTU655377:QUE655377 RDQ655377:REA655377 RNM655377:RNW655377 RXI655377:RXS655377 SHE655377:SHO655377 SRA655377:SRK655377 TAW655377:TBG655377 TKS655377:TLC655377 TUO655377:TUY655377 UEK655377:UEU655377 UOG655377:UOQ655377 UYC655377:UYM655377 VHY655377:VII655377 VRU655377:VSE655377 WBQ655377:WCA655377 WLM655377:WLW655377 WVI655377:WVS655377 F720913:P720913 IW720913:JG720913 SS720913:TC720913 ACO720913:ACY720913 AMK720913:AMU720913 AWG720913:AWQ720913 BGC720913:BGM720913 BPY720913:BQI720913 BZU720913:CAE720913 CJQ720913:CKA720913 CTM720913:CTW720913 DDI720913:DDS720913 DNE720913:DNO720913 DXA720913:DXK720913 EGW720913:EHG720913 EQS720913:ERC720913 FAO720913:FAY720913 FKK720913:FKU720913 FUG720913:FUQ720913 GEC720913:GEM720913 GNY720913:GOI720913 GXU720913:GYE720913 HHQ720913:HIA720913 HRM720913:HRW720913 IBI720913:IBS720913 ILE720913:ILO720913 IVA720913:IVK720913 JEW720913:JFG720913 JOS720913:JPC720913 JYO720913:JYY720913 KIK720913:KIU720913 KSG720913:KSQ720913 LCC720913:LCM720913 LLY720913:LMI720913 LVU720913:LWE720913 MFQ720913:MGA720913 MPM720913:MPW720913 MZI720913:MZS720913 NJE720913:NJO720913 NTA720913:NTK720913 OCW720913:ODG720913 OMS720913:ONC720913 OWO720913:OWY720913 PGK720913:PGU720913 PQG720913:PQQ720913 QAC720913:QAM720913 QJY720913:QKI720913 QTU720913:QUE720913 RDQ720913:REA720913 RNM720913:RNW720913 RXI720913:RXS720913 SHE720913:SHO720913 SRA720913:SRK720913 TAW720913:TBG720913 TKS720913:TLC720913 TUO720913:TUY720913 UEK720913:UEU720913 UOG720913:UOQ720913 UYC720913:UYM720913 VHY720913:VII720913 VRU720913:VSE720913 WBQ720913:WCA720913 WLM720913:WLW720913 WVI720913:WVS720913 F786449:P786449 IW786449:JG786449 SS786449:TC786449 ACO786449:ACY786449 AMK786449:AMU786449 AWG786449:AWQ786449 BGC786449:BGM786449 BPY786449:BQI786449 BZU786449:CAE786449 CJQ786449:CKA786449 CTM786449:CTW786449 DDI786449:DDS786449 DNE786449:DNO786449 DXA786449:DXK786449 EGW786449:EHG786449 EQS786449:ERC786449 FAO786449:FAY786449 FKK786449:FKU786449 FUG786449:FUQ786449 GEC786449:GEM786449 GNY786449:GOI786449 GXU786449:GYE786449 HHQ786449:HIA786449 HRM786449:HRW786449 IBI786449:IBS786449 ILE786449:ILO786449 IVA786449:IVK786449 JEW786449:JFG786449 JOS786449:JPC786449 JYO786449:JYY786449 KIK786449:KIU786449 KSG786449:KSQ786449 LCC786449:LCM786449 LLY786449:LMI786449 LVU786449:LWE786449 MFQ786449:MGA786449 MPM786449:MPW786449 MZI786449:MZS786449 NJE786449:NJO786449 NTA786449:NTK786449 OCW786449:ODG786449 OMS786449:ONC786449 OWO786449:OWY786449 PGK786449:PGU786449 PQG786449:PQQ786449 QAC786449:QAM786449 QJY786449:QKI786449 QTU786449:QUE786449 RDQ786449:REA786449 RNM786449:RNW786449 RXI786449:RXS786449 SHE786449:SHO786449 SRA786449:SRK786449 TAW786449:TBG786449 TKS786449:TLC786449 TUO786449:TUY786449 UEK786449:UEU786449 UOG786449:UOQ786449 UYC786449:UYM786449 VHY786449:VII786449 VRU786449:VSE786449 WBQ786449:WCA786449 WLM786449:WLW786449 WVI786449:WVS786449 F851985:P851985 IW851985:JG851985 SS851985:TC851985 ACO851985:ACY851985 AMK851985:AMU851985 AWG851985:AWQ851985 BGC851985:BGM851985 BPY851985:BQI851985 BZU851985:CAE851985 CJQ851985:CKA851985 CTM851985:CTW851985 DDI851985:DDS851985 DNE851985:DNO851985 DXA851985:DXK851985 EGW851985:EHG851985 EQS851985:ERC851985 FAO851985:FAY851985 FKK851985:FKU851985 FUG851985:FUQ851985 GEC851985:GEM851985 GNY851985:GOI851985 GXU851985:GYE851985 HHQ851985:HIA851985 HRM851985:HRW851985 IBI851985:IBS851985 ILE851985:ILO851985 IVA851985:IVK851985 JEW851985:JFG851985 JOS851985:JPC851985 JYO851985:JYY851985 KIK851985:KIU851985 KSG851985:KSQ851985 LCC851985:LCM851985 LLY851985:LMI851985 LVU851985:LWE851985 MFQ851985:MGA851985 MPM851985:MPW851985 MZI851985:MZS851985 NJE851985:NJO851985 NTA851985:NTK851985 OCW851985:ODG851985 OMS851985:ONC851985 OWO851985:OWY851985 PGK851985:PGU851985 PQG851985:PQQ851985 QAC851985:QAM851985 QJY851985:QKI851985 QTU851985:QUE851985 RDQ851985:REA851985 RNM851985:RNW851985 RXI851985:RXS851985 SHE851985:SHO851985 SRA851985:SRK851985 TAW851985:TBG851985 TKS851985:TLC851985 TUO851985:TUY851985 UEK851985:UEU851985 UOG851985:UOQ851985 UYC851985:UYM851985 VHY851985:VII851985 VRU851985:VSE851985 WBQ851985:WCA851985 WLM851985:WLW851985 WVI851985:WVS851985 F917521:P917521 IW917521:JG917521 SS917521:TC917521 ACO917521:ACY917521 AMK917521:AMU917521 AWG917521:AWQ917521 BGC917521:BGM917521 BPY917521:BQI917521 BZU917521:CAE917521 CJQ917521:CKA917521 CTM917521:CTW917521 DDI917521:DDS917521 DNE917521:DNO917521 DXA917521:DXK917521 EGW917521:EHG917521 EQS917521:ERC917521 FAO917521:FAY917521 FKK917521:FKU917521 FUG917521:FUQ917521 GEC917521:GEM917521 GNY917521:GOI917521 GXU917521:GYE917521 HHQ917521:HIA917521 HRM917521:HRW917521 IBI917521:IBS917521 ILE917521:ILO917521 IVA917521:IVK917521 JEW917521:JFG917521 JOS917521:JPC917521 JYO917521:JYY917521 KIK917521:KIU917521 KSG917521:KSQ917521 LCC917521:LCM917521 LLY917521:LMI917521 LVU917521:LWE917521 MFQ917521:MGA917521 MPM917521:MPW917521 MZI917521:MZS917521 NJE917521:NJO917521 NTA917521:NTK917521 OCW917521:ODG917521 OMS917521:ONC917521 OWO917521:OWY917521 PGK917521:PGU917521 PQG917521:PQQ917521 QAC917521:QAM917521 QJY917521:QKI917521 QTU917521:QUE917521 RDQ917521:REA917521 RNM917521:RNW917521 RXI917521:RXS917521 SHE917521:SHO917521 SRA917521:SRK917521 TAW917521:TBG917521 TKS917521:TLC917521 TUO917521:TUY917521 UEK917521:UEU917521 UOG917521:UOQ917521 UYC917521:UYM917521 VHY917521:VII917521 VRU917521:VSE917521 WBQ917521:WCA917521 WLM917521:WLW917521 WVI917521:WVS917521 F983057:P983057 IW983057:JG983057 SS983057:TC983057 ACO983057:ACY983057 AMK983057:AMU983057 AWG983057:AWQ983057 BGC983057:BGM983057 BPY983057:BQI983057 BZU983057:CAE983057 CJQ983057:CKA983057 CTM983057:CTW983057 DDI983057:DDS983057 DNE983057:DNO983057 DXA983057:DXK983057 EGW983057:EHG983057 EQS983057:ERC983057 FAO983057:FAY983057 FKK983057:FKU983057 FUG983057:FUQ983057 GEC983057:GEM983057 GNY983057:GOI983057 GXU983057:GYE983057 HHQ983057:HIA983057 HRM983057:HRW983057 IBI983057:IBS983057 ILE983057:ILO983057 IVA983057:IVK983057 JEW983057:JFG983057 JOS983057:JPC983057 JYO983057:JYY983057 KIK983057:KIU983057 KSG983057:KSQ983057 LCC983057:LCM983057 LLY983057:LMI983057 LVU983057:LWE983057 MFQ983057:MGA983057 MPM983057:MPW983057 MZI983057:MZS983057 NJE983057:NJO983057 NTA983057:NTK983057 OCW983057:ODG983057 OMS983057:ONC983057 OWO983057:OWY983057 PGK983057:PGU983057 PQG983057:PQQ983057 QAC983057:QAM983057 QJY983057:QKI983057 QTU983057:QUE983057 RDQ983057:REA983057 RNM983057:RNW983057 RXI983057:RXS983057 SHE983057:SHO983057 SRA983057:SRK983057 TAW983057:TBG983057 TKS983057:TLC983057 TUO983057:TUY983057 UEK983057:UEU983057 UOG983057:UOQ983057 UYC983057:UYM983057 VHY983057:VII983057 VRU983057:VSE983057 WBQ983057:WCA983057 WLM983057:WLW983057 WVI983057:WVS983057">
      <formula1>"シーケンシャル,固定長ラインシーケンシャル,可変長ラインシーケンシャル,CSV"</formula1>
    </dataValidation>
    <dataValidation type="list" allowBlank="1" showInputMessage="1" showErrorMessage="1" sqref="AC6:AD6 JX6:JY6 TT6:TU6 ADP6:ADQ6 ANL6:ANM6 AXH6:AXI6 BHD6:BHE6 BQZ6:BRA6 CAV6:CAW6 CKR6:CKS6 CUN6:CUO6 DEJ6:DEK6 DOF6:DOG6 DYB6:DYC6 EHX6:EHY6 ERT6:ERU6 FBP6:FBQ6 FLL6:FLM6 FVH6:FVI6 GFD6:GFE6 GOZ6:GPA6 GYV6:GYW6 HIR6:HIS6 HSN6:HSO6 ICJ6:ICK6 IMF6:IMG6 IWB6:IWC6 JFX6:JFY6 JPT6:JPU6 JZP6:JZQ6 KJL6:KJM6 KTH6:KTI6 LDD6:LDE6 LMZ6:LNA6 LWV6:LWW6 MGR6:MGS6 MQN6:MQO6 NAJ6:NAK6 NKF6:NKG6 NUB6:NUC6 ODX6:ODY6 ONT6:ONU6 OXP6:OXQ6 PHL6:PHM6 PRH6:PRI6 QBD6:QBE6 QKZ6:QLA6 QUV6:QUW6 RER6:RES6 RON6:ROO6 RYJ6:RYK6 SIF6:SIG6 SSB6:SSC6 TBX6:TBY6 TLT6:TLU6 TVP6:TVQ6 UFL6:UFM6 UPH6:UPI6 UZD6:UZE6 VIZ6:VJA6 VSV6:VSW6 WCR6:WCS6 WMN6:WMO6 WWJ6:WWK6 AB65554:AC65554 JS65554:JT65554 TO65554:TP65554 ADK65554:ADL65554 ANG65554:ANH65554 AXC65554:AXD65554 BGY65554:BGZ65554 BQU65554:BQV65554 CAQ65554:CAR65554 CKM65554:CKN65554 CUI65554:CUJ65554 DEE65554:DEF65554 DOA65554:DOB65554 DXW65554:DXX65554 EHS65554:EHT65554 ERO65554:ERP65554 FBK65554:FBL65554 FLG65554:FLH65554 FVC65554:FVD65554 GEY65554:GEZ65554 GOU65554:GOV65554 GYQ65554:GYR65554 HIM65554:HIN65554 HSI65554:HSJ65554 ICE65554:ICF65554 IMA65554:IMB65554 IVW65554:IVX65554 JFS65554:JFT65554 JPO65554:JPP65554 JZK65554:JZL65554 KJG65554:KJH65554 KTC65554:KTD65554 LCY65554:LCZ65554 LMU65554:LMV65554 LWQ65554:LWR65554 MGM65554:MGN65554 MQI65554:MQJ65554 NAE65554:NAF65554 NKA65554:NKB65554 NTW65554:NTX65554 ODS65554:ODT65554 ONO65554:ONP65554 OXK65554:OXL65554 PHG65554:PHH65554 PRC65554:PRD65554 QAY65554:QAZ65554 QKU65554:QKV65554 QUQ65554:QUR65554 REM65554:REN65554 ROI65554:ROJ65554 RYE65554:RYF65554 SIA65554:SIB65554 SRW65554:SRX65554 TBS65554:TBT65554 TLO65554:TLP65554 TVK65554:TVL65554 UFG65554:UFH65554 UPC65554:UPD65554 UYY65554:UYZ65554 VIU65554:VIV65554 VSQ65554:VSR65554 WCM65554:WCN65554 WMI65554:WMJ65554 WWE65554:WWF65554 AB131090:AC131090 JS131090:JT131090 TO131090:TP131090 ADK131090:ADL131090 ANG131090:ANH131090 AXC131090:AXD131090 BGY131090:BGZ131090 BQU131090:BQV131090 CAQ131090:CAR131090 CKM131090:CKN131090 CUI131090:CUJ131090 DEE131090:DEF131090 DOA131090:DOB131090 DXW131090:DXX131090 EHS131090:EHT131090 ERO131090:ERP131090 FBK131090:FBL131090 FLG131090:FLH131090 FVC131090:FVD131090 GEY131090:GEZ131090 GOU131090:GOV131090 GYQ131090:GYR131090 HIM131090:HIN131090 HSI131090:HSJ131090 ICE131090:ICF131090 IMA131090:IMB131090 IVW131090:IVX131090 JFS131090:JFT131090 JPO131090:JPP131090 JZK131090:JZL131090 KJG131090:KJH131090 KTC131090:KTD131090 LCY131090:LCZ131090 LMU131090:LMV131090 LWQ131090:LWR131090 MGM131090:MGN131090 MQI131090:MQJ131090 NAE131090:NAF131090 NKA131090:NKB131090 NTW131090:NTX131090 ODS131090:ODT131090 ONO131090:ONP131090 OXK131090:OXL131090 PHG131090:PHH131090 PRC131090:PRD131090 QAY131090:QAZ131090 QKU131090:QKV131090 QUQ131090:QUR131090 REM131090:REN131090 ROI131090:ROJ131090 RYE131090:RYF131090 SIA131090:SIB131090 SRW131090:SRX131090 TBS131090:TBT131090 TLO131090:TLP131090 TVK131090:TVL131090 UFG131090:UFH131090 UPC131090:UPD131090 UYY131090:UYZ131090 VIU131090:VIV131090 VSQ131090:VSR131090 WCM131090:WCN131090 WMI131090:WMJ131090 WWE131090:WWF131090 AB196626:AC196626 JS196626:JT196626 TO196626:TP196626 ADK196626:ADL196626 ANG196626:ANH196626 AXC196626:AXD196626 BGY196626:BGZ196626 BQU196626:BQV196626 CAQ196626:CAR196626 CKM196626:CKN196626 CUI196626:CUJ196626 DEE196626:DEF196626 DOA196626:DOB196626 DXW196626:DXX196626 EHS196626:EHT196626 ERO196626:ERP196626 FBK196626:FBL196626 FLG196626:FLH196626 FVC196626:FVD196626 GEY196626:GEZ196626 GOU196626:GOV196626 GYQ196626:GYR196626 HIM196626:HIN196626 HSI196626:HSJ196626 ICE196626:ICF196626 IMA196626:IMB196626 IVW196626:IVX196626 JFS196626:JFT196626 JPO196626:JPP196626 JZK196626:JZL196626 KJG196626:KJH196626 KTC196626:KTD196626 LCY196626:LCZ196626 LMU196626:LMV196626 LWQ196626:LWR196626 MGM196626:MGN196626 MQI196626:MQJ196626 NAE196626:NAF196626 NKA196626:NKB196626 NTW196626:NTX196626 ODS196626:ODT196626 ONO196626:ONP196626 OXK196626:OXL196626 PHG196626:PHH196626 PRC196626:PRD196626 QAY196626:QAZ196626 QKU196626:QKV196626 QUQ196626:QUR196626 REM196626:REN196626 ROI196626:ROJ196626 RYE196626:RYF196626 SIA196626:SIB196626 SRW196626:SRX196626 TBS196626:TBT196626 TLO196626:TLP196626 TVK196626:TVL196626 UFG196626:UFH196626 UPC196626:UPD196626 UYY196626:UYZ196626 VIU196626:VIV196626 VSQ196626:VSR196626 WCM196626:WCN196626 WMI196626:WMJ196626 WWE196626:WWF196626 AB262162:AC262162 JS262162:JT262162 TO262162:TP262162 ADK262162:ADL262162 ANG262162:ANH262162 AXC262162:AXD262162 BGY262162:BGZ262162 BQU262162:BQV262162 CAQ262162:CAR262162 CKM262162:CKN262162 CUI262162:CUJ262162 DEE262162:DEF262162 DOA262162:DOB262162 DXW262162:DXX262162 EHS262162:EHT262162 ERO262162:ERP262162 FBK262162:FBL262162 FLG262162:FLH262162 FVC262162:FVD262162 GEY262162:GEZ262162 GOU262162:GOV262162 GYQ262162:GYR262162 HIM262162:HIN262162 HSI262162:HSJ262162 ICE262162:ICF262162 IMA262162:IMB262162 IVW262162:IVX262162 JFS262162:JFT262162 JPO262162:JPP262162 JZK262162:JZL262162 KJG262162:KJH262162 KTC262162:KTD262162 LCY262162:LCZ262162 LMU262162:LMV262162 LWQ262162:LWR262162 MGM262162:MGN262162 MQI262162:MQJ262162 NAE262162:NAF262162 NKA262162:NKB262162 NTW262162:NTX262162 ODS262162:ODT262162 ONO262162:ONP262162 OXK262162:OXL262162 PHG262162:PHH262162 PRC262162:PRD262162 QAY262162:QAZ262162 QKU262162:QKV262162 QUQ262162:QUR262162 REM262162:REN262162 ROI262162:ROJ262162 RYE262162:RYF262162 SIA262162:SIB262162 SRW262162:SRX262162 TBS262162:TBT262162 TLO262162:TLP262162 TVK262162:TVL262162 UFG262162:UFH262162 UPC262162:UPD262162 UYY262162:UYZ262162 VIU262162:VIV262162 VSQ262162:VSR262162 WCM262162:WCN262162 WMI262162:WMJ262162 WWE262162:WWF262162 AB327698:AC327698 JS327698:JT327698 TO327698:TP327698 ADK327698:ADL327698 ANG327698:ANH327698 AXC327698:AXD327698 BGY327698:BGZ327698 BQU327698:BQV327698 CAQ327698:CAR327698 CKM327698:CKN327698 CUI327698:CUJ327698 DEE327698:DEF327698 DOA327698:DOB327698 DXW327698:DXX327698 EHS327698:EHT327698 ERO327698:ERP327698 FBK327698:FBL327698 FLG327698:FLH327698 FVC327698:FVD327698 GEY327698:GEZ327698 GOU327698:GOV327698 GYQ327698:GYR327698 HIM327698:HIN327698 HSI327698:HSJ327698 ICE327698:ICF327698 IMA327698:IMB327698 IVW327698:IVX327698 JFS327698:JFT327698 JPO327698:JPP327698 JZK327698:JZL327698 KJG327698:KJH327698 KTC327698:KTD327698 LCY327698:LCZ327698 LMU327698:LMV327698 LWQ327698:LWR327698 MGM327698:MGN327698 MQI327698:MQJ327698 NAE327698:NAF327698 NKA327698:NKB327698 NTW327698:NTX327698 ODS327698:ODT327698 ONO327698:ONP327698 OXK327698:OXL327698 PHG327698:PHH327698 PRC327698:PRD327698 QAY327698:QAZ327698 QKU327698:QKV327698 QUQ327698:QUR327698 REM327698:REN327698 ROI327698:ROJ327698 RYE327698:RYF327698 SIA327698:SIB327698 SRW327698:SRX327698 TBS327698:TBT327698 TLO327698:TLP327698 TVK327698:TVL327698 UFG327698:UFH327698 UPC327698:UPD327698 UYY327698:UYZ327698 VIU327698:VIV327698 VSQ327698:VSR327698 WCM327698:WCN327698 WMI327698:WMJ327698 WWE327698:WWF327698 AB393234:AC393234 JS393234:JT393234 TO393234:TP393234 ADK393234:ADL393234 ANG393234:ANH393234 AXC393234:AXD393234 BGY393234:BGZ393234 BQU393234:BQV393234 CAQ393234:CAR393234 CKM393234:CKN393234 CUI393234:CUJ393234 DEE393234:DEF393234 DOA393234:DOB393234 DXW393234:DXX393234 EHS393234:EHT393234 ERO393234:ERP393234 FBK393234:FBL393234 FLG393234:FLH393234 FVC393234:FVD393234 GEY393234:GEZ393234 GOU393234:GOV393234 GYQ393234:GYR393234 HIM393234:HIN393234 HSI393234:HSJ393234 ICE393234:ICF393234 IMA393234:IMB393234 IVW393234:IVX393234 JFS393234:JFT393234 JPO393234:JPP393234 JZK393234:JZL393234 KJG393234:KJH393234 KTC393234:KTD393234 LCY393234:LCZ393234 LMU393234:LMV393234 LWQ393234:LWR393234 MGM393234:MGN393234 MQI393234:MQJ393234 NAE393234:NAF393234 NKA393234:NKB393234 NTW393234:NTX393234 ODS393234:ODT393234 ONO393234:ONP393234 OXK393234:OXL393234 PHG393234:PHH393234 PRC393234:PRD393234 QAY393234:QAZ393234 QKU393234:QKV393234 QUQ393234:QUR393234 REM393234:REN393234 ROI393234:ROJ393234 RYE393234:RYF393234 SIA393234:SIB393234 SRW393234:SRX393234 TBS393234:TBT393234 TLO393234:TLP393234 TVK393234:TVL393234 UFG393234:UFH393234 UPC393234:UPD393234 UYY393234:UYZ393234 VIU393234:VIV393234 VSQ393234:VSR393234 WCM393234:WCN393234 WMI393234:WMJ393234 WWE393234:WWF393234 AB458770:AC458770 JS458770:JT458770 TO458770:TP458770 ADK458770:ADL458770 ANG458770:ANH458770 AXC458770:AXD458770 BGY458770:BGZ458770 BQU458770:BQV458770 CAQ458770:CAR458770 CKM458770:CKN458770 CUI458770:CUJ458770 DEE458770:DEF458770 DOA458770:DOB458770 DXW458770:DXX458770 EHS458770:EHT458770 ERO458770:ERP458770 FBK458770:FBL458770 FLG458770:FLH458770 FVC458770:FVD458770 GEY458770:GEZ458770 GOU458770:GOV458770 GYQ458770:GYR458770 HIM458770:HIN458770 HSI458770:HSJ458770 ICE458770:ICF458770 IMA458770:IMB458770 IVW458770:IVX458770 JFS458770:JFT458770 JPO458770:JPP458770 JZK458770:JZL458770 KJG458770:KJH458770 KTC458770:KTD458770 LCY458770:LCZ458770 LMU458770:LMV458770 LWQ458770:LWR458770 MGM458770:MGN458770 MQI458770:MQJ458770 NAE458770:NAF458770 NKA458770:NKB458770 NTW458770:NTX458770 ODS458770:ODT458770 ONO458770:ONP458770 OXK458770:OXL458770 PHG458770:PHH458770 PRC458770:PRD458770 QAY458770:QAZ458770 QKU458770:QKV458770 QUQ458770:QUR458770 REM458770:REN458770 ROI458770:ROJ458770 RYE458770:RYF458770 SIA458770:SIB458770 SRW458770:SRX458770 TBS458770:TBT458770 TLO458770:TLP458770 TVK458770:TVL458770 UFG458770:UFH458770 UPC458770:UPD458770 UYY458770:UYZ458770 VIU458770:VIV458770 VSQ458770:VSR458770 WCM458770:WCN458770 WMI458770:WMJ458770 WWE458770:WWF458770 AB524306:AC524306 JS524306:JT524306 TO524306:TP524306 ADK524306:ADL524306 ANG524306:ANH524306 AXC524306:AXD524306 BGY524306:BGZ524306 BQU524306:BQV524306 CAQ524306:CAR524306 CKM524306:CKN524306 CUI524306:CUJ524306 DEE524306:DEF524306 DOA524306:DOB524306 DXW524306:DXX524306 EHS524306:EHT524306 ERO524306:ERP524306 FBK524306:FBL524306 FLG524306:FLH524306 FVC524306:FVD524306 GEY524306:GEZ524306 GOU524306:GOV524306 GYQ524306:GYR524306 HIM524306:HIN524306 HSI524306:HSJ524306 ICE524306:ICF524306 IMA524306:IMB524306 IVW524306:IVX524306 JFS524306:JFT524306 JPO524306:JPP524306 JZK524306:JZL524306 KJG524306:KJH524306 KTC524306:KTD524306 LCY524306:LCZ524306 LMU524306:LMV524306 LWQ524306:LWR524306 MGM524306:MGN524306 MQI524306:MQJ524306 NAE524306:NAF524306 NKA524306:NKB524306 NTW524306:NTX524306 ODS524306:ODT524306 ONO524306:ONP524306 OXK524306:OXL524306 PHG524306:PHH524306 PRC524306:PRD524306 QAY524306:QAZ524306 QKU524306:QKV524306 QUQ524306:QUR524306 REM524306:REN524306 ROI524306:ROJ524306 RYE524306:RYF524306 SIA524306:SIB524306 SRW524306:SRX524306 TBS524306:TBT524306 TLO524306:TLP524306 TVK524306:TVL524306 UFG524306:UFH524306 UPC524306:UPD524306 UYY524306:UYZ524306 VIU524306:VIV524306 VSQ524306:VSR524306 WCM524306:WCN524306 WMI524306:WMJ524306 WWE524306:WWF524306 AB589842:AC589842 JS589842:JT589842 TO589842:TP589842 ADK589842:ADL589842 ANG589842:ANH589842 AXC589842:AXD589842 BGY589842:BGZ589842 BQU589842:BQV589842 CAQ589842:CAR589842 CKM589842:CKN589842 CUI589842:CUJ589842 DEE589842:DEF589842 DOA589842:DOB589842 DXW589842:DXX589842 EHS589842:EHT589842 ERO589842:ERP589842 FBK589842:FBL589842 FLG589842:FLH589842 FVC589842:FVD589842 GEY589842:GEZ589842 GOU589842:GOV589842 GYQ589842:GYR589842 HIM589842:HIN589842 HSI589842:HSJ589842 ICE589842:ICF589842 IMA589842:IMB589842 IVW589842:IVX589842 JFS589842:JFT589842 JPO589842:JPP589842 JZK589842:JZL589842 KJG589842:KJH589842 KTC589842:KTD589842 LCY589842:LCZ589842 LMU589842:LMV589842 LWQ589842:LWR589842 MGM589842:MGN589842 MQI589842:MQJ589842 NAE589842:NAF589842 NKA589842:NKB589842 NTW589842:NTX589842 ODS589842:ODT589842 ONO589842:ONP589842 OXK589842:OXL589842 PHG589842:PHH589842 PRC589842:PRD589842 QAY589842:QAZ589842 QKU589842:QKV589842 QUQ589842:QUR589842 REM589842:REN589842 ROI589842:ROJ589842 RYE589842:RYF589842 SIA589842:SIB589842 SRW589842:SRX589842 TBS589842:TBT589842 TLO589842:TLP589842 TVK589842:TVL589842 UFG589842:UFH589842 UPC589842:UPD589842 UYY589842:UYZ589842 VIU589842:VIV589842 VSQ589842:VSR589842 WCM589842:WCN589842 WMI589842:WMJ589842 WWE589842:WWF589842 AB655378:AC655378 JS655378:JT655378 TO655378:TP655378 ADK655378:ADL655378 ANG655378:ANH655378 AXC655378:AXD655378 BGY655378:BGZ655378 BQU655378:BQV655378 CAQ655378:CAR655378 CKM655378:CKN655378 CUI655378:CUJ655378 DEE655378:DEF655378 DOA655378:DOB655378 DXW655378:DXX655378 EHS655378:EHT655378 ERO655378:ERP655378 FBK655378:FBL655378 FLG655378:FLH655378 FVC655378:FVD655378 GEY655378:GEZ655378 GOU655378:GOV655378 GYQ655378:GYR655378 HIM655378:HIN655378 HSI655378:HSJ655378 ICE655378:ICF655378 IMA655378:IMB655378 IVW655378:IVX655378 JFS655378:JFT655378 JPO655378:JPP655378 JZK655378:JZL655378 KJG655378:KJH655378 KTC655378:KTD655378 LCY655378:LCZ655378 LMU655378:LMV655378 LWQ655378:LWR655378 MGM655378:MGN655378 MQI655378:MQJ655378 NAE655378:NAF655378 NKA655378:NKB655378 NTW655378:NTX655378 ODS655378:ODT655378 ONO655378:ONP655378 OXK655378:OXL655378 PHG655378:PHH655378 PRC655378:PRD655378 QAY655378:QAZ655378 QKU655378:QKV655378 QUQ655378:QUR655378 REM655378:REN655378 ROI655378:ROJ655378 RYE655378:RYF655378 SIA655378:SIB655378 SRW655378:SRX655378 TBS655378:TBT655378 TLO655378:TLP655378 TVK655378:TVL655378 UFG655378:UFH655378 UPC655378:UPD655378 UYY655378:UYZ655378 VIU655378:VIV655378 VSQ655378:VSR655378 WCM655378:WCN655378 WMI655378:WMJ655378 WWE655378:WWF655378 AB720914:AC720914 JS720914:JT720914 TO720914:TP720914 ADK720914:ADL720914 ANG720914:ANH720914 AXC720914:AXD720914 BGY720914:BGZ720914 BQU720914:BQV720914 CAQ720914:CAR720914 CKM720914:CKN720914 CUI720914:CUJ720914 DEE720914:DEF720914 DOA720914:DOB720914 DXW720914:DXX720914 EHS720914:EHT720914 ERO720914:ERP720914 FBK720914:FBL720914 FLG720914:FLH720914 FVC720914:FVD720914 GEY720914:GEZ720914 GOU720914:GOV720914 GYQ720914:GYR720914 HIM720914:HIN720914 HSI720914:HSJ720914 ICE720914:ICF720914 IMA720914:IMB720914 IVW720914:IVX720914 JFS720914:JFT720914 JPO720914:JPP720914 JZK720914:JZL720914 KJG720914:KJH720914 KTC720914:KTD720914 LCY720914:LCZ720914 LMU720914:LMV720914 LWQ720914:LWR720914 MGM720914:MGN720914 MQI720914:MQJ720914 NAE720914:NAF720914 NKA720914:NKB720914 NTW720914:NTX720914 ODS720914:ODT720914 ONO720914:ONP720914 OXK720914:OXL720914 PHG720914:PHH720914 PRC720914:PRD720914 QAY720914:QAZ720914 QKU720914:QKV720914 QUQ720914:QUR720914 REM720914:REN720914 ROI720914:ROJ720914 RYE720914:RYF720914 SIA720914:SIB720914 SRW720914:SRX720914 TBS720914:TBT720914 TLO720914:TLP720914 TVK720914:TVL720914 UFG720914:UFH720914 UPC720914:UPD720914 UYY720914:UYZ720914 VIU720914:VIV720914 VSQ720914:VSR720914 WCM720914:WCN720914 WMI720914:WMJ720914 WWE720914:WWF720914 AB786450:AC786450 JS786450:JT786450 TO786450:TP786450 ADK786450:ADL786450 ANG786450:ANH786450 AXC786450:AXD786450 BGY786450:BGZ786450 BQU786450:BQV786450 CAQ786450:CAR786450 CKM786450:CKN786450 CUI786450:CUJ786450 DEE786450:DEF786450 DOA786450:DOB786450 DXW786450:DXX786450 EHS786450:EHT786450 ERO786450:ERP786450 FBK786450:FBL786450 FLG786450:FLH786450 FVC786450:FVD786450 GEY786450:GEZ786450 GOU786450:GOV786450 GYQ786450:GYR786450 HIM786450:HIN786450 HSI786450:HSJ786450 ICE786450:ICF786450 IMA786450:IMB786450 IVW786450:IVX786450 JFS786450:JFT786450 JPO786450:JPP786450 JZK786450:JZL786450 KJG786450:KJH786450 KTC786450:KTD786450 LCY786450:LCZ786450 LMU786450:LMV786450 LWQ786450:LWR786450 MGM786450:MGN786450 MQI786450:MQJ786450 NAE786450:NAF786450 NKA786450:NKB786450 NTW786450:NTX786450 ODS786450:ODT786450 ONO786450:ONP786450 OXK786450:OXL786450 PHG786450:PHH786450 PRC786450:PRD786450 QAY786450:QAZ786450 QKU786450:QKV786450 QUQ786450:QUR786450 REM786450:REN786450 ROI786450:ROJ786450 RYE786450:RYF786450 SIA786450:SIB786450 SRW786450:SRX786450 TBS786450:TBT786450 TLO786450:TLP786450 TVK786450:TVL786450 UFG786450:UFH786450 UPC786450:UPD786450 UYY786450:UYZ786450 VIU786450:VIV786450 VSQ786450:VSR786450 WCM786450:WCN786450 WMI786450:WMJ786450 WWE786450:WWF786450 AB851986:AC851986 JS851986:JT851986 TO851986:TP851986 ADK851986:ADL851986 ANG851986:ANH851986 AXC851986:AXD851986 BGY851986:BGZ851986 BQU851986:BQV851986 CAQ851986:CAR851986 CKM851986:CKN851986 CUI851986:CUJ851986 DEE851986:DEF851986 DOA851986:DOB851986 DXW851986:DXX851986 EHS851986:EHT851986 ERO851986:ERP851986 FBK851986:FBL851986 FLG851986:FLH851986 FVC851986:FVD851986 GEY851986:GEZ851986 GOU851986:GOV851986 GYQ851986:GYR851986 HIM851986:HIN851986 HSI851986:HSJ851986 ICE851986:ICF851986 IMA851986:IMB851986 IVW851986:IVX851986 JFS851986:JFT851986 JPO851986:JPP851986 JZK851986:JZL851986 KJG851986:KJH851986 KTC851986:KTD851986 LCY851986:LCZ851986 LMU851986:LMV851986 LWQ851986:LWR851986 MGM851986:MGN851986 MQI851986:MQJ851986 NAE851986:NAF851986 NKA851986:NKB851986 NTW851986:NTX851986 ODS851986:ODT851986 ONO851986:ONP851986 OXK851986:OXL851986 PHG851986:PHH851986 PRC851986:PRD851986 QAY851986:QAZ851986 QKU851986:QKV851986 QUQ851986:QUR851986 REM851986:REN851986 ROI851986:ROJ851986 RYE851986:RYF851986 SIA851986:SIB851986 SRW851986:SRX851986 TBS851986:TBT851986 TLO851986:TLP851986 TVK851986:TVL851986 UFG851986:UFH851986 UPC851986:UPD851986 UYY851986:UYZ851986 VIU851986:VIV851986 VSQ851986:VSR851986 WCM851986:WCN851986 WMI851986:WMJ851986 WWE851986:WWF851986 AB917522:AC917522 JS917522:JT917522 TO917522:TP917522 ADK917522:ADL917522 ANG917522:ANH917522 AXC917522:AXD917522 BGY917522:BGZ917522 BQU917522:BQV917522 CAQ917522:CAR917522 CKM917522:CKN917522 CUI917522:CUJ917522 DEE917522:DEF917522 DOA917522:DOB917522 DXW917522:DXX917522 EHS917522:EHT917522 ERO917522:ERP917522 FBK917522:FBL917522 FLG917522:FLH917522 FVC917522:FVD917522 GEY917522:GEZ917522 GOU917522:GOV917522 GYQ917522:GYR917522 HIM917522:HIN917522 HSI917522:HSJ917522 ICE917522:ICF917522 IMA917522:IMB917522 IVW917522:IVX917522 JFS917522:JFT917522 JPO917522:JPP917522 JZK917522:JZL917522 KJG917522:KJH917522 KTC917522:KTD917522 LCY917522:LCZ917522 LMU917522:LMV917522 LWQ917522:LWR917522 MGM917522:MGN917522 MQI917522:MQJ917522 NAE917522:NAF917522 NKA917522:NKB917522 NTW917522:NTX917522 ODS917522:ODT917522 ONO917522:ONP917522 OXK917522:OXL917522 PHG917522:PHH917522 PRC917522:PRD917522 QAY917522:QAZ917522 QKU917522:QKV917522 QUQ917522:QUR917522 REM917522:REN917522 ROI917522:ROJ917522 RYE917522:RYF917522 SIA917522:SIB917522 SRW917522:SRX917522 TBS917522:TBT917522 TLO917522:TLP917522 TVK917522:TVL917522 UFG917522:UFH917522 UPC917522:UPD917522 UYY917522:UYZ917522 VIU917522:VIV917522 VSQ917522:VSR917522 WCM917522:WCN917522 WMI917522:WMJ917522 WWE917522:WWF917522 AB983058:AC983058 JS983058:JT983058 TO983058:TP983058 ADK983058:ADL983058 ANG983058:ANH983058 AXC983058:AXD983058 BGY983058:BGZ983058 BQU983058:BQV983058 CAQ983058:CAR983058 CKM983058:CKN983058 CUI983058:CUJ983058 DEE983058:DEF983058 DOA983058:DOB983058 DXW983058:DXX983058 EHS983058:EHT983058 ERO983058:ERP983058 FBK983058:FBL983058 FLG983058:FLH983058 FVC983058:FVD983058 GEY983058:GEZ983058 GOU983058:GOV983058 GYQ983058:GYR983058 HIM983058:HIN983058 HSI983058:HSJ983058 ICE983058:ICF983058 IMA983058:IMB983058 IVW983058:IVX983058 JFS983058:JFT983058 JPO983058:JPP983058 JZK983058:JZL983058 KJG983058:KJH983058 KTC983058:KTD983058 LCY983058:LCZ983058 LMU983058:LMV983058 LWQ983058:LWR983058 MGM983058:MGN983058 MQI983058:MQJ983058 NAE983058:NAF983058 NKA983058:NKB983058 NTW983058:NTX983058 ODS983058:ODT983058 ONO983058:ONP983058 OXK983058:OXL983058 PHG983058:PHH983058 PRC983058:PRD983058 QAY983058:QAZ983058 QKU983058:QKV983058 QUQ983058:QUR983058 REM983058:REN983058 ROI983058:ROJ983058 RYE983058:RYF983058 SIA983058:SIB983058 SRW983058:SRX983058 TBS983058:TBT983058 TLO983058:TLP983058 TVK983058:TVL983058 UFG983058:UFH983058 UPC983058:UPD983058 UYY983058:UYZ983058 VIU983058:VIV983058 VSQ983058:VSR983058 WCM983058:WCN983058 WMI983058:WMJ983058 WWE983058:WWF983058">
      <formula1>"（無し）,.csv,.dat,.txt,.xls"</formula1>
    </dataValidation>
    <dataValidation type="list" allowBlank="1" showInputMessage="1" showErrorMessage="1" sqref="Y5:AD5 JT5:JY5 TP5:TU5 ADL5:ADQ5 ANH5:ANM5 AXD5:AXI5 BGZ5:BHE5 BQV5:BRA5 CAR5:CAW5 CKN5:CKS5 CUJ5:CUO5 DEF5:DEK5 DOB5:DOG5 DXX5:DYC5 EHT5:EHY5 ERP5:ERU5 FBL5:FBQ5 FLH5:FLM5 FVD5:FVI5 GEZ5:GFE5 GOV5:GPA5 GYR5:GYW5 HIN5:HIS5 HSJ5:HSO5 ICF5:ICK5 IMB5:IMG5 IVX5:IWC5 JFT5:JFY5 JPP5:JPU5 JZL5:JZQ5 KJH5:KJM5 KTD5:KTI5 LCZ5:LDE5 LMV5:LNA5 LWR5:LWW5 MGN5:MGS5 MQJ5:MQO5 NAF5:NAK5 NKB5:NKG5 NTX5:NUC5 ODT5:ODY5 ONP5:ONU5 OXL5:OXQ5 PHH5:PHM5 PRD5:PRI5 QAZ5:QBE5 QKV5:QLA5 QUR5:QUW5 REN5:RES5 ROJ5:ROO5 RYF5:RYK5 SIB5:SIG5 SRX5:SSC5 TBT5:TBY5 TLP5:TLU5 TVL5:TVQ5 UFH5:UFM5 UPD5:UPI5 UYZ5:UZE5 VIV5:VJA5 VSR5:VSW5 WCN5:WCS5 WMJ5:WMO5 WWF5:WWK5 X65553:AC65553 JO65553:JT65553 TK65553:TP65553 ADG65553:ADL65553 ANC65553:ANH65553 AWY65553:AXD65553 BGU65553:BGZ65553 BQQ65553:BQV65553 CAM65553:CAR65553 CKI65553:CKN65553 CUE65553:CUJ65553 DEA65553:DEF65553 DNW65553:DOB65553 DXS65553:DXX65553 EHO65553:EHT65553 ERK65553:ERP65553 FBG65553:FBL65553 FLC65553:FLH65553 FUY65553:FVD65553 GEU65553:GEZ65553 GOQ65553:GOV65553 GYM65553:GYR65553 HII65553:HIN65553 HSE65553:HSJ65553 ICA65553:ICF65553 ILW65553:IMB65553 IVS65553:IVX65553 JFO65553:JFT65553 JPK65553:JPP65553 JZG65553:JZL65553 KJC65553:KJH65553 KSY65553:KTD65553 LCU65553:LCZ65553 LMQ65553:LMV65553 LWM65553:LWR65553 MGI65553:MGN65553 MQE65553:MQJ65553 NAA65553:NAF65553 NJW65553:NKB65553 NTS65553:NTX65553 ODO65553:ODT65553 ONK65553:ONP65553 OXG65553:OXL65553 PHC65553:PHH65553 PQY65553:PRD65553 QAU65553:QAZ65553 QKQ65553:QKV65553 QUM65553:QUR65553 REI65553:REN65553 ROE65553:ROJ65553 RYA65553:RYF65553 SHW65553:SIB65553 SRS65553:SRX65553 TBO65553:TBT65553 TLK65553:TLP65553 TVG65553:TVL65553 UFC65553:UFH65553 UOY65553:UPD65553 UYU65553:UYZ65553 VIQ65553:VIV65553 VSM65553:VSR65553 WCI65553:WCN65553 WME65553:WMJ65553 WWA65553:WWF65553 X131089:AC131089 JO131089:JT131089 TK131089:TP131089 ADG131089:ADL131089 ANC131089:ANH131089 AWY131089:AXD131089 BGU131089:BGZ131089 BQQ131089:BQV131089 CAM131089:CAR131089 CKI131089:CKN131089 CUE131089:CUJ131089 DEA131089:DEF131089 DNW131089:DOB131089 DXS131089:DXX131089 EHO131089:EHT131089 ERK131089:ERP131089 FBG131089:FBL131089 FLC131089:FLH131089 FUY131089:FVD131089 GEU131089:GEZ131089 GOQ131089:GOV131089 GYM131089:GYR131089 HII131089:HIN131089 HSE131089:HSJ131089 ICA131089:ICF131089 ILW131089:IMB131089 IVS131089:IVX131089 JFO131089:JFT131089 JPK131089:JPP131089 JZG131089:JZL131089 KJC131089:KJH131089 KSY131089:KTD131089 LCU131089:LCZ131089 LMQ131089:LMV131089 LWM131089:LWR131089 MGI131089:MGN131089 MQE131089:MQJ131089 NAA131089:NAF131089 NJW131089:NKB131089 NTS131089:NTX131089 ODO131089:ODT131089 ONK131089:ONP131089 OXG131089:OXL131089 PHC131089:PHH131089 PQY131089:PRD131089 QAU131089:QAZ131089 QKQ131089:QKV131089 QUM131089:QUR131089 REI131089:REN131089 ROE131089:ROJ131089 RYA131089:RYF131089 SHW131089:SIB131089 SRS131089:SRX131089 TBO131089:TBT131089 TLK131089:TLP131089 TVG131089:TVL131089 UFC131089:UFH131089 UOY131089:UPD131089 UYU131089:UYZ131089 VIQ131089:VIV131089 VSM131089:VSR131089 WCI131089:WCN131089 WME131089:WMJ131089 WWA131089:WWF131089 X196625:AC196625 JO196625:JT196625 TK196625:TP196625 ADG196625:ADL196625 ANC196625:ANH196625 AWY196625:AXD196625 BGU196625:BGZ196625 BQQ196625:BQV196625 CAM196625:CAR196625 CKI196625:CKN196625 CUE196625:CUJ196625 DEA196625:DEF196625 DNW196625:DOB196625 DXS196625:DXX196625 EHO196625:EHT196625 ERK196625:ERP196625 FBG196625:FBL196625 FLC196625:FLH196625 FUY196625:FVD196625 GEU196625:GEZ196625 GOQ196625:GOV196625 GYM196625:GYR196625 HII196625:HIN196625 HSE196625:HSJ196625 ICA196625:ICF196625 ILW196625:IMB196625 IVS196625:IVX196625 JFO196625:JFT196625 JPK196625:JPP196625 JZG196625:JZL196625 KJC196625:KJH196625 KSY196625:KTD196625 LCU196625:LCZ196625 LMQ196625:LMV196625 LWM196625:LWR196625 MGI196625:MGN196625 MQE196625:MQJ196625 NAA196625:NAF196625 NJW196625:NKB196625 NTS196625:NTX196625 ODO196625:ODT196625 ONK196625:ONP196625 OXG196625:OXL196625 PHC196625:PHH196625 PQY196625:PRD196625 QAU196625:QAZ196625 QKQ196625:QKV196625 QUM196625:QUR196625 REI196625:REN196625 ROE196625:ROJ196625 RYA196625:RYF196625 SHW196625:SIB196625 SRS196625:SRX196625 TBO196625:TBT196625 TLK196625:TLP196625 TVG196625:TVL196625 UFC196625:UFH196625 UOY196625:UPD196625 UYU196625:UYZ196625 VIQ196625:VIV196625 VSM196625:VSR196625 WCI196625:WCN196625 WME196625:WMJ196625 WWA196625:WWF196625 X262161:AC262161 JO262161:JT262161 TK262161:TP262161 ADG262161:ADL262161 ANC262161:ANH262161 AWY262161:AXD262161 BGU262161:BGZ262161 BQQ262161:BQV262161 CAM262161:CAR262161 CKI262161:CKN262161 CUE262161:CUJ262161 DEA262161:DEF262161 DNW262161:DOB262161 DXS262161:DXX262161 EHO262161:EHT262161 ERK262161:ERP262161 FBG262161:FBL262161 FLC262161:FLH262161 FUY262161:FVD262161 GEU262161:GEZ262161 GOQ262161:GOV262161 GYM262161:GYR262161 HII262161:HIN262161 HSE262161:HSJ262161 ICA262161:ICF262161 ILW262161:IMB262161 IVS262161:IVX262161 JFO262161:JFT262161 JPK262161:JPP262161 JZG262161:JZL262161 KJC262161:KJH262161 KSY262161:KTD262161 LCU262161:LCZ262161 LMQ262161:LMV262161 LWM262161:LWR262161 MGI262161:MGN262161 MQE262161:MQJ262161 NAA262161:NAF262161 NJW262161:NKB262161 NTS262161:NTX262161 ODO262161:ODT262161 ONK262161:ONP262161 OXG262161:OXL262161 PHC262161:PHH262161 PQY262161:PRD262161 QAU262161:QAZ262161 QKQ262161:QKV262161 QUM262161:QUR262161 REI262161:REN262161 ROE262161:ROJ262161 RYA262161:RYF262161 SHW262161:SIB262161 SRS262161:SRX262161 TBO262161:TBT262161 TLK262161:TLP262161 TVG262161:TVL262161 UFC262161:UFH262161 UOY262161:UPD262161 UYU262161:UYZ262161 VIQ262161:VIV262161 VSM262161:VSR262161 WCI262161:WCN262161 WME262161:WMJ262161 WWA262161:WWF262161 X327697:AC327697 JO327697:JT327697 TK327697:TP327697 ADG327697:ADL327697 ANC327697:ANH327697 AWY327697:AXD327697 BGU327697:BGZ327697 BQQ327697:BQV327697 CAM327697:CAR327697 CKI327697:CKN327697 CUE327697:CUJ327697 DEA327697:DEF327697 DNW327697:DOB327697 DXS327697:DXX327697 EHO327697:EHT327697 ERK327697:ERP327697 FBG327697:FBL327697 FLC327697:FLH327697 FUY327697:FVD327697 GEU327697:GEZ327697 GOQ327697:GOV327697 GYM327697:GYR327697 HII327697:HIN327697 HSE327697:HSJ327697 ICA327697:ICF327697 ILW327697:IMB327697 IVS327697:IVX327697 JFO327697:JFT327697 JPK327697:JPP327697 JZG327697:JZL327697 KJC327697:KJH327697 KSY327697:KTD327697 LCU327697:LCZ327697 LMQ327697:LMV327697 LWM327697:LWR327697 MGI327697:MGN327697 MQE327697:MQJ327697 NAA327697:NAF327697 NJW327697:NKB327697 NTS327697:NTX327697 ODO327697:ODT327697 ONK327697:ONP327697 OXG327697:OXL327697 PHC327697:PHH327697 PQY327697:PRD327697 QAU327697:QAZ327697 QKQ327697:QKV327697 QUM327697:QUR327697 REI327697:REN327697 ROE327697:ROJ327697 RYA327697:RYF327697 SHW327697:SIB327697 SRS327697:SRX327697 TBO327697:TBT327697 TLK327697:TLP327697 TVG327697:TVL327697 UFC327697:UFH327697 UOY327697:UPD327697 UYU327697:UYZ327697 VIQ327697:VIV327697 VSM327697:VSR327697 WCI327697:WCN327697 WME327697:WMJ327697 WWA327697:WWF327697 X393233:AC393233 JO393233:JT393233 TK393233:TP393233 ADG393233:ADL393233 ANC393233:ANH393233 AWY393233:AXD393233 BGU393233:BGZ393233 BQQ393233:BQV393233 CAM393233:CAR393233 CKI393233:CKN393233 CUE393233:CUJ393233 DEA393233:DEF393233 DNW393233:DOB393233 DXS393233:DXX393233 EHO393233:EHT393233 ERK393233:ERP393233 FBG393233:FBL393233 FLC393233:FLH393233 FUY393233:FVD393233 GEU393233:GEZ393233 GOQ393233:GOV393233 GYM393233:GYR393233 HII393233:HIN393233 HSE393233:HSJ393233 ICA393233:ICF393233 ILW393233:IMB393233 IVS393233:IVX393233 JFO393233:JFT393233 JPK393233:JPP393233 JZG393233:JZL393233 KJC393233:KJH393233 KSY393233:KTD393233 LCU393233:LCZ393233 LMQ393233:LMV393233 LWM393233:LWR393233 MGI393233:MGN393233 MQE393233:MQJ393233 NAA393233:NAF393233 NJW393233:NKB393233 NTS393233:NTX393233 ODO393233:ODT393233 ONK393233:ONP393233 OXG393233:OXL393233 PHC393233:PHH393233 PQY393233:PRD393233 QAU393233:QAZ393233 QKQ393233:QKV393233 QUM393233:QUR393233 REI393233:REN393233 ROE393233:ROJ393233 RYA393233:RYF393233 SHW393233:SIB393233 SRS393233:SRX393233 TBO393233:TBT393233 TLK393233:TLP393233 TVG393233:TVL393233 UFC393233:UFH393233 UOY393233:UPD393233 UYU393233:UYZ393233 VIQ393233:VIV393233 VSM393233:VSR393233 WCI393233:WCN393233 WME393233:WMJ393233 WWA393233:WWF393233 X458769:AC458769 JO458769:JT458769 TK458769:TP458769 ADG458769:ADL458769 ANC458769:ANH458769 AWY458769:AXD458769 BGU458769:BGZ458769 BQQ458769:BQV458769 CAM458769:CAR458769 CKI458769:CKN458769 CUE458769:CUJ458769 DEA458769:DEF458769 DNW458769:DOB458769 DXS458769:DXX458769 EHO458769:EHT458769 ERK458769:ERP458769 FBG458769:FBL458769 FLC458769:FLH458769 FUY458769:FVD458769 GEU458769:GEZ458769 GOQ458769:GOV458769 GYM458769:GYR458769 HII458769:HIN458769 HSE458769:HSJ458769 ICA458769:ICF458769 ILW458769:IMB458769 IVS458769:IVX458769 JFO458769:JFT458769 JPK458769:JPP458769 JZG458769:JZL458769 KJC458769:KJH458769 KSY458769:KTD458769 LCU458769:LCZ458769 LMQ458769:LMV458769 LWM458769:LWR458769 MGI458769:MGN458769 MQE458769:MQJ458769 NAA458769:NAF458769 NJW458769:NKB458769 NTS458769:NTX458769 ODO458769:ODT458769 ONK458769:ONP458769 OXG458769:OXL458769 PHC458769:PHH458769 PQY458769:PRD458769 QAU458769:QAZ458769 QKQ458769:QKV458769 QUM458769:QUR458769 REI458769:REN458769 ROE458769:ROJ458769 RYA458769:RYF458769 SHW458769:SIB458769 SRS458769:SRX458769 TBO458769:TBT458769 TLK458769:TLP458769 TVG458769:TVL458769 UFC458769:UFH458769 UOY458769:UPD458769 UYU458769:UYZ458769 VIQ458769:VIV458769 VSM458769:VSR458769 WCI458769:WCN458769 WME458769:WMJ458769 WWA458769:WWF458769 X524305:AC524305 JO524305:JT524305 TK524305:TP524305 ADG524305:ADL524305 ANC524305:ANH524305 AWY524305:AXD524305 BGU524305:BGZ524305 BQQ524305:BQV524305 CAM524305:CAR524305 CKI524305:CKN524305 CUE524305:CUJ524305 DEA524305:DEF524305 DNW524305:DOB524305 DXS524305:DXX524305 EHO524305:EHT524305 ERK524305:ERP524305 FBG524305:FBL524305 FLC524305:FLH524305 FUY524305:FVD524305 GEU524305:GEZ524305 GOQ524305:GOV524305 GYM524305:GYR524305 HII524305:HIN524305 HSE524305:HSJ524305 ICA524305:ICF524305 ILW524305:IMB524305 IVS524305:IVX524305 JFO524305:JFT524305 JPK524305:JPP524305 JZG524305:JZL524305 KJC524305:KJH524305 KSY524305:KTD524305 LCU524305:LCZ524305 LMQ524305:LMV524305 LWM524305:LWR524305 MGI524305:MGN524305 MQE524305:MQJ524305 NAA524305:NAF524305 NJW524305:NKB524305 NTS524305:NTX524305 ODO524305:ODT524305 ONK524305:ONP524305 OXG524305:OXL524305 PHC524305:PHH524305 PQY524305:PRD524305 QAU524305:QAZ524305 QKQ524305:QKV524305 QUM524305:QUR524305 REI524305:REN524305 ROE524305:ROJ524305 RYA524305:RYF524305 SHW524305:SIB524305 SRS524305:SRX524305 TBO524305:TBT524305 TLK524305:TLP524305 TVG524305:TVL524305 UFC524305:UFH524305 UOY524305:UPD524305 UYU524305:UYZ524305 VIQ524305:VIV524305 VSM524305:VSR524305 WCI524305:WCN524305 WME524305:WMJ524305 WWA524305:WWF524305 X589841:AC589841 JO589841:JT589841 TK589841:TP589841 ADG589841:ADL589841 ANC589841:ANH589841 AWY589841:AXD589841 BGU589841:BGZ589841 BQQ589841:BQV589841 CAM589841:CAR589841 CKI589841:CKN589841 CUE589841:CUJ589841 DEA589841:DEF589841 DNW589841:DOB589841 DXS589841:DXX589841 EHO589841:EHT589841 ERK589841:ERP589841 FBG589841:FBL589841 FLC589841:FLH589841 FUY589841:FVD589841 GEU589841:GEZ589841 GOQ589841:GOV589841 GYM589841:GYR589841 HII589841:HIN589841 HSE589841:HSJ589841 ICA589841:ICF589841 ILW589841:IMB589841 IVS589841:IVX589841 JFO589841:JFT589841 JPK589841:JPP589841 JZG589841:JZL589841 KJC589841:KJH589841 KSY589841:KTD589841 LCU589841:LCZ589841 LMQ589841:LMV589841 LWM589841:LWR589841 MGI589841:MGN589841 MQE589841:MQJ589841 NAA589841:NAF589841 NJW589841:NKB589841 NTS589841:NTX589841 ODO589841:ODT589841 ONK589841:ONP589841 OXG589841:OXL589841 PHC589841:PHH589841 PQY589841:PRD589841 QAU589841:QAZ589841 QKQ589841:QKV589841 QUM589841:QUR589841 REI589841:REN589841 ROE589841:ROJ589841 RYA589841:RYF589841 SHW589841:SIB589841 SRS589841:SRX589841 TBO589841:TBT589841 TLK589841:TLP589841 TVG589841:TVL589841 UFC589841:UFH589841 UOY589841:UPD589841 UYU589841:UYZ589841 VIQ589841:VIV589841 VSM589841:VSR589841 WCI589841:WCN589841 WME589841:WMJ589841 WWA589841:WWF589841 X655377:AC655377 JO655377:JT655377 TK655377:TP655377 ADG655377:ADL655377 ANC655377:ANH655377 AWY655377:AXD655377 BGU655377:BGZ655377 BQQ655377:BQV655377 CAM655377:CAR655377 CKI655377:CKN655377 CUE655377:CUJ655377 DEA655377:DEF655377 DNW655377:DOB655377 DXS655377:DXX655377 EHO655377:EHT655377 ERK655377:ERP655377 FBG655377:FBL655377 FLC655377:FLH655377 FUY655377:FVD655377 GEU655377:GEZ655377 GOQ655377:GOV655377 GYM655377:GYR655377 HII655377:HIN655377 HSE655377:HSJ655377 ICA655377:ICF655377 ILW655377:IMB655377 IVS655377:IVX655377 JFO655377:JFT655377 JPK655377:JPP655377 JZG655377:JZL655377 KJC655377:KJH655377 KSY655377:KTD655377 LCU655377:LCZ655377 LMQ655377:LMV655377 LWM655377:LWR655377 MGI655377:MGN655377 MQE655377:MQJ655377 NAA655377:NAF655377 NJW655377:NKB655377 NTS655377:NTX655377 ODO655377:ODT655377 ONK655377:ONP655377 OXG655377:OXL655377 PHC655377:PHH655377 PQY655377:PRD655377 QAU655377:QAZ655377 QKQ655377:QKV655377 QUM655377:QUR655377 REI655377:REN655377 ROE655377:ROJ655377 RYA655377:RYF655377 SHW655377:SIB655377 SRS655377:SRX655377 TBO655377:TBT655377 TLK655377:TLP655377 TVG655377:TVL655377 UFC655377:UFH655377 UOY655377:UPD655377 UYU655377:UYZ655377 VIQ655377:VIV655377 VSM655377:VSR655377 WCI655377:WCN655377 WME655377:WMJ655377 WWA655377:WWF655377 X720913:AC720913 JO720913:JT720913 TK720913:TP720913 ADG720913:ADL720913 ANC720913:ANH720913 AWY720913:AXD720913 BGU720913:BGZ720913 BQQ720913:BQV720913 CAM720913:CAR720913 CKI720913:CKN720913 CUE720913:CUJ720913 DEA720913:DEF720913 DNW720913:DOB720913 DXS720913:DXX720913 EHO720913:EHT720913 ERK720913:ERP720913 FBG720913:FBL720913 FLC720913:FLH720913 FUY720913:FVD720913 GEU720913:GEZ720913 GOQ720913:GOV720913 GYM720913:GYR720913 HII720913:HIN720913 HSE720913:HSJ720913 ICA720913:ICF720913 ILW720913:IMB720913 IVS720913:IVX720913 JFO720913:JFT720913 JPK720913:JPP720913 JZG720913:JZL720913 KJC720913:KJH720913 KSY720913:KTD720913 LCU720913:LCZ720913 LMQ720913:LMV720913 LWM720913:LWR720913 MGI720913:MGN720913 MQE720913:MQJ720913 NAA720913:NAF720913 NJW720913:NKB720913 NTS720913:NTX720913 ODO720913:ODT720913 ONK720913:ONP720913 OXG720913:OXL720913 PHC720913:PHH720913 PQY720913:PRD720913 QAU720913:QAZ720913 QKQ720913:QKV720913 QUM720913:QUR720913 REI720913:REN720913 ROE720913:ROJ720913 RYA720913:RYF720913 SHW720913:SIB720913 SRS720913:SRX720913 TBO720913:TBT720913 TLK720913:TLP720913 TVG720913:TVL720913 UFC720913:UFH720913 UOY720913:UPD720913 UYU720913:UYZ720913 VIQ720913:VIV720913 VSM720913:VSR720913 WCI720913:WCN720913 WME720913:WMJ720913 WWA720913:WWF720913 X786449:AC786449 JO786449:JT786449 TK786449:TP786449 ADG786449:ADL786449 ANC786449:ANH786449 AWY786449:AXD786449 BGU786449:BGZ786449 BQQ786449:BQV786449 CAM786449:CAR786449 CKI786449:CKN786449 CUE786449:CUJ786449 DEA786449:DEF786449 DNW786449:DOB786449 DXS786449:DXX786449 EHO786449:EHT786449 ERK786449:ERP786449 FBG786449:FBL786449 FLC786449:FLH786449 FUY786449:FVD786449 GEU786449:GEZ786449 GOQ786449:GOV786449 GYM786449:GYR786449 HII786449:HIN786449 HSE786449:HSJ786449 ICA786449:ICF786449 ILW786449:IMB786449 IVS786449:IVX786449 JFO786449:JFT786449 JPK786449:JPP786449 JZG786449:JZL786449 KJC786449:KJH786449 KSY786449:KTD786449 LCU786449:LCZ786449 LMQ786449:LMV786449 LWM786449:LWR786449 MGI786449:MGN786449 MQE786449:MQJ786449 NAA786449:NAF786449 NJW786449:NKB786449 NTS786449:NTX786449 ODO786449:ODT786449 ONK786449:ONP786449 OXG786449:OXL786449 PHC786449:PHH786449 PQY786449:PRD786449 QAU786449:QAZ786449 QKQ786449:QKV786449 QUM786449:QUR786449 REI786449:REN786449 ROE786449:ROJ786449 RYA786449:RYF786449 SHW786449:SIB786449 SRS786449:SRX786449 TBO786449:TBT786449 TLK786449:TLP786449 TVG786449:TVL786449 UFC786449:UFH786449 UOY786449:UPD786449 UYU786449:UYZ786449 VIQ786449:VIV786449 VSM786449:VSR786449 WCI786449:WCN786449 WME786449:WMJ786449 WWA786449:WWF786449 X851985:AC851985 JO851985:JT851985 TK851985:TP851985 ADG851985:ADL851985 ANC851985:ANH851985 AWY851985:AXD851985 BGU851985:BGZ851985 BQQ851985:BQV851985 CAM851985:CAR851985 CKI851985:CKN851985 CUE851985:CUJ851985 DEA851985:DEF851985 DNW851985:DOB851985 DXS851985:DXX851985 EHO851985:EHT851985 ERK851985:ERP851985 FBG851985:FBL851985 FLC851985:FLH851985 FUY851985:FVD851985 GEU851985:GEZ851985 GOQ851985:GOV851985 GYM851985:GYR851985 HII851985:HIN851985 HSE851985:HSJ851985 ICA851985:ICF851985 ILW851985:IMB851985 IVS851985:IVX851985 JFO851985:JFT851985 JPK851985:JPP851985 JZG851985:JZL851985 KJC851985:KJH851985 KSY851985:KTD851985 LCU851985:LCZ851985 LMQ851985:LMV851985 LWM851985:LWR851985 MGI851985:MGN851985 MQE851985:MQJ851985 NAA851985:NAF851985 NJW851985:NKB851985 NTS851985:NTX851985 ODO851985:ODT851985 ONK851985:ONP851985 OXG851985:OXL851985 PHC851985:PHH851985 PQY851985:PRD851985 QAU851985:QAZ851985 QKQ851985:QKV851985 QUM851985:QUR851985 REI851985:REN851985 ROE851985:ROJ851985 RYA851985:RYF851985 SHW851985:SIB851985 SRS851985:SRX851985 TBO851985:TBT851985 TLK851985:TLP851985 TVG851985:TVL851985 UFC851985:UFH851985 UOY851985:UPD851985 UYU851985:UYZ851985 VIQ851985:VIV851985 VSM851985:VSR851985 WCI851985:WCN851985 WME851985:WMJ851985 WWA851985:WWF851985 X917521:AC917521 JO917521:JT917521 TK917521:TP917521 ADG917521:ADL917521 ANC917521:ANH917521 AWY917521:AXD917521 BGU917521:BGZ917521 BQQ917521:BQV917521 CAM917521:CAR917521 CKI917521:CKN917521 CUE917521:CUJ917521 DEA917521:DEF917521 DNW917521:DOB917521 DXS917521:DXX917521 EHO917521:EHT917521 ERK917521:ERP917521 FBG917521:FBL917521 FLC917521:FLH917521 FUY917521:FVD917521 GEU917521:GEZ917521 GOQ917521:GOV917521 GYM917521:GYR917521 HII917521:HIN917521 HSE917521:HSJ917521 ICA917521:ICF917521 ILW917521:IMB917521 IVS917521:IVX917521 JFO917521:JFT917521 JPK917521:JPP917521 JZG917521:JZL917521 KJC917521:KJH917521 KSY917521:KTD917521 LCU917521:LCZ917521 LMQ917521:LMV917521 LWM917521:LWR917521 MGI917521:MGN917521 MQE917521:MQJ917521 NAA917521:NAF917521 NJW917521:NKB917521 NTS917521:NTX917521 ODO917521:ODT917521 ONK917521:ONP917521 OXG917521:OXL917521 PHC917521:PHH917521 PQY917521:PRD917521 QAU917521:QAZ917521 QKQ917521:QKV917521 QUM917521:QUR917521 REI917521:REN917521 ROE917521:ROJ917521 RYA917521:RYF917521 SHW917521:SIB917521 SRS917521:SRX917521 TBO917521:TBT917521 TLK917521:TLP917521 TVG917521:TVL917521 UFC917521:UFH917521 UOY917521:UPD917521 UYU917521:UYZ917521 VIQ917521:VIV917521 VSM917521:VSR917521 WCI917521:WCN917521 WME917521:WMJ917521 WWA917521:WWF917521 X983057:AC983057 JO983057:JT983057 TK983057:TP983057 ADG983057:ADL983057 ANC983057:ANH983057 AWY983057:AXD983057 BGU983057:BGZ983057 BQQ983057:BQV983057 CAM983057:CAR983057 CKI983057:CKN983057 CUE983057:CUJ983057 DEA983057:DEF983057 DNW983057:DOB983057 DXS983057:DXX983057 EHO983057:EHT983057 ERK983057:ERP983057 FBG983057:FBL983057 FLC983057:FLH983057 FUY983057:FVD983057 GEU983057:GEZ983057 GOQ983057:GOV983057 GYM983057:GYR983057 HII983057:HIN983057 HSE983057:HSJ983057 ICA983057:ICF983057 ILW983057:IMB983057 IVS983057:IVX983057 JFO983057:JFT983057 JPK983057:JPP983057 JZG983057:JZL983057 KJC983057:KJH983057 KSY983057:KTD983057 LCU983057:LCZ983057 LMQ983057:LMV983057 LWM983057:LWR983057 MGI983057:MGN983057 MQE983057:MQJ983057 NAA983057:NAF983057 NJW983057:NKB983057 NTS983057:NTX983057 ODO983057:ODT983057 ONK983057:ONP983057 OXG983057:OXL983057 PHC983057:PHH983057 PQY983057:PRD983057 QAU983057:QAZ983057 QKQ983057:QKV983057 QUM983057:QUR983057 REI983057:REN983057 ROE983057:ROJ983057 RYA983057:RYF983057 SHW983057:SIB983057 SRS983057:SRX983057 TBO983057:TBT983057 TLK983057:TLP983057 TVG983057:TVL983057 UFC983057:UFH983057 UOY983057:UPD983057 UYU983057:UYZ983057 VIQ983057:VIV983057 VSM983057:VSR983057 WCI983057:WCN983057 WME983057:WMJ983057 WWA983057:WWF983057">
      <formula1>"EUC,JIS,Shift-JIS,windows-31j,Unicode(UTF-8)"</formula1>
    </dataValidation>
    <dataValidation type="list" allowBlank="1" showInputMessage="1" showErrorMessage="1" sqref="BD18:BD35 BD11:BD16 BD37:BD39">
      <formula1>"前詰,後詰,"</formula1>
    </dataValidation>
    <dataValidation type="list" allowBlank="1" showInputMessage="1" showErrorMessage="1" sqref="AH11:AI16 AH18:AI35 AH37:AI39">
      <formula1>"-,▲,,その他"</formula1>
    </dataValidation>
    <dataValidation type="list" allowBlank="1" showInputMessage="1" showErrorMessage="1" sqref="AF11:AG16 AF18:AG35 AF37:AG39">
      <formula1>"+,その他"</formula1>
    </dataValidation>
    <dataValidation type="list" allowBlank="1" showInputMessage="1" showErrorMessage="1" sqref="BB11:BB16 BB18:BB35 BB37:BB39">
      <formula1>"昇順,降順,"</formula1>
    </dataValidation>
    <dataValidation type="list" allowBlank="1" showInputMessage="1" showErrorMessage="1" sqref="AX11:AX16 AX18:AX35 AX37:AX39">
      <formula1>"○,,"</formula1>
    </dataValidation>
  </dataValidations>
  <printOptions horizontalCentered="1"/>
  <pageMargins left="0.15748031496062992" right="0.15748031496062992" top="0.55118110236220474" bottom="0.31496062992125984" header="0.35433070866141736" footer="0.15748031496062992"/>
  <pageSetup paperSize="9" scale="68" fitToHeight="0" orientation="landscape" r:id="rId1"/>
  <headerFooter alignWithMargins="0">
    <oddFooter>&amp;R&amp;"Tahoma,標準"&amp;10Copyright 2017 FUJITSU LIMITED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更新履歴</vt:lpstr>
      <vt:lpstr>楽天Edy</vt:lpstr>
      <vt:lpstr>楽天Edy!Print_Area</vt:lpstr>
      <vt:lpstr>楽天Edy!Print_Titles</vt:lpstr>
    </vt:vector>
  </TitlesOfParts>
  <Manager>富士通株式会社</Manager>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QQDTP248-user</dc:creator>
  <cp:lastModifiedBy>RD12PC131N-user</cp:lastModifiedBy>
  <cp:lastPrinted>2017-12-22T02:35:47Z</cp:lastPrinted>
  <dcterms:created xsi:type="dcterms:W3CDTF">2010-03-17T10:42:08Z</dcterms:created>
  <dcterms:modified xsi:type="dcterms:W3CDTF">2017-12-22T02:38:13Z</dcterms:modified>
</cp:coreProperties>
</file>