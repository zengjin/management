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D12PC131N-user\AppData\Roaming\FJADriveWork\1\Work\"/>
    </mc:Choice>
  </mc:AlternateContent>
  <bookViews>
    <workbookView xWindow="945" yWindow="180" windowWidth="15480" windowHeight="9945" tabRatio="858" activeTab="1"/>
  </bookViews>
  <sheets>
    <sheet name="更新履歴" sheetId="1" r:id="rId1"/>
    <sheet name="QUICPay" sheetId="5" r:id="rId2"/>
  </sheets>
  <externalReferences>
    <externalReference r:id="rId3"/>
  </externalReferences>
  <definedNames>
    <definedName name="_Fill" localSheetId="1" hidden="1">#REF!</definedName>
    <definedName name="_Fill" hidden="1">#REF!</definedName>
    <definedName name="_xlnm._FilterDatabase" localSheetId="1" hidden="1">QUICPay!$B$9:$CG$30</definedName>
    <definedName name="_Key1" localSheetId="1" hidden="1">#REF!</definedName>
    <definedName name="_Key1" hidden="1">#REF!</definedName>
    <definedName name="_Key2" hidden="1">[1]案件元帳!$C$5:$C$80</definedName>
    <definedName name="_Order1" hidden="1">255</definedName>
    <definedName name="_Order2" hidden="1">255</definedName>
    <definedName name="_Regression_X" localSheetId="1" hidden="1">#REF!</definedName>
    <definedName name="_Regression_X" hidden="1">#REF!</definedName>
    <definedName name="_Sort" localSheetId="1" hidden="1">#REF!</definedName>
    <definedName name="_Sort" hidden="1">#REF!</definedName>
    <definedName name="aaaa" localSheetId="1" hidden="1">{"'フローチャート'!$A$1:$AO$191"}</definedName>
    <definedName name="aaaa" hidden="1">{"'フローチャート'!$A$1:$AO$191"}</definedName>
    <definedName name="aaaaaaaaaaaaaaaa" localSheetId="1" hidden="1">#REF!</definedName>
    <definedName name="aaaaaaaaaaaaaaaa" hidden="1">#REF!</definedName>
    <definedName name="aaaaaaaaaaaaaaaaaaaaa" localSheetId="1" hidden="1">#REF!</definedName>
    <definedName name="aaaaaaaaaaaaaaaaaaaaa" hidden="1">#REF!</definedName>
    <definedName name="ＧＷメッセージ一覧" localSheetId="1" hidden="1">#REF!</definedName>
    <definedName name="ＧＷメッセージ一覧" hidden="1">#REF!</definedName>
    <definedName name="HTML_CodePage" hidden="1">932</definedName>
    <definedName name="HTML_Control" localSheetId="1"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1" hidden="1">#REF!</definedName>
    <definedName name="Ｉ" hidden="1">#REF!</definedName>
    <definedName name="ｊ" localSheetId="1" hidden="1">#REF!</definedName>
    <definedName name="ｊ" hidden="1">#REF!</definedName>
    <definedName name="ｋ" localSheetId="1" hidden="1">#REF!</definedName>
    <definedName name="ｋ" hidden="1">#REF!</definedName>
    <definedName name="ｌ" localSheetId="1" hidden="1">#REF!</definedName>
    <definedName name="ｌ" hidden="1">#REF!</definedName>
    <definedName name="ＬＬＬＬＬ" localSheetId="1" hidden="1">#REF!</definedName>
    <definedName name="ＬＬＬＬＬ" hidden="1">#REF!</definedName>
    <definedName name="ｍ" localSheetId="1" hidden="1">#REF!</definedName>
    <definedName name="ｍ" hidden="1">#REF!</definedName>
    <definedName name="ｎ" localSheetId="1" hidden="1">#REF!</definedName>
    <definedName name="ｎ" hidden="1">#REF!</definedName>
    <definedName name="ｐ" localSheetId="1" hidden="1">#REF!</definedName>
    <definedName name="ｐ" hidden="1">#REF!</definedName>
    <definedName name="_xlnm.Print_Area" localSheetId="1">QUICPay!$A$1:$CD$32</definedName>
    <definedName name="_xlnm.Print_Titles" localSheetId="1">QUICPay!$1:$9</definedName>
    <definedName name="ＱＱ" localSheetId="1" hidden="1">{"'フローチャート'!$A$1:$AO$191"}</definedName>
    <definedName name="ＱＱ" hidden="1">{"'フローチャート'!$A$1:$AO$191"}</definedName>
    <definedName name="test" localSheetId="1" hidden="1">#REF!</definedName>
    <definedName name="test" hidden="1">#REF!</definedName>
    <definedName name="u" localSheetId="1" hidden="1">#REF!</definedName>
    <definedName name="u" hidden="1">#REF!</definedName>
    <definedName name="WW" localSheetId="1" hidden="1">#REF!</definedName>
    <definedName name="WW" hidden="1">#REF!</definedName>
    <definedName name="z" localSheetId="1" hidden="1">#REF!</definedName>
    <definedName name="z" hidden="1">#REF!</definedName>
    <definedName name="あ" localSheetId="1" hidden="1">{"'フローチャート'!$A$1:$AO$191"}</definedName>
    <definedName name="あ" hidden="1">{"'フローチャート'!$A$1:$AO$191"}</definedName>
    <definedName name="ああああ" localSheetId="1" hidden="1">#REF!</definedName>
    <definedName name="ああああ" hidden="1">#REF!</definedName>
    <definedName name="プレーヤー区分" localSheetId="1" hidden="1">#REF!</definedName>
    <definedName name="プレーヤー区分" hidden="1">#REF!</definedName>
    <definedName name="安藤" localSheetId="1" hidden="1">#REF!</definedName>
    <definedName name="安藤" hidden="1">#REF!</definedName>
    <definedName name="改ページ" localSheetId="1" hidden="1">#REF!</definedName>
    <definedName name="改ページ" hidden="1">#REF!</definedName>
    <definedName name="関連表" localSheetId="1" hidden="1">#REF!</definedName>
    <definedName name="関連表" hidden="1">#REF!</definedName>
    <definedName name="住所区分" localSheetId="1" hidden="1">#REF!</definedName>
    <definedName name="住所区分" hidden="1">#REF!</definedName>
    <definedName name="束原" localSheetId="1" hidden="1">#REF!</definedName>
    <definedName name="束原" hidden="1">#REF!</definedName>
    <definedName name="表1" localSheetId="1" hidden="1">#REF!</definedName>
    <definedName name="表1" hidden="1">#REF!</definedName>
  </definedNames>
  <calcPr calcId="152511"/>
</workbook>
</file>

<file path=xl/calcChain.xml><?xml version="1.0" encoding="utf-8"?>
<calcChain xmlns="http://schemas.openxmlformats.org/spreadsheetml/2006/main">
  <c r="AJ31" i="5" l="1"/>
  <c r="AJ30" i="5"/>
  <c r="AL29" i="5"/>
  <c r="AJ29" i="5"/>
  <c r="AL30" i="5" s="1"/>
  <c r="AJ27" i="5"/>
  <c r="AJ26" i="5"/>
  <c r="AJ25" i="5"/>
  <c r="AJ24" i="5"/>
  <c r="AJ23" i="5"/>
  <c r="AJ22" i="5"/>
  <c r="AJ21" i="5"/>
  <c r="AJ20" i="5"/>
  <c r="AJ19" i="5"/>
  <c r="AL18" i="5"/>
  <c r="AJ18" i="5"/>
  <c r="AJ16" i="5"/>
  <c r="AJ15" i="5"/>
  <c r="AJ14" i="5"/>
  <c r="AJ13" i="5"/>
  <c r="AJ12" i="5"/>
  <c r="B12" i="5"/>
  <c r="AL11" i="5"/>
  <c r="AJ11" i="5"/>
  <c r="AL12" i="5" l="1"/>
  <c r="AL13" i="5" s="1"/>
  <c r="AL14" i="5" s="1"/>
  <c r="AL15" i="5" s="1"/>
  <c r="AL16" i="5" s="1"/>
  <c r="AL19" i="5"/>
  <c r="AL31" i="5"/>
  <c r="AL20" i="5"/>
  <c r="AL21" i="5" s="1"/>
  <c r="AL22" i="5" s="1"/>
  <c r="AL23" i="5" s="1"/>
  <c r="AL24" i="5" s="1"/>
  <c r="AL25" i="5" s="1"/>
  <c r="AL26" i="5" s="1"/>
  <c r="AL27" i="5" s="1"/>
  <c r="B13" i="5"/>
  <c r="Y7" i="5"/>
  <c r="B14" i="5" l="1"/>
  <c r="A11" i="1"/>
  <c r="B15" i="5" l="1"/>
  <c r="A22" i="1"/>
  <c r="A21" i="1"/>
  <c r="A20" i="1"/>
  <c r="A19" i="1"/>
  <c r="A18" i="1"/>
  <c r="A17" i="1"/>
  <c r="A16" i="1"/>
  <c r="A15" i="1"/>
  <c r="A14" i="1"/>
  <c r="A13" i="1"/>
  <c r="A12" i="1"/>
  <c r="A10" i="1"/>
  <c r="A9" i="1"/>
  <c r="A8" i="1"/>
  <c r="A7" i="1"/>
  <c r="A6" i="1"/>
  <c r="A31" i="1"/>
  <c r="A30" i="1"/>
  <c r="A29" i="1"/>
  <c r="A28" i="1"/>
  <c r="A27" i="1"/>
  <c r="A26" i="1"/>
  <c r="A25" i="1"/>
  <c r="A24" i="1"/>
  <c r="A23" i="1"/>
  <c r="B16" i="5" l="1"/>
  <c r="B18" i="5" s="1"/>
  <c r="A32" i="1"/>
  <c r="B19" i="5" l="1"/>
  <c r="A33" i="1"/>
  <c r="A5" i="1"/>
  <c r="B20" i="5" l="1"/>
  <c r="B21" i="5" s="1"/>
  <c r="B22" i="5" s="1"/>
  <c r="B23" i="5" l="1"/>
  <c r="B24" i="5" s="1"/>
  <c r="B25" i="5" l="1"/>
  <c r="B26" i="5" s="1"/>
  <c r="B27" i="5" s="1"/>
  <c r="B29" i="5" s="1"/>
  <c r="B30" i="5" s="1"/>
  <c r="B31" i="5" s="1"/>
</calcChain>
</file>

<file path=xl/sharedStrings.xml><?xml version="1.0" encoding="utf-8"?>
<sst xmlns="http://schemas.openxmlformats.org/spreadsheetml/2006/main" count="184" uniqueCount="114">
  <si>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</si>
  <si>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</si>
  <si>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</si>
  <si>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</si>
  <si>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</si>
  <si>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更新履歴</t>
    <rPh sb="0" eb="2">
      <t>コウシン</t>
    </rPh>
    <rPh sb="2" eb="4">
      <t>リレキ</t>
    </rPh>
    <phoneticPr fontId="4"/>
  </si>
  <si>
    <t>№</t>
    <phoneticPr fontId="4"/>
  </si>
  <si>
    <t>更新日付</t>
    <rPh sb="0" eb="2">
      <t>コウシン</t>
    </rPh>
    <rPh sb="2" eb="4">
      <t>ヒヅケ</t>
    </rPh>
    <phoneticPr fontId="4"/>
  </si>
  <si>
    <t>更新資料（シート名）</t>
    <rPh sb="0" eb="2">
      <t>コウシン</t>
    </rPh>
    <rPh sb="2" eb="4">
      <t>シリョウ</t>
    </rPh>
    <rPh sb="8" eb="9">
      <t>メイ</t>
    </rPh>
    <phoneticPr fontId="4"/>
  </si>
  <si>
    <t>更新内容</t>
    <rPh sb="0" eb="2">
      <t>コウシン</t>
    </rPh>
    <rPh sb="2" eb="4">
      <t>ナイヨウ</t>
    </rPh>
    <phoneticPr fontId="4"/>
  </si>
  <si>
    <t>更新者名</t>
    <rPh sb="0" eb="3">
      <t>コウシンシャ</t>
    </rPh>
    <rPh sb="3" eb="4">
      <t>メイ</t>
    </rPh>
    <phoneticPr fontId="4"/>
  </si>
  <si>
    <t>備考</t>
    <rPh sb="0" eb="2">
      <t>ビコウ</t>
    </rPh>
    <phoneticPr fontId="4"/>
  </si>
  <si>
    <t>富士通</t>
    <rPh sb="0" eb="3">
      <t>フジツウ</t>
    </rPh>
    <phoneticPr fontId="4"/>
  </si>
  <si>
    <t>第1版</t>
    <rPh sb="0" eb="1">
      <t>ダイ</t>
    </rPh>
    <rPh sb="2" eb="3">
      <t>ハン</t>
    </rPh>
    <phoneticPr fontId="4"/>
  </si>
  <si>
    <t>全シート</t>
    <rPh sb="0" eb="1">
      <t>ゼン</t>
    </rPh>
    <phoneticPr fontId="4"/>
  </si>
  <si>
    <t>初版</t>
    <rPh sb="0" eb="2">
      <t>ショハン</t>
    </rPh>
    <phoneticPr fontId="4"/>
  </si>
  <si>
    <t>ユーザインタフェース
設計書</t>
    <rPh sb="11" eb="13">
      <t>セッケイ</t>
    </rPh>
    <phoneticPr fontId="4"/>
  </si>
  <si>
    <t>　ファイル定義</t>
    <rPh sb="5" eb="7">
      <t>テイギ</t>
    </rPh>
    <phoneticPr fontId="4"/>
  </si>
  <si>
    <t>　文字コード</t>
    <rPh sb="1" eb="3">
      <t>モジ</t>
    </rPh>
    <phoneticPr fontId="4"/>
  </si>
  <si>
    <t>Shift-JIS</t>
  </si>
  <si>
    <t>　補足説明</t>
    <rPh sb="1" eb="3">
      <t>ホソク</t>
    </rPh>
    <rPh sb="3" eb="5">
      <t>セツメイ</t>
    </rPh>
    <phoneticPr fontId="4"/>
  </si>
  <si>
    <t>　ファイル名</t>
    <rPh sb="5" eb="6">
      <t>メイ</t>
    </rPh>
    <phoneticPr fontId="4"/>
  </si>
  <si>
    <t>　改行コード</t>
    <rPh sb="1" eb="3">
      <t>カイギョウ</t>
    </rPh>
    <phoneticPr fontId="4"/>
  </si>
  <si>
    <t>　レコード物理サイズ</t>
    <rPh sb="5" eb="7">
      <t>ブツリ</t>
    </rPh>
    <phoneticPr fontId="4"/>
  </si>
  <si>
    <t>※Type ⇒ N：全角文字、X：半角英数、9：十進数、±9：外部十進数、S9:内部十進数、9C3：パック型十進数、S9C3：パック型内部十進数</t>
    <rPh sb="10" eb="12">
      <t>ゼンカク</t>
    </rPh>
    <rPh sb="12" eb="14">
      <t>モジ</t>
    </rPh>
    <rPh sb="17" eb="19">
      <t>ハンカク</t>
    </rPh>
    <rPh sb="19" eb="21">
      <t>エイスウ</t>
    </rPh>
    <rPh sb="24" eb="25">
      <t>ジュウ</t>
    </rPh>
    <rPh sb="25" eb="27">
      <t>シンスウ</t>
    </rPh>
    <rPh sb="31" eb="33">
      <t>ガイブ</t>
    </rPh>
    <rPh sb="33" eb="36">
      <t>ジュウシンスウ</t>
    </rPh>
    <rPh sb="40" eb="42">
      <t>ナイブ</t>
    </rPh>
    <rPh sb="42" eb="44">
      <t>ジッシン</t>
    </rPh>
    <rPh sb="44" eb="45">
      <t>スウ</t>
    </rPh>
    <rPh sb="66" eb="67">
      <t>カタ</t>
    </rPh>
    <rPh sb="67" eb="69">
      <t>ナイブ</t>
    </rPh>
    <rPh sb="69" eb="71">
      <t>ジッシン</t>
    </rPh>
    <rPh sb="71" eb="72">
      <t>スウ</t>
    </rPh>
    <phoneticPr fontId="4"/>
  </si>
  <si>
    <t>項目論理名称（和名）</t>
    <rPh sb="0" eb="2">
      <t>コウモク</t>
    </rPh>
    <rPh sb="2" eb="4">
      <t>ロンリ</t>
    </rPh>
    <rPh sb="4" eb="6">
      <t>メイショウ</t>
    </rPh>
    <rPh sb="7" eb="9">
      <t>ワメイ</t>
    </rPh>
    <phoneticPr fontId="4"/>
  </si>
  <si>
    <t>項目論理名称（英名）</t>
    <rPh sb="0" eb="2">
      <t>コウモク</t>
    </rPh>
    <rPh sb="2" eb="4">
      <t>ロンリ</t>
    </rPh>
    <rPh sb="4" eb="6">
      <t>メイショウ</t>
    </rPh>
    <rPh sb="7" eb="9">
      <t>エイメイ</t>
    </rPh>
    <phoneticPr fontId="4"/>
  </si>
  <si>
    <t>Type</t>
    <phoneticPr fontId="4"/>
  </si>
  <si>
    <t>繰り返し数</t>
    <rPh sb="0" eb="1">
      <t>ク</t>
    </rPh>
    <rPh sb="2" eb="3">
      <t>カエ</t>
    </rPh>
    <rPh sb="4" eb="5">
      <t>スウ</t>
    </rPh>
    <phoneticPr fontId="4"/>
  </si>
  <si>
    <t>階層レベル</t>
    <rPh sb="0" eb="2">
      <t>カイソウ</t>
    </rPh>
    <phoneticPr fontId="4"/>
  </si>
  <si>
    <t>桁数
整数</t>
    <rPh sb="0" eb="2">
      <t>ケタスウ</t>
    </rPh>
    <rPh sb="3" eb="5">
      <t>セイスウ</t>
    </rPh>
    <phoneticPr fontId="4"/>
  </si>
  <si>
    <t>桁数
小数</t>
    <rPh sb="0" eb="2">
      <t>ケタスウ</t>
    </rPh>
    <rPh sb="3" eb="5">
      <t>ショウスウ</t>
    </rPh>
    <phoneticPr fontId="4"/>
  </si>
  <si>
    <t>位置</t>
    <rPh sb="0" eb="2">
      <t>イチ</t>
    </rPh>
    <phoneticPr fontId="4"/>
  </si>
  <si>
    <t>有効桁
ﾌｫｰﾏｯﾄ</t>
    <rPh sb="0" eb="2">
      <t>ユウコウ</t>
    </rPh>
    <rPh sb="2" eb="3">
      <t>ケタ</t>
    </rPh>
    <phoneticPr fontId="4"/>
  </si>
  <si>
    <t>初期値</t>
    <rPh sb="0" eb="3">
      <t>ショキチ</t>
    </rPh>
    <phoneticPr fontId="4"/>
  </si>
  <si>
    <t>項目説明</t>
    <rPh sb="0" eb="2">
      <t>コウモク</t>
    </rPh>
    <rPh sb="2" eb="4">
      <t>セツメイ</t>
    </rPh>
    <phoneticPr fontId="4"/>
  </si>
  <si>
    <t>X</t>
  </si>
  <si>
    <t>インターフェース項目定義</t>
    <rPh sb="8" eb="10">
      <t>コウモク</t>
    </rPh>
    <rPh sb="10" eb="12">
      <t>テイギ</t>
    </rPh>
    <phoneticPr fontId="4"/>
  </si>
  <si>
    <t>必須</t>
    <rPh sb="0" eb="2">
      <t>ヒッス</t>
    </rPh>
    <phoneticPr fontId="4"/>
  </si>
  <si>
    <t>ソート優先順</t>
    <rPh sb="3" eb="5">
      <t>ユウセン</t>
    </rPh>
    <rPh sb="5" eb="6">
      <t>ジュン</t>
    </rPh>
    <phoneticPr fontId="4"/>
  </si>
  <si>
    <t>ソート並び</t>
    <rPh sb="3" eb="4">
      <t>ナラ</t>
    </rPh>
    <phoneticPr fontId="4"/>
  </si>
  <si>
    <t>符号正</t>
    <rPh sb="0" eb="2">
      <t>フゴウ</t>
    </rPh>
    <rPh sb="2" eb="3">
      <t>セイ</t>
    </rPh>
    <phoneticPr fontId="4"/>
  </si>
  <si>
    <t>符号負</t>
    <rPh sb="0" eb="2">
      <t>フゴウ</t>
    </rPh>
    <rPh sb="2" eb="3">
      <t>フ</t>
    </rPh>
    <phoneticPr fontId="4"/>
  </si>
  <si>
    <t>セット方法</t>
    <rPh sb="3" eb="5">
      <t>ホウホウ</t>
    </rPh>
    <phoneticPr fontId="4"/>
  </si>
  <si>
    <t>前詰</t>
  </si>
  <si>
    <t>商品勘定</t>
    <rPh sb="0" eb="2">
      <t>ショウヒン</t>
    </rPh>
    <rPh sb="2" eb="4">
      <t>カンジョウ</t>
    </rPh>
    <phoneticPr fontId="4"/>
  </si>
  <si>
    <t>富士通）塩見</t>
    <rPh sb="0" eb="3">
      <t>フジツウ</t>
    </rPh>
    <rPh sb="4" eb="6">
      <t>シオミ</t>
    </rPh>
    <phoneticPr fontId="4"/>
  </si>
  <si>
    <t>固定長ラインシーケンシャル</t>
  </si>
  <si>
    <t>レコード区分</t>
    <rPh sb="4" eb="6">
      <t>クブン</t>
    </rPh>
    <phoneticPr fontId="4"/>
  </si>
  <si>
    <t>GCAN加盟店コード</t>
    <rPh sb="4" eb="6">
      <t>カメイ</t>
    </rPh>
    <rPh sb="6" eb="7">
      <t>テン</t>
    </rPh>
    <phoneticPr fontId="4"/>
  </si>
  <si>
    <t>電子マネー識別子</t>
    <rPh sb="0" eb="2">
      <t>デンシ</t>
    </rPh>
    <rPh sb="5" eb="8">
      <t>シキベツシ</t>
    </rPh>
    <phoneticPr fontId="4"/>
  </si>
  <si>
    <t>作成年月日時</t>
    <rPh sb="0" eb="2">
      <t>サクセイ</t>
    </rPh>
    <rPh sb="2" eb="3">
      <t>ネン</t>
    </rPh>
    <rPh sb="3" eb="4">
      <t>ガツ</t>
    </rPh>
    <rPh sb="5" eb="6">
      <t>ジ</t>
    </rPh>
    <phoneticPr fontId="4"/>
  </si>
  <si>
    <t>集計対象年月日</t>
    <rPh sb="0" eb="2">
      <t>シュウケイ</t>
    </rPh>
    <rPh sb="2" eb="4">
      <t>タイショウ</t>
    </rPh>
    <rPh sb="4" eb="7">
      <t>ネンガッピ</t>
    </rPh>
    <phoneticPr fontId="4"/>
  </si>
  <si>
    <t>POS号機情報-店舗番号</t>
    <rPh sb="3" eb="5">
      <t>ゴウキ</t>
    </rPh>
    <rPh sb="5" eb="7">
      <t>ジョウホウ</t>
    </rPh>
    <rPh sb="8" eb="10">
      <t>テンポ</t>
    </rPh>
    <rPh sb="10" eb="12">
      <t>バンゴウ</t>
    </rPh>
    <phoneticPr fontId="4"/>
  </si>
  <si>
    <t>POS号機情報-号機番号</t>
    <rPh sb="3" eb="5">
      <t>ゴウキ</t>
    </rPh>
    <rPh sb="5" eb="7">
      <t>ジョウホウ</t>
    </rPh>
    <rPh sb="8" eb="10">
      <t>ゴウキ</t>
    </rPh>
    <rPh sb="10" eb="12">
      <t>バンゴウ</t>
    </rPh>
    <phoneticPr fontId="4"/>
  </si>
  <si>
    <t>データ件数</t>
    <rPh sb="3" eb="5">
      <t>ケンスウ</t>
    </rPh>
    <phoneticPr fontId="4"/>
  </si>
  <si>
    <t>YYYYMMDD方式</t>
    <rPh sb="8" eb="10">
      <t>ホウシキ</t>
    </rPh>
    <phoneticPr fontId="4"/>
  </si>
  <si>
    <t>YYYYMMDDHHMMSS方式</t>
    <rPh sb="14" eb="16">
      <t>ホウシキ</t>
    </rPh>
    <phoneticPr fontId="4"/>
  </si>
  <si>
    <t>端末処理日時</t>
    <rPh sb="0" eb="2">
      <t>タンマツ</t>
    </rPh>
    <rPh sb="2" eb="4">
      <t>ショリ</t>
    </rPh>
    <rPh sb="4" eb="6">
      <t>ニチジ</t>
    </rPh>
    <phoneticPr fontId="4"/>
  </si>
  <si>
    <t>業務区分</t>
    <rPh sb="0" eb="2">
      <t>ギョウム</t>
    </rPh>
    <rPh sb="2" eb="4">
      <t>クブン</t>
    </rPh>
    <phoneticPr fontId="4"/>
  </si>
  <si>
    <t>取引金額</t>
    <rPh sb="0" eb="2">
      <t>トリヒキ</t>
    </rPh>
    <rPh sb="2" eb="4">
      <t>キンガク</t>
    </rPh>
    <phoneticPr fontId="4"/>
  </si>
  <si>
    <t>決済用端末識別番号</t>
    <rPh sb="0" eb="5">
      <t>ケッサイヨウタンマツ</t>
    </rPh>
    <rPh sb="5" eb="7">
      <t>シキベツ</t>
    </rPh>
    <rPh sb="7" eb="9">
      <t>バンゴウ</t>
    </rPh>
    <phoneticPr fontId="4"/>
  </si>
  <si>
    <t>端末処理通番</t>
    <rPh sb="0" eb="2">
      <t>タンマツ</t>
    </rPh>
    <rPh sb="2" eb="4">
      <t>ショリ</t>
    </rPh>
    <rPh sb="4" eb="6">
      <t>ツウバン</t>
    </rPh>
    <phoneticPr fontId="4"/>
  </si>
  <si>
    <t>加盟店番号</t>
    <rPh sb="0" eb="2">
      <t>カメイ</t>
    </rPh>
    <rPh sb="2" eb="3">
      <t>テン</t>
    </rPh>
    <rPh sb="3" eb="5">
      <t>バンゴウ</t>
    </rPh>
    <phoneticPr fontId="4"/>
  </si>
  <si>
    <t>サブシステム分類</t>
    <phoneticPr fontId="4"/>
  </si>
  <si>
    <t>ドキュメント ID</t>
    <phoneticPr fontId="4"/>
  </si>
  <si>
    <t>ドキュメント名</t>
    <phoneticPr fontId="4"/>
  </si>
  <si>
    <t>　ファイル拡張子</t>
    <phoneticPr fontId="4"/>
  </si>
  <si>
    <t>　ファイルID</t>
    <phoneticPr fontId="4"/>
  </si>
  <si>
    <t>Byte</t>
    <phoneticPr fontId="4"/>
  </si>
  <si>
    <t>No</t>
    <phoneticPr fontId="4"/>
  </si>
  <si>
    <t>１：売上
４：取消／返品</t>
    <rPh sb="2" eb="4">
      <t>ウリアゲ</t>
    </rPh>
    <rPh sb="7" eb="9">
      <t>トリケシ</t>
    </rPh>
    <rPh sb="10" eb="12">
      <t>ヘンピン</t>
    </rPh>
    <phoneticPr fontId="4"/>
  </si>
  <si>
    <t>予備</t>
    <rPh sb="0" eb="2">
      <t>ヨビ</t>
    </rPh>
    <phoneticPr fontId="4"/>
  </si>
  <si>
    <t>QUICPay</t>
    <phoneticPr fontId="4"/>
  </si>
  <si>
    <t>別紙外部I/F一覧に記載</t>
    <phoneticPr fontId="4"/>
  </si>
  <si>
    <t>ヘッダーレコード</t>
    <phoneticPr fontId="4"/>
  </si>
  <si>
    <t>全桁有効</t>
    <phoneticPr fontId="4"/>
  </si>
  <si>
    <t>SPACE</t>
    <phoneticPr fontId="4"/>
  </si>
  <si>
    <t>１：ヘッダーレコード</t>
    <phoneticPr fontId="4"/>
  </si>
  <si>
    <t>後詰</t>
  </si>
  <si>
    <t>サービス契約単位に採番される加盟店識別コード。</t>
    <phoneticPr fontId="4"/>
  </si>
  <si>
    <t>前方ゼロ埋め</t>
    <rPh sb="0" eb="2">
      <t>ゼンポウ</t>
    </rPh>
    <phoneticPr fontId="4"/>
  </si>
  <si>
    <t>還元データ作成対象日
対象日の０：００～２３：５９（ＰｉＴａＰａは１：００～２４：５９）の間に上位中継センターで受信した取引について還元データ作成。</t>
    <phoneticPr fontId="4"/>
  </si>
  <si>
    <t>データレコード</t>
    <phoneticPr fontId="4"/>
  </si>
  <si>
    <t>２：データレコード</t>
    <phoneticPr fontId="4"/>
  </si>
  <si>
    <t>当該売上データ計上日時
ＰｉＴａＰａ・交通系については、Ｒ／Ｗでの実売上時刻。その他は、上位機からＲ／Ｗへの売上要求時刻。</t>
    <phoneticPr fontId="4"/>
  </si>
  <si>
    <t>当該売上データの金額。</t>
    <phoneticPr fontId="4"/>
  </si>
  <si>
    <t>当該売上データの対アクワイアラー決済に使用した実際の端末識別番号。ｎａｎａｃｏについては１１桁（上位端末ＩＤの下１１桁相当）、その他のスキームについては１３桁の番号。</t>
    <phoneticPr fontId="4"/>
  </si>
  <si>
    <t>後方スペース埋め</t>
    <rPh sb="0" eb="2">
      <t>コウホウ</t>
    </rPh>
    <phoneticPr fontId="4"/>
  </si>
  <si>
    <t>当該売上データのＲ／Ｗ内での処理通番。</t>
    <phoneticPr fontId="4"/>
  </si>
  <si>
    <t>売上計上先加盟店番号。交通系は精算先コード（代表加盟店を通しての間接加盟の場合は、代表加盟店が交通系事業者から付与された精算先コード）、nanaco は仕向企業ＩＤ。</t>
    <phoneticPr fontId="4"/>
  </si>
  <si>
    <t>Ｒ／Ｗ接続先上位機器(ＰＯＳなど) の号機情報-店舗番号。</t>
    <phoneticPr fontId="4"/>
  </si>
  <si>
    <t>Ｒ／Ｗ接続先上位機器(ＰＯＳなど)の号機情報-号機番号。</t>
    <phoneticPr fontId="4"/>
  </si>
  <si>
    <t>トレーラーレコード</t>
    <phoneticPr fontId="4"/>
  </si>
  <si>
    <t>３：トレーラーレコード</t>
    <phoneticPr fontId="4"/>
  </si>
  <si>
    <t>明細部レコード件数。</t>
    <phoneticPr fontId="4"/>
  </si>
  <si>
    <t>０２：ＱＵＩＣＰａｙ</t>
    <phoneticPr fontId="4"/>
  </si>
  <si>
    <t>ファイル作成日時
通常、「5.集計対象年月日」の翌日。</t>
    <phoneticPr fontId="4"/>
  </si>
  <si>
    <t>作成対象日における取引件数が０件の場合は、ヘッダーレコード・トレーラーレコードのみ作成される。</t>
  </si>
  <si>
    <t>TERMINAl_SYORI_YMD</t>
    <phoneticPr fontId="4"/>
  </si>
  <si>
    <t>RECORDKBN</t>
  </si>
  <si>
    <t>GCAN_KAMEITEN_CD</t>
  </si>
  <si>
    <t>EMONEY_ID</t>
  </si>
  <si>
    <t>CREATE_DATE</t>
  </si>
  <si>
    <t>SYUKEITAISHOYMD</t>
  </si>
  <si>
    <t>RSV</t>
  </si>
  <si>
    <t>GYOMUKBN</t>
  </si>
  <si>
    <t>TORIHIKIGK</t>
  </si>
  <si>
    <t>PAYMENTTERMINALNO</t>
  </si>
  <si>
    <t>TERMINALSEQ</t>
  </si>
  <si>
    <t>KAMEINO</t>
  </si>
  <si>
    <t>POS_TENPO</t>
  </si>
  <si>
    <t>POS_GOUKI</t>
  </si>
  <si>
    <t>DATA_KENSU</t>
  </si>
</sst>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 #,##0_ ;_ * \-#,##0_ ;_ * &quot;-&quot;_ ;_ @_ "/>
    <numFmt numFmtId="43" formatCode="_ * #,##0.00_ ;_ * \-#,##0.00_ ;_ * &quot;-&quot;??_ ;_ @_ "/>
    <numFmt numFmtId="176" formatCode="&quot;第&quot;0&quot;版&quot;"/>
    <numFmt numFmtId="177" formatCode="0_ "/>
    <numFmt numFmtId="178" formatCode="yyyy/mm/dd"/>
    <numFmt numFmtId="179" formatCode="#,##0_ "/>
    <numFmt numFmtId="180" formatCode="0.0%"/>
    <numFmt numFmtId="181" formatCode="0_ ;[Red]\-0\ "/>
    <numFmt numFmtId="182" formatCode="#,##0;\-#,##0;&quot;-&quot;"/>
    <numFmt numFmtId="183" formatCode="&quot;¥&quot;#,##0.00;[Red]&quot;¥&quot;&quot;¥&quot;&quot;¥&quot;\-#,##0.00"/>
    <numFmt numFmtId="184" formatCode="_(&quot;$&quot;* #,##0.00_);_(&quot;$&quot;* \(#,##0.00\);_(&quot;$&quot;* &quot;-&quot;??_);_(@_)"/>
    <numFmt numFmtId="185" formatCode="?"/>
    <numFmt numFmtId="186" formatCode="&quot;$&quot;#,##0_);\(&quot;$&quot;#,##0\)"/>
    <numFmt numFmtId="187" formatCode="&quot;$&quot;#,##0_);[Red]\(&quot;$&quot;#,##0\)"/>
    <numFmt numFmtId="188" formatCode="General_)"/>
    <numFmt numFmtId="189" formatCode="_(&quot;$&quot;* #,##0.0_);_(&quot;$&quot;* \(#,##0.0\);_(&quot;$&quot;* &quot;-&quot;??_);_(@_)"/>
    <numFmt numFmtId="190" formatCode=";;;"/>
    <numFmt numFmtId="191" formatCode="_ * #,##0_ ;_ * &quot;¥&quot;&quot;¥&quot;&quot;¥&quot;&quot;¥&quot;&quot;¥&quot;&quot;¥&quot;\-#,##0_ ;_ * &quot;-&quot;_ ;_ @_ "/>
    <numFmt numFmtId="192" formatCode="_ * #,##0.00_ ;_ * &quot;¥&quot;&quot;¥&quot;&quot;¥&quot;&quot;¥&quot;&quot;¥&quot;&quot;¥&quot;\-#,##0.00_ ;_ * &quot;-&quot;??_ ;_ @_ "/>
    <numFmt numFmtId="193" formatCode="&quot;¥&quot;&quot;¥&quot;&quot;¥&quot;&quot;¥&quot;&quot;¥&quot;&quot;¥&quot;&quot;¥&quot;\$#,##0_);[Red]&quot;¥&quot;&quot;¥&quot;&quot;¥&quot;&quot;¥&quot;&quot;¥&quot;&quot;¥&quot;&quot;¥&quot;\(&quot;¥&quot;&quot;¥&quot;&quot;¥&quot;&quot;¥&quot;&quot;¥&quot;&quot;¥&quot;&quot;¥&quot;\$#,##0&quot;¥&quot;&quot;¥&quot;&quot;¥&quot;&quot;¥&quot;&quot;¥&quot;&quot;¥&quot;&quot;¥&quot;\)"/>
    <numFmt numFmtId="194" formatCode="_(&quot;$&quot;* #,##0_);_(&quot;$&quot;* \(#,##0\);_(&quot;$&quot;* &quot;-&quot;_);_(@_)"/>
    <numFmt numFmtId="195" formatCode="#,##0_ ;[Red]\-#,##0\ "/>
    <numFmt numFmtId="196" formatCode="&quot;$&quot;#,##0.00_);[Red]\(&quot;$&quot;#,##0.00\)"/>
    <numFmt numFmtId="197" formatCode="0.00000_ "/>
    <numFmt numFmtId="198" formatCode="0_);\(0\)"/>
    <numFmt numFmtId="199" formatCode="_-* #,##0.0_-;\-* #,##0.0_-;_-* &quot;-&quot;??_-;_-@_-"/>
    <numFmt numFmtId="200" formatCode="#,##0.00_ ;[Red]\-#,##0.00\ "/>
    <numFmt numFmtId="201" formatCode="dd"/>
    <numFmt numFmtId="202" formatCode="#,##0.0&quot;人月&quot;"/>
    <numFmt numFmtId="203" formatCode="0_);[Red]\(0\)"/>
  </numFmts>
  <fonts count="82">
    <font>
      <sz val="11"/>
      <name val="ＭＳ Ｐゴシック"/>
      <family val="3"/>
      <charset val="128"/>
    </font>
    <font>
      <sz val="11"/>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0"/>
      <name val="ＭＳ Ｐゴシック"/>
      <family val="3"/>
      <charset val="128"/>
    </font>
    <font>
      <b/>
      <sz val="12"/>
      <color indexed="16"/>
      <name val="ＭＳ Ｐゴシック"/>
      <family val="3"/>
      <charset val="128"/>
    </font>
    <font>
      <b/>
      <sz val="11"/>
      <color indexed="9"/>
      <name val="ＭＳ Ｐゴシック"/>
      <family val="3"/>
      <charset val="128"/>
    </font>
    <font>
      <sz val="11"/>
      <color indexed="9"/>
      <name val="ＭＳ Ｐゴシック"/>
      <family val="3"/>
      <charset val="128"/>
    </font>
    <font>
      <sz val="10"/>
      <name val="ＭＳ ゴシック"/>
      <family val="3"/>
      <charset val="128"/>
    </font>
    <font>
      <sz val="10"/>
      <name val="Arial"/>
      <family val="2"/>
    </font>
    <font>
      <b/>
      <sz val="18"/>
      <color indexed="12"/>
      <name val="ＭＳ ゴシック"/>
      <family val="3"/>
      <charset val="128"/>
    </font>
    <font>
      <sz val="11"/>
      <color indexed="8"/>
      <name val="ＭＳ Ｐゴシック"/>
      <family val="3"/>
      <charset val="128"/>
    </font>
    <font>
      <sz val="10"/>
      <name val="中ゴシックＢＢＢ"/>
      <family val="3"/>
      <charset val="128"/>
    </font>
    <font>
      <sz val="9"/>
      <color indexed="27"/>
      <name val="明朝"/>
      <family val="1"/>
      <charset val="128"/>
    </font>
    <font>
      <sz val="10"/>
      <name val="ＭＳ Ｐ明朝"/>
      <family val="1"/>
      <charset val="128"/>
    </font>
    <font>
      <b/>
      <sz val="11"/>
      <name val="Arial"/>
      <family val="2"/>
    </font>
    <font>
      <b/>
      <sz val="10"/>
      <name val="MS Sans Serif"/>
      <family val="2"/>
    </font>
    <font>
      <sz val="10"/>
      <color indexed="8"/>
      <name val="Arial"/>
      <family val="2"/>
    </font>
    <font>
      <sz val="9"/>
      <name val="Helv"/>
      <family val="2"/>
    </font>
    <font>
      <b/>
      <sz val="10"/>
      <name val="Helv"/>
      <family val="2"/>
    </font>
    <font>
      <b/>
      <sz val="12"/>
      <name val="Helv"/>
      <family val="2"/>
    </font>
    <font>
      <sz val="12"/>
      <name val="Helv"/>
      <family val="2"/>
    </font>
    <font>
      <sz val="10"/>
      <name val="MS Sans Serif"/>
      <family val="2"/>
    </font>
    <font>
      <sz val="11"/>
      <name val="ＭＳ ゴシック"/>
      <family val="3"/>
      <charset val="128"/>
    </font>
    <font>
      <sz val="10"/>
      <color indexed="0"/>
      <name val="MS Sans Serif"/>
      <family val="2"/>
    </font>
    <font>
      <sz val="12"/>
      <name val="ＭＳ ゴシック"/>
      <family val="3"/>
      <charset val="128"/>
    </font>
    <font>
      <sz val="11"/>
      <name val="ＭＳ Ｐ明朝"/>
      <family val="1"/>
      <charset val="128"/>
    </font>
    <font>
      <sz val="9"/>
      <name val="Times New Roman"/>
      <family val="1"/>
    </font>
    <font>
      <sz val="9"/>
      <name val="ＭＳ 明朝"/>
      <family val="1"/>
      <charset val="128"/>
    </font>
    <font>
      <sz val="8"/>
      <name val="Arial"/>
      <family val="2"/>
    </font>
    <font>
      <b/>
      <sz val="12"/>
      <name val="Arial"/>
      <family val="2"/>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22"/>
      <name val="ＭＳ 明朝"/>
      <family val="1"/>
      <charset val="128"/>
    </font>
    <font>
      <b/>
      <sz val="18"/>
      <color indexed="56"/>
      <name val="ＭＳ Ｐゴシック"/>
      <family val="3"/>
      <charset val="128"/>
    </font>
    <font>
      <sz val="12"/>
      <name val="中ゴシック体"/>
      <family val="3"/>
      <charset val="128"/>
    </font>
    <font>
      <sz val="9"/>
      <name val="ＭＳ 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0"/>
      <name val="Geneva"/>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2"/>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name val="明朝"/>
      <family val="1"/>
      <charset val="128"/>
    </font>
    <font>
      <i/>
      <sz val="11"/>
      <color indexed="23"/>
      <name val="ＭＳ Ｐゴシック"/>
      <family val="3"/>
      <charset val="128"/>
    </font>
    <font>
      <b/>
      <i/>
      <sz val="14"/>
      <name val="中ゴシックＢＢＢ"/>
      <family val="3"/>
      <charset val="128"/>
    </font>
    <font>
      <sz val="11"/>
      <color indexed="62"/>
      <name val="ＭＳ Ｐゴシック"/>
      <family val="3"/>
      <charset val="128"/>
    </font>
    <font>
      <sz val="12"/>
      <name val="ＭＳ Ｐゴシック"/>
      <family val="3"/>
      <charset val="128"/>
    </font>
    <font>
      <sz val="8"/>
      <color indexed="8"/>
      <name val="HGSｺﾞｼｯｸM"/>
      <family val="3"/>
      <charset val="128"/>
    </font>
    <font>
      <sz val="10"/>
      <name val="中ゴシック体"/>
      <family val="3"/>
      <charset val="128"/>
    </font>
    <font>
      <u/>
      <sz val="11"/>
      <color indexed="36"/>
      <name val="ＭＳ Ｐゴシック"/>
      <family val="3"/>
      <charset val="128"/>
    </font>
    <font>
      <sz val="14"/>
      <name val="ＭＳ 明朝"/>
      <family val="1"/>
      <charset val="128"/>
    </font>
    <font>
      <b/>
      <i/>
      <sz val="11"/>
      <name val="ＭＳ Ｐゴシック"/>
      <family val="3"/>
      <charset val="128"/>
    </font>
    <font>
      <sz val="11"/>
      <color indexed="17"/>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2"/>
      <name val="Arial"/>
      <family val="2"/>
    </font>
    <font>
      <sz val="11"/>
      <color theme="1"/>
      <name val="ＭＳ Ｐゴシック"/>
      <family val="3"/>
      <charset val="128"/>
      <scheme val="minor"/>
    </font>
    <font>
      <sz val="10"/>
      <color theme="1"/>
      <name val="ＭＳ ゴシック"/>
      <family val="3"/>
      <charset val="128"/>
    </font>
    <font>
      <sz val="9"/>
      <name val="ＭＳ Ｐゴシック"/>
      <family val="3"/>
      <charset val="128"/>
      <scheme val="major"/>
    </font>
    <font>
      <sz val="11"/>
      <name val="ＭＳ Ｐゴシック"/>
      <family val="3"/>
      <charset val="128"/>
      <scheme val="major"/>
    </font>
    <font>
      <sz val="10"/>
      <name val="ＭＳ Ｐゴシック"/>
      <family val="3"/>
      <charset val="128"/>
      <scheme val="major"/>
    </font>
    <font>
      <b/>
      <sz val="10"/>
      <name val="ＭＳ Ｐゴシック"/>
      <family val="3"/>
      <charset val="128"/>
      <scheme val="major"/>
    </font>
    <font>
      <sz val="10"/>
      <color rgb="FFFF0000"/>
      <name val="ＭＳ Ｐゴシック"/>
      <family val="3"/>
      <charset val="128"/>
      <scheme val="major"/>
    </font>
    <font>
      <sz val="9"/>
      <color indexed="52"/>
      <name val="ＭＳ Ｐゴシック"/>
      <family val="3"/>
      <charset val="128"/>
      <scheme val="maj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0"/>
        <bgColor indexed="64"/>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patternFill>
    </fill>
    <fill>
      <patternFill patternType="solid">
        <fgColor indexed="9"/>
        <bgColor indexed="64"/>
      </patternFill>
    </fill>
    <fill>
      <patternFill patternType="lightGray"/>
    </fill>
    <fill>
      <patternFill patternType="solid">
        <fgColor indexed="31"/>
        <bgColor indexed="64"/>
      </patternFill>
    </fill>
    <fill>
      <patternFill patternType="solid">
        <fgColor indexed="44"/>
        <bgColor indexed="64"/>
      </patternFill>
    </fill>
    <fill>
      <patternFill patternType="solid">
        <fgColor rgb="FF99CCFF"/>
        <bgColor indexed="64"/>
      </patternFill>
    </fill>
    <fill>
      <patternFill patternType="solid">
        <fgColor theme="8"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42"/>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227">
    <xf numFmtId="0" fontId="0" fillId="0" borderId="0">
      <alignment vertical="center"/>
    </xf>
    <xf numFmtId="19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185" fontId="11" fillId="0" borderId="1">
      <alignment horizontal="right"/>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9" fillId="0" borderId="0"/>
    <xf numFmtId="0" fontId="13" fillId="0" borderId="0"/>
    <xf numFmtId="4" fontId="14" fillId="16" borderId="0" applyNumberFormat="0" applyBorder="0" applyAlignment="0" applyProtection="0">
      <alignment horizontal="left"/>
    </xf>
    <xf numFmtId="0" fontId="15" fillId="0" borderId="0">
      <alignment vertical="center" wrapText="1"/>
    </xf>
    <xf numFmtId="190" fontId="16" fillId="0" borderId="0" applyFont="0" applyFill="0" applyBorder="0" applyAlignment="0" applyProtection="0">
      <alignment horizontal="right"/>
    </xf>
    <xf numFmtId="186" fontId="17" fillId="0" borderId="2" applyAlignment="0" applyProtection="0"/>
    <xf numFmtId="182" fontId="18"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0" fontId="10"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0" fillId="0" borderId="0"/>
    <xf numFmtId="188" fontId="21"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38" fontId="23" fillId="0" borderId="0" applyFont="0" applyFill="0" applyBorder="0" applyAlignment="0" applyProtection="0"/>
    <xf numFmtId="20" fontId="1" fillId="0" borderId="0" applyFont="0" applyFill="0" applyBorder="0" applyAlignment="0" applyProtection="0"/>
    <xf numFmtId="193" fontId="24" fillId="0" borderId="0"/>
    <xf numFmtId="199" fontId="10" fillId="0" borderId="0" applyFont="0" applyFill="0" applyBorder="0" applyAlignment="0" applyProtection="0"/>
    <xf numFmtId="0" fontId="25" fillId="0" borderId="0" applyNumberFormat="0" applyFill="0" applyBorder="0" applyAlignment="0" applyProtection="0"/>
    <xf numFmtId="0" fontId="26" fillId="0" borderId="0" applyNumberFormat="0" applyFont="0" applyBorder="0" applyAlignment="0" applyProtection="0"/>
    <xf numFmtId="187" fontId="23" fillId="0" borderId="0" applyFont="0" applyFill="0" applyBorder="0" applyAlignment="0" applyProtection="0"/>
    <xf numFmtId="198" fontId="19" fillId="0" borderId="0" applyFont="0" applyFill="0" applyBorder="0" applyAlignment="0" applyProtection="0"/>
    <xf numFmtId="0" fontId="10" fillId="0" borderId="0" applyFont="0" applyFill="0" applyBorder="0" applyAlignment="0" applyProtection="0"/>
    <xf numFmtId="0" fontId="25" fillId="0" borderId="0" applyNumberFormat="0" applyFill="0" applyBorder="0" applyAlignment="0" applyProtection="0"/>
    <xf numFmtId="191" fontId="24" fillId="0" borderId="0"/>
    <xf numFmtId="14" fontId="18" fillId="0" borderId="0" applyFill="0" applyBorder="0" applyAlignment="0"/>
    <xf numFmtId="0" fontId="27" fillId="0" borderId="0"/>
    <xf numFmtId="192" fontId="24" fillId="0" borderId="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8" fillId="0" borderId="0">
      <alignment horizontal="left"/>
    </xf>
    <xf numFmtId="178" fontId="29" fillId="0" borderId="3"/>
    <xf numFmtId="38" fontId="30" fillId="17" borderId="0" applyNumberFormat="0" applyBorder="0" applyAlignment="0" applyProtection="0"/>
    <xf numFmtId="189" fontId="16" fillId="0" borderId="0" applyNumberFormat="0" applyFill="0" applyBorder="0" applyProtection="0">
      <alignment horizontal="right"/>
    </xf>
    <xf numFmtId="0" fontId="31" fillId="0" borderId="4" applyNumberFormat="0" applyAlignment="0" applyProtection="0">
      <alignment horizontal="left" vertical="center"/>
    </xf>
    <xf numFmtId="0" fontId="31" fillId="0" borderId="5">
      <alignment horizontal="left" vertical="center"/>
    </xf>
    <xf numFmtId="0" fontId="25" fillId="0" borderId="0" applyNumberFormat="0" applyFill="0" applyBorder="0" applyAlignment="0" applyProtection="0"/>
    <xf numFmtId="0" fontId="25" fillId="0" borderId="0" applyNumberFormat="0" applyFill="0" applyBorder="0" applyAlignment="0" applyProtection="0"/>
    <xf numFmtId="0" fontId="9" fillId="0" borderId="0" applyBorder="0"/>
    <xf numFmtId="10" fontId="30" fillId="18" borderId="1" applyNumberFormat="0" applyBorder="0" applyAlignment="0" applyProtection="0"/>
    <xf numFmtId="0" fontId="9" fillId="0" borderId="0"/>
    <xf numFmtId="201" fontId="32" fillId="19" borderId="1"/>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38" fontId="23" fillId="0" borderId="0" applyFont="0" applyFill="0" applyBorder="0" applyAlignment="0" applyProtection="0"/>
    <xf numFmtId="40" fontId="23" fillId="0" borderId="0" applyFont="0" applyFill="0" applyBorder="0" applyAlignment="0" applyProtection="0"/>
    <xf numFmtId="0" fontId="33" fillId="0" borderId="6"/>
    <xf numFmtId="187" fontId="23" fillId="0" borderId="0" applyFont="0" applyFill="0" applyBorder="0" applyAlignment="0" applyProtection="0"/>
    <xf numFmtId="196" fontId="23" fillId="0" borderId="0" applyFont="0" applyFill="0" applyBorder="0" applyAlignment="0" applyProtection="0"/>
    <xf numFmtId="183" fontId="1" fillId="0" borderId="0"/>
    <xf numFmtId="0" fontId="10" fillId="0" borderId="0"/>
    <xf numFmtId="180" fontId="10" fillId="0" borderId="0" applyFont="0" applyFill="0" applyBorder="0" applyAlignment="0" applyProtection="0"/>
    <xf numFmtId="0" fontId="10" fillId="0" borderId="0" applyFont="0" applyFill="0" applyBorder="0" applyAlignment="0" applyProtection="0"/>
    <xf numFmtId="199"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4" fontId="28" fillId="0" borderId="0">
      <alignment horizontal="righ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17" fillId="0" borderId="6">
      <alignment horizontal="center"/>
    </xf>
    <xf numFmtId="3" fontId="23" fillId="0" borderId="0" applyFont="0" applyFill="0" applyBorder="0" applyAlignment="0" applyProtection="0"/>
    <xf numFmtId="0" fontId="23" fillId="20" borderId="0" applyNumberFormat="0" applyFont="0" applyBorder="0" applyAlignment="0" applyProtection="0"/>
    <xf numFmtId="4" fontId="34" fillId="0" borderId="0">
      <alignment horizontal="right"/>
    </xf>
    <xf numFmtId="0" fontId="35" fillId="0" borderId="0">
      <alignment horizontal="left"/>
    </xf>
    <xf numFmtId="0" fontId="33" fillId="0" borderId="0"/>
    <xf numFmtId="49" fontId="18" fillId="0" borderId="0" applyFill="0" applyBorder="0" applyAlignment="0"/>
    <xf numFmtId="0" fontId="10" fillId="0" borderId="0" applyFill="0" applyBorder="0" applyAlignment="0"/>
    <xf numFmtId="0" fontId="10" fillId="0" borderId="0" applyFill="0" applyBorder="0" applyAlignment="0"/>
    <xf numFmtId="0" fontId="36" fillId="0" borderId="0">
      <alignment horizontal="center"/>
    </xf>
    <xf numFmtId="0" fontId="25" fillId="0" borderId="0" applyNumberFormat="0" applyFill="0" applyBorder="0" applyAlignment="0" applyProtection="0"/>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xf numFmtId="0" fontId="38" fillId="0" borderId="0">
      <alignment vertical="center"/>
    </xf>
    <xf numFmtId="0" fontId="39" fillId="0" borderId="0" applyNumberFormat="0" applyFill="0" applyBorder="0" applyAlignment="0" applyProtection="0">
      <alignment vertical="center"/>
    </xf>
    <xf numFmtId="0" fontId="7" fillId="26" borderId="7" applyNumberFormat="0" applyAlignment="0" applyProtection="0">
      <alignment vertical="center"/>
    </xf>
    <xf numFmtId="0" fontId="40" fillId="0" borderId="0"/>
    <xf numFmtId="0" fontId="3" fillId="0" borderId="0"/>
    <xf numFmtId="0" fontId="41" fillId="0" borderId="0">
      <alignment vertical="top" wrapText="1"/>
    </xf>
    <xf numFmtId="0" fontId="42" fillId="27" borderId="0" applyNumberFormat="0" applyBorder="0" applyAlignment="0" applyProtection="0">
      <alignment vertical="center"/>
    </xf>
    <xf numFmtId="0" fontId="1" fillId="28" borderId="8" applyNumberFormat="0" applyFont="0" applyAlignment="0" applyProtection="0">
      <alignment vertical="center"/>
    </xf>
    <xf numFmtId="0" fontId="43" fillId="0" borderId="9" applyNumberFormat="0" applyFill="0" applyAlignment="0" applyProtection="0">
      <alignment vertical="center"/>
    </xf>
    <xf numFmtId="0" fontId="44" fillId="3" borderId="0" applyNumberFormat="0" applyBorder="0" applyAlignment="0" applyProtection="0">
      <alignment vertical="center"/>
    </xf>
    <xf numFmtId="0" fontId="1" fillId="0" borderId="10"/>
    <xf numFmtId="195" fontId="5" fillId="0" borderId="0" applyBorder="0">
      <alignment horizontal="right"/>
    </xf>
    <xf numFmtId="0" fontId="3" fillId="0" borderId="0">
      <alignment vertical="center"/>
    </xf>
    <xf numFmtId="0" fontId="45" fillId="0" borderId="0">
      <alignment vertical="center"/>
    </xf>
    <xf numFmtId="0" fontId="46" fillId="29" borderId="11" applyNumberFormat="0" applyAlignment="0" applyProtection="0">
      <alignment vertical="center"/>
    </xf>
    <xf numFmtId="0" fontId="47" fillId="0" borderId="0" applyNumberFormat="0" applyFill="0" applyBorder="0" applyAlignment="0" applyProtection="0">
      <alignment vertical="center"/>
    </xf>
    <xf numFmtId="43" fontId="10" fillId="0" borderId="0" applyFont="0" applyFill="0" applyBorder="0" applyAlignment="0" applyProtection="0"/>
    <xf numFmtId="41" fontId="10" fillId="0" borderId="0" applyFont="0" applyFill="0" applyBorder="0" applyAlignment="0" applyProtection="0"/>
    <xf numFmtId="4" fontId="48" fillId="0" borderId="0" applyFont="0" applyFill="0" applyBorder="0" applyAlignment="0" applyProtection="0"/>
    <xf numFmtId="38" fontId="1" fillId="0" borderId="0" applyFont="0" applyFill="0" applyBorder="0" applyAlignment="0" applyProtection="0">
      <alignment vertical="center"/>
    </xf>
    <xf numFmtId="0" fontId="49" fillId="0" borderId="12"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30" borderId="0"/>
    <xf numFmtId="0" fontId="53" fillId="0" borderId="0" applyBorder="0">
      <alignment vertical="center"/>
    </xf>
    <xf numFmtId="0" fontId="54" fillId="0" borderId="15" applyNumberFormat="0" applyFill="0" applyAlignment="0" applyProtection="0">
      <alignment vertical="center"/>
    </xf>
    <xf numFmtId="0" fontId="55" fillId="29" borderId="16" applyNumberFormat="0" applyAlignment="0" applyProtection="0">
      <alignment vertical="center"/>
    </xf>
    <xf numFmtId="202" fontId="56" fillId="0" borderId="0"/>
    <xf numFmtId="181" fontId="5" fillId="0" borderId="0" applyFill="0" applyBorder="0"/>
    <xf numFmtId="195" fontId="5" fillId="0" borderId="0" applyFill="0" applyBorder="0"/>
    <xf numFmtId="200" fontId="1" fillId="0" borderId="0" applyFill="0" applyBorder="0"/>
    <xf numFmtId="49" fontId="5" fillId="31" borderId="17">
      <alignment horizontal="center"/>
    </xf>
    <xf numFmtId="179" fontId="5" fillId="31" borderId="17">
      <alignment horizontal="right"/>
    </xf>
    <xf numFmtId="14" fontId="5" fillId="31" borderId="0" applyBorder="0">
      <alignment horizontal="center"/>
    </xf>
    <xf numFmtId="49" fontId="5" fillId="0" borderId="17"/>
    <xf numFmtId="0" fontId="1" fillId="0" borderId="0">
      <alignment vertical="top" wrapText="1"/>
    </xf>
    <xf numFmtId="0" fontId="57" fillId="0" borderId="0" applyNumberFormat="0" applyFill="0" applyBorder="0" applyAlignment="0" applyProtection="0">
      <alignment vertical="center"/>
    </xf>
    <xf numFmtId="0" fontId="58" fillId="0" borderId="18">
      <alignment horizontal="left"/>
    </xf>
    <xf numFmtId="0" fontId="23" fillId="0" borderId="0" applyFont="0" applyFill="0" applyBorder="0" applyAlignment="0" applyProtection="0"/>
    <xf numFmtId="0" fontId="23" fillId="0" borderId="0" applyFont="0" applyFill="0" applyBorder="0" applyAlignment="0" applyProtection="0"/>
    <xf numFmtId="197" fontId="1" fillId="0" borderId="0" applyFont="0" applyFill="0" applyBorder="0" applyAlignment="0" applyProtection="0"/>
    <xf numFmtId="14" fontId="5" fillId="0" borderId="19" applyBorder="0">
      <alignment horizontal="left"/>
    </xf>
    <xf numFmtId="0" fontId="59" fillId="7" borderId="11" applyNumberFormat="0" applyAlignment="0" applyProtection="0">
      <alignment vertical="center"/>
    </xf>
    <xf numFmtId="14" fontId="5" fillId="0" borderId="0" applyFill="0" applyBorder="0"/>
    <xf numFmtId="177" fontId="60" fillId="0" borderId="20" applyNumberFormat="0" applyFont="0" applyAlignment="0" applyProtection="0"/>
    <xf numFmtId="0" fontId="2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4" fillId="0" borderId="0"/>
    <xf numFmtId="0" fontId="1" fillId="0" borderId="0"/>
    <xf numFmtId="0" fontId="2" fillId="0" borderId="0"/>
    <xf numFmtId="0" fontId="56" fillId="0" borderId="21" applyFont="0"/>
    <xf numFmtId="0" fontId="62" fillId="0" borderId="0"/>
    <xf numFmtId="0" fontId="40" fillId="0" borderId="0"/>
    <xf numFmtId="0" fontId="63" fillId="0" borderId="0" applyNumberFormat="0" applyFill="0" applyBorder="0" applyAlignment="0" applyProtection="0">
      <alignment vertical="top"/>
      <protection locked="0"/>
    </xf>
    <xf numFmtId="49" fontId="1" fillId="0" borderId="0"/>
    <xf numFmtId="49" fontId="5" fillId="0" borderId="0" applyFill="0" applyBorder="0"/>
    <xf numFmtId="0" fontId="64" fillId="0" borderId="0"/>
    <xf numFmtId="0" fontId="65" fillId="32" borderId="0">
      <alignment horizontal="center"/>
    </xf>
    <xf numFmtId="0" fontId="66" fillId="4" borderId="0" applyNumberFormat="0" applyBorder="0" applyAlignment="0" applyProtection="0">
      <alignment vertical="center"/>
    </xf>
    <xf numFmtId="0" fontId="45"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67" fillId="0" borderId="26" applyFill="0" applyBorder="0"/>
    <xf numFmtId="0" fontId="30" fillId="0" borderId="26" applyBorder="0">
      <alignment horizontal="center" vertical="center"/>
    </xf>
    <xf numFmtId="0" fontId="68" fillId="0" borderId="26" applyBorder="0">
      <alignment horizontal="center" vertical="center"/>
    </xf>
    <xf numFmtId="0" fontId="69" fillId="0" borderId="26" applyBorder="0">
      <alignment horizontal="center" vertical="center"/>
    </xf>
    <xf numFmtId="0" fontId="70" fillId="0" borderId="34" applyNumberFormat="0" applyFill="0" applyBorder="0">
      <alignment horizontal="centerContinuous" vertical="center" wrapText="1"/>
      <protection locked="0"/>
    </xf>
    <xf numFmtId="0" fontId="67" fillId="39" borderId="35" applyFill="0" applyBorder="0">
      <alignment horizontal="left" vertical="center"/>
    </xf>
    <xf numFmtId="0" fontId="67" fillId="39" borderId="35" applyFill="0" applyBorder="0">
      <alignment horizontal="center" vertical="center"/>
    </xf>
    <xf numFmtId="0" fontId="67" fillId="39" borderId="36" applyNumberFormat="0" applyFill="0" applyBorder="0" applyProtection="0">
      <alignment horizontal="centerContinuous"/>
    </xf>
    <xf numFmtId="0" fontId="71" fillId="0" borderId="34" applyFill="0" applyBorder="0" applyProtection="0">
      <alignment vertical="center"/>
      <protection locked="0"/>
    </xf>
    <xf numFmtId="0" fontId="30" fillId="0" borderId="0" applyFill="0" applyBorder="0">
      <alignment vertical="center"/>
    </xf>
    <xf numFmtId="0" fontId="72" fillId="39" borderId="37" applyFill="0" applyBorder="0" applyAlignment="0">
      <alignment horizontal="center" vertical="center"/>
    </xf>
    <xf numFmtId="0" fontId="30" fillId="0" borderId="0" applyFill="0" applyBorder="0">
      <alignment horizontal="centerContinuous" vertical="center"/>
    </xf>
    <xf numFmtId="0" fontId="67" fillId="0" borderId="0" applyNumberFormat="0" applyFill="0" applyBorder="0">
      <alignment vertical="center"/>
    </xf>
    <xf numFmtId="194" fontId="73" fillId="0" borderId="0" applyFont="0" applyFill="0" applyBorder="0" applyAlignment="0" applyProtection="0"/>
    <xf numFmtId="0" fontId="24" fillId="40" borderId="1" applyNumberFormat="0" applyFill="0" applyBorder="0">
      <alignment vertical="center" wrapText="1"/>
    </xf>
    <xf numFmtId="38" fontId="24" fillId="0" borderId="0" applyFont="0" applyFill="0" applyBorder="0" applyAlignment="0" applyProtection="0"/>
    <xf numFmtId="0" fontId="74" fillId="0" borderId="0">
      <alignment vertical="center"/>
    </xf>
    <xf numFmtId="0" fontId="74" fillId="0" borderId="0">
      <alignment vertical="center"/>
    </xf>
    <xf numFmtId="0" fontId="5" fillId="0" borderId="0"/>
    <xf numFmtId="0" fontId="1" fillId="0" borderId="0">
      <alignment vertical="center"/>
    </xf>
    <xf numFmtId="0" fontId="74" fillId="0" borderId="0">
      <alignment vertical="center"/>
    </xf>
    <xf numFmtId="0" fontId="1" fillId="0" borderId="0"/>
    <xf numFmtId="0" fontId="61" fillId="0" borderId="0">
      <alignment vertical="center"/>
    </xf>
    <xf numFmtId="0" fontId="75"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 fillId="0" borderId="0"/>
  </cellStyleXfs>
  <cellXfs count="206">
    <xf numFmtId="0" fontId="0" fillId="0" borderId="0" xfId="0">
      <alignment vertical="center"/>
    </xf>
    <xf numFmtId="0" fontId="6" fillId="0" borderId="0" xfId="0" applyFont="1" applyFill="1">
      <alignment vertical="center"/>
    </xf>
    <xf numFmtId="0" fontId="5" fillId="0" borderId="0" xfId="0" applyFont="1" applyFill="1">
      <alignment vertical="center"/>
    </xf>
    <xf numFmtId="0" fontId="5" fillId="0" borderId="0" xfId="0" applyFont="1" applyFill="1" applyBorder="1">
      <alignment vertical="center"/>
    </xf>
    <xf numFmtId="0" fontId="5" fillId="0" borderId="0" xfId="0" applyFont="1" applyFill="1" applyBorder="1" applyAlignment="1">
      <alignment horizontal="center"/>
    </xf>
    <xf numFmtId="177" fontId="5" fillId="0" borderId="0" xfId="0" applyNumberFormat="1" applyFont="1" applyFill="1" applyBorder="1" applyAlignment="1"/>
    <xf numFmtId="0" fontId="5" fillId="0" borderId="0" xfId="0" applyFont="1" applyFill="1" applyBorder="1" applyAlignment="1"/>
    <xf numFmtId="0" fontId="76" fillId="0" borderId="0" xfId="0" applyFont="1">
      <alignment vertical="center"/>
    </xf>
    <xf numFmtId="0" fontId="77" fillId="0" borderId="0" xfId="190" applyFont="1" applyFill="1" applyAlignment="1">
      <alignment vertical="center"/>
    </xf>
    <xf numFmtId="0" fontId="78" fillId="0" borderId="0" xfId="0" applyFont="1">
      <alignment vertical="center"/>
    </xf>
    <xf numFmtId="0" fontId="78" fillId="0" borderId="22" xfId="175" applyFont="1" applyFill="1" applyBorder="1" applyAlignment="1">
      <alignment vertical="center"/>
    </xf>
    <xf numFmtId="0" fontId="78" fillId="0" borderId="2" xfId="175" applyFont="1" applyFill="1" applyBorder="1" applyAlignment="1">
      <alignment vertical="center"/>
    </xf>
    <xf numFmtId="0" fontId="77" fillId="0" borderId="2" xfId="175" applyFont="1" applyBorder="1"/>
    <xf numFmtId="0" fontId="77" fillId="0" borderId="19" xfId="175" applyFont="1" applyBorder="1"/>
    <xf numFmtId="0" fontId="77" fillId="0" borderId="0" xfId="175" applyFont="1" applyBorder="1"/>
    <xf numFmtId="0" fontId="78" fillId="0" borderId="32" xfId="175" applyFont="1" applyBorder="1"/>
    <xf numFmtId="0" fontId="78" fillId="0" borderId="0" xfId="175" applyFont="1" applyBorder="1"/>
    <xf numFmtId="0" fontId="79" fillId="0" borderId="0" xfId="175" applyFont="1" applyFill="1" applyBorder="1" applyAlignment="1">
      <alignment vertical="center"/>
    </xf>
    <xf numFmtId="0" fontId="78" fillId="0" borderId="0" xfId="175" applyFont="1" applyFill="1" applyBorder="1" applyAlignment="1">
      <alignment vertical="center"/>
    </xf>
    <xf numFmtId="0" fontId="77" fillId="0" borderId="33" xfId="175" applyFont="1" applyBorder="1"/>
    <xf numFmtId="0" fontId="80" fillId="0" borderId="21" xfId="191" applyFont="1" applyFill="1" applyBorder="1" applyAlignment="1">
      <alignment vertical="center"/>
    </xf>
    <xf numFmtId="0" fontId="78" fillId="0" borderId="3" xfId="191" applyFont="1" applyFill="1" applyBorder="1" applyAlignment="1">
      <alignment vertical="center"/>
    </xf>
    <xf numFmtId="0" fontId="79" fillId="0" borderId="3" xfId="175" applyFont="1" applyFill="1" applyBorder="1" applyAlignment="1">
      <alignment vertical="center"/>
    </xf>
    <xf numFmtId="0" fontId="79" fillId="0" borderId="3" xfId="175" applyFont="1" applyFill="1" applyBorder="1" applyAlignment="1">
      <alignment vertical="top"/>
    </xf>
    <xf numFmtId="0" fontId="79" fillId="0" borderId="3" xfId="175" applyFont="1" applyFill="1" applyBorder="1" applyAlignment="1">
      <alignment vertical="center" wrapText="1"/>
    </xf>
    <xf numFmtId="0" fontId="78" fillId="0" borderId="3" xfId="175" applyFont="1" applyFill="1" applyBorder="1" applyAlignment="1">
      <alignment vertical="center"/>
    </xf>
    <xf numFmtId="0" fontId="77" fillId="0" borderId="3" xfId="175" applyFont="1" applyBorder="1"/>
    <xf numFmtId="0" fontId="77" fillId="0" borderId="25" xfId="175" applyFont="1" applyBorder="1"/>
    <xf numFmtId="0" fontId="78" fillId="0" borderId="0" xfId="191" applyFont="1" applyFill="1" applyAlignment="1">
      <alignment vertical="center"/>
    </xf>
    <xf numFmtId="0" fontId="81" fillId="0" borderId="0" xfId="191" applyFont="1" applyFill="1" applyAlignment="1">
      <alignment vertical="center"/>
    </xf>
    <xf numFmtId="0" fontId="78" fillId="0" borderId="0" xfId="191" applyFont="1" applyFill="1" applyBorder="1" applyAlignment="1">
      <alignment vertical="center"/>
    </xf>
    <xf numFmtId="0" fontId="78" fillId="0" borderId="0" xfId="193" applyFont="1" applyFill="1" applyAlignment="1">
      <alignment vertical="center"/>
    </xf>
    <xf numFmtId="0" fontId="78" fillId="0" borderId="0" xfId="175" applyFont="1" applyFill="1" applyBorder="1" applyAlignment="1"/>
    <xf numFmtId="0" fontId="78" fillId="35" borderId="23" xfId="191" applyFont="1" applyFill="1" applyBorder="1" applyAlignment="1">
      <alignment horizontal="centerContinuous" vertical="center"/>
    </xf>
    <xf numFmtId="0" fontId="77" fillId="35" borderId="5" xfId="175" applyFont="1" applyFill="1" applyBorder="1" applyAlignment="1">
      <alignment horizontal="centerContinuous"/>
    </xf>
    <xf numFmtId="0" fontId="77" fillId="35" borderId="24" xfId="175" applyFont="1" applyFill="1" applyBorder="1" applyAlignment="1">
      <alignment horizontal="centerContinuous"/>
    </xf>
    <xf numFmtId="0" fontId="78" fillId="34" borderId="23" xfId="191" applyFont="1" applyFill="1" applyBorder="1" applyAlignment="1">
      <alignment horizontal="centerContinuous" vertical="center"/>
    </xf>
    <xf numFmtId="0" fontId="78" fillId="34" borderId="5" xfId="191" applyFont="1" applyFill="1" applyBorder="1" applyAlignment="1">
      <alignment horizontal="centerContinuous" vertical="center"/>
    </xf>
    <xf numFmtId="0" fontId="78" fillId="34" borderId="24" xfId="191" applyFont="1" applyFill="1" applyBorder="1" applyAlignment="1">
      <alignment horizontal="centerContinuous" vertical="center"/>
    </xf>
    <xf numFmtId="3" fontId="78" fillId="37" borderId="23" xfId="195" applyNumberFormat="1" applyFont="1" applyFill="1" applyBorder="1" applyAlignment="1">
      <alignment vertical="center"/>
    </xf>
    <xf numFmtId="3" fontId="78" fillId="37" borderId="5" xfId="195" applyNumberFormat="1" applyFont="1" applyFill="1" applyBorder="1" applyAlignment="1">
      <alignment vertical="center"/>
    </xf>
    <xf numFmtId="3" fontId="78" fillId="37" borderId="5" xfId="195" applyNumberFormat="1" applyFont="1" applyFill="1" applyBorder="1" applyAlignment="1">
      <alignment horizontal="left" vertical="center"/>
    </xf>
    <xf numFmtId="0" fontId="78" fillId="37" borderId="23" xfId="175" applyFont="1" applyFill="1" applyBorder="1" applyAlignment="1">
      <alignment horizontal="center" vertical="center"/>
    </xf>
    <xf numFmtId="0" fontId="78" fillId="37" borderId="5" xfId="196" applyFont="1" applyFill="1" applyBorder="1" applyAlignment="1">
      <alignment vertical="center"/>
    </xf>
    <xf numFmtId="3" fontId="78" fillId="38" borderId="5" xfId="195" applyNumberFormat="1" applyFont="1" applyFill="1" applyBorder="1" applyAlignment="1">
      <alignment horizontal="left" vertical="center"/>
    </xf>
    <xf numFmtId="3" fontId="78" fillId="38" borderId="24" xfId="195" applyNumberFormat="1" applyFont="1" applyFill="1" applyBorder="1" applyAlignment="1">
      <alignment horizontal="left" vertical="center"/>
    </xf>
    <xf numFmtId="3" fontId="78" fillId="38" borderId="23" xfId="195" applyNumberFormat="1" applyFont="1" applyFill="1" applyBorder="1" applyAlignment="1">
      <alignment horizontal="left" vertical="center"/>
    </xf>
    <xf numFmtId="0" fontId="77" fillId="38" borderId="5" xfId="175" applyFont="1" applyFill="1" applyBorder="1" applyAlignment="1"/>
    <xf numFmtId="0" fontId="77" fillId="38" borderId="24" xfId="175" applyFont="1" applyFill="1" applyBorder="1" applyAlignment="1"/>
    <xf numFmtId="0" fontId="77" fillId="0" borderId="0" xfId="175" applyFont="1" applyBorder="1" applyAlignment="1">
      <alignment vertical="center"/>
    </xf>
    <xf numFmtId="3" fontId="78" fillId="0" borderId="5" xfId="195" applyNumberFormat="1" applyFont="1" applyFill="1" applyBorder="1" applyAlignment="1">
      <alignment vertical="center"/>
    </xf>
    <xf numFmtId="3" fontId="78" fillId="0" borderId="5" xfId="195" applyNumberFormat="1" applyFont="1" applyFill="1" applyBorder="1" applyAlignment="1">
      <alignment horizontal="left" vertical="center"/>
    </xf>
    <xf numFmtId="0" fontId="78" fillId="0" borderId="23" xfId="175" applyFont="1" applyFill="1" applyBorder="1" applyAlignment="1">
      <alignment horizontal="left" vertical="center"/>
    </xf>
    <xf numFmtId="0" fontId="78" fillId="0" borderId="5" xfId="196" applyFont="1" applyFill="1" applyBorder="1" applyAlignment="1">
      <alignment vertical="center"/>
    </xf>
    <xf numFmtId="3" fontId="78" fillId="0" borderId="5" xfId="197" applyNumberFormat="1" applyFont="1" applyFill="1" applyBorder="1" applyAlignment="1">
      <alignment horizontal="left" vertical="center"/>
    </xf>
    <xf numFmtId="3" fontId="78" fillId="0" borderId="23" xfId="195" applyNumberFormat="1" applyFont="1" applyFill="1" applyBorder="1" applyAlignment="1">
      <alignment horizontal="left" vertical="center"/>
    </xf>
    <xf numFmtId="3" fontId="78" fillId="0" borderId="5" xfId="195" applyNumberFormat="1" applyFont="1" applyFill="1" applyBorder="1" applyAlignment="1">
      <alignment horizontal="left" vertical="center" shrinkToFit="1"/>
    </xf>
    <xf numFmtId="49" fontId="78" fillId="0" borderId="0" xfId="175" applyNumberFormat="1" applyFont="1" applyAlignment="1">
      <alignment horizontal="center" vertical="top"/>
    </xf>
    <xf numFmtId="49" fontId="78" fillId="0" borderId="0" xfId="175" applyNumberFormat="1" applyFont="1" applyAlignment="1">
      <alignment vertical="top"/>
    </xf>
    <xf numFmtId="0" fontId="78" fillId="0" borderId="0" xfId="175" applyNumberFormat="1" applyFont="1" applyAlignment="1">
      <alignment horizontal="left" vertical="top"/>
    </xf>
    <xf numFmtId="0" fontId="78" fillId="0" borderId="0" xfId="175" applyNumberFormat="1" applyFont="1" applyAlignment="1">
      <alignment vertical="top"/>
    </xf>
    <xf numFmtId="49" fontId="78" fillId="0" borderId="0" xfId="175" applyNumberFormat="1" applyFont="1" applyFill="1" applyAlignment="1">
      <alignment vertical="top"/>
    </xf>
    <xf numFmtId="49" fontId="78" fillId="0" borderId="0" xfId="175" applyNumberFormat="1" applyFont="1" applyBorder="1" applyAlignment="1">
      <alignment vertical="top"/>
    </xf>
    <xf numFmtId="0" fontId="77" fillId="38" borderId="5" xfId="175" applyFont="1" applyFill="1" applyBorder="1" applyAlignment="1">
      <alignment vertical="center"/>
    </xf>
    <xf numFmtId="0" fontId="77" fillId="38" borderId="24" xfId="175" applyFont="1" applyFill="1" applyBorder="1" applyAlignment="1">
      <alignment vertical="center"/>
    </xf>
    <xf numFmtId="0" fontId="77" fillId="0" borderId="5" xfId="175" applyFont="1" applyBorder="1" applyAlignment="1">
      <alignment vertical="center"/>
    </xf>
    <xf numFmtId="0" fontId="77" fillId="0" borderId="24" xfId="175" applyFont="1" applyBorder="1" applyAlignment="1">
      <alignment vertical="center"/>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3" fontId="78" fillId="0" borderId="5" xfId="195" applyNumberFormat="1" applyFont="1" applyFill="1" applyBorder="1" applyAlignment="1">
      <alignment horizontal="left" vertical="center" indent="1"/>
    </xf>
    <xf numFmtId="0" fontId="78" fillId="38" borderId="23" xfId="175" applyFont="1" applyFill="1" applyBorder="1" applyAlignment="1">
      <alignment horizontal="left" vertical="center"/>
    </xf>
    <xf numFmtId="0" fontId="78" fillId="38" borderId="5" xfId="196" applyFont="1" applyFill="1" applyBorder="1" applyAlignment="1">
      <alignment vertical="center"/>
    </xf>
    <xf numFmtId="3" fontId="78" fillId="38" borderId="5" xfId="197" applyNumberFormat="1" applyFont="1" applyFill="1" applyBorder="1" applyAlignment="1">
      <alignment horizontal="left" vertical="center"/>
    </xf>
    <xf numFmtId="0" fontId="78" fillId="38" borderId="23" xfId="175" applyFont="1" applyFill="1" applyBorder="1" applyAlignment="1">
      <alignment horizontal="center" vertical="center" wrapText="1"/>
    </xf>
    <xf numFmtId="0" fontId="78" fillId="38" borderId="24" xfId="175" applyFont="1" applyFill="1" applyBorder="1" applyAlignment="1">
      <alignment horizontal="center" vertical="center" wrapText="1"/>
    </xf>
    <xf numFmtId="3" fontId="78" fillId="38" borderId="23" xfId="195" quotePrefix="1" applyNumberFormat="1" applyFont="1" applyFill="1" applyBorder="1" applyAlignment="1">
      <alignment horizontal="center" vertical="center" wrapText="1"/>
    </xf>
    <xf numFmtId="3" fontId="78" fillId="38" borderId="5" xfId="195" quotePrefix="1" applyNumberFormat="1" applyFont="1" applyFill="1" applyBorder="1" applyAlignment="1">
      <alignment horizontal="center" vertical="center" wrapText="1"/>
    </xf>
    <xf numFmtId="3" fontId="78" fillId="38" borderId="24" xfId="195" quotePrefix="1" applyNumberFormat="1" applyFont="1" applyFill="1" applyBorder="1" applyAlignment="1">
      <alignment horizontal="center" vertical="center" wrapText="1"/>
    </xf>
    <xf numFmtId="3" fontId="78" fillId="38" borderId="5" xfId="195" applyNumberFormat="1" applyFont="1" applyFill="1" applyBorder="1" applyAlignment="1">
      <alignment vertical="center" wrapText="1"/>
    </xf>
    <xf numFmtId="3" fontId="78" fillId="38" borderId="24" xfId="195" applyNumberFormat="1" applyFont="1" applyFill="1" applyBorder="1" applyAlignment="1">
      <alignment vertical="center" wrapText="1"/>
    </xf>
    <xf numFmtId="3" fontId="78" fillId="38" borderId="23" xfId="195" applyNumberFormat="1" applyFont="1" applyFill="1" applyBorder="1" applyAlignment="1">
      <alignment vertical="center"/>
    </xf>
    <xf numFmtId="0" fontId="5" fillId="33" borderId="23" xfId="0" applyFont="1" applyFill="1" applyBorder="1" applyAlignment="1">
      <alignment horizontal="center"/>
    </xf>
    <xf numFmtId="0" fontId="5" fillId="33" borderId="24" xfId="0" applyFont="1" applyFill="1" applyBorder="1" applyAlignment="1">
      <alignment horizontal="center"/>
    </xf>
    <xf numFmtId="0" fontId="5" fillId="33" borderId="1" xfId="0" applyFont="1" applyFill="1" applyBorder="1" applyAlignment="1">
      <alignment horizontal="center"/>
    </xf>
    <xf numFmtId="0" fontId="0" fillId="33" borderId="1" xfId="0" applyFill="1" applyBorder="1" applyAlignment="1"/>
    <xf numFmtId="177" fontId="5" fillId="0" borderId="23" xfId="0" applyNumberFormat="1" applyFont="1" applyFill="1" applyBorder="1" applyAlignment="1">
      <alignment vertical="top"/>
    </xf>
    <xf numFmtId="177" fontId="5" fillId="0" borderId="24" xfId="0" applyNumberFormat="1" applyFont="1" applyFill="1" applyBorder="1" applyAlignment="1">
      <alignment vertical="top"/>
    </xf>
    <xf numFmtId="178" fontId="5" fillId="0" borderId="23" xfId="0" applyNumberFormat="1" applyFont="1" applyFill="1" applyBorder="1" applyAlignment="1" applyProtection="1">
      <alignment horizontal="center" vertical="top"/>
      <protection locked="0"/>
    </xf>
    <xf numFmtId="178" fontId="5" fillId="0" borderId="5" xfId="0" quotePrefix="1" applyNumberFormat="1" applyFont="1" applyFill="1" applyBorder="1" applyAlignment="1" applyProtection="1">
      <alignment horizontal="center" vertical="top"/>
      <protection locked="0"/>
    </xf>
    <xf numFmtId="178" fontId="5" fillId="0" borderId="24" xfId="0" quotePrefix="1"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xf>
    <xf numFmtId="0" fontId="5" fillId="33" borderId="5" xfId="0" applyFont="1" applyFill="1" applyBorder="1" applyAlignment="1">
      <alignment horizontal="center"/>
    </xf>
    <xf numFmtId="0" fontId="5" fillId="0" borderId="23" xfId="0" applyFont="1" applyFill="1" applyBorder="1" applyAlignment="1" applyProtection="1">
      <alignment vertical="top" wrapText="1"/>
      <protection locked="0"/>
    </xf>
    <xf numFmtId="0" fontId="5" fillId="0" borderId="5" xfId="0" applyFont="1" applyFill="1" applyBorder="1" applyAlignment="1" applyProtection="1">
      <alignment vertical="top"/>
      <protection locked="0"/>
    </xf>
    <xf numFmtId="0" fontId="5" fillId="0" borderId="24" xfId="0" applyFont="1" applyFill="1" applyBorder="1" applyAlignment="1" applyProtection="1">
      <alignment vertical="top"/>
      <protection locked="0"/>
    </xf>
    <xf numFmtId="0" fontId="5" fillId="0" borderId="5" xfId="0" applyFont="1" applyFill="1" applyBorder="1" applyAlignment="1" applyProtection="1">
      <alignment vertical="top" wrapText="1"/>
      <protection locked="0"/>
    </xf>
    <xf numFmtId="0" fontId="5" fillId="0" borderId="24" xfId="0" applyFont="1" applyFill="1" applyBorder="1" applyAlignment="1" applyProtection="1">
      <alignment vertical="top" wrapText="1"/>
      <protection locked="0"/>
    </xf>
    <xf numFmtId="0" fontId="5" fillId="0" borderId="1" xfId="0" applyFont="1" applyFill="1" applyBorder="1" applyAlignment="1" applyProtection="1">
      <alignment vertical="top" wrapText="1"/>
      <protection locked="0"/>
    </xf>
    <xf numFmtId="178" fontId="5" fillId="0" borderId="23" xfId="0" quotePrefix="1" applyNumberFormat="1" applyFont="1" applyFill="1" applyBorder="1" applyAlignment="1" applyProtection="1">
      <alignment horizontal="center" vertical="top"/>
      <protection locked="0"/>
    </xf>
    <xf numFmtId="0" fontId="5" fillId="0" borderId="23" xfId="0" applyFont="1" applyFill="1" applyBorder="1" applyAlignment="1" applyProtection="1">
      <alignment vertical="top"/>
      <protection locked="0"/>
    </xf>
    <xf numFmtId="0" fontId="78" fillId="0" borderId="23" xfId="175" applyFont="1" applyFill="1" applyBorder="1" applyAlignment="1">
      <alignment horizontal="center" vertical="center" shrinkToFit="1"/>
    </xf>
    <xf numFmtId="0" fontId="78" fillId="0" borderId="24" xfId="175" applyFont="1" applyFill="1" applyBorder="1" applyAlignment="1">
      <alignment horizontal="center" vertical="center" shrinkToFit="1"/>
    </xf>
    <xf numFmtId="0" fontId="78" fillId="0" borderId="23" xfId="175" applyFont="1" applyFill="1" applyBorder="1" applyAlignment="1">
      <alignment horizontal="center" vertical="center" wrapText="1"/>
    </xf>
    <xf numFmtId="0" fontId="78" fillId="0" borderId="24" xfId="175" applyFont="1" applyFill="1" applyBorder="1" applyAlignment="1">
      <alignment horizontal="center" vertical="center" wrapText="1"/>
    </xf>
    <xf numFmtId="3" fontId="78" fillId="0" borderId="23" xfId="195" quotePrefix="1" applyNumberFormat="1" applyFont="1" applyFill="1" applyBorder="1" applyAlignment="1">
      <alignment vertical="center" wrapText="1"/>
    </xf>
    <xf numFmtId="3" fontId="78" fillId="0" borderId="5" xfId="195" quotePrefix="1" applyNumberFormat="1" applyFont="1" applyFill="1" applyBorder="1" applyAlignment="1">
      <alignment vertical="center" wrapText="1"/>
    </xf>
    <xf numFmtId="3" fontId="78" fillId="0" borderId="24" xfId="195" quotePrefix="1" applyNumberFormat="1" applyFont="1" applyFill="1" applyBorder="1" applyAlignment="1">
      <alignment vertical="center" wrapText="1"/>
    </xf>
    <xf numFmtId="3" fontId="78" fillId="0" borderId="23" xfId="195" applyNumberFormat="1" applyFont="1" applyFill="1" applyBorder="1" applyAlignment="1">
      <alignment vertical="center" wrapText="1"/>
    </xf>
    <xf numFmtId="3" fontId="78" fillId="0" borderId="5" xfId="195" applyNumberFormat="1" applyFont="1" applyFill="1" applyBorder="1" applyAlignment="1">
      <alignment vertical="center" wrapText="1"/>
    </xf>
    <xf numFmtId="3" fontId="78" fillId="0" borderId="24" xfId="195" applyNumberFormat="1" applyFont="1" applyFill="1" applyBorder="1" applyAlignment="1">
      <alignment vertical="center" wrapText="1"/>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0" borderId="23" xfId="175" applyFont="1" applyBorder="1" applyAlignment="1">
      <alignment horizontal="center" vertical="center" shrinkToFit="1"/>
    </xf>
    <xf numFmtId="0" fontId="78" fillId="0" borderId="24" xfId="175" applyFont="1" applyBorder="1" applyAlignment="1">
      <alignment horizontal="center" vertical="center" shrinkToFit="1"/>
    </xf>
    <xf numFmtId="0" fontId="78" fillId="0" borderId="23" xfId="175" applyFont="1" applyFill="1" applyBorder="1" applyAlignment="1">
      <alignment vertical="center" shrinkToFit="1"/>
    </xf>
    <xf numFmtId="0" fontId="78" fillId="0" borderId="24" xfId="175" applyFont="1" applyFill="1" applyBorder="1" applyAlignment="1">
      <alignment vertical="center" shrinkToFit="1"/>
    </xf>
    <xf numFmtId="3" fontId="78" fillId="0" borderId="23" xfId="195" quotePrefix="1" applyNumberFormat="1" applyFont="1" applyFill="1" applyBorder="1" applyAlignment="1">
      <alignment horizontal="center" vertical="center" wrapText="1"/>
    </xf>
    <xf numFmtId="3" fontId="78" fillId="0" borderId="5" xfId="195" quotePrefix="1" applyNumberFormat="1" applyFont="1" applyFill="1" applyBorder="1" applyAlignment="1">
      <alignment horizontal="center" vertical="center" wrapText="1"/>
    </xf>
    <xf numFmtId="3" fontId="78" fillId="0" borderId="24" xfId="195" quotePrefix="1" applyNumberFormat="1" applyFont="1" applyFill="1" applyBorder="1" applyAlignment="1">
      <alignment horizontal="center" vertical="center" wrapText="1"/>
    </xf>
    <xf numFmtId="0" fontId="78" fillId="36" borderId="23" xfId="175" applyFont="1" applyFill="1" applyBorder="1" applyAlignment="1">
      <alignment vertical="center" shrinkToFit="1"/>
    </xf>
    <xf numFmtId="0" fontId="78" fillId="36" borderId="24" xfId="175" applyFont="1" applyFill="1" applyBorder="1" applyAlignment="1">
      <alignment vertical="center" shrinkToFit="1"/>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3" fontId="78" fillId="38" borderId="24" xfId="195"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34" borderId="23" xfId="191" applyFont="1" applyFill="1" applyBorder="1" applyAlignment="1">
      <alignment horizontal="center" vertical="center" wrapText="1"/>
    </xf>
    <xf numFmtId="0" fontId="78" fillId="34" borderId="5" xfId="191" applyFont="1" applyFill="1" applyBorder="1" applyAlignment="1">
      <alignment horizontal="center" vertical="center" wrapText="1"/>
    </xf>
    <xf numFmtId="0" fontId="78" fillId="34" borderId="24" xfId="191" applyFont="1" applyFill="1" applyBorder="1" applyAlignment="1">
      <alignment horizontal="center" vertical="center" wrapText="1"/>
    </xf>
    <xf numFmtId="0" fontId="77" fillId="0" borderId="24" xfId="175" applyFont="1" applyBorder="1"/>
    <xf numFmtId="0" fontId="78" fillId="34" borderId="23" xfId="191" applyFont="1" applyFill="1" applyBorder="1" applyAlignment="1">
      <alignment horizontal="center" vertical="center"/>
    </xf>
    <xf numFmtId="0" fontId="78" fillId="34" borderId="23" xfId="191" applyFont="1" applyFill="1" applyBorder="1" applyAlignment="1">
      <alignment vertical="center"/>
    </xf>
    <xf numFmtId="0" fontId="78" fillId="34" borderId="5" xfId="191" applyFont="1" applyFill="1" applyBorder="1" applyAlignment="1">
      <alignment vertical="center"/>
    </xf>
    <xf numFmtId="0" fontId="78" fillId="34" borderId="24" xfId="191" applyFont="1" applyFill="1" applyBorder="1" applyAlignment="1">
      <alignment vertical="center"/>
    </xf>
    <xf numFmtId="0" fontId="78" fillId="0" borderId="23" xfId="175" applyFont="1" applyFill="1" applyBorder="1" applyAlignment="1">
      <alignment vertical="center"/>
    </xf>
    <xf numFmtId="0" fontId="78" fillId="0" borderId="5" xfId="175" applyFont="1" applyFill="1" applyBorder="1" applyAlignment="1">
      <alignment vertical="center"/>
    </xf>
    <xf numFmtId="0" fontId="78" fillId="34" borderId="23" xfId="192" applyFont="1" applyFill="1" applyBorder="1" applyAlignment="1">
      <alignment vertical="center"/>
    </xf>
    <xf numFmtId="0" fontId="78" fillId="34" borderId="5" xfId="175" applyFont="1" applyFill="1" applyBorder="1"/>
    <xf numFmtId="0" fontId="78" fillId="34" borderId="24" xfId="175" applyFont="1" applyFill="1" applyBorder="1"/>
    <xf numFmtId="0" fontId="78" fillId="0" borderId="23" xfId="175" applyNumberFormat="1" applyFont="1" applyBorder="1" applyAlignment="1">
      <alignment horizontal="center"/>
    </xf>
    <xf numFmtId="0" fontId="78" fillId="0" borderId="5" xfId="175" applyNumberFormat="1" applyFont="1" applyBorder="1" applyAlignment="1">
      <alignment horizontal="center"/>
    </xf>
    <xf numFmtId="0" fontId="78" fillId="0" borderId="5" xfId="175" applyFont="1" applyBorder="1" applyAlignment="1">
      <alignment horizontal="center"/>
    </xf>
    <xf numFmtId="0" fontId="78" fillId="34" borderId="22" xfId="191" applyFont="1" applyFill="1" applyBorder="1" applyAlignment="1">
      <alignment vertical="center"/>
    </xf>
    <xf numFmtId="0" fontId="78" fillId="34" borderId="2" xfId="191" applyFont="1" applyFill="1" applyBorder="1" applyAlignment="1">
      <alignment vertical="center"/>
    </xf>
    <xf numFmtId="0" fontId="78" fillId="34" borderId="19" xfId="191" applyFont="1" applyFill="1" applyBorder="1" applyAlignment="1">
      <alignment vertical="center"/>
    </xf>
    <xf numFmtId="0" fontId="78" fillId="34" borderId="32" xfId="175" applyFont="1" applyFill="1" applyBorder="1" applyAlignment="1">
      <alignment vertical="center"/>
    </xf>
    <xf numFmtId="0" fontId="78" fillId="34" borderId="0" xfId="175" applyFont="1" applyFill="1" applyBorder="1" applyAlignment="1">
      <alignment vertical="center"/>
    </xf>
    <xf numFmtId="0" fontId="78" fillId="34" borderId="33" xfId="175" applyFont="1" applyFill="1" applyBorder="1" applyAlignment="1">
      <alignment vertical="center"/>
    </xf>
    <xf numFmtId="0" fontId="78" fillId="34" borderId="21" xfId="175" applyFont="1" applyFill="1" applyBorder="1" applyAlignment="1">
      <alignment vertical="center"/>
    </xf>
    <xf numFmtId="0" fontId="78" fillId="34" borderId="3" xfId="175" applyFont="1" applyFill="1" applyBorder="1" applyAlignment="1">
      <alignment vertical="center"/>
    </xf>
    <xf numFmtId="0" fontId="78" fillId="34" borderId="25" xfId="175" applyFont="1" applyFill="1" applyBorder="1" applyAlignment="1">
      <alignment vertical="center"/>
    </xf>
    <xf numFmtId="0" fontId="78" fillId="0" borderId="5" xfId="175" applyFont="1" applyFill="1" applyBorder="1" applyAlignment="1">
      <alignment vertical="center" shrinkToFit="1"/>
    </xf>
    <xf numFmtId="0" fontId="77" fillId="0" borderId="26" xfId="189" applyFont="1" applyFill="1" applyBorder="1" applyAlignment="1">
      <alignment horizontal="center" vertical="center" wrapText="1" shrinkToFit="1"/>
    </xf>
    <xf numFmtId="0" fontId="77" fillId="0" borderId="27" xfId="189" applyFont="1" applyFill="1" applyBorder="1" applyAlignment="1">
      <alignment horizontal="center" vertical="center" shrinkToFit="1"/>
    </xf>
    <xf numFmtId="0" fontId="77" fillId="0" borderId="28" xfId="189" applyFont="1" applyFill="1" applyBorder="1" applyAlignment="1">
      <alignment horizontal="center" vertical="center" shrinkToFit="1"/>
    </xf>
    <xf numFmtId="0" fontId="77" fillId="0" borderId="30" xfId="189" applyFont="1" applyFill="1" applyBorder="1" applyAlignment="1">
      <alignment horizontal="center" vertical="center" shrinkToFit="1"/>
    </xf>
    <xf numFmtId="0" fontId="77" fillId="0" borderId="31" xfId="189" applyFont="1" applyFill="1" applyBorder="1" applyAlignment="1">
      <alignment horizontal="center" vertical="center" shrinkToFit="1"/>
    </xf>
    <xf numFmtId="0" fontId="77" fillId="0" borderId="29" xfId="189" applyFont="1" applyFill="1" applyBorder="1" applyAlignment="1">
      <alignment horizontal="center" vertical="center" shrinkToFit="1"/>
    </xf>
    <xf numFmtId="0" fontId="78" fillId="35" borderId="23" xfId="175" applyFont="1" applyFill="1" applyBorder="1" applyAlignment="1">
      <alignment horizontal="center" vertical="center"/>
    </xf>
    <xf numFmtId="0" fontId="77" fillId="0" borderId="5" xfId="0" applyFont="1" applyBorder="1" applyAlignment="1">
      <alignment horizontal="center" vertical="center"/>
    </xf>
    <xf numFmtId="0" fontId="77" fillId="0" borderId="24" xfId="0" applyFont="1" applyBorder="1" applyAlignment="1">
      <alignment horizontal="center" vertical="center"/>
    </xf>
    <xf numFmtId="0" fontId="78" fillId="34" borderId="1" xfId="175" applyFont="1" applyFill="1" applyBorder="1" applyAlignment="1">
      <alignment horizontal="left"/>
    </xf>
    <xf numFmtId="0" fontId="78" fillId="0" borderId="23" xfId="175" applyFont="1" applyBorder="1" applyAlignment="1">
      <alignment horizontal="center"/>
    </xf>
    <xf numFmtId="0" fontId="78" fillId="0" borderId="24" xfId="175" applyFont="1" applyBorder="1" applyAlignment="1">
      <alignment horizontal="center"/>
    </xf>
    <xf numFmtId="0" fontId="78" fillId="34" borderId="23" xfId="175" applyFont="1" applyFill="1" applyBorder="1" applyAlignment="1"/>
    <xf numFmtId="0" fontId="78" fillId="34" borderId="5" xfId="175" applyFont="1" applyFill="1" applyBorder="1" applyAlignment="1"/>
    <xf numFmtId="0" fontId="78" fillId="34" borderId="24" xfId="175" applyFont="1" applyFill="1" applyBorder="1" applyAlignment="1"/>
    <xf numFmtId="179" fontId="78" fillId="0" borderId="23" xfId="175" applyNumberFormat="1" applyFont="1" applyBorder="1" applyAlignment="1">
      <alignment horizontal="right"/>
    </xf>
    <xf numFmtId="179" fontId="78" fillId="0" borderId="5" xfId="175" applyNumberFormat="1" applyFont="1" applyBorder="1" applyAlignment="1">
      <alignment horizontal="right"/>
    </xf>
    <xf numFmtId="0" fontId="78" fillId="0" borderId="5" xfId="191" applyFont="1" applyFill="1" applyBorder="1" applyAlignment="1">
      <alignment horizontal="center" vertical="center"/>
    </xf>
    <xf numFmtId="0" fontId="76" fillId="0" borderId="23" xfId="190" applyFont="1" applyFill="1" applyBorder="1" applyAlignment="1">
      <alignment horizontal="center" vertical="center"/>
    </xf>
    <xf numFmtId="0" fontId="76" fillId="0" borderId="5" xfId="190" applyFont="1" applyFill="1" applyBorder="1" applyAlignment="1">
      <alignment horizontal="center" vertical="center"/>
    </xf>
    <xf numFmtId="0" fontId="76" fillId="0" borderId="24" xfId="190" applyFont="1" applyFill="1" applyBorder="1" applyAlignment="1">
      <alignment horizontal="center" vertical="center"/>
    </xf>
    <xf numFmtId="0" fontId="76" fillId="0" borderId="1" xfId="190" applyFont="1" applyFill="1" applyBorder="1" applyAlignment="1">
      <alignment horizontal="center" vertical="center"/>
    </xf>
    <xf numFmtId="0" fontId="76" fillId="0" borderId="2" xfId="190" applyFont="1" applyFill="1" applyBorder="1" applyAlignment="1">
      <alignment horizontal="center" vertical="center"/>
    </xf>
    <xf numFmtId="0" fontId="76" fillId="0" borderId="19" xfId="190" applyFont="1" applyFill="1" applyBorder="1" applyAlignment="1">
      <alignment horizontal="center" vertical="center"/>
    </xf>
    <xf numFmtId="0" fontId="76" fillId="0" borderId="3" xfId="190" applyFont="1" applyFill="1" applyBorder="1" applyAlignment="1">
      <alignment horizontal="center" vertical="center"/>
    </xf>
    <xf numFmtId="0" fontId="76" fillId="0" borderId="25" xfId="190" applyFont="1" applyFill="1" applyBorder="1" applyAlignment="1">
      <alignment horizontal="center" vertical="center"/>
    </xf>
    <xf numFmtId="0" fontId="76" fillId="0" borderId="21" xfId="226" quotePrefix="1" applyFont="1" applyFill="1" applyBorder="1" applyAlignment="1">
      <alignment horizontal="center" vertical="center"/>
    </xf>
    <xf numFmtId="0" fontId="76" fillId="0" borderId="3" xfId="226" applyFont="1" applyFill="1" applyBorder="1" applyAlignment="1">
      <alignment horizontal="center" vertical="center"/>
    </xf>
    <xf numFmtId="0" fontId="76" fillId="0" borderId="25" xfId="226" applyFont="1" applyFill="1" applyBorder="1" applyAlignment="1">
      <alignment horizontal="center" vertical="center"/>
    </xf>
    <xf numFmtId="0" fontId="76" fillId="0" borderId="21" xfId="190" applyFont="1" applyFill="1" applyBorder="1" applyAlignment="1">
      <alignment horizontal="center" vertical="center"/>
    </xf>
    <xf numFmtId="0" fontId="76" fillId="0" borderId="21" xfId="190" applyFont="1" applyFill="1" applyBorder="1" applyAlignment="1">
      <alignment horizontal="center" vertical="center" shrinkToFit="1"/>
    </xf>
    <xf numFmtId="0" fontId="76" fillId="0" borderId="3" xfId="190" applyFont="1" applyFill="1" applyBorder="1" applyAlignment="1">
      <alignment horizontal="center" vertical="center" shrinkToFit="1"/>
    </xf>
    <xf numFmtId="0" fontId="76" fillId="0" borderId="25" xfId="190" applyFont="1" applyFill="1" applyBorder="1" applyAlignment="1">
      <alignment horizontal="center" vertical="center" shrinkToFit="1"/>
    </xf>
    <xf numFmtId="14" fontId="76" fillId="0" borderId="21" xfId="190" applyNumberFormat="1" applyFont="1" applyFill="1" applyBorder="1" applyAlignment="1">
      <alignment horizontal="center" vertical="center"/>
    </xf>
    <xf numFmtId="14" fontId="76" fillId="0" borderId="3" xfId="190" applyNumberFormat="1" applyFont="1" applyFill="1" applyBorder="1" applyAlignment="1">
      <alignment horizontal="center" vertical="center"/>
    </xf>
    <xf numFmtId="14" fontId="76" fillId="0" borderId="25" xfId="190" applyNumberFormat="1" applyFont="1" applyFill="1" applyBorder="1" applyAlignment="1">
      <alignment horizontal="center" vertical="center"/>
    </xf>
    <xf numFmtId="0" fontId="76" fillId="0" borderId="22" xfId="190" applyFont="1" applyFill="1" applyBorder="1" applyAlignment="1">
      <alignment horizontal="center" vertical="center" wrapText="1"/>
    </xf>
    <xf numFmtId="0" fontId="76" fillId="0" borderId="2" xfId="190" applyFont="1" applyFill="1" applyBorder="1" applyAlignment="1">
      <alignment horizontal="center" vertical="center" wrapText="1"/>
    </xf>
    <xf numFmtId="0" fontId="76" fillId="0" borderId="19" xfId="190" applyFont="1" applyFill="1" applyBorder="1" applyAlignment="1">
      <alignment horizontal="center" vertical="center" wrapText="1"/>
    </xf>
    <xf numFmtId="0" fontId="76" fillId="0" borderId="21" xfId="190" applyFont="1" applyFill="1" applyBorder="1" applyAlignment="1">
      <alignment horizontal="center" vertical="center" wrapText="1"/>
    </xf>
    <xf numFmtId="0" fontId="76" fillId="0" borderId="3" xfId="190" applyFont="1" applyFill="1" applyBorder="1" applyAlignment="1">
      <alignment horizontal="center" vertical="center" wrapText="1"/>
    </xf>
    <xf numFmtId="0" fontId="76" fillId="0" borderId="25" xfId="190" applyFont="1" applyFill="1" applyBorder="1" applyAlignment="1">
      <alignment horizontal="center" vertical="center" wrapText="1"/>
    </xf>
    <xf numFmtId="176" fontId="76" fillId="0" borderId="1" xfId="189" applyNumberFormat="1" applyFont="1" applyFill="1" applyBorder="1" applyAlignment="1">
      <alignment horizontal="center" vertical="center"/>
    </xf>
    <xf numFmtId="0" fontId="78" fillId="0" borderId="23" xfId="175" applyFont="1" applyFill="1" applyBorder="1" applyAlignment="1">
      <alignment horizontal="left" vertical="center" wrapText="1"/>
    </xf>
    <xf numFmtId="0" fontId="78" fillId="0" borderId="5" xfId="175" applyFont="1" applyFill="1" applyBorder="1" applyAlignment="1">
      <alignment horizontal="left" vertical="center" wrapText="1"/>
    </xf>
    <xf numFmtId="0" fontId="78" fillId="0" borderId="24" xfId="175" applyFont="1" applyFill="1" applyBorder="1" applyAlignment="1">
      <alignment horizontal="left" vertical="center" wrapText="1"/>
    </xf>
  </cellXfs>
  <cellStyles count="227">
    <cellStyle name="??" xfId="1"/>
    <cellStyle name="?? [0.00]_PERSONAL" xfId="2"/>
    <cellStyle name="???? [0.00]_PERSONAL" xfId="3"/>
    <cellStyle name="????_PERSONAL" xfId="4"/>
    <cellStyle name="??_PERSONAL" xfId="5"/>
    <cellStyle name="11.5" xfId="6"/>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ando" xfId="25"/>
    <cellStyle name="B10" xfId="26"/>
    <cellStyle name="Background" xfId="27"/>
    <cellStyle name="BD標準" xfId="28"/>
    <cellStyle name="blank" xfId="29"/>
    <cellStyle name="Border" xfId="30"/>
    <cellStyle name="Calc Currency (0)" xfId="31"/>
    <cellStyle name="Calc Currency (2)" xfId="32"/>
    <cellStyle name="Calc Percent (0)" xfId="33"/>
    <cellStyle name="Calc Percent (1)" xfId="34"/>
    <cellStyle name="Calc Percent (2)" xfId="35"/>
    <cellStyle name="Calc Units (0)" xfId="36"/>
    <cellStyle name="Calc Units (1)" xfId="37"/>
    <cellStyle name="Calc Units (2)" xfId="38"/>
    <cellStyle name="category"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0]" xfId="48"/>
    <cellStyle name="Comma [00]" xfId="49"/>
    <cellStyle name="comma zerodec" xfId="50"/>
    <cellStyle name="Comma_#6 Temps &amp; Contractors" xfId="51"/>
    <cellStyle name="Comma0" xfId="52"/>
    <cellStyle name="COMP定番表書式" xfId="53"/>
    <cellStyle name="Currency [0]" xfId="54"/>
    <cellStyle name="Currency [00]" xfId="55"/>
    <cellStyle name="Currency_#6 Temps &amp; Contractors" xfId="56"/>
    <cellStyle name="Currency0" xfId="57"/>
    <cellStyle name="Currency1" xfId="58"/>
    <cellStyle name="Date Short" xfId="59"/>
    <cellStyle name="DDD" xfId="60"/>
    <cellStyle name="Dollar (zero dec)" xfId="61"/>
    <cellStyle name="Enter Currency (0)" xfId="62"/>
    <cellStyle name="Enter Currency (2)" xfId="63"/>
    <cellStyle name="Enter Units (0)" xfId="64"/>
    <cellStyle name="Enter Units (1)" xfId="65"/>
    <cellStyle name="Enter Units (2)" xfId="66"/>
    <cellStyle name="entry" xfId="67"/>
    <cellStyle name="fuji" xfId="68"/>
    <cellStyle name="Grey" xfId="69"/>
    <cellStyle name="Header" xfId="70"/>
    <cellStyle name="Header 1" xfId="198"/>
    <cellStyle name="Header 2" xfId="199"/>
    <cellStyle name="Header Center" xfId="200"/>
    <cellStyle name="Header1" xfId="71"/>
    <cellStyle name="Header2" xfId="72"/>
    <cellStyle name="Heading 1" xfId="73"/>
    <cellStyle name="Heading 2" xfId="74"/>
    <cellStyle name="HP Logo" xfId="201"/>
    <cellStyle name="IBM(401K)" xfId="75"/>
    <cellStyle name="Input [yellow]" xfId="76"/>
    <cellStyle name="J401K" xfId="77"/>
    <cellStyle name="kyuujitu" xfId="78"/>
    <cellStyle name="Link Currency (0)" xfId="79"/>
    <cellStyle name="Link Currency (2)" xfId="80"/>
    <cellStyle name="Link Units (0)" xfId="81"/>
    <cellStyle name="Link Units (1)" xfId="82"/>
    <cellStyle name="Link Units (2)" xfId="83"/>
    <cellStyle name="Milliers [0]_AR1194" xfId="84"/>
    <cellStyle name="Milliers_AR1194" xfId="85"/>
    <cellStyle name="Model" xfId="86"/>
    <cellStyle name="Mon騁aire [0]_AR1194" xfId="87"/>
    <cellStyle name="Mon騁aire_AR1194" xfId="88"/>
    <cellStyle name="Normal - Style1" xfId="89"/>
    <cellStyle name="Normal_# 41-Market &amp;Trends" xfId="90"/>
    <cellStyle name="Percent (0)" xfId="91"/>
    <cellStyle name="Percent [0]" xfId="92"/>
    <cellStyle name="Percent [00]" xfId="93"/>
    <cellStyle name="Percent [2]" xfId="94"/>
    <cellStyle name="Percent_#6 Temps &amp; Contractors" xfId="95"/>
    <cellStyle name="PrePop Currency (0)" xfId="96"/>
    <cellStyle name="PrePop Currency (2)" xfId="97"/>
    <cellStyle name="PrePop Units (0)" xfId="98"/>
    <cellStyle name="PrePop Units (1)" xfId="99"/>
    <cellStyle name="PrePop Units (2)" xfId="100"/>
    <cellStyle name="price" xfId="101"/>
    <cellStyle name="PSChar" xfId="102"/>
    <cellStyle name="PSDate" xfId="103"/>
    <cellStyle name="PSDec" xfId="104"/>
    <cellStyle name="PSHeading" xfId="105"/>
    <cellStyle name="PSInt" xfId="106"/>
    <cellStyle name="PSSpacer" xfId="107"/>
    <cellStyle name="revised" xfId="108"/>
    <cellStyle name="section" xfId="109"/>
    <cellStyle name="subhead" xfId="110"/>
    <cellStyle name="Table Entry" xfId="202"/>
    <cellStyle name="Table Heading" xfId="203"/>
    <cellStyle name="Table Heading Center" xfId="204"/>
    <cellStyle name="Table Medium" xfId="205"/>
    <cellStyle name="Table Normal" xfId="206"/>
    <cellStyle name="Table Small" xfId="207"/>
    <cellStyle name="Table Small Bold" xfId="208"/>
    <cellStyle name="Table Small Center" xfId="209"/>
    <cellStyle name="Table Title" xfId="210"/>
    <cellStyle name="Text Indent A" xfId="111"/>
    <cellStyle name="Text Indent B" xfId="112"/>
    <cellStyle name="Text Indent C" xfId="113"/>
    <cellStyle name="title" xfId="114"/>
    <cellStyle name="Total" xfId="115"/>
    <cellStyle name="アクセント 1" xfId="116" builtinId="29" customBuiltin="1"/>
    <cellStyle name="アクセント 2" xfId="117" builtinId="33" customBuiltin="1"/>
    <cellStyle name="アクセント 3" xfId="118" builtinId="37" customBuiltin="1"/>
    <cellStyle name="アクセント 4" xfId="119" builtinId="41" customBuiltin="1"/>
    <cellStyle name="アクセント 5" xfId="120" builtinId="45" customBuiltin="1"/>
    <cellStyle name="アクセント 6" xfId="121" builtinId="49" customBuiltin="1"/>
    <cellStyle name="スタイル 1" xfId="211"/>
    <cellStyle name="すたいる１" xfId="122"/>
    <cellStyle name="センター" xfId="123"/>
    <cellStyle name="タイトル" xfId="124" builtinId="15" customBuiltin="1"/>
    <cellStyle name="チェック セル" xfId="125" builtinId="23" customBuiltin="1"/>
    <cellStyle name="チャート" xfId="126"/>
    <cellStyle name="テーブル定義書" xfId="127"/>
    <cellStyle name="ドキュメント標準" xfId="128"/>
    <cellStyle name="どちらでもない" xfId="129" builtinId="28" customBuiltin="1"/>
    <cellStyle name="パラメータ" xfId="212"/>
    <cellStyle name="メモ" xfId="130" builtinId="10" customBuiltin="1"/>
    <cellStyle name="リンク セル" xfId="131" builtinId="24" customBuiltin="1"/>
    <cellStyle name="_x001d_・_x000c_ﾏ・_x000d_ﾂ・_x0001__x0016__x0011_F5_x0007__x0001__x0001_" xfId="187"/>
    <cellStyle name="_x001d__x000c_K_x0014__x000d_&gt;V_x0001_&gt;_x0014_n_x001e__x0007__x0001__x0001_" xfId="188"/>
    <cellStyle name="悪い" xfId="132" builtinId="27" customBuiltin="1"/>
    <cellStyle name="下点線" xfId="133"/>
    <cellStyle name="価格桁区切り" xfId="134"/>
    <cellStyle name="議事録" xfId="135"/>
    <cellStyle name="型番" xfId="136"/>
    <cellStyle name="計算" xfId="137" builtinId="22" customBuiltin="1"/>
    <cellStyle name="警告文" xfId="138" builtinId="11" customBuiltin="1"/>
    <cellStyle name="桁蟻唇Ｆ [0.00]_laroux" xfId="139"/>
    <cellStyle name="桁蟻唇Ｆ_laroux" xfId="140"/>
    <cellStyle name="桁区切り [0.00]???瑳?倨???渭湯??:l search ; *.xla; *.xlt; *.xlm; *t match these search criteria:" xfId="141"/>
    <cellStyle name="桁区切り 2" xfId="142"/>
    <cellStyle name="桁区切り 3" xfId="213"/>
    <cellStyle name="見出し 1" xfId="143" builtinId="16" customBuiltin="1"/>
    <cellStyle name="見出し 2" xfId="144" builtinId="17" customBuiltin="1"/>
    <cellStyle name="見出し 3" xfId="145" builtinId="18" customBuiltin="1"/>
    <cellStyle name="見出し 4" xfId="146" builtinId="19" customBuiltin="1"/>
    <cellStyle name="在庫" xfId="147"/>
    <cellStyle name="仕様書標準" xfId="148"/>
    <cellStyle name="集計" xfId="149" builtinId="25" customBuiltin="1"/>
    <cellStyle name="出力" xfId="150" builtinId="21" customBuiltin="1"/>
    <cellStyle name="人月" xfId="151"/>
    <cellStyle name="数値" xfId="152"/>
    <cellStyle name="数値（桁区切り）" xfId="153"/>
    <cellStyle name="数値_0413ｻｲｼﾞﾝｸﾞ報告会ﾒﾓ" xfId="154"/>
    <cellStyle name="製品通知&quot;-&quot;" xfId="155"/>
    <cellStyle name="製品通知価格" xfId="156"/>
    <cellStyle name="製品通知日付" xfId="157"/>
    <cellStyle name="製品通知文字列" xfId="158"/>
    <cellStyle name="折り返し明細" xfId="159"/>
    <cellStyle name="説明文" xfId="160" builtinId="53" customBuiltin="1"/>
    <cellStyle name="大見出し" xfId="161"/>
    <cellStyle name="脱浦 [0.00]_laroux" xfId="162"/>
    <cellStyle name="脱浦_laroux" xfId="163"/>
    <cellStyle name="通貨 [0.00]0]???瑳?倨???渭湯畳?????earch ;riteria *.xlt; *.xlm;hat match these searc" xfId="164"/>
    <cellStyle name="日付" xfId="165"/>
    <cellStyle name="入力" xfId="166" builtinId="20" customBuiltin="1"/>
    <cellStyle name="年月日" xfId="167"/>
    <cellStyle name="破線" xfId="168"/>
    <cellStyle name="標準" xfId="0" builtinId="0"/>
    <cellStyle name="標準 10" xfId="214"/>
    <cellStyle name="標準 10 2" xfId="215"/>
    <cellStyle name="標準 11" xfId="216"/>
    <cellStyle name="標準 12" xfId="217"/>
    <cellStyle name="標準 2" xfId="169"/>
    <cellStyle name="標準 2 2" xfId="218"/>
    <cellStyle name="標準 2_051. 予算管理業務" xfId="219"/>
    <cellStyle name="標準 3" xfId="170"/>
    <cellStyle name="標準 3 2" xfId="171"/>
    <cellStyle name="標準 3 3" xfId="172"/>
    <cellStyle name="標準 3 4" xfId="220"/>
    <cellStyle name="標準 3_01_全体業務配置_2" xfId="173"/>
    <cellStyle name="標準 4" xfId="174"/>
    <cellStyle name="標準 5" xfId="175"/>
    <cellStyle name="標準 5 2" xfId="221"/>
    <cellStyle name="標準 6" xfId="176"/>
    <cellStyle name="標準 7" xfId="222"/>
    <cellStyle name="標準 8" xfId="223"/>
    <cellStyle name="標準 9" xfId="224"/>
    <cellStyle name="標準 9 2" xfId="225"/>
    <cellStyle name="標準_02. テーブルレイアウト定義 2" xfId="196"/>
    <cellStyle name="標準_080.論理ファイル設計(ﾌｧｲﾙﾚｲｱｳﾄ)_20050518" xfId="194"/>
    <cellStyle name="標準_080.論理ファイル設計(ﾌｧｲﾙﾚｲｱｳﾄ)_20050518_1.4.2. 中間ファイルレイアウト 2" xfId="195"/>
    <cellStyle name="標準_080.論理ファイル設計(ﾌｧｲﾙﾚｲｱｳﾄ)_20050518_1.4.2. 中間ファイルレイアウト_中間ファイルレイアウト（BMS）" xfId="197"/>
    <cellStyle name="標準_080.論理ファイル設計(ﾌｧｲﾙﾚｲｱｳﾄ)_20050518_3-1-3-3.ファイルレイアウト定義_1.4.2. 中間ファイルレイアウト 2" xfId="191"/>
    <cellStyle name="標準_080.論理ファイル設計(ﾌｧｲﾙﾚｲｱｳﾄ)_20050518_3-1-3-3.ファイルレイアウト定義_1.4.2. 中間ファイルレイアウト_⊂中間ファイルレイアウト⊃" xfId="193"/>
    <cellStyle name="標準_080.論理ファイル設計(ﾌｧｲﾙﾚｲｱｳﾄ)_20050518_3-1-3-3.ファイルレイアウト定義_1.4.2. 中間ファイルレイアウト_中間ファイルレイアウト（BMS）" xfId="192"/>
    <cellStyle name="標準_080.論理ファイル設計(ﾌｧｲﾙﾚｲｱｳﾄ)_20050518_UIドキュメント_3-3-1-2.画面一覧_02 機能関連図_期末処理_扱業務フロー_1-1-1. 業務機能一覧" xfId="226"/>
    <cellStyle name="標準_080.論理ファイル設計(ﾌｧｲﾙﾚｲｱｳﾄ)_20050518_UIドキュメント_3-3-1-2.画面一覧_02 機能関連図_棚卸付上明細修正" xfId="189"/>
    <cellStyle name="標準_080.論理ファイル設計(ﾌｧｲﾙﾚｲｱｳﾄ)_20050518_UIドキュメント_3-3-1-2.画面一覧_02 機能関連図_棚卸付上明細修正_1-3-3-04. 共通在庫違算高入力" xfId="190"/>
    <cellStyle name="標準1" xfId="177"/>
    <cellStyle name="標準10" xfId="178"/>
    <cellStyle name="標準12" xfId="179"/>
    <cellStyle name="表旨巧・・ハイパーリンク" xfId="180"/>
    <cellStyle name="文字" xfId="181"/>
    <cellStyle name="文字列" xfId="182"/>
    <cellStyle name="未定義" xfId="183"/>
    <cellStyle name="網掛け" xfId="184"/>
    <cellStyle name="良い" xfId="185" builtinId="26" customBuiltin="1"/>
    <cellStyle name="樘準_購－表紙 (2)_1_型－PRINT_ＳＩ型番 (2)_構成明細  (原調込み） (2)" xfId="18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1"/>
        <xdr:cNvSpPr>
          <a:spLocks noChangeShapeType="1"/>
        </xdr:cNvSpPr>
      </xdr:nvSpPr>
      <xdr:spPr bwMode="auto">
        <a:xfrm flipH="1">
          <a:off x="15716250" y="180975"/>
          <a:ext cx="25717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3"/>
  <sheetViews>
    <sheetView showGridLines="0" view="pageBreakPreview" zoomScale="85" zoomScaleNormal="100" zoomScaleSheetLayoutView="85" workbookViewId="0">
      <pane xSplit="6" ySplit="4" topLeftCell="G5" activePane="bottomRight" state="frozen"/>
      <selection pane="topRight" activeCell="G1" sqref="G1"/>
      <selection pane="bottomLeft" activeCell="A5" sqref="A5"/>
      <selection pane="bottomRight" activeCell="AB7" sqref="AB7:AE7"/>
    </sheetView>
  </sheetViews>
  <sheetFormatPr defaultColWidth="2.625" defaultRowHeight="11.25" customHeight="1"/>
  <cols>
    <col min="1" max="16384" width="2.625" style="2"/>
  </cols>
  <sheetData>
    <row r="1" spans="1:43" ht="14.25">
      <c r="A1" s="1" t="s">
        <v>5</v>
      </c>
      <c r="AD1" s="3"/>
      <c r="AE1" s="3"/>
      <c r="AF1" s="3"/>
      <c r="AG1" s="4"/>
      <c r="AH1" s="4"/>
      <c r="AI1" s="4"/>
      <c r="AJ1" s="4"/>
      <c r="AK1" s="5"/>
      <c r="AL1" s="6"/>
      <c r="AM1" s="3"/>
      <c r="AN1" s="3"/>
      <c r="AO1" s="3"/>
      <c r="AP1" s="3"/>
      <c r="AQ1" s="3"/>
    </row>
    <row r="4" spans="1:43" ht="11.25" customHeight="1">
      <c r="A4" s="87" t="s">
        <v>6</v>
      </c>
      <c r="B4" s="88"/>
      <c r="C4" s="89" t="s">
        <v>7</v>
      </c>
      <c r="D4" s="89"/>
      <c r="E4" s="89"/>
      <c r="F4" s="90"/>
      <c r="G4" s="89" t="s">
        <v>8</v>
      </c>
      <c r="H4" s="89"/>
      <c r="I4" s="89"/>
      <c r="J4" s="89"/>
      <c r="K4" s="89"/>
      <c r="L4" s="89"/>
      <c r="M4" s="89" t="s">
        <v>9</v>
      </c>
      <c r="N4" s="89"/>
      <c r="O4" s="89"/>
      <c r="P4" s="89"/>
      <c r="Q4" s="89"/>
      <c r="R4" s="89"/>
      <c r="S4" s="89"/>
      <c r="T4" s="89"/>
      <c r="U4" s="89"/>
      <c r="V4" s="89"/>
      <c r="W4" s="89"/>
      <c r="X4" s="89"/>
      <c r="Y4" s="89"/>
      <c r="Z4" s="89"/>
      <c r="AA4" s="89"/>
      <c r="AB4" s="87" t="s">
        <v>10</v>
      </c>
      <c r="AC4" s="97"/>
      <c r="AD4" s="97"/>
      <c r="AE4" s="88"/>
      <c r="AF4" s="89" t="s">
        <v>11</v>
      </c>
      <c r="AG4" s="89"/>
      <c r="AH4" s="89"/>
      <c r="AI4" s="89"/>
      <c r="AJ4" s="89"/>
      <c r="AK4" s="89"/>
      <c r="AL4" s="89"/>
    </row>
    <row r="5" spans="1:43" ht="27" customHeight="1">
      <c r="A5" s="91">
        <f>IF(M5="","",ROW()-4)</f>
        <v>1</v>
      </c>
      <c r="B5" s="92"/>
      <c r="C5" s="93">
        <v>42964</v>
      </c>
      <c r="D5" s="94"/>
      <c r="E5" s="94"/>
      <c r="F5" s="95"/>
      <c r="G5" s="96" t="s">
        <v>14</v>
      </c>
      <c r="H5" s="96"/>
      <c r="I5" s="96"/>
      <c r="J5" s="96"/>
      <c r="K5" s="96"/>
      <c r="L5" s="96"/>
      <c r="M5" s="96" t="s">
        <v>15</v>
      </c>
      <c r="N5" s="96"/>
      <c r="O5" s="96"/>
      <c r="P5" s="96"/>
      <c r="Q5" s="96"/>
      <c r="R5" s="96"/>
      <c r="S5" s="96"/>
      <c r="T5" s="96"/>
      <c r="U5" s="96"/>
      <c r="V5" s="96"/>
      <c r="W5" s="96"/>
      <c r="X5" s="96"/>
      <c r="Y5" s="96"/>
      <c r="Z5" s="96"/>
      <c r="AA5" s="96"/>
      <c r="AB5" s="98" t="s">
        <v>46</v>
      </c>
      <c r="AC5" s="99"/>
      <c r="AD5" s="99"/>
      <c r="AE5" s="100"/>
      <c r="AF5" s="98"/>
      <c r="AG5" s="101"/>
      <c r="AH5" s="101"/>
      <c r="AI5" s="101"/>
      <c r="AJ5" s="101"/>
      <c r="AK5" s="101"/>
      <c r="AL5" s="102"/>
    </row>
    <row r="6" spans="1:43" ht="27" customHeight="1">
      <c r="A6" s="91" t="str">
        <f t="shared" ref="A6:A22" si="0">IF(M6="","",ROW()-4)</f>
        <v/>
      </c>
      <c r="B6" s="92"/>
      <c r="C6" s="104"/>
      <c r="D6" s="94"/>
      <c r="E6" s="94"/>
      <c r="F6" s="95"/>
      <c r="G6" s="103"/>
      <c r="H6" s="103"/>
      <c r="I6" s="103"/>
      <c r="J6" s="103"/>
      <c r="K6" s="103"/>
      <c r="L6" s="103"/>
      <c r="M6" s="103"/>
      <c r="N6" s="103"/>
      <c r="O6" s="103"/>
      <c r="P6" s="103"/>
      <c r="Q6" s="103"/>
      <c r="R6" s="103"/>
      <c r="S6" s="103"/>
      <c r="T6" s="103"/>
      <c r="U6" s="103"/>
      <c r="V6" s="103"/>
      <c r="W6" s="103"/>
      <c r="X6" s="103"/>
      <c r="Y6" s="103"/>
      <c r="Z6" s="103"/>
      <c r="AA6" s="103"/>
      <c r="AB6" s="98"/>
      <c r="AC6" s="99"/>
      <c r="AD6" s="99"/>
      <c r="AE6" s="100"/>
      <c r="AF6" s="98"/>
      <c r="AG6" s="101"/>
      <c r="AH6" s="101"/>
      <c r="AI6" s="101"/>
      <c r="AJ6" s="101"/>
      <c r="AK6" s="101"/>
      <c r="AL6" s="102"/>
    </row>
    <row r="7" spans="1:43" ht="27" customHeight="1">
      <c r="A7" s="91" t="str">
        <f t="shared" si="0"/>
        <v/>
      </c>
      <c r="B7" s="92"/>
      <c r="C7" s="104"/>
      <c r="D7" s="94"/>
      <c r="E7" s="94"/>
      <c r="F7" s="95"/>
      <c r="G7" s="103"/>
      <c r="H7" s="103"/>
      <c r="I7" s="103"/>
      <c r="J7" s="103"/>
      <c r="K7" s="103"/>
      <c r="L7" s="103"/>
      <c r="M7" s="103"/>
      <c r="N7" s="103"/>
      <c r="O7" s="103"/>
      <c r="P7" s="103"/>
      <c r="Q7" s="103"/>
      <c r="R7" s="103"/>
      <c r="S7" s="103"/>
      <c r="T7" s="103"/>
      <c r="U7" s="103"/>
      <c r="V7" s="103"/>
      <c r="W7" s="103"/>
      <c r="X7" s="103"/>
      <c r="Y7" s="103"/>
      <c r="Z7" s="103"/>
      <c r="AA7" s="103"/>
      <c r="AB7" s="98"/>
      <c r="AC7" s="99"/>
      <c r="AD7" s="99"/>
      <c r="AE7" s="100"/>
      <c r="AF7" s="98"/>
      <c r="AG7" s="101"/>
      <c r="AH7" s="101"/>
      <c r="AI7" s="101"/>
      <c r="AJ7" s="101"/>
      <c r="AK7" s="101"/>
      <c r="AL7" s="102"/>
    </row>
    <row r="8" spans="1:43" ht="27" customHeight="1">
      <c r="A8" s="91" t="str">
        <f t="shared" si="0"/>
        <v/>
      </c>
      <c r="B8" s="92"/>
      <c r="C8" s="104"/>
      <c r="D8" s="94"/>
      <c r="E8" s="94"/>
      <c r="F8" s="95"/>
      <c r="G8" s="103"/>
      <c r="H8" s="103"/>
      <c r="I8" s="103"/>
      <c r="J8" s="103"/>
      <c r="K8" s="103"/>
      <c r="L8" s="103"/>
      <c r="M8" s="103"/>
      <c r="N8" s="103"/>
      <c r="O8" s="103"/>
      <c r="P8" s="103"/>
      <c r="Q8" s="103"/>
      <c r="R8" s="103"/>
      <c r="S8" s="103"/>
      <c r="T8" s="103"/>
      <c r="U8" s="103"/>
      <c r="V8" s="103"/>
      <c r="W8" s="103"/>
      <c r="X8" s="103"/>
      <c r="Y8" s="103"/>
      <c r="Z8" s="103"/>
      <c r="AA8" s="103"/>
      <c r="AB8" s="98"/>
      <c r="AC8" s="99"/>
      <c r="AD8" s="99"/>
      <c r="AE8" s="100"/>
      <c r="AF8" s="98"/>
      <c r="AG8" s="101"/>
      <c r="AH8" s="101"/>
      <c r="AI8" s="101"/>
      <c r="AJ8" s="101"/>
      <c r="AK8" s="101"/>
      <c r="AL8" s="102"/>
    </row>
    <row r="9" spans="1:43" ht="27" customHeight="1">
      <c r="A9" s="91" t="str">
        <f t="shared" si="0"/>
        <v/>
      </c>
      <c r="B9" s="92"/>
      <c r="C9" s="104"/>
      <c r="D9" s="94"/>
      <c r="E9" s="94"/>
      <c r="F9" s="95"/>
      <c r="G9" s="103"/>
      <c r="H9" s="103"/>
      <c r="I9" s="103"/>
      <c r="J9" s="103"/>
      <c r="K9" s="103"/>
      <c r="L9" s="103"/>
      <c r="M9" s="103"/>
      <c r="N9" s="103"/>
      <c r="O9" s="103"/>
      <c r="P9" s="103"/>
      <c r="Q9" s="103"/>
      <c r="R9" s="103"/>
      <c r="S9" s="103"/>
      <c r="T9" s="103"/>
      <c r="U9" s="103"/>
      <c r="V9" s="103"/>
      <c r="W9" s="103"/>
      <c r="X9" s="103"/>
      <c r="Y9" s="103"/>
      <c r="Z9" s="103"/>
      <c r="AA9" s="103"/>
      <c r="AB9" s="98"/>
      <c r="AC9" s="99"/>
      <c r="AD9" s="99"/>
      <c r="AE9" s="100"/>
      <c r="AF9" s="98"/>
      <c r="AG9" s="101"/>
      <c r="AH9" s="101"/>
      <c r="AI9" s="101"/>
      <c r="AJ9" s="101"/>
      <c r="AK9" s="101"/>
      <c r="AL9" s="102"/>
    </row>
    <row r="10" spans="1:43" ht="27" customHeight="1">
      <c r="A10" s="91" t="str">
        <f t="shared" si="0"/>
        <v/>
      </c>
      <c r="B10" s="92"/>
      <c r="C10" s="104"/>
      <c r="D10" s="94"/>
      <c r="E10" s="94"/>
      <c r="F10" s="95"/>
      <c r="G10" s="103"/>
      <c r="H10" s="103"/>
      <c r="I10" s="103"/>
      <c r="J10" s="103"/>
      <c r="K10" s="103"/>
      <c r="L10" s="103"/>
      <c r="M10" s="103"/>
      <c r="N10" s="103"/>
      <c r="O10" s="103"/>
      <c r="P10" s="103"/>
      <c r="Q10" s="103"/>
      <c r="R10" s="103"/>
      <c r="S10" s="103"/>
      <c r="T10" s="103"/>
      <c r="U10" s="103"/>
      <c r="V10" s="103"/>
      <c r="W10" s="103"/>
      <c r="X10" s="103"/>
      <c r="Y10" s="103"/>
      <c r="Z10" s="103"/>
      <c r="AA10" s="103"/>
      <c r="AB10" s="98"/>
      <c r="AC10" s="101"/>
      <c r="AD10" s="101"/>
      <c r="AE10" s="102"/>
      <c r="AF10" s="98"/>
      <c r="AG10" s="101"/>
      <c r="AH10" s="101"/>
      <c r="AI10" s="101"/>
      <c r="AJ10" s="101"/>
      <c r="AK10" s="101"/>
      <c r="AL10" s="102"/>
    </row>
    <row r="11" spans="1:43" ht="27" customHeight="1">
      <c r="A11" s="91" t="str">
        <f t="shared" ref="A11" si="1">IF(M11="","",ROW()-4)</f>
        <v/>
      </c>
      <c r="B11" s="92"/>
      <c r="C11" s="104"/>
      <c r="D11" s="94"/>
      <c r="E11" s="94"/>
      <c r="F11" s="95"/>
      <c r="G11" s="103"/>
      <c r="H11" s="103"/>
      <c r="I11" s="103"/>
      <c r="J11" s="103"/>
      <c r="K11" s="103"/>
      <c r="L11" s="103"/>
      <c r="M11" s="103"/>
      <c r="N11" s="103"/>
      <c r="O11" s="103"/>
      <c r="P11" s="103"/>
      <c r="Q11" s="103"/>
      <c r="R11" s="103"/>
      <c r="S11" s="103"/>
      <c r="T11" s="103"/>
      <c r="U11" s="103"/>
      <c r="V11" s="103"/>
      <c r="W11" s="103"/>
      <c r="X11" s="103"/>
      <c r="Y11" s="103"/>
      <c r="Z11" s="103"/>
      <c r="AA11" s="103"/>
      <c r="AB11" s="98"/>
      <c r="AC11" s="101"/>
      <c r="AD11" s="101"/>
      <c r="AE11" s="102"/>
      <c r="AF11" s="98"/>
      <c r="AG11" s="101"/>
      <c r="AH11" s="101"/>
      <c r="AI11" s="101"/>
      <c r="AJ11" s="101"/>
      <c r="AK11" s="101"/>
      <c r="AL11" s="102"/>
    </row>
    <row r="12" spans="1:43" ht="27" customHeight="1">
      <c r="A12" s="91" t="str">
        <f t="shared" si="0"/>
        <v/>
      </c>
      <c r="B12" s="92"/>
      <c r="C12" s="104"/>
      <c r="D12" s="94"/>
      <c r="E12" s="94"/>
      <c r="F12" s="95"/>
      <c r="G12" s="103"/>
      <c r="H12" s="103"/>
      <c r="I12" s="103"/>
      <c r="J12" s="103"/>
      <c r="K12" s="103"/>
      <c r="L12" s="103"/>
      <c r="M12" s="103"/>
      <c r="N12" s="103"/>
      <c r="O12" s="103"/>
      <c r="P12" s="103"/>
      <c r="Q12" s="103"/>
      <c r="R12" s="103"/>
      <c r="S12" s="103"/>
      <c r="T12" s="103"/>
      <c r="U12" s="103"/>
      <c r="V12" s="103"/>
      <c r="W12" s="103"/>
      <c r="X12" s="103"/>
      <c r="Y12" s="103"/>
      <c r="Z12" s="103"/>
      <c r="AA12" s="103"/>
      <c r="AB12" s="98"/>
      <c r="AC12" s="101"/>
      <c r="AD12" s="101"/>
      <c r="AE12" s="102"/>
      <c r="AF12" s="98"/>
      <c r="AG12" s="101"/>
      <c r="AH12" s="101"/>
      <c r="AI12" s="101"/>
      <c r="AJ12" s="101"/>
      <c r="AK12" s="101"/>
      <c r="AL12" s="102"/>
    </row>
    <row r="13" spans="1:43" ht="27" customHeight="1">
      <c r="A13" s="91" t="str">
        <f t="shared" si="0"/>
        <v/>
      </c>
      <c r="B13" s="92"/>
      <c r="C13" s="104"/>
      <c r="D13" s="94"/>
      <c r="E13" s="94"/>
      <c r="F13" s="95"/>
      <c r="G13" s="103"/>
      <c r="H13" s="103"/>
      <c r="I13" s="103"/>
      <c r="J13" s="103"/>
      <c r="K13" s="103"/>
      <c r="L13" s="103"/>
      <c r="M13" s="103"/>
      <c r="N13" s="103"/>
      <c r="O13" s="103"/>
      <c r="P13" s="103"/>
      <c r="Q13" s="103"/>
      <c r="R13" s="103"/>
      <c r="S13" s="103"/>
      <c r="T13" s="103"/>
      <c r="U13" s="103"/>
      <c r="V13" s="103"/>
      <c r="W13" s="103"/>
      <c r="X13" s="103"/>
      <c r="Y13" s="103"/>
      <c r="Z13" s="103"/>
      <c r="AA13" s="103"/>
      <c r="AB13" s="98"/>
      <c r="AC13" s="101"/>
      <c r="AD13" s="101"/>
      <c r="AE13" s="102"/>
      <c r="AF13" s="98"/>
      <c r="AG13" s="101"/>
      <c r="AH13" s="101"/>
      <c r="AI13" s="101"/>
      <c r="AJ13" s="101"/>
      <c r="AK13" s="101"/>
      <c r="AL13" s="102"/>
    </row>
    <row r="14" spans="1:43" ht="27" customHeight="1">
      <c r="A14" s="91" t="str">
        <f t="shared" si="0"/>
        <v/>
      </c>
      <c r="B14" s="92"/>
      <c r="C14" s="104"/>
      <c r="D14" s="94"/>
      <c r="E14" s="94"/>
      <c r="F14" s="95"/>
      <c r="G14" s="103"/>
      <c r="H14" s="103"/>
      <c r="I14" s="103"/>
      <c r="J14" s="103"/>
      <c r="K14" s="103"/>
      <c r="L14" s="103"/>
      <c r="M14" s="103"/>
      <c r="N14" s="103"/>
      <c r="O14" s="103"/>
      <c r="P14" s="103"/>
      <c r="Q14" s="103"/>
      <c r="R14" s="103"/>
      <c r="S14" s="103"/>
      <c r="T14" s="103"/>
      <c r="U14" s="103"/>
      <c r="V14" s="103"/>
      <c r="W14" s="103"/>
      <c r="X14" s="103"/>
      <c r="Y14" s="103"/>
      <c r="Z14" s="103"/>
      <c r="AA14" s="103"/>
      <c r="AB14" s="98"/>
      <c r="AC14" s="101"/>
      <c r="AD14" s="101"/>
      <c r="AE14" s="102"/>
      <c r="AF14" s="98"/>
      <c r="AG14" s="101"/>
      <c r="AH14" s="101"/>
      <c r="AI14" s="101"/>
      <c r="AJ14" s="101"/>
      <c r="AK14" s="101"/>
      <c r="AL14" s="102"/>
    </row>
    <row r="15" spans="1:43" ht="27" customHeight="1">
      <c r="A15" s="91" t="str">
        <f t="shared" si="0"/>
        <v/>
      </c>
      <c r="B15" s="92"/>
      <c r="C15" s="104"/>
      <c r="D15" s="94"/>
      <c r="E15" s="94"/>
      <c r="F15" s="95"/>
      <c r="G15" s="103"/>
      <c r="H15" s="103"/>
      <c r="I15" s="103"/>
      <c r="J15" s="103"/>
      <c r="K15" s="103"/>
      <c r="L15" s="103"/>
      <c r="M15" s="103"/>
      <c r="N15" s="103"/>
      <c r="O15" s="103"/>
      <c r="P15" s="103"/>
      <c r="Q15" s="103"/>
      <c r="R15" s="103"/>
      <c r="S15" s="103"/>
      <c r="T15" s="103"/>
      <c r="U15" s="103"/>
      <c r="V15" s="103"/>
      <c r="W15" s="103"/>
      <c r="X15" s="103"/>
      <c r="Y15" s="103"/>
      <c r="Z15" s="103"/>
      <c r="AA15" s="103"/>
      <c r="AB15" s="105"/>
      <c r="AC15" s="99"/>
      <c r="AD15" s="99"/>
      <c r="AE15" s="100"/>
      <c r="AF15" s="98"/>
      <c r="AG15" s="101"/>
      <c r="AH15" s="101"/>
      <c r="AI15" s="101"/>
      <c r="AJ15" s="101"/>
      <c r="AK15" s="101"/>
      <c r="AL15" s="102"/>
    </row>
    <row r="16" spans="1:43" ht="27" customHeight="1">
      <c r="A16" s="91" t="str">
        <f t="shared" si="0"/>
        <v/>
      </c>
      <c r="B16" s="92"/>
      <c r="C16" s="104"/>
      <c r="D16" s="94"/>
      <c r="E16" s="94"/>
      <c r="F16" s="95"/>
      <c r="G16" s="103"/>
      <c r="H16" s="103"/>
      <c r="I16" s="103"/>
      <c r="J16" s="103"/>
      <c r="K16" s="103"/>
      <c r="L16" s="103"/>
      <c r="M16" s="103"/>
      <c r="N16" s="103"/>
      <c r="O16" s="103"/>
      <c r="P16" s="103"/>
      <c r="Q16" s="103"/>
      <c r="R16" s="103"/>
      <c r="S16" s="103"/>
      <c r="T16" s="103"/>
      <c r="U16" s="103"/>
      <c r="V16" s="103"/>
      <c r="W16" s="103"/>
      <c r="X16" s="103"/>
      <c r="Y16" s="103"/>
      <c r="Z16" s="103"/>
      <c r="AA16" s="103"/>
      <c r="AB16" s="105"/>
      <c r="AC16" s="99"/>
      <c r="AD16" s="99"/>
      <c r="AE16" s="100"/>
      <c r="AF16" s="98"/>
      <c r="AG16" s="101"/>
      <c r="AH16" s="101"/>
      <c r="AI16" s="101"/>
      <c r="AJ16" s="101"/>
      <c r="AK16" s="101"/>
      <c r="AL16" s="102"/>
    </row>
    <row r="17" spans="1:38" ht="27" customHeight="1">
      <c r="A17" s="91" t="str">
        <f t="shared" si="0"/>
        <v/>
      </c>
      <c r="B17" s="92"/>
      <c r="C17" s="104"/>
      <c r="D17" s="94"/>
      <c r="E17" s="94"/>
      <c r="F17" s="95"/>
      <c r="G17" s="103"/>
      <c r="H17" s="103"/>
      <c r="I17" s="103"/>
      <c r="J17" s="103"/>
      <c r="K17" s="103"/>
      <c r="L17" s="103"/>
      <c r="M17" s="103"/>
      <c r="N17" s="103"/>
      <c r="O17" s="103"/>
      <c r="P17" s="103"/>
      <c r="Q17" s="103"/>
      <c r="R17" s="103"/>
      <c r="S17" s="103"/>
      <c r="T17" s="103"/>
      <c r="U17" s="103"/>
      <c r="V17" s="103"/>
      <c r="W17" s="103"/>
      <c r="X17" s="103"/>
      <c r="Y17" s="103"/>
      <c r="Z17" s="103"/>
      <c r="AA17" s="103"/>
      <c r="AB17" s="105"/>
      <c r="AC17" s="99"/>
      <c r="AD17" s="99"/>
      <c r="AE17" s="100"/>
      <c r="AF17" s="98"/>
      <c r="AG17" s="101"/>
      <c r="AH17" s="101"/>
      <c r="AI17" s="101"/>
      <c r="AJ17" s="101"/>
      <c r="AK17" s="101"/>
      <c r="AL17" s="102"/>
    </row>
    <row r="18" spans="1:38" ht="27" customHeight="1">
      <c r="A18" s="91" t="str">
        <f t="shared" si="0"/>
        <v/>
      </c>
      <c r="B18" s="92"/>
      <c r="C18" s="104"/>
      <c r="D18" s="94"/>
      <c r="E18" s="94"/>
      <c r="F18" s="95"/>
      <c r="G18" s="103"/>
      <c r="H18" s="103"/>
      <c r="I18" s="103"/>
      <c r="J18" s="103"/>
      <c r="K18" s="103"/>
      <c r="L18" s="103"/>
      <c r="M18" s="103"/>
      <c r="N18" s="103"/>
      <c r="O18" s="103"/>
      <c r="P18" s="103"/>
      <c r="Q18" s="103"/>
      <c r="R18" s="103"/>
      <c r="S18" s="103"/>
      <c r="T18" s="103"/>
      <c r="U18" s="103"/>
      <c r="V18" s="103"/>
      <c r="W18" s="103"/>
      <c r="X18" s="103"/>
      <c r="Y18" s="103"/>
      <c r="Z18" s="103"/>
      <c r="AA18" s="103"/>
      <c r="AB18" s="105"/>
      <c r="AC18" s="99"/>
      <c r="AD18" s="99"/>
      <c r="AE18" s="100"/>
      <c r="AF18" s="98"/>
      <c r="AG18" s="101"/>
      <c r="AH18" s="101"/>
      <c r="AI18" s="101"/>
      <c r="AJ18" s="101"/>
      <c r="AK18" s="101"/>
      <c r="AL18" s="102"/>
    </row>
    <row r="19" spans="1:38" ht="27" customHeight="1">
      <c r="A19" s="91" t="str">
        <f t="shared" si="0"/>
        <v/>
      </c>
      <c r="B19" s="92"/>
      <c r="C19" s="104"/>
      <c r="D19" s="94"/>
      <c r="E19" s="94"/>
      <c r="F19" s="95"/>
      <c r="G19" s="103"/>
      <c r="H19" s="103"/>
      <c r="I19" s="103"/>
      <c r="J19" s="103"/>
      <c r="K19" s="103"/>
      <c r="L19" s="103"/>
      <c r="M19" s="103"/>
      <c r="N19" s="103"/>
      <c r="O19" s="103"/>
      <c r="P19" s="103"/>
      <c r="Q19" s="103"/>
      <c r="R19" s="103"/>
      <c r="S19" s="103"/>
      <c r="T19" s="103"/>
      <c r="U19" s="103"/>
      <c r="V19" s="103"/>
      <c r="W19" s="103"/>
      <c r="X19" s="103"/>
      <c r="Y19" s="103"/>
      <c r="Z19" s="103"/>
      <c r="AA19" s="103"/>
      <c r="AB19" s="105"/>
      <c r="AC19" s="99"/>
      <c r="AD19" s="99"/>
      <c r="AE19" s="100"/>
      <c r="AF19" s="98"/>
      <c r="AG19" s="101"/>
      <c r="AH19" s="101"/>
      <c r="AI19" s="101"/>
      <c r="AJ19" s="101"/>
      <c r="AK19" s="101"/>
      <c r="AL19" s="102"/>
    </row>
    <row r="20" spans="1:38" ht="27" customHeight="1">
      <c r="A20" s="91" t="str">
        <f t="shared" si="0"/>
        <v/>
      </c>
      <c r="B20" s="92"/>
      <c r="C20" s="104"/>
      <c r="D20" s="94"/>
      <c r="E20" s="94"/>
      <c r="F20" s="95"/>
      <c r="G20" s="103"/>
      <c r="H20" s="103"/>
      <c r="I20" s="103"/>
      <c r="J20" s="103"/>
      <c r="K20" s="103"/>
      <c r="L20" s="103"/>
      <c r="M20" s="103"/>
      <c r="N20" s="103"/>
      <c r="O20" s="103"/>
      <c r="P20" s="103"/>
      <c r="Q20" s="103"/>
      <c r="R20" s="103"/>
      <c r="S20" s="103"/>
      <c r="T20" s="103"/>
      <c r="U20" s="103"/>
      <c r="V20" s="103"/>
      <c r="W20" s="103"/>
      <c r="X20" s="103"/>
      <c r="Y20" s="103"/>
      <c r="Z20" s="103"/>
      <c r="AA20" s="103"/>
      <c r="AB20" s="105"/>
      <c r="AC20" s="99"/>
      <c r="AD20" s="99"/>
      <c r="AE20" s="100"/>
      <c r="AF20" s="98"/>
      <c r="AG20" s="101"/>
      <c r="AH20" s="101"/>
      <c r="AI20" s="101"/>
      <c r="AJ20" s="101"/>
      <c r="AK20" s="101"/>
      <c r="AL20" s="102"/>
    </row>
    <row r="21" spans="1:38" ht="27" customHeight="1">
      <c r="A21" s="91" t="str">
        <f t="shared" si="0"/>
        <v/>
      </c>
      <c r="B21" s="92"/>
      <c r="C21" s="104"/>
      <c r="D21" s="94"/>
      <c r="E21" s="94"/>
      <c r="F21" s="95"/>
      <c r="G21" s="103"/>
      <c r="H21" s="103"/>
      <c r="I21" s="103"/>
      <c r="J21" s="103"/>
      <c r="K21" s="103"/>
      <c r="L21" s="103"/>
      <c r="M21" s="103"/>
      <c r="N21" s="103"/>
      <c r="O21" s="103"/>
      <c r="P21" s="103"/>
      <c r="Q21" s="103"/>
      <c r="R21" s="103"/>
      <c r="S21" s="103"/>
      <c r="T21" s="103"/>
      <c r="U21" s="103"/>
      <c r="V21" s="103"/>
      <c r="W21" s="103"/>
      <c r="X21" s="103"/>
      <c r="Y21" s="103"/>
      <c r="Z21" s="103"/>
      <c r="AA21" s="103"/>
      <c r="AB21" s="105"/>
      <c r="AC21" s="99"/>
      <c r="AD21" s="99"/>
      <c r="AE21" s="100"/>
      <c r="AF21" s="98"/>
      <c r="AG21" s="101"/>
      <c r="AH21" s="101"/>
      <c r="AI21" s="101"/>
      <c r="AJ21" s="101"/>
      <c r="AK21" s="101"/>
      <c r="AL21" s="102"/>
    </row>
    <row r="22" spans="1:38" ht="27" customHeight="1">
      <c r="A22" s="91" t="str">
        <f t="shared" si="0"/>
        <v/>
      </c>
      <c r="B22" s="92"/>
      <c r="C22" s="104"/>
      <c r="D22" s="94"/>
      <c r="E22" s="94"/>
      <c r="F22" s="95"/>
      <c r="G22" s="103"/>
      <c r="H22" s="103"/>
      <c r="I22" s="103"/>
      <c r="J22" s="103"/>
      <c r="K22" s="103"/>
      <c r="L22" s="103"/>
      <c r="M22" s="103"/>
      <c r="N22" s="103"/>
      <c r="O22" s="103"/>
      <c r="P22" s="103"/>
      <c r="Q22" s="103"/>
      <c r="R22" s="103"/>
      <c r="S22" s="103"/>
      <c r="T22" s="103"/>
      <c r="U22" s="103"/>
      <c r="V22" s="103"/>
      <c r="W22" s="103"/>
      <c r="X22" s="103"/>
      <c r="Y22" s="103"/>
      <c r="Z22" s="103"/>
      <c r="AA22" s="103"/>
      <c r="AB22" s="105"/>
      <c r="AC22" s="99"/>
      <c r="AD22" s="99"/>
      <c r="AE22" s="100"/>
      <c r="AF22" s="98"/>
      <c r="AG22" s="101"/>
      <c r="AH22" s="101"/>
      <c r="AI22" s="101"/>
      <c r="AJ22" s="101"/>
      <c r="AK22" s="101"/>
      <c r="AL22" s="102"/>
    </row>
    <row r="23" spans="1:38" ht="27" customHeight="1">
      <c r="A23" s="91" t="str">
        <f t="shared" ref="A23:A31" si="2">IF(M23="","",ROW()-4)</f>
        <v/>
      </c>
      <c r="B23" s="92"/>
      <c r="C23" s="104"/>
      <c r="D23" s="94"/>
      <c r="E23" s="94"/>
      <c r="F23" s="95"/>
      <c r="G23" s="103"/>
      <c r="H23" s="103"/>
      <c r="I23" s="103"/>
      <c r="J23" s="103"/>
      <c r="K23" s="103"/>
      <c r="L23" s="103"/>
      <c r="M23" s="103"/>
      <c r="N23" s="103"/>
      <c r="O23" s="103"/>
      <c r="P23" s="103"/>
      <c r="Q23" s="103"/>
      <c r="R23" s="103"/>
      <c r="S23" s="103"/>
      <c r="T23" s="103"/>
      <c r="U23" s="103"/>
      <c r="V23" s="103"/>
      <c r="W23" s="103"/>
      <c r="X23" s="103"/>
      <c r="Y23" s="103"/>
      <c r="Z23" s="103"/>
      <c r="AA23" s="103"/>
      <c r="AB23" s="105"/>
      <c r="AC23" s="99"/>
      <c r="AD23" s="99"/>
      <c r="AE23" s="100"/>
      <c r="AF23" s="98"/>
      <c r="AG23" s="101"/>
      <c r="AH23" s="101"/>
      <c r="AI23" s="101"/>
      <c r="AJ23" s="101"/>
      <c r="AK23" s="101"/>
      <c r="AL23" s="102"/>
    </row>
    <row r="24" spans="1:38" ht="27" customHeight="1">
      <c r="A24" s="91" t="str">
        <f t="shared" si="2"/>
        <v/>
      </c>
      <c r="B24" s="92"/>
      <c r="C24" s="104"/>
      <c r="D24" s="94"/>
      <c r="E24" s="94"/>
      <c r="F24" s="95"/>
      <c r="G24" s="103"/>
      <c r="H24" s="103"/>
      <c r="I24" s="103"/>
      <c r="J24" s="103"/>
      <c r="K24" s="103"/>
      <c r="L24" s="103"/>
      <c r="M24" s="103"/>
      <c r="N24" s="103"/>
      <c r="O24" s="103"/>
      <c r="P24" s="103"/>
      <c r="Q24" s="103"/>
      <c r="R24" s="103"/>
      <c r="S24" s="103"/>
      <c r="T24" s="103"/>
      <c r="U24" s="103"/>
      <c r="V24" s="103"/>
      <c r="W24" s="103"/>
      <c r="X24" s="103"/>
      <c r="Y24" s="103"/>
      <c r="Z24" s="103"/>
      <c r="AA24" s="103"/>
      <c r="AB24" s="105"/>
      <c r="AC24" s="99"/>
      <c r="AD24" s="99"/>
      <c r="AE24" s="100"/>
      <c r="AF24" s="98"/>
      <c r="AG24" s="101"/>
      <c r="AH24" s="101"/>
      <c r="AI24" s="101"/>
      <c r="AJ24" s="101"/>
      <c r="AK24" s="101"/>
      <c r="AL24" s="102"/>
    </row>
    <row r="25" spans="1:38" ht="27" customHeight="1">
      <c r="A25" s="91" t="str">
        <f t="shared" si="2"/>
        <v/>
      </c>
      <c r="B25" s="92"/>
      <c r="C25" s="104"/>
      <c r="D25" s="94"/>
      <c r="E25" s="94"/>
      <c r="F25" s="95"/>
      <c r="G25" s="103"/>
      <c r="H25" s="103"/>
      <c r="I25" s="103"/>
      <c r="J25" s="103"/>
      <c r="K25" s="103"/>
      <c r="L25" s="103"/>
      <c r="M25" s="103"/>
      <c r="N25" s="103"/>
      <c r="O25" s="103"/>
      <c r="P25" s="103"/>
      <c r="Q25" s="103"/>
      <c r="R25" s="103"/>
      <c r="S25" s="103"/>
      <c r="T25" s="103"/>
      <c r="U25" s="103"/>
      <c r="V25" s="103"/>
      <c r="W25" s="103"/>
      <c r="X25" s="103"/>
      <c r="Y25" s="103"/>
      <c r="Z25" s="103"/>
      <c r="AA25" s="103"/>
      <c r="AB25" s="105"/>
      <c r="AC25" s="99"/>
      <c r="AD25" s="99"/>
      <c r="AE25" s="100"/>
      <c r="AF25" s="98"/>
      <c r="AG25" s="101"/>
      <c r="AH25" s="101"/>
      <c r="AI25" s="101"/>
      <c r="AJ25" s="101"/>
      <c r="AK25" s="101"/>
      <c r="AL25" s="102"/>
    </row>
    <row r="26" spans="1:38" ht="27" customHeight="1">
      <c r="A26" s="91" t="str">
        <f t="shared" si="2"/>
        <v/>
      </c>
      <c r="B26" s="92"/>
      <c r="C26" s="104"/>
      <c r="D26" s="94"/>
      <c r="E26" s="94"/>
      <c r="F26" s="95"/>
      <c r="G26" s="103"/>
      <c r="H26" s="103"/>
      <c r="I26" s="103"/>
      <c r="J26" s="103"/>
      <c r="K26" s="103"/>
      <c r="L26" s="103"/>
      <c r="M26" s="103"/>
      <c r="N26" s="103"/>
      <c r="O26" s="103"/>
      <c r="P26" s="103"/>
      <c r="Q26" s="103"/>
      <c r="R26" s="103"/>
      <c r="S26" s="103"/>
      <c r="T26" s="103"/>
      <c r="U26" s="103"/>
      <c r="V26" s="103"/>
      <c r="W26" s="103"/>
      <c r="X26" s="103"/>
      <c r="Y26" s="103"/>
      <c r="Z26" s="103"/>
      <c r="AA26" s="103"/>
      <c r="AB26" s="105"/>
      <c r="AC26" s="99"/>
      <c r="AD26" s="99"/>
      <c r="AE26" s="100"/>
      <c r="AF26" s="98"/>
      <c r="AG26" s="101"/>
      <c r="AH26" s="101"/>
      <c r="AI26" s="101"/>
      <c r="AJ26" s="101"/>
      <c r="AK26" s="101"/>
      <c r="AL26" s="102"/>
    </row>
    <row r="27" spans="1:38" ht="27" customHeight="1">
      <c r="A27" s="91" t="str">
        <f t="shared" si="2"/>
        <v/>
      </c>
      <c r="B27" s="92"/>
      <c r="C27" s="104"/>
      <c r="D27" s="94"/>
      <c r="E27" s="94"/>
      <c r="F27" s="95"/>
      <c r="G27" s="103"/>
      <c r="H27" s="103"/>
      <c r="I27" s="103"/>
      <c r="J27" s="103"/>
      <c r="K27" s="103"/>
      <c r="L27" s="103"/>
      <c r="M27" s="103"/>
      <c r="N27" s="103"/>
      <c r="O27" s="103"/>
      <c r="P27" s="103"/>
      <c r="Q27" s="103"/>
      <c r="R27" s="103"/>
      <c r="S27" s="103"/>
      <c r="T27" s="103"/>
      <c r="U27" s="103"/>
      <c r="V27" s="103"/>
      <c r="W27" s="103"/>
      <c r="X27" s="103"/>
      <c r="Y27" s="103"/>
      <c r="Z27" s="103"/>
      <c r="AA27" s="103"/>
      <c r="AB27" s="105"/>
      <c r="AC27" s="99"/>
      <c r="AD27" s="99"/>
      <c r="AE27" s="100"/>
      <c r="AF27" s="98"/>
      <c r="AG27" s="101"/>
      <c r="AH27" s="101"/>
      <c r="AI27" s="101"/>
      <c r="AJ27" s="101"/>
      <c r="AK27" s="101"/>
      <c r="AL27" s="102"/>
    </row>
    <row r="28" spans="1:38" ht="27" customHeight="1">
      <c r="A28" s="91" t="str">
        <f t="shared" si="2"/>
        <v/>
      </c>
      <c r="B28" s="92"/>
      <c r="C28" s="104"/>
      <c r="D28" s="94"/>
      <c r="E28" s="94"/>
      <c r="F28" s="95"/>
      <c r="G28" s="103"/>
      <c r="H28" s="103"/>
      <c r="I28" s="103"/>
      <c r="J28" s="103"/>
      <c r="K28" s="103"/>
      <c r="L28" s="103"/>
      <c r="M28" s="103"/>
      <c r="N28" s="103"/>
      <c r="O28" s="103"/>
      <c r="P28" s="103"/>
      <c r="Q28" s="103"/>
      <c r="R28" s="103"/>
      <c r="S28" s="103"/>
      <c r="T28" s="103"/>
      <c r="U28" s="103"/>
      <c r="V28" s="103"/>
      <c r="W28" s="103"/>
      <c r="X28" s="103"/>
      <c r="Y28" s="103"/>
      <c r="Z28" s="103"/>
      <c r="AA28" s="103"/>
      <c r="AB28" s="105"/>
      <c r="AC28" s="99"/>
      <c r="AD28" s="99"/>
      <c r="AE28" s="100"/>
      <c r="AF28" s="98"/>
      <c r="AG28" s="101"/>
      <c r="AH28" s="101"/>
      <c r="AI28" s="101"/>
      <c r="AJ28" s="101"/>
      <c r="AK28" s="101"/>
      <c r="AL28" s="102"/>
    </row>
    <row r="29" spans="1:38" ht="27" customHeight="1">
      <c r="A29" s="91" t="str">
        <f t="shared" si="2"/>
        <v/>
      </c>
      <c r="B29" s="92"/>
      <c r="C29" s="104"/>
      <c r="D29" s="94"/>
      <c r="E29" s="94"/>
      <c r="F29" s="95"/>
      <c r="G29" s="103"/>
      <c r="H29" s="103"/>
      <c r="I29" s="103"/>
      <c r="J29" s="103"/>
      <c r="K29" s="103"/>
      <c r="L29" s="103"/>
      <c r="M29" s="103"/>
      <c r="N29" s="103"/>
      <c r="O29" s="103"/>
      <c r="P29" s="103"/>
      <c r="Q29" s="103"/>
      <c r="R29" s="103"/>
      <c r="S29" s="103"/>
      <c r="T29" s="103"/>
      <c r="U29" s="103"/>
      <c r="V29" s="103"/>
      <c r="W29" s="103"/>
      <c r="X29" s="103"/>
      <c r="Y29" s="103"/>
      <c r="Z29" s="103"/>
      <c r="AA29" s="103"/>
      <c r="AB29" s="105"/>
      <c r="AC29" s="99"/>
      <c r="AD29" s="99"/>
      <c r="AE29" s="100"/>
      <c r="AF29" s="98"/>
      <c r="AG29" s="101"/>
      <c r="AH29" s="101"/>
      <c r="AI29" s="101"/>
      <c r="AJ29" s="101"/>
      <c r="AK29" s="101"/>
      <c r="AL29" s="102"/>
    </row>
    <row r="30" spans="1:38" ht="27" customHeight="1">
      <c r="A30" s="91" t="str">
        <f t="shared" si="2"/>
        <v/>
      </c>
      <c r="B30" s="92"/>
      <c r="C30" s="104"/>
      <c r="D30" s="94"/>
      <c r="E30" s="94"/>
      <c r="F30" s="95"/>
      <c r="G30" s="103"/>
      <c r="H30" s="103"/>
      <c r="I30" s="103"/>
      <c r="J30" s="103"/>
      <c r="K30" s="103"/>
      <c r="L30" s="103"/>
      <c r="M30" s="103"/>
      <c r="N30" s="103"/>
      <c r="O30" s="103"/>
      <c r="P30" s="103"/>
      <c r="Q30" s="103"/>
      <c r="R30" s="103"/>
      <c r="S30" s="103"/>
      <c r="T30" s="103"/>
      <c r="U30" s="103"/>
      <c r="V30" s="103"/>
      <c r="W30" s="103"/>
      <c r="X30" s="103"/>
      <c r="Y30" s="103"/>
      <c r="Z30" s="103"/>
      <c r="AA30" s="103"/>
      <c r="AB30" s="105"/>
      <c r="AC30" s="99"/>
      <c r="AD30" s="99"/>
      <c r="AE30" s="100"/>
      <c r="AF30" s="98"/>
      <c r="AG30" s="101"/>
      <c r="AH30" s="101"/>
      <c r="AI30" s="101"/>
      <c r="AJ30" s="101"/>
      <c r="AK30" s="101"/>
      <c r="AL30" s="102"/>
    </row>
    <row r="31" spans="1:38" ht="27" customHeight="1">
      <c r="A31" s="91" t="str">
        <f t="shared" si="2"/>
        <v/>
      </c>
      <c r="B31" s="92"/>
      <c r="C31" s="104"/>
      <c r="D31" s="94"/>
      <c r="E31" s="94"/>
      <c r="F31" s="95"/>
      <c r="G31" s="103"/>
      <c r="H31" s="103"/>
      <c r="I31" s="103"/>
      <c r="J31" s="103"/>
      <c r="K31" s="103"/>
      <c r="L31" s="103"/>
      <c r="M31" s="103"/>
      <c r="N31" s="103"/>
      <c r="O31" s="103"/>
      <c r="P31" s="103"/>
      <c r="Q31" s="103"/>
      <c r="R31" s="103"/>
      <c r="S31" s="103"/>
      <c r="T31" s="103"/>
      <c r="U31" s="103"/>
      <c r="V31" s="103"/>
      <c r="W31" s="103"/>
      <c r="X31" s="103"/>
      <c r="Y31" s="103"/>
      <c r="Z31" s="103"/>
      <c r="AA31" s="103"/>
      <c r="AB31" s="105"/>
      <c r="AC31" s="99"/>
      <c r="AD31" s="99"/>
      <c r="AE31" s="100"/>
      <c r="AF31" s="98"/>
      <c r="AG31" s="101"/>
      <c r="AH31" s="101"/>
      <c r="AI31" s="101"/>
      <c r="AJ31" s="101"/>
      <c r="AK31" s="101"/>
      <c r="AL31" s="102"/>
    </row>
    <row r="32" spans="1:38" ht="27" customHeight="1">
      <c r="A32" s="91" t="str">
        <f t="shared" ref="A32" si="3">IF(M32="","",ROW()-4)</f>
        <v/>
      </c>
      <c r="B32" s="92"/>
      <c r="C32" s="104"/>
      <c r="D32" s="94"/>
      <c r="E32" s="94"/>
      <c r="F32" s="95"/>
      <c r="G32" s="103"/>
      <c r="H32" s="103"/>
      <c r="I32" s="103"/>
      <c r="J32" s="103"/>
      <c r="K32" s="103"/>
      <c r="L32" s="103"/>
      <c r="M32" s="103"/>
      <c r="N32" s="103"/>
      <c r="O32" s="103"/>
      <c r="P32" s="103"/>
      <c r="Q32" s="103"/>
      <c r="R32" s="103"/>
      <c r="S32" s="103"/>
      <c r="T32" s="103"/>
      <c r="U32" s="103"/>
      <c r="V32" s="103"/>
      <c r="W32" s="103"/>
      <c r="X32" s="103"/>
      <c r="Y32" s="103"/>
      <c r="Z32" s="103"/>
      <c r="AA32" s="103"/>
      <c r="AB32" s="105"/>
      <c r="AC32" s="99"/>
      <c r="AD32" s="99"/>
      <c r="AE32" s="100"/>
      <c r="AF32" s="98"/>
      <c r="AG32" s="101"/>
      <c r="AH32" s="101"/>
      <c r="AI32" s="101"/>
      <c r="AJ32" s="101"/>
      <c r="AK32" s="101"/>
      <c r="AL32" s="102"/>
    </row>
    <row r="33" spans="1:38" ht="27" customHeight="1">
      <c r="A33" s="91" t="str">
        <f t="shared" ref="A33" si="4">IF(M33="","",ROW()-4)</f>
        <v/>
      </c>
      <c r="B33" s="92"/>
      <c r="C33" s="104"/>
      <c r="D33" s="94"/>
      <c r="E33" s="94"/>
      <c r="F33" s="95"/>
      <c r="G33" s="103"/>
      <c r="H33" s="103"/>
      <c r="I33" s="103"/>
      <c r="J33" s="103"/>
      <c r="K33" s="103"/>
      <c r="L33" s="103"/>
      <c r="M33" s="103"/>
      <c r="N33" s="103"/>
      <c r="O33" s="103"/>
      <c r="P33" s="103"/>
      <c r="Q33" s="103"/>
      <c r="R33" s="103"/>
      <c r="S33" s="103"/>
      <c r="T33" s="103"/>
      <c r="U33" s="103"/>
      <c r="V33" s="103"/>
      <c r="W33" s="103"/>
      <c r="X33" s="103"/>
      <c r="Y33" s="103"/>
      <c r="Z33" s="103"/>
      <c r="AA33" s="103"/>
      <c r="AB33" s="105"/>
      <c r="AC33" s="99"/>
      <c r="AD33" s="99"/>
      <c r="AE33" s="100"/>
      <c r="AF33" s="98"/>
      <c r="AG33" s="101"/>
      <c r="AH33" s="101"/>
      <c r="AI33" s="101"/>
      <c r="AJ33" s="101"/>
      <c r="AK33" s="101"/>
      <c r="AL33" s="102"/>
    </row>
  </sheetData>
  <mergeCells count="180">
    <mergeCell ref="AF19:AL19"/>
    <mergeCell ref="A22:B22"/>
    <mergeCell ref="C22:F22"/>
    <mergeCell ref="G22:L22"/>
    <mergeCell ref="M22:AA22"/>
    <mergeCell ref="AB22:AE22"/>
    <mergeCell ref="AF22:AL22"/>
    <mergeCell ref="A20:B20"/>
    <mergeCell ref="C20:F20"/>
    <mergeCell ref="G20:L20"/>
    <mergeCell ref="M20:AA20"/>
    <mergeCell ref="AB20:AE20"/>
    <mergeCell ref="AF20:AL20"/>
    <mergeCell ref="A21:B21"/>
    <mergeCell ref="C21:F21"/>
    <mergeCell ref="G21:L21"/>
    <mergeCell ref="M21:AA21"/>
    <mergeCell ref="AB21:AE21"/>
    <mergeCell ref="AF21:AL21"/>
    <mergeCell ref="A18:B18"/>
    <mergeCell ref="C18:F18"/>
    <mergeCell ref="G18:L18"/>
    <mergeCell ref="M18:AA18"/>
    <mergeCell ref="A19:B19"/>
    <mergeCell ref="C19:F19"/>
    <mergeCell ref="G19:L19"/>
    <mergeCell ref="M19:AA19"/>
    <mergeCell ref="AB19:AE19"/>
    <mergeCell ref="G16:L16"/>
    <mergeCell ref="M16:AA16"/>
    <mergeCell ref="AB16:AE16"/>
    <mergeCell ref="AF16:AL16"/>
    <mergeCell ref="A17:B17"/>
    <mergeCell ref="C17:F17"/>
    <mergeCell ref="G17:L17"/>
    <mergeCell ref="M17:AA17"/>
    <mergeCell ref="AB17:AE17"/>
    <mergeCell ref="AF17:AL17"/>
    <mergeCell ref="A30:B30"/>
    <mergeCell ref="C30:F30"/>
    <mergeCell ref="G30:L30"/>
    <mergeCell ref="M30:AA30"/>
    <mergeCell ref="AB30:AE30"/>
    <mergeCell ref="AF30:AL30"/>
    <mergeCell ref="A31:B31"/>
    <mergeCell ref="C31:F31"/>
    <mergeCell ref="G31:L31"/>
    <mergeCell ref="M31:AA31"/>
    <mergeCell ref="AB31:AE31"/>
    <mergeCell ref="AF31:AL31"/>
    <mergeCell ref="A27:B27"/>
    <mergeCell ref="C27:F27"/>
    <mergeCell ref="G27:L27"/>
    <mergeCell ref="M27:AA27"/>
    <mergeCell ref="AB27:AE27"/>
    <mergeCell ref="AF27:AL27"/>
    <mergeCell ref="AB33:AE33"/>
    <mergeCell ref="AF33:AL33"/>
    <mergeCell ref="A33:B33"/>
    <mergeCell ref="C33:F33"/>
    <mergeCell ref="G33:L33"/>
    <mergeCell ref="M33:AA33"/>
    <mergeCell ref="AB32:AE32"/>
    <mergeCell ref="AF32:AL32"/>
    <mergeCell ref="A32:B32"/>
    <mergeCell ref="C32:F32"/>
    <mergeCell ref="G32:L32"/>
    <mergeCell ref="M32:AA32"/>
    <mergeCell ref="A29:B29"/>
    <mergeCell ref="C29:F29"/>
    <mergeCell ref="G29:L29"/>
    <mergeCell ref="M29:AA29"/>
    <mergeCell ref="AB29:AE29"/>
    <mergeCell ref="AF29:AL29"/>
    <mergeCell ref="AF28:AL28"/>
    <mergeCell ref="A25:B25"/>
    <mergeCell ref="C25:F25"/>
    <mergeCell ref="G25:L25"/>
    <mergeCell ref="M25:AA25"/>
    <mergeCell ref="AB24:AE24"/>
    <mergeCell ref="AF24:AL24"/>
    <mergeCell ref="AB25:AE25"/>
    <mergeCell ref="AF25:AL25"/>
    <mergeCell ref="A28:B28"/>
    <mergeCell ref="C28:F28"/>
    <mergeCell ref="A24:B24"/>
    <mergeCell ref="C24:F24"/>
    <mergeCell ref="G24:L24"/>
    <mergeCell ref="M24:AA24"/>
    <mergeCell ref="G28:L28"/>
    <mergeCell ref="M28:AA28"/>
    <mergeCell ref="AB28:AE28"/>
    <mergeCell ref="A26:B26"/>
    <mergeCell ref="C26:F26"/>
    <mergeCell ref="G26:L26"/>
    <mergeCell ref="M26:AA26"/>
    <mergeCell ref="AB26:AE26"/>
    <mergeCell ref="AF26:AL26"/>
    <mergeCell ref="A6:B6"/>
    <mergeCell ref="C6:F6"/>
    <mergeCell ref="G13:L13"/>
    <mergeCell ref="M13:AA13"/>
    <mergeCell ref="AB13:AE13"/>
    <mergeCell ref="AF13:AL13"/>
    <mergeCell ref="A14:B14"/>
    <mergeCell ref="C14:F14"/>
    <mergeCell ref="G14:L14"/>
    <mergeCell ref="M14:AA14"/>
    <mergeCell ref="A11:B11"/>
    <mergeCell ref="C11:F11"/>
    <mergeCell ref="G10:L10"/>
    <mergeCell ref="M10:AA10"/>
    <mergeCell ref="AB11:AE11"/>
    <mergeCell ref="AF11:AL11"/>
    <mergeCell ref="G11:L11"/>
    <mergeCell ref="M11:AA11"/>
    <mergeCell ref="AB10:AE10"/>
    <mergeCell ref="AF10:AL10"/>
    <mergeCell ref="A7:B7"/>
    <mergeCell ref="C7:F7"/>
    <mergeCell ref="G7:L7"/>
    <mergeCell ref="M7:AA7"/>
    <mergeCell ref="AB23:AE23"/>
    <mergeCell ref="AF23:AL23"/>
    <mergeCell ref="A12:B12"/>
    <mergeCell ref="C12:F12"/>
    <mergeCell ref="A13:B13"/>
    <mergeCell ref="C13:F13"/>
    <mergeCell ref="A23:B23"/>
    <mergeCell ref="C23:F23"/>
    <mergeCell ref="G23:L23"/>
    <mergeCell ref="M23:AA23"/>
    <mergeCell ref="AB14:AE14"/>
    <mergeCell ref="AF14:AL14"/>
    <mergeCell ref="A15:B15"/>
    <mergeCell ref="C15:F15"/>
    <mergeCell ref="G15:L15"/>
    <mergeCell ref="M15:AA15"/>
    <mergeCell ref="AB18:AE18"/>
    <mergeCell ref="AF18:AL18"/>
    <mergeCell ref="AB12:AE12"/>
    <mergeCell ref="AF12:AL12"/>
    <mergeCell ref="AB15:AE15"/>
    <mergeCell ref="AF15:AL15"/>
    <mergeCell ref="A16:B16"/>
    <mergeCell ref="C16:F16"/>
    <mergeCell ref="A9:B9"/>
    <mergeCell ref="C9:F9"/>
    <mergeCell ref="A10:B10"/>
    <mergeCell ref="C10:F10"/>
    <mergeCell ref="AB8:AE8"/>
    <mergeCell ref="A8:B8"/>
    <mergeCell ref="C8:F8"/>
    <mergeCell ref="G12:L12"/>
    <mergeCell ref="M12:AA12"/>
    <mergeCell ref="AB6:AE6"/>
    <mergeCell ref="AF6:AL6"/>
    <mergeCell ref="AB7:AE7"/>
    <mergeCell ref="AF7:AL7"/>
    <mergeCell ref="G9:L9"/>
    <mergeCell ref="M9:AA9"/>
    <mergeCell ref="G6:L6"/>
    <mergeCell ref="M6:AA6"/>
    <mergeCell ref="G8:L8"/>
    <mergeCell ref="M8:AA8"/>
    <mergeCell ref="AB9:AE9"/>
    <mergeCell ref="AF9:AL9"/>
    <mergeCell ref="AF8:AL8"/>
    <mergeCell ref="A4:B4"/>
    <mergeCell ref="C4:F4"/>
    <mergeCell ref="A5:B5"/>
    <mergeCell ref="C5:F5"/>
    <mergeCell ref="G5:L5"/>
    <mergeCell ref="M5:AA5"/>
    <mergeCell ref="AB4:AE4"/>
    <mergeCell ref="AF4:AL4"/>
    <mergeCell ref="AB5:AE5"/>
    <mergeCell ref="AF5:AL5"/>
    <mergeCell ref="G4:L4"/>
    <mergeCell ref="M4:AA4"/>
  </mergeCells>
  <phoneticPr fontId="4"/>
  <pageMargins left="0.78700000000000003" right="0.78700000000000003" top="0.98399999999999999" bottom="0.98399999999999999" header="0.51200000000000001" footer="0.51200000000000001"/>
  <pageSetup paperSize="9" scale="8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73"/>
  <sheetViews>
    <sheetView showGridLines="0" tabSelected="1" view="pageBreakPreview" zoomScale="85" zoomScaleNormal="70" zoomScaleSheetLayoutView="85" workbookViewId="0">
      <pane xSplit="39" ySplit="9" topLeftCell="AN10" activePane="bottomRight" state="frozen"/>
      <selection pane="topRight" activeCell="AN1" sqref="AN1"/>
      <selection pane="bottomLeft" activeCell="A10" sqref="A10"/>
      <selection pane="bottomRight" activeCell="O22" sqref="O22:U22"/>
    </sheetView>
  </sheetViews>
  <sheetFormatPr defaultColWidth="2" defaultRowHeight="11.25" customHeight="1"/>
  <cols>
    <col min="1" max="1" width="1.125" style="57" customWidth="1"/>
    <col min="2" max="2" width="2.625" style="57" customWidth="1"/>
    <col min="3" max="5" width="2.625" style="58" customWidth="1"/>
    <col min="6" max="6" width="2.625" style="59" customWidth="1"/>
    <col min="7" max="9" width="2.625" style="60" customWidth="1"/>
    <col min="10" max="33" width="2.625" style="58" customWidth="1"/>
    <col min="34" max="35" width="2.625" style="61" customWidth="1"/>
    <col min="36" max="68" width="2.625" style="58" customWidth="1"/>
    <col min="69" max="71" width="2.875" style="62" customWidth="1"/>
    <col min="72" max="78" width="2.75" style="62" customWidth="1"/>
    <col min="79" max="251" width="2" style="62"/>
    <col min="252" max="324" width="2.625" style="62" customWidth="1"/>
    <col min="325" max="507" width="2" style="62"/>
    <col min="508" max="580" width="2.625" style="62" customWidth="1"/>
    <col min="581" max="763" width="2" style="62"/>
    <col min="764" max="836" width="2.625" style="62" customWidth="1"/>
    <col min="837" max="1019" width="2" style="62"/>
    <col min="1020" max="1092" width="2.625" style="62" customWidth="1"/>
    <col min="1093" max="1275" width="2" style="62"/>
    <col min="1276" max="1348" width="2.625" style="62" customWidth="1"/>
    <col min="1349" max="1531" width="2" style="62"/>
    <col min="1532" max="1604" width="2.625" style="62" customWidth="1"/>
    <col min="1605" max="1787" width="2" style="62"/>
    <col min="1788" max="1860" width="2.625" style="62" customWidth="1"/>
    <col min="1861" max="2043" width="2" style="62"/>
    <col min="2044" max="2116" width="2.625" style="62" customWidth="1"/>
    <col min="2117" max="2299" width="2" style="62"/>
    <col min="2300" max="2372" width="2.625" style="62" customWidth="1"/>
    <col min="2373" max="2555" width="2" style="62"/>
    <col min="2556" max="2628" width="2.625" style="62" customWidth="1"/>
    <col min="2629" max="2811" width="2" style="62"/>
    <col min="2812" max="2884" width="2.625" style="62" customWidth="1"/>
    <col min="2885" max="3067" width="2" style="62"/>
    <col min="3068" max="3140" width="2.625" style="62" customWidth="1"/>
    <col min="3141" max="3323" width="2" style="62"/>
    <col min="3324" max="3396" width="2.625" style="62" customWidth="1"/>
    <col min="3397" max="3579" width="2" style="62"/>
    <col min="3580" max="3652" width="2.625" style="62" customWidth="1"/>
    <col min="3653" max="3835" width="2" style="62"/>
    <col min="3836" max="3908" width="2.625" style="62" customWidth="1"/>
    <col min="3909" max="4091" width="2" style="62"/>
    <col min="4092" max="4164" width="2.625" style="62" customWidth="1"/>
    <col min="4165" max="4347" width="2" style="62"/>
    <col min="4348" max="4420" width="2.625" style="62" customWidth="1"/>
    <col min="4421" max="4603" width="2" style="62"/>
    <col min="4604" max="4676" width="2.625" style="62" customWidth="1"/>
    <col min="4677" max="4859" width="2" style="62"/>
    <col min="4860" max="4932" width="2.625" style="62" customWidth="1"/>
    <col min="4933" max="5115" width="2" style="62"/>
    <col min="5116" max="5188" width="2.625" style="62" customWidth="1"/>
    <col min="5189" max="5371" width="2" style="62"/>
    <col min="5372" max="5444" width="2.625" style="62" customWidth="1"/>
    <col min="5445" max="5627" width="2" style="62"/>
    <col min="5628" max="5700" width="2.625" style="62" customWidth="1"/>
    <col min="5701" max="5883" width="2" style="62"/>
    <col min="5884" max="5956" width="2.625" style="62" customWidth="1"/>
    <col min="5957" max="6139" width="2" style="62"/>
    <col min="6140" max="6212" width="2.625" style="62" customWidth="1"/>
    <col min="6213" max="6395" width="2" style="62"/>
    <col min="6396" max="6468" width="2.625" style="62" customWidth="1"/>
    <col min="6469" max="6651" width="2" style="62"/>
    <col min="6652" max="6724" width="2.625" style="62" customWidth="1"/>
    <col min="6725" max="6907" width="2" style="62"/>
    <col min="6908" max="6980" width="2.625" style="62" customWidth="1"/>
    <col min="6981" max="7163" width="2" style="62"/>
    <col min="7164" max="7236" width="2.625" style="62" customWidth="1"/>
    <col min="7237" max="7419" width="2" style="62"/>
    <col min="7420" max="7492" width="2.625" style="62" customWidth="1"/>
    <col min="7493" max="7675" width="2" style="62"/>
    <col min="7676" max="7748" width="2.625" style="62" customWidth="1"/>
    <col min="7749" max="7931" width="2" style="62"/>
    <col min="7932" max="8004" width="2.625" style="62" customWidth="1"/>
    <col min="8005" max="8187" width="2" style="62"/>
    <col min="8188" max="8260" width="2.625" style="62" customWidth="1"/>
    <col min="8261" max="8443" width="2" style="62"/>
    <col min="8444" max="8516" width="2.625" style="62" customWidth="1"/>
    <col min="8517" max="8699" width="2" style="62"/>
    <col min="8700" max="8772" width="2.625" style="62" customWidth="1"/>
    <col min="8773" max="8955" width="2" style="62"/>
    <col min="8956" max="9028" width="2.625" style="62" customWidth="1"/>
    <col min="9029" max="9211" width="2" style="62"/>
    <col min="9212" max="9284" width="2.625" style="62" customWidth="1"/>
    <col min="9285" max="9467" width="2" style="62"/>
    <col min="9468" max="9540" width="2.625" style="62" customWidth="1"/>
    <col min="9541" max="9723" width="2" style="62"/>
    <col min="9724" max="9796" width="2.625" style="62" customWidth="1"/>
    <col min="9797" max="9979" width="2" style="62"/>
    <col min="9980" max="10052" width="2.625" style="62" customWidth="1"/>
    <col min="10053" max="10235" width="2" style="62"/>
    <col min="10236" max="10308" width="2.625" style="62" customWidth="1"/>
    <col min="10309" max="10491" width="2" style="62"/>
    <col min="10492" max="10564" width="2.625" style="62" customWidth="1"/>
    <col min="10565" max="10747" width="2" style="62"/>
    <col min="10748" max="10820" width="2.625" style="62" customWidth="1"/>
    <col min="10821" max="11003" width="2" style="62"/>
    <col min="11004" max="11076" width="2.625" style="62" customWidth="1"/>
    <col min="11077" max="11259" width="2" style="62"/>
    <col min="11260" max="11332" width="2.625" style="62" customWidth="1"/>
    <col min="11333" max="11515" width="2" style="62"/>
    <col min="11516" max="11588" width="2.625" style="62" customWidth="1"/>
    <col min="11589" max="11771" width="2" style="62"/>
    <col min="11772" max="11844" width="2.625" style="62" customWidth="1"/>
    <col min="11845" max="12027" width="2" style="62"/>
    <col min="12028" max="12100" width="2.625" style="62" customWidth="1"/>
    <col min="12101" max="12283" width="2" style="62"/>
    <col min="12284" max="12356" width="2.625" style="62" customWidth="1"/>
    <col min="12357" max="12539" width="2" style="62"/>
    <col min="12540" max="12612" width="2.625" style="62" customWidth="1"/>
    <col min="12613" max="12795" width="2" style="62"/>
    <col min="12796" max="12868" width="2.625" style="62" customWidth="1"/>
    <col min="12869" max="13051" width="2" style="62"/>
    <col min="13052" max="13124" width="2.625" style="62" customWidth="1"/>
    <col min="13125" max="13307" width="2" style="62"/>
    <col min="13308" max="13380" width="2.625" style="62" customWidth="1"/>
    <col min="13381" max="13563" width="2" style="62"/>
    <col min="13564" max="13636" width="2.625" style="62" customWidth="1"/>
    <col min="13637" max="13819" width="2" style="62"/>
    <col min="13820" max="13892" width="2.625" style="62" customWidth="1"/>
    <col min="13893" max="14075" width="2" style="62"/>
    <col min="14076" max="14148" width="2.625" style="62" customWidth="1"/>
    <col min="14149" max="14331" width="2" style="62"/>
    <col min="14332" max="14404" width="2.625" style="62" customWidth="1"/>
    <col min="14405" max="14587" width="2" style="62"/>
    <col min="14588" max="14660" width="2.625" style="62" customWidth="1"/>
    <col min="14661" max="14843" width="2" style="62"/>
    <col min="14844" max="14916" width="2.625" style="62" customWidth="1"/>
    <col min="14917" max="15099" width="2" style="62"/>
    <col min="15100" max="15172" width="2.625" style="62" customWidth="1"/>
    <col min="15173" max="15355" width="2" style="62"/>
    <col min="15356" max="15428" width="2.625" style="62" customWidth="1"/>
    <col min="15429" max="15611" width="2" style="62"/>
    <col min="15612" max="15684" width="2.625" style="62" customWidth="1"/>
    <col min="15685" max="15867" width="2" style="62"/>
    <col min="15868" max="15940" width="2.625" style="62" customWidth="1"/>
    <col min="15941" max="16123" width="2" style="62"/>
    <col min="16124" max="16196" width="2.625" style="62" customWidth="1"/>
    <col min="16197" max="16384" width="2" style="62"/>
  </cols>
  <sheetData>
    <row r="1" spans="2:82" s="7" customFormat="1" ht="3" customHeight="1" thickBot="1"/>
    <row r="2" spans="2:82" s="8" customFormat="1" ht="14.25" customHeight="1" thickTop="1">
      <c r="B2" s="160" t="s">
        <v>16</v>
      </c>
      <c r="C2" s="161"/>
      <c r="D2" s="161"/>
      <c r="E2" s="161"/>
      <c r="F2" s="161"/>
      <c r="G2" s="161"/>
      <c r="H2" s="161"/>
      <c r="I2" s="162"/>
      <c r="J2" s="179" t="s">
        <v>64</v>
      </c>
      <c r="K2" s="179"/>
      <c r="L2" s="179"/>
      <c r="M2" s="179"/>
      <c r="N2" s="180"/>
      <c r="O2" s="178" t="s">
        <v>65</v>
      </c>
      <c r="P2" s="179"/>
      <c r="Q2" s="179"/>
      <c r="R2" s="179"/>
      <c r="S2" s="180"/>
      <c r="T2" s="178" t="s">
        <v>66</v>
      </c>
      <c r="U2" s="179"/>
      <c r="V2" s="179"/>
      <c r="W2" s="179"/>
      <c r="X2" s="179"/>
      <c r="Y2" s="179"/>
      <c r="Z2" s="179"/>
      <c r="AA2" s="179"/>
      <c r="AB2" s="179"/>
      <c r="AC2" s="179"/>
      <c r="AD2" s="179"/>
      <c r="AE2" s="179"/>
      <c r="AF2" s="180"/>
      <c r="AG2" s="196"/>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8"/>
      <c r="BK2" s="181" t="s">
        <v>0</v>
      </c>
      <c r="BL2" s="181"/>
      <c r="BM2" s="181"/>
      <c r="BN2" s="178" t="s">
        <v>1</v>
      </c>
      <c r="BO2" s="179"/>
      <c r="BP2" s="179"/>
      <c r="BQ2" s="180"/>
      <c r="BR2" s="181" t="s">
        <v>2</v>
      </c>
      <c r="BS2" s="181"/>
      <c r="BT2" s="181" t="s">
        <v>3</v>
      </c>
      <c r="BU2" s="181"/>
      <c r="BV2" s="181"/>
      <c r="BW2" s="178" t="s">
        <v>4</v>
      </c>
      <c r="BX2" s="179"/>
      <c r="BY2" s="179"/>
      <c r="BZ2" s="180"/>
      <c r="CA2" s="182"/>
      <c r="CB2" s="182"/>
      <c r="CC2" s="183"/>
    </row>
    <row r="3" spans="2:82" s="8" customFormat="1" ht="18.75" customHeight="1" thickBot="1">
      <c r="B3" s="163"/>
      <c r="C3" s="164"/>
      <c r="D3" s="164"/>
      <c r="E3" s="164"/>
      <c r="F3" s="164"/>
      <c r="G3" s="164"/>
      <c r="H3" s="164"/>
      <c r="I3" s="165"/>
      <c r="J3" s="184" t="s">
        <v>45</v>
      </c>
      <c r="K3" s="184"/>
      <c r="L3" s="184"/>
      <c r="M3" s="184"/>
      <c r="N3" s="185"/>
      <c r="O3" s="186">
        <v>3.07</v>
      </c>
      <c r="P3" s="187"/>
      <c r="Q3" s="187"/>
      <c r="R3" s="187"/>
      <c r="S3" s="188"/>
      <c r="T3" s="189" t="s">
        <v>37</v>
      </c>
      <c r="U3" s="184"/>
      <c r="V3" s="184"/>
      <c r="W3" s="184"/>
      <c r="X3" s="184"/>
      <c r="Y3" s="184"/>
      <c r="Z3" s="184"/>
      <c r="AA3" s="184"/>
      <c r="AB3" s="184"/>
      <c r="AC3" s="184"/>
      <c r="AD3" s="184"/>
      <c r="AE3" s="184"/>
      <c r="AF3" s="185"/>
      <c r="AG3" s="199"/>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1"/>
      <c r="BK3" s="190"/>
      <c r="BL3" s="191"/>
      <c r="BM3" s="192"/>
      <c r="BN3" s="193"/>
      <c r="BO3" s="194"/>
      <c r="BP3" s="194"/>
      <c r="BQ3" s="195"/>
      <c r="BR3" s="202" t="s">
        <v>13</v>
      </c>
      <c r="BS3" s="202"/>
      <c r="BT3" s="190" t="s">
        <v>12</v>
      </c>
      <c r="BU3" s="191"/>
      <c r="BV3" s="192"/>
      <c r="BW3" s="193">
        <v>42964</v>
      </c>
      <c r="BX3" s="194"/>
      <c r="BY3" s="194"/>
      <c r="BZ3" s="195"/>
      <c r="CA3" s="184"/>
      <c r="CB3" s="184"/>
      <c r="CC3" s="185"/>
    </row>
    <row r="4" spans="2:82" s="7" customFormat="1" ht="5.25" customHeight="1" thickTop="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row>
    <row r="5" spans="2:82" s="14" customFormat="1" ht="13.5" customHeight="1">
      <c r="B5" s="139" t="s">
        <v>17</v>
      </c>
      <c r="C5" s="140"/>
      <c r="D5" s="140"/>
      <c r="E5" s="140"/>
      <c r="F5" s="141"/>
      <c r="G5" s="142" t="s">
        <v>47</v>
      </c>
      <c r="H5" s="143"/>
      <c r="I5" s="143"/>
      <c r="J5" s="143"/>
      <c r="K5" s="143"/>
      <c r="L5" s="143"/>
      <c r="M5" s="143"/>
      <c r="N5" s="143"/>
      <c r="O5" s="143"/>
      <c r="P5" s="143"/>
      <c r="Q5" s="143"/>
      <c r="R5" s="144" t="s">
        <v>18</v>
      </c>
      <c r="S5" s="145"/>
      <c r="T5" s="145"/>
      <c r="U5" s="145"/>
      <c r="V5" s="145"/>
      <c r="W5" s="145"/>
      <c r="X5" s="146"/>
      <c r="Y5" s="147" t="s">
        <v>19</v>
      </c>
      <c r="Z5" s="148"/>
      <c r="AA5" s="148"/>
      <c r="AB5" s="148"/>
      <c r="AC5" s="149"/>
      <c r="AD5" s="149"/>
      <c r="AE5" s="150" t="s">
        <v>20</v>
      </c>
      <c r="AF5" s="151"/>
      <c r="AG5" s="151"/>
      <c r="AH5" s="151"/>
      <c r="AI5" s="151"/>
      <c r="AJ5" s="151"/>
      <c r="AK5" s="152"/>
      <c r="AL5" s="10" t="s">
        <v>98</v>
      </c>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2"/>
      <c r="BS5" s="12"/>
      <c r="BT5" s="12"/>
      <c r="BU5" s="12"/>
      <c r="BV5" s="12"/>
      <c r="BW5" s="12"/>
      <c r="BX5" s="12"/>
      <c r="BY5" s="12"/>
      <c r="BZ5" s="12"/>
      <c r="CA5" s="12"/>
      <c r="CB5" s="12"/>
      <c r="CC5" s="12"/>
      <c r="CD5" s="13"/>
    </row>
    <row r="6" spans="2:82" s="14" customFormat="1" ht="13.5" customHeight="1">
      <c r="B6" s="139" t="s">
        <v>21</v>
      </c>
      <c r="C6" s="140"/>
      <c r="D6" s="140"/>
      <c r="E6" s="140"/>
      <c r="F6" s="141"/>
      <c r="G6" s="120" t="s">
        <v>73</v>
      </c>
      <c r="H6" s="159"/>
      <c r="I6" s="159"/>
      <c r="J6" s="159"/>
      <c r="K6" s="159"/>
      <c r="L6" s="159"/>
      <c r="M6" s="159"/>
      <c r="N6" s="159"/>
      <c r="O6" s="159"/>
      <c r="P6" s="159"/>
      <c r="Q6" s="121"/>
      <c r="R6" s="169" t="s">
        <v>22</v>
      </c>
      <c r="S6" s="169"/>
      <c r="T6" s="169"/>
      <c r="U6" s="169"/>
      <c r="V6" s="170"/>
      <c r="W6" s="171"/>
      <c r="X6" s="172" t="s">
        <v>67</v>
      </c>
      <c r="Y6" s="173"/>
      <c r="Z6" s="173"/>
      <c r="AA6" s="173"/>
      <c r="AB6" s="174"/>
      <c r="AC6" s="170"/>
      <c r="AD6" s="149"/>
      <c r="AE6" s="153"/>
      <c r="AF6" s="154"/>
      <c r="AG6" s="154"/>
      <c r="AH6" s="154"/>
      <c r="AI6" s="154"/>
      <c r="AJ6" s="154"/>
      <c r="AK6" s="155"/>
      <c r="AL6" s="15"/>
      <c r="AM6" s="16"/>
      <c r="AN6" s="16"/>
      <c r="AO6" s="16"/>
      <c r="AP6" s="16"/>
      <c r="AQ6" s="16"/>
      <c r="AR6" s="16"/>
      <c r="AS6" s="16"/>
      <c r="AT6" s="16"/>
      <c r="AU6" s="16"/>
      <c r="AV6" s="16"/>
      <c r="AW6" s="16"/>
      <c r="AX6" s="17"/>
      <c r="AY6" s="17"/>
      <c r="AZ6" s="17"/>
      <c r="BA6" s="17"/>
      <c r="BB6" s="17"/>
      <c r="BC6" s="17"/>
      <c r="BD6" s="18"/>
      <c r="BE6" s="18"/>
      <c r="BF6" s="18"/>
      <c r="BG6" s="18"/>
      <c r="BH6" s="18"/>
      <c r="BI6" s="18"/>
      <c r="BJ6" s="18"/>
      <c r="BK6" s="18"/>
      <c r="BL6" s="18"/>
      <c r="BM6" s="18"/>
      <c r="BN6" s="18"/>
      <c r="BO6" s="18"/>
      <c r="BP6" s="18"/>
      <c r="BQ6" s="18"/>
      <c r="CD6" s="19"/>
    </row>
    <row r="7" spans="2:82" s="14" customFormat="1" ht="13.5" customHeight="1">
      <c r="B7" s="139" t="s">
        <v>68</v>
      </c>
      <c r="C7" s="140"/>
      <c r="D7" s="140"/>
      <c r="E7" s="140"/>
      <c r="F7" s="141"/>
      <c r="G7" s="142" t="s">
        <v>74</v>
      </c>
      <c r="H7" s="143"/>
      <c r="I7" s="143"/>
      <c r="J7" s="143"/>
      <c r="K7" s="143"/>
      <c r="L7" s="143"/>
      <c r="M7" s="143"/>
      <c r="N7" s="143"/>
      <c r="O7" s="143"/>
      <c r="P7" s="143"/>
      <c r="Q7" s="143"/>
      <c r="R7" s="139" t="s">
        <v>23</v>
      </c>
      <c r="S7" s="145"/>
      <c r="T7" s="145"/>
      <c r="U7" s="145"/>
      <c r="V7" s="145"/>
      <c r="W7" s="145"/>
      <c r="X7" s="146"/>
      <c r="Y7" s="175">
        <f>IF($G$5="可変長ラインシーケンシャル","－",IF($G$5="CSV",SUM(AJ9:AK16)+MAX(B9:C30)-1,SUM(AJ9:AK16)))</f>
        <v>150</v>
      </c>
      <c r="Z7" s="176"/>
      <c r="AA7" s="176"/>
      <c r="AB7" s="176"/>
      <c r="AC7" s="177" t="s">
        <v>69</v>
      </c>
      <c r="AD7" s="177"/>
      <c r="AE7" s="156"/>
      <c r="AF7" s="157"/>
      <c r="AG7" s="157"/>
      <c r="AH7" s="157"/>
      <c r="AI7" s="157"/>
      <c r="AJ7" s="157"/>
      <c r="AK7" s="158"/>
      <c r="AL7" s="20"/>
      <c r="AM7" s="21"/>
      <c r="AN7" s="22"/>
      <c r="AO7" s="22"/>
      <c r="AP7" s="22"/>
      <c r="AQ7" s="22"/>
      <c r="AR7" s="22"/>
      <c r="AS7" s="23"/>
      <c r="AT7" s="23"/>
      <c r="AU7" s="23"/>
      <c r="AV7" s="23"/>
      <c r="AW7" s="24"/>
      <c r="AX7" s="22"/>
      <c r="AY7" s="22"/>
      <c r="AZ7" s="22"/>
      <c r="BA7" s="22"/>
      <c r="BB7" s="22"/>
      <c r="BC7" s="22"/>
      <c r="BD7" s="25"/>
      <c r="BE7" s="25"/>
      <c r="BF7" s="25"/>
      <c r="BG7" s="25"/>
      <c r="BH7" s="25"/>
      <c r="BI7" s="25"/>
      <c r="BJ7" s="25"/>
      <c r="BK7" s="25"/>
      <c r="BL7" s="25"/>
      <c r="BM7" s="25"/>
      <c r="BN7" s="25"/>
      <c r="BO7" s="25"/>
      <c r="BP7" s="25"/>
      <c r="BQ7" s="25"/>
      <c r="BR7" s="26"/>
      <c r="BS7" s="26"/>
      <c r="BT7" s="26"/>
      <c r="BU7" s="26"/>
      <c r="BV7" s="26"/>
      <c r="BW7" s="26"/>
      <c r="BX7" s="26"/>
      <c r="BY7" s="26"/>
      <c r="BZ7" s="26"/>
      <c r="CA7" s="26"/>
      <c r="CB7" s="26"/>
      <c r="CC7" s="26"/>
      <c r="CD7" s="27"/>
    </row>
    <row r="8" spans="2:82" s="14" customFormat="1" ht="13.5" customHeight="1">
      <c r="B8" s="28"/>
      <c r="C8" s="29"/>
      <c r="D8" s="28"/>
      <c r="E8" s="28"/>
      <c r="F8" s="28"/>
      <c r="G8" s="28"/>
      <c r="H8" s="28"/>
      <c r="I8" s="28"/>
      <c r="J8" s="28"/>
      <c r="K8" s="30"/>
      <c r="L8" s="28"/>
      <c r="M8" s="28"/>
      <c r="N8" s="28"/>
      <c r="O8" s="28"/>
      <c r="P8" s="28"/>
      <c r="Q8" s="28"/>
      <c r="R8" s="28"/>
      <c r="S8" s="28"/>
      <c r="T8" s="28"/>
      <c r="U8" s="31" t="s">
        <v>24</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30"/>
      <c r="BK8" s="28"/>
      <c r="BL8" s="28"/>
      <c r="BM8" s="28"/>
      <c r="BN8" s="28"/>
      <c r="BO8" s="28"/>
      <c r="BP8" s="28"/>
      <c r="BQ8" s="32"/>
    </row>
    <row r="9" spans="2:82" s="14" customFormat="1" ht="47.25" customHeight="1">
      <c r="B9" s="134" t="s">
        <v>70</v>
      </c>
      <c r="C9" s="137"/>
      <c r="D9" s="33" t="s">
        <v>25</v>
      </c>
      <c r="E9" s="34"/>
      <c r="F9" s="34"/>
      <c r="G9" s="34"/>
      <c r="H9" s="34"/>
      <c r="I9" s="34"/>
      <c r="J9" s="34"/>
      <c r="K9" s="34"/>
      <c r="L9" s="34"/>
      <c r="M9" s="34"/>
      <c r="N9" s="35"/>
      <c r="O9" s="166" t="s">
        <v>26</v>
      </c>
      <c r="P9" s="167"/>
      <c r="Q9" s="167"/>
      <c r="R9" s="167"/>
      <c r="S9" s="167"/>
      <c r="T9" s="167"/>
      <c r="U9" s="168"/>
      <c r="V9" s="138" t="s">
        <v>27</v>
      </c>
      <c r="W9" s="137"/>
      <c r="X9" s="134" t="s">
        <v>29</v>
      </c>
      <c r="Y9" s="137"/>
      <c r="Z9" s="134" t="s">
        <v>28</v>
      </c>
      <c r="AA9" s="137"/>
      <c r="AB9" s="134" t="s">
        <v>30</v>
      </c>
      <c r="AC9" s="137"/>
      <c r="AD9" s="134" t="s">
        <v>31</v>
      </c>
      <c r="AE9" s="137"/>
      <c r="AF9" s="134" t="s">
        <v>41</v>
      </c>
      <c r="AG9" s="137"/>
      <c r="AH9" s="134" t="s">
        <v>42</v>
      </c>
      <c r="AI9" s="137"/>
      <c r="AJ9" s="138" t="s">
        <v>69</v>
      </c>
      <c r="AK9" s="137"/>
      <c r="AL9" s="138" t="s">
        <v>32</v>
      </c>
      <c r="AM9" s="137"/>
      <c r="AN9" s="134" t="s">
        <v>33</v>
      </c>
      <c r="AO9" s="135"/>
      <c r="AP9" s="135"/>
      <c r="AQ9" s="135"/>
      <c r="AR9" s="135"/>
      <c r="AS9" s="135"/>
      <c r="AT9" s="136"/>
      <c r="AU9" s="134" t="s">
        <v>34</v>
      </c>
      <c r="AV9" s="135"/>
      <c r="AW9" s="136"/>
      <c r="AX9" s="134" t="s">
        <v>38</v>
      </c>
      <c r="AY9" s="137"/>
      <c r="AZ9" s="134" t="s">
        <v>39</v>
      </c>
      <c r="BA9" s="137"/>
      <c r="BB9" s="134" t="s">
        <v>40</v>
      </c>
      <c r="BC9" s="137"/>
      <c r="BD9" s="134" t="s">
        <v>43</v>
      </c>
      <c r="BE9" s="137"/>
      <c r="BF9" s="134" t="s">
        <v>35</v>
      </c>
      <c r="BG9" s="135"/>
      <c r="BH9" s="135"/>
      <c r="BI9" s="135"/>
      <c r="BJ9" s="135"/>
      <c r="BK9" s="135"/>
      <c r="BL9" s="135"/>
      <c r="BM9" s="135"/>
      <c r="BN9" s="135"/>
      <c r="BO9" s="135"/>
      <c r="BP9" s="135"/>
      <c r="BQ9" s="135"/>
      <c r="BR9" s="135"/>
      <c r="BS9" s="136"/>
      <c r="BT9" s="36" t="s">
        <v>11</v>
      </c>
      <c r="BU9" s="37"/>
      <c r="BV9" s="37"/>
      <c r="BW9" s="37"/>
      <c r="BX9" s="37"/>
      <c r="BY9" s="37"/>
      <c r="BZ9" s="37"/>
      <c r="CA9" s="37"/>
      <c r="CB9" s="37"/>
      <c r="CC9" s="37"/>
      <c r="CD9" s="38"/>
    </row>
    <row r="10" spans="2:82" s="49" customFormat="1" ht="13.5" customHeight="1">
      <c r="B10" s="116"/>
      <c r="C10" s="117"/>
      <c r="D10" s="39" t="s">
        <v>75</v>
      </c>
      <c r="E10" s="40"/>
      <c r="F10" s="40"/>
      <c r="G10" s="40"/>
      <c r="H10" s="40"/>
      <c r="I10" s="40"/>
      <c r="J10" s="40"/>
      <c r="K10" s="40"/>
      <c r="L10" s="40"/>
      <c r="M10" s="41"/>
      <c r="N10" s="41"/>
      <c r="O10" s="42"/>
      <c r="P10" s="43"/>
      <c r="Q10" s="43"/>
      <c r="R10" s="43"/>
      <c r="S10" s="43"/>
      <c r="T10" s="41"/>
      <c r="U10" s="44"/>
      <c r="V10" s="132"/>
      <c r="W10" s="133"/>
      <c r="X10" s="127"/>
      <c r="Y10" s="128"/>
      <c r="Z10" s="127"/>
      <c r="AA10" s="128"/>
      <c r="AB10" s="127"/>
      <c r="AC10" s="128"/>
      <c r="AD10" s="127"/>
      <c r="AE10" s="128"/>
      <c r="AF10" s="127"/>
      <c r="AG10" s="128"/>
      <c r="AH10" s="127"/>
      <c r="AI10" s="128"/>
      <c r="AJ10" s="127"/>
      <c r="AK10" s="128"/>
      <c r="AL10" s="127"/>
      <c r="AM10" s="128"/>
      <c r="AN10" s="46"/>
      <c r="AO10" s="44"/>
      <c r="AP10" s="44"/>
      <c r="AQ10" s="44"/>
      <c r="AR10" s="44"/>
      <c r="AS10" s="44"/>
      <c r="AT10" s="45"/>
      <c r="AU10" s="46"/>
      <c r="AV10" s="63"/>
      <c r="AW10" s="64"/>
      <c r="AX10" s="127"/>
      <c r="AY10" s="128"/>
      <c r="AZ10" s="127"/>
      <c r="BA10" s="128"/>
      <c r="BB10" s="127"/>
      <c r="BC10" s="128"/>
      <c r="BD10" s="127"/>
      <c r="BE10" s="128"/>
      <c r="BF10" s="47"/>
      <c r="BG10" s="47"/>
      <c r="BH10" s="47"/>
      <c r="BI10" s="47"/>
      <c r="BJ10" s="47"/>
      <c r="BK10" s="47"/>
      <c r="BL10" s="47"/>
      <c r="BM10" s="47"/>
      <c r="BN10" s="47"/>
      <c r="BO10" s="47"/>
      <c r="BP10" s="47"/>
      <c r="BQ10" s="47"/>
      <c r="BR10" s="47"/>
      <c r="BS10" s="48"/>
      <c r="BT10" s="129"/>
      <c r="BU10" s="130"/>
      <c r="BV10" s="130"/>
      <c r="BW10" s="130"/>
      <c r="BX10" s="130"/>
      <c r="BY10" s="130"/>
      <c r="BZ10" s="130"/>
      <c r="CA10" s="130"/>
      <c r="CB10" s="130"/>
      <c r="CC10" s="130"/>
      <c r="CD10" s="131"/>
    </row>
    <row r="11" spans="2:82" s="49" customFormat="1" ht="27" customHeight="1">
      <c r="B11" s="116">
        <v>1</v>
      </c>
      <c r="C11" s="117"/>
      <c r="D11" s="75" t="s">
        <v>48</v>
      </c>
      <c r="E11" s="50"/>
      <c r="F11" s="50"/>
      <c r="G11" s="50"/>
      <c r="H11" s="50"/>
      <c r="I11" s="50"/>
      <c r="J11" s="50"/>
      <c r="K11" s="50"/>
      <c r="L11" s="50"/>
      <c r="M11" s="51"/>
      <c r="N11" s="51"/>
      <c r="O11" s="52" t="s">
        <v>100</v>
      </c>
      <c r="P11" s="53"/>
      <c r="Q11" s="53"/>
      <c r="R11" s="53"/>
      <c r="S11" s="53"/>
      <c r="T11" s="51"/>
      <c r="U11" s="51"/>
      <c r="V11" s="118" t="s">
        <v>36</v>
      </c>
      <c r="W11" s="119"/>
      <c r="X11" s="120">
        <v>1</v>
      </c>
      <c r="Y11" s="121"/>
      <c r="Z11" s="120"/>
      <c r="AA11" s="121"/>
      <c r="AB11" s="120">
        <v>1</v>
      </c>
      <c r="AC11" s="121"/>
      <c r="AD11" s="120"/>
      <c r="AE11" s="121"/>
      <c r="AF11" s="106"/>
      <c r="AG11" s="107"/>
      <c r="AH11" s="106"/>
      <c r="AI11" s="107"/>
      <c r="AJ11" s="125">
        <f t="shared" ref="AJ11:AJ31" si="0">IF(V11="","",IF(V11="N",AB11*2,IF(V11="X",AB11,IF(V11=9,AB11+AD11,IF(V11="±9",AB11+AD11+1,IF(V11="S9",AB11+AD11,IF(V11="S9C3",ROUNDDOWN((AB11+AD11)/2,0)+1,"")))))))</f>
        <v>1</v>
      </c>
      <c r="AK11" s="126"/>
      <c r="AL11" s="125">
        <f t="shared" ref="AL11:AL15" si="1">AJ10+AL10</f>
        <v>0</v>
      </c>
      <c r="AM11" s="126"/>
      <c r="AN11" s="54" t="s">
        <v>76</v>
      </c>
      <c r="AO11" s="51"/>
      <c r="AP11" s="51"/>
      <c r="AQ11" s="51"/>
      <c r="AR11" s="65"/>
      <c r="AS11" s="65"/>
      <c r="AT11" s="66"/>
      <c r="AU11" s="55" t="s">
        <v>77</v>
      </c>
      <c r="AV11" s="51"/>
      <c r="AW11" s="51"/>
      <c r="AX11" s="106"/>
      <c r="AY11" s="107"/>
      <c r="AZ11" s="106"/>
      <c r="BA11" s="107"/>
      <c r="BB11" s="106"/>
      <c r="BC11" s="107"/>
      <c r="BD11" s="108" t="s">
        <v>44</v>
      </c>
      <c r="BE11" s="109"/>
      <c r="BF11" s="110" t="s">
        <v>78</v>
      </c>
      <c r="BG11" s="111"/>
      <c r="BH11" s="111"/>
      <c r="BI11" s="111"/>
      <c r="BJ11" s="111"/>
      <c r="BK11" s="111"/>
      <c r="BL11" s="111"/>
      <c r="BM11" s="111"/>
      <c r="BN11" s="111"/>
      <c r="BO11" s="111"/>
      <c r="BP11" s="111"/>
      <c r="BQ11" s="111"/>
      <c r="BR11" s="111"/>
      <c r="BS11" s="112"/>
      <c r="BT11" s="113"/>
      <c r="BU11" s="114"/>
      <c r="BV11" s="114"/>
      <c r="BW11" s="114"/>
      <c r="BX11" s="114"/>
      <c r="BY11" s="114"/>
      <c r="BZ11" s="114"/>
      <c r="CA11" s="114"/>
      <c r="CB11" s="114"/>
      <c r="CC11" s="114"/>
      <c r="CD11" s="115"/>
    </row>
    <row r="12" spans="2:82" s="49" customFormat="1" ht="27.75" customHeight="1">
      <c r="B12" s="116">
        <f ca="1">IF($V12="","",MAX(OFFSET($B$11,0,0,ROW()-ROW($B$11),2))+1)</f>
        <v>2</v>
      </c>
      <c r="C12" s="117"/>
      <c r="D12" s="75" t="s">
        <v>49</v>
      </c>
      <c r="E12" s="50"/>
      <c r="F12" s="50"/>
      <c r="G12" s="50"/>
      <c r="H12" s="50"/>
      <c r="I12" s="50"/>
      <c r="J12" s="50"/>
      <c r="K12" s="50"/>
      <c r="L12" s="50"/>
      <c r="M12" s="51"/>
      <c r="N12" s="51"/>
      <c r="O12" s="203" t="s">
        <v>101</v>
      </c>
      <c r="P12" s="204"/>
      <c r="Q12" s="204"/>
      <c r="R12" s="204"/>
      <c r="S12" s="204"/>
      <c r="T12" s="204"/>
      <c r="U12" s="205"/>
      <c r="V12" s="118">
        <v>9</v>
      </c>
      <c r="W12" s="119"/>
      <c r="X12" s="120">
        <v>1</v>
      </c>
      <c r="Y12" s="121"/>
      <c r="Z12" s="120"/>
      <c r="AA12" s="121"/>
      <c r="AB12" s="120">
        <v>5</v>
      </c>
      <c r="AC12" s="121"/>
      <c r="AD12" s="120"/>
      <c r="AE12" s="121"/>
      <c r="AF12" s="106"/>
      <c r="AG12" s="107"/>
      <c r="AH12" s="106"/>
      <c r="AI12" s="107"/>
      <c r="AJ12" s="125">
        <f t="shared" si="0"/>
        <v>5</v>
      </c>
      <c r="AK12" s="126"/>
      <c r="AL12" s="125">
        <f t="shared" si="1"/>
        <v>1</v>
      </c>
      <c r="AM12" s="126"/>
      <c r="AN12" s="54" t="s">
        <v>76</v>
      </c>
      <c r="AO12" s="51"/>
      <c r="AP12" s="51"/>
      <c r="AQ12" s="51"/>
      <c r="AR12" s="65"/>
      <c r="AS12" s="65"/>
      <c r="AT12" s="66"/>
      <c r="AU12" s="55">
        <v>0</v>
      </c>
      <c r="AV12" s="51"/>
      <c r="AW12" s="51"/>
      <c r="AX12" s="106"/>
      <c r="AY12" s="107"/>
      <c r="AZ12" s="106"/>
      <c r="BA12" s="107"/>
      <c r="BB12" s="106"/>
      <c r="BC12" s="107"/>
      <c r="BD12" s="108" t="s">
        <v>79</v>
      </c>
      <c r="BE12" s="109"/>
      <c r="BF12" s="110" t="s">
        <v>80</v>
      </c>
      <c r="BG12" s="111"/>
      <c r="BH12" s="111"/>
      <c r="BI12" s="111"/>
      <c r="BJ12" s="111"/>
      <c r="BK12" s="111"/>
      <c r="BL12" s="111"/>
      <c r="BM12" s="111"/>
      <c r="BN12" s="111"/>
      <c r="BO12" s="111"/>
      <c r="BP12" s="111"/>
      <c r="BQ12" s="111"/>
      <c r="BR12" s="111"/>
      <c r="BS12" s="112"/>
      <c r="BT12" s="113" t="s">
        <v>81</v>
      </c>
      <c r="BU12" s="114"/>
      <c r="BV12" s="114"/>
      <c r="BW12" s="114"/>
      <c r="BX12" s="114"/>
      <c r="BY12" s="114"/>
      <c r="BZ12" s="114"/>
      <c r="CA12" s="114"/>
      <c r="CB12" s="114"/>
      <c r="CC12" s="114"/>
      <c r="CD12" s="115"/>
    </row>
    <row r="13" spans="2:82" s="49" customFormat="1" ht="27.75" customHeight="1">
      <c r="B13" s="116">
        <f t="shared" ref="B13:B31" ca="1" si="2">IF($V13="","",MAX(OFFSET($B$11,0,0,ROW()-ROW($B$11),2))+1)</f>
        <v>3</v>
      </c>
      <c r="C13" s="117"/>
      <c r="D13" s="75" t="s">
        <v>50</v>
      </c>
      <c r="E13" s="50"/>
      <c r="F13" s="50"/>
      <c r="G13" s="50"/>
      <c r="H13" s="50"/>
      <c r="I13" s="50"/>
      <c r="J13" s="50"/>
      <c r="K13" s="50"/>
      <c r="L13" s="50"/>
      <c r="M13" s="51"/>
      <c r="N13" s="51"/>
      <c r="O13" s="52" t="s">
        <v>102</v>
      </c>
      <c r="P13" s="53"/>
      <c r="Q13" s="53"/>
      <c r="R13" s="53"/>
      <c r="S13" s="53"/>
      <c r="T13" s="51"/>
      <c r="U13" s="51"/>
      <c r="V13" s="118" t="s">
        <v>36</v>
      </c>
      <c r="W13" s="119"/>
      <c r="X13" s="120">
        <v>1</v>
      </c>
      <c r="Y13" s="121"/>
      <c r="Z13" s="120"/>
      <c r="AA13" s="121"/>
      <c r="AB13" s="120">
        <v>2</v>
      </c>
      <c r="AC13" s="121"/>
      <c r="AD13" s="120"/>
      <c r="AE13" s="121"/>
      <c r="AF13" s="106"/>
      <c r="AG13" s="107"/>
      <c r="AH13" s="106"/>
      <c r="AI13" s="107"/>
      <c r="AJ13" s="125">
        <f t="shared" si="0"/>
        <v>2</v>
      </c>
      <c r="AK13" s="126"/>
      <c r="AL13" s="125">
        <f t="shared" si="1"/>
        <v>6</v>
      </c>
      <c r="AM13" s="126"/>
      <c r="AN13" s="54" t="s">
        <v>76</v>
      </c>
      <c r="AO13" s="51"/>
      <c r="AP13" s="51"/>
      <c r="AQ13" s="51"/>
      <c r="AR13" s="65"/>
      <c r="AS13" s="65"/>
      <c r="AT13" s="66"/>
      <c r="AU13" s="55" t="s">
        <v>77</v>
      </c>
      <c r="AV13" s="51"/>
      <c r="AW13" s="51"/>
      <c r="AX13" s="106"/>
      <c r="AY13" s="107"/>
      <c r="AZ13" s="106"/>
      <c r="BA13" s="107"/>
      <c r="BB13" s="106"/>
      <c r="BC13" s="107"/>
      <c r="BD13" s="108" t="s">
        <v>44</v>
      </c>
      <c r="BE13" s="109"/>
      <c r="BF13" s="110" t="s">
        <v>96</v>
      </c>
      <c r="BG13" s="111"/>
      <c r="BH13" s="111"/>
      <c r="BI13" s="111"/>
      <c r="BJ13" s="111"/>
      <c r="BK13" s="111"/>
      <c r="BL13" s="111"/>
      <c r="BM13" s="111"/>
      <c r="BN13" s="111"/>
      <c r="BO13" s="111"/>
      <c r="BP13" s="111"/>
      <c r="BQ13" s="111"/>
      <c r="BR13" s="111"/>
      <c r="BS13" s="112"/>
      <c r="BT13" s="113"/>
      <c r="BU13" s="114"/>
      <c r="BV13" s="114"/>
      <c r="BW13" s="114"/>
      <c r="BX13" s="114"/>
      <c r="BY13" s="114"/>
      <c r="BZ13" s="114"/>
      <c r="CA13" s="114"/>
      <c r="CB13" s="114"/>
      <c r="CC13" s="114"/>
      <c r="CD13" s="115"/>
    </row>
    <row r="14" spans="2:82" s="49" customFormat="1" ht="27.75" customHeight="1">
      <c r="B14" s="116">
        <f t="shared" ca="1" si="2"/>
        <v>4</v>
      </c>
      <c r="C14" s="117"/>
      <c r="D14" s="75" t="s">
        <v>51</v>
      </c>
      <c r="E14" s="50"/>
      <c r="F14" s="50"/>
      <c r="G14" s="50"/>
      <c r="H14" s="50"/>
      <c r="I14" s="50"/>
      <c r="J14" s="50"/>
      <c r="K14" s="50"/>
      <c r="L14" s="50"/>
      <c r="M14" s="51"/>
      <c r="N14" s="51"/>
      <c r="O14" s="52" t="s">
        <v>103</v>
      </c>
      <c r="P14" s="53"/>
      <c r="Q14" s="53"/>
      <c r="R14" s="53"/>
      <c r="S14" s="53"/>
      <c r="T14" s="51"/>
      <c r="U14" s="51"/>
      <c r="V14" s="118">
        <v>9</v>
      </c>
      <c r="W14" s="119"/>
      <c r="X14" s="120">
        <v>1</v>
      </c>
      <c r="Y14" s="121"/>
      <c r="Z14" s="120"/>
      <c r="AA14" s="121"/>
      <c r="AB14" s="120">
        <v>14</v>
      </c>
      <c r="AC14" s="121"/>
      <c r="AD14" s="120"/>
      <c r="AE14" s="121"/>
      <c r="AF14" s="106"/>
      <c r="AG14" s="107"/>
      <c r="AH14" s="106"/>
      <c r="AI14" s="107"/>
      <c r="AJ14" s="125">
        <f t="shared" si="0"/>
        <v>14</v>
      </c>
      <c r="AK14" s="126"/>
      <c r="AL14" s="125">
        <f t="shared" si="1"/>
        <v>8</v>
      </c>
      <c r="AM14" s="126"/>
      <c r="AN14" s="54" t="s">
        <v>76</v>
      </c>
      <c r="AO14" s="51"/>
      <c r="AP14" s="51"/>
      <c r="AQ14" s="51"/>
      <c r="AR14" s="65"/>
      <c r="AS14" s="65"/>
      <c r="AT14" s="66"/>
      <c r="AU14" s="55">
        <v>0</v>
      </c>
      <c r="AV14" s="51"/>
      <c r="AW14" s="51"/>
      <c r="AX14" s="106"/>
      <c r="AY14" s="107"/>
      <c r="AZ14" s="106"/>
      <c r="BA14" s="107"/>
      <c r="BB14" s="106"/>
      <c r="BC14" s="107"/>
      <c r="BD14" s="108" t="s">
        <v>79</v>
      </c>
      <c r="BE14" s="109"/>
      <c r="BF14" s="110" t="s">
        <v>97</v>
      </c>
      <c r="BG14" s="111"/>
      <c r="BH14" s="111"/>
      <c r="BI14" s="111"/>
      <c r="BJ14" s="111"/>
      <c r="BK14" s="111"/>
      <c r="BL14" s="111"/>
      <c r="BM14" s="111"/>
      <c r="BN14" s="111"/>
      <c r="BO14" s="111"/>
      <c r="BP14" s="111"/>
      <c r="BQ14" s="111"/>
      <c r="BR14" s="111"/>
      <c r="BS14" s="112"/>
      <c r="BT14" s="113" t="s">
        <v>57</v>
      </c>
      <c r="BU14" s="114"/>
      <c r="BV14" s="114"/>
      <c r="BW14" s="114"/>
      <c r="BX14" s="114"/>
      <c r="BY14" s="114"/>
      <c r="BZ14" s="114"/>
      <c r="CA14" s="114"/>
      <c r="CB14" s="114"/>
      <c r="CC14" s="114"/>
      <c r="CD14" s="115"/>
    </row>
    <row r="15" spans="2:82" s="49" customFormat="1" ht="54" customHeight="1">
      <c r="B15" s="116">
        <f t="shared" ca="1" si="2"/>
        <v>5</v>
      </c>
      <c r="C15" s="117"/>
      <c r="D15" s="75" t="s">
        <v>52</v>
      </c>
      <c r="E15" s="50"/>
      <c r="F15" s="50"/>
      <c r="G15" s="50"/>
      <c r="H15" s="50"/>
      <c r="I15" s="50"/>
      <c r="J15" s="50"/>
      <c r="K15" s="50"/>
      <c r="L15" s="50"/>
      <c r="M15" s="51"/>
      <c r="N15" s="51"/>
      <c r="O15" s="203" t="s">
        <v>104</v>
      </c>
      <c r="P15" s="204"/>
      <c r="Q15" s="204"/>
      <c r="R15" s="204"/>
      <c r="S15" s="204"/>
      <c r="T15" s="204"/>
      <c r="U15" s="205"/>
      <c r="V15" s="118">
        <v>9</v>
      </c>
      <c r="W15" s="119"/>
      <c r="X15" s="120">
        <v>1</v>
      </c>
      <c r="Y15" s="121"/>
      <c r="Z15" s="120"/>
      <c r="AA15" s="121"/>
      <c r="AB15" s="120">
        <v>8</v>
      </c>
      <c r="AC15" s="121"/>
      <c r="AD15" s="120"/>
      <c r="AE15" s="121"/>
      <c r="AF15" s="106"/>
      <c r="AG15" s="107"/>
      <c r="AH15" s="106"/>
      <c r="AI15" s="107"/>
      <c r="AJ15" s="125">
        <f t="shared" si="0"/>
        <v>8</v>
      </c>
      <c r="AK15" s="126"/>
      <c r="AL15" s="125">
        <f t="shared" si="1"/>
        <v>22</v>
      </c>
      <c r="AM15" s="126"/>
      <c r="AN15" s="54" t="s">
        <v>76</v>
      </c>
      <c r="AO15" s="51"/>
      <c r="AP15" s="51"/>
      <c r="AQ15" s="51"/>
      <c r="AR15" s="65"/>
      <c r="AS15" s="65"/>
      <c r="AT15" s="66"/>
      <c r="AU15" s="55">
        <v>0</v>
      </c>
      <c r="AV15" s="51"/>
      <c r="AW15" s="51"/>
      <c r="AX15" s="106"/>
      <c r="AY15" s="107"/>
      <c r="AZ15" s="106"/>
      <c r="BA15" s="107"/>
      <c r="BB15" s="106"/>
      <c r="BC15" s="107"/>
      <c r="BD15" s="108" t="s">
        <v>79</v>
      </c>
      <c r="BE15" s="109"/>
      <c r="BF15" s="110" t="s">
        <v>82</v>
      </c>
      <c r="BG15" s="111"/>
      <c r="BH15" s="111"/>
      <c r="BI15" s="111"/>
      <c r="BJ15" s="111"/>
      <c r="BK15" s="111"/>
      <c r="BL15" s="111"/>
      <c r="BM15" s="111"/>
      <c r="BN15" s="111"/>
      <c r="BO15" s="111"/>
      <c r="BP15" s="111"/>
      <c r="BQ15" s="111"/>
      <c r="BR15" s="111"/>
      <c r="BS15" s="112"/>
      <c r="BT15" s="113" t="s">
        <v>56</v>
      </c>
      <c r="BU15" s="114"/>
      <c r="BV15" s="114"/>
      <c r="BW15" s="114"/>
      <c r="BX15" s="114"/>
      <c r="BY15" s="114"/>
      <c r="BZ15" s="114"/>
      <c r="CA15" s="114"/>
      <c r="CB15" s="114"/>
      <c r="CC15" s="114"/>
      <c r="CD15" s="115"/>
    </row>
    <row r="16" spans="2:82" s="49" customFormat="1" ht="27.75" customHeight="1">
      <c r="B16" s="116">
        <f ca="1">IF($V16="","",MAX(OFFSET($B$11,0,0,ROW()-ROW($B$11),2))+1)</f>
        <v>6</v>
      </c>
      <c r="C16" s="117"/>
      <c r="D16" s="75" t="s">
        <v>72</v>
      </c>
      <c r="E16" s="50"/>
      <c r="F16" s="50"/>
      <c r="G16" s="50"/>
      <c r="H16" s="50"/>
      <c r="I16" s="50"/>
      <c r="J16" s="50"/>
      <c r="K16" s="50"/>
      <c r="L16" s="50"/>
      <c r="M16" s="51"/>
      <c r="N16" s="51"/>
      <c r="O16" s="52" t="s">
        <v>105</v>
      </c>
      <c r="P16" s="53"/>
      <c r="Q16" s="53"/>
      <c r="R16" s="53"/>
      <c r="S16" s="53"/>
      <c r="T16" s="51"/>
      <c r="U16" s="51"/>
      <c r="V16" s="118" t="s">
        <v>36</v>
      </c>
      <c r="W16" s="119"/>
      <c r="X16" s="120">
        <v>1</v>
      </c>
      <c r="Y16" s="121"/>
      <c r="Z16" s="120"/>
      <c r="AA16" s="121"/>
      <c r="AB16" s="120">
        <v>120</v>
      </c>
      <c r="AC16" s="121"/>
      <c r="AD16" s="120"/>
      <c r="AE16" s="121"/>
      <c r="AF16" s="106"/>
      <c r="AG16" s="107"/>
      <c r="AH16" s="106"/>
      <c r="AI16" s="107"/>
      <c r="AJ16" s="125">
        <f>IF(V16="","",IF(V16="N",AB16*2,IF(V16="X",AB16,IF(V16=9,AB16+AD16,IF(V16="±9",AB16+AD16+1,IF(V16="S9",AB16+AD16,IF(V16="S9C3",ROUNDDOWN((AB16+AD16)/2,0)+1,"")))))))</f>
        <v>120</v>
      </c>
      <c r="AK16" s="126"/>
      <c r="AL16" s="125">
        <f>AJ15+AL15</f>
        <v>30</v>
      </c>
      <c r="AM16" s="126"/>
      <c r="AN16" s="54" t="s">
        <v>76</v>
      </c>
      <c r="AO16" s="51"/>
      <c r="AP16" s="51"/>
      <c r="AQ16" s="51"/>
      <c r="AR16" s="65"/>
      <c r="AS16" s="65"/>
      <c r="AT16" s="66"/>
      <c r="AU16" s="55" t="s">
        <v>77</v>
      </c>
      <c r="AV16" s="51"/>
      <c r="AW16" s="51"/>
      <c r="AX16" s="106"/>
      <c r="AY16" s="107"/>
      <c r="AZ16" s="106"/>
      <c r="BA16" s="107"/>
      <c r="BB16" s="106"/>
      <c r="BC16" s="107"/>
      <c r="BD16" s="108" t="s">
        <v>44</v>
      </c>
      <c r="BE16" s="109"/>
      <c r="BF16" s="122"/>
      <c r="BG16" s="123"/>
      <c r="BH16" s="123"/>
      <c r="BI16" s="123"/>
      <c r="BJ16" s="123"/>
      <c r="BK16" s="123"/>
      <c r="BL16" s="123"/>
      <c r="BM16" s="123"/>
      <c r="BN16" s="123"/>
      <c r="BO16" s="123"/>
      <c r="BP16" s="123"/>
      <c r="BQ16" s="123"/>
      <c r="BR16" s="123"/>
      <c r="BS16" s="124"/>
      <c r="BT16" s="113"/>
      <c r="BU16" s="114"/>
      <c r="BV16" s="114"/>
      <c r="BW16" s="114"/>
      <c r="BX16" s="114"/>
      <c r="BY16" s="114"/>
      <c r="BZ16" s="114"/>
      <c r="CA16" s="114"/>
      <c r="CB16" s="114"/>
      <c r="CC16" s="114"/>
      <c r="CD16" s="115"/>
    </row>
    <row r="17" spans="2:82" s="49" customFormat="1" ht="13.5" customHeight="1">
      <c r="B17" s="71"/>
      <c r="C17" s="72"/>
      <c r="D17" s="70" t="s">
        <v>83</v>
      </c>
      <c r="E17" s="70"/>
      <c r="F17" s="70"/>
      <c r="G17" s="70"/>
      <c r="H17" s="70"/>
      <c r="I17" s="70"/>
      <c r="J17" s="70"/>
      <c r="K17" s="70"/>
      <c r="L17" s="70"/>
      <c r="M17" s="44"/>
      <c r="N17" s="44"/>
      <c r="O17" s="76"/>
      <c r="P17" s="77"/>
      <c r="Q17" s="77"/>
      <c r="R17" s="77"/>
      <c r="S17" s="77"/>
      <c r="T17" s="44"/>
      <c r="U17" s="44"/>
      <c r="V17" s="73"/>
      <c r="W17" s="74"/>
      <c r="X17" s="67"/>
      <c r="Y17" s="68"/>
      <c r="Z17" s="67"/>
      <c r="AA17" s="68"/>
      <c r="AB17" s="67"/>
      <c r="AC17" s="68"/>
      <c r="AD17" s="67"/>
      <c r="AE17" s="68"/>
      <c r="AF17" s="73"/>
      <c r="AG17" s="74"/>
      <c r="AH17" s="73"/>
      <c r="AI17" s="74"/>
      <c r="AJ17" s="67"/>
      <c r="AK17" s="68"/>
      <c r="AL17" s="67"/>
      <c r="AM17" s="68"/>
      <c r="AN17" s="78"/>
      <c r="AO17" s="44"/>
      <c r="AP17" s="44"/>
      <c r="AQ17" s="44"/>
      <c r="AR17" s="63"/>
      <c r="AS17" s="63"/>
      <c r="AT17" s="64"/>
      <c r="AU17" s="46"/>
      <c r="AV17" s="44"/>
      <c r="AW17" s="44"/>
      <c r="AX17" s="73"/>
      <c r="AY17" s="74"/>
      <c r="AZ17" s="73"/>
      <c r="BA17" s="74"/>
      <c r="BB17" s="73"/>
      <c r="BC17" s="74"/>
      <c r="BD17" s="79"/>
      <c r="BE17" s="80"/>
      <c r="BF17" s="81"/>
      <c r="BG17" s="82"/>
      <c r="BH17" s="82"/>
      <c r="BI17" s="82"/>
      <c r="BJ17" s="82"/>
      <c r="BK17" s="82"/>
      <c r="BL17" s="82"/>
      <c r="BM17" s="82"/>
      <c r="BN17" s="82"/>
      <c r="BO17" s="82"/>
      <c r="BP17" s="82"/>
      <c r="BQ17" s="82"/>
      <c r="BR17" s="82"/>
      <c r="BS17" s="83"/>
      <c r="BT17" s="69"/>
      <c r="BU17" s="84"/>
      <c r="BV17" s="84"/>
      <c r="BW17" s="84"/>
      <c r="BX17" s="84"/>
      <c r="BY17" s="84"/>
      <c r="BZ17" s="84"/>
      <c r="CA17" s="84"/>
      <c r="CB17" s="84"/>
      <c r="CC17" s="84"/>
      <c r="CD17" s="85"/>
    </row>
    <row r="18" spans="2:82" s="49" customFormat="1" ht="27" customHeight="1">
      <c r="B18" s="116">
        <f ca="1">IF($V18="","",MAX(OFFSET($B$11,0,0,ROW()-ROW($B$11),2))+1)</f>
        <v>7</v>
      </c>
      <c r="C18" s="117"/>
      <c r="D18" s="75" t="s">
        <v>48</v>
      </c>
      <c r="E18" s="50"/>
      <c r="F18" s="50"/>
      <c r="G18" s="50"/>
      <c r="H18" s="50"/>
      <c r="I18" s="50"/>
      <c r="J18" s="50"/>
      <c r="K18" s="50"/>
      <c r="L18" s="50"/>
      <c r="M18" s="51"/>
      <c r="N18" s="51"/>
      <c r="O18" s="52" t="s">
        <v>100</v>
      </c>
      <c r="P18" s="53"/>
      <c r="Q18" s="53"/>
      <c r="R18" s="53"/>
      <c r="S18" s="53"/>
      <c r="T18" s="51"/>
      <c r="U18" s="51"/>
      <c r="V18" s="118" t="s">
        <v>36</v>
      </c>
      <c r="W18" s="119"/>
      <c r="X18" s="120">
        <v>1</v>
      </c>
      <c r="Y18" s="121"/>
      <c r="Z18" s="120"/>
      <c r="AA18" s="121"/>
      <c r="AB18" s="120">
        <v>1</v>
      </c>
      <c r="AC18" s="121"/>
      <c r="AD18" s="120"/>
      <c r="AE18" s="121"/>
      <c r="AF18" s="106"/>
      <c r="AG18" s="107"/>
      <c r="AH18" s="106"/>
      <c r="AI18" s="107"/>
      <c r="AJ18" s="125">
        <f t="shared" ref="AJ18" si="3">IF(V18="","",IF(V18="N",AB18*2,IF(V18="X",AB18,IF(V18=9,AB18+AD18,IF(V18="±9",AB18+AD18+1,IF(V18="S9",AB18+AD18,IF(V18="S9C3",ROUNDDOWN((AB18+AD18)/2,0)+1,"")))))))</f>
        <v>1</v>
      </c>
      <c r="AK18" s="126"/>
      <c r="AL18" s="125">
        <f t="shared" ref="AL18" si="4">AJ17+AL17</f>
        <v>0</v>
      </c>
      <c r="AM18" s="126"/>
      <c r="AN18" s="54" t="s">
        <v>76</v>
      </c>
      <c r="AO18" s="51"/>
      <c r="AP18" s="51"/>
      <c r="AQ18" s="51"/>
      <c r="AR18" s="65"/>
      <c r="AS18" s="65"/>
      <c r="AT18" s="66"/>
      <c r="AU18" s="55" t="s">
        <v>77</v>
      </c>
      <c r="AV18" s="51"/>
      <c r="AW18" s="51"/>
      <c r="AX18" s="106"/>
      <c r="AY18" s="107"/>
      <c r="AZ18" s="106"/>
      <c r="BA18" s="107"/>
      <c r="BB18" s="106"/>
      <c r="BC18" s="107"/>
      <c r="BD18" s="108" t="s">
        <v>44</v>
      </c>
      <c r="BE18" s="109"/>
      <c r="BF18" s="110" t="s">
        <v>84</v>
      </c>
      <c r="BG18" s="111"/>
      <c r="BH18" s="111"/>
      <c r="BI18" s="111"/>
      <c r="BJ18" s="111"/>
      <c r="BK18" s="111"/>
      <c r="BL18" s="111"/>
      <c r="BM18" s="111"/>
      <c r="BN18" s="111"/>
      <c r="BO18" s="111"/>
      <c r="BP18" s="111"/>
      <c r="BQ18" s="111"/>
      <c r="BR18" s="111"/>
      <c r="BS18" s="112"/>
      <c r="BT18" s="113"/>
      <c r="BU18" s="114"/>
      <c r="BV18" s="114"/>
      <c r="BW18" s="114"/>
      <c r="BX18" s="114"/>
      <c r="BY18" s="114"/>
      <c r="BZ18" s="114"/>
      <c r="CA18" s="114"/>
      <c r="CB18" s="114"/>
      <c r="CC18" s="114"/>
      <c r="CD18" s="115"/>
    </row>
    <row r="19" spans="2:82" s="49" customFormat="1" ht="54" customHeight="1">
      <c r="B19" s="116">
        <f t="shared" ca="1" si="2"/>
        <v>8</v>
      </c>
      <c r="C19" s="117"/>
      <c r="D19" s="75" t="s">
        <v>58</v>
      </c>
      <c r="E19" s="50"/>
      <c r="F19" s="50"/>
      <c r="G19" s="50"/>
      <c r="H19" s="50"/>
      <c r="I19" s="50"/>
      <c r="J19" s="50"/>
      <c r="K19" s="50"/>
      <c r="L19" s="50"/>
      <c r="M19" s="51"/>
      <c r="N19" s="51"/>
      <c r="O19" s="203" t="s">
        <v>99</v>
      </c>
      <c r="P19" s="204"/>
      <c r="Q19" s="204"/>
      <c r="R19" s="204"/>
      <c r="S19" s="204"/>
      <c r="T19" s="204"/>
      <c r="U19" s="205"/>
      <c r="V19" s="118">
        <v>9</v>
      </c>
      <c r="W19" s="119"/>
      <c r="X19" s="120">
        <v>1</v>
      </c>
      <c r="Y19" s="121"/>
      <c r="Z19" s="120"/>
      <c r="AA19" s="121"/>
      <c r="AB19" s="120">
        <v>14</v>
      </c>
      <c r="AC19" s="121"/>
      <c r="AD19" s="120"/>
      <c r="AE19" s="121"/>
      <c r="AF19" s="106"/>
      <c r="AG19" s="107"/>
      <c r="AH19" s="106"/>
      <c r="AI19" s="107"/>
      <c r="AJ19" s="125">
        <f t="shared" si="0"/>
        <v>14</v>
      </c>
      <c r="AK19" s="126"/>
      <c r="AL19" s="125">
        <f>AJ18+AL18</f>
        <v>1</v>
      </c>
      <c r="AM19" s="126"/>
      <c r="AN19" s="54" t="s">
        <v>76</v>
      </c>
      <c r="AO19" s="56"/>
      <c r="AP19" s="56"/>
      <c r="AQ19" s="56"/>
      <c r="AR19" s="65"/>
      <c r="AS19" s="65"/>
      <c r="AT19" s="66"/>
      <c r="AU19" s="55">
        <v>0</v>
      </c>
      <c r="AV19" s="51"/>
      <c r="AW19" s="51"/>
      <c r="AX19" s="106"/>
      <c r="AY19" s="107"/>
      <c r="AZ19" s="106"/>
      <c r="BA19" s="107"/>
      <c r="BB19" s="106"/>
      <c r="BC19" s="107"/>
      <c r="BD19" s="108" t="s">
        <v>79</v>
      </c>
      <c r="BE19" s="109"/>
      <c r="BF19" s="110" t="s">
        <v>85</v>
      </c>
      <c r="BG19" s="111"/>
      <c r="BH19" s="111"/>
      <c r="BI19" s="111"/>
      <c r="BJ19" s="111"/>
      <c r="BK19" s="111"/>
      <c r="BL19" s="111"/>
      <c r="BM19" s="111"/>
      <c r="BN19" s="111"/>
      <c r="BO19" s="111"/>
      <c r="BP19" s="111"/>
      <c r="BQ19" s="111"/>
      <c r="BR19" s="111"/>
      <c r="BS19" s="112"/>
      <c r="BT19" s="113" t="s">
        <v>57</v>
      </c>
      <c r="BU19" s="114"/>
      <c r="BV19" s="114"/>
      <c r="BW19" s="114"/>
      <c r="BX19" s="114"/>
      <c r="BY19" s="114"/>
      <c r="BZ19" s="114"/>
      <c r="CA19" s="114"/>
      <c r="CB19" s="114"/>
      <c r="CC19" s="114"/>
      <c r="CD19" s="115"/>
    </row>
    <row r="20" spans="2:82" s="49" customFormat="1" ht="27.75" customHeight="1">
      <c r="B20" s="116">
        <f t="shared" ca="1" si="2"/>
        <v>9</v>
      </c>
      <c r="C20" s="117"/>
      <c r="D20" s="75" t="s">
        <v>59</v>
      </c>
      <c r="E20" s="50"/>
      <c r="F20" s="50"/>
      <c r="G20" s="50"/>
      <c r="H20" s="50"/>
      <c r="I20" s="50"/>
      <c r="J20" s="50"/>
      <c r="K20" s="50"/>
      <c r="L20" s="50"/>
      <c r="M20" s="51"/>
      <c r="N20" s="51"/>
      <c r="O20" s="52" t="s">
        <v>106</v>
      </c>
      <c r="P20" s="53"/>
      <c r="Q20" s="53"/>
      <c r="R20" s="53"/>
      <c r="S20" s="53"/>
      <c r="T20" s="51"/>
      <c r="U20" s="51"/>
      <c r="V20" s="106" t="s">
        <v>36</v>
      </c>
      <c r="W20" s="107"/>
      <c r="X20" s="120">
        <v>1</v>
      </c>
      <c r="Y20" s="121"/>
      <c r="Z20" s="120"/>
      <c r="AA20" s="121"/>
      <c r="AB20" s="120">
        <v>1</v>
      </c>
      <c r="AC20" s="121"/>
      <c r="AD20" s="120"/>
      <c r="AE20" s="121"/>
      <c r="AF20" s="106"/>
      <c r="AG20" s="107"/>
      <c r="AH20" s="106"/>
      <c r="AI20" s="107"/>
      <c r="AJ20" s="125">
        <f t="shared" si="0"/>
        <v>1</v>
      </c>
      <c r="AK20" s="126"/>
      <c r="AL20" s="125">
        <f t="shared" ref="AL20:AL27" si="5">AJ19+AL19</f>
        <v>15</v>
      </c>
      <c r="AM20" s="126"/>
      <c r="AN20" s="54" t="s">
        <v>76</v>
      </c>
      <c r="AO20" s="51"/>
      <c r="AP20" s="51"/>
      <c r="AQ20" s="51"/>
      <c r="AR20" s="65"/>
      <c r="AS20" s="65"/>
      <c r="AT20" s="66"/>
      <c r="AU20" s="55" t="s">
        <v>77</v>
      </c>
      <c r="AV20" s="51"/>
      <c r="AW20" s="51"/>
      <c r="AX20" s="106"/>
      <c r="AY20" s="107"/>
      <c r="AZ20" s="106"/>
      <c r="BA20" s="107"/>
      <c r="BB20" s="106"/>
      <c r="BC20" s="107"/>
      <c r="BD20" s="108" t="s">
        <v>44</v>
      </c>
      <c r="BE20" s="109"/>
      <c r="BF20" s="110" t="s">
        <v>71</v>
      </c>
      <c r="BG20" s="111"/>
      <c r="BH20" s="111"/>
      <c r="BI20" s="111"/>
      <c r="BJ20" s="111"/>
      <c r="BK20" s="111"/>
      <c r="BL20" s="111"/>
      <c r="BM20" s="111"/>
      <c r="BN20" s="111"/>
      <c r="BO20" s="111"/>
      <c r="BP20" s="111"/>
      <c r="BQ20" s="111"/>
      <c r="BR20" s="111"/>
      <c r="BS20" s="112"/>
      <c r="BT20" s="113"/>
      <c r="BU20" s="114"/>
      <c r="BV20" s="114"/>
      <c r="BW20" s="114"/>
      <c r="BX20" s="114"/>
      <c r="BY20" s="114"/>
      <c r="BZ20" s="114"/>
      <c r="CA20" s="114"/>
      <c r="CB20" s="114"/>
      <c r="CC20" s="114"/>
      <c r="CD20" s="115"/>
    </row>
    <row r="21" spans="2:82" s="49" customFormat="1" ht="27.75" customHeight="1">
      <c r="B21" s="116">
        <f t="shared" ca="1" si="2"/>
        <v>10</v>
      </c>
      <c r="C21" s="117"/>
      <c r="D21" s="75" t="s">
        <v>60</v>
      </c>
      <c r="E21" s="50"/>
      <c r="F21" s="50"/>
      <c r="G21" s="50"/>
      <c r="H21" s="50"/>
      <c r="I21" s="50"/>
      <c r="J21" s="50"/>
      <c r="K21" s="50"/>
      <c r="L21" s="50"/>
      <c r="M21" s="51"/>
      <c r="N21" s="51"/>
      <c r="O21" s="52" t="s">
        <v>107</v>
      </c>
      <c r="P21" s="53"/>
      <c r="Q21" s="53"/>
      <c r="R21" s="53"/>
      <c r="S21" s="53"/>
      <c r="T21" s="51"/>
      <c r="U21" s="51"/>
      <c r="V21" s="118">
        <v>9</v>
      </c>
      <c r="W21" s="119"/>
      <c r="X21" s="120">
        <v>1</v>
      </c>
      <c r="Y21" s="121"/>
      <c r="Z21" s="120"/>
      <c r="AA21" s="121"/>
      <c r="AB21" s="120">
        <v>9</v>
      </c>
      <c r="AC21" s="121"/>
      <c r="AD21" s="120"/>
      <c r="AE21" s="121"/>
      <c r="AF21" s="106"/>
      <c r="AG21" s="107"/>
      <c r="AH21" s="106"/>
      <c r="AI21" s="107"/>
      <c r="AJ21" s="125">
        <f t="shared" si="0"/>
        <v>9</v>
      </c>
      <c r="AK21" s="126"/>
      <c r="AL21" s="125">
        <f t="shared" si="5"/>
        <v>16</v>
      </c>
      <c r="AM21" s="126"/>
      <c r="AN21" s="54" t="s">
        <v>76</v>
      </c>
      <c r="AO21" s="51"/>
      <c r="AP21" s="51"/>
      <c r="AQ21" s="51"/>
      <c r="AR21" s="65"/>
      <c r="AS21" s="65"/>
      <c r="AT21" s="66"/>
      <c r="AU21" s="55">
        <v>0</v>
      </c>
      <c r="AV21" s="51"/>
      <c r="AW21" s="51"/>
      <c r="AX21" s="106"/>
      <c r="AY21" s="107"/>
      <c r="AZ21" s="106"/>
      <c r="BA21" s="107"/>
      <c r="BB21" s="106"/>
      <c r="BC21" s="107"/>
      <c r="BD21" s="108" t="s">
        <v>79</v>
      </c>
      <c r="BE21" s="109"/>
      <c r="BF21" s="110" t="s">
        <v>86</v>
      </c>
      <c r="BG21" s="111"/>
      <c r="BH21" s="111"/>
      <c r="BI21" s="111"/>
      <c r="BJ21" s="111"/>
      <c r="BK21" s="111"/>
      <c r="BL21" s="111"/>
      <c r="BM21" s="111"/>
      <c r="BN21" s="111"/>
      <c r="BO21" s="111"/>
      <c r="BP21" s="111"/>
      <c r="BQ21" s="111"/>
      <c r="BR21" s="111"/>
      <c r="BS21" s="112"/>
      <c r="BT21" s="113" t="s">
        <v>81</v>
      </c>
      <c r="BU21" s="114"/>
      <c r="BV21" s="114"/>
      <c r="BW21" s="114"/>
      <c r="BX21" s="114"/>
      <c r="BY21" s="114"/>
      <c r="BZ21" s="114"/>
      <c r="CA21" s="114"/>
      <c r="CB21" s="114"/>
      <c r="CC21" s="114"/>
      <c r="CD21" s="115"/>
    </row>
    <row r="22" spans="2:82" s="49" customFormat="1" ht="54" customHeight="1">
      <c r="B22" s="116">
        <f t="shared" ca="1" si="2"/>
        <v>11</v>
      </c>
      <c r="C22" s="117"/>
      <c r="D22" s="75" t="s">
        <v>61</v>
      </c>
      <c r="E22" s="50"/>
      <c r="F22" s="50"/>
      <c r="G22" s="50"/>
      <c r="H22" s="50"/>
      <c r="I22" s="50"/>
      <c r="J22" s="50"/>
      <c r="K22" s="50"/>
      <c r="L22" s="50"/>
      <c r="M22" s="51"/>
      <c r="N22" s="51"/>
      <c r="O22" s="203" t="s">
        <v>108</v>
      </c>
      <c r="P22" s="204"/>
      <c r="Q22" s="204"/>
      <c r="R22" s="204"/>
      <c r="S22" s="204"/>
      <c r="T22" s="204"/>
      <c r="U22" s="205"/>
      <c r="V22" s="118" t="s">
        <v>36</v>
      </c>
      <c r="W22" s="119"/>
      <c r="X22" s="120">
        <v>1</v>
      </c>
      <c r="Y22" s="121"/>
      <c r="Z22" s="120"/>
      <c r="AA22" s="121"/>
      <c r="AB22" s="120">
        <v>18</v>
      </c>
      <c r="AC22" s="121"/>
      <c r="AD22" s="120"/>
      <c r="AE22" s="121"/>
      <c r="AF22" s="106"/>
      <c r="AG22" s="107"/>
      <c r="AH22" s="106"/>
      <c r="AI22" s="107"/>
      <c r="AJ22" s="125">
        <f t="shared" si="0"/>
        <v>18</v>
      </c>
      <c r="AK22" s="126"/>
      <c r="AL22" s="125">
        <f t="shared" si="5"/>
        <v>25</v>
      </c>
      <c r="AM22" s="126"/>
      <c r="AN22" s="54" t="s">
        <v>76</v>
      </c>
      <c r="AO22" s="51"/>
      <c r="AP22" s="51"/>
      <c r="AQ22" s="51"/>
      <c r="AR22" s="65"/>
      <c r="AS22" s="65"/>
      <c r="AT22" s="66"/>
      <c r="AU22" s="55" t="s">
        <v>77</v>
      </c>
      <c r="AV22" s="51"/>
      <c r="AW22" s="51"/>
      <c r="AX22" s="106"/>
      <c r="AY22" s="107"/>
      <c r="AZ22" s="106"/>
      <c r="BA22" s="107"/>
      <c r="BB22" s="106"/>
      <c r="BC22" s="107"/>
      <c r="BD22" s="108" t="s">
        <v>44</v>
      </c>
      <c r="BE22" s="109"/>
      <c r="BF22" s="110" t="s">
        <v>87</v>
      </c>
      <c r="BG22" s="111"/>
      <c r="BH22" s="111"/>
      <c r="BI22" s="111"/>
      <c r="BJ22" s="111"/>
      <c r="BK22" s="111"/>
      <c r="BL22" s="111"/>
      <c r="BM22" s="111"/>
      <c r="BN22" s="111"/>
      <c r="BO22" s="111"/>
      <c r="BP22" s="111"/>
      <c r="BQ22" s="111"/>
      <c r="BR22" s="111"/>
      <c r="BS22" s="112"/>
      <c r="BT22" s="113" t="s">
        <v>88</v>
      </c>
      <c r="BU22" s="114"/>
      <c r="BV22" s="114"/>
      <c r="BW22" s="114"/>
      <c r="BX22" s="114"/>
      <c r="BY22" s="114"/>
      <c r="BZ22" s="114"/>
      <c r="CA22" s="114"/>
      <c r="CB22" s="114"/>
      <c r="CC22" s="114"/>
      <c r="CD22" s="115"/>
    </row>
    <row r="23" spans="2:82" s="49" customFormat="1" ht="27" customHeight="1">
      <c r="B23" s="116">
        <f t="shared" ca="1" si="2"/>
        <v>12</v>
      </c>
      <c r="C23" s="117"/>
      <c r="D23" s="75" t="s">
        <v>62</v>
      </c>
      <c r="E23" s="50"/>
      <c r="F23" s="50"/>
      <c r="G23" s="50"/>
      <c r="H23" s="50"/>
      <c r="I23" s="50"/>
      <c r="J23" s="50"/>
      <c r="K23" s="50"/>
      <c r="L23" s="50"/>
      <c r="M23" s="51"/>
      <c r="N23" s="51"/>
      <c r="O23" s="52" t="s">
        <v>109</v>
      </c>
      <c r="P23" s="53"/>
      <c r="Q23" s="53"/>
      <c r="R23" s="53"/>
      <c r="S23" s="53"/>
      <c r="T23" s="51"/>
      <c r="U23" s="51"/>
      <c r="V23" s="118">
        <v>9</v>
      </c>
      <c r="W23" s="119"/>
      <c r="X23" s="120">
        <v>1</v>
      </c>
      <c r="Y23" s="121"/>
      <c r="Z23" s="120"/>
      <c r="AA23" s="121"/>
      <c r="AB23" s="120">
        <v>10</v>
      </c>
      <c r="AC23" s="121"/>
      <c r="AD23" s="120"/>
      <c r="AE23" s="121"/>
      <c r="AF23" s="106"/>
      <c r="AG23" s="107"/>
      <c r="AH23" s="106"/>
      <c r="AI23" s="107"/>
      <c r="AJ23" s="125">
        <f t="shared" si="0"/>
        <v>10</v>
      </c>
      <c r="AK23" s="126"/>
      <c r="AL23" s="125">
        <f t="shared" si="5"/>
        <v>43</v>
      </c>
      <c r="AM23" s="126"/>
      <c r="AN23" s="54" t="s">
        <v>76</v>
      </c>
      <c r="AO23" s="51"/>
      <c r="AP23" s="51"/>
      <c r="AQ23" s="51"/>
      <c r="AR23" s="65"/>
      <c r="AS23" s="65"/>
      <c r="AT23" s="66"/>
      <c r="AU23" s="55">
        <v>0</v>
      </c>
      <c r="AV23" s="51"/>
      <c r="AW23" s="51"/>
      <c r="AX23" s="106"/>
      <c r="AY23" s="107"/>
      <c r="AZ23" s="106"/>
      <c r="BA23" s="107"/>
      <c r="BB23" s="106"/>
      <c r="BC23" s="107"/>
      <c r="BD23" s="108" t="s">
        <v>79</v>
      </c>
      <c r="BE23" s="109"/>
      <c r="BF23" s="110" t="s">
        <v>89</v>
      </c>
      <c r="BG23" s="111"/>
      <c r="BH23" s="111"/>
      <c r="BI23" s="111"/>
      <c r="BJ23" s="111"/>
      <c r="BK23" s="111"/>
      <c r="BL23" s="111"/>
      <c r="BM23" s="111"/>
      <c r="BN23" s="111"/>
      <c r="BO23" s="111"/>
      <c r="BP23" s="111"/>
      <c r="BQ23" s="111"/>
      <c r="BR23" s="111"/>
      <c r="BS23" s="112"/>
      <c r="BT23" s="113" t="s">
        <v>81</v>
      </c>
      <c r="BU23" s="114"/>
      <c r="BV23" s="114"/>
      <c r="BW23" s="114"/>
      <c r="BX23" s="114"/>
      <c r="BY23" s="114"/>
      <c r="BZ23" s="114"/>
      <c r="CA23" s="114"/>
      <c r="CB23" s="114"/>
      <c r="CC23" s="114"/>
      <c r="CD23" s="115"/>
    </row>
    <row r="24" spans="2:82" s="49" customFormat="1" ht="54" customHeight="1">
      <c r="B24" s="116">
        <f t="shared" ca="1" si="2"/>
        <v>13</v>
      </c>
      <c r="C24" s="117"/>
      <c r="D24" s="75" t="s">
        <v>63</v>
      </c>
      <c r="E24" s="50"/>
      <c r="F24" s="50"/>
      <c r="G24" s="50"/>
      <c r="H24" s="50"/>
      <c r="I24" s="50"/>
      <c r="J24" s="50"/>
      <c r="K24" s="50"/>
      <c r="L24" s="50"/>
      <c r="M24" s="51"/>
      <c r="N24" s="51"/>
      <c r="O24" s="52" t="s">
        <v>110</v>
      </c>
      <c r="P24" s="53"/>
      <c r="Q24" s="53"/>
      <c r="R24" s="53"/>
      <c r="S24" s="53"/>
      <c r="T24" s="51"/>
      <c r="U24" s="51"/>
      <c r="V24" s="118" t="s">
        <v>36</v>
      </c>
      <c r="W24" s="119"/>
      <c r="X24" s="120">
        <v>1</v>
      </c>
      <c r="Y24" s="121"/>
      <c r="Z24" s="120"/>
      <c r="AA24" s="121"/>
      <c r="AB24" s="120">
        <v>20</v>
      </c>
      <c r="AC24" s="121"/>
      <c r="AD24" s="120"/>
      <c r="AE24" s="121"/>
      <c r="AF24" s="106"/>
      <c r="AG24" s="107"/>
      <c r="AH24" s="106"/>
      <c r="AI24" s="107"/>
      <c r="AJ24" s="125">
        <f t="shared" si="0"/>
        <v>20</v>
      </c>
      <c r="AK24" s="126"/>
      <c r="AL24" s="125">
        <f t="shared" si="5"/>
        <v>53</v>
      </c>
      <c r="AM24" s="126"/>
      <c r="AN24" s="54" t="s">
        <v>76</v>
      </c>
      <c r="AO24" s="51"/>
      <c r="AP24" s="51"/>
      <c r="AQ24" s="51"/>
      <c r="AR24" s="65"/>
      <c r="AS24" s="65"/>
      <c r="AT24" s="66"/>
      <c r="AU24" s="55" t="s">
        <v>77</v>
      </c>
      <c r="AV24" s="51"/>
      <c r="AW24" s="51"/>
      <c r="AX24" s="106"/>
      <c r="AY24" s="107"/>
      <c r="AZ24" s="106"/>
      <c r="BA24" s="107"/>
      <c r="BB24" s="106"/>
      <c r="BC24" s="107"/>
      <c r="BD24" s="108" t="s">
        <v>44</v>
      </c>
      <c r="BE24" s="109"/>
      <c r="BF24" s="110" t="s">
        <v>90</v>
      </c>
      <c r="BG24" s="111"/>
      <c r="BH24" s="111"/>
      <c r="BI24" s="111"/>
      <c r="BJ24" s="111"/>
      <c r="BK24" s="111"/>
      <c r="BL24" s="111"/>
      <c r="BM24" s="111"/>
      <c r="BN24" s="111"/>
      <c r="BO24" s="111"/>
      <c r="BP24" s="111"/>
      <c r="BQ24" s="111"/>
      <c r="BR24" s="111"/>
      <c r="BS24" s="112"/>
      <c r="BT24" s="113" t="s">
        <v>88</v>
      </c>
      <c r="BU24" s="114"/>
      <c r="BV24" s="114"/>
      <c r="BW24" s="114"/>
      <c r="BX24" s="114"/>
      <c r="BY24" s="114"/>
      <c r="BZ24" s="114"/>
      <c r="CA24" s="114"/>
      <c r="CB24" s="114"/>
      <c r="CC24" s="114"/>
      <c r="CD24" s="115"/>
    </row>
    <row r="25" spans="2:82" s="49" customFormat="1" ht="27.75" customHeight="1">
      <c r="B25" s="116">
        <f t="shared" ca="1" si="2"/>
        <v>14</v>
      </c>
      <c r="C25" s="117"/>
      <c r="D25" s="75" t="s">
        <v>72</v>
      </c>
      <c r="E25" s="50"/>
      <c r="F25" s="50"/>
      <c r="G25" s="50"/>
      <c r="H25" s="50"/>
      <c r="I25" s="50"/>
      <c r="J25" s="50"/>
      <c r="K25" s="50"/>
      <c r="L25" s="50"/>
      <c r="M25" s="51"/>
      <c r="N25" s="51"/>
      <c r="O25" s="52" t="s">
        <v>105</v>
      </c>
      <c r="P25" s="53"/>
      <c r="Q25" s="53"/>
      <c r="R25" s="53"/>
      <c r="S25" s="53"/>
      <c r="T25" s="51"/>
      <c r="U25" s="51"/>
      <c r="V25" s="118" t="s">
        <v>36</v>
      </c>
      <c r="W25" s="119"/>
      <c r="X25" s="120">
        <v>1</v>
      </c>
      <c r="Y25" s="121"/>
      <c r="Z25" s="120"/>
      <c r="AA25" s="121"/>
      <c r="AB25" s="120">
        <v>52</v>
      </c>
      <c r="AC25" s="121"/>
      <c r="AD25" s="120"/>
      <c r="AE25" s="121"/>
      <c r="AF25" s="106"/>
      <c r="AG25" s="107"/>
      <c r="AH25" s="106"/>
      <c r="AI25" s="107"/>
      <c r="AJ25" s="125">
        <f t="shared" si="0"/>
        <v>52</v>
      </c>
      <c r="AK25" s="126"/>
      <c r="AL25" s="125">
        <f t="shared" si="5"/>
        <v>73</v>
      </c>
      <c r="AM25" s="126"/>
      <c r="AN25" s="54" t="s">
        <v>76</v>
      </c>
      <c r="AO25" s="51"/>
      <c r="AP25" s="51"/>
      <c r="AQ25" s="51"/>
      <c r="AR25" s="65"/>
      <c r="AS25" s="65"/>
      <c r="AT25" s="66"/>
      <c r="AU25" s="55" t="s">
        <v>77</v>
      </c>
      <c r="AV25" s="51"/>
      <c r="AW25" s="51"/>
      <c r="AX25" s="106"/>
      <c r="AY25" s="107"/>
      <c r="AZ25" s="106"/>
      <c r="BA25" s="107"/>
      <c r="BB25" s="106"/>
      <c r="BC25" s="107"/>
      <c r="BD25" s="108" t="s">
        <v>44</v>
      </c>
      <c r="BE25" s="109"/>
      <c r="BF25" s="122"/>
      <c r="BG25" s="123"/>
      <c r="BH25" s="123"/>
      <c r="BI25" s="123"/>
      <c r="BJ25" s="123"/>
      <c r="BK25" s="123"/>
      <c r="BL25" s="123"/>
      <c r="BM25" s="123"/>
      <c r="BN25" s="123"/>
      <c r="BO25" s="123"/>
      <c r="BP25" s="123"/>
      <c r="BQ25" s="123"/>
      <c r="BR25" s="123"/>
      <c r="BS25" s="124"/>
      <c r="BT25" s="113"/>
      <c r="BU25" s="114"/>
      <c r="BV25" s="114"/>
      <c r="BW25" s="114"/>
      <c r="BX25" s="114"/>
      <c r="BY25" s="114"/>
      <c r="BZ25" s="114"/>
      <c r="CA25" s="114"/>
      <c r="CB25" s="114"/>
      <c r="CC25" s="114"/>
      <c r="CD25" s="115"/>
    </row>
    <row r="26" spans="2:82" s="49" customFormat="1" ht="27.75" customHeight="1">
      <c r="B26" s="116">
        <f t="shared" ca="1" si="2"/>
        <v>15</v>
      </c>
      <c r="C26" s="117"/>
      <c r="D26" s="75" t="s">
        <v>53</v>
      </c>
      <c r="E26" s="50"/>
      <c r="F26" s="50"/>
      <c r="G26" s="50"/>
      <c r="H26" s="50"/>
      <c r="I26" s="50"/>
      <c r="J26" s="50"/>
      <c r="K26" s="50"/>
      <c r="L26" s="50"/>
      <c r="M26" s="51"/>
      <c r="N26" s="51"/>
      <c r="O26" s="52" t="s">
        <v>111</v>
      </c>
      <c r="P26" s="53"/>
      <c r="Q26" s="53"/>
      <c r="R26" s="53"/>
      <c r="S26" s="53"/>
      <c r="T26" s="51"/>
      <c r="U26" s="51"/>
      <c r="V26" s="118">
        <v>9</v>
      </c>
      <c r="W26" s="119"/>
      <c r="X26" s="120">
        <v>1</v>
      </c>
      <c r="Y26" s="121"/>
      <c r="Z26" s="120"/>
      <c r="AA26" s="121"/>
      <c r="AB26" s="120">
        <v>10</v>
      </c>
      <c r="AC26" s="121"/>
      <c r="AD26" s="120"/>
      <c r="AE26" s="121"/>
      <c r="AF26" s="106"/>
      <c r="AG26" s="107"/>
      <c r="AH26" s="106"/>
      <c r="AI26" s="107"/>
      <c r="AJ26" s="125">
        <f t="shared" si="0"/>
        <v>10</v>
      </c>
      <c r="AK26" s="126"/>
      <c r="AL26" s="125">
        <f t="shared" si="5"/>
        <v>125</v>
      </c>
      <c r="AM26" s="126"/>
      <c r="AN26" s="54" t="s">
        <v>76</v>
      </c>
      <c r="AO26" s="51"/>
      <c r="AP26" s="51"/>
      <c r="AQ26" s="51"/>
      <c r="AR26" s="65"/>
      <c r="AS26" s="65"/>
      <c r="AT26" s="66"/>
      <c r="AU26" s="55">
        <v>0</v>
      </c>
      <c r="AV26" s="51"/>
      <c r="AW26" s="51"/>
      <c r="AX26" s="106"/>
      <c r="AY26" s="107"/>
      <c r="AZ26" s="106"/>
      <c r="BA26" s="107"/>
      <c r="BB26" s="106"/>
      <c r="BC26" s="107"/>
      <c r="BD26" s="108" t="s">
        <v>79</v>
      </c>
      <c r="BE26" s="109"/>
      <c r="BF26" s="110" t="s">
        <v>91</v>
      </c>
      <c r="BG26" s="111"/>
      <c r="BH26" s="111"/>
      <c r="BI26" s="111"/>
      <c r="BJ26" s="111"/>
      <c r="BK26" s="111"/>
      <c r="BL26" s="111"/>
      <c r="BM26" s="111"/>
      <c r="BN26" s="111"/>
      <c r="BO26" s="111"/>
      <c r="BP26" s="111"/>
      <c r="BQ26" s="111"/>
      <c r="BR26" s="111"/>
      <c r="BS26" s="112"/>
      <c r="BT26" s="113" t="s">
        <v>81</v>
      </c>
      <c r="BU26" s="114"/>
      <c r="BV26" s="114"/>
      <c r="BW26" s="114"/>
      <c r="BX26" s="114"/>
      <c r="BY26" s="114"/>
      <c r="BZ26" s="114"/>
      <c r="CA26" s="114"/>
      <c r="CB26" s="114"/>
      <c r="CC26" s="114"/>
      <c r="CD26" s="115"/>
    </row>
    <row r="27" spans="2:82" s="49" customFormat="1" ht="27.75" customHeight="1">
      <c r="B27" s="116">
        <f ca="1">IF($V27="","",MAX(OFFSET($B$11,0,0,ROW()-ROW($B$11),2))+1)</f>
        <v>16</v>
      </c>
      <c r="C27" s="117"/>
      <c r="D27" s="75" t="s">
        <v>54</v>
      </c>
      <c r="E27" s="50"/>
      <c r="F27" s="50"/>
      <c r="G27" s="50"/>
      <c r="H27" s="50"/>
      <c r="I27" s="50"/>
      <c r="J27" s="50"/>
      <c r="K27" s="50"/>
      <c r="L27" s="50"/>
      <c r="M27" s="51"/>
      <c r="N27" s="51"/>
      <c r="O27" s="52" t="s">
        <v>112</v>
      </c>
      <c r="P27" s="53"/>
      <c r="Q27" s="53"/>
      <c r="R27" s="53"/>
      <c r="S27" s="53"/>
      <c r="T27" s="51"/>
      <c r="U27" s="51"/>
      <c r="V27" s="118">
        <v>9</v>
      </c>
      <c r="W27" s="119"/>
      <c r="X27" s="120">
        <v>1</v>
      </c>
      <c r="Y27" s="121"/>
      <c r="Z27" s="120"/>
      <c r="AA27" s="121"/>
      <c r="AB27" s="120">
        <v>15</v>
      </c>
      <c r="AC27" s="121"/>
      <c r="AD27" s="120"/>
      <c r="AE27" s="121"/>
      <c r="AF27" s="106"/>
      <c r="AG27" s="107"/>
      <c r="AH27" s="106"/>
      <c r="AI27" s="107"/>
      <c r="AJ27" s="125">
        <f t="shared" si="0"/>
        <v>15</v>
      </c>
      <c r="AK27" s="126"/>
      <c r="AL27" s="125">
        <f t="shared" si="5"/>
        <v>135</v>
      </c>
      <c r="AM27" s="126"/>
      <c r="AN27" s="54" t="s">
        <v>76</v>
      </c>
      <c r="AO27" s="51"/>
      <c r="AP27" s="51"/>
      <c r="AQ27" s="51"/>
      <c r="AR27" s="65"/>
      <c r="AS27" s="65"/>
      <c r="AT27" s="66"/>
      <c r="AU27" s="55">
        <v>0</v>
      </c>
      <c r="AV27" s="51"/>
      <c r="AW27" s="51"/>
      <c r="AX27" s="106"/>
      <c r="AY27" s="107"/>
      <c r="AZ27" s="106"/>
      <c r="BA27" s="107"/>
      <c r="BB27" s="106"/>
      <c r="BC27" s="107"/>
      <c r="BD27" s="108" t="s">
        <v>79</v>
      </c>
      <c r="BE27" s="109"/>
      <c r="BF27" s="110" t="s">
        <v>92</v>
      </c>
      <c r="BG27" s="111"/>
      <c r="BH27" s="111"/>
      <c r="BI27" s="111"/>
      <c r="BJ27" s="111"/>
      <c r="BK27" s="111"/>
      <c r="BL27" s="111"/>
      <c r="BM27" s="111"/>
      <c r="BN27" s="111"/>
      <c r="BO27" s="111"/>
      <c r="BP27" s="111"/>
      <c r="BQ27" s="111"/>
      <c r="BR27" s="111"/>
      <c r="BS27" s="112"/>
      <c r="BT27" s="113" t="s">
        <v>81</v>
      </c>
      <c r="BU27" s="114"/>
      <c r="BV27" s="114"/>
      <c r="BW27" s="114"/>
      <c r="BX27" s="114"/>
      <c r="BY27" s="114"/>
      <c r="BZ27" s="114"/>
      <c r="CA27" s="114"/>
      <c r="CB27" s="114"/>
      <c r="CC27" s="114"/>
      <c r="CD27" s="115"/>
    </row>
    <row r="28" spans="2:82" s="49" customFormat="1" ht="13.5" customHeight="1">
      <c r="B28" s="71"/>
      <c r="C28" s="72"/>
      <c r="D28" s="86" t="s">
        <v>93</v>
      </c>
      <c r="E28" s="70"/>
      <c r="F28" s="70"/>
      <c r="G28" s="70"/>
      <c r="H28" s="70"/>
      <c r="I28" s="70"/>
      <c r="J28" s="70"/>
      <c r="K28" s="70"/>
      <c r="L28" s="70"/>
      <c r="M28" s="44"/>
      <c r="N28" s="44"/>
      <c r="O28" s="76"/>
      <c r="P28" s="77"/>
      <c r="Q28" s="77"/>
      <c r="R28" s="77"/>
      <c r="S28" s="77"/>
      <c r="T28" s="44"/>
      <c r="U28" s="44"/>
      <c r="V28" s="73"/>
      <c r="W28" s="74"/>
      <c r="X28" s="67"/>
      <c r="Y28" s="68"/>
      <c r="Z28" s="67"/>
      <c r="AA28" s="68"/>
      <c r="AB28" s="67"/>
      <c r="AC28" s="68"/>
      <c r="AD28" s="67"/>
      <c r="AE28" s="68"/>
      <c r="AF28" s="73"/>
      <c r="AG28" s="74"/>
      <c r="AH28" s="73"/>
      <c r="AI28" s="74"/>
      <c r="AJ28" s="67"/>
      <c r="AK28" s="68"/>
      <c r="AL28" s="67"/>
      <c r="AM28" s="68"/>
      <c r="AN28" s="78"/>
      <c r="AO28" s="44"/>
      <c r="AP28" s="44"/>
      <c r="AQ28" s="44"/>
      <c r="AR28" s="63"/>
      <c r="AS28" s="63"/>
      <c r="AT28" s="64"/>
      <c r="AU28" s="46"/>
      <c r="AV28" s="44"/>
      <c r="AW28" s="44"/>
      <c r="AX28" s="73"/>
      <c r="AY28" s="74"/>
      <c r="AZ28" s="73"/>
      <c r="BA28" s="74"/>
      <c r="BB28" s="73"/>
      <c r="BC28" s="74"/>
      <c r="BD28" s="79"/>
      <c r="BE28" s="80"/>
      <c r="BF28" s="81"/>
      <c r="BG28" s="82"/>
      <c r="BH28" s="82"/>
      <c r="BI28" s="82"/>
      <c r="BJ28" s="82"/>
      <c r="BK28" s="82"/>
      <c r="BL28" s="82"/>
      <c r="BM28" s="82"/>
      <c r="BN28" s="82"/>
      <c r="BO28" s="82"/>
      <c r="BP28" s="82"/>
      <c r="BQ28" s="82"/>
      <c r="BR28" s="82"/>
      <c r="BS28" s="83"/>
      <c r="BT28" s="69"/>
      <c r="BU28" s="84"/>
      <c r="BV28" s="84"/>
      <c r="BW28" s="84"/>
      <c r="BX28" s="84"/>
      <c r="BY28" s="84"/>
      <c r="BZ28" s="84"/>
      <c r="CA28" s="84"/>
      <c r="CB28" s="84"/>
      <c r="CC28" s="84"/>
      <c r="CD28" s="85"/>
    </row>
    <row r="29" spans="2:82" s="49" customFormat="1" ht="27" customHeight="1">
      <c r="B29" s="116">
        <f ca="1">IF($V29="","",MAX(OFFSET($B$11,0,0,ROW()-ROW($B$11),2))+1)</f>
        <v>17</v>
      </c>
      <c r="C29" s="117"/>
      <c r="D29" s="75" t="s">
        <v>48</v>
      </c>
      <c r="E29" s="50"/>
      <c r="F29" s="50"/>
      <c r="G29" s="50"/>
      <c r="H29" s="50"/>
      <c r="I29" s="50"/>
      <c r="J29" s="50"/>
      <c r="K29" s="50"/>
      <c r="L29" s="50"/>
      <c r="M29" s="51"/>
      <c r="N29" s="51"/>
      <c r="O29" s="52" t="s">
        <v>100</v>
      </c>
      <c r="P29" s="53"/>
      <c r="Q29" s="53"/>
      <c r="R29" s="53"/>
      <c r="S29" s="53"/>
      <c r="T29" s="51"/>
      <c r="U29" s="51"/>
      <c r="V29" s="118" t="s">
        <v>36</v>
      </c>
      <c r="W29" s="119"/>
      <c r="X29" s="120">
        <v>1</v>
      </c>
      <c r="Y29" s="121"/>
      <c r="Z29" s="120"/>
      <c r="AA29" s="121"/>
      <c r="AB29" s="120">
        <v>1</v>
      </c>
      <c r="AC29" s="121"/>
      <c r="AD29" s="120"/>
      <c r="AE29" s="121"/>
      <c r="AF29" s="106"/>
      <c r="AG29" s="107"/>
      <c r="AH29" s="106"/>
      <c r="AI29" s="107"/>
      <c r="AJ29" s="125">
        <f t="shared" ref="AJ29" si="6">IF(V29="","",IF(V29="N",AB29*2,IF(V29="X",AB29,IF(V29=9,AB29+AD29,IF(V29="±9",AB29+AD29+1,IF(V29="S9",AB29+AD29,IF(V29="S9C3",ROUNDDOWN((AB29+AD29)/2,0)+1,"")))))))</f>
        <v>1</v>
      </c>
      <c r="AK29" s="126"/>
      <c r="AL29" s="125">
        <f t="shared" ref="AL29" si="7">AJ28+AL28</f>
        <v>0</v>
      </c>
      <c r="AM29" s="126"/>
      <c r="AN29" s="54" t="s">
        <v>76</v>
      </c>
      <c r="AO29" s="51"/>
      <c r="AP29" s="51"/>
      <c r="AQ29" s="51"/>
      <c r="AR29" s="65"/>
      <c r="AS29" s="65"/>
      <c r="AT29" s="66"/>
      <c r="AU29" s="55" t="s">
        <v>77</v>
      </c>
      <c r="AV29" s="51"/>
      <c r="AW29" s="51"/>
      <c r="AX29" s="106"/>
      <c r="AY29" s="107"/>
      <c r="AZ29" s="106"/>
      <c r="BA29" s="107"/>
      <c r="BB29" s="106"/>
      <c r="BC29" s="107"/>
      <c r="BD29" s="108" t="s">
        <v>44</v>
      </c>
      <c r="BE29" s="109"/>
      <c r="BF29" s="110" t="s">
        <v>94</v>
      </c>
      <c r="BG29" s="111"/>
      <c r="BH29" s="111"/>
      <c r="BI29" s="111"/>
      <c r="BJ29" s="111"/>
      <c r="BK29" s="111"/>
      <c r="BL29" s="111"/>
      <c r="BM29" s="111"/>
      <c r="BN29" s="111"/>
      <c r="BO29" s="111"/>
      <c r="BP29" s="111"/>
      <c r="BQ29" s="111"/>
      <c r="BR29" s="111"/>
      <c r="BS29" s="112"/>
      <c r="BT29" s="113"/>
      <c r="BU29" s="114"/>
      <c r="BV29" s="114"/>
      <c r="BW29" s="114"/>
      <c r="BX29" s="114"/>
      <c r="BY29" s="114"/>
      <c r="BZ29" s="114"/>
      <c r="CA29" s="114"/>
      <c r="CB29" s="114"/>
      <c r="CC29" s="114"/>
      <c r="CD29" s="115"/>
    </row>
    <row r="30" spans="2:82" s="49" customFormat="1" ht="27.75" customHeight="1">
      <c r="B30" s="116">
        <f t="shared" ca="1" si="2"/>
        <v>18</v>
      </c>
      <c r="C30" s="117"/>
      <c r="D30" s="75" t="s">
        <v>55</v>
      </c>
      <c r="E30" s="50"/>
      <c r="F30" s="50"/>
      <c r="G30" s="50"/>
      <c r="H30" s="50"/>
      <c r="I30" s="50"/>
      <c r="J30" s="50"/>
      <c r="K30" s="50"/>
      <c r="L30" s="50"/>
      <c r="M30" s="51"/>
      <c r="N30" s="51"/>
      <c r="O30" s="52" t="s">
        <v>113</v>
      </c>
      <c r="P30" s="53"/>
      <c r="Q30" s="53"/>
      <c r="R30" s="53"/>
      <c r="S30" s="53"/>
      <c r="T30" s="51"/>
      <c r="U30" s="51"/>
      <c r="V30" s="118">
        <v>9</v>
      </c>
      <c r="W30" s="119"/>
      <c r="X30" s="120">
        <v>1</v>
      </c>
      <c r="Y30" s="121"/>
      <c r="Z30" s="120"/>
      <c r="AA30" s="121"/>
      <c r="AB30" s="120">
        <v>10</v>
      </c>
      <c r="AC30" s="121"/>
      <c r="AD30" s="120"/>
      <c r="AE30" s="121"/>
      <c r="AF30" s="106"/>
      <c r="AG30" s="107"/>
      <c r="AH30" s="106"/>
      <c r="AI30" s="107"/>
      <c r="AJ30" s="125">
        <f t="shared" si="0"/>
        <v>10</v>
      </c>
      <c r="AK30" s="126"/>
      <c r="AL30" s="125">
        <f>AJ29+AL29</f>
        <v>1</v>
      </c>
      <c r="AM30" s="126"/>
      <c r="AN30" s="54" t="s">
        <v>76</v>
      </c>
      <c r="AO30" s="51"/>
      <c r="AP30" s="51"/>
      <c r="AQ30" s="51"/>
      <c r="AR30" s="65"/>
      <c r="AS30" s="65"/>
      <c r="AT30" s="66"/>
      <c r="AU30" s="55">
        <v>0</v>
      </c>
      <c r="AV30" s="51"/>
      <c r="AW30" s="51"/>
      <c r="AX30" s="106"/>
      <c r="AY30" s="107"/>
      <c r="AZ30" s="106"/>
      <c r="BA30" s="107"/>
      <c r="BB30" s="106"/>
      <c r="BC30" s="107"/>
      <c r="BD30" s="108" t="s">
        <v>79</v>
      </c>
      <c r="BE30" s="109"/>
      <c r="BF30" s="110" t="s">
        <v>95</v>
      </c>
      <c r="BG30" s="111"/>
      <c r="BH30" s="111"/>
      <c r="BI30" s="111"/>
      <c r="BJ30" s="111"/>
      <c r="BK30" s="111"/>
      <c r="BL30" s="111"/>
      <c r="BM30" s="111"/>
      <c r="BN30" s="111"/>
      <c r="BO30" s="111"/>
      <c r="BP30" s="111"/>
      <c r="BQ30" s="111"/>
      <c r="BR30" s="111"/>
      <c r="BS30" s="112"/>
      <c r="BT30" s="113" t="s">
        <v>81</v>
      </c>
      <c r="BU30" s="114"/>
      <c r="BV30" s="114"/>
      <c r="BW30" s="114"/>
      <c r="BX30" s="114"/>
      <c r="BY30" s="114"/>
      <c r="BZ30" s="114"/>
      <c r="CA30" s="114"/>
      <c r="CB30" s="114"/>
      <c r="CC30" s="114"/>
      <c r="CD30" s="115"/>
    </row>
    <row r="31" spans="2:82" s="49" customFormat="1" ht="27.75" customHeight="1">
      <c r="B31" s="116">
        <f t="shared" ca="1" si="2"/>
        <v>19</v>
      </c>
      <c r="C31" s="117"/>
      <c r="D31" s="75" t="s">
        <v>72</v>
      </c>
      <c r="E31" s="50"/>
      <c r="F31" s="50"/>
      <c r="G31" s="50"/>
      <c r="H31" s="50"/>
      <c r="I31" s="50"/>
      <c r="J31" s="50"/>
      <c r="K31" s="50"/>
      <c r="L31" s="50"/>
      <c r="M31" s="51"/>
      <c r="N31" s="51"/>
      <c r="O31" s="52" t="s">
        <v>105</v>
      </c>
      <c r="P31" s="53"/>
      <c r="Q31" s="53"/>
      <c r="R31" s="53"/>
      <c r="S31" s="53"/>
      <c r="T31" s="51"/>
      <c r="U31" s="51"/>
      <c r="V31" s="118" t="s">
        <v>36</v>
      </c>
      <c r="W31" s="119"/>
      <c r="X31" s="120">
        <v>1</v>
      </c>
      <c r="Y31" s="121"/>
      <c r="Z31" s="120"/>
      <c r="AA31" s="121"/>
      <c r="AB31" s="120">
        <v>139</v>
      </c>
      <c r="AC31" s="121"/>
      <c r="AD31" s="120"/>
      <c r="AE31" s="121"/>
      <c r="AF31" s="106"/>
      <c r="AG31" s="107"/>
      <c r="AH31" s="106"/>
      <c r="AI31" s="107"/>
      <c r="AJ31" s="125">
        <f t="shared" si="0"/>
        <v>139</v>
      </c>
      <c r="AK31" s="126"/>
      <c r="AL31" s="125">
        <f>AJ30+AL30</f>
        <v>11</v>
      </c>
      <c r="AM31" s="126"/>
      <c r="AN31" s="54" t="s">
        <v>76</v>
      </c>
      <c r="AO31" s="51"/>
      <c r="AP31" s="51"/>
      <c r="AQ31" s="51"/>
      <c r="AR31" s="65"/>
      <c r="AS31" s="65"/>
      <c r="AT31" s="66"/>
      <c r="AU31" s="55" t="s">
        <v>77</v>
      </c>
      <c r="AV31" s="51"/>
      <c r="AW31" s="51"/>
      <c r="AX31" s="106"/>
      <c r="AY31" s="107"/>
      <c r="AZ31" s="106"/>
      <c r="BA31" s="107"/>
      <c r="BB31" s="106"/>
      <c r="BC31" s="107"/>
      <c r="BD31" s="108" t="s">
        <v>44</v>
      </c>
      <c r="BE31" s="109"/>
      <c r="BF31" s="110"/>
      <c r="BG31" s="111"/>
      <c r="BH31" s="111"/>
      <c r="BI31" s="111"/>
      <c r="BJ31" s="111"/>
      <c r="BK31" s="111"/>
      <c r="BL31" s="111"/>
      <c r="BM31" s="111"/>
      <c r="BN31" s="111"/>
      <c r="BO31" s="111"/>
      <c r="BP31" s="111"/>
      <c r="BQ31" s="111"/>
      <c r="BR31" s="111"/>
      <c r="BS31" s="112"/>
      <c r="BT31" s="113"/>
      <c r="BU31" s="114"/>
      <c r="BV31" s="114"/>
      <c r="BW31" s="114"/>
      <c r="BX31" s="114"/>
      <c r="BY31" s="114"/>
      <c r="BZ31" s="114"/>
      <c r="CA31" s="114"/>
      <c r="CB31" s="114"/>
      <c r="CC31" s="114"/>
      <c r="CD31" s="115"/>
    </row>
    <row r="41" spans="66:68" ht="11.25" customHeight="1">
      <c r="BN41" s="62"/>
      <c r="BO41" s="62"/>
      <c r="BP41" s="62"/>
    </row>
    <row r="42" spans="66:68" ht="11.25" customHeight="1">
      <c r="BN42" s="62"/>
      <c r="BO42" s="62"/>
      <c r="BP42" s="62"/>
    </row>
    <row r="43" spans="66:68" ht="11.25" customHeight="1">
      <c r="BN43" s="62"/>
      <c r="BO43" s="62"/>
      <c r="BP43" s="62"/>
    </row>
    <row r="44" spans="66:68" ht="11.25" customHeight="1">
      <c r="BN44" s="62"/>
      <c r="BO44" s="62"/>
      <c r="BP44" s="62"/>
    </row>
    <row r="45" spans="66:68" ht="11.25" customHeight="1">
      <c r="BN45" s="62"/>
      <c r="BO45" s="62"/>
      <c r="BP45" s="62"/>
    </row>
    <row r="46" spans="66:68" ht="11.25" customHeight="1">
      <c r="BN46" s="62"/>
      <c r="BO46" s="62"/>
      <c r="BP46" s="62"/>
    </row>
    <row r="47" spans="66:68" ht="11.25" customHeight="1">
      <c r="BN47" s="62"/>
      <c r="BO47" s="62"/>
      <c r="BP47" s="62"/>
    </row>
    <row r="48" spans="66:68" ht="11.25" customHeight="1">
      <c r="BN48" s="62"/>
      <c r="BO48" s="62"/>
      <c r="BP48" s="62"/>
    </row>
    <row r="49" spans="66:68" ht="11.25" customHeight="1">
      <c r="BN49" s="62"/>
      <c r="BO49" s="62"/>
      <c r="BP49" s="62"/>
    </row>
    <row r="50" spans="66:68" ht="11.25" customHeight="1">
      <c r="BN50" s="62"/>
      <c r="BO50" s="62"/>
      <c r="BP50" s="62"/>
    </row>
    <row r="51" spans="66:68" ht="11.25" customHeight="1">
      <c r="BN51" s="62"/>
      <c r="BO51" s="62"/>
      <c r="BP51" s="62"/>
    </row>
    <row r="52" spans="66:68" ht="11.25" customHeight="1">
      <c r="BN52" s="62"/>
      <c r="BO52" s="62"/>
      <c r="BP52" s="62"/>
    </row>
    <row r="53" spans="66:68" ht="11.25" customHeight="1">
      <c r="BN53" s="62"/>
      <c r="BO53" s="62"/>
      <c r="BP53" s="62"/>
    </row>
    <row r="54" spans="66:68" ht="11.25" customHeight="1">
      <c r="BN54" s="62"/>
      <c r="BO54" s="62"/>
      <c r="BP54" s="62"/>
    </row>
    <row r="55" spans="66:68" ht="11.25" customHeight="1">
      <c r="BN55" s="62"/>
      <c r="BO55" s="62"/>
      <c r="BP55" s="62"/>
    </row>
    <row r="56" spans="66:68" ht="11.25" customHeight="1">
      <c r="BN56" s="62"/>
      <c r="BO56" s="62"/>
      <c r="BP56" s="62"/>
    </row>
    <row r="57" spans="66:68" ht="11.25" customHeight="1">
      <c r="BN57" s="62"/>
      <c r="BO57" s="62"/>
      <c r="BP57" s="62"/>
    </row>
    <row r="58" spans="66:68" ht="11.25" customHeight="1">
      <c r="BN58" s="62"/>
      <c r="BO58" s="62"/>
      <c r="BP58" s="62"/>
    </row>
    <row r="59" spans="66:68" ht="11.25" customHeight="1">
      <c r="BN59" s="62"/>
      <c r="BO59" s="62"/>
      <c r="BP59" s="62"/>
    </row>
    <row r="60" spans="66:68" ht="11.25" customHeight="1">
      <c r="BN60" s="62"/>
      <c r="BO60" s="62"/>
      <c r="BP60" s="62"/>
    </row>
    <row r="61" spans="66:68" ht="11.25" customHeight="1">
      <c r="BN61" s="62"/>
      <c r="BO61" s="62"/>
      <c r="BP61" s="62"/>
    </row>
    <row r="62" spans="66:68" ht="11.25" customHeight="1">
      <c r="BN62" s="62"/>
      <c r="BO62" s="62"/>
      <c r="BP62" s="62"/>
    </row>
    <row r="63" spans="66:68" ht="11.25" customHeight="1">
      <c r="BN63" s="62"/>
      <c r="BO63" s="62"/>
      <c r="BP63" s="62"/>
    </row>
    <row r="64" spans="66:68" ht="11.25" customHeight="1">
      <c r="BN64" s="62"/>
      <c r="BO64" s="62"/>
      <c r="BP64" s="62"/>
    </row>
    <row r="65" spans="66:68" ht="11.25" customHeight="1">
      <c r="BN65" s="62"/>
      <c r="BO65" s="62"/>
      <c r="BP65" s="62"/>
    </row>
    <row r="66" spans="66:68" ht="11.25" customHeight="1">
      <c r="BN66" s="62"/>
      <c r="BO66" s="62"/>
      <c r="BP66" s="62"/>
    </row>
    <row r="67" spans="66:68" ht="11.25" customHeight="1">
      <c r="BN67" s="62"/>
      <c r="BO67" s="62"/>
      <c r="BP67" s="62"/>
    </row>
    <row r="68" spans="66:68" ht="11.25" customHeight="1">
      <c r="BN68" s="62"/>
      <c r="BO68" s="62"/>
      <c r="BP68" s="62"/>
    </row>
    <row r="69" spans="66:68" ht="11.25" customHeight="1">
      <c r="BN69" s="62"/>
      <c r="BO69" s="62"/>
      <c r="BP69" s="62"/>
    </row>
    <row r="70" spans="66:68" ht="11.25" customHeight="1">
      <c r="BN70" s="62"/>
      <c r="BO70" s="62"/>
      <c r="BP70" s="62"/>
    </row>
    <row r="71" spans="66:68" ht="11.25" customHeight="1">
      <c r="BN71" s="62"/>
      <c r="BO71" s="62"/>
      <c r="BP71" s="62"/>
    </row>
    <row r="72" spans="66:68" ht="11.25" customHeight="1">
      <c r="BN72" s="62"/>
      <c r="BO72" s="62"/>
      <c r="BP72" s="62"/>
    </row>
    <row r="73" spans="66:68" ht="11.25" customHeight="1">
      <c r="BN73" s="62"/>
      <c r="BO73" s="62"/>
      <c r="BP73" s="62"/>
    </row>
  </sheetData>
  <mergeCells count="376">
    <mergeCell ref="O19:U19"/>
    <mergeCell ref="O22:U22"/>
    <mergeCell ref="BN2:BQ2"/>
    <mergeCell ref="BR2:BS2"/>
    <mergeCell ref="BT2:BV2"/>
    <mergeCell ref="BW2:BZ2"/>
    <mergeCell ref="CA2:CC3"/>
    <mergeCell ref="J3:N3"/>
    <mergeCell ref="O3:S3"/>
    <mergeCell ref="T3:AF3"/>
    <mergeCell ref="BK3:BM3"/>
    <mergeCell ref="BN3:BQ3"/>
    <mergeCell ref="J2:N2"/>
    <mergeCell ref="O2:S2"/>
    <mergeCell ref="T2:AF2"/>
    <mergeCell ref="AG2:BJ3"/>
    <mergeCell ref="BK2:BM2"/>
    <mergeCell ref="BR3:BS3"/>
    <mergeCell ref="BT3:BV3"/>
    <mergeCell ref="BW3:BZ3"/>
    <mergeCell ref="B5:F5"/>
    <mergeCell ref="G5:Q5"/>
    <mergeCell ref="R5:X5"/>
    <mergeCell ref="Y5:AD5"/>
    <mergeCell ref="AE5:AK7"/>
    <mergeCell ref="B6:F6"/>
    <mergeCell ref="G6:Q6"/>
    <mergeCell ref="B2:I3"/>
    <mergeCell ref="B9:C9"/>
    <mergeCell ref="O9:U9"/>
    <mergeCell ref="V9:W9"/>
    <mergeCell ref="X9:Y9"/>
    <mergeCell ref="Z9:AA9"/>
    <mergeCell ref="AB9:AC9"/>
    <mergeCell ref="R6:U6"/>
    <mergeCell ref="V6:W6"/>
    <mergeCell ref="X6:AB6"/>
    <mergeCell ref="AC6:AD6"/>
    <mergeCell ref="B7:F7"/>
    <mergeCell ref="G7:Q7"/>
    <mergeCell ref="R7:X7"/>
    <mergeCell ref="Y7:AB7"/>
    <mergeCell ref="AC7:AD7"/>
    <mergeCell ref="AU9:AW9"/>
    <mergeCell ref="AX9:AY9"/>
    <mergeCell ref="AZ9:BA9"/>
    <mergeCell ref="BB9:BC9"/>
    <mergeCell ref="BD9:BE9"/>
    <mergeCell ref="BF9:BS9"/>
    <mergeCell ref="AD9:AE9"/>
    <mergeCell ref="AF9:AG9"/>
    <mergeCell ref="AH9:AI9"/>
    <mergeCell ref="AJ9:AK9"/>
    <mergeCell ref="AL9:AM9"/>
    <mergeCell ref="AN9:AT9"/>
    <mergeCell ref="BB10:BC10"/>
    <mergeCell ref="BD10:BE10"/>
    <mergeCell ref="BT10:CD10"/>
    <mergeCell ref="B11:C11"/>
    <mergeCell ref="V11:W11"/>
    <mergeCell ref="X11:Y11"/>
    <mergeCell ref="Z11:AA11"/>
    <mergeCell ref="AB11:AC11"/>
    <mergeCell ref="AD11:AE11"/>
    <mergeCell ref="AF11:AG11"/>
    <mergeCell ref="AF10:AG10"/>
    <mergeCell ref="AH10:AI10"/>
    <mergeCell ref="AJ10:AK10"/>
    <mergeCell ref="AL10:AM10"/>
    <mergeCell ref="AX10:AY10"/>
    <mergeCell ref="AZ10:BA10"/>
    <mergeCell ref="B10:C10"/>
    <mergeCell ref="V10:W10"/>
    <mergeCell ref="X10:Y10"/>
    <mergeCell ref="Z10:AA10"/>
    <mergeCell ref="AB10:AC10"/>
    <mergeCell ref="AD10:AE10"/>
    <mergeCell ref="BD11:BE11"/>
    <mergeCell ref="BF11:BS11"/>
    <mergeCell ref="BT13:CD13"/>
    <mergeCell ref="AL13:AM13"/>
    <mergeCell ref="B12:C12"/>
    <mergeCell ref="V12:W12"/>
    <mergeCell ref="X12:Y12"/>
    <mergeCell ref="Z12:AA12"/>
    <mergeCell ref="AB12:AC12"/>
    <mergeCell ref="AD12:AE12"/>
    <mergeCell ref="AF12:AG12"/>
    <mergeCell ref="AH12:AI12"/>
    <mergeCell ref="AJ12:AK12"/>
    <mergeCell ref="AX13:AY13"/>
    <mergeCell ref="AZ13:BA13"/>
    <mergeCell ref="BB13:BC13"/>
    <mergeCell ref="O12:U12"/>
    <mergeCell ref="BT11:CD11"/>
    <mergeCell ref="AL11:AM11"/>
    <mergeCell ref="AX11:AY11"/>
    <mergeCell ref="AZ11:BA11"/>
    <mergeCell ref="BB11:BC11"/>
    <mergeCell ref="BD12:BE12"/>
    <mergeCell ref="BF12:BS12"/>
    <mergeCell ref="BT12:CD12"/>
    <mergeCell ref="AL12:AM12"/>
    <mergeCell ref="AX12:AY12"/>
    <mergeCell ref="AZ12:BA12"/>
    <mergeCell ref="BB12:BC12"/>
    <mergeCell ref="AH11:AI11"/>
    <mergeCell ref="AJ11:AK11"/>
    <mergeCell ref="AH13:AI13"/>
    <mergeCell ref="AJ13:AK13"/>
    <mergeCell ref="B13:C13"/>
    <mergeCell ref="V13:W13"/>
    <mergeCell ref="X13:Y13"/>
    <mergeCell ref="Z13:AA13"/>
    <mergeCell ref="AB13:AC13"/>
    <mergeCell ref="AD13:AE13"/>
    <mergeCell ref="AF13:AG13"/>
    <mergeCell ref="BD14:BE14"/>
    <mergeCell ref="BF14:BS14"/>
    <mergeCell ref="AJ14:AK14"/>
    <mergeCell ref="AL14:AM14"/>
    <mergeCell ref="AX14:AY14"/>
    <mergeCell ref="AZ14:BA14"/>
    <mergeCell ref="BB14:BC14"/>
    <mergeCell ref="BD13:BE13"/>
    <mergeCell ref="BF13:BS13"/>
    <mergeCell ref="B15:C15"/>
    <mergeCell ref="V15:W15"/>
    <mergeCell ref="X15:Y15"/>
    <mergeCell ref="Z15:AA15"/>
    <mergeCell ref="AB15:AC15"/>
    <mergeCell ref="AD15:AE15"/>
    <mergeCell ref="AF15:AG15"/>
    <mergeCell ref="AH15:AI15"/>
    <mergeCell ref="AH14:AI14"/>
    <mergeCell ref="B14:C14"/>
    <mergeCell ref="V14:W14"/>
    <mergeCell ref="X14:Y14"/>
    <mergeCell ref="Z14:AA14"/>
    <mergeCell ref="AB14:AC14"/>
    <mergeCell ref="AD14:AE14"/>
    <mergeCell ref="AF14:AG14"/>
    <mergeCell ref="O15:U15"/>
    <mergeCell ref="AL19:AM19"/>
    <mergeCell ref="AX19:AY19"/>
    <mergeCell ref="AZ19:BA19"/>
    <mergeCell ref="BB19:BC19"/>
    <mergeCell ref="BD19:BE19"/>
    <mergeCell ref="BF19:BS19"/>
    <mergeCell ref="BF15:BS15"/>
    <mergeCell ref="B19:C19"/>
    <mergeCell ref="V19:W19"/>
    <mergeCell ref="X19:Y19"/>
    <mergeCell ref="Z19:AA19"/>
    <mergeCell ref="AB19:AC19"/>
    <mergeCell ref="AD19:AE19"/>
    <mergeCell ref="AF19:AG19"/>
    <mergeCell ref="AH19:AI19"/>
    <mergeCell ref="AJ19:AK19"/>
    <mergeCell ref="AJ15:AK15"/>
    <mergeCell ref="AL15:AM15"/>
    <mergeCell ref="AX15:AY15"/>
    <mergeCell ref="AZ15:BA15"/>
    <mergeCell ref="BB15:BC15"/>
    <mergeCell ref="BD15:BE15"/>
    <mergeCell ref="V18:W18"/>
    <mergeCell ref="X18:Y18"/>
    <mergeCell ref="BB20:BC20"/>
    <mergeCell ref="BD20:BE20"/>
    <mergeCell ref="BF20:BS20"/>
    <mergeCell ref="BT20:CD20"/>
    <mergeCell ref="B21:C21"/>
    <mergeCell ref="V21:W21"/>
    <mergeCell ref="X21:Y21"/>
    <mergeCell ref="Z21:AA21"/>
    <mergeCell ref="AB21:AC21"/>
    <mergeCell ref="AD21:AE21"/>
    <mergeCell ref="AF20:AG20"/>
    <mergeCell ref="AH20:AI20"/>
    <mergeCell ref="AJ20:AK20"/>
    <mergeCell ref="AL20:AM20"/>
    <mergeCell ref="AX20:AY20"/>
    <mergeCell ref="AZ20:BA20"/>
    <mergeCell ref="B20:C20"/>
    <mergeCell ref="V20:W20"/>
    <mergeCell ref="X20:Y20"/>
    <mergeCell ref="Z20:AA20"/>
    <mergeCell ref="AB20:AC20"/>
    <mergeCell ref="AD20:AE20"/>
    <mergeCell ref="BB21:BC21"/>
    <mergeCell ref="BD21:BE21"/>
    <mergeCell ref="AJ22:AK22"/>
    <mergeCell ref="BF21:BS21"/>
    <mergeCell ref="BT21:CD21"/>
    <mergeCell ref="B22:C22"/>
    <mergeCell ref="V22:W22"/>
    <mergeCell ref="X22:Y22"/>
    <mergeCell ref="Z22:AA22"/>
    <mergeCell ref="AB22:AC22"/>
    <mergeCell ref="AD22:AE22"/>
    <mergeCell ref="AF21:AG21"/>
    <mergeCell ref="AH21:AI21"/>
    <mergeCell ref="AJ21:AK21"/>
    <mergeCell ref="AL21:AM21"/>
    <mergeCell ref="AX21:AY21"/>
    <mergeCell ref="AZ21:BA21"/>
    <mergeCell ref="BB22:BC22"/>
    <mergeCell ref="BD22:BE22"/>
    <mergeCell ref="BF22:BS22"/>
    <mergeCell ref="BT22:CD22"/>
    <mergeCell ref="AL22:AM22"/>
    <mergeCell ref="AX22:AY22"/>
    <mergeCell ref="AZ22:BA22"/>
    <mergeCell ref="AF22:AG22"/>
    <mergeCell ref="AH22:AI22"/>
    <mergeCell ref="B24:C24"/>
    <mergeCell ref="V24:W24"/>
    <mergeCell ref="X24:Y24"/>
    <mergeCell ref="Z24:AA24"/>
    <mergeCell ref="AB24:AC24"/>
    <mergeCell ref="AD24:AE24"/>
    <mergeCell ref="AF23:AG23"/>
    <mergeCell ref="AH23:AI23"/>
    <mergeCell ref="AJ23:AK23"/>
    <mergeCell ref="B23:C23"/>
    <mergeCell ref="V23:W23"/>
    <mergeCell ref="X23:Y23"/>
    <mergeCell ref="Z23:AA23"/>
    <mergeCell ref="AB23:AC23"/>
    <mergeCell ref="AD23:AE23"/>
    <mergeCell ref="AD26:AE26"/>
    <mergeCell ref="AF24:AG24"/>
    <mergeCell ref="AH24:AI24"/>
    <mergeCell ref="AJ24:AK24"/>
    <mergeCell ref="BB23:BC23"/>
    <mergeCell ref="BD23:BE23"/>
    <mergeCell ref="BF23:BS23"/>
    <mergeCell ref="BT23:CD23"/>
    <mergeCell ref="AL23:AM23"/>
    <mergeCell ref="AX23:AY23"/>
    <mergeCell ref="AZ23:BA23"/>
    <mergeCell ref="BB24:BC24"/>
    <mergeCell ref="BD24:BE24"/>
    <mergeCell ref="BF24:BS24"/>
    <mergeCell ref="BT24:CD24"/>
    <mergeCell ref="AL24:AM24"/>
    <mergeCell ref="AX24:AY24"/>
    <mergeCell ref="AZ24:BA24"/>
    <mergeCell ref="BB26:BC26"/>
    <mergeCell ref="BD26:BE26"/>
    <mergeCell ref="BF26:BS26"/>
    <mergeCell ref="BT26:CD26"/>
    <mergeCell ref="AF26:AG26"/>
    <mergeCell ref="AH26:AI26"/>
    <mergeCell ref="B31:C31"/>
    <mergeCell ref="V31:W31"/>
    <mergeCell ref="X31:Y31"/>
    <mergeCell ref="Z31:AA31"/>
    <mergeCell ref="AB31:AC31"/>
    <mergeCell ref="AD31:AE31"/>
    <mergeCell ref="BD30:BE30"/>
    <mergeCell ref="BF30:BS30"/>
    <mergeCell ref="BT30:CD30"/>
    <mergeCell ref="AF30:AG30"/>
    <mergeCell ref="AH30:AI30"/>
    <mergeCell ref="AJ30:AK30"/>
    <mergeCell ref="AL30:AM30"/>
    <mergeCell ref="AX30:AY30"/>
    <mergeCell ref="AZ30:BA30"/>
    <mergeCell ref="B30:C30"/>
    <mergeCell ref="V30:W30"/>
    <mergeCell ref="X30:Y30"/>
    <mergeCell ref="Z30:AA30"/>
    <mergeCell ref="AB30:AC30"/>
    <mergeCell ref="AD30:AE30"/>
    <mergeCell ref="BB30:BC30"/>
    <mergeCell ref="BB31:BC31"/>
    <mergeCell ref="BD31:BE31"/>
    <mergeCell ref="BF31:BS31"/>
    <mergeCell ref="BT31:CD31"/>
    <mergeCell ref="AF31:AG31"/>
    <mergeCell ref="AH31:AI31"/>
    <mergeCell ref="AJ31:AK31"/>
    <mergeCell ref="AL31:AM31"/>
    <mergeCell ref="AX31:AY31"/>
    <mergeCell ref="AZ31:BA31"/>
    <mergeCell ref="AF27:AG27"/>
    <mergeCell ref="AH27:AI27"/>
    <mergeCell ref="AJ27:AK27"/>
    <mergeCell ref="AF29:AG29"/>
    <mergeCell ref="AH29:AI29"/>
    <mergeCell ref="AJ26:AK26"/>
    <mergeCell ref="AL26:AM26"/>
    <mergeCell ref="BT14:CD14"/>
    <mergeCell ref="BT15:CD15"/>
    <mergeCell ref="BT19:CD19"/>
    <mergeCell ref="BB29:BC29"/>
    <mergeCell ref="BD29:BE29"/>
    <mergeCell ref="BF29:BS29"/>
    <mergeCell ref="BT29:CD29"/>
    <mergeCell ref="AJ29:AK29"/>
    <mergeCell ref="AL29:AM29"/>
    <mergeCell ref="AX29:AY29"/>
    <mergeCell ref="AZ29:BA29"/>
    <mergeCell ref="AX26:AY26"/>
    <mergeCell ref="AZ26:BA26"/>
    <mergeCell ref="BB27:BC27"/>
    <mergeCell ref="BD27:BE27"/>
    <mergeCell ref="BF27:BS27"/>
    <mergeCell ref="BT27:CD27"/>
    <mergeCell ref="AL27:AM27"/>
    <mergeCell ref="AX27:AY27"/>
    <mergeCell ref="AZ27:BA27"/>
    <mergeCell ref="AL16:AM16"/>
    <mergeCell ref="AX16:AY16"/>
    <mergeCell ref="AD18:AE18"/>
    <mergeCell ref="AF18:AG18"/>
    <mergeCell ref="AH18:AI18"/>
    <mergeCell ref="AJ18:AK18"/>
    <mergeCell ref="B16:C16"/>
    <mergeCell ref="V16:W16"/>
    <mergeCell ref="X16:Y16"/>
    <mergeCell ref="Z16:AA16"/>
    <mergeCell ref="AB16:AC16"/>
    <mergeCell ref="AD16:AE16"/>
    <mergeCell ref="AF16:AG16"/>
    <mergeCell ref="AH16:AI16"/>
    <mergeCell ref="AJ16:AK16"/>
    <mergeCell ref="AZ16:BA16"/>
    <mergeCell ref="BB16:BC16"/>
    <mergeCell ref="BD16:BE16"/>
    <mergeCell ref="BF16:BS16"/>
    <mergeCell ref="BT16:CD16"/>
    <mergeCell ref="B25:C25"/>
    <mergeCell ref="V25:W25"/>
    <mergeCell ref="X25:Y25"/>
    <mergeCell ref="Z25:AA25"/>
    <mergeCell ref="AB25:AC25"/>
    <mergeCell ref="AD25:AE25"/>
    <mergeCell ref="AF25:AG25"/>
    <mergeCell ref="AH25:AI25"/>
    <mergeCell ref="AJ25:AK25"/>
    <mergeCell ref="AL25:AM25"/>
    <mergeCell ref="AX25:AY25"/>
    <mergeCell ref="AZ25:BA25"/>
    <mergeCell ref="BB25:BC25"/>
    <mergeCell ref="BD25:BE25"/>
    <mergeCell ref="BF25:BS25"/>
    <mergeCell ref="BT25:CD25"/>
    <mergeCell ref="B18:C18"/>
    <mergeCell ref="AL18:AM18"/>
    <mergeCell ref="AX18:AY18"/>
    <mergeCell ref="AZ18:BA18"/>
    <mergeCell ref="BB18:BC18"/>
    <mergeCell ref="BD18:BE18"/>
    <mergeCell ref="BF18:BS18"/>
    <mergeCell ref="BT18:CD18"/>
    <mergeCell ref="B29:C29"/>
    <mergeCell ref="V29:W29"/>
    <mergeCell ref="X29:Y29"/>
    <mergeCell ref="Z29:AA29"/>
    <mergeCell ref="AB29:AC29"/>
    <mergeCell ref="AD29:AE29"/>
    <mergeCell ref="B27:C27"/>
    <mergeCell ref="V27:W27"/>
    <mergeCell ref="X27:Y27"/>
    <mergeCell ref="Z27:AA27"/>
    <mergeCell ref="AB27:AC27"/>
    <mergeCell ref="AD27:AE27"/>
    <mergeCell ref="B26:C26"/>
    <mergeCell ref="V26:W26"/>
    <mergeCell ref="X26:Y26"/>
    <mergeCell ref="Z26:AA26"/>
    <mergeCell ref="AB26:AC26"/>
    <mergeCell ref="Z18:AA18"/>
    <mergeCell ref="AB18:AC18"/>
  </mergeCells>
  <phoneticPr fontId="4"/>
  <dataValidations count="10">
    <dataValidation type="list" allowBlank="1" showInputMessage="1" showErrorMessage="1" sqref="AX11:AX31">
      <formula1>"○,,"</formula1>
    </dataValidation>
    <dataValidation type="list" allowBlank="1" showInputMessage="1" showErrorMessage="1" sqref="BB11:BB31">
      <formula1>"昇順,降順,"</formula1>
    </dataValidation>
    <dataValidation type="list" allowBlank="1" showInputMessage="1" showErrorMessage="1" sqref="AF11:AG31">
      <formula1>"+,その他"</formula1>
    </dataValidation>
    <dataValidation type="list" allowBlank="1" showInputMessage="1" showErrorMessage="1" sqref="AH11:AI31">
      <formula1>"-,▲,,その他"</formula1>
    </dataValidation>
    <dataValidation type="list" allowBlank="1" showInputMessage="1" showErrorMessage="1" sqref="BD11:BD31">
      <formula1>"前詰,後詰,"</formula1>
    </dataValidation>
    <dataValidation type="list" allowBlank="1" showInputMessage="1" showErrorMessage="1" sqref="Y5:AD5 JT5:JY5 TP5:TU5 ADL5:ADQ5 ANH5:ANM5 AXD5:AXI5 BGZ5:BHE5 BQV5:BRA5 CAR5:CAW5 CKN5:CKS5 CUJ5:CUO5 DEF5:DEK5 DOB5:DOG5 DXX5:DYC5 EHT5:EHY5 ERP5:ERU5 FBL5:FBQ5 FLH5:FLM5 FVD5:FVI5 GEZ5:GFE5 GOV5:GPA5 GYR5:GYW5 HIN5:HIS5 HSJ5:HSO5 ICF5:ICK5 IMB5:IMG5 IVX5:IWC5 JFT5:JFY5 JPP5:JPU5 JZL5:JZQ5 KJH5:KJM5 KTD5:KTI5 LCZ5:LDE5 LMV5:LNA5 LWR5:LWW5 MGN5:MGS5 MQJ5:MQO5 NAF5:NAK5 NKB5:NKG5 NTX5:NUC5 ODT5:ODY5 ONP5:ONU5 OXL5:OXQ5 PHH5:PHM5 PRD5:PRI5 QAZ5:QBE5 QKV5:QLA5 QUR5:QUW5 REN5:RES5 ROJ5:ROO5 RYF5:RYK5 SIB5:SIG5 SRX5:SSC5 TBT5:TBY5 TLP5:TLU5 TVL5:TVQ5 UFH5:UFM5 UPD5:UPI5 UYZ5:UZE5 VIV5:VJA5 VSR5:VSW5 WCN5:WCS5 WMJ5:WMO5 WWF5:WWK5 X65540:AC65540 JO65540:JT65540 TK65540:TP65540 ADG65540:ADL65540 ANC65540:ANH65540 AWY65540:AXD65540 BGU65540:BGZ65540 BQQ65540:BQV65540 CAM65540:CAR65540 CKI65540:CKN65540 CUE65540:CUJ65540 DEA65540:DEF65540 DNW65540:DOB65540 DXS65540:DXX65540 EHO65540:EHT65540 ERK65540:ERP65540 FBG65540:FBL65540 FLC65540:FLH65540 FUY65540:FVD65540 GEU65540:GEZ65540 GOQ65540:GOV65540 GYM65540:GYR65540 HII65540:HIN65540 HSE65540:HSJ65540 ICA65540:ICF65540 ILW65540:IMB65540 IVS65540:IVX65540 JFO65540:JFT65540 JPK65540:JPP65540 JZG65540:JZL65540 KJC65540:KJH65540 KSY65540:KTD65540 LCU65540:LCZ65540 LMQ65540:LMV65540 LWM65540:LWR65540 MGI65540:MGN65540 MQE65540:MQJ65540 NAA65540:NAF65540 NJW65540:NKB65540 NTS65540:NTX65540 ODO65540:ODT65540 ONK65540:ONP65540 OXG65540:OXL65540 PHC65540:PHH65540 PQY65540:PRD65540 QAU65540:QAZ65540 QKQ65540:QKV65540 QUM65540:QUR65540 REI65540:REN65540 ROE65540:ROJ65540 RYA65540:RYF65540 SHW65540:SIB65540 SRS65540:SRX65540 TBO65540:TBT65540 TLK65540:TLP65540 TVG65540:TVL65540 UFC65540:UFH65540 UOY65540:UPD65540 UYU65540:UYZ65540 VIQ65540:VIV65540 VSM65540:VSR65540 WCI65540:WCN65540 WME65540:WMJ65540 WWA65540:WWF65540 X131076:AC131076 JO131076:JT131076 TK131076:TP131076 ADG131076:ADL131076 ANC131076:ANH131076 AWY131076:AXD131076 BGU131076:BGZ131076 BQQ131076:BQV131076 CAM131076:CAR131076 CKI131076:CKN131076 CUE131076:CUJ131076 DEA131076:DEF131076 DNW131076:DOB131076 DXS131076:DXX131076 EHO131076:EHT131076 ERK131076:ERP131076 FBG131076:FBL131076 FLC131076:FLH131076 FUY131076:FVD131076 GEU131076:GEZ131076 GOQ131076:GOV131076 GYM131076:GYR131076 HII131076:HIN131076 HSE131076:HSJ131076 ICA131076:ICF131076 ILW131076:IMB131076 IVS131076:IVX131076 JFO131076:JFT131076 JPK131076:JPP131076 JZG131076:JZL131076 KJC131076:KJH131076 KSY131076:KTD131076 LCU131076:LCZ131076 LMQ131076:LMV131076 LWM131076:LWR131076 MGI131076:MGN131076 MQE131076:MQJ131076 NAA131076:NAF131076 NJW131076:NKB131076 NTS131076:NTX131076 ODO131076:ODT131076 ONK131076:ONP131076 OXG131076:OXL131076 PHC131076:PHH131076 PQY131076:PRD131076 QAU131076:QAZ131076 QKQ131076:QKV131076 QUM131076:QUR131076 REI131076:REN131076 ROE131076:ROJ131076 RYA131076:RYF131076 SHW131076:SIB131076 SRS131076:SRX131076 TBO131076:TBT131076 TLK131076:TLP131076 TVG131076:TVL131076 UFC131076:UFH131076 UOY131076:UPD131076 UYU131076:UYZ131076 VIQ131076:VIV131076 VSM131076:VSR131076 WCI131076:WCN131076 WME131076:WMJ131076 WWA131076:WWF131076 X196612:AC196612 JO196612:JT196612 TK196612:TP196612 ADG196612:ADL196612 ANC196612:ANH196612 AWY196612:AXD196612 BGU196612:BGZ196612 BQQ196612:BQV196612 CAM196612:CAR196612 CKI196612:CKN196612 CUE196612:CUJ196612 DEA196612:DEF196612 DNW196612:DOB196612 DXS196612:DXX196612 EHO196612:EHT196612 ERK196612:ERP196612 FBG196612:FBL196612 FLC196612:FLH196612 FUY196612:FVD196612 GEU196612:GEZ196612 GOQ196612:GOV196612 GYM196612:GYR196612 HII196612:HIN196612 HSE196612:HSJ196612 ICA196612:ICF196612 ILW196612:IMB196612 IVS196612:IVX196612 JFO196612:JFT196612 JPK196612:JPP196612 JZG196612:JZL196612 KJC196612:KJH196612 KSY196612:KTD196612 LCU196612:LCZ196612 LMQ196612:LMV196612 LWM196612:LWR196612 MGI196612:MGN196612 MQE196612:MQJ196612 NAA196612:NAF196612 NJW196612:NKB196612 NTS196612:NTX196612 ODO196612:ODT196612 ONK196612:ONP196612 OXG196612:OXL196612 PHC196612:PHH196612 PQY196612:PRD196612 QAU196612:QAZ196612 QKQ196612:QKV196612 QUM196612:QUR196612 REI196612:REN196612 ROE196612:ROJ196612 RYA196612:RYF196612 SHW196612:SIB196612 SRS196612:SRX196612 TBO196612:TBT196612 TLK196612:TLP196612 TVG196612:TVL196612 UFC196612:UFH196612 UOY196612:UPD196612 UYU196612:UYZ196612 VIQ196612:VIV196612 VSM196612:VSR196612 WCI196612:WCN196612 WME196612:WMJ196612 WWA196612:WWF196612 X262148:AC262148 JO262148:JT262148 TK262148:TP262148 ADG262148:ADL262148 ANC262148:ANH262148 AWY262148:AXD262148 BGU262148:BGZ262148 BQQ262148:BQV262148 CAM262148:CAR262148 CKI262148:CKN262148 CUE262148:CUJ262148 DEA262148:DEF262148 DNW262148:DOB262148 DXS262148:DXX262148 EHO262148:EHT262148 ERK262148:ERP262148 FBG262148:FBL262148 FLC262148:FLH262148 FUY262148:FVD262148 GEU262148:GEZ262148 GOQ262148:GOV262148 GYM262148:GYR262148 HII262148:HIN262148 HSE262148:HSJ262148 ICA262148:ICF262148 ILW262148:IMB262148 IVS262148:IVX262148 JFO262148:JFT262148 JPK262148:JPP262148 JZG262148:JZL262148 KJC262148:KJH262148 KSY262148:KTD262148 LCU262148:LCZ262148 LMQ262148:LMV262148 LWM262148:LWR262148 MGI262148:MGN262148 MQE262148:MQJ262148 NAA262148:NAF262148 NJW262148:NKB262148 NTS262148:NTX262148 ODO262148:ODT262148 ONK262148:ONP262148 OXG262148:OXL262148 PHC262148:PHH262148 PQY262148:PRD262148 QAU262148:QAZ262148 QKQ262148:QKV262148 QUM262148:QUR262148 REI262148:REN262148 ROE262148:ROJ262148 RYA262148:RYF262148 SHW262148:SIB262148 SRS262148:SRX262148 TBO262148:TBT262148 TLK262148:TLP262148 TVG262148:TVL262148 UFC262148:UFH262148 UOY262148:UPD262148 UYU262148:UYZ262148 VIQ262148:VIV262148 VSM262148:VSR262148 WCI262148:WCN262148 WME262148:WMJ262148 WWA262148:WWF262148 X327684:AC327684 JO327684:JT327684 TK327684:TP327684 ADG327684:ADL327684 ANC327684:ANH327684 AWY327684:AXD327684 BGU327684:BGZ327684 BQQ327684:BQV327684 CAM327684:CAR327684 CKI327684:CKN327684 CUE327684:CUJ327684 DEA327684:DEF327684 DNW327684:DOB327684 DXS327684:DXX327684 EHO327684:EHT327684 ERK327684:ERP327684 FBG327684:FBL327684 FLC327684:FLH327684 FUY327684:FVD327684 GEU327684:GEZ327684 GOQ327684:GOV327684 GYM327684:GYR327684 HII327684:HIN327684 HSE327684:HSJ327684 ICA327684:ICF327684 ILW327684:IMB327684 IVS327684:IVX327684 JFO327684:JFT327684 JPK327684:JPP327684 JZG327684:JZL327684 KJC327684:KJH327684 KSY327684:KTD327684 LCU327684:LCZ327684 LMQ327684:LMV327684 LWM327684:LWR327684 MGI327684:MGN327684 MQE327684:MQJ327684 NAA327684:NAF327684 NJW327684:NKB327684 NTS327684:NTX327684 ODO327684:ODT327684 ONK327684:ONP327684 OXG327684:OXL327684 PHC327684:PHH327684 PQY327684:PRD327684 QAU327684:QAZ327684 QKQ327684:QKV327684 QUM327684:QUR327684 REI327684:REN327684 ROE327684:ROJ327684 RYA327684:RYF327684 SHW327684:SIB327684 SRS327684:SRX327684 TBO327684:TBT327684 TLK327684:TLP327684 TVG327684:TVL327684 UFC327684:UFH327684 UOY327684:UPD327684 UYU327684:UYZ327684 VIQ327684:VIV327684 VSM327684:VSR327684 WCI327684:WCN327684 WME327684:WMJ327684 WWA327684:WWF327684 X393220:AC393220 JO393220:JT393220 TK393220:TP393220 ADG393220:ADL393220 ANC393220:ANH393220 AWY393220:AXD393220 BGU393220:BGZ393220 BQQ393220:BQV393220 CAM393220:CAR393220 CKI393220:CKN393220 CUE393220:CUJ393220 DEA393220:DEF393220 DNW393220:DOB393220 DXS393220:DXX393220 EHO393220:EHT393220 ERK393220:ERP393220 FBG393220:FBL393220 FLC393220:FLH393220 FUY393220:FVD393220 GEU393220:GEZ393220 GOQ393220:GOV393220 GYM393220:GYR393220 HII393220:HIN393220 HSE393220:HSJ393220 ICA393220:ICF393220 ILW393220:IMB393220 IVS393220:IVX393220 JFO393220:JFT393220 JPK393220:JPP393220 JZG393220:JZL393220 KJC393220:KJH393220 KSY393220:KTD393220 LCU393220:LCZ393220 LMQ393220:LMV393220 LWM393220:LWR393220 MGI393220:MGN393220 MQE393220:MQJ393220 NAA393220:NAF393220 NJW393220:NKB393220 NTS393220:NTX393220 ODO393220:ODT393220 ONK393220:ONP393220 OXG393220:OXL393220 PHC393220:PHH393220 PQY393220:PRD393220 QAU393220:QAZ393220 QKQ393220:QKV393220 QUM393220:QUR393220 REI393220:REN393220 ROE393220:ROJ393220 RYA393220:RYF393220 SHW393220:SIB393220 SRS393220:SRX393220 TBO393220:TBT393220 TLK393220:TLP393220 TVG393220:TVL393220 UFC393220:UFH393220 UOY393220:UPD393220 UYU393220:UYZ393220 VIQ393220:VIV393220 VSM393220:VSR393220 WCI393220:WCN393220 WME393220:WMJ393220 WWA393220:WWF393220 X458756:AC458756 JO458756:JT458756 TK458756:TP458756 ADG458756:ADL458756 ANC458756:ANH458756 AWY458756:AXD458756 BGU458756:BGZ458756 BQQ458756:BQV458756 CAM458756:CAR458756 CKI458756:CKN458756 CUE458756:CUJ458756 DEA458756:DEF458756 DNW458756:DOB458756 DXS458756:DXX458756 EHO458756:EHT458756 ERK458756:ERP458756 FBG458756:FBL458756 FLC458756:FLH458756 FUY458756:FVD458756 GEU458756:GEZ458756 GOQ458756:GOV458756 GYM458756:GYR458756 HII458756:HIN458756 HSE458756:HSJ458756 ICA458756:ICF458756 ILW458756:IMB458756 IVS458756:IVX458756 JFO458756:JFT458756 JPK458756:JPP458756 JZG458756:JZL458756 KJC458756:KJH458756 KSY458756:KTD458756 LCU458756:LCZ458756 LMQ458756:LMV458756 LWM458756:LWR458756 MGI458756:MGN458756 MQE458756:MQJ458756 NAA458756:NAF458756 NJW458756:NKB458756 NTS458756:NTX458756 ODO458756:ODT458756 ONK458756:ONP458756 OXG458756:OXL458756 PHC458756:PHH458756 PQY458756:PRD458756 QAU458756:QAZ458756 QKQ458756:QKV458756 QUM458756:QUR458756 REI458756:REN458756 ROE458756:ROJ458756 RYA458756:RYF458756 SHW458756:SIB458756 SRS458756:SRX458756 TBO458756:TBT458756 TLK458756:TLP458756 TVG458756:TVL458756 UFC458756:UFH458756 UOY458756:UPD458756 UYU458756:UYZ458756 VIQ458756:VIV458756 VSM458756:VSR458756 WCI458756:WCN458756 WME458756:WMJ458756 WWA458756:WWF458756 X524292:AC524292 JO524292:JT524292 TK524292:TP524292 ADG524292:ADL524292 ANC524292:ANH524292 AWY524292:AXD524292 BGU524292:BGZ524292 BQQ524292:BQV524292 CAM524292:CAR524292 CKI524292:CKN524292 CUE524292:CUJ524292 DEA524292:DEF524292 DNW524292:DOB524292 DXS524292:DXX524292 EHO524292:EHT524292 ERK524292:ERP524292 FBG524292:FBL524292 FLC524292:FLH524292 FUY524292:FVD524292 GEU524292:GEZ524292 GOQ524292:GOV524292 GYM524292:GYR524292 HII524292:HIN524292 HSE524292:HSJ524292 ICA524292:ICF524292 ILW524292:IMB524292 IVS524292:IVX524292 JFO524292:JFT524292 JPK524292:JPP524292 JZG524292:JZL524292 KJC524292:KJH524292 KSY524292:KTD524292 LCU524292:LCZ524292 LMQ524292:LMV524292 LWM524292:LWR524292 MGI524292:MGN524292 MQE524292:MQJ524292 NAA524292:NAF524292 NJW524292:NKB524292 NTS524292:NTX524292 ODO524292:ODT524292 ONK524292:ONP524292 OXG524292:OXL524292 PHC524292:PHH524292 PQY524292:PRD524292 QAU524292:QAZ524292 QKQ524292:QKV524292 QUM524292:QUR524292 REI524292:REN524292 ROE524292:ROJ524292 RYA524292:RYF524292 SHW524292:SIB524292 SRS524292:SRX524292 TBO524292:TBT524292 TLK524292:TLP524292 TVG524292:TVL524292 UFC524292:UFH524292 UOY524292:UPD524292 UYU524292:UYZ524292 VIQ524292:VIV524292 VSM524292:VSR524292 WCI524292:WCN524292 WME524292:WMJ524292 WWA524292:WWF524292 X589828:AC589828 JO589828:JT589828 TK589828:TP589828 ADG589828:ADL589828 ANC589828:ANH589828 AWY589828:AXD589828 BGU589828:BGZ589828 BQQ589828:BQV589828 CAM589828:CAR589828 CKI589828:CKN589828 CUE589828:CUJ589828 DEA589828:DEF589828 DNW589828:DOB589828 DXS589828:DXX589828 EHO589828:EHT589828 ERK589828:ERP589828 FBG589828:FBL589828 FLC589828:FLH589828 FUY589828:FVD589828 GEU589828:GEZ589828 GOQ589828:GOV589828 GYM589828:GYR589828 HII589828:HIN589828 HSE589828:HSJ589828 ICA589828:ICF589828 ILW589828:IMB589828 IVS589828:IVX589828 JFO589828:JFT589828 JPK589828:JPP589828 JZG589828:JZL589828 KJC589828:KJH589828 KSY589828:KTD589828 LCU589828:LCZ589828 LMQ589828:LMV589828 LWM589828:LWR589828 MGI589828:MGN589828 MQE589828:MQJ589828 NAA589828:NAF589828 NJW589828:NKB589828 NTS589828:NTX589828 ODO589828:ODT589828 ONK589828:ONP589828 OXG589828:OXL589828 PHC589828:PHH589828 PQY589828:PRD589828 QAU589828:QAZ589828 QKQ589828:QKV589828 QUM589828:QUR589828 REI589828:REN589828 ROE589828:ROJ589828 RYA589828:RYF589828 SHW589828:SIB589828 SRS589828:SRX589828 TBO589828:TBT589828 TLK589828:TLP589828 TVG589828:TVL589828 UFC589828:UFH589828 UOY589828:UPD589828 UYU589828:UYZ589828 VIQ589828:VIV589828 VSM589828:VSR589828 WCI589828:WCN589828 WME589828:WMJ589828 WWA589828:WWF589828 X655364:AC655364 JO655364:JT655364 TK655364:TP655364 ADG655364:ADL655364 ANC655364:ANH655364 AWY655364:AXD655364 BGU655364:BGZ655364 BQQ655364:BQV655364 CAM655364:CAR655364 CKI655364:CKN655364 CUE655364:CUJ655364 DEA655364:DEF655364 DNW655364:DOB655364 DXS655364:DXX655364 EHO655364:EHT655364 ERK655364:ERP655364 FBG655364:FBL655364 FLC655364:FLH655364 FUY655364:FVD655364 GEU655364:GEZ655364 GOQ655364:GOV655364 GYM655364:GYR655364 HII655364:HIN655364 HSE655364:HSJ655364 ICA655364:ICF655364 ILW655364:IMB655364 IVS655364:IVX655364 JFO655364:JFT655364 JPK655364:JPP655364 JZG655364:JZL655364 KJC655364:KJH655364 KSY655364:KTD655364 LCU655364:LCZ655364 LMQ655364:LMV655364 LWM655364:LWR655364 MGI655364:MGN655364 MQE655364:MQJ655364 NAA655364:NAF655364 NJW655364:NKB655364 NTS655364:NTX655364 ODO655364:ODT655364 ONK655364:ONP655364 OXG655364:OXL655364 PHC655364:PHH655364 PQY655364:PRD655364 QAU655364:QAZ655364 QKQ655364:QKV655364 QUM655364:QUR655364 REI655364:REN655364 ROE655364:ROJ655364 RYA655364:RYF655364 SHW655364:SIB655364 SRS655364:SRX655364 TBO655364:TBT655364 TLK655364:TLP655364 TVG655364:TVL655364 UFC655364:UFH655364 UOY655364:UPD655364 UYU655364:UYZ655364 VIQ655364:VIV655364 VSM655364:VSR655364 WCI655364:WCN655364 WME655364:WMJ655364 WWA655364:WWF655364 X720900:AC720900 JO720900:JT720900 TK720900:TP720900 ADG720900:ADL720900 ANC720900:ANH720900 AWY720900:AXD720900 BGU720900:BGZ720900 BQQ720900:BQV720900 CAM720900:CAR720900 CKI720900:CKN720900 CUE720900:CUJ720900 DEA720900:DEF720900 DNW720900:DOB720900 DXS720900:DXX720900 EHO720900:EHT720900 ERK720900:ERP720900 FBG720900:FBL720900 FLC720900:FLH720900 FUY720900:FVD720900 GEU720900:GEZ720900 GOQ720900:GOV720900 GYM720900:GYR720900 HII720900:HIN720900 HSE720900:HSJ720900 ICA720900:ICF720900 ILW720900:IMB720900 IVS720900:IVX720900 JFO720900:JFT720900 JPK720900:JPP720900 JZG720900:JZL720900 KJC720900:KJH720900 KSY720900:KTD720900 LCU720900:LCZ720900 LMQ720900:LMV720900 LWM720900:LWR720900 MGI720900:MGN720900 MQE720900:MQJ720900 NAA720900:NAF720900 NJW720900:NKB720900 NTS720900:NTX720900 ODO720900:ODT720900 ONK720900:ONP720900 OXG720900:OXL720900 PHC720900:PHH720900 PQY720900:PRD720900 QAU720900:QAZ720900 QKQ720900:QKV720900 QUM720900:QUR720900 REI720900:REN720900 ROE720900:ROJ720900 RYA720900:RYF720900 SHW720900:SIB720900 SRS720900:SRX720900 TBO720900:TBT720900 TLK720900:TLP720900 TVG720900:TVL720900 UFC720900:UFH720900 UOY720900:UPD720900 UYU720900:UYZ720900 VIQ720900:VIV720900 VSM720900:VSR720900 WCI720900:WCN720900 WME720900:WMJ720900 WWA720900:WWF720900 X786436:AC786436 JO786436:JT786436 TK786436:TP786436 ADG786436:ADL786436 ANC786436:ANH786436 AWY786436:AXD786436 BGU786436:BGZ786436 BQQ786436:BQV786436 CAM786436:CAR786436 CKI786436:CKN786436 CUE786436:CUJ786436 DEA786436:DEF786436 DNW786436:DOB786436 DXS786436:DXX786436 EHO786436:EHT786436 ERK786436:ERP786436 FBG786436:FBL786436 FLC786436:FLH786436 FUY786436:FVD786436 GEU786436:GEZ786436 GOQ786436:GOV786436 GYM786436:GYR786436 HII786436:HIN786436 HSE786436:HSJ786436 ICA786436:ICF786436 ILW786436:IMB786436 IVS786436:IVX786436 JFO786436:JFT786436 JPK786436:JPP786436 JZG786436:JZL786436 KJC786436:KJH786436 KSY786436:KTD786436 LCU786436:LCZ786436 LMQ786436:LMV786436 LWM786436:LWR786436 MGI786436:MGN786436 MQE786436:MQJ786436 NAA786436:NAF786436 NJW786436:NKB786436 NTS786436:NTX786436 ODO786436:ODT786436 ONK786436:ONP786436 OXG786436:OXL786436 PHC786436:PHH786436 PQY786436:PRD786436 QAU786436:QAZ786436 QKQ786436:QKV786436 QUM786436:QUR786436 REI786436:REN786436 ROE786436:ROJ786436 RYA786436:RYF786436 SHW786436:SIB786436 SRS786436:SRX786436 TBO786436:TBT786436 TLK786436:TLP786436 TVG786436:TVL786436 UFC786436:UFH786436 UOY786436:UPD786436 UYU786436:UYZ786436 VIQ786436:VIV786436 VSM786436:VSR786436 WCI786436:WCN786436 WME786436:WMJ786436 WWA786436:WWF786436 X851972:AC851972 JO851972:JT851972 TK851972:TP851972 ADG851972:ADL851972 ANC851972:ANH851972 AWY851972:AXD851972 BGU851972:BGZ851972 BQQ851972:BQV851972 CAM851972:CAR851972 CKI851972:CKN851972 CUE851972:CUJ851972 DEA851972:DEF851972 DNW851972:DOB851972 DXS851972:DXX851972 EHO851972:EHT851972 ERK851972:ERP851972 FBG851972:FBL851972 FLC851972:FLH851972 FUY851972:FVD851972 GEU851972:GEZ851972 GOQ851972:GOV851972 GYM851972:GYR851972 HII851972:HIN851972 HSE851972:HSJ851972 ICA851972:ICF851972 ILW851972:IMB851972 IVS851972:IVX851972 JFO851972:JFT851972 JPK851972:JPP851972 JZG851972:JZL851972 KJC851972:KJH851972 KSY851972:KTD851972 LCU851972:LCZ851972 LMQ851972:LMV851972 LWM851972:LWR851972 MGI851972:MGN851972 MQE851972:MQJ851972 NAA851972:NAF851972 NJW851972:NKB851972 NTS851972:NTX851972 ODO851972:ODT851972 ONK851972:ONP851972 OXG851972:OXL851972 PHC851972:PHH851972 PQY851972:PRD851972 QAU851972:QAZ851972 QKQ851972:QKV851972 QUM851972:QUR851972 REI851972:REN851972 ROE851972:ROJ851972 RYA851972:RYF851972 SHW851972:SIB851972 SRS851972:SRX851972 TBO851972:TBT851972 TLK851972:TLP851972 TVG851972:TVL851972 UFC851972:UFH851972 UOY851972:UPD851972 UYU851972:UYZ851972 VIQ851972:VIV851972 VSM851972:VSR851972 WCI851972:WCN851972 WME851972:WMJ851972 WWA851972:WWF851972 X917508:AC917508 JO917508:JT917508 TK917508:TP917508 ADG917508:ADL917508 ANC917508:ANH917508 AWY917508:AXD917508 BGU917508:BGZ917508 BQQ917508:BQV917508 CAM917508:CAR917508 CKI917508:CKN917508 CUE917508:CUJ917508 DEA917508:DEF917508 DNW917508:DOB917508 DXS917508:DXX917508 EHO917508:EHT917508 ERK917508:ERP917508 FBG917508:FBL917508 FLC917508:FLH917508 FUY917508:FVD917508 GEU917508:GEZ917508 GOQ917508:GOV917508 GYM917508:GYR917508 HII917508:HIN917508 HSE917508:HSJ917508 ICA917508:ICF917508 ILW917508:IMB917508 IVS917508:IVX917508 JFO917508:JFT917508 JPK917508:JPP917508 JZG917508:JZL917508 KJC917508:KJH917508 KSY917508:KTD917508 LCU917508:LCZ917508 LMQ917508:LMV917508 LWM917508:LWR917508 MGI917508:MGN917508 MQE917508:MQJ917508 NAA917508:NAF917508 NJW917508:NKB917508 NTS917508:NTX917508 ODO917508:ODT917508 ONK917508:ONP917508 OXG917508:OXL917508 PHC917508:PHH917508 PQY917508:PRD917508 QAU917508:QAZ917508 QKQ917508:QKV917508 QUM917508:QUR917508 REI917508:REN917508 ROE917508:ROJ917508 RYA917508:RYF917508 SHW917508:SIB917508 SRS917508:SRX917508 TBO917508:TBT917508 TLK917508:TLP917508 TVG917508:TVL917508 UFC917508:UFH917508 UOY917508:UPD917508 UYU917508:UYZ917508 VIQ917508:VIV917508 VSM917508:VSR917508 WCI917508:WCN917508 WME917508:WMJ917508 WWA917508:WWF917508 X983044:AC983044 JO983044:JT983044 TK983044:TP983044 ADG983044:ADL983044 ANC983044:ANH983044 AWY983044:AXD983044 BGU983044:BGZ983044 BQQ983044:BQV983044 CAM983044:CAR983044 CKI983044:CKN983044 CUE983044:CUJ983044 DEA983044:DEF983044 DNW983044:DOB983044 DXS983044:DXX983044 EHO983044:EHT983044 ERK983044:ERP983044 FBG983044:FBL983044 FLC983044:FLH983044 FUY983044:FVD983044 GEU983044:GEZ983044 GOQ983044:GOV983044 GYM983044:GYR983044 HII983044:HIN983044 HSE983044:HSJ983044 ICA983044:ICF983044 ILW983044:IMB983044 IVS983044:IVX983044 JFO983044:JFT983044 JPK983044:JPP983044 JZG983044:JZL983044 KJC983044:KJH983044 KSY983044:KTD983044 LCU983044:LCZ983044 LMQ983044:LMV983044 LWM983044:LWR983044 MGI983044:MGN983044 MQE983044:MQJ983044 NAA983044:NAF983044 NJW983044:NKB983044 NTS983044:NTX983044 ODO983044:ODT983044 ONK983044:ONP983044 OXG983044:OXL983044 PHC983044:PHH983044 PQY983044:PRD983044 QAU983044:QAZ983044 QKQ983044:QKV983044 QUM983044:QUR983044 REI983044:REN983044 ROE983044:ROJ983044 RYA983044:RYF983044 SHW983044:SIB983044 SRS983044:SRX983044 TBO983044:TBT983044 TLK983044:TLP983044 TVG983044:TVL983044 UFC983044:UFH983044 UOY983044:UPD983044 UYU983044:UYZ983044 VIQ983044:VIV983044 VSM983044:VSR983044 WCI983044:WCN983044 WME983044:WMJ983044 WWA983044:WWF983044">
      <formula1>"EUC,JIS,Shift-JIS,windows-31j,Unicode(UTF-8)"</formula1>
    </dataValidation>
    <dataValidation type="list" allowBlank="1" showInputMessage="1" showErrorMessage="1" sqref="AC6:AD6 JX6:JY6 TT6:TU6 ADP6:ADQ6 ANL6:ANM6 AXH6:AXI6 BHD6:BHE6 BQZ6:BRA6 CAV6:CAW6 CKR6:CKS6 CUN6:CUO6 DEJ6:DEK6 DOF6:DOG6 DYB6:DYC6 EHX6:EHY6 ERT6:ERU6 FBP6:FBQ6 FLL6:FLM6 FVH6:FVI6 GFD6:GFE6 GOZ6:GPA6 GYV6:GYW6 HIR6:HIS6 HSN6:HSO6 ICJ6:ICK6 IMF6:IMG6 IWB6:IWC6 JFX6:JFY6 JPT6:JPU6 JZP6:JZQ6 KJL6:KJM6 KTH6:KTI6 LDD6:LDE6 LMZ6:LNA6 LWV6:LWW6 MGR6:MGS6 MQN6:MQO6 NAJ6:NAK6 NKF6:NKG6 NUB6:NUC6 ODX6:ODY6 ONT6:ONU6 OXP6:OXQ6 PHL6:PHM6 PRH6:PRI6 QBD6:QBE6 QKZ6:QLA6 QUV6:QUW6 RER6:RES6 RON6:ROO6 RYJ6:RYK6 SIF6:SIG6 SSB6:SSC6 TBX6:TBY6 TLT6:TLU6 TVP6:TVQ6 UFL6:UFM6 UPH6:UPI6 UZD6:UZE6 VIZ6:VJA6 VSV6:VSW6 WCR6:WCS6 WMN6:WMO6 WWJ6:WWK6 AB65541:AC65541 JS65541:JT65541 TO65541:TP65541 ADK65541:ADL65541 ANG65541:ANH65541 AXC65541:AXD65541 BGY65541:BGZ65541 BQU65541:BQV65541 CAQ65541:CAR65541 CKM65541:CKN65541 CUI65541:CUJ65541 DEE65541:DEF65541 DOA65541:DOB65541 DXW65541:DXX65541 EHS65541:EHT65541 ERO65541:ERP65541 FBK65541:FBL65541 FLG65541:FLH65541 FVC65541:FVD65541 GEY65541:GEZ65541 GOU65541:GOV65541 GYQ65541:GYR65541 HIM65541:HIN65541 HSI65541:HSJ65541 ICE65541:ICF65541 IMA65541:IMB65541 IVW65541:IVX65541 JFS65541:JFT65541 JPO65541:JPP65541 JZK65541:JZL65541 KJG65541:KJH65541 KTC65541:KTD65541 LCY65541:LCZ65541 LMU65541:LMV65541 LWQ65541:LWR65541 MGM65541:MGN65541 MQI65541:MQJ65541 NAE65541:NAF65541 NKA65541:NKB65541 NTW65541:NTX65541 ODS65541:ODT65541 ONO65541:ONP65541 OXK65541:OXL65541 PHG65541:PHH65541 PRC65541:PRD65541 QAY65541:QAZ65541 QKU65541:QKV65541 QUQ65541:QUR65541 REM65541:REN65541 ROI65541:ROJ65541 RYE65541:RYF65541 SIA65541:SIB65541 SRW65541:SRX65541 TBS65541:TBT65541 TLO65541:TLP65541 TVK65541:TVL65541 UFG65541:UFH65541 UPC65541:UPD65541 UYY65541:UYZ65541 VIU65541:VIV65541 VSQ65541:VSR65541 WCM65541:WCN65541 WMI65541:WMJ65541 WWE65541:WWF65541 AB131077:AC131077 JS131077:JT131077 TO131077:TP131077 ADK131077:ADL131077 ANG131077:ANH131077 AXC131077:AXD131077 BGY131077:BGZ131077 BQU131077:BQV131077 CAQ131077:CAR131077 CKM131077:CKN131077 CUI131077:CUJ131077 DEE131077:DEF131077 DOA131077:DOB131077 DXW131077:DXX131077 EHS131077:EHT131077 ERO131077:ERP131077 FBK131077:FBL131077 FLG131077:FLH131077 FVC131077:FVD131077 GEY131077:GEZ131077 GOU131077:GOV131077 GYQ131077:GYR131077 HIM131077:HIN131077 HSI131077:HSJ131077 ICE131077:ICF131077 IMA131077:IMB131077 IVW131077:IVX131077 JFS131077:JFT131077 JPO131077:JPP131077 JZK131077:JZL131077 KJG131077:KJH131077 KTC131077:KTD131077 LCY131077:LCZ131077 LMU131077:LMV131077 LWQ131077:LWR131077 MGM131077:MGN131077 MQI131077:MQJ131077 NAE131077:NAF131077 NKA131077:NKB131077 NTW131077:NTX131077 ODS131077:ODT131077 ONO131077:ONP131077 OXK131077:OXL131077 PHG131077:PHH131077 PRC131077:PRD131077 QAY131077:QAZ131077 QKU131077:QKV131077 QUQ131077:QUR131077 REM131077:REN131077 ROI131077:ROJ131077 RYE131077:RYF131077 SIA131077:SIB131077 SRW131077:SRX131077 TBS131077:TBT131077 TLO131077:TLP131077 TVK131077:TVL131077 UFG131077:UFH131077 UPC131077:UPD131077 UYY131077:UYZ131077 VIU131077:VIV131077 VSQ131077:VSR131077 WCM131077:WCN131077 WMI131077:WMJ131077 WWE131077:WWF131077 AB196613:AC196613 JS196613:JT196613 TO196613:TP196613 ADK196613:ADL196613 ANG196613:ANH196613 AXC196613:AXD196613 BGY196613:BGZ196613 BQU196613:BQV196613 CAQ196613:CAR196613 CKM196613:CKN196613 CUI196613:CUJ196613 DEE196613:DEF196613 DOA196613:DOB196613 DXW196613:DXX196613 EHS196613:EHT196613 ERO196613:ERP196613 FBK196613:FBL196613 FLG196613:FLH196613 FVC196613:FVD196613 GEY196613:GEZ196613 GOU196613:GOV196613 GYQ196613:GYR196613 HIM196613:HIN196613 HSI196613:HSJ196613 ICE196613:ICF196613 IMA196613:IMB196613 IVW196613:IVX196613 JFS196613:JFT196613 JPO196613:JPP196613 JZK196613:JZL196613 KJG196613:KJH196613 KTC196613:KTD196613 LCY196613:LCZ196613 LMU196613:LMV196613 LWQ196613:LWR196613 MGM196613:MGN196613 MQI196613:MQJ196613 NAE196613:NAF196613 NKA196613:NKB196613 NTW196613:NTX196613 ODS196613:ODT196613 ONO196613:ONP196613 OXK196613:OXL196613 PHG196613:PHH196613 PRC196613:PRD196613 QAY196613:QAZ196613 QKU196613:QKV196613 QUQ196613:QUR196613 REM196613:REN196613 ROI196613:ROJ196613 RYE196613:RYF196613 SIA196613:SIB196613 SRW196613:SRX196613 TBS196613:TBT196613 TLO196613:TLP196613 TVK196613:TVL196613 UFG196613:UFH196613 UPC196613:UPD196613 UYY196613:UYZ196613 VIU196613:VIV196613 VSQ196613:VSR196613 WCM196613:WCN196613 WMI196613:WMJ196613 WWE196613:WWF196613 AB262149:AC262149 JS262149:JT262149 TO262149:TP262149 ADK262149:ADL262149 ANG262149:ANH262149 AXC262149:AXD262149 BGY262149:BGZ262149 BQU262149:BQV262149 CAQ262149:CAR262149 CKM262149:CKN262149 CUI262149:CUJ262149 DEE262149:DEF262149 DOA262149:DOB262149 DXW262149:DXX262149 EHS262149:EHT262149 ERO262149:ERP262149 FBK262149:FBL262149 FLG262149:FLH262149 FVC262149:FVD262149 GEY262149:GEZ262149 GOU262149:GOV262149 GYQ262149:GYR262149 HIM262149:HIN262149 HSI262149:HSJ262149 ICE262149:ICF262149 IMA262149:IMB262149 IVW262149:IVX262149 JFS262149:JFT262149 JPO262149:JPP262149 JZK262149:JZL262149 KJG262149:KJH262149 KTC262149:KTD262149 LCY262149:LCZ262149 LMU262149:LMV262149 LWQ262149:LWR262149 MGM262149:MGN262149 MQI262149:MQJ262149 NAE262149:NAF262149 NKA262149:NKB262149 NTW262149:NTX262149 ODS262149:ODT262149 ONO262149:ONP262149 OXK262149:OXL262149 PHG262149:PHH262149 PRC262149:PRD262149 QAY262149:QAZ262149 QKU262149:QKV262149 QUQ262149:QUR262149 REM262149:REN262149 ROI262149:ROJ262149 RYE262149:RYF262149 SIA262149:SIB262149 SRW262149:SRX262149 TBS262149:TBT262149 TLO262149:TLP262149 TVK262149:TVL262149 UFG262149:UFH262149 UPC262149:UPD262149 UYY262149:UYZ262149 VIU262149:VIV262149 VSQ262149:VSR262149 WCM262149:WCN262149 WMI262149:WMJ262149 WWE262149:WWF262149 AB327685:AC327685 JS327685:JT327685 TO327685:TP327685 ADK327685:ADL327685 ANG327685:ANH327685 AXC327685:AXD327685 BGY327685:BGZ327685 BQU327685:BQV327685 CAQ327685:CAR327685 CKM327685:CKN327685 CUI327685:CUJ327685 DEE327685:DEF327685 DOA327685:DOB327685 DXW327685:DXX327685 EHS327685:EHT327685 ERO327685:ERP327685 FBK327685:FBL327685 FLG327685:FLH327685 FVC327685:FVD327685 GEY327685:GEZ327685 GOU327685:GOV327685 GYQ327685:GYR327685 HIM327685:HIN327685 HSI327685:HSJ327685 ICE327685:ICF327685 IMA327685:IMB327685 IVW327685:IVX327685 JFS327685:JFT327685 JPO327685:JPP327685 JZK327685:JZL327685 KJG327685:KJH327685 KTC327685:KTD327685 LCY327685:LCZ327685 LMU327685:LMV327685 LWQ327685:LWR327685 MGM327685:MGN327685 MQI327685:MQJ327685 NAE327685:NAF327685 NKA327685:NKB327685 NTW327685:NTX327685 ODS327685:ODT327685 ONO327685:ONP327685 OXK327685:OXL327685 PHG327685:PHH327685 PRC327685:PRD327685 QAY327685:QAZ327685 QKU327685:QKV327685 QUQ327685:QUR327685 REM327685:REN327685 ROI327685:ROJ327685 RYE327685:RYF327685 SIA327685:SIB327685 SRW327685:SRX327685 TBS327685:TBT327685 TLO327685:TLP327685 TVK327685:TVL327685 UFG327685:UFH327685 UPC327685:UPD327685 UYY327685:UYZ327685 VIU327685:VIV327685 VSQ327685:VSR327685 WCM327685:WCN327685 WMI327685:WMJ327685 WWE327685:WWF327685 AB393221:AC393221 JS393221:JT393221 TO393221:TP393221 ADK393221:ADL393221 ANG393221:ANH393221 AXC393221:AXD393221 BGY393221:BGZ393221 BQU393221:BQV393221 CAQ393221:CAR393221 CKM393221:CKN393221 CUI393221:CUJ393221 DEE393221:DEF393221 DOA393221:DOB393221 DXW393221:DXX393221 EHS393221:EHT393221 ERO393221:ERP393221 FBK393221:FBL393221 FLG393221:FLH393221 FVC393221:FVD393221 GEY393221:GEZ393221 GOU393221:GOV393221 GYQ393221:GYR393221 HIM393221:HIN393221 HSI393221:HSJ393221 ICE393221:ICF393221 IMA393221:IMB393221 IVW393221:IVX393221 JFS393221:JFT393221 JPO393221:JPP393221 JZK393221:JZL393221 KJG393221:KJH393221 KTC393221:KTD393221 LCY393221:LCZ393221 LMU393221:LMV393221 LWQ393221:LWR393221 MGM393221:MGN393221 MQI393221:MQJ393221 NAE393221:NAF393221 NKA393221:NKB393221 NTW393221:NTX393221 ODS393221:ODT393221 ONO393221:ONP393221 OXK393221:OXL393221 PHG393221:PHH393221 PRC393221:PRD393221 QAY393221:QAZ393221 QKU393221:QKV393221 QUQ393221:QUR393221 REM393221:REN393221 ROI393221:ROJ393221 RYE393221:RYF393221 SIA393221:SIB393221 SRW393221:SRX393221 TBS393221:TBT393221 TLO393221:TLP393221 TVK393221:TVL393221 UFG393221:UFH393221 UPC393221:UPD393221 UYY393221:UYZ393221 VIU393221:VIV393221 VSQ393221:VSR393221 WCM393221:WCN393221 WMI393221:WMJ393221 WWE393221:WWF393221 AB458757:AC458757 JS458757:JT458757 TO458757:TP458757 ADK458757:ADL458757 ANG458757:ANH458757 AXC458757:AXD458757 BGY458757:BGZ458757 BQU458757:BQV458757 CAQ458757:CAR458757 CKM458757:CKN458757 CUI458757:CUJ458757 DEE458757:DEF458757 DOA458757:DOB458757 DXW458757:DXX458757 EHS458757:EHT458757 ERO458757:ERP458757 FBK458757:FBL458757 FLG458757:FLH458757 FVC458757:FVD458757 GEY458757:GEZ458757 GOU458757:GOV458757 GYQ458757:GYR458757 HIM458757:HIN458757 HSI458757:HSJ458757 ICE458757:ICF458757 IMA458757:IMB458757 IVW458757:IVX458757 JFS458757:JFT458757 JPO458757:JPP458757 JZK458757:JZL458757 KJG458757:KJH458757 KTC458757:KTD458757 LCY458757:LCZ458757 LMU458757:LMV458757 LWQ458757:LWR458757 MGM458757:MGN458757 MQI458757:MQJ458757 NAE458757:NAF458757 NKA458757:NKB458757 NTW458757:NTX458757 ODS458757:ODT458757 ONO458757:ONP458757 OXK458757:OXL458757 PHG458757:PHH458757 PRC458757:PRD458757 QAY458757:QAZ458757 QKU458757:QKV458757 QUQ458757:QUR458757 REM458757:REN458757 ROI458757:ROJ458757 RYE458757:RYF458757 SIA458757:SIB458757 SRW458757:SRX458757 TBS458757:TBT458757 TLO458757:TLP458757 TVK458757:TVL458757 UFG458757:UFH458757 UPC458757:UPD458757 UYY458757:UYZ458757 VIU458757:VIV458757 VSQ458757:VSR458757 WCM458757:WCN458757 WMI458757:WMJ458757 WWE458757:WWF458757 AB524293:AC524293 JS524293:JT524293 TO524293:TP524293 ADK524293:ADL524293 ANG524293:ANH524293 AXC524293:AXD524293 BGY524293:BGZ524293 BQU524293:BQV524293 CAQ524293:CAR524293 CKM524293:CKN524293 CUI524293:CUJ524293 DEE524293:DEF524293 DOA524293:DOB524293 DXW524293:DXX524293 EHS524293:EHT524293 ERO524293:ERP524293 FBK524293:FBL524293 FLG524293:FLH524293 FVC524293:FVD524293 GEY524293:GEZ524293 GOU524293:GOV524293 GYQ524293:GYR524293 HIM524293:HIN524293 HSI524293:HSJ524293 ICE524293:ICF524293 IMA524293:IMB524293 IVW524293:IVX524293 JFS524293:JFT524293 JPO524293:JPP524293 JZK524293:JZL524293 KJG524293:KJH524293 KTC524293:KTD524293 LCY524293:LCZ524293 LMU524293:LMV524293 LWQ524293:LWR524293 MGM524293:MGN524293 MQI524293:MQJ524293 NAE524293:NAF524293 NKA524293:NKB524293 NTW524293:NTX524293 ODS524293:ODT524293 ONO524293:ONP524293 OXK524293:OXL524293 PHG524293:PHH524293 PRC524293:PRD524293 QAY524293:QAZ524293 QKU524293:QKV524293 QUQ524293:QUR524293 REM524293:REN524293 ROI524293:ROJ524293 RYE524293:RYF524293 SIA524293:SIB524293 SRW524293:SRX524293 TBS524293:TBT524293 TLO524293:TLP524293 TVK524293:TVL524293 UFG524293:UFH524293 UPC524293:UPD524293 UYY524293:UYZ524293 VIU524293:VIV524293 VSQ524293:VSR524293 WCM524293:WCN524293 WMI524293:WMJ524293 WWE524293:WWF524293 AB589829:AC589829 JS589829:JT589829 TO589829:TP589829 ADK589829:ADL589829 ANG589829:ANH589829 AXC589829:AXD589829 BGY589829:BGZ589829 BQU589829:BQV589829 CAQ589829:CAR589829 CKM589829:CKN589829 CUI589829:CUJ589829 DEE589829:DEF589829 DOA589829:DOB589829 DXW589829:DXX589829 EHS589829:EHT589829 ERO589829:ERP589829 FBK589829:FBL589829 FLG589829:FLH589829 FVC589829:FVD589829 GEY589829:GEZ589829 GOU589829:GOV589829 GYQ589829:GYR589829 HIM589829:HIN589829 HSI589829:HSJ589829 ICE589829:ICF589829 IMA589829:IMB589829 IVW589829:IVX589829 JFS589829:JFT589829 JPO589829:JPP589829 JZK589829:JZL589829 KJG589829:KJH589829 KTC589829:KTD589829 LCY589829:LCZ589829 LMU589829:LMV589829 LWQ589829:LWR589829 MGM589829:MGN589829 MQI589829:MQJ589829 NAE589829:NAF589829 NKA589829:NKB589829 NTW589829:NTX589829 ODS589829:ODT589829 ONO589829:ONP589829 OXK589829:OXL589829 PHG589829:PHH589829 PRC589829:PRD589829 QAY589829:QAZ589829 QKU589829:QKV589829 QUQ589829:QUR589829 REM589829:REN589829 ROI589829:ROJ589829 RYE589829:RYF589829 SIA589829:SIB589829 SRW589829:SRX589829 TBS589829:TBT589829 TLO589829:TLP589829 TVK589829:TVL589829 UFG589829:UFH589829 UPC589829:UPD589829 UYY589829:UYZ589829 VIU589829:VIV589829 VSQ589829:VSR589829 WCM589829:WCN589829 WMI589829:WMJ589829 WWE589829:WWF589829 AB655365:AC655365 JS655365:JT655365 TO655365:TP655365 ADK655365:ADL655365 ANG655365:ANH655365 AXC655365:AXD655365 BGY655365:BGZ655365 BQU655365:BQV655365 CAQ655365:CAR655365 CKM655365:CKN655365 CUI655365:CUJ655365 DEE655365:DEF655365 DOA655365:DOB655365 DXW655365:DXX655365 EHS655365:EHT655365 ERO655365:ERP655365 FBK655365:FBL655365 FLG655365:FLH655365 FVC655365:FVD655365 GEY655365:GEZ655365 GOU655365:GOV655365 GYQ655365:GYR655365 HIM655365:HIN655365 HSI655365:HSJ655365 ICE655365:ICF655365 IMA655365:IMB655365 IVW655365:IVX655365 JFS655365:JFT655365 JPO655365:JPP655365 JZK655365:JZL655365 KJG655365:KJH655365 KTC655365:KTD655365 LCY655365:LCZ655365 LMU655365:LMV655365 LWQ655365:LWR655365 MGM655365:MGN655365 MQI655365:MQJ655365 NAE655365:NAF655365 NKA655365:NKB655365 NTW655365:NTX655365 ODS655365:ODT655365 ONO655365:ONP655365 OXK655365:OXL655365 PHG655365:PHH655365 PRC655365:PRD655365 QAY655365:QAZ655365 QKU655365:QKV655365 QUQ655365:QUR655365 REM655365:REN655365 ROI655365:ROJ655365 RYE655365:RYF655365 SIA655365:SIB655365 SRW655365:SRX655365 TBS655365:TBT655365 TLO655365:TLP655365 TVK655365:TVL655365 UFG655365:UFH655365 UPC655365:UPD655365 UYY655365:UYZ655365 VIU655365:VIV655365 VSQ655365:VSR655365 WCM655365:WCN655365 WMI655365:WMJ655365 WWE655365:WWF655365 AB720901:AC720901 JS720901:JT720901 TO720901:TP720901 ADK720901:ADL720901 ANG720901:ANH720901 AXC720901:AXD720901 BGY720901:BGZ720901 BQU720901:BQV720901 CAQ720901:CAR720901 CKM720901:CKN720901 CUI720901:CUJ720901 DEE720901:DEF720901 DOA720901:DOB720901 DXW720901:DXX720901 EHS720901:EHT720901 ERO720901:ERP720901 FBK720901:FBL720901 FLG720901:FLH720901 FVC720901:FVD720901 GEY720901:GEZ720901 GOU720901:GOV720901 GYQ720901:GYR720901 HIM720901:HIN720901 HSI720901:HSJ720901 ICE720901:ICF720901 IMA720901:IMB720901 IVW720901:IVX720901 JFS720901:JFT720901 JPO720901:JPP720901 JZK720901:JZL720901 KJG720901:KJH720901 KTC720901:KTD720901 LCY720901:LCZ720901 LMU720901:LMV720901 LWQ720901:LWR720901 MGM720901:MGN720901 MQI720901:MQJ720901 NAE720901:NAF720901 NKA720901:NKB720901 NTW720901:NTX720901 ODS720901:ODT720901 ONO720901:ONP720901 OXK720901:OXL720901 PHG720901:PHH720901 PRC720901:PRD720901 QAY720901:QAZ720901 QKU720901:QKV720901 QUQ720901:QUR720901 REM720901:REN720901 ROI720901:ROJ720901 RYE720901:RYF720901 SIA720901:SIB720901 SRW720901:SRX720901 TBS720901:TBT720901 TLO720901:TLP720901 TVK720901:TVL720901 UFG720901:UFH720901 UPC720901:UPD720901 UYY720901:UYZ720901 VIU720901:VIV720901 VSQ720901:VSR720901 WCM720901:WCN720901 WMI720901:WMJ720901 WWE720901:WWF720901 AB786437:AC786437 JS786437:JT786437 TO786437:TP786437 ADK786437:ADL786437 ANG786437:ANH786437 AXC786437:AXD786437 BGY786437:BGZ786437 BQU786437:BQV786437 CAQ786437:CAR786437 CKM786437:CKN786437 CUI786437:CUJ786437 DEE786437:DEF786437 DOA786437:DOB786437 DXW786437:DXX786437 EHS786437:EHT786437 ERO786437:ERP786437 FBK786437:FBL786437 FLG786437:FLH786437 FVC786437:FVD786437 GEY786437:GEZ786437 GOU786437:GOV786437 GYQ786437:GYR786437 HIM786437:HIN786437 HSI786437:HSJ786437 ICE786437:ICF786437 IMA786437:IMB786437 IVW786437:IVX786437 JFS786437:JFT786437 JPO786437:JPP786437 JZK786437:JZL786437 KJG786437:KJH786437 KTC786437:KTD786437 LCY786437:LCZ786437 LMU786437:LMV786437 LWQ786437:LWR786437 MGM786437:MGN786437 MQI786437:MQJ786437 NAE786437:NAF786437 NKA786437:NKB786437 NTW786437:NTX786437 ODS786437:ODT786437 ONO786437:ONP786437 OXK786437:OXL786437 PHG786437:PHH786437 PRC786437:PRD786437 QAY786437:QAZ786437 QKU786437:QKV786437 QUQ786437:QUR786437 REM786437:REN786437 ROI786437:ROJ786437 RYE786437:RYF786437 SIA786437:SIB786437 SRW786437:SRX786437 TBS786437:TBT786437 TLO786437:TLP786437 TVK786437:TVL786437 UFG786437:UFH786437 UPC786437:UPD786437 UYY786437:UYZ786437 VIU786437:VIV786437 VSQ786437:VSR786437 WCM786437:WCN786437 WMI786437:WMJ786437 WWE786437:WWF786437 AB851973:AC851973 JS851973:JT851973 TO851973:TP851973 ADK851973:ADL851973 ANG851973:ANH851973 AXC851973:AXD851973 BGY851973:BGZ851973 BQU851973:BQV851973 CAQ851973:CAR851973 CKM851973:CKN851973 CUI851973:CUJ851973 DEE851973:DEF851973 DOA851973:DOB851973 DXW851973:DXX851973 EHS851973:EHT851973 ERO851973:ERP851973 FBK851973:FBL851973 FLG851973:FLH851973 FVC851973:FVD851973 GEY851973:GEZ851973 GOU851973:GOV851973 GYQ851973:GYR851973 HIM851973:HIN851973 HSI851973:HSJ851973 ICE851973:ICF851973 IMA851973:IMB851973 IVW851973:IVX851973 JFS851973:JFT851973 JPO851973:JPP851973 JZK851973:JZL851973 KJG851973:KJH851973 KTC851973:KTD851973 LCY851973:LCZ851973 LMU851973:LMV851973 LWQ851973:LWR851973 MGM851973:MGN851973 MQI851973:MQJ851973 NAE851973:NAF851973 NKA851973:NKB851973 NTW851973:NTX851973 ODS851973:ODT851973 ONO851973:ONP851973 OXK851973:OXL851973 PHG851973:PHH851973 PRC851973:PRD851973 QAY851973:QAZ851973 QKU851973:QKV851973 QUQ851973:QUR851973 REM851973:REN851973 ROI851973:ROJ851973 RYE851973:RYF851973 SIA851973:SIB851973 SRW851973:SRX851973 TBS851973:TBT851973 TLO851973:TLP851973 TVK851973:TVL851973 UFG851973:UFH851973 UPC851973:UPD851973 UYY851973:UYZ851973 VIU851973:VIV851973 VSQ851973:VSR851973 WCM851973:WCN851973 WMI851973:WMJ851973 WWE851973:WWF851973 AB917509:AC917509 JS917509:JT917509 TO917509:TP917509 ADK917509:ADL917509 ANG917509:ANH917509 AXC917509:AXD917509 BGY917509:BGZ917509 BQU917509:BQV917509 CAQ917509:CAR917509 CKM917509:CKN917509 CUI917509:CUJ917509 DEE917509:DEF917509 DOA917509:DOB917509 DXW917509:DXX917509 EHS917509:EHT917509 ERO917509:ERP917509 FBK917509:FBL917509 FLG917509:FLH917509 FVC917509:FVD917509 GEY917509:GEZ917509 GOU917509:GOV917509 GYQ917509:GYR917509 HIM917509:HIN917509 HSI917509:HSJ917509 ICE917509:ICF917509 IMA917509:IMB917509 IVW917509:IVX917509 JFS917509:JFT917509 JPO917509:JPP917509 JZK917509:JZL917509 KJG917509:KJH917509 KTC917509:KTD917509 LCY917509:LCZ917509 LMU917509:LMV917509 LWQ917509:LWR917509 MGM917509:MGN917509 MQI917509:MQJ917509 NAE917509:NAF917509 NKA917509:NKB917509 NTW917509:NTX917509 ODS917509:ODT917509 ONO917509:ONP917509 OXK917509:OXL917509 PHG917509:PHH917509 PRC917509:PRD917509 QAY917509:QAZ917509 QKU917509:QKV917509 QUQ917509:QUR917509 REM917509:REN917509 ROI917509:ROJ917509 RYE917509:RYF917509 SIA917509:SIB917509 SRW917509:SRX917509 TBS917509:TBT917509 TLO917509:TLP917509 TVK917509:TVL917509 UFG917509:UFH917509 UPC917509:UPD917509 UYY917509:UYZ917509 VIU917509:VIV917509 VSQ917509:VSR917509 WCM917509:WCN917509 WMI917509:WMJ917509 WWE917509:WWF917509 AB983045:AC983045 JS983045:JT983045 TO983045:TP983045 ADK983045:ADL983045 ANG983045:ANH983045 AXC983045:AXD983045 BGY983045:BGZ983045 BQU983045:BQV983045 CAQ983045:CAR983045 CKM983045:CKN983045 CUI983045:CUJ983045 DEE983045:DEF983045 DOA983045:DOB983045 DXW983045:DXX983045 EHS983045:EHT983045 ERO983045:ERP983045 FBK983045:FBL983045 FLG983045:FLH983045 FVC983045:FVD983045 GEY983045:GEZ983045 GOU983045:GOV983045 GYQ983045:GYR983045 HIM983045:HIN983045 HSI983045:HSJ983045 ICE983045:ICF983045 IMA983045:IMB983045 IVW983045:IVX983045 JFS983045:JFT983045 JPO983045:JPP983045 JZK983045:JZL983045 KJG983045:KJH983045 KTC983045:KTD983045 LCY983045:LCZ983045 LMU983045:LMV983045 LWQ983045:LWR983045 MGM983045:MGN983045 MQI983045:MQJ983045 NAE983045:NAF983045 NKA983045:NKB983045 NTW983045:NTX983045 ODS983045:ODT983045 ONO983045:ONP983045 OXK983045:OXL983045 PHG983045:PHH983045 PRC983045:PRD983045 QAY983045:QAZ983045 QKU983045:QKV983045 QUQ983045:QUR983045 REM983045:REN983045 ROI983045:ROJ983045 RYE983045:RYF983045 SIA983045:SIB983045 SRW983045:SRX983045 TBS983045:TBT983045 TLO983045:TLP983045 TVK983045:TVL983045 UFG983045:UFH983045 UPC983045:UPD983045 UYY983045:UYZ983045 VIU983045:VIV983045 VSQ983045:VSR983045 WCM983045:WCN983045 WMI983045:WMJ983045 WWE983045:WWF983045">
      <formula1>"（無し）,.csv,.dat,.txt,.xls"</formula1>
    </dataValidation>
    <dataValidation type="list" allowBlank="1" showInputMessage="1" showErrorMessage="1" sqref="G5:Q5 JB5:JL5 SX5:TH5 ACT5:ADD5 AMP5:AMZ5 AWL5:AWV5 BGH5:BGR5 BQD5:BQN5 BZZ5:CAJ5 CJV5:CKF5 CTR5:CUB5 DDN5:DDX5 DNJ5:DNT5 DXF5:DXP5 EHB5:EHL5 EQX5:ERH5 FAT5:FBD5 FKP5:FKZ5 FUL5:FUV5 GEH5:GER5 GOD5:GON5 GXZ5:GYJ5 HHV5:HIF5 HRR5:HSB5 IBN5:IBX5 ILJ5:ILT5 IVF5:IVP5 JFB5:JFL5 JOX5:JPH5 JYT5:JZD5 KIP5:KIZ5 KSL5:KSV5 LCH5:LCR5 LMD5:LMN5 LVZ5:LWJ5 MFV5:MGF5 MPR5:MQB5 MZN5:MZX5 NJJ5:NJT5 NTF5:NTP5 ODB5:ODL5 OMX5:ONH5 OWT5:OXD5 PGP5:PGZ5 PQL5:PQV5 QAH5:QAR5 QKD5:QKN5 QTZ5:QUJ5 RDV5:REF5 RNR5:ROB5 RXN5:RXX5 SHJ5:SHT5 SRF5:SRP5 TBB5:TBL5 TKX5:TLH5 TUT5:TVD5 UEP5:UEZ5 UOL5:UOV5 UYH5:UYR5 VID5:VIN5 VRZ5:VSJ5 WBV5:WCF5 WLR5:WMB5 WVN5:WVX5 F65540:P65540 IW65540:JG65540 SS65540:TC65540 ACO65540:ACY65540 AMK65540:AMU65540 AWG65540:AWQ65540 BGC65540:BGM65540 BPY65540:BQI65540 BZU65540:CAE65540 CJQ65540:CKA65540 CTM65540:CTW65540 DDI65540:DDS65540 DNE65540:DNO65540 DXA65540:DXK65540 EGW65540:EHG65540 EQS65540:ERC65540 FAO65540:FAY65540 FKK65540:FKU65540 FUG65540:FUQ65540 GEC65540:GEM65540 GNY65540:GOI65540 GXU65540:GYE65540 HHQ65540:HIA65540 HRM65540:HRW65540 IBI65540:IBS65540 ILE65540:ILO65540 IVA65540:IVK65540 JEW65540:JFG65540 JOS65540:JPC65540 JYO65540:JYY65540 KIK65540:KIU65540 KSG65540:KSQ65540 LCC65540:LCM65540 LLY65540:LMI65540 LVU65540:LWE65540 MFQ65540:MGA65540 MPM65540:MPW65540 MZI65540:MZS65540 NJE65540:NJO65540 NTA65540:NTK65540 OCW65540:ODG65540 OMS65540:ONC65540 OWO65540:OWY65540 PGK65540:PGU65540 PQG65540:PQQ65540 QAC65540:QAM65540 QJY65540:QKI65540 QTU65540:QUE65540 RDQ65540:REA65540 RNM65540:RNW65540 RXI65540:RXS65540 SHE65540:SHO65540 SRA65540:SRK65540 TAW65540:TBG65540 TKS65540:TLC65540 TUO65540:TUY65540 UEK65540:UEU65540 UOG65540:UOQ65540 UYC65540:UYM65540 VHY65540:VII65540 VRU65540:VSE65540 WBQ65540:WCA65540 WLM65540:WLW65540 WVI65540:WVS65540 F131076:P131076 IW131076:JG131076 SS131076:TC131076 ACO131076:ACY131076 AMK131076:AMU131076 AWG131076:AWQ131076 BGC131076:BGM131076 BPY131076:BQI131076 BZU131076:CAE131076 CJQ131076:CKA131076 CTM131076:CTW131076 DDI131076:DDS131076 DNE131076:DNO131076 DXA131076:DXK131076 EGW131076:EHG131076 EQS131076:ERC131076 FAO131076:FAY131076 FKK131076:FKU131076 FUG131076:FUQ131076 GEC131076:GEM131076 GNY131076:GOI131076 GXU131076:GYE131076 HHQ131076:HIA131076 HRM131076:HRW131076 IBI131076:IBS131076 ILE131076:ILO131076 IVA131076:IVK131076 JEW131076:JFG131076 JOS131076:JPC131076 JYO131076:JYY131076 KIK131076:KIU131076 KSG131076:KSQ131076 LCC131076:LCM131076 LLY131076:LMI131076 LVU131076:LWE131076 MFQ131076:MGA131076 MPM131076:MPW131076 MZI131076:MZS131076 NJE131076:NJO131076 NTA131076:NTK131076 OCW131076:ODG131076 OMS131076:ONC131076 OWO131076:OWY131076 PGK131076:PGU131076 PQG131076:PQQ131076 QAC131076:QAM131076 QJY131076:QKI131076 QTU131076:QUE131076 RDQ131076:REA131076 RNM131076:RNW131076 RXI131076:RXS131076 SHE131076:SHO131076 SRA131076:SRK131076 TAW131076:TBG131076 TKS131076:TLC131076 TUO131076:TUY131076 UEK131076:UEU131076 UOG131076:UOQ131076 UYC131076:UYM131076 VHY131076:VII131076 VRU131076:VSE131076 WBQ131076:WCA131076 WLM131076:WLW131076 WVI131076:WVS131076 F196612:P196612 IW196612:JG196612 SS196612:TC196612 ACO196612:ACY196612 AMK196612:AMU196612 AWG196612:AWQ196612 BGC196612:BGM196612 BPY196612:BQI196612 BZU196612:CAE196612 CJQ196612:CKA196612 CTM196612:CTW196612 DDI196612:DDS196612 DNE196612:DNO196612 DXA196612:DXK196612 EGW196612:EHG196612 EQS196612:ERC196612 FAO196612:FAY196612 FKK196612:FKU196612 FUG196612:FUQ196612 GEC196612:GEM196612 GNY196612:GOI196612 GXU196612:GYE196612 HHQ196612:HIA196612 HRM196612:HRW196612 IBI196612:IBS196612 ILE196612:ILO196612 IVA196612:IVK196612 JEW196612:JFG196612 JOS196612:JPC196612 JYO196612:JYY196612 KIK196612:KIU196612 KSG196612:KSQ196612 LCC196612:LCM196612 LLY196612:LMI196612 LVU196612:LWE196612 MFQ196612:MGA196612 MPM196612:MPW196612 MZI196612:MZS196612 NJE196612:NJO196612 NTA196612:NTK196612 OCW196612:ODG196612 OMS196612:ONC196612 OWO196612:OWY196612 PGK196612:PGU196612 PQG196612:PQQ196612 QAC196612:QAM196612 QJY196612:QKI196612 QTU196612:QUE196612 RDQ196612:REA196612 RNM196612:RNW196612 RXI196612:RXS196612 SHE196612:SHO196612 SRA196612:SRK196612 TAW196612:TBG196612 TKS196612:TLC196612 TUO196612:TUY196612 UEK196612:UEU196612 UOG196612:UOQ196612 UYC196612:UYM196612 VHY196612:VII196612 VRU196612:VSE196612 WBQ196612:WCA196612 WLM196612:WLW196612 WVI196612:WVS196612 F262148:P262148 IW262148:JG262148 SS262148:TC262148 ACO262148:ACY262148 AMK262148:AMU262148 AWG262148:AWQ262148 BGC262148:BGM262148 BPY262148:BQI262148 BZU262148:CAE262148 CJQ262148:CKA262148 CTM262148:CTW262148 DDI262148:DDS262148 DNE262148:DNO262148 DXA262148:DXK262148 EGW262148:EHG262148 EQS262148:ERC262148 FAO262148:FAY262148 FKK262148:FKU262148 FUG262148:FUQ262148 GEC262148:GEM262148 GNY262148:GOI262148 GXU262148:GYE262148 HHQ262148:HIA262148 HRM262148:HRW262148 IBI262148:IBS262148 ILE262148:ILO262148 IVA262148:IVK262148 JEW262148:JFG262148 JOS262148:JPC262148 JYO262148:JYY262148 KIK262148:KIU262148 KSG262148:KSQ262148 LCC262148:LCM262148 LLY262148:LMI262148 LVU262148:LWE262148 MFQ262148:MGA262148 MPM262148:MPW262148 MZI262148:MZS262148 NJE262148:NJO262148 NTA262148:NTK262148 OCW262148:ODG262148 OMS262148:ONC262148 OWO262148:OWY262148 PGK262148:PGU262148 PQG262148:PQQ262148 QAC262148:QAM262148 QJY262148:QKI262148 QTU262148:QUE262148 RDQ262148:REA262148 RNM262148:RNW262148 RXI262148:RXS262148 SHE262148:SHO262148 SRA262148:SRK262148 TAW262148:TBG262148 TKS262148:TLC262148 TUO262148:TUY262148 UEK262148:UEU262148 UOG262148:UOQ262148 UYC262148:UYM262148 VHY262148:VII262148 VRU262148:VSE262148 WBQ262148:WCA262148 WLM262148:WLW262148 WVI262148:WVS262148 F327684:P327684 IW327684:JG327684 SS327684:TC327684 ACO327684:ACY327684 AMK327684:AMU327684 AWG327684:AWQ327684 BGC327684:BGM327684 BPY327684:BQI327684 BZU327684:CAE327684 CJQ327684:CKA327684 CTM327684:CTW327684 DDI327684:DDS327684 DNE327684:DNO327684 DXA327684:DXK327684 EGW327684:EHG327684 EQS327684:ERC327684 FAO327684:FAY327684 FKK327684:FKU327684 FUG327684:FUQ327684 GEC327684:GEM327684 GNY327684:GOI327684 GXU327684:GYE327684 HHQ327684:HIA327684 HRM327684:HRW327684 IBI327684:IBS327684 ILE327684:ILO327684 IVA327684:IVK327684 JEW327684:JFG327684 JOS327684:JPC327684 JYO327684:JYY327684 KIK327684:KIU327684 KSG327684:KSQ327684 LCC327684:LCM327684 LLY327684:LMI327684 LVU327684:LWE327684 MFQ327684:MGA327684 MPM327684:MPW327684 MZI327684:MZS327684 NJE327684:NJO327684 NTA327684:NTK327684 OCW327684:ODG327684 OMS327684:ONC327684 OWO327684:OWY327684 PGK327684:PGU327684 PQG327684:PQQ327684 QAC327684:QAM327684 QJY327684:QKI327684 QTU327684:QUE327684 RDQ327684:REA327684 RNM327684:RNW327684 RXI327684:RXS327684 SHE327684:SHO327684 SRA327684:SRK327684 TAW327684:TBG327684 TKS327684:TLC327684 TUO327684:TUY327684 UEK327684:UEU327684 UOG327684:UOQ327684 UYC327684:UYM327684 VHY327684:VII327684 VRU327684:VSE327684 WBQ327684:WCA327684 WLM327684:WLW327684 WVI327684:WVS327684 F393220:P393220 IW393220:JG393220 SS393220:TC393220 ACO393220:ACY393220 AMK393220:AMU393220 AWG393220:AWQ393220 BGC393220:BGM393220 BPY393220:BQI393220 BZU393220:CAE393220 CJQ393220:CKA393220 CTM393220:CTW393220 DDI393220:DDS393220 DNE393220:DNO393220 DXA393220:DXK393220 EGW393220:EHG393220 EQS393220:ERC393220 FAO393220:FAY393220 FKK393220:FKU393220 FUG393220:FUQ393220 GEC393220:GEM393220 GNY393220:GOI393220 GXU393220:GYE393220 HHQ393220:HIA393220 HRM393220:HRW393220 IBI393220:IBS393220 ILE393220:ILO393220 IVA393220:IVK393220 JEW393220:JFG393220 JOS393220:JPC393220 JYO393220:JYY393220 KIK393220:KIU393220 KSG393220:KSQ393220 LCC393220:LCM393220 LLY393220:LMI393220 LVU393220:LWE393220 MFQ393220:MGA393220 MPM393220:MPW393220 MZI393220:MZS393220 NJE393220:NJO393220 NTA393220:NTK393220 OCW393220:ODG393220 OMS393220:ONC393220 OWO393220:OWY393220 PGK393220:PGU393220 PQG393220:PQQ393220 QAC393220:QAM393220 QJY393220:QKI393220 QTU393220:QUE393220 RDQ393220:REA393220 RNM393220:RNW393220 RXI393220:RXS393220 SHE393220:SHO393220 SRA393220:SRK393220 TAW393220:TBG393220 TKS393220:TLC393220 TUO393220:TUY393220 UEK393220:UEU393220 UOG393220:UOQ393220 UYC393220:UYM393220 VHY393220:VII393220 VRU393220:VSE393220 WBQ393220:WCA393220 WLM393220:WLW393220 WVI393220:WVS393220 F458756:P458756 IW458756:JG458756 SS458756:TC458756 ACO458756:ACY458756 AMK458756:AMU458756 AWG458756:AWQ458756 BGC458756:BGM458756 BPY458756:BQI458756 BZU458756:CAE458756 CJQ458756:CKA458756 CTM458756:CTW458756 DDI458756:DDS458756 DNE458756:DNO458756 DXA458756:DXK458756 EGW458756:EHG458756 EQS458756:ERC458756 FAO458756:FAY458756 FKK458756:FKU458756 FUG458756:FUQ458756 GEC458756:GEM458756 GNY458756:GOI458756 GXU458756:GYE458756 HHQ458756:HIA458756 HRM458756:HRW458756 IBI458756:IBS458756 ILE458756:ILO458756 IVA458756:IVK458756 JEW458756:JFG458756 JOS458756:JPC458756 JYO458756:JYY458756 KIK458756:KIU458756 KSG458756:KSQ458756 LCC458756:LCM458756 LLY458756:LMI458756 LVU458756:LWE458756 MFQ458756:MGA458756 MPM458756:MPW458756 MZI458756:MZS458756 NJE458756:NJO458756 NTA458756:NTK458756 OCW458756:ODG458756 OMS458756:ONC458756 OWO458756:OWY458756 PGK458756:PGU458756 PQG458756:PQQ458756 QAC458756:QAM458756 QJY458756:QKI458756 QTU458756:QUE458756 RDQ458756:REA458756 RNM458756:RNW458756 RXI458756:RXS458756 SHE458756:SHO458756 SRA458756:SRK458756 TAW458756:TBG458756 TKS458756:TLC458756 TUO458756:TUY458756 UEK458756:UEU458756 UOG458756:UOQ458756 UYC458756:UYM458756 VHY458756:VII458756 VRU458756:VSE458756 WBQ458756:WCA458756 WLM458756:WLW458756 WVI458756:WVS458756 F524292:P524292 IW524292:JG524292 SS524292:TC524292 ACO524292:ACY524292 AMK524292:AMU524292 AWG524292:AWQ524292 BGC524292:BGM524292 BPY524292:BQI524292 BZU524292:CAE524292 CJQ524292:CKA524292 CTM524292:CTW524292 DDI524292:DDS524292 DNE524292:DNO524292 DXA524292:DXK524292 EGW524292:EHG524292 EQS524292:ERC524292 FAO524292:FAY524292 FKK524292:FKU524292 FUG524292:FUQ524292 GEC524292:GEM524292 GNY524292:GOI524292 GXU524292:GYE524292 HHQ524292:HIA524292 HRM524292:HRW524292 IBI524292:IBS524292 ILE524292:ILO524292 IVA524292:IVK524292 JEW524292:JFG524292 JOS524292:JPC524292 JYO524292:JYY524292 KIK524292:KIU524292 KSG524292:KSQ524292 LCC524292:LCM524292 LLY524292:LMI524292 LVU524292:LWE524292 MFQ524292:MGA524292 MPM524292:MPW524292 MZI524292:MZS524292 NJE524292:NJO524292 NTA524292:NTK524292 OCW524292:ODG524292 OMS524292:ONC524292 OWO524292:OWY524292 PGK524292:PGU524292 PQG524292:PQQ524292 QAC524292:QAM524292 QJY524292:QKI524292 QTU524292:QUE524292 RDQ524292:REA524292 RNM524292:RNW524292 RXI524292:RXS524292 SHE524292:SHO524292 SRA524292:SRK524292 TAW524292:TBG524292 TKS524292:TLC524292 TUO524292:TUY524292 UEK524292:UEU524292 UOG524292:UOQ524292 UYC524292:UYM524292 VHY524292:VII524292 VRU524292:VSE524292 WBQ524292:WCA524292 WLM524292:WLW524292 WVI524292:WVS524292 F589828:P589828 IW589828:JG589828 SS589828:TC589828 ACO589828:ACY589828 AMK589828:AMU589828 AWG589828:AWQ589828 BGC589828:BGM589828 BPY589828:BQI589828 BZU589828:CAE589828 CJQ589828:CKA589828 CTM589828:CTW589828 DDI589828:DDS589828 DNE589828:DNO589828 DXA589828:DXK589828 EGW589828:EHG589828 EQS589828:ERC589828 FAO589828:FAY589828 FKK589828:FKU589828 FUG589828:FUQ589828 GEC589828:GEM589828 GNY589828:GOI589828 GXU589828:GYE589828 HHQ589828:HIA589828 HRM589828:HRW589828 IBI589828:IBS589828 ILE589828:ILO589828 IVA589828:IVK589828 JEW589828:JFG589828 JOS589828:JPC589828 JYO589828:JYY589828 KIK589828:KIU589828 KSG589828:KSQ589828 LCC589828:LCM589828 LLY589828:LMI589828 LVU589828:LWE589828 MFQ589828:MGA589828 MPM589828:MPW589828 MZI589828:MZS589828 NJE589828:NJO589828 NTA589828:NTK589828 OCW589828:ODG589828 OMS589828:ONC589828 OWO589828:OWY589828 PGK589828:PGU589828 PQG589828:PQQ589828 QAC589828:QAM589828 QJY589828:QKI589828 QTU589828:QUE589828 RDQ589828:REA589828 RNM589828:RNW589828 RXI589828:RXS589828 SHE589828:SHO589828 SRA589828:SRK589828 TAW589828:TBG589828 TKS589828:TLC589828 TUO589828:TUY589828 UEK589828:UEU589828 UOG589828:UOQ589828 UYC589828:UYM589828 VHY589828:VII589828 VRU589828:VSE589828 WBQ589828:WCA589828 WLM589828:WLW589828 WVI589828:WVS589828 F655364:P655364 IW655364:JG655364 SS655364:TC655364 ACO655364:ACY655364 AMK655364:AMU655364 AWG655364:AWQ655364 BGC655364:BGM655364 BPY655364:BQI655364 BZU655364:CAE655364 CJQ655364:CKA655364 CTM655364:CTW655364 DDI655364:DDS655364 DNE655364:DNO655364 DXA655364:DXK655364 EGW655364:EHG655364 EQS655364:ERC655364 FAO655364:FAY655364 FKK655364:FKU655364 FUG655364:FUQ655364 GEC655364:GEM655364 GNY655364:GOI655364 GXU655364:GYE655364 HHQ655364:HIA655364 HRM655364:HRW655364 IBI655364:IBS655364 ILE655364:ILO655364 IVA655364:IVK655364 JEW655364:JFG655364 JOS655364:JPC655364 JYO655364:JYY655364 KIK655364:KIU655364 KSG655364:KSQ655364 LCC655364:LCM655364 LLY655364:LMI655364 LVU655364:LWE655364 MFQ655364:MGA655364 MPM655364:MPW655364 MZI655364:MZS655364 NJE655364:NJO655364 NTA655364:NTK655364 OCW655364:ODG655364 OMS655364:ONC655364 OWO655364:OWY655364 PGK655364:PGU655364 PQG655364:PQQ655364 QAC655364:QAM655364 QJY655364:QKI655364 QTU655364:QUE655364 RDQ655364:REA655364 RNM655364:RNW655364 RXI655364:RXS655364 SHE655364:SHO655364 SRA655364:SRK655364 TAW655364:TBG655364 TKS655364:TLC655364 TUO655364:TUY655364 UEK655364:UEU655364 UOG655364:UOQ655364 UYC655364:UYM655364 VHY655364:VII655364 VRU655364:VSE655364 WBQ655364:WCA655364 WLM655364:WLW655364 WVI655364:WVS655364 F720900:P720900 IW720900:JG720900 SS720900:TC720900 ACO720900:ACY720900 AMK720900:AMU720900 AWG720900:AWQ720900 BGC720900:BGM720900 BPY720900:BQI720900 BZU720900:CAE720900 CJQ720900:CKA720900 CTM720900:CTW720900 DDI720900:DDS720900 DNE720900:DNO720900 DXA720900:DXK720900 EGW720900:EHG720900 EQS720900:ERC720900 FAO720900:FAY720900 FKK720900:FKU720900 FUG720900:FUQ720900 GEC720900:GEM720900 GNY720900:GOI720900 GXU720900:GYE720900 HHQ720900:HIA720900 HRM720900:HRW720900 IBI720900:IBS720900 ILE720900:ILO720900 IVA720900:IVK720900 JEW720900:JFG720900 JOS720900:JPC720900 JYO720900:JYY720900 KIK720900:KIU720900 KSG720900:KSQ720900 LCC720900:LCM720900 LLY720900:LMI720900 LVU720900:LWE720900 MFQ720900:MGA720900 MPM720900:MPW720900 MZI720900:MZS720900 NJE720900:NJO720900 NTA720900:NTK720900 OCW720900:ODG720900 OMS720900:ONC720900 OWO720900:OWY720900 PGK720900:PGU720900 PQG720900:PQQ720900 QAC720900:QAM720900 QJY720900:QKI720900 QTU720900:QUE720900 RDQ720900:REA720900 RNM720900:RNW720900 RXI720900:RXS720900 SHE720900:SHO720900 SRA720900:SRK720900 TAW720900:TBG720900 TKS720900:TLC720900 TUO720900:TUY720900 UEK720900:UEU720900 UOG720900:UOQ720900 UYC720900:UYM720900 VHY720900:VII720900 VRU720900:VSE720900 WBQ720900:WCA720900 WLM720900:WLW720900 WVI720900:WVS720900 F786436:P786436 IW786436:JG786436 SS786436:TC786436 ACO786436:ACY786436 AMK786436:AMU786436 AWG786436:AWQ786436 BGC786436:BGM786436 BPY786436:BQI786436 BZU786436:CAE786436 CJQ786436:CKA786436 CTM786436:CTW786436 DDI786436:DDS786436 DNE786436:DNO786436 DXA786436:DXK786436 EGW786436:EHG786436 EQS786436:ERC786436 FAO786436:FAY786436 FKK786436:FKU786436 FUG786436:FUQ786436 GEC786436:GEM786436 GNY786436:GOI786436 GXU786436:GYE786436 HHQ786436:HIA786436 HRM786436:HRW786436 IBI786436:IBS786436 ILE786436:ILO786436 IVA786436:IVK786436 JEW786436:JFG786436 JOS786436:JPC786436 JYO786436:JYY786436 KIK786436:KIU786436 KSG786436:KSQ786436 LCC786436:LCM786436 LLY786436:LMI786436 LVU786436:LWE786436 MFQ786436:MGA786436 MPM786436:MPW786436 MZI786436:MZS786436 NJE786436:NJO786436 NTA786436:NTK786436 OCW786436:ODG786436 OMS786436:ONC786436 OWO786436:OWY786436 PGK786436:PGU786436 PQG786436:PQQ786436 QAC786436:QAM786436 QJY786436:QKI786436 QTU786436:QUE786436 RDQ786436:REA786436 RNM786436:RNW786436 RXI786436:RXS786436 SHE786436:SHO786436 SRA786436:SRK786436 TAW786436:TBG786436 TKS786436:TLC786436 TUO786436:TUY786436 UEK786436:UEU786436 UOG786436:UOQ786436 UYC786436:UYM786436 VHY786436:VII786436 VRU786436:VSE786436 WBQ786436:WCA786436 WLM786436:WLW786436 WVI786436:WVS786436 F851972:P851972 IW851972:JG851972 SS851972:TC851972 ACO851972:ACY851972 AMK851972:AMU851972 AWG851972:AWQ851972 BGC851972:BGM851972 BPY851972:BQI851972 BZU851972:CAE851972 CJQ851972:CKA851972 CTM851972:CTW851972 DDI851972:DDS851972 DNE851972:DNO851972 DXA851972:DXK851972 EGW851972:EHG851972 EQS851972:ERC851972 FAO851972:FAY851972 FKK851972:FKU851972 FUG851972:FUQ851972 GEC851972:GEM851972 GNY851972:GOI851972 GXU851972:GYE851972 HHQ851972:HIA851972 HRM851972:HRW851972 IBI851972:IBS851972 ILE851972:ILO851972 IVA851972:IVK851972 JEW851972:JFG851972 JOS851972:JPC851972 JYO851972:JYY851972 KIK851972:KIU851972 KSG851972:KSQ851972 LCC851972:LCM851972 LLY851972:LMI851972 LVU851972:LWE851972 MFQ851972:MGA851972 MPM851972:MPW851972 MZI851972:MZS851972 NJE851972:NJO851972 NTA851972:NTK851972 OCW851972:ODG851972 OMS851972:ONC851972 OWO851972:OWY851972 PGK851972:PGU851972 PQG851972:PQQ851972 QAC851972:QAM851972 QJY851972:QKI851972 QTU851972:QUE851972 RDQ851972:REA851972 RNM851972:RNW851972 RXI851972:RXS851972 SHE851972:SHO851972 SRA851972:SRK851972 TAW851972:TBG851972 TKS851972:TLC851972 TUO851972:TUY851972 UEK851972:UEU851972 UOG851972:UOQ851972 UYC851972:UYM851972 VHY851972:VII851972 VRU851972:VSE851972 WBQ851972:WCA851972 WLM851972:WLW851972 WVI851972:WVS851972 F917508:P917508 IW917508:JG917508 SS917508:TC917508 ACO917508:ACY917508 AMK917508:AMU917508 AWG917508:AWQ917508 BGC917508:BGM917508 BPY917508:BQI917508 BZU917508:CAE917508 CJQ917508:CKA917508 CTM917508:CTW917508 DDI917508:DDS917508 DNE917508:DNO917508 DXA917508:DXK917508 EGW917508:EHG917508 EQS917508:ERC917508 FAO917508:FAY917508 FKK917508:FKU917508 FUG917508:FUQ917508 GEC917508:GEM917508 GNY917508:GOI917508 GXU917508:GYE917508 HHQ917508:HIA917508 HRM917508:HRW917508 IBI917508:IBS917508 ILE917508:ILO917508 IVA917508:IVK917508 JEW917508:JFG917508 JOS917508:JPC917508 JYO917508:JYY917508 KIK917508:KIU917508 KSG917508:KSQ917508 LCC917508:LCM917508 LLY917508:LMI917508 LVU917508:LWE917508 MFQ917508:MGA917508 MPM917508:MPW917508 MZI917508:MZS917508 NJE917508:NJO917508 NTA917508:NTK917508 OCW917508:ODG917508 OMS917508:ONC917508 OWO917508:OWY917508 PGK917508:PGU917508 PQG917508:PQQ917508 QAC917508:QAM917508 QJY917508:QKI917508 QTU917508:QUE917508 RDQ917508:REA917508 RNM917508:RNW917508 RXI917508:RXS917508 SHE917508:SHO917508 SRA917508:SRK917508 TAW917508:TBG917508 TKS917508:TLC917508 TUO917508:TUY917508 UEK917508:UEU917508 UOG917508:UOQ917508 UYC917508:UYM917508 VHY917508:VII917508 VRU917508:VSE917508 WBQ917508:WCA917508 WLM917508:WLW917508 WVI917508:WVS917508 F983044:P983044 IW983044:JG983044 SS983044:TC983044 ACO983044:ACY983044 AMK983044:AMU983044 AWG983044:AWQ983044 BGC983044:BGM983044 BPY983044:BQI983044 BZU983044:CAE983044 CJQ983044:CKA983044 CTM983044:CTW983044 DDI983044:DDS983044 DNE983044:DNO983044 DXA983044:DXK983044 EGW983044:EHG983044 EQS983044:ERC983044 FAO983044:FAY983044 FKK983044:FKU983044 FUG983044:FUQ983044 GEC983044:GEM983044 GNY983044:GOI983044 GXU983044:GYE983044 HHQ983044:HIA983044 HRM983044:HRW983044 IBI983044:IBS983044 ILE983044:ILO983044 IVA983044:IVK983044 JEW983044:JFG983044 JOS983044:JPC983044 JYO983044:JYY983044 KIK983044:KIU983044 KSG983044:KSQ983044 LCC983044:LCM983044 LLY983044:LMI983044 LVU983044:LWE983044 MFQ983044:MGA983044 MPM983044:MPW983044 MZI983044:MZS983044 NJE983044:NJO983044 NTA983044:NTK983044 OCW983044:ODG983044 OMS983044:ONC983044 OWO983044:OWY983044 PGK983044:PGU983044 PQG983044:PQQ983044 QAC983044:QAM983044 QJY983044:QKI983044 QTU983044:QUE983044 RDQ983044:REA983044 RNM983044:RNW983044 RXI983044:RXS983044 SHE983044:SHO983044 SRA983044:SRK983044 TAW983044:TBG983044 TKS983044:TLC983044 TUO983044:TUY983044 UEK983044:UEU983044 UOG983044:UOQ983044 UYC983044:UYM983044 VHY983044:VII983044 VRU983044:VSE983044 WBQ983044:WCA983044 WLM983044:WLW983044 WVI983044:WVS983044">
      <formula1>"シーケンシャル,固定長ラインシーケンシャル,可変長ラインシーケンシャル,CSV"</formula1>
    </dataValidation>
    <dataValidation type="list" allowBlank="1" showInputMessage="1" showErrorMessage="1" sqref="V6:W6 JQ6:JR6 TM6:TN6 ADI6:ADJ6 ANE6:ANF6 AXA6:AXB6 BGW6:BGX6 BQS6:BQT6 CAO6:CAP6 CKK6:CKL6 CUG6:CUH6 DEC6:DED6 DNY6:DNZ6 DXU6:DXV6 EHQ6:EHR6 ERM6:ERN6 FBI6:FBJ6 FLE6:FLF6 FVA6:FVB6 GEW6:GEX6 GOS6:GOT6 GYO6:GYP6 HIK6:HIL6 HSG6:HSH6 ICC6:ICD6 ILY6:ILZ6 IVU6:IVV6 JFQ6:JFR6 JPM6:JPN6 JZI6:JZJ6 KJE6:KJF6 KTA6:KTB6 LCW6:LCX6 LMS6:LMT6 LWO6:LWP6 MGK6:MGL6 MQG6:MQH6 NAC6:NAD6 NJY6:NJZ6 NTU6:NTV6 ODQ6:ODR6 ONM6:ONN6 OXI6:OXJ6 PHE6:PHF6 PRA6:PRB6 QAW6:QAX6 QKS6:QKT6 QUO6:QUP6 REK6:REL6 ROG6:ROH6 RYC6:RYD6 SHY6:SHZ6 SRU6:SRV6 TBQ6:TBR6 TLM6:TLN6 TVI6:TVJ6 UFE6:UFF6 UPA6:UPB6 UYW6:UYX6 VIS6:VIT6 VSO6:VSP6 WCK6:WCL6 WMG6:WMH6 WWC6:WWD6 U65541:V65541 JL65541:JM65541 TH65541:TI65541 ADD65541:ADE65541 AMZ65541:ANA65541 AWV65541:AWW65541 BGR65541:BGS65541 BQN65541:BQO65541 CAJ65541:CAK65541 CKF65541:CKG65541 CUB65541:CUC65541 DDX65541:DDY65541 DNT65541:DNU65541 DXP65541:DXQ65541 EHL65541:EHM65541 ERH65541:ERI65541 FBD65541:FBE65541 FKZ65541:FLA65541 FUV65541:FUW65541 GER65541:GES65541 GON65541:GOO65541 GYJ65541:GYK65541 HIF65541:HIG65541 HSB65541:HSC65541 IBX65541:IBY65541 ILT65541:ILU65541 IVP65541:IVQ65541 JFL65541:JFM65541 JPH65541:JPI65541 JZD65541:JZE65541 KIZ65541:KJA65541 KSV65541:KSW65541 LCR65541:LCS65541 LMN65541:LMO65541 LWJ65541:LWK65541 MGF65541:MGG65541 MQB65541:MQC65541 MZX65541:MZY65541 NJT65541:NJU65541 NTP65541:NTQ65541 ODL65541:ODM65541 ONH65541:ONI65541 OXD65541:OXE65541 PGZ65541:PHA65541 PQV65541:PQW65541 QAR65541:QAS65541 QKN65541:QKO65541 QUJ65541:QUK65541 REF65541:REG65541 ROB65541:ROC65541 RXX65541:RXY65541 SHT65541:SHU65541 SRP65541:SRQ65541 TBL65541:TBM65541 TLH65541:TLI65541 TVD65541:TVE65541 UEZ65541:UFA65541 UOV65541:UOW65541 UYR65541:UYS65541 VIN65541:VIO65541 VSJ65541:VSK65541 WCF65541:WCG65541 WMB65541:WMC65541 WVX65541:WVY65541 U131077:V131077 JL131077:JM131077 TH131077:TI131077 ADD131077:ADE131077 AMZ131077:ANA131077 AWV131077:AWW131077 BGR131077:BGS131077 BQN131077:BQO131077 CAJ131077:CAK131077 CKF131077:CKG131077 CUB131077:CUC131077 DDX131077:DDY131077 DNT131077:DNU131077 DXP131077:DXQ131077 EHL131077:EHM131077 ERH131077:ERI131077 FBD131077:FBE131077 FKZ131077:FLA131077 FUV131077:FUW131077 GER131077:GES131077 GON131077:GOO131077 GYJ131077:GYK131077 HIF131077:HIG131077 HSB131077:HSC131077 IBX131077:IBY131077 ILT131077:ILU131077 IVP131077:IVQ131077 JFL131077:JFM131077 JPH131077:JPI131077 JZD131077:JZE131077 KIZ131077:KJA131077 KSV131077:KSW131077 LCR131077:LCS131077 LMN131077:LMO131077 LWJ131077:LWK131077 MGF131077:MGG131077 MQB131077:MQC131077 MZX131077:MZY131077 NJT131077:NJU131077 NTP131077:NTQ131077 ODL131077:ODM131077 ONH131077:ONI131077 OXD131077:OXE131077 PGZ131077:PHA131077 PQV131077:PQW131077 QAR131077:QAS131077 QKN131077:QKO131077 QUJ131077:QUK131077 REF131077:REG131077 ROB131077:ROC131077 RXX131077:RXY131077 SHT131077:SHU131077 SRP131077:SRQ131077 TBL131077:TBM131077 TLH131077:TLI131077 TVD131077:TVE131077 UEZ131077:UFA131077 UOV131077:UOW131077 UYR131077:UYS131077 VIN131077:VIO131077 VSJ131077:VSK131077 WCF131077:WCG131077 WMB131077:WMC131077 WVX131077:WVY131077 U196613:V196613 JL196613:JM196613 TH196613:TI196613 ADD196613:ADE196613 AMZ196613:ANA196613 AWV196613:AWW196613 BGR196613:BGS196613 BQN196613:BQO196613 CAJ196613:CAK196613 CKF196613:CKG196613 CUB196613:CUC196613 DDX196613:DDY196613 DNT196613:DNU196613 DXP196613:DXQ196613 EHL196613:EHM196613 ERH196613:ERI196613 FBD196613:FBE196613 FKZ196613:FLA196613 FUV196613:FUW196613 GER196613:GES196613 GON196613:GOO196613 GYJ196613:GYK196613 HIF196613:HIG196613 HSB196613:HSC196613 IBX196613:IBY196613 ILT196613:ILU196613 IVP196613:IVQ196613 JFL196613:JFM196613 JPH196613:JPI196613 JZD196613:JZE196613 KIZ196613:KJA196613 KSV196613:KSW196613 LCR196613:LCS196613 LMN196613:LMO196613 LWJ196613:LWK196613 MGF196613:MGG196613 MQB196613:MQC196613 MZX196613:MZY196613 NJT196613:NJU196613 NTP196613:NTQ196613 ODL196613:ODM196613 ONH196613:ONI196613 OXD196613:OXE196613 PGZ196613:PHA196613 PQV196613:PQW196613 QAR196613:QAS196613 QKN196613:QKO196613 QUJ196613:QUK196613 REF196613:REG196613 ROB196613:ROC196613 RXX196613:RXY196613 SHT196613:SHU196613 SRP196613:SRQ196613 TBL196613:TBM196613 TLH196613:TLI196613 TVD196613:TVE196613 UEZ196613:UFA196613 UOV196613:UOW196613 UYR196613:UYS196613 VIN196613:VIO196613 VSJ196613:VSK196613 WCF196613:WCG196613 WMB196613:WMC196613 WVX196613:WVY196613 U262149:V262149 JL262149:JM262149 TH262149:TI262149 ADD262149:ADE262149 AMZ262149:ANA262149 AWV262149:AWW262149 BGR262149:BGS262149 BQN262149:BQO262149 CAJ262149:CAK262149 CKF262149:CKG262149 CUB262149:CUC262149 DDX262149:DDY262149 DNT262149:DNU262149 DXP262149:DXQ262149 EHL262149:EHM262149 ERH262149:ERI262149 FBD262149:FBE262149 FKZ262149:FLA262149 FUV262149:FUW262149 GER262149:GES262149 GON262149:GOO262149 GYJ262149:GYK262149 HIF262149:HIG262149 HSB262149:HSC262149 IBX262149:IBY262149 ILT262149:ILU262149 IVP262149:IVQ262149 JFL262149:JFM262149 JPH262149:JPI262149 JZD262149:JZE262149 KIZ262149:KJA262149 KSV262149:KSW262149 LCR262149:LCS262149 LMN262149:LMO262149 LWJ262149:LWK262149 MGF262149:MGG262149 MQB262149:MQC262149 MZX262149:MZY262149 NJT262149:NJU262149 NTP262149:NTQ262149 ODL262149:ODM262149 ONH262149:ONI262149 OXD262149:OXE262149 PGZ262149:PHA262149 PQV262149:PQW262149 QAR262149:QAS262149 QKN262149:QKO262149 QUJ262149:QUK262149 REF262149:REG262149 ROB262149:ROC262149 RXX262149:RXY262149 SHT262149:SHU262149 SRP262149:SRQ262149 TBL262149:TBM262149 TLH262149:TLI262149 TVD262149:TVE262149 UEZ262149:UFA262149 UOV262149:UOW262149 UYR262149:UYS262149 VIN262149:VIO262149 VSJ262149:VSK262149 WCF262149:WCG262149 WMB262149:WMC262149 WVX262149:WVY262149 U327685:V327685 JL327685:JM327685 TH327685:TI327685 ADD327685:ADE327685 AMZ327685:ANA327685 AWV327685:AWW327685 BGR327685:BGS327685 BQN327685:BQO327685 CAJ327685:CAK327685 CKF327685:CKG327685 CUB327685:CUC327685 DDX327685:DDY327685 DNT327685:DNU327685 DXP327685:DXQ327685 EHL327685:EHM327685 ERH327685:ERI327685 FBD327685:FBE327685 FKZ327685:FLA327685 FUV327685:FUW327685 GER327685:GES327685 GON327685:GOO327685 GYJ327685:GYK327685 HIF327685:HIG327685 HSB327685:HSC327685 IBX327685:IBY327685 ILT327685:ILU327685 IVP327685:IVQ327685 JFL327685:JFM327685 JPH327685:JPI327685 JZD327685:JZE327685 KIZ327685:KJA327685 KSV327685:KSW327685 LCR327685:LCS327685 LMN327685:LMO327685 LWJ327685:LWK327685 MGF327685:MGG327685 MQB327685:MQC327685 MZX327685:MZY327685 NJT327685:NJU327685 NTP327685:NTQ327685 ODL327685:ODM327685 ONH327685:ONI327685 OXD327685:OXE327685 PGZ327685:PHA327685 PQV327685:PQW327685 QAR327685:QAS327685 QKN327685:QKO327685 QUJ327685:QUK327685 REF327685:REG327685 ROB327685:ROC327685 RXX327685:RXY327685 SHT327685:SHU327685 SRP327685:SRQ327685 TBL327685:TBM327685 TLH327685:TLI327685 TVD327685:TVE327685 UEZ327685:UFA327685 UOV327685:UOW327685 UYR327685:UYS327685 VIN327685:VIO327685 VSJ327685:VSK327685 WCF327685:WCG327685 WMB327685:WMC327685 WVX327685:WVY327685 U393221:V393221 JL393221:JM393221 TH393221:TI393221 ADD393221:ADE393221 AMZ393221:ANA393221 AWV393221:AWW393221 BGR393221:BGS393221 BQN393221:BQO393221 CAJ393221:CAK393221 CKF393221:CKG393221 CUB393221:CUC393221 DDX393221:DDY393221 DNT393221:DNU393221 DXP393221:DXQ393221 EHL393221:EHM393221 ERH393221:ERI393221 FBD393221:FBE393221 FKZ393221:FLA393221 FUV393221:FUW393221 GER393221:GES393221 GON393221:GOO393221 GYJ393221:GYK393221 HIF393221:HIG393221 HSB393221:HSC393221 IBX393221:IBY393221 ILT393221:ILU393221 IVP393221:IVQ393221 JFL393221:JFM393221 JPH393221:JPI393221 JZD393221:JZE393221 KIZ393221:KJA393221 KSV393221:KSW393221 LCR393221:LCS393221 LMN393221:LMO393221 LWJ393221:LWK393221 MGF393221:MGG393221 MQB393221:MQC393221 MZX393221:MZY393221 NJT393221:NJU393221 NTP393221:NTQ393221 ODL393221:ODM393221 ONH393221:ONI393221 OXD393221:OXE393221 PGZ393221:PHA393221 PQV393221:PQW393221 QAR393221:QAS393221 QKN393221:QKO393221 QUJ393221:QUK393221 REF393221:REG393221 ROB393221:ROC393221 RXX393221:RXY393221 SHT393221:SHU393221 SRP393221:SRQ393221 TBL393221:TBM393221 TLH393221:TLI393221 TVD393221:TVE393221 UEZ393221:UFA393221 UOV393221:UOW393221 UYR393221:UYS393221 VIN393221:VIO393221 VSJ393221:VSK393221 WCF393221:WCG393221 WMB393221:WMC393221 WVX393221:WVY393221 U458757:V458757 JL458757:JM458757 TH458757:TI458757 ADD458757:ADE458757 AMZ458757:ANA458757 AWV458757:AWW458757 BGR458757:BGS458757 BQN458757:BQO458757 CAJ458757:CAK458757 CKF458757:CKG458757 CUB458757:CUC458757 DDX458757:DDY458757 DNT458757:DNU458757 DXP458757:DXQ458757 EHL458757:EHM458757 ERH458757:ERI458757 FBD458757:FBE458757 FKZ458757:FLA458757 FUV458757:FUW458757 GER458757:GES458757 GON458757:GOO458757 GYJ458757:GYK458757 HIF458757:HIG458757 HSB458757:HSC458757 IBX458757:IBY458757 ILT458757:ILU458757 IVP458757:IVQ458757 JFL458757:JFM458757 JPH458757:JPI458757 JZD458757:JZE458757 KIZ458757:KJA458757 KSV458757:KSW458757 LCR458757:LCS458757 LMN458757:LMO458757 LWJ458757:LWK458757 MGF458757:MGG458757 MQB458757:MQC458757 MZX458757:MZY458757 NJT458757:NJU458757 NTP458757:NTQ458757 ODL458757:ODM458757 ONH458757:ONI458757 OXD458757:OXE458757 PGZ458757:PHA458757 PQV458757:PQW458757 QAR458757:QAS458757 QKN458757:QKO458757 QUJ458757:QUK458757 REF458757:REG458757 ROB458757:ROC458757 RXX458757:RXY458757 SHT458757:SHU458757 SRP458757:SRQ458757 TBL458757:TBM458757 TLH458757:TLI458757 TVD458757:TVE458757 UEZ458757:UFA458757 UOV458757:UOW458757 UYR458757:UYS458757 VIN458757:VIO458757 VSJ458757:VSK458757 WCF458757:WCG458757 WMB458757:WMC458757 WVX458757:WVY458757 U524293:V524293 JL524293:JM524293 TH524293:TI524293 ADD524293:ADE524293 AMZ524293:ANA524293 AWV524293:AWW524293 BGR524293:BGS524293 BQN524293:BQO524293 CAJ524293:CAK524293 CKF524293:CKG524293 CUB524293:CUC524293 DDX524293:DDY524293 DNT524293:DNU524293 DXP524293:DXQ524293 EHL524293:EHM524293 ERH524293:ERI524293 FBD524293:FBE524293 FKZ524293:FLA524293 FUV524293:FUW524293 GER524293:GES524293 GON524293:GOO524293 GYJ524293:GYK524293 HIF524293:HIG524293 HSB524293:HSC524293 IBX524293:IBY524293 ILT524293:ILU524293 IVP524293:IVQ524293 JFL524293:JFM524293 JPH524293:JPI524293 JZD524293:JZE524293 KIZ524293:KJA524293 KSV524293:KSW524293 LCR524293:LCS524293 LMN524293:LMO524293 LWJ524293:LWK524293 MGF524293:MGG524293 MQB524293:MQC524293 MZX524293:MZY524293 NJT524293:NJU524293 NTP524293:NTQ524293 ODL524293:ODM524293 ONH524293:ONI524293 OXD524293:OXE524293 PGZ524293:PHA524293 PQV524293:PQW524293 QAR524293:QAS524293 QKN524293:QKO524293 QUJ524293:QUK524293 REF524293:REG524293 ROB524293:ROC524293 RXX524293:RXY524293 SHT524293:SHU524293 SRP524293:SRQ524293 TBL524293:TBM524293 TLH524293:TLI524293 TVD524293:TVE524293 UEZ524293:UFA524293 UOV524293:UOW524293 UYR524293:UYS524293 VIN524293:VIO524293 VSJ524293:VSK524293 WCF524293:WCG524293 WMB524293:WMC524293 WVX524293:WVY524293 U589829:V589829 JL589829:JM589829 TH589829:TI589829 ADD589829:ADE589829 AMZ589829:ANA589829 AWV589829:AWW589829 BGR589829:BGS589829 BQN589829:BQO589829 CAJ589829:CAK589829 CKF589829:CKG589829 CUB589829:CUC589829 DDX589829:DDY589829 DNT589829:DNU589829 DXP589829:DXQ589829 EHL589829:EHM589829 ERH589829:ERI589829 FBD589829:FBE589829 FKZ589829:FLA589829 FUV589829:FUW589829 GER589829:GES589829 GON589829:GOO589829 GYJ589829:GYK589829 HIF589829:HIG589829 HSB589829:HSC589829 IBX589829:IBY589829 ILT589829:ILU589829 IVP589829:IVQ589829 JFL589829:JFM589829 JPH589829:JPI589829 JZD589829:JZE589829 KIZ589829:KJA589829 KSV589829:KSW589829 LCR589829:LCS589829 LMN589829:LMO589829 LWJ589829:LWK589829 MGF589829:MGG589829 MQB589829:MQC589829 MZX589829:MZY589829 NJT589829:NJU589829 NTP589829:NTQ589829 ODL589829:ODM589829 ONH589829:ONI589829 OXD589829:OXE589829 PGZ589829:PHA589829 PQV589829:PQW589829 QAR589829:QAS589829 QKN589829:QKO589829 QUJ589829:QUK589829 REF589829:REG589829 ROB589829:ROC589829 RXX589829:RXY589829 SHT589829:SHU589829 SRP589829:SRQ589829 TBL589829:TBM589829 TLH589829:TLI589829 TVD589829:TVE589829 UEZ589829:UFA589829 UOV589829:UOW589829 UYR589829:UYS589829 VIN589829:VIO589829 VSJ589829:VSK589829 WCF589829:WCG589829 WMB589829:WMC589829 WVX589829:WVY589829 U655365:V655365 JL655365:JM655365 TH655365:TI655365 ADD655365:ADE655365 AMZ655365:ANA655365 AWV655365:AWW655365 BGR655365:BGS655365 BQN655365:BQO655365 CAJ655365:CAK655365 CKF655365:CKG655365 CUB655365:CUC655365 DDX655365:DDY655365 DNT655365:DNU655365 DXP655365:DXQ655365 EHL655365:EHM655365 ERH655365:ERI655365 FBD655365:FBE655365 FKZ655365:FLA655365 FUV655365:FUW655365 GER655365:GES655365 GON655365:GOO655365 GYJ655365:GYK655365 HIF655365:HIG655365 HSB655365:HSC655365 IBX655365:IBY655365 ILT655365:ILU655365 IVP655365:IVQ655365 JFL655365:JFM655365 JPH655365:JPI655365 JZD655365:JZE655365 KIZ655365:KJA655365 KSV655365:KSW655365 LCR655365:LCS655365 LMN655365:LMO655365 LWJ655365:LWK655365 MGF655365:MGG655365 MQB655365:MQC655365 MZX655365:MZY655365 NJT655365:NJU655365 NTP655365:NTQ655365 ODL655365:ODM655365 ONH655365:ONI655365 OXD655365:OXE655365 PGZ655365:PHA655365 PQV655365:PQW655365 QAR655365:QAS655365 QKN655365:QKO655365 QUJ655365:QUK655365 REF655365:REG655365 ROB655365:ROC655365 RXX655365:RXY655365 SHT655365:SHU655365 SRP655365:SRQ655365 TBL655365:TBM655365 TLH655365:TLI655365 TVD655365:TVE655365 UEZ655365:UFA655365 UOV655365:UOW655365 UYR655365:UYS655365 VIN655365:VIO655365 VSJ655365:VSK655365 WCF655365:WCG655365 WMB655365:WMC655365 WVX655365:WVY655365 U720901:V720901 JL720901:JM720901 TH720901:TI720901 ADD720901:ADE720901 AMZ720901:ANA720901 AWV720901:AWW720901 BGR720901:BGS720901 BQN720901:BQO720901 CAJ720901:CAK720901 CKF720901:CKG720901 CUB720901:CUC720901 DDX720901:DDY720901 DNT720901:DNU720901 DXP720901:DXQ720901 EHL720901:EHM720901 ERH720901:ERI720901 FBD720901:FBE720901 FKZ720901:FLA720901 FUV720901:FUW720901 GER720901:GES720901 GON720901:GOO720901 GYJ720901:GYK720901 HIF720901:HIG720901 HSB720901:HSC720901 IBX720901:IBY720901 ILT720901:ILU720901 IVP720901:IVQ720901 JFL720901:JFM720901 JPH720901:JPI720901 JZD720901:JZE720901 KIZ720901:KJA720901 KSV720901:KSW720901 LCR720901:LCS720901 LMN720901:LMO720901 LWJ720901:LWK720901 MGF720901:MGG720901 MQB720901:MQC720901 MZX720901:MZY720901 NJT720901:NJU720901 NTP720901:NTQ720901 ODL720901:ODM720901 ONH720901:ONI720901 OXD720901:OXE720901 PGZ720901:PHA720901 PQV720901:PQW720901 QAR720901:QAS720901 QKN720901:QKO720901 QUJ720901:QUK720901 REF720901:REG720901 ROB720901:ROC720901 RXX720901:RXY720901 SHT720901:SHU720901 SRP720901:SRQ720901 TBL720901:TBM720901 TLH720901:TLI720901 TVD720901:TVE720901 UEZ720901:UFA720901 UOV720901:UOW720901 UYR720901:UYS720901 VIN720901:VIO720901 VSJ720901:VSK720901 WCF720901:WCG720901 WMB720901:WMC720901 WVX720901:WVY720901 U786437:V786437 JL786437:JM786437 TH786437:TI786437 ADD786437:ADE786437 AMZ786437:ANA786437 AWV786437:AWW786437 BGR786437:BGS786437 BQN786437:BQO786437 CAJ786437:CAK786437 CKF786437:CKG786437 CUB786437:CUC786437 DDX786437:DDY786437 DNT786437:DNU786437 DXP786437:DXQ786437 EHL786437:EHM786437 ERH786437:ERI786437 FBD786437:FBE786437 FKZ786437:FLA786437 FUV786437:FUW786437 GER786437:GES786437 GON786437:GOO786437 GYJ786437:GYK786437 HIF786437:HIG786437 HSB786437:HSC786437 IBX786437:IBY786437 ILT786437:ILU786437 IVP786437:IVQ786437 JFL786437:JFM786437 JPH786437:JPI786437 JZD786437:JZE786437 KIZ786437:KJA786437 KSV786437:KSW786437 LCR786437:LCS786437 LMN786437:LMO786437 LWJ786437:LWK786437 MGF786437:MGG786437 MQB786437:MQC786437 MZX786437:MZY786437 NJT786437:NJU786437 NTP786437:NTQ786437 ODL786437:ODM786437 ONH786437:ONI786437 OXD786437:OXE786437 PGZ786437:PHA786437 PQV786437:PQW786437 QAR786437:QAS786437 QKN786437:QKO786437 QUJ786437:QUK786437 REF786437:REG786437 ROB786437:ROC786437 RXX786437:RXY786437 SHT786437:SHU786437 SRP786437:SRQ786437 TBL786437:TBM786437 TLH786437:TLI786437 TVD786437:TVE786437 UEZ786437:UFA786437 UOV786437:UOW786437 UYR786437:UYS786437 VIN786437:VIO786437 VSJ786437:VSK786437 WCF786437:WCG786437 WMB786437:WMC786437 WVX786437:WVY786437 U851973:V851973 JL851973:JM851973 TH851973:TI851973 ADD851973:ADE851973 AMZ851973:ANA851973 AWV851973:AWW851973 BGR851973:BGS851973 BQN851973:BQO851973 CAJ851973:CAK851973 CKF851973:CKG851973 CUB851973:CUC851973 DDX851973:DDY851973 DNT851973:DNU851973 DXP851973:DXQ851973 EHL851973:EHM851973 ERH851973:ERI851973 FBD851973:FBE851973 FKZ851973:FLA851973 FUV851973:FUW851973 GER851973:GES851973 GON851973:GOO851973 GYJ851973:GYK851973 HIF851973:HIG851973 HSB851973:HSC851973 IBX851973:IBY851973 ILT851973:ILU851973 IVP851973:IVQ851973 JFL851973:JFM851973 JPH851973:JPI851973 JZD851973:JZE851973 KIZ851973:KJA851973 KSV851973:KSW851973 LCR851973:LCS851973 LMN851973:LMO851973 LWJ851973:LWK851973 MGF851973:MGG851973 MQB851973:MQC851973 MZX851973:MZY851973 NJT851973:NJU851973 NTP851973:NTQ851973 ODL851973:ODM851973 ONH851973:ONI851973 OXD851973:OXE851973 PGZ851973:PHA851973 PQV851973:PQW851973 QAR851973:QAS851973 QKN851973:QKO851973 QUJ851973:QUK851973 REF851973:REG851973 ROB851973:ROC851973 RXX851973:RXY851973 SHT851973:SHU851973 SRP851973:SRQ851973 TBL851973:TBM851973 TLH851973:TLI851973 TVD851973:TVE851973 UEZ851973:UFA851973 UOV851973:UOW851973 UYR851973:UYS851973 VIN851973:VIO851973 VSJ851973:VSK851973 WCF851973:WCG851973 WMB851973:WMC851973 WVX851973:WVY851973 U917509:V917509 JL917509:JM917509 TH917509:TI917509 ADD917509:ADE917509 AMZ917509:ANA917509 AWV917509:AWW917509 BGR917509:BGS917509 BQN917509:BQO917509 CAJ917509:CAK917509 CKF917509:CKG917509 CUB917509:CUC917509 DDX917509:DDY917509 DNT917509:DNU917509 DXP917509:DXQ917509 EHL917509:EHM917509 ERH917509:ERI917509 FBD917509:FBE917509 FKZ917509:FLA917509 FUV917509:FUW917509 GER917509:GES917509 GON917509:GOO917509 GYJ917509:GYK917509 HIF917509:HIG917509 HSB917509:HSC917509 IBX917509:IBY917509 ILT917509:ILU917509 IVP917509:IVQ917509 JFL917509:JFM917509 JPH917509:JPI917509 JZD917509:JZE917509 KIZ917509:KJA917509 KSV917509:KSW917509 LCR917509:LCS917509 LMN917509:LMO917509 LWJ917509:LWK917509 MGF917509:MGG917509 MQB917509:MQC917509 MZX917509:MZY917509 NJT917509:NJU917509 NTP917509:NTQ917509 ODL917509:ODM917509 ONH917509:ONI917509 OXD917509:OXE917509 PGZ917509:PHA917509 PQV917509:PQW917509 QAR917509:QAS917509 QKN917509:QKO917509 QUJ917509:QUK917509 REF917509:REG917509 ROB917509:ROC917509 RXX917509:RXY917509 SHT917509:SHU917509 SRP917509:SRQ917509 TBL917509:TBM917509 TLH917509:TLI917509 TVD917509:TVE917509 UEZ917509:UFA917509 UOV917509:UOW917509 UYR917509:UYS917509 VIN917509:VIO917509 VSJ917509:VSK917509 WCF917509:WCG917509 WMB917509:WMC917509 WVX917509:WVY917509 U983045:V983045 JL983045:JM983045 TH983045:TI983045 ADD983045:ADE983045 AMZ983045:ANA983045 AWV983045:AWW983045 BGR983045:BGS983045 BQN983045:BQO983045 CAJ983045:CAK983045 CKF983045:CKG983045 CUB983045:CUC983045 DDX983045:DDY983045 DNT983045:DNU983045 DXP983045:DXQ983045 EHL983045:EHM983045 ERH983045:ERI983045 FBD983045:FBE983045 FKZ983045:FLA983045 FUV983045:FUW983045 GER983045:GES983045 GON983045:GOO983045 GYJ983045:GYK983045 HIF983045:HIG983045 HSB983045:HSC983045 IBX983045:IBY983045 ILT983045:ILU983045 IVP983045:IVQ983045 JFL983045:JFM983045 JPH983045:JPI983045 JZD983045:JZE983045 KIZ983045:KJA983045 KSV983045:KSW983045 LCR983045:LCS983045 LMN983045:LMO983045 LWJ983045:LWK983045 MGF983045:MGG983045 MQB983045:MQC983045 MZX983045:MZY983045 NJT983045:NJU983045 NTP983045:NTQ983045 ODL983045:ODM983045 ONH983045:ONI983045 OXD983045:OXE983045 PGZ983045:PHA983045 PQV983045:PQW983045 QAR983045:QAS983045 QKN983045:QKO983045 QUJ983045:QUK983045 REF983045:REG983045 ROB983045:ROC983045 RXX983045:RXY983045 SHT983045:SHU983045 SRP983045:SRQ983045 TBL983045:TBM983045 TLH983045:TLI983045 TVD983045:TVE983045 UEZ983045:UFA983045 UOV983045:UOW983045 UYR983045:UYS983045 VIN983045:VIO983045 VSJ983045:VSK983045 WCF983045:WCG983045 WMB983045:WMC983045 WVX983045:WVY983045">
      <formula1>"CRLF,CR,LF"</formula1>
    </dataValidation>
    <dataValidation type="list" allowBlank="1" showInputMessage="1" showErrorMessage="1" sqref="Y65545:Y65562 JP65545:JP65562 TL65545:TL65562 ADH65545:ADH65562 AND65545:AND65562 AWZ65545:AWZ65562 BGV65545:BGV65562 BQR65545:BQR65562 CAN65545:CAN65562 CKJ65545:CKJ65562 CUF65545:CUF65562 DEB65545:DEB65562 DNX65545:DNX65562 DXT65545:DXT65562 EHP65545:EHP65562 ERL65545:ERL65562 FBH65545:FBH65562 FLD65545:FLD65562 FUZ65545:FUZ65562 GEV65545:GEV65562 GOR65545:GOR65562 GYN65545:GYN65562 HIJ65545:HIJ65562 HSF65545:HSF65562 ICB65545:ICB65562 ILX65545:ILX65562 IVT65545:IVT65562 JFP65545:JFP65562 JPL65545:JPL65562 JZH65545:JZH65562 KJD65545:KJD65562 KSZ65545:KSZ65562 LCV65545:LCV65562 LMR65545:LMR65562 LWN65545:LWN65562 MGJ65545:MGJ65562 MQF65545:MQF65562 NAB65545:NAB65562 NJX65545:NJX65562 NTT65545:NTT65562 ODP65545:ODP65562 ONL65545:ONL65562 OXH65545:OXH65562 PHD65545:PHD65562 PQZ65545:PQZ65562 QAV65545:QAV65562 QKR65545:QKR65562 QUN65545:QUN65562 REJ65545:REJ65562 ROF65545:ROF65562 RYB65545:RYB65562 SHX65545:SHX65562 SRT65545:SRT65562 TBP65545:TBP65562 TLL65545:TLL65562 TVH65545:TVH65562 UFD65545:UFD65562 UOZ65545:UOZ65562 UYV65545:UYV65562 VIR65545:VIR65562 VSN65545:VSN65562 WCJ65545:WCJ65562 WMF65545:WMF65562 WWB65545:WWB65562 Y131081:Y131098 JP131081:JP131098 TL131081:TL131098 ADH131081:ADH131098 AND131081:AND131098 AWZ131081:AWZ131098 BGV131081:BGV131098 BQR131081:BQR131098 CAN131081:CAN131098 CKJ131081:CKJ131098 CUF131081:CUF131098 DEB131081:DEB131098 DNX131081:DNX131098 DXT131081:DXT131098 EHP131081:EHP131098 ERL131081:ERL131098 FBH131081:FBH131098 FLD131081:FLD131098 FUZ131081:FUZ131098 GEV131081:GEV131098 GOR131081:GOR131098 GYN131081:GYN131098 HIJ131081:HIJ131098 HSF131081:HSF131098 ICB131081:ICB131098 ILX131081:ILX131098 IVT131081:IVT131098 JFP131081:JFP131098 JPL131081:JPL131098 JZH131081:JZH131098 KJD131081:KJD131098 KSZ131081:KSZ131098 LCV131081:LCV131098 LMR131081:LMR131098 LWN131081:LWN131098 MGJ131081:MGJ131098 MQF131081:MQF131098 NAB131081:NAB131098 NJX131081:NJX131098 NTT131081:NTT131098 ODP131081:ODP131098 ONL131081:ONL131098 OXH131081:OXH131098 PHD131081:PHD131098 PQZ131081:PQZ131098 QAV131081:QAV131098 QKR131081:QKR131098 QUN131081:QUN131098 REJ131081:REJ131098 ROF131081:ROF131098 RYB131081:RYB131098 SHX131081:SHX131098 SRT131081:SRT131098 TBP131081:TBP131098 TLL131081:TLL131098 TVH131081:TVH131098 UFD131081:UFD131098 UOZ131081:UOZ131098 UYV131081:UYV131098 VIR131081:VIR131098 VSN131081:VSN131098 WCJ131081:WCJ131098 WMF131081:WMF131098 WWB131081:WWB131098 Y196617:Y196634 JP196617:JP196634 TL196617:TL196634 ADH196617:ADH196634 AND196617:AND196634 AWZ196617:AWZ196634 BGV196617:BGV196634 BQR196617:BQR196634 CAN196617:CAN196634 CKJ196617:CKJ196634 CUF196617:CUF196634 DEB196617:DEB196634 DNX196617:DNX196634 DXT196617:DXT196634 EHP196617:EHP196634 ERL196617:ERL196634 FBH196617:FBH196634 FLD196617:FLD196634 FUZ196617:FUZ196634 GEV196617:GEV196634 GOR196617:GOR196634 GYN196617:GYN196634 HIJ196617:HIJ196634 HSF196617:HSF196634 ICB196617:ICB196634 ILX196617:ILX196634 IVT196617:IVT196634 JFP196617:JFP196634 JPL196617:JPL196634 JZH196617:JZH196634 KJD196617:KJD196634 KSZ196617:KSZ196634 LCV196617:LCV196634 LMR196617:LMR196634 LWN196617:LWN196634 MGJ196617:MGJ196634 MQF196617:MQF196634 NAB196617:NAB196634 NJX196617:NJX196634 NTT196617:NTT196634 ODP196617:ODP196634 ONL196617:ONL196634 OXH196617:OXH196634 PHD196617:PHD196634 PQZ196617:PQZ196634 QAV196617:QAV196634 QKR196617:QKR196634 QUN196617:QUN196634 REJ196617:REJ196634 ROF196617:ROF196634 RYB196617:RYB196634 SHX196617:SHX196634 SRT196617:SRT196634 TBP196617:TBP196634 TLL196617:TLL196634 TVH196617:TVH196634 UFD196617:UFD196634 UOZ196617:UOZ196634 UYV196617:UYV196634 VIR196617:VIR196634 VSN196617:VSN196634 WCJ196617:WCJ196634 WMF196617:WMF196634 WWB196617:WWB196634 Y262153:Y262170 JP262153:JP262170 TL262153:TL262170 ADH262153:ADH262170 AND262153:AND262170 AWZ262153:AWZ262170 BGV262153:BGV262170 BQR262153:BQR262170 CAN262153:CAN262170 CKJ262153:CKJ262170 CUF262153:CUF262170 DEB262153:DEB262170 DNX262153:DNX262170 DXT262153:DXT262170 EHP262153:EHP262170 ERL262153:ERL262170 FBH262153:FBH262170 FLD262153:FLD262170 FUZ262153:FUZ262170 GEV262153:GEV262170 GOR262153:GOR262170 GYN262153:GYN262170 HIJ262153:HIJ262170 HSF262153:HSF262170 ICB262153:ICB262170 ILX262153:ILX262170 IVT262153:IVT262170 JFP262153:JFP262170 JPL262153:JPL262170 JZH262153:JZH262170 KJD262153:KJD262170 KSZ262153:KSZ262170 LCV262153:LCV262170 LMR262153:LMR262170 LWN262153:LWN262170 MGJ262153:MGJ262170 MQF262153:MQF262170 NAB262153:NAB262170 NJX262153:NJX262170 NTT262153:NTT262170 ODP262153:ODP262170 ONL262153:ONL262170 OXH262153:OXH262170 PHD262153:PHD262170 PQZ262153:PQZ262170 QAV262153:QAV262170 QKR262153:QKR262170 QUN262153:QUN262170 REJ262153:REJ262170 ROF262153:ROF262170 RYB262153:RYB262170 SHX262153:SHX262170 SRT262153:SRT262170 TBP262153:TBP262170 TLL262153:TLL262170 TVH262153:TVH262170 UFD262153:UFD262170 UOZ262153:UOZ262170 UYV262153:UYV262170 VIR262153:VIR262170 VSN262153:VSN262170 WCJ262153:WCJ262170 WMF262153:WMF262170 WWB262153:WWB262170 Y327689:Y327706 JP327689:JP327706 TL327689:TL327706 ADH327689:ADH327706 AND327689:AND327706 AWZ327689:AWZ327706 BGV327689:BGV327706 BQR327689:BQR327706 CAN327689:CAN327706 CKJ327689:CKJ327706 CUF327689:CUF327706 DEB327689:DEB327706 DNX327689:DNX327706 DXT327689:DXT327706 EHP327689:EHP327706 ERL327689:ERL327706 FBH327689:FBH327706 FLD327689:FLD327706 FUZ327689:FUZ327706 GEV327689:GEV327706 GOR327689:GOR327706 GYN327689:GYN327706 HIJ327689:HIJ327706 HSF327689:HSF327706 ICB327689:ICB327706 ILX327689:ILX327706 IVT327689:IVT327706 JFP327689:JFP327706 JPL327689:JPL327706 JZH327689:JZH327706 KJD327689:KJD327706 KSZ327689:KSZ327706 LCV327689:LCV327706 LMR327689:LMR327706 LWN327689:LWN327706 MGJ327689:MGJ327706 MQF327689:MQF327706 NAB327689:NAB327706 NJX327689:NJX327706 NTT327689:NTT327706 ODP327689:ODP327706 ONL327689:ONL327706 OXH327689:OXH327706 PHD327689:PHD327706 PQZ327689:PQZ327706 QAV327689:QAV327706 QKR327689:QKR327706 QUN327689:QUN327706 REJ327689:REJ327706 ROF327689:ROF327706 RYB327689:RYB327706 SHX327689:SHX327706 SRT327689:SRT327706 TBP327689:TBP327706 TLL327689:TLL327706 TVH327689:TVH327706 UFD327689:UFD327706 UOZ327689:UOZ327706 UYV327689:UYV327706 VIR327689:VIR327706 VSN327689:VSN327706 WCJ327689:WCJ327706 WMF327689:WMF327706 WWB327689:WWB327706 Y393225:Y393242 JP393225:JP393242 TL393225:TL393242 ADH393225:ADH393242 AND393225:AND393242 AWZ393225:AWZ393242 BGV393225:BGV393242 BQR393225:BQR393242 CAN393225:CAN393242 CKJ393225:CKJ393242 CUF393225:CUF393242 DEB393225:DEB393242 DNX393225:DNX393242 DXT393225:DXT393242 EHP393225:EHP393242 ERL393225:ERL393242 FBH393225:FBH393242 FLD393225:FLD393242 FUZ393225:FUZ393242 GEV393225:GEV393242 GOR393225:GOR393242 GYN393225:GYN393242 HIJ393225:HIJ393242 HSF393225:HSF393242 ICB393225:ICB393242 ILX393225:ILX393242 IVT393225:IVT393242 JFP393225:JFP393242 JPL393225:JPL393242 JZH393225:JZH393242 KJD393225:KJD393242 KSZ393225:KSZ393242 LCV393225:LCV393242 LMR393225:LMR393242 LWN393225:LWN393242 MGJ393225:MGJ393242 MQF393225:MQF393242 NAB393225:NAB393242 NJX393225:NJX393242 NTT393225:NTT393242 ODP393225:ODP393242 ONL393225:ONL393242 OXH393225:OXH393242 PHD393225:PHD393242 PQZ393225:PQZ393242 QAV393225:QAV393242 QKR393225:QKR393242 QUN393225:QUN393242 REJ393225:REJ393242 ROF393225:ROF393242 RYB393225:RYB393242 SHX393225:SHX393242 SRT393225:SRT393242 TBP393225:TBP393242 TLL393225:TLL393242 TVH393225:TVH393242 UFD393225:UFD393242 UOZ393225:UOZ393242 UYV393225:UYV393242 VIR393225:VIR393242 VSN393225:VSN393242 WCJ393225:WCJ393242 WMF393225:WMF393242 WWB393225:WWB393242 Y458761:Y458778 JP458761:JP458778 TL458761:TL458778 ADH458761:ADH458778 AND458761:AND458778 AWZ458761:AWZ458778 BGV458761:BGV458778 BQR458761:BQR458778 CAN458761:CAN458778 CKJ458761:CKJ458778 CUF458761:CUF458778 DEB458761:DEB458778 DNX458761:DNX458778 DXT458761:DXT458778 EHP458761:EHP458778 ERL458761:ERL458778 FBH458761:FBH458778 FLD458761:FLD458778 FUZ458761:FUZ458778 GEV458761:GEV458778 GOR458761:GOR458778 GYN458761:GYN458778 HIJ458761:HIJ458778 HSF458761:HSF458778 ICB458761:ICB458778 ILX458761:ILX458778 IVT458761:IVT458778 JFP458761:JFP458778 JPL458761:JPL458778 JZH458761:JZH458778 KJD458761:KJD458778 KSZ458761:KSZ458778 LCV458761:LCV458778 LMR458761:LMR458778 LWN458761:LWN458778 MGJ458761:MGJ458778 MQF458761:MQF458778 NAB458761:NAB458778 NJX458761:NJX458778 NTT458761:NTT458778 ODP458761:ODP458778 ONL458761:ONL458778 OXH458761:OXH458778 PHD458761:PHD458778 PQZ458761:PQZ458778 QAV458761:QAV458778 QKR458761:QKR458778 QUN458761:QUN458778 REJ458761:REJ458778 ROF458761:ROF458778 RYB458761:RYB458778 SHX458761:SHX458778 SRT458761:SRT458778 TBP458761:TBP458778 TLL458761:TLL458778 TVH458761:TVH458778 UFD458761:UFD458778 UOZ458761:UOZ458778 UYV458761:UYV458778 VIR458761:VIR458778 VSN458761:VSN458778 WCJ458761:WCJ458778 WMF458761:WMF458778 WWB458761:WWB458778 Y524297:Y524314 JP524297:JP524314 TL524297:TL524314 ADH524297:ADH524314 AND524297:AND524314 AWZ524297:AWZ524314 BGV524297:BGV524314 BQR524297:BQR524314 CAN524297:CAN524314 CKJ524297:CKJ524314 CUF524297:CUF524314 DEB524297:DEB524314 DNX524297:DNX524314 DXT524297:DXT524314 EHP524297:EHP524314 ERL524297:ERL524314 FBH524297:FBH524314 FLD524297:FLD524314 FUZ524297:FUZ524314 GEV524297:GEV524314 GOR524297:GOR524314 GYN524297:GYN524314 HIJ524297:HIJ524314 HSF524297:HSF524314 ICB524297:ICB524314 ILX524297:ILX524314 IVT524297:IVT524314 JFP524297:JFP524314 JPL524297:JPL524314 JZH524297:JZH524314 KJD524297:KJD524314 KSZ524297:KSZ524314 LCV524297:LCV524314 LMR524297:LMR524314 LWN524297:LWN524314 MGJ524297:MGJ524314 MQF524297:MQF524314 NAB524297:NAB524314 NJX524297:NJX524314 NTT524297:NTT524314 ODP524297:ODP524314 ONL524297:ONL524314 OXH524297:OXH524314 PHD524297:PHD524314 PQZ524297:PQZ524314 QAV524297:QAV524314 QKR524297:QKR524314 QUN524297:QUN524314 REJ524297:REJ524314 ROF524297:ROF524314 RYB524297:RYB524314 SHX524297:SHX524314 SRT524297:SRT524314 TBP524297:TBP524314 TLL524297:TLL524314 TVH524297:TVH524314 UFD524297:UFD524314 UOZ524297:UOZ524314 UYV524297:UYV524314 VIR524297:VIR524314 VSN524297:VSN524314 WCJ524297:WCJ524314 WMF524297:WMF524314 WWB524297:WWB524314 Y589833:Y589850 JP589833:JP589850 TL589833:TL589850 ADH589833:ADH589850 AND589833:AND589850 AWZ589833:AWZ589850 BGV589833:BGV589850 BQR589833:BQR589850 CAN589833:CAN589850 CKJ589833:CKJ589850 CUF589833:CUF589850 DEB589833:DEB589850 DNX589833:DNX589850 DXT589833:DXT589850 EHP589833:EHP589850 ERL589833:ERL589850 FBH589833:FBH589850 FLD589833:FLD589850 FUZ589833:FUZ589850 GEV589833:GEV589850 GOR589833:GOR589850 GYN589833:GYN589850 HIJ589833:HIJ589850 HSF589833:HSF589850 ICB589833:ICB589850 ILX589833:ILX589850 IVT589833:IVT589850 JFP589833:JFP589850 JPL589833:JPL589850 JZH589833:JZH589850 KJD589833:KJD589850 KSZ589833:KSZ589850 LCV589833:LCV589850 LMR589833:LMR589850 LWN589833:LWN589850 MGJ589833:MGJ589850 MQF589833:MQF589850 NAB589833:NAB589850 NJX589833:NJX589850 NTT589833:NTT589850 ODP589833:ODP589850 ONL589833:ONL589850 OXH589833:OXH589850 PHD589833:PHD589850 PQZ589833:PQZ589850 QAV589833:QAV589850 QKR589833:QKR589850 QUN589833:QUN589850 REJ589833:REJ589850 ROF589833:ROF589850 RYB589833:RYB589850 SHX589833:SHX589850 SRT589833:SRT589850 TBP589833:TBP589850 TLL589833:TLL589850 TVH589833:TVH589850 UFD589833:UFD589850 UOZ589833:UOZ589850 UYV589833:UYV589850 VIR589833:VIR589850 VSN589833:VSN589850 WCJ589833:WCJ589850 WMF589833:WMF589850 WWB589833:WWB589850 Y655369:Y655386 JP655369:JP655386 TL655369:TL655386 ADH655369:ADH655386 AND655369:AND655386 AWZ655369:AWZ655386 BGV655369:BGV655386 BQR655369:BQR655386 CAN655369:CAN655386 CKJ655369:CKJ655386 CUF655369:CUF655386 DEB655369:DEB655386 DNX655369:DNX655386 DXT655369:DXT655386 EHP655369:EHP655386 ERL655369:ERL655386 FBH655369:FBH655386 FLD655369:FLD655386 FUZ655369:FUZ655386 GEV655369:GEV655386 GOR655369:GOR655386 GYN655369:GYN655386 HIJ655369:HIJ655386 HSF655369:HSF655386 ICB655369:ICB655386 ILX655369:ILX655386 IVT655369:IVT655386 JFP655369:JFP655386 JPL655369:JPL655386 JZH655369:JZH655386 KJD655369:KJD655386 KSZ655369:KSZ655386 LCV655369:LCV655386 LMR655369:LMR655386 LWN655369:LWN655386 MGJ655369:MGJ655386 MQF655369:MQF655386 NAB655369:NAB655386 NJX655369:NJX655386 NTT655369:NTT655386 ODP655369:ODP655386 ONL655369:ONL655386 OXH655369:OXH655386 PHD655369:PHD655386 PQZ655369:PQZ655386 QAV655369:QAV655386 QKR655369:QKR655386 QUN655369:QUN655386 REJ655369:REJ655386 ROF655369:ROF655386 RYB655369:RYB655386 SHX655369:SHX655386 SRT655369:SRT655386 TBP655369:TBP655386 TLL655369:TLL655386 TVH655369:TVH655386 UFD655369:UFD655386 UOZ655369:UOZ655386 UYV655369:UYV655386 VIR655369:VIR655386 VSN655369:VSN655386 WCJ655369:WCJ655386 WMF655369:WMF655386 WWB655369:WWB655386 Y720905:Y720922 JP720905:JP720922 TL720905:TL720922 ADH720905:ADH720922 AND720905:AND720922 AWZ720905:AWZ720922 BGV720905:BGV720922 BQR720905:BQR720922 CAN720905:CAN720922 CKJ720905:CKJ720922 CUF720905:CUF720922 DEB720905:DEB720922 DNX720905:DNX720922 DXT720905:DXT720922 EHP720905:EHP720922 ERL720905:ERL720922 FBH720905:FBH720922 FLD720905:FLD720922 FUZ720905:FUZ720922 GEV720905:GEV720922 GOR720905:GOR720922 GYN720905:GYN720922 HIJ720905:HIJ720922 HSF720905:HSF720922 ICB720905:ICB720922 ILX720905:ILX720922 IVT720905:IVT720922 JFP720905:JFP720922 JPL720905:JPL720922 JZH720905:JZH720922 KJD720905:KJD720922 KSZ720905:KSZ720922 LCV720905:LCV720922 LMR720905:LMR720922 LWN720905:LWN720922 MGJ720905:MGJ720922 MQF720905:MQF720922 NAB720905:NAB720922 NJX720905:NJX720922 NTT720905:NTT720922 ODP720905:ODP720922 ONL720905:ONL720922 OXH720905:OXH720922 PHD720905:PHD720922 PQZ720905:PQZ720922 QAV720905:QAV720922 QKR720905:QKR720922 QUN720905:QUN720922 REJ720905:REJ720922 ROF720905:ROF720922 RYB720905:RYB720922 SHX720905:SHX720922 SRT720905:SRT720922 TBP720905:TBP720922 TLL720905:TLL720922 TVH720905:TVH720922 UFD720905:UFD720922 UOZ720905:UOZ720922 UYV720905:UYV720922 VIR720905:VIR720922 VSN720905:VSN720922 WCJ720905:WCJ720922 WMF720905:WMF720922 WWB720905:WWB720922 Y786441:Y786458 JP786441:JP786458 TL786441:TL786458 ADH786441:ADH786458 AND786441:AND786458 AWZ786441:AWZ786458 BGV786441:BGV786458 BQR786441:BQR786458 CAN786441:CAN786458 CKJ786441:CKJ786458 CUF786441:CUF786458 DEB786441:DEB786458 DNX786441:DNX786458 DXT786441:DXT786458 EHP786441:EHP786458 ERL786441:ERL786458 FBH786441:FBH786458 FLD786441:FLD786458 FUZ786441:FUZ786458 GEV786441:GEV786458 GOR786441:GOR786458 GYN786441:GYN786458 HIJ786441:HIJ786458 HSF786441:HSF786458 ICB786441:ICB786458 ILX786441:ILX786458 IVT786441:IVT786458 JFP786441:JFP786458 JPL786441:JPL786458 JZH786441:JZH786458 KJD786441:KJD786458 KSZ786441:KSZ786458 LCV786441:LCV786458 LMR786441:LMR786458 LWN786441:LWN786458 MGJ786441:MGJ786458 MQF786441:MQF786458 NAB786441:NAB786458 NJX786441:NJX786458 NTT786441:NTT786458 ODP786441:ODP786458 ONL786441:ONL786458 OXH786441:OXH786458 PHD786441:PHD786458 PQZ786441:PQZ786458 QAV786441:QAV786458 QKR786441:QKR786458 QUN786441:QUN786458 REJ786441:REJ786458 ROF786441:ROF786458 RYB786441:RYB786458 SHX786441:SHX786458 SRT786441:SRT786458 TBP786441:TBP786458 TLL786441:TLL786458 TVH786441:TVH786458 UFD786441:UFD786458 UOZ786441:UOZ786458 UYV786441:UYV786458 VIR786441:VIR786458 VSN786441:VSN786458 WCJ786441:WCJ786458 WMF786441:WMF786458 WWB786441:WWB786458 Y851977:Y851994 JP851977:JP851994 TL851977:TL851994 ADH851977:ADH851994 AND851977:AND851994 AWZ851977:AWZ851994 BGV851977:BGV851994 BQR851977:BQR851994 CAN851977:CAN851994 CKJ851977:CKJ851994 CUF851977:CUF851994 DEB851977:DEB851994 DNX851977:DNX851994 DXT851977:DXT851994 EHP851977:EHP851994 ERL851977:ERL851994 FBH851977:FBH851994 FLD851977:FLD851994 FUZ851977:FUZ851994 GEV851977:GEV851994 GOR851977:GOR851994 GYN851977:GYN851994 HIJ851977:HIJ851994 HSF851977:HSF851994 ICB851977:ICB851994 ILX851977:ILX851994 IVT851977:IVT851994 JFP851977:JFP851994 JPL851977:JPL851994 JZH851977:JZH851994 KJD851977:KJD851994 KSZ851977:KSZ851994 LCV851977:LCV851994 LMR851977:LMR851994 LWN851977:LWN851994 MGJ851977:MGJ851994 MQF851977:MQF851994 NAB851977:NAB851994 NJX851977:NJX851994 NTT851977:NTT851994 ODP851977:ODP851994 ONL851977:ONL851994 OXH851977:OXH851994 PHD851977:PHD851994 PQZ851977:PQZ851994 QAV851977:QAV851994 QKR851977:QKR851994 QUN851977:QUN851994 REJ851977:REJ851994 ROF851977:ROF851994 RYB851977:RYB851994 SHX851977:SHX851994 SRT851977:SRT851994 TBP851977:TBP851994 TLL851977:TLL851994 TVH851977:TVH851994 UFD851977:UFD851994 UOZ851977:UOZ851994 UYV851977:UYV851994 VIR851977:VIR851994 VSN851977:VSN851994 WCJ851977:WCJ851994 WMF851977:WMF851994 WWB851977:WWB851994 Y917513:Y917530 JP917513:JP917530 TL917513:TL917530 ADH917513:ADH917530 AND917513:AND917530 AWZ917513:AWZ917530 BGV917513:BGV917530 BQR917513:BQR917530 CAN917513:CAN917530 CKJ917513:CKJ917530 CUF917513:CUF917530 DEB917513:DEB917530 DNX917513:DNX917530 DXT917513:DXT917530 EHP917513:EHP917530 ERL917513:ERL917530 FBH917513:FBH917530 FLD917513:FLD917530 FUZ917513:FUZ917530 GEV917513:GEV917530 GOR917513:GOR917530 GYN917513:GYN917530 HIJ917513:HIJ917530 HSF917513:HSF917530 ICB917513:ICB917530 ILX917513:ILX917530 IVT917513:IVT917530 JFP917513:JFP917530 JPL917513:JPL917530 JZH917513:JZH917530 KJD917513:KJD917530 KSZ917513:KSZ917530 LCV917513:LCV917530 LMR917513:LMR917530 LWN917513:LWN917530 MGJ917513:MGJ917530 MQF917513:MQF917530 NAB917513:NAB917530 NJX917513:NJX917530 NTT917513:NTT917530 ODP917513:ODP917530 ONL917513:ONL917530 OXH917513:OXH917530 PHD917513:PHD917530 PQZ917513:PQZ917530 QAV917513:QAV917530 QKR917513:QKR917530 QUN917513:QUN917530 REJ917513:REJ917530 ROF917513:ROF917530 RYB917513:RYB917530 SHX917513:SHX917530 SRT917513:SRT917530 TBP917513:TBP917530 TLL917513:TLL917530 TVH917513:TVH917530 UFD917513:UFD917530 UOZ917513:UOZ917530 UYV917513:UYV917530 VIR917513:VIR917530 VSN917513:VSN917530 WCJ917513:WCJ917530 WMF917513:WMF917530 WWB917513:WWB917530 Y983049:Y983066 JP983049:JP983066 TL983049:TL983066 ADH983049:ADH983066 AND983049:AND983066 AWZ983049:AWZ983066 BGV983049:BGV983066 BQR983049:BQR983066 CAN983049:CAN983066 CKJ983049:CKJ983066 CUF983049:CUF983066 DEB983049:DEB983066 DNX983049:DNX983066 DXT983049:DXT983066 EHP983049:EHP983066 ERL983049:ERL983066 FBH983049:FBH983066 FLD983049:FLD983066 FUZ983049:FUZ983066 GEV983049:GEV983066 GOR983049:GOR983066 GYN983049:GYN983066 HIJ983049:HIJ983066 HSF983049:HSF983066 ICB983049:ICB983066 ILX983049:ILX983066 IVT983049:IVT983066 JFP983049:JFP983066 JPL983049:JPL983066 JZH983049:JZH983066 KJD983049:KJD983066 KSZ983049:KSZ983066 LCV983049:LCV983066 LMR983049:LMR983066 LWN983049:LWN983066 MGJ983049:MGJ983066 MQF983049:MQF983066 NAB983049:NAB983066 NJX983049:NJX983066 NTT983049:NTT983066 ODP983049:ODP983066 ONL983049:ONL983066 OXH983049:OXH983066 PHD983049:PHD983066 PQZ983049:PQZ983066 QAV983049:QAV983066 QKR983049:QKR983066 QUN983049:QUN983066 REJ983049:REJ983066 ROF983049:ROF983066 RYB983049:RYB983066 SHX983049:SHX983066 SRT983049:SRT983066 TBP983049:TBP983066 TLL983049:TLL983066 TVH983049:TVH983066 UFD983049:UFD983066 UOZ983049:UOZ983066 UYV983049:UYV983066 VIR983049:VIR983066 VSN983049:VSN983066 WCJ983049:WCJ983066 WMF983049:WMF983066 WWB983049:WWB983066 Z65546:Z65561 JQ65546:JQ65561 TM65546:TM65561 ADI65546:ADI65561 ANE65546:ANE65561 AXA65546:AXA65561 BGW65546:BGW65561 BQS65546:BQS65561 CAO65546:CAO65561 CKK65546:CKK65561 CUG65546:CUG65561 DEC65546:DEC65561 DNY65546:DNY65561 DXU65546:DXU65561 EHQ65546:EHQ65561 ERM65546:ERM65561 FBI65546:FBI65561 FLE65546:FLE65561 FVA65546:FVA65561 GEW65546:GEW65561 GOS65546:GOS65561 GYO65546:GYO65561 HIK65546:HIK65561 HSG65546:HSG65561 ICC65546:ICC65561 ILY65546:ILY65561 IVU65546:IVU65561 JFQ65546:JFQ65561 JPM65546:JPM65561 JZI65546:JZI65561 KJE65546:KJE65561 KTA65546:KTA65561 LCW65546:LCW65561 LMS65546:LMS65561 LWO65546:LWO65561 MGK65546:MGK65561 MQG65546:MQG65561 NAC65546:NAC65561 NJY65546:NJY65561 NTU65546:NTU65561 ODQ65546:ODQ65561 ONM65546:ONM65561 OXI65546:OXI65561 PHE65546:PHE65561 PRA65546:PRA65561 QAW65546:QAW65561 QKS65546:QKS65561 QUO65546:QUO65561 REK65546:REK65561 ROG65546:ROG65561 RYC65546:RYC65561 SHY65546:SHY65561 SRU65546:SRU65561 TBQ65546:TBQ65561 TLM65546:TLM65561 TVI65546:TVI65561 UFE65546:UFE65561 UPA65546:UPA65561 UYW65546:UYW65561 VIS65546:VIS65561 VSO65546:VSO65561 WCK65546:WCK65561 WMG65546:WMG65561 WWC65546:WWC65561 Z131082:Z131097 JQ131082:JQ131097 TM131082:TM131097 ADI131082:ADI131097 ANE131082:ANE131097 AXA131082:AXA131097 BGW131082:BGW131097 BQS131082:BQS131097 CAO131082:CAO131097 CKK131082:CKK131097 CUG131082:CUG131097 DEC131082:DEC131097 DNY131082:DNY131097 DXU131082:DXU131097 EHQ131082:EHQ131097 ERM131082:ERM131097 FBI131082:FBI131097 FLE131082:FLE131097 FVA131082:FVA131097 GEW131082:GEW131097 GOS131082:GOS131097 GYO131082:GYO131097 HIK131082:HIK131097 HSG131082:HSG131097 ICC131082:ICC131097 ILY131082:ILY131097 IVU131082:IVU131097 JFQ131082:JFQ131097 JPM131082:JPM131097 JZI131082:JZI131097 KJE131082:KJE131097 KTA131082:KTA131097 LCW131082:LCW131097 LMS131082:LMS131097 LWO131082:LWO131097 MGK131082:MGK131097 MQG131082:MQG131097 NAC131082:NAC131097 NJY131082:NJY131097 NTU131082:NTU131097 ODQ131082:ODQ131097 ONM131082:ONM131097 OXI131082:OXI131097 PHE131082:PHE131097 PRA131082:PRA131097 QAW131082:QAW131097 QKS131082:QKS131097 QUO131082:QUO131097 REK131082:REK131097 ROG131082:ROG131097 RYC131082:RYC131097 SHY131082:SHY131097 SRU131082:SRU131097 TBQ131082:TBQ131097 TLM131082:TLM131097 TVI131082:TVI131097 UFE131082:UFE131097 UPA131082:UPA131097 UYW131082:UYW131097 VIS131082:VIS131097 VSO131082:VSO131097 WCK131082:WCK131097 WMG131082:WMG131097 WWC131082:WWC131097 Z196618:Z196633 JQ196618:JQ196633 TM196618:TM196633 ADI196618:ADI196633 ANE196618:ANE196633 AXA196618:AXA196633 BGW196618:BGW196633 BQS196618:BQS196633 CAO196618:CAO196633 CKK196618:CKK196633 CUG196618:CUG196633 DEC196618:DEC196633 DNY196618:DNY196633 DXU196618:DXU196633 EHQ196618:EHQ196633 ERM196618:ERM196633 FBI196618:FBI196633 FLE196618:FLE196633 FVA196618:FVA196633 GEW196618:GEW196633 GOS196618:GOS196633 GYO196618:GYO196633 HIK196618:HIK196633 HSG196618:HSG196633 ICC196618:ICC196633 ILY196618:ILY196633 IVU196618:IVU196633 JFQ196618:JFQ196633 JPM196618:JPM196633 JZI196618:JZI196633 KJE196618:KJE196633 KTA196618:KTA196633 LCW196618:LCW196633 LMS196618:LMS196633 LWO196618:LWO196633 MGK196618:MGK196633 MQG196618:MQG196633 NAC196618:NAC196633 NJY196618:NJY196633 NTU196618:NTU196633 ODQ196618:ODQ196633 ONM196618:ONM196633 OXI196618:OXI196633 PHE196618:PHE196633 PRA196618:PRA196633 QAW196618:QAW196633 QKS196618:QKS196633 QUO196618:QUO196633 REK196618:REK196633 ROG196618:ROG196633 RYC196618:RYC196633 SHY196618:SHY196633 SRU196618:SRU196633 TBQ196618:TBQ196633 TLM196618:TLM196633 TVI196618:TVI196633 UFE196618:UFE196633 UPA196618:UPA196633 UYW196618:UYW196633 VIS196618:VIS196633 VSO196618:VSO196633 WCK196618:WCK196633 WMG196618:WMG196633 WWC196618:WWC196633 Z262154:Z262169 JQ262154:JQ262169 TM262154:TM262169 ADI262154:ADI262169 ANE262154:ANE262169 AXA262154:AXA262169 BGW262154:BGW262169 BQS262154:BQS262169 CAO262154:CAO262169 CKK262154:CKK262169 CUG262154:CUG262169 DEC262154:DEC262169 DNY262154:DNY262169 DXU262154:DXU262169 EHQ262154:EHQ262169 ERM262154:ERM262169 FBI262154:FBI262169 FLE262154:FLE262169 FVA262154:FVA262169 GEW262154:GEW262169 GOS262154:GOS262169 GYO262154:GYO262169 HIK262154:HIK262169 HSG262154:HSG262169 ICC262154:ICC262169 ILY262154:ILY262169 IVU262154:IVU262169 JFQ262154:JFQ262169 JPM262154:JPM262169 JZI262154:JZI262169 KJE262154:KJE262169 KTA262154:KTA262169 LCW262154:LCW262169 LMS262154:LMS262169 LWO262154:LWO262169 MGK262154:MGK262169 MQG262154:MQG262169 NAC262154:NAC262169 NJY262154:NJY262169 NTU262154:NTU262169 ODQ262154:ODQ262169 ONM262154:ONM262169 OXI262154:OXI262169 PHE262154:PHE262169 PRA262154:PRA262169 QAW262154:QAW262169 QKS262154:QKS262169 QUO262154:QUO262169 REK262154:REK262169 ROG262154:ROG262169 RYC262154:RYC262169 SHY262154:SHY262169 SRU262154:SRU262169 TBQ262154:TBQ262169 TLM262154:TLM262169 TVI262154:TVI262169 UFE262154:UFE262169 UPA262154:UPA262169 UYW262154:UYW262169 VIS262154:VIS262169 VSO262154:VSO262169 WCK262154:WCK262169 WMG262154:WMG262169 WWC262154:WWC262169 Z327690:Z327705 JQ327690:JQ327705 TM327690:TM327705 ADI327690:ADI327705 ANE327690:ANE327705 AXA327690:AXA327705 BGW327690:BGW327705 BQS327690:BQS327705 CAO327690:CAO327705 CKK327690:CKK327705 CUG327690:CUG327705 DEC327690:DEC327705 DNY327690:DNY327705 DXU327690:DXU327705 EHQ327690:EHQ327705 ERM327690:ERM327705 FBI327690:FBI327705 FLE327690:FLE327705 FVA327690:FVA327705 GEW327690:GEW327705 GOS327690:GOS327705 GYO327690:GYO327705 HIK327690:HIK327705 HSG327690:HSG327705 ICC327690:ICC327705 ILY327690:ILY327705 IVU327690:IVU327705 JFQ327690:JFQ327705 JPM327690:JPM327705 JZI327690:JZI327705 KJE327690:KJE327705 KTA327690:KTA327705 LCW327690:LCW327705 LMS327690:LMS327705 LWO327690:LWO327705 MGK327690:MGK327705 MQG327690:MQG327705 NAC327690:NAC327705 NJY327690:NJY327705 NTU327690:NTU327705 ODQ327690:ODQ327705 ONM327690:ONM327705 OXI327690:OXI327705 PHE327690:PHE327705 PRA327690:PRA327705 QAW327690:QAW327705 QKS327690:QKS327705 QUO327690:QUO327705 REK327690:REK327705 ROG327690:ROG327705 RYC327690:RYC327705 SHY327690:SHY327705 SRU327690:SRU327705 TBQ327690:TBQ327705 TLM327690:TLM327705 TVI327690:TVI327705 UFE327690:UFE327705 UPA327690:UPA327705 UYW327690:UYW327705 VIS327690:VIS327705 VSO327690:VSO327705 WCK327690:WCK327705 WMG327690:WMG327705 WWC327690:WWC327705 Z393226:Z393241 JQ393226:JQ393241 TM393226:TM393241 ADI393226:ADI393241 ANE393226:ANE393241 AXA393226:AXA393241 BGW393226:BGW393241 BQS393226:BQS393241 CAO393226:CAO393241 CKK393226:CKK393241 CUG393226:CUG393241 DEC393226:DEC393241 DNY393226:DNY393241 DXU393226:DXU393241 EHQ393226:EHQ393241 ERM393226:ERM393241 FBI393226:FBI393241 FLE393226:FLE393241 FVA393226:FVA393241 GEW393226:GEW393241 GOS393226:GOS393241 GYO393226:GYO393241 HIK393226:HIK393241 HSG393226:HSG393241 ICC393226:ICC393241 ILY393226:ILY393241 IVU393226:IVU393241 JFQ393226:JFQ393241 JPM393226:JPM393241 JZI393226:JZI393241 KJE393226:KJE393241 KTA393226:KTA393241 LCW393226:LCW393241 LMS393226:LMS393241 LWO393226:LWO393241 MGK393226:MGK393241 MQG393226:MQG393241 NAC393226:NAC393241 NJY393226:NJY393241 NTU393226:NTU393241 ODQ393226:ODQ393241 ONM393226:ONM393241 OXI393226:OXI393241 PHE393226:PHE393241 PRA393226:PRA393241 QAW393226:QAW393241 QKS393226:QKS393241 QUO393226:QUO393241 REK393226:REK393241 ROG393226:ROG393241 RYC393226:RYC393241 SHY393226:SHY393241 SRU393226:SRU393241 TBQ393226:TBQ393241 TLM393226:TLM393241 TVI393226:TVI393241 UFE393226:UFE393241 UPA393226:UPA393241 UYW393226:UYW393241 VIS393226:VIS393241 VSO393226:VSO393241 WCK393226:WCK393241 WMG393226:WMG393241 WWC393226:WWC393241 Z458762:Z458777 JQ458762:JQ458777 TM458762:TM458777 ADI458762:ADI458777 ANE458762:ANE458777 AXA458762:AXA458777 BGW458762:BGW458777 BQS458762:BQS458777 CAO458762:CAO458777 CKK458762:CKK458777 CUG458762:CUG458777 DEC458762:DEC458777 DNY458762:DNY458777 DXU458762:DXU458777 EHQ458762:EHQ458777 ERM458762:ERM458777 FBI458762:FBI458777 FLE458762:FLE458777 FVA458762:FVA458777 GEW458762:GEW458777 GOS458762:GOS458777 GYO458762:GYO458777 HIK458762:HIK458777 HSG458762:HSG458777 ICC458762:ICC458777 ILY458762:ILY458777 IVU458762:IVU458777 JFQ458762:JFQ458777 JPM458762:JPM458777 JZI458762:JZI458777 KJE458762:KJE458777 KTA458762:KTA458777 LCW458762:LCW458777 LMS458762:LMS458777 LWO458762:LWO458777 MGK458762:MGK458777 MQG458762:MQG458777 NAC458762:NAC458777 NJY458762:NJY458777 NTU458762:NTU458777 ODQ458762:ODQ458777 ONM458762:ONM458777 OXI458762:OXI458777 PHE458762:PHE458777 PRA458762:PRA458777 QAW458762:QAW458777 QKS458762:QKS458777 QUO458762:QUO458777 REK458762:REK458777 ROG458762:ROG458777 RYC458762:RYC458777 SHY458762:SHY458777 SRU458762:SRU458777 TBQ458762:TBQ458777 TLM458762:TLM458777 TVI458762:TVI458777 UFE458762:UFE458777 UPA458762:UPA458777 UYW458762:UYW458777 VIS458762:VIS458777 VSO458762:VSO458777 WCK458762:WCK458777 WMG458762:WMG458777 WWC458762:WWC458777 Z524298:Z524313 JQ524298:JQ524313 TM524298:TM524313 ADI524298:ADI524313 ANE524298:ANE524313 AXA524298:AXA524313 BGW524298:BGW524313 BQS524298:BQS524313 CAO524298:CAO524313 CKK524298:CKK524313 CUG524298:CUG524313 DEC524298:DEC524313 DNY524298:DNY524313 DXU524298:DXU524313 EHQ524298:EHQ524313 ERM524298:ERM524313 FBI524298:FBI524313 FLE524298:FLE524313 FVA524298:FVA524313 GEW524298:GEW524313 GOS524298:GOS524313 GYO524298:GYO524313 HIK524298:HIK524313 HSG524298:HSG524313 ICC524298:ICC524313 ILY524298:ILY524313 IVU524298:IVU524313 JFQ524298:JFQ524313 JPM524298:JPM524313 JZI524298:JZI524313 KJE524298:KJE524313 KTA524298:KTA524313 LCW524298:LCW524313 LMS524298:LMS524313 LWO524298:LWO524313 MGK524298:MGK524313 MQG524298:MQG524313 NAC524298:NAC524313 NJY524298:NJY524313 NTU524298:NTU524313 ODQ524298:ODQ524313 ONM524298:ONM524313 OXI524298:OXI524313 PHE524298:PHE524313 PRA524298:PRA524313 QAW524298:QAW524313 QKS524298:QKS524313 QUO524298:QUO524313 REK524298:REK524313 ROG524298:ROG524313 RYC524298:RYC524313 SHY524298:SHY524313 SRU524298:SRU524313 TBQ524298:TBQ524313 TLM524298:TLM524313 TVI524298:TVI524313 UFE524298:UFE524313 UPA524298:UPA524313 UYW524298:UYW524313 VIS524298:VIS524313 VSO524298:VSO524313 WCK524298:WCK524313 WMG524298:WMG524313 WWC524298:WWC524313 Z589834:Z589849 JQ589834:JQ589849 TM589834:TM589849 ADI589834:ADI589849 ANE589834:ANE589849 AXA589834:AXA589849 BGW589834:BGW589849 BQS589834:BQS589849 CAO589834:CAO589849 CKK589834:CKK589849 CUG589834:CUG589849 DEC589834:DEC589849 DNY589834:DNY589849 DXU589834:DXU589849 EHQ589834:EHQ589849 ERM589834:ERM589849 FBI589834:FBI589849 FLE589834:FLE589849 FVA589834:FVA589849 GEW589834:GEW589849 GOS589834:GOS589849 GYO589834:GYO589849 HIK589834:HIK589849 HSG589834:HSG589849 ICC589834:ICC589849 ILY589834:ILY589849 IVU589834:IVU589849 JFQ589834:JFQ589849 JPM589834:JPM589849 JZI589834:JZI589849 KJE589834:KJE589849 KTA589834:KTA589849 LCW589834:LCW589849 LMS589834:LMS589849 LWO589834:LWO589849 MGK589834:MGK589849 MQG589834:MQG589849 NAC589834:NAC589849 NJY589834:NJY589849 NTU589834:NTU589849 ODQ589834:ODQ589849 ONM589834:ONM589849 OXI589834:OXI589849 PHE589834:PHE589849 PRA589834:PRA589849 QAW589834:QAW589849 QKS589834:QKS589849 QUO589834:QUO589849 REK589834:REK589849 ROG589834:ROG589849 RYC589834:RYC589849 SHY589834:SHY589849 SRU589834:SRU589849 TBQ589834:TBQ589849 TLM589834:TLM589849 TVI589834:TVI589849 UFE589834:UFE589849 UPA589834:UPA589849 UYW589834:UYW589849 VIS589834:VIS589849 VSO589834:VSO589849 WCK589834:WCK589849 WMG589834:WMG589849 WWC589834:WWC589849 Z655370:Z655385 JQ655370:JQ655385 TM655370:TM655385 ADI655370:ADI655385 ANE655370:ANE655385 AXA655370:AXA655385 BGW655370:BGW655385 BQS655370:BQS655385 CAO655370:CAO655385 CKK655370:CKK655385 CUG655370:CUG655385 DEC655370:DEC655385 DNY655370:DNY655385 DXU655370:DXU655385 EHQ655370:EHQ655385 ERM655370:ERM655385 FBI655370:FBI655385 FLE655370:FLE655385 FVA655370:FVA655385 GEW655370:GEW655385 GOS655370:GOS655385 GYO655370:GYO655385 HIK655370:HIK655385 HSG655370:HSG655385 ICC655370:ICC655385 ILY655370:ILY655385 IVU655370:IVU655385 JFQ655370:JFQ655385 JPM655370:JPM655385 JZI655370:JZI655385 KJE655370:KJE655385 KTA655370:KTA655385 LCW655370:LCW655385 LMS655370:LMS655385 LWO655370:LWO655385 MGK655370:MGK655385 MQG655370:MQG655385 NAC655370:NAC655385 NJY655370:NJY655385 NTU655370:NTU655385 ODQ655370:ODQ655385 ONM655370:ONM655385 OXI655370:OXI655385 PHE655370:PHE655385 PRA655370:PRA655385 QAW655370:QAW655385 QKS655370:QKS655385 QUO655370:QUO655385 REK655370:REK655385 ROG655370:ROG655385 RYC655370:RYC655385 SHY655370:SHY655385 SRU655370:SRU655385 TBQ655370:TBQ655385 TLM655370:TLM655385 TVI655370:TVI655385 UFE655370:UFE655385 UPA655370:UPA655385 UYW655370:UYW655385 VIS655370:VIS655385 VSO655370:VSO655385 WCK655370:WCK655385 WMG655370:WMG655385 WWC655370:WWC655385 Z720906:Z720921 JQ720906:JQ720921 TM720906:TM720921 ADI720906:ADI720921 ANE720906:ANE720921 AXA720906:AXA720921 BGW720906:BGW720921 BQS720906:BQS720921 CAO720906:CAO720921 CKK720906:CKK720921 CUG720906:CUG720921 DEC720906:DEC720921 DNY720906:DNY720921 DXU720906:DXU720921 EHQ720906:EHQ720921 ERM720906:ERM720921 FBI720906:FBI720921 FLE720906:FLE720921 FVA720906:FVA720921 GEW720906:GEW720921 GOS720906:GOS720921 GYO720906:GYO720921 HIK720906:HIK720921 HSG720906:HSG720921 ICC720906:ICC720921 ILY720906:ILY720921 IVU720906:IVU720921 JFQ720906:JFQ720921 JPM720906:JPM720921 JZI720906:JZI720921 KJE720906:KJE720921 KTA720906:KTA720921 LCW720906:LCW720921 LMS720906:LMS720921 LWO720906:LWO720921 MGK720906:MGK720921 MQG720906:MQG720921 NAC720906:NAC720921 NJY720906:NJY720921 NTU720906:NTU720921 ODQ720906:ODQ720921 ONM720906:ONM720921 OXI720906:OXI720921 PHE720906:PHE720921 PRA720906:PRA720921 QAW720906:QAW720921 QKS720906:QKS720921 QUO720906:QUO720921 REK720906:REK720921 ROG720906:ROG720921 RYC720906:RYC720921 SHY720906:SHY720921 SRU720906:SRU720921 TBQ720906:TBQ720921 TLM720906:TLM720921 TVI720906:TVI720921 UFE720906:UFE720921 UPA720906:UPA720921 UYW720906:UYW720921 VIS720906:VIS720921 VSO720906:VSO720921 WCK720906:WCK720921 WMG720906:WMG720921 WWC720906:WWC720921 Z786442:Z786457 JQ786442:JQ786457 TM786442:TM786457 ADI786442:ADI786457 ANE786442:ANE786457 AXA786442:AXA786457 BGW786442:BGW786457 BQS786442:BQS786457 CAO786442:CAO786457 CKK786442:CKK786457 CUG786442:CUG786457 DEC786442:DEC786457 DNY786442:DNY786457 DXU786442:DXU786457 EHQ786442:EHQ786457 ERM786442:ERM786457 FBI786442:FBI786457 FLE786442:FLE786457 FVA786442:FVA786457 GEW786442:GEW786457 GOS786442:GOS786457 GYO786442:GYO786457 HIK786442:HIK786457 HSG786442:HSG786457 ICC786442:ICC786457 ILY786442:ILY786457 IVU786442:IVU786457 JFQ786442:JFQ786457 JPM786442:JPM786457 JZI786442:JZI786457 KJE786442:KJE786457 KTA786442:KTA786457 LCW786442:LCW786457 LMS786442:LMS786457 LWO786442:LWO786457 MGK786442:MGK786457 MQG786442:MQG786457 NAC786442:NAC786457 NJY786442:NJY786457 NTU786442:NTU786457 ODQ786442:ODQ786457 ONM786442:ONM786457 OXI786442:OXI786457 PHE786442:PHE786457 PRA786442:PRA786457 QAW786442:QAW786457 QKS786442:QKS786457 QUO786442:QUO786457 REK786442:REK786457 ROG786442:ROG786457 RYC786442:RYC786457 SHY786442:SHY786457 SRU786442:SRU786457 TBQ786442:TBQ786457 TLM786442:TLM786457 TVI786442:TVI786457 UFE786442:UFE786457 UPA786442:UPA786457 UYW786442:UYW786457 VIS786442:VIS786457 VSO786442:VSO786457 WCK786442:WCK786457 WMG786442:WMG786457 WWC786442:WWC786457 Z851978:Z851993 JQ851978:JQ851993 TM851978:TM851993 ADI851978:ADI851993 ANE851978:ANE851993 AXA851978:AXA851993 BGW851978:BGW851993 BQS851978:BQS851993 CAO851978:CAO851993 CKK851978:CKK851993 CUG851978:CUG851993 DEC851978:DEC851993 DNY851978:DNY851993 DXU851978:DXU851993 EHQ851978:EHQ851993 ERM851978:ERM851993 FBI851978:FBI851993 FLE851978:FLE851993 FVA851978:FVA851993 GEW851978:GEW851993 GOS851978:GOS851993 GYO851978:GYO851993 HIK851978:HIK851993 HSG851978:HSG851993 ICC851978:ICC851993 ILY851978:ILY851993 IVU851978:IVU851993 JFQ851978:JFQ851993 JPM851978:JPM851993 JZI851978:JZI851993 KJE851978:KJE851993 KTA851978:KTA851993 LCW851978:LCW851993 LMS851978:LMS851993 LWO851978:LWO851993 MGK851978:MGK851993 MQG851978:MQG851993 NAC851978:NAC851993 NJY851978:NJY851993 NTU851978:NTU851993 ODQ851978:ODQ851993 ONM851978:ONM851993 OXI851978:OXI851993 PHE851978:PHE851993 PRA851978:PRA851993 QAW851978:QAW851993 QKS851978:QKS851993 QUO851978:QUO851993 REK851978:REK851993 ROG851978:ROG851993 RYC851978:RYC851993 SHY851978:SHY851993 SRU851978:SRU851993 TBQ851978:TBQ851993 TLM851978:TLM851993 TVI851978:TVI851993 UFE851978:UFE851993 UPA851978:UPA851993 UYW851978:UYW851993 VIS851978:VIS851993 VSO851978:VSO851993 WCK851978:WCK851993 WMG851978:WMG851993 WWC851978:WWC851993 Z917514:Z917529 JQ917514:JQ917529 TM917514:TM917529 ADI917514:ADI917529 ANE917514:ANE917529 AXA917514:AXA917529 BGW917514:BGW917529 BQS917514:BQS917529 CAO917514:CAO917529 CKK917514:CKK917529 CUG917514:CUG917529 DEC917514:DEC917529 DNY917514:DNY917529 DXU917514:DXU917529 EHQ917514:EHQ917529 ERM917514:ERM917529 FBI917514:FBI917529 FLE917514:FLE917529 FVA917514:FVA917529 GEW917514:GEW917529 GOS917514:GOS917529 GYO917514:GYO917529 HIK917514:HIK917529 HSG917514:HSG917529 ICC917514:ICC917529 ILY917514:ILY917529 IVU917514:IVU917529 JFQ917514:JFQ917529 JPM917514:JPM917529 JZI917514:JZI917529 KJE917514:KJE917529 KTA917514:KTA917529 LCW917514:LCW917529 LMS917514:LMS917529 LWO917514:LWO917529 MGK917514:MGK917529 MQG917514:MQG917529 NAC917514:NAC917529 NJY917514:NJY917529 NTU917514:NTU917529 ODQ917514:ODQ917529 ONM917514:ONM917529 OXI917514:OXI917529 PHE917514:PHE917529 PRA917514:PRA917529 QAW917514:QAW917529 QKS917514:QKS917529 QUO917514:QUO917529 REK917514:REK917529 ROG917514:ROG917529 RYC917514:RYC917529 SHY917514:SHY917529 SRU917514:SRU917529 TBQ917514:TBQ917529 TLM917514:TLM917529 TVI917514:TVI917529 UFE917514:UFE917529 UPA917514:UPA917529 UYW917514:UYW917529 VIS917514:VIS917529 VSO917514:VSO917529 WCK917514:WCK917529 WMG917514:WMG917529 WWC917514:WWC917529 Z983050:Z983065 JQ983050:JQ983065 TM983050:TM983065 ADI983050:ADI983065 ANE983050:ANE983065 AXA983050:AXA983065 BGW983050:BGW983065 BQS983050:BQS983065 CAO983050:CAO983065 CKK983050:CKK983065 CUG983050:CUG983065 DEC983050:DEC983065 DNY983050:DNY983065 DXU983050:DXU983065 EHQ983050:EHQ983065 ERM983050:ERM983065 FBI983050:FBI983065 FLE983050:FLE983065 FVA983050:FVA983065 GEW983050:GEW983065 GOS983050:GOS983065 GYO983050:GYO983065 HIK983050:HIK983065 HSG983050:HSG983065 ICC983050:ICC983065 ILY983050:ILY983065 IVU983050:IVU983065 JFQ983050:JFQ983065 JPM983050:JPM983065 JZI983050:JZI983065 KJE983050:KJE983065 KTA983050:KTA983065 LCW983050:LCW983065 LMS983050:LMS983065 LWO983050:LWO983065 MGK983050:MGK983065 MQG983050:MQG983065 NAC983050:NAC983065 NJY983050:NJY983065 NTU983050:NTU983065 ODQ983050:ODQ983065 ONM983050:ONM983065 OXI983050:OXI983065 PHE983050:PHE983065 PRA983050:PRA983065 QAW983050:QAW983065 QKS983050:QKS983065 QUO983050:QUO983065 REK983050:REK983065 ROG983050:ROG983065 RYC983050:RYC983065 SHY983050:SHY983065 SRU983050:SRU983065 TBQ983050:TBQ983065 TLM983050:TLM983065 TVI983050:TVI983065 UFE983050:UFE983065 UPA983050:UPA983065 UYW983050:UYW983065 VIS983050:VIS983065 VSO983050:VSO983065 WCK983050:WCK983065 WMG983050:WMG983065 WWC983050:WWC983065 TR10 ADN10 ANJ10 AXF10 BHB10 BQX10 CAT10 CKP10 CUL10 DEH10 DOD10 DXZ10 EHV10 ERR10 FBN10 FLJ10 FVF10 GFB10 GOX10 GYT10 HIP10 HSL10 ICH10 IMD10 IVZ10 JFV10 JPR10 JZN10 KJJ10 KTF10 LDB10 LMX10 LWT10 MGP10 MQL10 NAH10 NKD10 NTZ10 ODV10 ONR10 OXN10 PHJ10 PRF10 QBB10 QKX10 QUT10 REP10 ROL10 RYH10 SID10 SRZ10 TBV10 TLR10 TVN10 UFJ10 UPF10 UZB10 VIX10 VST10 WCP10 WML10 WWH10 JV10:JV15 V10:V15 W11:W15 JW11:JW15 WML11:WMM31 WWH11:WWI31 WCP11:WCQ31 VST11:VSU31 VIX11:VIY31 UZB11:UZC31 UPF11:UPG31 UFJ11:UFK31 TVN11:TVO31 TLR11:TLS31 TBV11:TBW31 SRZ11:SSA31 SID11:SIE31 RYH11:RYI31 ROL11:ROM31 REP11:REQ31 QUT11:QUU31 QKX11:QKY31 QBB11:QBC31 PRF11:PRG31 PHJ11:PHK31 OXN11:OXO31 ONR11:ONS31 ODV11:ODW31 NTZ11:NUA31 NKD11:NKE31 NAH11:NAI31 MQL11:MQM31 MGP11:MGQ31 LWT11:LWU31 LMX11:LMY31 LDB11:LDC31 KTF11:KTG31 KJJ11:KJK31 JZN11:JZO31 JPR11:JPS31 JFV11:JFW31 IVZ11:IWA31 IMD11:IME31 ICH11:ICI31 HSL11:HSM31 HIP11:HIQ31 GYT11:GYU31 GOX11:GOY31 GFB11:GFC31 FVF11:FVG31 FLJ11:FLK31 FBN11:FBO31 ERR11:ERS31 EHV11:EHW31 DXZ11:DYA31 DOD11:DOE31 DEH11:DEI31 CUL11:CUM31 CKP11:CKQ31 CAT11:CAU31 BQX11:BQY31 BHB11:BHC31 AXF11:AXG31 ANJ11:ANK31 ADN11:ADO31 TR11:TS31 JV16:JW31 V16:W31">
      <formula1>"X,9,±9,N,S9,9C3,S9C3"</formula1>
    </dataValidation>
  </dataValidations>
  <printOptions horizontalCentered="1"/>
  <pageMargins left="0.15748031496062992" right="0.15748031496062992" top="0.55118110236220474" bottom="0.31496062992125984" header="0.35433070866141736" footer="0.15748031496062992"/>
  <pageSetup paperSize="9" scale="68" fitToHeight="0" orientation="landscape" r:id="rId1"/>
  <headerFooter alignWithMargins="0">
    <oddFooter>&amp;R&amp;"Tahoma,標準"&amp;10Copyright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QUICPay</vt:lpstr>
      <vt:lpstr>QUICPay!Print_Area</vt:lpstr>
      <vt:lpstr>QUICPay!Print_Titles</vt:lpstr>
    </vt:vector>
  </TitlesOfParts>
  <Manager>富士通株式会社</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QQDTP248-user</dc:creator>
  <cp:lastModifiedBy>RD12PC131N-user</cp:lastModifiedBy>
  <cp:lastPrinted>2017-10-04T11:03:46Z</cp:lastPrinted>
  <dcterms:created xsi:type="dcterms:W3CDTF">2010-03-17T10:42:08Z</dcterms:created>
  <dcterms:modified xsi:type="dcterms:W3CDTF">2017-12-22T02:59:59Z</dcterms:modified>
</cp:coreProperties>
</file>