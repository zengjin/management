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lumx\Documents\Projects\SFinX\LAB\117_SqlRunner\"/>
    </mc:Choice>
  </mc:AlternateContent>
  <xr:revisionPtr revIDLastSave="0" documentId="13_ncr:1_{D7C1960F-ECA7-47D1-85EC-A19BC016405A}" xr6:coauthVersionLast="47" xr6:coauthVersionMax="47" xr10:uidLastSave="{00000000-0000-0000-0000-000000000000}"/>
  <bookViews>
    <workbookView xWindow="-110" yWindow="-110" windowWidth="19420" windowHeight="10300" tabRatio="918" activeTab="5" xr2:uid="{86F6947A-62BA-4434-AA0B-CB44CCAB6578}"/>
  </bookViews>
  <sheets>
    <sheet name="C2" sheetId="62" r:id="rId1"/>
    <sheet name="HISTORY" sheetId="1" r:id="rId2"/>
    <sheet name="MENU" sheetId="3" r:id="rId3"/>
    <sheet name="a" sheetId="28" r:id="rId4"/>
    <sheet name="b" sheetId="29" r:id="rId5"/>
    <sheet name="Q3" sheetId="44" r:id="rId6"/>
    <sheet name="Q3-Result" sheetId="65" r:id="rId7"/>
    <sheet name="Q4" sheetId="50" r:id="rId8"/>
    <sheet name="Q4-Result" sheetId="66" r:id="rId9"/>
    <sheet name="QUERY" sheetId="38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1" l="1"/>
  <c r="C3" i="1" l="1"/>
  <c r="A3" i="1"/>
  <c r="E3" i="1" s="1"/>
  <c r="D3" i="1" l="1"/>
</calcChain>
</file>

<file path=xl/sharedStrings.xml><?xml version="1.0" encoding="utf-8"?>
<sst xmlns="http://schemas.openxmlformats.org/spreadsheetml/2006/main" count="147" uniqueCount="65">
  <si>
    <t>最新状況</t>
  </si>
  <si>
    <t>修正履歴</t>
  </si>
  <si>
    <t>曾進</t>
  </si>
  <si>
    <t>Ver 0.1</t>
  </si>
  <si>
    <t>初期作成</t>
  </si>
  <si>
    <t>No.</t>
    <phoneticPr fontId="1"/>
  </si>
  <si>
    <t>Date</t>
    <phoneticPr fontId="1"/>
  </si>
  <si>
    <t>Name</t>
    <phoneticPr fontId="1"/>
  </si>
  <si>
    <t>Comments</t>
    <phoneticPr fontId="1"/>
  </si>
  <si>
    <t>Version</t>
    <phoneticPr fontId="1"/>
  </si>
  <si>
    <t>SQL</t>
    <phoneticPr fontId="4"/>
  </si>
  <si>
    <t>Column</t>
    <phoneticPr fontId="4"/>
  </si>
  <si>
    <t>Flag</t>
    <phoneticPr fontId="4"/>
  </si>
  <si>
    <t>Value</t>
    <phoneticPr fontId="4"/>
  </si>
  <si>
    <t>key</t>
  </si>
  <si>
    <t>key</t>
    <phoneticPr fontId="1"/>
  </si>
  <si>
    <t>value</t>
  </si>
  <si>
    <t>value</t>
    <phoneticPr fontId="1"/>
  </si>
  <si>
    <t>LEFT JOIN [b$] as [t2]</t>
    <phoneticPr fontId="1"/>
  </si>
  <si>
    <t>k1</t>
  </si>
  <si>
    <t>k2</t>
  </si>
  <si>
    <t>ON  t1.[key]=t2.[key]</t>
    <phoneticPr fontId="1"/>
  </si>
  <si>
    <t>RIGHT JOIN [b$] as [t2]</t>
    <phoneticPr fontId="1"/>
  </si>
  <si>
    <t>a1</t>
  </si>
  <si>
    <t>a1</t>
    <phoneticPr fontId="1"/>
  </si>
  <si>
    <t>a2</t>
  </si>
  <si>
    <t>a2</t>
    <phoneticPr fontId="1"/>
  </si>
  <si>
    <t>b1</t>
  </si>
  <si>
    <t>b1</t>
    <phoneticPr fontId="1"/>
  </si>
  <si>
    <t>b2</t>
  </si>
  <si>
    <t>b2</t>
    <phoneticPr fontId="1"/>
  </si>
  <si>
    <t>b3</t>
  </si>
  <si>
    <t>b3</t>
    <phoneticPr fontId="1"/>
  </si>
  <si>
    <t>UNION</t>
    <phoneticPr fontId="1"/>
  </si>
  <si>
    <t>SELECT t1.[key] as [key]</t>
    <phoneticPr fontId="1"/>
  </si>
  <si>
    <t>SELECT t2.[key] as [key]</t>
    <phoneticPr fontId="1"/>
  </si>
  <si>
    <t>, t1.[value] AS [value-a], t2.[value] as [value-b]</t>
    <phoneticPr fontId="1"/>
  </si>
  <si>
    <t>value-a</t>
  </si>
  <si>
    <t>value-b</t>
  </si>
  <si>
    <t>a4</t>
  </si>
  <si>
    <t>a4</t>
    <phoneticPr fontId="1"/>
  </si>
  <si>
    <t>FROM   [a$]  as [t1]</t>
    <phoneticPr fontId="1"/>
  </si>
  <si>
    <t>k1</t>
    <phoneticPr fontId="1"/>
  </si>
  <si>
    <t>k2</t>
    <phoneticPr fontId="1"/>
  </si>
  <si>
    <t>k3</t>
  </si>
  <si>
    <t>k3</t>
    <phoneticPr fontId="1"/>
  </si>
  <si>
    <t>k4</t>
  </si>
  <si>
    <t>k4</t>
    <phoneticPr fontId="1"/>
  </si>
  <si>
    <t>k5</t>
  </si>
  <si>
    <t>k5</t>
    <phoneticPr fontId="1"/>
  </si>
  <si>
    <t>b5</t>
  </si>
  <si>
    <t>b5</t>
    <phoneticPr fontId="1"/>
  </si>
  <si>
    <t>FROM (</t>
    <phoneticPr fontId="1"/>
  </si>
  <si>
    <t>) AS [t3]</t>
    <phoneticPr fontId="1"/>
  </si>
  <si>
    <t>, IIF(ISNULL([value-a]), [value-b], [value-a]) as [value]</t>
    <phoneticPr fontId="1"/>
  </si>
  <si>
    <t>key2</t>
  </si>
  <si>
    <t>key2</t>
    <phoneticPr fontId="1"/>
  </si>
  <si>
    <t>SET [key2]=0</t>
    <phoneticPr fontId="1"/>
  </si>
  <si>
    <t>0</t>
  </si>
  <si>
    <t>WHERE [key2] IS NULL;</t>
    <phoneticPr fontId="1"/>
  </si>
  <si>
    <t>UPDATE [b$]</t>
    <phoneticPr fontId="1"/>
  </si>
  <si>
    <t>, t1.[key2]</t>
    <phoneticPr fontId="1"/>
  </si>
  <si>
    <t>AND  t1.[key2]=t2.[key2]</t>
    <phoneticPr fontId="1"/>
  </si>
  <si>
    <t>, t2.[key2]</t>
    <phoneticPr fontId="1"/>
  </si>
  <si>
    <t>SELECT [key],[key2]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</si>
</sst>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14">
    <font>
      <sz val="11"/>
      <color theme="1"/>
      <name val="メイリオ"/>
      <family val="2"/>
      <charset val="128"/>
    </font>
    <font>
      <sz val="6"/>
      <name val="メイリオ"/>
      <family val="2"/>
      <charset val="128"/>
    </font>
    <font>
      <sz val="9"/>
      <name val="ＭＳ ゴシック"/>
      <family val="3"/>
      <charset val="128"/>
    </font>
    <font>
      <sz val="9"/>
      <color theme="0"/>
      <name val="Meiryo UI"/>
      <family val="3"/>
      <charset val="128"/>
    </font>
    <font>
      <sz val="6"/>
      <name val="ＭＳ ゴシック"/>
      <family val="3"/>
      <charset val="128"/>
    </font>
    <font>
      <sz val="9"/>
      <name val="Meiryo UI"/>
      <family val="3"/>
      <charset val="128"/>
    </font>
    <font>
      <sz val="11"/>
      <color rgb="FF000000"/>
      <name val="メイリオ"/>
      <family val="3"/>
      <charset val="128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10"/>
      <name val="Meiryo UI"/>
      <family val="3"/>
      <charset val="128"/>
    </font>
    <font>
      <sz val="10"/>
      <color theme="1"/>
      <name val="Meiryo UI"/>
      <family val="3"/>
      <charset val="128"/>
    </font>
    <font>
      <sz val="11"/>
      <name val="Meiryo UI"/>
      <family val="3"/>
      <charset val="128"/>
    </font>
    <font>
      <sz val="11"/>
      <color theme="0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0">
    <xf numFmtId="0" fontId="0" fillId="0" borderId="0" xfId="0">
      <alignment vertical="center"/>
    </xf>
    <xf numFmtId="0" fontId="3" fillId="2" borderId="0" xfId="1" applyFont="1" applyFill="1" applyAlignment="1">
      <alignment horizontal="center"/>
    </xf>
    <xf numFmtId="0" fontId="5" fillId="0" borderId="0" xfId="1" applyFont="1"/>
    <xf numFmtId="0" fontId="5" fillId="0" borderId="0" xfId="1" applyFont="1" applyAlignment="1">
      <alignment horizont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14" fontId="8" fillId="0" borderId="0" xfId="0" applyNumberFormat="1" applyFont="1">
      <alignment vertical="center"/>
    </xf>
    <xf numFmtId="0" fontId="8" fillId="0" borderId="0" xfId="0" applyFont="1" applyAlignment="1">
      <alignment horizontal="center" vertical="center"/>
    </xf>
    <xf numFmtId="176" fontId="8" fillId="0" borderId="0" xfId="0" applyNumberFormat="1" applyFont="1">
      <alignment vertical="center"/>
    </xf>
    <xf numFmtId="0" fontId="9" fillId="2" borderId="0" xfId="1" applyFont="1" applyFill="1" applyAlignment="1">
      <alignment horizontal="center"/>
    </xf>
    <xf numFmtId="0" fontId="10" fillId="0" borderId="0" xfId="1" applyFont="1"/>
    <xf numFmtId="0" fontId="10" fillId="0" borderId="0" xfId="1" applyFont="1" applyAlignment="1">
      <alignment horizontal="center"/>
    </xf>
    <xf numFmtId="0" fontId="11" fillId="0" borderId="0" xfId="0" applyFont="1" applyAlignment="1">
      <alignment horizontal="justify" vertical="center"/>
    </xf>
    <xf numFmtId="0" fontId="11" fillId="0" borderId="0" xfId="0" applyFont="1" applyAlignment="1">
      <alignment horizontal="left" vertical="center" indent="1"/>
    </xf>
    <xf numFmtId="0" fontId="12" fillId="0" borderId="0" xfId="1" applyFont="1"/>
    <xf numFmtId="0" fontId="12" fillId="0" borderId="0" xfId="1" applyFont="1" applyAlignment="1">
      <alignment horizont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justify" vertical="center"/>
    </xf>
    <xf numFmtId="0" fontId="13" fillId="2" borderId="0" xfId="1" applyFont="1" applyFill="1" applyAlignment="1">
      <alignment horizontal="center"/>
    </xf>
    <xf numFmtId="0" fontId="8" fillId="0" borderId="0" xfId="0" quotePrefix="1" applyFont="1">
      <alignment vertical="center"/>
    </xf>
  </cellXfs>
  <cellStyles count="2">
    <cellStyle name="標準" xfId="0" builtinId="0"/>
    <cellStyle name="標準 2" xfId="1" xr:uid="{A36FDA4F-BBC0-49AB-85FA-62ADA51E5E35}"/>
  </cellStyles>
  <dxfs count="7">
    <dxf>
      <font>
        <strike val="0"/>
        <outline val="0"/>
        <shadow val="0"/>
        <u val="none"/>
        <vertAlign val="baseline"/>
        <sz val="11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eiryo UI"/>
        <family val="3"/>
        <charset val="128"/>
        <scheme val="none"/>
      </font>
      <numFmt numFmtId="176" formatCode="yyyy/mm/dd"/>
    </dxf>
    <dxf>
      <font>
        <strike val="0"/>
        <outline val="0"/>
        <shadow val="0"/>
        <u val="none"/>
        <vertAlign val="baseline"/>
        <sz val="11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1955800</xdr:colOff>
          <xdr:row>0</xdr:row>
          <xdr:rowOff>19050</xdr:rowOff>
        </xdr:from>
        <xdr:to>
          <xdr:col>0</xdr:col>
          <xdr:colOff>3136900</xdr:colOff>
          <xdr:row>0</xdr:row>
          <xdr:rowOff>222250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2B4DD9B-E842-4632-8F27-64105FEDF6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Run Command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メイリオ"/>
                <a:ea typeface="メイリオ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1955800</xdr:colOff>
          <xdr:row>0</xdr:row>
          <xdr:rowOff>19050</xdr:rowOff>
        </xdr:from>
        <xdr:to>
          <xdr:col>0</xdr:col>
          <xdr:colOff>3136900</xdr:colOff>
          <xdr:row>0</xdr:row>
          <xdr:rowOff>222250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8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Run Query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1955800</xdr:colOff>
          <xdr:row>0</xdr:row>
          <xdr:rowOff>19050</xdr:rowOff>
        </xdr:from>
        <xdr:to>
          <xdr:col>0</xdr:col>
          <xdr:colOff>3136900</xdr:colOff>
          <xdr:row>0</xdr:row>
          <xdr:rowOff>222250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A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Run Query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8060B0-BB9A-4B94-B7D8-041F55E38B74}" name="ReviseHistory" displayName="ReviseHistory" ref="A7:E14" totalsRowShown="0" headerRowDxfId="6" dataDxfId="5">
  <autoFilter ref="A7:E14" xr:uid="{B08060B0-BB9A-4B94-B7D8-041F55E38B74}"/>
  <tableColumns count="5">
    <tableColumn id="1" xr3:uid="{36CE3F7D-6A2D-4FDB-9AC6-2E5289B51A87}" name="No." dataDxfId="4"/>
    <tableColumn id="2" xr3:uid="{F2E38737-A8EB-42A3-A15D-7060FF8BA4AE}" name="Name" dataDxfId="3"/>
    <tableColumn id="3" xr3:uid="{99A609BC-7253-4E1E-9661-BC4A483B7D51}" name="Date" dataDxfId="2"/>
    <tableColumn id="4" xr3:uid="{BF98405D-9E5F-4972-A0AA-32E86DD9C025}" name="Version" dataDxfId="1"/>
    <tableColumn id="5" xr3:uid="{16E55E88-EE0F-4574-8C79-1794F1A12AF4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90E08-79A1-4A6A-BFF7-234B41CFCE83}">
  <sheetPr codeName="Sheet6">
    <pageSetUpPr fitToPage="1"/>
  </sheetPr>
  <dimension ref="A1:E7"/>
  <sheetViews>
    <sheetView workbookViewId="0">
      <pane ySplit="1" topLeftCell="A2" activePane="bottomLeft" state="frozen"/>
      <selection activeCell="F8" sqref="F8"/>
      <selection pane="bottomLeft" activeCell="A2" sqref="A2:A4"/>
    </sheetView>
  </sheetViews>
  <sheetFormatPr defaultColWidth="7" defaultRowHeight="15"/>
  <cols>
    <col min="1" max="1" width="36.140625" style="14" customWidth="1"/>
    <col min="2" max="2" width="25.92578125" style="14" customWidth="1"/>
    <col min="3" max="3" width="3.640625" style="15" customWidth="1"/>
    <col min="4" max="4" width="23.140625" style="14" customWidth="1"/>
    <col min="5" max="16384" width="7" style="14"/>
  </cols>
  <sheetData>
    <row r="1" spans="1:5" ht="21" customHeight="1">
      <c r="A1" s="18" t="s">
        <v>10</v>
      </c>
      <c r="B1" s="18" t="s">
        <v>11</v>
      </c>
      <c r="C1" s="18" t="s">
        <v>12</v>
      </c>
      <c r="D1" s="18" t="s">
        <v>13</v>
      </c>
    </row>
    <row r="2" spans="1:5">
      <c r="A2" s="14" t="s">
        <v>60</v>
      </c>
    </row>
    <row r="3" spans="1:5">
      <c r="A3" s="14" t="s">
        <v>57</v>
      </c>
      <c r="E3" s="17"/>
    </row>
    <row r="4" spans="1:5">
      <c r="A4" s="14" t="s">
        <v>59</v>
      </c>
      <c r="E4" s="17"/>
    </row>
    <row r="5" spans="1:5">
      <c r="E5" s="17"/>
    </row>
    <row r="6" spans="1:5">
      <c r="E6" s="17"/>
    </row>
    <row r="7" spans="1:5">
      <c r="E7" s="16"/>
    </row>
  </sheetData>
  <phoneticPr fontId="1"/>
  <pageMargins left="0.7" right="0.7" top="0.75" bottom="0.75" header="0.3" footer="0.3"/>
  <pageSetup paperSize="9" scale="81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print="0" autoFill="0" autoPict="0" macro="[0]!testRun_Command">
                <anchor moveWithCells="1" sizeWithCells="1">
                  <from>
                    <xdr:col>0</xdr:col>
                    <xdr:colOff>1955800</xdr:colOff>
                    <xdr:row>0</xdr:row>
                    <xdr:rowOff>19050</xdr:rowOff>
                  </from>
                  <to>
                    <xdr:col>0</xdr:col>
                    <xdr:colOff>3136900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4541A-9406-47F0-AD28-634A9910A2AA}">
  <sheetPr codeName="Sheet1">
    <pageSetUpPr fitToPage="1"/>
  </sheetPr>
  <dimension ref="A2:J19"/>
  <sheetViews>
    <sheetView zoomScaleNormal="100" workbookViewId="0">
      <selection sqref="A1:XFD1048576"/>
    </sheetView>
  </sheetViews>
  <sheetFormatPr defaultRowHeight="15"/>
  <cols>
    <col min="1" max="1" width="7.5703125" style="5" bestFit="1" customWidth="1"/>
    <col min="2" max="2" width="9.28515625" style="5" customWidth="1"/>
    <col min="3" max="3" width="13" style="5" customWidth="1"/>
    <col min="4" max="4" width="10.5703125" style="5" customWidth="1"/>
    <col min="5" max="5" width="36.42578125" style="5" bestFit="1" customWidth="1"/>
    <col min="6" max="16384" width="9.140625" style="5"/>
  </cols>
  <sheetData>
    <row r="2" spans="1:10">
      <c r="A2" s="4" t="s">
        <v>0</v>
      </c>
      <c r="C2" s="6"/>
    </row>
    <row r="3" spans="1:10">
      <c r="A3" s="5">
        <f>MAX(ReviseHistory[No.])</f>
        <v>1</v>
      </c>
      <c r="B3" s="7" t="str">
        <f>VLOOKUP($A3,ReviseHistory[],2,FALSE)</f>
        <v>曾進</v>
      </c>
      <c r="C3" s="8">
        <f>MAX(ReviseHistory[Date])</f>
        <v>44640</v>
      </c>
      <c r="D3" s="7" t="str">
        <f>VLOOKUP($A3,ReviseHistory[],4,FALSE)</f>
        <v>Ver 0.1</v>
      </c>
      <c r="E3" s="5" t="str">
        <f>VLOOKUP($A3,ReviseHistory[],5,FALSE)</f>
        <v>初期作成</v>
      </c>
    </row>
    <row r="4" spans="1:10">
      <c r="C4" s="6"/>
      <c r="J4" s="6"/>
    </row>
    <row r="5" spans="1:10">
      <c r="C5" s="6"/>
      <c r="J5" s="6"/>
    </row>
    <row r="6" spans="1:10">
      <c r="A6" s="4" t="s">
        <v>1</v>
      </c>
      <c r="C6" s="6"/>
    </row>
    <row r="7" spans="1:10">
      <c r="A7" s="7" t="s">
        <v>5</v>
      </c>
      <c r="B7" s="7" t="s">
        <v>7</v>
      </c>
      <c r="C7" s="7" t="s">
        <v>6</v>
      </c>
      <c r="D7" s="7" t="s">
        <v>9</v>
      </c>
      <c r="E7" s="7" t="s">
        <v>8</v>
      </c>
    </row>
    <row r="8" spans="1:10">
      <c r="A8" s="5">
        <v>1</v>
      </c>
      <c r="B8" s="7" t="s">
        <v>2</v>
      </c>
      <c r="C8" s="8">
        <v>44640</v>
      </c>
      <c r="D8" s="7" t="s">
        <v>3</v>
      </c>
      <c r="E8" s="5" t="s">
        <v>4</v>
      </c>
    </row>
    <row r="9" spans="1:10">
      <c r="B9" s="7"/>
      <c r="C9" s="8"/>
      <c r="D9" s="7"/>
    </row>
    <row r="10" spans="1:10">
      <c r="B10" s="7"/>
      <c r="C10" s="8"/>
      <c r="D10" s="7"/>
    </row>
    <row r="11" spans="1:10">
      <c r="B11" s="7"/>
      <c r="C11" s="8"/>
      <c r="D11" s="7"/>
    </row>
    <row r="12" spans="1:10">
      <c r="B12" s="7"/>
      <c r="C12" s="8"/>
      <c r="D12" s="7"/>
    </row>
    <row r="13" spans="1:10">
      <c r="B13" s="7"/>
      <c r="C13" s="8"/>
      <c r="D13" s="7"/>
    </row>
    <row r="14" spans="1:10">
      <c r="B14" s="7"/>
      <c r="C14" s="8"/>
      <c r="D14" s="7"/>
    </row>
    <row r="15" spans="1:10">
      <c r="C15" s="8"/>
    </row>
    <row r="16" spans="1:10">
      <c r="C16" s="8"/>
    </row>
    <row r="17" spans="3:3">
      <c r="C17" s="8"/>
    </row>
    <row r="18" spans="3:3">
      <c r="C18" s="8"/>
    </row>
    <row r="19" spans="3:3">
      <c r="C19" s="8"/>
    </row>
  </sheetData>
  <phoneticPr fontId="1"/>
  <pageMargins left="0.7" right="0.7" top="0.75" bottom="0.75" header="0.3" footer="0.3"/>
  <pageSetup paperSize="9" scale="97" fitToHeight="0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12C7B-C40E-484E-857E-2983C6BEF328}">
  <sheetPr codeName="Sheet3"/>
  <dimension ref="A1"/>
  <sheetViews>
    <sheetView workbookViewId="0">
      <selection sqref="A1:XFD1048576"/>
    </sheetView>
  </sheetViews>
  <sheetFormatPr defaultRowHeight="15"/>
  <cols>
    <col min="1" max="16384" width="9.140625" style="5"/>
  </cols>
  <sheetData/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7477D-3BFC-4180-99C4-47761CFEFD58}">
  <sheetPr codeName="Sheet15"/>
  <dimension ref="A1:C5"/>
  <sheetViews>
    <sheetView workbookViewId="0">
      <selection activeCell="B2" sqref="B2"/>
    </sheetView>
  </sheetViews>
  <sheetFormatPr defaultRowHeight="15"/>
  <cols>
    <col min="1" max="16384" width="9.140625" style="5"/>
  </cols>
  <sheetData>
    <row r="1" spans="1:3">
      <c r="A1" s="5" t="s">
        <v>15</v>
      </c>
      <c r="B1" s="5" t="s">
        <v>56</v>
      </c>
      <c r="C1" s="5" t="s">
        <v>17</v>
      </c>
    </row>
    <row r="2" spans="1:3">
      <c r="A2" s="5" t="s">
        <v>42</v>
      </c>
      <c r="B2" s="19" t="s">
        <v>58</v>
      </c>
      <c r="C2" s="5" t="s">
        <v>24</v>
      </c>
    </row>
    <row r="3" spans="1:3">
      <c r="A3" s="5" t="s">
        <v>43</v>
      </c>
      <c r="B3" s="19" t="s">
        <v>58</v>
      </c>
      <c r="C3" s="5" t="s">
        <v>26</v>
      </c>
    </row>
    <row r="4" spans="1:3">
      <c r="A4" s="5" t="s">
        <v>45</v>
      </c>
      <c r="B4" s="19" t="s">
        <v>58</v>
      </c>
    </row>
    <row r="5" spans="1:3">
      <c r="A5" s="5" t="s">
        <v>47</v>
      </c>
      <c r="B5" s="19" t="s">
        <v>58</v>
      </c>
      <c r="C5" s="5" t="s">
        <v>40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9B6DF-C5B1-4876-B856-BB699F356D36}">
  <sheetPr codeName="Sheet16"/>
  <dimension ref="A1:C6"/>
  <sheetViews>
    <sheetView workbookViewId="0">
      <selection activeCell="B2" sqref="B2"/>
    </sheetView>
  </sheetViews>
  <sheetFormatPr defaultRowHeight="15"/>
  <cols>
    <col min="1" max="16384" width="9.140625" style="5"/>
  </cols>
  <sheetData>
    <row r="1" spans="1:3">
      <c r="A1" s="5" t="s">
        <v>15</v>
      </c>
      <c r="B1" s="5" t="s">
        <v>56</v>
      </c>
      <c r="C1" s="5" t="s">
        <v>17</v>
      </c>
    </row>
    <row r="2" spans="1:3">
      <c r="A2" s="5" t="s">
        <v>42</v>
      </c>
      <c r="B2" s="19" t="s">
        <v>58</v>
      </c>
      <c r="C2" s="5" t="s">
        <v>28</v>
      </c>
    </row>
    <row r="3" spans="1:3">
      <c r="A3" s="5" t="s">
        <v>43</v>
      </c>
      <c r="B3" s="19" t="s">
        <v>58</v>
      </c>
      <c r="C3" s="5" t="s">
        <v>30</v>
      </c>
    </row>
    <row r="4" spans="1:3">
      <c r="A4" s="5" t="s">
        <v>45</v>
      </c>
      <c r="B4" s="19" t="s">
        <v>58</v>
      </c>
      <c r="C4" s="5" t="s">
        <v>32</v>
      </c>
    </row>
    <row r="5" spans="1:3">
      <c r="A5" s="5" t="s">
        <v>47</v>
      </c>
      <c r="B5" s="19" t="s">
        <v>58</v>
      </c>
    </row>
    <row r="6" spans="1:3">
      <c r="A6" s="5" t="s">
        <v>49</v>
      </c>
      <c r="B6" s="19" t="s">
        <v>58</v>
      </c>
      <c r="C6" s="5" t="s">
        <v>51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76E2-E225-40E4-9B7E-CA0762D6515E}">
  <sheetPr codeName="Sheet20">
    <pageSetUpPr fitToPage="1"/>
  </sheetPr>
  <dimension ref="A1:D18"/>
  <sheetViews>
    <sheetView tabSelected="1" workbookViewId="0">
      <pane ySplit="1" topLeftCell="A2" activePane="bottomLeft" state="frozen"/>
      <selection pane="bottomLeft" activeCell="B15" sqref="B15"/>
    </sheetView>
  </sheetViews>
  <sheetFormatPr defaultColWidth="7" defaultRowHeight="12.5"/>
  <cols>
    <col min="1" max="1" width="36.140625" style="2" customWidth="1"/>
    <col min="2" max="2" width="25.92578125" style="2" customWidth="1"/>
    <col min="3" max="3" width="3.640625" style="3" customWidth="1"/>
    <col min="4" max="4" width="23.140625" style="2" customWidth="1"/>
    <col min="5" max="16384" width="7" style="2"/>
  </cols>
  <sheetData>
    <row r="1" spans="1:4" ht="21" customHeight="1">
      <c r="A1" s="1" t="s">
        <v>10</v>
      </c>
      <c r="B1" s="1" t="s">
        <v>11</v>
      </c>
      <c r="C1" s="1" t="s">
        <v>12</v>
      </c>
      <c r="D1" s="1" t="s">
        <v>13</v>
      </c>
    </row>
    <row r="2" spans="1:4" ht="13.5">
      <c r="A2" s="13" t="s">
        <v>34</v>
      </c>
    </row>
    <row r="3" spans="1:4" ht="13.5">
      <c r="A3" s="13" t="s">
        <v>61</v>
      </c>
    </row>
    <row r="4" spans="1:4" ht="13.5">
      <c r="A4" s="13" t="s">
        <v>36</v>
      </c>
    </row>
    <row r="5" spans="1:4" ht="13.5">
      <c r="A5" s="13" t="s">
        <v>41</v>
      </c>
    </row>
    <row r="6" spans="1:4" ht="13.5">
      <c r="A6" s="13" t="s">
        <v>18</v>
      </c>
    </row>
    <row r="7" spans="1:4" ht="13.5">
      <c r="A7" s="13" t="s">
        <v>21</v>
      </c>
    </row>
    <row r="8" spans="1:4" ht="13.5">
      <c r="A8" s="13" t="s">
        <v>62</v>
      </c>
    </row>
    <row r="9" spans="1:4" ht="13.5">
      <c r="A9" s="13"/>
    </row>
    <row r="10" spans="1:4" ht="13.5">
      <c r="A10" s="13" t="s">
        <v>33</v>
      </c>
    </row>
    <row r="11" spans="1:4" ht="13.5">
      <c r="A11" s="13"/>
    </row>
    <row r="12" spans="1:4" ht="13.5">
      <c r="A12" s="13" t="s">
        <v>35</v>
      </c>
    </row>
    <row r="13" spans="1:4" ht="13.5">
      <c r="A13" s="13" t="s">
        <v>63</v>
      </c>
    </row>
    <row r="14" spans="1:4" ht="13.5">
      <c r="A14" s="13" t="s">
        <v>36</v>
      </c>
    </row>
    <row r="15" spans="1:4" ht="13.5">
      <c r="A15" s="13" t="s">
        <v>41</v>
      </c>
    </row>
    <row r="16" spans="1:4" ht="13.5">
      <c r="A16" s="13" t="s">
        <v>22</v>
      </c>
    </row>
    <row r="17" spans="1:1" ht="13.5">
      <c r="A17" s="13" t="s">
        <v>21</v>
      </c>
    </row>
    <row r="18" spans="1:1" ht="13.5">
      <c r="A18" s="13" t="s">
        <v>62</v>
      </c>
    </row>
  </sheetData>
  <phoneticPr fontId="1"/>
  <pageMargins left="0.7" right="0.7" top="0.75" bottom="0.75" header="0.3" footer="0.3"/>
  <pageSetup paperSize="9" scale="81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testRun_Query">
                <anchor moveWithCells="1" sizeWithCells="1">
                  <from>
                    <xdr:col>0</xdr:col>
                    <xdr:colOff>1955800</xdr:colOff>
                    <xdr:row>0</xdr:row>
                    <xdr:rowOff>19050</xdr:rowOff>
                  </from>
                  <to>
                    <xdr:col>0</xdr:col>
                    <xdr:colOff>3136900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53270-CFF2-4242-A2A7-9BB6CF922C7A}">
  <sheetPr codeName="Sheet24"/>
  <dimension ref="A1:D6"/>
  <sheetViews>
    <sheetView workbookViewId="0">
      <selection sqref="A1:XFD1048576"/>
    </sheetView>
  </sheetViews>
  <sheetFormatPr defaultRowHeight="17.5"/>
  <sheetData>
    <row r="1" spans="1:4">
      <c r="A1" t="s">
        <v>14</v>
      </c>
      <c r="B1" t="s">
        <v>55</v>
      </c>
      <c r="C1" t="s">
        <v>37</v>
      </c>
      <c r="D1" t="s">
        <v>38</v>
      </c>
    </row>
    <row r="2" spans="1:4">
      <c r="A2" t="s">
        <v>19</v>
      </c>
      <c r="B2" t="s">
        <v>58</v>
      </c>
      <c r="C2" t="s">
        <v>23</v>
      </c>
      <c r="D2" t="s">
        <v>27</v>
      </c>
    </row>
    <row r="3" spans="1:4">
      <c r="A3" t="s">
        <v>20</v>
      </c>
      <c r="B3" t="s">
        <v>58</v>
      </c>
      <c r="C3" t="s">
        <v>25</v>
      </c>
      <c r="D3" t="s">
        <v>29</v>
      </c>
    </row>
    <row r="4" spans="1:4">
      <c r="A4" t="s">
        <v>44</v>
      </c>
      <c r="B4" t="s">
        <v>58</v>
      </c>
      <c r="D4" t="s">
        <v>31</v>
      </c>
    </row>
    <row r="5" spans="1:4">
      <c r="A5" t="s">
        <v>46</v>
      </c>
      <c r="B5" t="s">
        <v>58</v>
      </c>
      <c r="C5" t="s">
        <v>39</v>
      </c>
    </row>
    <row r="6" spans="1:4">
      <c r="A6" t="s">
        <v>48</v>
      </c>
      <c r="B6" t="s">
        <v>58</v>
      </c>
      <c r="D6" t="s">
        <v>50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F27A5-4B81-47BC-A70F-1EDCA2D492D5}">
  <sheetPr codeName="Sheet25">
    <pageSetUpPr fitToPage="1"/>
  </sheetPr>
  <dimension ref="A1:D23"/>
  <sheetViews>
    <sheetView workbookViewId="0">
      <pane ySplit="1" topLeftCell="A2" activePane="bottomLeft" state="frozen"/>
      <selection pane="bottomLeft" activeCell="A3" sqref="A3"/>
    </sheetView>
  </sheetViews>
  <sheetFormatPr defaultColWidth="7" defaultRowHeight="13.5"/>
  <cols>
    <col min="1" max="1" width="47.5703125" style="10" customWidth="1"/>
    <col min="2" max="2" width="25.92578125" style="10" customWidth="1"/>
    <col min="3" max="3" width="3.640625" style="11" customWidth="1"/>
    <col min="4" max="4" width="23.140625" style="10" customWidth="1"/>
    <col min="5" max="16384" width="7" style="10"/>
  </cols>
  <sheetData>
    <row r="1" spans="1:4" ht="31.5" customHeight="1">
      <c r="A1" s="9" t="s">
        <v>10</v>
      </c>
      <c r="B1" s="9" t="s">
        <v>11</v>
      </c>
      <c r="C1" s="9" t="s">
        <v>12</v>
      </c>
      <c r="D1" s="9" t="s">
        <v>13</v>
      </c>
    </row>
    <row r="2" spans="1:4">
      <c r="A2" s="10" t="s">
        <v>64</v>
      </c>
    </row>
    <row r="4" spans="1:4">
      <c r="A4" s="12" t="s">
        <v>54</v>
      </c>
    </row>
    <row r="5" spans="1:4">
      <c r="A5" s="10" t="s">
        <v>52</v>
      </c>
    </row>
    <row r="6" spans="1:4" s="2" customFormat="1">
      <c r="A6" s="13" t="s">
        <v>34</v>
      </c>
      <c r="C6" s="3"/>
    </row>
    <row r="7" spans="1:4" s="2" customFormat="1">
      <c r="A7" s="13" t="s">
        <v>61</v>
      </c>
      <c r="C7" s="3"/>
    </row>
    <row r="8" spans="1:4" s="2" customFormat="1">
      <c r="A8" s="13" t="s">
        <v>36</v>
      </c>
      <c r="C8" s="3"/>
    </row>
    <row r="9" spans="1:4" s="2" customFormat="1">
      <c r="A9" s="13" t="s">
        <v>41</v>
      </c>
      <c r="C9" s="3"/>
    </row>
    <row r="10" spans="1:4" s="2" customFormat="1">
      <c r="A10" s="13" t="s">
        <v>18</v>
      </c>
      <c r="C10" s="3"/>
    </row>
    <row r="11" spans="1:4" s="2" customFormat="1">
      <c r="A11" s="13" t="s">
        <v>21</v>
      </c>
      <c r="C11" s="3"/>
    </row>
    <row r="12" spans="1:4" s="2" customFormat="1">
      <c r="A12" s="13" t="s">
        <v>62</v>
      </c>
      <c r="C12" s="3"/>
    </row>
    <row r="13" spans="1:4" s="2" customFormat="1">
      <c r="A13" s="13"/>
      <c r="C13" s="3"/>
    </row>
    <row r="14" spans="1:4" s="2" customFormat="1">
      <c r="A14" s="13" t="s">
        <v>33</v>
      </c>
      <c r="C14" s="3"/>
    </row>
    <row r="15" spans="1:4" s="2" customFormat="1">
      <c r="A15" s="13"/>
      <c r="C15" s="3"/>
    </row>
    <row r="16" spans="1:4" s="2" customFormat="1">
      <c r="A16" s="13" t="s">
        <v>35</v>
      </c>
      <c r="C16" s="3"/>
    </row>
    <row r="17" spans="1:3" s="2" customFormat="1">
      <c r="A17" s="13" t="s">
        <v>63</v>
      </c>
      <c r="C17" s="3"/>
    </row>
    <row r="18" spans="1:3" s="2" customFormat="1">
      <c r="A18" s="13" t="s">
        <v>36</v>
      </c>
      <c r="C18" s="3"/>
    </row>
    <row r="19" spans="1:3" s="2" customFormat="1">
      <c r="A19" s="13" t="s">
        <v>41</v>
      </c>
      <c r="C19" s="3"/>
    </row>
    <row r="20" spans="1:3" s="2" customFormat="1">
      <c r="A20" s="13" t="s">
        <v>22</v>
      </c>
      <c r="C20" s="3"/>
    </row>
    <row r="21" spans="1:3" s="2" customFormat="1">
      <c r="A21" s="13" t="s">
        <v>21</v>
      </c>
      <c r="C21" s="3"/>
    </row>
    <row r="22" spans="1:3" s="2" customFormat="1">
      <c r="A22" s="13" t="s">
        <v>62</v>
      </c>
      <c r="C22" s="3"/>
    </row>
    <row r="23" spans="1:3">
      <c r="A23" s="10" t="s">
        <v>53</v>
      </c>
    </row>
  </sheetData>
  <phoneticPr fontId="1"/>
  <pageMargins left="0.7" right="0.7" top="0.75" bottom="0.75" header="0.3" footer="0.3"/>
  <pageSetup paperSize="9" scale="81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testRun_Query">
                <anchor moveWithCells="1" sizeWithCells="1">
                  <from>
                    <xdr:col>0</xdr:col>
                    <xdr:colOff>1955800</xdr:colOff>
                    <xdr:row>0</xdr:row>
                    <xdr:rowOff>19050</xdr:rowOff>
                  </from>
                  <to>
                    <xdr:col>0</xdr:col>
                    <xdr:colOff>3136900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8E8C1-C364-43C7-96CB-BC582F2EECB0}">
  <sheetPr codeName="Sheet26"/>
  <dimension ref="A1:C6"/>
  <sheetViews>
    <sheetView workbookViewId="0">
      <selection sqref="A1:XFD1048576"/>
    </sheetView>
  </sheetViews>
  <sheetFormatPr defaultRowHeight="17.5"/>
  <sheetData>
    <row r="1" spans="1:3">
      <c r="A1" t="s">
        <v>14</v>
      </c>
      <c r="B1" t="s">
        <v>55</v>
      </c>
      <c r="C1" t="s">
        <v>16</v>
      </c>
    </row>
    <row r="2" spans="1:3">
      <c r="A2" t="s">
        <v>19</v>
      </c>
      <c r="B2" t="s">
        <v>58</v>
      </c>
      <c r="C2" t="s">
        <v>23</v>
      </c>
    </row>
    <row r="3" spans="1:3">
      <c r="A3" t="s">
        <v>20</v>
      </c>
      <c r="B3" t="s">
        <v>58</v>
      </c>
      <c r="C3" t="s">
        <v>25</v>
      </c>
    </row>
    <row r="4" spans="1:3">
      <c r="A4" t="s">
        <v>44</v>
      </c>
      <c r="B4" t="s">
        <v>58</v>
      </c>
      <c r="C4" t="s">
        <v>31</v>
      </c>
    </row>
    <row r="5" spans="1:3">
      <c r="A5" t="s">
        <v>46</v>
      </c>
      <c r="B5" t="s">
        <v>58</v>
      </c>
      <c r="C5" t="s">
        <v>39</v>
      </c>
    </row>
    <row r="6" spans="1:3">
      <c r="A6" t="s">
        <v>48</v>
      </c>
      <c r="B6" t="s">
        <v>58</v>
      </c>
      <c r="C6" t="s">
        <v>50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22D77-5508-43C3-81A8-3752DCEE0143}">
  <sheetPr codeName="Sheet21"/>
  <dimension ref="A1:C6"/>
  <sheetViews>
    <sheetView workbookViewId="0">
      <selection sqref="A1:XFD1048576"/>
    </sheetView>
  </sheetViews>
  <sheetFormatPr defaultRowHeight="17.5"/>
  <sheetData>
    <row r="1" spans="1:3">
      <c r="A1" t="s">
        <v>14</v>
      </c>
      <c r="B1" t="s">
        <v>55</v>
      </c>
      <c r="C1" t="s">
        <v>16</v>
      </c>
    </row>
    <row r="2" spans="1:3">
      <c r="A2" t="s">
        <v>19</v>
      </c>
      <c r="B2" t="s">
        <v>58</v>
      </c>
      <c r="C2" t="s">
        <v>23</v>
      </c>
    </row>
    <row r="3" spans="1:3">
      <c r="A3" t="s">
        <v>20</v>
      </c>
      <c r="B3" t="s">
        <v>58</v>
      </c>
      <c r="C3" t="s">
        <v>25</v>
      </c>
    </row>
    <row r="4" spans="1:3">
      <c r="A4" t="s">
        <v>44</v>
      </c>
      <c r="B4" t="s">
        <v>58</v>
      </c>
      <c r="C4" t="s">
        <v>31</v>
      </c>
    </row>
    <row r="5" spans="1:3">
      <c r="A5" t="s">
        <v>46</v>
      </c>
      <c r="B5" t="s">
        <v>58</v>
      </c>
      <c r="C5" t="s">
        <v>39</v>
      </c>
    </row>
    <row r="6" spans="1:3">
      <c r="A6" t="s">
        <v>48</v>
      </c>
      <c r="B6" t="s">
        <v>58</v>
      </c>
      <c r="C6" t="s">
        <v>50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C2</vt:lpstr>
      <vt:lpstr>HISTORY</vt:lpstr>
      <vt:lpstr>MENU</vt:lpstr>
      <vt:lpstr>a</vt:lpstr>
      <vt:lpstr>b</vt:lpstr>
      <vt:lpstr>Q3</vt:lpstr>
      <vt:lpstr>Q3-Result</vt:lpstr>
      <vt:lpstr>Q4</vt:lpstr>
      <vt:lpstr>Q4-Result</vt:lpstr>
      <vt:lpstr>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Zeng, Jin/曾 进</dc:creator>
  <cp:lastModifiedBy>t78006</cp:lastModifiedBy>
  <cp:lastPrinted>2022-03-20T05:01:41Z</cp:lastPrinted>
  <dcterms:created xsi:type="dcterms:W3CDTF">2022-03-20T04:38:53Z</dcterms:created>
  <dcterms:modified xsi:type="dcterms:W3CDTF">2025-07-18T22:45:26Z</dcterms:modified>
</cp:coreProperties>
</file>