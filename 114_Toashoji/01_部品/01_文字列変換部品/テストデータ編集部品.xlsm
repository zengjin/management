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1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toashoji\03_Program\01_部品\01_文字列変換部品\"/>
    </mc:Choice>
  </mc:AlternateContent>
  <bookViews>
    <workbookView xWindow="0" yWindow="0" windowWidth="23040" windowHeight="9105" tabRatio="723"/>
  </bookViews>
  <sheets>
    <sheet name="変更パターン" sheetId="2" r:id="rId1"/>
    <sheet name="CV-001" sheetId="4" r:id="rId2"/>
    <sheet name="CV-002" sheetId="11" r:id="rId3"/>
    <sheet name="CV-003" sheetId="12" r:id="rId4"/>
    <sheet name="CV-004" sheetId="3" r:id="rId5"/>
    <sheet name="CV-005" sheetId="5" r:id="rId6"/>
    <sheet name="CV-006" sheetId="13" r:id="rId7"/>
    <sheet name="CV-007" sheetId="6" r:id="rId8"/>
    <sheet name="CV-008" sheetId="7" r:id="rId9"/>
    <sheet name="CV-009" sheetId="8" r:id="rId10"/>
    <sheet name="CV-010" sheetId="9" r:id="rId11"/>
    <sheet name="CV-012" sheetId="1" r:id="rId1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1" l="1"/>
  <c r="I4" i="1"/>
  <c r="G5" i="1"/>
  <c r="I5" i="1"/>
  <c r="G6" i="1"/>
  <c r="I6" i="1"/>
  <c r="G7" i="1"/>
  <c r="I7" i="1"/>
  <c r="G8" i="1"/>
  <c r="I8" i="1"/>
  <c r="G10" i="1"/>
  <c r="I10" i="1"/>
  <c r="G11" i="1"/>
  <c r="I11" i="1"/>
  <c r="G12" i="1"/>
  <c r="I12" i="1"/>
  <c r="G13" i="1"/>
  <c r="I13" i="1"/>
  <c r="G14" i="1"/>
  <c r="I14" i="1"/>
  <c r="G15" i="1"/>
  <c r="I15" i="1"/>
  <c r="G16" i="1"/>
  <c r="I16" i="1"/>
  <c r="G9" i="1"/>
  <c r="I9" i="1"/>
  <c r="I3" i="1"/>
  <c r="G3" i="1"/>
  <c r="I5" i="9"/>
  <c r="G5" i="9"/>
  <c r="I4" i="9"/>
  <c r="G4" i="9"/>
  <c r="I3" i="9"/>
  <c r="G3" i="9"/>
  <c r="I5" i="8"/>
  <c r="G5" i="8"/>
  <c r="I4" i="8"/>
  <c r="G4" i="8"/>
  <c r="I3" i="8"/>
  <c r="G3" i="8"/>
  <c r="G4" i="7"/>
  <c r="I4" i="7"/>
  <c r="G5" i="7"/>
  <c r="I5" i="7"/>
  <c r="I3" i="7"/>
  <c r="G3" i="7"/>
  <c r="I4" i="6"/>
  <c r="G4" i="6"/>
  <c r="I3" i="6"/>
  <c r="G3" i="6"/>
  <c r="I6" i="13"/>
  <c r="G6" i="13"/>
  <c r="I5" i="13"/>
  <c r="G5" i="13"/>
  <c r="I4" i="13"/>
  <c r="G4" i="13"/>
  <c r="I3" i="13"/>
  <c r="G3" i="13"/>
  <c r="G4" i="5"/>
  <c r="I4" i="5"/>
  <c r="G5" i="5"/>
  <c r="I5" i="5"/>
  <c r="G6" i="5"/>
  <c r="I6" i="5"/>
  <c r="I3" i="5"/>
  <c r="G3" i="5"/>
  <c r="I9" i="3"/>
  <c r="G9" i="3"/>
  <c r="C9" i="3"/>
  <c r="A9" i="3"/>
  <c r="G4" i="3"/>
  <c r="I4" i="3"/>
  <c r="G5" i="3"/>
  <c r="I5" i="3"/>
  <c r="G6" i="3"/>
  <c r="I6" i="3"/>
  <c r="G7" i="3"/>
  <c r="I7" i="3"/>
  <c r="G8" i="3"/>
  <c r="I8" i="3"/>
  <c r="G10" i="3"/>
  <c r="I10" i="3"/>
  <c r="G11" i="3"/>
  <c r="I11" i="3"/>
  <c r="G12" i="3"/>
  <c r="I12" i="3"/>
  <c r="G13" i="3"/>
  <c r="I13" i="3"/>
  <c r="I3" i="3"/>
  <c r="G3" i="3"/>
  <c r="G4" i="12"/>
  <c r="I4" i="12"/>
  <c r="I3" i="12"/>
  <c r="G3" i="12"/>
  <c r="I3" i="11"/>
  <c r="G3" i="11"/>
  <c r="I6" i="4"/>
  <c r="I5" i="4"/>
  <c r="I4" i="4"/>
  <c r="I3" i="4"/>
  <c r="G6" i="4"/>
  <c r="G5" i="4"/>
  <c r="G4" i="4"/>
  <c r="G3" i="4"/>
  <c r="C4" i="1" l="1"/>
  <c r="C5" i="1"/>
  <c r="C6" i="1"/>
  <c r="C7" i="1"/>
  <c r="C8" i="1"/>
  <c r="C3" i="1"/>
  <c r="A8" i="1"/>
  <c r="A3" i="1"/>
  <c r="A4" i="1"/>
  <c r="A5" i="1"/>
  <c r="A6" i="1"/>
  <c r="A7" i="1"/>
  <c r="C13" i="3" l="1"/>
  <c r="A13" i="3"/>
  <c r="C12" i="3"/>
  <c r="A12" i="3"/>
  <c r="C6" i="13" l="1"/>
  <c r="A6" i="13"/>
  <c r="C5" i="13"/>
  <c r="A5" i="13"/>
  <c r="C4" i="13"/>
  <c r="A4" i="13"/>
  <c r="C3" i="13"/>
  <c r="A3" i="13"/>
  <c r="C4" i="12"/>
  <c r="A4" i="12"/>
  <c r="C3" i="12"/>
  <c r="A3" i="12"/>
  <c r="C3" i="11"/>
  <c r="A3" i="11"/>
  <c r="C6" i="4"/>
  <c r="A6" i="4"/>
  <c r="C5" i="9"/>
  <c r="A5" i="9"/>
  <c r="C4" i="9"/>
  <c r="A4" i="9"/>
  <c r="C3" i="9"/>
  <c r="A3" i="9"/>
  <c r="C5" i="8"/>
  <c r="A5" i="8"/>
  <c r="C4" i="8"/>
  <c r="A4" i="8"/>
  <c r="C3" i="8"/>
  <c r="A3" i="8"/>
  <c r="C9" i="1"/>
  <c r="A9" i="1"/>
  <c r="C7" i="3"/>
  <c r="C8" i="3"/>
  <c r="C10" i="3"/>
  <c r="C11" i="3"/>
  <c r="A7" i="3"/>
  <c r="A8" i="3"/>
  <c r="A10" i="3"/>
  <c r="A11" i="3"/>
  <c r="C5" i="4" l="1"/>
  <c r="A5" i="4"/>
  <c r="C16" i="1"/>
  <c r="A16" i="1"/>
  <c r="C10" i="1"/>
  <c r="C11" i="1"/>
  <c r="C12" i="1"/>
  <c r="C13" i="1"/>
  <c r="C14" i="1"/>
  <c r="C15" i="1"/>
  <c r="A10" i="1"/>
  <c r="A11" i="1"/>
  <c r="A12" i="1"/>
  <c r="A13" i="1"/>
  <c r="A14" i="1"/>
  <c r="A15" i="1"/>
  <c r="A4" i="6" l="1"/>
  <c r="A3" i="6"/>
  <c r="A6" i="5"/>
  <c r="A5" i="5"/>
  <c r="A4" i="5"/>
  <c r="A3" i="5"/>
  <c r="A5" i="3"/>
  <c r="A6" i="3"/>
  <c r="A4" i="3"/>
  <c r="A3" i="3"/>
  <c r="A4" i="4"/>
  <c r="A3" i="4"/>
  <c r="A4" i="7"/>
  <c r="A5" i="7"/>
  <c r="A3" i="7"/>
  <c r="C5" i="7"/>
  <c r="C4" i="7"/>
  <c r="C4" i="5"/>
  <c r="C5" i="5"/>
  <c r="C6" i="5"/>
  <c r="C4" i="6" l="1"/>
  <c r="C4" i="4"/>
  <c r="C6" i="3"/>
  <c r="C4" i="3"/>
  <c r="C5" i="3"/>
  <c r="C3" i="7" l="1"/>
  <c r="C3" i="6"/>
  <c r="C3" i="5"/>
  <c r="C3" i="4"/>
  <c r="C3" i="3"/>
</calcChain>
</file>

<file path=xl/sharedStrings.xml><?xml version="1.0" encoding="utf-8"?>
<sst xmlns="http://schemas.openxmlformats.org/spreadsheetml/2006/main" count="424" uniqueCount="241">
  <si>
    <t>変換前文字列</t>
    <rPh sb="0" eb="2">
      <t>ヘンカン</t>
    </rPh>
    <rPh sb="2" eb="3">
      <t>マエ</t>
    </rPh>
    <rPh sb="3" eb="6">
      <t>モジレツ</t>
    </rPh>
    <phoneticPr fontId="1"/>
  </si>
  <si>
    <t>No.</t>
    <phoneticPr fontId="1"/>
  </si>
  <si>
    <t>変換後文字列</t>
    <rPh sb="0" eb="2">
      <t>ヘンカン</t>
    </rPh>
    <rPh sb="2" eb="3">
      <t>アト</t>
    </rPh>
    <rPh sb="3" eb="6">
      <t>モジレツ</t>
    </rPh>
    <phoneticPr fontId="1"/>
  </si>
  <si>
    <t>マスク文字列</t>
    <rPh sb="3" eb="6">
      <t>モジレツ</t>
    </rPh>
    <phoneticPr fontId="1"/>
  </si>
  <si>
    <t>予想変換後文字列</t>
    <rPh sb="0" eb="2">
      <t>ヨソウ</t>
    </rPh>
    <rPh sb="2" eb="4">
      <t>ヘンカン</t>
    </rPh>
    <rPh sb="4" eb="5">
      <t>アト</t>
    </rPh>
    <rPh sb="5" eb="8">
      <t>モジレツ</t>
    </rPh>
    <phoneticPr fontId="1"/>
  </si>
  <si>
    <t>長さ</t>
    <rPh sb="0" eb="1">
      <t>ナガ</t>
    </rPh>
    <phoneticPr fontId="1"/>
  </si>
  <si>
    <t>除外文字</t>
    <rPh sb="0" eb="2">
      <t>ジョガイ</t>
    </rPh>
    <rPh sb="2" eb="4">
      <t>モジ</t>
    </rPh>
    <phoneticPr fontId="1"/>
  </si>
  <si>
    <t>ID</t>
    <phoneticPr fontId="5"/>
  </si>
  <si>
    <t>項目名</t>
    <rPh sb="0" eb="2">
      <t>コウモク</t>
    </rPh>
    <rPh sb="2" eb="3">
      <t>メイ</t>
    </rPh>
    <phoneticPr fontId="6"/>
  </si>
  <si>
    <t>分類</t>
    <rPh sb="0" eb="2">
      <t>ブンルイ</t>
    </rPh>
    <phoneticPr fontId="6"/>
  </si>
  <si>
    <t>部品名</t>
    <rPh sb="0" eb="2">
      <t>ブヒン</t>
    </rPh>
    <rPh sb="2" eb="3">
      <t>メイ</t>
    </rPh>
    <phoneticPr fontId="6"/>
  </si>
  <si>
    <t>編集ルール</t>
    <rPh sb="0" eb="2">
      <t>ヘンシュウ</t>
    </rPh>
    <phoneticPr fontId="5"/>
  </si>
  <si>
    <t>備考</t>
    <rPh sb="0" eb="2">
      <t>ビコウ</t>
    </rPh>
    <phoneticPr fontId="5"/>
  </si>
  <si>
    <t>CV-001</t>
    <phoneticPr fontId="6"/>
  </si>
  <si>
    <t>ＦＡＸ番号</t>
    <phoneticPr fontId="6"/>
  </si>
  <si>
    <t>一括置換</t>
    <rPh sb="0" eb="2">
      <t>イッカツ</t>
    </rPh>
    <rPh sb="2" eb="4">
      <t>オキカエ</t>
    </rPh>
    <phoneticPr fontId="6"/>
  </si>
  <si>
    <t>fcv_fax</t>
    <phoneticPr fontId="6"/>
  </si>
  <si>
    <t>「指定した電話番号」or「999-999-9999」（ハイフンを含む）に一括置換</t>
    <rPh sb="36" eb="40">
      <t>イッカツチカン</t>
    </rPh>
    <phoneticPr fontId="5"/>
  </si>
  <si>
    <t>CV-002</t>
  </si>
  <si>
    <t>fcv_toarans</t>
    <phoneticPr fontId="6"/>
  </si>
  <si>
    <t>「TOARANS」を「XXXXXXX」に一括置換</t>
    <rPh sb="20" eb="24">
      <t>イッカツチカン</t>
    </rPh>
    <phoneticPr fontId="5"/>
  </si>
  <si>
    <t>なし</t>
    <phoneticPr fontId="6"/>
  </si>
  <si>
    <t>CV-003</t>
  </si>
  <si>
    <t>fcv_zipcode</t>
    <phoneticPr fontId="6"/>
  </si>
  <si>
    <t>なし</t>
    <phoneticPr fontId="6"/>
  </si>
  <si>
    <t>CV-004</t>
  </si>
  <si>
    <t>会社略名</t>
    <rPh sb="0" eb="2">
      <t>カイシャ</t>
    </rPh>
    <rPh sb="2" eb="3">
      <t>リャク</t>
    </rPh>
    <rPh sb="3" eb="4">
      <t>メイ</t>
    </rPh>
    <phoneticPr fontId="6"/>
  </si>
  <si>
    <t>ＦＡＸテスト会社名</t>
    <phoneticPr fontId="6"/>
  </si>
  <si>
    <t>fcv_company</t>
    <phoneticPr fontId="6"/>
  </si>
  <si>
    <t>全角漢字の文字数に合わせて「ＦＡＸテスト会社名」に変更
㈱、(株)、株は元の位置に保留、「株式会社」「有限会社」は変換しない</t>
    <rPh sb="0" eb="2">
      <t>ゼンカク</t>
    </rPh>
    <rPh sb="2" eb="4">
      <t>カンジ</t>
    </rPh>
    <rPh sb="5" eb="8">
      <t>モジスウ</t>
    </rPh>
    <rPh sb="9" eb="10">
      <t>ア</t>
    </rPh>
    <rPh sb="20" eb="23">
      <t>カイシャメイ</t>
    </rPh>
    <rPh sb="25" eb="27">
      <t>ヘンコウ</t>
    </rPh>
    <rPh sb="30" eb="33">
      <t>カブシキガイシャ</t>
    </rPh>
    <rPh sb="34" eb="35">
      <t>カブ</t>
    </rPh>
    <rPh sb="36" eb="37">
      <t>モト</t>
    </rPh>
    <rPh sb="38" eb="40">
      <t>イチ</t>
    </rPh>
    <rPh sb="41" eb="43">
      <t>ホリュウ</t>
    </rPh>
    <rPh sb="45" eb="49">
      <t>カブシキガイシャ</t>
    </rPh>
    <rPh sb="51" eb="55">
      <t>ユウゲンガイシャ</t>
    </rPh>
    <rPh sb="57" eb="59">
      <t>ヘンカン</t>
    </rPh>
    <phoneticPr fontId="5"/>
  </si>
  <si>
    <t>CV-005</t>
  </si>
  <si>
    <t>住所</t>
    <phoneticPr fontId="6"/>
  </si>
  <si>
    <t>ＦＡＸテスト用住所</t>
    <phoneticPr fontId="6"/>
  </si>
  <si>
    <t>fcv_address</t>
    <phoneticPr fontId="6"/>
  </si>
  <si>
    <t>全角漢字の文字数に合わせて「ＦＡＸテスト用住所」に変更
全角の数字と「ー」はそのまま保留</t>
    <rPh sb="0" eb="2">
      <t>ゼンカク</t>
    </rPh>
    <rPh sb="2" eb="4">
      <t>カンジ</t>
    </rPh>
    <rPh sb="5" eb="8">
      <t>モジスウ</t>
    </rPh>
    <rPh sb="9" eb="10">
      <t>ア</t>
    </rPh>
    <rPh sb="20" eb="21">
      <t>ヨウ</t>
    </rPh>
    <rPh sb="21" eb="23">
      <t>ジュウショ</t>
    </rPh>
    <rPh sb="25" eb="27">
      <t>ヘンコウ</t>
    </rPh>
    <rPh sb="28" eb="30">
      <t>ゼンカク</t>
    </rPh>
    <rPh sb="31" eb="32">
      <t>スウ</t>
    </rPh>
    <rPh sb="32" eb="33">
      <t>ジ</t>
    </rPh>
    <rPh sb="42" eb="44">
      <t>ホリュウ</t>
    </rPh>
    <phoneticPr fontId="5"/>
  </si>
  <si>
    <t>例：東京都渋谷区神南１－１２－１０　
⇒　ＦＡＸテスト用住１－１２－１０</t>
    <rPh sb="0" eb="1">
      <t>レイ</t>
    </rPh>
    <rPh sb="27" eb="28">
      <t>ヨウ</t>
    </rPh>
    <rPh sb="28" eb="29">
      <t>ジュウ</t>
    </rPh>
    <phoneticPr fontId="5"/>
  </si>
  <si>
    <t>CV-006</t>
  </si>
  <si>
    <t>fcv_name</t>
    <phoneticPr fontId="6"/>
  </si>
  <si>
    <t>担当者名を「富士　太郎」に一括置換</t>
    <rPh sb="0" eb="3">
      <t>タントウシャ</t>
    </rPh>
    <rPh sb="3" eb="4">
      <t>メイ</t>
    </rPh>
    <rPh sb="6" eb="8">
      <t>フジ</t>
    </rPh>
    <rPh sb="9" eb="11">
      <t>タロウ</t>
    </rPh>
    <rPh sb="13" eb="17">
      <t>イッカツチカン</t>
    </rPh>
    <phoneticPr fontId="5"/>
  </si>
  <si>
    <t>CV-007</t>
  </si>
  <si>
    <t>電話番号</t>
    <rPh sb="0" eb="2">
      <t>デンワ</t>
    </rPh>
    <rPh sb="2" eb="4">
      <t>バンゴウ</t>
    </rPh>
    <phoneticPr fontId="6"/>
  </si>
  <si>
    <t>fcv_telephone</t>
    <phoneticPr fontId="6"/>
  </si>
  <si>
    <t>ハイフン除いた後、ALL9でない場合は「999-999-9999」（ハイフンを含む）に一括置換</t>
    <rPh sb="4" eb="5">
      <t>ノゾ</t>
    </rPh>
    <rPh sb="7" eb="8">
      <t>アト</t>
    </rPh>
    <rPh sb="16" eb="18">
      <t>バアイ</t>
    </rPh>
    <rPh sb="43" eb="47">
      <t>イッカツチカン</t>
    </rPh>
    <phoneticPr fontId="5"/>
  </si>
  <si>
    <t>CV-008</t>
  </si>
  <si>
    <t>ＦＡＸテスト用</t>
    <phoneticPr fontId="6"/>
  </si>
  <si>
    <t>fcv_warehouse</t>
    <phoneticPr fontId="6"/>
  </si>
  <si>
    <t>全角漢字の文字数に合わせて「ＦＡＸテスト用倉庫名」に変更</t>
    <rPh sb="21" eb="23">
      <t>ソウコ</t>
    </rPh>
    <rPh sb="23" eb="24">
      <t>メイ</t>
    </rPh>
    <phoneticPr fontId="5"/>
  </si>
  <si>
    <t>CV-009</t>
  </si>
  <si>
    <t>得意先名</t>
    <rPh sb="0" eb="3">
      <t>トクイサキ</t>
    </rPh>
    <rPh sb="3" eb="4">
      <t>メイ</t>
    </rPh>
    <phoneticPr fontId="9"/>
  </si>
  <si>
    <t>fcv_customer</t>
    <phoneticPr fontId="6"/>
  </si>
  <si>
    <t>CV-010</t>
  </si>
  <si>
    <t>発注先名</t>
    <phoneticPr fontId="6"/>
  </si>
  <si>
    <t>ＦＡＸテスト用</t>
    <phoneticPr fontId="6"/>
  </si>
  <si>
    <t>全角漢字の文字数に合わせて「ＦＡＸテスト用発注先名」に変更</t>
    <rPh sb="21" eb="23">
      <t>ハッチュウ</t>
    </rPh>
    <rPh sb="23" eb="24">
      <t>サキ</t>
    </rPh>
    <rPh sb="24" eb="25">
      <t>メイ</t>
    </rPh>
    <phoneticPr fontId="5"/>
  </si>
  <si>
    <t>CV-011</t>
  </si>
  <si>
    <t>表示情報８</t>
    <rPh sb="0" eb="2">
      <t>ヒョウジ</t>
    </rPh>
    <rPh sb="2" eb="4">
      <t>ジョウホウ</t>
    </rPh>
    <phoneticPr fontId="9"/>
  </si>
  <si>
    <t>全角漢字の文字数に合わせて「ＦＡＸテスト用得意先名」に変更</t>
    <rPh sb="0" eb="2">
      <t>ゼンカク</t>
    </rPh>
    <rPh sb="2" eb="4">
      <t>カンジ</t>
    </rPh>
    <rPh sb="5" eb="8">
      <t>モジスウ</t>
    </rPh>
    <rPh sb="9" eb="10">
      <t>ア</t>
    </rPh>
    <rPh sb="21" eb="25">
      <t>トクイサキメイ</t>
    </rPh>
    <rPh sb="27" eb="29">
      <t>ヘンコウ</t>
    </rPh>
    <phoneticPr fontId="5"/>
  </si>
  <si>
    <t>CV-012</t>
  </si>
  <si>
    <t>商品名</t>
    <rPh sb="0" eb="2">
      <t>ショウヒン</t>
    </rPh>
    <rPh sb="2" eb="3">
      <t>メイ</t>
    </rPh>
    <phoneticPr fontId="6"/>
  </si>
  <si>
    <t>テスト用商品名</t>
    <phoneticPr fontId="6"/>
  </si>
  <si>
    <t>fcv_product</t>
    <phoneticPr fontId="6"/>
  </si>
  <si>
    <t>確認事項</t>
    <rPh sb="0" eb="2">
      <t>カクニン</t>
    </rPh>
    <rPh sb="2" eb="4">
      <t>ジコウ</t>
    </rPh>
    <phoneticPr fontId="5"/>
  </si>
  <si>
    <t>㈱、(株)、株は元の位置に保留、「株式会社」「有限会社」は変換しない</t>
    <phoneticPr fontId="1"/>
  </si>
  <si>
    <t>ＦＡＸテスト用住１－１２－１０</t>
    <phoneticPr fontId="1"/>
  </si>
  <si>
    <t>東京都渋谷区神南１－１２－１０</t>
    <phoneticPr fontId="1"/>
  </si>
  <si>
    <t>【変換ルール】
全角漢字の文字数に合わせて「ＦＡＸテスト用住所」に変更
全角の数字と「ー」はそのまま保留</t>
    <rPh sb="1" eb="3">
      <t>ヘンカン</t>
    </rPh>
    <phoneticPr fontId="1"/>
  </si>
  <si>
    <t>倉庫名</t>
    <phoneticPr fontId="1"/>
  </si>
  <si>
    <t>【変換ルール】
全角漢字の文字数に合わせて「ＦＡＸテスト用倉庫名」に変更</t>
    <rPh sb="1" eb="3">
      <t>ヘンカン</t>
    </rPh>
    <phoneticPr fontId="1"/>
  </si>
  <si>
    <t>埼玉県桶川市</t>
  </si>
  <si>
    <t>999-999-9999</t>
    <phoneticPr fontId="1"/>
  </si>
  <si>
    <t>999-999-9999</t>
    <phoneticPr fontId="1"/>
  </si>
  <si>
    <t>123-456-7890</t>
    <phoneticPr fontId="1"/>
  </si>
  <si>
    <t>ＦＡＸテスト用住所</t>
    <rPh sb="7" eb="9">
      <t>ジュウショ</t>
    </rPh>
    <phoneticPr fontId="1"/>
  </si>
  <si>
    <t>ＦＡＸテスト</t>
    <phoneticPr fontId="1"/>
  </si>
  <si>
    <t>全角の数字と「ー」</t>
    <phoneticPr fontId="1"/>
  </si>
  <si>
    <t>全角の数字と「ー」</t>
    <phoneticPr fontId="1"/>
  </si>
  <si>
    <t>全角の数字と「ー」</t>
    <phoneticPr fontId="1"/>
  </si>
  <si>
    <t>全角の数字と「ー」</t>
    <phoneticPr fontId="1"/>
  </si>
  <si>
    <t>大字川田谷２４５９－１</t>
    <phoneticPr fontId="1"/>
  </si>
  <si>
    <t>ＦＡＸテス２４５９－１</t>
    <phoneticPr fontId="1"/>
  </si>
  <si>
    <t>千葉県松戸市上本郷字沼尻７２９</t>
    <phoneticPr fontId="1"/>
  </si>
  <si>
    <t>ＦＡＸテスト用住所ＦＡＸ７２９</t>
    <phoneticPr fontId="1"/>
  </si>
  <si>
    <t>999-999-9999</t>
    <phoneticPr fontId="1"/>
  </si>
  <si>
    <t>なし</t>
    <phoneticPr fontId="1"/>
  </si>
  <si>
    <t>なし</t>
    <phoneticPr fontId="1"/>
  </si>
  <si>
    <t>ＦＡＸテスト用倉庫名</t>
    <phoneticPr fontId="1"/>
  </si>
  <si>
    <t>なし</t>
    <phoneticPr fontId="1"/>
  </si>
  <si>
    <t>ＫＲＳチルド</t>
    <phoneticPr fontId="1"/>
  </si>
  <si>
    <t>ＦＡＸテスト会社名</t>
    <phoneticPr fontId="1"/>
  </si>
  <si>
    <t>ＦＡＸテスト㈱</t>
    <phoneticPr fontId="1"/>
  </si>
  <si>
    <t>雪印北海道倉庫</t>
    <rPh sb="0" eb="2">
      <t>ユキジルシ</t>
    </rPh>
    <rPh sb="2" eb="5">
      <t>ホッカイドウ</t>
    </rPh>
    <rPh sb="5" eb="7">
      <t>ソウコ</t>
    </rPh>
    <phoneticPr fontId="1"/>
  </si>
  <si>
    <t>イトーヨーカ堂神奈川県倉庫</t>
    <rPh sb="6" eb="7">
      <t>ドウ</t>
    </rPh>
    <rPh sb="7" eb="10">
      <t>カナガワ</t>
    </rPh>
    <rPh sb="10" eb="11">
      <t>ケン</t>
    </rPh>
    <rPh sb="11" eb="13">
      <t>ソウコ</t>
    </rPh>
    <phoneticPr fontId="1"/>
  </si>
  <si>
    <t>現添外付</t>
    <phoneticPr fontId="1"/>
  </si>
  <si>
    <t>Ｃ／Ｓ値引</t>
    <phoneticPr fontId="1"/>
  </si>
  <si>
    <t>％値引</t>
    <phoneticPr fontId="1"/>
  </si>
  <si>
    <t>現添内引</t>
    <phoneticPr fontId="1"/>
  </si>
  <si>
    <t>商品種別合計消費税｛*~！@ST全角ﾋﾝ Aa　｝</t>
    <phoneticPr fontId="1"/>
  </si>
  <si>
    <t>現添外付</t>
    <phoneticPr fontId="1"/>
  </si>
  <si>
    <t>商品種別合計消費税｛*~！@ST全角ﾋﾝ Aa　｝</t>
    <phoneticPr fontId="1"/>
  </si>
  <si>
    <t>＊＊　｛*~！@ST全角ﾋﾝ Aa　｝　＊＊</t>
    <phoneticPr fontId="1"/>
  </si>
  <si>
    <t>987-654-3210</t>
    <phoneticPr fontId="1"/>
  </si>
  <si>
    <t>％値引</t>
    <phoneticPr fontId="1"/>
  </si>
  <si>
    <t>現添内引</t>
    <phoneticPr fontId="1"/>
  </si>
  <si>
    <t>現添内引</t>
    <phoneticPr fontId="1"/>
  </si>
  <si>
    <t>Ｃ／Ｓ値引</t>
    <phoneticPr fontId="1"/>
  </si>
  <si>
    <t>＊＊　｛*~！@ST全角ﾋﾝ Aa　｝　＊＊</t>
    <phoneticPr fontId="1"/>
  </si>
  <si>
    <t>商品種別合計消費税｛任意文字列｝</t>
    <phoneticPr fontId="1"/>
  </si>
  <si>
    <t>＊＊　｛任意文字列｝　＊＊</t>
    <phoneticPr fontId="1"/>
  </si>
  <si>
    <t>ＦＡＸテスト用倉庫名ＦＡＸ</t>
    <phoneticPr fontId="1"/>
  </si>
  <si>
    <t>ＦＡＸテスト用</t>
    <phoneticPr fontId="1"/>
  </si>
  <si>
    <t>京葉中沢販売㈱</t>
    <phoneticPr fontId="1"/>
  </si>
  <si>
    <t>ＦＡＸテスト会社名</t>
    <phoneticPr fontId="1"/>
  </si>
  <si>
    <t>西原商会㈱</t>
    <phoneticPr fontId="1"/>
  </si>
  <si>
    <t>ＦＡＸテスト株</t>
    <phoneticPr fontId="1"/>
  </si>
  <si>
    <t>999-999-9999</t>
    <phoneticPr fontId="1"/>
  </si>
  <si>
    <t>符号</t>
    <phoneticPr fontId="1"/>
  </si>
  <si>
    <t>半角スペース、数字、英文字、符号</t>
    <phoneticPr fontId="1"/>
  </si>
  <si>
    <t>ｱｰｽ     ｱｰｽ･ｸﾘｱﾉｯｶｰ ﾃｰﾌﾟ50 (50mm*10m)</t>
    <phoneticPr fontId="1"/>
  </si>
  <si>
    <t>No.</t>
    <phoneticPr fontId="1"/>
  </si>
  <si>
    <t>No.</t>
    <phoneticPr fontId="1"/>
  </si>
  <si>
    <t>ＫＲＳチルド</t>
    <phoneticPr fontId="1"/>
  </si>
  <si>
    <t>なし</t>
    <phoneticPr fontId="1"/>
  </si>
  <si>
    <t>なし</t>
    <phoneticPr fontId="1"/>
  </si>
  <si>
    <t>fcv_customer</t>
    <phoneticPr fontId="6"/>
  </si>
  <si>
    <t>fcv_Supplier</t>
    <phoneticPr fontId="6"/>
  </si>
  <si>
    <t>【変換ルール】
全角漢字の文字数に合わせて「ＦＡＸテスト用得意先名」に変更</t>
    <rPh sb="1" eb="3">
      <t>ヘンカン</t>
    </rPh>
    <phoneticPr fontId="1"/>
  </si>
  <si>
    <t>【変換ルール】
全角漢字の文字数に合わせて「ＦＡＸテスト用発注先名」に変更</t>
    <rPh sb="1" eb="3">
      <t>ヘンカン</t>
    </rPh>
    <phoneticPr fontId="1"/>
  </si>
  <si>
    <t>ＦＡＸテスト用発注先名</t>
    <phoneticPr fontId="1"/>
  </si>
  <si>
    <t>全角漢字の文字数に合わせて「ＦＡＸテスト用得意先名」に変更</t>
    <phoneticPr fontId="5"/>
  </si>
  <si>
    <t>ＦＡＸテスト用得意先名</t>
    <phoneticPr fontId="1"/>
  </si>
  <si>
    <t>ＦＡＸテスト用</t>
    <phoneticPr fontId="1"/>
  </si>
  <si>
    <t>ＦＡＸテスト用得意先名ＦＡ</t>
    <phoneticPr fontId="1"/>
  </si>
  <si>
    <t>ＦＡＸテスト</t>
    <phoneticPr fontId="11" type="noConversion"/>
  </si>
  <si>
    <t>ＦＡＸテスト用</t>
    <phoneticPr fontId="11" type="noConversion"/>
  </si>
  <si>
    <t>ＦＡＸテスト用発注先名ＦＡ</t>
    <phoneticPr fontId="11" type="noConversion"/>
  </si>
  <si>
    <t>XXXXXXX</t>
    <phoneticPr fontId="11" type="noConversion"/>
  </si>
  <si>
    <t>表示情報３</t>
    <phoneticPr fontId="6"/>
  </si>
  <si>
    <t>郵便番号</t>
    <phoneticPr fontId="6"/>
  </si>
  <si>
    <t>「999-9999」に一括置換</t>
    <phoneticPr fontId="5"/>
  </si>
  <si>
    <t>999-9999</t>
    <phoneticPr fontId="1"/>
  </si>
  <si>
    <t>344-9933</t>
    <phoneticPr fontId="1"/>
  </si>
  <si>
    <t>999-9999</t>
    <phoneticPr fontId="11" type="noConversion"/>
  </si>
  <si>
    <t>担当者名</t>
    <phoneticPr fontId="6"/>
  </si>
  <si>
    <t>担当者名1</t>
    <phoneticPr fontId="1"/>
  </si>
  <si>
    <t>担当者名2</t>
  </si>
  <si>
    <t>担当者名3</t>
  </si>
  <si>
    <t>担当者名4</t>
  </si>
  <si>
    <t>888-888-8888</t>
    <phoneticPr fontId="1"/>
  </si>
  <si>
    <t>888-888-8888</t>
    <phoneticPr fontId="1"/>
  </si>
  <si>
    <t>999-999-9999</t>
  </si>
  <si>
    <t>999-9999</t>
  </si>
  <si>
    <t>京葉(株)中沢販(株)売</t>
    <phoneticPr fontId="1"/>
  </si>
  <si>
    <t>京葉中沢販売株</t>
    <phoneticPr fontId="1"/>
  </si>
  <si>
    <t>指定した電話番号</t>
    <rPh sb="0" eb="2">
      <t>シテイ</t>
    </rPh>
    <rPh sb="4" eb="6">
      <t>デンワ</t>
    </rPh>
    <rPh sb="6" eb="8">
      <t>バンゴウ</t>
    </rPh>
    <phoneticPr fontId="1"/>
  </si>
  <si>
    <t>京葉中沢販売有限会社</t>
    <phoneticPr fontId="1"/>
  </si>
  <si>
    <t>京葉中沢販売株式会社</t>
    <phoneticPr fontId="1"/>
  </si>
  <si>
    <t>ＦＡＸテスト有限会社</t>
    <phoneticPr fontId="1"/>
  </si>
  <si>
    <t>ＦＡＸテスト株式会社</t>
    <phoneticPr fontId="1"/>
  </si>
  <si>
    <t>有限会社京葉中沢販売</t>
    <phoneticPr fontId="1"/>
  </si>
  <si>
    <t>株式会社京葉中沢販売</t>
    <phoneticPr fontId="1"/>
  </si>
  <si>
    <t>有限会社ＦＡＸテスト</t>
    <phoneticPr fontId="1"/>
  </si>
  <si>
    <t>株式会社ＦＡＸテスト</t>
    <phoneticPr fontId="1"/>
  </si>
  <si>
    <t>ＦＡＸテスト用住１－１２－１０</t>
  </si>
  <si>
    <t>ＦＡＸテスト</t>
  </si>
  <si>
    <t>ＦＡＸテス２４５９－１</t>
  </si>
  <si>
    <t>ＦＡＸテスト用住所ＦＡＸ７２９</t>
  </si>
  <si>
    <t>ＦＡＸテスト用</t>
  </si>
  <si>
    <t>ＦＡＸテスト用倉庫名ＦＡＸ</t>
  </si>
  <si>
    <t>全角、半角混在の場合がある</t>
    <rPh sb="0" eb="2">
      <t>ゼンカク</t>
    </rPh>
    <rPh sb="3" eb="5">
      <t>ハンカク</t>
    </rPh>
    <rPh sb="5" eb="7">
      <t>コンザイ</t>
    </rPh>
    <rPh sb="8" eb="10">
      <t>バアイ</t>
    </rPh>
    <phoneticPr fontId="6"/>
  </si>
  <si>
    <t>全角、半角混在の場合がなし</t>
    <rPh sb="0" eb="2">
      <t>ゼンカク</t>
    </rPh>
    <rPh sb="3" eb="5">
      <t>ハンカク</t>
    </rPh>
    <rPh sb="5" eb="7">
      <t>コンザイ</t>
    </rPh>
    <rPh sb="8" eb="10">
      <t>バアイ</t>
    </rPh>
    <phoneticPr fontId="6"/>
  </si>
  <si>
    <t>TOARANS</t>
    <phoneticPr fontId="1"/>
  </si>
  <si>
    <t>XXXXXXX</t>
  </si>
  <si>
    <t>888-888-8888</t>
  </si>
  <si>
    <t>ＦＡＸテスト有限会社</t>
  </si>
  <si>
    <t>ＦＡＸテスト株式会社</t>
  </si>
  <si>
    <t>有限会社ＦＡＸテスト</t>
  </si>
  <si>
    <t>株式会社ＦＡＸテスト</t>
  </si>
  <si>
    <t>テスト用商品名１</t>
    <phoneticPr fontId="1"/>
  </si>
  <si>
    <t>テスト用商品名２</t>
  </si>
  <si>
    <t>テスト用商品名３</t>
  </si>
  <si>
    <t>半角スペース、数字、英文字、符号</t>
    <phoneticPr fontId="1"/>
  </si>
  <si>
    <t>テス　ト用商　品名２（テスト用商品）６０</t>
  </si>
  <si>
    <t>ﾃｽﾄﾖｳｼｮｳﾋﾝﾒｲ2</t>
  </si>
  <si>
    <t>ﾃｽﾄﾖｳｼｮｳﾋﾝﾒｲ3</t>
  </si>
  <si>
    <t>交洋　骨取り　メバル（キタノメヌケ）６０</t>
    <phoneticPr fontId="1"/>
  </si>
  <si>
    <t>ｱｰｽ ｱｰｽ･ｸﾘｱﾉｯｶｰ ﾃｰﾌﾟ50 (50mm*10m)</t>
    <phoneticPr fontId="1"/>
  </si>
  <si>
    <t>ﾃｽﾄ ﾖｳｼ･ｮｳﾋﾝﾒｲ3 ﾃｽﾄﾟ50 (50mm*10m)</t>
  </si>
  <si>
    <t>ＦＡＸテ㈱</t>
  </si>
  <si>
    <t>ＦＡＸテスト㈱</t>
  </si>
  <si>
    <t>ＦＡ(株)Ｘテス(株)ト</t>
  </si>
  <si>
    <t>ＦＡＸテスト株</t>
  </si>
  <si>
    <t>1010891012滝川生鮮おろし（惣菜）</t>
    <phoneticPr fontId="1"/>
  </si>
  <si>
    <t>1231641000㈱ジョッキ</t>
    <phoneticPr fontId="1"/>
  </si>
  <si>
    <t>ＦＡＸテスト会社名</t>
    <phoneticPr fontId="1"/>
  </si>
  <si>
    <t>1231641000㈱ＦＡＸテ</t>
    <phoneticPr fontId="1"/>
  </si>
  <si>
    <t>ＦＡＸテスト会社名</t>
    <phoneticPr fontId="1"/>
  </si>
  <si>
    <t>1010891012ＦＡＸテスト会社名ＦＡ</t>
    <phoneticPr fontId="1"/>
  </si>
  <si>
    <t>株京葉中沢販売</t>
    <phoneticPr fontId="1"/>
  </si>
  <si>
    <t>株ＦＡＸテスト</t>
  </si>
  <si>
    <r>
      <t xml:space="preserve">【変換ルール】
</t>
    </r>
    <r>
      <rPr>
        <sz val="11"/>
        <rFont val="メイリオ"/>
        <family val="3"/>
        <charset val="128"/>
      </rPr>
      <t>「指定した電話番号」or「999-999-9999」（ハイフンを含む）に一括置換
指定した電話番号がall９でない場合は「○○電話番号に置換します。再度確認してください！」のメッセージを表示する。○○には指定した電話番号を表示する。
Yes→処理続行
No→処理中断</t>
    </r>
    <rPh sb="1" eb="3">
      <t>ヘンカン</t>
    </rPh>
    <rPh sb="50" eb="52">
      <t>シテイ</t>
    </rPh>
    <rPh sb="54" eb="56">
      <t>デンワ</t>
    </rPh>
    <rPh sb="56" eb="58">
      <t>バンゴウ</t>
    </rPh>
    <phoneticPr fontId="1"/>
  </si>
  <si>
    <r>
      <t xml:space="preserve">【変換ルール】
</t>
    </r>
    <r>
      <rPr>
        <sz val="11"/>
        <rFont val="メイリオ"/>
        <family val="3"/>
        <charset val="128"/>
      </rPr>
      <t xml:space="preserve">  担当者名
  担当者名を「富士　太郎」に一括置換</t>
    </r>
    <rPh sb="1" eb="3">
      <t>ヘンカン</t>
    </rPh>
    <phoneticPr fontId="1"/>
  </si>
  <si>
    <t>富士　太郎</t>
  </si>
  <si>
    <r>
      <t xml:space="preserve">【変換ルール】
</t>
    </r>
    <r>
      <rPr>
        <sz val="11"/>
        <rFont val="メイリオ"/>
        <family val="3"/>
        <charset val="128"/>
      </rPr>
      <t>「999-999-9999」（ハイフンを含む）に一括置換</t>
    </r>
    <rPh sb="1" eb="3">
      <t>ヘンカン</t>
    </rPh>
    <phoneticPr fontId="1"/>
  </si>
  <si>
    <t>ＦＡＸテスト用得意先名ＦＡ</t>
  </si>
  <si>
    <t>ＦＡＸテスト用発注先名ＦＡ</t>
  </si>
  <si>
    <t>半角スペース、数字、英文字、符号</t>
    <phoneticPr fontId="1"/>
  </si>
  <si>
    <t>全角スペース、数字、英文字、符号</t>
    <phoneticPr fontId="1"/>
  </si>
  <si>
    <t>全角スペース、数字、英文字、符号</t>
    <phoneticPr fontId="1"/>
  </si>
  <si>
    <t>ﾃｽﾄﾖｳｼｮｳﾋﾝﾒｲ4</t>
    <phoneticPr fontId="1"/>
  </si>
  <si>
    <t>ﾃｽﾄ     ﾖｳｼ･ｮｳﾋﾝﾒｲ4 ﾃｽﾄﾟ50 (50mm*10m)</t>
  </si>
  <si>
    <t>ﾃｽﾄﾖｳｼｮｳﾋﾝﾒｲ1</t>
    <phoneticPr fontId="1"/>
  </si>
  <si>
    <t>1010891012ＦＡＸテスト会社名ＦＡ</t>
  </si>
  <si>
    <t>1231641000㈱ＦＡＸテ</t>
  </si>
  <si>
    <r>
      <t>【変換ルール】
全角漢字の文字数に合わせて「ＦＡＸテスト会社名」に変更
㈱、(株)、株は元の位置に保留、</t>
    </r>
    <r>
      <rPr>
        <sz val="11"/>
        <rFont val="メイリオ"/>
        <family val="3"/>
        <charset val="128"/>
      </rPr>
      <t>「株式会社」「有限会社」は変換しない
数字を変換しない</t>
    </r>
    <rPh sb="1" eb="3">
      <t>ヘンカン</t>
    </rPh>
    <rPh sb="72" eb="74">
      <t>スウジ</t>
    </rPh>
    <rPh sb="75" eb="77">
      <t>ヘンカン</t>
    </rPh>
    <phoneticPr fontId="1"/>
  </si>
  <si>
    <t>テス　ト用商　品名１（テスト用商品）６０</t>
    <phoneticPr fontId="1"/>
  </si>
  <si>
    <t>ﾃｽﾄ ﾖｳｼ･ｮｳﾋﾝﾒｲ2 ﾃｽﾄﾟ50 (50mm*10m)</t>
    <phoneticPr fontId="1"/>
  </si>
  <si>
    <t>ﾃｽﾄ ﾖｳｼ･ｮｳﾋﾝﾒｲ1 ﾃｽﾄﾟ50 (50mm*10m)</t>
    <phoneticPr fontId="1"/>
  </si>
  <si>
    <t>例：交洋　骨取り　メバル（キタノメヌケ）６０　
⇒　テス　ト用商　品名１（テスト用商品）６０
例：ｱｰｽ ｱｰｽ･ｸﾘｱﾉｯｶｰ ﾃｰﾌﾟ50 (50mm*10m)
⇒　ﾃｽﾄ ﾖｳｼ･ｮｳﾋﾝﾒｲ1 ﾃｽﾄﾟ50 (50mm*10m)</t>
    <rPh sb="47" eb="48">
      <t>レイ</t>
    </rPh>
    <phoneticPr fontId="5"/>
  </si>
  <si>
    <t>全角、半角混在の場合がなし
n（全角・半角数字）:
1行データに複数明細の場合、１、２、３の順番で変換</t>
    <rPh sb="0" eb="2">
      <t>ゼンカク</t>
    </rPh>
    <rPh sb="3" eb="5">
      <t>ハンカク</t>
    </rPh>
    <rPh sb="5" eb="7">
      <t>コンザイ</t>
    </rPh>
    <rPh sb="8" eb="10">
      <t>バアイ</t>
    </rPh>
    <rPh sb="19" eb="21">
      <t>ハンカク</t>
    </rPh>
    <rPh sb="27" eb="28">
      <t>ギョウ</t>
    </rPh>
    <rPh sb="32" eb="34">
      <t>フクスウ</t>
    </rPh>
    <rPh sb="34" eb="36">
      <t>メイサイ</t>
    </rPh>
    <rPh sb="37" eb="39">
      <t>バアイ</t>
    </rPh>
    <rPh sb="46" eb="48">
      <t>ジュンバン</t>
    </rPh>
    <rPh sb="49" eb="51">
      <t>ヘンカン</t>
    </rPh>
    <phoneticPr fontId="6"/>
  </si>
  <si>
    <r>
      <t xml:space="preserve">【変換ルール】
</t>
    </r>
    <r>
      <rPr>
        <sz val="11"/>
        <rFont val="メイリオ"/>
        <family val="3"/>
        <charset val="128"/>
      </rPr>
      <t xml:space="preserve">  表示情報３
「TOARANS」を「XXXXXXX」に一括置換</t>
    </r>
    <rPh sb="1" eb="3">
      <t>ヘンカン</t>
    </rPh>
    <phoneticPr fontId="1"/>
  </si>
  <si>
    <r>
      <t xml:space="preserve">【変換ルール】
  </t>
    </r>
    <r>
      <rPr>
        <sz val="11"/>
        <rFont val="メイリオ"/>
        <family val="3"/>
        <charset val="128"/>
      </rPr>
      <t>郵便番号
「999-9999」に一括置換</t>
    </r>
    <rPh sb="1" eb="3">
      <t>ヘンカン</t>
    </rPh>
    <phoneticPr fontId="1"/>
  </si>
  <si>
    <t>全角文字の場合は文字数に合わせて「テスト用商品名」＋n（全角数字）に変換
全角スペース、数字、英文字、符号を保留し、下記商品名は変換しない：
％値引
現添内引
現添外付
Ｃ／Ｓ値引
商品種別合計消費税｛任意文字列｝
＊＊　｛任意文字列｝　＊＊
半角カタカナの場合は文字数に合わせて「ﾃｽﾄﾖｳｼｮｳﾋﾝﾒｲ」＋n（半角数字）に変換
半角スペース、数字、英文字、符号は変換しない</t>
    <rPh sb="158" eb="159">
      <t>ハン</t>
    </rPh>
    <phoneticPr fontId="1"/>
  </si>
  <si>
    <t>指定した電話番号がall９でない場合は「○○電話番号に置換します。再度確認してください！」のメッセージを表示する。○○には指定した電話番号を表示する。
Yes→処理続行
No→処理中断</t>
    <rPh sb="0" eb="2">
      <t>シテイ</t>
    </rPh>
    <rPh sb="4" eb="6">
      <t>デンワ</t>
    </rPh>
    <rPh sb="6" eb="8">
      <t>バンゴウ</t>
    </rPh>
    <rPh sb="16" eb="18">
      <t>バアイ</t>
    </rPh>
    <rPh sb="22" eb="24">
      <t>デンワ</t>
    </rPh>
    <rPh sb="24" eb="26">
      <t>バンゴウ</t>
    </rPh>
    <rPh sb="27" eb="29">
      <t>チカン</t>
    </rPh>
    <rPh sb="33" eb="35">
      <t>サイド</t>
    </rPh>
    <rPh sb="35" eb="37">
      <t>カクニン</t>
    </rPh>
    <rPh sb="52" eb="54">
      <t>ヒョウジ</t>
    </rPh>
    <rPh sb="61" eb="63">
      <t>シテイ</t>
    </rPh>
    <rPh sb="65" eb="67">
      <t>デンワ</t>
    </rPh>
    <rPh sb="67" eb="69">
      <t>バンゴウ</t>
    </rPh>
    <rPh sb="70" eb="72">
      <t>ヒョウジ</t>
    </rPh>
    <rPh sb="80" eb="82">
      <t>ショリ</t>
    </rPh>
    <rPh sb="82" eb="84">
      <t>ゾッコウ</t>
    </rPh>
    <rPh sb="88" eb="90">
      <t>ショリ</t>
    </rPh>
    <rPh sb="90" eb="92">
      <t>チュウダン</t>
    </rPh>
    <phoneticPr fontId="5"/>
  </si>
  <si>
    <t>ＦＡＸテ㈱</t>
    <phoneticPr fontId="1"/>
  </si>
  <si>
    <t>例：西原商会㈱　
⇒　ＦＡＸテ㈱</t>
    <rPh sb="0" eb="1">
      <t>レイ</t>
    </rPh>
    <rPh sb="2" eb="4">
      <t>ニシハラ</t>
    </rPh>
    <rPh sb="4" eb="6">
      <t>ショウカイ</t>
    </rPh>
    <phoneticPr fontId="5"/>
  </si>
  <si>
    <t>"！＃＄％＆（）＊＋，－．／：；＜＝＞？［\］＾＿｛｜｝～＠｀" &amp; """"</t>
    <phoneticPr fontId="1"/>
  </si>
  <si>
    <t>"！＃＄％＆（）＊＋，－．／：；＜＝＞？［\］＾＿｛｜｝～＠｀" &amp; """"</t>
    <phoneticPr fontId="1"/>
  </si>
  <si>
    <t>ﾃｽﾄ ﾖｳｼ･ｮｳﾋﾝﾒｲ2 ﾃｽﾄﾟ50 (50mm*10m)</t>
    <phoneticPr fontId="1"/>
  </si>
  <si>
    <t>ﾃｽﾄ ﾖｳｼ･ｮｳﾋﾝﾒｲ3 ﾃｽﾄﾟ50 (50mm*10m)</t>
    <phoneticPr fontId="1"/>
  </si>
  <si>
    <t>ﾃｽﾄ     ﾖｳｼ･ｮｳﾋﾝﾒｲ4 ﾃｽﾄﾟ50 (50mm*10m)</t>
    <phoneticPr fontId="1"/>
  </si>
  <si>
    <t>"！＃＄％＆（）＊＋，－．／：；＜＝＞？［\］＾＿｛｜｝～＠｀" &amp; """"</t>
    <phoneticPr fontId="1"/>
  </si>
  <si>
    <t>テス　ト用商　品名３（テスト用商品）６０ＡＢＣＤＥＦＧＨＩＪＫＬＭＮＯＰＱＲＳＴＵＶＷＸＹＺａｂｃｄｅｆｇｈｉｇｋｌｍｎｏｐｑｒｓｔｕｖｗｘｙｚ</t>
    <phoneticPr fontId="1"/>
  </si>
  <si>
    <t>現添外付</t>
    <phoneticPr fontId="1"/>
  </si>
  <si>
    <t>交洋　骨取り　メバル（キタノメヌケ）６０ＡＢＣＤＥＦＧＨＩＪＫＬＭＮＯＰＱＲＳＴＵＶＷＸＹＺａｂｃｄｅｆｇｈｉｇｋｌｍｎｏｐｑｒｓｔｕｖｗｘｙｚ</t>
    <phoneticPr fontId="1"/>
  </si>
  <si>
    <t>全角文字の場合は文字数に合わせて「テスト用商品名」＋n（全角数字）に変換
全角スペース、数字、英文字、符号を保留し、下記商品名は変換しない：
％値引
現添内引
現添外付
Ｃ／Ｓ値引
商品種別合計消費税｛任意文字列｝
＊＊　｛任意文字列｝　＊＊
半角カタカナの場合は文字数に合わせて「ﾃｽﾄﾖｳｼｮｳﾋﾝﾒｲ」＋n（半角数字）に変換
半角スペース、数字、英文字、符号は変換しない</t>
    <phoneticPr fontId="5"/>
  </si>
  <si>
    <t>テス　ト用商　品名２（テスト用商品）６０</t>
    <phoneticPr fontId="1"/>
  </si>
  <si>
    <t>テス　ト用商　品名３（テスト用商品）６０ＡＢＣＤＥＦＧＨＩＪＫＬＭＮＯＰＱＲＳＴＵＶＷＸＹＺａｂｃｄｅｆｇｈｉｇｋｌｍｎｏｐｑｒｓｔｕｖｗｘｙｚ</t>
    <phoneticPr fontId="1"/>
  </si>
  <si>
    <t>ﾃｽﾄ ﾖｳｼ･ｮｳﾋﾝﾒｲ1 ﾃｽﾄﾟ50 (50mm*10m)</t>
    <phoneticPr fontId="1"/>
  </si>
  <si>
    <t>％値引</t>
    <phoneticPr fontId="1"/>
  </si>
  <si>
    <t>＊＊　｛*~！@ST全角ﾋﾝ Aa　｝　＊＊</t>
    <phoneticPr fontId="1"/>
  </si>
  <si>
    <t>商品種別合計消費税｛*~！@ST全角ﾋﾝ Aa　｝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</si>
</sst>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メイリオ"/>
      <family val="2"/>
      <charset val="128"/>
    </font>
    <font>
      <sz val="6"/>
      <name val="メイリオ"/>
      <family val="2"/>
      <charset val="128"/>
    </font>
    <font>
      <sz val="11"/>
      <color rgb="FF000000"/>
      <name val="メイリオ"/>
      <family val="3"/>
      <charset val="128"/>
    </font>
    <font>
      <sz val="11"/>
      <color theme="1"/>
      <name val="等线"/>
      <family val="2"/>
      <scheme val="minor"/>
    </font>
    <font>
      <sz val="11"/>
      <color theme="0"/>
      <name val="メイリオ"/>
      <family val="3"/>
      <charset val="128"/>
    </font>
    <font>
      <sz val="6"/>
      <name val="等线"/>
      <family val="2"/>
      <charset val="128"/>
      <scheme val="minor"/>
    </font>
    <font>
      <sz val="6"/>
      <name val="等线"/>
      <family val="3"/>
      <charset val="128"/>
      <scheme val="minor"/>
    </font>
    <font>
      <sz val="11"/>
      <color theme="1"/>
      <name val="Meiryo UI"/>
      <family val="3"/>
      <charset val="128"/>
    </font>
    <font>
      <sz val="11"/>
      <color theme="1"/>
      <name val="メイリオ"/>
      <family val="3"/>
      <charset val="128"/>
    </font>
    <font>
      <sz val="6"/>
      <name val="ＭＳ Ｐゴシック"/>
      <family val="3"/>
      <charset val="128"/>
    </font>
    <font>
      <sz val="11"/>
      <color theme="1"/>
      <name val="メイリオ"/>
      <family val="2"/>
      <charset val="128"/>
    </font>
    <font>
      <sz val="9"/>
      <name val="DengXian"/>
      <family val="3"/>
      <charset val="134"/>
    </font>
    <font>
      <sz val="11"/>
      <color theme="0"/>
      <name val="メイリオ"/>
      <family val="2"/>
      <charset val="128"/>
    </font>
    <font>
      <sz val="11"/>
      <name val="Meiryo UI"/>
      <family val="3"/>
      <charset val="128"/>
    </font>
    <font>
      <sz val="11"/>
      <name val="メイリオ"/>
      <family val="2"/>
      <charset val="128"/>
    </font>
    <font>
      <sz val="11"/>
      <name val="DengXian"/>
      <family val="3"/>
      <charset val="134"/>
    </font>
    <font>
      <sz val="11"/>
      <name val="メイリオ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0" borderId="0"/>
    <xf numFmtId="0" fontId="10" fillId="3" borderId="0" applyNumberFormat="0" applyBorder="0" applyAlignment="0" applyProtection="0">
      <alignment vertical="center"/>
    </xf>
  </cellStyleXfs>
  <cellXfs count="35">
    <xf numFmtId="0" fontId="0" fillId="0" borderId="0" xfId="0">
      <alignment vertical="center"/>
    </xf>
    <xf numFmtId="0" fontId="4" fillId="2" borderId="1" xfId="1" applyFont="1" applyFill="1" applyBorder="1" applyAlignment="1">
      <alignment horizontal="center"/>
    </xf>
    <xf numFmtId="0" fontId="4" fillId="2" borderId="1" xfId="1" applyFont="1" applyFill="1" applyBorder="1" applyAlignment="1"/>
    <xf numFmtId="0" fontId="7" fillId="0" borderId="0" xfId="1" applyFont="1"/>
    <xf numFmtId="0" fontId="7" fillId="0" borderId="1" xfId="1" applyFont="1" applyBorder="1" applyAlignment="1">
      <alignment vertical="top"/>
    </xf>
    <xf numFmtId="0" fontId="8" fillId="0" borderId="1" xfId="1" applyFont="1" applyBorder="1" applyAlignment="1">
      <alignment vertical="top" wrapText="1"/>
    </xf>
    <xf numFmtId="0" fontId="8" fillId="0" borderId="1" xfId="1" applyFont="1" applyBorder="1" applyAlignment="1">
      <alignment horizontal="left" vertical="top" wrapText="1"/>
    </xf>
    <xf numFmtId="0" fontId="8" fillId="0" borderId="1" xfId="1" applyFont="1" applyBorder="1" applyAlignment="1">
      <alignment vertical="top"/>
    </xf>
    <xf numFmtId="0" fontId="0" fillId="0" borderId="0" xfId="0" applyAlignment="1">
      <alignment vertical="center" wrapText="1"/>
    </xf>
    <xf numFmtId="0" fontId="13" fillId="4" borderId="1" xfId="1" applyFont="1" applyFill="1" applyBorder="1" applyAlignment="1">
      <alignment vertical="top"/>
    </xf>
    <xf numFmtId="0" fontId="14" fillId="0" borderId="0" xfId="0" applyFont="1">
      <alignment vertical="center"/>
    </xf>
    <xf numFmtId="0" fontId="0" fillId="0" borderId="0" xfId="0" applyFill="1">
      <alignment vertical="center"/>
    </xf>
    <xf numFmtId="0" fontId="14" fillId="0" borderId="0" xfId="0" applyFont="1" applyFill="1">
      <alignment vertical="center"/>
    </xf>
    <xf numFmtId="0" fontId="15" fillId="0" borderId="0" xfId="0" applyFont="1" applyFill="1">
      <alignment vertical="center"/>
    </xf>
    <xf numFmtId="0" fontId="0" fillId="0" borderId="0" xfId="0" applyFill="1" applyAlignment="1">
      <alignment vertical="top"/>
    </xf>
    <xf numFmtId="0" fontId="0" fillId="0" borderId="0" xfId="0" applyFill="1" applyAlignment="1">
      <alignment vertical="top" wrapText="1"/>
    </xf>
    <xf numFmtId="0" fontId="14" fillId="0" borderId="0" xfId="0" applyFont="1" applyFill="1" applyAlignment="1">
      <alignment vertical="top"/>
    </xf>
    <xf numFmtId="0" fontId="16" fillId="0" borderId="0" xfId="0" applyFont="1" applyFill="1" applyAlignment="1">
      <alignment vertical="top" wrapText="1"/>
    </xf>
    <xf numFmtId="0" fontId="16" fillId="0" borderId="0" xfId="0" applyFont="1" applyFill="1">
      <alignment vertical="center"/>
    </xf>
    <xf numFmtId="0" fontId="7" fillId="0" borderId="0" xfId="0" applyFont="1" applyFill="1" applyAlignment="1">
      <alignment horizontal="left" vertical="top"/>
    </xf>
    <xf numFmtId="0" fontId="12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4" fillId="5" borderId="0" xfId="0" applyFont="1" applyFill="1" applyBorder="1">
      <alignment vertical="center"/>
    </xf>
    <xf numFmtId="0" fontId="0" fillId="0" borderId="0" xfId="0" applyFill="1" applyAlignment="1">
      <alignment vertical="center" wrapText="1"/>
    </xf>
    <xf numFmtId="0" fontId="16" fillId="0" borderId="1" xfId="1" applyFont="1" applyBorder="1" applyAlignment="1">
      <alignment vertical="top" wrapText="1"/>
    </xf>
    <xf numFmtId="0" fontId="16" fillId="0" borderId="1" xfId="1" applyFont="1" applyFill="1" applyBorder="1" applyAlignment="1">
      <alignment vertical="top" wrapText="1"/>
    </xf>
    <xf numFmtId="0" fontId="7" fillId="0" borderId="1" xfId="1" applyFont="1" applyFill="1" applyBorder="1" applyAlignment="1">
      <alignment vertical="top"/>
    </xf>
    <xf numFmtId="0" fontId="8" fillId="0" borderId="1" xfId="1" applyFont="1" applyFill="1" applyBorder="1" applyAlignment="1">
      <alignment vertical="top" wrapText="1"/>
    </xf>
    <xf numFmtId="0" fontId="8" fillId="0" borderId="1" xfId="1" applyFont="1" applyFill="1" applyBorder="1" applyAlignment="1">
      <alignment vertical="top"/>
    </xf>
    <xf numFmtId="0" fontId="7" fillId="0" borderId="0" xfId="1" applyFont="1" applyFill="1"/>
    <xf numFmtId="0" fontId="14" fillId="3" borderId="0" xfId="2" applyFont="1" applyAlignment="1">
      <alignment horizontal="left" vertical="top" wrapText="1"/>
    </xf>
    <xf numFmtId="0" fontId="16" fillId="3" borderId="0" xfId="2" applyFont="1" applyAlignment="1">
      <alignment horizontal="left" vertical="top"/>
    </xf>
    <xf numFmtId="0" fontId="0" fillId="3" borderId="0" xfId="2" applyFont="1" applyAlignment="1">
      <alignment horizontal="left" vertical="top" wrapText="1"/>
    </xf>
    <xf numFmtId="0" fontId="10" fillId="3" borderId="0" xfId="2" applyAlignment="1">
      <alignment horizontal="left" vertical="top"/>
    </xf>
    <xf numFmtId="0" fontId="16" fillId="3" borderId="0" xfId="2" applyFont="1" applyAlignment="1">
      <alignment horizontal="left" vertical="top" wrapText="1"/>
    </xf>
  </cellXfs>
  <cellStyles count="3">
    <cellStyle name="20% - アクセント 2" xfId="2" builtinId="34"/>
    <cellStyle name="標準" xfId="0" builtinId="0"/>
    <cellStyle name="標準 2" xfId="1"/>
  </cellStyles>
  <dxfs count="39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209550</xdr:colOff>
          <xdr:row>0</xdr:row>
          <xdr:rowOff>752475</xdr:rowOff>
        </xdr:from>
        <xdr:to>
          <xdr:col>7</xdr:col>
          <xdr:colOff>2809875</xdr:colOff>
          <xdr:row>0</xdr:row>
          <xdr:rowOff>1038225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209550</xdr:colOff>
          <xdr:row>0</xdr:row>
          <xdr:rowOff>323850</xdr:rowOff>
        </xdr:from>
        <xdr:to>
          <xdr:col>7</xdr:col>
          <xdr:colOff>2809875</xdr:colOff>
          <xdr:row>0</xdr:row>
          <xdr:rowOff>609600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209550</xdr:colOff>
          <xdr:row>0</xdr:row>
          <xdr:rowOff>752475</xdr:rowOff>
        </xdr:from>
        <xdr:to>
          <xdr:col>7</xdr:col>
          <xdr:colOff>2809875</xdr:colOff>
          <xdr:row>0</xdr:row>
          <xdr:rowOff>1038225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209550</xdr:colOff>
          <xdr:row>0</xdr:row>
          <xdr:rowOff>381000</xdr:rowOff>
        </xdr:from>
        <xdr:to>
          <xdr:col>7</xdr:col>
          <xdr:colOff>2809875</xdr:colOff>
          <xdr:row>0</xdr:row>
          <xdr:rowOff>657225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209550</xdr:colOff>
          <xdr:row>0</xdr:row>
          <xdr:rowOff>752475</xdr:rowOff>
        </xdr:from>
        <xdr:to>
          <xdr:col>7</xdr:col>
          <xdr:colOff>2809875</xdr:colOff>
          <xdr:row>0</xdr:row>
          <xdr:rowOff>1038225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209550</xdr:colOff>
          <xdr:row>0</xdr:row>
          <xdr:rowOff>381000</xdr:rowOff>
        </xdr:from>
        <xdr:to>
          <xdr:col>7</xdr:col>
          <xdr:colOff>2809875</xdr:colOff>
          <xdr:row>0</xdr:row>
          <xdr:rowOff>657225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238125</xdr:colOff>
          <xdr:row>0</xdr:row>
          <xdr:rowOff>752475</xdr:rowOff>
        </xdr:from>
        <xdr:to>
          <xdr:col>7</xdr:col>
          <xdr:colOff>2838450</xdr:colOff>
          <xdr:row>0</xdr:row>
          <xdr:rowOff>1038225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238125</xdr:colOff>
          <xdr:row>0</xdr:row>
          <xdr:rowOff>381000</xdr:rowOff>
        </xdr:from>
        <xdr:to>
          <xdr:col>7</xdr:col>
          <xdr:colOff>2838450</xdr:colOff>
          <xdr:row>0</xdr:row>
          <xdr:rowOff>657225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238125</xdr:colOff>
          <xdr:row>0</xdr:row>
          <xdr:rowOff>752475</xdr:rowOff>
        </xdr:from>
        <xdr:to>
          <xdr:col>7</xdr:col>
          <xdr:colOff>2838450</xdr:colOff>
          <xdr:row>0</xdr:row>
          <xdr:rowOff>1038225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238125</xdr:colOff>
          <xdr:row>0</xdr:row>
          <xdr:rowOff>381000</xdr:rowOff>
        </xdr:from>
        <xdr:to>
          <xdr:col>7</xdr:col>
          <xdr:colOff>2838450</xdr:colOff>
          <xdr:row>0</xdr:row>
          <xdr:rowOff>657225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209550</xdr:colOff>
          <xdr:row>0</xdr:row>
          <xdr:rowOff>752475</xdr:rowOff>
        </xdr:from>
        <xdr:to>
          <xdr:col>7</xdr:col>
          <xdr:colOff>2809875</xdr:colOff>
          <xdr:row>0</xdr:row>
          <xdr:rowOff>1038225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209550</xdr:colOff>
          <xdr:row>0</xdr:row>
          <xdr:rowOff>381000</xdr:rowOff>
        </xdr:from>
        <xdr:to>
          <xdr:col>7</xdr:col>
          <xdr:colOff>2809875</xdr:colOff>
          <xdr:row>0</xdr:row>
          <xdr:rowOff>657225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209550</xdr:colOff>
          <xdr:row>0</xdr:row>
          <xdr:rowOff>752475</xdr:rowOff>
        </xdr:from>
        <xdr:to>
          <xdr:col>7</xdr:col>
          <xdr:colOff>2809875</xdr:colOff>
          <xdr:row>0</xdr:row>
          <xdr:rowOff>1038225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209550</xdr:colOff>
          <xdr:row>0</xdr:row>
          <xdr:rowOff>381000</xdr:rowOff>
        </xdr:from>
        <xdr:to>
          <xdr:col>7</xdr:col>
          <xdr:colOff>2800350</xdr:colOff>
          <xdr:row>0</xdr:row>
          <xdr:rowOff>657225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209550</xdr:colOff>
          <xdr:row>0</xdr:row>
          <xdr:rowOff>752475</xdr:rowOff>
        </xdr:from>
        <xdr:to>
          <xdr:col>7</xdr:col>
          <xdr:colOff>2809875</xdr:colOff>
          <xdr:row>0</xdr:row>
          <xdr:rowOff>1038225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209550</xdr:colOff>
          <xdr:row>0</xdr:row>
          <xdr:rowOff>381000</xdr:rowOff>
        </xdr:from>
        <xdr:to>
          <xdr:col>7</xdr:col>
          <xdr:colOff>2800350</xdr:colOff>
          <xdr:row>0</xdr:row>
          <xdr:rowOff>657225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209550</xdr:colOff>
          <xdr:row>0</xdr:row>
          <xdr:rowOff>752475</xdr:rowOff>
        </xdr:from>
        <xdr:to>
          <xdr:col>7</xdr:col>
          <xdr:colOff>2809875</xdr:colOff>
          <xdr:row>0</xdr:row>
          <xdr:rowOff>1038225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209550</xdr:colOff>
          <xdr:row>0</xdr:row>
          <xdr:rowOff>381000</xdr:rowOff>
        </xdr:from>
        <xdr:to>
          <xdr:col>7</xdr:col>
          <xdr:colOff>2800350</xdr:colOff>
          <xdr:row>0</xdr:row>
          <xdr:rowOff>657225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209550</xdr:colOff>
          <xdr:row>0</xdr:row>
          <xdr:rowOff>752475</xdr:rowOff>
        </xdr:from>
        <xdr:to>
          <xdr:col>7</xdr:col>
          <xdr:colOff>2809875</xdr:colOff>
          <xdr:row>0</xdr:row>
          <xdr:rowOff>1038225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209550</xdr:colOff>
          <xdr:row>0</xdr:row>
          <xdr:rowOff>381000</xdr:rowOff>
        </xdr:from>
        <xdr:to>
          <xdr:col>7</xdr:col>
          <xdr:colOff>2800350</xdr:colOff>
          <xdr:row>0</xdr:row>
          <xdr:rowOff>657225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219075</xdr:colOff>
          <xdr:row>0</xdr:row>
          <xdr:rowOff>2219325</xdr:rowOff>
        </xdr:from>
        <xdr:to>
          <xdr:col>7</xdr:col>
          <xdr:colOff>2819400</xdr:colOff>
          <xdr:row>0</xdr:row>
          <xdr:rowOff>2495550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219075</xdr:colOff>
          <xdr:row>0</xdr:row>
          <xdr:rowOff>1838325</xdr:rowOff>
        </xdr:from>
        <xdr:to>
          <xdr:col>7</xdr:col>
          <xdr:colOff>2819400</xdr:colOff>
          <xdr:row>0</xdr:row>
          <xdr:rowOff>2114550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2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G13"/>
  <sheetViews>
    <sheetView tabSelected="1" zoomScale="70" zoomScaleNormal="70" workbookViewId="0"/>
  </sheetViews>
  <sheetFormatPr defaultColWidth="12.33203125" defaultRowHeight="15.75"/>
  <cols>
    <col min="1" max="1" width="7.21875" style="3" bestFit="1" customWidth="1"/>
    <col min="2" max="2" width="10.109375" style="3" bestFit="1" customWidth="1"/>
    <col min="3" max="3" width="16.21875" style="3" bestFit="1" customWidth="1"/>
    <col min="4" max="4" width="16.21875" style="3" customWidth="1"/>
    <col min="5" max="5" width="70.77734375" style="3" customWidth="1"/>
    <col min="6" max="7" width="63.33203125" style="3" customWidth="1"/>
    <col min="8" max="16384" width="12.33203125" style="3"/>
  </cols>
  <sheetData>
    <row r="1" spans="1:7" ht="18.75">
      <c r="A1" s="1" t="s">
        <v>7</v>
      </c>
      <c r="B1" s="1" t="s">
        <v>8</v>
      </c>
      <c r="C1" s="1" t="s">
        <v>9</v>
      </c>
      <c r="D1" s="1" t="s">
        <v>10</v>
      </c>
      <c r="E1" s="2" t="s">
        <v>11</v>
      </c>
      <c r="F1" s="2" t="s">
        <v>12</v>
      </c>
      <c r="G1" s="2" t="s">
        <v>61</v>
      </c>
    </row>
    <row r="2" spans="1:7" ht="75">
      <c r="A2" s="4" t="s">
        <v>13</v>
      </c>
      <c r="B2" s="4" t="s">
        <v>14</v>
      </c>
      <c r="C2" s="4" t="s">
        <v>15</v>
      </c>
      <c r="D2" s="4" t="s">
        <v>16</v>
      </c>
      <c r="E2" s="5" t="s">
        <v>17</v>
      </c>
      <c r="F2" s="6" t="s">
        <v>222</v>
      </c>
      <c r="G2" s="6"/>
    </row>
    <row r="3" spans="1:7" s="29" customFormat="1" ht="18.75">
      <c r="A3" s="26" t="s">
        <v>18</v>
      </c>
      <c r="B3" s="26" t="s">
        <v>136</v>
      </c>
      <c r="C3" s="26" t="s">
        <v>15</v>
      </c>
      <c r="D3" s="26" t="s">
        <v>19</v>
      </c>
      <c r="E3" s="27" t="s">
        <v>20</v>
      </c>
      <c r="F3" s="28"/>
      <c r="G3" s="28" t="s">
        <v>21</v>
      </c>
    </row>
    <row r="4" spans="1:7" s="29" customFormat="1" ht="18.75">
      <c r="A4" s="26" t="s">
        <v>22</v>
      </c>
      <c r="B4" s="26" t="s">
        <v>137</v>
      </c>
      <c r="C4" s="26" t="s">
        <v>15</v>
      </c>
      <c r="D4" s="26" t="s">
        <v>23</v>
      </c>
      <c r="E4" s="28" t="s">
        <v>138</v>
      </c>
      <c r="F4" s="28"/>
      <c r="G4" s="28" t="s">
        <v>24</v>
      </c>
    </row>
    <row r="5" spans="1:7" ht="46.15" customHeight="1">
      <c r="A5" s="4" t="s">
        <v>25</v>
      </c>
      <c r="B5" s="4" t="s">
        <v>26</v>
      </c>
      <c r="C5" s="4" t="s">
        <v>27</v>
      </c>
      <c r="D5" s="4" t="s">
        <v>28</v>
      </c>
      <c r="E5" s="5" t="s">
        <v>29</v>
      </c>
      <c r="F5" s="5" t="s">
        <v>224</v>
      </c>
      <c r="G5" s="25" t="s">
        <v>168</v>
      </c>
    </row>
    <row r="6" spans="1:7" ht="37.5">
      <c r="A6" s="4" t="s">
        <v>30</v>
      </c>
      <c r="B6" s="4" t="s">
        <v>31</v>
      </c>
      <c r="C6" s="4" t="s">
        <v>32</v>
      </c>
      <c r="D6" s="4" t="s">
        <v>33</v>
      </c>
      <c r="E6" s="5" t="s">
        <v>34</v>
      </c>
      <c r="F6" s="5" t="s">
        <v>35</v>
      </c>
      <c r="G6" s="5" t="s">
        <v>169</v>
      </c>
    </row>
    <row r="7" spans="1:7" s="29" customFormat="1" ht="18.75">
      <c r="A7" s="26" t="s">
        <v>36</v>
      </c>
      <c r="B7" s="26" t="s">
        <v>142</v>
      </c>
      <c r="C7" s="26" t="s">
        <v>15</v>
      </c>
      <c r="D7" s="26" t="s">
        <v>37</v>
      </c>
      <c r="E7" s="28" t="s">
        <v>38</v>
      </c>
      <c r="F7" s="28"/>
      <c r="G7" s="28" t="s">
        <v>21</v>
      </c>
    </row>
    <row r="8" spans="1:7" ht="18.75">
      <c r="A8" s="4" t="s">
        <v>39</v>
      </c>
      <c r="B8" s="4" t="s">
        <v>40</v>
      </c>
      <c r="C8" s="4" t="s">
        <v>15</v>
      </c>
      <c r="D8" s="4" t="s">
        <v>41</v>
      </c>
      <c r="E8" s="5" t="s">
        <v>42</v>
      </c>
      <c r="F8" s="5"/>
      <c r="G8" s="5" t="s">
        <v>169</v>
      </c>
    </row>
    <row r="9" spans="1:7" ht="18.75">
      <c r="A9" s="4" t="s">
        <v>43</v>
      </c>
      <c r="B9" s="4" t="s">
        <v>66</v>
      </c>
      <c r="C9" s="4" t="s">
        <v>44</v>
      </c>
      <c r="D9" s="4" t="s">
        <v>45</v>
      </c>
      <c r="E9" s="5" t="s">
        <v>46</v>
      </c>
      <c r="F9" s="5"/>
      <c r="G9" s="5" t="s">
        <v>169</v>
      </c>
    </row>
    <row r="10" spans="1:7" ht="18.75">
      <c r="A10" s="4" t="s">
        <v>47</v>
      </c>
      <c r="B10" s="4" t="s">
        <v>48</v>
      </c>
      <c r="C10" s="4" t="s">
        <v>44</v>
      </c>
      <c r="D10" s="4" t="s">
        <v>49</v>
      </c>
      <c r="E10" s="5" t="s">
        <v>128</v>
      </c>
      <c r="F10" s="5"/>
      <c r="G10" s="5" t="s">
        <v>169</v>
      </c>
    </row>
    <row r="11" spans="1:7" ht="18.75">
      <c r="A11" s="4" t="s">
        <v>50</v>
      </c>
      <c r="B11" s="4" t="s">
        <v>51</v>
      </c>
      <c r="C11" s="4" t="s">
        <v>52</v>
      </c>
      <c r="D11" s="4" t="s">
        <v>124</v>
      </c>
      <c r="E11" s="5" t="s">
        <v>53</v>
      </c>
      <c r="F11" s="5"/>
      <c r="G11" s="5" t="s">
        <v>169</v>
      </c>
    </row>
    <row r="12" spans="1:7" ht="18.75">
      <c r="A12" s="4" t="s">
        <v>54</v>
      </c>
      <c r="B12" s="4" t="s">
        <v>55</v>
      </c>
      <c r="C12" s="4" t="s">
        <v>52</v>
      </c>
      <c r="D12" s="4" t="s">
        <v>123</v>
      </c>
      <c r="E12" s="5" t="s">
        <v>56</v>
      </c>
      <c r="F12" s="7"/>
      <c r="G12" s="5" t="s">
        <v>169</v>
      </c>
    </row>
    <row r="13" spans="1:7" ht="206.25">
      <c r="A13" s="4" t="s">
        <v>57</v>
      </c>
      <c r="B13" s="9" t="s">
        <v>58</v>
      </c>
      <c r="C13" s="4" t="s">
        <v>59</v>
      </c>
      <c r="D13" s="4" t="s">
        <v>60</v>
      </c>
      <c r="E13" s="24" t="s">
        <v>234</v>
      </c>
      <c r="F13" s="5" t="s">
        <v>217</v>
      </c>
      <c r="G13" s="24" t="s">
        <v>218</v>
      </c>
    </row>
  </sheetData>
  <phoneticPr fontId="1"/>
  <pageMargins left="0.7" right="0.7" top="0.75" bottom="0.75" header="0.3" footer="0.3"/>
  <pageSetup paperSize="9" scale="43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/>
  </sheetPr>
  <dimension ref="A1:I16"/>
  <sheetViews>
    <sheetView zoomScale="70" zoomScaleNormal="7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defaultRowHeight="18.75"/>
  <cols>
    <col min="1" max="1" width="5.21875" customWidth="1"/>
    <col min="2" max="2" width="34.77734375" customWidth="1"/>
    <col min="3" max="3" width="4.5546875" bestFit="1" customWidth="1"/>
    <col min="4" max="4" width="15" customWidth="1"/>
    <col min="5" max="5" width="29.6640625" customWidth="1"/>
    <col min="6" max="6" width="35.88671875" bestFit="1" customWidth="1"/>
    <col min="7" max="7" width="5.21875" customWidth="1"/>
    <col min="8" max="8" width="35.88671875" bestFit="1" customWidth="1"/>
    <col min="9" max="9" width="5.21875" customWidth="1"/>
  </cols>
  <sheetData>
    <row r="1" spans="1:9" ht="120" customHeight="1">
      <c r="B1" s="30" t="s">
        <v>199</v>
      </c>
      <c r="C1" s="31"/>
      <c r="D1" s="31"/>
      <c r="E1" s="31"/>
      <c r="F1" s="31"/>
    </row>
    <row r="2" spans="1:9">
      <c r="A2" s="20" t="s">
        <v>1</v>
      </c>
      <c r="B2" s="21" t="s">
        <v>0</v>
      </c>
      <c r="C2" s="21" t="s">
        <v>5</v>
      </c>
      <c r="D2" s="21" t="s">
        <v>153</v>
      </c>
      <c r="E2" s="21" t="s">
        <v>6</v>
      </c>
      <c r="F2" s="21" t="s">
        <v>4</v>
      </c>
      <c r="G2" s="21" t="s">
        <v>5</v>
      </c>
      <c r="H2" s="21" t="s">
        <v>2</v>
      </c>
      <c r="I2" s="21" t="s">
        <v>5</v>
      </c>
    </row>
    <row r="3" spans="1:9">
      <c r="A3">
        <f>ROW()-2</f>
        <v>1</v>
      </c>
      <c r="B3" t="s">
        <v>69</v>
      </c>
      <c r="C3">
        <f>LEN(B3)</f>
        <v>12</v>
      </c>
      <c r="D3" t="s">
        <v>114</v>
      </c>
      <c r="E3" s="8"/>
      <c r="F3" t="s">
        <v>70</v>
      </c>
      <c r="G3" s="12">
        <f>LEN(F3)</f>
        <v>12</v>
      </c>
      <c r="H3" t="s">
        <v>149</v>
      </c>
      <c r="I3" s="12">
        <f>LEN(H3)</f>
        <v>12</v>
      </c>
    </row>
    <row r="4" spans="1:9">
      <c r="A4">
        <f t="shared" ref="A4:A6" si="0">ROW()-2</f>
        <v>2</v>
      </c>
      <c r="B4" t="s">
        <v>71</v>
      </c>
      <c r="C4">
        <f>LEN(B4)</f>
        <v>12</v>
      </c>
      <c r="D4" t="s">
        <v>147</v>
      </c>
      <c r="E4" s="8"/>
      <c r="F4" t="s">
        <v>148</v>
      </c>
      <c r="G4" s="12">
        <f>LEN(F4)</f>
        <v>12</v>
      </c>
      <c r="H4" t="s">
        <v>172</v>
      </c>
      <c r="I4" s="12">
        <f>LEN(H4)</f>
        <v>12</v>
      </c>
    </row>
    <row r="5" spans="1:9">
      <c r="A5">
        <f t="shared" si="0"/>
        <v>3</v>
      </c>
      <c r="B5" t="s">
        <v>100</v>
      </c>
      <c r="C5">
        <f t="shared" ref="C5:C6" si="1">LEN(B5)</f>
        <v>12</v>
      </c>
      <c r="D5" t="s">
        <v>114</v>
      </c>
      <c r="F5" t="s">
        <v>69</v>
      </c>
      <c r="G5" s="12">
        <f>LEN(F5)</f>
        <v>12</v>
      </c>
      <c r="H5" t="s">
        <v>149</v>
      </c>
      <c r="I5" s="12">
        <f>LEN(H5)</f>
        <v>12</v>
      </c>
    </row>
    <row r="6" spans="1:9">
      <c r="A6">
        <f t="shared" si="0"/>
        <v>4</v>
      </c>
      <c r="B6" t="s">
        <v>114</v>
      </c>
      <c r="C6">
        <f t="shared" si="1"/>
        <v>12</v>
      </c>
      <c r="D6" t="s">
        <v>114</v>
      </c>
      <c r="F6" t="s">
        <v>69</v>
      </c>
      <c r="G6" s="12">
        <f>LEN(F6)</f>
        <v>12</v>
      </c>
      <c r="H6" t="s">
        <v>149</v>
      </c>
      <c r="I6" s="12">
        <f>LEN(H6)</f>
        <v>12</v>
      </c>
    </row>
    <row r="7" spans="1:9">
      <c r="G7" s="12"/>
    </row>
    <row r="8" spans="1:9">
      <c r="G8" s="12"/>
    </row>
    <row r="9" spans="1:9">
      <c r="G9" s="12"/>
    </row>
    <row r="10" spans="1:9">
      <c r="G10" s="12"/>
    </row>
    <row r="11" spans="1:9">
      <c r="G11" s="12"/>
    </row>
    <row r="12" spans="1:9">
      <c r="G12" s="12"/>
    </row>
    <row r="13" spans="1:9">
      <c r="G13" s="12"/>
    </row>
    <row r="14" spans="1:9">
      <c r="G14" s="12"/>
    </row>
    <row r="15" spans="1:9">
      <c r="G15" s="12"/>
    </row>
    <row r="16" spans="1:9">
      <c r="G16" s="12"/>
    </row>
  </sheetData>
  <mergeCells count="1">
    <mergeCell ref="B1:F1"/>
  </mergeCells>
  <phoneticPr fontId="1"/>
  <conditionalFormatting sqref="G3:G16">
    <cfRule type="expression" dxfId="38" priority="4">
      <formula>$C3&lt;&gt;G3</formula>
    </cfRule>
  </conditionalFormatting>
  <conditionalFormatting sqref="I3:I6">
    <cfRule type="expression" dxfId="37" priority="3">
      <formula>$C3&lt;&gt;I3</formula>
    </cfRule>
  </conditionalFormatting>
  <conditionalFormatting sqref="H3">
    <cfRule type="expression" dxfId="36" priority="2">
      <formula>$F3&lt;&gt;$H3</formula>
    </cfRule>
  </conditionalFormatting>
  <conditionalFormatting sqref="H4:H6">
    <cfRule type="expression" dxfId="35" priority="1">
      <formula>$F4&lt;&gt;$H4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l_convert">
                <anchor moveWithCells="1" sizeWithCells="1">
                  <from>
                    <xdr:col>7</xdr:col>
                    <xdr:colOff>209550</xdr:colOff>
                    <xdr:row>0</xdr:row>
                    <xdr:rowOff>752475</xdr:rowOff>
                  </from>
                  <to>
                    <xdr:col>7</xdr:col>
                    <xdr:colOff>2809875</xdr:colOff>
                    <xdr:row>0</xdr:row>
                    <xdr:rowOff>1038225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all_clear">
                <anchor moveWithCells="1" sizeWithCells="1">
                  <from>
                    <xdr:col>7</xdr:col>
                    <xdr:colOff>209550</xdr:colOff>
                    <xdr:row>0</xdr:row>
                    <xdr:rowOff>323850</xdr:rowOff>
                  </from>
                  <to>
                    <xdr:col>7</xdr:col>
                    <xdr:colOff>2809875</xdr:colOff>
                    <xdr:row>0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9"/>
  </sheetPr>
  <dimension ref="A1:I6"/>
  <sheetViews>
    <sheetView zoomScale="70" zoomScaleNormal="7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defaultRowHeight="18.75"/>
  <cols>
    <col min="1" max="1" width="5.21875" customWidth="1"/>
    <col min="2" max="2" width="34.77734375" customWidth="1"/>
    <col min="3" max="3" width="4.5546875" bestFit="1" customWidth="1"/>
    <col min="4" max="4" width="12.5546875" customWidth="1"/>
    <col min="5" max="5" width="29.6640625" customWidth="1"/>
    <col min="6" max="6" width="35.88671875" bestFit="1" customWidth="1"/>
    <col min="7" max="7" width="5.21875" customWidth="1"/>
    <col min="8" max="8" width="35.88671875" bestFit="1" customWidth="1"/>
    <col min="9" max="9" width="5.21875" customWidth="1"/>
  </cols>
  <sheetData>
    <row r="1" spans="1:9" ht="108.75" customHeight="1">
      <c r="B1" s="30" t="s">
        <v>219</v>
      </c>
      <c r="C1" s="31"/>
      <c r="D1" s="31"/>
      <c r="E1" s="31"/>
      <c r="F1" s="31"/>
    </row>
    <row r="2" spans="1:9">
      <c r="A2" s="20" t="s">
        <v>1</v>
      </c>
      <c r="B2" s="21" t="s">
        <v>0</v>
      </c>
      <c r="C2" s="21" t="s">
        <v>5</v>
      </c>
      <c r="D2" s="21" t="s">
        <v>3</v>
      </c>
      <c r="E2" s="21" t="s">
        <v>6</v>
      </c>
      <c r="F2" s="21" t="s">
        <v>4</v>
      </c>
      <c r="G2" s="21" t="s">
        <v>5</v>
      </c>
      <c r="H2" s="22" t="s">
        <v>2</v>
      </c>
      <c r="I2" s="21" t="s">
        <v>5</v>
      </c>
    </row>
    <row r="3" spans="1:9" s="11" customFormat="1">
      <c r="A3" s="11">
        <f>ROW()-2</f>
        <v>1</v>
      </c>
      <c r="B3" s="11" t="s">
        <v>170</v>
      </c>
      <c r="C3" s="11">
        <f>LEN(B3)</f>
        <v>7</v>
      </c>
      <c r="E3" s="23"/>
      <c r="F3" s="11" t="s">
        <v>135</v>
      </c>
      <c r="G3" s="12">
        <f>LEN(F3)</f>
        <v>7</v>
      </c>
      <c r="H3" t="s">
        <v>171</v>
      </c>
      <c r="I3" s="12">
        <f>LEN(H3)</f>
        <v>7</v>
      </c>
    </row>
    <row r="4" spans="1:9">
      <c r="E4" s="8"/>
      <c r="G4" s="12"/>
      <c r="I4" s="12"/>
    </row>
    <row r="5" spans="1:9">
      <c r="G5" s="12"/>
      <c r="I5" s="12"/>
    </row>
    <row r="6" spans="1:9">
      <c r="G6" s="12"/>
      <c r="I6" s="12"/>
    </row>
  </sheetData>
  <mergeCells count="1">
    <mergeCell ref="B1:F1"/>
  </mergeCells>
  <phoneticPr fontId="11" type="noConversion"/>
  <conditionalFormatting sqref="G3:G6">
    <cfRule type="expression" dxfId="34" priority="4">
      <formula>$C3&lt;&gt;G3</formula>
    </cfRule>
  </conditionalFormatting>
  <conditionalFormatting sqref="I3:I6">
    <cfRule type="expression" dxfId="33" priority="3">
      <formula>$C3&lt;&gt;I3</formula>
    </cfRule>
  </conditionalFormatting>
  <conditionalFormatting sqref="H3">
    <cfRule type="expression" dxfId="32" priority="2">
      <formula>$F3&lt;&gt;$H3</formula>
    </cfRule>
  </conditionalFormatting>
  <conditionalFormatting sqref="H4:H6">
    <cfRule type="expression" dxfId="31" priority="1">
      <formula>$F4&lt;&gt;$H4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3" name="Button 2">
              <controlPr defaultSize="0" print="0" autoFill="0" autoPict="0" macro="[0]!call_convert">
                <anchor moveWithCells="1" sizeWithCells="1">
                  <from>
                    <xdr:col>7</xdr:col>
                    <xdr:colOff>209550</xdr:colOff>
                    <xdr:row>0</xdr:row>
                    <xdr:rowOff>752475</xdr:rowOff>
                  </from>
                  <to>
                    <xdr:col>7</xdr:col>
                    <xdr:colOff>2809875</xdr:colOff>
                    <xdr:row>0</xdr:row>
                    <xdr:rowOff>1038225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4" name="Button 3">
              <controlPr defaultSize="0" print="0" autoFill="0" autoPict="0" macro="[0]!call_clear">
                <anchor moveWithCells="1" sizeWithCells="1">
                  <from>
                    <xdr:col>7</xdr:col>
                    <xdr:colOff>209550</xdr:colOff>
                    <xdr:row>0</xdr:row>
                    <xdr:rowOff>381000</xdr:rowOff>
                  </from>
                  <to>
                    <xdr:col>7</xdr:col>
                    <xdr:colOff>2809875</xdr:colOff>
                    <xdr:row>0</xdr:row>
                    <xdr:rowOff>657225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9"/>
  </sheetPr>
  <dimension ref="A1:I16"/>
  <sheetViews>
    <sheetView zoomScale="70" zoomScaleNormal="7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defaultRowHeight="18.75"/>
  <cols>
    <col min="1" max="1" width="5.21875" customWidth="1"/>
    <col min="2" max="2" width="34.77734375" customWidth="1"/>
    <col min="3" max="3" width="4.5546875" bestFit="1" customWidth="1"/>
    <col min="4" max="4" width="12.5546875" customWidth="1"/>
    <col min="5" max="5" width="29.6640625" customWidth="1"/>
    <col min="6" max="6" width="35.88671875" bestFit="1" customWidth="1"/>
    <col min="7" max="7" width="5.21875" customWidth="1"/>
    <col min="8" max="8" width="35.88671875" bestFit="1" customWidth="1"/>
    <col min="9" max="9" width="5.21875" customWidth="1"/>
  </cols>
  <sheetData>
    <row r="1" spans="1:9" ht="120" customHeight="1">
      <c r="B1" s="30" t="s">
        <v>220</v>
      </c>
      <c r="C1" s="31"/>
      <c r="D1" s="31"/>
      <c r="E1" s="31"/>
      <c r="F1" s="31"/>
    </row>
    <row r="2" spans="1:9">
      <c r="A2" s="20" t="s">
        <v>1</v>
      </c>
      <c r="B2" s="21" t="s">
        <v>0</v>
      </c>
      <c r="C2" s="21" t="s">
        <v>5</v>
      </c>
      <c r="D2" s="21" t="s">
        <v>3</v>
      </c>
      <c r="E2" s="21" t="s">
        <v>6</v>
      </c>
      <c r="F2" s="21" t="s">
        <v>4</v>
      </c>
      <c r="G2" s="21" t="s">
        <v>5</v>
      </c>
      <c r="H2" s="21" t="s">
        <v>2</v>
      </c>
      <c r="I2" s="21" t="s">
        <v>5</v>
      </c>
    </row>
    <row r="3" spans="1:9" s="11" customFormat="1">
      <c r="A3" s="11">
        <f>ROW()-2</f>
        <v>1</v>
      </c>
      <c r="B3" s="11" t="s">
        <v>139</v>
      </c>
      <c r="C3" s="11">
        <f>LEN(B3)</f>
        <v>8</v>
      </c>
      <c r="D3" s="11" t="s">
        <v>114</v>
      </c>
      <c r="E3" s="23"/>
      <c r="F3" s="11" t="s">
        <v>141</v>
      </c>
      <c r="G3" s="12">
        <f>LEN(F3)</f>
        <v>8</v>
      </c>
      <c r="H3" t="s">
        <v>150</v>
      </c>
      <c r="I3" s="12">
        <f>LEN(H3)</f>
        <v>8</v>
      </c>
    </row>
    <row r="4" spans="1:9" s="11" customFormat="1">
      <c r="A4" s="11">
        <f t="shared" ref="A4" si="0">ROW()-2</f>
        <v>2</v>
      </c>
      <c r="B4" s="11" t="s">
        <v>140</v>
      </c>
      <c r="C4" s="11">
        <f>LEN(B4)</f>
        <v>8</v>
      </c>
      <c r="D4" s="11" t="s">
        <v>114</v>
      </c>
      <c r="E4" s="23"/>
      <c r="F4" s="11" t="s">
        <v>141</v>
      </c>
      <c r="G4" s="12">
        <f>LEN(F4)</f>
        <v>8</v>
      </c>
      <c r="H4" t="s">
        <v>150</v>
      </c>
      <c r="I4" s="12">
        <f>LEN(H4)</f>
        <v>8</v>
      </c>
    </row>
    <row r="16" spans="1:9">
      <c r="F16" s="10"/>
    </row>
  </sheetData>
  <mergeCells count="1">
    <mergeCell ref="B1:F1"/>
  </mergeCells>
  <phoneticPr fontId="11" type="noConversion"/>
  <conditionalFormatting sqref="G3:G4">
    <cfRule type="expression" dxfId="30" priority="3">
      <formula>$C3&lt;&gt;G3</formula>
    </cfRule>
  </conditionalFormatting>
  <conditionalFormatting sqref="I3:I4">
    <cfRule type="expression" dxfId="29" priority="2">
      <formula>$C3&lt;&gt;I3</formula>
    </cfRule>
  </conditionalFormatting>
  <conditionalFormatting sqref="H3:H4">
    <cfRule type="expression" dxfId="28" priority="1">
      <formula>$F3&lt;&gt;$H3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3" name="Button 2">
              <controlPr defaultSize="0" print="0" autoFill="0" autoPict="0" macro="[0]!call_convert">
                <anchor moveWithCells="1" sizeWithCells="1">
                  <from>
                    <xdr:col>7</xdr:col>
                    <xdr:colOff>209550</xdr:colOff>
                    <xdr:row>0</xdr:row>
                    <xdr:rowOff>752475</xdr:rowOff>
                  </from>
                  <to>
                    <xdr:col>7</xdr:col>
                    <xdr:colOff>2809875</xdr:colOff>
                    <xdr:row>0</xdr:row>
                    <xdr:rowOff>1038225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4" name="Button 3">
              <controlPr defaultSize="0" print="0" autoFill="0" autoPict="0" macro="[0]!call_clear">
                <anchor moveWithCells="1" sizeWithCells="1">
                  <from>
                    <xdr:col>7</xdr:col>
                    <xdr:colOff>209550</xdr:colOff>
                    <xdr:row>0</xdr:row>
                    <xdr:rowOff>381000</xdr:rowOff>
                  </from>
                  <to>
                    <xdr:col>7</xdr:col>
                    <xdr:colOff>2809875</xdr:colOff>
                    <xdr:row>0</xdr:row>
                    <xdr:rowOff>657225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9"/>
  </sheetPr>
  <dimension ref="A1:I13"/>
  <sheetViews>
    <sheetView zoomScale="70" zoomScaleNormal="7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defaultRowHeight="18.75"/>
  <cols>
    <col min="1" max="1" width="5.21875" customWidth="1"/>
    <col min="2" max="2" width="34.77734375" customWidth="1"/>
    <col min="3" max="3" width="4.5546875" bestFit="1" customWidth="1"/>
    <col min="4" max="4" width="17.44140625" bestFit="1" customWidth="1"/>
    <col min="5" max="5" width="29.6640625" customWidth="1"/>
    <col min="6" max="6" width="35.88671875" bestFit="1" customWidth="1"/>
    <col min="7" max="7" width="5.21875" customWidth="1"/>
    <col min="8" max="8" width="39.33203125" customWidth="1"/>
    <col min="9" max="9" width="5.21875" customWidth="1"/>
  </cols>
  <sheetData>
    <row r="1" spans="1:9" ht="123.75" customHeight="1">
      <c r="B1" s="30" t="s">
        <v>213</v>
      </c>
      <c r="C1" s="31"/>
      <c r="D1" s="31"/>
      <c r="E1" s="31"/>
      <c r="F1" s="31"/>
    </row>
    <row r="2" spans="1:9">
      <c r="A2" s="20" t="s">
        <v>1</v>
      </c>
      <c r="B2" s="21" t="s">
        <v>0</v>
      </c>
      <c r="C2" s="21" t="s">
        <v>5</v>
      </c>
      <c r="D2" s="21" t="s">
        <v>3</v>
      </c>
      <c r="E2" s="21" t="s">
        <v>6</v>
      </c>
      <c r="F2" s="21" t="s">
        <v>4</v>
      </c>
      <c r="G2" s="21" t="s">
        <v>5</v>
      </c>
      <c r="H2" s="21" t="s">
        <v>2</v>
      </c>
      <c r="I2" s="21" t="s">
        <v>5</v>
      </c>
    </row>
    <row r="3" spans="1:9" ht="37.5">
      <c r="A3" s="14">
        <f>ROW()-2</f>
        <v>1</v>
      </c>
      <c r="B3" s="14" t="s">
        <v>112</v>
      </c>
      <c r="C3" s="14">
        <f>LEN(B3)</f>
        <v>5</v>
      </c>
      <c r="D3" s="14" t="s">
        <v>88</v>
      </c>
      <c r="E3" s="15" t="s">
        <v>62</v>
      </c>
      <c r="F3" s="14" t="s">
        <v>223</v>
      </c>
      <c r="G3" s="12">
        <f>LEN(F3)</f>
        <v>5</v>
      </c>
      <c r="H3" t="s">
        <v>187</v>
      </c>
      <c r="I3" s="12">
        <f>LEN(H3)</f>
        <v>5</v>
      </c>
    </row>
    <row r="4" spans="1:9" ht="37.5">
      <c r="A4" s="14">
        <f t="shared" ref="A4:A13" si="0">ROW()-2</f>
        <v>2</v>
      </c>
      <c r="B4" s="14" t="s">
        <v>191</v>
      </c>
      <c r="C4" s="14">
        <f t="shared" ref="C4:C11" si="1">LEN(B4)</f>
        <v>21</v>
      </c>
      <c r="D4" s="14" t="s">
        <v>195</v>
      </c>
      <c r="E4" s="15" t="s">
        <v>62</v>
      </c>
      <c r="F4" s="14" t="s">
        <v>196</v>
      </c>
      <c r="G4" s="12">
        <f t="shared" ref="G4:G13" si="2">LEN(F4)</f>
        <v>21</v>
      </c>
      <c r="H4" t="s">
        <v>211</v>
      </c>
      <c r="I4" s="12">
        <f t="shared" ref="I4:I13" si="3">LEN(H4)</f>
        <v>21</v>
      </c>
    </row>
    <row r="5" spans="1:9" ht="37.5">
      <c r="A5" s="14">
        <f t="shared" si="0"/>
        <v>3</v>
      </c>
      <c r="B5" s="14" t="s">
        <v>192</v>
      </c>
      <c r="C5" s="14">
        <f t="shared" si="1"/>
        <v>15</v>
      </c>
      <c r="D5" s="14" t="s">
        <v>193</v>
      </c>
      <c r="E5" s="15" t="s">
        <v>62</v>
      </c>
      <c r="F5" s="14" t="s">
        <v>194</v>
      </c>
      <c r="G5" s="12">
        <f t="shared" si="2"/>
        <v>15</v>
      </c>
      <c r="H5" t="s">
        <v>212</v>
      </c>
      <c r="I5" s="12">
        <f t="shared" si="3"/>
        <v>15</v>
      </c>
    </row>
    <row r="6" spans="1:9" ht="37.5">
      <c r="A6" s="14">
        <f t="shared" si="0"/>
        <v>4</v>
      </c>
      <c r="B6" s="19" t="s">
        <v>110</v>
      </c>
      <c r="C6" s="14">
        <f t="shared" si="1"/>
        <v>7</v>
      </c>
      <c r="D6" s="14" t="s">
        <v>111</v>
      </c>
      <c r="E6" s="15" t="s">
        <v>62</v>
      </c>
      <c r="F6" s="14" t="s">
        <v>89</v>
      </c>
      <c r="G6" s="12">
        <f t="shared" si="2"/>
        <v>7</v>
      </c>
      <c r="H6" t="s">
        <v>188</v>
      </c>
      <c r="I6" s="12">
        <f t="shared" si="3"/>
        <v>7</v>
      </c>
    </row>
    <row r="7" spans="1:9" ht="37.5">
      <c r="A7" s="14">
        <f t="shared" si="0"/>
        <v>5</v>
      </c>
      <c r="B7" s="11" t="s">
        <v>151</v>
      </c>
      <c r="C7" s="14">
        <f t="shared" si="1"/>
        <v>12</v>
      </c>
      <c r="D7" s="14" t="s">
        <v>111</v>
      </c>
      <c r="E7" s="15" t="s">
        <v>62</v>
      </c>
      <c r="F7" s="11" t="s">
        <v>189</v>
      </c>
      <c r="G7" s="12">
        <f t="shared" si="2"/>
        <v>12</v>
      </c>
      <c r="H7" t="s">
        <v>189</v>
      </c>
      <c r="I7" s="12">
        <f t="shared" si="3"/>
        <v>12</v>
      </c>
    </row>
    <row r="8" spans="1:9" ht="37.5">
      <c r="A8" s="14">
        <f t="shared" si="0"/>
        <v>6</v>
      </c>
      <c r="B8" s="11" t="s">
        <v>152</v>
      </c>
      <c r="C8" s="14">
        <f t="shared" si="1"/>
        <v>7</v>
      </c>
      <c r="D8" s="14" t="s">
        <v>111</v>
      </c>
      <c r="E8" s="15" t="s">
        <v>62</v>
      </c>
      <c r="F8" s="11" t="s">
        <v>113</v>
      </c>
      <c r="G8" s="12">
        <f t="shared" si="2"/>
        <v>7</v>
      </c>
      <c r="H8" t="s">
        <v>190</v>
      </c>
      <c r="I8" s="12">
        <f t="shared" si="3"/>
        <v>7</v>
      </c>
    </row>
    <row r="9" spans="1:9" s="18" customFormat="1" ht="37.5">
      <c r="A9" s="16">
        <f t="shared" si="0"/>
        <v>7</v>
      </c>
      <c r="B9" s="11" t="s">
        <v>197</v>
      </c>
      <c r="C9" s="16">
        <f t="shared" ref="C9" si="4">LEN(B9)</f>
        <v>7</v>
      </c>
      <c r="D9" s="16" t="s">
        <v>88</v>
      </c>
      <c r="E9" s="17" t="s">
        <v>62</v>
      </c>
      <c r="F9" s="12" t="s">
        <v>198</v>
      </c>
      <c r="G9" s="12">
        <f t="shared" si="2"/>
        <v>7</v>
      </c>
      <c r="H9" t="s">
        <v>198</v>
      </c>
      <c r="I9" s="12">
        <f t="shared" si="3"/>
        <v>7</v>
      </c>
    </row>
    <row r="10" spans="1:9" s="18" customFormat="1" ht="37.5">
      <c r="A10" s="16">
        <f t="shared" si="0"/>
        <v>8</v>
      </c>
      <c r="B10" s="12" t="s">
        <v>154</v>
      </c>
      <c r="C10" s="16">
        <f t="shared" si="1"/>
        <v>10</v>
      </c>
      <c r="D10" s="16" t="s">
        <v>111</v>
      </c>
      <c r="E10" s="17" t="s">
        <v>62</v>
      </c>
      <c r="F10" s="12" t="s">
        <v>156</v>
      </c>
      <c r="G10" s="12">
        <f t="shared" si="2"/>
        <v>10</v>
      </c>
      <c r="H10" t="s">
        <v>173</v>
      </c>
      <c r="I10" s="12">
        <f t="shared" si="3"/>
        <v>10</v>
      </c>
    </row>
    <row r="11" spans="1:9" s="18" customFormat="1" ht="37.5">
      <c r="A11" s="16">
        <f t="shared" si="0"/>
        <v>9</v>
      </c>
      <c r="B11" s="18" t="s">
        <v>155</v>
      </c>
      <c r="C11" s="16">
        <f t="shared" si="1"/>
        <v>10</v>
      </c>
      <c r="D11" s="16" t="s">
        <v>111</v>
      </c>
      <c r="E11" s="17" t="s">
        <v>62</v>
      </c>
      <c r="F11" s="18" t="s">
        <v>157</v>
      </c>
      <c r="G11" s="12">
        <f t="shared" si="2"/>
        <v>10</v>
      </c>
      <c r="H11" t="s">
        <v>174</v>
      </c>
      <c r="I11" s="12">
        <f t="shared" si="3"/>
        <v>10</v>
      </c>
    </row>
    <row r="12" spans="1:9" s="18" customFormat="1" ht="37.5">
      <c r="A12" s="16">
        <f t="shared" si="0"/>
        <v>10</v>
      </c>
      <c r="B12" s="18" t="s">
        <v>158</v>
      </c>
      <c r="C12" s="16">
        <f t="shared" ref="C12:C13" si="5">LEN(B12)</f>
        <v>10</v>
      </c>
      <c r="D12" s="16" t="s">
        <v>88</v>
      </c>
      <c r="E12" s="17" t="s">
        <v>62</v>
      </c>
      <c r="F12" s="12" t="s">
        <v>160</v>
      </c>
      <c r="G12" s="12">
        <f t="shared" si="2"/>
        <v>10</v>
      </c>
      <c r="H12" t="s">
        <v>175</v>
      </c>
      <c r="I12" s="12">
        <f t="shared" si="3"/>
        <v>10</v>
      </c>
    </row>
    <row r="13" spans="1:9" s="18" customFormat="1" ht="37.5">
      <c r="A13" s="16">
        <f t="shared" si="0"/>
        <v>11</v>
      </c>
      <c r="B13" s="18" t="s">
        <v>159</v>
      </c>
      <c r="C13" s="16">
        <f t="shared" si="5"/>
        <v>10</v>
      </c>
      <c r="D13" s="16" t="s">
        <v>88</v>
      </c>
      <c r="E13" s="17" t="s">
        <v>62</v>
      </c>
      <c r="F13" s="18" t="s">
        <v>161</v>
      </c>
      <c r="G13" s="12">
        <f t="shared" si="2"/>
        <v>10</v>
      </c>
      <c r="H13" t="s">
        <v>176</v>
      </c>
      <c r="I13" s="12">
        <f t="shared" si="3"/>
        <v>10</v>
      </c>
    </row>
  </sheetData>
  <mergeCells count="1">
    <mergeCell ref="B1:F1"/>
  </mergeCells>
  <phoneticPr fontId="1"/>
  <conditionalFormatting sqref="G3:G8 G10:G13">
    <cfRule type="expression" dxfId="27" priority="6">
      <formula>$C3&lt;&gt;G3</formula>
    </cfRule>
  </conditionalFormatting>
  <conditionalFormatting sqref="I3:I8 I10:I13">
    <cfRule type="expression" dxfId="26" priority="5">
      <formula>$C3&lt;&gt;I3</formula>
    </cfRule>
  </conditionalFormatting>
  <conditionalFormatting sqref="H3:H8 H10:H13">
    <cfRule type="expression" dxfId="25" priority="4">
      <formula>$F3&lt;&gt;$H3</formula>
    </cfRule>
  </conditionalFormatting>
  <conditionalFormatting sqref="G9">
    <cfRule type="expression" dxfId="24" priority="3">
      <formula>$C9&lt;&gt;G9</formula>
    </cfRule>
  </conditionalFormatting>
  <conditionalFormatting sqref="I9">
    <cfRule type="expression" dxfId="23" priority="2">
      <formula>$C9&lt;&gt;I9</formula>
    </cfRule>
  </conditionalFormatting>
  <conditionalFormatting sqref="H9">
    <cfRule type="expression" dxfId="22" priority="1">
      <formula>$F9&lt;&gt;$H9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all_convert">
                <anchor moveWithCells="1" sizeWithCells="1">
                  <from>
                    <xdr:col>7</xdr:col>
                    <xdr:colOff>238125</xdr:colOff>
                    <xdr:row>0</xdr:row>
                    <xdr:rowOff>752475</xdr:rowOff>
                  </from>
                  <to>
                    <xdr:col>7</xdr:col>
                    <xdr:colOff>2838450</xdr:colOff>
                    <xdr:row>0</xdr:row>
                    <xdr:rowOff>1038225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all_clear">
                <anchor moveWithCells="1" sizeWithCells="1">
                  <from>
                    <xdr:col>7</xdr:col>
                    <xdr:colOff>238125</xdr:colOff>
                    <xdr:row>0</xdr:row>
                    <xdr:rowOff>381000</xdr:rowOff>
                  </from>
                  <to>
                    <xdr:col>7</xdr:col>
                    <xdr:colOff>2838450</xdr:colOff>
                    <xdr:row>0</xdr:row>
                    <xdr:rowOff>657225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9"/>
  </sheetPr>
  <dimension ref="A1:I6"/>
  <sheetViews>
    <sheetView zoomScale="70" zoomScaleNormal="7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defaultRowHeight="18.75"/>
  <cols>
    <col min="1" max="1" width="5.21875" customWidth="1"/>
    <col min="2" max="2" width="34.77734375" customWidth="1"/>
    <col min="3" max="3" width="4.5546875" bestFit="1" customWidth="1"/>
    <col min="4" max="4" width="17.44140625" bestFit="1" customWidth="1"/>
    <col min="5" max="5" width="29.6640625" customWidth="1"/>
    <col min="6" max="6" width="35.88671875" bestFit="1" customWidth="1"/>
    <col min="7" max="7" width="5.21875" customWidth="1"/>
    <col min="8" max="8" width="35.88671875" bestFit="1" customWidth="1"/>
    <col min="9" max="9" width="5.21875" customWidth="1"/>
  </cols>
  <sheetData>
    <row r="1" spans="1:9" ht="120" customHeight="1">
      <c r="B1" s="32" t="s">
        <v>65</v>
      </c>
      <c r="C1" s="33"/>
      <c r="D1" s="33"/>
      <c r="E1" s="33"/>
      <c r="F1" s="33"/>
    </row>
    <row r="2" spans="1:9">
      <c r="A2" s="20" t="s">
        <v>1</v>
      </c>
      <c r="B2" s="21" t="s">
        <v>0</v>
      </c>
      <c r="C2" s="21" t="s">
        <v>5</v>
      </c>
      <c r="D2" s="21" t="s">
        <v>3</v>
      </c>
      <c r="E2" s="21" t="s">
        <v>6</v>
      </c>
      <c r="F2" s="21" t="s">
        <v>4</v>
      </c>
      <c r="G2" s="21" t="s">
        <v>5</v>
      </c>
      <c r="H2" s="21" t="s">
        <v>2</v>
      </c>
      <c r="I2" s="21" t="s">
        <v>5</v>
      </c>
    </row>
    <row r="3" spans="1:9">
      <c r="A3">
        <f>ROW()-2</f>
        <v>1</v>
      </c>
      <c r="B3" t="s">
        <v>64</v>
      </c>
      <c r="C3">
        <f>LEN(B3)</f>
        <v>15</v>
      </c>
      <c r="D3" t="s">
        <v>72</v>
      </c>
      <c r="E3" s="8" t="s">
        <v>74</v>
      </c>
      <c r="F3" t="s">
        <v>63</v>
      </c>
      <c r="G3" s="12">
        <f>LEN(F3)</f>
        <v>15</v>
      </c>
      <c r="H3" t="s">
        <v>162</v>
      </c>
      <c r="I3" s="12">
        <f>LEN(H3)</f>
        <v>15</v>
      </c>
    </row>
    <row r="4" spans="1:9">
      <c r="A4">
        <f t="shared" ref="A4:A6" si="0">ROW()-2</f>
        <v>2</v>
      </c>
      <c r="B4" t="s">
        <v>68</v>
      </c>
      <c r="C4">
        <f t="shared" ref="C4:C6" si="1">LEN(B4)</f>
        <v>6</v>
      </c>
      <c r="D4" t="s">
        <v>72</v>
      </c>
      <c r="E4" s="8" t="s">
        <v>75</v>
      </c>
      <c r="F4" t="s">
        <v>73</v>
      </c>
      <c r="G4" s="12">
        <f t="shared" ref="G4:G6" si="2">LEN(F4)</f>
        <v>6</v>
      </c>
      <c r="H4" t="s">
        <v>163</v>
      </c>
      <c r="I4" s="12">
        <f t="shared" ref="I4:I6" si="3">LEN(H4)</f>
        <v>6</v>
      </c>
    </row>
    <row r="5" spans="1:9">
      <c r="A5">
        <f t="shared" si="0"/>
        <v>3</v>
      </c>
      <c r="B5" t="s">
        <v>78</v>
      </c>
      <c r="C5">
        <f t="shared" si="1"/>
        <v>11</v>
      </c>
      <c r="D5" t="s">
        <v>72</v>
      </c>
      <c r="E5" s="8" t="s">
        <v>76</v>
      </c>
      <c r="F5" t="s">
        <v>79</v>
      </c>
      <c r="G5" s="12">
        <f t="shared" si="2"/>
        <v>11</v>
      </c>
      <c r="H5" t="s">
        <v>164</v>
      </c>
      <c r="I5" s="12">
        <f t="shared" si="3"/>
        <v>11</v>
      </c>
    </row>
    <row r="6" spans="1:9">
      <c r="A6">
        <f t="shared" si="0"/>
        <v>4</v>
      </c>
      <c r="B6" t="s">
        <v>80</v>
      </c>
      <c r="C6">
        <f t="shared" si="1"/>
        <v>15</v>
      </c>
      <c r="D6" t="s">
        <v>72</v>
      </c>
      <c r="E6" s="8" t="s">
        <v>77</v>
      </c>
      <c r="F6" t="s">
        <v>81</v>
      </c>
      <c r="G6" s="12">
        <f t="shared" si="2"/>
        <v>15</v>
      </c>
      <c r="H6" t="s">
        <v>165</v>
      </c>
      <c r="I6" s="12">
        <f t="shared" si="3"/>
        <v>15</v>
      </c>
    </row>
  </sheetData>
  <mergeCells count="1">
    <mergeCell ref="B1:F1"/>
  </mergeCells>
  <phoneticPr fontId="1"/>
  <conditionalFormatting sqref="G3:G6">
    <cfRule type="expression" dxfId="21" priority="3">
      <formula>$C3&lt;&gt;G3</formula>
    </cfRule>
  </conditionalFormatting>
  <conditionalFormatting sqref="I3:I6">
    <cfRule type="expression" dxfId="20" priority="2">
      <formula>$C3&lt;&gt;I3</formula>
    </cfRule>
  </conditionalFormatting>
  <conditionalFormatting sqref="H3:H6">
    <cfRule type="expression" dxfId="19" priority="1">
      <formula>$F3&lt;&gt;$H3</formula>
    </cfRule>
  </conditionalFormatting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all_convert">
                <anchor moveWithCells="1" sizeWithCells="1">
                  <from>
                    <xdr:col>7</xdr:col>
                    <xdr:colOff>238125</xdr:colOff>
                    <xdr:row>0</xdr:row>
                    <xdr:rowOff>752475</xdr:rowOff>
                  </from>
                  <to>
                    <xdr:col>7</xdr:col>
                    <xdr:colOff>2838450</xdr:colOff>
                    <xdr:row>0</xdr:row>
                    <xdr:rowOff>1038225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all_clear">
                <anchor moveWithCells="1" sizeWithCells="1">
                  <from>
                    <xdr:col>7</xdr:col>
                    <xdr:colOff>238125</xdr:colOff>
                    <xdr:row>0</xdr:row>
                    <xdr:rowOff>381000</xdr:rowOff>
                  </from>
                  <to>
                    <xdr:col>7</xdr:col>
                    <xdr:colOff>2838450</xdr:colOff>
                    <xdr:row>0</xdr:row>
                    <xdr:rowOff>657225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9"/>
  </sheetPr>
  <dimension ref="A1:I6"/>
  <sheetViews>
    <sheetView zoomScale="70" zoomScaleNormal="7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defaultRowHeight="18.75"/>
  <cols>
    <col min="1" max="1" width="5.21875" customWidth="1"/>
    <col min="2" max="2" width="34.77734375" customWidth="1"/>
    <col min="3" max="3" width="4.5546875" bestFit="1" customWidth="1"/>
    <col min="4" max="4" width="12.5546875" customWidth="1"/>
    <col min="5" max="5" width="29.6640625" customWidth="1"/>
    <col min="6" max="6" width="35.88671875" bestFit="1" customWidth="1"/>
    <col min="7" max="7" width="5.21875" customWidth="1"/>
    <col min="8" max="8" width="35.88671875" bestFit="1" customWidth="1"/>
    <col min="9" max="9" width="5.21875" customWidth="1"/>
  </cols>
  <sheetData>
    <row r="1" spans="1:9" ht="108.75" customHeight="1">
      <c r="B1" s="30" t="s">
        <v>200</v>
      </c>
      <c r="C1" s="31"/>
      <c r="D1" s="31"/>
      <c r="E1" s="31"/>
      <c r="F1" s="31"/>
    </row>
    <row r="2" spans="1:9">
      <c r="A2" s="20" t="s">
        <v>1</v>
      </c>
      <c r="B2" s="21" t="s">
        <v>0</v>
      </c>
      <c r="C2" s="21" t="s">
        <v>5</v>
      </c>
      <c r="D2" s="21" t="s">
        <v>3</v>
      </c>
      <c r="E2" s="21" t="s">
        <v>6</v>
      </c>
      <c r="F2" s="21" t="s">
        <v>4</v>
      </c>
      <c r="G2" s="21" t="s">
        <v>5</v>
      </c>
      <c r="H2" s="21" t="s">
        <v>2</v>
      </c>
      <c r="I2" s="21" t="s">
        <v>5</v>
      </c>
    </row>
    <row r="3" spans="1:9">
      <c r="A3">
        <f>ROW()-2</f>
        <v>1</v>
      </c>
      <c r="B3" t="s">
        <v>143</v>
      </c>
      <c r="C3">
        <f>LEN(B3)</f>
        <v>5</v>
      </c>
      <c r="E3" s="8"/>
      <c r="F3" t="s">
        <v>201</v>
      </c>
      <c r="G3" s="12">
        <f>LEN(F3)</f>
        <v>5</v>
      </c>
      <c r="H3" t="s">
        <v>201</v>
      </c>
      <c r="I3" s="12">
        <f>LEN(H3)</f>
        <v>5</v>
      </c>
    </row>
    <row r="4" spans="1:9">
      <c r="A4">
        <f t="shared" ref="A4:A6" si="0">ROW()-2</f>
        <v>2</v>
      </c>
      <c r="B4" t="s">
        <v>144</v>
      </c>
      <c r="C4">
        <f>LEN(B4)</f>
        <v>5</v>
      </c>
      <c r="E4" s="8"/>
      <c r="F4" t="s">
        <v>201</v>
      </c>
      <c r="G4" s="12">
        <f t="shared" ref="G4:G6" si="1">LEN(F4)</f>
        <v>5</v>
      </c>
      <c r="H4" t="s">
        <v>201</v>
      </c>
      <c r="I4" s="12">
        <f t="shared" ref="I4:I6" si="2">LEN(H4)</f>
        <v>5</v>
      </c>
    </row>
    <row r="5" spans="1:9">
      <c r="A5">
        <f t="shared" si="0"/>
        <v>3</v>
      </c>
      <c r="B5" t="s">
        <v>145</v>
      </c>
      <c r="C5">
        <f t="shared" ref="C5:C6" si="3">LEN(B5)</f>
        <v>5</v>
      </c>
      <c r="F5" t="s">
        <v>201</v>
      </c>
      <c r="G5" s="12">
        <f t="shared" si="1"/>
        <v>5</v>
      </c>
      <c r="H5" t="s">
        <v>201</v>
      </c>
      <c r="I5" s="12">
        <f t="shared" si="2"/>
        <v>5</v>
      </c>
    </row>
    <row r="6" spans="1:9">
      <c r="A6">
        <f t="shared" si="0"/>
        <v>4</v>
      </c>
      <c r="B6" t="s">
        <v>146</v>
      </c>
      <c r="C6">
        <f t="shared" si="3"/>
        <v>5</v>
      </c>
      <c r="F6" t="s">
        <v>201</v>
      </c>
      <c r="G6" s="12">
        <f t="shared" si="1"/>
        <v>5</v>
      </c>
      <c r="H6" t="s">
        <v>201</v>
      </c>
      <c r="I6" s="12">
        <f t="shared" si="2"/>
        <v>5</v>
      </c>
    </row>
  </sheetData>
  <mergeCells count="1">
    <mergeCell ref="B1:F1"/>
  </mergeCells>
  <phoneticPr fontId="1"/>
  <conditionalFormatting sqref="G3:G6">
    <cfRule type="expression" dxfId="18" priority="3">
      <formula>$C3&lt;&gt;G3</formula>
    </cfRule>
  </conditionalFormatting>
  <conditionalFormatting sqref="I3:I6">
    <cfRule type="expression" dxfId="17" priority="2">
      <formula>$C3&lt;&gt;I3</formula>
    </cfRule>
  </conditionalFormatting>
  <conditionalFormatting sqref="H3:H6">
    <cfRule type="expression" dxfId="16" priority="1">
      <formula>$F3&lt;&gt;$H3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7" r:id="rId3" name="Button 3">
              <controlPr defaultSize="0" print="0" autoFill="0" autoPict="0" macro="[0]!call_convert">
                <anchor moveWithCells="1" sizeWithCells="1">
                  <from>
                    <xdr:col>7</xdr:col>
                    <xdr:colOff>209550</xdr:colOff>
                    <xdr:row>0</xdr:row>
                    <xdr:rowOff>752475</xdr:rowOff>
                  </from>
                  <to>
                    <xdr:col>7</xdr:col>
                    <xdr:colOff>2809875</xdr:colOff>
                    <xdr:row>0</xdr:row>
                    <xdr:rowOff>1038225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4" name="Button 4">
              <controlPr defaultSize="0" print="0" autoFill="0" autoPict="0" macro="[0]!call_clear">
                <anchor moveWithCells="1" sizeWithCells="1">
                  <from>
                    <xdr:col>7</xdr:col>
                    <xdr:colOff>209550</xdr:colOff>
                    <xdr:row>0</xdr:row>
                    <xdr:rowOff>381000</xdr:rowOff>
                  </from>
                  <to>
                    <xdr:col>7</xdr:col>
                    <xdr:colOff>2809875</xdr:colOff>
                    <xdr:row>0</xdr:row>
                    <xdr:rowOff>657225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9"/>
  </sheetPr>
  <dimension ref="A1:I5"/>
  <sheetViews>
    <sheetView zoomScale="70" zoomScaleNormal="7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defaultRowHeight="18.75"/>
  <cols>
    <col min="1" max="1" width="5.21875" customWidth="1"/>
    <col min="2" max="2" width="34.77734375" customWidth="1"/>
    <col min="3" max="3" width="4.5546875" bestFit="1" customWidth="1"/>
    <col min="4" max="4" width="13.88671875" bestFit="1" customWidth="1"/>
    <col min="5" max="5" width="29.6640625" customWidth="1"/>
    <col min="6" max="6" width="35.88671875" bestFit="1" customWidth="1"/>
    <col min="7" max="7" width="5.21875" customWidth="1"/>
    <col min="8" max="8" width="35.88671875" bestFit="1" customWidth="1"/>
    <col min="9" max="9" width="5.21875" customWidth="1"/>
  </cols>
  <sheetData>
    <row r="1" spans="1:9" ht="125.25" customHeight="1">
      <c r="B1" s="30" t="s">
        <v>202</v>
      </c>
      <c r="C1" s="31"/>
      <c r="D1" s="31"/>
      <c r="E1" s="31"/>
      <c r="F1" s="31"/>
    </row>
    <row r="2" spans="1:9">
      <c r="A2" s="20" t="s">
        <v>1</v>
      </c>
      <c r="B2" s="21" t="s">
        <v>0</v>
      </c>
      <c r="C2" s="21" t="s">
        <v>5</v>
      </c>
      <c r="D2" s="21" t="s">
        <v>3</v>
      </c>
      <c r="E2" s="21" t="s">
        <v>6</v>
      </c>
      <c r="F2" s="21" t="s">
        <v>4</v>
      </c>
      <c r="G2" s="21" t="s">
        <v>5</v>
      </c>
      <c r="H2" s="21" t="s">
        <v>2</v>
      </c>
      <c r="I2" s="21" t="s">
        <v>5</v>
      </c>
    </row>
    <row r="3" spans="1:9">
      <c r="A3">
        <f>ROW()-2</f>
        <v>1</v>
      </c>
      <c r="B3" t="s">
        <v>69</v>
      </c>
      <c r="C3">
        <f>LEN(B3)</f>
        <v>12</v>
      </c>
      <c r="D3" t="s">
        <v>82</v>
      </c>
      <c r="E3" s="8" t="s">
        <v>83</v>
      </c>
      <c r="F3" t="s">
        <v>82</v>
      </c>
      <c r="G3" s="12">
        <f>LEN(F3)</f>
        <v>12</v>
      </c>
      <c r="H3" t="s">
        <v>149</v>
      </c>
      <c r="I3" s="12">
        <f>LEN(H3)</f>
        <v>12</v>
      </c>
    </row>
    <row r="4" spans="1:9">
      <c r="A4">
        <f t="shared" ref="A4" si="0">ROW()-2</f>
        <v>2</v>
      </c>
      <c r="B4" t="s">
        <v>71</v>
      </c>
      <c r="C4">
        <f>LEN(B4)</f>
        <v>12</v>
      </c>
      <c r="D4" t="s">
        <v>82</v>
      </c>
      <c r="E4" s="8" t="s">
        <v>84</v>
      </c>
      <c r="F4" t="s">
        <v>69</v>
      </c>
      <c r="G4" s="12">
        <f t="shared" ref="G4" si="1">LEN(F4)</f>
        <v>12</v>
      </c>
      <c r="H4" t="s">
        <v>149</v>
      </c>
      <c r="I4" s="12">
        <f t="shared" ref="I4" si="2">LEN(H4)</f>
        <v>12</v>
      </c>
    </row>
    <row r="5" spans="1:9">
      <c r="G5" s="12"/>
      <c r="I5" s="12"/>
    </row>
  </sheetData>
  <mergeCells count="1">
    <mergeCell ref="B1:F1"/>
  </mergeCells>
  <phoneticPr fontId="1"/>
  <conditionalFormatting sqref="G3:G5">
    <cfRule type="expression" dxfId="15" priority="3">
      <formula>$C3&lt;&gt;G3</formula>
    </cfRule>
  </conditionalFormatting>
  <conditionalFormatting sqref="I3:I5">
    <cfRule type="expression" dxfId="14" priority="2">
      <formula>$C3&lt;&gt;I3</formula>
    </cfRule>
  </conditionalFormatting>
  <conditionalFormatting sqref="H3:H5">
    <cfRule type="expression" dxfId="13" priority="1">
      <formula>$F3&lt;&gt;$H3</formula>
    </cfRule>
  </conditionalFormatting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all_convert">
                <anchor moveWithCells="1" sizeWithCells="1">
                  <from>
                    <xdr:col>7</xdr:col>
                    <xdr:colOff>209550</xdr:colOff>
                    <xdr:row>0</xdr:row>
                    <xdr:rowOff>752475</xdr:rowOff>
                  </from>
                  <to>
                    <xdr:col>7</xdr:col>
                    <xdr:colOff>2809875</xdr:colOff>
                    <xdr:row>0</xdr:row>
                    <xdr:rowOff>1038225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all_clear">
                <anchor moveWithCells="1" sizeWithCells="1">
                  <from>
                    <xdr:col>7</xdr:col>
                    <xdr:colOff>209550</xdr:colOff>
                    <xdr:row>0</xdr:row>
                    <xdr:rowOff>381000</xdr:rowOff>
                  </from>
                  <to>
                    <xdr:col>7</xdr:col>
                    <xdr:colOff>2800350</xdr:colOff>
                    <xdr:row>0</xdr:row>
                    <xdr:rowOff>657225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9"/>
  </sheetPr>
  <dimension ref="A1:I5"/>
  <sheetViews>
    <sheetView zoomScale="70" zoomScaleNormal="7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defaultRowHeight="18.75"/>
  <cols>
    <col min="1" max="1" width="5.21875" customWidth="1"/>
    <col min="2" max="2" width="34.77734375" customWidth="1"/>
    <col min="3" max="3" width="4.5546875" bestFit="1" customWidth="1"/>
    <col min="4" max="4" width="19.33203125" bestFit="1" customWidth="1"/>
    <col min="5" max="5" width="29.6640625" customWidth="1"/>
    <col min="6" max="6" width="35.88671875" bestFit="1" customWidth="1"/>
    <col min="7" max="7" width="5.21875" customWidth="1"/>
    <col min="8" max="8" width="35.88671875" bestFit="1" customWidth="1"/>
    <col min="9" max="9" width="5.21875" customWidth="1"/>
  </cols>
  <sheetData>
    <row r="1" spans="1:9" ht="117" customHeight="1">
      <c r="B1" s="32" t="s">
        <v>67</v>
      </c>
      <c r="C1" s="32"/>
      <c r="D1" s="32"/>
      <c r="E1" s="32"/>
      <c r="F1" s="32"/>
    </row>
    <row r="2" spans="1:9">
      <c r="A2" s="20" t="s">
        <v>1</v>
      </c>
      <c r="B2" s="21" t="s">
        <v>0</v>
      </c>
      <c r="C2" s="21" t="s">
        <v>5</v>
      </c>
      <c r="D2" s="21" t="s">
        <v>3</v>
      </c>
      <c r="E2" s="21" t="s">
        <v>6</v>
      </c>
      <c r="F2" s="21" t="s">
        <v>4</v>
      </c>
      <c r="G2" s="21" t="s">
        <v>5</v>
      </c>
      <c r="H2" s="21" t="s">
        <v>2</v>
      </c>
      <c r="I2" s="21" t="s">
        <v>5</v>
      </c>
    </row>
    <row r="3" spans="1:9">
      <c r="A3">
        <f>ROW()-2</f>
        <v>1</v>
      </c>
      <c r="B3" t="s">
        <v>87</v>
      </c>
      <c r="C3">
        <f>LEN(B3)</f>
        <v>6</v>
      </c>
      <c r="D3" t="s">
        <v>85</v>
      </c>
      <c r="E3" s="8" t="s">
        <v>86</v>
      </c>
      <c r="F3" t="s">
        <v>73</v>
      </c>
      <c r="G3" s="12">
        <f>LEN(F3)</f>
        <v>6</v>
      </c>
      <c r="H3" t="s">
        <v>163</v>
      </c>
      <c r="I3" s="12">
        <f>LEN(H3)</f>
        <v>6</v>
      </c>
    </row>
    <row r="4" spans="1:9">
      <c r="A4">
        <f t="shared" ref="A4:A5" si="0">ROW()-2</f>
        <v>2</v>
      </c>
      <c r="B4" t="s">
        <v>90</v>
      </c>
      <c r="C4">
        <f>LEN(B4)</f>
        <v>7</v>
      </c>
      <c r="D4" t="s">
        <v>85</v>
      </c>
      <c r="E4" s="8" t="s">
        <v>86</v>
      </c>
      <c r="F4" t="s">
        <v>109</v>
      </c>
      <c r="G4" s="12">
        <f t="shared" ref="G4:G5" si="1">LEN(F4)</f>
        <v>7</v>
      </c>
      <c r="H4" t="s">
        <v>166</v>
      </c>
      <c r="I4" s="12">
        <f t="shared" ref="I4:I5" si="2">LEN(H4)</f>
        <v>7</v>
      </c>
    </row>
    <row r="5" spans="1:9">
      <c r="A5">
        <f t="shared" si="0"/>
        <v>3</v>
      </c>
      <c r="B5" t="s">
        <v>91</v>
      </c>
      <c r="C5">
        <f>LEN(B5)</f>
        <v>13</v>
      </c>
      <c r="D5" t="s">
        <v>85</v>
      </c>
      <c r="E5" s="8" t="s">
        <v>86</v>
      </c>
      <c r="F5" t="s">
        <v>108</v>
      </c>
      <c r="G5" s="12">
        <f t="shared" si="1"/>
        <v>13</v>
      </c>
      <c r="H5" t="s">
        <v>167</v>
      </c>
      <c r="I5" s="12">
        <f t="shared" si="2"/>
        <v>13</v>
      </c>
    </row>
  </sheetData>
  <mergeCells count="1">
    <mergeCell ref="B1:F1"/>
  </mergeCells>
  <phoneticPr fontId="1"/>
  <conditionalFormatting sqref="G3:G5">
    <cfRule type="expression" dxfId="12" priority="3">
      <formula>$C3&lt;&gt;G3</formula>
    </cfRule>
  </conditionalFormatting>
  <conditionalFormatting sqref="I3:I5">
    <cfRule type="expression" dxfId="11" priority="2">
      <formula>$C3&lt;&gt;I3</formula>
    </cfRule>
  </conditionalFormatting>
  <conditionalFormatting sqref="H3:H5">
    <cfRule type="expression" dxfId="10" priority="1">
      <formula>$F3&lt;&gt;$H3</formula>
    </cfRule>
  </conditionalFormatting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l_convert">
                <anchor moveWithCells="1" sizeWithCells="1">
                  <from>
                    <xdr:col>7</xdr:col>
                    <xdr:colOff>209550</xdr:colOff>
                    <xdr:row>0</xdr:row>
                    <xdr:rowOff>752475</xdr:rowOff>
                  </from>
                  <to>
                    <xdr:col>7</xdr:col>
                    <xdr:colOff>2809875</xdr:colOff>
                    <xdr:row>0</xdr:row>
                    <xdr:rowOff>1038225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call_clear">
                <anchor moveWithCells="1" sizeWithCells="1">
                  <from>
                    <xdr:col>7</xdr:col>
                    <xdr:colOff>209550</xdr:colOff>
                    <xdr:row>0</xdr:row>
                    <xdr:rowOff>381000</xdr:rowOff>
                  </from>
                  <to>
                    <xdr:col>7</xdr:col>
                    <xdr:colOff>2800350</xdr:colOff>
                    <xdr:row>0</xdr:row>
                    <xdr:rowOff>657225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9"/>
  </sheetPr>
  <dimension ref="A1:I5"/>
  <sheetViews>
    <sheetView zoomScale="70" zoomScaleNormal="7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defaultRowHeight="18.75"/>
  <cols>
    <col min="1" max="1" width="5.21875" customWidth="1"/>
    <col min="2" max="2" width="34.77734375" customWidth="1"/>
    <col min="3" max="3" width="4.5546875" bestFit="1" customWidth="1"/>
    <col min="4" max="4" width="19.33203125" bestFit="1" customWidth="1"/>
    <col min="5" max="5" width="29.6640625" customWidth="1"/>
    <col min="6" max="6" width="35.88671875" bestFit="1" customWidth="1"/>
    <col min="7" max="7" width="5.21875" customWidth="1"/>
    <col min="8" max="8" width="35.88671875" bestFit="1" customWidth="1"/>
    <col min="9" max="9" width="5.21875" customWidth="1"/>
  </cols>
  <sheetData>
    <row r="1" spans="1:9" ht="102.75" customHeight="1">
      <c r="B1" s="32" t="s">
        <v>125</v>
      </c>
      <c r="C1" s="32"/>
      <c r="D1" s="32"/>
      <c r="E1" s="32"/>
      <c r="F1" s="32"/>
    </row>
    <row r="2" spans="1:9">
      <c r="A2" s="20" t="s">
        <v>119</v>
      </c>
      <c r="B2" s="21" t="s">
        <v>0</v>
      </c>
      <c r="C2" s="21" t="s">
        <v>5</v>
      </c>
      <c r="D2" s="21" t="s">
        <v>3</v>
      </c>
      <c r="E2" s="21" t="s">
        <v>6</v>
      </c>
      <c r="F2" s="21" t="s">
        <v>4</v>
      </c>
      <c r="G2" s="21" t="s">
        <v>5</v>
      </c>
      <c r="H2" s="21" t="s">
        <v>2</v>
      </c>
      <c r="I2" s="21" t="s">
        <v>5</v>
      </c>
    </row>
    <row r="3" spans="1:9">
      <c r="A3">
        <f>ROW()-2</f>
        <v>1</v>
      </c>
      <c r="B3" t="s">
        <v>120</v>
      </c>
      <c r="C3">
        <f>LEN(B3)</f>
        <v>6</v>
      </c>
      <c r="D3" t="s">
        <v>129</v>
      </c>
      <c r="E3" s="8" t="s">
        <v>121</v>
      </c>
      <c r="F3" t="s">
        <v>73</v>
      </c>
      <c r="G3" s="12">
        <f>LEN(F3)</f>
        <v>6</v>
      </c>
      <c r="H3" t="s">
        <v>163</v>
      </c>
      <c r="I3" s="12">
        <f>LEN(H3)</f>
        <v>6</v>
      </c>
    </row>
    <row r="4" spans="1:9">
      <c r="A4">
        <f t="shared" ref="A4:A5" si="0">ROW()-2</f>
        <v>2</v>
      </c>
      <c r="B4" t="s">
        <v>90</v>
      </c>
      <c r="C4">
        <f>LEN(B4)</f>
        <v>7</v>
      </c>
      <c r="D4" t="s">
        <v>129</v>
      </c>
      <c r="E4" s="8" t="s">
        <v>121</v>
      </c>
      <c r="F4" t="s">
        <v>130</v>
      </c>
      <c r="G4" s="12">
        <f t="shared" ref="G4:G5" si="1">LEN(F4)</f>
        <v>7</v>
      </c>
      <c r="H4" t="s">
        <v>166</v>
      </c>
      <c r="I4" s="12">
        <f t="shared" ref="I4:I5" si="2">LEN(H4)</f>
        <v>7</v>
      </c>
    </row>
    <row r="5" spans="1:9">
      <c r="A5">
        <f t="shared" si="0"/>
        <v>3</v>
      </c>
      <c r="B5" t="s">
        <v>91</v>
      </c>
      <c r="C5">
        <f>LEN(B5)</f>
        <v>13</v>
      </c>
      <c r="D5" t="s">
        <v>129</v>
      </c>
      <c r="E5" s="8" t="s">
        <v>121</v>
      </c>
      <c r="F5" t="s">
        <v>131</v>
      </c>
      <c r="G5" s="12">
        <f t="shared" si="1"/>
        <v>13</v>
      </c>
      <c r="H5" t="s">
        <v>203</v>
      </c>
      <c r="I5" s="12">
        <f t="shared" si="2"/>
        <v>13</v>
      </c>
    </row>
  </sheetData>
  <mergeCells count="1">
    <mergeCell ref="B1:F1"/>
  </mergeCells>
  <phoneticPr fontId="11" type="noConversion"/>
  <conditionalFormatting sqref="G3:G5">
    <cfRule type="expression" dxfId="9" priority="3">
      <formula>$C3&lt;&gt;G3</formula>
    </cfRule>
  </conditionalFormatting>
  <conditionalFormatting sqref="I3:I5">
    <cfRule type="expression" dxfId="8" priority="2">
      <formula>$C3&lt;&gt;I3</formula>
    </cfRule>
  </conditionalFormatting>
  <conditionalFormatting sqref="H3:H5">
    <cfRule type="expression" dxfId="7" priority="1">
      <formula>$F3&lt;&gt;$H3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3" name="Button 2">
              <controlPr defaultSize="0" print="0" autoFill="0" autoPict="0" macro="[0]!call_convert">
                <anchor moveWithCells="1" sizeWithCells="1">
                  <from>
                    <xdr:col>7</xdr:col>
                    <xdr:colOff>209550</xdr:colOff>
                    <xdr:row>0</xdr:row>
                    <xdr:rowOff>752475</xdr:rowOff>
                  </from>
                  <to>
                    <xdr:col>7</xdr:col>
                    <xdr:colOff>2809875</xdr:colOff>
                    <xdr:row>0</xdr:row>
                    <xdr:rowOff>1038225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call_clear">
                <anchor moveWithCells="1" sizeWithCells="1">
                  <from>
                    <xdr:col>7</xdr:col>
                    <xdr:colOff>209550</xdr:colOff>
                    <xdr:row>0</xdr:row>
                    <xdr:rowOff>381000</xdr:rowOff>
                  </from>
                  <to>
                    <xdr:col>7</xdr:col>
                    <xdr:colOff>2800350</xdr:colOff>
                    <xdr:row>0</xdr:row>
                    <xdr:rowOff>657225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9"/>
  </sheetPr>
  <dimension ref="A1:I5"/>
  <sheetViews>
    <sheetView zoomScale="70" zoomScaleNormal="7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defaultRowHeight="18.75"/>
  <cols>
    <col min="1" max="1" width="5.21875" customWidth="1"/>
    <col min="2" max="2" width="34.77734375" customWidth="1"/>
    <col min="3" max="3" width="4.5546875" bestFit="1" customWidth="1"/>
    <col min="4" max="4" width="19.33203125" bestFit="1" customWidth="1"/>
    <col min="5" max="5" width="29.6640625" customWidth="1"/>
    <col min="6" max="6" width="35.88671875" bestFit="1" customWidth="1"/>
    <col min="7" max="7" width="5.21875" customWidth="1"/>
    <col min="8" max="8" width="35.88671875" bestFit="1" customWidth="1"/>
    <col min="9" max="9" width="5.21875" customWidth="1"/>
  </cols>
  <sheetData>
    <row r="1" spans="1:9" ht="112.5" customHeight="1">
      <c r="B1" s="32" t="s">
        <v>126</v>
      </c>
      <c r="C1" s="32"/>
      <c r="D1" s="32"/>
      <c r="E1" s="32"/>
      <c r="F1" s="32"/>
    </row>
    <row r="2" spans="1:9">
      <c r="A2" s="20" t="s">
        <v>118</v>
      </c>
      <c r="B2" s="21" t="s">
        <v>0</v>
      </c>
      <c r="C2" s="21" t="s">
        <v>5</v>
      </c>
      <c r="D2" s="21" t="s">
        <v>3</v>
      </c>
      <c r="E2" s="21" t="s">
        <v>6</v>
      </c>
      <c r="F2" s="21" t="s">
        <v>4</v>
      </c>
      <c r="G2" s="21" t="s">
        <v>5</v>
      </c>
      <c r="H2" s="21" t="s">
        <v>2</v>
      </c>
      <c r="I2" s="21" t="s">
        <v>5</v>
      </c>
    </row>
    <row r="3" spans="1:9" s="11" customFormat="1">
      <c r="A3" s="11">
        <f>ROW()-2</f>
        <v>1</v>
      </c>
      <c r="B3" s="11" t="s">
        <v>87</v>
      </c>
      <c r="C3" s="11">
        <f>LEN(B3)</f>
        <v>6</v>
      </c>
      <c r="D3" s="11" t="s">
        <v>127</v>
      </c>
      <c r="E3" s="23" t="s">
        <v>122</v>
      </c>
      <c r="F3" s="11" t="s">
        <v>132</v>
      </c>
      <c r="G3" s="12">
        <f>LEN(F3)</f>
        <v>6</v>
      </c>
      <c r="H3" t="s">
        <v>163</v>
      </c>
      <c r="I3" s="12">
        <f>LEN(H3)</f>
        <v>6</v>
      </c>
    </row>
    <row r="4" spans="1:9" s="11" customFormat="1">
      <c r="A4" s="11">
        <f t="shared" ref="A4:A5" si="0">ROW()-2</f>
        <v>2</v>
      </c>
      <c r="B4" s="11" t="s">
        <v>90</v>
      </c>
      <c r="C4" s="11">
        <f>LEN(B4)</f>
        <v>7</v>
      </c>
      <c r="D4" s="11" t="s">
        <v>127</v>
      </c>
      <c r="E4" s="23" t="s">
        <v>83</v>
      </c>
      <c r="F4" s="11" t="s">
        <v>133</v>
      </c>
      <c r="G4" s="12">
        <f t="shared" ref="G4:G5" si="1">LEN(F4)</f>
        <v>7</v>
      </c>
      <c r="H4" t="s">
        <v>166</v>
      </c>
      <c r="I4" s="12">
        <f t="shared" ref="I4:I5" si="2">LEN(H4)</f>
        <v>7</v>
      </c>
    </row>
    <row r="5" spans="1:9" s="11" customFormat="1">
      <c r="A5" s="11">
        <f t="shared" si="0"/>
        <v>3</v>
      </c>
      <c r="B5" s="11" t="s">
        <v>91</v>
      </c>
      <c r="C5" s="11">
        <f>LEN(B5)</f>
        <v>13</v>
      </c>
      <c r="D5" s="11" t="s">
        <v>127</v>
      </c>
      <c r="E5" s="23" t="s">
        <v>83</v>
      </c>
      <c r="F5" s="11" t="s">
        <v>134</v>
      </c>
      <c r="G5" s="12">
        <f t="shared" si="1"/>
        <v>13</v>
      </c>
      <c r="H5" t="s">
        <v>204</v>
      </c>
      <c r="I5" s="12">
        <f t="shared" si="2"/>
        <v>13</v>
      </c>
    </row>
  </sheetData>
  <mergeCells count="1">
    <mergeCell ref="B1:F1"/>
  </mergeCells>
  <phoneticPr fontId="11" type="noConversion"/>
  <conditionalFormatting sqref="G3:G5">
    <cfRule type="expression" dxfId="6" priority="3">
      <formula>$C3&lt;&gt;G3</formula>
    </cfRule>
  </conditionalFormatting>
  <conditionalFormatting sqref="I3:I5">
    <cfRule type="expression" dxfId="5" priority="2">
      <formula>$C3&lt;&gt;I3</formula>
    </cfRule>
  </conditionalFormatting>
  <conditionalFormatting sqref="H3:H5">
    <cfRule type="expression" dxfId="4" priority="1">
      <formula>$F3&lt;&gt;$H3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call_convert">
                <anchor moveWithCells="1" sizeWithCells="1">
                  <from>
                    <xdr:col>7</xdr:col>
                    <xdr:colOff>209550</xdr:colOff>
                    <xdr:row>0</xdr:row>
                    <xdr:rowOff>752475</xdr:rowOff>
                  </from>
                  <to>
                    <xdr:col>7</xdr:col>
                    <xdr:colOff>2809875</xdr:colOff>
                    <xdr:row>0</xdr:row>
                    <xdr:rowOff>1038225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call_clear">
                <anchor moveWithCells="1" sizeWithCells="1">
                  <from>
                    <xdr:col>7</xdr:col>
                    <xdr:colOff>209550</xdr:colOff>
                    <xdr:row>0</xdr:row>
                    <xdr:rowOff>381000</xdr:rowOff>
                  </from>
                  <to>
                    <xdr:col>7</xdr:col>
                    <xdr:colOff>2800350</xdr:colOff>
                    <xdr:row>0</xdr:row>
                    <xdr:rowOff>657225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/>
  </sheetPr>
  <dimension ref="A1:I16"/>
  <sheetViews>
    <sheetView zoomScale="70" zoomScaleNormal="7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defaultRowHeight="18.75"/>
  <cols>
    <col min="1" max="1" width="5.21875" customWidth="1"/>
    <col min="2" max="2" width="43.33203125" customWidth="1"/>
    <col min="3" max="3" width="4.5546875" bestFit="1" customWidth="1"/>
    <col min="4" max="4" width="14.44140625" customWidth="1"/>
    <col min="5" max="5" width="29.6640625" customWidth="1"/>
    <col min="6" max="6" width="52.21875" customWidth="1"/>
    <col min="7" max="7" width="5.21875" customWidth="1"/>
    <col min="8" max="8" width="76.33203125" customWidth="1"/>
    <col min="9" max="9" width="3.6640625" customWidth="1"/>
  </cols>
  <sheetData>
    <row r="1" spans="1:9" ht="225.75" customHeight="1">
      <c r="B1" s="34" t="s">
        <v>221</v>
      </c>
      <c r="C1" s="31"/>
      <c r="D1" s="31"/>
      <c r="E1" s="31"/>
      <c r="F1" s="31"/>
    </row>
    <row r="2" spans="1:9">
      <c r="A2" s="20" t="s">
        <v>1</v>
      </c>
      <c r="B2" s="21" t="s">
        <v>0</v>
      </c>
      <c r="C2" s="21" t="s">
        <v>5</v>
      </c>
      <c r="D2" s="21" t="s">
        <v>3</v>
      </c>
      <c r="E2" s="21" t="s">
        <v>6</v>
      </c>
      <c r="F2" s="21" t="s">
        <v>4</v>
      </c>
      <c r="G2" s="21" t="s">
        <v>5</v>
      </c>
      <c r="H2" s="21" t="s">
        <v>2</v>
      </c>
      <c r="I2" s="21" t="s">
        <v>5</v>
      </c>
    </row>
    <row r="3" spans="1:9" s="11" customFormat="1">
      <c r="A3" s="12">
        <f t="shared" ref="A3:A16" si="0">ROW()-2</f>
        <v>1</v>
      </c>
      <c r="B3" s="12" t="s">
        <v>184</v>
      </c>
      <c r="C3" s="12">
        <f t="shared" ref="C3:C9" si="1">LEN(B3)</f>
        <v>20</v>
      </c>
      <c r="D3" s="12" t="s">
        <v>177</v>
      </c>
      <c r="E3" s="12" t="s">
        <v>206</v>
      </c>
      <c r="F3" s="12" t="s">
        <v>214</v>
      </c>
      <c r="G3" s="12">
        <f>LEN(F3)</f>
        <v>20</v>
      </c>
      <c r="H3" t="s">
        <v>214</v>
      </c>
      <c r="I3" s="12">
        <f>LEN(H3)</f>
        <v>20</v>
      </c>
    </row>
    <row r="4" spans="1:9" s="11" customFormat="1">
      <c r="A4" s="12">
        <f t="shared" si="0"/>
        <v>2</v>
      </c>
      <c r="B4" s="12" t="s">
        <v>184</v>
      </c>
      <c r="C4" s="12">
        <f t="shared" si="1"/>
        <v>20</v>
      </c>
      <c r="D4" s="12" t="s">
        <v>178</v>
      </c>
      <c r="E4" s="12" t="s">
        <v>207</v>
      </c>
      <c r="F4" s="12" t="s">
        <v>181</v>
      </c>
      <c r="G4" s="12">
        <f t="shared" ref="G4:G16" si="2">LEN(F4)</f>
        <v>20</v>
      </c>
      <c r="H4" t="s">
        <v>235</v>
      </c>
      <c r="I4" s="12">
        <f t="shared" ref="I4:I16" si="3">LEN(H4)</f>
        <v>20</v>
      </c>
    </row>
    <row r="5" spans="1:9" s="11" customFormat="1">
      <c r="A5" s="12">
        <f t="shared" si="0"/>
        <v>3</v>
      </c>
      <c r="B5" s="12" t="s">
        <v>233</v>
      </c>
      <c r="C5" s="12">
        <f t="shared" si="1"/>
        <v>72</v>
      </c>
      <c r="D5" s="12" t="s">
        <v>179</v>
      </c>
      <c r="E5" s="12" t="s">
        <v>206</v>
      </c>
      <c r="F5" s="12" t="s">
        <v>231</v>
      </c>
      <c r="G5" s="12">
        <f t="shared" si="2"/>
        <v>72</v>
      </c>
      <c r="H5" t="s">
        <v>236</v>
      </c>
      <c r="I5" s="12">
        <f t="shared" si="3"/>
        <v>72</v>
      </c>
    </row>
    <row r="6" spans="1:9" s="11" customFormat="1">
      <c r="A6" s="12">
        <f t="shared" si="0"/>
        <v>4</v>
      </c>
      <c r="B6" s="12" t="s">
        <v>185</v>
      </c>
      <c r="C6" s="12">
        <f t="shared" si="1"/>
        <v>33</v>
      </c>
      <c r="D6" s="12" t="s">
        <v>210</v>
      </c>
      <c r="E6" s="12" t="s">
        <v>205</v>
      </c>
      <c r="F6" s="12" t="s">
        <v>216</v>
      </c>
      <c r="G6" s="12">
        <f t="shared" si="2"/>
        <v>33</v>
      </c>
      <c r="H6" t="s">
        <v>237</v>
      </c>
      <c r="I6" s="12">
        <f t="shared" si="3"/>
        <v>33</v>
      </c>
    </row>
    <row r="7" spans="1:9" s="11" customFormat="1">
      <c r="A7" s="12">
        <f t="shared" si="0"/>
        <v>5</v>
      </c>
      <c r="B7" s="12" t="s">
        <v>185</v>
      </c>
      <c r="C7" s="12">
        <f t="shared" si="1"/>
        <v>33</v>
      </c>
      <c r="D7" s="12" t="s">
        <v>182</v>
      </c>
      <c r="E7" s="12" t="s">
        <v>180</v>
      </c>
      <c r="F7" s="12" t="s">
        <v>215</v>
      </c>
      <c r="G7" s="12">
        <f t="shared" si="2"/>
        <v>33</v>
      </c>
      <c r="H7" t="s">
        <v>227</v>
      </c>
      <c r="I7" s="12">
        <f t="shared" si="3"/>
        <v>33</v>
      </c>
    </row>
    <row r="8" spans="1:9" s="11" customFormat="1">
      <c r="A8" s="12">
        <f t="shared" si="0"/>
        <v>6</v>
      </c>
      <c r="B8" s="12" t="s">
        <v>185</v>
      </c>
      <c r="C8" s="12">
        <f t="shared" si="1"/>
        <v>33</v>
      </c>
      <c r="D8" s="12" t="s">
        <v>183</v>
      </c>
      <c r="E8" s="12" t="s">
        <v>180</v>
      </c>
      <c r="F8" s="12" t="s">
        <v>186</v>
      </c>
      <c r="G8" s="12">
        <f t="shared" si="2"/>
        <v>33</v>
      </c>
      <c r="H8" t="s">
        <v>228</v>
      </c>
      <c r="I8" s="12">
        <f t="shared" si="3"/>
        <v>33</v>
      </c>
    </row>
    <row r="9" spans="1:9" s="11" customFormat="1">
      <c r="A9" s="12">
        <f t="shared" si="0"/>
        <v>7</v>
      </c>
      <c r="B9" s="12" t="s">
        <v>117</v>
      </c>
      <c r="C9" s="12">
        <f t="shared" si="1"/>
        <v>37</v>
      </c>
      <c r="D9" s="12" t="s">
        <v>208</v>
      </c>
      <c r="E9" s="12" t="s">
        <v>116</v>
      </c>
      <c r="F9" s="12" t="s">
        <v>209</v>
      </c>
      <c r="G9" s="12">
        <f>LEN(F9)</f>
        <v>37</v>
      </c>
      <c r="H9" t="s">
        <v>229</v>
      </c>
      <c r="I9" s="12">
        <f>LEN(H9)</f>
        <v>37</v>
      </c>
    </row>
    <row r="10" spans="1:9" s="11" customFormat="1">
      <c r="A10" s="12">
        <f t="shared" si="0"/>
        <v>8</v>
      </c>
      <c r="B10" s="13" t="s">
        <v>94</v>
      </c>
      <c r="C10" s="12">
        <f t="shared" ref="C10:C16" si="4">LEN(B10)</f>
        <v>3</v>
      </c>
      <c r="D10" s="12"/>
      <c r="E10" s="12" t="s">
        <v>101</v>
      </c>
      <c r="F10" s="12" t="s">
        <v>94</v>
      </c>
      <c r="G10" s="12">
        <f t="shared" si="2"/>
        <v>3</v>
      </c>
      <c r="H10" t="s">
        <v>238</v>
      </c>
      <c r="I10" s="12">
        <f t="shared" si="3"/>
        <v>3</v>
      </c>
    </row>
    <row r="11" spans="1:9" s="11" customFormat="1">
      <c r="A11" s="12">
        <f t="shared" si="0"/>
        <v>9</v>
      </c>
      <c r="B11" s="12" t="s">
        <v>102</v>
      </c>
      <c r="C11" s="12">
        <f t="shared" si="4"/>
        <v>4</v>
      </c>
      <c r="D11" s="12"/>
      <c r="E11" s="12" t="s">
        <v>103</v>
      </c>
      <c r="F11" s="12" t="s">
        <v>95</v>
      </c>
      <c r="G11" s="12">
        <f t="shared" si="2"/>
        <v>4</v>
      </c>
      <c r="H11" t="s">
        <v>103</v>
      </c>
      <c r="I11" s="12">
        <f t="shared" si="3"/>
        <v>4</v>
      </c>
    </row>
    <row r="12" spans="1:9" s="11" customFormat="1">
      <c r="A12" s="12">
        <f t="shared" si="0"/>
        <v>10</v>
      </c>
      <c r="B12" s="12" t="s">
        <v>92</v>
      </c>
      <c r="C12" s="12">
        <f t="shared" si="4"/>
        <v>4</v>
      </c>
      <c r="D12" s="12"/>
      <c r="E12" s="12" t="s">
        <v>92</v>
      </c>
      <c r="F12" s="12" t="s">
        <v>97</v>
      </c>
      <c r="G12" s="12">
        <f t="shared" si="2"/>
        <v>4</v>
      </c>
      <c r="H12" t="s">
        <v>232</v>
      </c>
      <c r="I12" s="12">
        <f t="shared" si="3"/>
        <v>4</v>
      </c>
    </row>
    <row r="13" spans="1:9" s="11" customFormat="1">
      <c r="A13" s="12">
        <f t="shared" si="0"/>
        <v>11</v>
      </c>
      <c r="B13" s="12" t="s">
        <v>93</v>
      </c>
      <c r="C13" s="12">
        <f t="shared" si="4"/>
        <v>5</v>
      </c>
      <c r="D13" s="12"/>
      <c r="E13" s="12" t="s">
        <v>104</v>
      </c>
      <c r="F13" s="12" t="s">
        <v>93</v>
      </c>
      <c r="G13" s="12">
        <f t="shared" si="2"/>
        <v>5</v>
      </c>
      <c r="H13" t="s">
        <v>93</v>
      </c>
      <c r="I13" s="12">
        <f t="shared" si="3"/>
        <v>5</v>
      </c>
    </row>
    <row r="14" spans="1:9" s="11" customFormat="1">
      <c r="A14" s="12">
        <f t="shared" si="0"/>
        <v>12</v>
      </c>
      <c r="B14" s="12" t="s">
        <v>105</v>
      </c>
      <c r="C14" s="12">
        <f t="shared" si="4"/>
        <v>22</v>
      </c>
      <c r="D14" s="12"/>
      <c r="E14" s="12" t="s">
        <v>107</v>
      </c>
      <c r="F14" s="12" t="s">
        <v>99</v>
      </c>
      <c r="G14" s="12">
        <f t="shared" si="2"/>
        <v>22</v>
      </c>
      <c r="H14" t="s">
        <v>239</v>
      </c>
      <c r="I14" s="12">
        <f t="shared" si="3"/>
        <v>22</v>
      </c>
    </row>
    <row r="15" spans="1:9" s="11" customFormat="1">
      <c r="A15" s="12">
        <f t="shared" si="0"/>
        <v>13</v>
      </c>
      <c r="B15" s="12" t="s">
        <v>98</v>
      </c>
      <c r="C15" s="12">
        <f t="shared" si="4"/>
        <v>25</v>
      </c>
      <c r="D15" s="12"/>
      <c r="E15" s="12" t="s">
        <v>106</v>
      </c>
      <c r="F15" s="12" t="s">
        <v>96</v>
      </c>
      <c r="G15" s="12">
        <f t="shared" si="2"/>
        <v>25</v>
      </c>
      <c r="H15" t="s">
        <v>240</v>
      </c>
      <c r="I15" s="12">
        <f t="shared" si="3"/>
        <v>25</v>
      </c>
    </row>
    <row r="16" spans="1:9" s="11" customFormat="1">
      <c r="A16" s="12">
        <f t="shared" si="0"/>
        <v>14</v>
      </c>
      <c r="B16" s="12" t="s">
        <v>225</v>
      </c>
      <c r="C16" s="12">
        <f t="shared" si="4"/>
        <v>39</v>
      </c>
      <c r="D16" s="12"/>
      <c r="E16" s="12" t="s">
        <v>115</v>
      </c>
      <c r="F16" s="12" t="s">
        <v>226</v>
      </c>
      <c r="G16" s="12">
        <f t="shared" si="2"/>
        <v>39</v>
      </c>
      <c r="H16" t="s">
        <v>230</v>
      </c>
      <c r="I16" s="12">
        <f t="shared" si="3"/>
        <v>39</v>
      </c>
    </row>
  </sheetData>
  <mergeCells count="1">
    <mergeCell ref="B1:F1"/>
  </mergeCells>
  <phoneticPr fontId="1"/>
  <conditionalFormatting sqref="G9:G16 I9:I16">
    <cfRule type="expression" dxfId="3" priority="5">
      <formula>$C9&lt;&gt;G9</formula>
    </cfRule>
  </conditionalFormatting>
  <conditionalFormatting sqref="G3:G8">
    <cfRule type="expression" dxfId="2" priority="3">
      <formula>$C3&lt;&gt;G3</formula>
    </cfRule>
  </conditionalFormatting>
  <conditionalFormatting sqref="I3:I8">
    <cfRule type="expression" dxfId="1" priority="2">
      <formula>$C3&lt;&gt;I3</formula>
    </cfRule>
  </conditionalFormatting>
  <conditionalFormatting sqref="H3:H16">
    <cfRule type="expression" dxfId="0" priority="1">
      <formula>$F3&lt;&gt;$H3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l_convert">
                <anchor moveWithCells="1" sizeWithCells="1">
                  <from>
                    <xdr:col>7</xdr:col>
                    <xdr:colOff>219075</xdr:colOff>
                    <xdr:row>0</xdr:row>
                    <xdr:rowOff>2219325</xdr:rowOff>
                  </from>
                  <to>
                    <xdr:col>7</xdr:col>
                    <xdr:colOff>2819400</xdr:colOff>
                    <xdr:row>0</xdr:row>
                    <xdr:rowOff>2495550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ll_clear">
                <anchor moveWithCells="1" sizeWithCells="1">
                  <from>
                    <xdr:col>7</xdr:col>
                    <xdr:colOff>219075</xdr:colOff>
                    <xdr:row>0</xdr:row>
                    <xdr:rowOff>1838325</xdr:rowOff>
                  </from>
                  <to>
                    <xdr:col>7</xdr:col>
                    <xdr:colOff>2819400</xdr:colOff>
                    <xdr:row>0</xdr:row>
                    <xdr:rowOff>2114550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変更パターン</vt:lpstr>
      <vt:lpstr>CV-001</vt:lpstr>
      <vt:lpstr>CV-002</vt:lpstr>
      <vt:lpstr>CV-003</vt:lpstr>
      <vt:lpstr>CV-004</vt:lpstr>
      <vt:lpstr>CV-005</vt:lpstr>
      <vt:lpstr>CV-006</vt:lpstr>
      <vt:lpstr>CV-007</vt:lpstr>
      <vt:lpstr>CV-008</vt:lpstr>
      <vt:lpstr>CV-009</vt:lpstr>
      <vt:lpstr>CV-010</vt:lpstr>
      <vt:lpstr>CV-012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Zeng, Jin/曾 进</dc:creator>
  <cp:lastModifiedBy>Yang, Lei/杨 磊</cp:lastModifiedBy>
  <cp:lastPrinted>2020-02-16T13:10:53Z</cp:lastPrinted>
  <dcterms:created xsi:type="dcterms:W3CDTF">2020-02-15T00:20:24Z</dcterms:created>
  <dcterms:modified xsi:type="dcterms:W3CDTF">2020-02-24T09:51:13Z</dcterms:modified>
</cp:coreProperties>
</file>