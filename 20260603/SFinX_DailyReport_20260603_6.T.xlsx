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ikoh\daily_report\"/>
    </mc:Choice>
  </mc:AlternateContent>
  <xr:revisionPtr revIDLastSave="0" documentId="13_ncr:1_{72CA2600-728C-46F2-ADCF-2F112D414A9D}" xr6:coauthVersionLast="47" xr6:coauthVersionMax="47" xr10:uidLastSave="{00000000-0000-0000-0000-000000000000}"/>
  <bookViews>
    <workbookView xWindow="-120" yWindow="-120" windowWidth="29040" windowHeight="15720" xr2:uid="{512752CD-03D6-4955-AB2F-651F47EACBB7}"/>
  </bookViews>
  <sheets>
    <sheet name="20260603" sheetId="2" r:id="rId1"/>
  </sheets>
  <externalReferences>
    <externalReference r:id="rId2"/>
  </externalReferences>
  <definedNames>
    <definedName name="_xlnm.Print_Area" localSheetId="0">'20260603'!$A$1:$O$70</definedName>
    <definedName name="Report_Day">[1]MENU!$H$4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2" l="1"/>
  <c r="M17" i="2"/>
  <c r="N17" i="2"/>
  <c r="L14" i="2"/>
  <c r="M14" i="2"/>
  <c r="N14" i="2"/>
  <c r="N18" i="2"/>
  <c r="L18" i="2"/>
  <c r="M18" i="2"/>
  <c r="L15" i="2"/>
  <c r="M15" i="2"/>
  <c r="N15" i="2"/>
  <c r="L16" i="2"/>
  <c r="N16" i="2"/>
  <c r="M16" i="2"/>
  <c r="I16" i="2"/>
  <c r="H16" i="2"/>
  <c r="H14" i="2"/>
  <c r="I14" i="2"/>
  <c r="H17" i="2"/>
  <c r="I17" i="2"/>
  <c r="H18" i="2"/>
  <c r="I18" i="2"/>
  <c r="I15" i="2"/>
  <c r="H15" i="2"/>
  <c r="N19" i="2" l="1"/>
  <c r="M19" i="2"/>
  <c r="L19" i="2"/>
  <c r="H19" i="2"/>
  <c r="I19" i="2"/>
</calcChain>
</file>

<file path=xl/sharedStrings.xml><?xml version="1.0" encoding="utf-8"?>
<sst xmlns="http://schemas.openxmlformats.org/spreadsheetml/2006/main" count="117" uniqueCount="84">
  <si>
    <t>進捗状況</t>
    <rPh sb="0" eb="2">
      <t>シンチョク</t>
    </rPh>
    <rPh sb="2" eb="4">
      <t>ジョウキョウ</t>
    </rPh>
    <phoneticPr fontId="1"/>
  </si>
  <si>
    <t>PG対応</t>
  </si>
  <si>
    <t>ソースレビュー</t>
  </si>
  <si>
    <t>単体テスト仕様書作成</t>
  </si>
  <si>
    <t>単体テスト仕様書レビュー</t>
  </si>
  <si>
    <t>単体テスト</t>
  </si>
  <si>
    <t>エビデンスレビュー</t>
  </si>
  <si>
    <t>予実差異</t>
    <rPh sb="0" eb="2">
      <t>ヨジツ</t>
    </rPh>
    <rPh sb="2" eb="4">
      <t>サイ</t>
    </rPh>
    <phoneticPr fontId="1"/>
  </si>
  <si>
    <t>タスク</t>
    <phoneticPr fontId="1"/>
  </si>
  <si>
    <t>完了予定</t>
    <rPh sb="0" eb="2">
      <t>カンリョウ</t>
    </rPh>
    <phoneticPr fontId="1"/>
  </si>
  <si>
    <t>完了実績</t>
    <rPh sb="0" eb="2">
      <t>カンリョウ</t>
    </rPh>
    <rPh sb="2" eb="4">
      <t>ジッセキ</t>
    </rPh>
    <phoneticPr fontId="1"/>
  </si>
  <si>
    <t>タスク件数</t>
    <rPh sb="3" eb="5">
      <t>ケンスウ</t>
    </rPh>
    <phoneticPr fontId="1"/>
  </si>
  <si>
    <t>進捗率</t>
    <rPh sb="0" eb="2">
      <t>シンチョク</t>
    </rPh>
    <rPh sb="2" eb="3">
      <t>リツ</t>
    </rPh>
    <phoneticPr fontId="1"/>
  </si>
  <si>
    <t>完了率</t>
    <rPh sb="0" eb="2">
      <t>カンリョウ</t>
    </rPh>
    <rPh sb="2" eb="3">
      <t>リツ</t>
    </rPh>
    <phoneticPr fontId="1"/>
  </si>
  <si>
    <t>①</t>
    <phoneticPr fontId="1"/>
  </si>
  <si>
    <t>②</t>
    <phoneticPr fontId="1"/>
  </si>
  <si>
    <t>③</t>
    <phoneticPr fontId="1"/>
  </si>
  <si>
    <t>③／②</t>
    <phoneticPr fontId="1"/>
  </si>
  <si>
    <t>重要課題</t>
    <rPh sb="0" eb="2">
      <t>ジュウヨウ</t>
    </rPh>
    <rPh sb="2" eb="4">
      <t>カダイ</t>
    </rPh>
    <phoneticPr fontId="1"/>
  </si>
  <si>
    <t>連絡事項</t>
    <rPh sb="0" eb="2">
      <t>レンラク</t>
    </rPh>
    <rPh sb="2" eb="4">
      <t>ジコウ</t>
    </rPh>
    <phoneticPr fontId="1"/>
  </si>
  <si>
    <t>報告日</t>
    <rPh sb="0" eb="2">
      <t>ホウコク</t>
    </rPh>
    <rPh sb="2" eb="3">
      <t>ビ</t>
    </rPh>
    <phoneticPr fontId="1"/>
  </si>
  <si>
    <t>～以上～</t>
    <rPh sb="1" eb="3">
      <t>イジョウ</t>
    </rPh>
    <phoneticPr fontId="1"/>
  </si>
  <si>
    <t>③-②</t>
    <phoneticPr fontId="1"/>
  </si>
  <si>
    <t>報告者</t>
    <rPh sb="0" eb="2">
      <t>ホウコク</t>
    </rPh>
    <rPh sb="2" eb="3">
      <t>シャ</t>
    </rPh>
    <phoneticPr fontId="1"/>
  </si>
  <si>
    <t>チーム</t>
    <phoneticPr fontId="1"/>
  </si>
  <si>
    <t>④</t>
    <phoneticPr fontId="1"/>
  </si>
  <si>
    <t>⑤</t>
    <phoneticPr fontId="1"/>
  </si>
  <si>
    <t>⑤-④</t>
    <phoneticPr fontId="1"/>
  </si>
  <si>
    <t>⑤／①</t>
    <phoneticPr fontId="1"/>
  </si>
  <si>
    <t>着手予定</t>
    <rPh sb="0" eb="2">
      <t>チャクシュ</t>
    </rPh>
    <phoneticPr fontId="1"/>
  </si>
  <si>
    <t>着手実績</t>
    <rPh sb="0" eb="2">
      <t>チャクシュ</t>
    </rPh>
    <rPh sb="2" eb="4">
      <t>ジッセキ</t>
    </rPh>
    <phoneticPr fontId="1"/>
  </si>
  <si>
    <t>⑤／④</t>
    <phoneticPr fontId="1"/>
  </si>
  <si>
    <t>完了件数</t>
    <rPh sb="0" eb="2">
      <t>カンリョウ</t>
    </rPh>
    <rPh sb="2" eb="4">
      <t>ケンスウ</t>
    </rPh>
    <phoneticPr fontId="1"/>
  </si>
  <si>
    <t>サブシステム</t>
    <phoneticPr fontId="1"/>
  </si>
  <si>
    <t>品質保証</t>
    <phoneticPr fontId="1"/>
  </si>
  <si>
    <t>指摘件数</t>
    <rPh sb="0" eb="2">
      <t>シテキ</t>
    </rPh>
    <rPh sb="2" eb="4">
      <t>ケンスウ</t>
    </rPh>
    <phoneticPr fontId="1"/>
  </si>
  <si>
    <t>機能数(本)</t>
    <rPh sb="0" eb="2">
      <t>キノウ</t>
    </rPh>
    <rPh sb="2" eb="3">
      <t>スウ</t>
    </rPh>
    <rPh sb="4" eb="5">
      <t>ホン</t>
    </rPh>
    <phoneticPr fontId="1"/>
  </si>
  <si>
    <t>コーディング
誤り件数</t>
    <rPh sb="7" eb="8">
      <t>アヤマ</t>
    </rPh>
    <rPh sb="9" eb="11">
      <t>ケンスウ</t>
    </rPh>
    <phoneticPr fontId="1"/>
  </si>
  <si>
    <t>改修規模(行)</t>
    <rPh sb="0" eb="2">
      <t>カイシュウ</t>
    </rPh>
    <rPh sb="2" eb="4">
      <t>キボ</t>
    </rPh>
    <rPh sb="5" eb="6">
      <t>ギョウ</t>
    </rPh>
    <phoneticPr fontId="1"/>
  </si>
  <si>
    <t>納品対応（2026年4月）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</si>
  <si>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納品対応（2026年5月）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</si>
  <si>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納品用の画面入口整理</t>
    <rPh sb="0" eb="3">
      <t>ノウヒンヨウ</t>
    </rPh>
    <rPh sb="4" eb="6">
      <t>ガメン</t>
    </rPh>
    <rPh sb="6" eb="8">
      <t>イリグチ</t>
    </rPh>
    <rPh sb="8" eb="10">
      <t>セイリ</t>
    </rPh>
    <phoneticPr fontId="1"/>
  </si>
  <si>
    <t>完了本数</t>
    <rPh sb="0" eb="2">
      <t>カンリョウ</t>
    </rPh>
    <rPh sb="2" eb="3">
      <t>ホン</t>
    </rPh>
    <phoneticPr fontId="1"/>
  </si>
  <si>
    <t>受入指摘対応</t>
    <phoneticPr fontId="1"/>
  </si>
  <si>
    <t>入口本数</t>
    <rPh sb="0" eb="2">
      <t>イリグチ</t>
    </rPh>
    <rPh sb="2" eb="3">
      <t>ホン</t>
    </rPh>
    <phoneticPr fontId="1"/>
  </si>
  <si>
    <t>C_契約管理</t>
  </si>
  <si>
    <t>E_請求回収</t>
  </si>
  <si>
    <t>B_SFA</t>
    <phoneticPr fontId="1"/>
  </si>
  <si>
    <t>F_支払</t>
    <phoneticPr fontId="1"/>
  </si>
  <si>
    <t>L_経費</t>
    <phoneticPr fontId="1"/>
  </si>
  <si>
    <t>課題状況</t>
  </si>
  <si>
    <t>品管Tへ2次レビュー依頼</t>
    <rPh sb="0" eb="2">
      <t>ヒンカン</t>
    </rPh>
    <rPh sb="5" eb="6">
      <t>ジ</t>
    </rPh>
    <rPh sb="10" eb="12">
      <t>イライ</t>
    </rPh>
    <phoneticPr fontId="1"/>
  </si>
  <si>
    <t>累計発生</t>
  </si>
  <si>
    <t>累計完了</t>
  </si>
  <si>
    <t>保留</t>
  </si>
  <si>
    <t>残課題</t>
  </si>
  <si>
    <t>PG完了機能数</t>
    <rPh sb="2" eb="4">
      <t>カンリョウ</t>
    </rPh>
    <rPh sb="4" eb="6">
      <t>キノウ</t>
    </rPh>
    <rPh sb="6" eb="7">
      <t>スウ</t>
    </rPh>
    <phoneticPr fontId="1"/>
  </si>
  <si>
    <t>1次レビュー完了</t>
  </si>
  <si>
    <t>2次レビュー依頼</t>
    <rPh sb="6" eb="8">
      <t>イライ</t>
    </rPh>
    <phoneticPr fontId="1"/>
  </si>
  <si>
    <t>2次レビュー完了</t>
    <rPh sb="6" eb="8">
      <t>カンリョウ</t>
    </rPh>
    <phoneticPr fontId="1"/>
  </si>
  <si>
    <t>納品対応（2026年2月）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</si>
  <si>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D_資産管理</t>
  </si>
  <si>
    <t>P_経営管理</t>
  </si>
  <si>
    <t>R_書類管理</t>
  </si>
  <si>
    <t>韓　洪亮</t>
    <phoneticPr fontId="1"/>
  </si>
  <si>
    <t>TOYODATA</t>
    <phoneticPr fontId="1"/>
  </si>
  <si>
    <t xml:space="preserve">■製造（PG対応、ソースレビュー）
　予定通り
■試験表作成（単体テスト仕様書作成＆レビュー）
　予定通り
■試験（単体テスト＆エビデンスレビュー）
　予定通り
</t>
    <phoneticPr fontId="1"/>
  </si>
  <si>
    <t>既存バグ
件数</t>
    <rPh sb="0" eb="2">
      <t>キゾン</t>
    </rPh>
    <rPh sb="5" eb="7">
      <t>ケンスウ</t>
    </rPh>
    <phoneticPr fontId="1"/>
  </si>
  <si>
    <t>原因記入</t>
    <rPh sb="0" eb="4">
      <t>ゲンインキニュウ</t>
    </rPh>
    <phoneticPr fontId="1"/>
  </si>
  <si>
    <t>①勤怠状況（〇：出社、●：テレワーク、△：休暇、▲：夏休、×：病休）
今日：
　●韓　洪亮
　●潘　長緯
明日：
　●韓　洪亮
　●潘　長緯
②その他
　なし</t>
    <phoneticPr fontId="1"/>
  </si>
  <si>
    <r>
      <t>移行チェックACTION、JSP(</t>
    </r>
    <r>
      <rPr>
        <b/>
        <u/>
        <sz val="11"/>
        <color rgb="FFFF0000"/>
        <rFont val="Meiryo UI"/>
        <family val="3"/>
        <charset val="128"/>
      </rPr>
      <t>ver:20260424</t>
    </r>
    <r>
      <rPr>
        <b/>
        <u/>
        <sz val="11"/>
        <color theme="1"/>
        <rFont val="Meiryo UI"/>
        <family val="3"/>
        <charset val="128"/>
      </rPr>
      <t>)</t>
    </r>
    <phoneticPr fontId="1"/>
  </si>
  <si>
    <t>チェック対象</t>
    <rPh sb="4" eb="6">
      <t>タイショウ</t>
    </rPh>
    <phoneticPr fontId="1"/>
  </si>
  <si>
    <t>検出件数</t>
    <phoneticPr fontId="1"/>
  </si>
  <si>
    <t>対応要件数</t>
    <rPh sb="0" eb="2">
      <t>タイオウ</t>
    </rPh>
    <rPh sb="2" eb="3">
      <t>ヨウ</t>
    </rPh>
    <rPh sb="3" eb="5">
      <t>ケンスウ</t>
    </rPh>
    <phoneticPr fontId="1"/>
  </si>
  <si>
    <t>対応不要件数</t>
    <rPh sb="0" eb="2">
      <t>タイオウ</t>
    </rPh>
    <rPh sb="2" eb="4">
      <t>フヨウ</t>
    </rPh>
    <phoneticPr fontId="1"/>
  </si>
  <si>
    <t>対象外件数</t>
    <rPh sb="0" eb="2">
      <t>タイショウ</t>
    </rPh>
    <rPh sb="2" eb="3">
      <t>ガイ</t>
    </rPh>
    <phoneticPr fontId="1"/>
  </si>
  <si>
    <t>対応完了件数</t>
    <rPh sb="0" eb="2">
      <t>タイオウ</t>
    </rPh>
    <rPh sb="2" eb="4">
      <t>カンリョウ</t>
    </rPh>
    <rPh sb="4" eb="6">
      <t>ケンスウ</t>
    </rPh>
    <phoneticPr fontId="1"/>
  </si>
  <si>
    <t>着手中件数</t>
    <rPh sb="0" eb="2">
      <t>チャクシュ</t>
    </rPh>
    <rPh sb="2" eb="3">
      <t>チュウ</t>
    </rPh>
    <rPh sb="3" eb="5">
      <t>ケンスウ</t>
    </rPh>
    <phoneticPr fontId="1"/>
  </si>
  <si>
    <t>未着手件数</t>
    <rPh sb="0" eb="3">
      <t>ミチャクシュ</t>
    </rPh>
    <rPh sb="3" eb="5">
      <t>ケンスウ</t>
    </rPh>
    <phoneticPr fontId="1"/>
  </si>
  <si>
    <t>確認要</t>
    <rPh sb="0" eb="2">
      <t>カクニン</t>
    </rPh>
    <rPh sb="2" eb="3">
      <t>ヨウ</t>
    </rPh>
    <phoneticPr fontId="1"/>
  </si>
  <si>
    <t>FORM</t>
    <phoneticPr fontId="1"/>
  </si>
  <si>
    <t>JSP</t>
    <phoneticPr fontId="1"/>
  </si>
  <si>
    <t>ACTION</t>
    <phoneticPr fontId="1"/>
  </si>
  <si>
    <t xml:space="preserve">■課題
なし。
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</si>
</sst>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2"/>
      <charset val="128"/>
    </font>
    <font>
      <b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Meiryo"/>
      <family val="3"/>
      <charset val="128"/>
    </font>
    <font>
      <sz val="11"/>
      <name val="Meiryo UI"/>
      <family val="3"/>
      <charset val="128"/>
    </font>
    <font>
      <sz val="11"/>
      <color rgb="FF000000"/>
      <name val="游ゴシック"/>
      <family val="2"/>
      <scheme val="minor"/>
    </font>
    <font>
      <b/>
      <sz val="11"/>
      <name val="Meiryo UI"/>
      <family val="3"/>
      <charset val="128"/>
    </font>
    <font>
      <b/>
      <u/>
      <sz val="11"/>
      <color theme="3" tint="0.499984740745262"/>
      <name val="Meiryo UI"/>
      <family val="3"/>
      <charset val="128"/>
    </font>
    <font>
      <b/>
      <u/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u/>
      <sz val="11"/>
      <color rgb="FFFF000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9" fillId="0" borderId="0"/>
    <xf numFmtId="38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</cellStyleXfs>
  <cellXfs count="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9" fontId="0" fillId="4" borderId="1" xfId="1" applyFont="1" applyFill="1" applyBorder="1">
      <alignment vertical="center"/>
    </xf>
    <xf numFmtId="176" fontId="0" fillId="3" borderId="1" xfId="0" applyNumberFormat="1" applyFill="1" applyBorder="1" applyAlignment="1">
      <alignment vertical="center" shrinkToFit="1"/>
    </xf>
    <xf numFmtId="0" fontId="3" fillId="4" borderId="12" xfId="0" applyFont="1" applyFill="1" applyBorder="1">
      <alignment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1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9" fillId="0" borderId="0" xfId="4" applyAlignment="1">
      <alignment vertical="center"/>
    </xf>
    <xf numFmtId="0" fontId="3" fillId="2" borderId="2" xfId="4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shrinkToFit="1"/>
    </xf>
    <xf numFmtId="0" fontId="5" fillId="3" borderId="2" xfId="4" applyFont="1" applyFill="1" applyBorder="1" applyAlignment="1">
      <alignment horizontal="left" vertical="top" shrinkToFit="1"/>
    </xf>
    <xf numFmtId="38" fontId="8" fillId="3" borderId="1" xfId="5" applyFont="1" applyFill="1" applyBorder="1" applyAlignment="1">
      <alignment horizontal="right" vertical="top"/>
    </xf>
    <xf numFmtId="0" fontId="10" fillId="2" borderId="1" xfId="4" applyFont="1" applyFill="1" applyBorder="1" applyAlignment="1">
      <alignment horizontal="center" vertical="center" wrapText="1" shrinkToFit="1"/>
    </xf>
    <xf numFmtId="0" fontId="4" fillId="0" borderId="0" xfId="6" applyFont="1" applyAlignment="1">
      <alignment vertical="center"/>
    </xf>
    <xf numFmtId="0" fontId="3" fillId="2" borderId="1" xfId="6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top"/>
    </xf>
    <xf numFmtId="38" fontId="5" fillId="3" borderId="1" xfId="5" applyFont="1" applyFill="1" applyBorder="1" applyAlignment="1">
      <alignment horizontal="center" vertical="top"/>
    </xf>
    <xf numFmtId="0" fontId="11" fillId="0" borderId="0" xfId="4" applyFont="1" applyAlignment="1">
      <alignment vertical="center"/>
    </xf>
    <xf numFmtId="0" fontId="6" fillId="0" borderId="0" xfId="7" applyAlignment="1">
      <alignment vertical="center"/>
    </xf>
    <xf numFmtId="0" fontId="12" fillId="0" borderId="0" xfId="7" applyFont="1" applyAlignment="1">
      <alignment vertical="center"/>
    </xf>
    <xf numFmtId="0" fontId="4" fillId="0" borderId="0" xfId="7" applyFont="1" applyAlignment="1">
      <alignment vertical="center"/>
    </xf>
    <xf numFmtId="0" fontId="13" fillId="6" borderId="13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vertical="center" shrinkToFit="1"/>
    </xf>
    <xf numFmtId="0" fontId="7" fillId="5" borderId="13" xfId="7" applyFont="1" applyFill="1" applyBorder="1" applyAlignment="1">
      <alignment vertical="center"/>
    </xf>
    <xf numFmtId="0" fontId="7" fillId="7" borderId="13" xfId="7" applyFont="1" applyFill="1" applyBorder="1" applyAlignment="1">
      <alignment vertical="center"/>
    </xf>
    <xf numFmtId="0" fontId="5" fillId="3" borderId="1" xfId="7" applyFont="1" applyFill="1" applyBorder="1" applyAlignment="1">
      <alignment vertical="center"/>
    </xf>
    <xf numFmtId="0" fontId="7" fillId="5" borderId="14" xfId="0" applyFont="1" applyFill="1" applyBorder="1">
      <alignment vertical="center"/>
    </xf>
    <xf numFmtId="0" fontId="7" fillId="5" borderId="13" xfId="0" applyFont="1" applyFill="1" applyBorder="1">
      <alignment vertical="center"/>
    </xf>
    <xf numFmtId="0" fontId="5" fillId="3" borderId="1" xfId="2" applyFont="1" applyFill="1" applyBorder="1" applyAlignment="1">
      <alignment vertical="center"/>
    </xf>
    <xf numFmtId="38" fontId="8" fillId="3" borderId="1" xfId="5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15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5" fillId="3" borderId="2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right" vertical="top"/>
    </xf>
    <xf numFmtId="0" fontId="16" fillId="3" borderId="1" xfId="0" applyFont="1" applyFill="1" applyBorder="1" applyAlignment="1">
      <alignment horizontal="right" vertical="top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left" vertical="top"/>
    </xf>
    <xf numFmtId="0" fontId="8" fillId="3" borderId="7" xfId="0" applyFont="1" applyFill="1" applyBorder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8" fillId="3" borderId="8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</cellXfs>
  <cellStyles count="8">
    <cellStyle name="パーセント" xfId="1" builtinId="5"/>
    <cellStyle name="桁区切り 2" xfId="5" xr:uid="{7D9CDCA4-F5DA-40E9-8CFD-E74229611677}"/>
    <cellStyle name="標準" xfId="0" builtinId="0"/>
    <cellStyle name="標準 3" xfId="3" xr:uid="{46758833-151E-4928-ABDA-D131B8910286}"/>
    <cellStyle name="標準 3 3" xfId="4" xr:uid="{DE717DF6-F527-4BD0-9332-FB16E5726072}"/>
    <cellStyle name="標準 774" xfId="7" xr:uid="{95F7F931-E30F-4B40-B01C-E52622A9C7EB}"/>
    <cellStyle name="標準 775" xfId="6" xr:uid="{6BAEA73A-BA81-4AAC-A98E-C7EAA05D6063}"/>
    <cellStyle name="標準 94" xfId="2" xr:uid="{8B0CFA63-8486-420B-B59C-E9BC0BB81E79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44825</xdr:colOff>
      <xdr:row>0</xdr:row>
      <xdr:rowOff>22411</xdr:rowOff>
    </xdr:from>
    <xdr:to>
      <xdr:col>13</xdr:col>
      <xdr:colOff>762001</xdr:colOff>
      <xdr:row>2</xdr:row>
      <xdr:rowOff>117661</xdr:rowOff>
    </xdr:to>
    <xdr:sp macro="" textlink="">
      <xdr:nvSpPr>
        <xdr:cNvPr id="2" name="テキスト 12">
          <a:extLst>
            <a:ext uri="{FF2B5EF4-FFF2-40B4-BE49-F238E27FC236}">
              <a16:creationId xmlns:a16="http://schemas.microsoft.com/office/drawing/2014/main" id="{ABCCF77E-1C40-4C08-A262-5F320240757F}"/>
            </a:ext>
          </a:extLst>
        </xdr:cNvPr>
        <xdr:cNvSpPr>
          <a:spLocks noChangeArrowheads="1"/>
        </xdr:cNvSpPr>
      </xdr:nvSpPr>
      <xdr:spPr bwMode="auto">
        <a:xfrm>
          <a:off x="44825" y="22411"/>
          <a:ext cx="10400926" cy="4762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54864" tIns="45720" rIns="0" bIns="45720" anchor="ctr" upright="1"/>
        <a:lstStyle/>
        <a:p>
          <a:pPr algn="ctr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SFinX Project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：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Daily Report</a:t>
          </a:r>
          <a:endParaRPr lang="ja-JP" altLang="en-US" sz="1200" b="1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ikoh\T_&#12473;&#12465;&#12472;&#12517;&#12540;&#12523;\MergeTool_v8_WBS%20&#20869;&#37096;&#12481;&#12455;&#12483;&#12463;.xlsm" TargetMode="External"/><Relationship Id="rId1" Type="http://schemas.openxmlformats.org/officeDocument/2006/relationships/externalLinkPath" Target="/eikoh/T_&#12473;&#12465;&#12472;&#12517;&#12540;&#12523;/MergeTool_v8_WBS%20&#20869;&#37096;&#12481;&#12455;&#12483;&#124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MENU"/>
      <sheetName val="Group"/>
      <sheetName val="Schedule"/>
      <sheetName val="TaskList"/>
      <sheetName val="入力誤り"/>
      <sheetName val="着手遅延"/>
      <sheetName val="完了遅延"/>
      <sheetName val="進行遅延"/>
      <sheetName val="DailyReport(Group)"/>
      <sheetName val="From"/>
      <sheetName val="WBS (全体）"/>
      <sheetName val="To"/>
      <sheetName val="WBS (Format）"/>
    </sheetNames>
    <sheetDataSet>
      <sheetData sheetId="0"/>
      <sheetData sheetId="1">
        <row r="4">
          <cell r="H4">
            <v>46114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VwcvrRd2j7f8iIDMO5eieOaRRv7uQC6K" TargetMode="External"/><Relationship Id="rId2" Type="http://schemas.openxmlformats.org/officeDocument/2006/relationships/hyperlink" Target="https://docs.google.com/spreadsheets/d/1Aj2RniEFYQkoBf-zydxpql51WRScka1F" TargetMode="External"/><Relationship Id="rId1" Type="http://schemas.openxmlformats.org/officeDocument/2006/relationships/hyperlink" Target="https://docs.google.com/spreadsheets/d/1BeNm6rwUECDl_xCkfT-QrfqtrsGk23O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EC79-091F-4720-B75B-41F0B2752701}">
  <sheetPr>
    <pageSetUpPr fitToPage="1"/>
  </sheetPr>
  <dimension ref="B4:P70"/>
  <sheetViews>
    <sheetView tabSelected="1" topLeftCell="A25" zoomScale="90" zoomScaleNormal="90" workbookViewId="0">
      <selection activeCell="S34" sqref="S34"/>
    </sheetView>
  </sheetViews>
  <sheetFormatPr defaultRowHeight="15.75"/>
  <cols>
    <col min="1" max="1" width="2.6640625" customWidth="1"/>
    <col min="2" max="2" width="8.33203125" customWidth="1"/>
    <col min="3" max="3" width="9.21875" customWidth="1"/>
    <col min="5" max="5" width="9.77734375" customWidth="1"/>
    <col min="15" max="15" width="2.6640625" customWidth="1"/>
  </cols>
  <sheetData>
    <row r="4" spans="2:14">
      <c r="B4" s="2" t="s">
        <v>20</v>
      </c>
      <c r="C4" s="9">
        <v>46176</v>
      </c>
      <c r="E4" s="2" t="s">
        <v>23</v>
      </c>
      <c r="F4" s="9" t="s">
        <v>64</v>
      </c>
      <c r="H4" s="2" t="s">
        <v>24</v>
      </c>
      <c r="I4" s="9" t="s">
        <v>65</v>
      </c>
    </row>
    <row r="6" spans="2:14">
      <c r="B6" s="2" t="s">
        <v>0</v>
      </c>
    </row>
    <row r="7" spans="2:14" ht="17.649999999999999" customHeight="1">
      <c r="B7" s="43" t="s">
        <v>66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5"/>
    </row>
    <row r="8" spans="2:14" ht="17.649999999999999" customHeight="1"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/>
    </row>
    <row r="9" spans="2:14" ht="17.649999999999999" customHeight="1"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</row>
    <row r="10" spans="2:14" ht="17.649999999999999" customHeight="1"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8"/>
    </row>
    <row r="11" spans="2:14" ht="69" customHeight="1">
      <c r="B11" s="49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</row>
    <row r="12" spans="2:14">
      <c r="B12" s="2"/>
      <c r="E12" s="1" t="s">
        <v>14</v>
      </c>
      <c r="F12" s="1" t="s">
        <v>15</v>
      </c>
      <c r="G12" s="1" t="s">
        <v>16</v>
      </c>
      <c r="H12" s="1" t="s">
        <v>22</v>
      </c>
      <c r="I12" s="1" t="s">
        <v>17</v>
      </c>
      <c r="J12" s="1" t="s">
        <v>25</v>
      </c>
      <c r="K12" s="1" t="s">
        <v>26</v>
      </c>
      <c r="L12" s="1" t="s">
        <v>27</v>
      </c>
      <c r="M12" s="1" t="s">
        <v>31</v>
      </c>
      <c r="N12" s="1" t="s">
        <v>28</v>
      </c>
    </row>
    <row r="13" spans="2:14">
      <c r="B13" s="11" t="s">
        <v>8</v>
      </c>
      <c r="C13" s="12"/>
      <c r="D13" s="13"/>
      <c r="E13" s="4" t="s">
        <v>11</v>
      </c>
      <c r="F13" s="3" t="s">
        <v>29</v>
      </c>
      <c r="G13" s="3" t="s">
        <v>30</v>
      </c>
      <c r="H13" s="3" t="s">
        <v>7</v>
      </c>
      <c r="I13" s="3" t="s">
        <v>12</v>
      </c>
      <c r="J13" s="3" t="s">
        <v>9</v>
      </c>
      <c r="K13" s="3" t="s">
        <v>10</v>
      </c>
      <c r="L13" s="3" t="s">
        <v>7</v>
      </c>
      <c r="M13" s="3" t="s">
        <v>12</v>
      </c>
      <c r="N13" s="3" t="s">
        <v>13</v>
      </c>
    </row>
    <row r="14" spans="2:14" ht="18.75">
      <c r="B14" s="6" t="s">
        <v>1</v>
      </c>
      <c r="C14" s="10"/>
      <c r="D14" s="7"/>
      <c r="E14" s="33">
        <v>90</v>
      </c>
      <c r="F14" s="34">
        <v>90</v>
      </c>
      <c r="G14" s="34">
        <v>90</v>
      </c>
      <c r="H14" s="5">
        <f t="shared" ref="H14:H19" si="0">G14-F14</f>
        <v>0</v>
      </c>
      <c r="I14" s="8">
        <f t="shared" ref="I14:I19" si="1">G14/F14</f>
        <v>1</v>
      </c>
      <c r="J14" s="35">
        <v>90</v>
      </c>
      <c r="K14" s="35">
        <v>90</v>
      </c>
      <c r="L14" s="5">
        <f t="shared" ref="L14:L19" si="2">K14-J14</f>
        <v>0</v>
      </c>
      <c r="M14" s="8">
        <f t="shared" ref="M14:M19" si="3">K14/J14</f>
        <v>1</v>
      </c>
      <c r="N14" s="8">
        <f t="shared" ref="N14:N19" si="4">K14/E14</f>
        <v>1</v>
      </c>
    </row>
    <row r="15" spans="2:14" ht="18.75">
      <c r="B15" s="6" t="s">
        <v>2</v>
      </c>
      <c r="C15" s="10"/>
      <c r="D15" s="7"/>
      <c r="E15" s="33">
        <v>140</v>
      </c>
      <c r="F15" s="34">
        <v>140</v>
      </c>
      <c r="G15" s="34">
        <v>140</v>
      </c>
      <c r="H15" s="5">
        <f t="shared" si="0"/>
        <v>0</v>
      </c>
      <c r="I15" s="8">
        <f t="shared" si="1"/>
        <v>1</v>
      </c>
      <c r="J15" s="35">
        <v>140</v>
      </c>
      <c r="K15" s="35">
        <v>140</v>
      </c>
      <c r="L15" s="5">
        <f t="shared" si="2"/>
        <v>0</v>
      </c>
      <c r="M15" s="8">
        <f t="shared" si="3"/>
        <v>1</v>
      </c>
      <c r="N15" s="8">
        <f t="shared" si="4"/>
        <v>1</v>
      </c>
    </row>
    <row r="16" spans="2:14" ht="18.75">
      <c r="B16" s="6" t="s">
        <v>3</v>
      </c>
      <c r="C16" s="10"/>
      <c r="D16" s="7"/>
      <c r="E16" s="33">
        <v>90</v>
      </c>
      <c r="F16" s="34">
        <v>90</v>
      </c>
      <c r="G16" s="34">
        <v>90</v>
      </c>
      <c r="H16" s="5">
        <f t="shared" si="0"/>
        <v>0</v>
      </c>
      <c r="I16" s="8">
        <f t="shared" si="1"/>
        <v>1</v>
      </c>
      <c r="J16" s="35">
        <v>90</v>
      </c>
      <c r="K16" s="35">
        <v>90</v>
      </c>
      <c r="L16" s="5">
        <f t="shared" si="2"/>
        <v>0</v>
      </c>
      <c r="M16" s="8">
        <f t="shared" si="3"/>
        <v>1</v>
      </c>
      <c r="N16" s="8">
        <f t="shared" si="4"/>
        <v>1</v>
      </c>
    </row>
    <row r="17" spans="2:16" ht="18.75">
      <c r="B17" s="6" t="s">
        <v>4</v>
      </c>
      <c r="C17" s="10"/>
      <c r="D17" s="7"/>
      <c r="E17" s="33">
        <v>140</v>
      </c>
      <c r="F17" s="34">
        <v>140</v>
      </c>
      <c r="G17" s="34">
        <v>140</v>
      </c>
      <c r="H17" s="5">
        <f t="shared" si="0"/>
        <v>0</v>
      </c>
      <c r="I17" s="8">
        <f t="shared" si="1"/>
        <v>1</v>
      </c>
      <c r="J17" s="35">
        <v>140</v>
      </c>
      <c r="K17" s="35">
        <v>140</v>
      </c>
      <c r="L17" s="5">
        <f t="shared" si="2"/>
        <v>0</v>
      </c>
      <c r="M17" s="8">
        <f t="shared" si="3"/>
        <v>1</v>
      </c>
      <c r="N17" s="8">
        <f t="shared" si="4"/>
        <v>1</v>
      </c>
    </row>
    <row r="18" spans="2:16" ht="18.75">
      <c r="B18" s="6" t="s">
        <v>5</v>
      </c>
      <c r="C18" s="10"/>
      <c r="D18" s="7"/>
      <c r="E18" s="33">
        <v>90</v>
      </c>
      <c r="F18" s="34">
        <v>90</v>
      </c>
      <c r="G18" s="34">
        <v>90</v>
      </c>
      <c r="H18" s="5">
        <f t="shared" si="0"/>
        <v>0</v>
      </c>
      <c r="I18" s="8">
        <f t="shared" si="1"/>
        <v>1</v>
      </c>
      <c r="J18" s="35">
        <v>90</v>
      </c>
      <c r="K18" s="35">
        <v>90</v>
      </c>
      <c r="L18" s="5">
        <f t="shared" si="2"/>
        <v>0</v>
      </c>
      <c r="M18" s="8">
        <f t="shared" si="3"/>
        <v>1</v>
      </c>
      <c r="N18" s="8">
        <f t="shared" si="4"/>
        <v>1</v>
      </c>
    </row>
    <row r="19" spans="2:16" ht="18.75">
      <c r="B19" s="6" t="s">
        <v>6</v>
      </c>
      <c r="C19" s="10"/>
      <c r="D19" s="7"/>
      <c r="E19" s="33">
        <v>140</v>
      </c>
      <c r="F19" s="34">
        <v>140</v>
      </c>
      <c r="G19" s="34">
        <v>140</v>
      </c>
      <c r="H19" s="5">
        <f t="shared" si="0"/>
        <v>0</v>
      </c>
      <c r="I19" s="8">
        <f t="shared" si="1"/>
        <v>1</v>
      </c>
      <c r="J19" s="35">
        <v>140</v>
      </c>
      <c r="K19" s="35">
        <v>140</v>
      </c>
      <c r="L19" s="5">
        <f t="shared" si="2"/>
        <v>0</v>
      </c>
      <c r="M19" s="8">
        <f t="shared" si="3"/>
        <v>1</v>
      </c>
      <c r="N19" s="8">
        <f t="shared" si="4"/>
        <v>1</v>
      </c>
    </row>
    <row r="21" spans="2:16" ht="18.75">
      <c r="B21" s="24" t="s">
        <v>60</v>
      </c>
      <c r="C21" s="14"/>
      <c r="D21" s="14"/>
      <c r="E21" s="14"/>
      <c r="F21" s="14"/>
      <c r="G21" s="20" t="s">
        <v>41</v>
      </c>
      <c r="J21" s="20" t="s">
        <v>34</v>
      </c>
      <c r="M21" s="20" t="s">
        <v>43</v>
      </c>
    </row>
    <row r="22" spans="2:16" ht="31.5">
      <c r="B22" s="15" t="s">
        <v>33</v>
      </c>
      <c r="C22" s="16" t="s">
        <v>36</v>
      </c>
      <c r="D22" s="16" t="s">
        <v>38</v>
      </c>
      <c r="E22" s="19" t="s">
        <v>37</v>
      </c>
      <c r="F22" s="19" t="s">
        <v>67</v>
      </c>
      <c r="G22" s="21" t="s">
        <v>44</v>
      </c>
      <c r="H22" s="21" t="s">
        <v>42</v>
      </c>
      <c r="J22" s="21" t="s">
        <v>35</v>
      </c>
      <c r="K22" s="21" t="s">
        <v>32</v>
      </c>
      <c r="M22" s="21" t="s">
        <v>35</v>
      </c>
      <c r="N22" s="21" t="s">
        <v>32</v>
      </c>
    </row>
    <row r="23" spans="2:16">
      <c r="B23" s="17" t="s">
        <v>45</v>
      </c>
      <c r="C23" s="23">
        <v>2</v>
      </c>
      <c r="D23" s="36">
        <v>539</v>
      </c>
      <c r="E23" s="23">
        <v>0</v>
      </c>
      <c r="F23" s="23">
        <v>0</v>
      </c>
      <c r="G23" s="22">
        <v>2</v>
      </c>
      <c r="H23" s="22">
        <v>2</v>
      </c>
      <c r="J23" s="22"/>
      <c r="K23" s="22"/>
      <c r="M23" s="22">
        <v>12</v>
      </c>
      <c r="N23" s="22">
        <v>12</v>
      </c>
    </row>
    <row r="24" spans="2:16">
      <c r="B24" s="17" t="s">
        <v>61</v>
      </c>
      <c r="C24" s="23">
        <v>7</v>
      </c>
      <c r="D24" s="36">
        <v>3558</v>
      </c>
      <c r="E24" s="23">
        <v>5</v>
      </c>
      <c r="F24" s="23">
        <v>0</v>
      </c>
      <c r="G24" s="22">
        <v>6</v>
      </c>
      <c r="H24" s="22">
        <v>6</v>
      </c>
      <c r="J24" s="22"/>
      <c r="K24" s="22"/>
      <c r="M24" s="22">
        <v>1</v>
      </c>
      <c r="N24" s="22">
        <v>1</v>
      </c>
      <c r="P24" t="s">
        <v>68</v>
      </c>
    </row>
    <row r="25" spans="2:16">
      <c r="B25" s="17" t="s">
        <v>62</v>
      </c>
      <c r="C25" s="23">
        <v>6</v>
      </c>
      <c r="D25" s="36">
        <v>526</v>
      </c>
      <c r="E25" s="23">
        <v>1</v>
      </c>
      <c r="F25" s="23">
        <v>0</v>
      </c>
      <c r="G25" s="22">
        <v>6</v>
      </c>
      <c r="H25" s="22">
        <v>6</v>
      </c>
      <c r="J25" s="22"/>
      <c r="K25" s="22"/>
      <c r="M25" s="22"/>
      <c r="N25" s="22"/>
    </row>
    <row r="26" spans="2:16">
      <c r="B26" s="17" t="s">
        <v>63</v>
      </c>
      <c r="C26" s="23">
        <v>0</v>
      </c>
      <c r="D26" s="36">
        <v>0</v>
      </c>
      <c r="E26" s="23">
        <v>0</v>
      </c>
      <c r="F26" s="23">
        <v>0</v>
      </c>
      <c r="G26" s="22">
        <v>0</v>
      </c>
      <c r="H26" s="22">
        <v>0</v>
      </c>
      <c r="J26" s="22"/>
      <c r="K26" s="22"/>
      <c r="M26" s="22"/>
      <c r="N26" s="22"/>
    </row>
    <row r="28" spans="2:16" ht="18.75">
      <c r="B28" s="24" t="s">
        <v>39</v>
      </c>
      <c r="C28" s="14"/>
      <c r="D28" s="14"/>
      <c r="E28" s="14"/>
      <c r="F28" s="14"/>
      <c r="G28" s="20" t="s">
        <v>41</v>
      </c>
      <c r="J28" s="20" t="s">
        <v>34</v>
      </c>
      <c r="M28" s="20" t="s">
        <v>43</v>
      </c>
    </row>
    <row r="29" spans="2:16" ht="31.5">
      <c r="B29" s="15" t="s">
        <v>33</v>
      </c>
      <c r="C29" s="16" t="s">
        <v>36</v>
      </c>
      <c r="D29" s="16" t="s">
        <v>38</v>
      </c>
      <c r="E29" s="19" t="s">
        <v>37</v>
      </c>
      <c r="F29" s="19" t="s">
        <v>67</v>
      </c>
      <c r="G29" s="21" t="s">
        <v>44</v>
      </c>
      <c r="H29" s="21" t="s">
        <v>42</v>
      </c>
      <c r="J29" s="21" t="s">
        <v>35</v>
      </c>
      <c r="K29" s="21" t="s">
        <v>32</v>
      </c>
      <c r="M29" s="21" t="s">
        <v>35</v>
      </c>
      <c r="N29" s="21" t="s">
        <v>32</v>
      </c>
    </row>
    <row r="30" spans="2:16">
      <c r="B30" s="17" t="s">
        <v>45</v>
      </c>
      <c r="C30" s="23">
        <v>5</v>
      </c>
      <c r="D30" s="36">
        <v>4953</v>
      </c>
      <c r="E30" s="23">
        <v>6</v>
      </c>
      <c r="F30" s="23">
        <v>0</v>
      </c>
      <c r="G30" s="22">
        <v>5</v>
      </c>
      <c r="H30" s="22">
        <v>5</v>
      </c>
      <c r="J30" s="22">
        <v>21</v>
      </c>
      <c r="K30" s="22">
        <v>21</v>
      </c>
      <c r="M30" s="22">
        <v>3</v>
      </c>
      <c r="N30" s="22">
        <v>3</v>
      </c>
    </row>
    <row r="31" spans="2:16">
      <c r="B31" s="17" t="s">
        <v>46</v>
      </c>
      <c r="C31" s="23">
        <v>9</v>
      </c>
      <c r="D31" s="36">
        <v>1731</v>
      </c>
      <c r="E31" s="23">
        <v>2</v>
      </c>
      <c r="F31" s="23">
        <v>0</v>
      </c>
      <c r="G31" s="22">
        <v>9</v>
      </c>
      <c r="H31" s="22">
        <v>9</v>
      </c>
      <c r="J31" s="22">
        <v>62</v>
      </c>
      <c r="K31" s="22">
        <v>62</v>
      </c>
      <c r="M31" s="22">
        <v>0</v>
      </c>
      <c r="N31" s="22">
        <v>0</v>
      </c>
    </row>
    <row r="32" spans="2:16">
      <c r="B32" s="17"/>
      <c r="C32" s="23"/>
      <c r="D32" s="36"/>
      <c r="E32" s="23"/>
      <c r="F32" s="23"/>
      <c r="G32" s="22"/>
      <c r="H32" s="22"/>
      <c r="J32" s="22"/>
      <c r="K32" s="22"/>
      <c r="M32" s="22"/>
      <c r="N32" s="22"/>
    </row>
    <row r="33" spans="2:14">
      <c r="B33" s="17"/>
      <c r="C33" s="23"/>
      <c r="D33" s="36"/>
      <c r="E33" s="23"/>
      <c r="F33" s="23"/>
      <c r="G33" s="22"/>
      <c r="H33" s="22"/>
      <c r="J33" s="22"/>
      <c r="K33" s="22"/>
      <c r="M33" s="22"/>
      <c r="N33" s="22"/>
    </row>
    <row r="35" spans="2:14" ht="18.75">
      <c r="B35" s="24" t="s">
        <v>40</v>
      </c>
      <c r="C35" s="14"/>
      <c r="D35" s="14"/>
      <c r="E35" s="14"/>
      <c r="F35" s="14"/>
      <c r="G35" s="20" t="s">
        <v>41</v>
      </c>
      <c r="J35" s="20" t="s">
        <v>34</v>
      </c>
      <c r="M35" s="20" t="s">
        <v>43</v>
      </c>
    </row>
    <row r="36" spans="2:14" ht="31.5">
      <c r="B36" s="15" t="s">
        <v>33</v>
      </c>
      <c r="C36" s="16" t="s">
        <v>36</v>
      </c>
      <c r="D36" s="16" t="s">
        <v>38</v>
      </c>
      <c r="E36" s="19" t="s">
        <v>37</v>
      </c>
      <c r="F36" s="19" t="s">
        <v>67</v>
      </c>
      <c r="G36" s="21" t="s">
        <v>44</v>
      </c>
      <c r="H36" s="21" t="s">
        <v>42</v>
      </c>
      <c r="J36" s="21" t="s">
        <v>35</v>
      </c>
      <c r="K36" s="21" t="s">
        <v>32</v>
      </c>
      <c r="M36" s="21" t="s">
        <v>35</v>
      </c>
      <c r="N36" s="21" t="s">
        <v>32</v>
      </c>
    </row>
    <row r="37" spans="2:14">
      <c r="B37" s="17" t="s">
        <v>47</v>
      </c>
      <c r="C37" s="23">
        <v>3</v>
      </c>
      <c r="D37" s="36">
        <v>4402</v>
      </c>
      <c r="E37" s="23">
        <v>3</v>
      </c>
      <c r="F37" s="23">
        <v>0</v>
      </c>
      <c r="G37" s="22">
        <v>3</v>
      </c>
      <c r="H37" s="22">
        <v>3</v>
      </c>
      <c r="J37" s="22">
        <v>15</v>
      </c>
      <c r="K37" s="22">
        <v>15</v>
      </c>
      <c r="M37" s="22">
        <v>0</v>
      </c>
      <c r="N37" s="22">
        <v>0</v>
      </c>
    </row>
    <row r="38" spans="2:14">
      <c r="B38" s="17" t="s">
        <v>48</v>
      </c>
      <c r="C38" s="23">
        <v>1</v>
      </c>
      <c r="D38" s="23">
        <v>473</v>
      </c>
      <c r="E38" s="23">
        <v>0</v>
      </c>
      <c r="F38" s="23">
        <v>0</v>
      </c>
      <c r="G38" s="22">
        <v>1</v>
      </c>
      <c r="H38" s="22">
        <v>1</v>
      </c>
      <c r="J38" s="22">
        <v>52</v>
      </c>
      <c r="K38" s="22">
        <v>52</v>
      </c>
      <c r="M38" s="22">
        <v>1</v>
      </c>
      <c r="N38" s="22">
        <v>1</v>
      </c>
    </row>
    <row r="39" spans="2:14">
      <c r="B39" s="17" t="s">
        <v>49</v>
      </c>
      <c r="C39" s="23">
        <v>1</v>
      </c>
      <c r="D39" s="36">
        <v>239</v>
      </c>
      <c r="E39" s="23">
        <v>0</v>
      </c>
      <c r="F39" s="23">
        <v>0</v>
      </c>
      <c r="G39" s="22">
        <v>1</v>
      </c>
      <c r="H39" s="22">
        <v>1</v>
      </c>
      <c r="J39" s="22">
        <v>2</v>
      </c>
      <c r="K39" s="22">
        <v>2</v>
      </c>
      <c r="M39" s="22">
        <v>0</v>
      </c>
      <c r="N39" s="22">
        <v>0</v>
      </c>
    </row>
    <row r="40" spans="2:14">
      <c r="B40" s="17"/>
      <c r="C40" s="23"/>
      <c r="D40" s="18"/>
      <c r="E40" s="23"/>
      <c r="F40" s="23"/>
      <c r="G40" s="22"/>
      <c r="H40" s="22"/>
      <c r="J40" s="22"/>
      <c r="K40" s="22"/>
      <c r="M40" s="22"/>
      <c r="N40" s="22"/>
    </row>
    <row r="42" spans="2:14">
      <c r="B42" s="2" t="s">
        <v>70</v>
      </c>
    </row>
    <row r="43" spans="2:14">
      <c r="B43" s="37" t="s">
        <v>71</v>
      </c>
      <c r="C43" s="13" t="s">
        <v>72</v>
      </c>
      <c r="D43" s="38" t="s">
        <v>73</v>
      </c>
      <c r="E43" s="39" t="s">
        <v>74</v>
      </c>
      <c r="F43" s="39" t="s">
        <v>75</v>
      </c>
      <c r="G43" s="39" t="s">
        <v>76</v>
      </c>
      <c r="H43" s="39" t="s">
        <v>77</v>
      </c>
      <c r="I43" s="39" t="s">
        <v>78</v>
      </c>
      <c r="J43" s="38" t="s">
        <v>79</v>
      </c>
    </row>
    <row r="44" spans="2:14">
      <c r="B44" s="40" t="s">
        <v>80</v>
      </c>
      <c r="C44" s="40">
        <v>3</v>
      </c>
      <c r="D44" s="41">
        <v>0</v>
      </c>
      <c r="E44" s="41">
        <v>3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</row>
    <row r="45" spans="2:14">
      <c r="B45" s="40" t="s">
        <v>81</v>
      </c>
      <c r="C45" s="40">
        <v>36</v>
      </c>
      <c r="D45" s="41">
        <v>0</v>
      </c>
      <c r="E45" s="41">
        <v>36</v>
      </c>
      <c r="F45" s="41">
        <v>0</v>
      </c>
      <c r="G45" s="41">
        <v>0</v>
      </c>
      <c r="H45" s="41">
        <v>0</v>
      </c>
      <c r="I45" s="41">
        <v>0</v>
      </c>
      <c r="J45" s="42">
        <v>0</v>
      </c>
    </row>
    <row r="46" spans="2:14">
      <c r="B46" s="40" t="s">
        <v>82</v>
      </c>
      <c r="C46" s="40">
        <v>38</v>
      </c>
      <c r="D46" s="41">
        <v>0</v>
      </c>
      <c r="E46" s="41">
        <v>38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</row>
    <row r="48" spans="2:14" s="25" customFormat="1" ht="15.75" customHeight="1">
      <c r="B48" s="26" t="s">
        <v>50</v>
      </c>
      <c r="I48" s="27" t="s">
        <v>51</v>
      </c>
    </row>
    <row r="49" spans="2:14" s="25" customFormat="1" ht="15.75" customHeight="1">
      <c r="C49" s="28" t="s">
        <v>52</v>
      </c>
      <c r="D49" s="28" t="s">
        <v>53</v>
      </c>
      <c r="E49" s="28" t="s">
        <v>54</v>
      </c>
      <c r="F49" s="28" t="s">
        <v>55</v>
      </c>
      <c r="J49" s="29" t="s">
        <v>56</v>
      </c>
      <c r="K49" s="29" t="s">
        <v>57</v>
      </c>
      <c r="L49" s="29" t="s">
        <v>58</v>
      </c>
      <c r="M49" s="29" t="s">
        <v>59</v>
      </c>
    </row>
    <row r="50" spans="2:14" s="25" customFormat="1" ht="15.75" customHeight="1">
      <c r="C50" s="30">
        <v>22</v>
      </c>
      <c r="D50" s="30">
        <v>22</v>
      </c>
      <c r="E50" s="30">
        <v>0</v>
      </c>
      <c r="F50" s="31">
        <v>0</v>
      </c>
      <c r="J50" s="32">
        <v>60</v>
      </c>
      <c r="K50" s="32">
        <v>60</v>
      </c>
      <c r="L50" s="32">
        <v>60</v>
      </c>
      <c r="M50" s="32">
        <v>60</v>
      </c>
    </row>
    <row r="51" spans="2:14" s="25" customFormat="1" ht="15.75" customHeight="1"/>
    <row r="52" spans="2:14">
      <c r="B52" s="2" t="s">
        <v>18</v>
      </c>
      <c r="I52" s="2" t="s">
        <v>19</v>
      </c>
    </row>
    <row r="53" spans="2:14">
      <c r="B53" s="52" t="s">
        <v>83</v>
      </c>
      <c r="C53" s="53"/>
      <c r="D53" s="53"/>
      <c r="E53" s="53"/>
      <c r="F53" s="53"/>
      <c r="G53" s="54"/>
      <c r="I53" s="61" t="s">
        <v>69</v>
      </c>
      <c r="J53" s="62"/>
      <c r="K53" s="62"/>
      <c r="L53" s="62"/>
      <c r="M53" s="62"/>
      <c r="N53" s="63"/>
    </row>
    <row r="54" spans="2:14">
      <c r="B54" s="55"/>
      <c r="C54" s="56"/>
      <c r="D54" s="56"/>
      <c r="E54" s="56"/>
      <c r="F54" s="56"/>
      <c r="G54" s="57"/>
      <c r="I54" s="64"/>
      <c r="J54" s="65"/>
      <c r="K54" s="65"/>
      <c r="L54" s="65"/>
      <c r="M54" s="65"/>
      <c r="N54" s="66"/>
    </row>
    <row r="55" spans="2:14">
      <c r="B55" s="55"/>
      <c r="C55" s="56"/>
      <c r="D55" s="56"/>
      <c r="E55" s="56"/>
      <c r="F55" s="56"/>
      <c r="G55" s="57"/>
      <c r="I55" s="64"/>
      <c r="J55" s="65"/>
      <c r="K55" s="65"/>
      <c r="L55" s="65"/>
      <c r="M55" s="65"/>
      <c r="N55" s="66"/>
    </row>
    <row r="56" spans="2:14">
      <c r="B56" s="55"/>
      <c r="C56" s="56"/>
      <c r="D56" s="56"/>
      <c r="E56" s="56"/>
      <c r="F56" s="56"/>
      <c r="G56" s="57"/>
      <c r="I56" s="64"/>
      <c r="J56" s="65"/>
      <c r="K56" s="65"/>
      <c r="L56" s="65"/>
      <c r="M56" s="65"/>
      <c r="N56" s="66"/>
    </row>
    <row r="57" spans="2:14">
      <c r="B57" s="55"/>
      <c r="C57" s="56"/>
      <c r="D57" s="56"/>
      <c r="E57" s="56"/>
      <c r="F57" s="56"/>
      <c r="G57" s="57"/>
      <c r="I57" s="64"/>
      <c r="J57" s="65"/>
      <c r="K57" s="65"/>
      <c r="L57" s="65"/>
      <c r="M57" s="65"/>
      <c r="N57" s="66"/>
    </row>
    <row r="58" spans="2:14">
      <c r="B58" s="55"/>
      <c r="C58" s="56"/>
      <c r="D58" s="56"/>
      <c r="E58" s="56"/>
      <c r="F58" s="56"/>
      <c r="G58" s="57"/>
      <c r="I58" s="64"/>
      <c r="J58" s="65"/>
      <c r="K58" s="65"/>
      <c r="L58" s="65"/>
      <c r="M58" s="65"/>
      <c r="N58" s="66"/>
    </row>
    <row r="59" spans="2:14">
      <c r="B59" s="55"/>
      <c r="C59" s="56"/>
      <c r="D59" s="56"/>
      <c r="E59" s="56"/>
      <c r="F59" s="56"/>
      <c r="G59" s="57"/>
      <c r="I59" s="64"/>
      <c r="J59" s="65"/>
      <c r="K59" s="65"/>
      <c r="L59" s="65"/>
      <c r="M59" s="65"/>
      <c r="N59" s="66"/>
    </row>
    <row r="60" spans="2:14">
      <c r="B60" s="55"/>
      <c r="C60" s="56"/>
      <c r="D60" s="56"/>
      <c r="E60" s="56"/>
      <c r="F60" s="56"/>
      <c r="G60" s="57"/>
      <c r="I60" s="64"/>
      <c r="J60" s="65"/>
      <c r="K60" s="65"/>
      <c r="L60" s="65"/>
      <c r="M60" s="65"/>
      <c r="N60" s="66"/>
    </row>
    <row r="61" spans="2:14">
      <c r="B61" s="55"/>
      <c r="C61" s="56"/>
      <c r="D61" s="56"/>
      <c r="E61" s="56"/>
      <c r="F61" s="56"/>
      <c r="G61" s="57"/>
      <c r="I61" s="64"/>
      <c r="J61" s="65"/>
      <c r="K61" s="65"/>
      <c r="L61" s="65"/>
      <c r="M61" s="65"/>
      <c r="N61" s="66"/>
    </row>
    <row r="62" spans="2:14">
      <c r="B62" s="55"/>
      <c r="C62" s="56"/>
      <c r="D62" s="56"/>
      <c r="E62" s="56"/>
      <c r="F62" s="56"/>
      <c r="G62" s="57"/>
      <c r="I62" s="64"/>
      <c r="J62" s="65"/>
      <c r="K62" s="65"/>
      <c r="L62" s="65"/>
      <c r="M62" s="65"/>
      <c r="N62" s="66"/>
    </row>
    <row r="63" spans="2:14">
      <c r="B63" s="55"/>
      <c r="C63" s="56"/>
      <c r="D63" s="56"/>
      <c r="E63" s="56"/>
      <c r="F63" s="56"/>
      <c r="G63" s="57"/>
      <c r="I63" s="64"/>
      <c r="J63" s="65"/>
      <c r="K63" s="65"/>
      <c r="L63" s="65"/>
      <c r="M63" s="65"/>
      <c r="N63" s="66"/>
    </row>
    <row r="64" spans="2:14">
      <c r="B64" s="55"/>
      <c r="C64" s="56"/>
      <c r="D64" s="56"/>
      <c r="E64" s="56"/>
      <c r="F64" s="56"/>
      <c r="G64" s="57"/>
      <c r="I64" s="64"/>
      <c r="J64" s="65"/>
      <c r="K64" s="65"/>
      <c r="L64" s="65"/>
      <c r="M64" s="65"/>
      <c r="N64" s="66"/>
    </row>
    <row r="65" spans="2:15">
      <c r="B65" s="55"/>
      <c r="C65" s="56"/>
      <c r="D65" s="56"/>
      <c r="E65" s="56"/>
      <c r="F65" s="56"/>
      <c r="G65" s="57"/>
      <c r="I65" s="64"/>
      <c r="J65" s="65"/>
      <c r="K65" s="65"/>
      <c r="L65" s="65"/>
      <c r="M65" s="65"/>
      <c r="N65" s="66"/>
    </row>
    <row r="66" spans="2:15">
      <c r="B66" s="55"/>
      <c r="C66" s="56"/>
      <c r="D66" s="56"/>
      <c r="E66" s="56"/>
      <c r="F66" s="56"/>
      <c r="G66" s="57"/>
      <c r="I66" s="64"/>
      <c r="J66" s="65"/>
      <c r="K66" s="65"/>
      <c r="L66" s="65"/>
      <c r="M66" s="65"/>
      <c r="N66" s="66"/>
    </row>
    <row r="67" spans="2:15">
      <c r="B67" s="55"/>
      <c r="C67" s="56"/>
      <c r="D67" s="56"/>
      <c r="E67" s="56"/>
      <c r="F67" s="56"/>
      <c r="G67" s="57"/>
      <c r="I67" s="64"/>
      <c r="J67" s="65"/>
      <c r="K67" s="65"/>
      <c r="L67" s="65"/>
      <c r="M67" s="65"/>
      <c r="N67" s="66"/>
    </row>
    <row r="68" spans="2:15">
      <c r="B68" s="55"/>
      <c r="C68" s="56"/>
      <c r="D68" s="56"/>
      <c r="E68" s="56"/>
      <c r="F68" s="56"/>
      <c r="G68" s="57"/>
      <c r="I68" s="64"/>
      <c r="J68" s="65"/>
      <c r="K68" s="65"/>
      <c r="L68" s="65"/>
      <c r="M68" s="65"/>
      <c r="N68" s="66"/>
    </row>
    <row r="69" spans="2:15" ht="14.65" customHeight="1">
      <c r="B69" s="58"/>
      <c r="C69" s="59"/>
      <c r="D69" s="59"/>
      <c r="E69" s="59"/>
      <c r="F69" s="59"/>
      <c r="G69" s="60"/>
      <c r="I69" s="67"/>
      <c r="J69" s="68"/>
      <c r="K69" s="68"/>
      <c r="L69" s="68"/>
      <c r="M69" s="68"/>
      <c r="N69" s="69"/>
    </row>
    <row r="70" spans="2:15">
      <c r="N70" s="1" t="s">
        <v>21</v>
      </c>
      <c r="O70" s="1"/>
    </row>
  </sheetData>
  <mergeCells count="3">
    <mergeCell ref="B7:N11"/>
    <mergeCell ref="B53:G69"/>
    <mergeCell ref="I53:N69"/>
  </mergeCells>
  <phoneticPr fontId="1"/>
  <conditionalFormatting sqref="E23:E26">
    <cfRule type="expression" dxfId="11" priority="16">
      <formula>AND(D23&lt;&gt;0,E23/D23&lt;0.001)</formula>
    </cfRule>
  </conditionalFormatting>
  <conditionalFormatting sqref="E30:E33">
    <cfRule type="expression" dxfId="10" priority="12">
      <formula>AND(D30&lt;&gt;0,E30/D30&lt;0.001)</formula>
    </cfRule>
  </conditionalFormatting>
  <conditionalFormatting sqref="E37:E40">
    <cfRule type="expression" dxfId="9" priority="11">
      <formula>AND(D37&lt;&gt;0,E37/D37&lt;0.001)</formula>
    </cfRule>
  </conditionalFormatting>
  <conditionalFormatting sqref="H23:H26">
    <cfRule type="expression" dxfId="8" priority="19">
      <formula>H23&lt;&gt;G23</formula>
    </cfRule>
  </conditionalFormatting>
  <conditionalFormatting sqref="H30:H33">
    <cfRule type="expression" dxfId="7" priority="15">
      <formula>H30&lt;&gt;G30</formula>
    </cfRule>
  </conditionalFormatting>
  <conditionalFormatting sqref="H37:H40">
    <cfRule type="expression" dxfId="6" priority="10">
      <formula>H37&lt;&gt;G37</formula>
    </cfRule>
  </conditionalFormatting>
  <conditionalFormatting sqref="K23:K26">
    <cfRule type="expression" dxfId="5" priority="18">
      <formula>K23&lt;&gt;J23</formula>
    </cfRule>
  </conditionalFormatting>
  <conditionalFormatting sqref="K30:K33">
    <cfRule type="expression" dxfId="4" priority="14">
      <formula>K30&lt;&gt;J30</formula>
    </cfRule>
  </conditionalFormatting>
  <conditionalFormatting sqref="K37:K40">
    <cfRule type="expression" dxfId="3" priority="9">
      <formula>K37&lt;&gt;J37</formula>
    </cfRule>
  </conditionalFormatting>
  <conditionalFormatting sqref="N23:N26">
    <cfRule type="expression" dxfId="2" priority="17">
      <formula>N23&lt;&gt;M23</formula>
    </cfRule>
  </conditionalFormatting>
  <conditionalFormatting sqref="N30:N33">
    <cfRule type="expression" dxfId="1" priority="13">
      <formula>N30&lt;&gt;M30</formula>
    </cfRule>
  </conditionalFormatting>
  <conditionalFormatting sqref="N37:N40">
    <cfRule type="expression" dxfId="0" priority="8">
      <formula>N37&lt;&gt;M37</formula>
    </cfRule>
  </conditionalFormatting>
  <hyperlinks>
    <hyperlink ref="B28" r:id="rId1" xr:uid="{03A3D2EE-17B9-4BD1-8016-D91063D6C23D}"/>
    <hyperlink ref="B35" r:id="rId2" xr:uid="{7809A6F0-988E-4943-B0DF-A409F197308F}"/>
    <hyperlink ref="B21" r:id="rId3" xr:uid="{70AD52C4-99BE-4246-BAEC-0DE7F99C7DB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20260603</vt:lpstr>
      <vt:lpstr>'20260603'!Print_Area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t78006</dc:creator>
  <cp:lastModifiedBy>GEEKS TOYODATA</cp:lastModifiedBy>
  <cp:lastPrinted>2025-11-17T04:57:35Z</cp:lastPrinted>
  <dcterms:created xsi:type="dcterms:W3CDTF">2025-06-05T07:29:05Z</dcterms:created>
  <dcterms:modified xsi:type="dcterms:W3CDTF">2026-06-03T06:25:58Z</dcterms:modified>
</cp:coreProperties>
</file>