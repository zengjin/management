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lumx\Documents\Projects\SFinX\作業報告書\2026年\作業報告書9月\"/>
    </mc:Choice>
  </mc:AlternateContent>
  <xr:revisionPtr revIDLastSave="0" documentId="13_ncr:1_{94B3AA71-702D-491A-90CF-97B1AA40240D}" xr6:coauthVersionLast="47" xr6:coauthVersionMax="47" xr10:uidLastSave="{00000000-0000-0000-0000-000000000000}"/>
  <bookViews>
    <workbookView xWindow="-108" yWindow="-108" windowWidth="23256" windowHeight="12456" tabRatio="932" activeTab="1" xr2:uid="{6E21178B-1DDD-4DF3-93B0-5A3D1CDF56EE}"/>
  </bookViews>
  <sheets>
    <sheet name="HISTORY" sheetId="2" r:id="rId1"/>
    <sheet name="MENU" sheetId="1" r:id="rId2"/>
    <sheet name="TaskList" sheetId="75" state="hidden" r:id="rId3"/>
    <sheet name="NameList" sheetId="4" r:id="rId4"/>
    <sheet name="WhiteList" sheetId="13" state="hidden" r:id="rId5"/>
    <sheet name="BlackList" sheetId="22" state="hidden" r:id="rId6"/>
    <sheet name="From" sheetId="5" r:id="rId7"/>
    <sheet name="作業報告書" sheetId="178" r:id="rId8"/>
    <sheet name="To" sheetId="6" r:id="rId9"/>
  </sheets>
  <functionGroups builtInGroupCount="19"/>
  <externalReferences>
    <externalReference r:id="rId10"/>
  </externalReferences>
  <definedNames>
    <definedName name="_xlnm._FilterDatabase" localSheetId="3" hidden="1">NameList!$B$1:$M$43</definedName>
    <definedName name="BG">[1]ListItems!$A$2:$A$10</definedName>
    <definedName name="BU">[1]ListItems!$C$2:$C$39</definedName>
    <definedName name="CPS_DIV">[1]ListItems2!$A$2:$A$8</definedName>
    <definedName name="DIVISION">[1]ListItems!$E$2:$E$185</definedName>
    <definedName name="GDC">[1]ListItems!$I$2:$I$7</definedName>
    <definedName name="JDU">[1]ListItems!$G$2:$G$8</definedName>
    <definedName name="LST_BG">[1]!MST_BG[BG]</definedName>
    <definedName name="Menu">#REF!</definedName>
    <definedName name="_xlnm.Print_Are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178" l="1"/>
  <c r="G37" i="178"/>
  <c r="G35" i="178"/>
  <c r="G34" i="178"/>
  <c r="G33" i="178"/>
  <c r="G32" i="178"/>
  <c r="G31" i="178"/>
  <c r="G27" i="178"/>
  <c r="G26" i="178"/>
  <c r="G25" i="178"/>
  <c r="G24" i="178"/>
  <c r="G23" i="178"/>
  <c r="G22" i="178"/>
  <c r="G21" i="178"/>
  <c r="G20" i="178"/>
  <c r="G19" i="178"/>
  <c r="G18" i="178"/>
  <c r="G17" i="178"/>
  <c r="G16" i="178"/>
  <c r="G15" i="178"/>
  <c r="G14" i="178"/>
  <c r="G13" i="178"/>
  <c r="G12" i="178"/>
  <c r="G11" i="178"/>
  <c r="G10" i="178"/>
  <c r="G9" i="178"/>
  <c r="G8" i="178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2" i="4"/>
  <c r="F39" i="178" l="1"/>
  <c r="O8" i="178" l="1"/>
  <c r="I44" i="178"/>
  <c r="AB44" i="178" s="1"/>
  <c r="AB43" i="178"/>
  <c r="AC41" i="178"/>
  <c r="V39" i="178"/>
  <c r="P38" i="178"/>
  <c r="O38" i="178"/>
  <c r="P37" i="178"/>
  <c r="O37" i="178"/>
  <c r="P36" i="178"/>
  <c r="O36" i="178"/>
  <c r="P35" i="178"/>
  <c r="O35" i="178"/>
  <c r="P34" i="178"/>
  <c r="O34" i="178"/>
  <c r="P33" i="178"/>
  <c r="O33" i="178"/>
  <c r="P32" i="178"/>
  <c r="O32" i="178"/>
  <c r="P31" i="178"/>
  <c r="O31" i="178"/>
  <c r="P30" i="178"/>
  <c r="O30" i="178"/>
  <c r="P29" i="178"/>
  <c r="O29" i="178"/>
  <c r="P28" i="178"/>
  <c r="O28" i="178"/>
  <c r="P27" i="178"/>
  <c r="O27" i="178"/>
  <c r="P26" i="178"/>
  <c r="O26" i="178"/>
  <c r="P25" i="178"/>
  <c r="O25" i="178"/>
  <c r="P24" i="178"/>
  <c r="O24" i="178"/>
  <c r="P23" i="178"/>
  <c r="O23" i="178"/>
  <c r="P22" i="178"/>
  <c r="O22" i="178"/>
  <c r="P21" i="178"/>
  <c r="O21" i="178"/>
  <c r="P20" i="178"/>
  <c r="O20" i="178"/>
  <c r="P19" i="178"/>
  <c r="O19" i="178"/>
  <c r="P18" i="178"/>
  <c r="O18" i="178"/>
  <c r="P17" i="178"/>
  <c r="O17" i="178"/>
  <c r="P16" i="178"/>
  <c r="O16" i="178"/>
  <c r="P15" i="178"/>
  <c r="O15" i="178"/>
  <c r="P14" i="178"/>
  <c r="O14" i="178"/>
  <c r="P13" i="178"/>
  <c r="O13" i="178"/>
  <c r="P12" i="178"/>
  <c r="O12" i="178"/>
  <c r="P11" i="178"/>
  <c r="O11" i="178"/>
  <c r="P10" i="178"/>
  <c r="O10" i="178"/>
  <c r="P9" i="178"/>
  <c r="O9" i="178"/>
  <c r="P8" i="178"/>
  <c r="M8" i="178"/>
  <c r="N8" i="178" s="1"/>
  <c r="A8" i="178"/>
  <c r="T8" i="178" s="1"/>
  <c r="AC7" i="178"/>
  <c r="AB7" i="178"/>
  <c r="AA7" i="178"/>
  <c r="Z7" i="178"/>
  <c r="Y7" i="178"/>
  <c r="V7" i="178"/>
  <c r="U7" i="178"/>
  <c r="T7" i="178"/>
  <c r="W5" i="178"/>
  <c r="T5" i="178"/>
  <c r="W4" i="178"/>
  <c r="T4" i="178"/>
  <c r="W3" i="178"/>
  <c r="T3" i="178"/>
  <c r="AC2" i="178"/>
  <c r="T2" i="178"/>
  <c r="T1" i="178"/>
  <c r="X8" i="178" l="1"/>
  <c r="V8" i="178"/>
  <c r="Y8" i="178"/>
  <c r="A9" i="178"/>
  <c r="B8" i="178"/>
  <c r="U8" i="178" s="1"/>
  <c r="M9" i="178"/>
  <c r="N9" i="178" l="1"/>
  <c r="M10" i="178"/>
  <c r="T9" i="178"/>
  <c r="B9" i="178"/>
  <c r="U9" i="178" s="1"/>
  <c r="A10" i="178"/>
  <c r="W8" i="178"/>
  <c r="Z8" i="178"/>
  <c r="AA8" i="178" l="1"/>
  <c r="AC8" i="178"/>
  <c r="AB8" i="178"/>
  <c r="T10" i="178"/>
  <c r="B10" i="178"/>
  <c r="U10" i="178" s="1"/>
  <c r="A11" i="178"/>
  <c r="N10" i="178"/>
  <c r="M11" i="178"/>
  <c r="X9" i="178"/>
  <c r="V9" i="178"/>
  <c r="Y9" i="178"/>
  <c r="N11" i="178" l="1"/>
  <c r="M12" i="178"/>
  <c r="W9" i="178"/>
  <c r="Z9" i="178"/>
  <c r="V10" i="178"/>
  <c r="X10" i="178"/>
  <c r="Y10" i="178"/>
  <c r="T11" i="178"/>
  <c r="B11" i="178"/>
  <c r="U11" i="178" s="1"/>
  <c r="A12" i="178"/>
  <c r="T12" i="178" l="1"/>
  <c r="B12" i="178"/>
  <c r="U12" i="178" s="1"/>
  <c r="A13" i="178"/>
  <c r="Z10" i="178"/>
  <c r="W10" i="178"/>
  <c r="N12" i="178"/>
  <c r="M13" i="178"/>
  <c r="AC9" i="178"/>
  <c r="AB9" i="178"/>
  <c r="AA9" i="178"/>
  <c r="X11" i="178"/>
  <c r="Y11" i="178"/>
  <c r="V11" i="178"/>
  <c r="X12" i="178" l="1"/>
  <c r="V12" i="178"/>
  <c r="Y12" i="178"/>
  <c r="W11" i="178"/>
  <c r="Z11" i="178"/>
  <c r="AC10" i="178"/>
  <c r="AA10" i="178"/>
  <c r="AB10" i="178"/>
  <c r="N13" i="178"/>
  <c r="M14" i="178"/>
  <c r="T13" i="178"/>
  <c r="B13" i="178"/>
  <c r="U13" i="178" s="1"/>
  <c r="A14" i="178"/>
  <c r="V13" i="178" l="1"/>
  <c r="X13" i="178"/>
  <c r="Y13" i="178"/>
  <c r="N14" i="178"/>
  <c r="M15" i="178"/>
  <c r="AC11" i="178"/>
  <c r="AB11" i="178"/>
  <c r="AA11" i="178"/>
  <c r="Z12" i="178"/>
  <c r="W12" i="178"/>
  <c r="T14" i="178"/>
  <c r="B14" i="178"/>
  <c r="U14" i="178" s="1"/>
  <c r="A15" i="178"/>
  <c r="AC12" i="178" l="1"/>
  <c r="AB12" i="178"/>
  <c r="AA12" i="178"/>
  <c r="T15" i="178"/>
  <c r="B15" i="178"/>
  <c r="U15" i="178" s="1"/>
  <c r="A16" i="178"/>
  <c r="N15" i="178"/>
  <c r="M16" i="178"/>
  <c r="V14" i="178"/>
  <c r="Y14" i="178"/>
  <c r="X14" i="178"/>
  <c r="W13" i="178"/>
  <c r="Z13" i="178"/>
  <c r="W14" i="178" l="1"/>
  <c r="Z14" i="178"/>
  <c r="X15" i="178"/>
  <c r="V15" i="178"/>
  <c r="Y15" i="178"/>
  <c r="T16" i="178"/>
  <c r="B16" i="178"/>
  <c r="U16" i="178" s="1"/>
  <c r="A17" i="178"/>
  <c r="N16" i="178"/>
  <c r="M17" i="178"/>
  <c r="AC13" i="178"/>
  <c r="AA13" i="178"/>
  <c r="AB13" i="178"/>
  <c r="X16" i="178" l="1"/>
  <c r="Y16" i="178"/>
  <c r="V16" i="178"/>
  <c r="N17" i="178"/>
  <c r="M18" i="178"/>
  <c r="T17" i="178"/>
  <c r="B17" i="178"/>
  <c r="U17" i="178" s="1"/>
  <c r="A18" i="178"/>
  <c r="W15" i="178"/>
  <c r="Z15" i="178"/>
  <c r="AC14" i="178"/>
  <c r="AB14" i="178"/>
  <c r="AA14" i="178"/>
  <c r="T18" i="178" l="1"/>
  <c r="B18" i="178"/>
  <c r="U18" i="178" s="1"/>
  <c r="A19" i="178"/>
  <c r="W16" i="178"/>
  <c r="Z16" i="178"/>
  <c r="N18" i="178"/>
  <c r="M19" i="178"/>
  <c r="AC15" i="178"/>
  <c r="AA15" i="178"/>
  <c r="AB15" i="178"/>
  <c r="V17" i="178"/>
  <c r="X17" i="178"/>
  <c r="Y17" i="178"/>
  <c r="X18" i="178" l="1"/>
  <c r="V18" i="178"/>
  <c r="Y18" i="178"/>
  <c r="Z17" i="178"/>
  <c r="W17" i="178"/>
  <c r="N19" i="178"/>
  <c r="M20" i="178"/>
  <c r="AC16" i="178"/>
  <c r="AB16" i="178"/>
  <c r="AA16" i="178"/>
  <c r="T19" i="178"/>
  <c r="B19" i="178"/>
  <c r="U19" i="178" s="1"/>
  <c r="A20" i="178"/>
  <c r="T20" i="178" l="1"/>
  <c r="B20" i="178"/>
  <c r="U20" i="178" s="1"/>
  <c r="A21" i="178"/>
  <c r="N20" i="178"/>
  <c r="M21" i="178"/>
  <c r="X19" i="178"/>
  <c r="V19" i="178"/>
  <c r="Y19" i="178"/>
  <c r="AC17" i="178"/>
  <c r="AA17" i="178"/>
  <c r="AB17" i="178"/>
  <c r="W18" i="178"/>
  <c r="Z18" i="178"/>
  <c r="AC18" i="178" l="1"/>
  <c r="AB18" i="178"/>
  <c r="AA18" i="178"/>
  <c r="Z19" i="178"/>
  <c r="W19" i="178"/>
  <c r="N21" i="178"/>
  <c r="M22" i="178"/>
  <c r="X20" i="178"/>
  <c r="V20" i="178"/>
  <c r="Y20" i="178"/>
  <c r="T21" i="178"/>
  <c r="B21" i="178"/>
  <c r="U21" i="178" s="1"/>
  <c r="A22" i="178"/>
  <c r="T22" i="178" l="1"/>
  <c r="B22" i="178"/>
  <c r="U22" i="178" s="1"/>
  <c r="A23" i="178"/>
  <c r="W20" i="178"/>
  <c r="Z20" i="178"/>
  <c r="X21" i="178"/>
  <c r="Y21" i="178"/>
  <c r="V21" i="178"/>
  <c r="N22" i="178"/>
  <c r="M23" i="178"/>
  <c r="AC19" i="178"/>
  <c r="AB19" i="178"/>
  <c r="AA19" i="178"/>
  <c r="N23" i="178" l="1"/>
  <c r="M24" i="178"/>
  <c r="X22" i="178"/>
  <c r="V22" i="178"/>
  <c r="Y22" i="178"/>
  <c r="W21" i="178"/>
  <c r="Z21" i="178"/>
  <c r="AC20" i="178"/>
  <c r="AB20" i="178"/>
  <c r="AA20" i="178"/>
  <c r="T23" i="178"/>
  <c r="B23" i="178"/>
  <c r="U23" i="178" s="1"/>
  <c r="A24" i="178"/>
  <c r="T24" i="178" l="1"/>
  <c r="B24" i="178"/>
  <c r="U24" i="178" s="1"/>
  <c r="A25" i="178"/>
  <c r="AC21" i="178"/>
  <c r="AA21" i="178"/>
  <c r="AB21" i="178"/>
  <c r="Z22" i="178"/>
  <c r="W22" i="178"/>
  <c r="N24" i="178"/>
  <c r="M25" i="178"/>
  <c r="V23" i="178"/>
  <c r="Y23" i="178"/>
  <c r="X23" i="178"/>
  <c r="V24" i="178" l="1"/>
  <c r="X24" i="178"/>
  <c r="Y24" i="178"/>
  <c r="N25" i="178"/>
  <c r="M26" i="178"/>
  <c r="AC22" i="178"/>
  <c r="AB22" i="178"/>
  <c r="AA22" i="178"/>
  <c r="Z23" i="178"/>
  <c r="W23" i="178"/>
  <c r="T25" i="178"/>
  <c r="B25" i="178"/>
  <c r="U25" i="178" s="1"/>
  <c r="A26" i="178"/>
  <c r="X25" i="178" l="1"/>
  <c r="V25" i="178"/>
  <c r="Y25" i="178"/>
  <c r="T26" i="178"/>
  <c r="B26" i="178"/>
  <c r="U26" i="178" s="1"/>
  <c r="A27" i="178"/>
  <c r="AC23" i="178"/>
  <c r="AA23" i="178"/>
  <c r="AB23" i="178"/>
  <c r="N26" i="178"/>
  <c r="M27" i="178"/>
  <c r="W24" i="178"/>
  <c r="Z24" i="178"/>
  <c r="X26" i="178" l="1"/>
  <c r="V26" i="178"/>
  <c r="Y26" i="178"/>
  <c r="AC24" i="178"/>
  <c r="AB24" i="178"/>
  <c r="AA24" i="178"/>
  <c r="N27" i="178"/>
  <c r="M28" i="178"/>
  <c r="T27" i="178"/>
  <c r="B27" i="178"/>
  <c r="U27" i="178" s="1"/>
  <c r="A28" i="178"/>
  <c r="Z25" i="178"/>
  <c r="W25" i="178"/>
  <c r="V27" i="178" l="1"/>
  <c r="Y27" i="178"/>
  <c r="X27" i="178"/>
  <c r="AC25" i="178"/>
  <c r="AA25" i="178"/>
  <c r="AB25" i="178"/>
  <c r="N28" i="178"/>
  <c r="M29" i="178"/>
  <c r="Z26" i="178"/>
  <c r="W26" i="178"/>
  <c r="T28" i="178"/>
  <c r="B28" i="178"/>
  <c r="U28" i="178" s="1"/>
  <c r="A29" i="178"/>
  <c r="T29" i="178" l="1"/>
  <c r="B29" i="178"/>
  <c r="U29" i="178" s="1"/>
  <c r="A30" i="178"/>
  <c r="V28" i="178"/>
  <c r="X28" i="178"/>
  <c r="Y28" i="178"/>
  <c r="AC26" i="178"/>
  <c r="AB26" i="178"/>
  <c r="AA26" i="178"/>
  <c r="N29" i="178"/>
  <c r="M30" i="178"/>
  <c r="W27" i="178"/>
  <c r="Z27" i="178"/>
  <c r="AC27" i="178" l="1"/>
  <c r="AB27" i="178"/>
  <c r="AA27" i="178"/>
  <c r="X29" i="178"/>
  <c r="V29" i="178"/>
  <c r="Y29" i="178"/>
  <c r="T30" i="178"/>
  <c r="B30" i="178"/>
  <c r="U30" i="178" s="1"/>
  <c r="A31" i="178"/>
  <c r="N30" i="178"/>
  <c r="M31" i="178"/>
  <c r="W28" i="178"/>
  <c r="Z28" i="178"/>
  <c r="AC28" i="178" l="1"/>
  <c r="AA28" i="178"/>
  <c r="AB28" i="178"/>
  <c r="T31" i="178"/>
  <c r="B31" i="178"/>
  <c r="U31" i="178" s="1"/>
  <c r="A32" i="178"/>
  <c r="N31" i="178"/>
  <c r="M32" i="178"/>
  <c r="X30" i="178"/>
  <c r="V30" i="178"/>
  <c r="Y30" i="178"/>
  <c r="W29" i="178"/>
  <c r="Z29" i="178"/>
  <c r="T32" i="178" l="1"/>
  <c r="B32" i="178"/>
  <c r="U32" i="178" s="1"/>
  <c r="A33" i="178"/>
  <c r="N32" i="178"/>
  <c r="M33" i="178"/>
  <c r="AC29" i="178"/>
  <c r="AB29" i="178"/>
  <c r="AA29" i="178"/>
  <c r="Z30" i="178"/>
  <c r="W30" i="178"/>
  <c r="V31" i="178"/>
  <c r="Y31" i="178"/>
  <c r="X31" i="178"/>
  <c r="N33" i="178" l="1"/>
  <c r="M34" i="178"/>
  <c r="W31" i="178"/>
  <c r="Z31" i="178"/>
  <c r="AC30" i="178"/>
  <c r="AA30" i="178"/>
  <c r="AB30" i="178"/>
  <c r="V32" i="178"/>
  <c r="Y32" i="178"/>
  <c r="X32" i="178"/>
  <c r="T33" i="178"/>
  <c r="B33" i="178"/>
  <c r="U33" i="178" s="1"/>
  <c r="A34" i="178"/>
  <c r="Z32" i="178" l="1"/>
  <c r="W32" i="178"/>
  <c r="AC31" i="178"/>
  <c r="AB31" i="178"/>
  <c r="AA31" i="178"/>
  <c r="N34" i="178"/>
  <c r="M35" i="178"/>
  <c r="T34" i="178"/>
  <c r="B34" i="178"/>
  <c r="U34" i="178" s="1"/>
  <c r="A35" i="178"/>
  <c r="V33" i="178"/>
  <c r="X33" i="178"/>
  <c r="Y33" i="178"/>
  <c r="W33" i="178" l="1"/>
  <c r="Z33" i="178"/>
  <c r="N35" i="178"/>
  <c r="M36" i="178"/>
  <c r="T35" i="178"/>
  <c r="B35" i="178"/>
  <c r="U35" i="178" s="1"/>
  <c r="A36" i="178"/>
  <c r="V34" i="178"/>
  <c r="Y34" i="178"/>
  <c r="X34" i="178"/>
  <c r="AC32" i="178"/>
  <c r="AB32" i="178"/>
  <c r="AA32" i="178"/>
  <c r="T36" i="178" l="1"/>
  <c r="B36" i="178"/>
  <c r="U36" i="178" s="1"/>
  <c r="A37" i="178"/>
  <c r="AC33" i="178"/>
  <c r="AB33" i="178"/>
  <c r="AA33" i="178"/>
  <c r="Z34" i="178"/>
  <c r="W34" i="178"/>
  <c r="N36" i="178"/>
  <c r="M37" i="178"/>
  <c r="Y35" i="178"/>
  <c r="V35" i="178"/>
  <c r="X35" i="178"/>
  <c r="W35" i="178" l="1"/>
  <c r="Z35" i="178"/>
  <c r="N37" i="178"/>
  <c r="M38" i="178"/>
  <c r="N38" i="178" s="1"/>
  <c r="V36" i="178"/>
  <c r="Y36" i="178"/>
  <c r="X36" i="178"/>
  <c r="AA34" i="178"/>
  <c r="AC34" i="178"/>
  <c r="AB34" i="178"/>
  <c r="T37" i="178"/>
  <c r="B37" i="178"/>
  <c r="U37" i="178" s="1"/>
  <c r="A38" i="178"/>
  <c r="V37" i="178" l="1"/>
  <c r="Y37" i="178"/>
  <c r="X37" i="178"/>
  <c r="W36" i="178"/>
  <c r="Z36" i="178"/>
  <c r="V38" i="178"/>
  <c r="Y38" i="178"/>
  <c r="X38" i="178"/>
  <c r="T38" i="178"/>
  <c r="B38" i="178"/>
  <c r="U38" i="178" s="1"/>
  <c r="AA35" i="178"/>
  <c r="AC35" i="178"/>
  <c r="AB35" i="178"/>
  <c r="Z38" i="178" l="1"/>
  <c r="W38" i="178"/>
  <c r="AC36" i="178"/>
  <c r="AB36" i="178"/>
  <c r="AA36" i="178"/>
  <c r="W37" i="178"/>
  <c r="Z37" i="178"/>
  <c r="AC37" i="178" l="1"/>
  <c r="AA37" i="178"/>
  <c r="AB37" i="178"/>
  <c r="AC38" i="178"/>
  <c r="AB38" i="178"/>
  <c r="AA38" i="178"/>
  <c r="Y39" i="178"/>
  <c r="C3" i="2" l="1"/>
  <c r="A3" i="2"/>
  <c r="B3" i="2" s="1"/>
  <c r="D3" i="2" l="1"/>
  <c r="E3" i="2"/>
</calcChain>
</file>

<file path=xl/sharedStrings.xml><?xml version="1.0" encoding="utf-8"?>
<sst xmlns="http://schemas.openxmlformats.org/spreadsheetml/2006/main" count="256" uniqueCount="141">
  <si>
    <t>最新状況</t>
  </si>
  <si>
    <t>修正履歴</t>
  </si>
  <si>
    <t>No.</t>
    <phoneticPr fontId="4"/>
  </si>
  <si>
    <t>Name</t>
    <phoneticPr fontId="4"/>
  </si>
  <si>
    <t>Date</t>
    <phoneticPr fontId="4"/>
  </si>
  <si>
    <t>Version</t>
    <phoneticPr fontId="4"/>
  </si>
  <si>
    <t>Comments</t>
    <phoneticPr fontId="4"/>
  </si>
  <si>
    <t>曾進</t>
  </si>
  <si>
    <t>Ver 1.0</t>
    <phoneticPr fontId="4"/>
  </si>
  <si>
    <t>初期作成</t>
  </si>
  <si>
    <t>Sheet　Name</t>
    <phoneticPr fontId="1"/>
  </si>
  <si>
    <t>コピー元</t>
    <rPh sb="3" eb="4">
      <t>モト</t>
    </rPh>
    <phoneticPr fontId="1"/>
  </si>
  <si>
    <t>コピー範囲</t>
    <rPh sb="3" eb="5">
      <t>ハンイ</t>
    </rPh>
    <phoneticPr fontId="1"/>
  </si>
  <si>
    <t>スライドNO</t>
    <phoneticPr fontId="1"/>
  </si>
  <si>
    <t>図の位置</t>
    <rPh sb="0" eb="1">
      <t>ズ</t>
    </rPh>
    <rPh sb="2" eb="4">
      <t>イチ</t>
    </rPh>
    <phoneticPr fontId="1"/>
  </si>
  <si>
    <t>図の大きさ</t>
    <rPh sb="0" eb="1">
      <t>ズ</t>
    </rPh>
    <rPh sb="2" eb="3">
      <t>オオ</t>
    </rPh>
    <phoneticPr fontId="1"/>
  </si>
  <si>
    <t>続く</t>
    <phoneticPr fontId="1"/>
  </si>
  <si>
    <t>Excel名</t>
    <rPh sb="5" eb="6">
      <t>メイ</t>
    </rPh>
    <phoneticPr fontId="1"/>
  </si>
  <si>
    <t>シート名</t>
    <rPh sb="3" eb="4">
      <t>メイ</t>
    </rPh>
    <phoneticPr fontId="1"/>
  </si>
  <si>
    <t>左上</t>
    <rPh sb="0" eb="2">
      <t>ヒダリウエ</t>
    </rPh>
    <phoneticPr fontId="1"/>
  </si>
  <si>
    <t>右下</t>
    <rPh sb="0" eb="2">
      <t>ミギシタ</t>
    </rPh>
    <phoneticPr fontId="1"/>
  </si>
  <si>
    <t>Top</t>
    <phoneticPr fontId="1"/>
  </si>
  <si>
    <t>Left</t>
    <phoneticPr fontId="1"/>
  </si>
  <si>
    <t>固定辺</t>
    <rPh sb="0" eb="2">
      <t>コテイ</t>
    </rPh>
    <rPh sb="2" eb="3">
      <t>ヘン</t>
    </rPh>
    <phoneticPr fontId="1"/>
  </si>
  <si>
    <t>長さ</t>
    <rPh sb="0" eb="1">
      <t>ナガ</t>
    </rPh>
    <phoneticPr fontId="1"/>
  </si>
  <si>
    <t>Project_List</t>
  </si>
  <si>
    <t>A4</t>
    <phoneticPr fontId="1"/>
  </si>
  <si>
    <t>幅</t>
    <rPh sb="0" eb="1">
      <t>ハバ</t>
    </rPh>
    <phoneticPr fontId="1"/>
  </si>
  <si>
    <t>ThisWorkbook</t>
    <phoneticPr fontId="1"/>
  </si>
  <si>
    <t>N26</t>
    <phoneticPr fontId="1"/>
  </si>
  <si>
    <t>A27</t>
    <phoneticPr fontId="1"/>
  </si>
  <si>
    <t>N56</t>
    <phoneticPr fontId="1"/>
  </si>
  <si>
    <t>N86</t>
    <phoneticPr fontId="1"/>
  </si>
  <si>
    <t>A57</t>
    <phoneticPr fontId="1"/>
  </si>
  <si>
    <t>A87</t>
  </si>
  <si>
    <t>A117</t>
  </si>
  <si>
    <t>A147</t>
  </si>
  <si>
    <t>A177</t>
  </si>
  <si>
    <t>N116</t>
  </si>
  <si>
    <t>N146</t>
  </si>
  <si>
    <t>N176</t>
  </si>
  <si>
    <t>N192</t>
    <phoneticPr fontId="1"/>
  </si>
  <si>
    <t>叢　洋</t>
  </si>
  <si>
    <t>趙　新凱</t>
  </si>
  <si>
    <t>楊　智程</t>
  </si>
  <si>
    <t>于　程程</t>
  </si>
  <si>
    <t>尉　廷東</t>
  </si>
  <si>
    <t>成松　桃子</t>
  </si>
  <si>
    <t>曾　進</t>
  </si>
  <si>
    <t>張　琪</t>
  </si>
  <si>
    <t>趙　秉輝</t>
  </si>
  <si>
    <t>タン　智</t>
  </si>
  <si>
    <t>李　淵</t>
  </si>
  <si>
    <t>曲　立夫</t>
  </si>
  <si>
    <t>湯　文龍</t>
  </si>
  <si>
    <t>陳　帥</t>
  </si>
  <si>
    <t>劉　洋</t>
  </si>
  <si>
    <t>高　宇航</t>
  </si>
  <si>
    <t>張　瑩瑩</t>
  </si>
  <si>
    <t>周　志彤</t>
  </si>
  <si>
    <t>卞　凌志</t>
  </si>
  <si>
    <t>湯　鑫</t>
  </si>
  <si>
    <t>Name</t>
    <phoneticPr fontId="1"/>
  </si>
  <si>
    <t>Ver 2.0</t>
    <phoneticPr fontId="4"/>
  </si>
  <si>
    <t>作業報告書</t>
    <rPh sb="0" eb="2">
      <t>サギョウ</t>
    </rPh>
    <rPh sb="2" eb="5">
      <t>ホウコクショ</t>
    </rPh>
    <phoneticPr fontId="1"/>
  </si>
  <si>
    <t>　　</t>
  </si>
  <si>
    <t xml:space="preserve">上記稼働を承認します。   </t>
  </si>
  <si>
    <t>実施責任者</t>
  </si>
  <si>
    <t>月間稼働合計時間</t>
  </si>
  <si>
    <t>終了</t>
  </si>
  <si>
    <t>残</t>
  </si>
  <si>
    <t>判定</t>
  </si>
  <si>
    <t>累積</t>
  </si>
  <si>
    <t>備考</t>
  </si>
  <si>
    <t>作業内容</t>
  </si>
  <si>
    <t>作業場所</t>
  </si>
  <si>
    <t>作業時間小計</t>
  </si>
  <si>
    <t>休憩時間</t>
  </si>
  <si>
    <t>作 業 時 間</t>
  </si>
  <si>
    <t>曜日</t>
  </si>
  <si>
    <t>日</t>
  </si>
  <si>
    <t>SFinXバージョンアップ</t>
    <phoneticPr fontId="23"/>
  </si>
  <si>
    <t>担当業務：</t>
  </si>
  <si>
    <t>氏   名：</t>
  </si>
  <si>
    <t>DaYu株式会社</t>
    <phoneticPr fontId="23"/>
  </si>
  <si>
    <t>会社名：</t>
  </si>
  <si>
    <t>左</t>
  </si>
  <si>
    <t>印刷：</t>
  </si>
  <si>
    <t>本人確認印</t>
  </si>
  <si>
    <t>作業報告書</t>
  </si>
  <si>
    <t>韓　洪亮</t>
  </si>
  <si>
    <t>潘　長緯</t>
  </si>
  <si>
    <t>張　華安</t>
  </si>
  <si>
    <t>秦　敏</t>
  </si>
  <si>
    <t>杜　謙</t>
  </si>
  <si>
    <t>鞠　升</t>
  </si>
  <si>
    <t>馬　英聡</t>
    <phoneticPr fontId="1"/>
  </si>
  <si>
    <r>
      <t>胡　俊</t>
    </r>
    <r>
      <rPr>
        <sz val="11"/>
        <color theme="1"/>
        <rFont val="Microsoft YaHei"/>
        <family val="2"/>
        <charset val="134"/>
      </rPr>
      <t>鹏</t>
    </r>
    <phoneticPr fontId="1"/>
  </si>
  <si>
    <t>仲　崇尼</t>
    <phoneticPr fontId="1"/>
  </si>
  <si>
    <t>翁　暁偉</t>
    <phoneticPr fontId="1"/>
  </si>
  <si>
    <t>付　東陽</t>
    <phoneticPr fontId="1"/>
  </si>
  <si>
    <t>孫　佳琳</t>
    <phoneticPr fontId="1"/>
  </si>
  <si>
    <t>孫　洪磊</t>
    <phoneticPr fontId="1"/>
  </si>
  <si>
    <t>～</t>
  </si>
  <si>
    <t>王　森</t>
    <phoneticPr fontId="1"/>
  </si>
  <si>
    <t>11月退出</t>
    <rPh sb="2" eb="3">
      <t>ガツ</t>
    </rPh>
    <rPh sb="3" eb="5">
      <t>タイシュツ</t>
    </rPh>
    <phoneticPr fontId="1"/>
  </si>
  <si>
    <t>12月退出</t>
    <rPh sb="2" eb="3">
      <t>ガツ</t>
    </rPh>
    <rPh sb="3" eb="5">
      <t>タイシュツ</t>
    </rPh>
    <phoneticPr fontId="1"/>
  </si>
  <si>
    <t>1月退出</t>
    <rPh sb="1" eb="2">
      <t>ガツ</t>
    </rPh>
    <rPh sb="2" eb="4">
      <t>タイシュツ</t>
    </rPh>
    <phoneticPr fontId="1"/>
  </si>
  <si>
    <t>実務担当</t>
    <rPh sb="0" eb="2">
      <t>ジツム</t>
    </rPh>
    <rPh sb="2" eb="4">
      <t>タントウ</t>
    </rPh>
    <phoneticPr fontId="1"/>
  </si>
  <si>
    <r>
      <t>呉　</t>
    </r>
    <r>
      <rPr>
        <sz val="11"/>
        <color theme="1"/>
        <rFont val="FangSong"/>
        <family val="3"/>
        <charset val="134"/>
      </rPr>
      <t>鹏</t>
    </r>
    <r>
      <rPr>
        <sz val="11"/>
        <color theme="1"/>
        <rFont val="Meiryo UI"/>
        <family val="2"/>
        <charset val="128"/>
      </rPr>
      <t>飛</t>
    </r>
  </si>
  <si>
    <t>●</t>
    <phoneticPr fontId="1"/>
  </si>
  <si>
    <t>韓　美玲</t>
    <phoneticPr fontId="1"/>
  </si>
  <si>
    <t>劉　淳</t>
    <phoneticPr fontId="1"/>
  </si>
  <si>
    <t>退出済み</t>
    <rPh sb="0" eb="2">
      <t>タイシュツ</t>
    </rPh>
    <rPh sb="2" eb="3">
      <t>ズ</t>
    </rPh>
    <phoneticPr fontId="1"/>
  </si>
  <si>
    <t>2月退出</t>
    <rPh sb="1" eb="2">
      <t>ガツ</t>
    </rPh>
    <rPh sb="2" eb="4">
      <t>タイシュツ</t>
    </rPh>
    <phoneticPr fontId="1"/>
  </si>
  <si>
    <t>3月退出</t>
    <rPh sb="1" eb="2">
      <t>ガツ</t>
    </rPh>
    <rPh sb="2" eb="4">
      <t>タイシュツ</t>
    </rPh>
    <phoneticPr fontId="1"/>
  </si>
  <si>
    <t>4月退出</t>
    <rPh sb="1" eb="2">
      <t>ガツ</t>
    </rPh>
    <rPh sb="2" eb="4">
      <t>タイシュツ</t>
    </rPh>
    <phoneticPr fontId="1"/>
  </si>
  <si>
    <t>5月退出</t>
    <rPh sb="1" eb="2">
      <t>ガツ</t>
    </rPh>
    <rPh sb="2" eb="4">
      <t>タイシュツ</t>
    </rPh>
    <phoneticPr fontId="1"/>
  </si>
  <si>
    <t>6月退出</t>
    <rPh sb="1" eb="2">
      <t>ガツ</t>
    </rPh>
    <rPh sb="2" eb="4">
      <t>タイシュツ</t>
    </rPh>
    <phoneticPr fontId="1"/>
  </si>
  <si>
    <t>No</t>
    <phoneticPr fontId="1"/>
  </si>
  <si>
    <t>劉　宏男</t>
    <phoneticPr fontId="1"/>
  </si>
  <si>
    <t>馬　嘉鐳</t>
    <phoneticPr fontId="1"/>
  </si>
  <si>
    <t>李　昊</t>
    <phoneticPr fontId="1"/>
  </si>
  <si>
    <t>姜　暁鑫</t>
    <phoneticPr fontId="1"/>
  </si>
  <si>
    <t>趙　宇</t>
    <phoneticPr fontId="1"/>
  </si>
  <si>
    <t>羅　弘屹</t>
    <phoneticPr fontId="1"/>
  </si>
  <si>
    <t>劉　永壮</t>
    <phoneticPr fontId="1"/>
  </si>
  <si>
    <t>白　基君</t>
    <phoneticPr fontId="1"/>
  </si>
  <si>
    <t>王　雪雲</t>
    <phoneticPr fontId="1"/>
  </si>
  <si>
    <t>羅　浩天</t>
    <phoneticPr fontId="1"/>
  </si>
  <si>
    <t>趙　元</t>
    <phoneticPr fontId="1"/>
  </si>
  <si>
    <t>趙　駿潔</t>
    <phoneticPr fontId="1"/>
  </si>
  <si>
    <t>吴　金泉</t>
    <phoneticPr fontId="1"/>
  </si>
  <si>
    <t>●</t>
    <phoneticPr fontId="1"/>
  </si>
  <si>
    <t>リモート</t>
  </si>
  <si>
    <t>結合試験不具合対応</t>
    <rPh sb="0" eb="2">
      <t>ケツゴウ</t>
    </rPh>
    <rPh sb="2" eb="4">
      <t>シケン</t>
    </rPh>
    <rPh sb="4" eb="7">
      <t>フグアイ</t>
    </rPh>
    <rPh sb="7" eb="9">
      <t>タイオウ</t>
    </rPh>
    <phoneticPr fontId="1"/>
  </si>
  <si>
    <t>7月退出</t>
    <rPh sb="1" eb="2">
      <t>ガツ</t>
    </rPh>
    <rPh sb="2" eb="4">
      <t>タイシュツ</t>
    </rPh>
    <phoneticPr fontId="1"/>
  </si>
  <si>
    <t>ニチレイビル 3F</t>
    <phoneticPr fontId="1"/>
  </si>
  <si>
    <t>敬老の日</t>
    <phoneticPr fontId="1"/>
  </si>
  <si>
    <t>国民の休日</t>
    <rPh sb="0" eb="2">
      <t>コクミン</t>
    </rPh>
    <rPh sb="3" eb="5">
      <t>キュウジツ</t>
    </rPh>
    <phoneticPr fontId="1"/>
  </si>
  <si>
    <t>秋分の日</t>
    <rPh sb="0" eb="2">
      <t>シュウブン</t>
    </rPh>
    <rPh sb="3" eb="4">
      <t>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</si>
</sst>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/mm/dd"/>
    <numFmt numFmtId="177" formatCode="[$-F800]dddd\,\ mmmm\ dd\,\ yyyy"/>
    <numFmt numFmtId="178" formatCode="[h]&quot;時&quot;mm&quot;分&quot;"/>
    <numFmt numFmtId="179" formatCode="[h]:mm"/>
    <numFmt numFmtId="180" formatCode="aaa"/>
    <numFmt numFmtId="181" formatCode="d"/>
    <numFmt numFmtId="182" formatCode="[m]"/>
    <numFmt numFmtId="183" formatCode="yyyy&quot;年&quot;m&quot;月分&quot;"/>
  </numFmts>
  <fonts count="30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メイリオ"/>
      <family val="2"/>
      <charset val="128"/>
    </font>
    <font>
      <b/>
      <sz val="11"/>
      <color theme="1"/>
      <name val="メイリオ"/>
      <family val="3"/>
      <charset val="128"/>
    </font>
    <font>
      <sz val="6"/>
      <name val="メイリオ"/>
      <family val="2"/>
      <charset val="128"/>
    </font>
    <font>
      <b/>
      <sz val="11"/>
      <color theme="1"/>
      <name val="Meiryo UI"/>
      <family val="3"/>
      <charset val="128"/>
    </font>
    <font>
      <b/>
      <sz val="16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u/>
      <sz val="11"/>
      <color theme="10"/>
      <name val="游ゴシック"/>
      <family val="2"/>
      <scheme val="minor"/>
    </font>
    <font>
      <u/>
      <sz val="11"/>
      <color theme="10"/>
      <name val="メイリオ"/>
      <family val="2"/>
      <charset val="128"/>
    </font>
    <font>
      <sz val="11"/>
      <color theme="1"/>
      <name val="Meiryo UI"/>
      <family val="3"/>
      <charset val="128"/>
    </font>
    <font>
      <sz val="11"/>
      <color theme="1"/>
      <name val="Microsoft YaHei"/>
      <family val="3"/>
      <charset val="134"/>
    </font>
    <font>
      <sz val="11"/>
      <color theme="1"/>
      <name val="メイリオ"/>
      <family val="3"/>
      <charset val="128"/>
    </font>
    <font>
      <sz val="10"/>
      <color theme="1"/>
      <name val="游ゴシック"/>
      <family val="3"/>
      <charset val="128"/>
      <scheme val="minor"/>
    </font>
    <font>
      <sz val="10"/>
      <color rgb="FF000000"/>
      <name val="游ゴシック"/>
      <family val="2"/>
      <scheme val="minor"/>
    </font>
    <font>
      <sz val="11"/>
      <color theme="1"/>
      <name val="MS PGothic"/>
      <family val="3"/>
      <charset val="128"/>
    </font>
    <font>
      <b/>
      <sz val="18"/>
      <color theme="1"/>
      <name val="MS PGothic"/>
      <family val="3"/>
      <charset val="128"/>
    </font>
    <font>
      <b/>
      <sz val="14"/>
      <color theme="1"/>
      <name val="MS PGothic"/>
      <family val="3"/>
      <charset val="128"/>
    </font>
    <font>
      <sz val="10"/>
      <color theme="1"/>
      <name val="MS PGothic"/>
      <family val="3"/>
      <charset val="128"/>
    </font>
    <font>
      <b/>
      <sz val="10"/>
      <color theme="1"/>
      <name val="MS PGothic"/>
      <family val="3"/>
      <charset val="128"/>
    </font>
    <font>
      <sz val="10"/>
      <name val="Calibri"/>
      <family val="2"/>
    </font>
    <font>
      <b/>
      <sz val="10"/>
      <color rgb="FFFF0000"/>
      <name val="MS PGothic"/>
      <family val="3"/>
      <charset val="128"/>
    </font>
    <font>
      <sz val="10"/>
      <color rgb="FFC0C0C0"/>
      <name val="MS PGothic"/>
      <family val="3"/>
      <charset val="128"/>
    </font>
    <font>
      <sz val="6"/>
      <name val="游ゴシック"/>
      <family val="3"/>
      <charset val="128"/>
      <scheme val="minor"/>
    </font>
    <font>
      <b/>
      <sz val="11"/>
      <color rgb="FFFF0000"/>
      <name val="MS PGothic"/>
      <family val="3"/>
      <charset val="128"/>
    </font>
    <font>
      <b/>
      <sz val="12"/>
      <color theme="1"/>
      <name val="MS PGothic"/>
      <family val="3"/>
      <charset val="128"/>
    </font>
    <font>
      <b/>
      <sz val="16"/>
      <color theme="1"/>
      <name val="MS PGothic"/>
      <family val="3"/>
      <charset val="128"/>
    </font>
    <font>
      <sz val="20"/>
      <color theme="1"/>
      <name val="MS PGothic"/>
      <family val="3"/>
      <charset val="128"/>
    </font>
    <font>
      <sz val="11"/>
      <color theme="1"/>
      <name val="Microsoft YaHei"/>
      <family val="2"/>
      <charset val="134"/>
    </font>
    <font>
      <sz val="11"/>
      <color theme="1"/>
      <name val="FangSong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rgb="FFCCFFCC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3" fillId="0" borderId="0"/>
    <xf numFmtId="0" fontId="7" fillId="0" borderId="0"/>
    <xf numFmtId="0" fontId="1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</cellStyleXfs>
  <cellXfs count="105">
    <xf numFmtId="0" fontId="0" fillId="0" borderId="0" xfId="0">
      <alignment vertical="center"/>
    </xf>
    <xf numFmtId="0" fontId="3" fillId="0" borderId="0" xfId="1" applyFont="1">
      <alignment vertical="center"/>
    </xf>
    <xf numFmtId="0" fontId="2" fillId="0" borderId="0" xfId="1">
      <alignment vertical="center"/>
    </xf>
    <xf numFmtId="14" fontId="2" fillId="0" borderId="0" xfId="1" applyNumberFormat="1">
      <alignment vertical="center"/>
    </xf>
    <xf numFmtId="0" fontId="2" fillId="0" borderId="0" xfId="1" applyAlignment="1">
      <alignment horizontal="center" vertical="center"/>
    </xf>
    <xf numFmtId="176" fontId="2" fillId="0" borderId="0" xfId="1" applyNumberFormat="1">
      <alignment vertical="center"/>
    </xf>
    <xf numFmtId="0" fontId="2" fillId="0" borderId="0" xfId="1" applyAlignment="1">
      <alignment vertical="top"/>
    </xf>
    <xf numFmtId="0" fontId="2" fillId="0" borderId="0" xfId="1" applyAlignment="1">
      <alignment horizontal="center" vertical="top"/>
    </xf>
    <xf numFmtId="176" fontId="2" fillId="0" borderId="0" xfId="1" applyNumberFormat="1" applyAlignment="1">
      <alignment vertical="top"/>
    </xf>
    <xf numFmtId="0" fontId="2" fillId="0" borderId="0" xfId="1" applyAlignment="1">
      <alignment vertical="top" wrapText="1"/>
    </xf>
    <xf numFmtId="0" fontId="5" fillId="2" borderId="0" xfId="0" applyFont="1" applyFill="1">
      <alignment vertical="center"/>
    </xf>
    <xf numFmtId="0" fontId="0" fillId="3" borderId="0" xfId="0" applyFill="1">
      <alignment vertical="center"/>
    </xf>
    <xf numFmtId="0" fontId="5" fillId="2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3" borderId="1" xfId="0" applyFont="1" applyFill="1" applyBorder="1">
      <alignment vertical="center"/>
    </xf>
    <xf numFmtId="0" fontId="10" fillId="3" borderId="1" xfId="0" applyFont="1" applyFill="1" applyBorder="1" applyAlignment="1">
      <alignment horizontal="left" vertical="center" indent="1"/>
    </xf>
    <xf numFmtId="0" fontId="10" fillId="3" borderId="1" xfId="0" applyFont="1" applyFill="1" applyBorder="1" applyAlignment="1">
      <alignment horizontal="center" vertical="center"/>
    </xf>
    <xf numFmtId="1" fontId="10" fillId="3" borderId="1" xfId="0" applyNumberFormat="1" applyFont="1" applyFill="1" applyBorder="1" applyAlignment="1">
      <alignment horizontal="center" vertical="center"/>
    </xf>
    <xf numFmtId="1" fontId="10" fillId="3" borderId="1" xfId="0" applyNumberFormat="1" applyFont="1" applyFill="1" applyBorder="1">
      <alignment vertical="center"/>
    </xf>
    <xf numFmtId="0" fontId="11" fillId="3" borderId="1" xfId="0" applyFont="1" applyFill="1" applyBorder="1">
      <alignment vertical="center"/>
    </xf>
    <xf numFmtId="0" fontId="12" fillId="0" borderId="0" xfId="1" applyFont="1" applyAlignment="1">
      <alignment vertical="top" wrapText="1"/>
    </xf>
    <xf numFmtId="0" fontId="13" fillId="0" borderId="0" xfId="5" applyAlignment="1">
      <alignment vertical="center"/>
    </xf>
    <xf numFmtId="0" fontId="15" fillId="0" borderId="0" xfId="5" applyFont="1" applyAlignment="1">
      <alignment vertical="center"/>
    </xf>
    <xf numFmtId="0" fontId="15" fillId="0" borderId="0" xfId="5" applyFont="1" applyAlignment="1">
      <alignment horizontal="center" vertical="center"/>
    </xf>
    <xf numFmtId="49" fontId="15" fillId="0" borderId="0" xfId="5" applyNumberFormat="1" applyFont="1" applyAlignment="1">
      <alignment horizontal="center" vertical="center"/>
    </xf>
    <xf numFmtId="0" fontId="15" fillId="0" borderId="4" xfId="5" applyFont="1" applyBorder="1" applyAlignment="1">
      <alignment vertical="center"/>
    </xf>
    <xf numFmtId="0" fontId="15" fillId="0" borderId="5" xfId="5" applyFont="1" applyBorder="1" applyAlignment="1">
      <alignment vertical="center"/>
    </xf>
    <xf numFmtId="177" fontId="15" fillId="0" borderId="0" xfId="5" applyNumberFormat="1" applyFont="1" applyAlignment="1">
      <alignment vertical="center"/>
    </xf>
    <xf numFmtId="0" fontId="16" fillId="0" borderId="0" xfId="5" applyFont="1" applyAlignment="1">
      <alignment vertical="center"/>
    </xf>
    <xf numFmtId="0" fontId="16" fillId="0" borderId="0" xfId="5" applyFont="1" applyAlignment="1">
      <alignment horizontal="center" vertical="center"/>
    </xf>
    <xf numFmtId="0" fontId="17" fillId="0" borderId="0" xfId="5" applyFont="1" applyAlignment="1">
      <alignment vertical="center"/>
    </xf>
    <xf numFmtId="14" fontId="15" fillId="0" borderId="0" xfId="5" applyNumberFormat="1" applyFont="1" applyAlignment="1">
      <alignment vertical="center"/>
    </xf>
    <xf numFmtId="0" fontId="18" fillId="0" borderId="0" xfId="5" applyFont="1" applyAlignment="1">
      <alignment horizontal="right" vertical="center"/>
    </xf>
    <xf numFmtId="0" fontId="15" fillId="0" borderId="6" xfId="5" applyFont="1" applyBorder="1" applyAlignment="1">
      <alignment horizontal="center" vertical="center"/>
    </xf>
    <xf numFmtId="0" fontId="17" fillId="0" borderId="0" xfId="5" applyFont="1" applyAlignment="1">
      <alignment horizontal="center" vertical="center"/>
    </xf>
    <xf numFmtId="0" fontId="18" fillId="0" borderId="7" xfId="5" applyFont="1" applyBorder="1" applyAlignment="1">
      <alignment vertical="center"/>
    </xf>
    <xf numFmtId="0" fontId="19" fillId="0" borderId="7" xfId="5" applyFont="1" applyBorder="1" applyAlignment="1">
      <alignment horizontal="right" vertical="center"/>
    </xf>
    <xf numFmtId="0" fontId="18" fillId="0" borderId="9" xfId="5" applyFont="1" applyBorder="1" applyAlignment="1">
      <alignment horizontal="center" vertical="center"/>
    </xf>
    <xf numFmtId="20" fontId="21" fillId="0" borderId="9" xfId="5" applyNumberFormat="1" applyFont="1" applyBorder="1" applyAlignment="1">
      <alignment vertical="center"/>
    </xf>
    <xf numFmtId="20" fontId="19" fillId="0" borderId="9" xfId="5" applyNumberFormat="1" applyFont="1" applyBorder="1" applyAlignment="1">
      <alignment horizontal="center" vertical="center"/>
    </xf>
    <xf numFmtId="0" fontId="18" fillId="0" borderId="9" xfId="5" applyFont="1" applyBorder="1" applyAlignment="1">
      <alignment vertical="center"/>
    </xf>
    <xf numFmtId="0" fontId="18" fillId="0" borderId="8" xfId="5" applyFont="1" applyBorder="1" applyAlignment="1">
      <alignment vertical="center"/>
    </xf>
    <xf numFmtId="0" fontId="18" fillId="0" borderId="0" xfId="5" applyFont="1" applyAlignment="1">
      <alignment vertical="center"/>
    </xf>
    <xf numFmtId="179" fontId="18" fillId="0" borderId="0" xfId="5" applyNumberFormat="1" applyFont="1" applyAlignment="1">
      <alignment vertical="center"/>
    </xf>
    <xf numFmtId="0" fontId="18" fillId="0" borderId="7" xfId="5" applyFont="1" applyBorder="1" applyAlignment="1">
      <alignment vertical="center" shrinkToFit="1"/>
    </xf>
    <xf numFmtId="0" fontId="18" fillId="0" borderId="10" xfId="5" applyFont="1" applyBorder="1" applyAlignment="1">
      <alignment vertical="center"/>
    </xf>
    <xf numFmtId="179" fontId="18" fillId="0" borderId="4" xfId="5" applyNumberFormat="1" applyFont="1" applyBorder="1" applyAlignment="1">
      <alignment vertical="center"/>
    </xf>
    <xf numFmtId="20" fontId="18" fillId="0" borderId="7" xfId="5" applyNumberFormat="1" applyFont="1" applyBorder="1" applyAlignment="1">
      <alignment vertical="center"/>
    </xf>
    <xf numFmtId="20" fontId="18" fillId="0" borderId="7" xfId="5" applyNumberFormat="1" applyFont="1" applyBorder="1" applyAlignment="1">
      <alignment horizontal="center" vertical="center"/>
    </xf>
    <xf numFmtId="20" fontId="18" fillId="0" borderId="8" xfId="5" applyNumberFormat="1" applyFont="1" applyBorder="1" applyAlignment="1">
      <alignment horizontal="center" vertical="center"/>
    </xf>
    <xf numFmtId="180" fontId="18" fillId="0" borderId="10" xfId="5" applyNumberFormat="1" applyFont="1" applyBorder="1" applyAlignment="1">
      <alignment horizontal="center" vertical="center"/>
    </xf>
    <xf numFmtId="181" fontId="18" fillId="0" borderId="6" xfId="5" applyNumberFormat="1" applyFont="1" applyBorder="1" applyAlignment="1">
      <alignment horizontal="center" vertical="center"/>
    </xf>
    <xf numFmtId="20" fontId="18" fillId="0" borderId="0" xfId="5" applyNumberFormat="1" applyFont="1" applyAlignment="1">
      <alignment vertical="center"/>
    </xf>
    <xf numFmtId="20" fontId="18" fillId="0" borderId="11" xfId="5" applyNumberFormat="1" applyFont="1" applyBorder="1" applyAlignment="1">
      <alignment vertical="center"/>
    </xf>
    <xf numFmtId="182" fontId="18" fillId="0" borderId="11" xfId="5" applyNumberFormat="1" applyFont="1" applyBorder="1" applyAlignment="1">
      <alignment vertical="center"/>
    </xf>
    <xf numFmtId="182" fontId="15" fillId="0" borderId="11" xfId="5" applyNumberFormat="1" applyFont="1" applyBorder="1" applyAlignment="1">
      <alignment vertical="center"/>
    </xf>
    <xf numFmtId="179" fontId="15" fillId="0" borderId="11" xfId="5" applyNumberFormat="1" applyFont="1" applyBorder="1" applyAlignment="1">
      <alignment vertical="center"/>
    </xf>
    <xf numFmtId="179" fontId="18" fillId="0" borderId="11" xfId="5" applyNumberFormat="1" applyFont="1" applyBorder="1" applyAlignment="1">
      <alignment vertical="center"/>
    </xf>
    <xf numFmtId="0" fontId="18" fillId="0" borderId="7" xfId="0" applyFont="1" applyBorder="1">
      <alignment vertical="center"/>
    </xf>
    <xf numFmtId="179" fontId="18" fillId="0" borderId="4" xfId="5" applyNumberFormat="1" applyFont="1" applyBorder="1" applyAlignment="1">
      <alignment horizontal="right" vertical="center"/>
    </xf>
    <xf numFmtId="20" fontId="18" fillId="0" borderId="10" xfId="5" applyNumberFormat="1" applyFont="1" applyBorder="1" applyAlignment="1">
      <alignment horizontal="right" vertical="center"/>
    </xf>
    <xf numFmtId="0" fontId="18" fillId="0" borderId="12" xfId="5" applyFont="1" applyBorder="1" applyAlignment="1">
      <alignment horizontal="center" vertical="center"/>
    </xf>
    <xf numFmtId="20" fontId="18" fillId="0" borderId="13" xfId="5" applyNumberFormat="1" applyFont="1" applyBorder="1" applyAlignment="1">
      <alignment horizontal="center" vertical="center"/>
    </xf>
    <xf numFmtId="0" fontId="22" fillId="0" borderId="7" xfId="5" applyFont="1" applyBorder="1" applyAlignment="1">
      <alignment vertical="center" shrinkToFit="1"/>
    </xf>
    <xf numFmtId="20" fontId="15" fillId="0" borderId="0" xfId="5" applyNumberFormat="1" applyFont="1" applyAlignment="1">
      <alignment vertical="center"/>
    </xf>
    <xf numFmtId="0" fontId="18" fillId="0" borderId="10" xfId="5" applyFont="1" applyBorder="1" applyAlignment="1">
      <alignment vertical="center" shrinkToFit="1"/>
    </xf>
    <xf numFmtId="20" fontId="18" fillId="0" borderId="10" xfId="5" applyNumberFormat="1" applyFont="1" applyBorder="1" applyAlignment="1">
      <alignment vertical="center"/>
    </xf>
    <xf numFmtId="20" fontId="18" fillId="0" borderId="10" xfId="5" applyNumberFormat="1" applyFont="1" applyBorder="1" applyAlignment="1">
      <alignment horizontal="center" vertical="center"/>
    </xf>
    <xf numFmtId="181" fontId="18" fillId="0" borderId="4" xfId="5" applyNumberFormat="1" applyFont="1" applyBorder="1" applyAlignment="1">
      <alignment horizontal="center" vertical="center"/>
    </xf>
    <xf numFmtId="0" fontId="15" fillId="0" borderId="11" xfId="5" applyFont="1" applyBorder="1" applyAlignment="1">
      <alignment vertical="center"/>
    </xf>
    <xf numFmtId="0" fontId="18" fillId="5" borderId="14" xfId="5" applyFont="1" applyFill="1" applyBorder="1" applyAlignment="1">
      <alignment horizontal="center" vertical="center"/>
    </xf>
    <xf numFmtId="0" fontId="18" fillId="5" borderId="15" xfId="5" applyFont="1" applyFill="1" applyBorder="1" applyAlignment="1">
      <alignment horizontal="center" vertical="center"/>
    </xf>
    <xf numFmtId="49" fontId="18" fillId="5" borderId="14" xfId="5" applyNumberFormat="1" applyFont="1" applyFill="1" applyBorder="1" applyAlignment="1">
      <alignment horizontal="center" vertical="center"/>
    </xf>
    <xf numFmtId="179" fontId="15" fillId="0" borderId="0" xfId="5" applyNumberFormat="1" applyFont="1" applyAlignment="1">
      <alignment vertical="center"/>
    </xf>
    <xf numFmtId="0" fontId="15" fillId="0" borderId="11" xfId="5" applyFont="1" applyBorder="1" applyAlignment="1">
      <alignment horizontal="center" vertical="center"/>
    </xf>
    <xf numFmtId="182" fontId="15" fillId="0" borderId="11" xfId="5" applyNumberFormat="1" applyFont="1" applyBorder="1" applyAlignment="1">
      <alignment horizontal="center" vertical="center"/>
    </xf>
    <xf numFmtId="179" fontId="15" fillId="0" borderId="11" xfId="5" applyNumberFormat="1" applyFont="1" applyBorder="1" applyAlignment="1">
      <alignment horizontal="center" vertical="center"/>
    </xf>
    <xf numFmtId="0" fontId="15" fillId="0" borderId="11" xfId="5" applyFont="1" applyBorder="1" applyAlignment="1">
      <alignment horizontal="center" vertical="center" wrapText="1"/>
    </xf>
    <xf numFmtId="179" fontId="24" fillId="0" borderId="11" xfId="5" applyNumberFormat="1" applyFont="1" applyBorder="1" applyAlignment="1">
      <alignment vertical="center"/>
    </xf>
    <xf numFmtId="0" fontId="15" fillId="0" borderId="0" xfId="5" applyFont="1" applyAlignment="1">
      <alignment horizontal="center" wrapText="1"/>
    </xf>
    <xf numFmtId="0" fontId="16" fillId="0" borderId="9" xfId="5" applyFont="1" applyBorder="1" applyAlignment="1">
      <alignment vertical="center"/>
    </xf>
    <xf numFmtId="0" fontId="16" fillId="0" borderId="9" xfId="5" applyFont="1" applyBorder="1" applyAlignment="1">
      <alignment horizontal="center" vertical="center"/>
    </xf>
    <xf numFmtId="0" fontId="17" fillId="0" borderId="9" xfId="5" applyFont="1" applyBorder="1"/>
    <xf numFmtId="0" fontId="17" fillId="0" borderId="9" xfId="0" applyFont="1" applyBorder="1" applyAlignment="1"/>
    <xf numFmtId="0" fontId="16" fillId="0" borderId="12" xfId="5" applyFont="1" applyBorder="1" applyAlignment="1">
      <alignment vertical="center"/>
    </xf>
    <xf numFmtId="0" fontId="16" fillId="0" borderId="12" xfId="5" applyFont="1" applyBorder="1" applyAlignment="1">
      <alignment horizontal="center" vertical="center"/>
    </xf>
    <xf numFmtId="0" fontId="17" fillId="0" borderId="12" xfId="5" applyFont="1" applyBorder="1"/>
    <xf numFmtId="0" fontId="15" fillId="0" borderId="0" xfId="5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49" fontId="18" fillId="5" borderId="17" xfId="5" applyNumberFormat="1" applyFont="1" applyFill="1" applyBorder="1" applyAlignment="1">
      <alignment horizontal="center" vertical="center"/>
    </xf>
    <xf numFmtId="0" fontId="20" fillId="0" borderId="16" xfId="5" applyFont="1" applyBorder="1" applyAlignment="1">
      <alignment vertical="center"/>
    </xf>
    <xf numFmtId="0" fontId="20" fillId="0" borderId="14" xfId="5" applyFont="1" applyBorder="1" applyAlignment="1">
      <alignment vertical="center"/>
    </xf>
    <xf numFmtId="178" fontId="19" fillId="0" borderId="8" xfId="5" applyNumberFormat="1" applyFont="1" applyBorder="1" applyAlignment="1">
      <alignment horizontal="right" vertical="center"/>
    </xf>
    <xf numFmtId="178" fontId="19" fillId="0" borderId="7" xfId="5" applyNumberFormat="1" applyFont="1" applyBorder="1" applyAlignment="1">
      <alignment horizontal="right" vertical="center"/>
    </xf>
    <xf numFmtId="0" fontId="20" fillId="0" borderId="7" xfId="5" applyFont="1" applyBorder="1" applyAlignment="1">
      <alignment vertical="center"/>
    </xf>
    <xf numFmtId="0" fontId="25" fillId="0" borderId="0" xfId="5" applyFont="1" applyAlignment="1">
      <alignment horizontal="center"/>
    </xf>
    <xf numFmtId="0" fontId="13" fillId="0" borderId="0" xfId="5" applyAlignment="1">
      <alignment vertical="center"/>
    </xf>
    <xf numFmtId="0" fontId="15" fillId="0" borderId="0" xfId="5" applyFont="1" applyAlignment="1">
      <alignment horizontal="center" wrapText="1"/>
    </xf>
    <xf numFmtId="0" fontId="27" fillId="0" borderId="0" xfId="5" applyFont="1" applyAlignment="1">
      <alignment horizontal="center" vertical="center"/>
    </xf>
    <xf numFmtId="183" fontId="26" fillId="0" borderId="0" xfId="5" applyNumberFormat="1" applyFont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</cellXfs>
  <cellStyles count="55">
    <cellStyle name="ハイパーリンク 2" xfId="3" xr:uid="{D097508F-1CDD-4CC4-A3EF-1C26A8B51359}"/>
    <cellStyle name="ハイパーリンク 2 2" xfId="4" xr:uid="{B29541E3-555B-4116-9CDC-F1A2BE281FB5}"/>
    <cellStyle name="標準" xfId="0" builtinId="0"/>
    <cellStyle name="標準 10" xfId="13" xr:uid="{A0235D38-807B-451A-8DDC-52D564A89012}"/>
    <cellStyle name="標準 11" xfId="14" xr:uid="{C90B4032-03A1-4C57-B12C-8493A819EB79}"/>
    <cellStyle name="標準 12" xfId="15" xr:uid="{962F4E88-F28E-4DDA-90A9-3323A632ECFB}"/>
    <cellStyle name="標準 13" xfId="1" xr:uid="{346A6F46-2133-4E9D-B43C-E507C3BAD733}"/>
    <cellStyle name="標準 14" xfId="16" xr:uid="{A3E3D9BA-A2D1-4A73-AD0A-1348E61FA31B}"/>
    <cellStyle name="標準 15" xfId="17" xr:uid="{D5A50EF4-A7D9-433C-844D-3B23DDC3CCF2}"/>
    <cellStyle name="標準 16" xfId="18" xr:uid="{09E6FB19-277C-4D17-A00C-4AE0DFA323F1}"/>
    <cellStyle name="標準 17" xfId="19" xr:uid="{76571C10-6446-48C0-8C8B-70A03814DD8F}"/>
    <cellStyle name="標準 18" xfId="20" xr:uid="{90B0F615-CFB7-42ED-B2E2-2CDF45E13E59}"/>
    <cellStyle name="標準 19" xfId="21" xr:uid="{914BE4A7-3042-4445-824E-53A141F7EBD7}"/>
    <cellStyle name="標準 2" xfId="2" xr:uid="{84BAD198-0694-479D-9074-19A423FACE72}"/>
    <cellStyle name="標準 2 2" xfId="5" xr:uid="{4BD83C65-3F9A-476F-8D95-87BE142461F5}"/>
    <cellStyle name="標準 20" xfId="22" xr:uid="{B7FEC599-5B3F-408A-ACF8-8F73E394DCE5}"/>
    <cellStyle name="標準 21" xfId="23" xr:uid="{4A8D9A2D-139D-4199-95FD-C029BF7E81B9}"/>
    <cellStyle name="標準 22" xfId="24" xr:uid="{960B8194-671D-4E18-8352-E98577BC363A}"/>
    <cellStyle name="標準 23" xfId="25" xr:uid="{226A9CA8-A9FF-4BE5-B7CA-FF4B937A56D8}"/>
    <cellStyle name="標準 24" xfId="26" xr:uid="{76132C02-A945-48F2-8F59-6B390C3C2DF8}"/>
    <cellStyle name="標準 25" xfId="27" xr:uid="{494E9EE5-079F-4A7A-858A-26C25D2C0AE0}"/>
    <cellStyle name="標準 26" xfId="28" xr:uid="{4CD1A195-9CBB-4FC9-A208-E175658B0485}"/>
    <cellStyle name="標準 27" xfId="29" xr:uid="{65A9EF04-AFFA-4179-A6D8-D480379FF744}"/>
    <cellStyle name="標準 28" xfId="30" xr:uid="{724A9021-350F-4BB3-B5DE-EEC88CF49E97}"/>
    <cellStyle name="標準 29" xfId="31" xr:uid="{925A98B9-D89D-4839-AC44-04325ED7A0F3}"/>
    <cellStyle name="標準 3" xfId="6" xr:uid="{15418B08-0CFF-4D5C-BEC4-5D54AB567BFC}"/>
    <cellStyle name="標準 30" xfId="32" xr:uid="{8C0EC38C-22CC-489C-A9F5-0E07E82BF95D}"/>
    <cellStyle name="標準 31" xfId="33" xr:uid="{4D6A4CDC-3D1C-4C51-86EA-D37C3C2350B8}"/>
    <cellStyle name="標準 32" xfId="34" xr:uid="{6D943F7D-370E-4F2C-B972-2900ECE3FB59}"/>
    <cellStyle name="標準 33" xfId="35" xr:uid="{74EAD6DB-992D-4DEB-948A-1D90F946300F}"/>
    <cellStyle name="標準 34" xfId="36" xr:uid="{D87E2A83-D91F-4106-BFC7-9D4C410AC5FC}"/>
    <cellStyle name="標準 35" xfId="37" xr:uid="{5424F449-3930-48DF-878E-B29A1012901C}"/>
    <cellStyle name="標準 36" xfId="38" xr:uid="{7DE4C9D9-A071-40DC-9C98-525BA4DB2F45}"/>
    <cellStyle name="標準 37" xfId="39" xr:uid="{2618C1F2-39C2-4F17-B9EF-5A19149FD048}"/>
    <cellStyle name="標準 38" xfId="40" xr:uid="{7E48BE49-A37A-496E-A7F1-AD4BACA2E5FA}"/>
    <cellStyle name="標準 39" xfId="41" xr:uid="{CD07B149-CE2B-43A7-AEFB-58974A0DC246}"/>
    <cellStyle name="標準 4" xfId="7" xr:uid="{0558930C-F046-40CD-A7FD-37E09B4ED4EB}"/>
    <cellStyle name="標準 40" xfId="42" xr:uid="{09761C47-C24E-4CF6-A1F9-3E1C66C1C199}"/>
    <cellStyle name="標準 41" xfId="43" xr:uid="{635688F7-C0B1-443B-ABA4-EDB9EF667674}"/>
    <cellStyle name="標準 42" xfId="44" xr:uid="{89CD5501-4681-4325-A013-9B09005DF12A}"/>
    <cellStyle name="標準 43" xfId="45" xr:uid="{BDE61BC3-50FF-44D6-8255-E5B8D99AC896}"/>
    <cellStyle name="標準 44" xfId="46" xr:uid="{13390827-FF2E-4CA3-8D91-704BCD5CD0C9}"/>
    <cellStyle name="標準 45" xfId="47" xr:uid="{73E4D13B-8B61-4E5A-8441-02BD8FE97C61}"/>
    <cellStyle name="標準 46" xfId="48" xr:uid="{315728BE-5719-49B4-80E6-E668D15FF910}"/>
    <cellStyle name="標準 47" xfId="49" xr:uid="{AC3292BC-1D0E-4C79-8971-5DED24B0B972}"/>
    <cellStyle name="標準 48" xfId="50" xr:uid="{917DF0D5-E679-4998-9ABF-59AC92D975D7}"/>
    <cellStyle name="標準 49" xfId="51" xr:uid="{4F2FCD15-00C4-423E-B827-83B2E8A5458A}"/>
    <cellStyle name="標準 5" xfId="8" xr:uid="{DF7D31C4-69F3-4E2E-9344-2BF81DBECFB4}"/>
    <cellStyle name="標準 50" xfId="52" xr:uid="{85C193E6-4C1E-4149-911F-414786CDC868}"/>
    <cellStyle name="標準 51" xfId="53" xr:uid="{60227EE5-5603-4616-ADA7-75076868737A}"/>
    <cellStyle name="標準 52" xfId="54" xr:uid="{F610FE1B-8FE3-4518-AE41-8BD550483F98}"/>
    <cellStyle name="標準 6" xfId="9" xr:uid="{F87EFBA1-55C1-41BD-BB6E-4073FEDDC1DB}"/>
    <cellStyle name="標準 7" xfId="10" xr:uid="{4B2FF25C-5287-44CA-A3F4-4DC52666A883}"/>
    <cellStyle name="標準 8" xfId="11" xr:uid="{4AE73AF6-A1EA-4D3F-A20C-DF910AB1F15A}"/>
    <cellStyle name="標準 9" xfId="12" xr:uid="{5C4B0CA9-292F-4ED5-A1A7-5851DDA61A21}"/>
  </cellStyles>
  <dxfs count="10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alignment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76" formatCode="yyyy/mm/dd"/>
      <alignment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FF0000"/>
      </font>
      <fill>
        <patternFill patternType="none"/>
      </fill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815340</xdr:colOff>
          <xdr:row>5</xdr:row>
          <xdr:rowOff>182880</xdr:rowOff>
        </xdr:from>
        <xdr:to>
          <xdr:col>4</xdr:col>
          <xdr:colOff>7620</xdr:colOff>
          <xdr:row>7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SPLIT From … 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15240</xdr:rowOff>
        </xdr:from>
        <xdr:to>
          <xdr:col>4</xdr:col>
          <xdr:colOff>0</xdr:colOff>
          <xdr:row>4</xdr:row>
          <xdr:rowOff>7620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Template配布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10</xdr:row>
          <xdr:rowOff>0</xdr:rowOff>
        </xdr:from>
        <xdr:to>
          <xdr:col>3</xdr:col>
          <xdr:colOff>807720</xdr:colOff>
          <xdr:row>12</xdr:row>
          <xdr:rowOff>15240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Read Into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14</xdr:row>
          <xdr:rowOff>0</xdr:rowOff>
        </xdr:from>
        <xdr:to>
          <xdr:col>3</xdr:col>
          <xdr:colOff>807720</xdr:colOff>
          <xdr:row>16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 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1314450</xdr:colOff>
      <xdr:row>5</xdr:row>
      <xdr:rowOff>0</xdr:rowOff>
    </xdr:from>
    <xdr:ext cx="209550" cy="3333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31020854-2A57-4B1B-A598-4F8B13E89537}"/>
            </a:ext>
          </a:extLst>
        </xdr:cNvPr>
        <xdr:cNvSpPr txBox="1"/>
      </xdr:nvSpPr>
      <xdr:spPr>
        <a:xfrm>
          <a:off x="5638800" y="1187450"/>
          <a:ext cx="20955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8</xdr:col>
      <xdr:colOff>1314450</xdr:colOff>
      <xdr:row>5</xdr:row>
      <xdr:rowOff>0</xdr:rowOff>
    </xdr:from>
    <xdr:ext cx="209550" cy="3333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1E99EBF2-4E20-492F-9B64-ABE015DA4317}"/>
            </a:ext>
          </a:extLst>
        </xdr:cNvPr>
        <xdr:cNvSpPr txBox="1"/>
      </xdr:nvSpPr>
      <xdr:spPr>
        <a:xfrm>
          <a:off x="5638800" y="1187450"/>
          <a:ext cx="20955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8</xdr:col>
      <xdr:colOff>1314450</xdr:colOff>
      <xdr:row>5</xdr:row>
      <xdr:rowOff>0</xdr:rowOff>
    </xdr:from>
    <xdr:ext cx="209550" cy="333375"/>
    <xdr:sp macro="" textlink="">
      <xdr:nvSpPr>
        <xdr:cNvPr id="4" name="Shape 3">
          <a:extLst>
            <a:ext uri="{FF2B5EF4-FFF2-40B4-BE49-F238E27FC236}">
              <a16:creationId xmlns:a16="http://schemas.microsoft.com/office/drawing/2014/main" id="{80836D8C-E791-438C-8F20-AE9FC7C53916}"/>
            </a:ext>
          </a:extLst>
        </xdr:cNvPr>
        <xdr:cNvSpPr txBox="1"/>
      </xdr:nvSpPr>
      <xdr:spPr>
        <a:xfrm>
          <a:off x="5638800" y="1187450"/>
          <a:ext cx="20955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8</xdr:col>
      <xdr:colOff>1314450</xdr:colOff>
      <xdr:row>44</xdr:row>
      <xdr:rowOff>0</xdr:rowOff>
    </xdr:from>
    <xdr:ext cx="209550" cy="333375"/>
    <xdr:sp macro="" textlink="">
      <xdr:nvSpPr>
        <xdr:cNvPr id="5" name="Shape 3">
          <a:extLst>
            <a:ext uri="{FF2B5EF4-FFF2-40B4-BE49-F238E27FC236}">
              <a16:creationId xmlns:a16="http://schemas.microsoft.com/office/drawing/2014/main" id="{8CEAC514-AA04-4915-ACB0-832022A0A173}"/>
            </a:ext>
          </a:extLst>
        </xdr:cNvPr>
        <xdr:cNvSpPr txBox="1"/>
      </xdr:nvSpPr>
      <xdr:spPr>
        <a:xfrm>
          <a:off x="5638800" y="10375900"/>
          <a:ext cx="20955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8</xdr:col>
      <xdr:colOff>1314450</xdr:colOff>
      <xdr:row>44</xdr:row>
      <xdr:rowOff>0</xdr:rowOff>
    </xdr:from>
    <xdr:ext cx="209550" cy="333375"/>
    <xdr:sp macro="" textlink="">
      <xdr:nvSpPr>
        <xdr:cNvPr id="6" name="Shape 3">
          <a:extLst>
            <a:ext uri="{FF2B5EF4-FFF2-40B4-BE49-F238E27FC236}">
              <a16:creationId xmlns:a16="http://schemas.microsoft.com/office/drawing/2014/main" id="{7CD9E1B4-1D87-427B-B2EF-8BA5C9DAF206}"/>
            </a:ext>
          </a:extLst>
        </xdr:cNvPr>
        <xdr:cNvSpPr txBox="1"/>
      </xdr:nvSpPr>
      <xdr:spPr>
        <a:xfrm>
          <a:off x="5638800" y="10375900"/>
          <a:ext cx="209550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27</xdr:col>
      <xdr:colOff>1304925</xdr:colOff>
      <xdr:row>5</xdr:row>
      <xdr:rowOff>0</xdr:rowOff>
    </xdr:from>
    <xdr:ext cx="161925" cy="333375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63869260-3606-49CB-942C-0115B365D1BA}"/>
            </a:ext>
          </a:extLst>
        </xdr:cNvPr>
        <xdr:cNvSpPr txBox="1"/>
      </xdr:nvSpPr>
      <xdr:spPr>
        <a:xfrm>
          <a:off x="17110075" y="1187450"/>
          <a:ext cx="161925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27</xdr:col>
      <xdr:colOff>1304925</xdr:colOff>
      <xdr:row>5</xdr:row>
      <xdr:rowOff>0</xdr:rowOff>
    </xdr:from>
    <xdr:ext cx="161925" cy="333375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5F1C943A-6E20-46A3-A82B-25C9D941A9D0}"/>
            </a:ext>
          </a:extLst>
        </xdr:cNvPr>
        <xdr:cNvSpPr txBox="1"/>
      </xdr:nvSpPr>
      <xdr:spPr>
        <a:xfrm>
          <a:off x="17110075" y="1187450"/>
          <a:ext cx="161925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27</xdr:col>
      <xdr:colOff>1304925</xdr:colOff>
      <xdr:row>5</xdr:row>
      <xdr:rowOff>0</xdr:rowOff>
    </xdr:from>
    <xdr:ext cx="161925" cy="333375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4E415BD3-DC72-4CCA-89B7-C5B09AB80058}"/>
            </a:ext>
          </a:extLst>
        </xdr:cNvPr>
        <xdr:cNvSpPr txBox="1"/>
      </xdr:nvSpPr>
      <xdr:spPr>
        <a:xfrm>
          <a:off x="17110075" y="1187450"/>
          <a:ext cx="161925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27</xdr:col>
      <xdr:colOff>1304925</xdr:colOff>
      <xdr:row>44</xdr:row>
      <xdr:rowOff>0</xdr:rowOff>
    </xdr:from>
    <xdr:ext cx="161925" cy="333375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1035AD40-64C0-4209-B67F-D8D0E751693B}"/>
            </a:ext>
          </a:extLst>
        </xdr:cNvPr>
        <xdr:cNvSpPr txBox="1"/>
      </xdr:nvSpPr>
      <xdr:spPr>
        <a:xfrm>
          <a:off x="17110075" y="10375900"/>
          <a:ext cx="161925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27</xdr:col>
      <xdr:colOff>1304925</xdr:colOff>
      <xdr:row>44</xdr:row>
      <xdr:rowOff>0</xdr:rowOff>
    </xdr:from>
    <xdr:ext cx="161925" cy="333375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D5000CDB-1426-4D5F-A51C-CE8F6A8EBC03}"/>
            </a:ext>
          </a:extLst>
        </xdr:cNvPr>
        <xdr:cNvSpPr txBox="1"/>
      </xdr:nvSpPr>
      <xdr:spPr>
        <a:xfrm>
          <a:off x="17110075" y="10375900"/>
          <a:ext cx="161925" cy="3333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../projects/21_Projects/10_JGG/PipeLine_Search/Pipeline_Search_Ver3.1.xlsm" TargetMode="External"/><Relationship Id="rId1" Type="http://schemas.openxmlformats.org/officeDocument/2006/relationships/externalLinkPath" Target="/projects/21_Projects/10_JGG/PipeLine_Search/Pipeline_Search_Ver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enu"/>
      <sheetName val="Menu2"/>
      <sheetName val="Columns"/>
      <sheetName val="ListItems"/>
      <sheetName val="ListItems2"/>
      <sheetName val="SQL-001"/>
      <sheetName val="Master-BG"/>
      <sheetName val="SQL-002"/>
      <sheetName val="Master-BU"/>
      <sheetName val="SQL-003"/>
      <sheetName val="Master-DV"/>
      <sheetName val="SQL-004"/>
      <sheetName val="Master-JDU"/>
      <sheetName val="SQL-005"/>
      <sheetName val="Master-GDC"/>
      <sheetName val="SQL-009"/>
      <sheetName val="Master9"/>
      <sheetName val="SQL-000"/>
      <sheetName val="Pipeline_List"/>
      <sheetName val="SQL-101"/>
      <sheetName val="本部全GDC"/>
      <sheetName val="SQL-301"/>
      <sheetName val="本部希望活用GDC"/>
      <sheetName val="SQL-302"/>
      <sheetName val="JGGディスパッチ先GDC"/>
      <sheetName val="SQL-200"/>
      <sheetName val="本部全体CHINA"/>
      <sheetName val="SQL-201"/>
      <sheetName val="CPG事"/>
      <sheetName val="SQL-202"/>
      <sheetName val="ヘルスケア事"/>
      <sheetName val="SQL-203"/>
      <sheetName val="運輸事"/>
      <sheetName val="SQL-204"/>
      <sheetName val="サービス事"/>
      <sheetName val="SQL-205"/>
      <sheetName val="商社・卸事"/>
      <sheetName val="SQL-206"/>
      <sheetName val="スマートロジ"/>
      <sheetName val="Pipeline_Search_Ver3.1"/>
    </sheetNames>
    <sheetDataSet>
      <sheetData sheetId="0" refreshError="1"/>
      <sheetData sheetId="1" refreshError="1"/>
      <sheetData sheetId="2" refreshError="1"/>
      <sheetData sheetId="3">
        <row r="2">
          <cell r="A2" t="str">
            <v>000717:グロサビBG</v>
          </cell>
          <cell r="C2" t="str">
            <v>000133:第一ファイナンス事業本部</v>
          </cell>
          <cell r="E2" t="str">
            <v>000008:EBASコンサル事</v>
          </cell>
          <cell r="G2" t="str">
            <v>JDU(Cebu)</v>
          </cell>
          <cell r="I2" t="str">
            <v>Anywhere</v>
          </cell>
        </row>
        <row r="3">
          <cell r="A3" t="str">
            <v>001817:ファイ&amp;リテソリBG</v>
          </cell>
          <cell r="C3" t="str">
            <v>000140:官公庁事業本部</v>
          </cell>
          <cell r="E3" t="str">
            <v>000106:MISビジネス推進部</v>
          </cell>
          <cell r="G3" t="str">
            <v>JDU(Chennai)</v>
          </cell>
          <cell r="I3" t="str">
            <v>Philippine</v>
          </cell>
        </row>
        <row r="4">
          <cell r="A4" t="str">
            <v>002064:ITMS事本</v>
          </cell>
          <cell r="C4" t="str">
            <v>000142:コンピ事本</v>
          </cell>
          <cell r="E4" t="str">
            <v>000122:データPF事</v>
          </cell>
          <cell r="G4" t="str">
            <v>JDU(China)</v>
          </cell>
          <cell r="I4" t="str">
            <v>India</v>
          </cell>
        </row>
        <row r="5">
          <cell r="A5" t="str">
            <v>002781:エンタソリBG</v>
          </cell>
          <cell r="C5" t="str">
            <v>000286:ソフトプロダクト事本</v>
          </cell>
          <cell r="E5" t="str">
            <v>000150:JGG)Gエン推</v>
          </cell>
          <cell r="G5" t="str">
            <v>JDU(Malaysia)</v>
          </cell>
          <cell r="I5" t="str">
            <v>Malaysia</v>
          </cell>
        </row>
        <row r="6">
          <cell r="A6" t="str">
            <v>004182:DSSBG</v>
          </cell>
          <cell r="C6" t="str">
            <v>001288:ネット&amp;セキサビ事本</v>
          </cell>
          <cell r="E6" t="str">
            <v>000182:システム保証統括部</v>
          </cell>
          <cell r="G6" t="str">
            <v>JDU(Manila)</v>
          </cell>
          <cell r="I6" t="str">
            <v>China</v>
          </cell>
        </row>
        <row r="7">
          <cell r="A7" t="str">
            <v>005267:品質保証本部</v>
          </cell>
          <cell r="C7" t="str">
            <v>001846:金融システム事本</v>
          </cell>
          <cell r="E7" t="str">
            <v>000256:DCクラ)ＣＳ事</v>
          </cell>
          <cell r="G7" t="str">
            <v>JDU(Pune)</v>
          </cell>
          <cell r="I7" t="str">
            <v>Other</v>
          </cell>
        </row>
        <row r="8">
          <cell r="A8" t="str">
            <v>006744:DISBG</v>
          </cell>
          <cell r="C8" t="str">
            <v>001846:第三ファイナンス事業本部</v>
          </cell>
          <cell r="E8" t="str">
            <v>000266:品証)LCM品質統</v>
          </cell>
          <cell r="G8" t="str">
            <v>Non-JDU</v>
          </cell>
        </row>
        <row r="9">
          <cell r="A9" t="str">
            <v>030059:Japanリージョン</v>
          </cell>
          <cell r="C9" t="str">
            <v>002064:ITMS事本</v>
          </cell>
          <cell r="E9" t="str">
            <v>000301:官庁第四事業部</v>
          </cell>
        </row>
        <row r="10">
          <cell r="A10" t="str">
            <v>030075:JAPANBG(202105_廃止)</v>
          </cell>
          <cell r="C10" t="str">
            <v>002458:文教/地域ソリ事本(202105_廃止)</v>
          </cell>
          <cell r="E10" t="str">
            <v>000462:品証)QCM推進</v>
          </cell>
        </row>
        <row r="11">
          <cell r="C11" t="str">
            <v>002661:キャリア事業本部</v>
          </cell>
          <cell r="E11" t="str">
            <v>000475:Mob)コネビジ事</v>
          </cell>
        </row>
        <row r="12">
          <cell r="C12" t="str">
            <v>002790:EBAS事業本部</v>
          </cell>
          <cell r="E12" t="str">
            <v>000476:公共インフラビジネス事業部</v>
          </cell>
        </row>
        <row r="13">
          <cell r="C13" t="str">
            <v>002906:社会システム事業本部</v>
          </cell>
          <cell r="E13" t="str">
            <v>000579:第三基盤サービス事業部</v>
          </cell>
        </row>
        <row r="14">
          <cell r="C14" t="str">
            <v>003290:MIS事本</v>
          </cell>
          <cell r="E14" t="str">
            <v>000581:交通システム事業部</v>
          </cell>
        </row>
        <row r="15">
          <cell r="C15" t="str">
            <v>003793:DIS)事業推進統部</v>
          </cell>
          <cell r="E15" t="str">
            <v>000585:第二基盤サービス事業部</v>
          </cell>
        </row>
        <row r="16">
          <cell r="C16" t="str">
            <v>004300:DC/クラサビ事本</v>
          </cell>
          <cell r="E16" t="str">
            <v>000650:EDTECH事業部</v>
          </cell>
        </row>
        <row r="17">
          <cell r="C17" t="str">
            <v>005267:品質保証本部</v>
          </cell>
          <cell r="E17" t="str">
            <v>000677:品証)海外アシュ統</v>
          </cell>
        </row>
        <row r="18">
          <cell r="C18" t="str">
            <v>005917:Mob事本</v>
          </cell>
          <cell r="E18" t="str">
            <v>000686:都市環境システム事業部</v>
          </cell>
        </row>
        <row r="19">
          <cell r="C19" t="str">
            <v>007027:サビテク本部</v>
          </cell>
          <cell r="E19" t="str">
            <v>000694:ソリ基)一ソリ事(202105_廃止)</v>
          </cell>
        </row>
        <row r="20">
          <cell r="C20" t="str">
            <v>009202:DXP事本</v>
          </cell>
          <cell r="E20" t="str">
            <v>000760:ソリ基)一ソリデリ事(202105_廃止)</v>
          </cell>
        </row>
        <row r="21">
          <cell r="C21" t="str">
            <v>009306:基盤システム事業本部</v>
          </cell>
          <cell r="E21" t="str">
            <v>000771:DC・クラウドビジネス推進部</v>
          </cell>
        </row>
        <row r="22">
          <cell r="C22" t="str">
            <v>009357:ソリ基盤事本(202105_廃止)</v>
          </cell>
          <cell r="E22" t="str">
            <v>000886:アプリ技術コンサル統</v>
          </cell>
        </row>
        <row r="23">
          <cell r="C23" t="str">
            <v>009371:Manufact事本</v>
          </cell>
          <cell r="E23" t="str">
            <v>000944:次世代ワイヤレス事</v>
          </cell>
        </row>
        <row r="24">
          <cell r="C24" t="str">
            <v>009384:リテール事業本部</v>
          </cell>
          <cell r="E24" t="str">
            <v>000961:キャリア事業部</v>
          </cell>
        </row>
        <row r="25">
          <cell r="C25" t="str">
            <v>009393:CP&amp;S事本</v>
          </cell>
          <cell r="E25" t="str">
            <v>000962:エネルギービジネス事業部</v>
          </cell>
        </row>
        <row r="26">
          <cell r="C26" t="str">
            <v>030077:JGG</v>
          </cell>
          <cell r="E26" t="str">
            <v>000967:サステナブルシティ事</v>
          </cell>
        </row>
        <row r="27">
          <cell r="C27" t="str">
            <v>030077:JGG(202105_組織移行)</v>
          </cell>
          <cell r="E27" t="str">
            <v>000976:Mob)ＦＭＡ事</v>
          </cell>
        </row>
        <row r="28">
          <cell r="C28" t="str">
            <v>030082:ソーシャルデザイン本</v>
          </cell>
          <cell r="E28" t="str">
            <v>001034:COL)PLMソリ事</v>
          </cell>
        </row>
        <row r="29">
          <cell r="C29" t="str">
            <v>030083:ソフトテク事本</v>
          </cell>
          <cell r="E29" t="str">
            <v>001120:品証)品質マネ統</v>
          </cell>
        </row>
        <row r="30">
          <cell r="C30" t="str">
            <v>030166:COLMINA事本</v>
          </cell>
          <cell r="E30" t="str">
            <v>001135:コンピ)科学ソリ事</v>
          </cell>
        </row>
        <row r="31">
          <cell r="C31" t="str">
            <v>030167:戦略企画/プロモ室</v>
          </cell>
          <cell r="E31" t="str">
            <v>001137:コンピ)事業戦略室</v>
          </cell>
        </row>
        <row r="32">
          <cell r="C32" t="str">
            <v>030169:コンソリデーション推進室</v>
          </cell>
          <cell r="E32" t="str">
            <v>001140:第一NI事(202105_廃止)</v>
          </cell>
        </row>
        <row r="33">
          <cell r="C33" t="str">
            <v>030314:デジタルソリューション事業本部</v>
          </cell>
          <cell r="E33" t="str">
            <v>001213:第五リテール事業部</v>
          </cell>
        </row>
        <row r="34">
          <cell r="C34" t="str">
            <v>030315:第二ファイナンス事業本部</v>
          </cell>
          <cell r="E34" t="str">
            <v>001287:リテールソリューション事業部</v>
          </cell>
        </row>
        <row r="35">
          <cell r="C35" t="str">
            <v>040528:ＦＪＪ北海道東北本部</v>
          </cell>
          <cell r="E35" t="str">
            <v>001339:ドコモ第二事業部</v>
          </cell>
        </row>
        <row r="36">
          <cell r="C36" t="str">
            <v>040558:ＦＪＪ関東信越本部</v>
          </cell>
          <cell r="E36" t="str">
            <v>001353:Smart Retail事業部</v>
          </cell>
        </row>
        <row r="37">
          <cell r="C37" t="str">
            <v>040598:ＦＪＪ東京エリア本部</v>
          </cell>
          <cell r="E37" t="str">
            <v>001454:Mob)一シス事</v>
          </cell>
        </row>
        <row r="38">
          <cell r="C38" t="str">
            <v>040682:ＦＪＪ関西中四国本部</v>
          </cell>
          <cell r="E38" t="str">
            <v>001486:防災システム事業部</v>
          </cell>
        </row>
        <row r="39">
          <cell r="C39" t="str">
            <v>040765:ＦＪＪ公共デリ本部</v>
          </cell>
          <cell r="E39" t="str">
            <v>001505:品証)サビ品質統</v>
          </cell>
        </row>
        <row r="40">
          <cell r="E40" t="str">
            <v>001602:Mob)二シス事</v>
          </cell>
        </row>
        <row r="41">
          <cell r="E41" t="str">
            <v>001640:コンピ)計算科学事</v>
          </cell>
        </row>
        <row r="42">
          <cell r="E42" t="str">
            <v>001662:郵政事業部</v>
          </cell>
        </row>
        <row r="43">
          <cell r="E43" t="str">
            <v>001677:Mob)三シス事</v>
          </cell>
        </row>
        <row r="44">
          <cell r="E44" t="str">
            <v>001696:MFG)エレ</v>
          </cell>
        </row>
        <row r="45">
          <cell r="E45" t="str">
            <v>001717:MFG)化学</v>
          </cell>
        </row>
        <row r="46">
          <cell r="E46" t="str">
            <v>001764:データMGMT事</v>
          </cell>
        </row>
        <row r="47">
          <cell r="E47" t="str">
            <v>001785:CPS)ヘルスケア事</v>
          </cell>
        </row>
        <row r="48">
          <cell r="E48" t="str">
            <v>001866:MFG)エンジ</v>
          </cell>
        </row>
        <row r="49">
          <cell r="E49" t="str">
            <v>001964:MFG)住宅/建材</v>
          </cell>
        </row>
        <row r="50">
          <cell r="E50" t="str">
            <v>002014:官庁第五事業部</v>
          </cell>
        </row>
        <row r="51">
          <cell r="E51" t="str">
            <v>002190:官庁第六事業部</v>
          </cell>
        </row>
        <row r="52">
          <cell r="E52" t="str">
            <v>002221:MFG)組立</v>
          </cell>
        </row>
        <row r="53">
          <cell r="E53" t="str">
            <v>002387:DCクラ)一サビ事(202105_廃止)</v>
          </cell>
        </row>
        <row r="54">
          <cell r="E54" t="str">
            <v>002471:第四リテール事業部</v>
          </cell>
        </row>
        <row r="55">
          <cell r="E55" t="str">
            <v>002485:MIS)PRS事</v>
          </cell>
        </row>
        <row r="56">
          <cell r="E56" t="str">
            <v>002551:第一リテール事業部</v>
          </cell>
        </row>
        <row r="57">
          <cell r="E57" t="str">
            <v>002586:CPS)サービス事</v>
          </cell>
        </row>
        <row r="58">
          <cell r="E58" t="str">
            <v>002774:CPS)ＣＰＧ事</v>
          </cell>
        </row>
        <row r="59">
          <cell r="E59" t="str">
            <v>002799:デジタルソリューション戦略室</v>
          </cell>
        </row>
        <row r="60">
          <cell r="E60" t="str">
            <v>002805:共通テクノロジー事業部</v>
          </cell>
        </row>
        <row r="61">
          <cell r="E61" t="str">
            <v>002808:第一ファイナンス事業部</v>
          </cell>
        </row>
        <row r="62">
          <cell r="E62" t="str">
            <v>002817:ソリ基)ニソリ事(202105_廃止)</v>
          </cell>
        </row>
        <row r="63">
          <cell r="E63" t="str">
            <v>002821:第三ファイナンス事業部</v>
          </cell>
        </row>
        <row r="64">
          <cell r="E64" t="str">
            <v>003098:CPS)商社・卸事</v>
          </cell>
        </row>
        <row r="65">
          <cell r="E65" t="str">
            <v>003134:官庁第三事業部</v>
          </cell>
        </row>
        <row r="66">
          <cell r="E66" t="str">
            <v>003225:メディアビジネス事業部</v>
          </cell>
        </row>
        <row r="67">
          <cell r="E67" t="str">
            <v>003352:MIS)DWP事</v>
          </cell>
        </row>
        <row r="68">
          <cell r="E68" t="str">
            <v>003533:CPS)運輸事</v>
          </cell>
        </row>
        <row r="69">
          <cell r="E69" t="str">
            <v>003777:品証)品証モダ推</v>
          </cell>
        </row>
        <row r="70">
          <cell r="E70" t="str">
            <v>004050:DCクラ)二基盤事(202105_廃止)</v>
          </cell>
        </row>
        <row r="71">
          <cell r="E71" t="str">
            <v>004078:デジタルTP事</v>
          </cell>
        </row>
        <row r="72">
          <cell r="E72" t="str">
            <v>004126:第二保険事業部</v>
          </cell>
        </row>
        <row r="73">
          <cell r="E73" t="str">
            <v>004324:官庁第二事業部</v>
          </cell>
        </row>
        <row r="74">
          <cell r="E74" t="str">
            <v>004343:COL)ものソリ事</v>
          </cell>
        </row>
        <row r="75">
          <cell r="E75" t="str">
            <v>004359:第三リテール事業部</v>
          </cell>
        </row>
        <row r="76">
          <cell r="E76" t="str">
            <v>004408:CPS)スマートロジ</v>
          </cell>
        </row>
        <row r="77">
          <cell r="E77" t="str">
            <v>004451:ソフト検証統</v>
          </cell>
        </row>
        <row r="78">
          <cell r="E78" t="str">
            <v>004598:TA事業部</v>
          </cell>
        </row>
        <row r="79">
          <cell r="E79" t="str">
            <v>004606:ST本)フィールド統</v>
          </cell>
        </row>
        <row r="80">
          <cell r="E80" t="str">
            <v>004699:インフラ運用コンサル</v>
          </cell>
        </row>
        <row r="81">
          <cell r="E81" t="str">
            <v>004895:官庁第一事業部</v>
          </cell>
        </row>
        <row r="82">
          <cell r="E82" t="str">
            <v>004997:共済事業部</v>
          </cell>
        </row>
        <row r="83">
          <cell r="E83" t="str">
            <v>005001:第一保険事業部</v>
          </cell>
        </row>
        <row r="84">
          <cell r="E84" t="str">
            <v>005031:サービスオペ統</v>
          </cell>
        </row>
        <row r="85">
          <cell r="E85" t="str">
            <v>005331:MIS)サビデリ事</v>
          </cell>
        </row>
        <row r="86">
          <cell r="E86" t="str">
            <v>005946:MFG)プロセス</v>
          </cell>
        </row>
        <row r="87">
          <cell r="E87" t="str">
            <v>005968:Smart Finance事業部</v>
          </cell>
        </row>
        <row r="88">
          <cell r="E88" t="str">
            <v>006165:DCクラ)一基盤事(202105_廃止)</v>
          </cell>
        </row>
        <row r="89">
          <cell r="E89" t="str">
            <v>006198:FBaaS事業部</v>
          </cell>
        </row>
        <row r="90">
          <cell r="E90" t="str">
            <v>006198:金融)デジバンク事</v>
          </cell>
        </row>
        <row r="91">
          <cell r="E91" t="str">
            <v>006372:DCクラ)西日基盤事(202105_廃止)</v>
          </cell>
        </row>
        <row r="92">
          <cell r="E92" t="str">
            <v>006387:アライアンスビジ事</v>
          </cell>
        </row>
        <row r="93">
          <cell r="E93" t="str">
            <v>006423:DCクラ)二サビ事(202105_廃止)</v>
          </cell>
        </row>
        <row r="94">
          <cell r="E94" t="str">
            <v>006433:生体認証事業部</v>
          </cell>
        </row>
        <row r="95">
          <cell r="E95" t="str">
            <v>006570:DCクラ)サビデザ事(202105_廃止)</v>
          </cell>
        </row>
        <row r="96">
          <cell r="E96" t="str">
            <v>006669:DCクラ)事業改革推進統括部</v>
          </cell>
        </row>
        <row r="97">
          <cell r="E97" t="str">
            <v>006690:戦プ)ＤＸ基盤開発</v>
          </cell>
        </row>
        <row r="98">
          <cell r="E98" t="str">
            <v>006906:MIS)エッジサビ事</v>
          </cell>
        </row>
        <row r="99">
          <cell r="E99" t="str">
            <v>007024:デジタルラボ事業部</v>
          </cell>
        </row>
        <row r="100">
          <cell r="E100" t="str">
            <v>007027:JGG)テク推</v>
          </cell>
        </row>
        <row r="101">
          <cell r="E101" t="str">
            <v>007321:FITPC ビジネスプロセス基盤部</v>
          </cell>
        </row>
        <row r="102">
          <cell r="E102" t="str">
            <v>007582:FITPC 第四ソリ本部 第一PLMソリ部</v>
          </cell>
        </row>
        <row r="103">
          <cell r="E103" t="str">
            <v>008003:FITPC 第一ソリ本部 販売ソリ部</v>
          </cell>
        </row>
        <row r="104">
          <cell r="E104" t="str">
            <v>008014:第一バンキング事業部</v>
          </cell>
        </row>
        <row r="105">
          <cell r="E105" t="str">
            <v>008030:第一基盤サービス事業部</v>
          </cell>
        </row>
        <row r="106">
          <cell r="E106" t="str">
            <v>008129:FITPC 第一ソリ本部 会計・サービスソリ部</v>
          </cell>
        </row>
        <row r="107">
          <cell r="E107" t="str">
            <v>008333:FITPC 第二ソリ本部 デバイス製販ソリ部</v>
          </cell>
        </row>
        <row r="108">
          <cell r="E108" t="str">
            <v>008475:FITPC 第二ソリ本部 車載・SS製販ソリ部</v>
          </cell>
        </row>
        <row r="109">
          <cell r="E109" t="str">
            <v>008659:サポート技術統</v>
          </cell>
        </row>
        <row r="110">
          <cell r="E110" t="str">
            <v>008749:ビジネス管理部</v>
          </cell>
        </row>
        <row r="111">
          <cell r="E111" t="str">
            <v>008930:Mob)ＩＴインフ事</v>
          </cell>
        </row>
        <row r="112">
          <cell r="E112" t="str">
            <v>009217:DXテク開</v>
          </cell>
        </row>
        <row r="113">
          <cell r="E113" t="str">
            <v>009224:DXサービス事</v>
          </cell>
        </row>
        <row r="114">
          <cell r="E114" t="str">
            <v>009257:ソフテクインキュ</v>
          </cell>
        </row>
        <row r="115">
          <cell r="E115" t="str">
            <v>009393:CP&amp;S事本</v>
          </cell>
        </row>
        <row r="116">
          <cell r="E116" t="str">
            <v>009906:コンストラクション事業部</v>
          </cell>
        </row>
        <row r="117">
          <cell r="E117" t="str">
            <v>030047:DCクラ)DCオペレーション事業部</v>
          </cell>
        </row>
        <row r="118">
          <cell r="E118" t="str">
            <v>030056:SD本)事業戦略室</v>
          </cell>
        </row>
        <row r="119">
          <cell r="E119" t="str">
            <v>030068:大規模DP事</v>
          </cell>
        </row>
        <row r="120">
          <cell r="E120" t="str">
            <v>030069:データテク事</v>
          </cell>
        </row>
        <row r="121">
          <cell r="E121" t="str">
            <v>030071:第二バンキング事業部</v>
          </cell>
        </row>
        <row r="122">
          <cell r="E122" t="str">
            <v>030072:証券事業部</v>
          </cell>
        </row>
        <row r="123">
          <cell r="E123" t="str">
            <v>030081:第二ファイナンス事業部</v>
          </cell>
        </row>
        <row r="124">
          <cell r="E124" t="str">
            <v>030087:第五ファイナンス事業部</v>
          </cell>
        </row>
        <row r="125">
          <cell r="E125" t="str">
            <v>030088:第六ファイナンス事業部</v>
          </cell>
        </row>
        <row r="126">
          <cell r="E126" t="str">
            <v>030093:DS)JPNビジシス</v>
          </cell>
        </row>
        <row r="127">
          <cell r="E127" t="str">
            <v>030113:EBAS)BPS事</v>
          </cell>
        </row>
        <row r="128">
          <cell r="E128" t="str">
            <v>030116:グローバルリテール事業部</v>
          </cell>
        </row>
        <row r="129">
          <cell r="E129" t="str">
            <v>030133:事業推進部</v>
          </cell>
        </row>
        <row r="130">
          <cell r="E130" t="str">
            <v>030172:COL)GHO(202105_廃止)</v>
          </cell>
        </row>
        <row r="131">
          <cell r="E131" t="str">
            <v>030173:COL)戦企統</v>
          </cell>
        </row>
        <row r="132">
          <cell r="E132" t="str">
            <v>030174:第二リテール事業部</v>
          </cell>
        </row>
        <row r="133">
          <cell r="E133" t="str">
            <v>030188:企画統</v>
          </cell>
        </row>
        <row r="134">
          <cell r="E134" t="str">
            <v>030191:グロインキュ事</v>
          </cell>
        </row>
        <row r="135">
          <cell r="E135" t="str">
            <v>030198:COL)第二PLM(202105_廃止)</v>
          </cell>
        </row>
        <row r="136">
          <cell r="E136" t="str">
            <v>030208:JGG)アーキ統</v>
          </cell>
        </row>
        <row r="137">
          <cell r="E137" t="str">
            <v>030223:MIS)SD事</v>
          </cell>
        </row>
        <row r="138">
          <cell r="E138" t="str">
            <v>030297:MIS)WLS室</v>
          </cell>
        </row>
        <row r="139">
          <cell r="E139" t="str">
            <v>030358:第四ファイナンス事業部</v>
          </cell>
        </row>
        <row r="140">
          <cell r="E140" t="str">
            <v>030361:MIS)PRS推</v>
          </cell>
        </row>
        <row r="141">
          <cell r="E141" t="str">
            <v>030387:クレジット事業部</v>
          </cell>
        </row>
        <row r="142">
          <cell r="E142" t="str">
            <v>030457:特定基盤システム開発室</v>
          </cell>
        </row>
        <row r="143">
          <cell r="E143" t="str">
            <v>040399:FITPC 第三ソリ本部 APサポート部</v>
          </cell>
        </row>
        <row r="144">
          <cell r="E144" t="str">
            <v>040551:ＦＪＪ北海東北シス事</v>
          </cell>
        </row>
        <row r="145">
          <cell r="E145" t="str">
            <v>040588:ＦＪＪ関信１シス事業</v>
          </cell>
        </row>
        <row r="146">
          <cell r="E146" t="str">
            <v>040637:ＦＪＪ東京１シス事業</v>
          </cell>
        </row>
        <row r="147">
          <cell r="E147" t="str">
            <v>040643:ＦＪＪ東京２シス事業</v>
          </cell>
        </row>
        <row r="148">
          <cell r="E148" t="str">
            <v>040653:ＦＪＪ東京基盤シス事</v>
          </cell>
        </row>
        <row r="149">
          <cell r="E149" t="str">
            <v>040730:ＦＪＪ関西中四１シ事</v>
          </cell>
        </row>
        <row r="150">
          <cell r="E150" t="str">
            <v>040738:ＦＪＪ関西中四３シ事</v>
          </cell>
        </row>
        <row r="151">
          <cell r="E151" t="str">
            <v>040766:ＦＪＪ１行政デリ事業</v>
          </cell>
        </row>
        <row r="152">
          <cell r="E152" t="str">
            <v>040767:ＦＪＪ２行政デリ事業</v>
          </cell>
        </row>
        <row r="153">
          <cell r="E153" t="str">
            <v>040771:ＦＪＪ３行政デリ事業</v>
          </cell>
        </row>
        <row r="154">
          <cell r="E154" t="str">
            <v>040774:ＦＪＪ社保デリ事業</v>
          </cell>
        </row>
        <row r="155">
          <cell r="E155" t="str">
            <v>040784:ＦＪＪ１広域ＨＣデ事</v>
          </cell>
        </row>
        <row r="156">
          <cell r="E156" t="str">
            <v>040787:ＦＪＪ社会シス事業</v>
          </cell>
        </row>
        <row r="157">
          <cell r="E157" t="str">
            <v>040800:ＦＪＪ産業ソリ事業</v>
          </cell>
        </row>
        <row r="158">
          <cell r="E158" t="str">
            <v>040805:ＦＪＪ流通ソリ事業</v>
          </cell>
        </row>
        <row r="159">
          <cell r="E159" t="str">
            <v>040826:ＦＪＪクロスビジ本部</v>
          </cell>
        </row>
        <row r="160">
          <cell r="E160" t="str">
            <v>040868:ＦＪＪ住民情報ソリ事</v>
          </cell>
        </row>
        <row r="161">
          <cell r="E161" t="str">
            <v>040873:ＦＪＪ社会保障ソリ事</v>
          </cell>
        </row>
        <row r="162">
          <cell r="E162" t="str">
            <v>040877:ＦＪＪフロントソリ事</v>
          </cell>
        </row>
        <row r="163">
          <cell r="E163" t="str">
            <v>040882:ＦＪＪ電カルソリ事業</v>
          </cell>
        </row>
        <row r="164">
          <cell r="E164" t="str">
            <v>040883:ＦＪＪＨＣパトソリ事</v>
          </cell>
        </row>
        <row r="165">
          <cell r="E165" t="str">
            <v>040884:ＦＪＪＨＣクラサ事　</v>
          </cell>
        </row>
        <row r="166">
          <cell r="E166" t="str">
            <v>040885:ＦＪＪＨＣ部門ソリ事</v>
          </cell>
        </row>
        <row r="167">
          <cell r="E167" t="str">
            <v>040886:ＦＪＪＷＢｅソリ事業</v>
          </cell>
        </row>
        <row r="168">
          <cell r="E168" t="str">
            <v>040891:ＦＪＪオンラインＨＣ</v>
          </cell>
        </row>
        <row r="169">
          <cell r="E169" t="str">
            <v>040894:ＦＪＪ大学ソリ事業</v>
          </cell>
        </row>
        <row r="170">
          <cell r="E170" t="str">
            <v>040898:ＦＪＪ公共教育ソリ事</v>
          </cell>
        </row>
        <row r="171">
          <cell r="E171" t="str">
            <v>040902:ＦＪＪ地域ソリ事業</v>
          </cell>
        </row>
        <row r="172">
          <cell r="E172" t="str">
            <v>040939:ＦＪＪ共通１ソリ事業</v>
          </cell>
        </row>
        <row r="173">
          <cell r="E173" t="str">
            <v>040942:ＦＪＪ共通２ソリ事業</v>
          </cell>
        </row>
        <row r="174">
          <cell r="E174" t="str">
            <v>040945:ＦＪＪ共通３ソリ事業</v>
          </cell>
        </row>
        <row r="175">
          <cell r="E175" t="str">
            <v>040949:ＦＪＪ共通４ソリ事業</v>
          </cell>
        </row>
        <row r="176">
          <cell r="E176" t="str">
            <v>040953:ＦＪＪ共通５ソリ事業</v>
          </cell>
        </row>
        <row r="177">
          <cell r="E177" t="str">
            <v>040957:ＦＪＪサービスマネ事</v>
          </cell>
        </row>
        <row r="178">
          <cell r="E178" t="str">
            <v>040964:ＦＪＪＪＧＧ推進統</v>
          </cell>
        </row>
        <row r="179">
          <cell r="E179" t="str">
            <v>050014:DA事</v>
          </cell>
        </row>
        <row r="180">
          <cell r="E180" t="str">
            <v>050019:JGG)アプリ統</v>
          </cell>
        </row>
        <row r="181">
          <cell r="E181" t="str">
            <v>050021:JGG)SAPSS</v>
          </cell>
        </row>
        <row r="182">
          <cell r="E182" t="str">
            <v>050021:JGG)SAPSS(202105_組織移行)</v>
          </cell>
        </row>
        <row r="183">
          <cell r="E183" t="str">
            <v>050024:JGG)エンタITS</v>
          </cell>
        </row>
        <row r="184">
          <cell r="E184" t="str">
            <v>CSU</v>
          </cell>
        </row>
        <row r="185">
          <cell r="E185" t="str">
            <v>REU</v>
          </cell>
        </row>
      </sheetData>
      <sheetData sheetId="4">
        <row r="2">
          <cell r="A2" t="str">
            <v>002586:CPS)サービス事</v>
          </cell>
        </row>
        <row r="3">
          <cell r="A3" t="str">
            <v>001785:CPS)ヘルスケア事</v>
          </cell>
        </row>
        <row r="4">
          <cell r="A4" t="str">
            <v>009393:CP&amp;S事本</v>
          </cell>
        </row>
        <row r="5">
          <cell r="A5" t="str">
            <v>002774:CPS)ＣＰＧ事</v>
          </cell>
        </row>
        <row r="6">
          <cell r="A6" t="str">
            <v>003098:CPS)商社・卸事</v>
          </cell>
        </row>
        <row r="7">
          <cell r="A7" t="str">
            <v>004408:CPS)スマートロジ</v>
          </cell>
        </row>
        <row r="8">
          <cell r="A8" t="str">
            <v>003533:CPS)運輸事</v>
          </cell>
        </row>
      </sheetData>
      <sheetData sheetId="5" refreshError="1"/>
      <sheetData sheetId="6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34A1D4-066C-40CB-83F5-040D6F301896}" name="ReviseHistory" displayName="ReviseHistory" ref="A7:E14" totalsRowShown="0" headerRowDxfId="8" dataDxfId="7">
  <autoFilter ref="A7:E14" xr:uid="{B08060B0-BB9A-4B94-B7D8-041F55E38B74}"/>
  <tableColumns count="5">
    <tableColumn id="1" xr3:uid="{456FCC87-D0DA-4AA1-BFB6-9D2755570EF5}" name="No." dataDxfId="6"/>
    <tableColumn id="2" xr3:uid="{5CC885C9-826C-4345-A2CF-8BAA1F0C1B7F}" name="Name" dataDxfId="5"/>
    <tableColumn id="3" xr3:uid="{E777949C-2A4D-4E6E-9ECE-B0D1B8081F5F}" name="Date" dataDxfId="4"/>
    <tableColumn id="4" xr3:uid="{CCC75707-A89C-4C4C-945C-D7A1CE5EF8DD}" name="Version" dataDxfId="3"/>
    <tableColumn id="5" xr3:uid="{ADCEE5A8-01CE-457A-8627-A1BC7A8D7F1D}" name="Comment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6C1C-2C02-4755-A8DC-A6526C5C3C2D}">
  <sheetPr codeName="Sheet3">
    <pageSetUpPr fitToPage="1"/>
  </sheetPr>
  <dimension ref="A2:J19"/>
  <sheetViews>
    <sheetView zoomScaleNormal="100" workbookViewId="0"/>
  </sheetViews>
  <sheetFormatPr defaultColWidth="8.7265625" defaultRowHeight="17.399999999999999"/>
  <cols>
    <col min="1" max="1" width="7.54296875" style="2" bestFit="1" customWidth="1"/>
    <col min="2" max="2" width="9.26953125" style="2" customWidth="1"/>
    <col min="3" max="3" width="13" style="2" customWidth="1"/>
    <col min="4" max="4" width="10.54296875" style="2" customWidth="1"/>
    <col min="5" max="5" width="36.453125" style="2" bestFit="1" customWidth="1"/>
    <col min="6" max="16384" width="8.7265625" style="2"/>
  </cols>
  <sheetData>
    <row r="2" spans="1:10">
      <c r="A2" s="1" t="s">
        <v>0</v>
      </c>
      <c r="C2" s="3"/>
    </row>
    <row r="3" spans="1:10">
      <c r="A3" s="2">
        <f>MAX(ReviseHistory[No.])</f>
        <v>2</v>
      </c>
      <c r="B3" s="4" t="str">
        <f>VLOOKUP($A3,ReviseHistory[],2,FALSE)</f>
        <v>曾進</v>
      </c>
      <c r="C3" s="5">
        <f>MAX(ReviseHistory[Date])</f>
        <v>45869</v>
      </c>
      <c r="D3" s="4" t="str">
        <f>VLOOKUP($A3,ReviseHistory[],4,FALSE)</f>
        <v>Ver 2.0</v>
      </c>
      <c r="E3" s="2" t="str">
        <f>VLOOKUP($A3,ReviseHistory[],5,FALSE)</f>
        <v>作業報告書</v>
      </c>
    </row>
    <row r="4" spans="1:10">
      <c r="C4" s="3"/>
      <c r="J4" s="3"/>
    </row>
    <row r="5" spans="1:10">
      <c r="C5" s="3"/>
      <c r="J5" s="3"/>
    </row>
    <row r="6" spans="1:10">
      <c r="A6" s="1" t="s">
        <v>1</v>
      </c>
      <c r="C6" s="3"/>
    </row>
    <row r="7" spans="1:10">
      <c r="A7" s="4" t="s">
        <v>2</v>
      </c>
      <c r="B7" s="4" t="s">
        <v>3</v>
      </c>
      <c r="C7" s="4" t="s">
        <v>4</v>
      </c>
      <c r="D7" s="4" t="s">
        <v>5</v>
      </c>
      <c r="E7" s="4" t="s">
        <v>6</v>
      </c>
    </row>
    <row r="8" spans="1:10">
      <c r="A8" s="6">
        <v>1</v>
      </c>
      <c r="B8" s="7" t="s">
        <v>7</v>
      </c>
      <c r="C8" s="8">
        <v>45839</v>
      </c>
      <c r="D8" s="7" t="s">
        <v>8</v>
      </c>
      <c r="E8" s="21" t="s">
        <v>9</v>
      </c>
    </row>
    <row r="9" spans="1:10">
      <c r="A9" s="6">
        <v>2</v>
      </c>
      <c r="B9" s="7" t="s">
        <v>7</v>
      </c>
      <c r="C9" s="8">
        <v>45869</v>
      </c>
      <c r="D9" s="7" t="s">
        <v>63</v>
      </c>
      <c r="E9" s="21" t="s">
        <v>64</v>
      </c>
    </row>
    <row r="10" spans="1:10">
      <c r="A10" s="6"/>
      <c r="B10" s="7"/>
      <c r="C10" s="8"/>
      <c r="D10" s="7"/>
      <c r="E10" s="9"/>
    </row>
    <row r="11" spans="1:10">
      <c r="A11" s="6"/>
      <c r="B11" s="7"/>
      <c r="C11" s="8"/>
      <c r="D11" s="7"/>
      <c r="E11" s="9"/>
    </row>
    <row r="12" spans="1:10">
      <c r="A12" s="6"/>
      <c r="B12" s="7"/>
      <c r="C12" s="8"/>
      <c r="D12" s="7"/>
      <c r="E12" s="9"/>
    </row>
    <row r="13" spans="1:10">
      <c r="A13" s="6"/>
      <c r="B13" s="7"/>
      <c r="C13" s="8"/>
      <c r="D13" s="7"/>
      <c r="E13" s="6"/>
    </row>
    <row r="14" spans="1:10">
      <c r="A14" s="6"/>
      <c r="B14" s="7"/>
      <c r="C14" s="8"/>
      <c r="D14" s="7"/>
      <c r="E14" s="6"/>
    </row>
    <row r="15" spans="1:10">
      <c r="C15" s="5"/>
    </row>
    <row r="16" spans="1:10">
      <c r="C16" s="5"/>
    </row>
    <row r="17" spans="3:3">
      <c r="C17" s="5"/>
    </row>
    <row r="18" spans="3:3">
      <c r="C18" s="5"/>
    </row>
    <row r="19" spans="3:3">
      <c r="C19" s="5"/>
    </row>
  </sheetData>
  <phoneticPr fontId="1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&amp;L&amp;F&amp;C&amp;A&amp;R&amp;D</oddHeader>
    <oddFooter>&amp;C&amp;P/&amp;N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7CF81-F32D-4DE4-9314-6ADA75D7A471}">
  <sheetPr codeName="Sheet1">
    <pageSetUpPr fitToPage="1"/>
  </sheetPr>
  <dimension ref="A1"/>
  <sheetViews>
    <sheetView tabSelected="1" zoomScale="85" zoomScaleNormal="85" workbookViewId="0">
      <selection activeCell="E7" sqref="E7"/>
    </sheetView>
  </sheetViews>
  <sheetFormatPr defaultRowHeight="15"/>
  <cols>
    <col min="6" max="6" width="11.08984375" customWidth="1"/>
    <col min="7" max="7" width="44.08984375" customWidth="1"/>
  </cols>
  <sheetData/>
  <phoneticPr fontId="1"/>
  <pageMargins left="0.7" right="0.7" top="0.75" bottom="0.75" header="0.3" footer="0.3"/>
  <pageSetup paperSize="9" orientation="landscape" r:id="rId1"/>
  <headerFooter>
    <oddHeader>&amp;L&amp;"Meiryo UI,標準"&amp;F&amp;C&amp;"Meiryo UI,標準"&amp;A&amp;R&amp;"Meiryo UI,標準"&amp;D</oddHeader>
    <oddFooter>&amp;C&amp;"Meiryo UI,標準"&amp;P/&amp;N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O_SPLIT2">
                <anchor moveWithCells="1" sizeWithCells="1">
                  <from>
                    <xdr:col>0</xdr:col>
                    <xdr:colOff>815340</xdr:colOff>
                    <xdr:row>5</xdr:row>
                    <xdr:rowOff>182880</xdr:rowOff>
                  </from>
                  <to>
                    <xdr:col>4</xdr:col>
                    <xdr:colOff>7620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O_TEMPLATE2">
                <anchor moveWithCells="1" sizeWithCells="1">
                  <from>
                    <xdr:col>1</xdr:col>
                    <xdr:colOff>7620</xdr:colOff>
                    <xdr:row>2</xdr:row>
                    <xdr:rowOff>15240</xdr:rowOff>
                  </from>
                  <to>
                    <xdr:col>4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DO_READ_BOOK">
                <anchor moveWithCells="1" sizeWithCells="1">
                  <from>
                    <xdr:col>1</xdr:col>
                    <xdr:colOff>7620</xdr:colOff>
                    <xdr:row>10</xdr:row>
                    <xdr:rowOff>0</xdr:rowOff>
                  </from>
                  <to>
                    <xdr:col>3</xdr:col>
                    <xdr:colOff>807720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DO_CLEAR_BOOK">
                <anchor moveWithCells="1" sizeWithCells="1">
                  <from>
                    <xdr:col>1</xdr:col>
                    <xdr:colOff>30480</xdr:colOff>
                    <xdr:row>14</xdr:row>
                    <xdr:rowOff>0</xdr:rowOff>
                  </from>
                  <to>
                    <xdr:col>3</xdr:col>
                    <xdr:colOff>807720</xdr:colOff>
                    <xdr:row>16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3A4EF-1366-4DF9-903A-3F3D6531B254}">
  <sheetPr codeName="Sheet9">
    <pageSetUpPr fitToPage="1"/>
  </sheetPr>
  <dimension ref="A1:J11"/>
  <sheetViews>
    <sheetView zoomScaleNormal="100" workbookViewId="0">
      <selection sqref="A1:XFD1048576"/>
    </sheetView>
  </sheetViews>
  <sheetFormatPr defaultColWidth="8.7265625" defaultRowHeight="15"/>
  <cols>
    <col min="1" max="1" width="18.26953125" style="14" customWidth="1"/>
    <col min="2" max="2" width="10.7265625" style="14" bestFit="1" customWidth="1"/>
    <col min="3" max="16384" width="8.7265625" style="14"/>
  </cols>
  <sheetData>
    <row r="1" spans="1:10">
      <c r="A1" s="102" t="s">
        <v>11</v>
      </c>
      <c r="B1" s="102"/>
      <c r="C1" s="103" t="s">
        <v>12</v>
      </c>
      <c r="D1" s="104"/>
      <c r="E1" s="102" t="s">
        <v>13</v>
      </c>
      <c r="F1" s="102" t="s">
        <v>14</v>
      </c>
      <c r="G1" s="102"/>
      <c r="H1" s="102" t="s">
        <v>15</v>
      </c>
      <c r="I1" s="102"/>
      <c r="J1" s="102" t="s">
        <v>16</v>
      </c>
    </row>
    <row r="2" spans="1:10">
      <c r="A2" s="13" t="s">
        <v>17</v>
      </c>
      <c r="B2" s="13" t="s">
        <v>18</v>
      </c>
      <c r="C2" s="13" t="s">
        <v>19</v>
      </c>
      <c r="D2" s="13" t="s">
        <v>20</v>
      </c>
      <c r="E2" s="102"/>
      <c r="F2" s="13" t="s">
        <v>21</v>
      </c>
      <c r="G2" s="13" t="s">
        <v>22</v>
      </c>
      <c r="H2" s="13" t="s">
        <v>23</v>
      </c>
      <c r="I2" s="13" t="s">
        <v>24</v>
      </c>
      <c r="J2" s="102"/>
    </row>
    <row r="3" spans="1:10" ht="15.6">
      <c r="A3" s="20" t="s">
        <v>28</v>
      </c>
      <c r="B3" s="15" t="s">
        <v>25</v>
      </c>
      <c r="C3" s="16" t="s">
        <v>26</v>
      </c>
      <c r="D3" s="16" t="s">
        <v>29</v>
      </c>
      <c r="E3" s="17">
        <v>3</v>
      </c>
      <c r="F3" s="17">
        <v>4</v>
      </c>
      <c r="G3" s="18">
        <v>1</v>
      </c>
      <c r="H3" s="17" t="s">
        <v>27</v>
      </c>
      <c r="I3" s="18">
        <v>32</v>
      </c>
      <c r="J3" s="17" t="s">
        <v>16</v>
      </c>
    </row>
    <row r="4" spans="1:10" ht="15.6">
      <c r="A4" s="20" t="s">
        <v>28</v>
      </c>
      <c r="B4" s="15" t="s">
        <v>25</v>
      </c>
      <c r="C4" s="16" t="s">
        <v>30</v>
      </c>
      <c r="D4" s="16" t="s">
        <v>31</v>
      </c>
      <c r="E4" s="17">
        <v>4</v>
      </c>
      <c r="F4" s="17">
        <v>4</v>
      </c>
      <c r="G4" s="18">
        <v>1</v>
      </c>
      <c r="H4" s="17" t="s">
        <v>27</v>
      </c>
      <c r="I4" s="18">
        <v>32</v>
      </c>
      <c r="J4" s="17" t="s">
        <v>16</v>
      </c>
    </row>
    <row r="5" spans="1:10" ht="15.6">
      <c r="A5" s="20" t="s">
        <v>28</v>
      </c>
      <c r="B5" s="15" t="s">
        <v>25</v>
      </c>
      <c r="C5" s="16" t="s">
        <v>33</v>
      </c>
      <c r="D5" s="16" t="s">
        <v>32</v>
      </c>
      <c r="E5" s="17">
        <v>5</v>
      </c>
      <c r="F5" s="17">
        <v>4</v>
      </c>
      <c r="G5" s="18">
        <v>1</v>
      </c>
      <c r="H5" s="17" t="s">
        <v>27</v>
      </c>
      <c r="I5" s="18">
        <v>32</v>
      </c>
      <c r="J5" s="17" t="s">
        <v>16</v>
      </c>
    </row>
    <row r="6" spans="1:10" ht="15.6">
      <c r="A6" s="20" t="s">
        <v>28</v>
      </c>
      <c r="B6" s="15" t="s">
        <v>25</v>
      </c>
      <c r="C6" s="16" t="s">
        <v>34</v>
      </c>
      <c r="D6" s="16" t="s">
        <v>38</v>
      </c>
      <c r="E6" s="17">
        <v>6</v>
      </c>
      <c r="F6" s="17">
        <v>4</v>
      </c>
      <c r="G6" s="18">
        <v>1</v>
      </c>
      <c r="H6" s="17" t="s">
        <v>27</v>
      </c>
      <c r="I6" s="18">
        <v>32</v>
      </c>
      <c r="J6" s="17" t="s">
        <v>16</v>
      </c>
    </row>
    <row r="7" spans="1:10" ht="15.6">
      <c r="A7" s="20" t="s">
        <v>28</v>
      </c>
      <c r="B7" s="15" t="s">
        <v>25</v>
      </c>
      <c r="C7" s="16" t="s">
        <v>35</v>
      </c>
      <c r="D7" s="16" t="s">
        <v>39</v>
      </c>
      <c r="E7" s="17">
        <v>7</v>
      </c>
      <c r="F7" s="17">
        <v>4</v>
      </c>
      <c r="G7" s="18">
        <v>1</v>
      </c>
      <c r="H7" s="17" t="s">
        <v>27</v>
      </c>
      <c r="I7" s="18">
        <v>32</v>
      </c>
      <c r="J7" s="17" t="s">
        <v>16</v>
      </c>
    </row>
    <row r="8" spans="1:10" ht="15.6">
      <c r="A8" s="20" t="s">
        <v>28</v>
      </c>
      <c r="B8" s="15" t="s">
        <v>25</v>
      </c>
      <c r="C8" s="16" t="s">
        <v>36</v>
      </c>
      <c r="D8" s="16" t="s">
        <v>40</v>
      </c>
      <c r="E8" s="17">
        <v>8</v>
      </c>
      <c r="F8" s="17">
        <v>4</v>
      </c>
      <c r="G8" s="18">
        <v>1</v>
      </c>
      <c r="H8" s="17" t="s">
        <v>27</v>
      </c>
      <c r="I8" s="18">
        <v>32</v>
      </c>
      <c r="J8" s="17" t="s">
        <v>16</v>
      </c>
    </row>
    <row r="9" spans="1:10" ht="15.6">
      <c r="A9" s="20" t="s">
        <v>28</v>
      </c>
      <c r="B9" s="15" t="s">
        <v>25</v>
      </c>
      <c r="C9" s="16" t="s">
        <v>37</v>
      </c>
      <c r="D9" s="16" t="s">
        <v>41</v>
      </c>
      <c r="E9" s="17">
        <v>9</v>
      </c>
      <c r="F9" s="17">
        <v>4</v>
      </c>
      <c r="G9" s="18">
        <v>1</v>
      </c>
      <c r="H9" s="17" t="s">
        <v>27</v>
      </c>
      <c r="I9" s="18">
        <v>32</v>
      </c>
      <c r="J9" s="17"/>
    </row>
    <row r="10" spans="1:10">
      <c r="A10" s="15"/>
      <c r="B10" s="15"/>
      <c r="C10" s="15"/>
      <c r="D10" s="15"/>
      <c r="E10" s="15"/>
      <c r="F10" s="15"/>
      <c r="G10" s="19"/>
      <c r="H10" s="15"/>
      <c r="I10" s="19"/>
      <c r="J10" s="15"/>
    </row>
    <row r="11" spans="1:10">
      <c r="A11" s="15"/>
      <c r="B11" s="15"/>
      <c r="C11" s="15"/>
      <c r="D11" s="15"/>
      <c r="E11" s="15"/>
      <c r="F11" s="15"/>
      <c r="G11" s="19"/>
      <c r="H11" s="15"/>
      <c r="I11" s="19"/>
      <c r="J11" s="15"/>
    </row>
  </sheetData>
  <mergeCells count="6">
    <mergeCell ref="J1:J2"/>
    <mergeCell ref="A1:B1"/>
    <mergeCell ref="C1:D1"/>
    <mergeCell ref="E1:E2"/>
    <mergeCell ref="F1:G1"/>
    <mergeCell ref="H1:I1"/>
  </mergeCells>
  <phoneticPr fontId="1"/>
  <pageMargins left="0.7" right="0.7" top="0.75" bottom="0.75" header="0.3" footer="0.3"/>
  <pageSetup paperSize="9" orientation="landscape" r:id="rId1"/>
  <headerFooter>
    <oddHeader>&amp;L&amp;"Meiryo UI,標準"&amp;F&amp;C&amp;"Meiryo UI,標準"&amp;A&amp;R&amp;"Meiryo UI,標準"&amp;D</oddHeader>
    <oddFooter>&amp;C&amp;"Meiryo UI,標準"&amp;P/&amp;N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CA4C9-63CC-4CE0-AB85-26C1B81017D7}">
  <sheetPr codeName="Sheet4" filterMode="1"/>
  <dimension ref="A1:M43"/>
  <sheetViews>
    <sheetView zoomScaleNormal="100" workbookViewId="0">
      <pane ySplit="1" topLeftCell="A2" activePane="bottomLeft" state="frozen"/>
      <selection pane="bottomLeft" activeCell="N31" sqref="N31"/>
    </sheetView>
  </sheetViews>
  <sheetFormatPr defaultRowHeight="15"/>
  <cols>
    <col min="1" max="1" width="4.90625" customWidth="1"/>
    <col min="2" max="2" width="12.1796875" customWidth="1"/>
    <col min="5" max="9" width="9.81640625" style="89" customWidth="1"/>
  </cols>
  <sheetData>
    <row r="1" spans="1:13">
      <c r="A1" s="10" t="s">
        <v>119</v>
      </c>
      <c r="B1" s="10" t="s">
        <v>62</v>
      </c>
      <c r="C1" s="10" t="s">
        <v>108</v>
      </c>
      <c r="D1" s="10" t="s">
        <v>113</v>
      </c>
      <c r="E1" s="90" t="s">
        <v>105</v>
      </c>
      <c r="F1" s="90" t="s">
        <v>106</v>
      </c>
      <c r="G1" s="90" t="s">
        <v>107</v>
      </c>
      <c r="H1" s="90" t="s">
        <v>114</v>
      </c>
      <c r="I1" s="90" t="s">
        <v>115</v>
      </c>
      <c r="J1" s="90" t="s">
        <v>116</v>
      </c>
      <c r="K1" s="90" t="s">
        <v>117</v>
      </c>
      <c r="L1" s="90" t="s">
        <v>118</v>
      </c>
      <c r="M1" s="90" t="s">
        <v>136</v>
      </c>
    </row>
    <row r="2" spans="1:13">
      <c r="A2">
        <v>1</v>
      </c>
      <c r="B2" t="s">
        <v>42</v>
      </c>
      <c r="D2" s="89" t="str">
        <f>_xlfn.CONCAT(E2:M2)</f>
        <v/>
      </c>
    </row>
    <row r="3" spans="1:13">
      <c r="A3">
        <v>2</v>
      </c>
      <c r="B3" t="s">
        <v>43</v>
      </c>
      <c r="D3" s="89" t="str">
        <f t="shared" ref="D3:D43" si="0">_xlfn.CONCAT(E3:M3)</f>
        <v/>
      </c>
    </row>
    <row r="4" spans="1:13">
      <c r="A4">
        <v>3</v>
      </c>
      <c r="B4" t="s">
        <v>44</v>
      </c>
      <c r="D4" s="89" t="str">
        <f t="shared" si="0"/>
        <v/>
      </c>
    </row>
    <row r="5" spans="1:13">
      <c r="A5">
        <v>4</v>
      </c>
      <c r="B5" t="s">
        <v>45</v>
      </c>
      <c r="D5" s="89" t="str">
        <f t="shared" si="0"/>
        <v/>
      </c>
    </row>
    <row r="6" spans="1:13" hidden="1">
      <c r="A6">
        <v>5</v>
      </c>
      <c r="B6" t="s">
        <v>46</v>
      </c>
      <c r="D6" s="89" t="str">
        <f t="shared" si="0"/>
        <v>●</v>
      </c>
      <c r="M6" s="89" t="s">
        <v>110</v>
      </c>
    </row>
    <row r="7" spans="1:13" hidden="1">
      <c r="A7">
        <v>6</v>
      </c>
      <c r="B7" t="s">
        <v>47</v>
      </c>
      <c r="D7" s="89" t="str">
        <f t="shared" si="0"/>
        <v>●</v>
      </c>
      <c r="M7" s="89" t="s">
        <v>110</v>
      </c>
    </row>
    <row r="8" spans="1:13" hidden="1">
      <c r="A8">
        <v>7</v>
      </c>
      <c r="B8" t="s">
        <v>48</v>
      </c>
      <c r="D8" s="89" t="str">
        <f t="shared" si="0"/>
        <v>●</v>
      </c>
      <c r="M8" s="89" t="s">
        <v>110</v>
      </c>
    </row>
    <row r="9" spans="1:13" hidden="1">
      <c r="A9">
        <v>8</v>
      </c>
      <c r="B9" t="s">
        <v>49</v>
      </c>
      <c r="D9" s="89" t="str">
        <f t="shared" si="0"/>
        <v>●</v>
      </c>
      <c r="M9" s="89" t="s">
        <v>110</v>
      </c>
    </row>
    <row r="10" spans="1:13">
      <c r="A10">
        <v>9</v>
      </c>
      <c r="B10" t="s">
        <v>50</v>
      </c>
      <c r="D10" s="89" t="str">
        <f t="shared" si="0"/>
        <v/>
      </c>
    </row>
    <row r="11" spans="1:13" hidden="1">
      <c r="A11">
        <v>10</v>
      </c>
      <c r="B11" t="s">
        <v>51</v>
      </c>
      <c r="D11" s="89" t="str">
        <f t="shared" si="0"/>
        <v>●</v>
      </c>
      <c r="M11" s="89" t="s">
        <v>110</v>
      </c>
    </row>
    <row r="12" spans="1:13" hidden="1">
      <c r="A12">
        <v>11</v>
      </c>
      <c r="B12" t="s">
        <v>104</v>
      </c>
      <c r="D12" s="89" t="str">
        <f t="shared" si="0"/>
        <v>●</v>
      </c>
      <c r="F12" s="89" t="s">
        <v>110</v>
      </c>
    </row>
    <row r="13" spans="1:13" hidden="1">
      <c r="A13">
        <v>12</v>
      </c>
      <c r="B13" t="s">
        <v>120</v>
      </c>
      <c r="C13" t="s">
        <v>100</v>
      </c>
      <c r="D13" s="89" t="str">
        <f t="shared" si="0"/>
        <v>●</v>
      </c>
      <c r="F13" s="89" t="s">
        <v>110</v>
      </c>
    </row>
    <row r="14" spans="1:13" hidden="1">
      <c r="A14">
        <v>13</v>
      </c>
      <c r="B14" t="s">
        <v>52</v>
      </c>
      <c r="D14" s="89" t="str">
        <f t="shared" si="0"/>
        <v>●</v>
      </c>
      <c r="K14" s="89" t="s">
        <v>110</v>
      </c>
    </row>
    <row r="15" spans="1:13" hidden="1">
      <c r="A15">
        <v>14</v>
      </c>
      <c r="B15" t="s">
        <v>121</v>
      </c>
      <c r="D15" s="89" t="str">
        <f t="shared" si="0"/>
        <v>●</v>
      </c>
      <c r="F15" s="89" t="s">
        <v>110</v>
      </c>
    </row>
    <row r="16" spans="1:13" hidden="1">
      <c r="A16">
        <v>15</v>
      </c>
      <c r="B16" t="s">
        <v>122</v>
      </c>
      <c r="D16" s="89" t="str">
        <f t="shared" si="0"/>
        <v>●</v>
      </c>
      <c r="F16" s="89" t="s">
        <v>110</v>
      </c>
    </row>
    <row r="17" spans="1:13" hidden="1">
      <c r="A17">
        <v>16</v>
      </c>
      <c r="B17" t="s">
        <v>123</v>
      </c>
      <c r="D17" s="89" t="str">
        <f t="shared" si="0"/>
        <v>●</v>
      </c>
      <c r="M17" s="89" t="s">
        <v>110</v>
      </c>
    </row>
    <row r="18" spans="1:13" hidden="1">
      <c r="A18">
        <v>17</v>
      </c>
      <c r="B18" t="s">
        <v>124</v>
      </c>
      <c r="D18" s="89" t="str">
        <f t="shared" si="0"/>
        <v>●</v>
      </c>
      <c r="F18" s="89" t="s">
        <v>110</v>
      </c>
    </row>
    <row r="19" spans="1:13" hidden="1">
      <c r="A19">
        <v>18</v>
      </c>
      <c r="B19" t="s">
        <v>125</v>
      </c>
      <c r="C19" t="s">
        <v>109</v>
      </c>
      <c r="D19" s="89" t="str">
        <f t="shared" si="0"/>
        <v>●</v>
      </c>
      <c r="F19" s="89" t="s">
        <v>110</v>
      </c>
    </row>
    <row r="20" spans="1:13" hidden="1">
      <c r="A20">
        <v>19</v>
      </c>
      <c r="B20" t="s">
        <v>126</v>
      </c>
      <c r="D20" s="89" t="str">
        <f t="shared" si="0"/>
        <v>●</v>
      </c>
      <c r="F20" s="89" t="s">
        <v>110</v>
      </c>
    </row>
    <row r="21" spans="1:13" hidden="1">
      <c r="A21">
        <v>20</v>
      </c>
      <c r="B21" t="s">
        <v>53</v>
      </c>
      <c r="D21" s="89" t="str">
        <f t="shared" si="0"/>
        <v>●</v>
      </c>
      <c r="K21" s="89" t="s">
        <v>110</v>
      </c>
    </row>
    <row r="22" spans="1:13" hidden="1">
      <c r="A22">
        <v>21</v>
      </c>
      <c r="B22" t="s">
        <v>127</v>
      </c>
      <c r="C22" t="s">
        <v>99</v>
      </c>
      <c r="D22" s="89" t="str">
        <f t="shared" si="0"/>
        <v>●</v>
      </c>
      <c r="E22" s="89" t="s">
        <v>110</v>
      </c>
    </row>
    <row r="23" spans="1:13" hidden="1">
      <c r="A23">
        <v>22</v>
      </c>
      <c r="B23" t="s">
        <v>54</v>
      </c>
      <c r="D23" s="89" t="str">
        <f t="shared" si="0"/>
        <v>●</v>
      </c>
      <c r="M23" s="89" t="s">
        <v>110</v>
      </c>
    </row>
    <row r="24" spans="1:13" hidden="1">
      <c r="A24">
        <v>23</v>
      </c>
      <c r="B24" t="s">
        <v>128</v>
      </c>
      <c r="D24" s="89" t="str">
        <f t="shared" si="0"/>
        <v>●</v>
      </c>
      <c r="F24" s="89" t="s">
        <v>110</v>
      </c>
    </row>
    <row r="25" spans="1:13" hidden="1">
      <c r="A25">
        <v>24</v>
      </c>
      <c r="B25" t="s">
        <v>129</v>
      </c>
      <c r="C25" t="s">
        <v>98</v>
      </c>
      <c r="D25" s="89" t="str">
        <f t="shared" si="0"/>
        <v>●</v>
      </c>
      <c r="F25" s="89" t="s">
        <v>110</v>
      </c>
    </row>
    <row r="26" spans="1:13" hidden="1">
      <c r="A26">
        <v>25</v>
      </c>
      <c r="B26" t="s">
        <v>55</v>
      </c>
      <c r="D26" s="89" t="str">
        <f t="shared" si="0"/>
        <v>●</v>
      </c>
      <c r="M26" s="89" t="s">
        <v>110</v>
      </c>
    </row>
    <row r="27" spans="1:13" hidden="1">
      <c r="A27">
        <v>26</v>
      </c>
      <c r="B27" t="s">
        <v>56</v>
      </c>
      <c r="D27" s="89" t="str">
        <f t="shared" si="0"/>
        <v>●</v>
      </c>
      <c r="G27" s="89" t="s">
        <v>133</v>
      </c>
    </row>
    <row r="28" spans="1:13" hidden="1">
      <c r="A28">
        <v>27</v>
      </c>
      <c r="B28" t="s">
        <v>57</v>
      </c>
      <c r="D28" s="89" t="str">
        <f t="shared" si="0"/>
        <v>●</v>
      </c>
      <c r="M28" s="89" t="s">
        <v>110</v>
      </c>
    </row>
    <row r="29" spans="1:13" hidden="1">
      <c r="A29">
        <v>28</v>
      </c>
      <c r="B29" t="s">
        <v>58</v>
      </c>
      <c r="D29" s="89" t="str">
        <f t="shared" si="0"/>
        <v>●</v>
      </c>
      <c r="G29" s="89" t="s">
        <v>133</v>
      </c>
    </row>
    <row r="30" spans="1:13" hidden="1">
      <c r="A30">
        <v>29</v>
      </c>
      <c r="B30" t="s">
        <v>59</v>
      </c>
      <c r="C30" t="s">
        <v>112</v>
      </c>
      <c r="D30" s="89" t="str">
        <f t="shared" si="0"/>
        <v>●</v>
      </c>
      <c r="M30" s="89" t="s">
        <v>110</v>
      </c>
    </row>
    <row r="31" spans="1:13" hidden="1">
      <c r="A31">
        <v>30</v>
      </c>
      <c r="B31" t="s">
        <v>60</v>
      </c>
      <c r="C31" t="s">
        <v>102</v>
      </c>
      <c r="D31" s="89" t="str">
        <f t="shared" si="0"/>
        <v>●</v>
      </c>
      <c r="J31" s="89" t="s">
        <v>110</v>
      </c>
    </row>
    <row r="32" spans="1:13" hidden="1">
      <c r="A32">
        <v>31</v>
      </c>
      <c r="B32" t="s">
        <v>61</v>
      </c>
      <c r="C32" t="s">
        <v>101</v>
      </c>
      <c r="D32" s="89" t="str">
        <f t="shared" si="0"/>
        <v>●</v>
      </c>
      <c r="G32" s="89" t="s">
        <v>133</v>
      </c>
    </row>
    <row r="33" spans="1:13" hidden="1">
      <c r="A33">
        <v>32</v>
      </c>
      <c r="B33" t="s">
        <v>130</v>
      </c>
      <c r="C33" t="s">
        <v>111</v>
      </c>
      <c r="D33" s="89" t="str">
        <f t="shared" si="0"/>
        <v>●</v>
      </c>
      <c r="F33" s="89" t="s">
        <v>110</v>
      </c>
    </row>
    <row r="34" spans="1:13" hidden="1">
      <c r="A34">
        <v>33</v>
      </c>
      <c r="B34" t="s">
        <v>90</v>
      </c>
      <c r="D34" s="89" t="str">
        <f t="shared" si="0"/>
        <v>●</v>
      </c>
      <c r="M34" s="89" t="s">
        <v>110</v>
      </c>
    </row>
    <row r="35" spans="1:13" hidden="1">
      <c r="A35">
        <v>34</v>
      </c>
      <c r="B35" t="s">
        <v>91</v>
      </c>
      <c r="D35" s="89" t="str">
        <f t="shared" si="0"/>
        <v>●</v>
      </c>
      <c r="M35" s="89" t="s">
        <v>110</v>
      </c>
    </row>
    <row r="36" spans="1:13" hidden="1">
      <c r="A36">
        <v>35</v>
      </c>
      <c r="B36" t="s">
        <v>131</v>
      </c>
      <c r="D36" s="89" t="str">
        <f t="shared" si="0"/>
        <v>●</v>
      </c>
      <c r="F36" s="89" t="s">
        <v>110</v>
      </c>
    </row>
    <row r="37" spans="1:13" hidden="1">
      <c r="A37">
        <v>36</v>
      </c>
      <c r="B37" t="s">
        <v>92</v>
      </c>
      <c r="D37" s="89" t="str">
        <f t="shared" si="0"/>
        <v>●</v>
      </c>
      <c r="G37" s="89" t="s">
        <v>133</v>
      </c>
    </row>
    <row r="38" spans="1:13" hidden="1">
      <c r="A38">
        <v>37</v>
      </c>
      <c r="B38" t="s">
        <v>93</v>
      </c>
      <c r="D38" s="89" t="str">
        <f t="shared" si="0"/>
        <v>●</v>
      </c>
      <c r="M38" s="89" t="s">
        <v>110</v>
      </c>
    </row>
    <row r="39" spans="1:13" hidden="1">
      <c r="A39">
        <v>38</v>
      </c>
      <c r="B39" t="s">
        <v>132</v>
      </c>
      <c r="D39" s="89" t="str">
        <f t="shared" si="0"/>
        <v>●</v>
      </c>
      <c r="F39" s="89" t="s">
        <v>110</v>
      </c>
    </row>
    <row r="40" spans="1:13" hidden="1">
      <c r="A40">
        <v>39</v>
      </c>
      <c r="B40" t="s">
        <v>94</v>
      </c>
      <c r="D40" s="89" t="str">
        <f t="shared" si="0"/>
        <v>●</v>
      </c>
      <c r="M40" s="89" t="s">
        <v>110</v>
      </c>
    </row>
    <row r="41" spans="1:13" hidden="1">
      <c r="A41">
        <v>40</v>
      </c>
      <c r="B41" t="s">
        <v>95</v>
      </c>
      <c r="D41" s="89" t="str">
        <f t="shared" si="0"/>
        <v>●</v>
      </c>
      <c r="G41" s="89" t="s">
        <v>133</v>
      </c>
    </row>
    <row r="42" spans="1:13" ht="15.6" hidden="1">
      <c r="A42">
        <v>41</v>
      </c>
      <c r="B42" t="s">
        <v>97</v>
      </c>
      <c r="D42" s="89" t="str">
        <f t="shared" si="0"/>
        <v>●</v>
      </c>
      <c r="J42" s="89" t="s">
        <v>110</v>
      </c>
    </row>
    <row r="43" spans="1:13" hidden="1">
      <c r="A43">
        <v>42</v>
      </c>
      <c r="B43" t="s">
        <v>96</v>
      </c>
      <c r="D43" s="89" t="str">
        <f t="shared" si="0"/>
        <v>●</v>
      </c>
      <c r="G43" s="89" t="s">
        <v>133</v>
      </c>
    </row>
  </sheetData>
  <autoFilter ref="B1:M43" xr:uid="{635CA4C9-63CC-4CE0-AB85-26C1B81017D7}">
    <filterColumn colId="2">
      <filters blank="1"/>
    </filterColumn>
  </autoFilter>
  <phoneticPr fontId="1"/>
  <conditionalFormatting sqref="A2:M2">
    <cfRule type="expression" dxfId="1" priority="2">
      <formula>$D2="●"</formula>
    </cfRule>
  </conditionalFormatting>
  <conditionalFormatting sqref="A3:M43">
    <cfRule type="expression" dxfId="0" priority="1">
      <formula>$D3="●"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6787-9164-43FE-A977-1816D70DB974}">
  <sheetPr codeName="Sheet10"/>
  <dimension ref="A1:A21"/>
  <sheetViews>
    <sheetView workbookViewId="0">
      <pane ySplit="1" topLeftCell="A2" activePane="bottomLeft" state="frozen"/>
      <selection sqref="A1:XFD1048576"/>
      <selection pane="bottomLeft" sqref="A1:XFD1048576"/>
    </sheetView>
  </sheetViews>
  <sheetFormatPr defaultRowHeight="15"/>
  <cols>
    <col min="1" max="1" width="22.81640625" customWidth="1"/>
  </cols>
  <sheetData>
    <row r="1" spans="1:1">
      <c r="A1" s="12" t="s">
        <v>10</v>
      </c>
    </row>
    <row r="2" spans="1:1">
      <c r="A2" s="11"/>
    </row>
    <row r="3" spans="1:1">
      <c r="A3" s="11"/>
    </row>
    <row r="4" spans="1:1">
      <c r="A4" s="11"/>
    </row>
    <row r="5" spans="1:1">
      <c r="A5" s="11"/>
    </row>
    <row r="6" spans="1:1">
      <c r="A6" s="11"/>
    </row>
    <row r="7" spans="1:1">
      <c r="A7" s="11"/>
    </row>
    <row r="8" spans="1:1">
      <c r="A8" s="11"/>
    </row>
    <row r="9" spans="1:1">
      <c r="A9" s="11"/>
    </row>
    <row r="10" spans="1:1">
      <c r="A10" s="11"/>
    </row>
    <row r="11" spans="1:1">
      <c r="A11" s="11"/>
    </row>
    <row r="12" spans="1:1">
      <c r="A12" s="11"/>
    </row>
    <row r="13" spans="1:1">
      <c r="A13" s="11"/>
    </row>
    <row r="14" spans="1:1">
      <c r="A14" s="11"/>
    </row>
    <row r="15" spans="1:1">
      <c r="A15" s="11"/>
    </row>
    <row r="16" spans="1:1">
      <c r="A16" s="11"/>
    </row>
    <row r="17" spans="1:1">
      <c r="A17" s="11"/>
    </row>
    <row r="18" spans="1:1">
      <c r="A18" s="11"/>
    </row>
    <row r="19" spans="1:1">
      <c r="A19" s="11"/>
    </row>
    <row r="20" spans="1:1">
      <c r="A20" s="11"/>
    </row>
    <row r="21" spans="1:1">
      <c r="A21" s="1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203A3-3136-4345-98DD-3838DE43A727}">
  <sheetPr codeName="Sheet11"/>
  <dimension ref="A1:A21"/>
  <sheetViews>
    <sheetView workbookViewId="0">
      <pane ySplit="1" topLeftCell="A2" activePane="bottomLeft" state="frozen"/>
      <selection sqref="A1:XFD1048576"/>
      <selection pane="bottomLeft" sqref="A1:XFD1048576"/>
    </sheetView>
  </sheetViews>
  <sheetFormatPr defaultRowHeight="15"/>
  <cols>
    <col min="1" max="1" width="22.81640625" customWidth="1"/>
  </cols>
  <sheetData>
    <row r="1" spans="1:1">
      <c r="A1" s="12" t="s">
        <v>10</v>
      </c>
    </row>
    <row r="2" spans="1:1">
      <c r="A2" s="11"/>
    </row>
    <row r="3" spans="1:1">
      <c r="A3" s="11"/>
    </row>
    <row r="4" spans="1:1">
      <c r="A4" s="11"/>
    </row>
    <row r="5" spans="1:1">
      <c r="A5" s="11"/>
    </row>
    <row r="6" spans="1:1">
      <c r="A6" s="11"/>
    </row>
    <row r="7" spans="1:1">
      <c r="A7" s="11"/>
    </row>
    <row r="8" spans="1:1">
      <c r="A8" s="11"/>
    </row>
    <row r="9" spans="1:1">
      <c r="A9" s="11"/>
    </row>
    <row r="10" spans="1:1">
      <c r="A10" s="11"/>
    </row>
    <row r="11" spans="1:1">
      <c r="A11" s="11"/>
    </row>
    <row r="12" spans="1:1">
      <c r="A12" s="11"/>
    </row>
    <row r="13" spans="1:1">
      <c r="A13" s="11"/>
    </row>
    <row r="14" spans="1:1">
      <c r="A14" s="11"/>
    </row>
    <row r="15" spans="1:1">
      <c r="A15" s="11"/>
    </row>
    <row r="16" spans="1:1">
      <c r="A16" s="11"/>
    </row>
    <row r="17" spans="1:1">
      <c r="A17" s="11"/>
    </row>
    <row r="18" spans="1:1">
      <c r="A18" s="11"/>
    </row>
    <row r="19" spans="1:1">
      <c r="A19" s="11"/>
    </row>
    <row r="20" spans="1:1">
      <c r="A20" s="11"/>
    </row>
    <row r="21" spans="1:1">
      <c r="A21" s="11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F9EC6-B40F-4605-BFD7-7D7413E5EDC9}">
  <sheetPr codeName="Sheet5">
    <tabColor rgb="FFFFFF00"/>
  </sheetPr>
  <dimension ref="A1"/>
  <sheetViews>
    <sheetView workbookViewId="0">
      <selection activeCell="F12" sqref="F12"/>
    </sheetView>
  </sheetViews>
  <sheetFormatPr defaultRowHeight="15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34E7A-67B5-44A4-AF8A-93063BEF07BD}">
  <sheetPr codeName="Sheet2">
    <pageSetUpPr fitToPage="1"/>
  </sheetPr>
  <dimension ref="A1:AC1000"/>
  <sheetViews>
    <sheetView showGridLines="0" zoomScale="115" zoomScaleNormal="115" workbookViewId="0">
      <selection activeCell="I29" sqref="I29"/>
    </sheetView>
  </sheetViews>
  <sheetFormatPr defaultColWidth="10.26953125" defaultRowHeight="15" customHeight="1"/>
  <cols>
    <col min="1" max="1" width="2.81640625" style="22" customWidth="1"/>
    <col min="2" max="2" width="3.453125" style="22" customWidth="1"/>
    <col min="3" max="3" width="6.6328125" style="22" customWidth="1"/>
    <col min="4" max="4" width="2.81640625" style="22" customWidth="1"/>
    <col min="5" max="5" width="7.453125" style="22" customWidth="1"/>
    <col min="6" max="6" width="6.453125" style="22" customWidth="1"/>
    <col min="7" max="7" width="8.81640625" style="22" customWidth="1"/>
    <col min="8" max="8" width="10.90625" style="22" customWidth="1"/>
    <col min="9" max="9" width="22.6328125" style="22" customWidth="1"/>
    <col min="10" max="10" width="9.08984375" style="22" customWidth="1"/>
    <col min="11" max="11" width="2.6328125" style="22" customWidth="1"/>
    <col min="12" max="18" width="6.1796875" style="22" customWidth="1"/>
    <col min="19" max="19" width="2.6328125" style="22" customWidth="1"/>
    <col min="20" max="20" width="2.81640625" style="22" customWidth="1"/>
    <col min="21" max="21" width="3.453125" style="22" customWidth="1"/>
    <col min="22" max="22" width="6.6328125" style="22" customWidth="1"/>
    <col min="23" max="23" width="2.81640625" style="22" customWidth="1"/>
    <col min="24" max="24" width="7.453125" style="22" customWidth="1"/>
    <col min="25" max="25" width="6.453125" style="22" customWidth="1"/>
    <col min="26" max="26" width="8.81640625" style="22" customWidth="1"/>
    <col min="27" max="27" width="10" style="22" customWidth="1"/>
    <col min="28" max="28" width="22.6328125" style="22" customWidth="1"/>
    <col min="29" max="29" width="9.08984375" style="22" customWidth="1"/>
    <col min="30" max="16384" width="10.26953125" style="22"/>
  </cols>
  <sheetData>
    <row r="1" spans="1:29" ht="32.25" customHeight="1">
      <c r="A1" s="100" t="s">
        <v>89</v>
      </c>
      <c r="B1" s="98"/>
      <c r="C1" s="98"/>
      <c r="D1" s="98"/>
      <c r="E1" s="98"/>
      <c r="F1" s="98"/>
      <c r="G1" s="98"/>
      <c r="H1" s="98"/>
      <c r="I1" s="98"/>
      <c r="J1" s="98"/>
      <c r="K1" s="23"/>
      <c r="L1" s="23"/>
      <c r="M1" s="23"/>
      <c r="N1" s="23"/>
      <c r="O1" s="23"/>
      <c r="P1" s="23"/>
      <c r="Q1" s="23"/>
      <c r="R1" s="23"/>
      <c r="S1" s="23"/>
      <c r="T1" s="100" t="str">
        <f>A1</f>
        <v>作業報告書</v>
      </c>
      <c r="U1" s="98"/>
      <c r="V1" s="98"/>
      <c r="W1" s="98"/>
      <c r="X1" s="98"/>
      <c r="Y1" s="98"/>
      <c r="Z1" s="98"/>
      <c r="AA1" s="98"/>
      <c r="AB1" s="98"/>
      <c r="AC1" s="98"/>
    </row>
    <row r="2" spans="1:29" ht="13.5" customHeight="1">
      <c r="A2" s="101">
        <v>46266</v>
      </c>
      <c r="B2" s="98"/>
      <c r="C2" s="98"/>
      <c r="D2" s="98"/>
      <c r="E2" s="35"/>
      <c r="F2" s="31"/>
      <c r="G2" s="31"/>
      <c r="H2" s="31"/>
      <c r="I2" s="31"/>
      <c r="J2" s="34" t="s">
        <v>88</v>
      </c>
      <c r="K2" s="23"/>
      <c r="L2" s="88" t="s">
        <v>87</v>
      </c>
      <c r="M2" s="70" t="s">
        <v>86</v>
      </c>
      <c r="N2" s="23"/>
      <c r="O2" s="23"/>
      <c r="P2" s="23"/>
      <c r="Q2" s="23"/>
      <c r="R2" s="23"/>
      <c r="S2" s="23"/>
      <c r="T2" s="101">
        <f>IF(A2="","",A2)</f>
        <v>46266</v>
      </c>
      <c r="U2" s="98"/>
      <c r="V2" s="98"/>
      <c r="W2" s="98"/>
      <c r="X2" s="35"/>
      <c r="Y2" s="31"/>
      <c r="Z2" s="31"/>
      <c r="AA2" s="31"/>
      <c r="AB2" s="31"/>
      <c r="AC2" s="34" t="str">
        <f>J2</f>
        <v>本人確認印</v>
      </c>
    </row>
    <row r="3" spans="1:29" ht="13.5" customHeight="1">
      <c r="A3" s="97" t="s">
        <v>85</v>
      </c>
      <c r="B3" s="98"/>
      <c r="C3" s="98"/>
      <c r="D3" s="87" t="s">
        <v>84</v>
      </c>
      <c r="E3" s="86"/>
      <c r="F3" s="85"/>
      <c r="G3" s="85"/>
      <c r="H3" s="85"/>
      <c r="I3" s="29"/>
      <c r="J3" s="27"/>
      <c r="K3" s="32"/>
      <c r="L3" s="23"/>
      <c r="M3" s="23"/>
      <c r="N3" s="23"/>
      <c r="O3" s="23"/>
      <c r="P3" s="23"/>
      <c r="Q3" s="23"/>
      <c r="R3" s="23"/>
      <c r="S3" s="23"/>
      <c r="T3" s="97" t="str">
        <f>A3</f>
        <v>会社名：</v>
      </c>
      <c r="U3" s="98"/>
      <c r="V3" s="98"/>
      <c r="W3" s="87" t="str">
        <f>IF(D3="","",D3)</f>
        <v>DaYu株式会社</v>
      </c>
      <c r="X3" s="86"/>
      <c r="Y3" s="85"/>
      <c r="Z3" s="85"/>
      <c r="AA3" s="85"/>
      <c r="AB3" s="29"/>
      <c r="AC3" s="27"/>
    </row>
    <row r="4" spans="1:29" ht="13.5" customHeight="1">
      <c r="A4" s="97" t="s">
        <v>83</v>
      </c>
      <c r="B4" s="98"/>
      <c r="C4" s="98"/>
      <c r="D4" s="83"/>
      <c r="E4" s="82"/>
      <c r="F4" s="81"/>
      <c r="G4" s="81"/>
      <c r="H4" s="81"/>
      <c r="I4" s="29"/>
      <c r="J4" s="27"/>
      <c r="K4" s="32"/>
      <c r="L4" s="23"/>
      <c r="M4" s="23"/>
      <c r="N4" s="23"/>
      <c r="O4" s="23"/>
      <c r="P4" s="23"/>
      <c r="Q4" s="23"/>
      <c r="R4" s="23"/>
      <c r="S4" s="23"/>
      <c r="T4" s="97" t="str">
        <f>A4</f>
        <v>氏   名：</v>
      </c>
      <c r="U4" s="98"/>
      <c r="V4" s="98"/>
      <c r="W4" s="83" t="str">
        <f>IF(D4="","",D4)</f>
        <v/>
      </c>
      <c r="X4" s="82"/>
      <c r="Y4" s="81"/>
      <c r="Z4" s="81"/>
      <c r="AA4" s="81"/>
      <c r="AB4" s="29"/>
      <c r="AC4" s="27"/>
    </row>
    <row r="5" spans="1:29" ht="21" customHeight="1">
      <c r="A5" s="97" t="s">
        <v>82</v>
      </c>
      <c r="B5" s="98"/>
      <c r="C5" s="98"/>
      <c r="D5" s="84" t="s">
        <v>81</v>
      </c>
      <c r="E5" s="82"/>
      <c r="F5" s="81"/>
      <c r="G5" s="81"/>
      <c r="H5" s="81"/>
      <c r="I5" s="29"/>
      <c r="J5" s="27"/>
      <c r="K5" s="32"/>
      <c r="L5" s="23"/>
      <c r="M5" s="80"/>
      <c r="N5" s="99"/>
      <c r="O5" s="99"/>
      <c r="P5" s="23"/>
      <c r="Q5" s="23"/>
      <c r="R5" s="23"/>
      <c r="S5" s="23"/>
      <c r="T5" s="97" t="str">
        <f>A5</f>
        <v>担当業務：</v>
      </c>
      <c r="U5" s="98"/>
      <c r="V5" s="98"/>
      <c r="W5" s="83" t="str">
        <f>IF(D5="","",D5)</f>
        <v>SFinXバージョンアップ</v>
      </c>
      <c r="X5" s="82"/>
      <c r="Y5" s="81"/>
      <c r="Z5" s="81"/>
      <c r="AA5" s="81"/>
      <c r="AB5" s="29"/>
      <c r="AC5" s="27"/>
    </row>
    <row r="6" spans="1:29" ht="9" customHeight="1">
      <c r="A6" s="23"/>
      <c r="B6" s="23"/>
      <c r="C6" s="24"/>
      <c r="D6" s="25"/>
      <c r="E6" s="24"/>
      <c r="F6" s="23"/>
      <c r="G6" s="23"/>
      <c r="H6" s="23"/>
      <c r="I6" s="23"/>
      <c r="J6" s="26"/>
      <c r="K6" s="23"/>
      <c r="L6" s="23"/>
      <c r="M6" s="80"/>
      <c r="N6" s="98"/>
      <c r="O6" s="98"/>
      <c r="P6" s="23"/>
      <c r="Q6" s="23"/>
      <c r="R6" s="23"/>
      <c r="S6" s="23"/>
      <c r="T6" s="23"/>
      <c r="U6" s="23"/>
      <c r="V6" s="24"/>
      <c r="W6" s="25"/>
      <c r="X6" s="24"/>
      <c r="Y6" s="23"/>
      <c r="Z6" s="23"/>
      <c r="AA6" s="23"/>
      <c r="AB6" s="23"/>
      <c r="AC6" s="26"/>
    </row>
    <row r="7" spans="1:29" ht="19.5" customHeight="1" thickBot="1">
      <c r="A7" s="72" t="s">
        <v>80</v>
      </c>
      <c r="B7" s="71" t="s">
        <v>79</v>
      </c>
      <c r="C7" s="91" t="s">
        <v>78</v>
      </c>
      <c r="D7" s="92"/>
      <c r="E7" s="93"/>
      <c r="F7" s="73" t="s">
        <v>77</v>
      </c>
      <c r="G7" s="72" t="s">
        <v>76</v>
      </c>
      <c r="H7" s="71" t="s">
        <v>75</v>
      </c>
      <c r="I7" s="71" t="s">
        <v>74</v>
      </c>
      <c r="J7" s="71" t="s">
        <v>73</v>
      </c>
      <c r="K7" s="43"/>
      <c r="L7" s="79"/>
      <c r="M7" s="78" t="s">
        <v>72</v>
      </c>
      <c r="N7" s="77" t="s">
        <v>71</v>
      </c>
      <c r="O7" s="76" t="s">
        <v>70</v>
      </c>
      <c r="P7" s="75" t="s">
        <v>69</v>
      </c>
      <c r="Q7" s="23"/>
      <c r="R7" s="74"/>
      <c r="S7" s="43"/>
      <c r="T7" s="72" t="str">
        <f>A7</f>
        <v>日</v>
      </c>
      <c r="U7" s="71" t="str">
        <f>B7</f>
        <v>曜日</v>
      </c>
      <c r="V7" s="91" t="str">
        <f>C7</f>
        <v>作 業 時 間</v>
      </c>
      <c r="W7" s="92"/>
      <c r="X7" s="93"/>
      <c r="Y7" s="73" t="str">
        <f>F7</f>
        <v>休憩時間</v>
      </c>
      <c r="Z7" s="72" t="str">
        <f>G7</f>
        <v>作業時間小計</v>
      </c>
      <c r="AA7" s="71" t="str">
        <f>H7</f>
        <v>作業場所</v>
      </c>
      <c r="AB7" s="71" t="str">
        <f>I7</f>
        <v>作業内容</v>
      </c>
      <c r="AC7" s="71" t="str">
        <f>J7</f>
        <v>備考</v>
      </c>
    </row>
    <row r="8" spans="1:29" ht="19.5" customHeight="1">
      <c r="A8" s="69">
        <f>A2</f>
        <v>46266</v>
      </c>
      <c r="B8" s="51">
        <f t="shared" ref="B8:B38" si="0">IF(A8="","",A8)</f>
        <v>46266</v>
      </c>
      <c r="C8" s="63">
        <v>0.375</v>
      </c>
      <c r="D8" s="62" t="s">
        <v>103</v>
      </c>
      <c r="E8" s="49">
        <v>0.75</v>
      </c>
      <c r="F8" s="61">
        <v>4.1666666666666664E-2</v>
      </c>
      <c r="G8" s="60">
        <f t="shared" ref="G8:G14" si="1">IF(C8=0,"",E8-C8-F8)</f>
        <v>0.33333333333333331</v>
      </c>
      <c r="H8" s="46" t="s">
        <v>134</v>
      </c>
      <c r="I8" s="59" t="s">
        <v>135</v>
      </c>
      <c r="J8" s="66"/>
      <c r="K8" s="43"/>
      <c r="L8" s="70"/>
      <c r="M8" s="57">
        <f>L8</f>
        <v>0</v>
      </c>
      <c r="N8" s="56" t="str">
        <f t="shared" ref="N8:N38" si="2">IF(M8&gt;$L$7,"Over","Under")</f>
        <v>Under</v>
      </c>
      <c r="O8" s="55">
        <f t="shared" ref="O8:O38" si="3">IF(G8="",0,G8-L8)</f>
        <v>0.33333333333333331</v>
      </c>
      <c r="P8" s="54">
        <f t="shared" ref="P8:P38" si="4">E8-L8</f>
        <v>0.75</v>
      </c>
      <c r="Q8" s="53"/>
      <c r="R8" s="65"/>
      <c r="S8" s="43"/>
      <c r="T8" s="69">
        <f t="shared" ref="T8:U38" si="5">A8</f>
        <v>46266</v>
      </c>
      <c r="U8" s="51">
        <f t="shared" si="5"/>
        <v>46266</v>
      </c>
      <c r="V8" s="63">
        <f t="shared" ref="V8:V38" si="6">IF(N8="Under",IF(G8=L8,"",C8),IF(C8="","",C8))</f>
        <v>0.375</v>
      </c>
      <c r="W8" s="62" t="str">
        <f t="shared" ref="W8:W38" si="7">IF(V8&lt;&gt;"","～","")</f>
        <v>～</v>
      </c>
      <c r="X8" s="68">
        <f t="shared" ref="X8:X38" si="8">IF(N8="Under",IF(G8=L8,"",P8),IF(E8="","",E8))</f>
        <v>0.75</v>
      </c>
      <c r="Y8" s="67">
        <f t="shared" ref="Y8:Y38" si="9">IF(N8="Under",IF(G8=L8,"",F8),IF(F8="","",F8))</f>
        <v>4.1666666666666664E-2</v>
      </c>
      <c r="Z8" s="47">
        <f t="shared" ref="Z8:Z38" si="10">IF(OR(V8="",X8="",Y8=""),"",X8-V8-Y8)</f>
        <v>0.33333333333333331</v>
      </c>
      <c r="AA8" s="46" t="str">
        <f t="shared" ref="AA8:AA38" si="11">IF(Z8="","",IF(H8="","",H8))</f>
        <v>リモート</v>
      </c>
      <c r="AB8" s="45" t="str">
        <f t="shared" ref="AB8:AB38" si="12">IF(Z8="","",IF(I8="","",I8))</f>
        <v>結合試験不具合対応</v>
      </c>
      <c r="AC8" s="66" t="str">
        <f t="shared" ref="AC8:AC38" si="13">IF(Z8="","",IF(J8="","",J8))</f>
        <v/>
      </c>
    </row>
    <row r="9" spans="1:29" ht="19.5" customHeight="1">
      <c r="A9" s="52">
        <f t="shared" ref="A9:A38" si="14">IF(A8="","",IF(TEXT($A$2,"yyyymm")=TEXT(A8+1,"yyyymm"),A8+1,""))</f>
        <v>46267</v>
      </c>
      <c r="B9" s="51">
        <f t="shared" si="0"/>
        <v>46267</v>
      </c>
      <c r="C9" s="63">
        <v>0.375</v>
      </c>
      <c r="D9" s="62" t="s">
        <v>103</v>
      </c>
      <c r="E9" s="49">
        <v>0.75</v>
      </c>
      <c r="F9" s="61">
        <v>4.1666666666666664E-2</v>
      </c>
      <c r="G9" s="60">
        <f t="shared" si="1"/>
        <v>0.33333333333333331</v>
      </c>
      <c r="H9" s="46" t="s">
        <v>134</v>
      </c>
      <c r="I9" s="59" t="s">
        <v>135</v>
      </c>
      <c r="J9" s="66"/>
      <c r="K9" s="43"/>
      <c r="L9" s="57"/>
      <c r="M9" s="57">
        <f t="shared" ref="M9:M38" si="15">M8+L9</f>
        <v>0</v>
      </c>
      <c r="N9" s="56" t="str">
        <f t="shared" si="2"/>
        <v>Under</v>
      </c>
      <c r="O9" s="55">
        <f t="shared" si="3"/>
        <v>0.33333333333333331</v>
      </c>
      <c r="P9" s="54">
        <f t="shared" si="4"/>
        <v>0.75</v>
      </c>
      <c r="Q9" s="53"/>
      <c r="R9" s="65"/>
      <c r="S9" s="43"/>
      <c r="T9" s="52">
        <f t="shared" si="5"/>
        <v>46267</v>
      </c>
      <c r="U9" s="51">
        <f t="shared" si="5"/>
        <v>46267</v>
      </c>
      <c r="V9" s="50">
        <f t="shared" si="6"/>
        <v>0.375</v>
      </c>
      <c r="W9" s="38" t="str">
        <f t="shared" si="7"/>
        <v>～</v>
      </c>
      <c r="X9" s="49">
        <f t="shared" si="8"/>
        <v>0.75</v>
      </c>
      <c r="Y9" s="48">
        <f t="shared" si="9"/>
        <v>4.1666666666666664E-2</v>
      </c>
      <c r="Z9" s="47">
        <f t="shared" si="10"/>
        <v>0.33333333333333331</v>
      </c>
      <c r="AA9" s="46" t="str">
        <f t="shared" si="11"/>
        <v>リモート</v>
      </c>
      <c r="AB9" s="45" t="str">
        <f t="shared" si="12"/>
        <v>結合試験不具合対応</v>
      </c>
      <c r="AC9" s="45" t="str">
        <f t="shared" si="13"/>
        <v/>
      </c>
    </row>
    <row r="10" spans="1:29" ht="19.5" customHeight="1">
      <c r="A10" s="52">
        <f t="shared" si="14"/>
        <v>46268</v>
      </c>
      <c r="B10" s="51">
        <f t="shared" si="0"/>
        <v>46268</v>
      </c>
      <c r="C10" s="63">
        <v>0.375</v>
      </c>
      <c r="D10" s="62" t="s">
        <v>103</v>
      </c>
      <c r="E10" s="49">
        <v>0.75</v>
      </c>
      <c r="F10" s="61">
        <v>4.1666666666666664E-2</v>
      </c>
      <c r="G10" s="60">
        <f t="shared" si="1"/>
        <v>0.33333333333333331</v>
      </c>
      <c r="H10" s="46" t="s">
        <v>134</v>
      </c>
      <c r="I10" s="59" t="s">
        <v>135</v>
      </c>
      <c r="J10" s="45"/>
      <c r="K10" s="43"/>
      <c r="L10" s="57"/>
      <c r="M10" s="57">
        <f t="shared" si="15"/>
        <v>0</v>
      </c>
      <c r="N10" s="56" t="str">
        <f t="shared" si="2"/>
        <v>Under</v>
      </c>
      <c r="O10" s="55">
        <f t="shared" si="3"/>
        <v>0.33333333333333331</v>
      </c>
      <c r="P10" s="54">
        <f t="shared" si="4"/>
        <v>0.75</v>
      </c>
      <c r="Q10" s="53"/>
      <c r="R10" s="65"/>
      <c r="S10" s="43"/>
      <c r="T10" s="52">
        <f t="shared" si="5"/>
        <v>46268</v>
      </c>
      <c r="U10" s="51">
        <f t="shared" si="5"/>
        <v>46268</v>
      </c>
      <c r="V10" s="50">
        <f t="shared" si="6"/>
        <v>0.375</v>
      </c>
      <c r="W10" s="38" t="str">
        <f t="shared" si="7"/>
        <v>～</v>
      </c>
      <c r="X10" s="49">
        <f t="shared" si="8"/>
        <v>0.75</v>
      </c>
      <c r="Y10" s="48">
        <f t="shared" si="9"/>
        <v>4.1666666666666664E-2</v>
      </c>
      <c r="Z10" s="47">
        <f t="shared" si="10"/>
        <v>0.33333333333333331</v>
      </c>
      <c r="AA10" s="46" t="str">
        <f t="shared" si="11"/>
        <v>リモート</v>
      </c>
      <c r="AB10" s="45" t="str">
        <f t="shared" si="12"/>
        <v>結合試験不具合対応</v>
      </c>
      <c r="AC10" s="45" t="str">
        <f t="shared" si="13"/>
        <v/>
      </c>
    </row>
    <row r="11" spans="1:29" ht="19.5" customHeight="1">
      <c r="A11" s="52">
        <f t="shared" si="14"/>
        <v>46269</v>
      </c>
      <c r="B11" s="51">
        <f t="shared" si="0"/>
        <v>46269</v>
      </c>
      <c r="C11" s="63">
        <v>0.375</v>
      </c>
      <c r="D11" s="62" t="s">
        <v>103</v>
      </c>
      <c r="E11" s="49">
        <v>0.75</v>
      </c>
      <c r="F11" s="61">
        <v>4.1666666666666664E-2</v>
      </c>
      <c r="G11" s="60">
        <f t="shared" si="1"/>
        <v>0.33333333333333331</v>
      </c>
      <c r="H11" s="46" t="s">
        <v>137</v>
      </c>
      <c r="I11" s="36" t="s">
        <v>135</v>
      </c>
      <c r="J11" s="45"/>
      <c r="K11" s="43"/>
      <c r="L11" s="57"/>
      <c r="M11" s="57">
        <f t="shared" si="15"/>
        <v>0</v>
      </c>
      <c r="N11" s="56" t="str">
        <f t="shared" si="2"/>
        <v>Under</v>
      </c>
      <c r="O11" s="55">
        <f t="shared" si="3"/>
        <v>0.33333333333333331</v>
      </c>
      <c r="P11" s="54">
        <f t="shared" si="4"/>
        <v>0.75</v>
      </c>
      <c r="Q11" s="53"/>
      <c r="R11" s="65"/>
      <c r="S11" s="43"/>
      <c r="T11" s="52">
        <f t="shared" si="5"/>
        <v>46269</v>
      </c>
      <c r="U11" s="51">
        <f t="shared" si="5"/>
        <v>46269</v>
      </c>
      <c r="V11" s="50">
        <f t="shared" si="6"/>
        <v>0.375</v>
      </c>
      <c r="W11" s="38" t="str">
        <f t="shared" si="7"/>
        <v>～</v>
      </c>
      <c r="X11" s="49">
        <f t="shared" si="8"/>
        <v>0.75</v>
      </c>
      <c r="Y11" s="48">
        <f t="shared" si="9"/>
        <v>4.1666666666666664E-2</v>
      </c>
      <c r="Z11" s="47">
        <f t="shared" si="10"/>
        <v>0.33333333333333331</v>
      </c>
      <c r="AA11" s="46" t="str">
        <f t="shared" si="11"/>
        <v>ニチレイビル 3F</v>
      </c>
      <c r="AB11" s="45" t="str">
        <f t="shared" si="12"/>
        <v>結合試験不具合対応</v>
      </c>
      <c r="AC11" s="45" t="str">
        <f t="shared" si="13"/>
        <v/>
      </c>
    </row>
    <row r="12" spans="1:29" ht="19.5" customHeight="1">
      <c r="A12" s="52">
        <f t="shared" si="14"/>
        <v>46270</v>
      </c>
      <c r="B12" s="51">
        <f t="shared" si="0"/>
        <v>46270</v>
      </c>
      <c r="C12" s="63"/>
      <c r="D12" s="62"/>
      <c r="E12" s="49"/>
      <c r="F12" s="61"/>
      <c r="G12" s="60" t="str">
        <f t="shared" si="1"/>
        <v/>
      </c>
      <c r="H12" s="46"/>
      <c r="I12" s="36"/>
      <c r="J12" s="45"/>
      <c r="K12" s="43"/>
      <c r="L12" s="57"/>
      <c r="M12" s="57">
        <f t="shared" si="15"/>
        <v>0</v>
      </c>
      <c r="N12" s="56" t="str">
        <f t="shared" si="2"/>
        <v>Under</v>
      </c>
      <c r="O12" s="55">
        <f t="shared" si="3"/>
        <v>0</v>
      </c>
      <c r="P12" s="54">
        <f t="shared" si="4"/>
        <v>0</v>
      </c>
      <c r="Q12" s="53"/>
      <c r="R12" s="65"/>
      <c r="S12" s="43"/>
      <c r="T12" s="52">
        <f t="shared" si="5"/>
        <v>46270</v>
      </c>
      <c r="U12" s="51">
        <f t="shared" si="5"/>
        <v>46270</v>
      </c>
      <c r="V12" s="50" t="str">
        <f t="shared" si="6"/>
        <v/>
      </c>
      <c r="W12" s="38" t="str">
        <f t="shared" si="7"/>
        <v/>
      </c>
      <c r="X12" s="49" t="str">
        <f t="shared" si="8"/>
        <v/>
      </c>
      <c r="Y12" s="48" t="str">
        <f t="shared" si="9"/>
        <v/>
      </c>
      <c r="Z12" s="47" t="str">
        <f t="shared" si="10"/>
        <v/>
      </c>
      <c r="AA12" s="46" t="str">
        <f t="shared" si="11"/>
        <v/>
      </c>
      <c r="AB12" s="45" t="str">
        <f t="shared" si="12"/>
        <v/>
      </c>
      <c r="AC12" s="45" t="str">
        <f t="shared" si="13"/>
        <v/>
      </c>
    </row>
    <row r="13" spans="1:29" ht="19.5" customHeight="1">
      <c r="A13" s="52">
        <f t="shared" si="14"/>
        <v>46271</v>
      </c>
      <c r="B13" s="51">
        <f t="shared" si="0"/>
        <v>46271</v>
      </c>
      <c r="C13" s="63"/>
      <c r="D13" s="62"/>
      <c r="E13" s="49"/>
      <c r="F13" s="61"/>
      <c r="G13" s="60" t="str">
        <f t="shared" si="1"/>
        <v/>
      </c>
      <c r="H13" s="46"/>
      <c r="I13" s="59"/>
      <c r="J13" s="45"/>
      <c r="K13" s="43"/>
      <c r="L13" s="57"/>
      <c r="M13" s="57">
        <f t="shared" si="15"/>
        <v>0</v>
      </c>
      <c r="N13" s="56" t="str">
        <f t="shared" si="2"/>
        <v>Under</v>
      </c>
      <c r="O13" s="55">
        <f t="shared" si="3"/>
        <v>0</v>
      </c>
      <c r="P13" s="54">
        <f t="shared" si="4"/>
        <v>0</v>
      </c>
      <c r="Q13" s="53"/>
      <c r="R13" s="65"/>
      <c r="S13" s="43"/>
      <c r="T13" s="52">
        <f t="shared" si="5"/>
        <v>46271</v>
      </c>
      <c r="U13" s="51">
        <f t="shared" si="5"/>
        <v>46271</v>
      </c>
      <c r="V13" s="50" t="str">
        <f t="shared" si="6"/>
        <v/>
      </c>
      <c r="W13" s="38" t="str">
        <f t="shared" si="7"/>
        <v/>
      </c>
      <c r="X13" s="49" t="str">
        <f t="shared" si="8"/>
        <v/>
      </c>
      <c r="Y13" s="48" t="str">
        <f t="shared" si="9"/>
        <v/>
      </c>
      <c r="Z13" s="47" t="str">
        <f t="shared" si="10"/>
        <v/>
      </c>
      <c r="AA13" s="46" t="str">
        <f t="shared" si="11"/>
        <v/>
      </c>
      <c r="AB13" s="45" t="str">
        <f t="shared" si="12"/>
        <v/>
      </c>
      <c r="AC13" s="45" t="str">
        <f t="shared" si="13"/>
        <v/>
      </c>
    </row>
    <row r="14" spans="1:29" ht="19.5" customHeight="1">
      <c r="A14" s="52">
        <f t="shared" si="14"/>
        <v>46272</v>
      </c>
      <c r="B14" s="51">
        <f t="shared" si="0"/>
        <v>46272</v>
      </c>
      <c r="C14" s="63">
        <v>0.375</v>
      </c>
      <c r="D14" s="62" t="s">
        <v>103</v>
      </c>
      <c r="E14" s="49">
        <v>0.75</v>
      </c>
      <c r="F14" s="61">
        <v>4.1666666666666664E-2</v>
      </c>
      <c r="G14" s="60">
        <f t="shared" si="1"/>
        <v>0.33333333333333331</v>
      </c>
      <c r="H14" s="46" t="s">
        <v>134</v>
      </c>
      <c r="I14" s="59" t="s">
        <v>135</v>
      </c>
      <c r="J14" s="45"/>
      <c r="K14" s="43"/>
      <c r="L14" s="58"/>
      <c r="M14" s="57">
        <f t="shared" si="15"/>
        <v>0</v>
      </c>
      <c r="N14" s="56" t="str">
        <f t="shared" si="2"/>
        <v>Under</v>
      </c>
      <c r="O14" s="55">
        <f t="shared" si="3"/>
        <v>0.33333333333333331</v>
      </c>
      <c r="P14" s="54">
        <f t="shared" si="4"/>
        <v>0.75</v>
      </c>
      <c r="Q14" s="53"/>
      <c r="R14" s="53"/>
      <c r="S14" s="43"/>
      <c r="T14" s="52">
        <f t="shared" si="5"/>
        <v>46272</v>
      </c>
      <c r="U14" s="51">
        <f t="shared" si="5"/>
        <v>46272</v>
      </c>
      <c r="V14" s="50">
        <f t="shared" si="6"/>
        <v>0.375</v>
      </c>
      <c r="W14" s="38" t="str">
        <f t="shared" si="7"/>
        <v>～</v>
      </c>
      <c r="X14" s="49">
        <f t="shared" si="8"/>
        <v>0.75</v>
      </c>
      <c r="Y14" s="48">
        <f t="shared" si="9"/>
        <v>4.1666666666666664E-2</v>
      </c>
      <c r="Z14" s="47">
        <f t="shared" si="10"/>
        <v>0.33333333333333331</v>
      </c>
      <c r="AA14" s="46" t="str">
        <f t="shared" si="11"/>
        <v>リモート</v>
      </c>
      <c r="AB14" s="45" t="str">
        <f t="shared" si="12"/>
        <v>結合試験不具合対応</v>
      </c>
      <c r="AC14" s="45" t="str">
        <f t="shared" si="13"/>
        <v/>
      </c>
    </row>
    <row r="15" spans="1:29" ht="19.5" customHeight="1">
      <c r="A15" s="52">
        <f t="shared" si="14"/>
        <v>46273</v>
      </c>
      <c r="B15" s="51">
        <f t="shared" si="0"/>
        <v>46273</v>
      </c>
      <c r="C15" s="63">
        <v>0.375</v>
      </c>
      <c r="D15" s="62" t="s">
        <v>103</v>
      </c>
      <c r="E15" s="49">
        <v>0.75</v>
      </c>
      <c r="F15" s="61">
        <v>4.1666666666666664E-2</v>
      </c>
      <c r="G15" s="60">
        <f t="shared" ref="G15:G35" si="16">IF(C15=0,"",E15-C15-F15)</f>
        <v>0.33333333333333331</v>
      </c>
      <c r="H15" s="46" t="s">
        <v>134</v>
      </c>
      <c r="I15" s="59" t="s">
        <v>135</v>
      </c>
      <c r="J15" s="45"/>
      <c r="K15" s="43"/>
      <c r="L15" s="58"/>
      <c r="M15" s="57">
        <f t="shared" si="15"/>
        <v>0</v>
      </c>
      <c r="N15" s="56" t="str">
        <f t="shared" si="2"/>
        <v>Under</v>
      </c>
      <c r="O15" s="55">
        <f t="shared" si="3"/>
        <v>0.33333333333333331</v>
      </c>
      <c r="P15" s="54">
        <f t="shared" si="4"/>
        <v>0.75</v>
      </c>
      <c r="Q15" s="53"/>
      <c r="R15" s="53"/>
      <c r="S15" s="43"/>
      <c r="T15" s="52">
        <f t="shared" si="5"/>
        <v>46273</v>
      </c>
      <c r="U15" s="51">
        <f t="shared" si="5"/>
        <v>46273</v>
      </c>
      <c r="V15" s="50">
        <f t="shared" si="6"/>
        <v>0.375</v>
      </c>
      <c r="W15" s="38" t="str">
        <f t="shared" si="7"/>
        <v>～</v>
      </c>
      <c r="X15" s="49">
        <f t="shared" si="8"/>
        <v>0.75</v>
      </c>
      <c r="Y15" s="48">
        <f t="shared" si="9"/>
        <v>4.1666666666666664E-2</v>
      </c>
      <c r="Z15" s="47">
        <f t="shared" si="10"/>
        <v>0.33333333333333331</v>
      </c>
      <c r="AA15" s="46" t="str">
        <f t="shared" si="11"/>
        <v>リモート</v>
      </c>
      <c r="AB15" s="45" t="str">
        <f t="shared" si="12"/>
        <v>結合試験不具合対応</v>
      </c>
      <c r="AC15" s="45" t="str">
        <f t="shared" si="13"/>
        <v/>
      </c>
    </row>
    <row r="16" spans="1:29" ht="19.5" customHeight="1">
      <c r="A16" s="52">
        <f t="shared" si="14"/>
        <v>46274</v>
      </c>
      <c r="B16" s="51">
        <f t="shared" si="0"/>
        <v>46274</v>
      </c>
      <c r="C16" s="63">
        <v>0.375</v>
      </c>
      <c r="D16" s="62" t="s">
        <v>103</v>
      </c>
      <c r="E16" s="49">
        <v>0.75</v>
      </c>
      <c r="F16" s="61">
        <v>4.1666666666666664E-2</v>
      </c>
      <c r="G16" s="60">
        <f t="shared" si="16"/>
        <v>0.33333333333333331</v>
      </c>
      <c r="H16" s="46" t="s">
        <v>134</v>
      </c>
      <c r="I16" s="59" t="s">
        <v>135</v>
      </c>
      <c r="J16" s="45"/>
      <c r="K16" s="43"/>
      <c r="L16" s="58"/>
      <c r="M16" s="57">
        <f t="shared" si="15"/>
        <v>0</v>
      </c>
      <c r="N16" s="56" t="str">
        <f t="shared" si="2"/>
        <v>Under</v>
      </c>
      <c r="O16" s="55">
        <f t="shared" si="3"/>
        <v>0.33333333333333331</v>
      </c>
      <c r="P16" s="54">
        <f t="shared" si="4"/>
        <v>0.75</v>
      </c>
      <c r="Q16" s="53"/>
      <c r="R16" s="53"/>
      <c r="S16" s="43"/>
      <c r="T16" s="52">
        <f t="shared" si="5"/>
        <v>46274</v>
      </c>
      <c r="U16" s="51">
        <f t="shared" si="5"/>
        <v>46274</v>
      </c>
      <c r="V16" s="50">
        <f t="shared" si="6"/>
        <v>0.375</v>
      </c>
      <c r="W16" s="38" t="str">
        <f t="shared" si="7"/>
        <v>～</v>
      </c>
      <c r="X16" s="49">
        <f t="shared" si="8"/>
        <v>0.75</v>
      </c>
      <c r="Y16" s="48">
        <f t="shared" si="9"/>
        <v>4.1666666666666664E-2</v>
      </c>
      <c r="Z16" s="47">
        <f t="shared" si="10"/>
        <v>0.33333333333333331</v>
      </c>
      <c r="AA16" s="46" t="str">
        <f t="shared" si="11"/>
        <v>リモート</v>
      </c>
      <c r="AB16" s="45" t="str">
        <f t="shared" si="12"/>
        <v>結合試験不具合対応</v>
      </c>
      <c r="AC16" s="45" t="str">
        <f t="shared" si="13"/>
        <v/>
      </c>
    </row>
    <row r="17" spans="1:29" ht="19.5" customHeight="1">
      <c r="A17" s="52">
        <f t="shared" si="14"/>
        <v>46275</v>
      </c>
      <c r="B17" s="51">
        <f t="shared" si="0"/>
        <v>46275</v>
      </c>
      <c r="C17" s="63">
        <v>0.375</v>
      </c>
      <c r="D17" s="62" t="s">
        <v>103</v>
      </c>
      <c r="E17" s="49">
        <v>0.75</v>
      </c>
      <c r="F17" s="61">
        <v>4.1666666666666664E-2</v>
      </c>
      <c r="G17" s="60">
        <f t="shared" si="16"/>
        <v>0.33333333333333331</v>
      </c>
      <c r="H17" s="46" t="s">
        <v>134</v>
      </c>
      <c r="I17" s="59" t="s">
        <v>135</v>
      </c>
      <c r="J17" s="45"/>
      <c r="K17" s="43"/>
      <c r="L17" s="58"/>
      <c r="M17" s="57">
        <f t="shared" si="15"/>
        <v>0</v>
      </c>
      <c r="N17" s="56" t="str">
        <f t="shared" si="2"/>
        <v>Under</v>
      </c>
      <c r="O17" s="55">
        <f t="shared" si="3"/>
        <v>0.33333333333333331</v>
      </c>
      <c r="P17" s="54">
        <f t="shared" si="4"/>
        <v>0.75</v>
      </c>
      <c r="Q17" s="53"/>
      <c r="R17" s="53"/>
      <c r="S17" s="43"/>
      <c r="T17" s="52">
        <f t="shared" si="5"/>
        <v>46275</v>
      </c>
      <c r="U17" s="51">
        <f t="shared" si="5"/>
        <v>46275</v>
      </c>
      <c r="V17" s="50">
        <f t="shared" si="6"/>
        <v>0.375</v>
      </c>
      <c r="W17" s="38" t="str">
        <f t="shared" si="7"/>
        <v>～</v>
      </c>
      <c r="X17" s="49">
        <f t="shared" si="8"/>
        <v>0.75</v>
      </c>
      <c r="Y17" s="48">
        <f t="shared" si="9"/>
        <v>4.1666666666666664E-2</v>
      </c>
      <c r="Z17" s="47">
        <f t="shared" si="10"/>
        <v>0.33333333333333331</v>
      </c>
      <c r="AA17" s="46" t="str">
        <f t="shared" si="11"/>
        <v>リモート</v>
      </c>
      <c r="AB17" s="45" t="str">
        <f t="shared" si="12"/>
        <v>結合試験不具合対応</v>
      </c>
      <c r="AC17" s="45" t="str">
        <f t="shared" si="13"/>
        <v/>
      </c>
    </row>
    <row r="18" spans="1:29" ht="19.5" customHeight="1">
      <c r="A18" s="52">
        <f t="shared" si="14"/>
        <v>46276</v>
      </c>
      <c r="B18" s="51">
        <f t="shared" si="0"/>
        <v>46276</v>
      </c>
      <c r="C18" s="63">
        <v>0.375</v>
      </c>
      <c r="D18" s="62" t="s">
        <v>103</v>
      </c>
      <c r="E18" s="49">
        <v>0.75</v>
      </c>
      <c r="F18" s="61">
        <v>4.1666666666666664E-2</v>
      </c>
      <c r="G18" s="60">
        <f t="shared" si="16"/>
        <v>0.33333333333333331</v>
      </c>
      <c r="H18" s="46" t="s">
        <v>137</v>
      </c>
      <c r="I18" s="36" t="s">
        <v>135</v>
      </c>
      <c r="J18" s="45"/>
      <c r="K18" s="43"/>
      <c r="L18" s="58"/>
      <c r="M18" s="57">
        <f t="shared" si="15"/>
        <v>0</v>
      </c>
      <c r="N18" s="56" t="str">
        <f t="shared" si="2"/>
        <v>Under</v>
      </c>
      <c r="O18" s="55">
        <f t="shared" si="3"/>
        <v>0.33333333333333331</v>
      </c>
      <c r="P18" s="54">
        <f t="shared" si="4"/>
        <v>0.75</v>
      </c>
      <c r="Q18" s="53"/>
      <c r="R18" s="53"/>
      <c r="S18" s="43"/>
      <c r="T18" s="52">
        <f t="shared" si="5"/>
        <v>46276</v>
      </c>
      <c r="U18" s="51">
        <f t="shared" si="5"/>
        <v>46276</v>
      </c>
      <c r="V18" s="50">
        <f t="shared" si="6"/>
        <v>0.375</v>
      </c>
      <c r="W18" s="38" t="str">
        <f t="shared" si="7"/>
        <v>～</v>
      </c>
      <c r="X18" s="49">
        <f t="shared" si="8"/>
        <v>0.75</v>
      </c>
      <c r="Y18" s="48">
        <f t="shared" si="9"/>
        <v>4.1666666666666664E-2</v>
      </c>
      <c r="Z18" s="47">
        <f t="shared" si="10"/>
        <v>0.33333333333333331</v>
      </c>
      <c r="AA18" s="46" t="str">
        <f t="shared" si="11"/>
        <v>ニチレイビル 3F</v>
      </c>
      <c r="AB18" s="45" t="str">
        <f t="shared" si="12"/>
        <v>結合試験不具合対応</v>
      </c>
      <c r="AC18" s="45" t="str">
        <f t="shared" si="13"/>
        <v/>
      </c>
    </row>
    <row r="19" spans="1:29" ht="19.5" customHeight="1">
      <c r="A19" s="52">
        <f t="shared" si="14"/>
        <v>46277</v>
      </c>
      <c r="B19" s="51">
        <f t="shared" si="0"/>
        <v>46277</v>
      </c>
      <c r="C19" s="63"/>
      <c r="D19" s="62"/>
      <c r="E19" s="49"/>
      <c r="F19" s="61"/>
      <c r="G19" s="60" t="str">
        <f t="shared" si="16"/>
        <v/>
      </c>
      <c r="H19" s="46"/>
      <c r="I19" s="36"/>
      <c r="J19" s="45"/>
      <c r="K19" s="43"/>
      <c r="L19" s="58"/>
      <c r="M19" s="57">
        <f t="shared" si="15"/>
        <v>0</v>
      </c>
      <c r="N19" s="56" t="str">
        <f t="shared" si="2"/>
        <v>Under</v>
      </c>
      <c r="O19" s="55">
        <f t="shared" si="3"/>
        <v>0</v>
      </c>
      <c r="P19" s="54">
        <f t="shared" si="4"/>
        <v>0</v>
      </c>
      <c r="Q19" s="53"/>
      <c r="R19" s="53"/>
      <c r="S19" s="43"/>
      <c r="T19" s="52">
        <f t="shared" si="5"/>
        <v>46277</v>
      </c>
      <c r="U19" s="51">
        <f t="shared" si="5"/>
        <v>46277</v>
      </c>
      <c r="V19" s="50" t="str">
        <f t="shared" si="6"/>
        <v/>
      </c>
      <c r="W19" s="38" t="str">
        <f t="shared" si="7"/>
        <v/>
      </c>
      <c r="X19" s="49" t="str">
        <f t="shared" si="8"/>
        <v/>
      </c>
      <c r="Y19" s="48" t="str">
        <f t="shared" si="9"/>
        <v/>
      </c>
      <c r="Z19" s="47" t="str">
        <f t="shared" si="10"/>
        <v/>
      </c>
      <c r="AA19" s="46" t="str">
        <f t="shared" si="11"/>
        <v/>
      </c>
      <c r="AB19" s="45" t="str">
        <f t="shared" si="12"/>
        <v/>
      </c>
      <c r="AC19" s="45" t="str">
        <f t="shared" si="13"/>
        <v/>
      </c>
    </row>
    <row r="20" spans="1:29" ht="19.5" customHeight="1">
      <c r="A20" s="52">
        <f t="shared" si="14"/>
        <v>46278</v>
      </c>
      <c r="B20" s="51">
        <f t="shared" si="0"/>
        <v>46278</v>
      </c>
      <c r="C20" s="63"/>
      <c r="D20" s="62"/>
      <c r="E20" s="49"/>
      <c r="F20" s="61"/>
      <c r="G20" s="60" t="str">
        <f t="shared" si="16"/>
        <v/>
      </c>
      <c r="H20" s="46"/>
      <c r="I20" s="59"/>
      <c r="J20" s="45"/>
      <c r="K20" s="43"/>
      <c r="L20" s="58"/>
      <c r="M20" s="57">
        <f t="shared" si="15"/>
        <v>0</v>
      </c>
      <c r="N20" s="56" t="str">
        <f t="shared" si="2"/>
        <v>Under</v>
      </c>
      <c r="O20" s="55">
        <f t="shared" si="3"/>
        <v>0</v>
      </c>
      <c r="P20" s="54">
        <f t="shared" si="4"/>
        <v>0</v>
      </c>
      <c r="Q20" s="53"/>
      <c r="R20" s="53"/>
      <c r="S20" s="43"/>
      <c r="T20" s="52">
        <f t="shared" si="5"/>
        <v>46278</v>
      </c>
      <c r="U20" s="51">
        <f t="shared" si="5"/>
        <v>46278</v>
      </c>
      <c r="V20" s="50" t="str">
        <f t="shared" si="6"/>
        <v/>
      </c>
      <c r="W20" s="38" t="str">
        <f t="shared" si="7"/>
        <v/>
      </c>
      <c r="X20" s="49" t="str">
        <f t="shared" si="8"/>
        <v/>
      </c>
      <c r="Y20" s="48" t="str">
        <f t="shared" si="9"/>
        <v/>
      </c>
      <c r="Z20" s="47" t="str">
        <f t="shared" si="10"/>
        <v/>
      </c>
      <c r="AA20" s="46" t="str">
        <f t="shared" si="11"/>
        <v/>
      </c>
      <c r="AB20" s="45" t="str">
        <f t="shared" si="12"/>
        <v/>
      </c>
      <c r="AC20" s="45" t="str">
        <f t="shared" si="13"/>
        <v/>
      </c>
    </row>
    <row r="21" spans="1:29" ht="19.5" customHeight="1">
      <c r="A21" s="52">
        <f t="shared" si="14"/>
        <v>46279</v>
      </c>
      <c r="B21" s="51">
        <f t="shared" si="0"/>
        <v>46279</v>
      </c>
      <c r="C21" s="63">
        <v>0.375</v>
      </c>
      <c r="D21" s="62" t="s">
        <v>103</v>
      </c>
      <c r="E21" s="49">
        <v>0.75</v>
      </c>
      <c r="F21" s="61">
        <v>4.1666666666666664E-2</v>
      </c>
      <c r="G21" s="60">
        <f t="shared" si="16"/>
        <v>0.33333333333333331</v>
      </c>
      <c r="H21" s="46" t="s">
        <v>134</v>
      </c>
      <c r="I21" s="59" t="s">
        <v>135</v>
      </c>
      <c r="J21" s="45"/>
      <c r="K21" s="43"/>
      <c r="L21" s="58"/>
      <c r="M21" s="57">
        <f t="shared" si="15"/>
        <v>0</v>
      </c>
      <c r="N21" s="56" t="str">
        <f t="shared" si="2"/>
        <v>Under</v>
      </c>
      <c r="O21" s="55">
        <f t="shared" si="3"/>
        <v>0.33333333333333331</v>
      </c>
      <c r="P21" s="54">
        <f t="shared" si="4"/>
        <v>0.75</v>
      </c>
      <c r="Q21" s="53"/>
      <c r="R21" s="53"/>
      <c r="S21" s="43"/>
      <c r="T21" s="52">
        <f t="shared" si="5"/>
        <v>46279</v>
      </c>
      <c r="U21" s="51">
        <f t="shared" si="5"/>
        <v>46279</v>
      </c>
      <c r="V21" s="50">
        <f t="shared" si="6"/>
        <v>0.375</v>
      </c>
      <c r="W21" s="38" t="str">
        <f t="shared" si="7"/>
        <v>～</v>
      </c>
      <c r="X21" s="49">
        <f t="shared" si="8"/>
        <v>0.75</v>
      </c>
      <c r="Y21" s="48">
        <f t="shared" si="9"/>
        <v>4.1666666666666664E-2</v>
      </c>
      <c r="Z21" s="47">
        <f t="shared" si="10"/>
        <v>0.33333333333333331</v>
      </c>
      <c r="AA21" s="46" t="str">
        <f t="shared" si="11"/>
        <v>リモート</v>
      </c>
      <c r="AB21" s="45" t="str">
        <f t="shared" si="12"/>
        <v>結合試験不具合対応</v>
      </c>
      <c r="AC21" s="45" t="str">
        <f t="shared" si="13"/>
        <v/>
      </c>
    </row>
    <row r="22" spans="1:29" ht="19.5" customHeight="1">
      <c r="A22" s="52">
        <f t="shared" si="14"/>
        <v>46280</v>
      </c>
      <c r="B22" s="51">
        <f t="shared" si="0"/>
        <v>46280</v>
      </c>
      <c r="C22" s="63">
        <v>0.375</v>
      </c>
      <c r="D22" s="62" t="s">
        <v>103</v>
      </c>
      <c r="E22" s="49">
        <v>0.75</v>
      </c>
      <c r="F22" s="61">
        <v>4.1666666666666664E-2</v>
      </c>
      <c r="G22" s="60">
        <f t="shared" si="16"/>
        <v>0.33333333333333331</v>
      </c>
      <c r="H22" s="46" t="s">
        <v>134</v>
      </c>
      <c r="I22" s="59" t="s">
        <v>135</v>
      </c>
      <c r="J22" s="45"/>
      <c r="K22" s="43"/>
      <c r="L22" s="58"/>
      <c r="M22" s="57">
        <f t="shared" si="15"/>
        <v>0</v>
      </c>
      <c r="N22" s="56" t="str">
        <f t="shared" si="2"/>
        <v>Under</v>
      </c>
      <c r="O22" s="55">
        <f t="shared" si="3"/>
        <v>0.33333333333333331</v>
      </c>
      <c r="P22" s="54">
        <f t="shared" si="4"/>
        <v>0.75</v>
      </c>
      <c r="Q22" s="53"/>
      <c r="R22" s="53"/>
      <c r="S22" s="43"/>
      <c r="T22" s="52">
        <f t="shared" si="5"/>
        <v>46280</v>
      </c>
      <c r="U22" s="51">
        <f t="shared" si="5"/>
        <v>46280</v>
      </c>
      <c r="V22" s="50">
        <f t="shared" si="6"/>
        <v>0.375</v>
      </c>
      <c r="W22" s="38" t="str">
        <f t="shared" si="7"/>
        <v>～</v>
      </c>
      <c r="X22" s="49">
        <f t="shared" si="8"/>
        <v>0.75</v>
      </c>
      <c r="Y22" s="48">
        <f t="shared" si="9"/>
        <v>4.1666666666666664E-2</v>
      </c>
      <c r="Z22" s="47">
        <f t="shared" si="10"/>
        <v>0.33333333333333331</v>
      </c>
      <c r="AA22" s="46" t="str">
        <f t="shared" si="11"/>
        <v>リモート</v>
      </c>
      <c r="AB22" s="45" t="str">
        <f t="shared" si="12"/>
        <v>結合試験不具合対応</v>
      </c>
      <c r="AC22" s="45" t="str">
        <f t="shared" si="13"/>
        <v/>
      </c>
    </row>
    <row r="23" spans="1:29" ht="19.5" customHeight="1">
      <c r="A23" s="52">
        <f t="shared" si="14"/>
        <v>46281</v>
      </c>
      <c r="B23" s="51">
        <f t="shared" si="0"/>
        <v>46281</v>
      </c>
      <c r="C23" s="63">
        <v>0.375</v>
      </c>
      <c r="D23" s="62" t="s">
        <v>103</v>
      </c>
      <c r="E23" s="49">
        <v>0.75</v>
      </c>
      <c r="F23" s="61">
        <v>4.1666666666666664E-2</v>
      </c>
      <c r="G23" s="60">
        <f t="shared" si="16"/>
        <v>0.33333333333333331</v>
      </c>
      <c r="H23" s="46" t="s">
        <v>134</v>
      </c>
      <c r="I23" s="59" t="s">
        <v>135</v>
      </c>
      <c r="J23" s="45"/>
      <c r="K23" s="43"/>
      <c r="L23" s="58"/>
      <c r="M23" s="57">
        <f t="shared" si="15"/>
        <v>0</v>
      </c>
      <c r="N23" s="56" t="str">
        <f t="shared" si="2"/>
        <v>Under</v>
      </c>
      <c r="O23" s="55">
        <f t="shared" si="3"/>
        <v>0.33333333333333331</v>
      </c>
      <c r="P23" s="54">
        <f t="shared" si="4"/>
        <v>0.75</v>
      </c>
      <c r="Q23" s="53"/>
      <c r="R23" s="53"/>
      <c r="S23" s="43"/>
      <c r="T23" s="52">
        <f t="shared" si="5"/>
        <v>46281</v>
      </c>
      <c r="U23" s="51">
        <f t="shared" si="5"/>
        <v>46281</v>
      </c>
      <c r="V23" s="50">
        <f t="shared" si="6"/>
        <v>0.375</v>
      </c>
      <c r="W23" s="38" t="str">
        <f t="shared" si="7"/>
        <v>～</v>
      </c>
      <c r="X23" s="49">
        <f t="shared" si="8"/>
        <v>0.75</v>
      </c>
      <c r="Y23" s="48">
        <f t="shared" si="9"/>
        <v>4.1666666666666664E-2</v>
      </c>
      <c r="Z23" s="47">
        <f t="shared" si="10"/>
        <v>0.33333333333333331</v>
      </c>
      <c r="AA23" s="46" t="str">
        <f t="shared" si="11"/>
        <v>リモート</v>
      </c>
      <c r="AB23" s="45" t="str">
        <f t="shared" si="12"/>
        <v>結合試験不具合対応</v>
      </c>
      <c r="AC23" s="45" t="str">
        <f t="shared" si="13"/>
        <v/>
      </c>
    </row>
    <row r="24" spans="1:29" ht="19.5" customHeight="1">
      <c r="A24" s="52">
        <f t="shared" si="14"/>
        <v>46282</v>
      </c>
      <c r="B24" s="51">
        <f t="shared" si="0"/>
        <v>46282</v>
      </c>
      <c r="C24" s="63">
        <v>0.375</v>
      </c>
      <c r="D24" s="62" t="s">
        <v>103</v>
      </c>
      <c r="E24" s="49">
        <v>0.75</v>
      </c>
      <c r="F24" s="61">
        <v>4.1666666666666664E-2</v>
      </c>
      <c r="G24" s="60">
        <f t="shared" si="16"/>
        <v>0.33333333333333331</v>
      </c>
      <c r="H24" s="46" t="s">
        <v>134</v>
      </c>
      <c r="I24" s="59" t="s">
        <v>135</v>
      </c>
      <c r="J24" s="45"/>
      <c r="K24" s="43"/>
      <c r="L24" s="58"/>
      <c r="M24" s="57">
        <f t="shared" si="15"/>
        <v>0</v>
      </c>
      <c r="N24" s="56" t="str">
        <f t="shared" si="2"/>
        <v>Under</v>
      </c>
      <c r="O24" s="55">
        <f t="shared" si="3"/>
        <v>0.33333333333333331</v>
      </c>
      <c r="P24" s="54">
        <f t="shared" si="4"/>
        <v>0.75</v>
      </c>
      <c r="Q24" s="53"/>
      <c r="R24" s="53"/>
      <c r="S24" s="43"/>
      <c r="T24" s="52">
        <f t="shared" si="5"/>
        <v>46282</v>
      </c>
      <c r="U24" s="51">
        <f t="shared" si="5"/>
        <v>46282</v>
      </c>
      <c r="V24" s="50">
        <f t="shared" si="6"/>
        <v>0.375</v>
      </c>
      <c r="W24" s="38" t="str">
        <f t="shared" si="7"/>
        <v>～</v>
      </c>
      <c r="X24" s="49">
        <f t="shared" si="8"/>
        <v>0.75</v>
      </c>
      <c r="Y24" s="48">
        <f t="shared" si="9"/>
        <v>4.1666666666666664E-2</v>
      </c>
      <c r="Z24" s="47">
        <f t="shared" si="10"/>
        <v>0.33333333333333331</v>
      </c>
      <c r="AA24" s="46" t="str">
        <f t="shared" si="11"/>
        <v>リモート</v>
      </c>
      <c r="AB24" s="45" t="str">
        <f t="shared" si="12"/>
        <v>結合試験不具合対応</v>
      </c>
      <c r="AC24" s="45" t="str">
        <f t="shared" si="13"/>
        <v/>
      </c>
    </row>
    <row r="25" spans="1:29" ht="19.5" customHeight="1">
      <c r="A25" s="52">
        <f t="shared" si="14"/>
        <v>46283</v>
      </c>
      <c r="B25" s="51">
        <f t="shared" si="0"/>
        <v>46283</v>
      </c>
      <c r="C25" s="63">
        <v>0.375</v>
      </c>
      <c r="D25" s="62" t="s">
        <v>103</v>
      </c>
      <c r="E25" s="49">
        <v>0.75</v>
      </c>
      <c r="F25" s="61">
        <v>4.1666666666666664E-2</v>
      </c>
      <c r="G25" s="60">
        <f t="shared" si="16"/>
        <v>0.33333333333333331</v>
      </c>
      <c r="H25" s="46" t="s">
        <v>137</v>
      </c>
      <c r="I25" s="36" t="s">
        <v>135</v>
      </c>
      <c r="J25" s="45"/>
      <c r="K25" s="43"/>
      <c r="L25" s="58"/>
      <c r="M25" s="57">
        <f t="shared" si="15"/>
        <v>0</v>
      </c>
      <c r="N25" s="56" t="str">
        <f t="shared" si="2"/>
        <v>Under</v>
      </c>
      <c r="O25" s="55">
        <f t="shared" si="3"/>
        <v>0.33333333333333331</v>
      </c>
      <c r="P25" s="54">
        <f t="shared" si="4"/>
        <v>0.75</v>
      </c>
      <c r="Q25" s="53"/>
      <c r="R25" s="53"/>
      <c r="S25" s="43"/>
      <c r="T25" s="52">
        <f t="shared" si="5"/>
        <v>46283</v>
      </c>
      <c r="U25" s="51">
        <f t="shared" si="5"/>
        <v>46283</v>
      </c>
      <c r="V25" s="50">
        <f t="shared" si="6"/>
        <v>0.375</v>
      </c>
      <c r="W25" s="38" t="str">
        <f t="shared" si="7"/>
        <v>～</v>
      </c>
      <c r="X25" s="49">
        <f t="shared" si="8"/>
        <v>0.75</v>
      </c>
      <c r="Y25" s="48">
        <f t="shared" si="9"/>
        <v>4.1666666666666664E-2</v>
      </c>
      <c r="Z25" s="47">
        <f t="shared" si="10"/>
        <v>0.33333333333333331</v>
      </c>
      <c r="AA25" s="46" t="str">
        <f t="shared" si="11"/>
        <v>ニチレイビル 3F</v>
      </c>
      <c r="AB25" s="45" t="str">
        <f t="shared" si="12"/>
        <v>結合試験不具合対応</v>
      </c>
      <c r="AC25" s="45" t="str">
        <f t="shared" si="13"/>
        <v/>
      </c>
    </row>
    <row r="26" spans="1:29" ht="19.5" customHeight="1">
      <c r="A26" s="52">
        <f t="shared" si="14"/>
        <v>46284</v>
      </c>
      <c r="B26" s="51">
        <f t="shared" si="0"/>
        <v>46284</v>
      </c>
      <c r="C26" s="63"/>
      <c r="D26" s="62"/>
      <c r="E26" s="49"/>
      <c r="F26" s="61"/>
      <c r="G26" s="60" t="str">
        <f t="shared" si="16"/>
        <v/>
      </c>
      <c r="H26" s="46"/>
      <c r="I26" s="36"/>
      <c r="J26" s="45"/>
      <c r="K26" s="43"/>
      <c r="L26" s="58"/>
      <c r="M26" s="57">
        <f t="shared" si="15"/>
        <v>0</v>
      </c>
      <c r="N26" s="56" t="str">
        <f t="shared" si="2"/>
        <v>Under</v>
      </c>
      <c r="O26" s="55">
        <f t="shared" si="3"/>
        <v>0</v>
      </c>
      <c r="P26" s="54">
        <f t="shared" si="4"/>
        <v>0</v>
      </c>
      <c r="Q26" s="53"/>
      <c r="R26" s="53"/>
      <c r="S26" s="43"/>
      <c r="T26" s="52">
        <f t="shared" si="5"/>
        <v>46284</v>
      </c>
      <c r="U26" s="51">
        <f t="shared" si="5"/>
        <v>46284</v>
      </c>
      <c r="V26" s="50" t="str">
        <f t="shared" si="6"/>
        <v/>
      </c>
      <c r="W26" s="38" t="str">
        <f t="shared" si="7"/>
        <v/>
      </c>
      <c r="X26" s="49" t="str">
        <f t="shared" si="8"/>
        <v/>
      </c>
      <c r="Y26" s="48" t="str">
        <f t="shared" si="9"/>
        <v/>
      </c>
      <c r="Z26" s="47" t="str">
        <f t="shared" si="10"/>
        <v/>
      </c>
      <c r="AA26" s="46" t="str">
        <f t="shared" si="11"/>
        <v/>
      </c>
      <c r="AB26" s="45" t="str">
        <f t="shared" si="12"/>
        <v/>
      </c>
      <c r="AC26" s="45" t="str">
        <f t="shared" si="13"/>
        <v/>
      </c>
    </row>
    <row r="27" spans="1:29" ht="19.5" customHeight="1">
      <c r="A27" s="52">
        <f t="shared" si="14"/>
        <v>46285</v>
      </c>
      <c r="B27" s="51">
        <f t="shared" si="0"/>
        <v>46285</v>
      </c>
      <c r="C27" s="63"/>
      <c r="D27" s="62"/>
      <c r="E27" s="49"/>
      <c r="F27" s="61"/>
      <c r="G27" s="60" t="str">
        <f t="shared" si="16"/>
        <v/>
      </c>
      <c r="H27" s="46"/>
      <c r="I27" s="59"/>
      <c r="J27" s="45"/>
      <c r="K27" s="43"/>
      <c r="L27" s="58"/>
      <c r="M27" s="57">
        <f t="shared" si="15"/>
        <v>0</v>
      </c>
      <c r="N27" s="56" t="str">
        <f t="shared" si="2"/>
        <v>Under</v>
      </c>
      <c r="O27" s="55">
        <f t="shared" si="3"/>
        <v>0</v>
      </c>
      <c r="P27" s="54">
        <f t="shared" si="4"/>
        <v>0</v>
      </c>
      <c r="Q27" s="53"/>
      <c r="R27" s="53"/>
      <c r="S27" s="43"/>
      <c r="T27" s="52">
        <f t="shared" si="5"/>
        <v>46285</v>
      </c>
      <c r="U27" s="51">
        <f t="shared" si="5"/>
        <v>46285</v>
      </c>
      <c r="V27" s="50" t="str">
        <f t="shared" si="6"/>
        <v/>
      </c>
      <c r="W27" s="38" t="str">
        <f t="shared" si="7"/>
        <v/>
      </c>
      <c r="X27" s="49" t="str">
        <f t="shared" si="8"/>
        <v/>
      </c>
      <c r="Y27" s="48" t="str">
        <f t="shared" si="9"/>
        <v/>
      </c>
      <c r="Z27" s="47" t="str">
        <f t="shared" si="10"/>
        <v/>
      </c>
      <c r="AA27" s="46" t="str">
        <f t="shared" si="11"/>
        <v/>
      </c>
      <c r="AB27" s="45" t="str">
        <f t="shared" si="12"/>
        <v/>
      </c>
      <c r="AC27" s="45" t="str">
        <f t="shared" si="13"/>
        <v/>
      </c>
    </row>
    <row r="28" spans="1:29" ht="19.5" customHeight="1">
      <c r="A28" s="52">
        <f t="shared" si="14"/>
        <v>46286</v>
      </c>
      <c r="B28" s="51">
        <f t="shared" si="0"/>
        <v>46286</v>
      </c>
      <c r="C28" s="63"/>
      <c r="D28" s="62"/>
      <c r="E28" s="49"/>
      <c r="F28" s="61"/>
      <c r="G28" s="60"/>
      <c r="H28" s="46"/>
      <c r="I28" s="59" t="s">
        <v>138</v>
      </c>
      <c r="J28" s="45"/>
      <c r="K28" s="43"/>
      <c r="L28" s="58"/>
      <c r="M28" s="57">
        <f t="shared" si="15"/>
        <v>0</v>
      </c>
      <c r="N28" s="56" t="str">
        <f t="shared" si="2"/>
        <v>Under</v>
      </c>
      <c r="O28" s="55">
        <f t="shared" si="3"/>
        <v>0</v>
      </c>
      <c r="P28" s="54">
        <f t="shared" si="4"/>
        <v>0</v>
      </c>
      <c r="Q28" s="53"/>
      <c r="R28" s="53"/>
      <c r="S28" s="43"/>
      <c r="T28" s="52">
        <f t="shared" si="5"/>
        <v>46286</v>
      </c>
      <c r="U28" s="51">
        <f t="shared" si="5"/>
        <v>46286</v>
      </c>
      <c r="V28" s="50" t="str">
        <f t="shared" si="6"/>
        <v/>
      </c>
      <c r="W28" s="38" t="str">
        <f t="shared" si="7"/>
        <v/>
      </c>
      <c r="X28" s="49" t="str">
        <f t="shared" si="8"/>
        <v/>
      </c>
      <c r="Y28" s="48" t="str">
        <f t="shared" si="9"/>
        <v/>
      </c>
      <c r="Z28" s="47" t="str">
        <f t="shared" si="10"/>
        <v/>
      </c>
      <c r="AA28" s="46" t="str">
        <f t="shared" si="11"/>
        <v/>
      </c>
      <c r="AB28" s="45" t="str">
        <f t="shared" si="12"/>
        <v/>
      </c>
      <c r="AC28" s="45" t="str">
        <f t="shared" si="13"/>
        <v/>
      </c>
    </row>
    <row r="29" spans="1:29" ht="19.5" customHeight="1">
      <c r="A29" s="52">
        <f t="shared" si="14"/>
        <v>46287</v>
      </c>
      <c r="B29" s="51">
        <f t="shared" si="0"/>
        <v>46287</v>
      </c>
      <c r="C29" s="63"/>
      <c r="D29" s="62"/>
      <c r="E29" s="49"/>
      <c r="F29" s="61"/>
      <c r="G29" s="60"/>
      <c r="H29" s="46"/>
      <c r="I29" s="59" t="s">
        <v>139</v>
      </c>
      <c r="J29" s="45"/>
      <c r="K29" s="43"/>
      <c r="L29" s="58"/>
      <c r="M29" s="57">
        <f t="shared" si="15"/>
        <v>0</v>
      </c>
      <c r="N29" s="56" t="str">
        <f t="shared" si="2"/>
        <v>Under</v>
      </c>
      <c r="O29" s="55">
        <f t="shared" si="3"/>
        <v>0</v>
      </c>
      <c r="P29" s="54">
        <f t="shared" si="4"/>
        <v>0</v>
      </c>
      <c r="Q29" s="53"/>
      <c r="R29" s="53"/>
      <c r="S29" s="43"/>
      <c r="T29" s="52">
        <f t="shared" si="5"/>
        <v>46287</v>
      </c>
      <c r="U29" s="51">
        <f t="shared" si="5"/>
        <v>46287</v>
      </c>
      <c r="V29" s="50" t="str">
        <f t="shared" si="6"/>
        <v/>
      </c>
      <c r="W29" s="38" t="str">
        <f t="shared" si="7"/>
        <v/>
      </c>
      <c r="X29" s="49" t="str">
        <f t="shared" si="8"/>
        <v/>
      </c>
      <c r="Y29" s="48" t="str">
        <f t="shared" si="9"/>
        <v/>
      </c>
      <c r="Z29" s="47" t="str">
        <f t="shared" si="10"/>
        <v/>
      </c>
      <c r="AA29" s="46" t="str">
        <f t="shared" si="11"/>
        <v/>
      </c>
      <c r="AB29" s="45" t="str">
        <f t="shared" si="12"/>
        <v/>
      </c>
      <c r="AC29" s="45" t="str">
        <f t="shared" si="13"/>
        <v/>
      </c>
    </row>
    <row r="30" spans="1:29" ht="19.5" customHeight="1">
      <c r="A30" s="52">
        <f t="shared" si="14"/>
        <v>46288</v>
      </c>
      <c r="B30" s="51">
        <f t="shared" si="0"/>
        <v>46288</v>
      </c>
      <c r="C30" s="63"/>
      <c r="D30" s="62"/>
      <c r="E30" s="49"/>
      <c r="F30" s="61"/>
      <c r="G30" s="60"/>
      <c r="H30" s="46"/>
      <c r="I30" s="59" t="s">
        <v>140</v>
      </c>
      <c r="J30" s="45"/>
      <c r="K30" s="43"/>
      <c r="L30" s="58"/>
      <c r="M30" s="57">
        <f t="shared" si="15"/>
        <v>0</v>
      </c>
      <c r="N30" s="56" t="str">
        <f t="shared" si="2"/>
        <v>Under</v>
      </c>
      <c r="O30" s="55">
        <f t="shared" si="3"/>
        <v>0</v>
      </c>
      <c r="P30" s="54">
        <f t="shared" si="4"/>
        <v>0</v>
      </c>
      <c r="Q30" s="53"/>
      <c r="R30" s="53"/>
      <c r="S30" s="43"/>
      <c r="T30" s="52">
        <f t="shared" si="5"/>
        <v>46288</v>
      </c>
      <c r="U30" s="51">
        <f t="shared" si="5"/>
        <v>46288</v>
      </c>
      <c r="V30" s="50" t="str">
        <f t="shared" si="6"/>
        <v/>
      </c>
      <c r="W30" s="38" t="str">
        <f t="shared" si="7"/>
        <v/>
      </c>
      <c r="X30" s="49" t="str">
        <f t="shared" si="8"/>
        <v/>
      </c>
      <c r="Y30" s="48" t="str">
        <f t="shared" si="9"/>
        <v/>
      </c>
      <c r="Z30" s="47" t="str">
        <f t="shared" si="10"/>
        <v/>
      </c>
      <c r="AA30" s="46" t="str">
        <f t="shared" si="11"/>
        <v/>
      </c>
      <c r="AB30" s="45" t="str">
        <f t="shared" si="12"/>
        <v/>
      </c>
      <c r="AC30" s="36" t="str">
        <f t="shared" si="13"/>
        <v/>
      </c>
    </row>
    <row r="31" spans="1:29" ht="19.5" customHeight="1">
      <c r="A31" s="52">
        <f t="shared" si="14"/>
        <v>46289</v>
      </c>
      <c r="B31" s="51">
        <f t="shared" si="0"/>
        <v>46289</v>
      </c>
      <c r="C31" s="63">
        <v>0.375</v>
      </c>
      <c r="D31" s="62" t="s">
        <v>103</v>
      </c>
      <c r="E31" s="49">
        <v>0.75</v>
      </c>
      <c r="F31" s="61">
        <v>4.1666666666666664E-2</v>
      </c>
      <c r="G31" s="60">
        <f t="shared" si="16"/>
        <v>0.33333333333333331</v>
      </c>
      <c r="H31" s="46" t="s">
        <v>134</v>
      </c>
      <c r="I31" s="59" t="s">
        <v>135</v>
      </c>
      <c r="J31" s="45"/>
      <c r="K31" s="43"/>
      <c r="L31" s="58"/>
      <c r="M31" s="57">
        <f t="shared" si="15"/>
        <v>0</v>
      </c>
      <c r="N31" s="56" t="str">
        <f t="shared" si="2"/>
        <v>Under</v>
      </c>
      <c r="O31" s="55">
        <f t="shared" si="3"/>
        <v>0.33333333333333331</v>
      </c>
      <c r="P31" s="54">
        <f t="shared" si="4"/>
        <v>0.75</v>
      </c>
      <c r="Q31" s="53"/>
      <c r="R31" s="53"/>
      <c r="S31" s="43"/>
      <c r="T31" s="52">
        <f t="shared" si="5"/>
        <v>46289</v>
      </c>
      <c r="U31" s="51">
        <f t="shared" si="5"/>
        <v>46289</v>
      </c>
      <c r="V31" s="50">
        <f t="shared" si="6"/>
        <v>0.375</v>
      </c>
      <c r="W31" s="38" t="str">
        <f t="shared" si="7"/>
        <v>～</v>
      </c>
      <c r="X31" s="49">
        <f t="shared" si="8"/>
        <v>0.75</v>
      </c>
      <c r="Y31" s="48">
        <f t="shared" si="9"/>
        <v>4.1666666666666664E-2</v>
      </c>
      <c r="Z31" s="47">
        <f t="shared" si="10"/>
        <v>0.33333333333333331</v>
      </c>
      <c r="AA31" s="46" t="str">
        <f t="shared" si="11"/>
        <v>リモート</v>
      </c>
      <c r="AB31" s="45" t="str">
        <f t="shared" si="12"/>
        <v>結合試験不具合対応</v>
      </c>
      <c r="AC31" s="45" t="str">
        <f t="shared" si="13"/>
        <v/>
      </c>
    </row>
    <row r="32" spans="1:29" ht="19.5" customHeight="1">
      <c r="A32" s="52">
        <f t="shared" si="14"/>
        <v>46290</v>
      </c>
      <c r="B32" s="51">
        <f t="shared" si="0"/>
        <v>46290</v>
      </c>
      <c r="C32" s="63">
        <v>0.375</v>
      </c>
      <c r="D32" s="62" t="s">
        <v>103</v>
      </c>
      <c r="E32" s="49">
        <v>0.75</v>
      </c>
      <c r="F32" s="61">
        <v>4.1666666666666664E-2</v>
      </c>
      <c r="G32" s="60">
        <f t="shared" si="16"/>
        <v>0.33333333333333331</v>
      </c>
      <c r="H32" s="46" t="s">
        <v>137</v>
      </c>
      <c r="I32" s="36" t="s">
        <v>135</v>
      </c>
      <c r="J32" s="45"/>
      <c r="K32" s="43"/>
      <c r="L32" s="58"/>
      <c r="M32" s="57">
        <f t="shared" si="15"/>
        <v>0</v>
      </c>
      <c r="N32" s="56" t="str">
        <f t="shared" si="2"/>
        <v>Under</v>
      </c>
      <c r="O32" s="55">
        <f t="shared" si="3"/>
        <v>0.33333333333333331</v>
      </c>
      <c r="P32" s="54">
        <f t="shared" si="4"/>
        <v>0.75</v>
      </c>
      <c r="Q32" s="53"/>
      <c r="R32" s="53"/>
      <c r="S32" s="43"/>
      <c r="T32" s="52">
        <f t="shared" si="5"/>
        <v>46290</v>
      </c>
      <c r="U32" s="51">
        <f t="shared" si="5"/>
        <v>46290</v>
      </c>
      <c r="V32" s="50">
        <f t="shared" si="6"/>
        <v>0.375</v>
      </c>
      <c r="W32" s="38" t="str">
        <f t="shared" si="7"/>
        <v>～</v>
      </c>
      <c r="X32" s="49">
        <f t="shared" si="8"/>
        <v>0.75</v>
      </c>
      <c r="Y32" s="48">
        <f t="shared" si="9"/>
        <v>4.1666666666666664E-2</v>
      </c>
      <c r="Z32" s="47">
        <f t="shared" si="10"/>
        <v>0.33333333333333331</v>
      </c>
      <c r="AA32" s="46" t="str">
        <f t="shared" si="11"/>
        <v>ニチレイビル 3F</v>
      </c>
      <c r="AB32" s="45" t="str">
        <f t="shared" si="12"/>
        <v>結合試験不具合対応</v>
      </c>
      <c r="AC32" s="45" t="str">
        <f t="shared" si="13"/>
        <v/>
      </c>
    </row>
    <row r="33" spans="1:29" ht="19.5" customHeight="1">
      <c r="A33" s="52">
        <f t="shared" si="14"/>
        <v>46291</v>
      </c>
      <c r="B33" s="51">
        <f t="shared" si="0"/>
        <v>46291</v>
      </c>
      <c r="C33" s="63"/>
      <c r="D33" s="62"/>
      <c r="E33" s="49"/>
      <c r="F33" s="61"/>
      <c r="G33" s="60" t="str">
        <f t="shared" si="16"/>
        <v/>
      </c>
      <c r="H33" s="46"/>
      <c r="I33" s="36"/>
      <c r="J33" s="45"/>
      <c r="K33" s="43"/>
      <c r="L33" s="58"/>
      <c r="M33" s="57">
        <f t="shared" si="15"/>
        <v>0</v>
      </c>
      <c r="N33" s="56" t="str">
        <f t="shared" si="2"/>
        <v>Under</v>
      </c>
      <c r="O33" s="55">
        <f t="shared" si="3"/>
        <v>0</v>
      </c>
      <c r="P33" s="54">
        <f t="shared" si="4"/>
        <v>0</v>
      </c>
      <c r="Q33" s="53"/>
      <c r="R33" s="53"/>
      <c r="S33" s="43"/>
      <c r="T33" s="52">
        <f t="shared" si="5"/>
        <v>46291</v>
      </c>
      <c r="U33" s="51">
        <f t="shared" si="5"/>
        <v>46291</v>
      </c>
      <c r="V33" s="50" t="str">
        <f t="shared" si="6"/>
        <v/>
      </c>
      <c r="W33" s="38" t="str">
        <f t="shared" si="7"/>
        <v/>
      </c>
      <c r="X33" s="49" t="str">
        <f t="shared" si="8"/>
        <v/>
      </c>
      <c r="Y33" s="48" t="str">
        <f t="shared" si="9"/>
        <v/>
      </c>
      <c r="Z33" s="47" t="str">
        <f t="shared" si="10"/>
        <v/>
      </c>
      <c r="AA33" s="46" t="str">
        <f t="shared" si="11"/>
        <v/>
      </c>
      <c r="AB33" s="45" t="str">
        <f t="shared" si="12"/>
        <v/>
      </c>
      <c r="AC33" s="45" t="str">
        <f t="shared" si="13"/>
        <v/>
      </c>
    </row>
    <row r="34" spans="1:29" ht="19.5" customHeight="1">
      <c r="A34" s="52">
        <f t="shared" si="14"/>
        <v>46292</v>
      </c>
      <c r="B34" s="51">
        <f t="shared" si="0"/>
        <v>46292</v>
      </c>
      <c r="C34" s="63"/>
      <c r="D34" s="62"/>
      <c r="E34" s="49"/>
      <c r="F34" s="61"/>
      <c r="G34" s="60" t="str">
        <f t="shared" si="16"/>
        <v/>
      </c>
      <c r="H34" s="46"/>
      <c r="I34" s="59"/>
      <c r="J34" s="45"/>
      <c r="K34" s="43"/>
      <c r="L34" s="58"/>
      <c r="M34" s="57">
        <f t="shared" si="15"/>
        <v>0</v>
      </c>
      <c r="N34" s="56" t="str">
        <f t="shared" si="2"/>
        <v>Under</v>
      </c>
      <c r="O34" s="55">
        <f t="shared" si="3"/>
        <v>0</v>
      </c>
      <c r="P34" s="54">
        <f t="shared" si="4"/>
        <v>0</v>
      </c>
      <c r="Q34" s="53"/>
      <c r="R34" s="53"/>
      <c r="S34" s="43"/>
      <c r="T34" s="52">
        <f t="shared" si="5"/>
        <v>46292</v>
      </c>
      <c r="U34" s="51">
        <f t="shared" si="5"/>
        <v>46292</v>
      </c>
      <c r="V34" s="50" t="str">
        <f t="shared" si="6"/>
        <v/>
      </c>
      <c r="W34" s="38" t="str">
        <f t="shared" si="7"/>
        <v/>
      </c>
      <c r="X34" s="49" t="str">
        <f t="shared" si="8"/>
        <v/>
      </c>
      <c r="Y34" s="48" t="str">
        <f t="shared" si="9"/>
        <v/>
      </c>
      <c r="Z34" s="47" t="str">
        <f t="shared" si="10"/>
        <v/>
      </c>
      <c r="AA34" s="46" t="str">
        <f t="shared" si="11"/>
        <v/>
      </c>
      <c r="AB34" s="45" t="str">
        <f t="shared" si="12"/>
        <v/>
      </c>
      <c r="AC34" s="45" t="str">
        <f t="shared" si="13"/>
        <v/>
      </c>
    </row>
    <row r="35" spans="1:29" ht="19.5" customHeight="1">
      <c r="A35" s="52">
        <f t="shared" si="14"/>
        <v>46293</v>
      </c>
      <c r="B35" s="51">
        <f t="shared" si="0"/>
        <v>46293</v>
      </c>
      <c r="C35" s="63">
        <v>0.375</v>
      </c>
      <c r="D35" s="62" t="s">
        <v>103</v>
      </c>
      <c r="E35" s="49">
        <v>0.75</v>
      </c>
      <c r="F35" s="61">
        <v>4.1666666666666664E-2</v>
      </c>
      <c r="G35" s="60">
        <f t="shared" si="16"/>
        <v>0.33333333333333331</v>
      </c>
      <c r="H35" s="46" t="s">
        <v>134</v>
      </c>
      <c r="I35" s="59" t="s">
        <v>135</v>
      </c>
      <c r="J35" s="45"/>
      <c r="K35" s="43"/>
      <c r="L35" s="58"/>
      <c r="M35" s="57">
        <f t="shared" si="15"/>
        <v>0</v>
      </c>
      <c r="N35" s="56" t="str">
        <f t="shared" si="2"/>
        <v>Under</v>
      </c>
      <c r="O35" s="55">
        <f t="shared" si="3"/>
        <v>0.33333333333333331</v>
      </c>
      <c r="P35" s="54">
        <f t="shared" si="4"/>
        <v>0.75</v>
      </c>
      <c r="Q35" s="53"/>
      <c r="R35" s="53"/>
      <c r="S35" s="43"/>
      <c r="T35" s="52">
        <f t="shared" si="5"/>
        <v>46293</v>
      </c>
      <c r="U35" s="51">
        <f t="shared" si="5"/>
        <v>46293</v>
      </c>
      <c r="V35" s="50">
        <f t="shared" si="6"/>
        <v>0.375</v>
      </c>
      <c r="W35" s="38" t="str">
        <f t="shared" si="7"/>
        <v>～</v>
      </c>
      <c r="X35" s="49">
        <f t="shared" si="8"/>
        <v>0.75</v>
      </c>
      <c r="Y35" s="48">
        <f t="shared" si="9"/>
        <v>4.1666666666666664E-2</v>
      </c>
      <c r="Z35" s="47">
        <f t="shared" si="10"/>
        <v>0.33333333333333331</v>
      </c>
      <c r="AA35" s="46" t="str">
        <f t="shared" si="11"/>
        <v>リモート</v>
      </c>
      <c r="AB35" s="45" t="str">
        <f t="shared" si="12"/>
        <v>結合試験不具合対応</v>
      </c>
      <c r="AC35" s="45" t="str">
        <f t="shared" si="13"/>
        <v/>
      </c>
    </row>
    <row r="36" spans="1:29" ht="19.5" customHeight="1">
      <c r="A36" s="52">
        <f t="shared" si="14"/>
        <v>46294</v>
      </c>
      <c r="B36" s="51">
        <f t="shared" si="0"/>
        <v>46294</v>
      </c>
      <c r="C36" s="63">
        <v>0.375</v>
      </c>
      <c r="D36" s="62" t="s">
        <v>103</v>
      </c>
      <c r="E36" s="49">
        <v>0.75</v>
      </c>
      <c r="F36" s="61">
        <v>4.1666666666666664E-2</v>
      </c>
      <c r="G36" s="60">
        <f t="shared" ref="G36:G37" si="17">IF(C36=0,"",E36-C36-F36)</f>
        <v>0.33333333333333331</v>
      </c>
      <c r="H36" s="46" t="s">
        <v>134</v>
      </c>
      <c r="I36" s="59" t="s">
        <v>135</v>
      </c>
      <c r="J36" s="64"/>
      <c r="K36" s="43"/>
      <c r="L36" s="58"/>
      <c r="M36" s="57">
        <f t="shared" si="15"/>
        <v>0</v>
      </c>
      <c r="N36" s="56" t="str">
        <f t="shared" si="2"/>
        <v>Under</v>
      </c>
      <c r="O36" s="55">
        <f t="shared" si="3"/>
        <v>0.33333333333333331</v>
      </c>
      <c r="P36" s="54">
        <f t="shared" si="4"/>
        <v>0.75</v>
      </c>
      <c r="Q36" s="53"/>
      <c r="R36" s="53"/>
      <c r="S36" s="43"/>
      <c r="T36" s="52">
        <f t="shared" si="5"/>
        <v>46294</v>
      </c>
      <c r="U36" s="51">
        <f t="shared" si="5"/>
        <v>46294</v>
      </c>
      <c r="V36" s="50">
        <f t="shared" si="6"/>
        <v>0.375</v>
      </c>
      <c r="W36" s="38" t="str">
        <f t="shared" si="7"/>
        <v>～</v>
      </c>
      <c r="X36" s="49">
        <f t="shared" si="8"/>
        <v>0.75</v>
      </c>
      <c r="Y36" s="48">
        <f t="shared" si="9"/>
        <v>4.1666666666666664E-2</v>
      </c>
      <c r="Z36" s="47">
        <f t="shared" si="10"/>
        <v>0.33333333333333331</v>
      </c>
      <c r="AA36" s="46" t="str">
        <f t="shared" si="11"/>
        <v>リモート</v>
      </c>
      <c r="AB36" s="45" t="str">
        <f t="shared" si="12"/>
        <v>結合試験不具合対応</v>
      </c>
      <c r="AC36" s="45" t="str">
        <f t="shared" si="13"/>
        <v/>
      </c>
    </row>
    <row r="37" spans="1:29" ht="19.5" customHeight="1">
      <c r="A37" s="52">
        <f t="shared" si="14"/>
        <v>46295</v>
      </c>
      <c r="B37" s="51">
        <f t="shared" si="0"/>
        <v>46295</v>
      </c>
      <c r="C37" s="63">
        <v>0.375</v>
      </c>
      <c r="D37" s="62" t="s">
        <v>103</v>
      </c>
      <c r="E37" s="49">
        <v>0.75</v>
      </c>
      <c r="F37" s="61">
        <v>4.1666666666666664E-2</v>
      </c>
      <c r="G37" s="60">
        <f t="shared" si="17"/>
        <v>0.33333333333333331</v>
      </c>
      <c r="H37" s="46" t="s">
        <v>134</v>
      </c>
      <c r="I37" s="59" t="s">
        <v>135</v>
      </c>
      <c r="J37" s="45"/>
      <c r="K37" s="43"/>
      <c r="L37" s="58"/>
      <c r="M37" s="57">
        <f t="shared" si="15"/>
        <v>0</v>
      </c>
      <c r="N37" s="56" t="str">
        <f t="shared" si="2"/>
        <v>Under</v>
      </c>
      <c r="O37" s="55">
        <f t="shared" si="3"/>
        <v>0.33333333333333331</v>
      </c>
      <c r="P37" s="54">
        <f t="shared" si="4"/>
        <v>0.75</v>
      </c>
      <c r="Q37" s="53"/>
      <c r="R37" s="53"/>
      <c r="S37" s="43"/>
      <c r="T37" s="52">
        <f t="shared" si="5"/>
        <v>46295</v>
      </c>
      <c r="U37" s="51">
        <f t="shared" si="5"/>
        <v>46295</v>
      </c>
      <c r="V37" s="50">
        <f t="shared" si="6"/>
        <v>0.375</v>
      </c>
      <c r="W37" s="38" t="str">
        <f t="shared" si="7"/>
        <v>～</v>
      </c>
      <c r="X37" s="49">
        <f t="shared" si="8"/>
        <v>0.75</v>
      </c>
      <c r="Y37" s="48">
        <f t="shared" si="9"/>
        <v>4.1666666666666664E-2</v>
      </c>
      <c r="Z37" s="47">
        <f t="shared" si="10"/>
        <v>0.33333333333333331</v>
      </c>
      <c r="AA37" s="46" t="str">
        <f t="shared" si="11"/>
        <v>リモート</v>
      </c>
      <c r="AB37" s="45" t="str">
        <f t="shared" si="12"/>
        <v>結合試験不具合対応</v>
      </c>
      <c r="AC37" s="45" t="str">
        <f t="shared" si="13"/>
        <v/>
      </c>
    </row>
    <row r="38" spans="1:29" ht="19.5" customHeight="1">
      <c r="A38" s="52" t="str">
        <f t="shared" si="14"/>
        <v/>
      </c>
      <c r="B38" s="51" t="str">
        <f t="shared" si="0"/>
        <v/>
      </c>
      <c r="C38" s="63"/>
      <c r="D38" s="62"/>
      <c r="E38" s="49"/>
      <c r="F38" s="61"/>
      <c r="G38" s="60"/>
      <c r="H38" s="46"/>
      <c r="I38" s="59"/>
      <c r="J38" s="45"/>
      <c r="K38" s="43"/>
      <c r="L38" s="58"/>
      <c r="M38" s="57">
        <f t="shared" si="15"/>
        <v>0</v>
      </c>
      <c r="N38" s="56" t="str">
        <f t="shared" si="2"/>
        <v>Under</v>
      </c>
      <c r="O38" s="55">
        <f t="shared" si="3"/>
        <v>0</v>
      </c>
      <c r="P38" s="54">
        <f t="shared" si="4"/>
        <v>0</v>
      </c>
      <c r="Q38" s="53"/>
      <c r="R38" s="53"/>
      <c r="S38" s="43"/>
      <c r="T38" s="52" t="str">
        <f t="shared" si="5"/>
        <v/>
      </c>
      <c r="U38" s="51" t="str">
        <f t="shared" si="5"/>
        <v/>
      </c>
      <c r="V38" s="50" t="str">
        <f t="shared" si="6"/>
        <v/>
      </c>
      <c r="W38" s="38" t="str">
        <f t="shared" si="7"/>
        <v/>
      </c>
      <c r="X38" s="49" t="str">
        <f t="shared" si="8"/>
        <v/>
      </c>
      <c r="Y38" s="48" t="str">
        <f t="shared" si="9"/>
        <v/>
      </c>
      <c r="Z38" s="47" t="str">
        <f t="shared" si="10"/>
        <v/>
      </c>
      <c r="AA38" s="46" t="str">
        <f t="shared" si="11"/>
        <v/>
      </c>
      <c r="AB38" s="45" t="str">
        <f t="shared" si="12"/>
        <v/>
      </c>
      <c r="AC38" s="45" t="str">
        <f t="shared" si="13"/>
        <v/>
      </c>
    </row>
    <row r="39" spans="1:29" ht="19.5" customHeight="1">
      <c r="A39" s="42"/>
      <c r="B39" s="41"/>
      <c r="C39" s="40" t="s">
        <v>68</v>
      </c>
      <c r="D39" s="39"/>
      <c r="E39" s="38"/>
      <c r="F39" s="94">
        <f>SUM(G8:G38)</f>
        <v>6.3333333333333313</v>
      </c>
      <c r="G39" s="95"/>
      <c r="H39" s="37"/>
      <c r="I39" s="36"/>
      <c r="J39" s="36"/>
      <c r="K39" s="43"/>
      <c r="L39" s="44"/>
      <c r="M39" s="43"/>
      <c r="N39" s="43"/>
      <c r="O39" s="43"/>
      <c r="P39" s="43"/>
      <c r="Q39" s="43"/>
      <c r="R39" s="43"/>
      <c r="S39" s="43"/>
      <c r="T39" s="42"/>
      <c r="U39" s="41"/>
      <c r="V39" s="40" t="str">
        <f>C39</f>
        <v>月間稼働合計時間</v>
      </c>
      <c r="W39" s="39"/>
      <c r="X39" s="38"/>
      <c r="Y39" s="94">
        <f>SUM(Z8:Z38)</f>
        <v>6.3333333333333313</v>
      </c>
      <c r="Z39" s="96"/>
      <c r="AA39" s="37"/>
      <c r="AB39" s="36"/>
      <c r="AC39" s="36"/>
    </row>
    <row r="40" spans="1:29" ht="17.25" customHeight="1">
      <c r="A40" s="23"/>
      <c r="B40" s="23"/>
      <c r="C40" s="24"/>
      <c r="D40" s="25"/>
      <c r="E40" s="24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4"/>
      <c r="W40" s="25"/>
      <c r="X40" s="24"/>
      <c r="Y40" s="23"/>
      <c r="Z40" s="23"/>
      <c r="AA40" s="23"/>
      <c r="AB40" s="23"/>
      <c r="AC40" s="23"/>
    </row>
    <row r="41" spans="1:29" ht="13.5" customHeight="1">
      <c r="A41" s="29"/>
      <c r="B41" s="31"/>
      <c r="C41" s="35"/>
      <c r="D41" s="31"/>
      <c r="E41" s="35"/>
      <c r="F41" s="31"/>
      <c r="G41" s="31"/>
      <c r="H41" s="31"/>
      <c r="I41" s="31"/>
      <c r="J41" s="34" t="s">
        <v>67</v>
      </c>
      <c r="K41" s="23"/>
      <c r="L41" s="23"/>
      <c r="M41" s="23"/>
      <c r="N41" s="23"/>
      <c r="O41" s="23"/>
      <c r="P41" s="23"/>
      <c r="Q41" s="23"/>
      <c r="R41" s="23"/>
      <c r="S41" s="23"/>
      <c r="T41" s="29"/>
      <c r="U41" s="31"/>
      <c r="V41" s="35"/>
      <c r="W41" s="31"/>
      <c r="X41" s="35"/>
      <c r="Y41" s="31"/>
      <c r="Z41" s="31"/>
      <c r="AA41" s="31"/>
      <c r="AB41" s="31"/>
      <c r="AC41" s="34" t="str">
        <f>J41</f>
        <v>実施責任者</v>
      </c>
    </row>
    <row r="42" spans="1:29" ht="13.5" customHeight="1">
      <c r="A42" s="23"/>
      <c r="B42" s="31"/>
      <c r="C42" s="30"/>
      <c r="D42" s="29"/>
      <c r="E42" s="30"/>
      <c r="F42" s="29"/>
      <c r="G42" s="29"/>
      <c r="H42" s="23"/>
      <c r="I42" s="23"/>
      <c r="J42" s="27"/>
      <c r="K42" s="32"/>
      <c r="L42" s="23"/>
      <c r="M42" s="23"/>
      <c r="N42" s="23"/>
      <c r="O42" s="23"/>
      <c r="P42" s="23"/>
      <c r="Q42" s="23"/>
      <c r="R42" s="23"/>
      <c r="S42" s="23"/>
      <c r="T42" s="23"/>
      <c r="U42" s="31"/>
      <c r="V42" s="30"/>
      <c r="W42" s="29"/>
      <c r="X42" s="30"/>
      <c r="Y42" s="29"/>
      <c r="Z42" s="29"/>
      <c r="AA42" s="23"/>
      <c r="AB42" s="23"/>
      <c r="AC42" s="27"/>
    </row>
    <row r="43" spans="1:29" ht="13.5" customHeight="1">
      <c r="A43" s="23"/>
      <c r="B43" s="31"/>
      <c r="C43" s="30"/>
      <c r="D43" s="29"/>
      <c r="E43" s="30"/>
      <c r="F43" s="29"/>
      <c r="G43" s="29"/>
      <c r="H43" s="29"/>
      <c r="I43" s="33" t="s">
        <v>66</v>
      </c>
      <c r="J43" s="27"/>
      <c r="K43" s="32"/>
      <c r="L43" s="23"/>
      <c r="M43" s="23"/>
      <c r="N43" s="23"/>
      <c r="O43" s="23"/>
      <c r="P43" s="23"/>
      <c r="Q43" s="23"/>
      <c r="R43" s="23"/>
      <c r="S43" s="23"/>
      <c r="T43" s="23"/>
      <c r="U43" s="31"/>
      <c r="V43" s="30"/>
      <c r="W43" s="29"/>
      <c r="X43" s="30"/>
      <c r="Y43" s="29"/>
      <c r="Z43" s="29"/>
      <c r="AA43" s="29"/>
      <c r="AB43" s="33" t="str">
        <f>I43</f>
        <v xml:space="preserve">上記稼働を承認します。   </v>
      </c>
      <c r="AC43" s="27"/>
    </row>
    <row r="44" spans="1:29" ht="13.5" customHeight="1">
      <c r="A44" s="23"/>
      <c r="B44" s="31"/>
      <c r="C44" s="30"/>
      <c r="D44" s="29"/>
      <c r="E44" s="30"/>
      <c r="F44" s="29"/>
      <c r="G44" s="29"/>
      <c r="H44" s="29"/>
      <c r="I44" s="28">
        <f>EOMONTH(A2,0)</f>
        <v>46295</v>
      </c>
      <c r="J44" s="27"/>
      <c r="K44" s="32"/>
      <c r="L44" s="23"/>
      <c r="M44" s="23"/>
      <c r="N44" s="23"/>
      <c r="O44" s="23"/>
      <c r="P44" s="23"/>
      <c r="Q44" s="23"/>
      <c r="R44" s="23"/>
      <c r="S44" s="23"/>
      <c r="T44" s="23"/>
      <c r="U44" s="31"/>
      <c r="V44" s="30"/>
      <c r="W44" s="29"/>
      <c r="X44" s="30"/>
      <c r="Y44" s="29"/>
      <c r="Z44" s="29"/>
      <c r="AA44" s="29"/>
      <c r="AB44" s="28">
        <f>I44</f>
        <v>46295</v>
      </c>
      <c r="AC44" s="27"/>
    </row>
    <row r="45" spans="1:29" ht="9" customHeight="1">
      <c r="A45" s="23"/>
      <c r="B45" s="23"/>
      <c r="C45" s="24"/>
      <c r="D45" s="25"/>
      <c r="E45" s="24"/>
      <c r="F45" s="23"/>
      <c r="G45" s="23"/>
      <c r="H45" s="23"/>
      <c r="I45" s="23"/>
      <c r="J45" s="26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4"/>
      <c r="W45" s="25"/>
      <c r="X45" s="24"/>
      <c r="Y45" s="23"/>
      <c r="Z45" s="23"/>
      <c r="AA45" s="23"/>
      <c r="AB45" s="23"/>
      <c r="AC45" s="26"/>
    </row>
    <row r="46" spans="1:29" ht="13.5" customHeight="1">
      <c r="A46" s="23"/>
      <c r="B46" s="23"/>
      <c r="C46" s="24"/>
      <c r="D46" s="23"/>
      <c r="E46" s="24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4"/>
      <c r="W46" s="23"/>
      <c r="X46" s="24"/>
      <c r="Y46" s="23"/>
      <c r="Z46" s="23"/>
      <c r="AA46" s="23"/>
      <c r="AB46" s="23"/>
      <c r="AC46" s="23"/>
    </row>
    <row r="47" spans="1:29" ht="13.5" customHeight="1">
      <c r="A47" s="23"/>
      <c r="B47" s="23"/>
      <c r="C47" s="24"/>
      <c r="D47" s="25"/>
      <c r="E47" s="24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4"/>
      <c r="W47" s="25"/>
      <c r="X47" s="24"/>
      <c r="Y47" s="23"/>
      <c r="Z47" s="23"/>
      <c r="AA47" s="23"/>
      <c r="AB47" s="23"/>
      <c r="AC47" s="23"/>
    </row>
    <row r="48" spans="1:29" ht="13.5" customHeight="1">
      <c r="A48" s="23"/>
      <c r="B48" s="23"/>
      <c r="C48" s="24"/>
      <c r="D48" s="25"/>
      <c r="E48" s="24"/>
      <c r="F48" s="23"/>
      <c r="G48" s="23"/>
      <c r="H48" s="23"/>
      <c r="I48" s="23" t="s">
        <v>65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4"/>
      <c r="W48" s="25"/>
      <c r="X48" s="24"/>
      <c r="Y48" s="23"/>
      <c r="Z48" s="23"/>
      <c r="AA48" s="23"/>
      <c r="AB48" s="23" t="s">
        <v>65</v>
      </c>
      <c r="AC48" s="23"/>
    </row>
    <row r="49" spans="1:29" ht="13.5" customHeight="1">
      <c r="A49" s="23"/>
      <c r="B49" s="23"/>
      <c r="C49" s="24"/>
      <c r="D49" s="25"/>
      <c r="E49" s="24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4"/>
      <c r="W49" s="25"/>
      <c r="X49" s="24"/>
      <c r="Y49" s="23"/>
      <c r="Z49" s="23"/>
      <c r="AA49" s="23"/>
      <c r="AB49" s="23"/>
      <c r="AC49" s="23"/>
    </row>
    <row r="50" spans="1:29" ht="13.5" customHeight="1">
      <c r="A50" s="23"/>
      <c r="B50" s="23"/>
      <c r="C50" s="24"/>
      <c r="D50" s="25"/>
      <c r="E50" s="24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4"/>
      <c r="W50" s="25"/>
      <c r="X50" s="24"/>
      <c r="Y50" s="23"/>
      <c r="Z50" s="23"/>
      <c r="AA50" s="23"/>
      <c r="AB50" s="23"/>
      <c r="AC50" s="23"/>
    </row>
    <row r="51" spans="1:29" ht="13.5" customHeight="1">
      <c r="A51" s="23"/>
      <c r="B51" s="23"/>
      <c r="C51" s="24"/>
      <c r="D51" s="25"/>
      <c r="E51" s="24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4"/>
      <c r="W51" s="25"/>
      <c r="X51" s="24"/>
      <c r="Y51" s="23"/>
      <c r="Z51" s="23"/>
      <c r="AA51" s="23"/>
      <c r="AB51" s="23"/>
      <c r="AC51" s="23"/>
    </row>
    <row r="52" spans="1:29" ht="13.5" customHeight="1">
      <c r="A52" s="23"/>
      <c r="B52" s="23"/>
      <c r="C52" s="24"/>
      <c r="D52" s="25"/>
      <c r="E52" s="24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4"/>
      <c r="W52" s="25"/>
      <c r="X52" s="24"/>
      <c r="Y52" s="23"/>
      <c r="Z52" s="23"/>
      <c r="AA52" s="23"/>
      <c r="AB52" s="23"/>
      <c r="AC52" s="23"/>
    </row>
    <row r="53" spans="1:29" ht="13.5" customHeight="1">
      <c r="A53" s="23"/>
      <c r="B53" s="23"/>
      <c r="C53" s="24"/>
      <c r="D53" s="25"/>
      <c r="E53" s="24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4"/>
      <c r="W53" s="25"/>
      <c r="X53" s="24"/>
      <c r="Y53" s="23"/>
      <c r="Z53" s="23"/>
      <c r="AA53" s="23"/>
      <c r="AB53" s="23"/>
      <c r="AC53" s="23"/>
    </row>
    <row r="54" spans="1:29" ht="13.5" customHeight="1">
      <c r="A54" s="23"/>
      <c r="B54" s="23"/>
      <c r="C54" s="24"/>
      <c r="D54" s="25"/>
      <c r="E54" s="24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4"/>
      <c r="W54" s="25"/>
      <c r="X54" s="24"/>
      <c r="Y54" s="23"/>
      <c r="Z54" s="23"/>
      <c r="AA54" s="23"/>
      <c r="AB54" s="23"/>
      <c r="AC54" s="23"/>
    </row>
    <row r="55" spans="1:29" ht="13.5" customHeight="1">
      <c r="A55" s="23"/>
      <c r="B55" s="23"/>
      <c r="C55" s="24"/>
      <c r="D55" s="25"/>
      <c r="E55" s="24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4"/>
      <c r="W55" s="25"/>
      <c r="X55" s="24"/>
      <c r="Y55" s="23"/>
      <c r="Z55" s="23"/>
      <c r="AA55" s="23"/>
      <c r="AB55" s="23"/>
      <c r="AC55" s="23"/>
    </row>
    <row r="56" spans="1:29" ht="13.5" customHeight="1">
      <c r="A56" s="23"/>
      <c r="B56" s="23"/>
      <c r="C56" s="24"/>
      <c r="D56" s="25"/>
      <c r="E56" s="24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4"/>
      <c r="W56" s="25"/>
      <c r="X56" s="24"/>
      <c r="Y56" s="23"/>
      <c r="Z56" s="23"/>
      <c r="AA56" s="23"/>
      <c r="AB56" s="23"/>
      <c r="AC56" s="23"/>
    </row>
    <row r="57" spans="1:29" ht="13.5" customHeight="1">
      <c r="A57" s="23"/>
      <c r="B57" s="23"/>
      <c r="C57" s="24"/>
      <c r="D57" s="25"/>
      <c r="E57" s="24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4"/>
      <c r="W57" s="25"/>
      <c r="X57" s="24"/>
      <c r="Y57" s="23"/>
      <c r="Z57" s="23"/>
      <c r="AA57" s="23"/>
      <c r="AB57" s="23"/>
      <c r="AC57" s="23"/>
    </row>
    <row r="58" spans="1:29" ht="13.5" customHeight="1">
      <c r="A58" s="23"/>
      <c r="B58" s="23"/>
      <c r="C58" s="24"/>
      <c r="D58" s="25"/>
      <c r="E58" s="24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4"/>
      <c r="W58" s="25"/>
      <c r="X58" s="24"/>
      <c r="Y58" s="23"/>
      <c r="Z58" s="23"/>
      <c r="AA58" s="23"/>
      <c r="AB58" s="23"/>
      <c r="AC58" s="23"/>
    </row>
    <row r="59" spans="1:29" ht="13.5" customHeight="1">
      <c r="A59" s="23"/>
      <c r="B59" s="23"/>
      <c r="C59" s="24"/>
      <c r="D59" s="25"/>
      <c r="E59" s="24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4"/>
      <c r="W59" s="25"/>
      <c r="X59" s="24"/>
      <c r="Y59" s="23"/>
      <c r="Z59" s="23"/>
      <c r="AA59" s="23"/>
      <c r="AB59" s="23"/>
      <c r="AC59" s="23"/>
    </row>
    <row r="60" spans="1:29" ht="13.5" customHeight="1">
      <c r="A60" s="23"/>
      <c r="B60" s="23"/>
      <c r="C60" s="24"/>
      <c r="D60" s="25"/>
      <c r="E60" s="24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4"/>
      <c r="W60" s="25"/>
      <c r="X60" s="24"/>
      <c r="Y60" s="23"/>
      <c r="Z60" s="23"/>
      <c r="AA60" s="23"/>
      <c r="AB60" s="23"/>
      <c r="AC60" s="23"/>
    </row>
    <row r="61" spans="1:29" ht="13.5" customHeight="1">
      <c r="A61" s="23"/>
      <c r="B61" s="23"/>
      <c r="C61" s="24"/>
      <c r="D61" s="25"/>
      <c r="E61" s="24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4"/>
      <c r="W61" s="25"/>
      <c r="X61" s="24"/>
      <c r="Y61" s="23"/>
      <c r="Z61" s="23"/>
      <c r="AA61" s="23"/>
      <c r="AB61" s="23"/>
      <c r="AC61" s="23"/>
    </row>
    <row r="62" spans="1:29" ht="13.5" customHeight="1">
      <c r="A62" s="23"/>
      <c r="B62" s="23"/>
      <c r="C62" s="24"/>
      <c r="D62" s="25"/>
      <c r="E62" s="24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4"/>
      <c r="W62" s="25"/>
      <c r="X62" s="24"/>
      <c r="Y62" s="23"/>
      <c r="Z62" s="23"/>
      <c r="AA62" s="23"/>
      <c r="AB62" s="23"/>
      <c r="AC62" s="23"/>
    </row>
    <row r="63" spans="1:29" ht="13.5" customHeight="1">
      <c r="A63" s="23"/>
      <c r="B63" s="23"/>
      <c r="C63" s="24"/>
      <c r="D63" s="25"/>
      <c r="E63" s="24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4"/>
      <c r="W63" s="25"/>
      <c r="X63" s="24"/>
      <c r="Y63" s="23"/>
      <c r="Z63" s="23"/>
      <c r="AA63" s="23"/>
      <c r="AB63" s="23"/>
      <c r="AC63" s="23"/>
    </row>
    <row r="64" spans="1:29" ht="13.5" customHeight="1">
      <c r="A64" s="23"/>
      <c r="B64" s="23"/>
      <c r="C64" s="24"/>
      <c r="D64" s="25"/>
      <c r="E64" s="24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4"/>
      <c r="W64" s="25"/>
      <c r="X64" s="24"/>
      <c r="Y64" s="23"/>
      <c r="Z64" s="23"/>
      <c r="AA64" s="23"/>
      <c r="AB64" s="23"/>
      <c r="AC64" s="23"/>
    </row>
    <row r="65" spans="1:29" ht="13.5" customHeight="1">
      <c r="A65" s="23"/>
      <c r="B65" s="23"/>
      <c r="C65" s="24"/>
      <c r="D65" s="25"/>
      <c r="E65" s="24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4"/>
      <c r="W65" s="25"/>
      <c r="X65" s="24"/>
      <c r="Y65" s="23"/>
      <c r="Z65" s="23"/>
      <c r="AA65" s="23"/>
      <c r="AB65" s="23"/>
      <c r="AC65" s="23"/>
    </row>
    <row r="66" spans="1:29" ht="13.5" customHeight="1">
      <c r="A66" s="23"/>
      <c r="B66" s="23"/>
      <c r="C66" s="24"/>
      <c r="D66" s="25"/>
      <c r="E66" s="24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4"/>
      <c r="W66" s="25"/>
      <c r="X66" s="24"/>
      <c r="Y66" s="23"/>
      <c r="Z66" s="23"/>
      <c r="AA66" s="23"/>
      <c r="AB66" s="23"/>
      <c r="AC66" s="23"/>
    </row>
    <row r="67" spans="1:29" ht="13.5" customHeight="1">
      <c r="A67" s="23"/>
      <c r="B67" s="23"/>
      <c r="C67" s="24"/>
      <c r="D67" s="25"/>
      <c r="E67" s="24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4"/>
      <c r="W67" s="25"/>
      <c r="X67" s="24"/>
      <c r="Y67" s="23"/>
      <c r="Z67" s="23"/>
      <c r="AA67" s="23"/>
      <c r="AB67" s="23"/>
      <c r="AC67" s="23"/>
    </row>
    <row r="68" spans="1:29" ht="13.5" customHeight="1">
      <c r="A68" s="23"/>
      <c r="B68" s="23"/>
      <c r="C68" s="24"/>
      <c r="D68" s="25"/>
      <c r="E68" s="24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4"/>
      <c r="W68" s="25"/>
      <c r="X68" s="24"/>
      <c r="Y68" s="23"/>
      <c r="Z68" s="23"/>
      <c r="AA68" s="23"/>
      <c r="AB68" s="23"/>
      <c r="AC68" s="23"/>
    </row>
    <row r="69" spans="1:29" ht="13.5" customHeight="1">
      <c r="A69" s="23"/>
      <c r="B69" s="23"/>
      <c r="C69" s="24"/>
      <c r="D69" s="25"/>
      <c r="E69" s="24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4"/>
      <c r="W69" s="25"/>
      <c r="X69" s="24"/>
      <c r="Y69" s="23"/>
      <c r="Z69" s="23"/>
      <c r="AA69" s="23"/>
      <c r="AB69" s="23"/>
      <c r="AC69" s="23"/>
    </row>
    <row r="70" spans="1:29" ht="13.5" customHeight="1">
      <c r="A70" s="23"/>
      <c r="B70" s="23"/>
      <c r="C70" s="24"/>
      <c r="D70" s="25"/>
      <c r="E70" s="24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4"/>
      <c r="W70" s="25"/>
      <c r="X70" s="24"/>
      <c r="Y70" s="23"/>
      <c r="Z70" s="23"/>
      <c r="AA70" s="23"/>
      <c r="AB70" s="23"/>
      <c r="AC70" s="23"/>
    </row>
    <row r="71" spans="1:29" ht="13.5" customHeight="1">
      <c r="A71" s="23"/>
      <c r="B71" s="23"/>
      <c r="C71" s="24"/>
      <c r="D71" s="25"/>
      <c r="E71" s="24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4"/>
      <c r="W71" s="25"/>
      <c r="X71" s="24"/>
      <c r="Y71" s="23"/>
      <c r="Z71" s="23"/>
      <c r="AA71" s="23"/>
      <c r="AB71" s="23"/>
      <c r="AC71" s="23"/>
    </row>
    <row r="72" spans="1:29" ht="13.5" customHeight="1">
      <c r="A72" s="23"/>
      <c r="B72" s="23"/>
      <c r="C72" s="24"/>
      <c r="D72" s="25"/>
      <c r="E72" s="24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4"/>
      <c r="W72" s="25"/>
      <c r="X72" s="24"/>
      <c r="Y72" s="23"/>
      <c r="Z72" s="23"/>
      <c r="AA72" s="23"/>
      <c r="AB72" s="23"/>
      <c r="AC72" s="23"/>
    </row>
    <row r="73" spans="1:29" ht="13.5" customHeight="1">
      <c r="A73" s="23"/>
      <c r="B73" s="23"/>
      <c r="C73" s="24"/>
      <c r="D73" s="25"/>
      <c r="E73" s="24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4"/>
      <c r="W73" s="25"/>
      <c r="X73" s="24"/>
      <c r="Y73" s="23"/>
      <c r="Z73" s="23"/>
      <c r="AA73" s="23"/>
      <c r="AB73" s="23"/>
      <c r="AC73" s="23"/>
    </row>
    <row r="74" spans="1:29" ht="13.5" customHeight="1">
      <c r="A74" s="23"/>
      <c r="B74" s="23"/>
      <c r="C74" s="24"/>
      <c r="D74" s="25"/>
      <c r="E74" s="24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4"/>
      <c r="W74" s="25"/>
      <c r="X74" s="24"/>
      <c r="Y74" s="23"/>
      <c r="Z74" s="23"/>
      <c r="AA74" s="23"/>
      <c r="AB74" s="23"/>
      <c r="AC74" s="23"/>
    </row>
    <row r="75" spans="1:29" ht="13.5" customHeight="1">
      <c r="A75" s="23"/>
      <c r="B75" s="23"/>
      <c r="C75" s="24"/>
      <c r="D75" s="25"/>
      <c r="E75" s="24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4"/>
      <c r="W75" s="25"/>
      <c r="X75" s="24"/>
      <c r="Y75" s="23"/>
      <c r="Z75" s="23"/>
      <c r="AA75" s="23"/>
      <c r="AB75" s="23"/>
      <c r="AC75" s="23"/>
    </row>
    <row r="76" spans="1:29" ht="13.5" customHeight="1">
      <c r="A76" s="23"/>
      <c r="B76" s="23"/>
      <c r="C76" s="24"/>
      <c r="D76" s="25"/>
      <c r="E76" s="24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4"/>
      <c r="W76" s="25"/>
      <c r="X76" s="24"/>
      <c r="Y76" s="23"/>
      <c r="Z76" s="23"/>
      <c r="AA76" s="23"/>
      <c r="AB76" s="23"/>
      <c r="AC76" s="23"/>
    </row>
    <row r="77" spans="1:29" ht="13.5" customHeight="1">
      <c r="A77" s="23"/>
      <c r="B77" s="23"/>
      <c r="C77" s="24"/>
      <c r="D77" s="25"/>
      <c r="E77" s="24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4"/>
      <c r="W77" s="25"/>
      <c r="X77" s="24"/>
      <c r="Y77" s="23"/>
      <c r="Z77" s="23"/>
      <c r="AA77" s="23"/>
      <c r="AB77" s="23"/>
      <c r="AC77" s="23"/>
    </row>
    <row r="78" spans="1:29" ht="13.5" customHeight="1">
      <c r="A78" s="23"/>
      <c r="B78" s="23"/>
      <c r="C78" s="24"/>
      <c r="D78" s="25"/>
      <c r="E78" s="24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4"/>
      <c r="W78" s="25"/>
      <c r="X78" s="24"/>
      <c r="Y78" s="23"/>
      <c r="Z78" s="23"/>
      <c r="AA78" s="23"/>
      <c r="AB78" s="23"/>
      <c r="AC78" s="23"/>
    </row>
    <row r="79" spans="1:29" ht="13.5" customHeight="1">
      <c r="A79" s="23"/>
      <c r="B79" s="23"/>
      <c r="C79" s="24"/>
      <c r="D79" s="25"/>
      <c r="E79" s="24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4"/>
      <c r="W79" s="25"/>
      <c r="X79" s="24"/>
      <c r="Y79" s="23"/>
      <c r="Z79" s="23"/>
      <c r="AA79" s="23"/>
      <c r="AB79" s="23"/>
      <c r="AC79" s="23"/>
    </row>
    <row r="80" spans="1:29" ht="13.5" customHeight="1">
      <c r="A80" s="23"/>
      <c r="B80" s="23"/>
      <c r="C80" s="24"/>
      <c r="D80" s="25"/>
      <c r="E80" s="24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4"/>
      <c r="W80" s="25"/>
      <c r="X80" s="24"/>
      <c r="Y80" s="23"/>
      <c r="Z80" s="23"/>
      <c r="AA80" s="23"/>
      <c r="AB80" s="23"/>
      <c r="AC80" s="23"/>
    </row>
    <row r="81" spans="1:29" ht="13.5" customHeight="1">
      <c r="A81" s="23"/>
      <c r="B81" s="23"/>
      <c r="C81" s="24"/>
      <c r="D81" s="25"/>
      <c r="E81" s="24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4"/>
      <c r="W81" s="25"/>
      <c r="X81" s="24"/>
      <c r="Y81" s="23"/>
      <c r="Z81" s="23"/>
      <c r="AA81" s="23"/>
      <c r="AB81" s="23"/>
      <c r="AC81" s="23"/>
    </row>
    <row r="82" spans="1:29" ht="13.5" customHeight="1">
      <c r="A82" s="23"/>
      <c r="B82" s="23"/>
      <c r="C82" s="24"/>
      <c r="D82" s="25"/>
      <c r="E82" s="24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4"/>
      <c r="W82" s="25"/>
      <c r="X82" s="24"/>
      <c r="Y82" s="23"/>
      <c r="Z82" s="23"/>
      <c r="AA82" s="23"/>
      <c r="AB82" s="23"/>
      <c r="AC82" s="23"/>
    </row>
    <row r="83" spans="1:29" ht="13.5" customHeight="1">
      <c r="A83" s="23"/>
      <c r="B83" s="23"/>
      <c r="C83" s="24"/>
      <c r="D83" s="25"/>
      <c r="E83" s="24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4"/>
      <c r="W83" s="25"/>
      <c r="X83" s="24"/>
      <c r="Y83" s="23"/>
      <c r="Z83" s="23"/>
      <c r="AA83" s="23"/>
      <c r="AB83" s="23"/>
      <c r="AC83" s="23"/>
    </row>
    <row r="84" spans="1:29" ht="13.5" customHeight="1">
      <c r="A84" s="23"/>
      <c r="B84" s="23"/>
      <c r="C84" s="24"/>
      <c r="D84" s="25"/>
      <c r="E84" s="24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4"/>
      <c r="W84" s="25"/>
      <c r="X84" s="24"/>
      <c r="Y84" s="23"/>
      <c r="Z84" s="23"/>
      <c r="AA84" s="23"/>
      <c r="AB84" s="23"/>
      <c r="AC84" s="23"/>
    </row>
    <row r="85" spans="1:29" ht="13.5" customHeight="1">
      <c r="A85" s="23"/>
      <c r="B85" s="23"/>
      <c r="C85" s="24"/>
      <c r="D85" s="25"/>
      <c r="E85" s="24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4"/>
      <c r="W85" s="25"/>
      <c r="X85" s="24"/>
      <c r="Y85" s="23"/>
      <c r="Z85" s="23"/>
      <c r="AA85" s="23"/>
      <c r="AB85" s="23"/>
      <c r="AC85" s="23"/>
    </row>
    <row r="86" spans="1:29" ht="13.5" customHeight="1">
      <c r="A86" s="23"/>
      <c r="B86" s="23"/>
      <c r="C86" s="24"/>
      <c r="D86" s="25"/>
      <c r="E86" s="24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4"/>
      <c r="W86" s="25"/>
      <c r="X86" s="24"/>
      <c r="Y86" s="23"/>
      <c r="Z86" s="23"/>
      <c r="AA86" s="23"/>
      <c r="AB86" s="23"/>
      <c r="AC86" s="23"/>
    </row>
    <row r="87" spans="1:29" ht="13.5" customHeight="1">
      <c r="A87" s="23"/>
      <c r="B87" s="23"/>
      <c r="C87" s="24"/>
      <c r="D87" s="25"/>
      <c r="E87" s="24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4"/>
      <c r="W87" s="25"/>
      <c r="X87" s="24"/>
      <c r="Y87" s="23"/>
      <c r="Z87" s="23"/>
      <c r="AA87" s="23"/>
      <c r="AB87" s="23"/>
      <c r="AC87" s="23"/>
    </row>
    <row r="88" spans="1:29" ht="13.5" customHeight="1">
      <c r="A88" s="23"/>
      <c r="B88" s="23"/>
      <c r="C88" s="24"/>
      <c r="D88" s="25"/>
      <c r="E88" s="24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4"/>
      <c r="W88" s="25"/>
      <c r="X88" s="24"/>
      <c r="Y88" s="23"/>
      <c r="Z88" s="23"/>
      <c r="AA88" s="23"/>
      <c r="AB88" s="23"/>
      <c r="AC88" s="23"/>
    </row>
    <row r="89" spans="1:29" ht="13.5" customHeight="1">
      <c r="A89" s="23"/>
      <c r="B89" s="23"/>
      <c r="C89" s="24"/>
      <c r="D89" s="25"/>
      <c r="E89" s="24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4"/>
      <c r="W89" s="25"/>
      <c r="X89" s="24"/>
      <c r="Y89" s="23"/>
      <c r="Z89" s="23"/>
      <c r="AA89" s="23"/>
      <c r="AB89" s="23"/>
      <c r="AC89" s="23"/>
    </row>
    <row r="90" spans="1:29" ht="13.5" customHeight="1">
      <c r="A90" s="23"/>
      <c r="B90" s="23"/>
      <c r="C90" s="24"/>
      <c r="D90" s="25"/>
      <c r="E90" s="24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4"/>
      <c r="W90" s="25"/>
      <c r="X90" s="24"/>
      <c r="Y90" s="23"/>
      <c r="Z90" s="23"/>
      <c r="AA90" s="23"/>
      <c r="AB90" s="23"/>
      <c r="AC90" s="23"/>
    </row>
    <row r="91" spans="1:29" ht="13.5" customHeight="1">
      <c r="A91" s="23"/>
      <c r="B91" s="23"/>
      <c r="C91" s="24"/>
      <c r="D91" s="25"/>
      <c r="E91" s="24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4"/>
      <c r="W91" s="25"/>
      <c r="X91" s="24"/>
      <c r="Y91" s="23"/>
      <c r="Z91" s="23"/>
      <c r="AA91" s="23"/>
      <c r="AB91" s="23"/>
      <c r="AC91" s="23"/>
    </row>
    <row r="92" spans="1:29" ht="13.5" customHeight="1">
      <c r="A92" s="23"/>
      <c r="B92" s="23"/>
      <c r="C92" s="24"/>
      <c r="D92" s="25"/>
      <c r="E92" s="24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4"/>
      <c r="W92" s="25"/>
      <c r="X92" s="24"/>
      <c r="Y92" s="23"/>
      <c r="Z92" s="23"/>
      <c r="AA92" s="23"/>
      <c r="AB92" s="23"/>
      <c r="AC92" s="23"/>
    </row>
    <row r="93" spans="1:29" ht="13.5" customHeight="1">
      <c r="A93" s="23"/>
      <c r="B93" s="23"/>
      <c r="C93" s="24"/>
      <c r="D93" s="25"/>
      <c r="E93" s="24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4"/>
      <c r="W93" s="25"/>
      <c r="X93" s="24"/>
      <c r="Y93" s="23"/>
      <c r="Z93" s="23"/>
      <c r="AA93" s="23"/>
      <c r="AB93" s="23"/>
      <c r="AC93" s="23"/>
    </row>
    <row r="94" spans="1:29" ht="13.5" customHeight="1">
      <c r="A94" s="23"/>
      <c r="B94" s="23"/>
      <c r="C94" s="24"/>
      <c r="D94" s="25"/>
      <c r="E94" s="24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4"/>
      <c r="W94" s="25"/>
      <c r="X94" s="24"/>
      <c r="Y94" s="23"/>
      <c r="Z94" s="23"/>
      <c r="AA94" s="23"/>
      <c r="AB94" s="23"/>
      <c r="AC94" s="23"/>
    </row>
    <row r="95" spans="1:29" ht="13.5" customHeight="1">
      <c r="A95" s="23"/>
      <c r="B95" s="23"/>
      <c r="C95" s="24"/>
      <c r="D95" s="25"/>
      <c r="E95" s="24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4"/>
      <c r="W95" s="25"/>
      <c r="X95" s="24"/>
      <c r="Y95" s="23"/>
      <c r="Z95" s="23"/>
      <c r="AA95" s="23"/>
      <c r="AB95" s="23"/>
      <c r="AC95" s="23"/>
    </row>
    <row r="96" spans="1:29" ht="13.5" customHeight="1">
      <c r="A96" s="23"/>
      <c r="B96" s="23"/>
      <c r="C96" s="24"/>
      <c r="D96" s="25"/>
      <c r="E96" s="24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4"/>
      <c r="W96" s="25"/>
      <c r="X96" s="24"/>
      <c r="Y96" s="23"/>
      <c r="Z96" s="23"/>
      <c r="AA96" s="23"/>
      <c r="AB96" s="23"/>
      <c r="AC96" s="23"/>
    </row>
    <row r="97" spans="1:29" ht="13.5" customHeight="1">
      <c r="A97" s="23"/>
      <c r="B97" s="23"/>
      <c r="C97" s="24"/>
      <c r="D97" s="25"/>
      <c r="E97" s="24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4"/>
      <c r="W97" s="25"/>
      <c r="X97" s="24"/>
      <c r="Y97" s="23"/>
      <c r="Z97" s="23"/>
      <c r="AA97" s="23"/>
      <c r="AB97" s="23"/>
      <c r="AC97" s="23"/>
    </row>
    <row r="98" spans="1:29" ht="13.5" customHeight="1">
      <c r="A98" s="23"/>
      <c r="B98" s="23"/>
      <c r="C98" s="24"/>
      <c r="D98" s="25"/>
      <c r="E98" s="24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4"/>
      <c r="W98" s="25"/>
      <c r="X98" s="24"/>
      <c r="Y98" s="23"/>
      <c r="Z98" s="23"/>
      <c r="AA98" s="23"/>
      <c r="AB98" s="23"/>
      <c r="AC98" s="23"/>
    </row>
    <row r="99" spans="1:29" ht="13.5" customHeight="1">
      <c r="A99" s="23"/>
      <c r="B99" s="23"/>
      <c r="C99" s="24"/>
      <c r="D99" s="25"/>
      <c r="E99" s="24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25"/>
      <c r="X99" s="24"/>
      <c r="Y99" s="23"/>
      <c r="Z99" s="23"/>
      <c r="AA99" s="23"/>
      <c r="AB99" s="23"/>
      <c r="AC99" s="23"/>
    </row>
    <row r="100" spans="1:29" ht="13.5" customHeight="1">
      <c r="A100" s="23"/>
      <c r="B100" s="23"/>
      <c r="C100" s="24"/>
      <c r="D100" s="25"/>
      <c r="E100" s="24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25"/>
      <c r="X100" s="24"/>
      <c r="Y100" s="23"/>
      <c r="Z100" s="23"/>
      <c r="AA100" s="23"/>
      <c r="AB100" s="23"/>
      <c r="AC100" s="23"/>
    </row>
    <row r="101" spans="1:29" ht="13.5" customHeight="1">
      <c r="A101" s="23"/>
      <c r="B101" s="23"/>
      <c r="C101" s="24"/>
      <c r="D101" s="25"/>
      <c r="E101" s="24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4"/>
      <c r="W101" s="25"/>
      <c r="X101" s="24"/>
      <c r="Y101" s="23"/>
      <c r="Z101" s="23"/>
      <c r="AA101" s="23"/>
      <c r="AB101" s="23"/>
      <c r="AC101" s="23"/>
    </row>
    <row r="102" spans="1:29" ht="13.5" customHeight="1">
      <c r="A102" s="23"/>
      <c r="B102" s="23"/>
      <c r="C102" s="24"/>
      <c r="D102" s="25"/>
      <c r="E102" s="24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4"/>
      <c r="W102" s="25"/>
      <c r="X102" s="24"/>
      <c r="Y102" s="23"/>
      <c r="Z102" s="23"/>
      <c r="AA102" s="23"/>
      <c r="AB102" s="23"/>
      <c r="AC102" s="23"/>
    </row>
    <row r="103" spans="1:29" ht="13.5" customHeight="1">
      <c r="A103" s="23"/>
      <c r="B103" s="23"/>
      <c r="C103" s="24"/>
      <c r="D103" s="25"/>
      <c r="E103" s="24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4"/>
      <c r="W103" s="25"/>
      <c r="X103" s="24"/>
      <c r="Y103" s="23"/>
      <c r="Z103" s="23"/>
      <c r="AA103" s="23"/>
      <c r="AB103" s="23"/>
      <c r="AC103" s="23"/>
    </row>
    <row r="104" spans="1:29" ht="13.5" customHeight="1">
      <c r="A104" s="23"/>
      <c r="B104" s="23"/>
      <c r="C104" s="24"/>
      <c r="D104" s="25"/>
      <c r="E104" s="24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4"/>
      <c r="W104" s="25"/>
      <c r="X104" s="24"/>
      <c r="Y104" s="23"/>
      <c r="Z104" s="23"/>
      <c r="AA104" s="23"/>
      <c r="AB104" s="23"/>
      <c r="AC104" s="23"/>
    </row>
    <row r="105" spans="1:29" ht="13.5" customHeight="1">
      <c r="A105" s="23"/>
      <c r="B105" s="23"/>
      <c r="C105" s="24"/>
      <c r="D105" s="25"/>
      <c r="E105" s="24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4"/>
      <c r="W105" s="25"/>
      <c r="X105" s="24"/>
      <c r="Y105" s="23"/>
      <c r="Z105" s="23"/>
      <c r="AA105" s="23"/>
      <c r="AB105" s="23"/>
      <c r="AC105" s="23"/>
    </row>
    <row r="106" spans="1:29" ht="13.5" customHeight="1">
      <c r="A106" s="23"/>
      <c r="B106" s="23"/>
      <c r="C106" s="24"/>
      <c r="D106" s="25"/>
      <c r="E106" s="24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4"/>
      <c r="W106" s="25"/>
      <c r="X106" s="24"/>
      <c r="Y106" s="23"/>
      <c r="Z106" s="23"/>
      <c r="AA106" s="23"/>
      <c r="AB106" s="23"/>
      <c r="AC106" s="23"/>
    </row>
    <row r="107" spans="1:29" ht="13.5" customHeight="1">
      <c r="A107" s="23"/>
      <c r="B107" s="23"/>
      <c r="C107" s="24"/>
      <c r="D107" s="25"/>
      <c r="E107" s="24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4"/>
      <c r="W107" s="25"/>
      <c r="X107" s="24"/>
      <c r="Y107" s="23"/>
      <c r="Z107" s="23"/>
      <c r="AA107" s="23"/>
      <c r="AB107" s="23"/>
      <c r="AC107" s="23"/>
    </row>
    <row r="108" spans="1:29" ht="13.5" customHeight="1">
      <c r="A108" s="23"/>
      <c r="B108" s="23"/>
      <c r="C108" s="24"/>
      <c r="D108" s="25"/>
      <c r="E108" s="24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4"/>
      <c r="W108" s="25"/>
      <c r="X108" s="24"/>
      <c r="Y108" s="23"/>
      <c r="Z108" s="23"/>
      <c r="AA108" s="23"/>
      <c r="AB108" s="23"/>
      <c r="AC108" s="23"/>
    </row>
    <row r="109" spans="1:29" ht="13.5" customHeight="1">
      <c r="A109" s="23"/>
      <c r="B109" s="23"/>
      <c r="C109" s="24"/>
      <c r="D109" s="25"/>
      <c r="E109" s="24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4"/>
      <c r="W109" s="25"/>
      <c r="X109" s="24"/>
      <c r="Y109" s="23"/>
      <c r="Z109" s="23"/>
      <c r="AA109" s="23"/>
      <c r="AB109" s="23"/>
      <c r="AC109" s="23"/>
    </row>
    <row r="110" spans="1:29" ht="13.5" customHeight="1">
      <c r="A110" s="23"/>
      <c r="B110" s="23"/>
      <c r="C110" s="24"/>
      <c r="D110" s="25"/>
      <c r="E110" s="24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4"/>
      <c r="W110" s="25"/>
      <c r="X110" s="24"/>
      <c r="Y110" s="23"/>
      <c r="Z110" s="23"/>
      <c r="AA110" s="23"/>
      <c r="AB110" s="23"/>
      <c r="AC110" s="23"/>
    </row>
    <row r="111" spans="1:29" ht="13.5" customHeight="1">
      <c r="A111" s="23"/>
      <c r="B111" s="23"/>
      <c r="C111" s="24"/>
      <c r="D111" s="25"/>
      <c r="E111" s="24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4"/>
      <c r="W111" s="25"/>
      <c r="X111" s="24"/>
      <c r="Y111" s="23"/>
      <c r="Z111" s="23"/>
      <c r="AA111" s="23"/>
      <c r="AB111" s="23"/>
      <c r="AC111" s="23"/>
    </row>
    <row r="112" spans="1:29" ht="13.5" customHeight="1">
      <c r="A112" s="23"/>
      <c r="B112" s="23"/>
      <c r="C112" s="24"/>
      <c r="D112" s="25"/>
      <c r="E112" s="24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4"/>
      <c r="W112" s="25"/>
      <c r="X112" s="24"/>
      <c r="Y112" s="23"/>
      <c r="Z112" s="23"/>
      <c r="AA112" s="23"/>
      <c r="AB112" s="23"/>
      <c r="AC112" s="23"/>
    </row>
    <row r="113" spans="1:29" ht="13.5" customHeight="1">
      <c r="A113" s="23"/>
      <c r="B113" s="23"/>
      <c r="C113" s="24"/>
      <c r="D113" s="25"/>
      <c r="E113" s="24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4"/>
      <c r="W113" s="25"/>
      <c r="X113" s="24"/>
      <c r="Y113" s="23"/>
      <c r="Z113" s="23"/>
      <c r="AA113" s="23"/>
      <c r="AB113" s="23"/>
      <c r="AC113" s="23"/>
    </row>
    <row r="114" spans="1:29" ht="13.5" customHeight="1">
      <c r="A114" s="23"/>
      <c r="B114" s="23"/>
      <c r="C114" s="24"/>
      <c r="D114" s="25"/>
      <c r="E114" s="24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4"/>
      <c r="W114" s="25"/>
      <c r="X114" s="24"/>
      <c r="Y114" s="23"/>
      <c r="Z114" s="23"/>
      <c r="AA114" s="23"/>
      <c r="AB114" s="23"/>
      <c r="AC114" s="23"/>
    </row>
    <row r="115" spans="1:29" ht="13.5" customHeight="1">
      <c r="A115" s="23"/>
      <c r="B115" s="23"/>
      <c r="C115" s="24"/>
      <c r="D115" s="25"/>
      <c r="E115" s="24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4"/>
      <c r="W115" s="25"/>
      <c r="X115" s="24"/>
      <c r="Y115" s="23"/>
      <c r="Z115" s="23"/>
      <c r="AA115" s="23"/>
      <c r="AB115" s="23"/>
      <c r="AC115" s="23"/>
    </row>
    <row r="116" spans="1:29" ht="13.5" customHeight="1">
      <c r="A116" s="23"/>
      <c r="B116" s="23"/>
      <c r="C116" s="24"/>
      <c r="D116" s="25"/>
      <c r="E116" s="24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4"/>
      <c r="W116" s="25"/>
      <c r="X116" s="24"/>
      <c r="Y116" s="23"/>
      <c r="Z116" s="23"/>
      <c r="AA116" s="23"/>
      <c r="AB116" s="23"/>
      <c r="AC116" s="23"/>
    </row>
    <row r="117" spans="1:29" ht="13.5" customHeight="1">
      <c r="A117" s="23"/>
      <c r="B117" s="23"/>
      <c r="C117" s="24"/>
      <c r="D117" s="25"/>
      <c r="E117" s="24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4"/>
      <c r="W117" s="25"/>
      <c r="X117" s="24"/>
      <c r="Y117" s="23"/>
      <c r="Z117" s="23"/>
      <c r="AA117" s="23"/>
      <c r="AB117" s="23"/>
      <c r="AC117" s="23"/>
    </row>
    <row r="118" spans="1:29" ht="13.5" customHeight="1">
      <c r="A118" s="23"/>
      <c r="B118" s="23"/>
      <c r="C118" s="24"/>
      <c r="D118" s="25"/>
      <c r="E118" s="24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4"/>
      <c r="W118" s="25"/>
      <c r="X118" s="24"/>
      <c r="Y118" s="23"/>
      <c r="Z118" s="23"/>
      <c r="AA118" s="23"/>
      <c r="AB118" s="23"/>
      <c r="AC118" s="23"/>
    </row>
    <row r="119" spans="1:29" ht="13.5" customHeight="1">
      <c r="A119" s="23"/>
      <c r="B119" s="23"/>
      <c r="C119" s="24"/>
      <c r="D119" s="25"/>
      <c r="E119" s="24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4"/>
      <c r="W119" s="25"/>
      <c r="X119" s="24"/>
      <c r="Y119" s="23"/>
      <c r="Z119" s="23"/>
      <c r="AA119" s="23"/>
      <c r="AB119" s="23"/>
      <c r="AC119" s="23"/>
    </row>
    <row r="120" spans="1:29" ht="13.5" customHeight="1">
      <c r="A120" s="23"/>
      <c r="B120" s="23"/>
      <c r="C120" s="24"/>
      <c r="D120" s="25"/>
      <c r="E120" s="24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4"/>
      <c r="W120" s="25"/>
      <c r="X120" s="24"/>
      <c r="Y120" s="23"/>
      <c r="Z120" s="23"/>
      <c r="AA120" s="23"/>
      <c r="AB120" s="23"/>
      <c r="AC120" s="23"/>
    </row>
    <row r="121" spans="1:29" ht="13.5" customHeight="1">
      <c r="A121" s="23"/>
      <c r="B121" s="23"/>
      <c r="C121" s="24"/>
      <c r="D121" s="25"/>
      <c r="E121" s="24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4"/>
      <c r="W121" s="25"/>
      <c r="X121" s="24"/>
      <c r="Y121" s="23"/>
      <c r="Z121" s="23"/>
      <c r="AA121" s="23"/>
      <c r="AB121" s="23"/>
      <c r="AC121" s="23"/>
    </row>
    <row r="122" spans="1:29" ht="13.5" customHeight="1">
      <c r="A122" s="23"/>
      <c r="B122" s="23"/>
      <c r="C122" s="24"/>
      <c r="D122" s="25"/>
      <c r="E122" s="24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4"/>
      <c r="W122" s="25"/>
      <c r="X122" s="24"/>
      <c r="Y122" s="23"/>
      <c r="Z122" s="23"/>
      <c r="AA122" s="23"/>
      <c r="AB122" s="23"/>
      <c r="AC122" s="23"/>
    </row>
    <row r="123" spans="1:29" ht="13.5" customHeight="1">
      <c r="A123" s="23"/>
      <c r="B123" s="23"/>
      <c r="C123" s="24"/>
      <c r="D123" s="25"/>
      <c r="E123" s="24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4"/>
      <c r="W123" s="25"/>
      <c r="X123" s="24"/>
      <c r="Y123" s="23"/>
      <c r="Z123" s="23"/>
      <c r="AA123" s="23"/>
      <c r="AB123" s="23"/>
      <c r="AC123" s="23"/>
    </row>
    <row r="124" spans="1:29" ht="13.5" customHeight="1">
      <c r="A124" s="23"/>
      <c r="B124" s="23"/>
      <c r="C124" s="24"/>
      <c r="D124" s="25"/>
      <c r="E124" s="24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4"/>
      <c r="W124" s="25"/>
      <c r="X124" s="24"/>
      <c r="Y124" s="23"/>
      <c r="Z124" s="23"/>
      <c r="AA124" s="23"/>
      <c r="AB124" s="23"/>
      <c r="AC124" s="23"/>
    </row>
    <row r="125" spans="1:29" ht="13.5" customHeight="1">
      <c r="A125" s="23"/>
      <c r="B125" s="23"/>
      <c r="C125" s="24"/>
      <c r="D125" s="25"/>
      <c r="E125" s="24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4"/>
      <c r="W125" s="25"/>
      <c r="X125" s="24"/>
      <c r="Y125" s="23"/>
      <c r="Z125" s="23"/>
      <c r="AA125" s="23"/>
      <c r="AB125" s="23"/>
      <c r="AC125" s="23"/>
    </row>
    <row r="126" spans="1:29" ht="13.5" customHeight="1">
      <c r="A126" s="23"/>
      <c r="B126" s="23"/>
      <c r="C126" s="24"/>
      <c r="D126" s="25"/>
      <c r="E126" s="24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4"/>
      <c r="W126" s="25"/>
      <c r="X126" s="24"/>
      <c r="Y126" s="23"/>
      <c r="Z126" s="23"/>
      <c r="AA126" s="23"/>
      <c r="AB126" s="23"/>
      <c r="AC126" s="23"/>
    </row>
    <row r="127" spans="1:29" ht="13.5" customHeight="1">
      <c r="A127" s="23"/>
      <c r="B127" s="23"/>
      <c r="C127" s="24"/>
      <c r="D127" s="25"/>
      <c r="E127" s="24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4"/>
      <c r="W127" s="25"/>
      <c r="X127" s="24"/>
      <c r="Y127" s="23"/>
      <c r="Z127" s="23"/>
      <c r="AA127" s="23"/>
      <c r="AB127" s="23"/>
      <c r="AC127" s="23"/>
    </row>
    <row r="128" spans="1:29" ht="13.5" customHeight="1">
      <c r="A128" s="23"/>
      <c r="B128" s="23"/>
      <c r="C128" s="24"/>
      <c r="D128" s="25"/>
      <c r="E128" s="24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4"/>
      <c r="W128" s="25"/>
      <c r="X128" s="24"/>
      <c r="Y128" s="23"/>
      <c r="Z128" s="23"/>
      <c r="AA128" s="23"/>
      <c r="AB128" s="23"/>
      <c r="AC128" s="23"/>
    </row>
    <row r="129" spans="1:29" ht="13.5" customHeight="1">
      <c r="A129" s="23"/>
      <c r="B129" s="23"/>
      <c r="C129" s="24"/>
      <c r="D129" s="25"/>
      <c r="E129" s="24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4"/>
      <c r="W129" s="25"/>
      <c r="X129" s="24"/>
      <c r="Y129" s="23"/>
      <c r="Z129" s="23"/>
      <c r="AA129" s="23"/>
      <c r="AB129" s="23"/>
      <c r="AC129" s="23"/>
    </row>
    <row r="130" spans="1:29" ht="13.5" customHeight="1">
      <c r="A130" s="23"/>
      <c r="B130" s="23"/>
      <c r="C130" s="24"/>
      <c r="D130" s="25"/>
      <c r="E130" s="24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4"/>
      <c r="W130" s="25"/>
      <c r="X130" s="24"/>
      <c r="Y130" s="23"/>
      <c r="Z130" s="23"/>
      <c r="AA130" s="23"/>
      <c r="AB130" s="23"/>
      <c r="AC130" s="23"/>
    </row>
    <row r="131" spans="1:29" ht="13.5" customHeight="1">
      <c r="A131" s="23"/>
      <c r="B131" s="23"/>
      <c r="C131" s="24"/>
      <c r="D131" s="25"/>
      <c r="E131" s="24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4"/>
      <c r="W131" s="25"/>
      <c r="X131" s="24"/>
      <c r="Y131" s="23"/>
      <c r="Z131" s="23"/>
      <c r="AA131" s="23"/>
      <c r="AB131" s="23"/>
      <c r="AC131" s="23"/>
    </row>
    <row r="132" spans="1:29" ht="13.5" customHeight="1">
      <c r="A132" s="23"/>
      <c r="B132" s="23"/>
      <c r="C132" s="24"/>
      <c r="D132" s="25"/>
      <c r="E132" s="24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4"/>
      <c r="W132" s="25"/>
      <c r="X132" s="24"/>
      <c r="Y132" s="23"/>
      <c r="Z132" s="23"/>
      <c r="AA132" s="23"/>
      <c r="AB132" s="23"/>
      <c r="AC132" s="23"/>
    </row>
    <row r="133" spans="1:29" ht="13.5" customHeight="1">
      <c r="A133" s="23"/>
      <c r="B133" s="23"/>
      <c r="C133" s="24"/>
      <c r="D133" s="25"/>
      <c r="E133" s="24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4"/>
      <c r="W133" s="25"/>
      <c r="X133" s="24"/>
      <c r="Y133" s="23"/>
      <c r="Z133" s="23"/>
      <c r="AA133" s="23"/>
      <c r="AB133" s="23"/>
      <c r="AC133" s="23"/>
    </row>
    <row r="134" spans="1:29" ht="13.5" customHeight="1">
      <c r="A134" s="23"/>
      <c r="B134" s="23"/>
      <c r="C134" s="24"/>
      <c r="D134" s="25"/>
      <c r="E134" s="24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4"/>
      <c r="W134" s="25"/>
      <c r="X134" s="24"/>
      <c r="Y134" s="23"/>
      <c r="Z134" s="23"/>
      <c r="AA134" s="23"/>
      <c r="AB134" s="23"/>
      <c r="AC134" s="23"/>
    </row>
    <row r="135" spans="1:29" ht="13.5" customHeight="1">
      <c r="A135" s="23"/>
      <c r="B135" s="23"/>
      <c r="C135" s="24"/>
      <c r="D135" s="25"/>
      <c r="E135" s="24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4"/>
      <c r="W135" s="25"/>
      <c r="X135" s="24"/>
      <c r="Y135" s="23"/>
      <c r="Z135" s="23"/>
      <c r="AA135" s="23"/>
      <c r="AB135" s="23"/>
      <c r="AC135" s="23"/>
    </row>
    <row r="136" spans="1:29" ht="13.5" customHeight="1">
      <c r="A136" s="23"/>
      <c r="B136" s="23"/>
      <c r="C136" s="24"/>
      <c r="D136" s="25"/>
      <c r="E136" s="24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4"/>
      <c r="W136" s="25"/>
      <c r="X136" s="24"/>
      <c r="Y136" s="23"/>
      <c r="Z136" s="23"/>
      <c r="AA136" s="23"/>
      <c r="AB136" s="23"/>
      <c r="AC136" s="23"/>
    </row>
    <row r="137" spans="1:29" ht="13.5" customHeight="1">
      <c r="A137" s="23"/>
      <c r="B137" s="23"/>
      <c r="C137" s="24"/>
      <c r="D137" s="25"/>
      <c r="E137" s="24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4"/>
      <c r="W137" s="25"/>
      <c r="X137" s="24"/>
      <c r="Y137" s="23"/>
      <c r="Z137" s="23"/>
      <c r="AA137" s="23"/>
      <c r="AB137" s="23"/>
      <c r="AC137" s="23"/>
    </row>
    <row r="138" spans="1:29" ht="13.5" customHeight="1">
      <c r="A138" s="23"/>
      <c r="B138" s="23"/>
      <c r="C138" s="24"/>
      <c r="D138" s="25"/>
      <c r="E138" s="24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4"/>
      <c r="W138" s="25"/>
      <c r="X138" s="24"/>
      <c r="Y138" s="23"/>
      <c r="Z138" s="23"/>
      <c r="AA138" s="23"/>
      <c r="AB138" s="23"/>
      <c r="AC138" s="23"/>
    </row>
    <row r="139" spans="1:29" ht="13.5" customHeight="1">
      <c r="A139" s="23"/>
      <c r="B139" s="23"/>
      <c r="C139" s="24"/>
      <c r="D139" s="25"/>
      <c r="E139" s="24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4"/>
      <c r="W139" s="25"/>
      <c r="X139" s="24"/>
      <c r="Y139" s="23"/>
      <c r="Z139" s="23"/>
      <c r="AA139" s="23"/>
      <c r="AB139" s="23"/>
      <c r="AC139" s="23"/>
    </row>
    <row r="140" spans="1:29" ht="13.5" customHeight="1">
      <c r="A140" s="23"/>
      <c r="B140" s="23"/>
      <c r="C140" s="24"/>
      <c r="D140" s="25"/>
      <c r="E140" s="24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4"/>
      <c r="W140" s="25"/>
      <c r="X140" s="24"/>
      <c r="Y140" s="23"/>
      <c r="Z140" s="23"/>
      <c r="AA140" s="23"/>
      <c r="AB140" s="23"/>
      <c r="AC140" s="23"/>
    </row>
    <row r="141" spans="1:29" ht="13.5" customHeight="1">
      <c r="A141" s="23"/>
      <c r="B141" s="23"/>
      <c r="C141" s="24"/>
      <c r="D141" s="25"/>
      <c r="E141" s="24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4"/>
      <c r="W141" s="25"/>
      <c r="X141" s="24"/>
      <c r="Y141" s="23"/>
      <c r="Z141" s="23"/>
      <c r="AA141" s="23"/>
      <c r="AB141" s="23"/>
      <c r="AC141" s="23"/>
    </row>
    <row r="142" spans="1:29" ht="13.5" customHeight="1">
      <c r="A142" s="23"/>
      <c r="B142" s="23"/>
      <c r="C142" s="24"/>
      <c r="D142" s="25"/>
      <c r="E142" s="24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4"/>
      <c r="W142" s="25"/>
      <c r="X142" s="24"/>
      <c r="Y142" s="23"/>
      <c r="Z142" s="23"/>
      <c r="AA142" s="23"/>
      <c r="AB142" s="23"/>
      <c r="AC142" s="23"/>
    </row>
    <row r="143" spans="1:29" ht="13.5" customHeight="1">
      <c r="A143" s="23"/>
      <c r="B143" s="23"/>
      <c r="C143" s="24"/>
      <c r="D143" s="25"/>
      <c r="E143" s="24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4"/>
      <c r="W143" s="25"/>
      <c r="X143" s="24"/>
      <c r="Y143" s="23"/>
      <c r="Z143" s="23"/>
      <c r="AA143" s="23"/>
      <c r="AB143" s="23"/>
      <c r="AC143" s="23"/>
    </row>
    <row r="144" spans="1:29" ht="13.5" customHeight="1">
      <c r="A144" s="23"/>
      <c r="B144" s="23"/>
      <c r="C144" s="24"/>
      <c r="D144" s="25"/>
      <c r="E144" s="24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4"/>
      <c r="W144" s="25"/>
      <c r="X144" s="24"/>
      <c r="Y144" s="23"/>
      <c r="Z144" s="23"/>
      <c r="AA144" s="23"/>
      <c r="AB144" s="23"/>
      <c r="AC144" s="23"/>
    </row>
    <row r="145" spans="1:29" ht="13.5" customHeight="1">
      <c r="A145" s="23"/>
      <c r="B145" s="23"/>
      <c r="C145" s="24"/>
      <c r="D145" s="25"/>
      <c r="E145" s="24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4"/>
      <c r="W145" s="25"/>
      <c r="X145" s="24"/>
      <c r="Y145" s="23"/>
      <c r="Z145" s="23"/>
      <c r="AA145" s="23"/>
      <c r="AB145" s="23"/>
      <c r="AC145" s="23"/>
    </row>
    <row r="146" spans="1:29" ht="13.5" customHeight="1">
      <c r="A146" s="23"/>
      <c r="B146" s="23"/>
      <c r="C146" s="24"/>
      <c r="D146" s="25"/>
      <c r="E146" s="24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4"/>
      <c r="W146" s="25"/>
      <c r="X146" s="24"/>
      <c r="Y146" s="23"/>
      <c r="Z146" s="23"/>
      <c r="AA146" s="23"/>
      <c r="AB146" s="23"/>
      <c r="AC146" s="23"/>
    </row>
    <row r="147" spans="1:29" ht="13.5" customHeight="1">
      <c r="A147" s="23"/>
      <c r="B147" s="23"/>
      <c r="C147" s="24"/>
      <c r="D147" s="25"/>
      <c r="E147" s="24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4"/>
      <c r="W147" s="25"/>
      <c r="X147" s="24"/>
      <c r="Y147" s="23"/>
      <c r="Z147" s="23"/>
      <c r="AA147" s="23"/>
      <c r="AB147" s="23"/>
      <c r="AC147" s="23"/>
    </row>
    <row r="148" spans="1:29" ht="13.5" customHeight="1">
      <c r="A148" s="23"/>
      <c r="B148" s="23"/>
      <c r="C148" s="24"/>
      <c r="D148" s="25"/>
      <c r="E148" s="24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4"/>
      <c r="W148" s="25"/>
      <c r="X148" s="24"/>
      <c r="Y148" s="23"/>
      <c r="Z148" s="23"/>
      <c r="AA148" s="23"/>
      <c r="AB148" s="23"/>
      <c r="AC148" s="23"/>
    </row>
    <row r="149" spans="1:29" ht="13.5" customHeight="1">
      <c r="A149" s="23"/>
      <c r="B149" s="23"/>
      <c r="C149" s="24"/>
      <c r="D149" s="25"/>
      <c r="E149" s="24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4"/>
      <c r="W149" s="25"/>
      <c r="X149" s="24"/>
      <c r="Y149" s="23"/>
      <c r="Z149" s="23"/>
      <c r="AA149" s="23"/>
      <c r="AB149" s="23"/>
      <c r="AC149" s="23"/>
    </row>
    <row r="150" spans="1:29" ht="13.5" customHeight="1">
      <c r="A150" s="23"/>
      <c r="B150" s="23"/>
      <c r="C150" s="24"/>
      <c r="D150" s="25"/>
      <c r="E150" s="24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4"/>
      <c r="W150" s="25"/>
      <c r="X150" s="24"/>
      <c r="Y150" s="23"/>
      <c r="Z150" s="23"/>
      <c r="AA150" s="23"/>
      <c r="AB150" s="23"/>
      <c r="AC150" s="23"/>
    </row>
    <row r="151" spans="1:29" ht="13.5" customHeight="1">
      <c r="A151" s="23"/>
      <c r="B151" s="23"/>
      <c r="C151" s="24"/>
      <c r="D151" s="25"/>
      <c r="E151" s="24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4"/>
      <c r="W151" s="25"/>
      <c r="X151" s="24"/>
      <c r="Y151" s="23"/>
      <c r="Z151" s="23"/>
      <c r="AA151" s="23"/>
      <c r="AB151" s="23"/>
      <c r="AC151" s="23"/>
    </row>
    <row r="152" spans="1:29" ht="13.5" customHeight="1">
      <c r="A152" s="23"/>
      <c r="B152" s="23"/>
      <c r="C152" s="24"/>
      <c r="D152" s="25"/>
      <c r="E152" s="24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4"/>
      <c r="W152" s="25"/>
      <c r="X152" s="24"/>
      <c r="Y152" s="23"/>
      <c r="Z152" s="23"/>
      <c r="AA152" s="23"/>
      <c r="AB152" s="23"/>
      <c r="AC152" s="23"/>
    </row>
    <row r="153" spans="1:29" ht="13.5" customHeight="1">
      <c r="A153" s="23"/>
      <c r="B153" s="23"/>
      <c r="C153" s="24"/>
      <c r="D153" s="25"/>
      <c r="E153" s="24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4"/>
      <c r="W153" s="25"/>
      <c r="X153" s="24"/>
      <c r="Y153" s="23"/>
      <c r="Z153" s="23"/>
      <c r="AA153" s="23"/>
      <c r="AB153" s="23"/>
      <c r="AC153" s="23"/>
    </row>
    <row r="154" spans="1:29" ht="13.5" customHeight="1">
      <c r="A154" s="23"/>
      <c r="B154" s="23"/>
      <c r="C154" s="24"/>
      <c r="D154" s="25"/>
      <c r="E154" s="24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4"/>
      <c r="W154" s="25"/>
      <c r="X154" s="24"/>
      <c r="Y154" s="23"/>
      <c r="Z154" s="23"/>
      <c r="AA154" s="23"/>
      <c r="AB154" s="23"/>
      <c r="AC154" s="23"/>
    </row>
    <row r="155" spans="1:29" ht="13.5" customHeight="1">
      <c r="A155" s="23"/>
      <c r="B155" s="23"/>
      <c r="C155" s="24"/>
      <c r="D155" s="25"/>
      <c r="E155" s="24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4"/>
      <c r="W155" s="25"/>
      <c r="X155" s="24"/>
      <c r="Y155" s="23"/>
      <c r="Z155" s="23"/>
      <c r="AA155" s="23"/>
      <c r="AB155" s="23"/>
      <c r="AC155" s="23"/>
    </row>
    <row r="156" spans="1:29" ht="13.5" customHeight="1">
      <c r="A156" s="23"/>
      <c r="B156" s="23"/>
      <c r="C156" s="24"/>
      <c r="D156" s="25"/>
      <c r="E156" s="24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4"/>
      <c r="W156" s="25"/>
      <c r="X156" s="24"/>
      <c r="Y156" s="23"/>
      <c r="Z156" s="23"/>
      <c r="AA156" s="23"/>
      <c r="AB156" s="23"/>
      <c r="AC156" s="23"/>
    </row>
    <row r="157" spans="1:29" ht="13.5" customHeight="1">
      <c r="A157" s="23"/>
      <c r="B157" s="23"/>
      <c r="C157" s="24"/>
      <c r="D157" s="25"/>
      <c r="E157" s="24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4"/>
      <c r="W157" s="25"/>
      <c r="X157" s="24"/>
      <c r="Y157" s="23"/>
      <c r="Z157" s="23"/>
      <c r="AA157" s="23"/>
      <c r="AB157" s="23"/>
      <c r="AC157" s="23"/>
    </row>
    <row r="158" spans="1:29" ht="13.5" customHeight="1">
      <c r="A158" s="23"/>
      <c r="B158" s="23"/>
      <c r="C158" s="24"/>
      <c r="D158" s="25"/>
      <c r="E158" s="24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4"/>
      <c r="W158" s="25"/>
      <c r="X158" s="24"/>
      <c r="Y158" s="23"/>
      <c r="Z158" s="23"/>
      <c r="AA158" s="23"/>
      <c r="AB158" s="23"/>
      <c r="AC158" s="23"/>
    </row>
    <row r="159" spans="1:29" ht="13.5" customHeight="1">
      <c r="A159" s="23"/>
      <c r="B159" s="23"/>
      <c r="C159" s="24"/>
      <c r="D159" s="25"/>
      <c r="E159" s="24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4"/>
      <c r="W159" s="25"/>
      <c r="X159" s="24"/>
      <c r="Y159" s="23"/>
      <c r="Z159" s="23"/>
      <c r="AA159" s="23"/>
      <c r="AB159" s="23"/>
      <c r="AC159" s="23"/>
    </row>
    <row r="160" spans="1:29" ht="13.5" customHeight="1">
      <c r="A160" s="23"/>
      <c r="B160" s="23"/>
      <c r="C160" s="24"/>
      <c r="D160" s="25"/>
      <c r="E160" s="24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4"/>
      <c r="W160" s="25"/>
      <c r="X160" s="24"/>
      <c r="Y160" s="23"/>
      <c r="Z160" s="23"/>
      <c r="AA160" s="23"/>
      <c r="AB160" s="23"/>
      <c r="AC160" s="23"/>
    </row>
    <row r="161" spans="1:29" ht="13.5" customHeight="1">
      <c r="A161" s="23"/>
      <c r="B161" s="23"/>
      <c r="C161" s="24"/>
      <c r="D161" s="25"/>
      <c r="E161" s="24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4"/>
      <c r="W161" s="25"/>
      <c r="X161" s="24"/>
      <c r="Y161" s="23"/>
      <c r="Z161" s="23"/>
      <c r="AA161" s="23"/>
      <c r="AB161" s="23"/>
      <c r="AC161" s="23"/>
    </row>
    <row r="162" spans="1:29" ht="13.5" customHeight="1">
      <c r="A162" s="23"/>
      <c r="B162" s="23"/>
      <c r="C162" s="24"/>
      <c r="D162" s="25"/>
      <c r="E162" s="24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4"/>
      <c r="W162" s="25"/>
      <c r="X162" s="24"/>
      <c r="Y162" s="23"/>
      <c r="Z162" s="23"/>
      <c r="AA162" s="23"/>
      <c r="AB162" s="23"/>
      <c r="AC162" s="23"/>
    </row>
    <row r="163" spans="1:29" ht="13.5" customHeight="1">
      <c r="A163" s="23"/>
      <c r="B163" s="23"/>
      <c r="C163" s="24"/>
      <c r="D163" s="25"/>
      <c r="E163" s="24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4"/>
      <c r="W163" s="25"/>
      <c r="X163" s="24"/>
      <c r="Y163" s="23"/>
      <c r="Z163" s="23"/>
      <c r="AA163" s="23"/>
      <c r="AB163" s="23"/>
      <c r="AC163" s="23"/>
    </row>
    <row r="164" spans="1:29" ht="13.5" customHeight="1">
      <c r="A164" s="23"/>
      <c r="B164" s="23"/>
      <c r="C164" s="24"/>
      <c r="D164" s="25"/>
      <c r="E164" s="24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4"/>
      <c r="W164" s="25"/>
      <c r="X164" s="24"/>
      <c r="Y164" s="23"/>
      <c r="Z164" s="23"/>
      <c r="AA164" s="23"/>
      <c r="AB164" s="23"/>
      <c r="AC164" s="23"/>
    </row>
    <row r="165" spans="1:29" ht="13.5" customHeight="1">
      <c r="A165" s="23"/>
      <c r="B165" s="23"/>
      <c r="C165" s="24"/>
      <c r="D165" s="25"/>
      <c r="E165" s="24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4"/>
      <c r="W165" s="25"/>
      <c r="X165" s="24"/>
      <c r="Y165" s="23"/>
      <c r="Z165" s="23"/>
      <c r="AA165" s="23"/>
      <c r="AB165" s="23"/>
      <c r="AC165" s="23"/>
    </row>
    <row r="166" spans="1:29" ht="13.5" customHeight="1">
      <c r="A166" s="23"/>
      <c r="B166" s="23"/>
      <c r="C166" s="24"/>
      <c r="D166" s="25"/>
      <c r="E166" s="24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4"/>
      <c r="W166" s="25"/>
      <c r="X166" s="24"/>
      <c r="Y166" s="23"/>
      <c r="Z166" s="23"/>
      <c r="AA166" s="23"/>
      <c r="AB166" s="23"/>
      <c r="AC166" s="23"/>
    </row>
    <row r="167" spans="1:29" ht="13.5" customHeight="1">
      <c r="A167" s="23"/>
      <c r="B167" s="23"/>
      <c r="C167" s="24"/>
      <c r="D167" s="25"/>
      <c r="E167" s="24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4"/>
      <c r="W167" s="25"/>
      <c r="X167" s="24"/>
      <c r="Y167" s="23"/>
      <c r="Z167" s="23"/>
      <c r="AA167" s="23"/>
      <c r="AB167" s="23"/>
      <c r="AC167" s="23"/>
    </row>
    <row r="168" spans="1:29" ht="13.5" customHeight="1">
      <c r="A168" s="23"/>
      <c r="B168" s="23"/>
      <c r="C168" s="24"/>
      <c r="D168" s="25"/>
      <c r="E168" s="24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4"/>
      <c r="W168" s="25"/>
      <c r="X168" s="24"/>
      <c r="Y168" s="23"/>
      <c r="Z168" s="23"/>
      <c r="AA168" s="23"/>
      <c r="AB168" s="23"/>
      <c r="AC168" s="23"/>
    </row>
    <row r="169" spans="1:29" ht="13.5" customHeight="1">
      <c r="A169" s="23"/>
      <c r="B169" s="23"/>
      <c r="C169" s="24"/>
      <c r="D169" s="25"/>
      <c r="E169" s="24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4"/>
      <c r="W169" s="25"/>
      <c r="X169" s="24"/>
      <c r="Y169" s="23"/>
      <c r="Z169" s="23"/>
      <c r="AA169" s="23"/>
      <c r="AB169" s="23"/>
      <c r="AC169" s="23"/>
    </row>
    <row r="170" spans="1:29" ht="13.5" customHeight="1">
      <c r="A170" s="23"/>
      <c r="B170" s="23"/>
      <c r="C170" s="24"/>
      <c r="D170" s="25"/>
      <c r="E170" s="24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4"/>
      <c r="W170" s="25"/>
      <c r="X170" s="24"/>
      <c r="Y170" s="23"/>
      <c r="Z170" s="23"/>
      <c r="AA170" s="23"/>
      <c r="AB170" s="23"/>
      <c r="AC170" s="23"/>
    </row>
    <row r="171" spans="1:29" ht="13.5" customHeight="1">
      <c r="A171" s="23"/>
      <c r="B171" s="23"/>
      <c r="C171" s="24"/>
      <c r="D171" s="25"/>
      <c r="E171" s="24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4"/>
      <c r="W171" s="25"/>
      <c r="X171" s="24"/>
      <c r="Y171" s="23"/>
      <c r="Z171" s="23"/>
      <c r="AA171" s="23"/>
      <c r="AB171" s="23"/>
      <c r="AC171" s="23"/>
    </row>
    <row r="172" spans="1:29" ht="13.5" customHeight="1">
      <c r="A172" s="23"/>
      <c r="B172" s="23"/>
      <c r="C172" s="24"/>
      <c r="D172" s="25"/>
      <c r="E172" s="24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4"/>
      <c r="W172" s="25"/>
      <c r="X172" s="24"/>
      <c r="Y172" s="23"/>
      <c r="Z172" s="23"/>
      <c r="AA172" s="23"/>
      <c r="AB172" s="23"/>
      <c r="AC172" s="23"/>
    </row>
    <row r="173" spans="1:29" ht="13.5" customHeight="1">
      <c r="A173" s="23"/>
      <c r="B173" s="23"/>
      <c r="C173" s="24"/>
      <c r="D173" s="25"/>
      <c r="E173" s="24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4"/>
      <c r="W173" s="25"/>
      <c r="X173" s="24"/>
      <c r="Y173" s="23"/>
      <c r="Z173" s="23"/>
      <c r="AA173" s="23"/>
      <c r="AB173" s="23"/>
      <c r="AC173" s="23"/>
    </row>
    <row r="174" spans="1:29" ht="13.5" customHeight="1">
      <c r="A174" s="23"/>
      <c r="B174" s="23"/>
      <c r="C174" s="24"/>
      <c r="D174" s="25"/>
      <c r="E174" s="24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4"/>
      <c r="W174" s="25"/>
      <c r="X174" s="24"/>
      <c r="Y174" s="23"/>
      <c r="Z174" s="23"/>
      <c r="AA174" s="23"/>
      <c r="AB174" s="23"/>
      <c r="AC174" s="23"/>
    </row>
    <row r="175" spans="1:29" ht="13.5" customHeight="1">
      <c r="A175" s="23"/>
      <c r="B175" s="23"/>
      <c r="C175" s="24"/>
      <c r="D175" s="25"/>
      <c r="E175" s="24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4"/>
      <c r="W175" s="25"/>
      <c r="X175" s="24"/>
      <c r="Y175" s="23"/>
      <c r="Z175" s="23"/>
      <c r="AA175" s="23"/>
      <c r="AB175" s="23"/>
      <c r="AC175" s="23"/>
    </row>
    <row r="176" spans="1:29" ht="13.5" customHeight="1">
      <c r="A176" s="23"/>
      <c r="B176" s="23"/>
      <c r="C176" s="24"/>
      <c r="D176" s="25"/>
      <c r="E176" s="24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4"/>
      <c r="W176" s="25"/>
      <c r="X176" s="24"/>
      <c r="Y176" s="23"/>
      <c r="Z176" s="23"/>
      <c r="AA176" s="23"/>
      <c r="AB176" s="23"/>
      <c r="AC176" s="23"/>
    </row>
    <row r="177" spans="1:29" ht="13.5" customHeight="1">
      <c r="A177" s="23"/>
      <c r="B177" s="23"/>
      <c r="C177" s="24"/>
      <c r="D177" s="25"/>
      <c r="E177" s="24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4"/>
      <c r="W177" s="25"/>
      <c r="X177" s="24"/>
      <c r="Y177" s="23"/>
      <c r="Z177" s="23"/>
      <c r="AA177" s="23"/>
      <c r="AB177" s="23"/>
      <c r="AC177" s="23"/>
    </row>
    <row r="178" spans="1:29" ht="13.5" customHeight="1">
      <c r="A178" s="23"/>
      <c r="B178" s="23"/>
      <c r="C178" s="24"/>
      <c r="D178" s="25"/>
      <c r="E178" s="24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4"/>
      <c r="W178" s="25"/>
      <c r="X178" s="24"/>
      <c r="Y178" s="23"/>
      <c r="Z178" s="23"/>
      <c r="AA178" s="23"/>
      <c r="AB178" s="23"/>
      <c r="AC178" s="23"/>
    </row>
    <row r="179" spans="1:29" ht="13.5" customHeight="1">
      <c r="A179" s="23"/>
      <c r="B179" s="23"/>
      <c r="C179" s="24"/>
      <c r="D179" s="25"/>
      <c r="E179" s="24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4"/>
      <c r="W179" s="25"/>
      <c r="X179" s="24"/>
      <c r="Y179" s="23"/>
      <c r="Z179" s="23"/>
      <c r="AA179" s="23"/>
      <c r="AB179" s="23"/>
      <c r="AC179" s="23"/>
    </row>
    <row r="180" spans="1:29" ht="13.5" customHeight="1">
      <c r="A180" s="23"/>
      <c r="B180" s="23"/>
      <c r="C180" s="24"/>
      <c r="D180" s="25"/>
      <c r="E180" s="24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4"/>
      <c r="W180" s="25"/>
      <c r="X180" s="24"/>
      <c r="Y180" s="23"/>
      <c r="Z180" s="23"/>
      <c r="AA180" s="23"/>
      <c r="AB180" s="23"/>
      <c r="AC180" s="23"/>
    </row>
    <row r="181" spans="1:29" ht="13.5" customHeight="1">
      <c r="A181" s="23"/>
      <c r="B181" s="23"/>
      <c r="C181" s="24"/>
      <c r="D181" s="25"/>
      <c r="E181" s="24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4"/>
      <c r="W181" s="25"/>
      <c r="X181" s="24"/>
      <c r="Y181" s="23"/>
      <c r="Z181" s="23"/>
      <c r="AA181" s="23"/>
      <c r="AB181" s="23"/>
      <c r="AC181" s="23"/>
    </row>
    <row r="182" spans="1:29" ht="13.5" customHeight="1">
      <c r="A182" s="23"/>
      <c r="B182" s="23"/>
      <c r="C182" s="24"/>
      <c r="D182" s="25"/>
      <c r="E182" s="24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4"/>
      <c r="W182" s="25"/>
      <c r="X182" s="24"/>
      <c r="Y182" s="23"/>
      <c r="Z182" s="23"/>
      <c r="AA182" s="23"/>
      <c r="AB182" s="23"/>
      <c r="AC182" s="23"/>
    </row>
    <row r="183" spans="1:29" ht="13.5" customHeight="1">
      <c r="A183" s="23"/>
      <c r="B183" s="23"/>
      <c r="C183" s="24"/>
      <c r="D183" s="25"/>
      <c r="E183" s="24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4"/>
      <c r="W183" s="25"/>
      <c r="X183" s="24"/>
      <c r="Y183" s="23"/>
      <c r="Z183" s="23"/>
      <c r="AA183" s="23"/>
      <c r="AB183" s="23"/>
      <c r="AC183" s="23"/>
    </row>
    <row r="184" spans="1:29" ht="13.5" customHeight="1">
      <c r="A184" s="23"/>
      <c r="B184" s="23"/>
      <c r="C184" s="24"/>
      <c r="D184" s="25"/>
      <c r="E184" s="24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4"/>
      <c r="W184" s="25"/>
      <c r="X184" s="24"/>
      <c r="Y184" s="23"/>
      <c r="Z184" s="23"/>
      <c r="AA184" s="23"/>
      <c r="AB184" s="23"/>
      <c r="AC184" s="23"/>
    </row>
    <row r="185" spans="1:29" ht="13.5" customHeight="1">
      <c r="A185" s="23"/>
      <c r="B185" s="23"/>
      <c r="C185" s="24"/>
      <c r="D185" s="25"/>
      <c r="E185" s="24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4"/>
      <c r="W185" s="25"/>
      <c r="X185" s="24"/>
      <c r="Y185" s="23"/>
      <c r="Z185" s="23"/>
      <c r="AA185" s="23"/>
      <c r="AB185" s="23"/>
      <c r="AC185" s="23"/>
    </row>
    <row r="186" spans="1:29" ht="13.5" customHeight="1">
      <c r="A186" s="23"/>
      <c r="B186" s="23"/>
      <c r="C186" s="24"/>
      <c r="D186" s="25"/>
      <c r="E186" s="24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4"/>
      <c r="W186" s="25"/>
      <c r="X186" s="24"/>
      <c r="Y186" s="23"/>
      <c r="Z186" s="23"/>
      <c r="AA186" s="23"/>
      <c r="AB186" s="23"/>
      <c r="AC186" s="23"/>
    </row>
    <row r="187" spans="1:29" ht="13.5" customHeight="1">
      <c r="A187" s="23"/>
      <c r="B187" s="23"/>
      <c r="C187" s="24"/>
      <c r="D187" s="25"/>
      <c r="E187" s="24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4"/>
      <c r="W187" s="25"/>
      <c r="X187" s="24"/>
      <c r="Y187" s="23"/>
      <c r="Z187" s="23"/>
      <c r="AA187" s="23"/>
      <c r="AB187" s="23"/>
      <c r="AC187" s="23"/>
    </row>
    <row r="188" spans="1:29" ht="13.5" customHeight="1">
      <c r="A188" s="23"/>
      <c r="B188" s="23"/>
      <c r="C188" s="24"/>
      <c r="D188" s="25"/>
      <c r="E188" s="24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4"/>
      <c r="W188" s="25"/>
      <c r="X188" s="24"/>
      <c r="Y188" s="23"/>
      <c r="Z188" s="23"/>
      <c r="AA188" s="23"/>
      <c r="AB188" s="23"/>
      <c r="AC188" s="23"/>
    </row>
    <row r="189" spans="1:29" ht="13.5" customHeight="1">
      <c r="A189" s="23"/>
      <c r="B189" s="23"/>
      <c r="C189" s="24"/>
      <c r="D189" s="25"/>
      <c r="E189" s="24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4"/>
      <c r="W189" s="25"/>
      <c r="X189" s="24"/>
      <c r="Y189" s="23"/>
      <c r="Z189" s="23"/>
      <c r="AA189" s="23"/>
      <c r="AB189" s="23"/>
      <c r="AC189" s="23"/>
    </row>
    <row r="190" spans="1:29" ht="13.5" customHeight="1">
      <c r="A190" s="23"/>
      <c r="B190" s="23"/>
      <c r="C190" s="24"/>
      <c r="D190" s="25"/>
      <c r="E190" s="24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4"/>
      <c r="W190" s="25"/>
      <c r="X190" s="24"/>
      <c r="Y190" s="23"/>
      <c r="Z190" s="23"/>
      <c r="AA190" s="23"/>
      <c r="AB190" s="23"/>
      <c r="AC190" s="23"/>
    </row>
    <row r="191" spans="1:29" ht="13.5" customHeight="1">
      <c r="A191" s="23"/>
      <c r="B191" s="23"/>
      <c r="C191" s="24"/>
      <c r="D191" s="25"/>
      <c r="E191" s="24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4"/>
      <c r="W191" s="25"/>
      <c r="X191" s="24"/>
      <c r="Y191" s="23"/>
      <c r="Z191" s="23"/>
      <c r="AA191" s="23"/>
      <c r="AB191" s="23"/>
      <c r="AC191" s="23"/>
    </row>
    <row r="192" spans="1:29" ht="13.5" customHeight="1">
      <c r="A192" s="23"/>
      <c r="B192" s="23"/>
      <c r="C192" s="24"/>
      <c r="D192" s="25"/>
      <c r="E192" s="24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4"/>
      <c r="W192" s="25"/>
      <c r="X192" s="24"/>
      <c r="Y192" s="23"/>
      <c r="Z192" s="23"/>
      <c r="AA192" s="23"/>
      <c r="AB192" s="23"/>
      <c r="AC192" s="23"/>
    </row>
    <row r="193" spans="1:29" ht="13.5" customHeight="1">
      <c r="A193" s="23"/>
      <c r="B193" s="23"/>
      <c r="C193" s="24"/>
      <c r="D193" s="25"/>
      <c r="E193" s="24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4"/>
      <c r="W193" s="25"/>
      <c r="X193" s="24"/>
      <c r="Y193" s="23"/>
      <c r="Z193" s="23"/>
      <c r="AA193" s="23"/>
      <c r="AB193" s="23"/>
      <c r="AC193" s="23"/>
    </row>
    <row r="194" spans="1:29" ht="13.5" customHeight="1">
      <c r="A194" s="23"/>
      <c r="B194" s="23"/>
      <c r="C194" s="24"/>
      <c r="D194" s="25"/>
      <c r="E194" s="24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4"/>
      <c r="W194" s="25"/>
      <c r="X194" s="24"/>
      <c r="Y194" s="23"/>
      <c r="Z194" s="23"/>
      <c r="AA194" s="23"/>
      <c r="AB194" s="23"/>
      <c r="AC194" s="23"/>
    </row>
    <row r="195" spans="1:29" ht="13.5" customHeight="1">
      <c r="A195" s="23"/>
      <c r="B195" s="23"/>
      <c r="C195" s="24"/>
      <c r="D195" s="25"/>
      <c r="E195" s="24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4"/>
      <c r="W195" s="25"/>
      <c r="X195" s="24"/>
      <c r="Y195" s="23"/>
      <c r="Z195" s="23"/>
      <c r="AA195" s="23"/>
      <c r="AB195" s="23"/>
      <c r="AC195" s="23"/>
    </row>
    <row r="196" spans="1:29" ht="13.5" customHeight="1">
      <c r="A196" s="23"/>
      <c r="B196" s="23"/>
      <c r="C196" s="24"/>
      <c r="D196" s="25"/>
      <c r="E196" s="24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4"/>
      <c r="W196" s="25"/>
      <c r="X196" s="24"/>
      <c r="Y196" s="23"/>
      <c r="Z196" s="23"/>
      <c r="AA196" s="23"/>
      <c r="AB196" s="23"/>
      <c r="AC196" s="23"/>
    </row>
    <row r="197" spans="1:29" ht="13.5" customHeight="1">
      <c r="A197" s="23"/>
      <c r="B197" s="23"/>
      <c r="C197" s="24"/>
      <c r="D197" s="25"/>
      <c r="E197" s="24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4"/>
      <c r="W197" s="25"/>
      <c r="X197" s="24"/>
      <c r="Y197" s="23"/>
      <c r="Z197" s="23"/>
      <c r="AA197" s="23"/>
      <c r="AB197" s="23"/>
      <c r="AC197" s="23"/>
    </row>
    <row r="198" spans="1:29" ht="13.5" customHeight="1">
      <c r="A198" s="23"/>
      <c r="B198" s="23"/>
      <c r="C198" s="24"/>
      <c r="D198" s="25"/>
      <c r="E198" s="24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4"/>
      <c r="W198" s="25"/>
      <c r="X198" s="24"/>
      <c r="Y198" s="23"/>
      <c r="Z198" s="23"/>
      <c r="AA198" s="23"/>
      <c r="AB198" s="23"/>
      <c r="AC198" s="23"/>
    </row>
    <row r="199" spans="1:29" ht="13.5" customHeight="1">
      <c r="A199" s="23"/>
      <c r="B199" s="23"/>
      <c r="C199" s="24"/>
      <c r="D199" s="25"/>
      <c r="E199" s="24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4"/>
      <c r="W199" s="25"/>
      <c r="X199" s="24"/>
      <c r="Y199" s="23"/>
      <c r="Z199" s="23"/>
      <c r="AA199" s="23"/>
      <c r="AB199" s="23"/>
      <c r="AC199" s="23"/>
    </row>
    <row r="200" spans="1:29" ht="13.5" customHeight="1">
      <c r="A200" s="23"/>
      <c r="B200" s="23"/>
      <c r="C200" s="24"/>
      <c r="D200" s="25"/>
      <c r="E200" s="24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4"/>
      <c r="W200" s="25"/>
      <c r="X200" s="24"/>
      <c r="Y200" s="23"/>
      <c r="Z200" s="23"/>
      <c r="AA200" s="23"/>
      <c r="AB200" s="23"/>
      <c r="AC200" s="23"/>
    </row>
    <row r="201" spans="1:29" ht="13.5" customHeight="1">
      <c r="A201" s="23"/>
      <c r="B201" s="23"/>
      <c r="C201" s="24"/>
      <c r="D201" s="25"/>
      <c r="E201" s="24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4"/>
      <c r="W201" s="25"/>
      <c r="X201" s="24"/>
      <c r="Y201" s="23"/>
      <c r="Z201" s="23"/>
      <c r="AA201" s="23"/>
      <c r="AB201" s="23"/>
      <c r="AC201" s="23"/>
    </row>
    <row r="202" spans="1:29" ht="13.5" customHeight="1">
      <c r="A202" s="23"/>
      <c r="B202" s="23"/>
      <c r="C202" s="24"/>
      <c r="D202" s="25"/>
      <c r="E202" s="24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4"/>
      <c r="W202" s="25"/>
      <c r="X202" s="24"/>
      <c r="Y202" s="23"/>
      <c r="Z202" s="23"/>
      <c r="AA202" s="23"/>
      <c r="AB202" s="23"/>
      <c r="AC202" s="23"/>
    </row>
    <row r="203" spans="1:29" ht="13.5" customHeight="1">
      <c r="A203" s="23"/>
      <c r="B203" s="23"/>
      <c r="C203" s="24"/>
      <c r="D203" s="25"/>
      <c r="E203" s="24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4"/>
      <c r="W203" s="25"/>
      <c r="X203" s="24"/>
      <c r="Y203" s="23"/>
      <c r="Z203" s="23"/>
      <c r="AA203" s="23"/>
      <c r="AB203" s="23"/>
      <c r="AC203" s="23"/>
    </row>
    <row r="204" spans="1:29" ht="13.5" customHeight="1">
      <c r="A204" s="23"/>
      <c r="B204" s="23"/>
      <c r="C204" s="24"/>
      <c r="D204" s="25"/>
      <c r="E204" s="24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4"/>
      <c r="W204" s="25"/>
      <c r="X204" s="24"/>
      <c r="Y204" s="23"/>
      <c r="Z204" s="23"/>
      <c r="AA204" s="23"/>
      <c r="AB204" s="23"/>
      <c r="AC204" s="23"/>
    </row>
    <row r="205" spans="1:29" ht="13.5" customHeight="1">
      <c r="A205" s="23"/>
      <c r="B205" s="23"/>
      <c r="C205" s="24"/>
      <c r="D205" s="25"/>
      <c r="E205" s="24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4"/>
      <c r="W205" s="25"/>
      <c r="X205" s="24"/>
      <c r="Y205" s="23"/>
      <c r="Z205" s="23"/>
      <c r="AA205" s="23"/>
      <c r="AB205" s="23"/>
      <c r="AC205" s="23"/>
    </row>
    <row r="206" spans="1:29" ht="13.5" customHeight="1">
      <c r="A206" s="23"/>
      <c r="B206" s="23"/>
      <c r="C206" s="24"/>
      <c r="D206" s="25"/>
      <c r="E206" s="24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4"/>
      <c r="W206" s="25"/>
      <c r="X206" s="24"/>
      <c r="Y206" s="23"/>
      <c r="Z206" s="23"/>
      <c r="AA206" s="23"/>
      <c r="AB206" s="23"/>
      <c r="AC206" s="23"/>
    </row>
    <row r="207" spans="1:29" ht="13.5" customHeight="1">
      <c r="A207" s="23"/>
      <c r="B207" s="23"/>
      <c r="C207" s="24"/>
      <c r="D207" s="25"/>
      <c r="E207" s="24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4"/>
      <c r="W207" s="25"/>
      <c r="X207" s="24"/>
      <c r="Y207" s="23"/>
      <c r="Z207" s="23"/>
      <c r="AA207" s="23"/>
      <c r="AB207" s="23"/>
      <c r="AC207" s="23"/>
    </row>
    <row r="208" spans="1:29" ht="13.5" customHeight="1">
      <c r="A208" s="23"/>
      <c r="B208" s="23"/>
      <c r="C208" s="24"/>
      <c r="D208" s="25"/>
      <c r="E208" s="24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4"/>
      <c r="W208" s="25"/>
      <c r="X208" s="24"/>
      <c r="Y208" s="23"/>
      <c r="Z208" s="23"/>
      <c r="AA208" s="23"/>
      <c r="AB208" s="23"/>
      <c r="AC208" s="23"/>
    </row>
    <row r="209" spans="1:29" ht="13.5" customHeight="1">
      <c r="A209" s="23"/>
      <c r="B209" s="23"/>
      <c r="C209" s="24"/>
      <c r="D209" s="25"/>
      <c r="E209" s="24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4"/>
      <c r="W209" s="25"/>
      <c r="X209" s="24"/>
      <c r="Y209" s="23"/>
      <c r="Z209" s="23"/>
      <c r="AA209" s="23"/>
      <c r="AB209" s="23"/>
      <c r="AC209" s="23"/>
    </row>
    <row r="210" spans="1:29" ht="13.5" customHeight="1">
      <c r="A210" s="23"/>
      <c r="B210" s="23"/>
      <c r="C210" s="24"/>
      <c r="D210" s="25"/>
      <c r="E210" s="24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4"/>
      <c r="W210" s="25"/>
      <c r="X210" s="24"/>
      <c r="Y210" s="23"/>
      <c r="Z210" s="23"/>
      <c r="AA210" s="23"/>
      <c r="AB210" s="23"/>
      <c r="AC210" s="23"/>
    </row>
    <row r="211" spans="1:29" ht="13.5" customHeight="1">
      <c r="A211" s="23"/>
      <c r="B211" s="23"/>
      <c r="C211" s="24"/>
      <c r="D211" s="25"/>
      <c r="E211" s="24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4"/>
      <c r="W211" s="25"/>
      <c r="X211" s="24"/>
      <c r="Y211" s="23"/>
      <c r="Z211" s="23"/>
      <c r="AA211" s="23"/>
      <c r="AB211" s="23"/>
      <c r="AC211" s="23"/>
    </row>
    <row r="212" spans="1:29" ht="13.5" customHeight="1">
      <c r="A212" s="23"/>
      <c r="B212" s="23"/>
      <c r="C212" s="24"/>
      <c r="D212" s="25"/>
      <c r="E212" s="24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4"/>
      <c r="W212" s="25"/>
      <c r="X212" s="24"/>
      <c r="Y212" s="23"/>
      <c r="Z212" s="23"/>
      <c r="AA212" s="23"/>
      <c r="AB212" s="23"/>
      <c r="AC212" s="23"/>
    </row>
    <row r="213" spans="1:29" ht="13.5" customHeight="1">
      <c r="A213" s="23"/>
      <c r="B213" s="23"/>
      <c r="C213" s="24"/>
      <c r="D213" s="25"/>
      <c r="E213" s="24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4"/>
      <c r="W213" s="25"/>
      <c r="X213" s="24"/>
      <c r="Y213" s="23"/>
      <c r="Z213" s="23"/>
      <c r="AA213" s="23"/>
      <c r="AB213" s="23"/>
      <c r="AC213" s="23"/>
    </row>
    <row r="214" spans="1:29" ht="13.5" customHeight="1">
      <c r="A214" s="23"/>
      <c r="B214" s="23"/>
      <c r="C214" s="24"/>
      <c r="D214" s="25"/>
      <c r="E214" s="24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4"/>
      <c r="W214" s="25"/>
      <c r="X214" s="24"/>
      <c r="Y214" s="23"/>
      <c r="Z214" s="23"/>
      <c r="AA214" s="23"/>
      <c r="AB214" s="23"/>
      <c r="AC214" s="23"/>
    </row>
    <row r="215" spans="1:29" ht="13.5" customHeight="1">
      <c r="A215" s="23"/>
      <c r="B215" s="23"/>
      <c r="C215" s="24"/>
      <c r="D215" s="25"/>
      <c r="E215" s="24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4"/>
      <c r="W215" s="25"/>
      <c r="X215" s="24"/>
      <c r="Y215" s="23"/>
      <c r="Z215" s="23"/>
      <c r="AA215" s="23"/>
      <c r="AB215" s="23"/>
      <c r="AC215" s="23"/>
    </row>
    <row r="216" spans="1:29" ht="13.5" customHeight="1">
      <c r="A216" s="23"/>
      <c r="B216" s="23"/>
      <c r="C216" s="24"/>
      <c r="D216" s="25"/>
      <c r="E216" s="24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4"/>
      <c r="W216" s="25"/>
      <c r="X216" s="24"/>
      <c r="Y216" s="23"/>
      <c r="Z216" s="23"/>
      <c r="AA216" s="23"/>
      <c r="AB216" s="23"/>
      <c r="AC216" s="23"/>
    </row>
    <row r="217" spans="1:29" ht="13.5" customHeight="1">
      <c r="A217" s="23"/>
      <c r="B217" s="23"/>
      <c r="C217" s="24"/>
      <c r="D217" s="25"/>
      <c r="E217" s="24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4"/>
      <c r="W217" s="25"/>
      <c r="X217" s="24"/>
      <c r="Y217" s="23"/>
      <c r="Z217" s="23"/>
      <c r="AA217" s="23"/>
      <c r="AB217" s="23"/>
      <c r="AC217" s="23"/>
    </row>
    <row r="218" spans="1:29" ht="13.5" customHeight="1">
      <c r="A218" s="23"/>
      <c r="B218" s="23"/>
      <c r="C218" s="24"/>
      <c r="D218" s="25"/>
      <c r="E218" s="24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4"/>
      <c r="W218" s="25"/>
      <c r="X218" s="24"/>
      <c r="Y218" s="23"/>
      <c r="Z218" s="23"/>
      <c r="AA218" s="23"/>
      <c r="AB218" s="23"/>
      <c r="AC218" s="23"/>
    </row>
    <row r="219" spans="1:29" ht="13.5" customHeight="1">
      <c r="A219" s="23"/>
      <c r="B219" s="23"/>
      <c r="C219" s="24"/>
      <c r="D219" s="25"/>
      <c r="E219" s="24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4"/>
      <c r="W219" s="25"/>
      <c r="X219" s="24"/>
      <c r="Y219" s="23"/>
      <c r="Z219" s="23"/>
      <c r="AA219" s="23"/>
      <c r="AB219" s="23"/>
      <c r="AC219" s="23"/>
    </row>
    <row r="220" spans="1:29" ht="13.5" customHeight="1">
      <c r="A220" s="23"/>
      <c r="B220" s="23"/>
      <c r="C220" s="24"/>
      <c r="D220" s="25"/>
      <c r="E220" s="24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4"/>
      <c r="W220" s="25"/>
      <c r="X220" s="24"/>
      <c r="Y220" s="23"/>
      <c r="Z220" s="23"/>
      <c r="AA220" s="23"/>
      <c r="AB220" s="23"/>
      <c r="AC220" s="23"/>
    </row>
    <row r="221" spans="1:29" ht="13.5" customHeight="1">
      <c r="A221" s="23"/>
      <c r="B221" s="23"/>
      <c r="C221" s="24"/>
      <c r="D221" s="25"/>
      <c r="E221" s="24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4"/>
      <c r="W221" s="25"/>
      <c r="X221" s="24"/>
      <c r="Y221" s="23"/>
      <c r="Z221" s="23"/>
      <c r="AA221" s="23"/>
      <c r="AB221" s="23"/>
      <c r="AC221" s="23"/>
    </row>
    <row r="222" spans="1:29" ht="13.5" customHeight="1">
      <c r="A222" s="23"/>
      <c r="B222" s="23"/>
      <c r="C222" s="24"/>
      <c r="D222" s="25"/>
      <c r="E222" s="24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4"/>
      <c r="W222" s="25"/>
      <c r="X222" s="24"/>
      <c r="Y222" s="23"/>
      <c r="Z222" s="23"/>
      <c r="AA222" s="23"/>
      <c r="AB222" s="23"/>
      <c r="AC222" s="23"/>
    </row>
    <row r="223" spans="1:29" ht="13.5" customHeight="1">
      <c r="A223" s="23"/>
      <c r="B223" s="23"/>
      <c r="C223" s="24"/>
      <c r="D223" s="25"/>
      <c r="E223" s="24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4"/>
      <c r="W223" s="25"/>
      <c r="X223" s="24"/>
      <c r="Y223" s="23"/>
      <c r="Z223" s="23"/>
      <c r="AA223" s="23"/>
      <c r="AB223" s="23"/>
      <c r="AC223" s="23"/>
    </row>
    <row r="224" spans="1:29" ht="13.5" customHeight="1">
      <c r="A224" s="23"/>
      <c r="B224" s="23"/>
      <c r="C224" s="24"/>
      <c r="D224" s="25"/>
      <c r="E224" s="24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4"/>
      <c r="W224" s="25"/>
      <c r="X224" s="24"/>
      <c r="Y224" s="23"/>
      <c r="Z224" s="23"/>
      <c r="AA224" s="23"/>
      <c r="AB224" s="23"/>
      <c r="AC224" s="23"/>
    </row>
    <row r="225" spans="1:29" ht="13.5" customHeight="1">
      <c r="A225" s="23"/>
      <c r="B225" s="23"/>
      <c r="C225" s="24"/>
      <c r="D225" s="25"/>
      <c r="E225" s="24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4"/>
      <c r="W225" s="25"/>
      <c r="X225" s="24"/>
      <c r="Y225" s="23"/>
      <c r="Z225" s="23"/>
      <c r="AA225" s="23"/>
      <c r="AB225" s="23"/>
      <c r="AC225" s="23"/>
    </row>
    <row r="226" spans="1:29" ht="13.5" customHeight="1">
      <c r="A226" s="23"/>
      <c r="B226" s="23"/>
      <c r="C226" s="24"/>
      <c r="D226" s="25"/>
      <c r="E226" s="24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4"/>
      <c r="W226" s="25"/>
      <c r="X226" s="24"/>
      <c r="Y226" s="23"/>
      <c r="Z226" s="23"/>
      <c r="AA226" s="23"/>
      <c r="AB226" s="23"/>
      <c r="AC226" s="23"/>
    </row>
    <row r="227" spans="1:29" ht="13.5" customHeight="1">
      <c r="A227" s="23"/>
      <c r="B227" s="23"/>
      <c r="C227" s="24"/>
      <c r="D227" s="25"/>
      <c r="E227" s="24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4"/>
      <c r="W227" s="25"/>
      <c r="X227" s="24"/>
      <c r="Y227" s="23"/>
      <c r="Z227" s="23"/>
      <c r="AA227" s="23"/>
      <c r="AB227" s="23"/>
      <c r="AC227" s="23"/>
    </row>
    <row r="228" spans="1:29" ht="13.5" customHeight="1">
      <c r="A228" s="23"/>
      <c r="B228" s="23"/>
      <c r="C228" s="24"/>
      <c r="D228" s="25"/>
      <c r="E228" s="24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4"/>
      <c r="W228" s="25"/>
      <c r="X228" s="24"/>
      <c r="Y228" s="23"/>
      <c r="Z228" s="23"/>
      <c r="AA228" s="23"/>
      <c r="AB228" s="23"/>
      <c r="AC228" s="23"/>
    </row>
    <row r="229" spans="1:29" ht="13.5" customHeight="1">
      <c r="A229" s="23"/>
      <c r="B229" s="23"/>
      <c r="C229" s="24"/>
      <c r="D229" s="25"/>
      <c r="E229" s="24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4"/>
      <c r="W229" s="25"/>
      <c r="X229" s="24"/>
      <c r="Y229" s="23"/>
      <c r="Z229" s="23"/>
      <c r="AA229" s="23"/>
      <c r="AB229" s="23"/>
      <c r="AC229" s="23"/>
    </row>
    <row r="230" spans="1:29" ht="13.5" customHeight="1">
      <c r="A230" s="23"/>
      <c r="B230" s="23"/>
      <c r="C230" s="24"/>
      <c r="D230" s="25"/>
      <c r="E230" s="24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4"/>
      <c r="W230" s="25"/>
      <c r="X230" s="24"/>
      <c r="Y230" s="23"/>
      <c r="Z230" s="23"/>
      <c r="AA230" s="23"/>
      <c r="AB230" s="23"/>
      <c r="AC230" s="23"/>
    </row>
    <row r="231" spans="1:29" ht="13.5" customHeight="1">
      <c r="A231" s="23"/>
      <c r="B231" s="23"/>
      <c r="C231" s="24"/>
      <c r="D231" s="25"/>
      <c r="E231" s="24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4"/>
      <c r="W231" s="25"/>
      <c r="X231" s="24"/>
      <c r="Y231" s="23"/>
      <c r="Z231" s="23"/>
      <c r="AA231" s="23"/>
      <c r="AB231" s="23"/>
      <c r="AC231" s="23"/>
    </row>
    <row r="232" spans="1:29" ht="13.5" customHeight="1">
      <c r="A232" s="23"/>
      <c r="B232" s="23"/>
      <c r="C232" s="24"/>
      <c r="D232" s="25"/>
      <c r="E232" s="24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4"/>
      <c r="W232" s="25"/>
      <c r="X232" s="24"/>
      <c r="Y232" s="23"/>
      <c r="Z232" s="23"/>
      <c r="AA232" s="23"/>
      <c r="AB232" s="23"/>
      <c r="AC232" s="23"/>
    </row>
    <row r="233" spans="1:29" ht="13.5" customHeight="1">
      <c r="A233" s="23"/>
      <c r="B233" s="23"/>
      <c r="C233" s="24"/>
      <c r="D233" s="25"/>
      <c r="E233" s="24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4"/>
      <c r="W233" s="25"/>
      <c r="X233" s="24"/>
      <c r="Y233" s="23"/>
      <c r="Z233" s="23"/>
      <c r="AA233" s="23"/>
      <c r="AB233" s="23"/>
      <c r="AC233" s="23"/>
    </row>
    <row r="234" spans="1:29" ht="13.5" customHeight="1">
      <c r="A234" s="23"/>
      <c r="B234" s="23"/>
      <c r="C234" s="24"/>
      <c r="D234" s="25"/>
      <c r="E234" s="24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4"/>
      <c r="W234" s="25"/>
      <c r="X234" s="24"/>
      <c r="Y234" s="23"/>
      <c r="Z234" s="23"/>
      <c r="AA234" s="23"/>
      <c r="AB234" s="23"/>
      <c r="AC234" s="23"/>
    </row>
    <row r="235" spans="1:29" ht="13.5" customHeight="1">
      <c r="A235" s="23"/>
      <c r="B235" s="23"/>
      <c r="C235" s="24"/>
      <c r="D235" s="25"/>
      <c r="E235" s="24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4"/>
      <c r="W235" s="25"/>
      <c r="X235" s="24"/>
      <c r="Y235" s="23"/>
      <c r="Z235" s="23"/>
      <c r="AA235" s="23"/>
      <c r="AB235" s="23"/>
      <c r="AC235" s="23"/>
    </row>
    <row r="236" spans="1:29" ht="13.5" customHeight="1">
      <c r="A236" s="23"/>
      <c r="B236" s="23"/>
      <c r="C236" s="24"/>
      <c r="D236" s="25"/>
      <c r="E236" s="24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4"/>
      <c r="W236" s="25"/>
      <c r="X236" s="24"/>
      <c r="Y236" s="23"/>
      <c r="Z236" s="23"/>
      <c r="AA236" s="23"/>
      <c r="AB236" s="23"/>
      <c r="AC236" s="23"/>
    </row>
    <row r="237" spans="1:29" ht="13.5" customHeight="1">
      <c r="A237" s="23"/>
      <c r="B237" s="23"/>
      <c r="C237" s="24"/>
      <c r="D237" s="25"/>
      <c r="E237" s="24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4"/>
      <c r="W237" s="25"/>
      <c r="X237" s="24"/>
      <c r="Y237" s="23"/>
      <c r="Z237" s="23"/>
      <c r="AA237" s="23"/>
      <c r="AB237" s="23"/>
      <c r="AC237" s="23"/>
    </row>
    <row r="238" spans="1:29" ht="13.5" customHeight="1">
      <c r="A238" s="23"/>
      <c r="B238" s="23"/>
      <c r="C238" s="24"/>
      <c r="D238" s="25"/>
      <c r="E238" s="24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4"/>
      <c r="W238" s="25"/>
      <c r="X238" s="24"/>
      <c r="Y238" s="23"/>
      <c r="Z238" s="23"/>
      <c r="AA238" s="23"/>
      <c r="AB238" s="23"/>
      <c r="AC238" s="23"/>
    </row>
    <row r="239" spans="1:29" ht="13.5" customHeight="1">
      <c r="A239" s="23"/>
      <c r="B239" s="23"/>
      <c r="C239" s="24"/>
      <c r="D239" s="25"/>
      <c r="E239" s="24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4"/>
      <c r="W239" s="25"/>
      <c r="X239" s="24"/>
      <c r="Y239" s="23"/>
      <c r="Z239" s="23"/>
      <c r="AA239" s="23"/>
      <c r="AB239" s="23"/>
      <c r="AC239" s="23"/>
    </row>
    <row r="240" spans="1:29" ht="13.5" customHeight="1">
      <c r="A240" s="23"/>
      <c r="B240" s="23"/>
      <c r="C240" s="24"/>
      <c r="D240" s="25"/>
      <c r="E240" s="24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4"/>
      <c r="W240" s="25"/>
      <c r="X240" s="24"/>
      <c r="Y240" s="23"/>
      <c r="Z240" s="23"/>
      <c r="AA240" s="23"/>
      <c r="AB240" s="23"/>
      <c r="AC240" s="23"/>
    </row>
    <row r="241" spans="1:29" ht="13.5" customHeight="1">
      <c r="A241" s="23"/>
      <c r="B241" s="23"/>
      <c r="C241" s="24"/>
      <c r="D241" s="25"/>
      <c r="E241" s="24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4"/>
      <c r="W241" s="25"/>
      <c r="X241" s="24"/>
      <c r="Y241" s="23"/>
      <c r="Z241" s="23"/>
      <c r="AA241" s="23"/>
      <c r="AB241" s="23"/>
      <c r="AC241" s="23"/>
    </row>
    <row r="242" spans="1:29" ht="13.5" customHeight="1">
      <c r="A242" s="23"/>
      <c r="B242" s="23"/>
      <c r="C242" s="24"/>
      <c r="D242" s="25"/>
      <c r="E242" s="24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4"/>
      <c r="W242" s="25"/>
      <c r="X242" s="24"/>
      <c r="Y242" s="23"/>
      <c r="Z242" s="23"/>
      <c r="AA242" s="23"/>
      <c r="AB242" s="23"/>
      <c r="AC242" s="23"/>
    </row>
    <row r="243" spans="1:29" ht="13.5" customHeight="1">
      <c r="A243" s="23"/>
      <c r="B243" s="23"/>
      <c r="C243" s="24"/>
      <c r="D243" s="25"/>
      <c r="E243" s="24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4"/>
      <c r="W243" s="25"/>
      <c r="X243" s="24"/>
      <c r="Y243" s="23"/>
      <c r="Z243" s="23"/>
      <c r="AA243" s="23"/>
      <c r="AB243" s="23"/>
      <c r="AC243" s="23"/>
    </row>
    <row r="244" spans="1:29" ht="13.5" customHeight="1">
      <c r="A244" s="23"/>
      <c r="B244" s="23"/>
      <c r="C244" s="24"/>
      <c r="D244" s="25"/>
      <c r="E244" s="24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4"/>
      <c r="W244" s="25"/>
      <c r="X244" s="24"/>
      <c r="Y244" s="23"/>
      <c r="Z244" s="23"/>
      <c r="AA244" s="23"/>
      <c r="AB244" s="23"/>
      <c r="AC244" s="23"/>
    </row>
    <row r="245" spans="1:29" ht="13.5" customHeight="1">
      <c r="A245" s="23"/>
      <c r="B245" s="23"/>
      <c r="C245" s="24"/>
      <c r="D245" s="25"/>
      <c r="E245" s="24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4"/>
      <c r="W245" s="25"/>
      <c r="X245" s="24"/>
      <c r="Y245" s="23"/>
      <c r="Z245" s="23"/>
      <c r="AA245" s="23"/>
      <c r="AB245" s="23"/>
      <c r="AC245" s="23"/>
    </row>
    <row r="246" spans="1:29" ht="13.5" customHeight="1">
      <c r="A246" s="23"/>
      <c r="B246" s="23"/>
      <c r="C246" s="24"/>
      <c r="D246" s="25"/>
      <c r="E246" s="24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4"/>
      <c r="W246" s="25"/>
      <c r="X246" s="24"/>
      <c r="Y246" s="23"/>
      <c r="Z246" s="23"/>
      <c r="AA246" s="23"/>
      <c r="AB246" s="23"/>
      <c r="AC246" s="23"/>
    </row>
    <row r="247" spans="1:29" ht="13.5" customHeight="1">
      <c r="A247" s="23"/>
      <c r="B247" s="23"/>
      <c r="C247" s="24"/>
      <c r="D247" s="25"/>
      <c r="E247" s="24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4"/>
      <c r="W247" s="25"/>
      <c r="X247" s="24"/>
      <c r="Y247" s="23"/>
      <c r="Z247" s="23"/>
      <c r="AA247" s="23"/>
      <c r="AB247" s="23"/>
      <c r="AC247" s="23"/>
    </row>
    <row r="248" spans="1:29" ht="13.5" customHeight="1">
      <c r="A248" s="23"/>
      <c r="B248" s="23"/>
      <c r="C248" s="24"/>
      <c r="D248" s="25"/>
      <c r="E248" s="24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4"/>
      <c r="W248" s="25"/>
      <c r="X248" s="24"/>
      <c r="Y248" s="23"/>
      <c r="Z248" s="23"/>
      <c r="AA248" s="23"/>
      <c r="AB248" s="23"/>
      <c r="AC248" s="23"/>
    </row>
    <row r="249" spans="1:29" ht="13.5" customHeight="1">
      <c r="A249" s="23"/>
      <c r="B249" s="23"/>
      <c r="C249" s="24"/>
      <c r="D249" s="25"/>
      <c r="E249" s="24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4"/>
      <c r="W249" s="25"/>
      <c r="X249" s="24"/>
      <c r="Y249" s="23"/>
      <c r="Z249" s="23"/>
      <c r="AA249" s="23"/>
      <c r="AB249" s="23"/>
      <c r="AC249" s="23"/>
    </row>
    <row r="250" spans="1:29" ht="13.5" customHeight="1">
      <c r="A250" s="23"/>
      <c r="B250" s="23"/>
      <c r="C250" s="24"/>
      <c r="D250" s="25"/>
      <c r="E250" s="24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4"/>
      <c r="W250" s="25"/>
      <c r="X250" s="24"/>
      <c r="Y250" s="23"/>
      <c r="Z250" s="23"/>
      <c r="AA250" s="23"/>
      <c r="AB250" s="23"/>
      <c r="AC250" s="23"/>
    </row>
    <row r="251" spans="1:29" ht="13.5" customHeight="1">
      <c r="A251" s="23"/>
      <c r="B251" s="23"/>
      <c r="C251" s="24"/>
      <c r="D251" s="25"/>
      <c r="E251" s="24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4"/>
      <c r="W251" s="25"/>
      <c r="X251" s="24"/>
      <c r="Y251" s="23"/>
      <c r="Z251" s="23"/>
      <c r="AA251" s="23"/>
      <c r="AB251" s="23"/>
      <c r="AC251" s="23"/>
    </row>
    <row r="252" spans="1:29" ht="13.5" customHeight="1">
      <c r="A252" s="23"/>
      <c r="B252" s="23"/>
      <c r="C252" s="24"/>
      <c r="D252" s="25"/>
      <c r="E252" s="24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4"/>
      <c r="W252" s="25"/>
      <c r="X252" s="24"/>
      <c r="Y252" s="23"/>
      <c r="Z252" s="23"/>
      <c r="AA252" s="23"/>
      <c r="AB252" s="23"/>
      <c r="AC252" s="23"/>
    </row>
    <row r="253" spans="1:29" ht="13.5" customHeight="1">
      <c r="A253" s="23"/>
      <c r="B253" s="23"/>
      <c r="C253" s="24"/>
      <c r="D253" s="25"/>
      <c r="E253" s="24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4"/>
      <c r="W253" s="25"/>
      <c r="X253" s="24"/>
      <c r="Y253" s="23"/>
      <c r="Z253" s="23"/>
      <c r="AA253" s="23"/>
      <c r="AB253" s="23"/>
      <c r="AC253" s="23"/>
    </row>
    <row r="254" spans="1:29" ht="13.5" customHeight="1">
      <c r="A254" s="23"/>
      <c r="B254" s="23"/>
      <c r="C254" s="24"/>
      <c r="D254" s="25"/>
      <c r="E254" s="24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4"/>
      <c r="W254" s="25"/>
      <c r="X254" s="24"/>
      <c r="Y254" s="23"/>
      <c r="Z254" s="23"/>
      <c r="AA254" s="23"/>
      <c r="AB254" s="23"/>
      <c r="AC254" s="23"/>
    </row>
    <row r="255" spans="1:29" ht="13.5" customHeight="1">
      <c r="A255" s="23"/>
      <c r="B255" s="23"/>
      <c r="C255" s="24"/>
      <c r="D255" s="25"/>
      <c r="E255" s="24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4"/>
      <c r="W255" s="25"/>
      <c r="X255" s="24"/>
      <c r="Y255" s="23"/>
      <c r="Z255" s="23"/>
      <c r="AA255" s="23"/>
      <c r="AB255" s="23"/>
      <c r="AC255" s="23"/>
    </row>
    <row r="256" spans="1:29" ht="13.5" customHeight="1">
      <c r="A256" s="23"/>
      <c r="B256" s="23"/>
      <c r="C256" s="24"/>
      <c r="D256" s="25"/>
      <c r="E256" s="24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4"/>
      <c r="W256" s="25"/>
      <c r="X256" s="24"/>
      <c r="Y256" s="23"/>
      <c r="Z256" s="23"/>
      <c r="AA256" s="23"/>
      <c r="AB256" s="23"/>
      <c r="AC256" s="23"/>
    </row>
    <row r="257" spans="1:29" ht="13.5" customHeight="1">
      <c r="A257" s="23"/>
      <c r="B257" s="23"/>
      <c r="C257" s="24"/>
      <c r="D257" s="25"/>
      <c r="E257" s="24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4"/>
      <c r="W257" s="25"/>
      <c r="X257" s="24"/>
      <c r="Y257" s="23"/>
      <c r="Z257" s="23"/>
      <c r="AA257" s="23"/>
      <c r="AB257" s="23"/>
      <c r="AC257" s="23"/>
    </row>
    <row r="258" spans="1:29" ht="13.5" customHeight="1">
      <c r="A258" s="23"/>
      <c r="B258" s="23"/>
      <c r="C258" s="24"/>
      <c r="D258" s="25"/>
      <c r="E258" s="24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4"/>
      <c r="W258" s="25"/>
      <c r="X258" s="24"/>
      <c r="Y258" s="23"/>
      <c r="Z258" s="23"/>
      <c r="AA258" s="23"/>
      <c r="AB258" s="23"/>
      <c r="AC258" s="23"/>
    </row>
    <row r="259" spans="1:29" ht="13.5" customHeight="1">
      <c r="A259" s="23"/>
      <c r="B259" s="23"/>
      <c r="C259" s="24"/>
      <c r="D259" s="25"/>
      <c r="E259" s="24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4"/>
      <c r="W259" s="25"/>
      <c r="X259" s="24"/>
      <c r="Y259" s="23"/>
      <c r="Z259" s="23"/>
      <c r="AA259" s="23"/>
      <c r="AB259" s="23"/>
      <c r="AC259" s="23"/>
    </row>
    <row r="260" spans="1:29" ht="13.5" customHeight="1">
      <c r="A260" s="23"/>
      <c r="B260" s="23"/>
      <c r="C260" s="24"/>
      <c r="D260" s="25"/>
      <c r="E260" s="24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4"/>
      <c r="W260" s="25"/>
      <c r="X260" s="24"/>
      <c r="Y260" s="23"/>
      <c r="Z260" s="23"/>
      <c r="AA260" s="23"/>
      <c r="AB260" s="23"/>
      <c r="AC260" s="23"/>
    </row>
    <row r="261" spans="1:29" ht="13.5" customHeight="1">
      <c r="A261" s="23"/>
      <c r="B261" s="23"/>
      <c r="C261" s="24"/>
      <c r="D261" s="25"/>
      <c r="E261" s="24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4"/>
      <c r="W261" s="25"/>
      <c r="X261" s="24"/>
      <c r="Y261" s="23"/>
      <c r="Z261" s="23"/>
      <c r="AA261" s="23"/>
      <c r="AB261" s="23"/>
      <c r="AC261" s="23"/>
    </row>
    <row r="262" spans="1:29" ht="13.5" customHeight="1">
      <c r="A262" s="23"/>
      <c r="B262" s="23"/>
      <c r="C262" s="24"/>
      <c r="D262" s="25"/>
      <c r="E262" s="24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4"/>
      <c r="W262" s="25"/>
      <c r="X262" s="24"/>
      <c r="Y262" s="23"/>
      <c r="Z262" s="23"/>
      <c r="AA262" s="23"/>
      <c r="AB262" s="23"/>
      <c r="AC262" s="23"/>
    </row>
    <row r="263" spans="1:29" ht="13.5" customHeight="1">
      <c r="A263" s="23"/>
      <c r="B263" s="23"/>
      <c r="C263" s="24"/>
      <c r="D263" s="25"/>
      <c r="E263" s="24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4"/>
      <c r="W263" s="25"/>
      <c r="X263" s="24"/>
      <c r="Y263" s="23"/>
      <c r="Z263" s="23"/>
      <c r="AA263" s="23"/>
      <c r="AB263" s="23"/>
      <c r="AC263" s="23"/>
    </row>
    <row r="264" spans="1:29" ht="13.5" customHeight="1">
      <c r="A264" s="23"/>
      <c r="B264" s="23"/>
      <c r="C264" s="24"/>
      <c r="D264" s="25"/>
      <c r="E264" s="24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4"/>
      <c r="W264" s="25"/>
      <c r="X264" s="24"/>
      <c r="Y264" s="23"/>
      <c r="Z264" s="23"/>
      <c r="AA264" s="23"/>
      <c r="AB264" s="23"/>
      <c r="AC264" s="23"/>
    </row>
    <row r="265" spans="1:29" ht="13.5" customHeight="1">
      <c r="A265" s="23"/>
      <c r="B265" s="23"/>
      <c r="C265" s="24"/>
      <c r="D265" s="25"/>
      <c r="E265" s="24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4"/>
      <c r="W265" s="25"/>
      <c r="X265" s="24"/>
      <c r="Y265" s="23"/>
      <c r="Z265" s="23"/>
      <c r="AA265" s="23"/>
      <c r="AB265" s="23"/>
      <c r="AC265" s="23"/>
    </row>
    <row r="266" spans="1:29" ht="13.5" customHeight="1">
      <c r="A266" s="23"/>
      <c r="B266" s="23"/>
      <c r="C266" s="24"/>
      <c r="D266" s="25"/>
      <c r="E266" s="24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4"/>
      <c r="W266" s="25"/>
      <c r="X266" s="24"/>
      <c r="Y266" s="23"/>
      <c r="Z266" s="23"/>
      <c r="AA266" s="23"/>
      <c r="AB266" s="23"/>
      <c r="AC266" s="23"/>
    </row>
    <row r="267" spans="1:29" ht="13.5" customHeight="1">
      <c r="A267" s="23"/>
      <c r="B267" s="23"/>
      <c r="C267" s="24"/>
      <c r="D267" s="25"/>
      <c r="E267" s="24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4"/>
      <c r="W267" s="25"/>
      <c r="X267" s="24"/>
      <c r="Y267" s="23"/>
      <c r="Z267" s="23"/>
      <c r="AA267" s="23"/>
      <c r="AB267" s="23"/>
      <c r="AC267" s="23"/>
    </row>
    <row r="268" spans="1:29" ht="13.5" customHeight="1">
      <c r="A268" s="23"/>
      <c r="B268" s="23"/>
      <c r="C268" s="24"/>
      <c r="D268" s="25"/>
      <c r="E268" s="24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4"/>
      <c r="W268" s="25"/>
      <c r="X268" s="24"/>
      <c r="Y268" s="23"/>
      <c r="Z268" s="23"/>
      <c r="AA268" s="23"/>
      <c r="AB268" s="23"/>
      <c r="AC268" s="23"/>
    </row>
    <row r="269" spans="1:29" ht="13.5" customHeight="1">
      <c r="A269" s="23"/>
      <c r="B269" s="23"/>
      <c r="C269" s="24"/>
      <c r="D269" s="25"/>
      <c r="E269" s="24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4"/>
      <c r="W269" s="25"/>
      <c r="X269" s="24"/>
      <c r="Y269" s="23"/>
      <c r="Z269" s="23"/>
      <c r="AA269" s="23"/>
      <c r="AB269" s="23"/>
      <c r="AC269" s="23"/>
    </row>
    <row r="270" spans="1:29" ht="13.5" customHeight="1">
      <c r="A270" s="23"/>
      <c r="B270" s="23"/>
      <c r="C270" s="24"/>
      <c r="D270" s="25"/>
      <c r="E270" s="24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4"/>
      <c r="W270" s="25"/>
      <c r="X270" s="24"/>
      <c r="Y270" s="23"/>
      <c r="Z270" s="23"/>
      <c r="AA270" s="23"/>
      <c r="AB270" s="23"/>
      <c r="AC270" s="23"/>
    </row>
    <row r="271" spans="1:29" ht="13.5" customHeight="1">
      <c r="A271" s="23"/>
      <c r="B271" s="23"/>
      <c r="C271" s="24"/>
      <c r="D271" s="25"/>
      <c r="E271" s="24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4"/>
      <c r="W271" s="25"/>
      <c r="X271" s="24"/>
      <c r="Y271" s="23"/>
      <c r="Z271" s="23"/>
      <c r="AA271" s="23"/>
      <c r="AB271" s="23"/>
      <c r="AC271" s="23"/>
    </row>
    <row r="272" spans="1:29" ht="13.5" customHeight="1">
      <c r="A272" s="23"/>
      <c r="B272" s="23"/>
      <c r="C272" s="24"/>
      <c r="D272" s="25"/>
      <c r="E272" s="24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4"/>
      <c r="W272" s="25"/>
      <c r="X272" s="24"/>
      <c r="Y272" s="23"/>
      <c r="Z272" s="23"/>
      <c r="AA272" s="23"/>
      <c r="AB272" s="23"/>
      <c r="AC272" s="23"/>
    </row>
    <row r="273" spans="1:29" ht="13.5" customHeight="1">
      <c r="A273" s="23"/>
      <c r="B273" s="23"/>
      <c r="C273" s="24"/>
      <c r="D273" s="25"/>
      <c r="E273" s="24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4"/>
      <c r="W273" s="25"/>
      <c r="X273" s="24"/>
      <c r="Y273" s="23"/>
      <c r="Z273" s="23"/>
      <c r="AA273" s="23"/>
      <c r="AB273" s="23"/>
      <c r="AC273" s="23"/>
    </row>
    <row r="274" spans="1:29" ht="13.5" customHeight="1">
      <c r="A274" s="23"/>
      <c r="B274" s="23"/>
      <c r="C274" s="24"/>
      <c r="D274" s="25"/>
      <c r="E274" s="24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4"/>
      <c r="W274" s="25"/>
      <c r="X274" s="24"/>
      <c r="Y274" s="23"/>
      <c r="Z274" s="23"/>
      <c r="AA274" s="23"/>
      <c r="AB274" s="23"/>
      <c r="AC274" s="23"/>
    </row>
    <row r="275" spans="1:29" ht="13.5" customHeight="1">
      <c r="A275" s="23"/>
      <c r="B275" s="23"/>
      <c r="C275" s="24"/>
      <c r="D275" s="25"/>
      <c r="E275" s="24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4"/>
      <c r="W275" s="25"/>
      <c r="X275" s="24"/>
      <c r="Y275" s="23"/>
      <c r="Z275" s="23"/>
      <c r="AA275" s="23"/>
      <c r="AB275" s="23"/>
      <c r="AC275" s="23"/>
    </row>
    <row r="276" spans="1:29" ht="13.5" customHeight="1">
      <c r="A276" s="23"/>
      <c r="B276" s="23"/>
      <c r="C276" s="24"/>
      <c r="D276" s="25"/>
      <c r="E276" s="24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4"/>
      <c r="W276" s="25"/>
      <c r="X276" s="24"/>
      <c r="Y276" s="23"/>
      <c r="Z276" s="23"/>
      <c r="AA276" s="23"/>
      <c r="AB276" s="23"/>
      <c r="AC276" s="23"/>
    </row>
    <row r="277" spans="1:29" ht="13.5" customHeight="1">
      <c r="A277" s="23"/>
      <c r="B277" s="23"/>
      <c r="C277" s="24"/>
      <c r="D277" s="25"/>
      <c r="E277" s="24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4"/>
      <c r="W277" s="25"/>
      <c r="X277" s="24"/>
      <c r="Y277" s="23"/>
      <c r="Z277" s="23"/>
      <c r="AA277" s="23"/>
      <c r="AB277" s="23"/>
      <c r="AC277" s="23"/>
    </row>
    <row r="278" spans="1:29" ht="13.5" customHeight="1">
      <c r="A278" s="23"/>
      <c r="B278" s="23"/>
      <c r="C278" s="24"/>
      <c r="D278" s="25"/>
      <c r="E278" s="24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4"/>
      <c r="W278" s="25"/>
      <c r="X278" s="24"/>
      <c r="Y278" s="23"/>
      <c r="Z278" s="23"/>
      <c r="AA278" s="23"/>
      <c r="AB278" s="23"/>
      <c r="AC278" s="23"/>
    </row>
    <row r="279" spans="1:29" ht="13.5" customHeight="1">
      <c r="A279" s="23"/>
      <c r="B279" s="23"/>
      <c r="C279" s="24"/>
      <c r="D279" s="25"/>
      <c r="E279" s="24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4"/>
      <c r="W279" s="25"/>
      <c r="X279" s="24"/>
      <c r="Y279" s="23"/>
      <c r="Z279" s="23"/>
      <c r="AA279" s="23"/>
      <c r="AB279" s="23"/>
      <c r="AC279" s="23"/>
    </row>
    <row r="280" spans="1:29" ht="13.5" customHeight="1">
      <c r="A280" s="23"/>
      <c r="B280" s="23"/>
      <c r="C280" s="24"/>
      <c r="D280" s="25"/>
      <c r="E280" s="24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4"/>
      <c r="W280" s="25"/>
      <c r="X280" s="24"/>
      <c r="Y280" s="23"/>
      <c r="Z280" s="23"/>
      <c r="AA280" s="23"/>
      <c r="AB280" s="23"/>
      <c r="AC280" s="23"/>
    </row>
    <row r="281" spans="1:29" ht="13.5" customHeight="1">
      <c r="A281" s="23"/>
      <c r="B281" s="23"/>
      <c r="C281" s="24"/>
      <c r="D281" s="25"/>
      <c r="E281" s="24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4"/>
      <c r="W281" s="25"/>
      <c r="X281" s="24"/>
      <c r="Y281" s="23"/>
      <c r="Z281" s="23"/>
      <c r="AA281" s="23"/>
      <c r="AB281" s="23"/>
      <c r="AC281" s="23"/>
    </row>
    <row r="282" spans="1:29" ht="13.5" customHeight="1">
      <c r="A282" s="23"/>
      <c r="B282" s="23"/>
      <c r="C282" s="24"/>
      <c r="D282" s="25"/>
      <c r="E282" s="24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4"/>
      <c r="W282" s="25"/>
      <c r="X282" s="24"/>
      <c r="Y282" s="23"/>
      <c r="Z282" s="23"/>
      <c r="AA282" s="23"/>
      <c r="AB282" s="23"/>
      <c r="AC282" s="23"/>
    </row>
    <row r="283" spans="1:29" ht="13.5" customHeight="1">
      <c r="A283" s="23"/>
      <c r="B283" s="23"/>
      <c r="C283" s="24"/>
      <c r="D283" s="25"/>
      <c r="E283" s="24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4"/>
      <c r="W283" s="25"/>
      <c r="X283" s="24"/>
      <c r="Y283" s="23"/>
      <c r="Z283" s="23"/>
      <c r="AA283" s="23"/>
      <c r="AB283" s="23"/>
      <c r="AC283" s="23"/>
    </row>
    <row r="284" spans="1:29" ht="13.5" customHeight="1">
      <c r="A284" s="23"/>
      <c r="B284" s="23"/>
      <c r="C284" s="24"/>
      <c r="D284" s="25"/>
      <c r="E284" s="24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4"/>
      <c r="W284" s="25"/>
      <c r="X284" s="24"/>
      <c r="Y284" s="23"/>
      <c r="Z284" s="23"/>
      <c r="AA284" s="23"/>
      <c r="AB284" s="23"/>
      <c r="AC284" s="23"/>
    </row>
    <row r="285" spans="1:29" ht="13.5" customHeight="1">
      <c r="A285" s="23"/>
      <c r="B285" s="23"/>
      <c r="C285" s="24"/>
      <c r="D285" s="25"/>
      <c r="E285" s="24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4"/>
      <c r="W285" s="25"/>
      <c r="X285" s="24"/>
      <c r="Y285" s="23"/>
      <c r="Z285" s="23"/>
      <c r="AA285" s="23"/>
      <c r="AB285" s="23"/>
      <c r="AC285" s="23"/>
    </row>
    <row r="286" spans="1:29" ht="13.5" customHeight="1">
      <c r="A286" s="23"/>
      <c r="B286" s="23"/>
      <c r="C286" s="24"/>
      <c r="D286" s="25"/>
      <c r="E286" s="24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4"/>
      <c r="W286" s="25"/>
      <c r="X286" s="24"/>
      <c r="Y286" s="23"/>
      <c r="Z286" s="23"/>
      <c r="AA286" s="23"/>
      <c r="AB286" s="23"/>
      <c r="AC286" s="23"/>
    </row>
    <row r="287" spans="1:29" ht="13.5" customHeight="1">
      <c r="A287" s="23"/>
      <c r="B287" s="23"/>
      <c r="C287" s="24"/>
      <c r="D287" s="25"/>
      <c r="E287" s="24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4"/>
      <c r="W287" s="25"/>
      <c r="X287" s="24"/>
      <c r="Y287" s="23"/>
      <c r="Z287" s="23"/>
      <c r="AA287" s="23"/>
      <c r="AB287" s="23"/>
      <c r="AC287" s="23"/>
    </row>
    <row r="288" spans="1:29" ht="13.5" customHeight="1">
      <c r="A288" s="23"/>
      <c r="B288" s="23"/>
      <c r="C288" s="24"/>
      <c r="D288" s="25"/>
      <c r="E288" s="24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4"/>
      <c r="W288" s="25"/>
      <c r="X288" s="24"/>
      <c r="Y288" s="23"/>
      <c r="Z288" s="23"/>
      <c r="AA288" s="23"/>
      <c r="AB288" s="23"/>
      <c r="AC288" s="23"/>
    </row>
    <row r="289" spans="1:29" ht="13.5" customHeight="1">
      <c r="A289" s="23"/>
      <c r="B289" s="23"/>
      <c r="C289" s="24"/>
      <c r="D289" s="25"/>
      <c r="E289" s="24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4"/>
      <c r="W289" s="25"/>
      <c r="X289" s="24"/>
      <c r="Y289" s="23"/>
      <c r="Z289" s="23"/>
      <c r="AA289" s="23"/>
      <c r="AB289" s="23"/>
      <c r="AC289" s="23"/>
    </row>
    <row r="290" spans="1:29" ht="13.5" customHeight="1">
      <c r="A290" s="23"/>
      <c r="B290" s="23"/>
      <c r="C290" s="24"/>
      <c r="D290" s="25"/>
      <c r="E290" s="24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4"/>
      <c r="W290" s="25"/>
      <c r="X290" s="24"/>
      <c r="Y290" s="23"/>
      <c r="Z290" s="23"/>
      <c r="AA290" s="23"/>
      <c r="AB290" s="23"/>
      <c r="AC290" s="23"/>
    </row>
    <row r="291" spans="1:29" ht="13.5" customHeight="1">
      <c r="A291" s="23"/>
      <c r="B291" s="23"/>
      <c r="C291" s="24"/>
      <c r="D291" s="25"/>
      <c r="E291" s="24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4"/>
      <c r="W291" s="25"/>
      <c r="X291" s="24"/>
      <c r="Y291" s="23"/>
      <c r="Z291" s="23"/>
      <c r="AA291" s="23"/>
      <c r="AB291" s="23"/>
      <c r="AC291" s="23"/>
    </row>
    <row r="292" spans="1:29" ht="13.5" customHeight="1">
      <c r="A292" s="23"/>
      <c r="B292" s="23"/>
      <c r="C292" s="24"/>
      <c r="D292" s="25"/>
      <c r="E292" s="24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4"/>
      <c r="W292" s="25"/>
      <c r="X292" s="24"/>
      <c r="Y292" s="23"/>
      <c r="Z292" s="23"/>
      <c r="AA292" s="23"/>
      <c r="AB292" s="23"/>
      <c r="AC292" s="23"/>
    </row>
    <row r="293" spans="1:29" ht="13.5" customHeight="1">
      <c r="A293" s="23"/>
      <c r="B293" s="23"/>
      <c r="C293" s="24"/>
      <c r="D293" s="25"/>
      <c r="E293" s="24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4"/>
      <c r="W293" s="25"/>
      <c r="X293" s="24"/>
      <c r="Y293" s="23"/>
      <c r="Z293" s="23"/>
      <c r="AA293" s="23"/>
      <c r="AB293" s="23"/>
      <c r="AC293" s="23"/>
    </row>
    <row r="294" spans="1:29" ht="13.5" customHeight="1">
      <c r="A294" s="23"/>
      <c r="B294" s="23"/>
      <c r="C294" s="24"/>
      <c r="D294" s="25"/>
      <c r="E294" s="24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4"/>
      <c r="W294" s="25"/>
      <c r="X294" s="24"/>
      <c r="Y294" s="23"/>
      <c r="Z294" s="23"/>
      <c r="AA294" s="23"/>
      <c r="AB294" s="23"/>
      <c r="AC294" s="23"/>
    </row>
    <row r="295" spans="1:29" ht="13.5" customHeight="1">
      <c r="A295" s="23"/>
      <c r="B295" s="23"/>
      <c r="C295" s="24"/>
      <c r="D295" s="25"/>
      <c r="E295" s="24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4"/>
      <c r="W295" s="25"/>
      <c r="X295" s="24"/>
      <c r="Y295" s="23"/>
      <c r="Z295" s="23"/>
      <c r="AA295" s="23"/>
      <c r="AB295" s="23"/>
      <c r="AC295" s="23"/>
    </row>
    <row r="296" spans="1:29" ht="13.5" customHeight="1">
      <c r="A296" s="23"/>
      <c r="B296" s="23"/>
      <c r="C296" s="24"/>
      <c r="D296" s="25"/>
      <c r="E296" s="24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4"/>
      <c r="W296" s="25"/>
      <c r="X296" s="24"/>
      <c r="Y296" s="23"/>
      <c r="Z296" s="23"/>
      <c r="AA296" s="23"/>
      <c r="AB296" s="23"/>
      <c r="AC296" s="23"/>
    </row>
    <row r="297" spans="1:29" ht="13.5" customHeight="1">
      <c r="A297" s="23"/>
      <c r="B297" s="23"/>
      <c r="C297" s="24"/>
      <c r="D297" s="25"/>
      <c r="E297" s="24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4"/>
      <c r="W297" s="25"/>
      <c r="X297" s="24"/>
      <c r="Y297" s="23"/>
      <c r="Z297" s="23"/>
      <c r="AA297" s="23"/>
      <c r="AB297" s="23"/>
      <c r="AC297" s="23"/>
    </row>
    <row r="298" spans="1:29" ht="13.5" customHeight="1">
      <c r="A298" s="23"/>
      <c r="B298" s="23"/>
      <c r="C298" s="24"/>
      <c r="D298" s="25"/>
      <c r="E298" s="24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4"/>
      <c r="W298" s="25"/>
      <c r="X298" s="24"/>
      <c r="Y298" s="23"/>
      <c r="Z298" s="23"/>
      <c r="AA298" s="23"/>
      <c r="AB298" s="23"/>
      <c r="AC298" s="23"/>
    </row>
    <row r="299" spans="1:29" ht="13.5" customHeight="1">
      <c r="A299" s="23"/>
      <c r="B299" s="23"/>
      <c r="C299" s="24"/>
      <c r="D299" s="25"/>
      <c r="E299" s="24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4"/>
      <c r="W299" s="25"/>
      <c r="X299" s="24"/>
      <c r="Y299" s="23"/>
      <c r="Z299" s="23"/>
      <c r="AA299" s="23"/>
      <c r="AB299" s="23"/>
      <c r="AC299" s="23"/>
    </row>
    <row r="300" spans="1:29" ht="13.5" customHeight="1">
      <c r="A300" s="23"/>
      <c r="B300" s="23"/>
      <c r="C300" s="24"/>
      <c r="D300" s="25"/>
      <c r="E300" s="24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4"/>
      <c r="W300" s="25"/>
      <c r="X300" s="24"/>
      <c r="Y300" s="23"/>
      <c r="Z300" s="23"/>
      <c r="AA300" s="23"/>
      <c r="AB300" s="23"/>
      <c r="AC300" s="23"/>
    </row>
    <row r="301" spans="1:29" ht="13.5" customHeight="1">
      <c r="A301" s="23"/>
      <c r="B301" s="23"/>
      <c r="C301" s="24"/>
      <c r="D301" s="25"/>
      <c r="E301" s="24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4"/>
      <c r="W301" s="25"/>
      <c r="X301" s="24"/>
      <c r="Y301" s="23"/>
      <c r="Z301" s="23"/>
      <c r="AA301" s="23"/>
      <c r="AB301" s="23"/>
      <c r="AC301" s="23"/>
    </row>
    <row r="302" spans="1:29" ht="13.5" customHeight="1">
      <c r="A302" s="23"/>
      <c r="B302" s="23"/>
      <c r="C302" s="24"/>
      <c r="D302" s="25"/>
      <c r="E302" s="24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4"/>
      <c r="W302" s="25"/>
      <c r="X302" s="24"/>
      <c r="Y302" s="23"/>
      <c r="Z302" s="23"/>
      <c r="AA302" s="23"/>
      <c r="AB302" s="23"/>
      <c r="AC302" s="23"/>
    </row>
    <row r="303" spans="1:29" ht="13.5" customHeight="1">
      <c r="A303" s="23"/>
      <c r="B303" s="23"/>
      <c r="C303" s="24"/>
      <c r="D303" s="25"/>
      <c r="E303" s="24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4"/>
      <c r="W303" s="25"/>
      <c r="X303" s="24"/>
      <c r="Y303" s="23"/>
      <c r="Z303" s="23"/>
      <c r="AA303" s="23"/>
      <c r="AB303" s="23"/>
      <c r="AC303" s="23"/>
    </row>
    <row r="304" spans="1:29" ht="13.5" customHeight="1">
      <c r="A304" s="23"/>
      <c r="B304" s="23"/>
      <c r="C304" s="24"/>
      <c r="D304" s="25"/>
      <c r="E304" s="24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4"/>
      <c r="W304" s="25"/>
      <c r="X304" s="24"/>
      <c r="Y304" s="23"/>
      <c r="Z304" s="23"/>
      <c r="AA304" s="23"/>
      <c r="AB304" s="23"/>
      <c r="AC304" s="23"/>
    </row>
    <row r="305" spans="1:29" ht="13.5" customHeight="1">
      <c r="A305" s="23"/>
      <c r="B305" s="23"/>
      <c r="C305" s="24"/>
      <c r="D305" s="25"/>
      <c r="E305" s="24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4"/>
      <c r="W305" s="25"/>
      <c r="X305" s="24"/>
      <c r="Y305" s="23"/>
      <c r="Z305" s="23"/>
      <c r="AA305" s="23"/>
      <c r="AB305" s="23"/>
      <c r="AC305" s="23"/>
    </row>
    <row r="306" spans="1:29" ht="13.5" customHeight="1">
      <c r="A306" s="23"/>
      <c r="B306" s="23"/>
      <c r="C306" s="24"/>
      <c r="D306" s="25"/>
      <c r="E306" s="24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4"/>
      <c r="W306" s="25"/>
      <c r="X306" s="24"/>
      <c r="Y306" s="23"/>
      <c r="Z306" s="23"/>
      <c r="AA306" s="23"/>
      <c r="AB306" s="23"/>
      <c r="AC306" s="23"/>
    </row>
    <row r="307" spans="1:29" ht="13.5" customHeight="1">
      <c r="A307" s="23"/>
      <c r="B307" s="23"/>
      <c r="C307" s="24"/>
      <c r="D307" s="25"/>
      <c r="E307" s="24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4"/>
      <c r="W307" s="25"/>
      <c r="X307" s="24"/>
      <c r="Y307" s="23"/>
      <c r="Z307" s="23"/>
      <c r="AA307" s="23"/>
      <c r="AB307" s="23"/>
      <c r="AC307" s="23"/>
    </row>
    <row r="308" spans="1:29" ht="13.5" customHeight="1">
      <c r="A308" s="23"/>
      <c r="B308" s="23"/>
      <c r="C308" s="24"/>
      <c r="D308" s="25"/>
      <c r="E308" s="24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4"/>
      <c r="W308" s="25"/>
      <c r="X308" s="24"/>
      <c r="Y308" s="23"/>
      <c r="Z308" s="23"/>
      <c r="AA308" s="23"/>
      <c r="AB308" s="23"/>
      <c r="AC308" s="23"/>
    </row>
    <row r="309" spans="1:29" ht="13.5" customHeight="1">
      <c r="A309" s="23"/>
      <c r="B309" s="23"/>
      <c r="C309" s="24"/>
      <c r="D309" s="25"/>
      <c r="E309" s="24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4"/>
      <c r="W309" s="25"/>
      <c r="X309" s="24"/>
      <c r="Y309" s="23"/>
      <c r="Z309" s="23"/>
      <c r="AA309" s="23"/>
      <c r="AB309" s="23"/>
      <c r="AC309" s="23"/>
    </row>
    <row r="310" spans="1:29" ht="13.5" customHeight="1">
      <c r="A310" s="23"/>
      <c r="B310" s="23"/>
      <c r="C310" s="24"/>
      <c r="D310" s="25"/>
      <c r="E310" s="24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4"/>
      <c r="W310" s="25"/>
      <c r="X310" s="24"/>
      <c r="Y310" s="23"/>
      <c r="Z310" s="23"/>
      <c r="AA310" s="23"/>
      <c r="AB310" s="23"/>
      <c r="AC310" s="23"/>
    </row>
    <row r="311" spans="1:29" ht="13.5" customHeight="1">
      <c r="A311" s="23"/>
      <c r="B311" s="23"/>
      <c r="C311" s="24"/>
      <c r="D311" s="25"/>
      <c r="E311" s="24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4"/>
      <c r="W311" s="25"/>
      <c r="X311" s="24"/>
      <c r="Y311" s="23"/>
      <c r="Z311" s="23"/>
      <c r="AA311" s="23"/>
      <c r="AB311" s="23"/>
      <c r="AC311" s="23"/>
    </row>
    <row r="312" spans="1:29" ht="13.5" customHeight="1">
      <c r="A312" s="23"/>
      <c r="B312" s="23"/>
      <c r="C312" s="24"/>
      <c r="D312" s="25"/>
      <c r="E312" s="24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4"/>
      <c r="W312" s="25"/>
      <c r="X312" s="24"/>
      <c r="Y312" s="23"/>
      <c r="Z312" s="23"/>
      <c r="AA312" s="23"/>
      <c r="AB312" s="23"/>
      <c r="AC312" s="23"/>
    </row>
    <row r="313" spans="1:29" ht="13.5" customHeight="1">
      <c r="A313" s="23"/>
      <c r="B313" s="23"/>
      <c r="C313" s="24"/>
      <c r="D313" s="25"/>
      <c r="E313" s="24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4"/>
      <c r="W313" s="25"/>
      <c r="X313" s="24"/>
      <c r="Y313" s="23"/>
      <c r="Z313" s="23"/>
      <c r="AA313" s="23"/>
      <c r="AB313" s="23"/>
      <c r="AC313" s="23"/>
    </row>
    <row r="314" spans="1:29" ht="13.5" customHeight="1">
      <c r="A314" s="23"/>
      <c r="B314" s="23"/>
      <c r="C314" s="24"/>
      <c r="D314" s="25"/>
      <c r="E314" s="24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4"/>
      <c r="W314" s="25"/>
      <c r="X314" s="24"/>
      <c r="Y314" s="23"/>
      <c r="Z314" s="23"/>
      <c r="AA314" s="23"/>
      <c r="AB314" s="23"/>
      <c r="AC314" s="23"/>
    </row>
    <row r="315" spans="1:29" ht="13.5" customHeight="1">
      <c r="A315" s="23"/>
      <c r="B315" s="23"/>
      <c r="C315" s="24"/>
      <c r="D315" s="25"/>
      <c r="E315" s="24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4"/>
      <c r="W315" s="25"/>
      <c r="X315" s="24"/>
      <c r="Y315" s="23"/>
      <c r="Z315" s="23"/>
      <c r="AA315" s="23"/>
      <c r="AB315" s="23"/>
      <c r="AC315" s="23"/>
    </row>
    <row r="316" spans="1:29" ht="13.5" customHeight="1">
      <c r="A316" s="23"/>
      <c r="B316" s="23"/>
      <c r="C316" s="24"/>
      <c r="D316" s="25"/>
      <c r="E316" s="24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4"/>
      <c r="W316" s="25"/>
      <c r="X316" s="24"/>
      <c r="Y316" s="23"/>
      <c r="Z316" s="23"/>
      <c r="AA316" s="23"/>
      <c r="AB316" s="23"/>
      <c r="AC316" s="23"/>
    </row>
    <row r="317" spans="1:29" ht="13.5" customHeight="1">
      <c r="A317" s="23"/>
      <c r="B317" s="23"/>
      <c r="C317" s="24"/>
      <c r="D317" s="25"/>
      <c r="E317" s="24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4"/>
      <c r="W317" s="25"/>
      <c r="X317" s="24"/>
      <c r="Y317" s="23"/>
      <c r="Z317" s="23"/>
      <c r="AA317" s="23"/>
      <c r="AB317" s="23"/>
      <c r="AC317" s="23"/>
    </row>
    <row r="318" spans="1:29" ht="13.5" customHeight="1">
      <c r="A318" s="23"/>
      <c r="B318" s="23"/>
      <c r="C318" s="24"/>
      <c r="D318" s="25"/>
      <c r="E318" s="24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4"/>
      <c r="W318" s="25"/>
      <c r="X318" s="24"/>
      <c r="Y318" s="23"/>
      <c r="Z318" s="23"/>
      <c r="AA318" s="23"/>
      <c r="AB318" s="23"/>
      <c r="AC318" s="23"/>
    </row>
    <row r="319" spans="1:29" ht="13.5" customHeight="1">
      <c r="A319" s="23"/>
      <c r="B319" s="23"/>
      <c r="C319" s="24"/>
      <c r="D319" s="25"/>
      <c r="E319" s="24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4"/>
      <c r="W319" s="25"/>
      <c r="X319" s="24"/>
      <c r="Y319" s="23"/>
      <c r="Z319" s="23"/>
      <c r="AA319" s="23"/>
      <c r="AB319" s="23"/>
      <c r="AC319" s="23"/>
    </row>
    <row r="320" spans="1:29" ht="13.5" customHeight="1">
      <c r="A320" s="23"/>
      <c r="B320" s="23"/>
      <c r="C320" s="24"/>
      <c r="D320" s="25"/>
      <c r="E320" s="24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4"/>
      <c r="W320" s="25"/>
      <c r="X320" s="24"/>
      <c r="Y320" s="23"/>
      <c r="Z320" s="23"/>
      <c r="AA320" s="23"/>
      <c r="AB320" s="23"/>
      <c r="AC320" s="23"/>
    </row>
    <row r="321" spans="1:29" ht="13.5" customHeight="1">
      <c r="A321" s="23"/>
      <c r="B321" s="23"/>
      <c r="C321" s="24"/>
      <c r="D321" s="25"/>
      <c r="E321" s="24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4"/>
      <c r="W321" s="25"/>
      <c r="X321" s="24"/>
      <c r="Y321" s="23"/>
      <c r="Z321" s="23"/>
      <c r="AA321" s="23"/>
      <c r="AB321" s="23"/>
      <c r="AC321" s="23"/>
    </row>
    <row r="322" spans="1:29" ht="13.5" customHeight="1">
      <c r="A322" s="23"/>
      <c r="B322" s="23"/>
      <c r="C322" s="24"/>
      <c r="D322" s="25"/>
      <c r="E322" s="24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4"/>
      <c r="W322" s="25"/>
      <c r="X322" s="24"/>
      <c r="Y322" s="23"/>
      <c r="Z322" s="23"/>
      <c r="AA322" s="23"/>
      <c r="AB322" s="23"/>
      <c r="AC322" s="23"/>
    </row>
    <row r="323" spans="1:29" ht="13.5" customHeight="1">
      <c r="A323" s="23"/>
      <c r="B323" s="23"/>
      <c r="C323" s="24"/>
      <c r="D323" s="25"/>
      <c r="E323" s="24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4"/>
      <c r="W323" s="25"/>
      <c r="X323" s="24"/>
      <c r="Y323" s="23"/>
      <c r="Z323" s="23"/>
      <c r="AA323" s="23"/>
      <c r="AB323" s="23"/>
      <c r="AC323" s="23"/>
    </row>
    <row r="324" spans="1:29" ht="13.5" customHeight="1">
      <c r="A324" s="23"/>
      <c r="B324" s="23"/>
      <c r="C324" s="24"/>
      <c r="D324" s="25"/>
      <c r="E324" s="24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4"/>
      <c r="W324" s="25"/>
      <c r="X324" s="24"/>
      <c r="Y324" s="23"/>
      <c r="Z324" s="23"/>
      <c r="AA324" s="23"/>
      <c r="AB324" s="23"/>
      <c r="AC324" s="23"/>
    </row>
    <row r="325" spans="1:29" ht="13.5" customHeight="1">
      <c r="A325" s="23"/>
      <c r="B325" s="23"/>
      <c r="C325" s="24"/>
      <c r="D325" s="25"/>
      <c r="E325" s="24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4"/>
      <c r="W325" s="25"/>
      <c r="X325" s="24"/>
      <c r="Y325" s="23"/>
      <c r="Z325" s="23"/>
      <c r="AA325" s="23"/>
      <c r="AB325" s="23"/>
      <c r="AC325" s="23"/>
    </row>
    <row r="326" spans="1:29" ht="13.5" customHeight="1">
      <c r="A326" s="23"/>
      <c r="B326" s="23"/>
      <c r="C326" s="24"/>
      <c r="D326" s="25"/>
      <c r="E326" s="24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4"/>
      <c r="W326" s="25"/>
      <c r="X326" s="24"/>
      <c r="Y326" s="23"/>
      <c r="Z326" s="23"/>
      <c r="AA326" s="23"/>
      <c r="AB326" s="23"/>
      <c r="AC326" s="23"/>
    </row>
    <row r="327" spans="1:29" ht="13.5" customHeight="1">
      <c r="A327" s="23"/>
      <c r="B327" s="23"/>
      <c r="C327" s="24"/>
      <c r="D327" s="25"/>
      <c r="E327" s="24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4"/>
      <c r="W327" s="25"/>
      <c r="X327" s="24"/>
      <c r="Y327" s="23"/>
      <c r="Z327" s="23"/>
      <c r="AA327" s="23"/>
      <c r="AB327" s="23"/>
      <c r="AC327" s="23"/>
    </row>
    <row r="328" spans="1:29" ht="13.5" customHeight="1">
      <c r="A328" s="23"/>
      <c r="B328" s="23"/>
      <c r="C328" s="24"/>
      <c r="D328" s="25"/>
      <c r="E328" s="24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4"/>
      <c r="W328" s="25"/>
      <c r="X328" s="24"/>
      <c r="Y328" s="23"/>
      <c r="Z328" s="23"/>
      <c r="AA328" s="23"/>
      <c r="AB328" s="23"/>
      <c r="AC328" s="23"/>
    </row>
    <row r="329" spans="1:29" ht="13.5" customHeight="1">
      <c r="A329" s="23"/>
      <c r="B329" s="23"/>
      <c r="C329" s="24"/>
      <c r="D329" s="25"/>
      <c r="E329" s="24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4"/>
      <c r="W329" s="25"/>
      <c r="X329" s="24"/>
      <c r="Y329" s="23"/>
      <c r="Z329" s="23"/>
      <c r="AA329" s="23"/>
      <c r="AB329" s="23"/>
      <c r="AC329" s="23"/>
    </row>
    <row r="330" spans="1:29" ht="13.5" customHeight="1">
      <c r="A330" s="23"/>
      <c r="B330" s="23"/>
      <c r="C330" s="24"/>
      <c r="D330" s="25"/>
      <c r="E330" s="24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4"/>
      <c r="W330" s="25"/>
      <c r="X330" s="24"/>
      <c r="Y330" s="23"/>
      <c r="Z330" s="23"/>
      <c r="AA330" s="23"/>
      <c r="AB330" s="23"/>
      <c r="AC330" s="23"/>
    </row>
    <row r="331" spans="1:29" ht="13.5" customHeight="1">
      <c r="A331" s="23"/>
      <c r="B331" s="23"/>
      <c r="C331" s="24"/>
      <c r="D331" s="25"/>
      <c r="E331" s="24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4"/>
      <c r="W331" s="25"/>
      <c r="X331" s="24"/>
      <c r="Y331" s="23"/>
      <c r="Z331" s="23"/>
      <c r="AA331" s="23"/>
      <c r="AB331" s="23"/>
      <c r="AC331" s="23"/>
    </row>
    <row r="332" spans="1:29" ht="13.5" customHeight="1">
      <c r="A332" s="23"/>
      <c r="B332" s="23"/>
      <c r="C332" s="24"/>
      <c r="D332" s="25"/>
      <c r="E332" s="24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4"/>
      <c r="W332" s="25"/>
      <c r="X332" s="24"/>
      <c r="Y332" s="23"/>
      <c r="Z332" s="23"/>
      <c r="AA332" s="23"/>
      <c r="AB332" s="23"/>
      <c r="AC332" s="23"/>
    </row>
    <row r="333" spans="1:29" ht="13.5" customHeight="1">
      <c r="A333" s="23"/>
      <c r="B333" s="23"/>
      <c r="C333" s="24"/>
      <c r="D333" s="25"/>
      <c r="E333" s="24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4"/>
      <c r="W333" s="25"/>
      <c r="X333" s="24"/>
      <c r="Y333" s="23"/>
      <c r="Z333" s="23"/>
      <c r="AA333" s="23"/>
      <c r="AB333" s="23"/>
      <c r="AC333" s="23"/>
    </row>
    <row r="334" spans="1:29" ht="13.5" customHeight="1">
      <c r="A334" s="23"/>
      <c r="B334" s="23"/>
      <c r="C334" s="24"/>
      <c r="D334" s="25"/>
      <c r="E334" s="24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4"/>
      <c r="W334" s="25"/>
      <c r="X334" s="24"/>
      <c r="Y334" s="23"/>
      <c r="Z334" s="23"/>
      <c r="AA334" s="23"/>
      <c r="AB334" s="23"/>
      <c r="AC334" s="23"/>
    </row>
    <row r="335" spans="1:29" ht="13.5" customHeight="1">
      <c r="A335" s="23"/>
      <c r="B335" s="23"/>
      <c r="C335" s="24"/>
      <c r="D335" s="25"/>
      <c r="E335" s="24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4"/>
      <c r="W335" s="25"/>
      <c r="X335" s="24"/>
      <c r="Y335" s="23"/>
      <c r="Z335" s="23"/>
      <c r="AA335" s="23"/>
      <c r="AB335" s="23"/>
      <c r="AC335" s="23"/>
    </row>
    <row r="336" spans="1:29" ht="13.5" customHeight="1">
      <c r="A336" s="23"/>
      <c r="B336" s="23"/>
      <c r="C336" s="24"/>
      <c r="D336" s="25"/>
      <c r="E336" s="24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4"/>
      <c r="W336" s="25"/>
      <c r="X336" s="24"/>
      <c r="Y336" s="23"/>
      <c r="Z336" s="23"/>
      <c r="AA336" s="23"/>
      <c r="AB336" s="23"/>
      <c r="AC336" s="23"/>
    </row>
    <row r="337" spans="1:29" ht="13.5" customHeight="1">
      <c r="A337" s="23"/>
      <c r="B337" s="23"/>
      <c r="C337" s="24"/>
      <c r="D337" s="25"/>
      <c r="E337" s="24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4"/>
      <c r="W337" s="25"/>
      <c r="X337" s="24"/>
      <c r="Y337" s="23"/>
      <c r="Z337" s="23"/>
      <c r="AA337" s="23"/>
      <c r="AB337" s="23"/>
      <c r="AC337" s="23"/>
    </row>
    <row r="338" spans="1:29" ht="13.5" customHeight="1">
      <c r="A338" s="23"/>
      <c r="B338" s="23"/>
      <c r="C338" s="24"/>
      <c r="D338" s="25"/>
      <c r="E338" s="24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4"/>
      <c r="W338" s="25"/>
      <c r="X338" s="24"/>
      <c r="Y338" s="23"/>
      <c r="Z338" s="23"/>
      <c r="AA338" s="23"/>
      <c r="AB338" s="23"/>
      <c r="AC338" s="23"/>
    </row>
    <row r="339" spans="1:29" ht="13.5" customHeight="1">
      <c r="A339" s="23"/>
      <c r="B339" s="23"/>
      <c r="C339" s="24"/>
      <c r="D339" s="25"/>
      <c r="E339" s="24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4"/>
      <c r="W339" s="25"/>
      <c r="X339" s="24"/>
      <c r="Y339" s="23"/>
      <c r="Z339" s="23"/>
      <c r="AA339" s="23"/>
      <c r="AB339" s="23"/>
      <c r="AC339" s="23"/>
    </row>
    <row r="340" spans="1:29" ht="13.5" customHeight="1">
      <c r="A340" s="23"/>
      <c r="B340" s="23"/>
      <c r="C340" s="24"/>
      <c r="D340" s="25"/>
      <c r="E340" s="24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4"/>
      <c r="W340" s="25"/>
      <c r="X340" s="24"/>
      <c r="Y340" s="23"/>
      <c r="Z340" s="23"/>
      <c r="AA340" s="23"/>
      <c r="AB340" s="23"/>
      <c r="AC340" s="23"/>
    </row>
    <row r="341" spans="1:29" ht="13.5" customHeight="1">
      <c r="A341" s="23"/>
      <c r="B341" s="23"/>
      <c r="C341" s="24"/>
      <c r="D341" s="25"/>
      <c r="E341" s="24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4"/>
      <c r="W341" s="25"/>
      <c r="X341" s="24"/>
      <c r="Y341" s="23"/>
      <c r="Z341" s="23"/>
      <c r="AA341" s="23"/>
      <c r="AB341" s="23"/>
      <c r="AC341" s="23"/>
    </row>
    <row r="342" spans="1:29" ht="13.5" customHeight="1">
      <c r="A342" s="23"/>
      <c r="B342" s="23"/>
      <c r="C342" s="24"/>
      <c r="D342" s="25"/>
      <c r="E342" s="24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4"/>
      <c r="W342" s="25"/>
      <c r="X342" s="24"/>
      <c r="Y342" s="23"/>
      <c r="Z342" s="23"/>
      <c r="AA342" s="23"/>
      <c r="AB342" s="23"/>
      <c r="AC342" s="23"/>
    </row>
    <row r="343" spans="1:29" ht="13.5" customHeight="1">
      <c r="A343" s="23"/>
      <c r="B343" s="23"/>
      <c r="C343" s="24"/>
      <c r="D343" s="25"/>
      <c r="E343" s="24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4"/>
      <c r="W343" s="25"/>
      <c r="X343" s="24"/>
      <c r="Y343" s="23"/>
      <c r="Z343" s="23"/>
      <c r="AA343" s="23"/>
      <c r="AB343" s="23"/>
      <c r="AC343" s="23"/>
    </row>
    <row r="344" spans="1:29" ht="13.5" customHeight="1">
      <c r="A344" s="23"/>
      <c r="B344" s="23"/>
      <c r="C344" s="24"/>
      <c r="D344" s="25"/>
      <c r="E344" s="24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4"/>
      <c r="W344" s="25"/>
      <c r="X344" s="24"/>
      <c r="Y344" s="23"/>
      <c r="Z344" s="23"/>
      <c r="AA344" s="23"/>
      <c r="AB344" s="23"/>
      <c r="AC344" s="23"/>
    </row>
    <row r="345" spans="1:29" ht="13.5" customHeight="1">
      <c r="A345" s="23"/>
      <c r="B345" s="23"/>
      <c r="C345" s="24"/>
      <c r="D345" s="25"/>
      <c r="E345" s="24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4"/>
      <c r="W345" s="25"/>
      <c r="X345" s="24"/>
      <c r="Y345" s="23"/>
      <c r="Z345" s="23"/>
      <c r="AA345" s="23"/>
      <c r="AB345" s="23"/>
      <c r="AC345" s="23"/>
    </row>
    <row r="346" spans="1:29" ht="13.5" customHeight="1">
      <c r="A346" s="23"/>
      <c r="B346" s="23"/>
      <c r="C346" s="24"/>
      <c r="D346" s="25"/>
      <c r="E346" s="24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4"/>
      <c r="W346" s="25"/>
      <c r="X346" s="24"/>
      <c r="Y346" s="23"/>
      <c r="Z346" s="23"/>
      <c r="AA346" s="23"/>
      <c r="AB346" s="23"/>
      <c r="AC346" s="23"/>
    </row>
    <row r="347" spans="1:29" ht="13.5" customHeight="1">
      <c r="A347" s="23"/>
      <c r="B347" s="23"/>
      <c r="C347" s="24"/>
      <c r="D347" s="25"/>
      <c r="E347" s="24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4"/>
      <c r="W347" s="25"/>
      <c r="X347" s="24"/>
      <c r="Y347" s="23"/>
      <c r="Z347" s="23"/>
      <c r="AA347" s="23"/>
      <c r="AB347" s="23"/>
      <c r="AC347" s="23"/>
    </row>
    <row r="348" spans="1:29" ht="13.5" customHeight="1">
      <c r="A348" s="23"/>
      <c r="B348" s="23"/>
      <c r="C348" s="24"/>
      <c r="D348" s="25"/>
      <c r="E348" s="24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4"/>
      <c r="W348" s="25"/>
      <c r="X348" s="24"/>
      <c r="Y348" s="23"/>
      <c r="Z348" s="23"/>
      <c r="AA348" s="23"/>
      <c r="AB348" s="23"/>
      <c r="AC348" s="23"/>
    </row>
    <row r="349" spans="1:29" ht="13.5" customHeight="1">
      <c r="A349" s="23"/>
      <c r="B349" s="23"/>
      <c r="C349" s="24"/>
      <c r="D349" s="25"/>
      <c r="E349" s="24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4"/>
      <c r="W349" s="25"/>
      <c r="X349" s="24"/>
      <c r="Y349" s="23"/>
      <c r="Z349" s="23"/>
      <c r="AA349" s="23"/>
      <c r="AB349" s="23"/>
      <c r="AC349" s="23"/>
    </row>
    <row r="350" spans="1:29" ht="13.5" customHeight="1">
      <c r="A350" s="23"/>
      <c r="B350" s="23"/>
      <c r="C350" s="24"/>
      <c r="D350" s="25"/>
      <c r="E350" s="24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4"/>
      <c r="W350" s="25"/>
      <c r="X350" s="24"/>
      <c r="Y350" s="23"/>
      <c r="Z350" s="23"/>
      <c r="AA350" s="23"/>
      <c r="AB350" s="23"/>
      <c r="AC350" s="23"/>
    </row>
    <row r="351" spans="1:29" ht="13.5" customHeight="1">
      <c r="A351" s="23"/>
      <c r="B351" s="23"/>
      <c r="C351" s="24"/>
      <c r="D351" s="25"/>
      <c r="E351" s="24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4"/>
      <c r="W351" s="25"/>
      <c r="X351" s="24"/>
      <c r="Y351" s="23"/>
      <c r="Z351" s="23"/>
      <c r="AA351" s="23"/>
      <c r="AB351" s="23"/>
      <c r="AC351" s="23"/>
    </row>
    <row r="352" spans="1:29" ht="13.5" customHeight="1">
      <c r="A352" s="23"/>
      <c r="B352" s="23"/>
      <c r="C352" s="24"/>
      <c r="D352" s="25"/>
      <c r="E352" s="24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4"/>
      <c r="W352" s="25"/>
      <c r="X352" s="24"/>
      <c r="Y352" s="23"/>
      <c r="Z352" s="23"/>
      <c r="AA352" s="23"/>
      <c r="AB352" s="23"/>
      <c r="AC352" s="23"/>
    </row>
    <row r="353" spans="1:29" ht="13.5" customHeight="1">
      <c r="A353" s="23"/>
      <c r="B353" s="23"/>
      <c r="C353" s="24"/>
      <c r="D353" s="25"/>
      <c r="E353" s="24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4"/>
      <c r="W353" s="25"/>
      <c r="X353" s="24"/>
      <c r="Y353" s="23"/>
      <c r="Z353" s="23"/>
      <c r="AA353" s="23"/>
      <c r="AB353" s="23"/>
      <c r="AC353" s="23"/>
    </row>
    <row r="354" spans="1:29" ht="13.5" customHeight="1">
      <c r="A354" s="23"/>
      <c r="B354" s="23"/>
      <c r="C354" s="24"/>
      <c r="D354" s="25"/>
      <c r="E354" s="24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4"/>
      <c r="W354" s="25"/>
      <c r="X354" s="24"/>
      <c r="Y354" s="23"/>
      <c r="Z354" s="23"/>
      <c r="AA354" s="23"/>
      <c r="AB354" s="23"/>
      <c r="AC354" s="23"/>
    </row>
    <row r="355" spans="1:29" ht="13.5" customHeight="1">
      <c r="A355" s="23"/>
      <c r="B355" s="23"/>
      <c r="C355" s="24"/>
      <c r="D355" s="25"/>
      <c r="E355" s="24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4"/>
      <c r="W355" s="25"/>
      <c r="X355" s="24"/>
      <c r="Y355" s="23"/>
      <c r="Z355" s="23"/>
      <c r="AA355" s="23"/>
      <c r="AB355" s="23"/>
      <c r="AC355" s="23"/>
    </row>
    <row r="356" spans="1:29" ht="13.5" customHeight="1">
      <c r="A356" s="23"/>
      <c r="B356" s="23"/>
      <c r="C356" s="24"/>
      <c r="D356" s="25"/>
      <c r="E356" s="24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4"/>
      <c r="W356" s="25"/>
      <c r="X356" s="24"/>
      <c r="Y356" s="23"/>
      <c r="Z356" s="23"/>
      <c r="AA356" s="23"/>
      <c r="AB356" s="23"/>
      <c r="AC356" s="23"/>
    </row>
    <row r="357" spans="1:29" ht="13.5" customHeight="1">
      <c r="A357" s="23"/>
      <c r="B357" s="23"/>
      <c r="C357" s="24"/>
      <c r="D357" s="25"/>
      <c r="E357" s="24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4"/>
      <c r="W357" s="25"/>
      <c r="X357" s="24"/>
      <c r="Y357" s="23"/>
      <c r="Z357" s="23"/>
      <c r="AA357" s="23"/>
      <c r="AB357" s="23"/>
      <c r="AC357" s="23"/>
    </row>
    <row r="358" spans="1:29" ht="13.5" customHeight="1">
      <c r="A358" s="23"/>
      <c r="B358" s="23"/>
      <c r="C358" s="24"/>
      <c r="D358" s="25"/>
      <c r="E358" s="24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4"/>
      <c r="W358" s="25"/>
      <c r="X358" s="24"/>
      <c r="Y358" s="23"/>
      <c r="Z358" s="23"/>
      <c r="AA358" s="23"/>
      <c r="AB358" s="23"/>
      <c r="AC358" s="23"/>
    </row>
    <row r="359" spans="1:29" ht="13.5" customHeight="1">
      <c r="A359" s="23"/>
      <c r="B359" s="23"/>
      <c r="C359" s="24"/>
      <c r="D359" s="25"/>
      <c r="E359" s="24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4"/>
      <c r="W359" s="25"/>
      <c r="X359" s="24"/>
      <c r="Y359" s="23"/>
      <c r="Z359" s="23"/>
      <c r="AA359" s="23"/>
      <c r="AB359" s="23"/>
      <c r="AC359" s="23"/>
    </row>
    <row r="360" spans="1:29" ht="13.5" customHeight="1">
      <c r="A360" s="23"/>
      <c r="B360" s="23"/>
      <c r="C360" s="24"/>
      <c r="D360" s="25"/>
      <c r="E360" s="24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4"/>
      <c r="W360" s="25"/>
      <c r="X360" s="24"/>
      <c r="Y360" s="23"/>
      <c r="Z360" s="23"/>
      <c r="AA360" s="23"/>
      <c r="AB360" s="23"/>
      <c r="AC360" s="23"/>
    </row>
    <row r="361" spans="1:29" ht="13.5" customHeight="1">
      <c r="A361" s="23"/>
      <c r="B361" s="23"/>
      <c r="C361" s="24"/>
      <c r="D361" s="25"/>
      <c r="E361" s="24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4"/>
      <c r="W361" s="25"/>
      <c r="X361" s="24"/>
      <c r="Y361" s="23"/>
      <c r="Z361" s="23"/>
      <c r="AA361" s="23"/>
      <c r="AB361" s="23"/>
      <c r="AC361" s="23"/>
    </row>
    <row r="362" spans="1:29" ht="13.5" customHeight="1">
      <c r="A362" s="23"/>
      <c r="B362" s="23"/>
      <c r="C362" s="24"/>
      <c r="D362" s="25"/>
      <c r="E362" s="24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4"/>
      <c r="W362" s="25"/>
      <c r="X362" s="24"/>
      <c r="Y362" s="23"/>
      <c r="Z362" s="23"/>
      <c r="AA362" s="23"/>
      <c r="AB362" s="23"/>
      <c r="AC362" s="23"/>
    </row>
    <row r="363" spans="1:29" ht="13.5" customHeight="1">
      <c r="A363" s="23"/>
      <c r="B363" s="23"/>
      <c r="C363" s="24"/>
      <c r="D363" s="25"/>
      <c r="E363" s="24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4"/>
      <c r="W363" s="25"/>
      <c r="X363" s="24"/>
      <c r="Y363" s="23"/>
      <c r="Z363" s="23"/>
      <c r="AA363" s="23"/>
      <c r="AB363" s="23"/>
      <c r="AC363" s="23"/>
    </row>
    <row r="364" spans="1:29" ht="13.5" customHeight="1">
      <c r="A364" s="23"/>
      <c r="B364" s="23"/>
      <c r="C364" s="24"/>
      <c r="D364" s="25"/>
      <c r="E364" s="24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4"/>
      <c r="W364" s="25"/>
      <c r="X364" s="24"/>
      <c r="Y364" s="23"/>
      <c r="Z364" s="23"/>
      <c r="AA364" s="23"/>
      <c r="AB364" s="23"/>
      <c r="AC364" s="23"/>
    </row>
    <row r="365" spans="1:29" ht="13.5" customHeight="1">
      <c r="A365" s="23"/>
      <c r="B365" s="23"/>
      <c r="C365" s="24"/>
      <c r="D365" s="25"/>
      <c r="E365" s="24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4"/>
      <c r="W365" s="25"/>
      <c r="X365" s="24"/>
      <c r="Y365" s="23"/>
      <c r="Z365" s="23"/>
      <c r="AA365" s="23"/>
      <c r="AB365" s="23"/>
      <c r="AC365" s="23"/>
    </row>
    <row r="366" spans="1:29" ht="13.5" customHeight="1">
      <c r="A366" s="23"/>
      <c r="B366" s="23"/>
      <c r="C366" s="24"/>
      <c r="D366" s="25"/>
      <c r="E366" s="24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4"/>
      <c r="W366" s="25"/>
      <c r="X366" s="24"/>
      <c r="Y366" s="23"/>
      <c r="Z366" s="23"/>
      <c r="AA366" s="23"/>
      <c r="AB366" s="23"/>
      <c r="AC366" s="23"/>
    </row>
    <row r="367" spans="1:29" ht="13.5" customHeight="1">
      <c r="A367" s="23"/>
      <c r="B367" s="23"/>
      <c r="C367" s="24"/>
      <c r="D367" s="25"/>
      <c r="E367" s="24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4"/>
      <c r="W367" s="25"/>
      <c r="X367" s="24"/>
      <c r="Y367" s="23"/>
      <c r="Z367" s="23"/>
      <c r="AA367" s="23"/>
      <c r="AB367" s="23"/>
      <c r="AC367" s="23"/>
    </row>
    <row r="368" spans="1:29" ht="13.5" customHeight="1">
      <c r="A368" s="23"/>
      <c r="B368" s="23"/>
      <c r="C368" s="24"/>
      <c r="D368" s="25"/>
      <c r="E368" s="24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4"/>
      <c r="W368" s="25"/>
      <c r="X368" s="24"/>
      <c r="Y368" s="23"/>
      <c r="Z368" s="23"/>
      <c r="AA368" s="23"/>
      <c r="AB368" s="23"/>
      <c r="AC368" s="23"/>
    </row>
    <row r="369" spans="1:29" ht="13.5" customHeight="1">
      <c r="A369" s="23"/>
      <c r="B369" s="23"/>
      <c r="C369" s="24"/>
      <c r="D369" s="25"/>
      <c r="E369" s="24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4"/>
      <c r="W369" s="25"/>
      <c r="X369" s="24"/>
      <c r="Y369" s="23"/>
      <c r="Z369" s="23"/>
      <c r="AA369" s="23"/>
      <c r="AB369" s="23"/>
      <c r="AC369" s="23"/>
    </row>
    <row r="370" spans="1:29" ht="13.5" customHeight="1">
      <c r="A370" s="23"/>
      <c r="B370" s="23"/>
      <c r="C370" s="24"/>
      <c r="D370" s="25"/>
      <c r="E370" s="24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4"/>
      <c r="W370" s="25"/>
      <c r="X370" s="24"/>
      <c r="Y370" s="23"/>
      <c r="Z370" s="23"/>
      <c r="AA370" s="23"/>
      <c r="AB370" s="23"/>
      <c r="AC370" s="23"/>
    </row>
    <row r="371" spans="1:29" ht="13.5" customHeight="1">
      <c r="A371" s="23"/>
      <c r="B371" s="23"/>
      <c r="C371" s="24"/>
      <c r="D371" s="25"/>
      <c r="E371" s="24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4"/>
      <c r="W371" s="25"/>
      <c r="X371" s="24"/>
      <c r="Y371" s="23"/>
      <c r="Z371" s="23"/>
      <c r="AA371" s="23"/>
      <c r="AB371" s="23"/>
      <c r="AC371" s="23"/>
    </row>
    <row r="372" spans="1:29" ht="13.5" customHeight="1">
      <c r="A372" s="23"/>
      <c r="B372" s="23"/>
      <c r="C372" s="24"/>
      <c r="D372" s="25"/>
      <c r="E372" s="24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4"/>
      <c r="W372" s="25"/>
      <c r="X372" s="24"/>
      <c r="Y372" s="23"/>
      <c r="Z372" s="23"/>
      <c r="AA372" s="23"/>
      <c r="AB372" s="23"/>
      <c r="AC372" s="23"/>
    </row>
    <row r="373" spans="1:29" ht="13.5" customHeight="1">
      <c r="A373" s="23"/>
      <c r="B373" s="23"/>
      <c r="C373" s="24"/>
      <c r="D373" s="25"/>
      <c r="E373" s="24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4"/>
      <c r="W373" s="25"/>
      <c r="X373" s="24"/>
      <c r="Y373" s="23"/>
      <c r="Z373" s="23"/>
      <c r="AA373" s="23"/>
      <c r="AB373" s="23"/>
      <c r="AC373" s="23"/>
    </row>
    <row r="374" spans="1:29" ht="13.5" customHeight="1">
      <c r="A374" s="23"/>
      <c r="B374" s="23"/>
      <c r="C374" s="24"/>
      <c r="D374" s="25"/>
      <c r="E374" s="24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4"/>
      <c r="W374" s="25"/>
      <c r="X374" s="24"/>
      <c r="Y374" s="23"/>
      <c r="Z374" s="23"/>
      <c r="AA374" s="23"/>
      <c r="AB374" s="23"/>
      <c r="AC374" s="23"/>
    </row>
    <row r="375" spans="1:29" ht="13.5" customHeight="1">
      <c r="A375" s="23"/>
      <c r="B375" s="23"/>
      <c r="C375" s="24"/>
      <c r="D375" s="25"/>
      <c r="E375" s="24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4"/>
      <c r="W375" s="25"/>
      <c r="X375" s="24"/>
      <c r="Y375" s="23"/>
      <c r="Z375" s="23"/>
      <c r="AA375" s="23"/>
      <c r="AB375" s="23"/>
      <c r="AC375" s="23"/>
    </row>
    <row r="376" spans="1:29" ht="13.5" customHeight="1">
      <c r="A376" s="23"/>
      <c r="B376" s="23"/>
      <c r="C376" s="24"/>
      <c r="D376" s="25"/>
      <c r="E376" s="24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4"/>
      <c r="W376" s="25"/>
      <c r="X376" s="24"/>
      <c r="Y376" s="23"/>
      <c r="Z376" s="23"/>
      <c r="AA376" s="23"/>
      <c r="AB376" s="23"/>
      <c r="AC376" s="23"/>
    </row>
    <row r="377" spans="1:29" ht="13.5" customHeight="1">
      <c r="A377" s="23"/>
      <c r="B377" s="23"/>
      <c r="C377" s="24"/>
      <c r="D377" s="25"/>
      <c r="E377" s="24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4"/>
      <c r="W377" s="25"/>
      <c r="X377" s="24"/>
      <c r="Y377" s="23"/>
      <c r="Z377" s="23"/>
      <c r="AA377" s="23"/>
      <c r="AB377" s="23"/>
      <c r="AC377" s="23"/>
    </row>
    <row r="378" spans="1:29" ht="13.5" customHeight="1">
      <c r="A378" s="23"/>
      <c r="B378" s="23"/>
      <c r="C378" s="24"/>
      <c r="D378" s="25"/>
      <c r="E378" s="24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4"/>
      <c r="W378" s="25"/>
      <c r="X378" s="24"/>
      <c r="Y378" s="23"/>
      <c r="Z378" s="23"/>
      <c r="AA378" s="23"/>
      <c r="AB378" s="23"/>
      <c r="AC378" s="23"/>
    </row>
    <row r="379" spans="1:29" ht="13.5" customHeight="1">
      <c r="A379" s="23"/>
      <c r="B379" s="23"/>
      <c r="C379" s="24"/>
      <c r="D379" s="25"/>
      <c r="E379" s="24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4"/>
      <c r="W379" s="25"/>
      <c r="X379" s="24"/>
      <c r="Y379" s="23"/>
      <c r="Z379" s="23"/>
      <c r="AA379" s="23"/>
      <c r="AB379" s="23"/>
      <c r="AC379" s="23"/>
    </row>
    <row r="380" spans="1:29" ht="13.5" customHeight="1">
      <c r="A380" s="23"/>
      <c r="B380" s="23"/>
      <c r="C380" s="24"/>
      <c r="D380" s="25"/>
      <c r="E380" s="24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4"/>
      <c r="W380" s="25"/>
      <c r="X380" s="24"/>
      <c r="Y380" s="23"/>
      <c r="Z380" s="23"/>
      <c r="AA380" s="23"/>
      <c r="AB380" s="23"/>
      <c r="AC380" s="23"/>
    </row>
    <row r="381" spans="1:29" ht="13.5" customHeight="1">
      <c r="A381" s="23"/>
      <c r="B381" s="23"/>
      <c r="C381" s="24"/>
      <c r="D381" s="25"/>
      <c r="E381" s="24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4"/>
      <c r="W381" s="25"/>
      <c r="X381" s="24"/>
      <c r="Y381" s="23"/>
      <c r="Z381" s="23"/>
      <c r="AA381" s="23"/>
      <c r="AB381" s="23"/>
      <c r="AC381" s="23"/>
    </row>
    <row r="382" spans="1:29" ht="13.5" customHeight="1">
      <c r="A382" s="23"/>
      <c r="B382" s="23"/>
      <c r="C382" s="24"/>
      <c r="D382" s="25"/>
      <c r="E382" s="24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4"/>
      <c r="W382" s="25"/>
      <c r="X382" s="24"/>
      <c r="Y382" s="23"/>
      <c r="Z382" s="23"/>
      <c r="AA382" s="23"/>
      <c r="AB382" s="23"/>
      <c r="AC382" s="23"/>
    </row>
    <row r="383" spans="1:29" ht="13.5" customHeight="1">
      <c r="A383" s="23"/>
      <c r="B383" s="23"/>
      <c r="C383" s="24"/>
      <c r="D383" s="25"/>
      <c r="E383" s="24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4"/>
      <c r="W383" s="25"/>
      <c r="X383" s="24"/>
      <c r="Y383" s="23"/>
      <c r="Z383" s="23"/>
      <c r="AA383" s="23"/>
      <c r="AB383" s="23"/>
      <c r="AC383" s="23"/>
    </row>
    <row r="384" spans="1:29" ht="13.5" customHeight="1">
      <c r="A384" s="23"/>
      <c r="B384" s="23"/>
      <c r="C384" s="24"/>
      <c r="D384" s="25"/>
      <c r="E384" s="24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4"/>
      <c r="W384" s="25"/>
      <c r="X384" s="24"/>
      <c r="Y384" s="23"/>
      <c r="Z384" s="23"/>
      <c r="AA384" s="23"/>
      <c r="AB384" s="23"/>
      <c r="AC384" s="23"/>
    </row>
    <row r="385" spans="1:29" ht="13.5" customHeight="1">
      <c r="A385" s="23"/>
      <c r="B385" s="23"/>
      <c r="C385" s="24"/>
      <c r="D385" s="25"/>
      <c r="E385" s="24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4"/>
      <c r="W385" s="25"/>
      <c r="X385" s="24"/>
      <c r="Y385" s="23"/>
      <c r="Z385" s="23"/>
      <c r="AA385" s="23"/>
      <c r="AB385" s="23"/>
      <c r="AC385" s="23"/>
    </row>
    <row r="386" spans="1:29" ht="13.5" customHeight="1">
      <c r="A386" s="23"/>
      <c r="B386" s="23"/>
      <c r="C386" s="24"/>
      <c r="D386" s="25"/>
      <c r="E386" s="24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4"/>
      <c r="W386" s="25"/>
      <c r="X386" s="24"/>
      <c r="Y386" s="23"/>
      <c r="Z386" s="23"/>
      <c r="AA386" s="23"/>
      <c r="AB386" s="23"/>
      <c r="AC386" s="23"/>
    </row>
    <row r="387" spans="1:29" ht="13.5" customHeight="1">
      <c r="A387" s="23"/>
      <c r="B387" s="23"/>
      <c r="C387" s="24"/>
      <c r="D387" s="25"/>
      <c r="E387" s="24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4"/>
      <c r="W387" s="25"/>
      <c r="X387" s="24"/>
      <c r="Y387" s="23"/>
      <c r="Z387" s="23"/>
      <c r="AA387" s="23"/>
      <c r="AB387" s="23"/>
      <c r="AC387" s="23"/>
    </row>
    <row r="388" spans="1:29" ht="13.5" customHeight="1">
      <c r="A388" s="23"/>
      <c r="B388" s="23"/>
      <c r="C388" s="24"/>
      <c r="D388" s="25"/>
      <c r="E388" s="24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4"/>
      <c r="W388" s="25"/>
      <c r="X388" s="24"/>
      <c r="Y388" s="23"/>
      <c r="Z388" s="23"/>
      <c r="AA388" s="23"/>
      <c r="AB388" s="23"/>
      <c r="AC388" s="23"/>
    </row>
    <row r="389" spans="1:29" ht="13.5" customHeight="1">
      <c r="A389" s="23"/>
      <c r="B389" s="23"/>
      <c r="C389" s="24"/>
      <c r="D389" s="25"/>
      <c r="E389" s="24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4"/>
      <c r="W389" s="25"/>
      <c r="X389" s="24"/>
      <c r="Y389" s="23"/>
      <c r="Z389" s="23"/>
      <c r="AA389" s="23"/>
      <c r="AB389" s="23"/>
      <c r="AC389" s="23"/>
    </row>
    <row r="390" spans="1:29" ht="13.5" customHeight="1">
      <c r="A390" s="23"/>
      <c r="B390" s="23"/>
      <c r="C390" s="24"/>
      <c r="D390" s="25"/>
      <c r="E390" s="24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4"/>
      <c r="W390" s="25"/>
      <c r="X390" s="24"/>
      <c r="Y390" s="23"/>
      <c r="Z390" s="23"/>
      <c r="AA390" s="23"/>
      <c r="AB390" s="23"/>
      <c r="AC390" s="23"/>
    </row>
    <row r="391" spans="1:29" ht="13.5" customHeight="1">
      <c r="A391" s="23"/>
      <c r="B391" s="23"/>
      <c r="C391" s="24"/>
      <c r="D391" s="25"/>
      <c r="E391" s="24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4"/>
      <c r="W391" s="25"/>
      <c r="X391" s="24"/>
      <c r="Y391" s="23"/>
      <c r="Z391" s="23"/>
      <c r="AA391" s="23"/>
      <c r="AB391" s="23"/>
      <c r="AC391" s="23"/>
    </row>
    <row r="392" spans="1:29" ht="13.5" customHeight="1">
      <c r="A392" s="23"/>
      <c r="B392" s="23"/>
      <c r="C392" s="24"/>
      <c r="D392" s="25"/>
      <c r="E392" s="24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4"/>
      <c r="W392" s="25"/>
      <c r="X392" s="24"/>
      <c r="Y392" s="23"/>
      <c r="Z392" s="23"/>
      <c r="AA392" s="23"/>
      <c r="AB392" s="23"/>
      <c r="AC392" s="23"/>
    </row>
    <row r="393" spans="1:29" ht="13.5" customHeight="1">
      <c r="A393" s="23"/>
      <c r="B393" s="23"/>
      <c r="C393" s="24"/>
      <c r="D393" s="25"/>
      <c r="E393" s="24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4"/>
      <c r="W393" s="25"/>
      <c r="X393" s="24"/>
      <c r="Y393" s="23"/>
      <c r="Z393" s="23"/>
      <c r="AA393" s="23"/>
      <c r="AB393" s="23"/>
      <c r="AC393" s="23"/>
    </row>
    <row r="394" spans="1:29" ht="13.5" customHeight="1">
      <c r="A394" s="23"/>
      <c r="B394" s="23"/>
      <c r="C394" s="24"/>
      <c r="D394" s="25"/>
      <c r="E394" s="24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4"/>
      <c r="W394" s="25"/>
      <c r="X394" s="24"/>
      <c r="Y394" s="23"/>
      <c r="Z394" s="23"/>
      <c r="AA394" s="23"/>
      <c r="AB394" s="23"/>
      <c r="AC394" s="23"/>
    </row>
    <row r="395" spans="1:29" ht="13.5" customHeight="1">
      <c r="A395" s="23"/>
      <c r="B395" s="23"/>
      <c r="C395" s="24"/>
      <c r="D395" s="25"/>
      <c r="E395" s="24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4"/>
      <c r="W395" s="25"/>
      <c r="X395" s="24"/>
      <c r="Y395" s="23"/>
      <c r="Z395" s="23"/>
      <c r="AA395" s="23"/>
      <c r="AB395" s="23"/>
      <c r="AC395" s="23"/>
    </row>
    <row r="396" spans="1:29" ht="13.5" customHeight="1">
      <c r="A396" s="23"/>
      <c r="B396" s="23"/>
      <c r="C396" s="24"/>
      <c r="D396" s="25"/>
      <c r="E396" s="24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4"/>
      <c r="W396" s="25"/>
      <c r="X396" s="24"/>
      <c r="Y396" s="23"/>
      <c r="Z396" s="23"/>
      <c r="AA396" s="23"/>
      <c r="AB396" s="23"/>
      <c r="AC396" s="23"/>
    </row>
    <row r="397" spans="1:29" ht="13.5" customHeight="1">
      <c r="A397" s="23"/>
      <c r="B397" s="23"/>
      <c r="C397" s="24"/>
      <c r="D397" s="25"/>
      <c r="E397" s="24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4"/>
      <c r="W397" s="25"/>
      <c r="X397" s="24"/>
      <c r="Y397" s="23"/>
      <c r="Z397" s="23"/>
      <c r="AA397" s="23"/>
      <c r="AB397" s="23"/>
      <c r="AC397" s="23"/>
    </row>
    <row r="398" spans="1:29" ht="13.5" customHeight="1">
      <c r="A398" s="23"/>
      <c r="B398" s="23"/>
      <c r="C398" s="24"/>
      <c r="D398" s="25"/>
      <c r="E398" s="24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4"/>
      <c r="W398" s="25"/>
      <c r="X398" s="24"/>
      <c r="Y398" s="23"/>
      <c r="Z398" s="23"/>
      <c r="AA398" s="23"/>
      <c r="AB398" s="23"/>
      <c r="AC398" s="23"/>
    </row>
    <row r="399" spans="1:29" ht="13.5" customHeight="1">
      <c r="A399" s="23"/>
      <c r="B399" s="23"/>
      <c r="C399" s="24"/>
      <c r="D399" s="25"/>
      <c r="E399" s="24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4"/>
      <c r="W399" s="25"/>
      <c r="X399" s="24"/>
      <c r="Y399" s="23"/>
      <c r="Z399" s="23"/>
      <c r="AA399" s="23"/>
      <c r="AB399" s="23"/>
      <c r="AC399" s="23"/>
    </row>
    <row r="400" spans="1:29" ht="13.5" customHeight="1">
      <c r="A400" s="23"/>
      <c r="B400" s="23"/>
      <c r="C400" s="24"/>
      <c r="D400" s="25"/>
      <c r="E400" s="24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4"/>
      <c r="W400" s="25"/>
      <c r="X400" s="24"/>
      <c r="Y400" s="23"/>
      <c r="Z400" s="23"/>
      <c r="AA400" s="23"/>
      <c r="AB400" s="23"/>
      <c r="AC400" s="23"/>
    </row>
    <row r="401" spans="1:29" ht="13.5" customHeight="1">
      <c r="A401" s="23"/>
      <c r="B401" s="23"/>
      <c r="C401" s="24"/>
      <c r="D401" s="25"/>
      <c r="E401" s="24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4"/>
      <c r="W401" s="25"/>
      <c r="X401" s="24"/>
      <c r="Y401" s="23"/>
      <c r="Z401" s="23"/>
      <c r="AA401" s="23"/>
      <c r="AB401" s="23"/>
      <c r="AC401" s="23"/>
    </row>
    <row r="402" spans="1:29" ht="13.5" customHeight="1">
      <c r="A402" s="23"/>
      <c r="B402" s="23"/>
      <c r="C402" s="24"/>
      <c r="D402" s="25"/>
      <c r="E402" s="24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4"/>
      <c r="W402" s="25"/>
      <c r="X402" s="24"/>
      <c r="Y402" s="23"/>
      <c r="Z402" s="23"/>
      <c r="AA402" s="23"/>
      <c r="AB402" s="23"/>
      <c r="AC402" s="23"/>
    </row>
    <row r="403" spans="1:29" ht="13.5" customHeight="1">
      <c r="A403" s="23"/>
      <c r="B403" s="23"/>
      <c r="C403" s="24"/>
      <c r="D403" s="25"/>
      <c r="E403" s="24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4"/>
      <c r="W403" s="25"/>
      <c r="X403" s="24"/>
      <c r="Y403" s="23"/>
      <c r="Z403" s="23"/>
      <c r="AA403" s="23"/>
      <c r="AB403" s="23"/>
      <c r="AC403" s="23"/>
    </row>
    <row r="404" spans="1:29" ht="13.5" customHeight="1">
      <c r="A404" s="23"/>
      <c r="B404" s="23"/>
      <c r="C404" s="24"/>
      <c r="D404" s="25"/>
      <c r="E404" s="24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4"/>
      <c r="W404" s="25"/>
      <c r="X404" s="24"/>
      <c r="Y404" s="23"/>
      <c r="Z404" s="23"/>
      <c r="AA404" s="23"/>
      <c r="AB404" s="23"/>
      <c r="AC404" s="23"/>
    </row>
    <row r="405" spans="1:29" ht="13.5" customHeight="1">
      <c r="A405" s="23"/>
      <c r="B405" s="23"/>
      <c r="C405" s="24"/>
      <c r="D405" s="25"/>
      <c r="E405" s="24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4"/>
      <c r="W405" s="25"/>
      <c r="X405" s="24"/>
      <c r="Y405" s="23"/>
      <c r="Z405" s="23"/>
      <c r="AA405" s="23"/>
      <c r="AB405" s="23"/>
      <c r="AC405" s="23"/>
    </row>
    <row r="406" spans="1:29" ht="13.5" customHeight="1">
      <c r="A406" s="23"/>
      <c r="B406" s="23"/>
      <c r="C406" s="24"/>
      <c r="D406" s="25"/>
      <c r="E406" s="24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4"/>
      <c r="W406" s="25"/>
      <c r="X406" s="24"/>
      <c r="Y406" s="23"/>
      <c r="Z406" s="23"/>
      <c r="AA406" s="23"/>
      <c r="AB406" s="23"/>
      <c r="AC406" s="23"/>
    </row>
    <row r="407" spans="1:29" ht="13.5" customHeight="1">
      <c r="A407" s="23"/>
      <c r="B407" s="23"/>
      <c r="C407" s="24"/>
      <c r="D407" s="25"/>
      <c r="E407" s="24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4"/>
      <c r="W407" s="25"/>
      <c r="X407" s="24"/>
      <c r="Y407" s="23"/>
      <c r="Z407" s="23"/>
      <c r="AA407" s="23"/>
      <c r="AB407" s="23"/>
      <c r="AC407" s="23"/>
    </row>
    <row r="408" spans="1:29" ht="13.5" customHeight="1">
      <c r="A408" s="23"/>
      <c r="B408" s="23"/>
      <c r="C408" s="24"/>
      <c r="D408" s="25"/>
      <c r="E408" s="24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4"/>
      <c r="W408" s="25"/>
      <c r="X408" s="24"/>
      <c r="Y408" s="23"/>
      <c r="Z408" s="23"/>
      <c r="AA408" s="23"/>
      <c r="AB408" s="23"/>
      <c r="AC408" s="23"/>
    </row>
    <row r="409" spans="1:29" ht="13.5" customHeight="1">
      <c r="A409" s="23"/>
      <c r="B409" s="23"/>
      <c r="C409" s="24"/>
      <c r="D409" s="25"/>
      <c r="E409" s="24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4"/>
      <c r="W409" s="25"/>
      <c r="X409" s="24"/>
      <c r="Y409" s="23"/>
      <c r="Z409" s="23"/>
      <c r="AA409" s="23"/>
      <c r="AB409" s="23"/>
      <c r="AC409" s="23"/>
    </row>
    <row r="410" spans="1:29" ht="13.5" customHeight="1">
      <c r="A410" s="23"/>
      <c r="B410" s="23"/>
      <c r="C410" s="24"/>
      <c r="D410" s="25"/>
      <c r="E410" s="24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4"/>
      <c r="W410" s="25"/>
      <c r="X410" s="24"/>
      <c r="Y410" s="23"/>
      <c r="Z410" s="23"/>
      <c r="AA410" s="23"/>
      <c r="AB410" s="23"/>
      <c r="AC410" s="23"/>
    </row>
    <row r="411" spans="1:29" ht="13.5" customHeight="1">
      <c r="A411" s="23"/>
      <c r="B411" s="23"/>
      <c r="C411" s="24"/>
      <c r="D411" s="25"/>
      <c r="E411" s="24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4"/>
      <c r="W411" s="25"/>
      <c r="X411" s="24"/>
      <c r="Y411" s="23"/>
      <c r="Z411" s="23"/>
      <c r="AA411" s="23"/>
      <c r="AB411" s="23"/>
      <c r="AC411" s="23"/>
    </row>
    <row r="412" spans="1:29" ht="13.5" customHeight="1">
      <c r="A412" s="23"/>
      <c r="B412" s="23"/>
      <c r="C412" s="24"/>
      <c r="D412" s="25"/>
      <c r="E412" s="24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4"/>
      <c r="W412" s="25"/>
      <c r="X412" s="24"/>
      <c r="Y412" s="23"/>
      <c r="Z412" s="23"/>
      <c r="AA412" s="23"/>
      <c r="AB412" s="23"/>
      <c r="AC412" s="23"/>
    </row>
    <row r="413" spans="1:29" ht="13.5" customHeight="1">
      <c r="A413" s="23"/>
      <c r="B413" s="23"/>
      <c r="C413" s="24"/>
      <c r="D413" s="25"/>
      <c r="E413" s="24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4"/>
      <c r="W413" s="25"/>
      <c r="X413" s="24"/>
      <c r="Y413" s="23"/>
      <c r="Z413" s="23"/>
      <c r="AA413" s="23"/>
      <c r="AB413" s="23"/>
      <c r="AC413" s="23"/>
    </row>
    <row r="414" spans="1:29" ht="13.5" customHeight="1">
      <c r="A414" s="23"/>
      <c r="B414" s="23"/>
      <c r="C414" s="24"/>
      <c r="D414" s="25"/>
      <c r="E414" s="24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4"/>
      <c r="W414" s="25"/>
      <c r="X414" s="24"/>
      <c r="Y414" s="23"/>
      <c r="Z414" s="23"/>
      <c r="AA414" s="23"/>
      <c r="AB414" s="23"/>
      <c r="AC414" s="23"/>
    </row>
    <row r="415" spans="1:29" ht="13.5" customHeight="1">
      <c r="A415" s="23"/>
      <c r="B415" s="23"/>
      <c r="C415" s="24"/>
      <c r="D415" s="25"/>
      <c r="E415" s="24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4"/>
      <c r="W415" s="25"/>
      <c r="X415" s="24"/>
      <c r="Y415" s="23"/>
      <c r="Z415" s="23"/>
      <c r="AA415" s="23"/>
      <c r="AB415" s="23"/>
      <c r="AC415" s="23"/>
    </row>
    <row r="416" spans="1:29" ht="13.5" customHeight="1">
      <c r="A416" s="23"/>
      <c r="B416" s="23"/>
      <c r="C416" s="24"/>
      <c r="D416" s="25"/>
      <c r="E416" s="24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4"/>
      <c r="W416" s="25"/>
      <c r="X416" s="24"/>
      <c r="Y416" s="23"/>
      <c r="Z416" s="23"/>
      <c r="AA416" s="23"/>
      <c r="AB416" s="23"/>
      <c r="AC416" s="23"/>
    </row>
    <row r="417" spans="1:29" ht="13.5" customHeight="1">
      <c r="A417" s="23"/>
      <c r="B417" s="23"/>
      <c r="C417" s="24"/>
      <c r="D417" s="25"/>
      <c r="E417" s="24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4"/>
      <c r="W417" s="25"/>
      <c r="X417" s="24"/>
      <c r="Y417" s="23"/>
      <c r="Z417" s="23"/>
      <c r="AA417" s="23"/>
      <c r="AB417" s="23"/>
      <c r="AC417" s="23"/>
    </row>
    <row r="418" spans="1:29" ht="13.5" customHeight="1">
      <c r="A418" s="23"/>
      <c r="B418" s="23"/>
      <c r="C418" s="24"/>
      <c r="D418" s="25"/>
      <c r="E418" s="24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4"/>
      <c r="W418" s="25"/>
      <c r="X418" s="24"/>
      <c r="Y418" s="23"/>
      <c r="Z418" s="23"/>
      <c r="AA418" s="23"/>
      <c r="AB418" s="23"/>
      <c r="AC418" s="23"/>
    </row>
    <row r="419" spans="1:29" ht="13.5" customHeight="1">
      <c r="A419" s="23"/>
      <c r="B419" s="23"/>
      <c r="C419" s="24"/>
      <c r="D419" s="25"/>
      <c r="E419" s="24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4"/>
      <c r="W419" s="25"/>
      <c r="X419" s="24"/>
      <c r="Y419" s="23"/>
      <c r="Z419" s="23"/>
      <c r="AA419" s="23"/>
      <c r="AB419" s="23"/>
      <c r="AC419" s="23"/>
    </row>
    <row r="420" spans="1:29" ht="13.5" customHeight="1">
      <c r="A420" s="23"/>
      <c r="B420" s="23"/>
      <c r="C420" s="24"/>
      <c r="D420" s="25"/>
      <c r="E420" s="24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4"/>
      <c r="W420" s="25"/>
      <c r="X420" s="24"/>
      <c r="Y420" s="23"/>
      <c r="Z420" s="23"/>
      <c r="AA420" s="23"/>
      <c r="AB420" s="23"/>
      <c r="AC420" s="23"/>
    </row>
    <row r="421" spans="1:29" ht="13.5" customHeight="1">
      <c r="A421" s="23"/>
      <c r="B421" s="23"/>
      <c r="C421" s="24"/>
      <c r="D421" s="25"/>
      <c r="E421" s="24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4"/>
      <c r="W421" s="25"/>
      <c r="X421" s="24"/>
      <c r="Y421" s="23"/>
      <c r="Z421" s="23"/>
      <c r="AA421" s="23"/>
      <c r="AB421" s="23"/>
      <c r="AC421" s="23"/>
    </row>
    <row r="422" spans="1:29" ht="13.5" customHeight="1">
      <c r="A422" s="23"/>
      <c r="B422" s="23"/>
      <c r="C422" s="24"/>
      <c r="D422" s="25"/>
      <c r="E422" s="24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4"/>
      <c r="W422" s="25"/>
      <c r="X422" s="24"/>
      <c r="Y422" s="23"/>
      <c r="Z422" s="23"/>
      <c r="AA422" s="23"/>
      <c r="AB422" s="23"/>
      <c r="AC422" s="23"/>
    </row>
    <row r="423" spans="1:29" ht="13.5" customHeight="1">
      <c r="A423" s="23"/>
      <c r="B423" s="23"/>
      <c r="C423" s="24"/>
      <c r="D423" s="25"/>
      <c r="E423" s="24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4"/>
      <c r="W423" s="25"/>
      <c r="X423" s="24"/>
      <c r="Y423" s="23"/>
      <c r="Z423" s="23"/>
      <c r="AA423" s="23"/>
      <c r="AB423" s="23"/>
      <c r="AC423" s="23"/>
    </row>
    <row r="424" spans="1:29" ht="13.5" customHeight="1">
      <c r="A424" s="23"/>
      <c r="B424" s="23"/>
      <c r="C424" s="24"/>
      <c r="D424" s="25"/>
      <c r="E424" s="24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4"/>
      <c r="W424" s="25"/>
      <c r="X424" s="24"/>
      <c r="Y424" s="23"/>
      <c r="Z424" s="23"/>
      <c r="AA424" s="23"/>
      <c r="AB424" s="23"/>
      <c r="AC424" s="23"/>
    </row>
    <row r="425" spans="1:29" ht="13.5" customHeight="1">
      <c r="A425" s="23"/>
      <c r="B425" s="23"/>
      <c r="C425" s="24"/>
      <c r="D425" s="25"/>
      <c r="E425" s="24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4"/>
      <c r="W425" s="25"/>
      <c r="X425" s="24"/>
      <c r="Y425" s="23"/>
      <c r="Z425" s="23"/>
      <c r="AA425" s="23"/>
      <c r="AB425" s="23"/>
      <c r="AC425" s="23"/>
    </row>
    <row r="426" spans="1:29" ht="13.5" customHeight="1">
      <c r="A426" s="23"/>
      <c r="B426" s="23"/>
      <c r="C426" s="24"/>
      <c r="D426" s="25"/>
      <c r="E426" s="24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4"/>
      <c r="W426" s="25"/>
      <c r="X426" s="24"/>
      <c r="Y426" s="23"/>
      <c r="Z426" s="23"/>
      <c r="AA426" s="23"/>
      <c r="AB426" s="23"/>
      <c r="AC426" s="23"/>
    </row>
    <row r="427" spans="1:29" ht="13.5" customHeight="1">
      <c r="A427" s="23"/>
      <c r="B427" s="23"/>
      <c r="C427" s="24"/>
      <c r="D427" s="25"/>
      <c r="E427" s="24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4"/>
      <c r="W427" s="25"/>
      <c r="X427" s="24"/>
      <c r="Y427" s="23"/>
      <c r="Z427" s="23"/>
      <c r="AA427" s="23"/>
      <c r="AB427" s="23"/>
      <c r="AC427" s="23"/>
    </row>
    <row r="428" spans="1:29" ht="13.5" customHeight="1">
      <c r="A428" s="23"/>
      <c r="B428" s="23"/>
      <c r="C428" s="24"/>
      <c r="D428" s="25"/>
      <c r="E428" s="24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4"/>
      <c r="W428" s="25"/>
      <c r="X428" s="24"/>
      <c r="Y428" s="23"/>
      <c r="Z428" s="23"/>
      <c r="AA428" s="23"/>
      <c r="AB428" s="23"/>
      <c r="AC428" s="23"/>
    </row>
    <row r="429" spans="1:29" ht="13.5" customHeight="1">
      <c r="A429" s="23"/>
      <c r="B429" s="23"/>
      <c r="C429" s="24"/>
      <c r="D429" s="25"/>
      <c r="E429" s="24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4"/>
      <c r="W429" s="25"/>
      <c r="X429" s="24"/>
      <c r="Y429" s="23"/>
      <c r="Z429" s="23"/>
      <c r="AA429" s="23"/>
      <c r="AB429" s="23"/>
      <c r="AC429" s="23"/>
    </row>
    <row r="430" spans="1:29" ht="13.5" customHeight="1">
      <c r="A430" s="23"/>
      <c r="B430" s="23"/>
      <c r="C430" s="24"/>
      <c r="D430" s="25"/>
      <c r="E430" s="24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4"/>
      <c r="W430" s="25"/>
      <c r="X430" s="24"/>
      <c r="Y430" s="23"/>
      <c r="Z430" s="23"/>
      <c r="AA430" s="23"/>
      <c r="AB430" s="23"/>
      <c r="AC430" s="23"/>
    </row>
    <row r="431" spans="1:29" ht="13.5" customHeight="1">
      <c r="A431" s="23"/>
      <c r="B431" s="23"/>
      <c r="C431" s="24"/>
      <c r="D431" s="25"/>
      <c r="E431" s="24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4"/>
      <c r="W431" s="25"/>
      <c r="X431" s="24"/>
      <c r="Y431" s="23"/>
      <c r="Z431" s="23"/>
      <c r="AA431" s="23"/>
      <c r="AB431" s="23"/>
      <c r="AC431" s="23"/>
    </row>
    <row r="432" spans="1:29" ht="13.5" customHeight="1">
      <c r="A432" s="23"/>
      <c r="B432" s="23"/>
      <c r="C432" s="24"/>
      <c r="D432" s="25"/>
      <c r="E432" s="24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4"/>
      <c r="W432" s="25"/>
      <c r="X432" s="24"/>
      <c r="Y432" s="23"/>
      <c r="Z432" s="23"/>
      <c r="AA432" s="23"/>
      <c r="AB432" s="23"/>
      <c r="AC432" s="23"/>
    </row>
    <row r="433" spans="1:29" ht="13.5" customHeight="1">
      <c r="A433" s="23"/>
      <c r="B433" s="23"/>
      <c r="C433" s="24"/>
      <c r="D433" s="25"/>
      <c r="E433" s="24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4"/>
      <c r="W433" s="25"/>
      <c r="X433" s="24"/>
      <c r="Y433" s="23"/>
      <c r="Z433" s="23"/>
      <c r="AA433" s="23"/>
      <c r="AB433" s="23"/>
      <c r="AC433" s="23"/>
    </row>
    <row r="434" spans="1:29" ht="13.5" customHeight="1">
      <c r="A434" s="23"/>
      <c r="B434" s="23"/>
      <c r="C434" s="24"/>
      <c r="D434" s="25"/>
      <c r="E434" s="24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4"/>
      <c r="W434" s="25"/>
      <c r="X434" s="24"/>
      <c r="Y434" s="23"/>
      <c r="Z434" s="23"/>
      <c r="AA434" s="23"/>
      <c r="AB434" s="23"/>
      <c r="AC434" s="23"/>
    </row>
    <row r="435" spans="1:29" ht="13.5" customHeight="1">
      <c r="A435" s="23"/>
      <c r="B435" s="23"/>
      <c r="C435" s="24"/>
      <c r="D435" s="25"/>
      <c r="E435" s="24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4"/>
      <c r="W435" s="25"/>
      <c r="X435" s="24"/>
      <c r="Y435" s="23"/>
      <c r="Z435" s="23"/>
      <c r="AA435" s="23"/>
      <c r="AB435" s="23"/>
      <c r="AC435" s="23"/>
    </row>
    <row r="436" spans="1:29" ht="13.5" customHeight="1">
      <c r="A436" s="23"/>
      <c r="B436" s="23"/>
      <c r="C436" s="24"/>
      <c r="D436" s="25"/>
      <c r="E436" s="24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4"/>
      <c r="W436" s="25"/>
      <c r="X436" s="24"/>
      <c r="Y436" s="23"/>
      <c r="Z436" s="23"/>
      <c r="AA436" s="23"/>
      <c r="AB436" s="23"/>
      <c r="AC436" s="23"/>
    </row>
    <row r="437" spans="1:29" ht="13.5" customHeight="1">
      <c r="A437" s="23"/>
      <c r="B437" s="23"/>
      <c r="C437" s="24"/>
      <c r="D437" s="25"/>
      <c r="E437" s="24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4"/>
      <c r="W437" s="25"/>
      <c r="X437" s="24"/>
      <c r="Y437" s="23"/>
      <c r="Z437" s="23"/>
      <c r="AA437" s="23"/>
      <c r="AB437" s="23"/>
      <c r="AC437" s="23"/>
    </row>
    <row r="438" spans="1:29" ht="13.5" customHeight="1">
      <c r="A438" s="23"/>
      <c r="B438" s="23"/>
      <c r="C438" s="24"/>
      <c r="D438" s="25"/>
      <c r="E438" s="24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4"/>
      <c r="W438" s="25"/>
      <c r="X438" s="24"/>
      <c r="Y438" s="23"/>
      <c r="Z438" s="23"/>
      <c r="AA438" s="23"/>
      <c r="AB438" s="23"/>
      <c r="AC438" s="23"/>
    </row>
    <row r="439" spans="1:29" ht="13.5" customHeight="1">
      <c r="A439" s="23"/>
      <c r="B439" s="23"/>
      <c r="C439" s="24"/>
      <c r="D439" s="25"/>
      <c r="E439" s="24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4"/>
      <c r="W439" s="25"/>
      <c r="X439" s="24"/>
      <c r="Y439" s="23"/>
      <c r="Z439" s="23"/>
      <c r="AA439" s="23"/>
      <c r="AB439" s="23"/>
      <c r="AC439" s="23"/>
    </row>
    <row r="440" spans="1:29" ht="13.5" customHeight="1">
      <c r="A440" s="23"/>
      <c r="B440" s="23"/>
      <c r="C440" s="24"/>
      <c r="D440" s="25"/>
      <c r="E440" s="24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4"/>
      <c r="W440" s="25"/>
      <c r="X440" s="24"/>
      <c r="Y440" s="23"/>
      <c r="Z440" s="23"/>
      <c r="AA440" s="23"/>
      <c r="AB440" s="23"/>
      <c r="AC440" s="23"/>
    </row>
    <row r="441" spans="1:29" ht="13.5" customHeight="1">
      <c r="A441" s="23"/>
      <c r="B441" s="23"/>
      <c r="C441" s="24"/>
      <c r="D441" s="25"/>
      <c r="E441" s="24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4"/>
      <c r="W441" s="25"/>
      <c r="X441" s="24"/>
      <c r="Y441" s="23"/>
      <c r="Z441" s="23"/>
      <c r="AA441" s="23"/>
      <c r="AB441" s="23"/>
      <c r="AC441" s="23"/>
    </row>
    <row r="442" spans="1:29" ht="13.5" customHeight="1">
      <c r="A442" s="23"/>
      <c r="B442" s="23"/>
      <c r="C442" s="24"/>
      <c r="D442" s="25"/>
      <c r="E442" s="24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4"/>
      <c r="W442" s="25"/>
      <c r="X442" s="24"/>
      <c r="Y442" s="23"/>
      <c r="Z442" s="23"/>
      <c r="AA442" s="23"/>
      <c r="AB442" s="23"/>
      <c r="AC442" s="23"/>
    </row>
    <row r="443" spans="1:29" ht="13.5" customHeight="1">
      <c r="A443" s="23"/>
      <c r="B443" s="23"/>
      <c r="C443" s="24"/>
      <c r="D443" s="25"/>
      <c r="E443" s="24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4"/>
      <c r="W443" s="25"/>
      <c r="X443" s="24"/>
      <c r="Y443" s="23"/>
      <c r="Z443" s="23"/>
      <c r="AA443" s="23"/>
      <c r="AB443" s="23"/>
      <c r="AC443" s="23"/>
    </row>
    <row r="444" spans="1:29" ht="13.5" customHeight="1">
      <c r="A444" s="23"/>
      <c r="B444" s="23"/>
      <c r="C444" s="24"/>
      <c r="D444" s="25"/>
      <c r="E444" s="24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4"/>
      <c r="W444" s="25"/>
      <c r="X444" s="24"/>
      <c r="Y444" s="23"/>
      <c r="Z444" s="23"/>
      <c r="AA444" s="23"/>
      <c r="AB444" s="23"/>
      <c r="AC444" s="23"/>
    </row>
    <row r="445" spans="1:29" ht="13.5" customHeight="1">
      <c r="A445" s="23"/>
      <c r="B445" s="23"/>
      <c r="C445" s="24"/>
      <c r="D445" s="25"/>
      <c r="E445" s="24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4"/>
      <c r="W445" s="25"/>
      <c r="X445" s="24"/>
      <c r="Y445" s="23"/>
      <c r="Z445" s="23"/>
      <c r="AA445" s="23"/>
      <c r="AB445" s="23"/>
      <c r="AC445" s="23"/>
    </row>
    <row r="446" spans="1:29" ht="13.5" customHeight="1">
      <c r="A446" s="23"/>
      <c r="B446" s="23"/>
      <c r="C446" s="24"/>
      <c r="D446" s="25"/>
      <c r="E446" s="24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4"/>
      <c r="W446" s="25"/>
      <c r="X446" s="24"/>
      <c r="Y446" s="23"/>
      <c r="Z446" s="23"/>
      <c r="AA446" s="23"/>
      <c r="AB446" s="23"/>
      <c r="AC446" s="23"/>
    </row>
    <row r="447" spans="1:29" ht="13.5" customHeight="1">
      <c r="A447" s="23"/>
      <c r="B447" s="23"/>
      <c r="C447" s="24"/>
      <c r="D447" s="25"/>
      <c r="E447" s="24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4"/>
      <c r="W447" s="25"/>
      <c r="X447" s="24"/>
      <c r="Y447" s="23"/>
      <c r="Z447" s="23"/>
      <c r="AA447" s="23"/>
      <c r="AB447" s="23"/>
      <c r="AC447" s="23"/>
    </row>
    <row r="448" spans="1:29" ht="13.5" customHeight="1">
      <c r="A448" s="23"/>
      <c r="B448" s="23"/>
      <c r="C448" s="24"/>
      <c r="D448" s="25"/>
      <c r="E448" s="24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4"/>
      <c r="W448" s="25"/>
      <c r="X448" s="24"/>
      <c r="Y448" s="23"/>
      <c r="Z448" s="23"/>
      <c r="AA448" s="23"/>
      <c r="AB448" s="23"/>
      <c r="AC448" s="23"/>
    </row>
    <row r="449" spans="1:29" ht="13.5" customHeight="1">
      <c r="A449" s="23"/>
      <c r="B449" s="23"/>
      <c r="C449" s="24"/>
      <c r="D449" s="25"/>
      <c r="E449" s="24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4"/>
      <c r="W449" s="25"/>
      <c r="X449" s="24"/>
      <c r="Y449" s="23"/>
      <c r="Z449" s="23"/>
      <c r="AA449" s="23"/>
      <c r="AB449" s="23"/>
      <c r="AC449" s="23"/>
    </row>
    <row r="450" spans="1:29" ht="13.5" customHeight="1">
      <c r="A450" s="23"/>
      <c r="B450" s="23"/>
      <c r="C450" s="24"/>
      <c r="D450" s="25"/>
      <c r="E450" s="24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4"/>
      <c r="W450" s="25"/>
      <c r="X450" s="24"/>
      <c r="Y450" s="23"/>
      <c r="Z450" s="23"/>
      <c r="AA450" s="23"/>
      <c r="AB450" s="23"/>
      <c r="AC450" s="23"/>
    </row>
    <row r="451" spans="1:29" ht="13.5" customHeight="1">
      <c r="A451" s="23"/>
      <c r="B451" s="23"/>
      <c r="C451" s="24"/>
      <c r="D451" s="25"/>
      <c r="E451" s="24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4"/>
      <c r="W451" s="25"/>
      <c r="X451" s="24"/>
      <c r="Y451" s="23"/>
      <c r="Z451" s="23"/>
      <c r="AA451" s="23"/>
      <c r="AB451" s="23"/>
      <c r="AC451" s="23"/>
    </row>
    <row r="452" spans="1:29" ht="13.5" customHeight="1">
      <c r="A452" s="23"/>
      <c r="B452" s="23"/>
      <c r="C452" s="24"/>
      <c r="D452" s="25"/>
      <c r="E452" s="24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4"/>
      <c r="W452" s="25"/>
      <c r="X452" s="24"/>
      <c r="Y452" s="23"/>
      <c r="Z452" s="23"/>
      <c r="AA452" s="23"/>
      <c r="AB452" s="23"/>
      <c r="AC452" s="23"/>
    </row>
    <row r="453" spans="1:29" ht="13.5" customHeight="1">
      <c r="A453" s="23"/>
      <c r="B453" s="23"/>
      <c r="C453" s="24"/>
      <c r="D453" s="25"/>
      <c r="E453" s="24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4"/>
      <c r="W453" s="25"/>
      <c r="X453" s="24"/>
      <c r="Y453" s="23"/>
      <c r="Z453" s="23"/>
      <c r="AA453" s="23"/>
      <c r="AB453" s="23"/>
      <c r="AC453" s="23"/>
    </row>
    <row r="454" spans="1:29" ht="13.5" customHeight="1">
      <c r="A454" s="23"/>
      <c r="B454" s="23"/>
      <c r="C454" s="24"/>
      <c r="D454" s="25"/>
      <c r="E454" s="24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4"/>
      <c r="W454" s="25"/>
      <c r="X454" s="24"/>
      <c r="Y454" s="23"/>
      <c r="Z454" s="23"/>
      <c r="AA454" s="23"/>
      <c r="AB454" s="23"/>
      <c r="AC454" s="23"/>
    </row>
    <row r="455" spans="1:29" ht="13.5" customHeight="1">
      <c r="A455" s="23"/>
      <c r="B455" s="23"/>
      <c r="C455" s="24"/>
      <c r="D455" s="25"/>
      <c r="E455" s="24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4"/>
      <c r="W455" s="25"/>
      <c r="X455" s="24"/>
      <c r="Y455" s="23"/>
      <c r="Z455" s="23"/>
      <c r="AA455" s="23"/>
      <c r="AB455" s="23"/>
      <c r="AC455" s="23"/>
    </row>
    <row r="456" spans="1:29" ht="13.5" customHeight="1">
      <c r="A456" s="23"/>
      <c r="B456" s="23"/>
      <c r="C456" s="24"/>
      <c r="D456" s="25"/>
      <c r="E456" s="24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4"/>
      <c r="W456" s="25"/>
      <c r="X456" s="24"/>
      <c r="Y456" s="23"/>
      <c r="Z456" s="23"/>
      <c r="AA456" s="23"/>
      <c r="AB456" s="23"/>
      <c r="AC456" s="23"/>
    </row>
    <row r="457" spans="1:29" ht="13.5" customHeight="1">
      <c r="A457" s="23"/>
      <c r="B457" s="23"/>
      <c r="C457" s="24"/>
      <c r="D457" s="25"/>
      <c r="E457" s="24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4"/>
      <c r="W457" s="25"/>
      <c r="X457" s="24"/>
      <c r="Y457" s="23"/>
      <c r="Z457" s="23"/>
      <c r="AA457" s="23"/>
      <c r="AB457" s="23"/>
      <c r="AC457" s="23"/>
    </row>
    <row r="458" spans="1:29" ht="13.5" customHeight="1">
      <c r="A458" s="23"/>
      <c r="B458" s="23"/>
      <c r="C458" s="24"/>
      <c r="D458" s="25"/>
      <c r="E458" s="24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4"/>
      <c r="W458" s="25"/>
      <c r="X458" s="24"/>
      <c r="Y458" s="23"/>
      <c r="Z458" s="23"/>
      <c r="AA458" s="23"/>
      <c r="AB458" s="23"/>
      <c r="AC458" s="23"/>
    </row>
    <row r="459" spans="1:29" ht="13.5" customHeight="1">
      <c r="A459" s="23"/>
      <c r="B459" s="23"/>
      <c r="C459" s="24"/>
      <c r="D459" s="25"/>
      <c r="E459" s="24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4"/>
      <c r="W459" s="25"/>
      <c r="X459" s="24"/>
      <c r="Y459" s="23"/>
      <c r="Z459" s="23"/>
      <c r="AA459" s="23"/>
      <c r="AB459" s="23"/>
      <c r="AC459" s="23"/>
    </row>
    <row r="460" spans="1:29" ht="13.5" customHeight="1">
      <c r="A460" s="23"/>
      <c r="B460" s="23"/>
      <c r="C460" s="24"/>
      <c r="D460" s="25"/>
      <c r="E460" s="24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4"/>
      <c r="W460" s="25"/>
      <c r="X460" s="24"/>
      <c r="Y460" s="23"/>
      <c r="Z460" s="23"/>
      <c r="AA460" s="23"/>
      <c r="AB460" s="23"/>
      <c r="AC460" s="23"/>
    </row>
    <row r="461" spans="1:29" ht="13.5" customHeight="1">
      <c r="A461" s="23"/>
      <c r="B461" s="23"/>
      <c r="C461" s="24"/>
      <c r="D461" s="25"/>
      <c r="E461" s="24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4"/>
      <c r="W461" s="25"/>
      <c r="X461" s="24"/>
      <c r="Y461" s="23"/>
      <c r="Z461" s="23"/>
      <c r="AA461" s="23"/>
      <c r="AB461" s="23"/>
      <c r="AC461" s="23"/>
    </row>
    <row r="462" spans="1:29" ht="13.5" customHeight="1">
      <c r="A462" s="23"/>
      <c r="B462" s="23"/>
      <c r="C462" s="24"/>
      <c r="D462" s="25"/>
      <c r="E462" s="24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4"/>
      <c r="W462" s="25"/>
      <c r="X462" s="24"/>
      <c r="Y462" s="23"/>
      <c r="Z462" s="23"/>
      <c r="AA462" s="23"/>
      <c r="AB462" s="23"/>
      <c r="AC462" s="23"/>
    </row>
    <row r="463" spans="1:29" ht="13.5" customHeight="1">
      <c r="A463" s="23"/>
      <c r="B463" s="23"/>
      <c r="C463" s="24"/>
      <c r="D463" s="25"/>
      <c r="E463" s="24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4"/>
      <c r="W463" s="25"/>
      <c r="X463" s="24"/>
      <c r="Y463" s="23"/>
      <c r="Z463" s="23"/>
      <c r="AA463" s="23"/>
      <c r="AB463" s="23"/>
      <c r="AC463" s="23"/>
    </row>
    <row r="464" spans="1:29" ht="13.5" customHeight="1">
      <c r="A464" s="23"/>
      <c r="B464" s="23"/>
      <c r="C464" s="24"/>
      <c r="D464" s="25"/>
      <c r="E464" s="24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4"/>
      <c r="W464" s="25"/>
      <c r="X464" s="24"/>
      <c r="Y464" s="23"/>
      <c r="Z464" s="23"/>
      <c r="AA464" s="23"/>
      <c r="AB464" s="23"/>
      <c r="AC464" s="23"/>
    </row>
    <row r="465" spans="1:29" ht="13.5" customHeight="1">
      <c r="A465" s="23"/>
      <c r="B465" s="23"/>
      <c r="C465" s="24"/>
      <c r="D465" s="25"/>
      <c r="E465" s="24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4"/>
      <c r="W465" s="25"/>
      <c r="X465" s="24"/>
      <c r="Y465" s="23"/>
      <c r="Z465" s="23"/>
      <c r="AA465" s="23"/>
      <c r="AB465" s="23"/>
      <c r="AC465" s="23"/>
    </row>
    <row r="466" spans="1:29" ht="13.5" customHeight="1">
      <c r="A466" s="23"/>
      <c r="B466" s="23"/>
      <c r="C466" s="24"/>
      <c r="D466" s="25"/>
      <c r="E466" s="24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4"/>
      <c r="W466" s="25"/>
      <c r="X466" s="24"/>
      <c r="Y466" s="23"/>
      <c r="Z466" s="23"/>
      <c r="AA466" s="23"/>
      <c r="AB466" s="23"/>
      <c r="AC466" s="23"/>
    </row>
    <row r="467" spans="1:29" ht="13.5" customHeight="1">
      <c r="A467" s="23"/>
      <c r="B467" s="23"/>
      <c r="C467" s="24"/>
      <c r="D467" s="25"/>
      <c r="E467" s="24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4"/>
      <c r="W467" s="25"/>
      <c r="X467" s="24"/>
      <c r="Y467" s="23"/>
      <c r="Z467" s="23"/>
      <c r="AA467" s="23"/>
      <c r="AB467" s="23"/>
      <c r="AC467" s="23"/>
    </row>
    <row r="468" spans="1:29" ht="13.5" customHeight="1">
      <c r="A468" s="23"/>
      <c r="B468" s="23"/>
      <c r="C468" s="24"/>
      <c r="D468" s="25"/>
      <c r="E468" s="24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4"/>
      <c r="W468" s="25"/>
      <c r="X468" s="24"/>
      <c r="Y468" s="23"/>
      <c r="Z468" s="23"/>
      <c r="AA468" s="23"/>
      <c r="AB468" s="23"/>
      <c r="AC468" s="23"/>
    </row>
    <row r="469" spans="1:29" ht="13.5" customHeight="1">
      <c r="A469" s="23"/>
      <c r="B469" s="23"/>
      <c r="C469" s="24"/>
      <c r="D469" s="25"/>
      <c r="E469" s="24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4"/>
      <c r="W469" s="25"/>
      <c r="X469" s="24"/>
      <c r="Y469" s="23"/>
      <c r="Z469" s="23"/>
      <c r="AA469" s="23"/>
      <c r="AB469" s="23"/>
      <c r="AC469" s="23"/>
    </row>
    <row r="470" spans="1:29" ht="13.5" customHeight="1">
      <c r="A470" s="23"/>
      <c r="B470" s="23"/>
      <c r="C470" s="24"/>
      <c r="D470" s="25"/>
      <c r="E470" s="24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4"/>
      <c r="W470" s="25"/>
      <c r="X470" s="24"/>
      <c r="Y470" s="23"/>
      <c r="Z470" s="23"/>
      <c r="AA470" s="23"/>
      <c r="AB470" s="23"/>
      <c r="AC470" s="23"/>
    </row>
    <row r="471" spans="1:29" ht="13.5" customHeight="1">
      <c r="A471" s="23"/>
      <c r="B471" s="23"/>
      <c r="C471" s="24"/>
      <c r="D471" s="25"/>
      <c r="E471" s="24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4"/>
      <c r="W471" s="25"/>
      <c r="X471" s="24"/>
      <c r="Y471" s="23"/>
      <c r="Z471" s="23"/>
      <c r="AA471" s="23"/>
      <c r="AB471" s="23"/>
      <c r="AC471" s="23"/>
    </row>
    <row r="472" spans="1:29" ht="13.5" customHeight="1">
      <c r="A472" s="23"/>
      <c r="B472" s="23"/>
      <c r="C472" s="24"/>
      <c r="D472" s="25"/>
      <c r="E472" s="24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4"/>
      <c r="W472" s="25"/>
      <c r="X472" s="24"/>
      <c r="Y472" s="23"/>
      <c r="Z472" s="23"/>
      <c r="AA472" s="23"/>
      <c r="AB472" s="23"/>
      <c r="AC472" s="23"/>
    </row>
    <row r="473" spans="1:29" ht="13.5" customHeight="1">
      <c r="A473" s="23"/>
      <c r="B473" s="23"/>
      <c r="C473" s="24"/>
      <c r="D473" s="25"/>
      <c r="E473" s="24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4"/>
      <c r="W473" s="25"/>
      <c r="X473" s="24"/>
      <c r="Y473" s="23"/>
      <c r="Z473" s="23"/>
      <c r="AA473" s="23"/>
      <c r="AB473" s="23"/>
      <c r="AC473" s="23"/>
    </row>
    <row r="474" spans="1:29" ht="13.5" customHeight="1">
      <c r="A474" s="23"/>
      <c r="B474" s="23"/>
      <c r="C474" s="24"/>
      <c r="D474" s="25"/>
      <c r="E474" s="24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4"/>
      <c r="W474" s="25"/>
      <c r="X474" s="24"/>
      <c r="Y474" s="23"/>
      <c r="Z474" s="23"/>
      <c r="AA474" s="23"/>
      <c r="AB474" s="23"/>
      <c r="AC474" s="23"/>
    </row>
    <row r="475" spans="1:29" ht="13.5" customHeight="1">
      <c r="A475" s="23"/>
      <c r="B475" s="23"/>
      <c r="C475" s="24"/>
      <c r="D475" s="25"/>
      <c r="E475" s="24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4"/>
      <c r="W475" s="25"/>
      <c r="X475" s="24"/>
      <c r="Y475" s="23"/>
      <c r="Z475" s="23"/>
      <c r="AA475" s="23"/>
      <c r="AB475" s="23"/>
      <c r="AC475" s="23"/>
    </row>
    <row r="476" spans="1:29" ht="13.5" customHeight="1">
      <c r="A476" s="23"/>
      <c r="B476" s="23"/>
      <c r="C476" s="24"/>
      <c r="D476" s="25"/>
      <c r="E476" s="24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4"/>
      <c r="W476" s="25"/>
      <c r="X476" s="24"/>
      <c r="Y476" s="23"/>
      <c r="Z476" s="23"/>
      <c r="AA476" s="23"/>
      <c r="AB476" s="23"/>
      <c r="AC476" s="23"/>
    </row>
    <row r="477" spans="1:29" ht="13.5" customHeight="1">
      <c r="A477" s="23"/>
      <c r="B477" s="23"/>
      <c r="C477" s="24"/>
      <c r="D477" s="25"/>
      <c r="E477" s="24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4"/>
      <c r="W477" s="25"/>
      <c r="X477" s="24"/>
      <c r="Y477" s="23"/>
      <c r="Z477" s="23"/>
      <c r="AA477" s="23"/>
      <c r="AB477" s="23"/>
      <c r="AC477" s="23"/>
    </row>
    <row r="478" spans="1:29" ht="13.5" customHeight="1">
      <c r="A478" s="23"/>
      <c r="B478" s="23"/>
      <c r="C478" s="24"/>
      <c r="D478" s="25"/>
      <c r="E478" s="24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4"/>
      <c r="W478" s="25"/>
      <c r="X478" s="24"/>
      <c r="Y478" s="23"/>
      <c r="Z478" s="23"/>
      <c r="AA478" s="23"/>
      <c r="AB478" s="23"/>
      <c r="AC478" s="23"/>
    </row>
    <row r="479" spans="1:29" ht="13.5" customHeight="1">
      <c r="A479" s="23"/>
      <c r="B479" s="23"/>
      <c r="C479" s="24"/>
      <c r="D479" s="25"/>
      <c r="E479" s="24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4"/>
      <c r="W479" s="25"/>
      <c r="X479" s="24"/>
      <c r="Y479" s="23"/>
      <c r="Z479" s="23"/>
      <c r="AA479" s="23"/>
      <c r="AB479" s="23"/>
      <c r="AC479" s="23"/>
    </row>
    <row r="480" spans="1:29" ht="13.5" customHeight="1">
      <c r="A480" s="23"/>
      <c r="B480" s="23"/>
      <c r="C480" s="24"/>
      <c r="D480" s="25"/>
      <c r="E480" s="24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4"/>
      <c r="W480" s="25"/>
      <c r="X480" s="24"/>
      <c r="Y480" s="23"/>
      <c r="Z480" s="23"/>
      <c r="AA480" s="23"/>
      <c r="AB480" s="23"/>
      <c r="AC480" s="23"/>
    </row>
    <row r="481" spans="1:29" ht="13.5" customHeight="1">
      <c r="A481" s="23"/>
      <c r="B481" s="23"/>
      <c r="C481" s="24"/>
      <c r="D481" s="25"/>
      <c r="E481" s="24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4"/>
      <c r="W481" s="25"/>
      <c r="X481" s="24"/>
      <c r="Y481" s="23"/>
      <c r="Z481" s="23"/>
      <c r="AA481" s="23"/>
      <c r="AB481" s="23"/>
      <c r="AC481" s="23"/>
    </row>
    <row r="482" spans="1:29" ht="13.5" customHeight="1">
      <c r="A482" s="23"/>
      <c r="B482" s="23"/>
      <c r="C482" s="24"/>
      <c r="D482" s="25"/>
      <c r="E482" s="24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4"/>
      <c r="W482" s="25"/>
      <c r="X482" s="24"/>
      <c r="Y482" s="23"/>
      <c r="Z482" s="23"/>
      <c r="AA482" s="23"/>
      <c r="AB482" s="23"/>
      <c r="AC482" s="23"/>
    </row>
    <row r="483" spans="1:29" ht="13.5" customHeight="1">
      <c r="A483" s="23"/>
      <c r="B483" s="23"/>
      <c r="C483" s="24"/>
      <c r="D483" s="25"/>
      <c r="E483" s="24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4"/>
      <c r="W483" s="25"/>
      <c r="X483" s="24"/>
      <c r="Y483" s="23"/>
      <c r="Z483" s="23"/>
      <c r="AA483" s="23"/>
      <c r="AB483" s="23"/>
      <c r="AC483" s="23"/>
    </row>
    <row r="484" spans="1:29" ht="13.5" customHeight="1">
      <c r="A484" s="23"/>
      <c r="B484" s="23"/>
      <c r="C484" s="24"/>
      <c r="D484" s="25"/>
      <c r="E484" s="24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4"/>
      <c r="W484" s="25"/>
      <c r="X484" s="24"/>
      <c r="Y484" s="23"/>
      <c r="Z484" s="23"/>
      <c r="AA484" s="23"/>
      <c r="AB484" s="23"/>
      <c r="AC484" s="23"/>
    </row>
    <row r="485" spans="1:29" ht="13.5" customHeight="1">
      <c r="A485" s="23"/>
      <c r="B485" s="23"/>
      <c r="C485" s="24"/>
      <c r="D485" s="25"/>
      <c r="E485" s="24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4"/>
      <c r="W485" s="25"/>
      <c r="X485" s="24"/>
      <c r="Y485" s="23"/>
      <c r="Z485" s="23"/>
      <c r="AA485" s="23"/>
      <c r="AB485" s="23"/>
      <c r="AC485" s="23"/>
    </row>
    <row r="486" spans="1:29" ht="13.5" customHeight="1">
      <c r="A486" s="23"/>
      <c r="B486" s="23"/>
      <c r="C486" s="24"/>
      <c r="D486" s="25"/>
      <c r="E486" s="24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4"/>
      <c r="W486" s="25"/>
      <c r="X486" s="24"/>
      <c r="Y486" s="23"/>
      <c r="Z486" s="23"/>
      <c r="AA486" s="23"/>
      <c r="AB486" s="23"/>
      <c r="AC486" s="23"/>
    </row>
    <row r="487" spans="1:29" ht="13.5" customHeight="1">
      <c r="A487" s="23"/>
      <c r="B487" s="23"/>
      <c r="C487" s="24"/>
      <c r="D487" s="25"/>
      <c r="E487" s="24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4"/>
      <c r="W487" s="25"/>
      <c r="X487" s="24"/>
      <c r="Y487" s="23"/>
      <c r="Z487" s="23"/>
      <c r="AA487" s="23"/>
      <c r="AB487" s="23"/>
      <c r="AC487" s="23"/>
    </row>
    <row r="488" spans="1:29" ht="13.5" customHeight="1">
      <c r="A488" s="23"/>
      <c r="B488" s="23"/>
      <c r="C488" s="24"/>
      <c r="D488" s="25"/>
      <c r="E488" s="24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4"/>
      <c r="W488" s="25"/>
      <c r="X488" s="24"/>
      <c r="Y488" s="23"/>
      <c r="Z488" s="23"/>
      <c r="AA488" s="23"/>
      <c r="AB488" s="23"/>
      <c r="AC488" s="23"/>
    </row>
    <row r="489" spans="1:29" ht="13.5" customHeight="1">
      <c r="A489" s="23"/>
      <c r="B489" s="23"/>
      <c r="C489" s="24"/>
      <c r="D489" s="25"/>
      <c r="E489" s="24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4"/>
      <c r="W489" s="25"/>
      <c r="X489" s="24"/>
      <c r="Y489" s="23"/>
      <c r="Z489" s="23"/>
      <c r="AA489" s="23"/>
      <c r="AB489" s="23"/>
      <c r="AC489" s="23"/>
    </row>
    <row r="490" spans="1:29" ht="13.5" customHeight="1">
      <c r="A490" s="23"/>
      <c r="B490" s="23"/>
      <c r="C490" s="24"/>
      <c r="D490" s="25"/>
      <c r="E490" s="24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4"/>
      <c r="W490" s="25"/>
      <c r="X490" s="24"/>
      <c r="Y490" s="23"/>
      <c r="Z490" s="23"/>
      <c r="AA490" s="23"/>
      <c r="AB490" s="23"/>
      <c r="AC490" s="23"/>
    </row>
    <row r="491" spans="1:29" ht="13.5" customHeight="1">
      <c r="A491" s="23"/>
      <c r="B491" s="23"/>
      <c r="C491" s="24"/>
      <c r="D491" s="25"/>
      <c r="E491" s="24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4"/>
      <c r="W491" s="25"/>
      <c r="X491" s="24"/>
      <c r="Y491" s="23"/>
      <c r="Z491" s="23"/>
      <c r="AA491" s="23"/>
      <c r="AB491" s="23"/>
      <c r="AC491" s="23"/>
    </row>
    <row r="492" spans="1:29" ht="13.5" customHeight="1">
      <c r="A492" s="23"/>
      <c r="B492" s="23"/>
      <c r="C492" s="24"/>
      <c r="D492" s="25"/>
      <c r="E492" s="24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4"/>
      <c r="W492" s="25"/>
      <c r="X492" s="24"/>
      <c r="Y492" s="23"/>
      <c r="Z492" s="23"/>
      <c r="AA492" s="23"/>
      <c r="AB492" s="23"/>
      <c r="AC492" s="23"/>
    </row>
    <row r="493" spans="1:29" ht="13.5" customHeight="1">
      <c r="A493" s="23"/>
      <c r="B493" s="23"/>
      <c r="C493" s="24"/>
      <c r="D493" s="25"/>
      <c r="E493" s="24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4"/>
      <c r="W493" s="25"/>
      <c r="X493" s="24"/>
      <c r="Y493" s="23"/>
      <c r="Z493" s="23"/>
      <c r="AA493" s="23"/>
      <c r="AB493" s="23"/>
      <c r="AC493" s="23"/>
    </row>
    <row r="494" spans="1:29" ht="13.5" customHeight="1">
      <c r="A494" s="23"/>
      <c r="B494" s="23"/>
      <c r="C494" s="24"/>
      <c r="D494" s="25"/>
      <c r="E494" s="24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4"/>
      <c r="W494" s="25"/>
      <c r="X494" s="24"/>
      <c r="Y494" s="23"/>
      <c r="Z494" s="23"/>
      <c r="AA494" s="23"/>
      <c r="AB494" s="23"/>
      <c r="AC494" s="23"/>
    </row>
    <row r="495" spans="1:29" ht="13.5" customHeight="1">
      <c r="A495" s="23"/>
      <c r="B495" s="23"/>
      <c r="C495" s="24"/>
      <c r="D495" s="25"/>
      <c r="E495" s="24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4"/>
      <c r="W495" s="25"/>
      <c r="X495" s="24"/>
      <c r="Y495" s="23"/>
      <c r="Z495" s="23"/>
      <c r="AA495" s="23"/>
      <c r="AB495" s="23"/>
      <c r="AC495" s="23"/>
    </row>
    <row r="496" spans="1:29" ht="13.5" customHeight="1">
      <c r="A496" s="23"/>
      <c r="B496" s="23"/>
      <c r="C496" s="24"/>
      <c r="D496" s="25"/>
      <c r="E496" s="24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4"/>
      <c r="W496" s="25"/>
      <c r="X496" s="24"/>
      <c r="Y496" s="23"/>
      <c r="Z496" s="23"/>
      <c r="AA496" s="23"/>
      <c r="AB496" s="23"/>
      <c r="AC496" s="23"/>
    </row>
    <row r="497" spans="1:29" ht="13.5" customHeight="1">
      <c r="A497" s="23"/>
      <c r="B497" s="23"/>
      <c r="C497" s="24"/>
      <c r="D497" s="25"/>
      <c r="E497" s="24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4"/>
      <c r="W497" s="25"/>
      <c r="X497" s="24"/>
      <c r="Y497" s="23"/>
      <c r="Z497" s="23"/>
      <c r="AA497" s="23"/>
      <c r="AB497" s="23"/>
      <c r="AC497" s="23"/>
    </row>
    <row r="498" spans="1:29" ht="13.5" customHeight="1">
      <c r="A498" s="23"/>
      <c r="B498" s="23"/>
      <c r="C498" s="24"/>
      <c r="D498" s="25"/>
      <c r="E498" s="24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4"/>
      <c r="W498" s="25"/>
      <c r="X498" s="24"/>
      <c r="Y498" s="23"/>
      <c r="Z498" s="23"/>
      <c r="AA498" s="23"/>
      <c r="AB498" s="23"/>
      <c r="AC498" s="23"/>
    </row>
    <row r="499" spans="1:29" ht="13.5" customHeight="1">
      <c r="A499" s="23"/>
      <c r="B499" s="23"/>
      <c r="C499" s="24"/>
      <c r="D499" s="25"/>
      <c r="E499" s="24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4"/>
      <c r="W499" s="25"/>
      <c r="X499" s="24"/>
      <c r="Y499" s="23"/>
      <c r="Z499" s="23"/>
      <c r="AA499" s="23"/>
      <c r="AB499" s="23"/>
      <c r="AC499" s="23"/>
    </row>
    <row r="500" spans="1:29" ht="13.5" customHeight="1">
      <c r="A500" s="23"/>
      <c r="B500" s="23"/>
      <c r="C500" s="24"/>
      <c r="D500" s="25"/>
      <c r="E500" s="24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4"/>
      <c r="W500" s="25"/>
      <c r="X500" s="24"/>
      <c r="Y500" s="23"/>
      <c r="Z500" s="23"/>
      <c r="AA500" s="23"/>
      <c r="AB500" s="23"/>
      <c r="AC500" s="23"/>
    </row>
    <row r="501" spans="1:29" ht="13.5" customHeight="1">
      <c r="A501" s="23"/>
      <c r="B501" s="23"/>
      <c r="C501" s="24"/>
      <c r="D501" s="25"/>
      <c r="E501" s="24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4"/>
      <c r="W501" s="25"/>
      <c r="X501" s="24"/>
      <c r="Y501" s="23"/>
      <c r="Z501" s="23"/>
      <c r="AA501" s="23"/>
      <c r="AB501" s="23"/>
      <c r="AC501" s="23"/>
    </row>
    <row r="502" spans="1:29" ht="13.5" customHeight="1">
      <c r="A502" s="23"/>
      <c r="B502" s="23"/>
      <c r="C502" s="24"/>
      <c r="D502" s="25"/>
      <c r="E502" s="24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4"/>
      <c r="W502" s="25"/>
      <c r="X502" s="24"/>
      <c r="Y502" s="23"/>
      <c r="Z502" s="23"/>
      <c r="AA502" s="23"/>
      <c r="AB502" s="23"/>
      <c r="AC502" s="23"/>
    </row>
    <row r="503" spans="1:29" ht="13.5" customHeight="1">
      <c r="A503" s="23"/>
      <c r="B503" s="23"/>
      <c r="C503" s="24"/>
      <c r="D503" s="25"/>
      <c r="E503" s="24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4"/>
      <c r="W503" s="25"/>
      <c r="X503" s="24"/>
      <c r="Y503" s="23"/>
      <c r="Z503" s="23"/>
      <c r="AA503" s="23"/>
      <c r="AB503" s="23"/>
      <c r="AC503" s="23"/>
    </row>
    <row r="504" spans="1:29" ht="13.5" customHeight="1">
      <c r="A504" s="23"/>
      <c r="B504" s="23"/>
      <c r="C504" s="24"/>
      <c r="D504" s="25"/>
      <c r="E504" s="24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4"/>
      <c r="W504" s="25"/>
      <c r="X504" s="24"/>
      <c r="Y504" s="23"/>
      <c r="Z504" s="23"/>
      <c r="AA504" s="23"/>
      <c r="AB504" s="23"/>
      <c r="AC504" s="23"/>
    </row>
    <row r="505" spans="1:29" ht="13.5" customHeight="1">
      <c r="A505" s="23"/>
      <c r="B505" s="23"/>
      <c r="C505" s="24"/>
      <c r="D505" s="25"/>
      <c r="E505" s="24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4"/>
      <c r="W505" s="25"/>
      <c r="X505" s="24"/>
      <c r="Y505" s="23"/>
      <c r="Z505" s="23"/>
      <c r="AA505" s="23"/>
      <c r="AB505" s="23"/>
      <c r="AC505" s="23"/>
    </row>
    <row r="506" spans="1:29" ht="13.5" customHeight="1">
      <c r="A506" s="23"/>
      <c r="B506" s="23"/>
      <c r="C506" s="24"/>
      <c r="D506" s="25"/>
      <c r="E506" s="24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4"/>
      <c r="W506" s="25"/>
      <c r="X506" s="24"/>
      <c r="Y506" s="23"/>
      <c r="Z506" s="23"/>
      <c r="AA506" s="23"/>
      <c r="AB506" s="23"/>
      <c r="AC506" s="23"/>
    </row>
    <row r="507" spans="1:29" ht="13.5" customHeight="1">
      <c r="A507" s="23"/>
      <c r="B507" s="23"/>
      <c r="C507" s="24"/>
      <c r="D507" s="25"/>
      <c r="E507" s="24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4"/>
      <c r="W507" s="25"/>
      <c r="X507" s="24"/>
      <c r="Y507" s="23"/>
      <c r="Z507" s="23"/>
      <c r="AA507" s="23"/>
      <c r="AB507" s="23"/>
      <c r="AC507" s="23"/>
    </row>
    <row r="508" spans="1:29" ht="13.5" customHeight="1">
      <c r="A508" s="23"/>
      <c r="B508" s="23"/>
      <c r="C508" s="24"/>
      <c r="D508" s="25"/>
      <c r="E508" s="24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4"/>
      <c r="W508" s="25"/>
      <c r="X508" s="24"/>
      <c r="Y508" s="23"/>
      <c r="Z508" s="23"/>
      <c r="AA508" s="23"/>
      <c r="AB508" s="23"/>
      <c r="AC508" s="23"/>
    </row>
    <row r="509" spans="1:29" ht="13.5" customHeight="1">
      <c r="A509" s="23"/>
      <c r="B509" s="23"/>
      <c r="C509" s="24"/>
      <c r="D509" s="25"/>
      <c r="E509" s="24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4"/>
      <c r="W509" s="25"/>
      <c r="X509" s="24"/>
      <c r="Y509" s="23"/>
      <c r="Z509" s="23"/>
      <c r="AA509" s="23"/>
      <c r="AB509" s="23"/>
      <c r="AC509" s="23"/>
    </row>
    <row r="510" spans="1:29" ht="13.5" customHeight="1">
      <c r="A510" s="23"/>
      <c r="B510" s="23"/>
      <c r="C510" s="24"/>
      <c r="D510" s="25"/>
      <c r="E510" s="24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4"/>
      <c r="W510" s="25"/>
      <c r="X510" s="24"/>
      <c r="Y510" s="23"/>
      <c r="Z510" s="23"/>
      <c r="AA510" s="23"/>
      <c r="AB510" s="23"/>
      <c r="AC510" s="23"/>
    </row>
    <row r="511" spans="1:29" ht="13.5" customHeight="1">
      <c r="A511" s="23"/>
      <c r="B511" s="23"/>
      <c r="C511" s="24"/>
      <c r="D511" s="25"/>
      <c r="E511" s="24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4"/>
      <c r="W511" s="25"/>
      <c r="X511" s="24"/>
      <c r="Y511" s="23"/>
      <c r="Z511" s="23"/>
      <c r="AA511" s="23"/>
      <c r="AB511" s="23"/>
      <c r="AC511" s="23"/>
    </row>
    <row r="512" spans="1:29" ht="13.5" customHeight="1">
      <c r="A512" s="23"/>
      <c r="B512" s="23"/>
      <c r="C512" s="24"/>
      <c r="D512" s="25"/>
      <c r="E512" s="24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4"/>
      <c r="W512" s="25"/>
      <c r="X512" s="24"/>
      <c r="Y512" s="23"/>
      <c r="Z512" s="23"/>
      <c r="AA512" s="23"/>
      <c r="AB512" s="23"/>
      <c r="AC512" s="23"/>
    </row>
    <row r="513" spans="1:29" ht="13.5" customHeight="1">
      <c r="A513" s="23"/>
      <c r="B513" s="23"/>
      <c r="C513" s="24"/>
      <c r="D513" s="25"/>
      <c r="E513" s="24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4"/>
      <c r="W513" s="25"/>
      <c r="X513" s="24"/>
      <c r="Y513" s="23"/>
      <c r="Z513" s="23"/>
      <c r="AA513" s="23"/>
      <c r="AB513" s="23"/>
      <c r="AC513" s="23"/>
    </row>
    <row r="514" spans="1:29" ht="13.5" customHeight="1">
      <c r="A514" s="23"/>
      <c r="B514" s="23"/>
      <c r="C514" s="24"/>
      <c r="D514" s="25"/>
      <c r="E514" s="24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4"/>
      <c r="W514" s="25"/>
      <c r="X514" s="24"/>
      <c r="Y514" s="23"/>
      <c r="Z514" s="23"/>
      <c r="AA514" s="23"/>
      <c r="AB514" s="23"/>
      <c r="AC514" s="23"/>
    </row>
    <row r="515" spans="1:29" ht="13.5" customHeight="1">
      <c r="A515" s="23"/>
      <c r="B515" s="23"/>
      <c r="C515" s="24"/>
      <c r="D515" s="25"/>
      <c r="E515" s="24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4"/>
      <c r="W515" s="25"/>
      <c r="X515" s="24"/>
      <c r="Y515" s="23"/>
      <c r="Z515" s="23"/>
      <c r="AA515" s="23"/>
      <c r="AB515" s="23"/>
      <c r="AC515" s="23"/>
    </row>
    <row r="516" spans="1:29" ht="13.5" customHeight="1">
      <c r="A516" s="23"/>
      <c r="B516" s="23"/>
      <c r="C516" s="24"/>
      <c r="D516" s="25"/>
      <c r="E516" s="24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4"/>
      <c r="W516" s="25"/>
      <c r="X516" s="24"/>
      <c r="Y516" s="23"/>
      <c r="Z516" s="23"/>
      <c r="AA516" s="23"/>
      <c r="AB516" s="23"/>
      <c r="AC516" s="23"/>
    </row>
    <row r="517" spans="1:29" ht="13.5" customHeight="1">
      <c r="A517" s="23"/>
      <c r="B517" s="23"/>
      <c r="C517" s="24"/>
      <c r="D517" s="25"/>
      <c r="E517" s="24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4"/>
      <c r="W517" s="25"/>
      <c r="X517" s="24"/>
      <c r="Y517" s="23"/>
      <c r="Z517" s="23"/>
      <c r="AA517" s="23"/>
      <c r="AB517" s="23"/>
      <c r="AC517" s="23"/>
    </row>
    <row r="518" spans="1:29" ht="13.5" customHeight="1">
      <c r="A518" s="23"/>
      <c r="B518" s="23"/>
      <c r="C518" s="24"/>
      <c r="D518" s="25"/>
      <c r="E518" s="24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4"/>
      <c r="W518" s="25"/>
      <c r="X518" s="24"/>
      <c r="Y518" s="23"/>
      <c r="Z518" s="23"/>
      <c r="AA518" s="23"/>
      <c r="AB518" s="23"/>
      <c r="AC518" s="23"/>
    </row>
    <row r="519" spans="1:29" ht="13.5" customHeight="1">
      <c r="A519" s="23"/>
      <c r="B519" s="23"/>
      <c r="C519" s="24"/>
      <c r="D519" s="25"/>
      <c r="E519" s="24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4"/>
      <c r="W519" s="25"/>
      <c r="X519" s="24"/>
      <c r="Y519" s="23"/>
      <c r="Z519" s="23"/>
      <c r="AA519" s="23"/>
      <c r="AB519" s="23"/>
      <c r="AC519" s="23"/>
    </row>
    <row r="520" spans="1:29" ht="13.5" customHeight="1">
      <c r="A520" s="23"/>
      <c r="B520" s="23"/>
      <c r="C520" s="24"/>
      <c r="D520" s="25"/>
      <c r="E520" s="24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4"/>
      <c r="W520" s="25"/>
      <c r="X520" s="24"/>
      <c r="Y520" s="23"/>
      <c r="Z520" s="23"/>
      <c r="AA520" s="23"/>
      <c r="AB520" s="23"/>
      <c r="AC520" s="23"/>
    </row>
    <row r="521" spans="1:29" ht="13.5" customHeight="1">
      <c r="A521" s="23"/>
      <c r="B521" s="23"/>
      <c r="C521" s="24"/>
      <c r="D521" s="25"/>
      <c r="E521" s="24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4"/>
      <c r="W521" s="25"/>
      <c r="X521" s="24"/>
      <c r="Y521" s="23"/>
      <c r="Z521" s="23"/>
      <c r="AA521" s="23"/>
      <c r="AB521" s="23"/>
      <c r="AC521" s="23"/>
    </row>
    <row r="522" spans="1:29" ht="13.5" customHeight="1">
      <c r="A522" s="23"/>
      <c r="B522" s="23"/>
      <c r="C522" s="24"/>
      <c r="D522" s="25"/>
      <c r="E522" s="24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4"/>
      <c r="W522" s="25"/>
      <c r="X522" s="24"/>
      <c r="Y522" s="23"/>
      <c r="Z522" s="23"/>
      <c r="AA522" s="23"/>
      <c r="AB522" s="23"/>
      <c r="AC522" s="23"/>
    </row>
    <row r="523" spans="1:29" ht="13.5" customHeight="1">
      <c r="A523" s="23"/>
      <c r="B523" s="23"/>
      <c r="C523" s="24"/>
      <c r="D523" s="25"/>
      <c r="E523" s="24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4"/>
      <c r="W523" s="25"/>
      <c r="X523" s="24"/>
      <c r="Y523" s="23"/>
      <c r="Z523" s="23"/>
      <c r="AA523" s="23"/>
      <c r="AB523" s="23"/>
      <c r="AC523" s="23"/>
    </row>
    <row r="524" spans="1:29" ht="13.5" customHeight="1">
      <c r="A524" s="23"/>
      <c r="B524" s="23"/>
      <c r="C524" s="24"/>
      <c r="D524" s="25"/>
      <c r="E524" s="24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4"/>
      <c r="W524" s="25"/>
      <c r="X524" s="24"/>
      <c r="Y524" s="23"/>
      <c r="Z524" s="23"/>
      <c r="AA524" s="23"/>
      <c r="AB524" s="23"/>
      <c r="AC524" s="23"/>
    </row>
    <row r="525" spans="1:29" ht="13.5" customHeight="1">
      <c r="A525" s="23"/>
      <c r="B525" s="23"/>
      <c r="C525" s="24"/>
      <c r="D525" s="25"/>
      <c r="E525" s="24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4"/>
      <c r="W525" s="25"/>
      <c r="X525" s="24"/>
      <c r="Y525" s="23"/>
      <c r="Z525" s="23"/>
      <c r="AA525" s="23"/>
      <c r="AB525" s="23"/>
      <c r="AC525" s="23"/>
    </row>
    <row r="526" spans="1:29" ht="13.5" customHeight="1">
      <c r="A526" s="23"/>
      <c r="B526" s="23"/>
      <c r="C526" s="24"/>
      <c r="D526" s="25"/>
      <c r="E526" s="24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4"/>
      <c r="W526" s="25"/>
      <c r="X526" s="24"/>
      <c r="Y526" s="23"/>
      <c r="Z526" s="23"/>
      <c r="AA526" s="23"/>
      <c r="AB526" s="23"/>
      <c r="AC526" s="23"/>
    </row>
    <row r="527" spans="1:29" ht="13.5" customHeight="1">
      <c r="A527" s="23"/>
      <c r="B527" s="23"/>
      <c r="C527" s="24"/>
      <c r="D527" s="25"/>
      <c r="E527" s="24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4"/>
      <c r="W527" s="25"/>
      <c r="X527" s="24"/>
      <c r="Y527" s="23"/>
      <c r="Z527" s="23"/>
      <c r="AA527" s="23"/>
      <c r="AB527" s="23"/>
      <c r="AC527" s="23"/>
    </row>
    <row r="528" spans="1:29" ht="13.5" customHeight="1">
      <c r="A528" s="23"/>
      <c r="B528" s="23"/>
      <c r="C528" s="24"/>
      <c r="D528" s="25"/>
      <c r="E528" s="24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4"/>
      <c r="W528" s="25"/>
      <c r="X528" s="24"/>
      <c r="Y528" s="23"/>
      <c r="Z528" s="23"/>
      <c r="AA528" s="23"/>
      <c r="AB528" s="23"/>
      <c r="AC528" s="23"/>
    </row>
    <row r="529" spans="1:29" ht="13.5" customHeight="1">
      <c r="A529" s="23"/>
      <c r="B529" s="23"/>
      <c r="C529" s="24"/>
      <c r="D529" s="25"/>
      <c r="E529" s="24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4"/>
      <c r="W529" s="25"/>
      <c r="X529" s="24"/>
      <c r="Y529" s="23"/>
      <c r="Z529" s="23"/>
      <c r="AA529" s="23"/>
      <c r="AB529" s="23"/>
      <c r="AC529" s="23"/>
    </row>
    <row r="530" spans="1:29" ht="13.5" customHeight="1">
      <c r="A530" s="23"/>
      <c r="B530" s="23"/>
      <c r="C530" s="24"/>
      <c r="D530" s="25"/>
      <c r="E530" s="24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4"/>
      <c r="W530" s="25"/>
      <c r="X530" s="24"/>
      <c r="Y530" s="23"/>
      <c r="Z530" s="23"/>
      <c r="AA530" s="23"/>
      <c r="AB530" s="23"/>
      <c r="AC530" s="23"/>
    </row>
    <row r="531" spans="1:29" ht="13.5" customHeight="1">
      <c r="A531" s="23"/>
      <c r="B531" s="23"/>
      <c r="C531" s="24"/>
      <c r="D531" s="25"/>
      <c r="E531" s="24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4"/>
      <c r="W531" s="25"/>
      <c r="X531" s="24"/>
      <c r="Y531" s="23"/>
      <c r="Z531" s="23"/>
      <c r="AA531" s="23"/>
      <c r="AB531" s="23"/>
      <c r="AC531" s="23"/>
    </row>
    <row r="532" spans="1:29" ht="13.5" customHeight="1">
      <c r="A532" s="23"/>
      <c r="B532" s="23"/>
      <c r="C532" s="24"/>
      <c r="D532" s="25"/>
      <c r="E532" s="24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4"/>
      <c r="W532" s="25"/>
      <c r="X532" s="24"/>
      <c r="Y532" s="23"/>
      <c r="Z532" s="23"/>
      <c r="AA532" s="23"/>
      <c r="AB532" s="23"/>
      <c r="AC532" s="23"/>
    </row>
    <row r="533" spans="1:29" ht="13.5" customHeight="1">
      <c r="A533" s="23"/>
      <c r="B533" s="23"/>
      <c r="C533" s="24"/>
      <c r="D533" s="25"/>
      <c r="E533" s="24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4"/>
      <c r="W533" s="25"/>
      <c r="X533" s="24"/>
      <c r="Y533" s="23"/>
      <c r="Z533" s="23"/>
      <c r="AA533" s="23"/>
      <c r="AB533" s="23"/>
      <c r="AC533" s="23"/>
    </row>
    <row r="534" spans="1:29" ht="13.5" customHeight="1">
      <c r="A534" s="23"/>
      <c r="B534" s="23"/>
      <c r="C534" s="24"/>
      <c r="D534" s="25"/>
      <c r="E534" s="24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4"/>
      <c r="W534" s="25"/>
      <c r="X534" s="24"/>
      <c r="Y534" s="23"/>
      <c r="Z534" s="23"/>
      <c r="AA534" s="23"/>
      <c r="AB534" s="23"/>
      <c r="AC534" s="23"/>
    </row>
    <row r="535" spans="1:29" ht="13.5" customHeight="1">
      <c r="A535" s="23"/>
      <c r="B535" s="23"/>
      <c r="C535" s="24"/>
      <c r="D535" s="25"/>
      <c r="E535" s="24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4"/>
      <c r="W535" s="25"/>
      <c r="X535" s="24"/>
      <c r="Y535" s="23"/>
      <c r="Z535" s="23"/>
      <c r="AA535" s="23"/>
      <c r="AB535" s="23"/>
      <c r="AC535" s="23"/>
    </row>
    <row r="536" spans="1:29" ht="13.5" customHeight="1">
      <c r="A536" s="23"/>
      <c r="B536" s="23"/>
      <c r="C536" s="24"/>
      <c r="D536" s="25"/>
      <c r="E536" s="24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4"/>
      <c r="W536" s="25"/>
      <c r="X536" s="24"/>
      <c r="Y536" s="23"/>
      <c r="Z536" s="23"/>
      <c r="AA536" s="23"/>
      <c r="AB536" s="23"/>
      <c r="AC536" s="23"/>
    </row>
    <row r="537" spans="1:29" ht="13.5" customHeight="1">
      <c r="A537" s="23"/>
      <c r="B537" s="23"/>
      <c r="C537" s="24"/>
      <c r="D537" s="25"/>
      <c r="E537" s="24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4"/>
      <c r="W537" s="25"/>
      <c r="X537" s="24"/>
      <c r="Y537" s="23"/>
      <c r="Z537" s="23"/>
      <c r="AA537" s="23"/>
      <c r="AB537" s="23"/>
      <c r="AC537" s="23"/>
    </row>
    <row r="538" spans="1:29" ht="13.5" customHeight="1">
      <c r="A538" s="23"/>
      <c r="B538" s="23"/>
      <c r="C538" s="24"/>
      <c r="D538" s="25"/>
      <c r="E538" s="24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4"/>
      <c r="W538" s="25"/>
      <c r="X538" s="24"/>
      <c r="Y538" s="23"/>
      <c r="Z538" s="23"/>
      <c r="AA538" s="23"/>
      <c r="AB538" s="23"/>
      <c r="AC538" s="23"/>
    </row>
    <row r="539" spans="1:29" ht="13.5" customHeight="1">
      <c r="A539" s="23"/>
      <c r="B539" s="23"/>
      <c r="C539" s="24"/>
      <c r="D539" s="25"/>
      <c r="E539" s="24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4"/>
      <c r="W539" s="25"/>
      <c r="X539" s="24"/>
      <c r="Y539" s="23"/>
      <c r="Z539" s="23"/>
      <c r="AA539" s="23"/>
      <c r="AB539" s="23"/>
      <c r="AC539" s="23"/>
    </row>
    <row r="540" spans="1:29" ht="13.5" customHeight="1">
      <c r="A540" s="23"/>
      <c r="B540" s="23"/>
      <c r="C540" s="24"/>
      <c r="D540" s="25"/>
      <c r="E540" s="24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4"/>
      <c r="W540" s="25"/>
      <c r="X540" s="24"/>
      <c r="Y540" s="23"/>
      <c r="Z540" s="23"/>
      <c r="AA540" s="23"/>
      <c r="AB540" s="23"/>
      <c r="AC540" s="23"/>
    </row>
    <row r="541" spans="1:29" ht="13.5" customHeight="1">
      <c r="A541" s="23"/>
      <c r="B541" s="23"/>
      <c r="C541" s="24"/>
      <c r="D541" s="25"/>
      <c r="E541" s="24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4"/>
      <c r="W541" s="25"/>
      <c r="X541" s="24"/>
      <c r="Y541" s="23"/>
      <c r="Z541" s="23"/>
      <c r="AA541" s="23"/>
      <c r="AB541" s="23"/>
      <c r="AC541" s="23"/>
    </row>
    <row r="542" spans="1:29" ht="13.5" customHeight="1">
      <c r="A542" s="23"/>
      <c r="B542" s="23"/>
      <c r="C542" s="24"/>
      <c r="D542" s="25"/>
      <c r="E542" s="24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4"/>
      <c r="W542" s="25"/>
      <c r="X542" s="24"/>
      <c r="Y542" s="23"/>
      <c r="Z542" s="23"/>
      <c r="AA542" s="23"/>
      <c r="AB542" s="23"/>
      <c r="AC542" s="23"/>
    </row>
    <row r="543" spans="1:29" ht="13.5" customHeight="1">
      <c r="A543" s="23"/>
      <c r="B543" s="23"/>
      <c r="C543" s="24"/>
      <c r="D543" s="25"/>
      <c r="E543" s="24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4"/>
      <c r="W543" s="25"/>
      <c r="X543" s="24"/>
      <c r="Y543" s="23"/>
      <c r="Z543" s="23"/>
      <c r="AA543" s="23"/>
      <c r="AB543" s="23"/>
      <c r="AC543" s="23"/>
    </row>
    <row r="544" spans="1:29" ht="13.5" customHeight="1">
      <c r="A544" s="23"/>
      <c r="B544" s="23"/>
      <c r="C544" s="24"/>
      <c r="D544" s="25"/>
      <c r="E544" s="24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4"/>
      <c r="W544" s="25"/>
      <c r="X544" s="24"/>
      <c r="Y544" s="23"/>
      <c r="Z544" s="23"/>
      <c r="AA544" s="23"/>
      <c r="AB544" s="23"/>
      <c r="AC544" s="23"/>
    </row>
    <row r="545" spans="1:29" ht="13.5" customHeight="1">
      <c r="A545" s="23"/>
      <c r="B545" s="23"/>
      <c r="C545" s="24"/>
      <c r="D545" s="25"/>
      <c r="E545" s="24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4"/>
      <c r="W545" s="25"/>
      <c r="X545" s="24"/>
      <c r="Y545" s="23"/>
      <c r="Z545" s="23"/>
      <c r="AA545" s="23"/>
      <c r="AB545" s="23"/>
      <c r="AC545" s="23"/>
    </row>
    <row r="546" spans="1:29" ht="13.5" customHeight="1">
      <c r="A546" s="23"/>
      <c r="B546" s="23"/>
      <c r="C546" s="24"/>
      <c r="D546" s="25"/>
      <c r="E546" s="24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4"/>
      <c r="W546" s="25"/>
      <c r="X546" s="24"/>
      <c r="Y546" s="23"/>
      <c r="Z546" s="23"/>
      <c r="AA546" s="23"/>
      <c r="AB546" s="23"/>
      <c r="AC546" s="23"/>
    </row>
    <row r="547" spans="1:29" ht="13.5" customHeight="1">
      <c r="A547" s="23"/>
      <c r="B547" s="23"/>
      <c r="C547" s="24"/>
      <c r="D547" s="25"/>
      <c r="E547" s="24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4"/>
      <c r="W547" s="25"/>
      <c r="X547" s="24"/>
      <c r="Y547" s="23"/>
      <c r="Z547" s="23"/>
      <c r="AA547" s="23"/>
      <c r="AB547" s="23"/>
      <c r="AC547" s="23"/>
    </row>
    <row r="548" spans="1:29" ht="13.5" customHeight="1">
      <c r="A548" s="23"/>
      <c r="B548" s="23"/>
      <c r="C548" s="24"/>
      <c r="D548" s="25"/>
      <c r="E548" s="24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4"/>
      <c r="W548" s="25"/>
      <c r="X548" s="24"/>
      <c r="Y548" s="23"/>
      <c r="Z548" s="23"/>
      <c r="AA548" s="23"/>
      <c r="AB548" s="23"/>
      <c r="AC548" s="23"/>
    </row>
    <row r="549" spans="1:29" ht="13.5" customHeight="1">
      <c r="A549" s="23"/>
      <c r="B549" s="23"/>
      <c r="C549" s="24"/>
      <c r="D549" s="25"/>
      <c r="E549" s="24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4"/>
      <c r="W549" s="25"/>
      <c r="X549" s="24"/>
      <c r="Y549" s="23"/>
      <c r="Z549" s="23"/>
      <c r="AA549" s="23"/>
      <c r="AB549" s="23"/>
      <c r="AC549" s="23"/>
    </row>
    <row r="550" spans="1:29" ht="13.5" customHeight="1">
      <c r="A550" s="23"/>
      <c r="B550" s="23"/>
      <c r="C550" s="24"/>
      <c r="D550" s="25"/>
      <c r="E550" s="24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4"/>
      <c r="W550" s="25"/>
      <c r="X550" s="24"/>
      <c r="Y550" s="23"/>
      <c r="Z550" s="23"/>
      <c r="AA550" s="23"/>
      <c r="AB550" s="23"/>
      <c r="AC550" s="23"/>
    </row>
    <row r="551" spans="1:29" ht="13.5" customHeight="1">
      <c r="A551" s="23"/>
      <c r="B551" s="23"/>
      <c r="C551" s="24"/>
      <c r="D551" s="25"/>
      <c r="E551" s="24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4"/>
      <c r="W551" s="25"/>
      <c r="X551" s="24"/>
      <c r="Y551" s="23"/>
      <c r="Z551" s="23"/>
      <c r="AA551" s="23"/>
      <c r="AB551" s="23"/>
      <c r="AC551" s="23"/>
    </row>
    <row r="552" spans="1:29" ht="13.5" customHeight="1">
      <c r="A552" s="23"/>
      <c r="B552" s="23"/>
      <c r="C552" s="24"/>
      <c r="D552" s="25"/>
      <c r="E552" s="24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4"/>
      <c r="W552" s="25"/>
      <c r="X552" s="24"/>
      <c r="Y552" s="23"/>
      <c r="Z552" s="23"/>
      <c r="AA552" s="23"/>
      <c r="AB552" s="23"/>
      <c r="AC552" s="23"/>
    </row>
    <row r="553" spans="1:29" ht="13.5" customHeight="1">
      <c r="A553" s="23"/>
      <c r="B553" s="23"/>
      <c r="C553" s="24"/>
      <c r="D553" s="25"/>
      <c r="E553" s="24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4"/>
      <c r="W553" s="25"/>
      <c r="X553" s="24"/>
      <c r="Y553" s="23"/>
      <c r="Z553" s="23"/>
      <c r="AA553" s="23"/>
      <c r="AB553" s="23"/>
      <c r="AC553" s="23"/>
    </row>
    <row r="554" spans="1:29" ht="13.5" customHeight="1">
      <c r="A554" s="23"/>
      <c r="B554" s="23"/>
      <c r="C554" s="24"/>
      <c r="D554" s="25"/>
      <c r="E554" s="24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4"/>
      <c r="W554" s="25"/>
      <c r="X554" s="24"/>
      <c r="Y554" s="23"/>
      <c r="Z554" s="23"/>
      <c r="AA554" s="23"/>
      <c r="AB554" s="23"/>
      <c r="AC554" s="23"/>
    </row>
    <row r="555" spans="1:29" ht="13.5" customHeight="1">
      <c r="A555" s="23"/>
      <c r="B555" s="23"/>
      <c r="C555" s="24"/>
      <c r="D555" s="25"/>
      <c r="E555" s="24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4"/>
      <c r="W555" s="25"/>
      <c r="X555" s="24"/>
      <c r="Y555" s="23"/>
      <c r="Z555" s="23"/>
      <c r="AA555" s="23"/>
      <c r="AB555" s="23"/>
      <c r="AC555" s="23"/>
    </row>
    <row r="556" spans="1:29" ht="13.5" customHeight="1">
      <c r="A556" s="23"/>
      <c r="B556" s="23"/>
      <c r="C556" s="24"/>
      <c r="D556" s="25"/>
      <c r="E556" s="24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4"/>
      <c r="W556" s="25"/>
      <c r="X556" s="24"/>
      <c r="Y556" s="23"/>
      <c r="Z556" s="23"/>
      <c r="AA556" s="23"/>
      <c r="AB556" s="23"/>
      <c r="AC556" s="23"/>
    </row>
    <row r="557" spans="1:29" ht="13.5" customHeight="1">
      <c r="A557" s="23"/>
      <c r="B557" s="23"/>
      <c r="C557" s="24"/>
      <c r="D557" s="25"/>
      <c r="E557" s="24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4"/>
      <c r="W557" s="25"/>
      <c r="X557" s="24"/>
      <c r="Y557" s="23"/>
      <c r="Z557" s="23"/>
      <c r="AA557" s="23"/>
      <c r="AB557" s="23"/>
      <c r="AC557" s="23"/>
    </row>
    <row r="558" spans="1:29" ht="13.5" customHeight="1">
      <c r="A558" s="23"/>
      <c r="B558" s="23"/>
      <c r="C558" s="24"/>
      <c r="D558" s="25"/>
      <c r="E558" s="24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4"/>
      <c r="W558" s="25"/>
      <c r="X558" s="24"/>
      <c r="Y558" s="23"/>
      <c r="Z558" s="23"/>
      <c r="AA558" s="23"/>
      <c r="AB558" s="23"/>
      <c r="AC558" s="23"/>
    </row>
    <row r="559" spans="1:29" ht="13.5" customHeight="1">
      <c r="A559" s="23"/>
      <c r="B559" s="23"/>
      <c r="C559" s="24"/>
      <c r="D559" s="25"/>
      <c r="E559" s="24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4"/>
      <c r="W559" s="25"/>
      <c r="X559" s="24"/>
      <c r="Y559" s="23"/>
      <c r="Z559" s="23"/>
      <c r="AA559" s="23"/>
      <c r="AB559" s="23"/>
      <c r="AC559" s="23"/>
    </row>
    <row r="560" spans="1:29" ht="13.5" customHeight="1">
      <c r="A560" s="23"/>
      <c r="B560" s="23"/>
      <c r="C560" s="24"/>
      <c r="D560" s="25"/>
      <c r="E560" s="24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4"/>
      <c r="W560" s="25"/>
      <c r="X560" s="24"/>
      <c r="Y560" s="23"/>
      <c r="Z560" s="23"/>
      <c r="AA560" s="23"/>
      <c r="AB560" s="23"/>
      <c r="AC560" s="23"/>
    </row>
    <row r="561" spans="1:29" ht="13.5" customHeight="1">
      <c r="A561" s="23"/>
      <c r="B561" s="23"/>
      <c r="C561" s="24"/>
      <c r="D561" s="25"/>
      <c r="E561" s="24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4"/>
      <c r="W561" s="25"/>
      <c r="X561" s="24"/>
      <c r="Y561" s="23"/>
      <c r="Z561" s="23"/>
      <c r="AA561" s="23"/>
      <c r="AB561" s="23"/>
      <c r="AC561" s="23"/>
    </row>
    <row r="562" spans="1:29" ht="13.5" customHeight="1">
      <c r="A562" s="23"/>
      <c r="B562" s="23"/>
      <c r="C562" s="24"/>
      <c r="D562" s="25"/>
      <c r="E562" s="24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4"/>
      <c r="W562" s="25"/>
      <c r="X562" s="24"/>
      <c r="Y562" s="23"/>
      <c r="Z562" s="23"/>
      <c r="AA562" s="23"/>
      <c r="AB562" s="23"/>
      <c r="AC562" s="23"/>
    </row>
    <row r="563" spans="1:29" ht="13.5" customHeight="1">
      <c r="A563" s="23"/>
      <c r="B563" s="23"/>
      <c r="C563" s="24"/>
      <c r="D563" s="25"/>
      <c r="E563" s="24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4"/>
      <c r="W563" s="25"/>
      <c r="X563" s="24"/>
      <c r="Y563" s="23"/>
      <c r="Z563" s="23"/>
      <c r="AA563" s="23"/>
      <c r="AB563" s="23"/>
      <c r="AC563" s="23"/>
    </row>
    <row r="564" spans="1:29" ht="13.5" customHeight="1">
      <c r="A564" s="23"/>
      <c r="B564" s="23"/>
      <c r="C564" s="24"/>
      <c r="D564" s="25"/>
      <c r="E564" s="24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4"/>
      <c r="W564" s="25"/>
      <c r="X564" s="24"/>
      <c r="Y564" s="23"/>
      <c r="Z564" s="23"/>
      <c r="AA564" s="23"/>
      <c r="AB564" s="23"/>
      <c r="AC564" s="23"/>
    </row>
    <row r="565" spans="1:29" ht="13.5" customHeight="1">
      <c r="A565" s="23"/>
      <c r="B565" s="23"/>
      <c r="C565" s="24"/>
      <c r="D565" s="25"/>
      <c r="E565" s="24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4"/>
      <c r="W565" s="25"/>
      <c r="X565" s="24"/>
      <c r="Y565" s="23"/>
      <c r="Z565" s="23"/>
      <c r="AA565" s="23"/>
      <c r="AB565" s="23"/>
      <c r="AC565" s="23"/>
    </row>
    <row r="566" spans="1:29" ht="13.5" customHeight="1">
      <c r="A566" s="23"/>
      <c r="B566" s="23"/>
      <c r="C566" s="24"/>
      <c r="D566" s="25"/>
      <c r="E566" s="24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4"/>
      <c r="W566" s="25"/>
      <c r="X566" s="24"/>
      <c r="Y566" s="23"/>
      <c r="Z566" s="23"/>
      <c r="AA566" s="23"/>
      <c r="AB566" s="23"/>
      <c r="AC566" s="23"/>
    </row>
    <row r="567" spans="1:29" ht="13.5" customHeight="1">
      <c r="A567" s="23"/>
      <c r="B567" s="23"/>
      <c r="C567" s="24"/>
      <c r="D567" s="25"/>
      <c r="E567" s="24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4"/>
      <c r="W567" s="25"/>
      <c r="X567" s="24"/>
      <c r="Y567" s="23"/>
      <c r="Z567" s="23"/>
      <c r="AA567" s="23"/>
      <c r="AB567" s="23"/>
      <c r="AC567" s="23"/>
    </row>
    <row r="568" spans="1:29" ht="13.5" customHeight="1">
      <c r="A568" s="23"/>
      <c r="B568" s="23"/>
      <c r="C568" s="24"/>
      <c r="D568" s="25"/>
      <c r="E568" s="24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4"/>
      <c r="W568" s="25"/>
      <c r="X568" s="24"/>
      <c r="Y568" s="23"/>
      <c r="Z568" s="23"/>
      <c r="AA568" s="23"/>
      <c r="AB568" s="23"/>
      <c r="AC568" s="23"/>
    </row>
    <row r="569" spans="1:29" ht="13.5" customHeight="1">
      <c r="A569" s="23"/>
      <c r="B569" s="23"/>
      <c r="C569" s="24"/>
      <c r="D569" s="25"/>
      <c r="E569" s="24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4"/>
      <c r="W569" s="25"/>
      <c r="X569" s="24"/>
      <c r="Y569" s="23"/>
      <c r="Z569" s="23"/>
      <c r="AA569" s="23"/>
      <c r="AB569" s="23"/>
      <c r="AC569" s="23"/>
    </row>
    <row r="570" spans="1:29" ht="13.5" customHeight="1">
      <c r="A570" s="23"/>
      <c r="B570" s="23"/>
      <c r="C570" s="24"/>
      <c r="D570" s="25"/>
      <c r="E570" s="24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4"/>
      <c r="W570" s="25"/>
      <c r="X570" s="24"/>
      <c r="Y570" s="23"/>
      <c r="Z570" s="23"/>
      <c r="AA570" s="23"/>
      <c r="AB570" s="23"/>
      <c r="AC570" s="23"/>
    </row>
    <row r="571" spans="1:29" ht="13.5" customHeight="1">
      <c r="A571" s="23"/>
      <c r="B571" s="23"/>
      <c r="C571" s="24"/>
      <c r="D571" s="25"/>
      <c r="E571" s="24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4"/>
      <c r="W571" s="25"/>
      <c r="X571" s="24"/>
      <c r="Y571" s="23"/>
      <c r="Z571" s="23"/>
      <c r="AA571" s="23"/>
      <c r="AB571" s="23"/>
      <c r="AC571" s="23"/>
    </row>
    <row r="572" spans="1:29" ht="13.5" customHeight="1">
      <c r="A572" s="23"/>
      <c r="B572" s="23"/>
      <c r="C572" s="24"/>
      <c r="D572" s="25"/>
      <c r="E572" s="24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4"/>
      <c r="W572" s="25"/>
      <c r="X572" s="24"/>
      <c r="Y572" s="23"/>
      <c r="Z572" s="23"/>
      <c r="AA572" s="23"/>
      <c r="AB572" s="23"/>
      <c r="AC572" s="23"/>
    </row>
    <row r="573" spans="1:29" ht="13.5" customHeight="1">
      <c r="A573" s="23"/>
      <c r="B573" s="23"/>
      <c r="C573" s="24"/>
      <c r="D573" s="25"/>
      <c r="E573" s="24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4"/>
      <c r="W573" s="25"/>
      <c r="X573" s="24"/>
      <c r="Y573" s="23"/>
      <c r="Z573" s="23"/>
      <c r="AA573" s="23"/>
      <c r="AB573" s="23"/>
      <c r="AC573" s="23"/>
    </row>
    <row r="574" spans="1:29" ht="13.5" customHeight="1">
      <c r="A574" s="23"/>
      <c r="B574" s="23"/>
      <c r="C574" s="24"/>
      <c r="D574" s="25"/>
      <c r="E574" s="24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4"/>
      <c r="W574" s="25"/>
      <c r="X574" s="24"/>
      <c r="Y574" s="23"/>
      <c r="Z574" s="23"/>
      <c r="AA574" s="23"/>
      <c r="AB574" s="23"/>
      <c r="AC574" s="23"/>
    </row>
    <row r="575" spans="1:29" ht="13.5" customHeight="1">
      <c r="A575" s="23"/>
      <c r="B575" s="23"/>
      <c r="C575" s="24"/>
      <c r="D575" s="25"/>
      <c r="E575" s="24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4"/>
      <c r="W575" s="25"/>
      <c r="X575" s="24"/>
      <c r="Y575" s="23"/>
      <c r="Z575" s="23"/>
      <c r="AA575" s="23"/>
      <c r="AB575" s="23"/>
      <c r="AC575" s="23"/>
    </row>
    <row r="576" spans="1:29" ht="13.5" customHeight="1">
      <c r="A576" s="23"/>
      <c r="B576" s="23"/>
      <c r="C576" s="24"/>
      <c r="D576" s="25"/>
      <c r="E576" s="24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4"/>
      <c r="W576" s="25"/>
      <c r="X576" s="24"/>
      <c r="Y576" s="23"/>
      <c r="Z576" s="23"/>
      <c r="AA576" s="23"/>
      <c r="AB576" s="23"/>
      <c r="AC576" s="23"/>
    </row>
    <row r="577" spans="1:29" ht="13.5" customHeight="1">
      <c r="A577" s="23"/>
      <c r="B577" s="23"/>
      <c r="C577" s="24"/>
      <c r="D577" s="25"/>
      <c r="E577" s="24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4"/>
      <c r="W577" s="25"/>
      <c r="X577" s="24"/>
      <c r="Y577" s="23"/>
      <c r="Z577" s="23"/>
      <c r="AA577" s="23"/>
      <c r="AB577" s="23"/>
      <c r="AC577" s="23"/>
    </row>
    <row r="578" spans="1:29" ht="13.5" customHeight="1">
      <c r="A578" s="23"/>
      <c r="B578" s="23"/>
      <c r="C578" s="24"/>
      <c r="D578" s="25"/>
      <c r="E578" s="24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4"/>
      <c r="W578" s="25"/>
      <c r="X578" s="24"/>
      <c r="Y578" s="23"/>
      <c r="Z578" s="23"/>
      <c r="AA578" s="23"/>
      <c r="AB578" s="23"/>
      <c r="AC578" s="23"/>
    </row>
    <row r="579" spans="1:29" ht="13.5" customHeight="1">
      <c r="A579" s="23"/>
      <c r="B579" s="23"/>
      <c r="C579" s="24"/>
      <c r="D579" s="25"/>
      <c r="E579" s="24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4"/>
      <c r="W579" s="25"/>
      <c r="X579" s="24"/>
      <c r="Y579" s="23"/>
      <c r="Z579" s="23"/>
      <c r="AA579" s="23"/>
      <c r="AB579" s="23"/>
      <c r="AC579" s="23"/>
    </row>
    <row r="580" spans="1:29" ht="13.5" customHeight="1">
      <c r="A580" s="23"/>
      <c r="B580" s="23"/>
      <c r="C580" s="24"/>
      <c r="D580" s="25"/>
      <c r="E580" s="24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4"/>
      <c r="W580" s="25"/>
      <c r="X580" s="24"/>
      <c r="Y580" s="23"/>
      <c r="Z580" s="23"/>
      <c r="AA580" s="23"/>
      <c r="AB580" s="23"/>
      <c r="AC580" s="23"/>
    </row>
    <row r="581" spans="1:29" ht="13.5" customHeight="1">
      <c r="A581" s="23"/>
      <c r="B581" s="23"/>
      <c r="C581" s="24"/>
      <c r="D581" s="25"/>
      <c r="E581" s="24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4"/>
      <c r="W581" s="25"/>
      <c r="X581" s="24"/>
      <c r="Y581" s="23"/>
      <c r="Z581" s="23"/>
      <c r="AA581" s="23"/>
      <c r="AB581" s="23"/>
      <c r="AC581" s="23"/>
    </row>
    <row r="582" spans="1:29" ht="13.5" customHeight="1">
      <c r="A582" s="23"/>
      <c r="B582" s="23"/>
      <c r="C582" s="24"/>
      <c r="D582" s="25"/>
      <c r="E582" s="24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4"/>
      <c r="W582" s="25"/>
      <c r="X582" s="24"/>
      <c r="Y582" s="23"/>
      <c r="Z582" s="23"/>
      <c r="AA582" s="23"/>
      <c r="AB582" s="23"/>
      <c r="AC582" s="23"/>
    </row>
    <row r="583" spans="1:29" ht="13.5" customHeight="1">
      <c r="A583" s="23"/>
      <c r="B583" s="23"/>
      <c r="C583" s="24"/>
      <c r="D583" s="25"/>
      <c r="E583" s="24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4"/>
      <c r="W583" s="25"/>
      <c r="X583" s="24"/>
      <c r="Y583" s="23"/>
      <c r="Z583" s="23"/>
      <c r="AA583" s="23"/>
      <c r="AB583" s="23"/>
      <c r="AC583" s="23"/>
    </row>
    <row r="584" spans="1:29" ht="13.5" customHeight="1">
      <c r="A584" s="23"/>
      <c r="B584" s="23"/>
      <c r="C584" s="24"/>
      <c r="D584" s="25"/>
      <c r="E584" s="24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4"/>
      <c r="W584" s="25"/>
      <c r="X584" s="24"/>
      <c r="Y584" s="23"/>
      <c r="Z584" s="23"/>
      <c r="AA584" s="23"/>
      <c r="AB584" s="23"/>
      <c r="AC584" s="23"/>
    </row>
    <row r="585" spans="1:29" ht="13.5" customHeight="1">
      <c r="A585" s="23"/>
      <c r="B585" s="23"/>
      <c r="C585" s="24"/>
      <c r="D585" s="25"/>
      <c r="E585" s="24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4"/>
      <c r="W585" s="25"/>
      <c r="X585" s="24"/>
      <c r="Y585" s="23"/>
      <c r="Z585" s="23"/>
      <c r="AA585" s="23"/>
      <c r="AB585" s="23"/>
      <c r="AC585" s="23"/>
    </row>
    <row r="586" spans="1:29" ht="13.5" customHeight="1">
      <c r="A586" s="23"/>
      <c r="B586" s="23"/>
      <c r="C586" s="24"/>
      <c r="D586" s="25"/>
      <c r="E586" s="24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4"/>
      <c r="W586" s="25"/>
      <c r="X586" s="24"/>
      <c r="Y586" s="23"/>
      <c r="Z586" s="23"/>
      <c r="AA586" s="23"/>
      <c r="AB586" s="23"/>
      <c r="AC586" s="23"/>
    </row>
    <row r="587" spans="1:29" ht="13.5" customHeight="1">
      <c r="A587" s="23"/>
      <c r="B587" s="23"/>
      <c r="C587" s="24"/>
      <c r="D587" s="25"/>
      <c r="E587" s="24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4"/>
      <c r="W587" s="25"/>
      <c r="X587" s="24"/>
      <c r="Y587" s="23"/>
      <c r="Z587" s="23"/>
      <c r="AA587" s="23"/>
      <c r="AB587" s="23"/>
      <c r="AC587" s="23"/>
    </row>
    <row r="588" spans="1:29" ht="13.5" customHeight="1">
      <c r="A588" s="23"/>
      <c r="B588" s="23"/>
      <c r="C588" s="24"/>
      <c r="D588" s="25"/>
      <c r="E588" s="24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4"/>
      <c r="W588" s="25"/>
      <c r="X588" s="24"/>
      <c r="Y588" s="23"/>
      <c r="Z588" s="23"/>
      <c r="AA588" s="23"/>
      <c r="AB588" s="23"/>
      <c r="AC588" s="23"/>
    </row>
    <row r="589" spans="1:29" ht="13.5" customHeight="1">
      <c r="A589" s="23"/>
      <c r="B589" s="23"/>
      <c r="C589" s="24"/>
      <c r="D589" s="25"/>
      <c r="E589" s="24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4"/>
      <c r="W589" s="25"/>
      <c r="X589" s="24"/>
      <c r="Y589" s="23"/>
      <c r="Z589" s="23"/>
      <c r="AA589" s="23"/>
      <c r="AB589" s="23"/>
      <c r="AC589" s="23"/>
    </row>
    <row r="590" spans="1:29" ht="13.5" customHeight="1">
      <c r="A590" s="23"/>
      <c r="B590" s="23"/>
      <c r="C590" s="24"/>
      <c r="D590" s="25"/>
      <c r="E590" s="24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4"/>
      <c r="W590" s="25"/>
      <c r="X590" s="24"/>
      <c r="Y590" s="23"/>
      <c r="Z590" s="23"/>
      <c r="AA590" s="23"/>
      <c r="AB590" s="23"/>
      <c r="AC590" s="23"/>
    </row>
    <row r="591" spans="1:29" ht="13.5" customHeight="1">
      <c r="A591" s="23"/>
      <c r="B591" s="23"/>
      <c r="C591" s="24"/>
      <c r="D591" s="25"/>
      <c r="E591" s="24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4"/>
      <c r="W591" s="25"/>
      <c r="X591" s="24"/>
      <c r="Y591" s="23"/>
      <c r="Z591" s="23"/>
      <c r="AA591" s="23"/>
      <c r="AB591" s="23"/>
      <c r="AC591" s="23"/>
    </row>
    <row r="592" spans="1:29" ht="13.5" customHeight="1">
      <c r="A592" s="23"/>
      <c r="B592" s="23"/>
      <c r="C592" s="24"/>
      <c r="D592" s="25"/>
      <c r="E592" s="24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4"/>
      <c r="W592" s="25"/>
      <c r="X592" s="24"/>
      <c r="Y592" s="23"/>
      <c r="Z592" s="23"/>
      <c r="AA592" s="23"/>
      <c r="AB592" s="23"/>
      <c r="AC592" s="23"/>
    </row>
    <row r="593" spans="1:29" ht="13.5" customHeight="1">
      <c r="A593" s="23"/>
      <c r="B593" s="23"/>
      <c r="C593" s="24"/>
      <c r="D593" s="25"/>
      <c r="E593" s="24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4"/>
      <c r="W593" s="25"/>
      <c r="X593" s="24"/>
      <c r="Y593" s="23"/>
      <c r="Z593" s="23"/>
      <c r="AA593" s="23"/>
      <c r="AB593" s="23"/>
      <c r="AC593" s="23"/>
    </row>
    <row r="594" spans="1:29" ht="13.5" customHeight="1">
      <c r="A594" s="23"/>
      <c r="B594" s="23"/>
      <c r="C594" s="24"/>
      <c r="D594" s="25"/>
      <c r="E594" s="24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4"/>
      <c r="W594" s="25"/>
      <c r="X594" s="24"/>
      <c r="Y594" s="23"/>
      <c r="Z594" s="23"/>
      <c r="AA594" s="23"/>
      <c r="AB594" s="23"/>
      <c r="AC594" s="23"/>
    </row>
    <row r="595" spans="1:29" ht="13.5" customHeight="1">
      <c r="A595" s="23"/>
      <c r="B595" s="23"/>
      <c r="C595" s="24"/>
      <c r="D595" s="25"/>
      <c r="E595" s="24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4"/>
      <c r="W595" s="25"/>
      <c r="X595" s="24"/>
      <c r="Y595" s="23"/>
      <c r="Z595" s="23"/>
      <c r="AA595" s="23"/>
      <c r="AB595" s="23"/>
      <c r="AC595" s="23"/>
    </row>
    <row r="596" spans="1:29" ht="13.5" customHeight="1">
      <c r="A596" s="23"/>
      <c r="B596" s="23"/>
      <c r="C596" s="24"/>
      <c r="D596" s="25"/>
      <c r="E596" s="24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4"/>
      <c r="W596" s="25"/>
      <c r="X596" s="24"/>
      <c r="Y596" s="23"/>
      <c r="Z596" s="23"/>
      <c r="AA596" s="23"/>
      <c r="AB596" s="23"/>
      <c r="AC596" s="23"/>
    </row>
    <row r="597" spans="1:29" ht="13.5" customHeight="1">
      <c r="A597" s="23"/>
      <c r="B597" s="23"/>
      <c r="C597" s="24"/>
      <c r="D597" s="25"/>
      <c r="E597" s="24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4"/>
      <c r="W597" s="25"/>
      <c r="X597" s="24"/>
      <c r="Y597" s="23"/>
      <c r="Z597" s="23"/>
      <c r="AA597" s="23"/>
      <c r="AB597" s="23"/>
      <c r="AC597" s="23"/>
    </row>
    <row r="598" spans="1:29" ht="13.5" customHeight="1">
      <c r="A598" s="23"/>
      <c r="B598" s="23"/>
      <c r="C598" s="24"/>
      <c r="D598" s="25"/>
      <c r="E598" s="24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4"/>
      <c r="W598" s="25"/>
      <c r="X598" s="24"/>
      <c r="Y598" s="23"/>
      <c r="Z598" s="23"/>
      <c r="AA598" s="23"/>
      <c r="AB598" s="23"/>
      <c r="AC598" s="23"/>
    </row>
    <row r="599" spans="1:29" ht="13.5" customHeight="1">
      <c r="A599" s="23"/>
      <c r="B599" s="23"/>
      <c r="C599" s="24"/>
      <c r="D599" s="25"/>
      <c r="E599" s="24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4"/>
      <c r="W599" s="25"/>
      <c r="X599" s="24"/>
      <c r="Y599" s="23"/>
      <c r="Z599" s="23"/>
      <c r="AA599" s="23"/>
      <c r="AB599" s="23"/>
      <c r="AC599" s="23"/>
    </row>
    <row r="600" spans="1:29" ht="13.5" customHeight="1">
      <c r="A600" s="23"/>
      <c r="B600" s="23"/>
      <c r="C600" s="24"/>
      <c r="D600" s="25"/>
      <c r="E600" s="24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4"/>
      <c r="W600" s="25"/>
      <c r="X600" s="24"/>
      <c r="Y600" s="23"/>
      <c r="Z600" s="23"/>
      <c r="AA600" s="23"/>
      <c r="AB600" s="23"/>
      <c r="AC600" s="23"/>
    </row>
    <row r="601" spans="1:29" ht="13.5" customHeight="1">
      <c r="A601" s="23"/>
      <c r="B601" s="23"/>
      <c r="C601" s="24"/>
      <c r="D601" s="25"/>
      <c r="E601" s="24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4"/>
      <c r="W601" s="25"/>
      <c r="X601" s="24"/>
      <c r="Y601" s="23"/>
      <c r="Z601" s="23"/>
      <c r="AA601" s="23"/>
      <c r="AB601" s="23"/>
      <c r="AC601" s="23"/>
    </row>
    <row r="602" spans="1:29" ht="13.5" customHeight="1">
      <c r="A602" s="23"/>
      <c r="B602" s="23"/>
      <c r="C602" s="24"/>
      <c r="D602" s="25"/>
      <c r="E602" s="24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4"/>
      <c r="W602" s="25"/>
      <c r="X602" s="24"/>
      <c r="Y602" s="23"/>
      <c r="Z602" s="23"/>
      <c r="AA602" s="23"/>
      <c r="AB602" s="23"/>
      <c r="AC602" s="23"/>
    </row>
    <row r="603" spans="1:29" ht="13.5" customHeight="1">
      <c r="A603" s="23"/>
      <c r="B603" s="23"/>
      <c r="C603" s="24"/>
      <c r="D603" s="25"/>
      <c r="E603" s="24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4"/>
      <c r="W603" s="25"/>
      <c r="X603" s="24"/>
      <c r="Y603" s="23"/>
      <c r="Z603" s="23"/>
      <c r="AA603" s="23"/>
      <c r="AB603" s="23"/>
      <c r="AC603" s="23"/>
    </row>
    <row r="604" spans="1:29" ht="13.5" customHeight="1">
      <c r="A604" s="23"/>
      <c r="B604" s="23"/>
      <c r="C604" s="24"/>
      <c r="D604" s="25"/>
      <c r="E604" s="24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4"/>
      <c r="W604" s="25"/>
      <c r="X604" s="24"/>
      <c r="Y604" s="23"/>
      <c r="Z604" s="23"/>
      <c r="AA604" s="23"/>
      <c r="AB604" s="23"/>
      <c r="AC604" s="23"/>
    </row>
    <row r="605" spans="1:29" ht="13.5" customHeight="1">
      <c r="A605" s="23"/>
      <c r="B605" s="23"/>
      <c r="C605" s="24"/>
      <c r="D605" s="25"/>
      <c r="E605" s="24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4"/>
      <c r="W605" s="25"/>
      <c r="X605" s="24"/>
      <c r="Y605" s="23"/>
      <c r="Z605" s="23"/>
      <c r="AA605" s="23"/>
      <c r="AB605" s="23"/>
      <c r="AC605" s="23"/>
    </row>
    <row r="606" spans="1:29" ht="13.5" customHeight="1">
      <c r="A606" s="23"/>
      <c r="B606" s="23"/>
      <c r="C606" s="24"/>
      <c r="D606" s="25"/>
      <c r="E606" s="24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4"/>
      <c r="W606" s="25"/>
      <c r="X606" s="24"/>
      <c r="Y606" s="23"/>
      <c r="Z606" s="23"/>
      <c r="AA606" s="23"/>
      <c r="AB606" s="23"/>
      <c r="AC606" s="23"/>
    </row>
    <row r="607" spans="1:29" ht="13.5" customHeight="1">
      <c r="A607" s="23"/>
      <c r="B607" s="23"/>
      <c r="C607" s="24"/>
      <c r="D607" s="25"/>
      <c r="E607" s="24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4"/>
      <c r="W607" s="25"/>
      <c r="X607" s="24"/>
      <c r="Y607" s="23"/>
      <c r="Z607" s="23"/>
      <c r="AA607" s="23"/>
      <c r="AB607" s="23"/>
      <c r="AC607" s="23"/>
    </row>
    <row r="608" spans="1:29" ht="13.5" customHeight="1">
      <c r="A608" s="23"/>
      <c r="B608" s="23"/>
      <c r="C608" s="24"/>
      <c r="D608" s="25"/>
      <c r="E608" s="24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4"/>
      <c r="W608" s="25"/>
      <c r="X608" s="24"/>
      <c r="Y608" s="23"/>
      <c r="Z608" s="23"/>
      <c r="AA608" s="23"/>
      <c r="AB608" s="23"/>
      <c r="AC608" s="23"/>
    </row>
    <row r="609" spans="1:29" ht="13.5" customHeight="1">
      <c r="A609" s="23"/>
      <c r="B609" s="23"/>
      <c r="C609" s="24"/>
      <c r="D609" s="25"/>
      <c r="E609" s="24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4"/>
      <c r="W609" s="25"/>
      <c r="X609" s="24"/>
      <c r="Y609" s="23"/>
      <c r="Z609" s="23"/>
      <c r="AA609" s="23"/>
      <c r="AB609" s="23"/>
      <c r="AC609" s="23"/>
    </row>
    <row r="610" spans="1:29" ht="13.5" customHeight="1">
      <c r="A610" s="23"/>
      <c r="B610" s="23"/>
      <c r="C610" s="24"/>
      <c r="D610" s="25"/>
      <c r="E610" s="24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4"/>
      <c r="W610" s="25"/>
      <c r="X610" s="24"/>
      <c r="Y610" s="23"/>
      <c r="Z610" s="23"/>
      <c r="AA610" s="23"/>
      <c r="AB610" s="23"/>
      <c r="AC610" s="23"/>
    </row>
    <row r="611" spans="1:29" ht="13.5" customHeight="1">
      <c r="A611" s="23"/>
      <c r="B611" s="23"/>
      <c r="C611" s="24"/>
      <c r="D611" s="25"/>
      <c r="E611" s="24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4"/>
      <c r="W611" s="25"/>
      <c r="X611" s="24"/>
      <c r="Y611" s="23"/>
      <c r="Z611" s="23"/>
      <c r="AA611" s="23"/>
      <c r="AB611" s="23"/>
      <c r="AC611" s="23"/>
    </row>
    <row r="612" spans="1:29" ht="13.5" customHeight="1">
      <c r="A612" s="23"/>
      <c r="B612" s="23"/>
      <c r="C612" s="24"/>
      <c r="D612" s="25"/>
      <c r="E612" s="24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4"/>
      <c r="W612" s="25"/>
      <c r="X612" s="24"/>
      <c r="Y612" s="23"/>
      <c r="Z612" s="23"/>
      <c r="AA612" s="23"/>
      <c r="AB612" s="23"/>
      <c r="AC612" s="23"/>
    </row>
    <row r="613" spans="1:29" ht="13.5" customHeight="1">
      <c r="A613" s="23"/>
      <c r="B613" s="23"/>
      <c r="C613" s="24"/>
      <c r="D613" s="25"/>
      <c r="E613" s="24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4"/>
      <c r="W613" s="25"/>
      <c r="X613" s="24"/>
      <c r="Y613" s="23"/>
      <c r="Z613" s="23"/>
      <c r="AA613" s="23"/>
      <c r="AB613" s="23"/>
      <c r="AC613" s="23"/>
    </row>
    <row r="614" spans="1:29" ht="13.5" customHeight="1">
      <c r="A614" s="23"/>
      <c r="B614" s="23"/>
      <c r="C614" s="24"/>
      <c r="D614" s="25"/>
      <c r="E614" s="24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4"/>
      <c r="W614" s="25"/>
      <c r="X614" s="24"/>
      <c r="Y614" s="23"/>
      <c r="Z614" s="23"/>
      <c r="AA614" s="23"/>
      <c r="AB614" s="23"/>
      <c r="AC614" s="23"/>
    </row>
    <row r="615" spans="1:29" ht="13.5" customHeight="1">
      <c r="A615" s="23"/>
      <c r="B615" s="23"/>
      <c r="C615" s="24"/>
      <c r="D615" s="25"/>
      <c r="E615" s="24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4"/>
      <c r="W615" s="25"/>
      <c r="X615" s="24"/>
      <c r="Y615" s="23"/>
      <c r="Z615" s="23"/>
      <c r="AA615" s="23"/>
      <c r="AB615" s="23"/>
      <c r="AC615" s="23"/>
    </row>
    <row r="616" spans="1:29" ht="13.5" customHeight="1">
      <c r="A616" s="23"/>
      <c r="B616" s="23"/>
      <c r="C616" s="24"/>
      <c r="D616" s="25"/>
      <c r="E616" s="24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4"/>
      <c r="W616" s="25"/>
      <c r="X616" s="24"/>
      <c r="Y616" s="23"/>
      <c r="Z616" s="23"/>
      <c r="AA616" s="23"/>
      <c r="AB616" s="23"/>
      <c r="AC616" s="23"/>
    </row>
    <row r="617" spans="1:29" ht="13.5" customHeight="1">
      <c r="A617" s="23"/>
      <c r="B617" s="23"/>
      <c r="C617" s="24"/>
      <c r="D617" s="25"/>
      <c r="E617" s="24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4"/>
      <c r="W617" s="25"/>
      <c r="X617" s="24"/>
      <c r="Y617" s="23"/>
      <c r="Z617" s="23"/>
      <c r="AA617" s="23"/>
      <c r="AB617" s="23"/>
      <c r="AC617" s="23"/>
    </row>
    <row r="618" spans="1:29" ht="13.5" customHeight="1">
      <c r="A618" s="23"/>
      <c r="B618" s="23"/>
      <c r="C618" s="24"/>
      <c r="D618" s="25"/>
      <c r="E618" s="24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4"/>
      <c r="W618" s="25"/>
      <c r="X618" s="24"/>
      <c r="Y618" s="23"/>
      <c r="Z618" s="23"/>
      <c r="AA618" s="23"/>
      <c r="AB618" s="23"/>
      <c r="AC618" s="23"/>
    </row>
    <row r="619" spans="1:29" ht="13.5" customHeight="1">
      <c r="A619" s="23"/>
      <c r="B619" s="23"/>
      <c r="C619" s="24"/>
      <c r="D619" s="25"/>
      <c r="E619" s="24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4"/>
      <c r="W619" s="25"/>
      <c r="X619" s="24"/>
      <c r="Y619" s="23"/>
      <c r="Z619" s="23"/>
      <c r="AA619" s="23"/>
      <c r="AB619" s="23"/>
      <c r="AC619" s="23"/>
    </row>
    <row r="620" spans="1:29" ht="13.5" customHeight="1">
      <c r="A620" s="23"/>
      <c r="B620" s="23"/>
      <c r="C620" s="24"/>
      <c r="D620" s="25"/>
      <c r="E620" s="24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4"/>
      <c r="W620" s="25"/>
      <c r="X620" s="24"/>
      <c r="Y620" s="23"/>
      <c r="Z620" s="23"/>
      <c r="AA620" s="23"/>
      <c r="AB620" s="23"/>
      <c r="AC620" s="23"/>
    </row>
    <row r="621" spans="1:29" ht="13.5" customHeight="1">
      <c r="A621" s="23"/>
      <c r="B621" s="23"/>
      <c r="C621" s="24"/>
      <c r="D621" s="25"/>
      <c r="E621" s="24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4"/>
      <c r="W621" s="25"/>
      <c r="X621" s="24"/>
      <c r="Y621" s="23"/>
      <c r="Z621" s="23"/>
      <c r="AA621" s="23"/>
      <c r="AB621" s="23"/>
      <c r="AC621" s="23"/>
    </row>
    <row r="622" spans="1:29" ht="13.5" customHeight="1">
      <c r="A622" s="23"/>
      <c r="B622" s="23"/>
      <c r="C622" s="24"/>
      <c r="D622" s="25"/>
      <c r="E622" s="24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4"/>
      <c r="W622" s="25"/>
      <c r="X622" s="24"/>
      <c r="Y622" s="23"/>
      <c r="Z622" s="23"/>
      <c r="AA622" s="23"/>
      <c r="AB622" s="23"/>
      <c r="AC622" s="23"/>
    </row>
    <row r="623" spans="1:29" ht="13.5" customHeight="1">
      <c r="A623" s="23"/>
      <c r="B623" s="23"/>
      <c r="C623" s="24"/>
      <c r="D623" s="25"/>
      <c r="E623" s="24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4"/>
      <c r="W623" s="25"/>
      <c r="X623" s="24"/>
      <c r="Y623" s="23"/>
      <c r="Z623" s="23"/>
      <c r="AA623" s="23"/>
      <c r="AB623" s="23"/>
      <c r="AC623" s="23"/>
    </row>
    <row r="624" spans="1:29" ht="13.5" customHeight="1">
      <c r="A624" s="23"/>
      <c r="B624" s="23"/>
      <c r="C624" s="24"/>
      <c r="D624" s="25"/>
      <c r="E624" s="24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4"/>
      <c r="W624" s="25"/>
      <c r="X624" s="24"/>
      <c r="Y624" s="23"/>
      <c r="Z624" s="23"/>
      <c r="AA624" s="23"/>
      <c r="AB624" s="23"/>
      <c r="AC624" s="23"/>
    </row>
    <row r="625" spans="1:29" ht="13.5" customHeight="1">
      <c r="A625" s="23"/>
      <c r="B625" s="23"/>
      <c r="C625" s="24"/>
      <c r="D625" s="25"/>
      <c r="E625" s="24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4"/>
      <c r="W625" s="25"/>
      <c r="X625" s="24"/>
      <c r="Y625" s="23"/>
      <c r="Z625" s="23"/>
      <c r="AA625" s="23"/>
      <c r="AB625" s="23"/>
      <c r="AC625" s="23"/>
    </row>
    <row r="626" spans="1:29" ht="13.5" customHeight="1">
      <c r="A626" s="23"/>
      <c r="B626" s="23"/>
      <c r="C626" s="24"/>
      <c r="D626" s="25"/>
      <c r="E626" s="24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4"/>
      <c r="W626" s="25"/>
      <c r="X626" s="24"/>
      <c r="Y626" s="23"/>
      <c r="Z626" s="23"/>
      <c r="AA626" s="23"/>
      <c r="AB626" s="23"/>
      <c r="AC626" s="23"/>
    </row>
    <row r="627" spans="1:29" ht="13.5" customHeight="1">
      <c r="A627" s="23"/>
      <c r="B627" s="23"/>
      <c r="C627" s="24"/>
      <c r="D627" s="25"/>
      <c r="E627" s="24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4"/>
      <c r="W627" s="25"/>
      <c r="X627" s="24"/>
      <c r="Y627" s="23"/>
      <c r="Z627" s="23"/>
      <c r="AA627" s="23"/>
      <c r="AB627" s="23"/>
      <c r="AC627" s="23"/>
    </row>
    <row r="628" spans="1:29" ht="13.5" customHeight="1">
      <c r="A628" s="23"/>
      <c r="B628" s="23"/>
      <c r="C628" s="24"/>
      <c r="D628" s="25"/>
      <c r="E628" s="24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4"/>
      <c r="W628" s="25"/>
      <c r="X628" s="24"/>
      <c r="Y628" s="23"/>
      <c r="Z628" s="23"/>
      <c r="AA628" s="23"/>
      <c r="AB628" s="23"/>
      <c r="AC628" s="23"/>
    </row>
    <row r="629" spans="1:29" ht="13.5" customHeight="1">
      <c r="A629" s="23"/>
      <c r="B629" s="23"/>
      <c r="C629" s="24"/>
      <c r="D629" s="25"/>
      <c r="E629" s="24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4"/>
      <c r="W629" s="25"/>
      <c r="X629" s="24"/>
      <c r="Y629" s="23"/>
      <c r="Z629" s="23"/>
      <c r="AA629" s="23"/>
      <c r="AB629" s="23"/>
      <c r="AC629" s="23"/>
    </row>
    <row r="630" spans="1:29" ht="13.5" customHeight="1">
      <c r="A630" s="23"/>
      <c r="B630" s="23"/>
      <c r="C630" s="24"/>
      <c r="D630" s="25"/>
      <c r="E630" s="24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4"/>
      <c r="W630" s="25"/>
      <c r="X630" s="24"/>
      <c r="Y630" s="23"/>
      <c r="Z630" s="23"/>
      <c r="AA630" s="23"/>
      <c r="AB630" s="23"/>
      <c r="AC630" s="23"/>
    </row>
    <row r="631" spans="1:29" ht="13.5" customHeight="1">
      <c r="A631" s="23"/>
      <c r="B631" s="23"/>
      <c r="C631" s="24"/>
      <c r="D631" s="25"/>
      <c r="E631" s="24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4"/>
      <c r="W631" s="25"/>
      <c r="X631" s="24"/>
      <c r="Y631" s="23"/>
      <c r="Z631" s="23"/>
      <c r="AA631" s="23"/>
      <c r="AB631" s="23"/>
      <c r="AC631" s="23"/>
    </row>
    <row r="632" spans="1:29" ht="13.5" customHeight="1">
      <c r="A632" s="23"/>
      <c r="B632" s="23"/>
      <c r="C632" s="24"/>
      <c r="D632" s="25"/>
      <c r="E632" s="24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4"/>
      <c r="W632" s="25"/>
      <c r="X632" s="24"/>
      <c r="Y632" s="23"/>
      <c r="Z632" s="23"/>
      <c r="AA632" s="23"/>
      <c r="AB632" s="23"/>
      <c r="AC632" s="23"/>
    </row>
    <row r="633" spans="1:29" ht="13.5" customHeight="1">
      <c r="A633" s="23"/>
      <c r="B633" s="23"/>
      <c r="C633" s="24"/>
      <c r="D633" s="25"/>
      <c r="E633" s="24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4"/>
      <c r="W633" s="25"/>
      <c r="X633" s="24"/>
      <c r="Y633" s="23"/>
      <c r="Z633" s="23"/>
      <c r="AA633" s="23"/>
      <c r="AB633" s="23"/>
      <c r="AC633" s="23"/>
    </row>
    <row r="634" spans="1:29" ht="13.5" customHeight="1">
      <c r="A634" s="23"/>
      <c r="B634" s="23"/>
      <c r="C634" s="24"/>
      <c r="D634" s="25"/>
      <c r="E634" s="24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4"/>
      <c r="W634" s="25"/>
      <c r="X634" s="24"/>
      <c r="Y634" s="23"/>
      <c r="Z634" s="23"/>
      <c r="AA634" s="23"/>
      <c r="AB634" s="23"/>
      <c r="AC634" s="23"/>
    </row>
    <row r="635" spans="1:29" ht="13.5" customHeight="1">
      <c r="A635" s="23"/>
      <c r="B635" s="23"/>
      <c r="C635" s="24"/>
      <c r="D635" s="25"/>
      <c r="E635" s="24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4"/>
      <c r="W635" s="25"/>
      <c r="X635" s="24"/>
      <c r="Y635" s="23"/>
      <c r="Z635" s="23"/>
      <c r="AA635" s="23"/>
      <c r="AB635" s="23"/>
      <c r="AC635" s="23"/>
    </row>
    <row r="636" spans="1:29" ht="13.5" customHeight="1">
      <c r="A636" s="23"/>
      <c r="B636" s="23"/>
      <c r="C636" s="24"/>
      <c r="D636" s="25"/>
      <c r="E636" s="24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4"/>
      <c r="W636" s="25"/>
      <c r="X636" s="24"/>
      <c r="Y636" s="23"/>
      <c r="Z636" s="23"/>
      <c r="AA636" s="23"/>
      <c r="AB636" s="23"/>
      <c r="AC636" s="23"/>
    </row>
    <row r="637" spans="1:29" ht="13.5" customHeight="1">
      <c r="A637" s="23"/>
      <c r="B637" s="23"/>
      <c r="C637" s="24"/>
      <c r="D637" s="25"/>
      <c r="E637" s="24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4"/>
      <c r="W637" s="25"/>
      <c r="X637" s="24"/>
      <c r="Y637" s="23"/>
      <c r="Z637" s="23"/>
      <c r="AA637" s="23"/>
      <c r="AB637" s="23"/>
      <c r="AC637" s="23"/>
    </row>
    <row r="638" spans="1:29" ht="13.5" customHeight="1">
      <c r="A638" s="23"/>
      <c r="B638" s="23"/>
      <c r="C638" s="24"/>
      <c r="D638" s="25"/>
      <c r="E638" s="24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4"/>
      <c r="W638" s="25"/>
      <c r="X638" s="24"/>
      <c r="Y638" s="23"/>
      <c r="Z638" s="23"/>
      <c r="AA638" s="23"/>
      <c r="AB638" s="23"/>
      <c r="AC638" s="23"/>
    </row>
    <row r="639" spans="1:29" ht="13.5" customHeight="1">
      <c r="A639" s="23"/>
      <c r="B639" s="23"/>
      <c r="C639" s="24"/>
      <c r="D639" s="25"/>
      <c r="E639" s="24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4"/>
      <c r="W639" s="25"/>
      <c r="X639" s="24"/>
      <c r="Y639" s="23"/>
      <c r="Z639" s="23"/>
      <c r="AA639" s="23"/>
      <c r="AB639" s="23"/>
      <c r="AC639" s="23"/>
    </row>
    <row r="640" spans="1:29" ht="13.5" customHeight="1">
      <c r="A640" s="23"/>
      <c r="B640" s="23"/>
      <c r="C640" s="24"/>
      <c r="D640" s="25"/>
      <c r="E640" s="24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4"/>
      <c r="W640" s="25"/>
      <c r="X640" s="24"/>
      <c r="Y640" s="23"/>
      <c r="Z640" s="23"/>
      <c r="AA640" s="23"/>
      <c r="AB640" s="23"/>
      <c r="AC640" s="23"/>
    </row>
    <row r="641" spans="1:29" ht="13.5" customHeight="1">
      <c r="A641" s="23"/>
      <c r="B641" s="23"/>
      <c r="C641" s="24"/>
      <c r="D641" s="25"/>
      <c r="E641" s="24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4"/>
      <c r="W641" s="25"/>
      <c r="X641" s="24"/>
      <c r="Y641" s="23"/>
      <c r="Z641" s="23"/>
      <c r="AA641" s="23"/>
      <c r="AB641" s="23"/>
      <c r="AC641" s="23"/>
    </row>
    <row r="642" spans="1:29" ht="13.5" customHeight="1">
      <c r="A642" s="23"/>
      <c r="B642" s="23"/>
      <c r="C642" s="24"/>
      <c r="D642" s="25"/>
      <c r="E642" s="24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4"/>
      <c r="W642" s="25"/>
      <c r="X642" s="24"/>
      <c r="Y642" s="23"/>
      <c r="Z642" s="23"/>
      <c r="AA642" s="23"/>
      <c r="AB642" s="23"/>
      <c r="AC642" s="23"/>
    </row>
    <row r="643" spans="1:29" ht="13.5" customHeight="1">
      <c r="A643" s="23"/>
      <c r="B643" s="23"/>
      <c r="C643" s="24"/>
      <c r="D643" s="25"/>
      <c r="E643" s="24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4"/>
      <c r="W643" s="25"/>
      <c r="X643" s="24"/>
      <c r="Y643" s="23"/>
      <c r="Z643" s="23"/>
      <c r="AA643" s="23"/>
      <c r="AB643" s="23"/>
      <c r="AC643" s="23"/>
    </row>
    <row r="644" spans="1:29" ht="13.5" customHeight="1">
      <c r="A644" s="23"/>
      <c r="B644" s="23"/>
      <c r="C644" s="24"/>
      <c r="D644" s="25"/>
      <c r="E644" s="24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4"/>
      <c r="W644" s="25"/>
      <c r="X644" s="24"/>
      <c r="Y644" s="23"/>
      <c r="Z644" s="23"/>
      <c r="AA644" s="23"/>
      <c r="AB644" s="23"/>
      <c r="AC644" s="23"/>
    </row>
    <row r="645" spans="1:29" ht="13.5" customHeight="1">
      <c r="A645" s="23"/>
      <c r="B645" s="23"/>
      <c r="C645" s="24"/>
      <c r="D645" s="25"/>
      <c r="E645" s="24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4"/>
      <c r="W645" s="25"/>
      <c r="X645" s="24"/>
      <c r="Y645" s="23"/>
      <c r="Z645" s="23"/>
      <c r="AA645" s="23"/>
      <c r="AB645" s="23"/>
      <c r="AC645" s="23"/>
    </row>
    <row r="646" spans="1:29" ht="13.5" customHeight="1">
      <c r="A646" s="23"/>
      <c r="B646" s="23"/>
      <c r="C646" s="24"/>
      <c r="D646" s="25"/>
      <c r="E646" s="24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4"/>
      <c r="W646" s="25"/>
      <c r="X646" s="24"/>
      <c r="Y646" s="23"/>
      <c r="Z646" s="23"/>
      <c r="AA646" s="23"/>
      <c r="AB646" s="23"/>
      <c r="AC646" s="23"/>
    </row>
    <row r="647" spans="1:29" ht="13.5" customHeight="1">
      <c r="A647" s="23"/>
      <c r="B647" s="23"/>
      <c r="C647" s="24"/>
      <c r="D647" s="25"/>
      <c r="E647" s="24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4"/>
      <c r="W647" s="25"/>
      <c r="X647" s="24"/>
      <c r="Y647" s="23"/>
      <c r="Z647" s="23"/>
      <c r="AA647" s="23"/>
      <c r="AB647" s="23"/>
      <c r="AC647" s="23"/>
    </row>
    <row r="648" spans="1:29" ht="13.5" customHeight="1">
      <c r="A648" s="23"/>
      <c r="B648" s="23"/>
      <c r="C648" s="24"/>
      <c r="D648" s="25"/>
      <c r="E648" s="24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4"/>
      <c r="W648" s="25"/>
      <c r="X648" s="24"/>
      <c r="Y648" s="23"/>
      <c r="Z648" s="23"/>
      <c r="AA648" s="23"/>
      <c r="AB648" s="23"/>
      <c r="AC648" s="23"/>
    </row>
    <row r="649" spans="1:29" ht="13.5" customHeight="1">
      <c r="A649" s="23"/>
      <c r="B649" s="23"/>
      <c r="C649" s="24"/>
      <c r="D649" s="25"/>
      <c r="E649" s="24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4"/>
      <c r="W649" s="25"/>
      <c r="X649" s="24"/>
      <c r="Y649" s="23"/>
      <c r="Z649" s="23"/>
      <c r="AA649" s="23"/>
      <c r="AB649" s="23"/>
      <c r="AC649" s="23"/>
    </row>
    <row r="650" spans="1:29" ht="13.5" customHeight="1">
      <c r="A650" s="23"/>
      <c r="B650" s="23"/>
      <c r="C650" s="24"/>
      <c r="D650" s="25"/>
      <c r="E650" s="24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4"/>
      <c r="W650" s="25"/>
      <c r="X650" s="24"/>
      <c r="Y650" s="23"/>
      <c r="Z650" s="23"/>
      <c r="AA650" s="23"/>
      <c r="AB650" s="23"/>
      <c r="AC650" s="23"/>
    </row>
    <row r="651" spans="1:29" ht="13.5" customHeight="1">
      <c r="A651" s="23"/>
      <c r="B651" s="23"/>
      <c r="C651" s="24"/>
      <c r="D651" s="25"/>
      <c r="E651" s="24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4"/>
      <c r="W651" s="25"/>
      <c r="X651" s="24"/>
      <c r="Y651" s="23"/>
      <c r="Z651" s="23"/>
      <c r="AA651" s="23"/>
      <c r="AB651" s="23"/>
      <c r="AC651" s="23"/>
    </row>
    <row r="652" spans="1:29" ht="13.5" customHeight="1">
      <c r="A652" s="23"/>
      <c r="B652" s="23"/>
      <c r="C652" s="24"/>
      <c r="D652" s="25"/>
      <c r="E652" s="24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4"/>
      <c r="W652" s="25"/>
      <c r="X652" s="24"/>
      <c r="Y652" s="23"/>
      <c r="Z652" s="23"/>
      <c r="AA652" s="23"/>
      <c r="AB652" s="23"/>
      <c r="AC652" s="23"/>
    </row>
    <row r="653" spans="1:29" ht="13.5" customHeight="1">
      <c r="A653" s="23"/>
      <c r="B653" s="23"/>
      <c r="C653" s="24"/>
      <c r="D653" s="25"/>
      <c r="E653" s="24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4"/>
      <c r="W653" s="25"/>
      <c r="X653" s="24"/>
      <c r="Y653" s="23"/>
      <c r="Z653" s="23"/>
      <c r="AA653" s="23"/>
      <c r="AB653" s="23"/>
      <c r="AC653" s="23"/>
    </row>
    <row r="654" spans="1:29" ht="13.5" customHeight="1">
      <c r="A654" s="23"/>
      <c r="B654" s="23"/>
      <c r="C654" s="24"/>
      <c r="D654" s="25"/>
      <c r="E654" s="24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4"/>
      <c r="W654" s="25"/>
      <c r="X654" s="24"/>
      <c r="Y654" s="23"/>
      <c r="Z654" s="23"/>
      <c r="AA654" s="23"/>
      <c r="AB654" s="23"/>
      <c r="AC654" s="23"/>
    </row>
    <row r="655" spans="1:29" ht="13.5" customHeight="1">
      <c r="A655" s="23"/>
      <c r="B655" s="23"/>
      <c r="C655" s="24"/>
      <c r="D655" s="25"/>
      <c r="E655" s="24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4"/>
      <c r="W655" s="25"/>
      <c r="X655" s="24"/>
      <c r="Y655" s="23"/>
      <c r="Z655" s="23"/>
      <c r="AA655" s="23"/>
      <c r="AB655" s="23"/>
      <c r="AC655" s="23"/>
    </row>
    <row r="656" spans="1:29" ht="13.5" customHeight="1">
      <c r="A656" s="23"/>
      <c r="B656" s="23"/>
      <c r="C656" s="24"/>
      <c r="D656" s="25"/>
      <c r="E656" s="24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4"/>
      <c r="W656" s="25"/>
      <c r="X656" s="24"/>
      <c r="Y656" s="23"/>
      <c r="Z656" s="23"/>
      <c r="AA656" s="23"/>
      <c r="AB656" s="23"/>
      <c r="AC656" s="23"/>
    </row>
    <row r="657" spans="1:29" ht="13.5" customHeight="1">
      <c r="A657" s="23"/>
      <c r="B657" s="23"/>
      <c r="C657" s="24"/>
      <c r="D657" s="25"/>
      <c r="E657" s="24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4"/>
      <c r="W657" s="25"/>
      <c r="X657" s="24"/>
      <c r="Y657" s="23"/>
      <c r="Z657" s="23"/>
      <c r="AA657" s="23"/>
      <c r="AB657" s="23"/>
      <c r="AC657" s="23"/>
    </row>
    <row r="658" spans="1:29" ht="13.5" customHeight="1">
      <c r="A658" s="23"/>
      <c r="B658" s="23"/>
      <c r="C658" s="24"/>
      <c r="D658" s="25"/>
      <c r="E658" s="24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4"/>
      <c r="W658" s="25"/>
      <c r="X658" s="24"/>
      <c r="Y658" s="23"/>
      <c r="Z658" s="23"/>
      <c r="AA658" s="23"/>
      <c r="AB658" s="23"/>
      <c r="AC658" s="23"/>
    </row>
    <row r="659" spans="1:29" ht="13.5" customHeight="1">
      <c r="A659" s="23"/>
      <c r="B659" s="23"/>
      <c r="C659" s="24"/>
      <c r="D659" s="25"/>
      <c r="E659" s="24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4"/>
      <c r="W659" s="25"/>
      <c r="X659" s="24"/>
      <c r="Y659" s="23"/>
      <c r="Z659" s="23"/>
      <c r="AA659" s="23"/>
      <c r="AB659" s="23"/>
      <c r="AC659" s="23"/>
    </row>
    <row r="660" spans="1:29" ht="13.5" customHeight="1">
      <c r="A660" s="23"/>
      <c r="B660" s="23"/>
      <c r="C660" s="24"/>
      <c r="D660" s="25"/>
      <c r="E660" s="24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4"/>
      <c r="W660" s="25"/>
      <c r="X660" s="24"/>
      <c r="Y660" s="23"/>
      <c r="Z660" s="23"/>
      <c r="AA660" s="23"/>
      <c r="AB660" s="23"/>
      <c r="AC660" s="23"/>
    </row>
    <row r="661" spans="1:29" ht="13.5" customHeight="1">
      <c r="A661" s="23"/>
      <c r="B661" s="23"/>
      <c r="C661" s="24"/>
      <c r="D661" s="25"/>
      <c r="E661" s="24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4"/>
      <c r="W661" s="25"/>
      <c r="X661" s="24"/>
      <c r="Y661" s="23"/>
      <c r="Z661" s="23"/>
      <c r="AA661" s="23"/>
      <c r="AB661" s="23"/>
      <c r="AC661" s="23"/>
    </row>
    <row r="662" spans="1:29" ht="13.5" customHeight="1">
      <c r="A662" s="23"/>
      <c r="B662" s="23"/>
      <c r="C662" s="24"/>
      <c r="D662" s="25"/>
      <c r="E662" s="24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4"/>
      <c r="W662" s="25"/>
      <c r="X662" s="24"/>
      <c r="Y662" s="23"/>
      <c r="Z662" s="23"/>
      <c r="AA662" s="23"/>
      <c r="AB662" s="23"/>
      <c r="AC662" s="23"/>
    </row>
    <row r="663" spans="1:29" ht="13.5" customHeight="1">
      <c r="A663" s="23"/>
      <c r="B663" s="23"/>
      <c r="C663" s="24"/>
      <c r="D663" s="25"/>
      <c r="E663" s="24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4"/>
      <c r="W663" s="25"/>
      <c r="X663" s="24"/>
      <c r="Y663" s="23"/>
      <c r="Z663" s="23"/>
      <c r="AA663" s="23"/>
      <c r="AB663" s="23"/>
      <c r="AC663" s="23"/>
    </row>
    <row r="664" spans="1:29" ht="13.5" customHeight="1">
      <c r="A664" s="23"/>
      <c r="B664" s="23"/>
      <c r="C664" s="24"/>
      <c r="D664" s="25"/>
      <c r="E664" s="24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4"/>
      <c r="W664" s="25"/>
      <c r="X664" s="24"/>
      <c r="Y664" s="23"/>
      <c r="Z664" s="23"/>
      <c r="AA664" s="23"/>
      <c r="AB664" s="23"/>
      <c r="AC664" s="23"/>
    </row>
    <row r="665" spans="1:29" ht="13.5" customHeight="1">
      <c r="A665" s="23"/>
      <c r="B665" s="23"/>
      <c r="C665" s="24"/>
      <c r="D665" s="25"/>
      <c r="E665" s="24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4"/>
      <c r="W665" s="25"/>
      <c r="X665" s="24"/>
      <c r="Y665" s="23"/>
      <c r="Z665" s="23"/>
      <c r="AA665" s="23"/>
      <c r="AB665" s="23"/>
      <c r="AC665" s="23"/>
    </row>
    <row r="666" spans="1:29" ht="13.5" customHeight="1">
      <c r="A666" s="23"/>
      <c r="B666" s="23"/>
      <c r="C666" s="24"/>
      <c r="D666" s="25"/>
      <c r="E666" s="24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4"/>
      <c r="W666" s="25"/>
      <c r="X666" s="24"/>
      <c r="Y666" s="23"/>
      <c r="Z666" s="23"/>
      <c r="AA666" s="23"/>
      <c r="AB666" s="23"/>
      <c r="AC666" s="23"/>
    </row>
    <row r="667" spans="1:29" ht="13.5" customHeight="1">
      <c r="A667" s="23"/>
      <c r="B667" s="23"/>
      <c r="C667" s="24"/>
      <c r="D667" s="25"/>
      <c r="E667" s="24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4"/>
      <c r="W667" s="25"/>
      <c r="X667" s="24"/>
      <c r="Y667" s="23"/>
      <c r="Z667" s="23"/>
      <c r="AA667" s="23"/>
      <c r="AB667" s="23"/>
      <c r="AC667" s="23"/>
    </row>
    <row r="668" spans="1:29" ht="13.5" customHeight="1">
      <c r="A668" s="23"/>
      <c r="B668" s="23"/>
      <c r="C668" s="24"/>
      <c r="D668" s="25"/>
      <c r="E668" s="24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4"/>
      <c r="W668" s="25"/>
      <c r="X668" s="24"/>
      <c r="Y668" s="23"/>
      <c r="Z668" s="23"/>
      <c r="AA668" s="23"/>
      <c r="AB668" s="23"/>
      <c r="AC668" s="23"/>
    </row>
    <row r="669" spans="1:29" ht="13.5" customHeight="1">
      <c r="A669" s="23"/>
      <c r="B669" s="23"/>
      <c r="C669" s="24"/>
      <c r="D669" s="25"/>
      <c r="E669" s="24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4"/>
      <c r="W669" s="25"/>
      <c r="X669" s="24"/>
      <c r="Y669" s="23"/>
      <c r="Z669" s="23"/>
      <c r="AA669" s="23"/>
      <c r="AB669" s="23"/>
      <c r="AC669" s="23"/>
    </row>
    <row r="670" spans="1:29" ht="13.5" customHeight="1">
      <c r="A670" s="23"/>
      <c r="B670" s="23"/>
      <c r="C670" s="24"/>
      <c r="D670" s="25"/>
      <c r="E670" s="24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4"/>
      <c r="W670" s="25"/>
      <c r="X670" s="24"/>
      <c r="Y670" s="23"/>
      <c r="Z670" s="23"/>
      <c r="AA670" s="23"/>
      <c r="AB670" s="23"/>
      <c r="AC670" s="23"/>
    </row>
    <row r="671" spans="1:29" ht="13.5" customHeight="1">
      <c r="A671" s="23"/>
      <c r="B671" s="23"/>
      <c r="C671" s="24"/>
      <c r="D671" s="25"/>
      <c r="E671" s="24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4"/>
      <c r="W671" s="25"/>
      <c r="X671" s="24"/>
      <c r="Y671" s="23"/>
      <c r="Z671" s="23"/>
      <c r="AA671" s="23"/>
      <c r="AB671" s="23"/>
      <c r="AC671" s="23"/>
    </row>
    <row r="672" spans="1:29" ht="13.5" customHeight="1">
      <c r="A672" s="23"/>
      <c r="B672" s="23"/>
      <c r="C672" s="24"/>
      <c r="D672" s="25"/>
      <c r="E672" s="24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4"/>
      <c r="W672" s="25"/>
      <c r="X672" s="24"/>
      <c r="Y672" s="23"/>
      <c r="Z672" s="23"/>
      <c r="AA672" s="23"/>
      <c r="AB672" s="23"/>
      <c r="AC672" s="23"/>
    </row>
    <row r="673" spans="1:29" ht="13.5" customHeight="1">
      <c r="A673" s="23"/>
      <c r="B673" s="23"/>
      <c r="C673" s="24"/>
      <c r="D673" s="25"/>
      <c r="E673" s="24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4"/>
      <c r="W673" s="25"/>
      <c r="X673" s="24"/>
      <c r="Y673" s="23"/>
      <c r="Z673" s="23"/>
      <c r="AA673" s="23"/>
      <c r="AB673" s="23"/>
      <c r="AC673" s="23"/>
    </row>
    <row r="674" spans="1:29" ht="13.5" customHeight="1">
      <c r="A674" s="23"/>
      <c r="B674" s="23"/>
      <c r="C674" s="24"/>
      <c r="D674" s="25"/>
      <c r="E674" s="24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4"/>
      <c r="W674" s="25"/>
      <c r="X674" s="24"/>
      <c r="Y674" s="23"/>
      <c r="Z674" s="23"/>
      <c r="AA674" s="23"/>
      <c r="AB674" s="23"/>
      <c r="AC674" s="23"/>
    </row>
    <row r="675" spans="1:29" ht="13.5" customHeight="1">
      <c r="A675" s="23"/>
      <c r="B675" s="23"/>
      <c r="C675" s="24"/>
      <c r="D675" s="25"/>
      <c r="E675" s="24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4"/>
      <c r="W675" s="25"/>
      <c r="X675" s="24"/>
      <c r="Y675" s="23"/>
      <c r="Z675" s="23"/>
      <c r="AA675" s="23"/>
      <c r="AB675" s="23"/>
      <c r="AC675" s="23"/>
    </row>
    <row r="676" spans="1:29" ht="13.5" customHeight="1">
      <c r="A676" s="23"/>
      <c r="B676" s="23"/>
      <c r="C676" s="24"/>
      <c r="D676" s="25"/>
      <c r="E676" s="24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4"/>
      <c r="W676" s="25"/>
      <c r="X676" s="24"/>
      <c r="Y676" s="23"/>
      <c r="Z676" s="23"/>
      <c r="AA676" s="23"/>
      <c r="AB676" s="23"/>
      <c r="AC676" s="23"/>
    </row>
    <row r="677" spans="1:29" ht="13.5" customHeight="1">
      <c r="A677" s="23"/>
      <c r="B677" s="23"/>
      <c r="C677" s="24"/>
      <c r="D677" s="25"/>
      <c r="E677" s="24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4"/>
      <c r="W677" s="25"/>
      <c r="X677" s="24"/>
      <c r="Y677" s="23"/>
      <c r="Z677" s="23"/>
      <c r="AA677" s="23"/>
      <c r="AB677" s="23"/>
      <c r="AC677" s="23"/>
    </row>
    <row r="678" spans="1:29" ht="13.5" customHeight="1">
      <c r="A678" s="23"/>
      <c r="B678" s="23"/>
      <c r="C678" s="24"/>
      <c r="D678" s="25"/>
      <c r="E678" s="24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4"/>
      <c r="W678" s="25"/>
      <c r="X678" s="24"/>
      <c r="Y678" s="23"/>
      <c r="Z678" s="23"/>
      <c r="AA678" s="23"/>
      <c r="AB678" s="23"/>
      <c r="AC678" s="23"/>
    </row>
    <row r="679" spans="1:29" ht="13.5" customHeight="1">
      <c r="A679" s="23"/>
      <c r="B679" s="23"/>
      <c r="C679" s="24"/>
      <c r="D679" s="25"/>
      <c r="E679" s="24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4"/>
      <c r="W679" s="25"/>
      <c r="X679" s="24"/>
      <c r="Y679" s="23"/>
      <c r="Z679" s="23"/>
      <c r="AA679" s="23"/>
      <c r="AB679" s="23"/>
      <c r="AC679" s="23"/>
    </row>
    <row r="680" spans="1:29" ht="13.5" customHeight="1">
      <c r="A680" s="23"/>
      <c r="B680" s="23"/>
      <c r="C680" s="24"/>
      <c r="D680" s="25"/>
      <c r="E680" s="24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4"/>
      <c r="W680" s="25"/>
      <c r="X680" s="24"/>
      <c r="Y680" s="23"/>
      <c r="Z680" s="23"/>
      <c r="AA680" s="23"/>
      <c r="AB680" s="23"/>
      <c r="AC680" s="23"/>
    </row>
    <row r="681" spans="1:29" ht="13.5" customHeight="1">
      <c r="A681" s="23"/>
      <c r="B681" s="23"/>
      <c r="C681" s="24"/>
      <c r="D681" s="25"/>
      <c r="E681" s="24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4"/>
      <c r="W681" s="25"/>
      <c r="X681" s="24"/>
      <c r="Y681" s="23"/>
      <c r="Z681" s="23"/>
      <c r="AA681" s="23"/>
      <c r="AB681" s="23"/>
      <c r="AC681" s="23"/>
    </row>
    <row r="682" spans="1:29" ht="13.5" customHeight="1">
      <c r="A682" s="23"/>
      <c r="B682" s="23"/>
      <c r="C682" s="24"/>
      <c r="D682" s="25"/>
      <c r="E682" s="24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4"/>
      <c r="W682" s="25"/>
      <c r="X682" s="24"/>
      <c r="Y682" s="23"/>
      <c r="Z682" s="23"/>
      <c r="AA682" s="23"/>
      <c r="AB682" s="23"/>
      <c r="AC682" s="23"/>
    </row>
    <row r="683" spans="1:29" ht="13.5" customHeight="1">
      <c r="A683" s="23"/>
      <c r="B683" s="23"/>
      <c r="C683" s="24"/>
      <c r="D683" s="25"/>
      <c r="E683" s="24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4"/>
      <c r="W683" s="25"/>
      <c r="X683" s="24"/>
      <c r="Y683" s="23"/>
      <c r="Z683" s="23"/>
      <c r="AA683" s="23"/>
      <c r="AB683" s="23"/>
      <c r="AC683" s="23"/>
    </row>
    <row r="684" spans="1:29" ht="13.5" customHeight="1">
      <c r="A684" s="23"/>
      <c r="B684" s="23"/>
      <c r="C684" s="24"/>
      <c r="D684" s="25"/>
      <c r="E684" s="24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4"/>
      <c r="W684" s="25"/>
      <c r="X684" s="24"/>
      <c r="Y684" s="23"/>
      <c r="Z684" s="23"/>
      <c r="AA684" s="23"/>
      <c r="AB684" s="23"/>
      <c r="AC684" s="23"/>
    </row>
    <row r="685" spans="1:29" ht="13.5" customHeight="1">
      <c r="A685" s="23"/>
      <c r="B685" s="23"/>
      <c r="C685" s="24"/>
      <c r="D685" s="25"/>
      <c r="E685" s="24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4"/>
      <c r="W685" s="25"/>
      <c r="X685" s="24"/>
      <c r="Y685" s="23"/>
      <c r="Z685" s="23"/>
      <c r="AA685" s="23"/>
      <c r="AB685" s="23"/>
      <c r="AC685" s="23"/>
    </row>
    <row r="686" spans="1:29" ht="13.5" customHeight="1">
      <c r="A686" s="23"/>
      <c r="B686" s="23"/>
      <c r="C686" s="24"/>
      <c r="D686" s="25"/>
      <c r="E686" s="24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4"/>
      <c r="W686" s="25"/>
      <c r="X686" s="24"/>
      <c r="Y686" s="23"/>
      <c r="Z686" s="23"/>
      <c r="AA686" s="23"/>
      <c r="AB686" s="23"/>
      <c r="AC686" s="23"/>
    </row>
    <row r="687" spans="1:29" ht="13.5" customHeight="1">
      <c r="A687" s="23"/>
      <c r="B687" s="23"/>
      <c r="C687" s="24"/>
      <c r="D687" s="25"/>
      <c r="E687" s="24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4"/>
      <c r="W687" s="25"/>
      <c r="X687" s="24"/>
      <c r="Y687" s="23"/>
      <c r="Z687" s="23"/>
      <c r="AA687" s="23"/>
      <c r="AB687" s="23"/>
      <c r="AC687" s="23"/>
    </row>
    <row r="688" spans="1:29" ht="13.5" customHeight="1">
      <c r="A688" s="23"/>
      <c r="B688" s="23"/>
      <c r="C688" s="24"/>
      <c r="D688" s="25"/>
      <c r="E688" s="24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4"/>
      <c r="W688" s="25"/>
      <c r="X688" s="24"/>
      <c r="Y688" s="23"/>
      <c r="Z688" s="23"/>
      <c r="AA688" s="23"/>
      <c r="AB688" s="23"/>
      <c r="AC688" s="23"/>
    </row>
    <row r="689" spans="1:29" ht="13.5" customHeight="1">
      <c r="A689" s="23"/>
      <c r="B689" s="23"/>
      <c r="C689" s="24"/>
      <c r="D689" s="25"/>
      <c r="E689" s="24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4"/>
      <c r="W689" s="25"/>
      <c r="X689" s="24"/>
      <c r="Y689" s="23"/>
      <c r="Z689" s="23"/>
      <c r="AA689" s="23"/>
      <c r="AB689" s="23"/>
      <c r="AC689" s="23"/>
    </row>
    <row r="690" spans="1:29" ht="13.5" customHeight="1">
      <c r="A690" s="23"/>
      <c r="B690" s="23"/>
      <c r="C690" s="24"/>
      <c r="D690" s="25"/>
      <c r="E690" s="24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4"/>
      <c r="W690" s="25"/>
      <c r="X690" s="24"/>
      <c r="Y690" s="23"/>
      <c r="Z690" s="23"/>
      <c r="AA690" s="23"/>
      <c r="AB690" s="23"/>
      <c r="AC690" s="23"/>
    </row>
    <row r="691" spans="1:29" ht="13.5" customHeight="1">
      <c r="A691" s="23"/>
      <c r="B691" s="23"/>
      <c r="C691" s="24"/>
      <c r="D691" s="25"/>
      <c r="E691" s="24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4"/>
      <c r="W691" s="25"/>
      <c r="X691" s="24"/>
      <c r="Y691" s="23"/>
      <c r="Z691" s="23"/>
      <c r="AA691" s="23"/>
      <c r="AB691" s="23"/>
      <c r="AC691" s="23"/>
    </row>
    <row r="692" spans="1:29" ht="13.5" customHeight="1">
      <c r="A692" s="23"/>
      <c r="B692" s="23"/>
      <c r="C692" s="24"/>
      <c r="D692" s="25"/>
      <c r="E692" s="24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4"/>
      <c r="W692" s="25"/>
      <c r="X692" s="24"/>
      <c r="Y692" s="23"/>
      <c r="Z692" s="23"/>
      <c r="AA692" s="23"/>
      <c r="AB692" s="23"/>
      <c r="AC692" s="23"/>
    </row>
    <row r="693" spans="1:29" ht="13.5" customHeight="1">
      <c r="A693" s="23"/>
      <c r="B693" s="23"/>
      <c r="C693" s="24"/>
      <c r="D693" s="25"/>
      <c r="E693" s="24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4"/>
      <c r="W693" s="25"/>
      <c r="X693" s="24"/>
      <c r="Y693" s="23"/>
      <c r="Z693" s="23"/>
      <c r="AA693" s="23"/>
      <c r="AB693" s="23"/>
      <c r="AC693" s="23"/>
    </row>
    <row r="694" spans="1:29" ht="13.5" customHeight="1">
      <c r="A694" s="23"/>
      <c r="B694" s="23"/>
      <c r="C694" s="24"/>
      <c r="D694" s="25"/>
      <c r="E694" s="24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4"/>
      <c r="W694" s="25"/>
      <c r="X694" s="24"/>
      <c r="Y694" s="23"/>
      <c r="Z694" s="23"/>
      <c r="AA694" s="23"/>
      <c r="AB694" s="23"/>
      <c r="AC694" s="23"/>
    </row>
    <row r="695" spans="1:29" ht="13.5" customHeight="1">
      <c r="A695" s="23"/>
      <c r="B695" s="23"/>
      <c r="C695" s="24"/>
      <c r="D695" s="25"/>
      <c r="E695" s="24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4"/>
      <c r="W695" s="25"/>
      <c r="X695" s="24"/>
      <c r="Y695" s="23"/>
      <c r="Z695" s="23"/>
      <c r="AA695" s="23"/>
      <c r="AB695" s="23"/>
      <c r="AC695" s="23"/>
    </row>
    <row r="696" spans="1:29" ht="13.5" customHeight="1">
      <c r="A696" s="23"/>
      <c r="B696" s="23"/>
      <c r="C696" s="24"/>
      <c r="D696" s="25"/>
      <c r="E696" s="24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4"/>
      <c r="W696" s="25"/>
      <c r="X696" s="24"/>
      <c r="Y696" s="23"/>
      <c r="Z696" s="23"/>
      <c r="AA696" s="23"/>
      <c r="AB696" s="23"/>
      <c r="AC696" s="23"/>
    </row>
    <row r="697" spans="1:29" ht="13.5" customHeight="1">
      <c r="A697" s="23"/>
      <c r="B697" s="23"/>
      <c r="C697" s="24"/>
      <c r="D697" s="25"/>
      <c r="E697" s="24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4"/>
      <c r="W697" s="25"/>
      <c r="X697" s="24"/>
      <c r="Y697" s="23"/>
      <c r="Z697" s="23"/>
      <c r="AA697" s="23"/>
      <c r="AB697" s="23"/>
      <c r="AC697" s="23"/>
    </row>
    <row r="698" spans="1:29" ht="13.5" customHeight="1">
      <c r="A698" s="23"/>
      <c r="B698" s="23"/>
      <c r="C698" s="24"/>
      <c r="D698" s="25"/>
      <c r="E698" s="24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4"/>
      <c r="W698" s="25"/>
      <c r="X698" s="24"/>
      <c r="Y698" s="23"/>
      <c r="Z698" s="23"/>
      <c r="AA698" s="23"/>
      <c r="AB698" s="23"/>
      <c r="AC698" s="23"/>
    </row>
    <row r="699" spans="1:29" ht="13.5" customHeight="1">
      <c r="A699" s="23"/>
      <c r="B699" s="23"/>
      <c r="C699" s="24"/>
      <c r="D699" s="25"/>
      <c r="E699" s="24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4"/>
      <c r="W699" s="25"/>
      <c r="X699" s="24"/>
      <c r="Y699" s="23"/>
      <c r="Z699" s="23"/>
      <c r="AA699" s="23"/>
      <c r="AB699" s="23"/>
      <c r="AC699" s="23"/>
    </row>
    <row r="700" spans="1:29" ht="13.5" customHeight="1">
      <c r="A700" s="23"/>
      <c r="B700" s="23"/>
      <c r="C700" s="24"/>
      <c r="D700" s="25"/>
      <c r="E700" s="24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4"/>
      <c r="W700" s="25"/>
      <c r="X700" s="24"/>
      <c r="Y700" s="23"/>
      <c r="Z700" s="23"/>
      <c r="AA700" s="23"/>
      <c r="AB700" s="23"/>
      <c r="AC700" s="23"/>
    </row>
    <row r="701" spans="1:29" ht="13.5" customHeight="1">
      <c r="A701" s="23"/>
      <c r="B701" s="23"/>
      <c r="C701" s="24"/>
      <c r="D701" s="25"/>
      <c r="E701" s="24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4"/>
      <c r="W701" s="25"/>
      <c r="X701" s="24"/>
      <c r="Y701" s="23"/>
      <c r="Z701" s="23"/>
      <c r="AA701" s="23"/>
      <c r="AB701" s="23"/>
      <c r="AC701" s="23"/>
    </row>
    <row r="702" spans="1:29" ht="13.5" customHeight="1">
      <c r="A702" s="23"/>
      <c r="B702" s="23"/>
      <c r="C702" s="24"/>
      <c r="D702" s="25"/>
      <c r="E702" s="24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4"/>
      <c r="W702" s="25"/>
      <c r="X702" s="24"/>
      <c r="Y702" s="23"/>
      <c r="Z702" s="23"/>
      <c r="AA702" s="23"/>
      <c r="AB702" s="23"/>
      <c r="AC702" s="23"/>
    </row>
    <row r="703" spans="1:29" ht="13.5" customHeight="1">
      <c r="A703" s="23"/>
      <c r="B703" s="23"/>
      <c r="C703" s="24"/>
      <c r="D703" s="25"/>
      <c r="E703" s="24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4"/>
      <c r="W703" s="25"/>
      <c r="X703" s="24"/>
      <c r="Y703" s="23"/>
      <c r="Z703" s="23"/>
      <c r="AA703" s="23"/>
      <c r="AB703" s="23"/>
      <c r="AC703" s="23"/>
    </row>
    <row r="704" spans="1:29" ht="13.5" customHeight="1">
      <c r="A704" s="23"/>
      <c r="B704" s="23"/>
      <c r="C704" s="24"/>
      <c r="D704" s="25"/>
      <c r="E704" s="24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4"/>
      <c r="W704" s="25"/>
      <c r="X704" s="24"/>
      <c r="Y704" s="23"/>
      <c r="Z704" s="23"/>
      <c r="AA704" s="23"/>
      <c r="AB704" s="23"/>
      <c r="AC704" s="23"/>
    </row>
    <row r="705" spans="1:29" ht="13.5" customHeight="1">
      <c r="A705" s="23"/>
      <c r="B705" s="23"/>
      <c r="C705" s="24"/>
      <c r="D705" s="25"/>
      <c r="E705" s="24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4"/>
      <c r="W705" s="25"/>
      <c r="X705" s="24"/>
      <c r="Y705" s="23"/>
      <c r="Z705" s="23"/>
      <c r="AA705" s="23"/>
      <c r="AB705" s="23"/>
      <c r="AC705" s="23"/>
    </row>
    <row r="706" spans="1:29" ht="13.5" customHeight="1">
      <c r="A706" s="23"/>
      <c r="B706" s="23"/>
      <c r="C706" s="24"/>
      <c r="D706" s="25"/>
      <c r="E706" s="24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4"/>
      <c r="W706" s="25"/>
      <c r="X706" s="24"/>
      <c r="Y706" s="23"/>
      <c r="Z706" s="23"/>
      <c r="AA706" s="23"/>
      <c r="AB706" s="23"/>
      <c r="AC706" s="23"/>
    </row>
    <row r="707" spans="1:29" ht="13.5" customHeight="1">
      <c r="A707" s="23"/>
      <c r="B707" s="23"/>
      <c r="C707" s="24"/>
      <c r="D707" s="25"/>
      <c r="E707" s="24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4"/>
      <c r="W707" s="25"/>
      <c r="X707" s="24"/>
      <c r="Y707" s="23"/>
      <c r="Z707" s="23"/>
      <c r="AA707" s="23"/>
      <c r="AB707" s="23"/>
      <c r="AC707" s="23"/>
    </row>
    <row r="708" spans="1:29" ht="13.5" customHeight="1">
      <c r="A708" s="23"/>
      <c r="B708" s="23"/>
      <c r="C708" s="24"/>
      <c r="D708" s="25"/>
      <c r="E708" s="24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4"/>
      <c r="W708" s="25"/>
      <c r="X708" s="24"/>
      <c r="Y708" s="23"/>
      <c r="Z708" s="23"/>
      <c r="AA708" s="23"/>
      <c r="AB708" s="23"/>
      <c r="AC708" s="23"/>
    </row>
    <row r="709" spans="1:29" ht="13.5" customHeight="1">
      <c r="A709" s="23"/>
      <c r="B709" s="23"/>
      <c r="C709" s="24"/>
      <c r="D709" s="25"/>
      <c r="E709" s="24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4"/>
      <c r="W709" s="25"/>
      <c r="X709" s="24"/>
      <c r="Y709" s="23"/>
      <c r="Z709" s="23"/>
      <c r="AA709" s="23"/>
      <c r="AB709" s="23"/>
      <c r="AC709" s="23"/>
    </row>
    <row r="710" spans="1:29" ht="13.5" customHeight="1">
      <c r="A710" s="23"/>
      <c r="B710" s="23"/>
      <c r="C710" s="24"/>
      <c r="D710" s="25"/>
      <c r="E710" s="24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4"/>
      <c r="W710" s="25"/>
      <c r="X710" s="24"/>
      <c r="Y710" s="23"/>
      <c r="Z710" s="23"/>
      <c r="AA710" s="23"/>
      <c r="AB710" s="23"/>
      <c r="AC710" s="23"/>
    </row>
    <row r="711" spans="1:29" ht="13.5" customHeight="1">
      <c r="A711" s="23"/>
      <c r="B711" s="23"/>
      <c r="C711" s="24"/>
      <c r="D711" s="25"/>
      <c r="E711" s="24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4"/>
      <c r="W711" s="25"/>
      <c r="X711" s="24"/>
      <c r="Y711" s="23"/>
      <c r="Z711" s="23"/>
      <c r="AA711" s="23"/>
      <c r="AB711" s="23"/>
      <c r="AC711" s="23"/>
    </row>
    <row r="712" spans="1:29" ht="13.5" customHeight="1">
      <c r="A712" s="23"/>
      <c r="B712" s="23"/>
      <c r="C712" s="24"/>
      <c r="D712" s="25"/>
      <c r="E712" s="24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4"/>
      <c r="W712" s="25"/>
      <c r="X712" s="24"/>
      <c r="Y712" s="23"/>
      <c r="Z712" s="23"/>
      <c r="AA712" s="23"/>
      <c r="AB712" s="23"/>
      <c r="AC712" s="23"/>
    </row>
    <row r="713" spans="1:29" ht="13.5" customHeight="1">
      <c r="A713" s="23"/>
      <c r="B713" s="23"/>
      <c r="C713" s="24"/>
      <c r="D713" s="25"/>
      <c r="E713" s="24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4"/>
      <c r="W713" s="25"/>
      <c r="X713" s="24"/>
      <c r="Y713" s="23"/>
      <c r="Z713" s="23"/>
      <c r="AA713" s="23"/>
      <c r="AB713" s="23"/>
      <c r="AC713" s="23"/>
    </row>
    <row r="714" spans="1:29" ht="13.5" customHeight="1">
      <c r="A714" s="23"/>
      <c r="B714" s="23"/>
      <c r="C714" s="24"/>
      <c r="D714" s="25"/>
      <c r="E714" s="24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4"/>
      <c r="W714" s="25"/>
      <c r="X714" s="24"/>
      <c r="Y714" s="23"/>
      <c r="Z714" s="23"/>
      <c r="AA714" s="23"/>
      <c r="AB714" s="23"/>
      <c r="AC714" s="23"/>
    </row>
    <row r="715" spans="1:29" ht="13.5" customHeight="1">
      <c r="A715" s="23"/>
      <c r="B715" s="23"/>
      <c r="C715" s="24"/>
      <c r="D715" s="25"/>
      <c r="E715" s="24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4"/>
      <c r="W715" s="25"/>
      <c r="X715" s="24"/>
      <c r="Y715" s="23"/>
      <c r="Z715" s="23"/>
      <c r="AA715" s="23"/>
      <c r="AB715" s="23"/>
      <c r="AC715" s="23"/>
    </row>
    <row r="716" spans="1:29" ht="13.5" customHeight="1">
      <c r="A716" s="23"/>
      <c r="B716" s="23"/>
      <c r="C716" s="24"/>
      <c r="D716" s="25"/>
      <c r="E716" s="24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4"/>
      <c r="W716" s="25"/>
      <c r="X716" s="24"/>
      <c r="Y716" s="23"/>
      <c r="Z716" s="23"/>
      <c r="AA716" s="23"/>
      <c r="AB716" s="23"/>
      <c r="AC716" s="23"/>
    </row>
    <row r="717" spans="1:29" ht="13.5" customHeight="1">
      <c r="A717" s="23"/>
      <c r="B717" s="23"/>
      <c r="C717" s="24"/>
      <c r="D717" s="25"/>
      <c r="E717" s="24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4"/>
      <c r="W717" s="25"/>
      <c r="X717" s="24"/>
      <c r="Y717" s="23"/>
      <c r="Z717" s="23"/>
      <c r="AA717" s="23"/>
      <c r="AB717" s="23"/>
      <c r="AC717" s="23"/>
    </row>
    <row r="718" spans="1:29" ht="13.5" customHeight="1">
      <c r="A718" s="23"/>
      <c r="B718" s="23"/>
      <c r="C718" s="24"/>
      <c r="D718" s="25"/>
      <c r="E718" s="24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4"/>
      <c r="W718" s="25"/>
      <c r="X718" s="24"/>
      <c r="Y718" s="23"/>
      <c r="Z718" s="23"/>
      <c r="AA718" s="23"/>
      <c r="AB718" s="23"/>
      <c r="AC718" s="23"/>
    </row>
    <row r="719" spans="1:29" ht="13.5" customHeight="1">
      <c r="A719" s="23"/>
      <c r="B719" s="23"/>
      <c r="C719" s="24"/>
      <c r="D719" s="25"/>
      <c r="E719" s="24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4"/>
      <c r="W719" s="25"/>
      <c r="X719" s="24"/>
      <c r="Y719" s="23"/>
      <c r="Z719" s="23"/>
      <c r="AA719" s="23"/>
      <c r="AB719" s="23"/>
      <c r="AC719" s="23"/>
    </row>
    <row r="720" spans="1:29" ht="13.5" customHeight="1">
      <c r="A720" s="23"/>
      <c r="B720" s="23"/>
      <c r="C720" s="24"/>
      <c r="D720" s="25"/>
      <c r="E720" s="24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4"/>
      <c r="W720" s="25"/>
      <c r="X720" s="24"/>
      <c r="Y720" s="23"/>
      <c r="Z720" s="23"/>
      <c r="AA720" s="23"/>
      <c r="AB720" s="23"/>
      <c r="AC720" s="23"/>
    </row>
    <row r="721" spans="1:29" ht="13.5" customHeight="1">
      <c r="A721" s="23"/>
      <c r="B721" s="23"/>
      <c r="C721" s="24"/>
      <c r="D721" s="25"/>
      <c r="E721" s="24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4"/>
      <c r="W721" s="25"/>
      <c r="X721" s="24"/>
      <c r="Y721" s="23"/>
      <c r="Z721" s="23"/>
      <c r="AA721" s="23"/>
      <c r="AB721" s="23"/>
      <c r="AC721" s="23"/>
    </row>
    <row r="722" spans="1:29" ht="13.5" customHeight="1">
      <c r="A722" s="23"/>
      <c r="B722" s="23"/>
      <c r="C722" s="24"/>
      <c r="D722" s="25"/>
      <c r="E722" s="24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4"/>
      <c r="W722" s="25"/>
      <c r="X722" s="24"/>
      <c r="Y722" s="23"/>
      <c r="Z722" s="23"/>
      <c r="AA722" s="23"/>
      <c r="AB722" s="23"/>
      <c r="AC722" s="23"/>
    </row>
    <row r="723" spans="1:29" ht="13.5" customHeight="1">
      <c r="A723" s="23"/>
      <c r="B723" s="23"/>
      <c r="C723" s="24"/>
      <c r="D723" s="25"/>
      <c r="E723" s="24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4"/>
      <c r="W723" s="25"/>
      <c r="X723" s="24"/>
      <c r="Y723" s="23"/>
      <c r="Z723" s="23"/>
      <c r="AA723" s="23"/>
      <c r="AB723" s="23"/>
      <c r="AC723" s="23"/>
    </row>
    <row r="724" spans="1:29" ht="13.5" customHeight="1">
      <c r="A724" s="23"/>
      <c r="B724" s="23"/>
      <c r="C724" s="24"/>
      <c r="D724" s="25"/>
      <c r="E724" s="24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4"/>
      <c r="W724" s="25"/>
      <c r="X724" s="24"/>
      <c r="Y724" s="23"/>
      <c r="Z724" s="23"/>
      <c r="AA724" s="23"/>
      <c r="AB724" s="23"/>
      <c r="AC724" s="23"/>
    </row>
    <row r="725" spans="1:29" ht="13.5" customHeight="1">
      <c r="A725" s="23"/>
      <c r="B725" s="23"/>
      <c r="C725" s="24"/>
      <c r="D725" s="25"/>
      <c r="E725" s="24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4"/>
      <c r="W725" s="25"/>
      <c r="X725" s="24"/>
      <c r="Y725" s="23"/>
      <c r="Z725" s="23"/>
      <c r="AA725" s="23"/>
      <c r="AB725" s="23"/>
      <c r="AC725" s="23"/>
    </row>
    <row r="726" spans="1:29" ht="13.5" customHeight="1">
      <c r="A726" s="23"/>
      <c r="B726" s="23"/>
      <c r="C726" s="24"/>
      <c r="D726" s="25"/>
      <c r="E726" s="24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4"/>
      <c r="W726" s="25"/>
      <c r="X726" s="24"/>
      <c r="Y726" s="23"/>
      <c r="Z726" s="23"/>
      <c r="AA726" s="23"/>
      <c r="AB726" s="23"/>
      <c r="AC726" s="23"/>
    </row>
    <row r="727" spans="1:29" ht="13.5" customHeight="1">
      <c r="A727" s="23"/>
      <c r="B727" s="23"/>
      <c r="C727" s="24"/>
      <c r="D727" s="25"/>
      <c r="E727" s="24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4"/>
      <c r="W727" s="25"/>
      <c r="X727" s="24"/>
      <c r="Y727" s="23"/>
      <c r="Z727" s="23"/>
      <c r="AA727" s="23"/>
      <c r="AB727" s="23"/>
      <c r="AC727" s="23"/>
    </row>
    <row r="728" spans="1:29" ht="13.5" customHeight="1">
      <c r="A728" s="23"/>
      <c r="B728" s="23"/>
      <c r="C728" s="24"/>
      <c r="D728" s="25"/>
      <c r="E728" s="24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4"/>
      <c r="W728" s="25"/>
      <c r="X728" s="24"/>
      <c r="Y728" s="23"/>
      <c r="Z728" s="23"/>
      <c r="AA728" s="23"/>
      <c r="AB728" s="23"/>
      <c r="AC728" s="23"/>
    </row>
    <row r="729" spans="1:29" ht="13.5" customHeight="1">
      <c r="A729" s="23"/>
      <c r="B729" s="23"/>
      <c r="C729" s="24"/>
      <c r="D729" s="25"/>
      <c r="E729" s="24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4"/>
      <c r="W729" s="25"/>
      <c r="X729" s="24"/>
      <c r="Y729" s="23"/>
      <c r="Z729" s="23"/>
      <c r="AA729" s="23"/>
      <c r="AB729" s="23"/>
      <c r="AC729" s="23"/>
    </row>
    <row r="730" spans="1:29" ht="13.5" customHeight="1">
      <c r="A730" s="23"/>
      <c r="B730" s="23"/>
      <c r="C730" s="24"/>
      <c r="D730" s="25"/>
      <c r="E730" s="24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4"/>
      <c r="W730" s="25"/>
      <c r="X730" s="24"/>
      <c r="Y730" s="23"/>
      <c r="Z730" s="23"/>
      <c r="AA730" s="23"/>
      <c r="AB730" s="23"/>
      <c r="AC730" s="23"/>
    </row>
    <row r="731" spans="1:29" ht="13.5" customHeight="1">
      <c r="A731" s="23"/>
      <c r="B731" s="23"/>
      <c r="C731" s="24"/>
      <c r="D731" s="25"/>
      <c r="E731" s="24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4"/>
      <c r="W731" s="25"/>
      <c r="X731" s="24"/>
      <c r="Y731" s="23"/>
      <c r="Z731" s="23"/>
      <c r="AA731" s="23"/>
      <c r="AB731" s="23"/>
      <c r="AC731" s="23"/>
    </row>
    <row r="732" spans="1:29" ht="13.5" customHeight="1">
      <c r="A732" s="23"/>
      <c r="B732" s="23"/>
      <c r="C732" s="24"/>
      <c r="D732" s="25"/>
      <c r="E732" s="24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4"/>
      <c r="W732" s="25"/>
      <c r="X732" s="24"/>
      <c r="Y732" s="23"/>
      <c r="Z732" s="23"/>
      <c r="AA732" s="23"/>
      <c r="AB732" s="23"/>
      <c r="AC732" s="23"/>
    </row>
    <row r="733" spans="1:29" ht="13.5" customHeight="1">
      <c r="A733" s="23"/>
      <c r="B733" s="23"/>
      <c r="C733" s="24"/>
      <c r="D733" s="25"/>
      <c r="E733" s="24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4"/>
      <c r="W733" s="25"/>
      <c r="X733" s="24"/>
      <c r="Y733" s="23"/>
      <c r="Z733" s="23"/>
      <c r="AA733" s="23"/>
      <c r="AB733" s="23"/>
      <c r="AC733" s="23"/>
    </row>
    <row r="734" spans="1:29" ht="13.5" customHeight="1">
      <c r="A734" s="23"/>
      <c r="B734" s="23"/>
      <c r="C734" s="24"/>
      <c r="D734" s="25"/>
      <c r="E734" s="24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4"/>
      <c r="W734" s="25"/>
      <c r="X734" s="24"/>
      <c r="Y734" s="23"/>
      <c r="Z734" s="23"/>
      <c r="AA734" s="23"/>
      <c r="AB734" s="23"/>
      <c r="AC734" s="23"/>
    </row>
    <row r="735" spans="1:29" ht="13.5" customHeight="1">
      <c r="A735" s="23"/>
      <c r="B735" s="23"/>
      <c r="C735" s="24"/>
      <c r="D735" s="25"/>
      <c r="E735" s="24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4"/>
      <c r="W735" s="25"/>
      <c r="X735" s="24"/>
      <c r="Y735" s="23"/>
      <c r="Z735" s="23"/>
      <c r="AA735" s="23"/>
      <c r="AB735" s="23"/>
      <c r="AC735" s="23"/>
    </row>
    <row r="736" spans="1:29" ht="13.5" customHeight="1">
      <c r="A736" s="23"/>
      <c r="B736" s="23"/>
      <c r="C736" s="24"/>
      <c r="D736" s="25"/>
      <c r="E736" s="24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4"/>
      <c r="W736" s="25"/>
      <c r="X736" s="24"/>
      <c r="Y736" s="23"/>
      <c r="Z736" s="23"/>
      <c r="AA736" s="23"/>
      <c r="AB736" s="23"/>
      <c r="AC736" s="23"/>
    </row>
    <row r="737" spans="1:29" ht="13.5" customHeight="1">
      <c r="A737" s="23"/>
      <c r="B737" s="23"/>
      <c r="C737" s="24"/>
      <c r="D737" s="25"/>
      <c r="E737" s="24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4"/>
      <c r="W737" s="25"/>
      <c r="X737" s="24"/>
      <c r="Y737" s="23"/>
      <c r="Z737" s="23"/>
      <c r="AA737" s="23"/>
      <c r="AB737" s="23"/>
      <c r="AC737" s="23"/>
    </row>
    <row r="738" spans="1:29" ht="13.5" customHeight="1">
      <c r="A738" s="23"/>
      <c r="B738" s="23"/>
      <c r="C738" s="24"/>
      <c r="D738" s="25"/>
      <c r="E738" s="24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4"/>
      <c r="W738" s="25"/>
      <c r="X738" s="24"/>
      <c r="Y738" s="23"/>
      <c r="Z738" s="23"/>
      <c r="AA738" s="23"/>
      <c r="AB738" s="23"/>
      <c r="AC738" s="23"/>
    </row>
    <row r="739" spans="1:29" ht="13.5" customHeight="1">
      <c r="A739" s="23"/>
      <c r="B739" s="23"/>
      <c r="C739" s="24"/>
      <c r="D739" s="25"/>
      <c r="E739" s="24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4"/>
      <c r="W739" s="25"/>
      <c r="X739" s="24"/>
      <c r="Y739" s="23"/>
      <c r="Z739" s="23"/>
      <c r="AA739" s="23"/>
      <c r="AB739" s="23"/>
      <c r="AC739" s="23"/>
    </row>
    <row r="740" spans="1:29" ht="13.5" customHeight="1">
      <c r="A740" s="23"/>
      <c r="B740" s="23"/>
      <c r="C740" s="24"/>
      <c r="D740" s="25"/>
      <c r="E740" s="24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4"/>
      <c r="W740" s="25"/>
      <c r="X740" s="24"/>
      <c r="Y740" s="23"/>
      <c r="Z740" s="23"/>
      <c r="AA740" s="23"/>
      <c r="AB740" s="23"/>
      <c r="AC740" s="23"/>
    </row>
    <row r="741" spans="1:29" ht="13.5" customHeight="1">
      <c r="A741" s="23"/>
      <c r="B741" s="23"/>
      <c r="C741" s="24"/>
      <c r="D741" s="25"/>
      <c r="E741" s="24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4"/>
      <c r="W741" s="25"/>
      <c r="X741" s="24"/>
      <c r="Y741" s="23"/>
      <c r="Z741" s="23"/>
      <c r="AA741" s="23"/>
      <c r="AB741" s="23"/>
      <c r="AC741" s="23"/>
    </row>
    <row r="742" spans="1:29" ht="13.5" customHeight="1">
      <c r="A742" s="23"/>
      <c r="B742" s="23"/>
      <c r="C742" s="24"/>
      <c r="D742" s="25"/>
      <c r="E742" s="24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4"/>
      <c r="W742" s="25"/>
      <c r="X742" s="24"/>
      <c r="Y742" s="23"/>
      <c r="Z742" s="23"/>
      <c r="AA742" s="23"/>
      <c r="AB742" s="23"/>
      <c r="AC742" s="23"/>
    </row>
    <row r="743" spans="1:29" ht="13.5" customHeight="1">
      <c r="A743" s="23"/>
      <c r="B743" s="23"/>
      <c r="C743" s="24"/>
      <c r="D743" s="25"/>
      <c r="E743" s="24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4"/>
      <c r="W743" s="25"/>
      <c r="X743" s="24"/>
      <c r="Y743" s="23"/>
      <c r="Z743" s="23"/>
      <c r="AA743" s="23"/>
      <c r="AB743" s="23"/>
      <c r="AC743" s="23"/>
    </row>
    <row r="744" spans="1:29" ht="13.5" customHeight="1">
      <c r="A744" s="23"/>
      <c r="B744" s="23"/>
      <c r="C744" s="24"/>
      <c r="D744" s="25"/>
      <c r="E744" s="24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4"/>
      <c r="W744" s="25"/>
      <c r="X744" s="24"/>
      <c r="Y744" s="23"/>
      <c r="Z744" s="23"/>
      <c r="AA744" s="23"/>
      <c r="AB744" s="23"/>
      <c r="AC744" s="23"/>
    </row>
    <row r="745" spans="1:29" ht="13.5" customHeight="1">
      <c r="A745" s="23"/>
      <c r="B745" s="23"/>
      <c r="C745" s="24"/>
      <c r="D745" s="25"/>
      <c r="E745" s="24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4"/>
      <c r="W745" s="25"/>
      <c r="X745" s="24"/>
      <c r="Y745" s="23"/>
      <c r="Z745" s="23"/>
      <c r="AA745" s="23"/>
      <c r="AB745" s="23"/>
      <c r="AC745" s="23"/>
    </row>
    <row r="746" spans="1:29" ht="13.5" customHeight="1">
      <c r="A746" s="23"/>
      <c r="B746" s="23"/>
      <c r="C746" s="24"/>
      <c r="D746" s="25"/>
      <c r="E746" s="24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4"/>
      <c r="W746" s="25"/>
      <c r="X746" s="24"/>
      <c r="Y746" s="23"/>
      <c r="Z746" s="23"/>
      <c r="AA746" s="23"/>
      <c r="AB746" s="23"/>
      <c r="AC746" s="23"/>
    </row>
    <row r="747" spans="1:29" ht="13.5" customHeight="1">
      <c r="A747" s="23"/>
      <c r="B747" s="23"/>
      <c r="C747" s="24"/>
      <c r="D747" s="25"/>
      <c r="E747" s="24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4"/>
      <c r="W747" s="25"/>
      <c r="X747" s="24"/>
      <c r="Y747" s="23"/>
      <c r="Z747" s="23"/>
      <c r="AA747" s="23"/>
      <c r="AB747" s="23"/>
      <c r="AC747" s="23"/>
    </row>
    <row r="748" spans="1:29" ht="13.5" customHeight="1">
      <c r="A748" s="23"/>
      <c r="B748" s="23"/>
      <c r="C748" s="24"/>
      <c r="D748" s="25"/>
      <c r="E748" s="24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4"/>
      <c r="W748" s="25"/>
      <c r="X748" s="24"/>
      <c r="Y748" s="23"/>
      <c r="Z748" s="23"/>
      <c r="AA748" s="23"/>
      <c r="AB748" s="23"/>
      <c r="AC748" s="23"/>
    </row>
    <row r="749" spans="1:29" ht="13.5" customHeight="1">
      <c r="A749" s="23"/>
      <c r="B749" s="23"/>
      <c r="C749" s="24"/>
      <c r="D749" s="25"/>
      <c r="E749" s="24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4"/>
      <c r="W749" s="25"/>
      <c r="X749" s="24"/>
      <c r="Y749" s="23"/>
      <c r="Z749" s="23"/>
      <c r="AA749" s="23"/>
      <c r="AB749" s="23"/>
      <c r="AC749" s="23"/>
    </row>
    <row r="750" spans="1:29" ht="13.5" customHeight="1">
      <c r="A750" s="23"/>
      <c r="B750" s="23"/>
      <c r="C750" s="24"/>
      <c r="D750" s="25"/>
      <c r="E750" s="24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4"/>
      <c r="W750" s="25"/>
      <c r="X750" s="24"/>
      <c r="Y750" s="23"/>
      <c r="Z750" s="23"/>
      <c r="AA750" s="23"/>
      <c r="AB750" s="23"/>
      <c r="AC750" s="23"/>
    </row>
    <row r="751" spans="1:29" ht="13.5" customHeight="1">
      <c r="A751" s="23"/>
      <c r="B751" s="23"/>
      <c r="C751" s="24"/>
      <c r="D751" s="25"/>
      <c r="E751" s="24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4"/>
      <c r="W751" s="25"/>
      <c r="X751" s="24"/>
      <c r="Y751" s="23"/>
      <c r="Z751" s="23"/>
      <c r="AA751" s="23"/>
      <c r="AB751" s="23"/>
      <c r="AC751" s="23"/>
    </row>
    <row r="752" spans="1:29" ht="13.5" customHeight="1">
      <c r="A752" s="23"/>
      <c r="B752" s="23"/>
      <c r="C752" s="24"/>
      <c r="D752" s="25"/>
      <c r="E752" s="24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4"/>
      <c r="W752" s="25"/>
      <c r="X752" s="24"/>
      <c r="Y752" s="23"/>
      <c r="Z752" s="23"/>
      <c r="AA752" s="23"/>
      <c r="AB752" s="23"/>
      <c r="AC752" s="23"/>
    </row>
    <row r="753" spans="1:29" ht="13.5" customHeight="1">
      <c r="A753" s="23"/>
      <c r="B753" s="23"/>
      <c r="C753" s="24"/>
      <c r="D753" s="25"/>
      <c r="E753" s="24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4"/>
      <c r="W753" s="25"/>
      <c r="X753" s="24"/>
      <c r="Y753" s="23"/>
      <c r="Z753" s="23"/>
      <c r="AA753" s="23"/>
      <c r="AB753" s="23"/>
      <c r="AC753" s="23"/>
    </row>
    <row r="754" spans="1:29" ht="13.5" customHeight="1">
      <c r="A754" s="23"/>
      <c r="B754" s="23"/>
      <c r="C754" s="24"/>
      <c r="D754" s="25"/>
      <c r="E754" s="24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4"/>
      <c r="W754" s="25"/>
      <c r="X754" s="24"/>
      <c r="Y754" s="23"/>
      <c r="Z754" s="23"/>
      <c r="AA754" s="23"/>
      <c r="AB754" s="23"/>
      <c r="AC754" s="23"/>
    </row>
    <row r="755" spans="1:29" ht="13.5" customHeight="1">
      <c r="A755" s="23"/>
      <c r="B755" s="23"/>
      <c r="C755" s="24"/>
      <c r="D755" s="25"/>
      <c r="E755" s="24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4"/>
      <c r="W755" s="25"/>
      <c r="X755" s="24"/>
      <c r="Y755" s="23"/>
      <c r="Z755" s="23"/>
      <c r="AA755" s="23"/>
      <c r="AB755" s="23"/>
      <c r="AC755" s="23"/>
    </row>
    <row r="756" spans="1:29" ht="13.5" customHeight="1">
      <c r="A756" s="23"/>
      <c r="B756" s="23"/>
      <c r="C756" s="24"/>
      <c r="D756" s="25"/>
      <c r="E756" s="24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4"/>
      <c r="W756" s="25"/>
      <c r="X756" s="24"/>
      <c r="Y756" s="23"/>
      <c r="Z756" s="23"/>
      <c r="AA756" s="23"/>
      <c r="AB756" s="23"/>
      <c r="AC756" s="23"/>
    </row>
    <row r="757" spans="1:29" ht="13.5" customHeight="1">
      <c r="A757" s="23"/>
      <c r="B757" s="23"/>
      <c r="C757" s="24"/>
      <c r="D757" s="25"/>
      <c r="E757" s="24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4"/>
      <c r="W757" s="25"/>
      <c r="X757" s="24"/>
      <c r="Y757" s="23"/>
      <c r="Z757" s="23"/>
      <c r="AA757" s="23"/>
      <c r="AB757" s="23"/>
      <c r="AC757" s="23"/>
    </row>
    <row r="758" spans="1:29" ht="13.5" customHeight="1">
      <c r="A758" s="23"/>
      <c r="B758" s="23"/>
      <c r="C758" s="24"/>
      <c r="D758" s="25"/>
      <c r="E758" s="24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4"/>
      <c r="W758" s="25"/>
      <c r="X758" s="24"/>
      <c r="Y758" s="23"/>
      <c r="Z758" s="23"/>
      <c r="AA758" s="23"/>
      <c r="AB758" s="23"/>
      <c r="AC758" s="23"/>
    </row>
    <row r="759" spans="1:29" ht="13.5" customHeight="1">
      <c r="A759" s="23"/>
      <c r="B759" s="23"/>
      <c r="C759" s="24"/>
      <c r="D759" s="25"/>
      <c r="E759" s="24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4"/>
      <c r="W759" s="25"/>
      <c r="X759" s="24"/>
      <c r="Y759" s="23"/>
      <c r="Z759" s="23"/>
      <c r="AA759" s="23"/>
      <c r="AB759" s="23"/>
      <c r="AC759" s="23"/>
    </row>
    <row r="760" spans="1:29" ht="13.5" customHeight="1">
      <c r="A760" s="23"/>
      <c r="B760" s="23"/>
      <c r="C760" s="24"/>
      <c r="D760" s="25"/>
      <c r="E760" s="24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4"/>
      <c r="W760" s="25"/>
      <c r="X760" s="24"/>
      <c r="Y760" s="23"/>
      <c r="Z760" s="23"/>
      <c r="AA760" s="23"/>
      <c r="AB760" s="23"/>
      <c r="AC760" s="23"/>
    </row>
    <row r="761" spans="1:29" ht="13.5" customHeight="1">
      <c r="A761" s="23"/>
      <c r="B761" s="23"/>
      <c r="C761" s="24"/>
      <c r="D761" s="25"/>
      <c r="E761" s="24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4"/>
      <c r="W761" s="25"/>
      <c r="X761" s="24"/>
      <c r="Y761" s="23"/>
      <c r="Z761" s="23"/>
      <c r="AA761" s="23"/>
      <c r="AB761" s="23"/>
      <c r="AC761" s="23"/>
    </row>
    <row r="762" spans="1:29" ht="13.5" customHeight="1">
      <c r="A762" s="23"/>
      <c r="B762" s="23"/>
      <c r="C762" s="24"/>
      <c r="D762" s="25"/>
      <c r="E762" s="24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4"/>
      <c r="W762" s="25"/>
      <c r="X762" s="24"/>
      <c r="Y762" s="23"/>
      <c r="Z762" s="23"/>
      <c r="AA762" s="23"/>
      <c r="AB762" s="23"/>
      <c r="AC762" s="23"/>
    </row>
    <row r="763" spans="1:29" ht="13.5" customHeight="1">
      <c r="A763" s="23"/>
      <c r="B763" s="23"/>
      <c r="C763" s="24"/>
      <c r="D763" s="25"/>
      <c r="E763" s="24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4"/>
      <c r="W763" s="25"/>
      <c r="X763" s="24"/>
      <c r="Y763" s="23"/>
      <c r="Z763" s="23"/>
      <c r="AA763" s="23"/>
      <c r="AB763" s="23"/>
      <c r="AC763" s="23"/>
    </row>
    <row r="764" spans="1:29" ht="13.5" customHeight="1">
      <c r="A764" s="23"/>
      <c r="B764" s="23"/>
      <c r="C764" s="24"/>
      <c r="D764" s="25"/>
      <c r="E764" s="24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4"/>
      <c r="W764" s="25"/>
      <c r="X764" s="24"/>
      <c r="Y764" s="23"/>
      <c r="Z764" s="23"/>
      <c r="AA764" s="23"/>
      <c r="AB764" s="23"/>
      <c r="AC764" s="23"/>
    </row>
    <row r="765" spans="1:29" ht="13.5" customHeight="1">
      <c r="A765" s="23"/>
      <c r="B765" s="23"/>
      <c r="C765" s="24"/>
      <c r="D765" s="25"/>
      <c r="E765" s="24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4"/>
      <c r="W765" s="25"/>
      <c r="X765" s="24"/>
      <c r="Y765" s="23"/>
      <c r="Z765" s="23"/>
      <c r="AA765" s="23"/>
      <c r="AB765" s="23"/>
      <c r="AC765" s="23"/>
    </row>
    <row r="766" spans="1:29" ht="13.5" customHeight="1">
      <c r="A766" s="23"/>
      <c r="B766" s="23"/>
      <c r="C766" s="24"/>
      <c r="D766" s="25"/>
      <c r="E766" s="24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4"/>
      <c r="W766" s="25"/>
      <c r="X766" s="24"/>
      <c r="Y766" s="23"/>
      <c r="Z766" s="23"/>
      <c r="AA766" s="23"/>
      <c r="AB766" s="23"/>
      <c r="AC766" s="23"/>
    </row>
    <row r="767" spans="1:29" ht="13.5" customHeight="1">
      <c r="A767" s="23"/>
      <c r="B767" s="23"/>
      <c r="C767" s="24"/>
      <c r="D767" s="25"/>
      <c r="E767" s="24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4"/>
      <c r="W767" s="25"/>
      <c r="X767" s="24"/>
      <c r="Y767" s="23"/>
      <c r="Z767" s="23"/>
      <c r="AA767" s="23"/>
      <c r="AB767" s="23"/>
      <c r="AC767" s="23"/>
    </row>
    <row r="768" spans="1:29" ht="13.5" customHeight="1">
      <c r="A768" s="23"/>
      <c r="B768" s="23"/>
      <c r="C768" s="24"/>
      <c r="D768" s="25"/>
      <c r="E768" s="24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4"/>
      <c r="W768" s="25"/>
      <c r="X768" s="24"/>
      <c r="Y768" s="23"/>
      <c r="Z768" s="23"/>
      <c r="AA768" s="23"/>
      <c r="AB768" s="23"/>
      <c r="AC768" s="23"/>
    </row>
    <row r="769" spans="1:29" ht="13.5" customHeight="1">
      <c r="A769" s="23"/>
      <c r="B769" s="23"/>
      <c r="C769" s="24"/>
      <c r="D769" s="25"/>
      <c r="E769" s="24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4"/>
      <c r="W769" s="25"/>
      <c r="X769" s="24"/>
      <c r="Y769" s="23"/>
      <c r="Z769" s="23"/>
      <c r="AA769" s="23"/>
      <c r="AB769" s="23"/>
      <c r="AC769" s="23"/>
    </row>
    <row r="770" spans="1:29" ht="13.5" customHeight="1">
      <c r="A770" s="23"/>
      <c r="B770" s="23"/>
      <c r="C770" s="24"/>
      <c r="D770" s="25"/>
      <c r="E770" s="24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4"/>
      <c r="W770" s="25"/>
      <c r="X770" s="24"/>
      <c r="Y770" s="23"/>
      <c r="Z770" s="23"/>
      <c r="AA770" s="23"/>
      <c r="AB770" s="23"/>
      <c r="AC770" s="23"/>
    </row>
    <row r="771" spans="1:29" ht="13.5" customHeight="1">
      <c r="A771" s="23"/>
      <c r="B771" s="23"/>
      <c r="C771" s="24"/>
      <c r="D771" s="25"/>
      <c r="E771" s="24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4"/>
      <c r="W771" s="25"/>
      <c r="X771" s="24"/>
      <c r="Y771" s="23"/>
      <c r="Z771" s="23"/>
      <c r="AA771" s="23"/>
      <c r="AB771" s="23"/>
      <c r="AC771" s="23"/>
    </row>
    <row r="772" spans="1:29" ht="13.5" customHeight="1">
      <c r="A772" s="23"/>
      <c r="B772" s="23"/>
      <c r="C772" s="24"/>
      <c r="D772" s="25"/>
      <c r="E772" s="24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4"/>
      <c r="W772" s="25"/>
      <c r="X772" s="24"/>
      <c r="Y772" s="23"/>
      <c r="Z772" s="23"/>
      <c r="AA772" s="23"/>
      <c r="AB772" s="23"/>
      <c r="AC772" s="23"/>
    </row>
    <row r="773" spans="1:29" ht="13.5" customHeight="1">
      <c r="A773" s="23"/>
      <c r="B773" s="23"/>
      <c r="C773" s="24"/>
      <c r="D773" s="25"/>
      <c r="E773" s="24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4"/>
      <c r="W773" s="25"/>
      <c r="X773" s="24"/>
      <c r="Y773" s="23"/>
      <c r="Z773" s="23"/>
      <c r="AA773" s="23"/>
      <c r="AB773" s="23"/>
      <c r="AC773" s="23"/>
    </row>
    <row r="774" spans="1:29" ht="13.5" customHeight="1">
      <c r="A774" s="23"/>
      <c r="B774" s="23"/>
      <c r="C774" s="24"/>
      <c r="D774" s="25"/>
      <c r="E774" s="24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4"/>
      <c r="W774" s="25"/>
      <c r="X774" s="24"/>
      <c r="Y774" s="23"/>
      <c r="Z774" s="23"/>
      <c r="AA774" s="23"/>
      <c r="AB774" s="23"/>
      <c r="AC774" s="23"/>
    </row>
    <row r="775" spans="1:29" ht="13.5" customHeight="1">
      <c r="A775" s="23"/>
      <c r="B775" s="23"/>
      <c r="C775" s="24"/>
      <c r="D775" s="25"/>
      <c r="E775" s="24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4"/>
      <c r="W775" s="25"/>
      <c r="X775" s="24"/>
      <c r="Y775" s="23"/>
      <c r="Z775" s="23"/>
      <c r="AA775" s="23"/>
      <c r="AB775" s="23"/>
      <c r="AC775" s="23"/>
    </row>
    <row r="776" spans="1:29" ht="13.5" customHeight="1">
      <c r="A776" s="23"/>
      <c r="B776" s="23"/>
      <c r="C776" s="24"/>
      <c r="D776" s="25"/>
      <c r="E776" s="24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4"/>
      <c r="W776" s="25"/>
      <c r="X776" s="24"/>
      <c r="Y776" s="23"/>
      <c r="Z776" s="23"/>
      <c r="AA776" s="23"/>
      <c r="AB776" s="23"/>
      <c r="AC776" s="23"/>
    </row>
    <row r="777" spans="1:29" ht="13.5" customHeight="1">
      <c r="A777" s="23"/>
      <c r="B777" s="23"/>
      <c r="C777" s="24"/>
      <c r="D777" s="25"/>
      <c r="E777" s="24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4"/>
      <c r="W777" s="25"/>
      <c r="X777" s="24"/>
      <c r="Y777" s="23"/>
      <c r="Z777" s="23"/>
      <c r="AA777" s="23"/>
      <c r="AB777" s="23"/>
      <c r="AC777" s="23"/>
    </row>
    <row r="778" spans="1:29" ht="13.5" customHeight="1">
      <c r="A778" s="23"/>
      <c r="B778" s="23"/>
      <c r="C778" s="24"/>
      <c r="D778" s="25"/>
      <c r="E778" s="24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4"/>
      <c r="W778" s="25"/>
      <c r="X778" s="24"/>
      <c r="Y778" s="23"/>
      <c r="Z778" s="23"/>
      <c r="AA778" s="23"/>
      <c r="AB778" s="23"/>
      <c r="AC778" s="23"/>
    </row>
    <row r="779" spans="1:29" ht="13.5" customHeight="1">
      <c r="A779" s="23"/>
      <c r="B779" s="23"/>
      <c r="C779" s="24"/>
      <c r="D779" s="25"/>
      <c r="E779" s="24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4"/>
      <c r="W779" s="25"/>
      <c r="X779" s="24"/>
      <c r="Y779" s="23"/>
      <c r="Z779" s="23"/>
      <c r="AA779" s="23"/>
      <c r="AB779" s="23"/>
      <c r="AC779" s="23"/>
    </row>
    <row r="780" spans="1:29" ht="13.5" customHeight="1">
      <c r="A780" s="23"/>
      <c r="B780" s="23"/>
      <c r="C780" s="24"/>
      <c r="D780" s="25"/>
      <c r="E780" s="24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4"/>
      <c r="W780" s="25"/>
      <c r="X780" s="24"/>
      <c r="Y780" s="23"/>
      <c r="Z780" s="23"/>
      <c r="AA780" s="23"/>
      <c r="AB780" s="23"/>
      <c r="AC780" s="23"/>
    </row>
    <row r="781" spans="1:29" ht="13.5" customHeight="1">
      <c r="A781" s="23"/>
      <c r="B781" s="23"/>
      <c r="C781" s="24"/>
      <c r="D781" s="25"/>
      <c r="E781" s="24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4"/>
      <c r="W781" s="25"/>
      <c r="X781" s="24"/>
      <c r="Y781" s="23"/>
      <c r="Z781" s="23"/>
      <c r="AA781" s="23"/>
      <c r="AB781" s="23"/>
      <c r="AC781" s="23"/>
    </row>
    <row r="782" spans="1:29" ht="13.5" customHeight="1">
      <c r="A782" s="23"/>
      <c r="B782" s="23"/>
      <c r="C782" s="24"/>
      <c r="D782" s="25"/>
      <c r="E782" s="24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4"/>
      <c r="W782" s="25"/>
      <c r="X782" s="24"/>
      <c r="Y782" s="23"/>
      <c r="Z782" s="23"/>
      <c r="AA782" s="23"/>
      <c r="AB782" s="23"/>
      <c r="AC782" s="23"/>
    </row>
    <row r="783" spans="1:29" ht="13.5" customHeight="1">
      <c r="A783" s="23"/>
      <c r="B783" s="23"/>
      <c r="C783" s="24"/>
      <c r="D783" s="25"/>
      <c r="E783" s="24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4"/>
      <c r="W783" s="25"/>
      <c r="X783" s="24"/>
      <c r="Y783" s="23"/>
      <c r="Z783" s="23"/>
      <c r="AA783" s="23"/>
      <c r="AB783" s="23"/>
      <c r="AC783" s="23"/>
    </row>
    <row r="784" spans="1:29" ht="13.5" customHeight="1">
      <c r="A784" s="23"/>
      <c r="B784" s="23"/>
      <c r="C784" s="24"/>
      <c r="D784" s="25"/>
      <c r="E784" s="24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4"/>
      <c r="W784" s="25"/>
      <c r="X784" s="24"/>
      <c r="Y784" s="23"/>
      <c r="Z784" s="23"/>
      <c r="AA784" s="23"/>
      <c r="AB784" s="23"/>
      <c r="AC784" s="23"/>
    </row>
    <row r="785" spans="1:29" ht="13.5" customHeight="1">
      <c r="A785" s="23"/>
      <c r="B785" s="23"/>
      <c r="C785" s="24"/>
      <c r="D785" s="25"/>
      <c r="E785" s="24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4"/>
      <c r="W785" s="25"/>
      <c r="X785" s="24"/>
      <c r="Y785" s="23"/>
      <c r="Z785" s="23"/>
      <c r="AA785" s="23"/>
      <c r="AB785" s="23"/>
      <c r="AC785" s="23"/>
    </row>
    <row r="786" spans="1:29" ht="13.5" customHeight="1">
      <c r="A786" s="23"/>
      <c r="B786" s="23"/>
      <c r="C786" s="24"/>
      <c r="D786" s="25"/>
      <c r="E786" s="24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4"/>
      <c r="W786" s="25"/>
      <c r="X786" s="24"/>
      <c r="Y786" s="23"/>
      <c r="Z786" s="23"/>
      <c r="AA786" s="23"/>
      <c r="AB786" s="23"/>
      <c r="AC786" s="23"/>
    </row>
    <row r="787" spans="1:29" ht="13.5" customHeight="1">
      <c r="A787" s="23"/>
      <c r="B787" s="23"/>
      <c r="C787" s="24"/>
      <c r="D787" s="25"/>
      <c r="E787" s="24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4"/>
      <c r="W787" s="25"/>
      <c r="X787" s="24"/>
      <c r="Y787" s="23"/>
      <c r="Z787" s="23"/>
      <c r="AA787" s="23"/>
      <c r="AB787" s="23"/>
      <c r="AC787" s="23"/>
    </row>
    <row r="788" spans="1:29" ht="13.5" customHeight="1">
      <c r="A788" s="23"/>
      <c r="B788" s="23"/>
      <c r="C788" s="24"/>
      <c r="D788" s="25"/>
      <c r="E788" s="24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4"/>
      <c r="W788" s="25"/>
      <c r="X788" s="24"/>
      <c r="Y788" s="23"/>
      <c r="Z788" s="23"/>
      <c r="AA788" s="23"/>
      <c r="AB788" s="23"/>
      <c r="AC788" s="23"/>
    </row>
    <row r="789" spans="1:29" ht="13.5" customHeight="1">
      <c r="A789" s="23"/>
      <c r="B789" s="23"/>
      <c r="C789" s="24"/>
      <c r="D789" s="25"/>
      <c r="E789" s="24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4"/>
      <c r="W789" s="25"/>
      <c r="X789" s="24"/>
      <c r="Y789" s="23"/>
      <c r="Z789" s="23"/>
      <c r="AA789" s="23"/>
      <c r="AB789" s="23"/>
      <c r="AC789" s="23"/>
    </row>
    <row r="790" spans="1:29" ht="13.5" customHeight="1">
      <c r="A790" s="23"/>
      <c r="B790" s="23"/>
      <c r="C790" s="24"/>
      <c r="D790" s="25"/>
      <c r="E790" s="24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4"/>
      <c r="W790" s="25"/>
      <c r="X790" s="24"/>
      <c r="Y790" s="23"/>
      <c r="Z790" s="23"/>
      <c r="AA790" s="23"/>
      <c r="AB790" s="23"/>
      <c r="AC790" s="23"/>
    </row>
    <row r="791" spans="1:29" ht="13.5" customHeight="1">
      <c r="A791" s="23"/>
      <c r="B791" s="23"/>
      <c r="C791" s="24"/>
      <c r="D791" s="25"/>
      <c r="E791" s="24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4"/>
      <c r="W791" s="25"/>
      <c r="X791" s="24"/>
      <c r="Y791" s="23"/>
      <c r="Z791" s="23"/>
      <c r="AA791" s="23"/>
      <c r="AB791" s="23"/>
      <c r="AC791" s="23"/>
    </row>
    <row r="792" spans="1:29" ht="13.5" customHeight="1">
      <c r="A792" s="23"/>
      <c r="B792" s="23"/>
      <c r="C792" s="24"/>
      <c r="D792" s="25"/>
      <c r="E792" s="24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4"/>
      <c r="W792" s="25"/>
      <c r="X792" s="24"/>
      <c r="Y792" s="23"/>
      <c r="Z792" s="23"/>
      <c r="AA792" s="23"/>
      <c r="AB792" s="23"/>
      <c r="AC792" s="23"/>
    </row>
    <row r="793" spans="1:29" ht="13.5" customHeight="1">
      <c r="A793" s="23"/>
      <c r="B793" s="23"/>
      <c r="C793" s="24"/>
      <c r="D793" s="25"/>
      <c r="E793" s="24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4"/>
      <c r="W793" s="25"/>
      <c r="X793" s="24"/>
      <c r="Y793" s="23"/>
      <c r="Z793" s="23"/>
      <c r="AA793" s="23"/>
      <c r="AB793" s="23"/>
      <c r="AC793" s="23"/>
    </row>
    <row r="794" spans="1:29" ht="13.5" customHeight="1">
      <c r="A794" s="23"/>
      <c r="B794" s="23"/>
      <c r="C794" s="24"/>
      <c r="D794" s="25"/>
      <c r="E794" s="24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4"/>
      <c r="W794" s="25"/>
      <c r="X794" s="24"/>
      <c r="Y794" s="23"/>
      <c r="Z794" s="23"/>
      <c r="AA794" s="23"/>
      <c r="AB794" s="23"/>
      <c r="AC794" s="23"/>
    </row>
    <row r="795" spans="1:29" ht="13.5" customHeight="1">
      <c r="A795" s="23"/>
      <c r="B795" s="23"/>
      <c r="C795" s="24"/>
      <c r="D795" s="25"/>
      <c r="E795" s="24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4"/>
      <c r="W795" s="25"/>
      <c r="X795" s="24"/>
      <c r="Y795" s="23"/>
      <c r="Z795" s="23"/>
      <c r="AA795" s="23"/>
      <c r="AB795" s="23"/>
      <c r="AC795" s="23"/>
    </row>
    <row r="796" spans="1:29" ht="13.5" customHeight="1">
      <c r="A796" s="23"/>
      <c r="B796" s="23"/>
      <c r="C796" s="24"/>
      <c r="D796" s="25"/>
      <c r="E796" s="24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4"/>
      <c r="W796" s="25"/>
      <c r="X796" s="24"/>
      <c r="Y796" s="23"/>
      <c r="Z796" s="23"/>
      <c r="AA796" s="23"/>
      <c r="AB796" s="23"/>
      <c r="AC796" s="23"/>
    </row>
    <row r="797" spans="1:29" ht="13.5" customHeight="1">
      <c r="A797" s="23"/>
      <c r="B797" s="23"/>
      <c r="C797" s="24"/>
      <c r="D797" s="25"/>
      <c r="E797" s="24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4"/>
      <c r="W797" s="25"/>
      <c r="X797" s="24"/>
      <c r="Y797" s="23"/>
      <c r="Z797" s="23"/>
      <c r="AA797" s="23"/>
      <c r="AB797" s="23"/>
      <c r="AC797" s="23"/>
    </row>
    <row r="798" spans="1:29" ht="13.5" customHeight="1">
      <c r="A798" s="23"/>
      <c r="B798" s="23"/>
      <c r="C798" s="24"/>
      <c r="D798" s="25"/>
      <c r="E798" s="24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4"/>
      <c r="W798" s="25"/>
      <c r="X798" s="24"/>
      <c r="Y798" s="23"/>
      <c r="Z798" s="23"/>
      <c r="AA798" s="23"/>
      <c r="AB798" s="23"/>
      <c r="AC798" s="23"/>
    </row>
    <row r="799" spans="1:29" ht="13.5" customHeight="1">
      <c r="A799" s="23"/>
      <c r="B799" s="23"/>
      <c r="C799" s="24"/>
      <c r="D799" s="25"/>
      <c r="E799" s="24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4"/>
      <c r="W799" s="25"/>
      <c r="X799" s="24"/>
      <c r="Y799" s="23"/>
      <c r="Z799" s="23"/>
      <c r="AA799" s="23"/>
      <c r="AB799" s="23"/>
      <c r="AC799" s="23"/>
    </row>
    <row r="800" spans="1:29" ht="13.5" customHeight="1">
      <c r="A800" s="23"/>
      <c r="B800" s="23"/>
      <c r="C800" s="24"/>
      <c r="D800" s="25"/>
      <c r="E800" s="24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4"/>
      <c r="W800" s="25"/>
      <c r="X800" s="24"/>
      <c r="Y800" s="23"/>
      <c r="Z800" s="23"/>
      <c r="AA800" s="23"/>
      <c r="AB800" s="23"/>
      <c r="AC800" s="23"/>
    </row>
    <row r="801" spans="1:29" ht="13.5" customHeight="1">
      <c r="A801" s="23"/>
      <c r="B801" s="23"/>
      <c r="C801" s="24"/>
      <c r="D801" s="25"/>
      <c r="E801" s="24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4"/>
      <c r="W801" s="25"/>
      <c r="X801" s="24"/>
      <c r="Y801" s="23"/>
      <c r="Z801" s="23"/>
      <c r="AA801" s="23"/>
      <c r="AB801" s="23"/>
      <c r="AC801" s="23"/>
    </row>
    <row r="802" spans="1:29" ht="13.5" customHeight="1">
      <c r="A802" s="23"/>
      <c r="B802" s="23"/>
      <c r="C802" s="24"/>
      <c r="D802" s="25"/>
      <c r="E802" s="24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4"/>
      <c r="W802" s="25"/>
      <c r="X802" s="24"/>
      <c r="Y802" s="23"/>
      <c r="Z802" s="23"/>
      <c r="AA802" s="23"/>
      <c r="AB802" s="23"/>
      <c r="AC802" s="23"/>
    </row>
    <row r="803" spans="1:29" ht="13.5" customHeight="1">
      <c r="A803" s="23"/>
      <c r="B803" s="23"/>
      <c r="C803" s="24"/>
      <c r="D803" s="25"/>
      <c r="E803" s="24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4"/>
      <c r="W803" s="25"/>
      <c r="X803" s="24"/>
      <c r="Y803" s="23"/>
      <c r="Z803" s="23"/>
      <c r="AA803" s="23"/>
      <c r="AB803" s="23"/>
      <c r="AC803" s="23"/>
    </row>
    <row r="804" spans="1:29" ht="13.5" customHeight="1">
      <c r="A804" s="23"/>
      <c r="B804" s="23"/>
      <c r="C804" s="24"/>
      <c r="D804" s="25"/>
      <c r="E804" s="24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4"/>
      <c r="W804" s="25"/>
      <c r="X804" s="24"/>
      <c r="Y804" s="23"/>
      <c r="Z804" s="23"/>
      <c r="AA804" s="23"/>
      <c r="AB804" s="23"/>
      <c r="AC804" s="23"/>
    </row>
    <row r="805" spans="1:29" ht="13.5" customHeight="1">
      <c r="A805" s="23"/>
      <c r="B805" s="23"/>
      <c r="C805" s="24"/>
      <c r="D805" s="25"/>
      <c r="E805" s="24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4"/>
      <c r="W805" s="25"/>
      <c r="X805" s="24"/>
      <c r="Y805" s="23"/>
      <c r="Z805" s="23"/>
      <c r="AA805" s="23"/>
      <c r="AB805" s="23"/>
      <c r="AC805" s="23"/>
    </row>
    <row r="806" spans="1:29" ht="13.5" customHeight="1">
      <c r="A806" s="23"/>
      <c r="B806" s="23"/>
      <c r="C806" s="24"/>
      <c r="D806" s="25"/>
      <c r="E806" s="24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4"/>
      <c r="W806" s="25"/>
      <c r="X806" s="24"/>
      <c r="Y806" s="23"/>
      <c r="Z806" s="23"/>
      <c r="AA806" s="23"/>
      <c r="AB806" s="23"/>
      <c r="AC806" s="23"/>
    </row>
    <row r="807" spans="1:29" ht="13.5" customHeight="1">
      <c r="A807" s="23"/>
      <c r="B807" s="23"/>
      <c r="C807" s="24"/>
      <c r="D807" s="25"/>
      <c r="E807" s="24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4"/>
      <c r="W807" s="25"/>
      <c r="X807" s="24"/>
      <c r="Y807" s="23"/>
      <c r="Z807" s="23"/>
      <c r="AA807" s="23"/>
      <c r="AB807" s="23"/>
      <c r="AC807" s="23"/>
    </row>
    <row r="808" spans="1:29" ht="13.5" customHeight="1">
      <c r="A808" s="23"/>
      <c r="B808" s="23"/>
      <c r="C808" s="24"/>
      <c r="D808" s="25"/>
      <c r="E808" s="24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4"/>
      <c r="W808" s="25"/>
      <c r="X808" s="24"/>
      <c r="Y808" s="23"/>
      <c r="Z808" s="23"/>
      <c r="AA808" s="23"/>
      <c r="AB808" s="23"/>
      <c r="AC808" s="23"/>
    </row>
    <row r="809" spans="1:29" ht="13.5" customHeight="1">
      <c r="A809" s="23"/>
      <c r="B809" s="23"/>
      <c r="C809" s="24"/>
      <c r="D809" s="25"/>
      <c r="E809" s="24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4"/>
      <c r="W809" s="25"/>
      <c r="X809" s="24"/>
      <c r="Y809" s="23"/>
      <c r="Z809" s="23"/>
      <c r="AA809" s="23"/>
      <c r="AB809" s="23"/>
      <c r="AC809" s="23"/>
    </row>
    <row r="810" spans="1:29" ht="13.5" customHeight="1">
      <c r="A810" s="23"/>
      <c r="B810" s="23"/>
      <c r="C810" s="24"/>
      <c r="D810" s="25"/>
      <c r="E810" s="24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4"/>
      <c r="W810" s="25"/>
      <c r="X810" s="24"/>
      <c r="Y810" s="23"/>
      <c r="Z810" s="23"/>
      <c r="AA810" s="23"/>
      <c r="AB810" s="23"/>
      <c r="AC810" s="23"/>
    </row>
    <row r="811" spans="1:29" ht="13.5" customHeight="1">
      <c r="A811" s="23"/>
      <c r="B811" s="23"/>
      <c r="C811" s="24"/>
      <c r="D811" s="25"/>
      <c r="E811" s="24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4"/>
      <c r="W811" s="25"/>
      <c r="X811" s="24"/>
      <c r="Y811" s="23"/>
      <c r="Z811" s="23"/>
      <c r="AA811" s="23"/>
      <c r="AB811" s="23"/>
      <c r="AC811" s="23"/>
    </row>
    <row r="812" spans="1:29" ht="13.5" customHeight="1">
      <c r="A812" s="23"/>
      <c r="B812" s="23"/>
      <c r="C812" s="24"/>
      <c r="D812" s="25"/>
      <c r="E812" s="24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4"/>
      <c r="W812" s="25"/>
      <c r="X812" s="24"/>
      <c r="Y812" s="23"/>
      <c r="Z812" s="23"/>
      <c r="AA812" s="23"/>
      <c r="AB812" s="23"/>
      <c r="AC812" s="23"/>
    </row>
    <row r="813" spans="1:29" ht="13.5" customHeight="1">
      <c r="A813" s="23"/>
      <c r="B813" s="23"/>
      <c r="C813" s="24"/>
      <c r="D813" s="25"/>
      <c r="E813" s="24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4"/>
      <c r="W813" s="25"/>
      <c r="X813" s="24"/>
      <c r="Y813" s="23"/>
      <c r="Z813" s="23"/>
      <c r="AA813" s="23"/>
      <c r="AB813" s="23"/>
      <c r="AC813" s="23"/>
    </row>
    <row r="814" spans="1:29" ht="13.5" customHeight="1">
      <c r="A814" s="23"/>
      <c r="B814" s="23"/>
      <c r="C814" s="24"/>
      <c r="D814" s="25"/>
      <c r="E814" s="24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4"/>
      <c r="W814" s="25"/>
      <c r="X814" s="24"/>
      <c r="Y814" s="23"/>
      <c r="Z814" s="23"/>
      <c r="AA814" s="23"/>
      <c r="AB814" s="23"/>
      <c r="AC814" s="23"/>
    </row>
    <row r="815" spans="1:29" ht="13.5" customHeight="1">
      <c r="A815" s="23"/>
      <c r="B815" s="23"/>
      <c r="C815" s="24"/>
      <c r="D815" s="25"/>
      <c r="E815" s="24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4"/>
      <c r="W815" s="25"/>
      <c r="X815" s="24"/>
      <c r="Y815" s="23"/>
      <c r="Z815" s="23"/>
      <c r="AA815" s="23"/>
      <c r="AB815" s="23"/>
      <c r="AC815" s="23"/>
    </row>
    <row r="816" spans="1:29" ht="13.5" customHeight="1">
      <c r="A816" s="23"/>
      <c r="B816" s="23"/>
      <c r="C816" s="24"/>
      <c r="D816" s="25"/>
      <c r="E816" s="24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4"/>
      <c r="W816" s="25"/>
      <c r="X816" s="24"/>
      <c r="Y816" s="23"/>
      <c r="Z816" s="23"/>
      <c r="AA816" s="23"/>
      <c r="AB816" s="23"/>
      <c r="AC816" s="23"/>
    </row>
    <row r="817" spans="1:29" ht="13.5" customHeight="1">
      <c r="A817" s="23"/>
      <c r="B817" s="23"/>
      <c r="C817" s="24"/>
      <c r="D817" s="25"/>
      <c r="E817" s="24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4"/>
      <c r="W817" s="25"/>
      <c r="X817" s="24"/>
      <c r="Y817" s="23"/>
      <c r="Z817" s="23"/>
      <c r="AA817" s="23"/>
      <c r="AB817" s="23"/>
      <c r="AC817" s="23"/>
    </row>
    <row r="818" spans="1:29" ht="13.5" customHeight="1">
      <c r="A818" s="23"/>
      <c r="B818" s="23"/>
      <c r="C818" s="24"/>
      <c r="D818" s="25"/>
      <c r="E818" s="24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4"/>
      <c r="W818" s="25"/>
      <c r="X818" s="24"/>
      <c r="Y818" s="23"/>
      <c r="Z818" s="23"/>
      <c r="AA818" s="23"/>
      <c r="AB818" s="23"/>
      <c r="AC818" s="23"/>
    </row>
    <row r="819" spans="1:29" ht="13.5" customHeight="1">
      <c r="A819" s="23"/>
      <c r="B819" s="23"/>
      <c r="C819" s="24"/>
      <c r="D819" s="25"/>
      <c r="E819" s="24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4"/>
      <c r="W819" s="25"/>
      <c r="X819" s="24"/>
      <c r="Y819" s="23"/>
      <c r="Z819" s="23"/>
      <c r="AA819" s="23"/>
      <c r="AB819" s="23"/>
      <c r="AC819" s="23"/>
    </row>
    <row r="820" spans="1:29" ht="13.5" customHeight="1">
      <c r="A820" s="23"/>
      <c r="B820" s="23"/>
      <c r="C820" s="24"/>
      <c r="D820" s="25"/>
      <c r="E820" s="24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4"/>
      <c r="W820" s="25"/>
      <c r="X820" s="24"/>
      <c r="Y820" s="23"/>
      <c r="Z820" s="23"/>
      <c r="AA820" s="23"/>
      <c r="AB820" s="23"/>
      <c r="AC820" s="23"/>
    </row>
    <row r="821" spans="1:29" ht="13.5" customHeight="1">
      <c r="A821" s="23"/>
      <c r="B821" s="23"/>
      <c r="C821" s="24"/>
      <c r="D821" s="25"/>
      <c r="E821" s="24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4"/>
      <c r="W821" s="25"/>
      <c r="X821" s="24"/>
      <c r="Y821" s="23"/>
      <c r="Z821" s="23"/>
      <c r="AA821" s="23"/>
      <c r="AB821" s="23"/>
      <c r="AC821" s="23"/>
    </row>
    <row r="822" spans="1:29" ht="13.5" customHeight="1">
      <c r="A822" s="23"/>
      <c r="B822" s="23"/>
      <c r="C822" s="24"/>
      <c r="D822" s="25"/>
      <c r="E822" s="24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4"/>
      <c r="W822" s="25"/>
      <c r="X822" s="24"/>
      <c r="Y822" s="23"/>
      <c r="Z822" s="23"/>
      <c r="AA822" s="23"/>
      <c r="AB822" s="23"/>
      <c r="AC822" s="23"/>
    </row>
    <row r="823" spans="1:29" ht="13.5" customHeight="1">
      <c r="A823" s="23"/>
      <c r="B823" s="23"/>
      <c r="C823" s="24"/>
      <c r="D823" s="25"/>
      <c r="E823" s="24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4"/>
      <c r="W823" s="25"/>
      <c r="X823" s="24"/>
      <c r="Y823" s="23"/>
      <c r="Z823" s="23"/>
      <c r="AA823" s="23"/>
      <c r="AB823" s="23"/>
      <c r="AC823" s="23"/>
    </row>
    <row r="824" spans="1:29" ht="13.5" customHeight="1">
      <c r="A824" s="23"/>
      <c r="B824" s="23"/>
      <c r="C824" s="24"/>
      <c r="D824" s="25"/>
      <c r="E824" s="24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4"/>
      <c r="W824" s="25"/>
      <c r="X824" s="24"/>
      <c r="Y824" s="23"/>
      <c r="Z824" s="23"/>
      <c r="AA824" s="23"/>
      <c r="AB824" s="23"/>
      <c r="AC824" s="23"/>
    </row>
    <row r="825" spans="1:29" ht="13.5" customHeight="1">
      <c r="A825" s="23"/>
      <c r="B825" s="23"/>
      <c r="C825" s="24"/>
      <c r="D825" s="25"/>
      <c r="E825" s="24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4"/>
      <c r="W825" s="25"/>
      <c r="X825" s="24"/>
      <c r="Y825" s="23"/>
      <c r="Z825" s="23"/>
      <c r="AA825" s="23"/>
      <c r="AB825" s="23"/>
      <c r="AC825" s="23"/>
    </row>
    <row r="826" spans="1:29" ht="13.5" customHeight="1">
      <c r="A826" s="23"/>
      <c r="B826" s="23"/>
      <c r="C826" s="24"/>
      <c r="D826" s="25"/>
      <c r="E826" s="24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4"/>
      <c r="W826" s="25"/>
      <c r="X826" s="24"/>
      <c r="Y826" s="23"/>
      <c r="Z826" s="23"/>
      <c r="AA826" s="23"/>
      <c r="AB826" s="23"/>
      <c r="AC826" s="23"/>
    </row>
    <row r="827" spans="1:29" ht="13.5" customHeight="1">
      <c r="A827" s="23"/>
      <c r="B827" s="23"/>
      <c r="C827" s="24"/>
      <c r="D827" s="25"/>
      <c r="E827" s="24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4"/>
      <c r="W827" s="25"/>
      <c r="X827" s="24"/>
      <c r="Y827" s="23"/>
      <c r="Z827" s="23"/>
      <c r="AA827" s="23"/>
      <c r="AB827" s="23"/>
      <c r="AC827" s="23"/>
    </row>
    <row r="828" spans="1:29" ht="13.5" customHeight="1">
      <c r="A828" s="23"/>
      <c r="B828" s="23"/>
      <c r="C828" s="24"/>
      <c r="D828" s="25"/>
      <c r="E828" s="24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4"/>
      <c r="W828" s="25"/>
      <c r="X828" s="24"/>
      <c r="Y828" s="23"/>
      <c r="Z828" s="23"/>
      <c r="AA828" s="23"/>
      <c r="AB828" s="23"/>
      <c r="AC828" s="23"/>
    </row>
    <row r="829" spans="1:29" ht="13.5" customHeight="1">
      <c r="A829" s="23"/>
      <c r="B829" s="23"/>
      <c r="C829" s="24"/>
      <c r="D829" s="25"/>
      <c r="E829" s="24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4"/>
      <c r="W829" s="25"/>
      <c r="X829" s="24"/>
      <c r="Y829" s="23"/>
      <c r="Z829" s="23"/>
      <c r="AA829" s="23"/>
      <c r="AB829" s="23"/>
      <c r="AC829" s="23"/>
    </row>
    <row r="830" spans="1:29" ht="13.5" customHeight="1">
      <c r="A830" s="23"/>
      <c r="B830" s="23"/>
      <c r="C830" s="24"/>
      <c r="D830" s="25"/>
      <c r="E830" s="24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4"/>
      <c r="W830" s="25"/>
      <c r="X830" s="24"/>
      <c r="Y830" s="23"/>
      <c r="Z830" s="23"/>
      <c r="AA830" s="23"/>
      <c r="AB830" s="23"/>
      <c r="AC830" s="23"/>
    </row>
    <row r="831" spans="1:29" ht="13.5" customHeight="1">
      <c r="A831" s="23"/>
      <c r="B831" s="23"/>
      <c r="C831" s="24"/>
      <c r="D831" s="25"/>
      <c r="E831" s="24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4"/>
      <c r="W831" s="25"/>
      <c r="X831" s="24"/>
      <c r="Y831" s="23"/>
      <c r="Z831" s="23"/>
      <c r="AA831" s="23"/>
      <c r="AB831" s="23"/>
      <c r="AC831" s="23"/>
    </row>
    <row r="832" spans="1:29" ht="13.5" customHeight="1">
      <c r="A832" s="23"/>
      <c r="B832" s="23"/>
      <c r="C832" s="24"/>
      <c r="D832" s="25"/>
      <c r="E832" s="24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4"/>
      <c r="W832" s="25"/>
      <c r="X832" s="24"/>
      <c r="Y832" s="23"/>
      <c r="Z832" s="23"/>
      <c r="AA832" s="23"/>
      <c r="AB832" s="23"/>
      <c r="AC832" s="23"/>
    </row>
    <row r="833" spans="1:29" ht="13.5" customHeight="1">
      <c r="A833" s="23"/>
      <c r="B833" s="23"/>
      <c r="C833" s="24"/>
      <c r="D833" s="25"/>
      <c r="E833" s="24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4"/>
      <c r="W833" s="25"/>
      <c r="X833" s="24"/>
      <c r="Y833" s="23"/>
      <c r="Z833" s="23"/>
      <c r="AA833" s="23"/>
      <c r="AB833" s="23"/>
      <c r="AC833" s="23"/>
    </row>
    <row r="834" spans="1:29" ht="13.5" customHeight="1">
      <c r="A834" s="23"/>
      <c r="B834" s="23"/>
      <c r="C834" s="24"/>
      <c r="D834" s="25"/>
      <c r="E834" s="24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4"/>
      <c r="W834" s="25"/>
      <c r="X834" s="24"/>
      <c r="Y834" s="23"/>
      <c r="Z834" s="23"/>
      <c r="AA834" s="23"/>
      <c r="AB834" s="23"/>
      <c r="AC834" s="23"/>
    </row>
    <row r="835" spans="1:29" ht="13.5" customHeight="1">
      <c r="A835" s="23"/>
      <c r="B835" s="23"/>
      <c r="C835" s="24"/>
      <c r="D835" s="25"/>
      <c r="E835" s="24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4"/>
      <c r="W835" s="25"/>
      <c r="X835" s="24"/>
      <c r="Y835" s="23"/>
      <c r="Z835" s="23"/>
      <c r="AA835" s="23"/>
      <c r="AB835" s="23"/>
      <c r="AC835" s="23"/>
    </row>
    <row r="836" spans="1:29" ht="13.5" customHeight="1">
      <c r="A836" s="23"/>
      <c r="B836" s="23"/>
      <c r="C836" s="24"/>
      <c r="D836" s="25"/>
      <c r="E836" s="24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4"/>
      <c r="W836" s="25"/>
      <c r="X836" s="24"/>
      <c r="Y836" s="23"/>
      <c r="Z836" s="23"/>
      <c r="AA836" s="23"/>
      <c r="AB836" s="23"/>
      <c r="AC836" s="23"/>
    </row>
    <row r="837" spans="1:29" ht="13.5" customHeight="1">
      <c r="A837" s="23"/>
      <c r="B837" s="23"/>
      <c r="C837" s="24"/>
      <c r="D837" s="25"/>
      <c r="E837" s="24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4"/>
      <c r="W837" s="25"/>
      <c r="X837" s="24"/>
      <c r="Y837" s="23"/>
      <c r="Z837" s="23"/>
      <c r="AA837" s="23"/>
      <c r="AB837" s="23"/>
      <c r="AC837" s="23"/>
    </row>
    <row r="838" spans="1:29" ht="13.5" customHeight="1">
      <c r="A838" s="23"/>
      <c r="B838" s="23"/>
      <c r="C838" s="24"/>
      <c r="D838" s="25"/>
      <c r="E838" s="24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4"/>
      <c r="W838" s="25"/>
      <c r="X838" s="24"/>
      <c r="Y838" s="23"/>
      <c r="Z838" s="23"/>
      <c r="AA838" s="23"/>
      <c r="AB838" s="23"/>
      <c r="AC838" s="23"/>
    </row>
    <row r="839" spans="1:29" ht="13.5" customHeight="1">
      <c r="A839" s="23"/>
      <c r="B839" s="23"/>
      <c r="C839" s="24"/>
      <c r="D839" s="25"/>
      <c r="E839" s="24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4"/>
      <c r="W839" s="25"/>
      <c r="X839" s="24"/>
      <c r="Y839" s="23"/>
      <c r="Z839" s="23"/>
      <c r="AA839" s="23"/>
      <c r="AB839" s="23"/>
      <c r="AC839" s="23"/>
    </row>
    <row r="840" spans="1:29" ht="13.5" customHeight="1">
      <c r="A840" s="23"/>
      <c r="B840" s="23"/>
      <c r="C840" s="24"/>
      <c r="D840" s="25"/>
      <c r="E840" s="24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4"/>
      <c r="W840" s="25"/>
      <c r="X840" s="24"/>
      <c r="Y840" s="23"/>
      <c r="Z840" s="23"/>
      <c r="AA840" s="23"/>
      <c r="AB840" s="23"/>
      <c r="AC840" s="23"/>
    </row>
    <row r="841" spans="1:29" ht="13.5" customHeight="1">
      <c r="A841" s="23"/>
      <c r="B841" s="23"/>
      <c r="C841" s="24"/>
      <c r="D841" s="25"/>
      <c r="E841" s="24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4"/>
      <c r="W841" s="25"/>
      <c r="X841" s="24"/>
      <c r="Y841" s="23"/>
      <c r="Z841" s="23"/>
      <c r="AA841" s="23"/>
      <c r="AB841" s="23"/>
      <c r="AC841" s="23"/>
    </row>
    <row r="842" spans="1:29" ht="13.5" customHeight="1">
      <c r="A842" s="23"/>
      <c r="B842" s="23"/>
      <c r="C842" s="24"/>
      <c r="D842" s="25"/>
      <c r="E842" s="24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4"/>
      <c r="W842" s="25"/>
      <c r="X842" s="24"/>
      <c r="Y842" s="23"/>
      <c r="Z842" s="23"/>
      <c r="AA842" s="23"/>
      <c r="AB842" s="23"/>
      <c r="AC842" s="23"/>
    </row>
    <row r="843" spans="1:29" ht="13.5" customHeight="1">
      <c r="A843" s="23"/>
      <c r="B843" s="23"/>
      <c r="C843" s="24"/>
      <c r="D843" s="25"/>
      <c r="E843" s="24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4"/>
      <c r="W843" s="25"/>
      <c r="X843" s="24"/>
      <c r="Y843" s="23"/>
      <c r="Z843" s="23"/>
      <c r="AA843" s="23"/>
      <c r="AB843" s="23"/>
      <c r="AC843" s="23"/>
    </row>
    <row r="844" spans="1:29" ht="13.5" customHeight="1">
      <c r="A844" s="23"/>
      <c r="B844" s="23"/>
      <c r="C844" s="24"/>
      <c r="D844" s="25"/>
      <c r="E844" s="24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4"/>
      <c r="W844" s="25"/>
      <c r="X844" s="24"/>
      <c r="Y844" s="23"/>
      <c r="Z844" s="23"/>
      <c r="AA844" s="23"/>
      <c r="AB844" s="23"/>
      <c r="AC844" s="23"/>
    </row>
    <row r="845" spans="1:29" ht="13.5" customHeight="1">
      <c r="A845" s="23"/>
      <c r="B845" s="23"/>
      <c r="C845" s="24"/>
      <c r="D845" s="25"/>
      <c r="E845" s="24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4"/>
      <c r="W845" s="25"/>
      <c r="X845" s="24"/>
      <c r="Y845" s="23"/>
      <c r="Z845" s="23"/>
      <c r="AA845" s="23"/>
      <c r="AB845" s="23"/>
      <c r="AC845" s="23"/>
    </row>
    <row r="846" spans="1:29" ht="13.5" customHeight="1">
      <c r="A846" s="23"/>
      <c r="B846" s="23"/>
      <c r="C846" s="24"/>
      <c r="D846" s="25"/>
      <c r="E846" s="24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4"/>
      <c r="W846" s="25"/>
      <c r="X846" s="24"/>
      <c r="Y846" s="23"/>
      <c r="Z846" s="23"/>
      <c r="AA846" s="23"/>
      <c r="AB846" s="23"/>
      <c r="AC846" s="23"/>
    </row>
    <row r="847" spans="1:29" ht="13.5" customHeight="1">
      <c r="A847" s="23"/>
      <c r="B847" s="23"/>
      <c r="C847" s="24"/>
      <c r="D847" s="25"/>
      <c r="E847" s="24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4"/>
      <c r="W847" s="25"/>
      <c r="X847" s="24"/>
      <c r="Y847" s="23"/>
      <c r="Z847" s="23"/>
      <c r="AA847" s="23"/>
      <c r="AB847" s="23"/>
      <c r="AC847" s="23"/>
    </row>
    <row r="848" spans="1:29" ht="13.5" customHeight="1">
      <c r="A848" s="23"/>
      <c r="B848" s="23"/>
      <c r="C848" s="24"/>
      <c r="D848" s="25"/>
      <c r="E848" s="24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4"/>
      <c r="W848" s="25"/>
      <c r="X848" s="24"/>
      <c r="Y848" s="23"/>
      <c r="Z848" s="23"/>
      <c r="AA848" s="23"/>
      <c r="AB848" s="23"/>
      <c r="AC848" s="23"/>
    </row>
    <row r="849" spans="1:29" ht="13.5" customHeight="1">
      <c r="A849" s="23"/>
      <c r="B849" s="23"/>
      <c r="C849" s="24"/>
      <c r="D849" s="25"/>
      <c r="E849" s="24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4"/>
      <c r="W849" s="25"/>
      <c r="X849" s="24"/>
      <c r="Y849" s="23"/>
      <c r="Z849" s="23"/>
      <c r="AA849" s="23"/>
      <c r="AB849" s="23"/>
      <c r="AC849" s="23"/>
    </row>
    <row r="850" spans="1:29" ht="13.5" customHeight="1">
      <c r="A850" s="23"/>
      <c r="B850" s="23"/>
      <c r="C850" s="24"/>
      <c r="D850" s="25"/>
      <c r="E850" s="24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4"/>
      <c r="W850" s="25"/>
      <c r="X850" s="24"/>
      <c r="Y850" s="23"/>
      <c r="Z850" s="23"/>
      <c r="AA850" s="23"/>
      <c r="AB850" s="23"/>
      <c r="AC850" s="23"/>
    </row>
    <row r="851" spans="1:29" ht="13.5" customHeight="1">
      <c r="A851" s="23"/>
      <c r="B851" s="23"/>
      <c r="C851" s="24"/>
      <c r="D851" s="25"/>
      <c r="E851" s="24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4"/>
      <c r="W851" s="25"/>
      <c r="X851" s="24"/>
      <c r="Y851" s="23"/>
      <c r="Z851" s="23"/>
      <c r="AA851" s="23"/>
      <c r="AB851" s="23"/>
      <c r="AC851" s="23"/>
    </row>
    <row r="852" spans="1:29" ht="13.5" customHeight="1">
      <c r="A852" s="23"/>
      <c r="B852" s="23"/>
      <c r="C852" s="24"/>
      <c r="D852" s="25"/>
      <c r="E852" s="24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4"/>
      <c r="W852" s="25"/>
      <c r="X852" s="24"/>
      <c r="Y852" s="23"/>
      <c r="Z852" s="23"/>
      <c r="AA852" s="23"/>
      <c r="AB852" s="23"/>
      <c r="AC852" s="23"/>
    </row>
    <row r="853" spans="1:29" ht="13.5" customHeight="1">
      <c r="A853" s="23"/>
      <c r="B853" s="23"/>
      <c r="C853" s="24"/>
      <c r="D853" s="25"/>
      <c r="E853" s="24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4"/>
      <c r="W853" s="25"/>
      <c r="X853" s="24"/>
      <c r="Y853" s="23"/>
      <c r="Z853" s="23"/>
      <c r="AA853" s="23"/>
      <c r="AB853" s="23"/>
      <c r="AC853" s="23"/>
    </row>
    <row r="854" spans="1:29" ht="13.5" customHeight="1">
      <c r="A854" s="23"/>
      <c r="B854" s="23"/>
      <c r="C854" s="24"/>
      <c r="D854" s="25"/>
      <c r="E854" s="24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4"/>
      <c r="W854" s="25"/>
      <c r="X854" s="24"/>
      <c r="Y854" s="23"/>
      <c r="Z854" s="23"/>
      <c r="AA854" s="23"/>
      <c r="AB854" s="23"/>
      <c r="AC854" s="23"/>
    </row>
    <row r="855" spans="1:29" ht="13.5" customHeight="1">
      <c r="A855" s="23"/>
      <c r="B855" s="23"/>
      <c r="C855" s="24"/>
      <c r="D855" s="25"/>
      <c r="E855" s="24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4"/>
      <c r="W855" s="25"/>
      <c r="X855" s="24"/>
      <c r="Y855" s="23"/>
      <c r="Z855" s="23"/>
      <c r="AA855" s="23"/>
      <c r="AB855" s="23"/>
      <c r="AC855" s="23"/>
    </row>
    <row r="856" spans="1:29" ht="13.5" customHeight="1">
      <c r="A856" s="23"/>
      <c r="B856" s="23"/>
      <c r="C856" s="24"/>
      <c r="D856" s="25"/>
      <c r="E856" s="24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4"/>
      <c r="W856" s="25"/>
      <c r="X856" s="24"/>
      <c r="Y856" s="23"/>
      <c r="Z856" s="23"/>
      <c r="AA856" s="23"/>
      <c r="AB856" s="23"/>
      <c r="AC856" s="23"/>
    </row>
    <row r="857" spans="1:29" ht="13.5" customHeight="1">
      <c r="A857" s="23"/>
      <c r="B857" s="23"/>
      <c r="C857" s="24"/>
      <c r="D857" s="25"/>
      <c r="E857" s="24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4"/>
      <c r="W857" s="25"/>
      <c r="X857" s="24"/>
      <c r="Y857" s="23"/>
      <c r="Z857" s="23"/>
      <c r="AA857" s="23"/>
      <c r="AB857" s="23"/>
      <c r="AC857" s="23"/>
    </row>
    <row r="858" spans="1:29" ht="13.5" customHeight="1">
      <c r="A858" s="23"/>
      <c r="B858" s="23"/>
      <c r="C858" s="24"/>
      <c r="D858" s="25"/>
      <c r="E858" s="24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4"/>
      <c r="W858" s="25"/>
      <c r="X858" s="24"/>
      <c r="Y858" s="23"/>
      <c r="Z858" s="23"/>
      <c r="AA858" s="23"/>
      <c r="AB858" s="23"/>
      <c r="AC858" s="23"/>
    </row>
    <row r="859" spans="1:29" ht="13.5" customHeight="1">
      <c r="A859" s="23"/>
      <c r="B859" s="23"/>
      <c r="C859" s="24"/>
      <c r="D859" s="25"/>
      <c r="E859" s="24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4"/>
      <c r="W859" s="25"/>
      <c r="X859" s="24"/>
      <c r="Y859" s="23"/>
      <c r="Z859" s="23"/>
      <c r="AA859" s="23"/>
      <c r="AB859" s="23"/>
      <c r="AC859" s="23"/>
    </row>
    <row r="860" spans="1:29" ht="13.5" customHeight="1">
      <c r="A860" s="23"/>
      <c r="B860" s="23"/>
      <c r="C860" s="24"/>
      <c r="D860" s="25"/>
      <c r="E860" s="24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4"/>
      <c r="W860" s="25"/>
      <c r="X860" s="24"/>
      <c r="Y860" s="23"/>
      <c r="Z860" s="23"/>
      <c r="AA860" s="23"/>
      <c r="AB860" s="23"/>
      <c r="AC860" s="23"/>
    </row>
    <row r="861" spans="1:29" ht="13.5" customHeight="1">
      <c r="A861" s="23"/>
      <c r="B861" s="23"/>
      <c r="C861" s="24"/>
      <c r="D861" s="25"/>
      <c r="E861" s="24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4"/>
      <c r="W861" s="25"/>
      <c r="X861" s="24"/>
      <c r="Y861" s="23"/>
      <c r="Z861" s="23"/>
      <c r="AA861" s="23"/>
      <c r="AB861" s="23"/>
      <c r="AC861" s="23"/>
    </row>
    <row r="862" spans="1:29" ht="13.5" customHeight="1">
      <c r="A862" s="23"/>
      <c r="B862" s="23"/>
      <c r="C862" s="24"/>
      <c r="D862" s="25"/>
      <c r="E862" s="24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4"/>
      <c r="W862" s="25"/>
      <c r="X862" s="24"/>
      <c r="Y862" s="23"/>
      <c r="Z862" s="23"/>
      <c r="AA862" s="23"/>
      <c r="AB862" s="23"/>
      <c r="AC862" s="23"/>
    </row>
    <row r="863" spans="1:29" ht="13.5" customHeight="1">
      <c r="A863" s="23"/>
      <c r="B863" s="23"/>
      <c r="C863" s="24"/>
      <c r="D863" s="25"/>
      <c r="E863" s="24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4"/>
      <c r="W863" s="25"/>
      <c r="X863" s="24"/>
      <c r="Y863" s="23"/>
      <c r="Z863" s="23"/>
      <c r="AA863" s="23"/>
      <c r="AB863" s="23"/>
      <c r="AC863" s="23"/>
    </row>
    <row r="864" spans="1:29" ht="13.5" customHeight="1">
      <c r="A864" s="23"/>
      <c r="B864" s="23"/>
      <c r="C864" s="24"/>
      <c r="D864" s="25"/>
      <c r="E864" s="24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4"/>
      <c r="W864" s="25"/>
      <c r="X864" s="24"/>
      <c r="Y864" s="23"/>
      <c r="Z864" s="23"/>
      <c r="AA864" s="23"/>
      <c r="AB864" s="23"/>
      <c r="AC864" s="23"/>
    </row>
    <row r="865" spans="1:29" ht="13.5" customHeight="1">
      <c r="A865" s="23"/>
      <c r="B865" s="23"/>
      <c r="C865" s="24"/>
      <c r="D865" s="25"/>
      <c r="E865" s="24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4"/>
      <c r="W865" s="25"/>
      <c r="X865" s="24"/>
      <c r="Y865" s="23"/>
      <c r="Z865" s="23"/>
      <c r="AA865" s="23"/>
      <c r="AB865" s="23"/>
      <c r="AC865" s="23"/>
    </row>
    <row r="866" spans="1:29" ht="13.5" customHeight="1">
      <c r="A866" s="23"/>
      <c r="B866" s="23"/>
      <c r="C866" s="24"/>
      <c r="D866" s="25"/>
      <c r="E866" s="24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4"/>
      <c r="W866" s="25"/>
      <c r="X866" s="24"/>
      <c r="Y866" s="23"/>
      <c r="Z866" s="23"/>
      <c r="AA866" s="23"/>
      <c r="AB866" s="23"/>
      <c r="AC866" s="23"/>
    </row>
    <row r="867" spans="1:29" ht="13.5" customHeight="1">
      <c r="A867" s="23"/>
      <c r="B867" s="23"/>
      <c r="C867" s="24"/>
      <c r="D867" s="25"/>
      <c r="E867" s="24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4"/>
      <c r="W867" s="25"/>
      <c r="X867" s="24"/>
      <c r="Y867" s="23"/>
      <c r="Z867" s="23"/>
      <c r="AA867" s="23"/>
      <c r="AB867" s="23"/>
      <c r="AC867" s="23"/>
    </row>
    <row r="868" spans="1:29" ht="13.5" customHeight="1">
      <c r="A868" s="23"/>
      <c r="B868" s="23"/>
      <c r="C868" s="24"/>
      <c r="D868" s="25"/>
      <c r="E868" s="24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4"/>
      <c r="W868" s="25"/>
      <c r="X868" s="24"/>
      <c r="Y868" s="23"/>
      <c r="Z868" s="23"/>
      <c r="AA868" s="23"/>
      <c r="AB868" s="23"/>
      <c r="AC868" s="23"/>
    </row>
    <row r="869" spans="1:29" ht="13.5" customHeight="1">
      <c r="A869" s="23"/>
      <c r="B869" s="23"/>
      <c r="C869" s="24"/>
      <c r="D869" s="25"/>
      <c r="E869" s="24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4"/>
      <c r="W869" s="25"/>
      <c r="X869" s="24"/>
      <c r="Y869" s="23"/>
      <c r="Z869" s="23"/>
      <c r="AA869" s="23"/>
      <c r="AB869" s="23"/>
      <c r="AC869" s="23"/>
    </row>
    <row r="870" spans="1:29" ht="13.5" customHeight="1">
      <c r="A870" s="23"/>
      <c r="B870" s="23"/>
      <c r="C870" s="24"/>
      <c r="D870" s="25"/>
      <c r="E870" s="24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4"/>
      <c r="W870" s="25"/>
      <c r="X870" s="24"/>
      <c r="Y870" s="23"/>
      <c r="Z870" s="23"/>
      <c r="AA870" s="23"/>
      <c r="AB870" s="23"/>
      <c r="AC870" s="23"/>
    </row>
    <row r="871" spans="1:29" ht="13.5" customHeight="1">
      <c r="A871" s="23"/>
      <c r="B871" s="23"/>
      <c r="C871" s="24"/>
      <c r="D871" s="25"/>
      <c r="E871" s="24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4"/>
      <c r="W871" s="25"/>
      <c r="X871" s="24"/>
      <c r="Y871" s="23"/>
      <c r="Z871" s="23"/>
      <c r="AA871" s="23"/>
      <c r="AB871" s="23"/>
      <c r="AC871" s="23"/>
    </row>
    <row r="872" spans="1:29" ht="13.5" customHeight="1">
      <c r="A872" s="23"/>
      <c r="B872" s="23"/>
      <c r="C872" s="24"/>
      <c r="D872" s="25"/>
      <c r="E872" s="24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4"/>
      <c r="W872" s="25"/>
      <c r="X872" s="24"/>
      <c r="Y872" s="23"/>
      <c r="Z872" s="23"/>
      <c r="AA872" s="23"/>
      <c r="AB872" s="23"/>
      <c r="AC872" s="23"/>
    </row>
    <row r="873" spans="1:29" ht="13.5" customHeight="1">
      <c r="A873" s="23"/>
      <c r="B873" s="23"/>
      <c r="C873" s="24"/>
      <c r="D873" s="25"/>
      <c r="E873" s="24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4"/>
      <c r="W873" s="25"/>
      <c r="X873" s="24"/>
      <c r="Y873" s="23"/>
      <c r="Z873" s="23"/>
      <c r="AA873" s="23"/>
      <c r="AB873" s="23"/>
      <c r="AC873" s="23"/>
    </row>
    <row r="874" spans="1:29" ht="13.5" customHeight="1">
      <c r="A874" s="23"/>
      <c r="B874" s="23"/>
      <c r="C874" s="24"/>
      <c r="D874" s="25"/>
      <c r="E874" s="24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4"/>
      <c r="W874" s="25"/>
      <c r="X874" s="24"/>
      <c r="Y874" s="23"/>
      <c r="Z874" s="23"/>
      <c r="AA874" s="23"/>
      <c r="AB874" s="23"/>
      <c r="AC874" s="23"/>
    </row>
    <row r="875" spans="1:29" ht="13.5" customHeight="1">
      <c r="A875" s="23"/>
      <c r="B875" s="23"/>
      <c r="C875" s="24"/>
      <c r="D875" s="25"/>
      <c r="E875" s="24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4"/>
      <c r="W875" s="25"/>
      <c r="X875" s="24"/>
      <c r="Y875" s="23"/>
      <c r="Z875" s="23"/>
      <c r="AA875" s="23"/>
      <c r="AB875" s="23"/>
      <c r="AC875" s="23"/>
    </row>
    <row r="876" spans="1:29" ht="13.5" customHeight="1">
      <c r="A876" s="23"/>
      <c r="B876" s="23"/>
      <c r="C876" s="24"/>
      <c r="D876" s="25"/>
      <c r="E876" s="24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4"/>
      <c r="W876" s="25"/>
      <c r="X876" s="24"/>
      <c r="Y876" s="23"/>
      <c r="Z876" s="23"/>
      <c r="AA876" s="23"/>
      <c r="AB876" s="23"/>
      <c r="AC876" s="23"/>
    </row>
    <row r="877" spans="1:29" ht="13.5" customHeight="1">
      <c r="A877" s="23"/>
      <c r="B877" s="23"/>
      <c r="C877" s="24"/>
      <c r="D877" s="25"/>
      <c r="E877" s="24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4"/>
      <c r="W877" s="25"/>
      <c r="X877" s="24"/>
      <c r="Y877" s="23"/>
      <c r="Z877" s="23"/>
      <c r="AA877" s="23"/>
      <c r="AB877" s="23"/>
      <c r="AC877" s="23"/>
    </row>
    <row r="878" spans="1:29" ht="13.5" customHeight="1">
      <c r="A878" s="23"/>
      <c r="B878" s="23"/>
      <c r="C878" s="24"/>
      <c r="D878" s="25"/>
      <c r="E878" s="24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4"/>
      <c r="W878" s="25"/>
      <c r="X878" s="24"/>
      <c r="Y878" s="23"/>
      <c r="Z878" s="23"/>
      <c r="AA878" s="23"/>
      <c r="AB878" s="23"/>
      <c r="AC878" s="23"/>
    </row>
    <row r="879" spans="1:29" ht="13.5" customHeight="1">
      <c r="A879" s="23"/>
      <c r="B879" s="23"/>
      <c r="C879" s="24"/>
      <c r="D879" s="25"/>
      <c r="E879" s="24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4"/>
      <c r="W879" s="25"/>
      <c r="X879" s="24"/>
      <c r="Y879" s="23"/>
      <c r="Z879" s="23"/>
      <c r="AA879" s="23"/>
      <c r="AB879" s="23"/>
      <c r="AC879" s="23"/>
    </row>
    <row r="880" spans="1:29" ht="13.5" customHeight="1">
      <c r="A880" s="23"/>
      <c r="B880" s="23"/>
      <c r="C880" s="24"/>
      <c r="D880" s="25"/>
      <c r="E880" s="24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4"/>
      <c r="W880" s="25"/>
      <c r="X880" s="24"/>
      <c r="Y880" s="23"/>
      <c r="Z880" s="23"/>
      <c r="AA880" s="23"/>
      <c r="AB880" s="23"/>
      <c r="AC880" s="23"/>
    </row>
    <row r="881" spans="1:29" ht="13.5" customHeight="1">
      <c r="A881" s="23"/>
      <c r="B881" s="23"/>
      <c r="C881" s="24"/>
      <c r="D881" s="25"/>
      <c r="E881" s="24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4"/>
      <c r="W881" s="25"/>
      <c r="X881" s="24"/>
      <c r="Y881" s="23"/>
      <c r="Z881" s="23"/>
      <c r="AA881" s="23"/>
      <c r="AB881" s="23"/>
      <c r="AC881" s="23"/>
    </row>
    <row r="882" spans="1:29" ht="13.5" customHeight="1">
      <c r="A882" s="23"/>
      <c r="B882" s="23"/>
      <c r="C882" s="24"/>
      <c r="D882" s="25"/>
      <c r="E882" s="24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4"/>
      <c r="W882" s="25"/>
      <c r="X882" s="24"/>
      <c r="Y882" s="23"/>
      <c r="Z882" s="23"/>
      <c r="AA882" s="23"/>
      <c r="AB882" s="23"/>
      <c r="AC882" s="23"/>
    </row>
    <row r="883" spans="1:29" ht="13.5" customHeight="1">
      <c r="A883" s="23"/>
      <c r="B883" s="23"/>
      <c r="C883" s="24"/>
      <c r="D883" s="25"/>
      <c r="E883" s="24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4"/>
      <c r="W883" s="25"/>
      <c r="X883" s="24"/>
      <c r="Y883" s="23"/>
      <c r="Z883" s="23"/>
      <c r="AA883" s="23"/>
      <c r="AB883" s="23"/>
      <c r="AC883" s="23"/>
    </row>
    <row r="884" spans="1:29" ht="13.5" customHeight="1">
      <c r="A884" s="23"/>
      <c r="B884" s="23"/>
      <c r="C884" s="24"/>
      <c r="D884" s="25"/>
      <c r="E884" s="24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4"/>
      <c r="W884" s="25"/>
      <c r="X884" s="24"/>
      <c r="Y884" s="23"/>
      <c r="Z884" s="23"/>
      <c r="AA884" s="23"/>
      <c r="AB884" s="23"/>
      <c r="AC884" s="23"/>
    </row>
    <row r="885" spans="1:29" ht="13.5" customHeight="1">
      <c r="A885" s="23"/>
      <c r="B885" s="23"/>
      <c r="C885" s="24"/>
      <c r="D885" s="25"/>
      <c r="E885" s="24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4"/>
      <c r="W885" s="25"/>
      <c r="X885" s="24"/>
      <c r="Y885" s="23"/>
      <c r="Z885" s="23"/>
      <c r="AA885" s="23"/>
      <c r="AB885" s="23"/>
      <c r="AC885" s="23"/>
    </row>
    <row r="886" spans="1:29" ht="13.5" customHeight="1">
      <c r="A886" s="23"/>
      <c r="B886" s="23"/>
      <c r="C886" s="24"/>
      <c r="D886" s="25"/>
      <c r="E886" s="24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4"/>
      <c r="W886" s="25"/>
      <c r="X886" s="24"/>
      <c r="Y886" s="23"/>
      <c r="Z886" s="23"/>
      <c r="AA886" s="23"/>
      <c r="AB886" s="23"/>
      <c r="AC886" s="23"/>
    </row>
    <row r="887" spans="1:29" ht="13.5" customHeight="1">
      <c r="A887" s="23"/>
      <c r="B887" s="23"/>
      <c r="C887" s="24"/>
      <c r="D887" s="25"/>
      <c r="E887" s="24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4"/>
      <c r="W887" s="25"/>
      <c r="X887" s="24"/>
      <c r="Y887" s="23"/>
      <c r="Z887" s="23"/>
      <c r="AA887" s="23"/>
      <c r="AB887" s="23"/>
      <c r="AC887" s="23"/>
    </row>
    <row r="888" spans="1:29" ht="13.5" customHeight="1">
      <c r="A888" s="23"/>
      <c r="B888" s="23"/>
      <c r="C888" s="24"/>
      <c r="D888" s="25"/>
      <c r="E888" s="24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4"/>
      <c r="W888" s="25"/>
      <c r="X888" s="24"/>
      <c r="Y888" s="23"/>
      <c r="Z888" s="23"/>
      <c r="AA888" s="23"/>
      <c r="AB888" s="23"/>
      <c r="AC888" s="23"/>
    </row>
    <row r="889" spans="1:29" ht="13.5" customHeight="1">
      <c r="A889" s="23"/>
      <c r="B889" s="23"/>
      <c r="C889" s="24"/>
      <c r="D889" s="25"/>
      <c r="E889" s="24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4"/>
      <c r="W889" s="25"/>
      <c r="X889" s="24"/>
      <c r="Y889" s="23"/>
      <c r="Z889" s="23"/>
      <c r="AA889" s="23"/>
      <c r="AB889" s="23"/>
      <c r="AC889" s="23"/>
    </row>
    <row r="890" spans="1:29" ht="13.5" customHeight="1">
      <c r="A890" s="23"/>
      <c r="B890" s="23"/>
      <c r="C890" s="24"/>
      <c r="D890" s="25"/>
      <c r="E890" s="24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4"/>
      <c r="W890" s="25"/>
      <c r="X890" s="24"/>
      <c r="Y890" s="23"/>
      <c r="Z890" s="23"/>
      <c r="AA890" s="23"/>
      <c r="AB890" s="23"/>
      <c r="AC890" s="23"/>
    </row>
    <row r="891" spans="1:29" ht="13.5" customHeight="1">
      <c r="A891" s="23"/>
      <c r="B891" s="23"/>
      <c r="C891" s="24"/>
      <c r="D891" s="25"/>
      <c r="E891" s="24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4"/>
      <c r="W891" s="25"/>
      <c r="X891" s="24"/>
      <c r="Y891" s="23"/>
      <c r="Z891" s="23"/>
      <c r="AA891" s="23"/>
      <c r="AB891" s="23"/>
      <c r="AC891" s="23"/>
    </row>
    <row r="892" spans="1:29" ht="13.5" customHeight="1">
      <c r="A892" s="23"/>
      <c r="B892" s="23"/>
      <c r="C892" s="24"/>
      <c r="D892" s="25"/>
      <c r="E892" s="24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4"/>
      <c r="W892" s="25"/>
      <c r="X892" s="24"/>
      <c r="Y892" s="23"/>
      <c r="Z892" s="23"/>
      <c r="AA892" s="23"/>
      <c r="AB892" s="23"/>
      <c r="AC892" s="23"/>
    </row>
    <row r="893" spans="1:29" ht="13.5" customHeight="1">
      <c r="A893" s="23"/>
      <c r="B893" s="23"/>
      <c r="C893" s="24"/>
      <c r="D893" s="25"/>
      <c r="E893" s="24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4"/>
      <c r="W893" s="25"/>
      <c r="X893" s="24"/>
      <c r="Y893" s="23"/>
      <c r="Z893" s="23"/>
      <c r="AA893" s="23"/>
      <c r="AB893" s="23"/>
      <c r="AC893" s="23"/>
    </row>
    <row r="894" spans="1:29" ht="13.5" customHeight="1">
      <c r="A894" s="23"/>
      <c r="B894" s="23"/>
      <c r="C894" s="24"/>
      <c r="D894" s="25"/>
      <c r="E894" s="24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4"/>
      <c r="W894" s="25"/>
      <c r="X894" s="24"/>
      <c r="Y894" s="23"/>
      <c r="Z894" s="23"/>
      <c r="AA894" s="23"/>
      <c r="AB894" s="23"/>
      <c r="AC894" s="23"/>
    </row>
    <row r="895" spans="1:29" ht="13.5" customHeight="1">
      <c r="A895" s="23"/>
      <c r="B895" s="23"/>
      <c r="C895" s="24"/>
      <c r="D895" s="25"/>
      <c r="E895" s="24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4"/>
      <c r="W895" s="25"/>
      <c r="X895" s="24"/>
      <c r="Y895" s="23"/>
      <c r="Z895" s="23"/>
      <c r="AA895" s="23"/>
      <c r="AB895" s="23"/>
      <c r="AC895" s="23"/>
    </row>
    <row r="896" spans="1:29" ht="13.5" customHeight="1">
      <c r="A896" s="23"/>
      <c r="B896" s="23"/>
      <c r="C896" s="24"/>
      <c r="D896" s="25"/>
      <c r="E896" s="24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4"/>
      <c r="W896" s="25"/>
      <c r="X896" s="24"/>
      <c r="Y896" s="23"/>
      <c r="Z896" s="23"/>
      <c r="AA896" s="23"/>
      <c r="AB896" s="23"/>
      <c r="AC896" s="23"/>
    </row>
    <row r="897" spans="1:29" ht="13.5" customHeight="1">
      <c r="A897" s="23"/>
      <c r="B897" s="23"/>
      <c r="C897" s="24"/>
      <c r="D897" s="25"/>
      <c r="E897" s="24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4"/>
      <c r="W897" s="25"/>
      <c r="X897" s="24"/>
      <c r="Y897" s="23"/>
      <c r="Z897" s="23"/>
      <c r="AA897" s="23"/>
      <c r="AB897" s="23"/>
      <c r="AC897" s="23"/>
    </row>
    <row r="898" spans="1:29" ht="13.5" customHeight="1">
      <c r="A898" s="23"/>
      <c r="B898" s="23"/>
      <c r="C898" s="24"/>
      <c r="D898" s="25"/>
      <c r="E898" s="24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4"/>
      <c r="W898" s="25"/>
      <c r="X898" s="24"/>
      <c r="Y898" s="23"/>
      <c r="Z898" s="23"/>
      <c r="AA898" s="23"/>
      <c r="AB898" s="23"/>
      <c r="AC898" s="23"/>
    </row>
    <row r="899" spans="1:29" ht="13.5" customHeight="1">
      <c r="A899" s="23"/>
      <c r="B899" s="23"/>
      <c r="C899" s="24"/>
      <c r="D899" s="25"/>
      <c r="E899" s="24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4"/>
      <c r="W899" s="25"/>
      <c r="X899" s="24"/>
      <c r="Y899" s="23"/>
      <c r="Z899" s="23"/>
      <c r="AA899" s="23"/>
      <c r="AB899" s="23"/>
      <c r="AC899" s="23"/>
    </row>
    <row r="900" spans="1:29" ht="13.5" customHeight="1">
      <c r="A900" s="23"/>
      <c r="B900" s="23"/>
      <c r="C900" s="24"/>
      <c r="D900" s="25"/>
      <c r="E900" s="24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4"/>
      <c r="W900" s="25"/>
      <c r="X900" s="24"/>
      <c r="Y900" s="23"/>
      <c r="Z900" s="23"/>
      <c r="AA900" s="23"/>
      <c r="AB900" s="23"/>
      <c r="AC900" s="23"/>
    </row>
    <row r="901" spans="1:29" ht="13.5" customHeight="1">
      <c r="A901" s="23"/>
      <c r="B901" s="23"/>
      <c r="C901" s="24"/>
      <c r="D901" s="25"/>
      <c r="E901" s="24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4"/>
      <c r="W901" s="25"/>
      <c r="X901" s="24"/>
      <c r="Y901" s="23"/>
      <c r="Z901" s="23"/>
      <c r="AA901" s="23"/>
      <c r="AB901" s="23"/>
      <c r="AC901" s="23"/>
    </row>
    <row r="902" spans="1:29" ht="13.5" customHeight="1">
      <c r="A902" s="23"/>
      <c r="B902" s="23"/>
      <c r="C902" s="24"/>
      <c r="D902" s="25"/>
      <c r="E902" s="24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4"/>
      <c r="W902" s="25"/>
      <c r="X902" s="24"/>
      <c r="Y902" s="23"/>
      <c r="Z902" s="23"/>
      <c r="AA902" s="23"/>
      <c r="AB902" s="23"/>
      <c r="AC902" s="23"/>
    </row>
    <row r="903" spans="1:29" ht="13.5" customHeight="1">
      <c r="A903" s="23"/>
      <c r="B903" s="23"/>
      <c r="C903" s="24"/>
      <c r="D903" s="25"/>
      <c r="E903" s="24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4"/>
      <c r="W903" s="25"/>
      <c r="X903" s="24"/>
      <c r="Y903" s="23"/>
      <c r="Z903" s="23"/>
      <c r="AA903" s="23"/>
      <c r="AB903" s="23"/>
      <c r="AC903" s="23"/>
    </row>
    <row r="904" spans="1:29" ht="13.5" customHeight="1">
      <c r="A904" s="23"/>
      <c r="B904" s="23"/>
      <c r="C904" s="24"/>
      <c r="D904" s="25"/>
      <c r="E904" s="24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4"/>
      <c r="W904" s="25"/>
      <c r="X904" s="24"/>
      <c r="Y904" s="23"/>
      <c r="Z904" s="23"/>
      <c r="AA904" s="23"/>
      <c r="AB904" s="23"/>
      <c r="AC904" s="23"/>
    </row>
    <row r="905" spans="1:29" ht="13.5" customHeight="1">
      <c r="A905" s="23"/>
      <c r="B905" s="23"/>
      <c r="C905" s="24"/>
      <c r="D905" s="25"/>
      <c r="E905" s="24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4"/>
      <c r="W905" s="25"/>
      <c r="X905" s="24"/>
      <c r="Y905" s="23"/>
      <c r="Z905" s="23"/>
      <c r="AA905" s="23"/>
      <c r="AB905" s="23"/>
      <c r="AC905" s="23"/>
    </row>
    <row r="906" spans="1:29" ht="13.5" customHeight="1">
      <c r="A906" s="23"/>
      <c r="B906" s="23"/>
      <c r="C906" s="24"/>
      <c r="D906" s="25"/>
      <c r="E906" s="24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4"/>
      <c r="W906" s="25"/>
      <c r="X906" s="24"/>
      <c r="Y906" s="23"/>
      <c r="Z906" s="23"/>
      <c r="AA906" s="23"/>
      <c r="AB906" s="23"/>
      <c r="AC906" s="23"/>
    </row>
    <row r="907" spans="1:29" ht="13.5" customHeight="1">
      <c r="A907" s="23"/>
      <c r="B907" s="23"/>
      <c r="C907" s="24"/>
      <c r="D907" s="25"/>
      <c r="E907" s="24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4"/>
      <c r="W907" s="25"/>
      <c r="X907" s="24"/>
      <c r="Y907" s="23"/>
      <c r="Z907" s="23"/>
      <c r="AA907" s="23"/>
      <c r="AB907" s="23"/>
      <c r="AC907" s="23"/>
    </row>
    <row r="908" spans="1:29" ht="13.5" customHeight="1">
      <c r="A908" s="23"/>
      <c r="B908" s="23"/>
      <c r="C908" s="24"/>
      <c r="D908" s="25"/>
      <c r="E908" s="24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4"/>
      <c r="W908" s="25"/>
      <c r="X908" s="24"/>
      <c r="Y908" s="23"/>
      <c r="Z908" s="23"/>
      <c r="AA908" s="23"/>
      <c r="AB908" s="23"/>
      <c r="AC908" s="23"/>
    </row>
    <row r="909" spans="1:29" ht="13.5" customHeight="1">
      <c r="A909" s="23"/>
      <c r="B909" s="23"/>
      <c r="C909" s="24"/>
      <c r="D909" s="25"/>
      <c r="E909" s="24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4"/>
      <c r="W909" s="25"/>
      <c r="X909" s="24"/>
      <c r="Y909" s="23"/>
      <c r="Z909" s="23"/>
      <c r="AA909" s="23"/>
      <c r="AB909" s="23"/>
      <c r="AC909" s="23"/>
    </row>
    <row r="910" spans="1:29" ht="13.5" customHeight="1">
      <c r="A910" s="23"/>
      <c r="B910" s="23"/>
      <c r="C910" s="24"/>
      <c r="D910" s="25"/>
      <c r="E910" s="24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4"/>
      <c r="W910" s="25"/>
      <c r="X910" s="24"/>
      <c r="Y910" s="23"/>
      <c r="Z910" s="23"/>
      <c r="AA910" s="23"/>
      <c r="AB910" s="23"/>
      <c r="AC910" s="23"/>
    </row>
    <row r="911" spans="1:29" ht="13.5" customHeight="1">
      <c r="A911" s="23"/>
      <c r="B911" s="23"/>
      <c r="C911" s="24"/>
      <c r="D911" s="25"/>
      <c r="E911" s="24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4"/>
      <c r="W911" s="25"/>
      <c r="X911" s="24"/>
      <c r="Y911" s="23"/>
      <c r="Z911" s="23"/>
      <c r="AA911" s="23"/>
      <c r="AB911" s="23"/>
      <c r="AC911" s="23"/>
    </row>
    <row r="912" spans="1:29" ht="13.5" customHeight="1">
      <c r="A912" s="23"/>
      <c r="B912" s="23"/>
      <c r="C912" s="24"/>
      <c r="D912" s="25"/>
      <c r="E912" s="24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4"/>
      <c r="W912" s="25"/>
      <c r="X912" s="24"/>
      <c r="Y912" s="23"/>
      <c r="Z912" s="23"/>
      <c r="AA912" s="23"/>
      <c r="AB912" s="23"/>
      <c r="AC912" s="23"/>
    </row>
    <row r="913" spans="1:29" ht="13.5" customHeight="1">
      <c r="A913" s="23"/>
      <c r="B913" s="23"/>
      <c r="C913" s="24"/>
      <c r="D913" s="25"/>
      <c r="E913" s="24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4"/>
      <c r="W913" s="25"/>
      <c r="X913" s="24"/>
      <c r="Y913" s="23"/>
      <c r="Z913" s="23"/>
      <c r="AA913" s="23"/>
      <c r="AB913" s="23"/>
      <c r="AC913" s="23"/>
    </row>
    <row r="914" spans="1:29" ht="13.5" customHeight="1">
      <c r="A914" s="23"/>
      <c r="B914" s="23"/>
      <c r="C914" s="24"/>
      <c r="D914" s="25"/>
      <c r="E914" s="24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4"/>
      <c r="W914" s="25"/>
      <c r="X914" s="24"/>
      <c r="Y914" s="23"/>
      <c r="Z914" s="23"/>
      <c r="AA914" s="23"/>
      <c r="AB914" s="23"/>
      <c r="AC914" s="23"/>
    </row>
    <row r="915" spans="1:29" ht="13.5" customHeight="1">
      <c r="A915" s="23"/>
      <c r="B915" s="23"/>
      <c r="C915" s="24"/>
      <c r="D915" s="25"/>
      <c r="E915" s="24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4"/>
      <c r="W915" s="25"/>
      <c r="X915" s="24"/>
      <c r="Y915" s="23"/>
      <c r="Z915" s="23"/>
      <c r="AA915" s="23"/>
      <c r="AB915" s="23"/>
      <c r="AC915" s="23"/>
    </row>
    <row r="916" spans="1:29" ht="13.5" customHeight="1">
      <c r="A916" s="23"/>
      <c r="B916" s="23"/>
      <c r="C916" s="24"/>
      <c r="D916" s="25"/>
      <c r="E916" s="24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4"/>
      <c r="W916" s="25"/>
      <c r="X916" s="24"/>
      <c r="Y916" s="23"/>
      <c r="Z916" s="23"/>
      <c r="AA916" s="23"/>
      <c r="AB916" s="23"/>
      <c r="AC916" s="23"/>
    </row>
    <row r="917" spans="1:29" ht="13.5" customHeight="1">
      <c r="A917" s="23"/>
      <c r="B917" s="23"/>
      <c r="C917" s="24"/>
      <c r="D917" s="25"/>
      <c r="E917" s="24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4"/>
      <c r="W917" s="25"/>
      <c r="X917" s="24"/>
      <c r="Y917" s="23"/>
      <c r="Z917" s="23"/>
      <c r="AA917" s="23"/>
      <c r="AB917" s="23"/>
      <c r="AC917" s="23"/>
    </row>
    <row r="918" spans="1:29" ht="13.5" customHeight="1">
      <c r="A918" s="23"/>
      <c r="B918" s="23"/>
      <c r="C918" s="24"/>
      <c r="D918" s="25"/>
      <c r="E918" s="24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4"/>
      <c r="W918" s="25"/>
      <c r="X918" s="24"/>
      <c r="Y918" s="23"/>
      <c r="Z918" s="23"/>
      <c r="AA918" s="23"/>
      <c r="AB918" s="23"/>
      <c r="AC918" s="23"/>
    </row>
    <row r="919" spans="1:29" ht="13.5" customHeight="1">
      <c r="A919" s="23"/>
      <c r="B919" s="23"/>
      <c r="C919" s="24"/>
      <c r="D919" s="25"/>
      <c r="E919" s="24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4"/>
      <c r="W919" s="25"/>
      <c r="X919" s="24"/>
      <c r="Y919" s="23"/>
      <c r="Z919" s="23"/>
      <c r="AA919" s="23"/>
      <c r="AB919" s="23"/>
      <c r="AC919" s="23"/>
    </row>
    <row r="920" spans="1:29" ht="13.5" customHeight="1">
      <c r="A920" s="23"/>
      <c r="B920" s="23"/>
      <c r="C920" s="24"/>
      <c r="D920" s="25"/>
      <c r="E920" s="24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4"/>
      <c r="W920" s="25"/>
      <c r="X920" s="24"/>
      <c r="Y920" s="23"/>
      <c r="Z920" s="23"/>
      <c r="AA920" s="23"/>
      <c r="AB920" s="23"/>
      <c r="AC920" s="23"/>
    </row>
    <row r="921" spans="1:29" ht="13.5" customHeight="1">
      <c r="A921" s="23"/>
      <c r="B921" s="23"/>
      <c r="C921" s="24"/>
      <c r="D921" s="25"/>
      <c r="E921" s="24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4"/>
      <c r="W921" s="25"/>
      <c r="X921" s="24"/>
      <c r="Y921" s="23"/>
      <c r="Z921" s="23"/>
      <c r="AA921" s="23"/>
      <c r="AB921" s="23"/>
      <c r="AC921" s="23"/>
    </row>
    <row r="922" spans="1:29" ht="13.5" customHeight="1">
      <c r="A922" s="23"/>
      <c r="B922" s="23"/>
      <c r="C922" s="24"/>
      <c r="D922" s="25"/>
      <c r="E922" s="24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4"/>
      <c r="W922" s="25"/>
      <c r="X922" s="24"/>
      <c r="Y922" s="23"/>
      <c r="Z922" s="23"/>
      <c r="AA922" s="23"/>
      <c r="AB922" s="23"/>
      <c r="AC922" s="23"/>
    </row>
    <row r="923" spans="1:29" ht="13.5" customHeight="1">
      <c r="A923" s="23"/>
      <c r="B923" s="23"/>
      <c r="C923" s="24"/>
      <c r="D923" s="25"/>
      <c r="E923" s="24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4"/>
      <c r="W923" s="25"/>
      <c r="X923" s="24"/>
      <c r="Y923" s="23"/>
      <c r="Z923" s="23"/>
      <c r="AA923" s="23"/>
      <c r="AB923" s="23"/>
      <c r="AC923" s="23"/>
    </row>
    <row r="924" spans="1:29" ht="13.5" customHeight="1">
      <c r="A924" s="23"/>
      <c r="B924" s="23"/>
      <c r="C924" s="24"/>
      <c r="D924" s="25"/>
      <c r="E924" s="24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4"/>
      <c r="W924" s="25"/>
      <c r="X924" s="24"/>
      <c r="Y924" s="23"/>
      <c r="Z924" s="23"/>
      <c r="AA924" s="23"/>
      <c r="AB924" s="23"/>
      <c r="AC924" s="23"/>
    </row>
    <row r="925" spans="1:29" ht="13.5" customHeight="1">
      <c r="A925" s="23"/>
      <c r="B925" s="23"/>
      <c r="C925" s="24"/>
      <c r="D925" s="25"/>
      <c r="E925" s="24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4"/>
      <c r="W925" s="25"/>
      <c r="X925" s="24"/>
      <c r="Y925" s="23"/>
      <c r="Z925" s="23"/>
      <c r="AA925" s="23"/>
      <c r="AB925" s="23"/>
      <c r="AC925" s="23"/>
    </row>
    <row r="926" spans="1:29" ht="13.5" customHeight="1">
      <c r="A926" s="23"/>
      <c r="B926" s="23"/>
      <c r="C926" s="24"/>
      <c r="D926" s="25"/>
      <c r="E926" s="24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4"/>
      <c r="W926" s="25"/>
      <c r="X926" s="24"/>
      <c r="Y926" s="23"/>
      <c r="Z926" s="23"/>
      <c r="AA926" s="23"/>
      <c r="AB926" s="23"/>
      <c r="AC926" s="23"/>
    </row>
    <row r="927" spans="1:29" ht="13.5" customHeight="1">
      <c r="A927" s="23"/>
      <c r="B927" s="23"/>
      <c r="C927" s="24"/>
      <c r="D927" s="25"/>
      <c r="E927" s="24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4"/>
      <c r="W927" s="25"/>
      <c r="X927" s="24"/>
      <c r="Y927" s="23"/>
      <c r="Z927" s="23"/>
      <c r="AA927" s="23"/>
      <c r="AB927" s="23"/>
      <c r="AC927" s="23"/>
    </row>
    <row r="928" spans="1:29" ht="13.5" customHeight="1">
      <c r="A928" s="23"/>
      <c r="B928" s="23"/>
      <c r="C928" s="24"/>
      <c r="D928" s="25"/>
      <c r="E928" s="24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4"/>
      <c r="W928" s="25"/>
      <c r="X928" s="24"/>
      <c r="Y928" s="23"/>
      <c r="Z928" s="23"/>
      <c r="AA928" s="23"/>
      <c r="AB928" s="23"/>
      <c r="AC928" s="23"/>
    </row>
    <row r="929" spans="1:29" ht="13.5" customHeight="1">
      <c r="A929" s="23"/>
      <c r="B929" s="23"/>
      <c r="C929" s="24"/>
      <c r="D929" s="25"/>
      <c r="E929" s="24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4"/>
      <c r="W929" s="25"/>
      <c r="X929" s="24"/>
      <c r="Y929" s="23"/>
      <c r="Z929" s="23"/>
      <c r="AA929" s="23"/>
      <c r="AB929" s="23"/>
      <c r="AC929" s="23"/>
    </row>
    <row r="930" spans="1:29" ht="13.5" customHeight="1">
      <c r="A930" s="23"/>
      <c r="B930" s="23"/>
      <c r="C930" s="24"/>
      <c r="D930" s="25"/>
      <c r="E930" s="24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4"/>
      <c r="W930" s="25"/>
      <c r="X930" s="24"/>
      <c r="Y930" s="23"/>
      <c r="Z930" s="23"/>
      <c r="AA930" s="23"/>
      <c r="AB930" s="23"/>
      <c r="AC930" s="23"/>
    </row>
    <row r="931" spans="1:29" ht="13.5" customHeight="1">
      <c r="A931" s="23"/>
      <c r="B931" s="23"/>
      <c r="C931" s="24"/>
      <c r="D931" s="25"/>
      <c r="E931" s="24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4"/>
      <c r="W931" s="25"/>
      <c r="X931" s="24"/>
      <c r="Y931" s="23"/>
      <c r="Z931" s="23"/>
      <c r="AA931" s="23"/>
      <c r="AB931" s="23"/>
      <c r="AC931" s="23"/>
    </row>
    <row r="932" spans="1:29" ht="13.5" customHeight="1">
      <c r="A932" s="23"/>
      <c r="B932" s="23"/>
      <c r="C932" s="24"/>
      <c r="D932" s="25"/>
      <c r="E932" s="24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4"/>
      <c r="W932" s="25"/>
      <c r="X932" s="24"/>
      <c r="Y932" s="23"/>
      <c r="Z932" s="23"/>
      <c r="AA932" s="23"/>
      <c r="AB932" s="23"/>
      <c r="AC932" s="23"/>
    </row>
    <row r="933" spans="1:29" ht="13.5" customHeight="1">
      <c r="A933" s="23"/>
      <c r="B933" s="23"/>
      <c r="C933" s="24"/>
      <c r="D933" s="25"/>
      <c r="E933" s="24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4"/>
      <c r="W933" s="25"/>
      <c r="X933" s="24"/>
      <c r="Y933" s="23"/>
      <c r="Z933" s="23"/>
      <c r="AA933" s="23"/>
      <c r="AB933" s="23"/>
      <c r="AC933" s="23"/>
    </row>
    <row r="934" spans="1:29" ht="13.5" customHeight="1">
      <c r="A934" s="23"/>
      <c r="B934" s="23"/>
      <c r="C934" s="24"/>
      <c r="D934" s="25"/>
      <c r="E934" s="24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4"/>
      <c r="W934" s="25"/>
      <c r="X934" s="24"/>
      <c r="Y934" s="23"/>
      <c r="Z934" s="23"/>
      <c r="AA934" s="23"/>
      <c r="AB934" s="23"/>
      <c r="AC934" s="23"/>
    </row>
    <row r="935" spans="1:29" ht="13.5" customHeight="1">
      <c r="A935" s="23"/>
      <c r="B935" s="23"/>
      <c r="C935" s="24"/>
      <c r="D935" s="25"/>
      <c r="E935" s="24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4"/>
      <c r="W935" s="25"/>
      <c r="X935" s="24"/>
      <c r="Y935" s="23"/>
      <c r="Z935" s="23"/>
      <c r="AA935" s="23"/>
      <c r="AB935" s="23"/>
      <c r="AC935" s="23"/>
    </row>
    <row r="936" spans="1:29" ht="13.5" customHeight="1">
      <c r="A936" s="23"/>
      <c r="B936" s="23"/>
      <c r="C936" s="24"/>
      <c r="D936" s="25"/>
      <c r="E936" s="24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4"/>
      <c r="W936" s="25"/>
      <c r="X936" s="24"/>
      <c r="Y936" s="23"/>
      <c r="Z936" s="23"/>
      <c r="AA936" s="23"/>
      <c r="AB936" s="23"/>
      <c r="AC936" s="23"/>
    </row>
    <row r="937" spans="1:29" ht="13.5" customHeight="1">
      <c r="A937" s="23"/>
      <c r="B937" s="23"/>
      <c r="C937" s="24"/>
      <c r="D937" s="25"/>
      <c r="E937" s="24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4"/>
      <c r="W937" s="25"/>
      <c r="X937" s="24"/>
      <c r="Y937" s="23"/>
      <c r="Z937" s="23"/>
      <c r="AA937" s="23"/>
      <c r="AB937" s="23"/>
      <c r="AC937" s="23"/>
    </row>
    <row r="938" spans="1:29" ht="13.5" customHeight="1">
      <c r="A938" s="23"/>
      <c r="B938" s="23"/>
      <c r="C938" s="24"/>
      <c r="D938" s="25"/>
      <c r="E938" s="24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4"/>
      <c r="W938" s="25"/>
      <c r="X938" s="24"/>
      <c r="Y938" s="23"/>
      <c r="Z938" s="23"/>
      <c r="AA938" s="23"/>
      <c r="AB938" s="23"/>
      <c r="AC938" s="23"/>
    </row>
    <row r="939" spans="1:29" ht="13.5" customHeight="1">
      <c r="A939" s="23"/>
      <c r="B939" s="23"/>
      <c r="C939" s="24"/>
      <c r="D939" s="25"/>
      <c r="E939" s="24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4"/>
      <c r="W939" s="25"/>
      <c r="X939" s="24"/>
      <c r="Y939" s="23"/>
      <c r="Z939" s="23"/>
      <c r="AA939" s="23"/>
      <c r="AB939" s="23"/>
      <c r="AC939" s="23"/>
    </row>
    <row r="940" spans="1:29" ht="13.5" customHeight="1">
      <c r="A940" s="23"/>
      <c r="B940" s="23"/>
      <c r="C940" s="24"/>
      <c r="D940" s="25"/>
      <c r="E940" s="24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4"/>
      <c r="W940" s="25"/>
      <c r="X940" s="24"/>
      <c r="Y940" s="23"/>
      <c r="Z940" s="23"/>
      <c r="AA940" s="23"/>
      <c r="AB940" s="23"/>
      <c r="AC940" s="23"/>
    </row>
    <row r="941" spans="1:29" ht="13.5" customHeight="1">
      <c r="A941" s="23"/>
      <c r="B941" s="23"/>
      <c r="C941" s="24"/>
      <c r="D941" s="25"/>
      <c r="E941" s="24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4"/>
      <c r="W941" s="25"/>
      <c r="X941" s="24"/>
      <c r="Y941" s="23"/>
      <c r="Z941" s="23"/>
      <c r="AA941" s="23"/>
      <c r="AB941" s="23"/>
      <c r="AC941" s="23"/>
    </row>
    <row r="942" spans="1:29" ht="13.5" customHeight="1">
      <c r="A942" s="23"/>
      <c r="B942" s="23"/>
      <c r="C942" s="24"/>
      <c r="D942" s="25"/>
      <c r="E942" s="24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4"/>
      <c r="W942" s="25"/>
      <c r="X942" s="24"/>
      <c r="Y942" s="23"/>
      <c r="Z942" s="23"/>
      <c r="AA942" s="23"/>
      <c r="AB942" s="23"/>
      <c r="AC942" s="23"/>
    </row>
    <row r="943" spans="1:29" ht="13.5" customHeight="1">
      <c r="A943" s="23"/>
      <c r="B943" s="23"/>
      <c r="C943" s="24"/>
      <c r="D943" s="25"/>
      <c r="E943" s="24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4"/>
      <c r="W943" s="25"/>
      <c r="X943" s="24"/>
      <c r="Y943" s="23"/>
      <c r="Z943" s="23"/>
      <c r="AA943" s="23"/>
      <c r="AB943" s="23"/>
      <c r="AC943" s="23"/>
    </row>
    <row r="944" spans="1:29" ht="13.5" customHeight="1">
      <c r="A944" s="23"/>
      <c r="B944" s="23"/>
      <c r="C944" s="24"/>
      <c r="D944" s="25"/>
      <c r="E944" s="24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4"/>
      <c r="W944" s="25"/>
      <c r="X944" s="24"/>
      <c r="Y944" s="23"/>
      <c r="Z944" s="23"/>
      <c r="AA944" s="23"/>
      <c r="AB944" s="23"/>
      <c r="AC944" s="23"/>
    </row>
    <row r="945" spans="1:29" ht="13.5" customHeight="1">
      <c r="A945" s="23"/>
      <c r="B945" s="23"/>
      <c r="C945" s="24"/>
      <c r="D945" s="25"/>
      <c r="E945" s="24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4"/>
      <c r="W945" s="25"/>
      <c r="X945" s="24"/>
      <c r="Y945" s="23"/>
      <c r="Z945" s="23"/>
      <c r="AA945" s="23"/>
      <c r="AB945" s="23"/>
      <c r="AC945" s="23"/>
    </row>
    <row r="946" spans="1:29" ht="13.5" customHeight="1">
      <c r="A946" s="23"/>
      <c r="B946" s="23"/>
      <c r="C946" s="24"/>
      <c r="D946" s="25"/>
      <c r="E946" s="24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4"/>
      <c r="W946" s="25"/>
      <c r="X946" s="24"/>
      <c r="Y946" s="23"/>
      <c r="Z946" s="23"/>
      <c r="AA946" s="23"/>
      <c r="AB946" s="23"/>
      <c r="AC946" s="23"/>
    </row>
    <row r="947" spans="1:29" ht="13.5" customHeight="1">
      <c r="A947" s="23"/>
      <c r="B947" s="23"/>
      <c r="C947" s="24"/>
      <c r="D947" s="25"/>
      <c r="E947" s="24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4"/>
      <c r="W947" s="25"/>
      <c r="X947" s="24"/>
      <c r="Y947" s="23"/>
      <c r="Z947" s="23"/>
      <c r="AA947" s="23"/>
      <c r="AB947" s="23"/>
      <c r="AC947" s="23"/>
    </row>
    <row r="948" spans="1:29" ht="13.5" customHeight="1">
      <c r="A948" s="23"/>
      <c r="B948" s="23"/>
      <c r="C948" s="24"/>
      <c r="D948" s="25"/>
      <c r="E948" s="24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4"/>
      <c r="W948" s="25"/>
      <c r="X948" s="24"/>
      <c r="Y948" s="23"/>
      <c r="Z948" s="23"/>
      <c r="AA948" s="23"/>
      <c r="AB948" s="23"/>
      <c r="AC948" s="23"/>
    </row>
    <row r="949" spans="1:29" ht="13.5" customHeight="1">
      <c r="A949" s="23"/>
      <c r="B949" s="23"/>
      <c r="C949" s="24"/>
      <c r="D949" s="25"/>
      <c r="E949" s="24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4"/>
      <c r="W949" s="25"/>
      <c r="X949" s="24"/>
      <c r="Y949" s="23"/>
      <c r="Z949" s="23"/>
      <c r="AA949" s="23"/>
      <c r="AB949" s="23"/>
      <c r="AC949" s="23"/>
    </row>
    <row r="950" spans="1:29" ht="13.5" customHeight="1">
      <c r="A950" s="23"/>
      <c r="B950" s="23"/>
      <c r="C950" s="24"/>
      <c r="D950" s="25"/>
      <c r="E950" s="24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4"/>
      <c r="W950" s="25"/>
      <c r="X950" s="24"/>
      <c r="Y950" s="23"/>
      <c r="Z950" s="23"/>
      <c r="AA950" s="23"/>
      <c r="AB950" s="23"/>
      <c r="AC950" s="23"/>
    </row>
    <row r="951" spans="1:29" ht="13.5" customHeight="1">
      <c r="A951" s="23"/>
      <c r="B951" s="23"/>
      <c r="C951" s="24"/>
      <c r="D951" s="25"/>
      <c r="E951" s="24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4"/>
      <c r="W951" s="25"/>
      <c r="X951" s="24"/>
      <c r="Y951" s="23"/>
      <c r="Z951" s="23"/>
      <c r="AA951" s="23"/>
      <c r="AB951" s="23"/>
      <c r="AC951" s="23"/>
    </row>
    <row r="952" spans="1:29" ht="13.5" customHeight="1">
      <c r="A952" s="23"/>
      <c r="B952" s="23"/>
      <c r="C952" s="24"/>
      <c r="D952" s="25"/>
      <c r="E952" s="24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4"/>
      <c r="W952" s="25"/>
      <c r="X952" s="24"/>
      <c r="Y952" s="23"/>
      <c r="Z952" s="23"/>
      <c r="AA952" s="23"/>
      <c r="AB952" s="23"/>
      <c r="AC952" s="23"/>
    </row>
    <row r="953" spans="1:29" ht="13.5" customHeight="1">
      <c r="A953" s="23"/>
      <c r="B953" s="23"/>
      <c r="C953" s="24"/>
      <c r="D953" s="25"/>
      <c r="E953" s="24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4"/>
      <c r="W953" s="25"/>
      <c r="X953" s="24"/>
      <c r="Y953" s="23"/>
      <c r="Z953" s="23"/>
      <c r="AA953" s="23"/>
      <c r="AB953" s="23"/>
      <c r="AC953" s="23"/>
    </row>
    <row r="954" spans="1:29" ht="13.5" customHeight="1">
      <c r="A954" s="23"/>
      <c r="B954" s="23"/>
      <c r="C954" s="24"/>
      <c r="D954" s="25"/>
      <c r="E954" s="24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4"/>
      <c r="W954" s="25"/>
      <c r="X954" s="24"/>
      <c r="Y954" s="23"/>
      <c r="Z954" s="23"/>
      <c r="AA954" s="23"/>
      <c r="AB954" s="23"/>
      <c r="AC954" s="23"/>
    </row>
    <row r="955" spans="1:29" ht="13.5" customHeight="1">
      <c r="A955" s="23"/>
      <c r="B955" s="23"/>
      <c r="C955" s="24"/>
      <c r="D955" s="25"/>
      <c r="E955" s="24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4"/>
      <c r="W955" s="25"/>
      <c r="X955" s="24"/>
      <c r="Y955" s="23"/>
      <c r="Z955" s="23"/>
      <c r="AA955" s="23"/>
      <c r="AB955" s="23"/>
      <c r="AC955" s="23"/>
    </row>
    <row r="956" spans="1:29" ht="13.5" customHeight="1">
      <c r="A956" s="23"/>
      <c r="B956" s="23"/>
      <c r="C956" s="24"/>
      <c r="D956" s="25"/>
      <c r="E956" s="24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4"/>
      <c r="W956" s="25"/>
      <c r="X956" s="24"/>
      <c r="Y956" s="23"/>
      <c r="Z956" s="23"/>
      <c r="AA956" s="23"/>
      <c r="AB956" s="23"/>
      <c r="AC956" s="23"/>
    </row>
    <row r="957" spans="1:29" ht="13.5" customHeight="1">
      <c r="A957" s="23"/>
      <c r="B957" s="23"/>
      <c r="C957" s="24"/>
      <c r="D957" s="25"/>
      <c r="E957" s="24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4"/>
      <c r="W957" s="25"/>
      <c r="X957" s="24"/>
      <c r="Y957" s="23"/>
      <c r="Z957" s="23"/>
      <c r="AA957" s="23"/>
      <c r="AB957" s="23"/>
      <c r="AC957" s="23"/>
    </row>
    <row r="958" spans="1:29" ht="13.5" customHeight="1">
      <c r="A958" s="23"/>
      <c r="B958" s="23"/>
      <c r="C958" s="24"/>
      <c r="D958" s="25"/>
      <c r="E958" s="24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4"/>
      <c r="W958" s="25"/>
      <c r="X958" s="24"/>
      <c r="Y958" s="23"/>
      <c r="Z958" s="23"/>
      <c r="AA958" s="23"/>
      <c r="AB958" s="23"/>
      <c r="AC958" s="23"/>
    </row>
    <row r="959" spans="1:29" ht="13.5" customHeight="1">
      <c r="A959" s="23"/>
      <c r="B959" s="23"/>
      <c r="C959" s="24"/>
      <c r="D959" s="25"/>
      <c r="E959" s="24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4"/>
      <c r="W959" s="25"/>
      <c r="X959" s="24"/>
      <c r="Y959" s="23"/>
      <c r="Z959" s="23"/>
      <c r="AA959" s="23"/>
      <c r="AB959" s="23"/>
      <c r="AC959" s="23"/>
    </row>
    <row r="960" spans="1:29" ht="13.5" customHeight="1">
      <c r="A960" s="23"/>
      <c r="B960" s="23"/>
      <c r="C960" s="24"/>
      <c r="D960" s="25"/>
      <c r="E960" s="24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4"/>
      <c r="W960" s="25"/>
      <c r="X960" s="24"/>
      <c r="Y960" s="23"/>
      <c r="Z960" s="23"/>
      <c r="AA960" s="23"/>
      <c r="AB960" s="23"/>
      <c r="AC960" s="23"/>
    </row>
    <row r="961" spans="1:29" ht="13.5" customHeight="1">
      <c r="A961" s="23"/>
      <c r="B961" s="23"/>
      <c r="C961" s="24"/>
      <c r="D961" s="25"/>
      <c r="E961" s="24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4"/>
      <c r="W961" s="25"/>
      <c r="X961" s="24"/>
      <c r="Y961" s="23"/>
      <c r="Z961" s="23"/>
      <c r="AA961" s="23"/>
      <c r="AB961" s="23"/>
      <c r="AC961" s="23"/>
    </row>
    <row r="962" spans="1:29" ht="13.5" customHeight="1">
      <c r="A962" s="23"/>
      <c r="B962" s="23"/>
      <c r="C962" s="24"/>
      <c r="D962" s="25"/>
      <c r="E962" s="24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4"/>
      <c r="W962" s="25"/>
      <c r="X962" s="24"/>
      <c r="Y962" s="23"/>
      <c r="Z962" s="23"/>
      <c r="AA962" s="23"/>
      <c r="AB962" s="23"/>
      <c r="AC962" s="23"/>
    </row>
    <row r="963" spans="1:29" ht="13.5" customHeight="1">
      <c r="A963" s="23"/>
      <c r="B963" s="23"/>
      <c r="C963" s="24"/>
      <c r="D963" s="25"/>
      <c r="E963" s="24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4"/>
      <c r="W963" s="25"/>
      <c r="X963" s="24"/>
      <c r="Y963" s="23"/>
      <c r="Z963" s="23"/>
      <c r="AA963" s="23"/>
      <c r="AB963" s="23"/>
      <c r="AC963" s="23"/>
    </row>
    <row r="964" spans="1:29" ht="13.5" customHeight="1">
      <c r="A964" s="23"/>
      <c r="B964" s="23"/>
      <c r="C964" s="24"/>
      <c r="D964" s="25"/>
      <c r="E964" s="24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4"/>
      <c r="W964" s="25"/>
      <c r="X964" s="24"/>
      <c r="Y964" s="23"/>
      <c r="Z964" s="23"/>
      <c r="AA964" s="23"/>
      <c r="AB964" s="23"/>
      <c r="AC964" s="23"/>
    </row>
    <row r="965" spans="1:29" ht="13.5" customHeight="1">
      <c r="A965" s="23"/>
      <c r="B965" s="23"/>
      <c r="C965" s="24"/>
      <c r="D965" s="25"/>
      <c r="E965" s="24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4"/>
      <c r="W965" s="25"/>
      <c r="X965" s="24"/>
      <c r="Y965" s="23"/>
      <c r="Z965" s="23"/>
      <c r="AA965" s="23"/>
      <c r="AB965" s="23"/>
      <c r="AC965" s="23"/>
    </row>
    <row r="966" spans="1:29" ht="13.5" customHeight="1">
      <c r="A966" s="23"/>
      <c r="B966" s="23"/>
      <c r="C966" s="24"/>
      <c r="D966" s="25"/>
      <c r="E966" s="24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4"/>
      <c r="W966" s="25"/>
      <c r="X966" s="24"/>
      <c r="Y966" s="23"/>
      <c r="Z966" s="23"/>
      <c r="AA966" s="23"/>
      <c r="AB966" s="23"/>
      <c r="AC966" s="23"/>
    </row>
    <row r="967" spans="1:29" ht="13.5" customHeight="1">
      <c r="A967" s="23"/>
      <c r="B967" s="23"/>
      <c r="C967" s="24"/>
      <c r="D967" s="25"/>
      <c r="E967" s="24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4"/>
      <c r="W967" s="25"/>
      <c r="X967" s="24"/>
      <c r="Y967" s="23"/>
      <c r="Z967" s="23"/>
      <c r="AA967" s="23"/>
      <c r="AB967" s="23"/>
      <c r="AC967" s="23"/>
    </row>
    <row r="968" spans="1:29" ht="13.5" customHeight="1">
      <c r="A968" s="23"/>
      <c r="B968" s="23"/>
      <c r="C968" s="24"/>
      <c r="D968" s="25"/>
      <c r="E968" s="24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4"/>
      <c r="W968" s="25"/>
      <c r="X968" s="24"/>
      <c r="Y968" s="23"/>
      <c r="Z968" s="23"/>
      <c r="AA968" s="23"/>
      <c r="AB968" s="23"/>
      <c r="AC968" s="23"/>
    </row>
    <row r="969" spans="1:29" ht="13.5" customHeight="1">
      <c r="A969" s="23"/>
      <c r="B969" s="23"/>
      <c r="C969" s="24"/>
      <c r="D969" s="25"/>
      <c r="E969" s="24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4"/>
      <c r="W969" s="25"/>
      <c r="X969" s="24"/>
      <c r="Y969" s="23"/>
      <c r="Z969" s="23"/>
      <c r="AA969" s="23"/>
      <c r="AB969" s="23"/>
      <c r="AC969" s="23"/>
    </row>
    <row r="970" spans="1:29" ht="13.5" customHeight="1">
      <c r="A970" s="23"/>
      <c r="B970" s="23"/>
      <c r="C970" s="24"/>
      <c r="D970" s="25"/>
      <c r="E970" s="24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4"/>
      <c r="W970" s="25"/>
      <c r="X970" s="24"/>
      <c r="Y970" s="23"/>
      <c r="Z970" s="23"/>
      <c r="AA970" s="23"/>
      <c r="AB970" s="23"/>
      <c r="AC970" s="23"/>
    </row>
    <row r="971" spans="1:29" ht="13.5" customHeight="1">
      <c r="A971" s="23"/>
      <c r="B971" s="23"/>
      <c r="C971" s="24"/>
      <c r="D971" s="25"/>
      <c r="E971" s="24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4"/>
      <c r="W971" s="25"/>
      <c r="X971" s="24"/>
      <c r="Y971" s="23"/>
      <c r="Z971" s="23"/>
      <c r="AA971" s="23"/>
      <c r="AB971" s="23"/>
      <c r="AC971" s="23"/>
    </row>
    <row r="972" spans="1:29" ht="13.5" customHeight="1">
      <c r="A972" s="23"/>
      <c r="B972" s="23"/>
      <c r="C972" s="24"/>
      <c r="D972" s="25"/>
      <c r="E972" s="24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4"/>
      <c r="W972" s="25"/>
      <c r="X972" s="24"/>
      <c r="Y972" s="23"/>
      <c r="Z972" s="23"/>
      <c r="AA972" s="23"/>
      <c r="AB972" s="23"/>
      <c r="AC972" s="23"/>
    </row>
    <row r="973" spans="1:29" ht="13.5" customHeight="1">
      <c r="A973" s="23"/>
      <c r="B973" s="23"/>
      <c r="C973" s="24"/>
      <c r="D973" s="25"/>
      <c r="E973" s="24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4"/>
      <c r="W973" s="25"/>
      <c r="X973" s="24"/>
      <c r="Y973" s="23"/>
      <c r="Z973" s="23"/>
      <c r="AA973" s="23"/>
      <c r="AB973" s="23"/>
      <c r="AC973" s="23"/>
    </row>
    <row r="974" spans="1:29" ht="13.5" customHeight="1">
      <c r="A974" s="23"/>
      <c r="B974" s="23"/>
      <c r="C974" s="24"/>
      <c r="D974" s="25"/>
      <c r="E974" s="24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4"/>
      <c r="W974" s="25"/>
      <c r="X974" s="24"/>
      <c r="Y974" s="23"/>
      <c r="Z974" s="23"/>
      <c r="AA974" s="23"/>
      <c r="AB974" s="23"/>
      <c r="AC974" s="23"/>
    </row>
    <row r="975" spans="1:29" ht="13.5" customHeight="1">
      <c r="A975" s="23"/>
      <c r="B975" s="23"/>
      <c r="C975" s="24"/>
      <c r="D975" s="25"/>
      <c r="E975" s="24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4"/>
      <c r="W975" s="25"/>
      <c r="X975" s="24"/>
      <c r="Y975" s="23"/>
      <c r="Z975" s="23"/>
      <c r="AA975" s="23"/>
      <c r="AB975" s="23"/>
      <c r="AC975" s="23"/>
    </row>
    <row r="976" spans="1:29" ht="13.5" customHeight="1">
      <c r="A976" s="23"/>
      <c r="B976" s="23"/>
      <c r="C976" s="24"/>
      <c r="D976" s="25"/>
      <c r="E976" s="24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4"/>
      <c r="W976" s="25"/>
      <c r="X976" s="24"/>
      <c r="Y976" s="23"/>
      <c r="Z976" s="23"/>
      <c r="AA976" s="23"/>
      <c r="AB976" s="23"/>
      <c r="AC976" s="23"/>
    </row>
    <row r="977" spans="1:29" ht="13.5" customHeight="1">
      <c r="A977" s="23"/>
      <c r="B977" s="23"/>
      <c r="C977" s="24"/>
      <c r="D977" s="25"/>
      <c r="E977" s="24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4"/>
      <c r="W977" s="25"/>
      <c r="X977" s="24"/>
      <c r="Y977" s="23"/>
      <c r="Z977" s="23"/>
      <c r="AA977" s="23"/>
      <c r="AB977" s="23"/>
      <c r="AC977" s="23"/>
    </row>
    <row r="978" spans="1:29" ht="13.5" customHeight="1">
      <c r="A978" s="23"/>
      <c r="B978" s="23"/>
      <c r="C978" s="24"/>
      <c r="D978" s="25"/>
      <c r="E978" s="24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4"/>
      <c r="W978" s="25"/>
      <c r="X978" s="24"/>
      <c r="Y978" s="23"/>
      <c r="Z978" s="23"/>
      <c r="AA978" s="23"/>
      <c r="AB978" s="23"/>
      <c r="AC978" s="23"/>
    </row>
    <row r="979" spans="1:29" ht="13.5" customHeight="1">
      <c r="A979" s="23"/>
      <c r="B979" s="23"/>
      <c r="C979" s="24"/>
      <c r="D979" s="25"/>
      <c r="E979" s="24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4"/>
      <c r="W979" s="25"/>
      <c r="X979" s="24"/>
      <c r="Y979" s="23"/>
      <c r="Z979" s="23"/>
      <c r="AA979" s="23"/>
      <c r="AB979" s="23"/>
      <c r="AC979" s="23"/>
    </row>
    <row r="980" spans="1:29" ht="13.5" customHeight="1">
      <c r="A980" s="23"/>
      <c r="B980" s="23"/>
      <c r="C980" s="24"/>
      <c r="D980" s="25"/>
      <c r="E980" s="24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4"/>
      <c r="W980" s="25"/>
      <c r="X980" s="24"/>
      <c r="Y980" s="23"/>
      <c r="Z980" s="23"/>
      <c r="AA980" s="23"/>
      <c r="AB980" s="23"/>
      <c r="AC980" s="23"/>
    </row>
    <row r="981" spans="1:29" ht="13.5" customHeight="1">
      <c r="A981" s="23"/>
      <c r="B981" s="23"/>
      <c r="C981" s="24"/>
      <c r="D981" s="25"/>
      <c r="E981" s="24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4"/>
      <c r="W981" s="25"/>
      <c r="X981" s="24"/>
      <c r="Y981" s="23"/>
      <c r="Z981" s="23"/>
      <c r="AA981" s="23"/>
      <c r="AB981" s="23"/>
      <c r="AC981" s="23"/>
    </row>
    <row r="982" spans="1:29" ht="13.5" customHeight="1">
      <c r="A982" s="23"/>
      <c r="B982" s="23"/>
      <c r="C982" s="24"/>
      <c r="D982" s="25"/>
      <c r="E982" s="24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4"/>
      <c r="W982" s="25"/>
      <c r="X982" s="24"/>
      <c r="Y982" s="23"/>
      <c r="Z982" s="23"/>
      <c r="AA982" s="23"/>
      <c r="AB982" s="23"/>
      <c r="AC982" s="23"/>
    </row>
    <row r="983" spans="1:29" ht="13.5" customHeight="1">
      <c r="A983" s="23"/>
      <c r="B983" s="23"/>
      <c r="C983" s="24"/>
      <c r="D983" s="25"/>
      <c r="E983" s="24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4"/>
      <c r="W983" s="25"/>
      <c r="X983" s="24"/>
      <c r="Y983" s="23"/>
      <c r="Z983" s="23"/>
      <c r="AA983" s="23"/>
      <c r="AB983" s="23"/>
      <c r="AC983" s="23"/>
    </row>
    <row r="984" spans="1:29" ht="13.5" customHeight="1">
      <c r="A984" s="23"/>
      <c r="B984" s="23"/>
      <c r="C984" s="24"/>
      <c r="D984" s="25"/>
      <c r="E984" s="24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4"/>
      <c r="W984" s="25"/>
      <c r="X984" s="24"/>
      <c r="Y984" s="23"/>
      <c r="Z984" s="23"/>
      <c r="AA984" s="23"/>
      <c r="AB984" s="23"/>
      <c r="AC984" s="23"/>
    </row>
    <row r="985" spans="1:29" ht="13.5" customHeight="1">
      <c r="A985" s="23"/>
      <c r="B985" s="23"/>
      <c r="C985" s="24"/>
      <c r="D985" s="25"/>
      <c r="E985" s="24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4"/>
      <c r="W985" s="25"/>
      <c r="X985" s="24"/>
      <c r="Y985" s="23"/>
      <c r="Z985" s="23"/>
      <c r="AA985" s="23"/>
      <c r="AB985" s="23"/>
      <c r="AC985" s="23"/>
    </row>
    <row r="986" spans="1:29" ht="13.5" customHeight="1">
      <c r="A986" s="23"/>
      <c r="B986" s="23"/>
      <c r="C986" s="24"/>
      <c r="D986" s="25"/>
      <c r="E986" s="24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4"/>
      <c r="W986" s="25"/>
      <c r="X986" s="24"/>
      <c r="Y986" s="23"/>
      <c r="Z986" s="23"/>
      <c r="AA986" s="23"/>
      <c r="AB986" s="23"/>
      <c r="AC986" s="23"/>
    </row>
    <row r="987" spans="1:29" ht="13.5" customHeight="1">
      <c r="A987" s="23"/>
      <c r="B987" s="23"/>
      <c r="C987" s="24"/>
      <c r="D987" s="25"/>
      <c r="E987" s="24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4"/>
      <c r="W987" s="25"/>
      <c r="X987" s="24"/>
      <c r="Y987" s="23"/>
      <c r="Z987" s="23"/>
      <c r="AA987" s="23"/>
      <c r="AB987" s="23"/>
      <c r="AC987" s="23"/>
    </row>
    <row r="988" spans="1:29" ht="13.5" customHeight="1">
      <c r="A988" s="23"/>
      <c r="B988" s="23"/>
      <c r="C988" s="24"/>
      <c r="D988" s="25"/>
      <c r="E988" s="24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4"/>
      <c r="W988" s="25"/>
      <c r="X988" s="24"/>
      <c r="Y988" s="23"/>
      <c r="Z988" s="23"/>
      <c r="AA988" s="23"/>
      <c r="AB988" s="23"/>
      <c r="AC988" s="23"/>
    </row>
    <row r="989" spans="1:29" ht="13.5" customHeight="1">
      <c r="A989" s="23"/>
      <c r="B989" s="23"/>
      <c r="C989" s="24"/>
      <c r="D989" s="25"/>
      <c r="E989" s="24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4"/>
      <c r="W989" s="25"/>
      <c r="X989" s="24"/>
      <c r="Y989" s="23"/>
      <c r="Z989" s="23"/>
      <c r="AA989" s="23"/>
      <c r="AB989" s="23"/>
      <c r="AC989" s="23"/>
    </row>
    <row r="990" spans="1:29" ht="13.5" customHeight="1">
      <c r="A990" s="23"/>
      <c r="B990" s="23"/>
      <c r="C990" s="24"/>
      <c r="D990" s="25"/>
      <c r="E990" s="24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4"/>
      <c r="W990" s="25"/>
      <c r="X990" s="24"/>
      <c r="Y990" s="23"/>
      <c r="Z990" s="23"/>
      <c r="AA990" s="23"/>
      <c r="AB990" s="23"/>
      <c r="AC990" s="23"/>
    </row>
    <row r="991" spans="1:29" ht="13.5" customHeight="1">
      <c r="A991" s="23"/>
      <c r="B991" s="23"/>
      <c r="C991" s="24"/>
      <c r="D991" s="25"/>
      <c r="E991" s="24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4"/>
      <c r="W991" s="25"/>
      <c r="X991" s="24"/>
      <c r="Y991" s="23"/>
      <c r="Z991" s="23"/>
      <c r="AA991" s="23"/>
      <c r="AB991" s="23"/>
      <c r="AC991" s="23"/>
    </row>
    <row r="992" spans="1:29" ht="13.5" customHeight="1">
      <c r="A992" s="23"/>
      <c r="B992" s="23"/>
      <c r="C992" s="24"/>
      <c r="D992" s="25"/>
      <c r="E992" s="24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4"/>
      <c r="W992" s="25"/>
      <c r="X992" s="24"/>
      <c r="Y992" s="23"/>
      <c r="Z992" s="23"/>
      <c r="AA992" s="23"/>
      <c r="AB992" s="23"/>
      <c r="AC992" s="23"/>
    </row>
    <row r="993" spans="1:29" ht="13.5" customHeight="1">
      <c r="A993" s="23"/>
      <c r="B993" s="23"/>
      <c r="C993" s="24"/>
      <c r="D993" s="25"/>
      <c r="E993" s="24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4"/>
      <c r="W993" s="25"/>
      <c r="X993" s="24"/>
      <c r="Y993" s="23"/>
      <c r="Z993" s="23"/>
      <c r="AA993" s="23"/>
      <c r="AB993" s="23"/>
      <c r="AC993" s="23"/>
    </row>
    <row r="994" spans="1:29" ht="13.5" customHeight="1">
      <c r="A994" s="23"/>
      <c r="B994" s="23"/>
      <c r="C994" s="24"/>
      <c r="D994" s="25"/>
      <c r="E994" s="24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4"/>
      <c r="W994" s="25"/>
      <c r="X994" s="24"/>
      <c r="Y994" s="23"/>
      <c r="Z994" s="23"/>
      <c r="AA994" s="23"/>
      <c r="AB994" s="23"/>
      <c r="AC994" s="23"/>
    </row>
    <row r="995" spans="1:29" ht="13.5" customHeight="1">
      <c r="A995" s="23"/>
      <c r="B995" s="23"/>
      <c r="C995" s="24"/>
      <c r="D995" s="25"/>
      <c r="E995" s="24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4"/>
      <c r="W995" s="25"/>
      <c r="X995" s="24"/>
      <c r="Y995" s="23"/>
      <c r="Z995" s="23"/>
      <c r="AA995" s="23"/>
      <c r="AB995" s="23"/>
      <c r="AC995" s="23"/>
    </row>
    <row r="996" spans="1:29" ht="13.5" customHeight="1">
      <c r="A996" s="23"/>
      <c r="B996" s="23"/>
      <c r="C996" s="24"/>
      <c r="D996" s="25"/>
      <c r="E996" s="24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4"/>
      <c r="W996" s="25"/>
      <c r="X996" s="24"/>
      <c r="Y996" s="23"/>
      <c r="Z996" s="23"/>
      <c r="AA996" s="23"/>
      <c r="AB996" s="23"/>
      <c r="AC996" s="23"/>
    </row>
    <row r="997" spans="1:29" ht="13.5" customHeight="1">
      <c r="A997" s="23"/>
      <c r="B997" s="23"/>
      <c r="C997" s="24"/>
      <c r="D997" s="25"/>
      <c r="E997" s="24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4"/>
      <c r="W997" s="25"/>
      <c r="X997" s="24"/>
      <c r="Y997" s="23"/>
      <c r="Z997" s="23"/>
      <c r="AA997" s="23"/>
      <c r="AB997" s="23"/>
      <c r="AC997" s="23"/>
    </row>
    <row r="998" spans="1:29" ht="13.5" customHeight="1">
      <c r="A998" s="23"/>
      <c r="B998" s="23"/>
      <c r="C998" s="24"/>
      <c r="D998" s="25"/>
      <c r="E998" s="24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4"/>
      <c r="W998" s="25"/>
      <c r="X998" s="24"/>
      <c r="Y998" s="23"/>
      <c r="Z998" s="23"/>
      <c r="AA998" s="23"/>
      <c r="AB998" s="23"/>
      <c r="AC998" s="23"/>
    </row>
    <row r="999" spans="1:29" ht="13.5" customHeight="1">
      <c r="A999" s="23"/>
      <c r="B999" s="23"/>
      <c r="C999" s="24"/>
      <c r="D999" s="25"/>
      <c r="E999" s="24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4"/>
      <c r="W999" s="25"/>
      <c r="X999" s="24"/>
      <c r="Y999" s="23"/>
      <c r="Z999" s="23"/>
      <c r="AA999" s="23"/>
      <c r="AB999" s="23"/>
      <c r="AC999" s="23"/>
    </row>
    <row r="1000" spans="1:29" ht="13.5" customHeight="1">
      <c r="A1000" s="23"/>
      <c r="B1000" s="23"/>
      <c r="C1000" s="24"/>
      <c r="D1000" s="25"/>
      <c r="E1000" s="24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4"/>
      <c r="W1000" s="25"/>
      <c r="X1000" s="24"/>
      <c r="Y1000" s="23"/>
      <c r="Z1000" s="23"/>
      <c r="AA1000" s="23"/>
      <c r="AB1000" s="23"/>
      <c r="AC1000" s="23"/>
    </row>
  </sheetData>
  <mergeCells count="16">
    <mergeCell ref="A1:J1"/>
    <mergeCell ref="T1:AC1"/>
    <mergeCell ref="A2:D2"/>
    <mergeCell ref="T2:W2"/>
    <mergeCell ref="A3:C3"/>
    <mergeCell ref="T3:V3"/>
    <mergeCell ref="C7:E7"/>
    <mergeCell ref="V7:X7"/>
    <mergeCell ref="F39:G39"/>
    <mergeCell ref="Y39:Z39"/>
    <mergeCell ref="A4:C4"/>
    <mergeCell ref="T4:V4"/>
    <mergeCell ref="A5:C5"/>
    <mergeCell ref="N5:N6"/>
    <mergeCell ref="O5:O6"/>
    <mergeCell ref="T5:V5"/>
  </mergeCells>
  <phoneticPr fontId="1"/>
  <conditionalFormatting sqref="N8:N38">
    <cfRule type="cellIs" dxfId="9" priority="1" operator="equal">
      <formula>"Over"</formula>
    </cfRule>
  </conditionalFormatting>
  <dataValidations count="2">
    <dataValidation type="list" allowBlank="1" showErrorMessage="1" sqref="A1" xr:uid="{5A789F17-DBF9-40B5-BE19-9E98E78BEA1D}">
      <formula1>"作業報告書（システム統合PT（TALC））,作業報告書"</formula1>
    </dataValidation>
    <dataValidation type="list" allowBlank="1" showErrorMessage="1" sqref="M2 O2" xr:uid="{D2F7AFC9-2F6B-421B-8B08-8113D615B3E2}">
      <formula1>"左,右"</formula1>
    </dataValidation>
  </dataValidations>
  <printOptions horizontalCentered="1"/>
  <pageMargins left="0.19685039370078741" right="0.15748031496062992" top="0.47244094488188981" bottom="0.51181102362204722" header="0" footer="0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99ECB-2DFB-4BBE-A4DC-197E2F708B4D}">
  <sheetPr codeName="Sheet6">
    <tabColor rgb="FFFFFF00"/>
  </sheetPr>
  <dimension ref="A1"/>
  <sheetViews>
    <sheetView workbookViewId="0"/>
  </sheetViews>
  <sheetFormatPr defaultRowHeight="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HISTORY</vt:lpstr>
      <vt:lpstr>MENU</vt:lpstr>
      <vt:lpstr>TaskList</vt:lpstr>
      <vt:lpstr>NameList</vt:lpstr>
      <vt:lpstr>WhiteList</vt:lpstr>
      <vt:lpstr>BlackList</vt:lpstr>
      <vt:lpstr>From</vt:lpstr>
      <vt:lpstr>作業報告書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Plum PlumX</cp:lastModifiedBy>
  <cp:lastPrinted>2025-07-30T23:27:53Z</cp:lastPrinted>
  <dcterms:created xsi:type="dcterms:W3CDTF">2023-06-27T03:01:47Z</dcterms:created>
  <dcterms:modified xsi:type="dcterms:W3CDTF">2026-07-07T03:10:04Z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2023-06-27T03:03:16Z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d828b4f8-d6e0-4436-8450-7cdf26896cc9</vt:lpwstr>
  </property>
  <property fmtid="{D5CDD505-2E9C-101B-9397-08002B2CF9AE}" pid="8" name="MSIP_Label_a7295cc1-d279-42ac-ab4d-3b0f4fece050_ContentBits">
    <vt:lpwstr>0</vt:lpwstr>
  </property>
</Properties>
</file>