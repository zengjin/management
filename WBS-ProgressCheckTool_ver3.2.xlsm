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lumx\Documents\Projects\SFinX\LAB\WBS-ProgressCheckTool\"/>
    </mc:Choice>
  </mc:AlternateContent>
  <xr:revisionPtr revIDLastSave="0" documentId="13_ncr:1_{70890B35-B75C-4459-B145-9AAF7D33053D}" xr6:coauthVersionLast="47" xr6:coauthVersionMax="47" xr10:uidLastSave="{00000000-0000-0000-0000-000000000000}"/>
  <bookViews>
    <workbookView xWindow="-110" yWindow="-110" windowWidth="19420" windowHeight="11500" tabRatio="932" firstSheet="2" activeTab="5" xr2:uid="{6E21178B-1DDD-4DF3-93B0-5A3D1CDF56EE}"/>
  </bookViews>
  <sheets>
    <sheet name="HISTORY" sheetId="2" state="hidden" r:id="rId1"/>
    <sheet name="MENU" sheetId="1" state="hidden" r:id="rId2"/>
    <sheet name="Sub-System" sheetId="4" r:id="rId3"/>
    <sheet name="WhiteList" sheetId="13" state="hidden" r:id="rId4"/>
    <sheet name="BlackList" sheetId="22" state="hidden" r:id="rId5"/>
    <sheet name="Progress" sheetId="340" r:id="rId6"/>
    <sheet name="G(0)" sheetId="162" r:id="rId7"/>
    <sheet name="Start" sheetId="102" r:id="rId8"/>
    <sheet name="G(1)" sheetId="606" r:id="rId9"/>
    <sheet name="G(2)" sheetId="608" r:id="rId10"/>
    <sheet name="G(3)" sheetId="610" r:id="rId11"/>
    <sheet name="G(4)" sheetId="612" r:id="rId12"/>
    <sheet name="G(5)" sheetId="614" r:id="rId13"/>
    <sheet name="End" sheetId="108" r:id="rId14"/>
    <sheet name="From" sheetId="5" r:id="rId15"/>
    <sheet name="WBS(A_取引先管理)" sheetId="605" r:id="rId16"/>
    <sheet name="WBS(F_支払)" sheetId="607" r:id="rId17"/>
    <sheet name="WBS(X_システム共通)" sheetId="609" r:id="rId18"/>
    <sheet name="WBS(共通)" sheetId="611" r:id="rId19"/>
    <sheet name="WBS(インフラ)" sheetId="613" r:id="rId20"/>
    <sheet name="To" sheetId="6" r:id="rId21"/>
  </sheets>
  <functionGroups builtInGroupCount="19"/>
  <externalReferences>
    <externalReference r:id="rId22"/>
    <externalReference r:id="rId23"/>
    <externalReference r:id="rId24"/>
  </externalReferences>
  <definedNames>
    <definedName name="_xlnm._FilterDatabase" localSheetId="15" hidden="1">'WBS(A_取引先管理)'!$A$5:$AT$426</definedName>
    <definedName name="_xlnm._FilterDatabase" localSheetId="17" hidden="1">'WBS(X_システム共通)'!$A$5:$AT$377</definedName>
    <definedName name="_xlnm._FilterDatabase" localSheetId="19" hidden="1">'WBS(インフラ)'!$A$5:$AT$195</definedName>
    <definedName name="_xlnm._FilterDatabase" localSheetId="18" hidden="1">'WBS(共通)'!$A$5:$AT$447</definedName>
    <definedName name="_xleta.T" hidden="1" xlm="1">#NAME?</definedName>
    <definedName name="Class_Id">[1]表紙!$B$12</definedName>
    <definedName name="DICT_PATTERN">'[2]Pattern-List'!$B$2:$B$11</definedName>
    <definedName name="FONT_LIST">[3]ListValue!#REF!</definedName>
    <definedName name="Output_Dir">#REF!</definedName>
    <definedName name="Part_Name">[1]表紙!$Q$12</definedName>
    <definedName name="Prefix_Type">#REF!</definedName>
    <definedName name="_xlnm.Print_Area">#REF!</definedName>
    <definedName name="Report_Day">Progress!$C$20</definedName>
    <definedName name="エラーを作り込んだ工程">#REF!</definedName>
    <definedName name="バグ原因">#REF!</definedName>
    <definedName name="処理機能">#REF!</definedName>
    <definedName name="設計工程で摘出できなかった要因">#REF!</definedName>
    <definedName name="不具合原因分類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0" i="614" l="1"/>
  <c r="E50" i="614" s="1"/>
  <c r="F50" i="614" s="1"/>
  <c r="G50" i="614" s="1"/>
  <c r="H50" i="614" s="1"/>
  <c r="I50" i="614" s="1"/>
  <c r="J50" i="614" s="1"/>
  <c r="K50" i="614" s="1"/>
  <c r="L50" i="614" s="1"/>
  <c r="M50" i="614" s="1"/>
  <c r="N50" i="614" s="1"/>
  <c r="O50" i="614" s="1"/>
  <c r="P50" i="614" s="1"/>
  <c r="Q50" i="614" s="1"/>
  <c r="R50" i="614" s="1"/>
  <c r="S50" i="614" s="1"/>
  <c r="T50" i="614" s="1"/>
  <c r="U50" i="614" s="1"/>
  <c r="V50" i="614" s="1"/>
  <c r="W50" i="614" s="1"/>
  <c r="X50" i="614" s="1"/>
  <c r="Y50" i="614" s="1"/>
  <c r="Z50" i="614" s="1"/>
  <c r="AA50" i="614" s="1"/>
  <c r="AB50" i="614" s="1"/>
  <c r="AC50" i="614" s="1"/>
  <c r="AD50" i="614" s="1"/>
  <c r="AE50" i="614" s="1"/>
  <c r="AF50" i="614" s="1"/>
  <c r="AG50" i="614" s="1"/>
  <c r="AH50" i="614" s="1"/>
  <c r="AI50" i="614" s="1"/>
  <c r="AJ50" i="614" s="1"/>
  <c r="AK50" i="614" s="1"/>
  <c r="AL50" i="614" s="1"/>
  <c r="AM50" i="614" s="1"/>
  <c r="AN50" i="614" s="1"/>
  <c r="AO50" i="614" s="1"/>
  <c r="AP50" i="614" s="1"/>
  <c r="AQ50" i="614" s="1"/>
  <c r="AR50" i="614" s="1"/>
  <c r="AS50" i="614" s="1"/>
  <c r="AT50" i="614" s="1"/>
  <c r="AU50" i="614" s="1"/>
  <c r="AV50" i="614" s="1"/>
  <c r="AW50" i="614" s="1"/>
  <c r="AX50" i="614" s="1"/>
  <c r="AY50" i="614" s="1"/>
  <c r="AZ50" i="614" s="1"/>
  <c r="BA50" i="614" s="1"/>
  <c r="BB50" i="614" s="1"/>
  <c r="BC50" i="614" s="1"/>
  <c r="BD50" i="614" s="1"/>
  <c r="BE50" i="614" s="1"/>
  <c r="BF50" i="614" s="1"/>
  <c r="BG50" i="614" s="1"/>
  <c r="BH50" i="614" s="1"/>
  <c r="BI50" i="614" s="1"/>
  <c r="BJ50" i="614" s="1"/>
  <c r="BK50" i="614" s="1"/>
  <c r="BL50" i="614" s="1"/>
  <c r="BM50" i="614" s="1"/>
  <c r="BN50" i="614" s="1"/>
  <c r="BO50" i="614" s="1"/>
  <c r="BP50" i="614" s="1"/>
  <c r="BQ50" i="614" s="1"/>
  <c r="BR50" i="614" s="1"/>
  <c r="BS50" i="614" s="1"/>
  <c r="BT50" i="614" s="1"/>
  <c r="BU50" i="614" s="1"/>
  <c r="BV50" i="614" s="1"/>
  <c r="BW50" i="614" s="1"/>
  <c r="BX50" i="614" s="1"/>
  <c r="BY50" i="614" s="1"/>
  <c r="BZ50" i="614" s="1"/>
  <c r="CA50" i="614" s="1"/>
  <c r="CB50" i="614" s="1"/>
  <c r="CC50" i="614" s="1"/>
  <c r="CD50" i="614" s="1"/>
  <c r="CE50" i="614" s="1"/>
  <c r="CF50" i="614" s="1"/>
  <c r="CG50" i="614" s="1"/>
  <c r="CH50" i="614" s="1"/>
  <c r="CI50" i="614" s="1"/>
  <c r="CJ50" i="614" s="1"/>
  <c r="CK50" i="614" s="1"/>
  <c r="CL50" i="614" s="1"/>
  <c r="CM50" i="614" s="1"/>
  <c r="CN50" i="614" s="1"/>
  <c r="CO50" i="614" s="1"/>
  <c r="CP50" i="614" s="1"/>
  <c r="CQ50" i="614" s="1"/>
  <c r="CR50" i="614" s="1"/>
  <c r="CS50" i="614" s="1"/>
  <c r="CT50" i="614" s="1"/>
  <c r="B48" i="614"/>
  <c r="C46" i="614"/>
  <c r="E22" i="614"/>
  <c r="D22" i="614"/>
  <c r="C18" i="614"/>
  <c r="AT195" i="613"/>
  <c r="AR195" i="613"/>
  <c r="AQ195" i="613"/>
  <c r="G195" i="613" s="1"/>
  <c r="AP195" i="613"/>
  <c r="F195" i="613" s="1"/>
  <c r="AO195" i="613"/>
  <c r="E195" i="613" s="1"/>
  <c r="AN195" i="613"/>
  <c r="D195" i="613" s="1"/>
  <c r="AI195" i="613"/>
  <c r="AH195" i="613"/>
  <c r="AG195" i="613"/>
  <c r="H195" i="613"/>
  <c r="AT194" i="613"/>
  <c r="AR194" i="613"/>
  <c r="H194" i="613" s="1"/>
  <c r="AQ194" i="613"/>
  <c r="G194" i="613" s="1"/>
  <c r="AP194" i="613"/>
  <c r="F194" i="613" s="1"/>
  <c r="AO194" i="613"/>
  <c r="E194" i="613" s="1"/>
  <c r="AN194" i="613"/>
  <c r="D194" i="613" s="1"/>
  <c r="AI194" i="613"/>
  <c r="AH194" i="613"/>
  <c r="AG194" i="613"/>
  <c r="AJ194" i="613" s="1"/>
  <c r="AT193" i="613"/>
  <c r="AR193" i="613"/>
  <c r="H193" i="613" s="1"/>
  <c r="AQ193" i="613"/>
  <c r="G193" i="613" s="1"/>
  <c r="AP193" i="613"/>
  <c r="F193" i="613" s="1"/>
  <c r="AO193" i="613"/>
  <c r="E193" i="613" s="1"/>
  <c r="AN193" i="613"/>
  <c r="D193" i="613" s="1"/>
  <c r="AI193" i="613"/>
  <c r="AH193" i="613"/>
  <c r="AG193" i="613"/>
  <c r="AT192" i="613"/>
  <c r="AR192" i="613"/>
  <c r="H192" i="613" s="1"/>
  <c r="AQ192" i="613"/>
  <c r="G192" i="613" s="1"/>
  <c r="AP192" i="613"/>
  <c r="F192" i="613" s="1"/>
  <c r="AO192" i="613"/>
  <c r="E192" i="613" s="1"/>
  <c r="AN192" i="613"/>
  <c r="D192" i="613" s="1"/>
  <c r="AI192" i="613"/>
  <c r="AH192" i="613"/>
  <c r="AG192" i="613"/>
  <c r="AK192" i="613" s="1"/>
  <c r="AT191" i="613"/>
  <c r="AR191" i="613"/>
  <c r="H191" i="613" s="1"/>
  <c r="AQ191" i="613"/>
  <c r="G191" i="613" s="1"/>
  <c r="AP191" i="613"/>
  <c r="F191" i="613" s="1"/>
  <c r="AO191" i="613"/>
  <c r="E191" i="613" s="1"/>
  <c r="AI191" i="613"/>
  <c r="AH191" i="613"/>
  <c r="AG191" i="613"/>
  <c r="AT190" i="613"/>
  <c r="AR190" i="613"/>
  <c r="H190" i="613" s="1"/>
  <c r="AQ190" i="613"/>
  <c r="G190" i="613" s="1"/>
  <c r="AP190" i="613"/>
  <c r="F190" i="613" s="1"/>
  <c r="AO190" i="613"/>
  <c r="E190" i="613" s="1"/>
  <c r="AK190" i="613"/>
  <c r="AI190" i="613"/>
  <c r="AH190" i="613"/>
  <c r="AG190" i="613"/>
  <c r="AJ190" i="613" s="1"/>
  <c r="AT189" i="613"/>
  <c r="AR189" i="613"/>
  <c r="H189" i="613" s="1"/>
  <c r="AQ189" i="613"/>
  <c r="G189" i="613" s="1"/>
  <c r="AP189" i="613"/>
  <c r="F189" i="613" s="1"/>
  <c r="AO189" i="613"/>
  <c r="E189" i="613" s="1"/>
  <c r="AN189" i="613"/>
  <c r="AN190" i="613" s="1"/>
  <c r="AI189" i="613"/>
  <c r="AH189" i="613"/>
  <c r="AG189" i="613"/>
  <c r="AT188" i="613"/>
  <c r="AR188" i="613"/>
  <c r="H188" i="613" s="1"/>
  <c r="AQ188" i="613"/>
  <c r="G188" i="613" s="1"/>
  <c r="AP188" i="613"/>
  <c r="F188" i="613" s="1"/>
  <c r="AO188" i="613"/>
  <c r="E188" i="613" s="1"/>
  <c r="AI188" i="613"/>
  <c r="AH188" i="613"/>
  <c r="AG188" i="613"/>
  <c r="AK188" i="613" s="1"/>
  <c r="AT187" i="613"/>
  <c r="AR187" i="613"/>
  <c r="H187" i="613" s="1"/>
  <c r="AQ187" i="613"/>
  <c r="G187" i="613" s="1"/>
  <c r="AP187" i="613"/>
  <c r="F187" i="613" s="1"/>
  <c r="AO187" i="613"/>
  <c r="E187" i="613" s="1"/>
  <c r="AI187" i="613"/>
  <c r="AK187" i="613" s="1"/>
  <c r="AH187" i="613"/>
  <c r="AG187" i="613"/>
  <c r="AT186" i="613"/>
  <c r="AR186" i="613"/>
  <c r="H186" i="613" s="1"/>
  <c r="AQ186" i="613"/>
  <c r="G186" i="613" s="1"/>
  <c r="AP186" i="613"/>
  <c r="F186" i="613" s="1"/>
  <c r="AO186" i="613"/>
  <c r="E186" i="613" s="1"/>
  <c r="AI186" i="613"/>
  <c r="AH186" i="613"/>
  <c r="AG186" i="613"/>
  <c r="AK186" i="613" s="1"/>
  <c r="AT185" i="613"/>
  <c r="AR185" i="613"/>
  <c r="H185" i="613" s="1"/>
  <c r="AQ185" i="613"/>
  <c r="G185" i="613" s="1"/>
  <c r="AP185" i="613"/>
  <c r="F185" i="613" s="1"/>
  <c r="AO185" i="613"/>
  <c r="E185" i="613" s="1"/>
  <c r="AI185" i="613"/>
  <c r="AH185" i="613"/>
  <c r="AG185" i="613"/>
  <c r="AT184" i="613"/>
  <c r="AR184" i="613"/>
  <c r="H184" i="613" s="1"/>
  <c r="AQ184" i="613"/>
  <c r="G184" i="613" s="1"/>
  <c r="AP184" i="613"/>
  <c r="F184" i="613" s="1"/>
  <c r="AO184" i="613"/>
  <c r="E184" i="613" s="1"/>
  <c r="AI184" i="613"/>
  <c r="AH184" i="613"/>
  <c r="AG184" i="613"/>
  <c r="AK184" i="613" s="1"/>
  <c r="AT183" i="613"/>
  <c r="AR183" i="613"/>
  <c r="H183" i="613" s="1"/>
  <c r="AQ183" i="613"/>
  <c r="G183" i="613" s="1"/>
  <c r="AP183" i="613"/>
  <c r="F183" i="613" s="1"/>
  <c r="AO183" i="613"/>
  <c r="E183" i="613" s="1"/>
  <c r="AI183" i="613"/>
  <c r="AH183" i="613"/>
  <c r="AG183" i="613"/>
  <c r="AT182" i="613"/>
  <c r="AR182" i="613"/>
  <c r="H182" i="613" s="1"/>
  <c r="AQ182" i="613"/>
  <c r="G182" i="613" s="1"/>
  <c r="AP182" i="613"/>
  <c r="F182" i="613" s="1"/>
  <c r="AO182" i="613"/>
  <c r="E182" i="613" s="1"/>
  <c r="AN182" i="613"/>
  <c r="AN183" i="613" s="1"/>
  <c r="AN184" i="613" s="1"/>
  <c r="AI182" i="613"/>
  <c r="AH182" i="613"/>
  <c r="AG182" i="613"/>
  <c r="AK182" i="613" s="1"/>
  <c r="AT181" i="613"/>
  <c r="AR181" i="613"/>
  <c r="H181" i="613" s="1"/>
  <c r="AQ181" i="613"/>
  <c r="G181" i="613" s="1"/>
  <c r="AP181" i="613"/>
  <c r="F181" i="613" s="1"/>
  <c r="AO181" i="613"/>
  <c r="E181" i="613" s="1"/>
  <c r="AI181" i="613"/>
  <c r="AH181" i="613"/>
  <c r="AG181" i="613"/>
  <c r="AT180" i="613"/>
  <c r="AR180" i="613"/>
  <c r="H180" i="613" s="1"/>
  <c r="AQ180" i="613"/>
  <c r="G180" i="613" s="1"/>
  <c r="AP180" i="613"/>
  <c r="F180" i="613" s="1"/>
  <c r="AO180" i="613"/>
  <c r="E180" i="613" s="1"/>
  <c r="AI180" i="613"/>
  <c r="AH180" i="613"/>
  <c r="AG180" i="613"/>
  <c r="AK180" i="613" s="1"/>
  <c r="AT179" i="613"/>
  <c r="AR179" i="613"/>
  <c r="H179" i="613" s="1"/>
  <c r="AQ179" i="613"/>
  <c r="G179" i="613" s="1"/>
  <c r="AP179" i="613"/>
  <c r="F179" i="613" s="1"/>
  <c r="AO179" i="613"/>
  <c r="E179" i="613" s="1"/>
  <c r="AI179" i="613"/>
  <c r="AH179" i="613"/>
  <c r="AG179" i="613"/>
  <c r="AT178" i="613"/>
  <c r="AR178" i="613"/>
  <c r="H178" i="613" s="1"/>
  <c r="AQ178" i="613"/>
  <c r="G178" i="613" s="1"/>
  <c r="AP178" i="613"/>
  <c r="F178" i="613" s="1"/>
  <c r="AO178" i="613"/>
  <c r="E178" i="613" s="1"/>
  <c r="AK178" i="613"/>
  <c r="AJ178" i="613"/>
  <c r="AI178" i="613"/>
  <c r="AH178" i="613"/>
  <c r="AG178" i="613"/>
  <c r="AT177" i="613"/>
  <c r="AR177" i="613"/>
  <c r="H177" i="613" s="1"/>
  <c r="AQ177" i="613"/>
  <c r="G177" i="613" s="1"/>
  <c r="AP177" i="613"/>
  <c r="F177" i="613" s="1"/>
  <c r="AO177" i="613"/>
  <c r="E177" i="613" s="1"/>
  <c r="AI177" i="613"/>
  <c r="AH177" i="613"/>
  <c r="AG177" i="613"/>
  <c r="AT176" i="613"/>
  <c r="AR176" i="613"/>
  <c r="H176" i="613" s="1"/>
  <c r="AQ176" i="613"/>
  <c r="G176" i="613" s="1"/>
  <c r="AP176" i="613"/>
  <c r="F176" i="613" s="1"/>
  <c r="AO176" i="613"/>
  <c r="E176" i="613" s="1"/>
  <c r="AI176" i="613"/>
  <c r="AH176" i="613"/>
  <c r="AG176" i="613"/>
  <c r="AK176" i="613" s="1"/>
  <c r="AT175" i="613"/>
  <c r="AR175" i="613"/>
  <c r="H175" i="613" s="1"/>
  <c r="AQ175" i="613"/>
  <c r="G175" i="613" s="1"/>
  <c r="AP175" i="613"/>
  <c r="F175" i="613" s="1"/>
  <c r="AO175" i="613"/>
  <c r="E175" i="613" s="1"/>
  <c r="AN175" i="613"/>
  <c r="AN176" i="613" s="1"/>
  <c r="AI175" i="613"/>
  <c r="AK175" i="613" s="1"/>
  <c r="AH175" i="613"/>
  <c r="AG175" i="613"/>
  <c r="AT174" i="613"/>
  <c r="AR174" i="613"/>
  <c r="H174" i="613" s="1"/>
  <c r="AQ174" i="613"/>
  <c r="G174" i="613" s="1"/>
  <c r="AP174" i="613"/>
  <c r="F174" i="613" s="1"/>
  <c r="AO174" i="613"/>
  <c r="E174" i="613" s="1"/>
  <c r="AI174" i="613"/>
  <c r="AH174" i="613"/>
  <c r="AG174" i="613"/>
  <c r="AK174" i="613" s="1"/>
  <c r="AT173" i="613"/>
  <c r="AR173" i="613"/>
  <c r="H173" i="613" s="1"/>
  <c r="AQ173" i="613"/>
  <c r="G173" i="613" s="1"/>
  <c r="AP173" i="613"/>
  <c r="F173" i="613" s="1"/>
  <c r="AO173" i="613"/>
  <c r="E173" i="613" s="1"/>
  <c r="AI173" i="613"/>
  <c r="AH173" i="613"/>
  <c r="AG173" i="613"/>
  <c r="AT172" i="613"/>
  <c r="AR172" i="613"/>
  <c r="H172" i="613" s="1"/>
  <c r="AQ172" i="613"/>
  <c r="G172" i="613" s="1"/>
  <c r="AP172" i="613"/>
  <c r="F172" i="613" s="1"/>
  <c r="AO172" i="613"/>
  <c r="E172" i="613" s="1"/>
  <c r="AI172" i="613"/>
  <c r="AH172" i="613"/>
  <c r="AG172" i="613"/>
  <c r="AK172" i="613" s="1"/>
  <c r="AT171" i="613"/>
  <c r="AR171" i="613"/>
  <c r="H171" i="613" s="1"/>
  <c r="AQ171" i="613"/>
  <c r="G171" i="613" s="1"/>
  <c r="AP171" i="613"/>
  <c r="F171" i="613" s="1"/>
  <c r="AO171" i="613"/>
  <c r="E171" i="613" s="1"/>
  <c r="AI171" i="613"/>
  <c r="AH171" i="613"/>
  <c r="AG171" i="613"/>
  <c r="AT170" i="613"/>
  <c r="AR170" i="613"/>
  <c r="H170" i="613" s="1"/>
  <c r="AQ170" i="613"/>
  <c r="G170" i="613" s="1"/>
  <c r="AP170" i="613"/>
  <c r="F170" i="613" s="1"/>
  <c r="AO170" i="613"/>
  <c r="E170" i="613" s="1"/>
  <c r="AI170" i="613"/>
  <c r="AH170" i="613"/>
  <c r="AG170" i="613"/>
  <c r="AK170" i="613" s="1"/>
  <c r="AT169" i="613"/>
  <c r="AR169" i="613"/>
  <c r="H169" i="613" s="1"/>
  <c r="AQ169" i="613"/>
  <c r="G169" i="613" s="1"/>
  <c r="AP169" i="613"/>
  <c r="F169" i="613" s="1"/>
  <c r="AO169" i="613"/>
  <c r="E169" i="613" s="1"/>
  <c r="AI169" i="613"/>
  <c r="AH169" i="613"/>
  <c r="AG169" i="613"/>
  <c r="AT168" i="613"/>
  <c r="AR168" i="613"/>
  <c r="H168" i="613" s="1"/>
  <c r="AQ168" i="613"/>
  <c r="G168" i="613" s="1"/>
  <c r="AP168" i="613"/>
  <c r="F168" i="613" s="1"/>
  <c r="AO168" i="613"/>
  <c r="E168" i="613" s="1"/>
  <c r="AN168" i="613"/>
  <c r="AN169" i="613" s="1"/>
  <c r="AN170" i="613" s="1"/>
  <c r="AK168" i="613"/>
  <c r="AJ168" i="613"/>
  <c r="AI168" i="613"/>
  <c r="AH168" i="613"/>
  <c r="AG168" i="613"/>
  <c r="AT167" i="613"/>
  <c r="AR167" i="613"/>
  <c r="H167" i="613" s="1"/>
  <c r="AQ167" i="613"/>
  <c r="G167" i="613" s="1"/>
  <c r="AP167" i="613"/>
  <c r="F167" i="613" s="1"/>
  <c r="AO167" i="613"/>
  <c r="E167" i="613" s="1"/>
  <c r="AI167" i="613"/>
  <c r="AH167" i="613"/>
  <c r="AG167" i="613"/>
  <c r="AT166" i="613"/>
  <c r="AR166" i="613"/>
  <c r="H166" i="613" s="1"/>
  <c r="AQ166" i="613"/>
  <c r="G166" i="613" s="1"/>
  <c r="AP166" i="613"/>
  <c r="F166" i="613" s="1"/>
  <c r="AO166" i="613"/>
  <c r="E166" i="613" s="1"/>
  <c r="AI166" i="613"/>
  <c r="AH166" i="613"/>
  <c r="AG166" i="613"/>
  <c r="AK166" i="613" s="1"/>
  <c r="AT165" i="613"/>
  <c r="AR165" i="613"/>
  <c r="H165" i="613" s="1"/>
  <c r="AQ165" i="613"/>
  <c r="G165" i="613" s="1"/>
  <c r="AP165" i="613"/>
  <c r="F165" i="613" s="1"/>
  <c r="AO165" i="613"/>
  <c r="E165" i="613" s="1"/>
  <c r="AI165" i="613"/>
  <c r="AH165" i="613"/>
  <c r="AG165" i="613"/>
  <c r="AT164" i="613"/>
  <c r="AR164" i="613"/>
  <c r="H164" i="613" s="1"/>
  <c r="AQ164" i="613"/>
  <c r="G164" i="613" s="1"/>
  <c r="AP164" i="613"/>
  <c r="F164" i="613" s="1"/>
  <c r="AO164" i="613"/>
  <c r="E164" i="613" s="1"/>
  <c r="AI164" i="613"/>
  <c r="AH164" i="613"/>
  <c r="AG164" i="613"/>
  <c r="AK164" i="613" s="1"/>
  <c r="AT163" i="613"/>
  <c r="AR163" i="613"/>
  <c r="H163" i="613" s="1"/>
  <c r="AQ163" i="613"/>
  <c r="G163" i="613" s="1"/>
  <c r="AP163" i="613"/>
  <c r="F163" i="613" s="1"/>
  <c r="AO163" i="613"/>
  <c r="E163" i="613" s="1"/>
  <c r="AI163" i="613"/>
  <c r="AK163" i="613" s="1"/>
  <c r="AH163" i="613"/>
  <c r="AG163" i="613"/>
  <c r="AT162" i="613"/>
  <c r="AR162" i="613"/>
  <c r="H162" i="613" s="1"/>
  <c r="AQ162" i="613"/>
  <c r="G162" i="613" s="1"/>
  <c r="AP162" i="613"/>
  <c r="F162" i="613" s="1"/>
  <c r="AO162" i="613"/>
  <c r="E162" i="613" s="1"/>
  <c r="AI162" i="613"/>
  <c r="AH162" i="613"/>
  <c r="AG162" i="613"/>
  <c r="AJ162" i="613" s="1"/>
  <c r="AT161" i="613"/>
  <c r="AR161" i="613"/>
  <c r="H161" i="613" s="1"/>
  <c r="AQ161" i="613"/>
  <c r="G161" i="613" s="1"/>
  <c r="AP161" i="613"/>
  <c r="F161" i="613" s="1"/>
  <c r="AO161" i="613"/>
  <c r="E161" i="613" s="1"/>
  <c r="AN161" i="613"/>
  <c r="AN162" i="613" s="1"/>
  <c r="AI161" i="613"/>
  <c r="AK161" i="613" s="1"/>
  <c r="AH161" i="613"/>
  <c r="AG161" i="613"/>
  <c r="AT160" i="613"/>
  <c r="AR160" i="613"/>
  <c r="H160" i="613" s="1"/>
  <c r="AQ160" i="613"/>
  <c r="G160" i="613" s="1"/>
  <c r="AP160" i="613"/>
  <c r="F160" i="613" s="1"/>
  <c r="AO160" i="613"/>
  <c r="E160" i="613" s="1"/>
  <c r="AI160" i="613"/>
  <c r="AT159" i="613"/>
  <c r="AR159" i="613"/>
  <c r="H159" i="613" s="1"/>
  <c r="AQ159" i="613"/>
  <c r="G159" i="613" s="1"/>
  <c r="AP159" i="613"/>
  <c r="F159" i="613" s="1"/>
  <c r="AO159" i="613"/>
  <c r="E159" i="613" s="1"/>
  <c r="AI159" i="613"/>
  <c r="AT158" i="613"/>
  <c r="AR158" i="613"/>
  <c r="H158" i="613" s="1"/>
  <c r="AQ158" i="613"/>
  <c r="G158" i="613" s="1"/>
  <c r="AP158" i="613"/>
  <c r="F158" i="613" s="1"/>
  <c r="AO158" i="613"/>
  <c r="E158" i="613" s="1"/>
  <c r="AI158" i="613"/>
  <c r="AT157" i="613"/>
  <c r="AR157" i="613"/>
  <c r="H157" i="613" s="1"/>
  <c r="AQ157" i="613"/>
  <c r="G157" i="613" s="1"/>
  <c r="AP157" i="613"/>
  <c r="F157" i="613" s="1"/>
  <c r="AO157" i="613"/>
  <c r="E157" i="613" s="1"/>
  <c r="AI157" i="613"/>
  <c r="AT156" i="613"/>
  <c r="AR156" i="613"/>
  <c r="H156" i="613" s="1"/>
  <c r="AQ156" i="613"/>
  <c r="G156" i="613" s="1"/>
  <c r="AP156" i="613"/>
  <c r="F156" i="613" s="1"/>
  <c r="AO156" i="613"/>
  <c r="E156" i="613" s="1"/>
  <c r="AI156" i="613"/>
  <c r="AT155" i="613"/>
  <c r="AR155" i="613"/>
  <c r="H155" i="613" s="1"/>
  <c r="AQ155" i="613"/>
  <c r="G155" i="613" s="1"/>
  <c r="AP155" i="613"/>
  <c r="F155" i="613" s="1"/>
  <c r="AO155" i="613"/>
  <c r="E155" i="613" s="1"/>
  <c r="AI155" i="613"/>
  <c r="AT154" i="613"/>
  <c r="AR154" i="613"/>
  <c r="H154" i="613" s="1"/>
  <c r="AQ154" i="613"/>
  <c r="G154" i="613" s="1"/>
  <c r="AP154" i="613"/>
  <c r="F154" i="613" s="1"/>
  <c r="AO154" i="613"/>
  <c r="E154" i="613" s="1"/>
  <c r="AN154" i="613"/>
  <c r="AN155" i="613" s="1"/>
  <c r="AN156" i="613" s="1"/>
  <c r="AK154" i="613"/>
  <c r="AI154" i="613"/>
  <c r="AH154" i="613"/>
  <c r="AG154" i="613"/>
  <c r="AJ154" i="613" s="1"/>
  <c r="AT153" i="613"/>
  <c r="AR153" i="613"/>
  <c r="H153" i="613" s="1"/>
  <c r="AQ153" i="613"/>
  <c r="G153" i="613" s="1"/>
  <c r="AP153" i="613"/>
  <c r="F153" i="613" s="1"/>
  <c r="AO153" i="613"/>
  <c r="E153" i="613" s="1"/>
  <c r="AI153" i="613"/>
  <c r="AT152" i="613"/>
  <c r="AR152" i="613"/>
  <c r="H152" i="613" s="1"/>
  <c r="AQ152" i="613"/>
  <c r="G152" i="613" s="1"/>
  <c r="AP152" i="613"/>
  <c r="F152" i="613" s="1"/>
  <c r="AO152" i="613"/>
  <c r="E152" i="613" s="1"/>
  <c r="AI152" i="613"/>
  <c r="AT151" i="613"/>
  <c r="AR151" i="613"/>
  <c r="H151" i="613" s="1"/>
  <c r="AQ151" i="613"/>
  <c r="G151" i="613" s="1"/>
  <c r="AP151" i="613"/>
  <c r="F151" i="613" s="1"/>
  <c r="AO151" i="613"/>
  <c r="E151" i="613" s="1"/>
  <c r="AI151" i="613"/>
  <c r="AT150" i="613"/>
  <c r="AR150" i="613"/>
  <c r="H150" i="613" s="1"/>
  <c r="AQ150" i="613"/>
  <c r="G150" i="613" s="1"/>
  <c r="AP150" i="613"/>
  <c r="F150" i="613" s="1"/>
  <c r="AO150" i="613"/>
  <c r="E150" i="613" s="1"/>
  <c r="AI150" i="613"/>
  <c r="AT149" i="613"/>
  <c r="AR149" i="613"/>
  <c r="H149" i="613" s="1"/>
  <c r="AQ149" i="613"/>
  <c r="G149" i="613" s="1"/>
  <c r="AP149" i="613"/>
  <c r="F149" i="613" s="1"/>
  <c r="AO149" i="613"/>
  <c r="E149" i="613" s="1"/>
  <c r="AI149" i="613"/>
  <c r="AT148" i="613"/>
  <c r="AR148" i="613"/>
  <c r="H148" i="613" s="1"/>
  <c r="AQ148" i="613"/>
  <c r="G148" i="613" s="1"/>
  <c r="AP148" i="613"/>
  <c r="F148" i="613" s="1"/>
  <c r="AO148" i="613"/>
  <c r="E148" i="613" s="1"/>
  <c r="AI148" i="613"/>
  <c r="AT147" i="613"/>
  <c r="AR147" i="613"/>
  <c r="H147" i="613" s="1"/>
  <c r="AQ147" i="613"/>
  <c r="G147" i="613" s="1"/>
  <c r="AP147" i="613"/>
  <c r="F147" i="613" s="1"/>
  <c r="AO147" i="613"/>
  <c r="E147" i="613" s="1"/>
  <c r="AN147" i="613"/>
  <c r="AN148" i="613" s="1"/>
  <c r="AI147" i="613"/>
  <c r="AH147" i="613"/>
  <c r="AG147" i="613"/>
  <c r="AT146" i="613"/>
  <c r="AR146" i="613"/>
  <c r="H146" i="613" s="1"/>
  <c r="AQ146" i="613"/>
  <c r="G146" i="613" s="1"/>
  <c r="AP146" i="613"/>
  <c r="F146" i="613" s="1"/>
  <c r="AO146" i="613"/>
  <c r="E146" i="613" s="1"/>
  <c r="AI146" i="613"/>
  <c r="AT145" i="613"/>
  <c r="AR145" i="613"/>
  <c r="H145" i="613" s="1"/>
  <c r="AQ145" i="613"/>
  <c r="G145" i="613" s="1"/>
  <c r="AP145" i="613"/>
  <c r="F145" i="613" s="1"/>
  <c r="AO145" i="613"/>
  <c r="E145" i="613" s="1"/>
  <c r="AI145" i="613"/>
  <c r="AT144" i="613"/>
  <c r="AR144" i="613"/>
  <c r="H144" i="613" s="1"/>
  <c r="AQ144" i="613"/>
  <c r="G144" i="613" s="1"/>
  <c r="AP144" i="613"/>
  <c r="F144" i="613" s="1"/>
  <c r="AO144" i="613"/>
  <c r="E144" i="613" s="1"/>
  <c r="AI144" i="613"/>
  <c r="AT143" i="613"/>
  <c r="AR143" i="613"/>
  <c r="H143" i="613" s="1"/>
  <c r="AQ143" i="613"/>
  <c r="G143" i="613" s="1"/>
  <c r="AP143" i="613"/>
  <c r="F143" i="613" s="1"/>
  <c r="AO143" i="613"/>
  <c r="E143" i="613" s="1"/>
  <c r="AI143" i="613"/>
  <c r="AT142" i="613"/>
  <c r="AR142" i="613"/>
  <c r="H142" i="613" s="1"/>
  <c r="AQ142" i="613"/>
  <c r="G142" i="613" s="1"/>
  <c r="AP142" i="613"/>
  <c r="F142" i="613" s="1"/>
  <c r="AO142" i="613"/>
  <c r="E142" i="613" s="1"/>
  <c r="AI142" i="613"/>
  <c r="AT141" i="613"/>
  <c r="AR141" i="613"/>
  <c r="H141" i="613" s="1"/>
  <c r="AQ141" i="613"/>
  <c r="G141" i="613" s="1"/>
  <c r="AP141" i="613"/>
  <c r="F141" i="613" s="1"/>
  <c r="AO141" i="613"/>
  <c r="E141" i="613" s="1"/>
  <c r="AI141" i="613"/>
  <c r="AT140" i="613"/>
  <c r="AR140" i="613"/>
  <c r="H140" i="613" s="1"/>
  <c r="AQ140" i="613"/>
  <c r="G140" i="613" s="1"/>
  <c r="AP140" i="613"/>
  <c r="F140" i="613" s="1"/>
  <c r="AO140" i="613"/>
  <c r="E140" i="613" s="1"/>
  <c r="AN140" i="613"/>
  <c r="AN141" i="613" s="1"/>
  <c r="AI140" i="613"/>
  <c r="AH140" i="613"/>
  <c r="AG140" i="613"/>
  <c r="AK140" i="613" s="1"/>
  <c r="AT139" i="613"/>
  <c r="AR139" i="613"/>
  <c r="H139" i="613" s="1"/>
  <c r="AQ139" i="613"/>
  <c r="G139" i="613" s="1"/>
  <c r="AP139" i="613"/>
  <c r="F139" i="613" s="1"/>
  <c r="AO139" i="613"/>
  <c r="E139" i="613" s="1"/>
  <c r="AI139" i="613"/>
  <c r="AT138" i="613"/>
  <c r="AR138" i="613"/>
  <c r="H138" i="613" s="1"/>
  <c r="AQ138" i="613"/>
  <c r="G138" i="613" s="1"/>
  <c r="AP138" i="613"/>
  <c r="F138" i="613" s="1"/>
  <c r="AO138" i="613"/>
  <c r="E138" i="613" s="1"/>
  <c r="AI138" i="613"/>
  <c r="AT137" i="613"/>
  <c r="AR137" i="613"/>
  <c r="H137" i="613" s="1"/>
  <c r="AQ137" i="613"/>
  <c r="G137" i="613" s="1"/>
  <c r="AP137" i="613"/>
  <c r="F137" i="613" s="1"/>
  <c r="AO137" i="613"/>
  <c r="E137" i="613" s="1"/>
  <c r="AI137" i="613"/>
  <c r="AT136" i="613"/>
  <c r="AR136" i="613"/>
  <c r="H136" i="613" s="1"/>
  <c r="AQ136" i="613"/>
  <c r="G136" i="613" s="1"/>
  <c r="AP136" i="613"/>
  <c r="F136" i="613" s="1"/>
  <c r="AO136" i="613"/>
  <c r="E136" i="613" s="1"/>
  <c r="AI136" i="613"/>
  <c r="AT135" i="613"/>
  <c r="AR135" i="613"/>
  <c r="H135" i="613" s="1"/>
  <c r="AQ135" i="613"/>
  <c r="G135" i="613" s="1"/>
  <c r="AP135" i="613"/>
  <c r="F135" i="613" s="1"/>
  <c r="AO135" i="613"/>
  <c r="E135" i="613" s="1"/>
  <c r="AI135" i="613"/>
  <c r="AT134" i="613"/>
  <c r="AR134" i="613"/>
  <c r="H134" i="613" s="1"/>
  <c r="AQ134" i="613"/>
  <c r="G134" i="613" s="1"/>
  <c r="AP134" i="613"/>
  <c r="F134" i="613" s="1"/>
  <c r="AO134" i="613"/>
  <c r="E134" i="613" s="1"/>
  <c r="AI134" i="613"/>
  <c r="AT133" i="613"/>
  <c r="AR133" i="613"/>
  <c r="H133" i="613" s="1"/>
  <c r="AQ133" i="613"/>
  <c r="G133" i="613" s="1"/>
  <c r="AP133" i="613"/>
  <c r="F133" i="613" s="1"/>
  <c r="AO133" i="613"/>
  <c r="E133" i="613" s="1"/>
  <c r="AN133" i="613"/>
  <c r="AI133" i="613"/>
  <c r="AH133" i="613"/>
  <c r="AG133" i="613"/>
  <c r="AT132" i="613"/>
  <c r="AR132" i="613"/>
  <c r="H132" i="613" s="1"/>
  <c r="AQ132" i="613"/>
  <c r="G132" i="613" s="1"/>
  <c r="AP132" i="613"/>
  <c r="F132" i="613" s="1"/>
  <c r="AO132" i="613"/>
  <c r="E132" i="613" s="1"/>
  <c r="AI132" i="613"/>
  <c r="AT131" i="613"/>
  <c r="AR131" i="613"/>
  <c r="H131" i="613" s="1"/>
  <c r="AQ131" i="613"/>
  <c r="G131" i="613" s="1"/>
  <c r="AP131" i="613"/>
  <c r="F131" i="613" s="1"/>
  <c r="AO131" i="613"/>
  <c r="E131" i="613" s="1"/>
  <c r="AI131" i="613"/>
  <c r="AT130" i="613"/>
  <c r="AR130" i="613"/>
  <c r="H130" i="613" s="1"/>
  <c r="AQ130" i="613"/>
  <c r="G130" i="613" s="1"/>
  <c r="AP130" i="613"/>
  <c r="F130" i="613" s="1"/>
  <c r="AO130" i="613"/>
  <c r="E130" i="613" s="1"/>
  <c r="AI130" i="613"/>
  <c r="AT129" i="613"/>
  <c r="AR129" i="613"/>
  <c r="H129" i="613" s="1"/>
  <c r="AQ129" i="613"/>
  <c r="G129" i="613" s="1"/>
  <c r="AP129" i="613"/>
  <c r="F129" i="613" s="1"/>
  <c r="AO129" i="613"/>
  <c r="E129" i="613" s="1"/>
  <c r="AI129" i="613"/>
  <c r="AT128" i="613"/>
  <c r="AR128" i="613"/>
  <c r="H128" i="613" s="1"/>
  <c r="AQ128" i="613"/>
  <c r="G128" i="613" s="1"/>
  <c r="AP128" i="613"/>
  <c r="F128" i="613" s="1"/>
  <c r="AO128" i="613"/>
  <c r="E128" i="613" s="1"/>
  <c r="AI128" i="613"/>
  <c r="AT127" i="613"/>
  <c r="AR127" i="613"/>
  <c r="H127" i="613" s="1"/>
  <c r="AQ127" i="613"/>
  <c r="G127" i="613" s="1"/>
  <c r="AP127" i="613"/>
  <c r="F127" i="613" s="1"/>
  <c r="AO127" i="613"/>
  <c r="E127" i="613" s="1"/>
  <c r="AI127" i="613"/>
  <c r="AT126" i="613"/>
  <c r="AR126" i="613"/>
  <c r="H126" i="613" s="1"/>
  <c r="AQ126" i="613"/>
  <c r="G126" i="613" s="1"/>
  <c r="AP126" i="613"/>
  <c r="F126" i="613" s="1"/>
  <c r="AO126" i="613"/>
  <c r="E126" i="613" s="1"/>
  <c r="AN126" i="613"/>
  <c r="D126" i="613" s="1"/>
  <c r="AI126" i="613"/>
  <c r="AH126" i="613"/>
  <c r="AG126" i="613"/>
  <c r="AK126" i="613" s="1"/>
  <c r="AT125" i="613"/>
  <c r="AR125" i="613"/>
  <c r="H125" i="613" s="1"/>
  <c r="AQ125" i="613"/>
  <c r="G125" i="613" s="1"/>
  <c r="AP125" i="613"/>
  <c r="F125" i="613" s="1"/>
  <c r="AO125" i="613"/>
  <c r="E125" i="613" s="1"/>
  <c r="AI125" i="613"/>
  <c r="AT124" i="613"/>
  <c r="AR124" i="613"/>
  <c r="H124" i="613" s="1"/>
  <c r="AQ124" i="613"/>
  <c r="G124" i="613" s="1"/>
  <c r="AP124" i="613"/>
  <c r="F124" i="613" s="1"/>
  <c r="AO124" i="613"/>
  <c r="E124" i="613" s="1"/>
  <c r="AI124" i="613"/>
  <c r="AT123" i="613"/>
  <c r="AR123" i="613"/>
  <c r="H123" i="613" s="1"/>
  <c r="AQ123" i="613"/>
  <c r="G123" i="613" s="1"/>
  <c r="AP123" i="613"/>
  <c r="F123" i="613" s="1"/>
  <c r="AO123" i="613"/>
  <c r="E123" i="613" s="1"/>
  <c r="AI123" i="613"/>
  <c r="AT122" i="613"/>
  <c r="AR122" i="613"/>
  <c r="H122" i="613" s="1"/>
  <c r="AQ122" i="613"/>
  <c r="G122" i="613" s="1"/>
  <c r="AP122" i="613"/>
  <c r="F122" i="613" s="1"/>
  <c r="AO122" i="613"/>
  <c r="E122" i="613" s="1"/>
  <c r="AI122" i="613"/>
  <c r="AT121" i="613"/>
  <c r="AR121" i="613"/>
  <c r="H121" i="613" s="1"/>
  <c r="AQ121" i="613"/>
  <c r="G121" i="613" s="1"/>
  <c r="AP121" i="613"/>
  <c r="F121" i="613" s="1"/>
  <c r="AO121" i="613"/>
  <c r="E121" i="613" s="1"/>
  <c r="AI121" i="613"/>
  <c r="AT120" i="613"/>
  <c r="AR120" i="613"/>
  <c r="H120" i="613" s="1"/>
  <c r="AQ120" i="613"/>
  <c r="G120" i="613" s="1"/>
  <c r="AP120" i="613"/>
  <c r="F120" i="613" s="1"/>
  <c r="AO120" i="613"/>
  <c r="E120" i="613" s="1"/>
  <c r="AI120" i="613"/>
  <c r="AT119" i="613"/>
  <c r="AR119" i="613"/>
  <c r="H119" i="613" s="1"/>
  <c r="AQ119" i="613"/>
  <c r="G119" i="613" s="1"/>
  <c r="AP119" i="613"/>
  <c r="F119" i="613" s="1"/>
  <c r="AO119" i="613"/>
  <c r="E119" i="613" s="1"/>
  <c r="AN119" i="613"/>
  <c r="AI119" i="613"/>
  <c r="AH119" i="613"/>
  <c r="AG119" i="613"/>
  <c r="AT118" i="613"/>
  <c r="AR118" i="613"/>
  <c r="H118" i="613" s="1"/>
  <c r="AQ118" i="613"/>
  <c r="G118" i="613" s="1"/>
  <c r="AP118" i="613"/>
  <c r="F118" i="613" s="1"/>
  <c r="AO118" i="613"/>
  <c r="E118" i="613" s="1"/>
  <c r="AI118" i="613"/>
  <c r="AT117" i="613"/>
  <c r="AR117" i="613"/>
  <c r="H117" i="613" s="1"/>
  <c r="AQ117" i="613"/>
  <c r="G117" i="613" s="1"/>
  <c r="AP117" i="613"/>
  <c r="F117" i="613" s="1"/>
  <c r="AO117" i="613"/>
  <c r="E117" i="613" s="1"/>
  <c r="AI117" i="613"/>
  <c r="AT116" i="613"/>
  <c r="AR116" i="613"/>
  <c r="H116" i="613" s="1"/>
  <c r="AQ116" i="613"/>
  <c r="G116" i="613" s="1"/>
  <c r="AP116" i="613"/>
  <c r="F116" i="613" s="1"/>
  <c r="AO116" i="613"/>
  <c r="E116" i="613" s="1"/>
  <c r="AI116" i="613"/>
  <c r="AT115" i="613"/>
  <c r="AR115" i="613"/>
  <c r="H115" i="613" s="1"/>
  <c r="AQ115" i="613"/>
  <c r="G115" i="613" s="1"/>
  <c r="AP115" i="613"/>
  <c r="F115" i="613" s="1"/>
  <c r="AO115" i="613"/>
  <c r="E115" i="613" s="1"/>
  <c r="AI115" i="613"/>
  <c r="AT114" i="613"/>
  <c r="AR114" i="613"/>
  <c r="H114" i="613" s="1"/>
  <c r="AQ114" i="613"/>
  <c r="G114" i="613" s="1"/>
  <c r="AP114" i="613"/>
  <c r="F114" i="613" s="1"/>
  <c r="AO114" i="613"/>
  <c r="E114" i="613" s="1"/>
  <c r="AI114" i="613"/>
  <c r="AT113" i="613"/>
  <c r="AR113" i="613"/>
  <c r="H113" i="613" s="1"/>
  <c r="AQ113" i="613"/>
  <c r="G113" i="613" s="1"/>
  <c r="AP113" i="613"/>
  <c r="F113" i="613" s="1"/>
  <c r="AO113" i="613"/>
  <c r="E113" i="613" s="1"/>
  <c r="AI113" i="613"/>
  <c r="AT112" i="613"/>
  <c r="AR112" i="613"/>
  <c r="H112" i="613" s="1"/>
  <c r="AQ112" i="613"/>
  <c r="G112" i="613" s="1"/>
  <c r="AP112" i="613"/>
  <c r="F112" i="613" s="1"/>
  <c r="AO112" i="613"/>
  <c r="E112" i="613" s="1"/>
  <c r="AN112" i="613"/>
  <c r="AN113" i="613" s="1"/>
  <c r="AI112" i="613"/>
  <c r="AH112" i="613"/>
  <c r="AG112" i="613"/>
  <c r="AK112" i="613" s="1"/>
  <c r="AT111" i="613"/>
  <c r="AR111" i="613"/>
  <c r="H111" i="613" s="1"/>
  <c r="AQ111" i="613"/>
  <c r="G111" i="613" s="1"/>
  <c r="AP111" i="613"/>
  <c r="F111" i="613" s="1"/>
  <c r="AO111" i="613"/>
  <c r="E111" i="613" s="1"/>
  <c r="AI111" i="613"/>
  <c r="AT110" i="613"/>
  <c r="AR110" i="613"/>
  <c r="H110" i="613" s="1"/>
  <c r="AQ110" i="613"/>
  <c r="G110" i="613" s="1"/>
  <c r="AP110" i="613"/>
  <c r="F110" i="613" s="1"/>
  <c r="AO110" i="613"/>
  <c r="E110" i="613" s="1"/>
  <c r="AI110" i="613"/>
  <c r="AT109" i="613"/>
  <c r="AR109" i="613"/>
  <c r="H109" i="613" s="1"/>
  <c r="AQ109" i="613"/>
  <c r="G109" i="613" s="1"/>
  <c r="AP109" i="613"/>
  <c r="F109" i="613" s="1"/>
  <c r="AO109" i="613"/>
  <c r="E109" i="613" s="1"/>
  <c r="AI109" i="613"/>
  <c r="AT108" i="613"/>
  <c r="AR108" i="613"/>
  <c r="H108" i="613" s="1"/>
  <c r="AQ108" i="613"/>
  <c r="G108" i="613" s="1"/>
  <c r="AP108" i="613"/>
  <c r="F108" i="613" s="1"/>
  <c r="AO108" i="613"/>
  <c r="E108" i="613" s="1"/>
  <c r="AI108" i="613"/>
  <c r="AT107" i="613"/>
  <c r="AR107" i="613"/>
  <c r="H107" i="613" s="1"/>
  <c r="AQ107" i="613"/>
  <c r="G107" i="613" s="1"/>
  <c r="AP107" i="613"/>
  <c r="F107" i="613" s="1"/>
  <c r="AO107" i="613"/>
  <c r="E107" i="613" s="1"/>
  <c r="AI107" i="613"/>
  <c r="AT106" i="613"/>
  <c r="AR106" i="613"/>
  <c r="H106" i="613" s="1"/>
  <c r="AQ106" i="613"/>
  <c r="G106" i="613" s="1"/>
  <c r="AP106" i="613"/>
  <c r="F106" i="613" s="1"/>
  <c r="AO106" i="613"/>
  <c r="E106" i="613" s="1"/>
  <c r="AI106" i="613"/>
  <c r="AT105" i="613"/>
  <c r="AR105" i="613"/>
  <c r="H105" i="613" s="1"/>
  <c r="AQ105" i="613"/>
  <c r="G105" i="613" s="1"/>
  <c r="AP105" i="613"/>
  <c r="F105" i="613" s="1"/>
  <c r="AO105" i="613"/>
  <c r="E105" i="613" s="1"/>
  <c r="AN105" i="613"/>
  <c r="D105" i="613" s="1"/>
  <c r="AI105" i="613"/>
  <c r="AH105" i="613"/>
  <c r="AG105" i="613"/>
  <c r="AK105" i="613" s="1"/>
  <c r="AT104" i="613"/>
  <c r="AR104" i="613"/>
  <c r="H104" i="613" s="1"/>
  <c r="AQ104" i="613"/>
  <c r="G104" i="613" s="1"/>
  <c r="AP104" i="613"/>
  <c r="F104" i="613" s="1"/>
  <c r="AO104" i="613"/>
  <c r="E104" i="613" s="1"/>
  <c r="AI104" i="613"/>
  <c r="AT103" i="613"/>
  <c r="AR103" i="613"/>
  <c r="H103" i="613" s="1"/>
  <c r="AQ103" i="613"/>
  <c r="G103" i="613" s="1"/>
  <c r="AP103" i="613"/>
  <c r="F103" i="613" s="1"/>
  <c r="AO103" i="613"/>
  <c r="E103" i="613" s="1"/>
  <c r="AI103" i="613"/>
  <c r="AT102" i="613"/>
  <c r="AR102" i="613"/>
  <c r="H102" i="613" s="1"/>
  <c r="AQ102" i="613"/>
  <c r="G102" i="613" s="1"/>
  <c r="AP102" i="613"/>
  <c r="F102" i="613" s="1"/>
  <c r="AO102" i="613"/>
  <c r="E102" i="613" s="1"/>
  <c r="AI102" i="613"/>
  <c r="AT101" i="613"/>
  <c r="AR101" i="613"/>
  <c r="H101" i="613" s="1"/>
  <c r="AQ101" i="613"/>
  <c r="G101" i="613" s="1"/>
  <c r="AP101" i="613"/>
  <c r="F101" i="613" s="1"/>
  <c r="AO101" i="613"/>
  <c r="E101" i="613" s="1"/>
  <c r="AI101" i="613"/>
  <c r="AT100" i="613"/>
  <c r="AR100" i="613"/>
  <c r="H100" i="613" s="1"/>
  <c r="AQ100" i="613"/>
  <c r="G100" i="613" s="1"/>
  <c r="AP100" i="613"/>
  <c r="F100" i="613" s="1"/>
  <c r="AO100" i="613"/>
  <c r="E100" i="613" s="1"/>
  <c r="AI100" i="613"/>
  <c r="AT99" i="613"/>
  <c r="AR99" i="613"/>
  <c r="H99" i="613" s="1"/>
  <c r="AQ99" i="613"/>
  <c r="G99" i="613" s="1"/>
  <c r="AP99" i="613"/>
  <c r="F99" i="613" s="1"/>
  <c r="AO99" i="613"/>
  <c r="E99" i="613" s="1"/>
  <c r="AI99" i="613"/>
  <c r="AT98" i="613"/>
  <c r="AR98" i="613"/>
  <c r="H98" i="613" s="1"/>
  <c r="AQ98" i="613"/>
  <c r="G98" i="613" s="1"/>
  <c r="AP98" i="613"/>
  <c r="F98" i="613" s="1"/>
  <c r="AO98" i="613"/>
  <c r="E98" i="613" s="1"/>
  <c r="AN98" i="613"/>
  <c r="AN99" i="613" s="1"/>
  <c r="AI98" i="613"/>
  <c r="AH98" i="613"/>
  <c r="AG98" i="613"/>
  <c r="AT97" i="613"/>
  <c r="AR97" i="613"/>
  <c r="H97" i="613" s="1"/>
  <c r="AQ97" i="613"/>
  <c r="G97" i="613" s="1"/>
  <c r="AP97" i="613"/>
  <c r="F97" i="613" s="1"/>
  <c r="AO97" i="613"/>
  <c r="E97" i="613" s="1"/>
  <c r="AI97" i="613"/>
  <c r="AT96" i="613"/>
  <c r="AR96" i="613"/>
  <c r="H96" i="613" s="1"/>
  <c r="AQ96" i="613"/>
  <c r="G96" i="613" s="1"/>
  <c r="AP96" i="613"/>
  <c r="F96" i="613" s="1"/>
  <c r="AO96" i="613"/>
  <c r="E96" i="613" s="1"/>
  <c r="AI96" i="613"/>
  <c r="AT95" i="613"/>
  <c r="AR95" i="613"/>
  <c r="H95" i="613" s="1"/>
  <c r="AQ95" i="613"/>
  <c r="G95" i="613" s="1"/>
  <c r="AP95" i="613"/>
  <c r="F95" i="613" s="1"/>
  <c r="AO95" i="613"/>
  <c r="E95" i="613" s="1"/>
  <c r="AI95" i="613"/>
  <c r="AT94" i="613"/>
  <c r="AR94" i="613"/>
  <c r="H94" i="613" s="1"/>
  <c r="AQ94" i="613"/>
  <c r="G94" i="613" s="1"/>
  <c r="AP94" i="613"/>
  <c r="F94" i="613" s="1"/>
  <c r="AO94" i="613"/>
  <c r="E94" i="613" s="1"/>
  <c r="AI94" i="613"/>
  <c r="AT93" i="613"/>
  <c r="AR93" i="613"/>
  <c r="H93" i="613" s="1"/>
  <c r="AQ93" i="613"/>
  <c r="G93" i="613" s="1"/>
  <c r="AP93" i="613"/>
  <c r="F93" i="613" s="1"/>
  <c r="AO93" i="613"/>
  <c r="E93" i="613" s="1"/>
  <c r="AI93" i="613"/>
  <c r="AT92" i="613"/>
  <c r="AR92" i="613"/>
  <c r="H92" i="613" s="1"/>
  <c r="AQ92" i="613"/>
  <c r="G92" i="613" s="1"/>
  <c r="AP92" i="613"/>
  <c r="F92" i="613" s="1"/>
  <c r="AO92" i="613"/>
  <c r="E92" i="613" s="1"/>
  <c r="AI92" i="613"/>
  <c r="AT91" i="613"/>
  <c r="AR91" i="613"/>
  <c r="H91" i="613" s="1"/>
  <c r="AQ91" i="613"/>
  <c r="G91" i="613" s="1"/>
  <c r="AP91" i="613"/>
  <c r="F91" i="613" s="1"/>
  <c r="AO91" i="613"/>
  <c r="E91" i="613" s="1"/>
  <c r="AN91" i="613"/>
  <c r="D91" i="613" s="1"/>
  <c r="AI91" i="613"/>
  <c r="AK91" i="613" s="1"/>
  <c r="AH91" i="613"/>
  <c r="AG91" i="613"/>
  <c r="AT90" i="613"/>
  <c r="AR90" i="613"/>
  <c r="H90" i="613" s="1"/>
  <c r="AQ90" i="613"/>
  <c r="G90" i="613" s="1"/>
  <c r="AP90" i="613"/>
  <c r="F90" i="613" s="1"/>
  <c r="AO90" i="613"/>
  <c r="E90" i="613" s="1"/>
  <c r="AI90" i="613"/>
  <c r="AT89" i="613"/>
  <c r="AR89" i="613"/>
  <c r="H89" i="613" s="1"/>
  <c r="AQ89" i="613"/>
  <c r="G89" i="613" s="1"/>
  <c r="AP89" i="613"/>
  <c r="F89" i="613" s="1"/>
  <c r="AO89" i="613"/>
  <c r="E89" i="613" s="1"/>
  <c r="AI89" i="613"/>
  <c r="AT88" i="613"/>
  <c r="AR88" i="613"/>
  <c r="H88" i="613" s="1"/>
  <c r="AQ88" i="613"/>
  <c r="G88" i="613" s="1"/>
  <c r="AP88" i="613"/>
  <c r="F88" i="613" s="1"/>
  <c r="AO88" i="613"/>
  <c r="E88" i="613" s="1"/>
  <c r="AI88" i="613"/>
  <c r="AT87" i="613"/>
  <c r="AR87" i="613"/>
  <c r="H87" i="613" s="1"/>
  <c r="AQ87" i="613"/>
  <c r="G87" i="613" s="1"/>
  <c r="AP87" i="613"/>
  <c r="F87" i="613" s="1"/>
  <c r="AO87" i="613"/>
  <c r="E87" i="613" s="1"/>
  <c r="AI87" i="613"/>
  <c r="AT86" i="613"/>
  <c r="AR86" i="613"/>
  <c r="H86" i="613" s="1"/>
  <c r="AQ86" i="613"/>
  <c r="G86" i="613" s="1"/>
  <c r="AP86" i="613"/>
  <c r="F86" i="613" s="1"/>
  <c r="AO86" i="613"/>
  <c r="E86" i="613" s="1"/>
  <c r="AI86" i="613"/>
  <c r="AT85" i="613"/>
  <c r="AR85" i="613"/>
  <c r="H85" i="613" s="1"/>
  <c r="AQ85" i="613"/>
  <c r="G85" i="613" s="1"/>
  <c r="AP85" i="613"/>
  <c r="F85" i="613" s="1"/>
  <c r="AO85" i="613"/>
  <c r="E85" i="613" s="1"/>
  <c r="AI85" i="613"/>
  <c r="AT84" i="613"/>
  <c r="AR84" i="613"/>
  <c r="H84" i="613" s="1"/>
  <c r="AQ84" i="613"/>
  <c r="G84" i="613" s="1"/>
  <c r="AP84" i="613"/>
  <c r="F84" i="613" s="1"/>
  <c r="AO84" i="613"/>
  <c r="E84" i="613" s="1"/>
  <c r="AN84" i="613"/>
  <c r="AN85" i="613" s="1"/>
  <c r="AK84" i="613"/>
  <c r="AI84" i="613"/>
  <c r="AJ84" i="613" s="1"/>
  <c r="AH84" i="613"/>
  <c r="AG84" i="613"/>
  <c r="AT83" i="613"/>
  <c r="AR83" i="613"/>
  <c r="H83" i="613" s="1"/>
  <c r="AQ83" i="613"/>
  <c r="G83" i="613" s="1"/>
  <c r="AP83" i="613"/>
  <c r="F83" i="613" s="1"/>
  <c r="AO83" i="613"/>
  <c r="E83" i="613" s="1"/>
  <c r="AI83" i="613"/>
  <c r="AT82" i="613"/>
  <c r="AR82" i="613"/>
  <c r="H82" i="613" s="1"/>
  <c r="AQ82" i="613"/>
  <c r="G82" i="613" s="1"/>
  <c r="AP82" i="613"/>
  <c r="F82" i="613" s="1"/>
  <c r="AO82" i="613"/>
  <c r="E82" i="613" s="1"/>
  <c r="AI82" i="613"/>
  <c r="AT81" i="613"/>
  <c r="AR81" i="613"/>
  <c r="H81" i="613" s="1"/>
  <c r="AQ81" i="613"/>
  <c r="G81" i="613" s="1"/>
  <c r="AP81" i="613"/>
  <c r="F81" i="613" s="1"/>
  <c r="AO81" i="613"/>
  <c r="E81" i="613" s="1"/>
  <c r="AI81" i="613"/>
  <c r="AT80" i="613"/>
  <c r="AR80" i="613"/>
  <c r="H80" i="613" s="1"/>
  <c r="AQ80" i="613"/>
  <c r="G80" i="613" s="1"/>
  <c r="AP80" i="613"/>
  <c r="F80" i="613" s="1"/>
  <c r="AO80" i="613"/>
  <c r="E80" i="613" s="1"/>
  <c r="AI80" i="613"/>
  <c r="AT79" i="613"/>
  <c r="AR79" i="613"/>
  <c r="H79" i="613" s="1"/>
  <c r="AQ79" i="613"/>
  <c r="G79" i="613" s="1"/>
  <c r="AP79" i="613"/>
  <c r="F79" i="613" s="1"/>
  <c r="AO79" i="613"/>
  <c r="E79" i="613" s="1"/>
  <c r="AI79" i="613"/>
  <c r="AT78" i="613"/>
  <c r="AR78" i="613"/>
  <c r="H78" i="613" s="1"/>
  <c r="AQ78" i="613"/>
  <c r="G78" i="613" s="1"/>
  <c r="AP78" i="613"/>
  <c r="F78" i="613" s="1"/>
  <c r="AO78" i="613"/>
  <c r="E78" i="613" s="1"/>
  <c r="AI78" i="613"/>
  <c r="AT77" i="613"/>
  <c r="AR77" i="613"/>
  <c r="H77" i="613" s="1"/>
  <c r="AQ77" i="613"/>
  <c r="G77" i="613" s="1"/>
  <c r="AP77" i="613"/>
  <c r="F77" i="613" s="1"/>
  <c r="AO77" i="613"/>
  <c r="E77" i="613" s="1"/>
  <c r="AN77" i="613"/>
  <c r="AN78" i="613" s="1"/>
  <c r="AI77" i="613"/>
  <c r="AK77" i="613" s="1"/>
  <c r="AH77" i="613"/>
  <c r="AG77" i="613"/>
  <c r="AT76" i="613"/>
  <c r="AR76" i="613"/>
  <c r="H76" i="613" s="1"/>
  <c r="AQ76" i="613"/>
  <c r="G76" i="613" s="1"/>
  <c r="AP76" i="613"/>
  <c r="F76" i="613" s="1"/>
  <c r="AO76" i="613"/>
  <c r="E76" i="613" s="1"/>
  <c r="AI76" i="613"/>
  <c r="AT75" i="613"/>
  <c r="AR75" i="613"/>
  <c r="H75" i="613" s="1"/>
  <c r="AQ75" i="613"/>
  <c r="G75" i="613" s="1"/>
  <c r="AP75" i="613"/>
  <c r="F75" i="613" s="1"/>
  <c r="AO75" i="613"/>
  <c r="E75" i="613" s="1"/>
  <c r="AI75" i="613"/>
  <c r="AT74" i="613"/>
  <c r="AR74" i="613"/>
  <c r="H74" i="613" s="1"/>
  <c r="AQ74" i="613"/>
  <c r="G74" i="613" s="1"/>
  <c r="AP74" i="613"/>
  <c r="F74" i="613" s="1"/>
  <c r="AO74" i="613"/>
  <c r="E74" i="613" s="1"/>
  <c r="AI74" i="613"/>
  <c r="AT73" i="613"/>
  <c r="AR73" i="613"/>
  <c r="H73" i="613" s="1"/>
  <c r="AQ73" i="613"/>
  <c r="G73" i="613" s="1"/>
  <c r="AP73" i="613"/>
  <c r="F73" i="613" s="1"/>
  <c r="AO73" i="613"/>
  <c r="E73" i="613" s="1"/>
  <c r="AI73" i="613"/>
  <c r="AT72" i="613"/>
  <c r="AR72" i="613"/>
  <c r="H72" i="613" s="1"/>
  <c r="AQ72" i="613"/>
  <c r="G72" i="613" s="1"/>
  <c r="AP72" i="613"/>
  <c r="F72" i="613" s="1"/>
  <c r="AO72" i="613"/>
  <c r="E72" i="613" s="1"/>
  <c r="AI72" i="613"/>
  <c r="AT71" i="613"/>
  <c r="AR71" i="613"/>
  <c r="H71" i="613" s="1"/>
  <c r="AQ71" i="613"/>
  <c r="G71" i="613" s="1"/>
  <c r="AP71" i="613"/>
  <c r="F71" i="613" s="1"/>
  <c r="AO71" i="613"/>
  <c r="E71" i="613" s="1"/>
  <c r="AI71" i="613"/>
  <c r="AT70" i="613"/>
  <c r="AR70" i="613"/>
  <c r="H70" i="613" s="1"/>
  <c r="AQ70" i="613"/>
  <c r="G70" i="613" s="1"/>
  <c r="AP70" i="613"/>
  <c r="F70" i="613" s="1"/>
  <c r="AO70" i="613"/>
  <c r="E70" i="613" s="1"/>
  <c r="AN70" i="613"/>
  <c r="AN71" i="613" s="1"/>
  <c r="AI70" i="613"/>
  <c r="AH70" i="613"/>
  <c r="AG70" i="613"/>
  <c r="AT69" i="613"/>
  <c r="AR69" i="613"/>
  <c r="H69" i="613" s="1"/>
  <c r="AQ69" i="613"/>
  <c r="G69" i="613" s="1"/>
  <c r="AP69" i="613"/>
  <c r="F69" i="613" s="1"/>
  <c r="AO69" i="613"/>
  <c r="E69" i="613" s="1"/>
  <c r="AI69" i="613"/>
  <c r="AT68" i="613"/>
  <c r="AR68" i="613"/>
  <c r="H68" i="613" s="1"/>
  <c r="AQ68" i="613"/>
  <c r="G68" i="613" s="1"/>
  <c r="AP68" i="613"/>
  <c r="F68" i="613" s="1"/>
  <c r="AO68" i="613"/>
  <c r="E68" i="613" s="1"/>
  <c r="AI68" i="613"/>
  <c r="AT67" i="613"/>
  <c r="AR67" i="613"/>
  <c r="H67" i="613" s="1"/>
  <c r="AQ67" i="613"/>
  <c r="G67" i="613" s="1"/>
  <c r="AP67" i="613"/>
  <c r="F67" i="613" s="1"/>
  <c r="AO67" i="613"/>
  <c r="E67" i="613" s="1"/>
  <c r="AI67" i="613"/>
  <c r="AT66" i="613"/>
  <c r="AR66" i="613"/>
  <c r="H66" i="613" s="1"/>
  <c r="AQ66" i="613"/>
  <c r="G66" i="613" s="1"/>
  <c r="AP66" i="613"/>
  <c r="F66" i="613" s="1"/>
  <c r="AO66" i="613"/>
  <c r="E66" i="613" s="1"/>
  <c r="AI66" i="613"/>
  <c r="AT65" i="613"/>
  <c r="AR65" i="613"/>
  <c r="H65" i="613" s="1"/>
  <c r="AQ65" i="613"/>
  <c r="G65" i="613" s="1"/>
  <c r="AP65" i="613"/>
  <c r="F65" i="613" s="1"/>
  <c r="AO65" i="613"/>
  <c r="E65" i="613" s="1"/>
  <c r="AI65" i="613"/>
  <c r="AT64" i="613"/>
  <c r="AR64" i="613"/>
  <c r="H64" i="613" s="1"/>
  <c r="AQ64" i="613"/>
  <c r="G64" i="613" s="1"/>
  <c r="AP64" i="613"/>
  <c r="F64" i="613" s="1"/>
  <c r="AO64" i="613"/>
  <c r="E64" i="613" s="1"/>
  <c r="AI64" i="613"/>
  <c r="AT63" i="613"/>
  <c r="AR63" i="613"/>
  <c r="H63" i="613" s="1"/>
  <c r="AQ63" i="613"/>
  <c r="G63" i="613" s="1"/>
  <c r="AP63" i="613"/>
  <c r="F63" i="613" s="1"/>
  <c r="AO63" i="613"/>
  <c r="E63" i="613" s="1"/>
  <c r="AN63" i="613"/>
  <c r="D63" i="613" s="1"/>
  <c r="AI63" i="613"/>
  <c r="AH63" i="613"/>
  <c r="AG63" i="613"/>
  <c r="AT62" i="613"/>
  <c r="AR62" i="613"/>
  <c r="H62" i="613" s="1"/>
  <c r="AQ62" i="613"/>
  <c r="G62" i="613" s="1"/>
  <c r="AP62" i="613"/>
  <c r="F62" i="613" s="1"/>
  <c r="AO62" i="613"/>
  <c r="E62" i="613" s="1"/>
  <c r="AI62" i="613"/>
  <c r="AT61" i="613"/>
  <c r="AR61" i="613"/>
  <c r="H61" i="613" s="1"/>
  <c r="AQ61" i="613"/>
  <c r="G61" i="613" s="1"/>
  <c r="AP61" i="613"/>
  <c r="F61" i="613" s="1"/>
  <c r="AO61" i="613"/>
  <c r="E61" i="613" s="1"/>
  <c r="AI61" i="613"/>
  <c r="AT60" i="613"/>
  <c r="AR60" i="613"/>
  <c r="H60" i="613" s="1"/>
  <c r="AQ60" i="613"/>
  <c r="G60" i="613" s="1"/>
  <c r="AP60" i="613"/>
  <c r="F60" i="613" s="1"/>
  <c r="AO60" i="613"/>
  <c r="E60" i="613" s="1"/>
  <c r="AI60" i="613"/>
  <c r="AT59" i="613"/>
  <c r="AR59" i="613"/>
  <c r="H59" i="613" s="1"/>
  <c r="AQ59" i="613"/>
  <c r="G59" i="613" s="1"/>
  <c r="AP59" i="613"/>
  <c r="F59" i="613" s="1"/>
  <c r="AO59" i="613"/>
  <c r="E59" i="613" s="1"/>
  <c r="AI59" i="613"/>
  <c r="AT58" i="613"/>
  <c r="AR58" i="613"/>
  <c r="H58" i="613" s="1"/>
  <c r="AQ58" i="613"/>
  <c r="G58" i="613" s="1"/>
  <c r="AP58" i="613"/>
  <c r="F58" i="613" s="1"/>
  <c r="AO58" i="613"/>
  <c r="E58" i="613" s="1"/>
  <c r="AI58" i="613"/>
  <c r="AT57" i="613"/>
  <c r="AR57" i="613"/>
  <c r="H57" i="613" s="1"/>
  <c r="AQ57" i="613"/>
  <c r="G57" i="613" s="1"/>
  <c r="AP57" i="613"/>
  <c r="F57" i="613" s="1"/>
  <c r="AO57" i="613"/>
  <c r="E57" i="613" s="1"/>
  <c r="AI57" i="613"/>
  <c r="AT56" i="613"/>
  <c r="AR56" i="613"/>
  <c r="H56" i="613" s="1"/>
  <c r="AQ56" i="613"/>
  <c r="G56" i="613" s="1"/>
  <c r="AP56" i="613"/>
  <c r="F56" i="613" s="1"/>
  <c r="AO56" i="613"/>
  <c r="E56" i="613" s="1"/>
  <c r="AN56" i="613"/>
  <c r="AN57" i="613" s="1"/>
  <c r="AI56" i="613"/>
  <c r="AH56" i="613"/>
  <c r="AG56" i="613"/>
  <c r="AK56" i="613" s="1"/>
  <c r="AT55" i="613"/>
  <c r="AR55" i="613"/>
  <c r="H55" i="613" s="1"/>
  <c r="AQ55" i="613"/>
  <c r="G55" i="613" s="1"/>
  <c r="AP55" i="613"/>
  <c r="F55" i="613" s="1"/>
  <c r="AO55" i="613"/>
  <c r="E55" i="613" s="1"/>
  <c r="AI55" i="613"/>
  <c r="AT54" i="613"/>
  <c r="AR54" i="613"/>
  <c r="H54" i="613" s="1"/>
  <c r="AQ54" i="613"/>
  <c r="G54" i="613" s="1"/>
  <c r="AP54" i="613"/>
  <c r="F54" i="613" s="1"/>
  <c r="AO54" i="613"/>
  <c r="E54" i="613" s="1"/>
  <c r="AI54" i="613"/>
  <c r="AT53" i="613"/>
  <c r="AR53" i="613"/>
  <c r="H53" i="613" s="1"/>
  <c r="AQ53" i="613"/>
  <c r="G53" i="613" s="1"/>
  <c r="AP53" i="613"/>
  <c r="F53" i="613" s="1"/>
  <c r="AO53" i="613"/>
  <c r="E53" i="613" s="1"/>
  <c r="AI53" i="613"/>
  <c r="AT52" i="613"/>
  <c r="AR52" i="613"/>
  <c r="H52" i="613" s="1"/>
  <c r="AQ52" i="613"/>
  <c r="G52" i="613" s="1"/>
  <c r="AP52" i="613"/>
  <c r="F52" i="613" s="1"/>
  <c r="AO52" i="613"/>
  <c r="E52" i="613" s="1"/>
  <c r="AI52" i="613"/>
  <c r="AT51" i="613"/>
  <c r="AR51" i="613"/>
  <c r="H51" i="613" s="1"/>
  <c r="AQ51" i="613"/>
  <c r="G51" i="613" s="1"/>
  <c r="AP51" i="613"/>
  <c r="F51" i="613" s="1"/>
  <c r="AO51" i="613"/>
  <c r="E51" i="613" s="1"/>
  <c r="AI51" i="613"/>
  <c r="AT50" i="613"/>
  <c r="AR50" i="613"/>
  <c r="H50" i="613" s="1"/>
  <c r="AQ50" i="613"/>
  <c r="G50" i="613" s="1"/>
  <c r="AP50" i="613"/>
  <c r="F50" i="613" s="1"/>
  <c r="AO50" i="613"/>
  <c r="E50" i="613" s="1"/>
  <c r="AI50" i="613"/>
  <c r="AT49" i="613"/>
  <c r="AR49" i="613"/>
  <c r="H49" i="613" s="1"/>
  <c r="AQ49" i="613"/>
  <c r="G49" i="613" s="1"/>
  <c r="AP49" i="613"/>
  <c r="F49" i="613" s="1"/>
  <c r="AO49" i="613"/>
  <c r="E49" i="613" s="1"/>
  <c r="AN49" i="613"/>
  <c r="AN50" i="613" s="1"/>
  <c r="AI49" i="613"/>
  <c r="AH49" i="613"/>
  <c r="AG49" i="613"/>
  <c r="AT48" i="613"/>
  <c r="AR48" i="613"/>
  <c r="H48" i="613" s="1"/>
  <c r="AQ48" i="613"/>
  <c r="G48" i="613" s="1"/>
  <c r="AP48" i="613"/>
  <c r="F48" i="613" s="1"/>
  <c r="AO48" i="613"/>
  <c r="E48" i="613" s="1"/>
  <c r="AI48" i="613"/>
  <c r="AT47" i="613"/>
  <c r="AR47" i="613"/>
  <c r="H47" i="613" s="1"/>
  <c r="AQ47" i="613"/>
  <c r="G47" i="613" s="1"/>
  <c r="AP47" i="613"/>
  <c r="F47" i="613" s="1"/>
  <c r="AO47" i="613"/>
  <c r="E47" i="613" s="1"/>
  <c r="AI47" i="613"/>
  <c r="AT46" i="613"/>
  <c r="AR46" i="613"/>
  <c r="H46" i="613" s="1"/>
  <c r="AQ46" i="613"/>
  <c r="G46" i="613" s="1"/>
  <c r="AP46" i="613"/>
  <c r="F46" i="613" s="1"/>
  <c r="AO46" i="613"/>
  <c r="E46" i="613" s="1"/>
  <c r="AI46" i="613"/>
  <c r="AT45" i="613"/>
  <c r="AR45" i="613"/>
  <c r="H45" i="613" s="1"/>
  <c r="AQ45" i="613"/>
  <c r="G45" i="613" s="1"/>
  <c r="AP45" i="613"/>
  <c r="F45" i="613" s="1"/>
  <c r="AO45" i="613"/>
  <c r="E45" i="613" s="1"/>
  <c r="AI45" i="613"/>
  <c r="AT44" i="613"/>
  <c r="AR44" i="613"/>
  <c r="H44" i="613" s="1"/>
  <c r="AQ44" i="613"/>
  <c r="G44" i="613" s="1"/>
  <c r="AP44" i="613"/>
  <c r="F44" i="613" s="1"/>
  <c r="AO44" i="613"/>
  <c r="E44" i="613" s="1"/>
  <c r="AI44" i="613"/>
  <c r="AT43" i="613"/>
  <c r="AR43" i="613"/>
  <c r="H43" i="613" s="1"/>
  <c r="AQ43" i="613"/>
  <c r="G43" i="613" s="1"/>
  <c r="AP43" i="613"/>
  <c r="F43" i="613" s="1"/>
  <c r="AO43" i="613"/>
  <c r="E43" i="613" s="1"/>
  <c r="AI43" i="613"/>
  <c r="AT42" i="613"/>
  <c r="AR42" i="613"/>
  <c r="H42" i="613" s="1"/>
  <c r="AQ42" i="613"/>
  <c r="G42" i="613" s="1"/>
  <c r="AP42" i="613"/>
  <c r="F42" i="613" s="1"/>
  <c r="AO42" i="613"/>
  <c r="E42" i="613" s="1"/>
  <c r="AN42" i="613"/>
  <c r="AN43" i="613" s="1"/>
  <c r="AN44" i="613" s="1"/>
  <c r="AI42" i="613"/>
  <c r="AH42" i="613"/>
  <c r="AG42" i="613"/>
  <c r="AT41" i="613"/>
  <c r="AR41" i="613"/>
  <c r="H41" i="613" s="1"/>
  <c r="AQ41" i="613"/>
  <c r="G41" i="613" s="1"/>
  <c r="AP41" i="613"/>
  <c r="F41" i="613" s="1"/>
  <c r="AO41" i="613"/>
  <c r="E41" i="613" s="1"/>
  <c r="AI41" i="613"/>
  <c r="AT40" i="613"/>
  <c r="AR40" i="613"/>
  <c r="H40" i="613" s="1"/>
  <c r="AQ40" i="613"/>
  <c r="G40" i="613" s="1"/>
  <c r="AP40" i="613"/>
  <c r="F40" i="613" s="1"/>
  <c r="AO40" i="613"/>
  <c r="E40" i="613" s="1"/>
  <c r="AI40" i="613"/>
  <c r="AT39" i="613"/>
  <c r="AR39" i="613"/>
  <c r="H39" i="613" s="1"/>
  <c r="AQ39" i="613"/>
  <c r="G39" i="613" s="1"/>
  <c r="AP39" i="613"/>
  <c r="F39" i="613" s="1"/>
  <c r="AO39" i="613"/>
  <c r="E39" i="613" s="1"/>
  <c r="AI39" i="613"/>
  <c r="AT38" i="613"/>
  <c r="AR38" i="613"/>
  <c r="H38" i="613" s="1"/>
  <c r="AQ38" i="613"/>
  <c r="G38" i="613" s="1"/>
  <c r="AP38" i="613"/>
  <c r="F38" i="613" s="1"/>
  <c r="AO38" i="613"/>
  <c r="E38" i="613" s="1"/>
  <c r="AI38" i="613"/>
  <c r="AT37" i="613"/>
  <c r="AR37" i="613"/>
  <c r="H37" i="613" s="1"/>
  <c r="AQ37" i="613"/>
  <c r="G37" i="613" s="1"/>
  <c r="AP37" i="613"/>
  <c r="F37" i="613" s="1"/>
  <c r="AO37" i="613"/>
  <c r="E37" i="613" s="1"/>
  <c r="AI37" i="613"/>
  <c r="AT36" i="613"/>
  <c r="AR36" i="613"/>
  <c r="H36" i="613" s="1"/>
  <c r="AQ36" i="613"/>
  <c r="G36" i="613" s="1"/>
  <c r="AP36" i="613"/>
  <c r="F36" i="613" s="1"/>
  <c r="AO36" i="613"/>
  <c r="E36" i="613" s="1"/>
  <c r="AI36" i="613"/>
  <c r="AT35" i="613"/>
  <c r="AR35" i="613"/>
  <c r="H35" i="613" s="1"/>
  <c r="AQ35" i="613"/>
  <c r="G35" i="613" s="1"/>
  <c r="AP35" i="613"/>
  <c r="F35" i="613" s="1"/>
  <c r="AO35" i="613"/>
  <c r="E35" i="613" s="1"/>
  <c r="AN35" i="613"/>
  <c r="D35" i="613" s="1"/>
  <c r="AI35" i="613"/>
  <c r="AH35" i="613"/>
  <c r="AG35" i="613"/>
  <c r="AT34" i="613"/>
  <c r="AR34" i="613"/>
  <c r="H34" i="613" s="1"/>
  <c r="AQ34" i="613"/>
  <c r="G34" i="613" s="1"/>
  <c r="AP34" i="613"/>
  <c r="F34" i="613" s="1"/>
  <c r="AO34" i="613"/>
  <c r="E34" i="613" s="1"/>
  <c r="AI34" i="613"/>
  <c r="AT33" i="613"/>
  <c r="AR33" i="613"/>
  <c r="H33" i="613" s="1"/>
  <c r="AQ33" i="613"/>
  <c r="G33" i="613" s="1"/>
  <c r="AP33" i="613"/>
  <c r="F33" i="613" s="1"/>
  <c r="AO33" i="613"/>
  <c r="E33" i="613" s="1"/>
  <c r="AI33" i="613"/>
  <c r="AT32" i="613"/>
  <c r="AR32" i="613"/>
  <c r="H32" i="613" s="1"/>
  <c r="AQ32" i="613"/>
  <c r="G32" i="613" s="1"/>
  <c r="AP32" i="613"/>
  <c r="F32" i="613" s="1"/>
  <c r="AO32" i="613"/>
  <c r="E32" i="613" s="1"/>
  <c r="AI32" i="613"/>
  <c r="AT31" i="613"/>
  <c r="AR31" i="613"/>
  <c r="H31" i="613" s="1"/>
  <c r="AQ31" i="613"/>
  <c r="G31" i="613" s="1"/>
  <c r="AP31" i="613"/>
  <c r="F31" i="613" s="1"/>
  <c r="AO31" i="613"/>
  <c r="E31" i="613" s="1"/>
  <c r="AI31" i="613"/>
  <c r="AT30" i="613"/>
  <c r="AR30" i="613"/>
  <c r="H30" i="613" s="1"/>
  <c r="AQ30" i="613"/>
  <c r="G30" i="613" s="1"/>
  <c r="AP30" i="613"/>
  <c r="F30" i="613" s="1"/>
  <c r="AO30" i="613"/>
  <c r="E30" i="613" s="1"/>
  <c r="AI30" i="613"/>
  <c r="AT29" i="613"/>
  <c r="AR29" i="613"/>
  <c r="H29" i="613" s="1"/>
  <c r="AQ29" i="613"/>
  <c r="G29" i="613" s="1"/>
  <c r="AP29" i="613"/>
  <c r="F29" i="613" s="1"/>
  <c r="AO29" i="613"/>
  <c r="E29" i="613" s="1"/>
  <c r="AI29" i="613"/>
  <c r="AT28" i="613"/>
  <c r="AR28" i="613"/>
  <c r="H28" i="613" s="1"/>
  <c r="AQ28" i="613"/>
  <c r="G28" i="613" s="1"/>
  <c r="AP28" i="613"/>
  <c r="F28" i="613" s="1"/>
  <c r="AO28" i="613"/>
  <c r="E28" i="613" s="1"/>
  <c r="AN28" i="613"/>
  <c r="AN29" i="613" s="1"/>
  <c r="D29" i="613" s="1"/>
  <c r="AI28" i="613"/>
  <c r="AJ28" i="613" s="1"/>
  <c r="AH28" i="613"/>
  <c r="AG28" i="613"/>
  <c r="AK28" i="613" s="1"/>
  <c r="AT27" i="613"/>
  <c r="AR27" i="613"/>
  <c r="H27" i="613" s="1"/>
  <c r="AQ27" i="613"/>
  <c r="G27" i="613" s="1"/>
  <c r="AP27" i="613"/>
  <c r="F27" i="613" s="1"/>
  <c r="AO27" i="613"/>
  <c r="E27" i="613" s="1"/>
  <c r="AI27" i="613"/>
  <c r="AT26" i="613"/>
  <c r="AR26" i="613"/>
  <c r="H26" i="613" s="1"/>
  <c r="AQ26" i="613"/>
  <c r="G26" i="613" s="1"/>
  <c r="AP26" i="613"/>
  <c r="F26" i="613" s="1"/>
  <c r="AO26" i="613"/>
  <c r="E26" i="613" s="1"/>
  <c r="AI26" i="613"/>
  <c r="AT25" i="613"/>
  <c r="AR25" i="613"/>
  <c r="H25" i="613" s="1"/>
  <c r="AQ25" i="613"/>
  <c r="G25" i="613" s="1"/>
  <c r="AP25" i="613"/>
  <c r="F25" i="613" s="1"/>
  <c r="AO25" i="613"/>
  <c r="E25" i="613" s="1"/>
  <c r="AI25" i="613"/>
  <c r="AT24" i="613"/>
  <c r="AR24" i="613"/>
  <c r="H24" i="613" s="1"/>
  <c r="AQ24" i="613"/>
  <c r="G24" i="613" s="1"/>
  <c r="AP24" i="613"/>
  <c r="F24" i="613" s="1"/>
  <c r="AO24" i="613"/>
  <c r="E24" i="613" s="1"/>
  <c r="AI24" i="613"/>
  <c r="AT23" i="613"/>
  <c r="AR23" i="613"/>
  <c r="H23" i="613" s="1"/>
  <c r="AQ23" i="613"/>
  <c r="G23" i="613" s="1"/>
  <c r="AP23" i="613"/>
  <c r="F23" i="613" s="1"/>
  <c r="AO23" i="613"/>
  <c r="E23" i="613" s="1"/>
  <c r="AI23" i="613"/>
  <c r="AT22" i="613"/>
  <c r="AR22" i="613"/>
  <c r="H22" i="613" s="1"/>
  <c r="AQ22" i="613"/>
  <c r="G22" i="613" s="1"/>
  <c r="AP22" i="613"/>
  <c r="F22" i="613" s="1"/>
  <c r="AO22" i="613"/>
  <c r="E22" i="613" s="1"/>
  <c r="AI22" i="613"/>
  <c r="AT21" i="613"/>
  <c r="AR21" i="613"/>
  <c r="H21" i="613" s="1"/>
  <c r="AQ21" i="613"/>
  <c r="G21" i="613" s="1"/>
  <c r="AP21" i="613"/>
  <c r="F21" i="613" s="1"/>
  <c r="AO21" i="613"/>
  <c r="E21" i="613" s="1"/>
  <c r="AN21" i="613"/>
  <c r="D21" i="613" s="1"/>
  <c r="AI21" i="613"/>
  <c r="AH21" i="613"/>
  <c r="AG21" i="613"/>
  <c r="AT20" i="613"/>
  <c r="AR20" i="613"/>
  <c r="H20" i="613" s="1"/>
  <c r="AQ20" i="613"/>
  <c r="G20" i="613" s="1"/>
  <c r="AP20" i="613"/>
  <c r="F20" i="613" s="1"/>
  <c r="AO20" i="613"/>
  <c r="E20" i="613" s="1"/>
  <c r="AI20" i="613"/>
  <c r="AT19" i="613"/>
  <c r="AR19" i="613"/>
  <c r="H19" i="613" s="1"/>
  <c r="AQ19" i="613"/>
  <c r="G19" i="613" s="1"/>
  <c r="AP19" i="613"/>
  <c r="F19" i="613" s="1"/>
  <c r="AO19" i="613"/>
  <c r="E19" i="613" s="1"/>
  <c r="AI19" i="613"/>
  <c r="AT18" i="613"/>
  <c r="AR18" i="613"/>
  <c r="H18" i="613" s="1"/>
  <c r="AQ18" i="613"/>
  <c r="G18" i="613" s="1"/>
  <c r="AP18" i="613"/>
  <c r="F18" i="613" s="1"/>
  <c r="AO18" i="613"/>
  <c r="E18" i="613" s="1"/>
  <c r="AI18" i="613"/>
  <c r="AT17" i="613"/>
  <c r="AR17" i="613"/>
  <c r="H17" i="613" s="1"/>
  <c r="AQ17" i="613"/>
  <c r="G17" i="613" s="1"/>
  <c r="AP17" i="613"/>
  <c r="F17" i="613" s="1"/>
  <c r="AO17" i="613"/>
  <c r="E17" i="613" s="1"/>
  <c r="AI17" i="613"/>
  <c r="AT16" i="613"/>
  <c r="AR16" i="613"/>
  <c r="H16" i="613" s="1"/>
  <c r="AQ16" i="613"/>
  <c r="G16" i="613" s="1"/>
  <c r="AP16" i="613"/>
  <c r="F16" i="613" s="1"/>
  <c r="AO16" i="613"/>
  <c r="E16" i="613" s="1"/>
  <c r="AI16" i="613"/>
  <c r="AT15" i="613"/>
  <c r="AR15" i="613"/>
  <c r="H15" i="613" s="1"/>
  <c r="AQ15" i="613"/>
  <c r="G15" i="613" s="1"/>
  <c r="AP15" i="613"/>
  <c r="F15" i="613" s="1"/>
  <c r="AO15" i="613"/>
  <c r="E15" i="613" s="1"/>
  <c r="AI15" i="613"/>
  <c r="AT14" i="613"/>
  <c r="AR14" i="613"/>
  <c r="H14" i="613" s="1"/>
  <c r="AQ14" i="613"/>
  <c r="G14" i="613" s="1"/>
  <c r="AP14" i="613"/>
  <c r="F14" i="613" s="1"/>
  <c r="AO14" i="613"/>
  <c r="E14" i="613" s="1"/>
  <c r="AN14" i="613"/>
  <c r="AN15" i="613" s="1"/>
  <c r="AN16" i="613" s="1"/>
  <c r="AI14" i="613"/>
  <c r="AH14" i="613"/>
  <c r="AG14" i="613"/>
  <c r="AK14" i="613" s="1"/>
  <c r="AT13" i="613"/>
  <c r="AR13" i="613"/>
  <c r="H13" i="613" s="1"/>
  <c r="AQ13" i="613"/>
  <c r="G13" i="613" s="1"/>
  <c r="AP13" i="613"/>
  <c r="F13" i="613" s="1"/>
  <c r="AO13" i="613"/>
  <c r="E13" i="613" s="1"/>
  <c r="AI13" i="613"/>
  <c r="AH13" i="613"/>
  <c r="AG13" i="613"/>
  <c r="AT12" i="613"/>
  <c r="AR12" i="613"/>
  <c r="H12" i="613" s="1"/>
  <c r="AQ12" i="613"/>
  <c r="G12" i="613" s="1"/>
  <c r="AP12" i="613"/>
  <c r="F12" i="613" s="1"/>
  <c r="AO12" i="613"/>
  <c r="E12" i="613" s="1"/>
  <c r="AJ12" i="613"/>
  <c r="AI12" i="613"/>
  <c r="AH12" i="613"/>
  <c r="AG12" i="613"/>
  <c r="AK12" i="613" s="1"/>
  <c r="AT11" i="613"/>
  <c r="AR11" i="613"/>
  <c r="H11" i="613" s="1"/>
  <c r="AQ11" i="613"/>
  <c r="G11" i="613" s="1"/>
  <c r="AP11" i="613"/>
  <c r="F11" i="613" s="1"/>
  <c r="AO11" i="613"/>
  <c r="E11" i="613" s="1"/>
  <c r="AI11" i="613"/>
  <c r="AK11" i="613" s="1"/>
  <c r="AH11" i="613"/>
  <c r="AG11" i="613"/>
  <c r="AT10" i="613"/>
  <c r="AR10" i="613"/>
  <c r="H10" i="613" s="1"/>
  <c r="AQ10" i="613"/>
  <c r="G10" i="613" s="1"/>
  <c r="AP10" i="613"/>
  <c r="F10" i="613" s="1"/>
  <c r="AO10" i="613"/>
  <c r="E10" i="613" s="1"/>
  <c r="AI10" i="613"/>
  <c r="AH10" i="613"/>
  <c r="AG10" i="613"/>
  <c r="AK10" i="613" s="1"/>
  <c r="AT9" i="613"/>
  <c r="AR9" i="613"/>
  <c r="H9" i="613" s="1"/>
  <c r="AQ9" i="613"/>
  <c r="G9" i="613" s="1"/>
  <c r="AP9" i="613"/>
  <c r="F9" i="613" s="1"/>
  <c r="AO9" i="613"/>
  <c r="E9" i="613" s="1"/>
  <c r="AI9" i="613"/>
  <c r="AH9" i="613"/>
  <c r="AG9" i="613"/>
  <c r="AT8" i="613"/>
  <c r="AR8" i="613"/>
  <c r="H8" i="613" s="1"/>
  <c r="AQ8" i="613"/>
  <c r="G8" i="613" s="1"/>
  <c r="AP8" i="613"/>
  <c r="F8" i="613" s="1"/>
  <c r="AO8" i="613"/>
  <c r="E8" i="613" s="1"/>
  <c r="AI8" i="613"/>
  <c r="AH8" i="613"/>
  <c r="AG8" i="613"/>
  <c r="AK8" i="613" s="1"/>
  <c r="AT7" i="613"/>
  <c r="AR7" i="613"/>
  <c r="H7" i="613" s="1"/>
  <c r="AQ7" i="613"/>
  <c r="G7" i="613" s="1"/>
  <c r="AP7" i="613"/>
  <c r="F7" i="613" s="1"/>
  <c r="AO7" i="613"/>
  <c r="E7" i="613" s="1"/>
  <c r="AN7" i="613"/>
  <c r="AN8" i="613" s="1"/>
  <c r="AI7" i="613"/>
  <c r="AH7" i="613"/>
  <c r="AG7" i="613"/>
  <c r="AT6" i="613"/>
  <c r="AR6" i="613"/>
  <c r="H6" i="613" s="1"/>
  <c r="AQ6" i="613"/>
  <c r="G6" i="613" s="1"/>
  <c r="AP6" i="613"/>
  <c r="AO6" i="613"/>
  <c r="E6" i="613" s="1"/>
  <c r="AN6" i="613"/>
  <c r="D6" i="613" s="1"/>
  <c r="AM6" i="613"/>
  <c r="AM7" i="613" s="1"/>
  <c r="AL6" i="613"/>
  <c r="AL7" i="613" s="1"/>
  <c r="AI6" i="613"/>
  <c r="AH6" i="613"/>
  <c r="AG6" i="613"/>
  <c r="AK6" i="613" s="1"/>
  <c r="F6" i="613"/>
  <c r="D50" i="612"/>
  <c r="E50" i="612" s="1"/>
  <c r="F50" i="612" s="1"/>
  <c r="G50" i="612" s="1"/>
  <c r="H50" i="612" s="1"/>
  <c r="I50" i="612" s="1"/>
  <c r="J50" i="612" s="1"/>
  <c r="K50" i="612" s="1"/>
  <c r="L50" i="612" s="1"/>
  <c r="M50" i="612" s="1"/>
  <c r="N50" i="612" s="1"/>
  <c r="O50" i="612" s="1"/>
  <c r="P50" i="612" s="1"/>
  <c r="Q50" i="612" s="1"/>
  <c r="R50" i="612" s="1"/>
  <c r="S50" i="612" s="1"/>
  <c r="T50" i="612" s="1"/>
  <c r="U50" i="612" s="1"/>
  <c r="V50" i="612" s="1"/>
  <c r="W50" i="612" s="1"/>
  <c r="X50" i="612" s="1"/>
  <c r="Y50" i="612" s="1"/>
  <c r="Z50" i="612" s="1"/>
  <c r="AA50" i="612" s="1"/>
  <c r="AB50" i="612" s="1"/>
  <c r="AC50" i="612" s="1"/>
  <c r="AD50" i="612" s="1"/>
  <c r="AE50" i="612" s="1"/>
  <c r="AF50" i="612" s="1"/>
  <c r="AG50" i="612" s="1"/>
  <c r="AH50" i="612" s="1"/>
  <c r="AI50" i="612" s="1"/>
  <c r="AJ50" i="612" s="1"/>
  <c r="AK50" i="612" s="1"/>
  <c r="AL50" i="612" s="1"/>
  <c r="AM50" i="612" s="1"/>
  <c r="AN50" i="612" s="1"/>
  <c r="AO50" i="612" s="1"/>
  <c r="AP50" i="612" s="1"/>
  <c r="AQ50" i="612" s="1"/>
  <c r="AR50" i="612" s="1"/>
  <c r="AS50" i="612" s="1"/>
  <c r="AT50" i="612" s="1"/>
  <c r="AU50" i="612" s="1"/>
  <c r="AV50" i="612" s="1"/>
  <c r="AW50" i="612" s="1"/>
  <c r="AX50" i="612" s="1"/>
  <c r="AY50" i="612" s="1"/>
  <c r="AZ50" i="612" s="1"/>
  <c r="BA50" i="612" s="1"/>
  <c r="BB50" i="612" s="1"/>
  <c r="BC50" i="612" s="1"/>
  <c r="BD50" i="612" s="1"/>
  <c r="BE50" i="612" s="1"/>
  <c r="BF50" i="612" s="1"/>
  <c r="BG50" i="612" s="1"/>
  <c r="BH50" i="612" s="1"/>
  <c r="BI50" i="612" s="1"/>
  <c r="BJ50" i="612" s="1"/>
  <c r="BK50" i="612" s="1"/>
  <c r="BL50" i="612" s="1"/>
  <c r="BM50" i="612" s="1"/>
  <c r="BN50" i="612" s="1"/>
  <c r="BO50" i="612" s="1"/>
  <c r="BP50" i="612" s="1"/>
  <c r="BQ50" i="612" s="1"/>
  <c r="BR50" i="612" s="1"/>
  <c r="BS50" i="612" s="1"/>
  <c r="BT50" i="612" s="1"/>
  <c r="BU50" i="612" s="1"/>
  <c r="BV50" i="612" s="1"/>
  <c r="BW50" i="612" s="1"/>
  <c r="BX50" i="612" s="1"/>
  <c r="BY50" i="612" s="1"/>
  <c r="BZ50" i="612" s="1"/>
  <c r="CA50" i="612" s="1"/>
  <c r="CB50" i="612" s="1"/>
  <c r="CC50" i="612" s="1"/>
  <c r="CD50" i="612" s="1"/>
  <c r="CE50" i="612" s="1"/>
  <c r="CF50" i="612" s="1"/>
  <c r="CG50" i="612" s="1"/>
  <c r="CH50" i="612" s="1"/>
  <c r="CI50" i="612" s="1"/>
  <c r="CJ50" i="612" s="1"/>
  <c r="CK50" i="612" s="1"/>
  <c r="CL50" i="612" s="1"/>
  <c r="CM50" i="612" s="1"/>
  <c r="CN50" i="612" s="1"/>
  <c r="CO50" i="612" s="1"/>
  <c r="CP50" i="612" s="1"/>
  <c r="CQ50" i="612" s="1"/>
  <c r="CR50" i="612" s="1"/>
  <c r="CS50" i="612" s="1"/>
  <c r="CT50" i="612" s="1"/>
  <c r="B48" i="612"/>
  <c r="C46" i="612"/>
  <c r="E22" i="612"/>
  <c r="D22" i="612"/>
  <c r="C18" i="612"/>
  <c r="AT447" i="611"/>
  <c r="AR447" i="611"/>
  <c r="H447" i="611" s="1"/>
  <c r="AQ447" i="611"/>
  <c r="G447" i="611" s="1"/>
  <c r="AP447" i="611"/>
  <c r="F447" i="611" s="1"/>
  <c r="AO447" i="611"/>
  <c r="E447" i="611" s="1"/>
  <c r="AI447" i="611"/>
  <c r="AT446" i="611"/>
  <c r="AR446" i="611"/>
  <c r="H446" i="611" s="1"/>
  <c r="AQ446" i="611"/>
  <c r="G446" i="611" s="1"/>
  <c r="AP446" i="611"/>
  <c r="F446" i="611" s="1"/>
  <c r="AO446" i="611"/>
  <c r="E446" i="611" s="1"/>
  <c r="AI446" i="611"/>
  <c r="AT445" i="611"/>
  <c r="AR445" i="611"/>
  <c r="H445" i="611" s="1"/>
  <c r="AQ445" i="611"/>
  <c r="G445" i="611" s="1"/>
  <c r="AP445" i="611"/>
  <c r="F445" i="611" s="1"/>
  <c r="AO445" i="611"/>
  <c r="E445" i="611" s="1"/>
  <c r="AN445" i="611"/>
  <c r="AN446" i="611" s="1"/>
  <c r="AI445" i="611"/>
  <c r="AH445" i="611"/>
  <c r="AG445" i="611"/>
  <c r="AK445" i="611" s="1"/>
  <c r="AT444" i="611"/>
  <c r="AR444" i="611"/>
  <c r="H444" i="611" s="1"/>
  <c r="AQ444" i="611"/>
  <c r="G444" i="611" s="1"/>
  <c r="AP444" i="611"/>
  <c r="F444" i="611" s="1"/>
  <c r="AO444" i="611"/>
  <c r="E444" i="611" s="1"/>
  <c r="AN444" i="611"/>
  <c r="D444" i="611" s="1"/>
  <c r="AM444" i="611"/>
  <c r="C444" i="611" s="1"/>
  <c r="AI444" i="611"/>
  <c r="AH444" i="611"/>
  <c r="AG444" i="611"/>
  <c r="AK444" i="611" s="1"/>
  <c r="AT443" i="611"/>
  <c r="AR443" i="611"/>
  <c r="H443" i="611" s="1"/>
  <c r="AQ443" i="611"/>
  <c r="G443" i="611" s="1"/>
  <c r="AP443" i="611"/>
  <c r="F443" i="611" s="1"/>
  <c r="AO443" i="611"/>
  <c r="E443" i="611" s="1"/>
  <c r="AI443" i="611"/>
  <c r="AT442" i="611"/>
  <c r="AR442" i="611"/>
  <c r="H442" i="611" s="1"/>
  <c r="AQ442" i="611"/>
  <c r="G442" i="611" s="1"/>
  <c r="AP442" i="611"/>
  <c r="F442" i="611" s="1"/>
  <c r="AO442" i="611"/>
  <c r="E442" i="611" s="1"/>
  <c r="AI442" i="611"/>
  <c r="AT441" i="611"/>
  <c r="AR441" i="611"/>
  <c r="H441" i="611" s="1"/>
  <c r="AQ441" i="611"/>
  <c r="G441" i="611" s="1"/>
  <c r="AP441" i="611"/>
  <c r="F441" i="611" s="1"/>
  <c r="AO441" i="611"/>
  <c r="E441" i="611" s="1"/>
  <c r="AN441" i="611"/>
  <c r="AN442" i="611" s="1"/>
  <c r="AI441" i="611"/>
  <c r="AH441" i="611"/>
  <c r="AG441" i="611"/>
  <c r="AK441" i="611" s="1"/>
  <c r="AT440" i="611"/>
  <c r="AR440" i="611"/>
  <c r="H440" i="611" s="1"/>
  <c r="AQ440" i="611"/>
  <c r="G440" i="611" s="1"/>
  <c r="AP440" i="611"/>
  <c r="F440" i="611" s="1"/>
  <c r="AO440" i="611"/>
  <c r="E440" i="611" s="1"/>
  <c r="AI440" i="611"/>
  <c r="AT439" i="611"/>
  <c r="AR439" i="611"/>
  <c r="H439" i="611" s="1"/>
  <c r="AQ439" i="611"/>
  <c r="G439" i="611" s="1"/>
  <c r="AP439" i="611"/>
  <c r="F439" i="611" s="1"/>
  <c r="AO439" i="611"/>
  <c r="E439" i="611" s="1"/>
  <c r="AI439" i="611"/>
  <c r="AT438" i="611"/>
  <c r="AR438" i="611"/>
  <c r="H438" i="611" s="1"/>
  <c r="AQ438" i="611"/>
  <c r="G438" i="611" s="1"/>
  <c r="AP438" i="611"/>
  <c r="F438" i="611" s="1"/>
  <c r="AO438" i="611"/>
  <c r="E438" i="611" s="1"/>
  <c r="AI438" i="611"/>
  <c r="AT437" i="611"/>
  <c r="AR437" i="611"/>
  <c r="H437" i="611" s="1"/>
  <c r="AQ437" i="611"/>
  <c r="G437" i="611" s="1"/>
  <c r="AP437" i="611"/>
  <c r="F437" i="611" s="1"/>
  <c r="AO437" i="611"/>
  <c r="E437" i="611" s="1"/>
  <c r="AN437" i="611"/>
  <c r="AN438" i="611" s="1"/>
  <c r="AI437" i="611"/>
  <c r="AH437" i="611"/>
  <c r="AG437" i="611"/>
  <c r="AJ437" i="611" s="1"/>
  <c r="AT436" i="611"/>
  <c r="AR436" i="611"/>
  <c r="H436" i="611" s="1"/>
  <c r="AQ436" i="611"/>
  <c r="G436" i="611" s="1"/>
  <c r="AP436" i="611"/>
  <c r="F436" i="611" s="1"/>
  <c r="AI436" i="611"/>
  <c r="AH436" i="611"/>
  <c r="AG436" i="611"/>
  <c r="AK436" i="611" s="1"/>
  <c r="AT435" i="611"/>
  <c r="AR435" i="611"/>
  <c r="H435" i="611" s="1"/>
  <c r="AQ435" i="611"/>
  <c r="G435" i="611" s="1"/>
  <c r="AP435" i="611"/>
  <c r="F435" i="611" s="1"/>
  <c r="AI435" i="611"/>
  <c r="AH435" i="611"/>
  <c r="AG435" i="611"/>
  <c r="AT434" i="611"/>
  <c r="AR434" i="611"/>
  <c r="H434" i="611" s="1"/>
  <c r="AQ434" i="611"/>
  <c r="G434" i="611" s="1"/>
  <c r="AP434" i="611"/>
  <c r="F434" i="611" s="1"/>
  <c r="AI434" i="611"/>
  <c r="AH434" i="611"/>
  <c r="AG434" i="611"/>
  <c r="AJ434" i="611" s="1"/>
  <c r="AT433" i="611"/>
  <c r="AR433" i="611"/>
  <c r="H433" i="611" s="1"/>
  <c r="AQ433" i="611"/>
  <c r="G433" i="611" s="1"/>
  <c r="AP433" i="611"/>
  <c r="F433" i="611" s="1"/>
  <c r="AI433" i="611"/>
  <c r="AH433" i="611"/>
  <c r="AG433" i="611"/>
  <c r="AJ433" i="611" s="1"/>
  <c r="AT432" i="611"/>
  <c r="AR432" i="611"/>
  <c r="H432" i="611" s="1"/>
  <c r="AQ432" i="611"/>
  <c r="G432" i="611" s="1"/>
  <c r="AP432" i="611"/>
  <c r="F432" i="611" s="1"/>
  <c r="AI432" i="611"/>
  <c r="AH432" i="611"/>
  <c r="AG432" i="611"/>
  <c r="AK432" i="611" s="1"/>
  <c r="AT431" i="611"/>
  <c r="AR431" i="611"/>
  <c r="H431" i="611" s="1"/>
  <c r="AQ431" i="611"/>
  <c r="G431" i="611" s="1"/>
  <c r="AP431" i="611"/>
  <c r="F431" i="611" s="1"/>
  <c r="AI431" i="611"/>
  <c r="AH431" i="611"/>
  <c r="AG431" i="611"/>
  <c r="AT430" i="611"/>
  <c r="AR430" i="611"/>
  <c r="H430" i="611" s="1"/>
  <c r="AQ430" i="611"/>
  <c r="G430" i="611" s="1"/>
  <c r="AP430" i="611"/>
  <c r="F430" i="611" s="1"/>
  <c r="AO430" i="611"/>
  <c r="E430" i="611" s="1"/>
  <c r="AI430" i="611"/>
  <c r="AH430" i="611"/>
  <c r="AG430" i="611"/>
  <c r="AJ430" i="611" s="1"/>
  <c r="AT429" i="611"/>
  <c r="AR429" i="611"/>
  <c r="H429" i="611" s="1"/>
  <c r="AQ429" i="611"/>
  <c r="G429" i="611" s="1"/>
  <c r="AP429" i="611"/>
  <c r="F429" i="611" s="1"/>
  <c r="AI429" i="611"/>
  <c r="AH429" i="611"/>
  <c r="AG429" i="611"/>
  <c r="AJ429" i="611" s="1"/>
  <c r="AT428" i="611"/>
  <c r="AR428" i="611"/>
  <c r="H428" i="611" s="1"/>
  <c r="AQ428" i="611"/>
  <c r="G428" i="611" s="1"/>
  <c r="AP428" i="611"/>
  <c r="F428" i="611" s="1"/>
  <c r="AI428" i="611"/>
  <c r="AH428" i="611"/>
  <c r="AG428" i="611"/>
  <c r="AJ428" i="611" s="1"/>
  <c r="AT427" i="611"/>
  <c r="AR427" i="611"/>
  <c r="H427" i="611" s="1"/>
  <c r="AQ427" i="611"/>
  <c r="G427" i="611" s="1"/>
  <c r="AP427" i="611"/>
  <c r="F427" i="611" s="1"/>
  <c r="AI427" i="611"/>
  <c r="AH427" i="611"/>
  <c r="AG427" i="611"/>
  <c r="AT426" i="611"/>
  <c r="AR426" i="611"/>
  <c r="H426" i="611" s="1"/>
  <c r="AQ426" i="611"/>
  <c r="G426" i="611" s="1"/>
  <c r="AP426" i="611"/>
  <c r="F426" i="611" s="1"/>
  <c r="AI426" i="611"/>
  <c r="AH426" i="611"/>
  <c r="AG426" i="611"/>
  <c r="AJ426" i="611" s="1"/>
  <c r="AT425" i="611"/>
  <c r="AR425" i="611"/>
  <c r="H425" i="611" s="1"/>
  <c r="AQ425" i="611"/>
  <c r="G425" i="611" s="1"/>
  <c r="AP425" i="611"/>
  <c r="F425" i="611" s="1"/>
  <c r="AI425" i="611"/>
  <c r="AH425" i="611"/>
  <c r="AG425" i="611"/>
  <c r="AJ425" i="611" s="1"/>
  <c r="AT424" i="611"/>
  <c r="AR424" i="611"/>
  <c r="H424" i="611" s="1"/>
  <c r="AQ424" i="611"/>
  <c r="G424" i="611" s="1"/>
  <c r="AP424" i="611"/>
  <c r="F424" i="611" s="1"/>
  <c r="AI424" i="611"/>
  <c r="AH424" i="611"/>
  <c r="AG424" i="611"/>
  <c r="AK424" i="611" s="1"/>
  <c r="AT423" i="611"/>
  <c r="AR423" i="611"/>
  <c r="H423" i="611" s="1"/>
  <c r="AQ423" i="611"/>
  <c r="G423" i="611" s="1"/>
  <c r="AP423" i="611"/>
  <c r="F423" i="611" s="1"/>
  <c r="AO423" i="611"/>
  <c r="AO424" i="611" s="1"/>
  <c r="AI423" i="611"/>
  <c r="AH423" i="611"/>
  <c r="AG423" i="611"/>
  <c r="AT422" i="611"/>
  <c r="AR422" i="611"/>
  <c r="H422" i="611" s="1"/>
  <c r="AQ422" i="611"/>
  <c r="G422" i="611" s="1"/>
  <c r="AP422" i="611"/>
  <c r="F422" i="611" s="1"/>
  <c r="AI422" i="611"/>
  <c r="AH422" i="611"/>
  <c r="AG422" i="611"/>
  <c r="AJ422" i="611" s="1"/>
  <c r="AT421" i="611"/>
  <c r="AR421" i="611"/>
  <c r="H421" i="611" s="1"/>
  <c r="AQ421" i="611"/>
  <c r="G421" i="611" s="1"/>
  <c r="AP421" i="611"/>
  <c r="F421" i="611" s="1"/>
  <c r="AI421" i="611"/>
  <c r="AH421" i="611"/>
  <c r="AG421" i="611"/>
  <c r="AJ421" i="611" s="1"/>
  <c r="AT420" i="611"/>
  <c r="AR420" i="611"/>
  <c r="H420" i="611" s="1"/>
  <c r="AQ420" i="611"/>
  <c r="G420" i="611" s="1"/>
  <c r="AP420" i="611"/>
  <c r="F420" i="611" s="1"/>
  <c r="AJ420" i="611"/>
  <c r="AI420" i="611"/>
  <c r="AH420" i="611"/>
  <c r="AG420" i="611"/>
  <c r="AK420" i="611" s="1"/>
  <c r="AT419" i="611"/>
  <c r="AR419" i="611"/>
  <c r="H419" i="611" s="1"/>
  <c r="AQ419" i="611"/>
  <c r="G419" i="611" s="1"/>
  <c r="AP419" i="611"/>
  <c r="F419" i="611" s="1"/>
  <c r="AI419" i="611"/>
  <c r="AH419" i="611"/>
  <c r="AG419" i="611"/>
  <c r="AT418" i="611"/>
  <c r="AR418" i="611"/>
  <c r="H418" i="611" s="1"/>
  <c r="AQ418" i="611"/>
  <c r="G418" i="611" s="1"/>
  <c r="AP418" i="611"/>
  <c r="F418" i="611" s="1"/>
  <c r="AI418" i="611"/>
  <c r="AH418" i="611"/>
  <c r="AG418" i="611"/>
  <c r="AJ418" i="611" s="1"/>
  <c r="AT417" i="611"/>
  <c r="AR417" i="611"/>
  <c r="H417" i="611" s="1"/>
  <c r="AQ417" i="611"/>
  <c r="G417" i="611" s="1"/>
  <c r="AP417" i="611"/>
  <c r="F417" i="611" s="1"/>
  <c r="AI417" i="611"/>
  <c r="AH417" i="611"/>
  <c r="AG417" i="611"/>
  <c r="AJ417" i="611" s="1"/>
  <c r="AT416" i="611"/>
  <c r="AR416" i="611"/>
  <c r="H416" i="611" s="1"/>
  <c r="AQ416" i="611"/>
  <c r="G416" i="611" s="1"/>
  <c r="AP416" i="611"/>
  <c r="F416" i="611" s="1"/>
  <c r="AO416" i="611"/>
  <c r="E416" i="611" s="1"/>
  <c r="AI416" i="611"/>
  <c r="AH416" i="611"/>
  <c r="AG416" i="611"/>
  <c r="AK416" i="611" s="1"/>
  <c r="AT415" i="611"/>
  <c r="AR415" i="611"/>
  <c r="H415" i="611" s="1"/>
  <c r="AQ415" i="611"/>
  <c r="G415" i="611" s="1"/>
  <c r="AP415" i="611"/>
  <c r="F415" i="611" s="1"/>
  <c r="AI415" i="611"/>
  <c r="AH415" i="611"/>
  <c r="AG415" i="611"/>
  <c r="AT414" i="611"/>
  <c r="AR414" i="611"/>
  <c r="H414" i="611" s="1"/>
  <c r="AQ414" i="611"/>
  <c r="G414" i="611" s="1"/>
  <c r="AP414" i="611"/>
  <c r="F414" i="611" s="1"/>
  <c r="AI414" i="611"/>
  <c r="AH414" i="611"/>
  <c r="AG414" i="611"/>
  <c r="AJ414" i="611" s="1"/>
  <c r="AT413" i="611"/>
  <c r="AR413" i="611"/>
  <c r="H413" i="611" s="1"/>
  <c r="AQ413" i="611"/>
  <c r="G413" i="611" s="1"/>
  <c r="AP413" i="611"/>
  <c r="F413" i="611" s="1"/>
  <c r="AI413" i="611"/>
  <c r="AH413" i="611"/>
  <c r="AG413" i="611"/>
  <c r="AJ413" i="611" s="1"/>
  <c r="AT412" i="611"/>
  <c r="AR412" i="611"/>
  <c r="H412" i="611" s="1"/>
  <c r="AQ412" i="611"/>
  <c r="G412" i="611" s="1"/>
  <c r="AP412" i="611"/>
  <c r="F412" i="611" s="1"/>
  <c r="AI412" i="611"/>
  <c r="AH412" i="611"/>
  <c r="AG412" i="611"/>
  <c r="AJ412" i="611" s="1"/>
  <c r="AT411" i="611"/>
  <c r="AR411" i="611"/>
  <c r="H411" i="611" s="1"/>
  <c r="AQ411" i="611"/>
  <c r="G411" i="611" s="1"/>
  <c r="AP411" i="611"/>
  <c r="F411" i="611" s="1"/>
  <c r="AI411" i="611"/>
  <c r="AH411" i="611"/>
  <c r="AG411" i="611"/>
  <c r="AT410" i="611"/>
  <c r="AR410" i="611"/>
  <c r="H410" i="611" s="1"/>
  <c r="AQ410" i="611"/>
  <c r="G410" i="611" s="1"/>
  <c r="AP410" i="611"/>
  <c r="F410" i="611" s="1"/>
  <c r="AI410" i="611"/>
  <c r="AH410" i="611"/>
  <c r="AG410" i="611"/>
  <c r="AJ410" i="611" s="1"/>
  <c r="AT409" i="611"/>
  <c r="AR409" i="611"/>
  <c r="H409" i="611" s="1"/>
  <c r="AQ409" i="611"/>
  <c r="G409" i="611" s="1"/>
  <c r="AP409" i="611"/>
  <c r="F409" i="611" s="1"/>
  <c r="AO409" i="611"/>
  <c r="AO410" i="611" s="1"/>
  <c r="AI409" i="611"/>
  <c r="AH409" i="611"/>
  <c r="AG409" i="611"/>
  <c r="AJ409" i="611" s="1"/>
  <c r="AT408" i="611"/>
  <c r="AR408" i="611"/>
  <c r="H408" i="611" s="1"/>
  <c r="AQ408" i="611"/>
  <c r="G408" i="611" s="1"/>
  <c r="AP408" i="611"/>
  <c r="F408" i="611" s="1"/>
  <c r="AI408" i="611"/>
  <c r="AH408" i="611"/>
  <c r="AG408" i="611"/>
  <c r="AK408" i="611" s="1"/>
  <c r="AT407" i="611"/>
  <c r="AR407" i="611"/>
  <c r="H407" i="611" s="1"/>
  <c r="AQ407" i="611"/>
  <c r="G407" i="611" s="1"/>
  <c r="AP407" i="611"/>
  <c r="F407" i="611" s="1"/>
  <c r="AI407" i="611"/>
  <c r="AH407" i="611"/>
  <c r="AG407" i="611"/>
  <c r="AT406" i="611"/>
  <c r="AR406" i="611"/>
  <c r="H406" i="611" s="1"/>
  <c r="AQ406" i="611"/>
  <c r="G406" i="611" s="1"/>
  <c r="AP406" i="611"/>
  <c r="F406" i="611" s="1"/>
  <c r="AI406" i="611"/>
  <c r="AH406" i="611"/>
  <c r="AG406" i="611"/>
  <c r="AJ406" i="611" s="1"/>
  <c r="AT405" i="611"/>
  <c r="AR405" i="611"/>
  <c r="H405" i="611" s="1"/>
  <c r="AQ405" i="611"/>
  <c r="G405" i="611" s="1"/>
  <c r="AP405" i="611"/>
  <c r="F405" i="611" s="1"/>
  <c r="AI405" i="611"/>
  <c r="AH405" i="611"/>
  <c r="AG405" i="611"/>
  <c r="AJ405" i="611" s="1"/>
  <c r="AT404" i="611"/>
  <c r="AR404" i="611"/>
  <c r="H404" i="611" s="1"/>
  <c r="AQ404" i="611"/>
  <c r="G404" i="611" s="1"/>
  <c r="AP404" i="611"/>
  <c r="F404" i="611" s="1"/>
  <c r="AI404" i="611"/>
  <c r="AH404" i="611"/>
  <c r="AG404" i="611"/>
  <c r="AK404" i="611" s="1"/>
  <c r="AT403" i="611"/>
  <c r="AR403" i="611"/>
  <c r="H403" i="611" s="1"/>
  <c r="AQ403" i="611"/>
  <c r="G403" i="611" s="1"/>
  <c r="AP403" i="611"/>
  <c r="F403" i="611" s="1"/>
  <c r="AI403" i="611"/>
  <c r="AH403" i="611"/>
  <c r="AG403" i="611"/>
  <c r="AT402" i="611"/>
  <c r="AR402" i="611"/>
  <c r="H402" i="611" s="1"/>
  <c r="AQ402" i="611"/>
  <c r="G402" i="611" s="1"/>
  <c r="AP402" i="611"/>
  <c r="F402" i="611" s="1"/>
  <c r="AO402" i="611"/>
  <c r="AO403" i="611" s="1"/>
  <c r="AO404" i="611" s="1"/>
  <c r="AI402" i="611"/>
  <c r="AH402" i="611"/>
  <c r="AG402" i="611"/>
  <c r="AJ402" i="611" s="1"/>
  <c r="AT401" i="611"/>
  <c r="AR401" i="611"/>
  <c r="H401" i="611" s="1"/>
  <c r="AQ401" i="611"/>
  <c r="G401" i="611" s="1"/>
  <c r="AP401" i="611"/>
  <c r="F401" i="611" s="1"/>
  <c r="AI401" i="611"/>
  <c r="AH401" i="611"/>
  <c r="AG401" i="611"/>
  <c r="AJ401" i="611" s="1"/>
  <c r="AT400" i="611"/>
  <c r="AR400" i="611"/>
  <c r="H400" i="611" s="1"/>
  <c r="AQ400" i="611"/>
  <c r="G400" i="611" s="1"/>
  <c r="AP400" i="611"/>
  <c r="F400" i="611" s="1"/>
  <c r="AI400" i="611"/>
  <c r="AH400" i="611"/>
  <c r="AG400" i="611"/>
  <c r="AK400" i="611" s="1"/>
  <c r="AT399" i="611"/>
  <c r="AR399" i="611"/>
  <c r="H399" i="611" s="1"/>
  <c r="AQ399" i="611"/>
  <c r="G399" i="611" s="1"/>
  <c r="AP399" i="611"/>
  <c r="F399" i="611" s="1"/>
  <c r="AI399" i="611"/>
  <c r="AH399" i="611"/>
  <c r="AG399" i="611"/>
  <c r="AT398" i="611"/>
  <c r="AR398" i="611"/>
  <c r="H398" i="611" s="1"/>
  <c r="AQ398" i="611"/>
  <c r="G398" i="611" s="1"/>
  <c r="AP398" i="611"/>
  <c r="F398" i="611" s="1"/>
  <c r="AI398" i="611"/>
  <c r="AH398" i="611"/>
  <c r="AG398" i="611"/>
  <c r="AJ398" i="611" s="1"/>
  <c r="AT397" i="611"/>
  <c r="AR397" i="611"/>
  <c r="H397" i="611" s="1"/>
  <c r="AQ397" i="611"/>
  <c r="G397" i="611" s="1"/>
  <c r="AP397" i="611"/>
  <c r="F397" i="611" s="1"/>
  <c r="AI397" i="611"/>
  <c r="AH397" i="611"/>
  <c r="AG397" i="611"/>
  <c r="AJ397" i="611" s="1"/>
  <c r="AT396" i="611"/>
  <c r="AR396" i="611"/>
  <c r="H396" i="611" s="1"/>
  <c r="AQ396" i="611"/>
  <c r="G396" i="611" s="1"/>
  <c r="AP396" i="611"/>
  <c r="F396" i="611" s="1"/>
  <c r="AI396" i="611"/>
  <c r="AH396" i="611"/>
  <c r="AG396" i="611"/>
  <c r="AK396" i="611" s="1"/>
  <c r="AT395" i="611"/>
  <c r="AR395" i="611"/>
  <c r="H395" i="611" s="1"/>
  <c r="AQ395" i="611"/>
  <c r="G395" i="611" s="1"/>
  <c r="AP395" i="611"/>
  <c r="F395" i="611" s="1"/>
  <c r="AO395" i="611"/>
  <c r="AO396" i="611" s="1"/>
  <c r="AI395" i="611"/>
  <c r="AH395" i="611"/>
  <c r="AG395" i="611"/>
  <c r="AT394" i="611"/>
  <c r="AR394" i="611"/>
  <c r="H394" i="611" s="1"/>
  <c r="AQ394" i="611"/>
  <c r="G394" i="611" s="1"/>
  <c r="AP394" i="611"/>
  <c r="F394" i="611" s="1"/>
  <c r="AI394" i="611"/>
  <c r="AH394" i="611"/>
  <c r="AG394" i="611"/>
  <c r="AJ394" i="611" s="1"/>
  <c r="AT393" i="611"/>
  <c r="AR393" i="611"/>
  <c r="H393" i="611" s="1"/>
  <c r="AQ393" i="611"/>
  <c r="G393" i="611" s="1"/>
  <c r="AP393" i="611"/>
  <c r="F393" i="611" s="1"/>
  <c r="AI393" i="611"/>
  <c r="AH393" i="611"/>
  <c r="AG393" i="611"/>
  <c r="AJ393" i="611" s="1"/>
  <c r="AT392" i="611"/>
  <c r="AR392" i="611"/>
  <c r="H392" i="611" s="1"/>
  <c r="AQ392" i="611"/>
  <c r="G392" i="611" s="1"/>
  <c r="AP392" i="611"/>
  <c r="F392" i="611" s="1"/>
  <c r="AI392" i="611"/>
  <c r="AH392" i="611"/>
  <c r="AG392" i="611"/>
  <c r="AK392" i="611" s="1"/>
  <c r="AT391" i="611"/>
  <c r="AR391" i="611"/>
  <c r="H391" i="611" s="1"/>
  <c r="AQ391" i="611"/>
  <c r="G391" i="611" s="1"/>
  <c r="AP391" i="611"/>
  <c r="F391" i="611" s="1"/>
  <c r="AI391" i="611"/>
  <c r="AH391" i="611"/>
  <c r="AG391" i="611"/>
  <c r="AT390" i="611"/>
  <c r="AR390" i="611"/>
  <c r="H390" i="611" s="1"/>
  <c r="AQ390" i="611"/>
  <c r="G390" i="611" s="1"/>
  <c r="AP390" i="611"/>
  <c r="F390" i="611" s="1"/>
  <c r="AI390" i="611"/>
  <c r="AK390" i="611" s="1"/>
  <c r="AH390" i="611"/>
  <c r="AG390" i="611"/>
  <c r="AJ390" i="611" s="1"/>
  <c r="AT389" i="611"/>
  <c r="AR389" i="611"/>
  <c r="H389" i="611" s="1"/>
  <c r="AQ389" i="611"/>
  <c r="G389" i="611" s="1"/>
  <c r="AP389" i="611"/>
  <c r="F389" i="611" s="1"/>
  <c r="AI389" i="611"/>
  <c r="AH389" i="611"/>
  <c r="AG389" i="611"/>
  <c r="AJ389" i="611" s="1"/>
  <c r="AT388" i="611"/>
  <c r="AR388" i="611"/>
  <c r="H388" i="611" s="1"/>
  <c r="AQ388" i="611"/>
  <c r="G388" i="611" s="1"/>
  <c r="AP388" i="611"/>
  <c r="F388" i="611" s="1"/>
  <c r="AO388" i="611"/>
  <c r="AO389" i="611" s="1"/>
  <c r="AO390" i="611" s="1"/>
  <c r="AO391" i="611" s="1"/>
  <c r="AI388" i="611"/>
  <c r="AH388" i="611"/>
  <c r="AG388" i="611"/>
  <c r="AK388" i="611" s="1"/>
  <c r="AT387" i="611"/>
  <c r="AR387" i="611"/>
  <c r="H387" i="611" s="1"/>
  <c r="AQ387" i="611"/>
  <c r="G387" i="611" s="1"/>
  <c r="AP387" i="611"/>
  <c r="F387" i="611" s="1"/>
  <c r="AI387" i="611"/>
  <c r="AH387" i="611"/>
  <c r="AG387" i="611"/>
  <c r="AT386" i="611"/>
  <c r="AR386" i="611"/>
  <c r="H386" i="611" s="1"/>
  <c r="AQ386" i="611"/>
  <c r="G386" i="611" s="1"/>
  <c r="AP386" i="611"/>
  <c r="F386" i="611" s="1"/>
  <c r="AI386" i="611"/>
  <c r="AK386" i="611" s="1"/>
  <c r="AH386" i="611"/>
  <c r="AG386" i="611"/>
  <c r="AJ386" i="611" s="1"/>
  <c r="AT385" i="611"/>
  <c r="AR385" i="611"/>
  <c r="H385" i="611" s="1"/>
  <c r="AQ385" i="611"/>
  <c r="G385" i="611" s="1"/>
  <c r="AP385" i="611"/>
  <c r="F385" i="611" s="1"/>
  <c r="AI385" i="611"/>
  <c r="AH385" i="611"/>
  <c r="AG385" i="611"/>
  <c r="AT384" i="611"/>
  <c r="AR384" i="611"/>
  <c r="H384" i="611" s="1"/>
  <c r="AQ384" i="611"/>
  <c r="G384" i="611" s="1"/>
  <c r="AP384" i="611"/>
  <c r="F384" i="611" s="1"/>
  <c r="AI384" i="611"/>
  <c r="AH384" i="611"/>
  <c r="AG384" i="611"/>
  <c r="AJ384" i="611" s="1"/>
  <c r="AT383" i="611"/>
  <c r="AR383" i="611"/>
  <c r="H383" i="611" s="1"/>
  <c r="AQ383" i="611"/>
  <c r="G383" i="611" s="1"/>
  <c r="AP383" i="611"/>
  <c r="F383" i="611" s="1"/>
  <c r="AI383" i="611"/>
  <c r="AH383" i="611"/>
  <c r="AG383" i="611"/>
  <c r="AT382" i="611"/>
  <c r="AR382" i="611"/>
  <c r="H382" i="611" s="1"/>
  <c r="AQ382" i="611"/>
  <c r="G382" i="611" s="1"/>
  <c r="AP382" i="611"/>
  <c r="F382" i="611" s="1"/>
  <c r="AI382" i="611"/>
  <c r="AH382" i="611"/>
  <c r="AG382" i="611"/>
  <c r="AK382" i="611" s="1"/>
  <c r="AT381" i="611"/>
  <c r="AR381" i="611"/>
  <c r="H381" i="611" s="1"/>
  <c r="AQ381" i="611"/>
  <c r="G381" i="611" s="1"/>
  <c r="AP381" i="611"/>
  <c r="F381" i="611" s="1"/>
  <c r="AO381" i="611"/>
  <c r="AI381" i="611"/>
  <c r="AH381" i="611"/>
  <c r="AG381" i="611"/>
  <c r="AT380" i="611"/>
  <c r="AR380" i="611"/>
  <c r="H380" i="611" s="1"/>
  <c r="AQ380" i="611"/>
  <c r="G380" i="611" s="1"/>
  <c r="AP380" i="611"/>
  <c r="F380" i="611" s="1"/>
  <c r="AI380" i="611"/>
  <c r="AH380" i="611"/>
  <c r="AG380" i="611"/>
  <c r="AK380" i="611" s="1"/>
  <c r="AT379" i="611"/>
  <c r="AR379" i="611"/>
  <c r="H379" i="611" s="1"/>
  <c r="AQ379" i="611"/>
  <c r="G379" i="611" s="1"/>
  <c r="AP379" i="611"/>
  <c r="F379" i="611" s="1"/>
  <c r="AI379" i="611"/>
  <c r="AH379" i="611"/>
  <c r="AG379" i="611"/>
  <c r="AT378" i="611"/>
  <c r="AR378" i="611"/>
  <c r="H378" i="611" s="1"/>
  <c r="AQ378" i="611"/>
  <c r="G378" i="611" s="1"/>
  <c r="AP378" i="611"/>
  <c r="F378" i="611" s="1"/>
  <c r="AI378" i="611"/>
  <c r="AH378" i="611"/>
  <c r="AG378" i="611"/>
  <c r="AJ378" i="611" s="1"/>
  <c r="AT377" i="611"/>
  <c r="AR377" i="611"/>
  <c r="H377" i="611" s="1"/>
  <c r="AQ377" i="611"/>
  <c r="G377" i="611" s="1"/>
  <c r="AP377" i="611"/>
  <c r="F377" i="611" s="1"/>
  <c r="AI377" i="611"/>
  <c r="AH377" i="611"/>
  <c r="AG377" i="611"/>
  <c r="AT376" i="611"/>
  <c r="AR376" i="611"/>
  <c r="H376" i="611" s="1"/>
  <c r="AQ376" i="611"/>
  <c r="G376" i="611" s="1"/>
  <c r="AP376" i="611"/>
  <c r="F376" i="611" s="1"/>
  <c r="AI376" i="611"/>
  <c r="AH376" i="611"/>
  <c r="AG376" i="611"/>
  <c r="AK376" i="611" s="1"/>
  <c r="AT375" i="611"/>
  <c r="AR375" i="611"/>
  <c r="H375" i="611" s="1"/>
  <c r="AQ375" i="611"/>
  <c r="G375" i="611" s="1"/>
  <c r="AP375" i="611"/>
  <c r="F375" i="611" s="1"/>
  <c r="AI375" i="611"/>
  <c r="AH375" i="611"/>
  <c r="AG375" i="611"/>
  <c r="AT374" i="611"/>
  <c r="AR374" i="611"/>
  <c r="H374" i="611" s="1"/>
  <c r="AQ374" i="611"/>
  <c r="G374" i="611" s="1"/>
  <c r="AP374" i="611"/>
  <c r="F374" i="611" s="1"/>
  <c r="AO374" i="611"/>
  <c r="E374" i="611" s="1"/>
  <c r="AI374" i="611"/>
  <c r="AH374" i="611"/>
  <c r="AG374" i="611"/>
  <c r="AT373" i="611"/>
  <c r="AR373" i="611"/>
  <c r="H373" i="611" s="1"/>
  <c r="AQ373" i="611"/>
  <c r="G373" i="611" s="1"/>
  <c r="AP373" i="611"/>
  <c r="F373" i="611" s="1"/>
  <c r="AI373" i="611"/>
  <c r="AH373" i="611"/>
  <c r="AG373" i="611"/>
  <c r="AT372" i="611"/>
  <c r="AR372" i="611"/>
  <c r="H372" i="611" s="1"/>
  <c r="AQ372" i="611"/>
  <c r="G372" i="611" s="1"/>
  <c r="AP372" i="611"/>
  <c r="F372" i="611" s="1"/>
  <c r="AI372" i="611"/>
  <c r="AH372" i="611"/>
  <c r="AG372" i="611"/>
  <c r="AK372" i="611" s="1"/>
  <c r="AT371" i="611"/>
  <c r="AR371" i="611"/>
  <c r="H371" i="611" s="1"/>
  <c r="AQ371" i="611"/>
  <c r="G371" i="611" s="1"/>
  <c r="AP371" i="611"/>
  <c r="F371" i="611" s="1"/>
  <c r="AI371" i="611"/>
  <c r="AH371" i="611"/>
  <c r="AG371" i="611"/>
  <c r="AT370" i="611"/>
  <c r="AR370" i="611"/>
  <c r="H370" i="611" s="1"/>
  <c r="AQ370" i="611"/>
  <c r="G370" i="611" s="1"/>
  <c r="AP370" i="611"/>
  <c r="F370" i="611" s="1"/>
  <c r="AI370" i="611"/>
  <c r="AH370" i="611"/>
  <c r="AG370" i="611"/>
  <c r="AT369" i="611"/>
  <c r="AR369" i="611"/>
  <c r="H369" i="611" s="1"/>
  <c r="AQ369" i="611"/>
  <c r="G369" i="611" s="1"/>
  <c r="AP369" i="611"/>
  <c r="F369" i="611" s="1"/>
  <c r="AI369" i="611"/>
  <c r="AH369" i="611"/>
  <c r="AG369" i="611"/>
  <c r="AT368" i="611"/>
  <c r="AR368" i="611"/>
  <c r="H368" i="611" s="1"/>
  <c r="AQ368" i="611"/>
  <c r="G368" i="611" s="1"/>
  <c r="AP368" i="611"/>
  <c r="F368" i="611" s="1"/>
  <c r="AI368" i="611"/>
  <c r="AH368" i="611"/>
  <c r="AG368" i="611"/>
  <c r="AJ368" i="611" s="1"/>
  <c r="AT367" i="611"/>
  <c r="AR367" i="611"/>
  <c r="H367" i="611" s="1"/>
  <c r="AQ367" i="611"/>
  <c r="G367" i="611" s="1"/>
  <c r="AP367" i="611"/>
  <c r="F367" i="611" s="1"/>
  <c r="AO367" i="611"/>
  <c r="AI367" i="611"/>
  <c r="AH367" i="611"/>
  <c r="AG367" i="611"/>
  <c r="AJ367" i="611" s="1"/>
  <c r="AT366" i="611"/>
  <c r="AR366" i="611"/>
  <c r="H366" i="611" s="1"/>
  <c r="AQ366" i="611"/>
  <c r="G366" i="611" s="1"/>
  <c r="AP366" i="611"/>
  <c r="F366" i="611" s="1"/>
  <c r="AI366" i="611"/>
  <c r="AH366" i="611"/>
  <c r="AG366" i="611"/>
  <c r="AK366" i="611" s="1"/>
  <c r="AT365" i="611"/>
  <c r="AR365" i="611"/>
  <c r="H365" i="611" s="1"/>
  <c r="AQ365" i="611"/>
  <c r="G365" i="611" s="1"/>
  <c r="AP365" i="611"/>
  <c r="F365" i="611" s="1"/>
  <c r="AI365" i="611"/>
  <c r="AH365" i="611"/>
  <c r="AG365" i="611"/>
  <c r="AJ365" i="611" s="1"/>
  <c r="AT364" i="611"/>
  <c r="AR364" i="611"/>
  <c r="H364" i="611" s="1"/>
  <c r="AQ364" i="611"/>
  <c r="G364" i="611" s="1"/>
  <c r="AP364" i="611"/>
  <c r="F364" i="611" s="1"/>
  <c r="AI364" i="611"/>
  <c r="AH364" i="611"/>
  <c r="AG364" i="611"/>
  <c r="AJ364" i="611" s="1"/>
  <c r="AT363" i="611"/>
  <c r="AR363" i="611"/>
  <c r="H363" i="611" s="1"/>
  <c r="AQ363" i="611"/>
  <c r="G363" i="611" s="1"/>
  <c r="AP363" i="611"/>
  <c r="F363" i="611" s="1"/>
  <c r="AI363" i="611"/>
  <c r="AH363" i="611"/>
  <c r="AG363" i="611"/>
  <c r="AJ363" i="611" s="1"/>
  <c r="AT362" i="611"/>
  <c r="AR362" i="611"/>
  <c r="H362" i="611" s="1"/>
  <c r="AQ362" i="611"/>
  <c r="G362" i="611" s="1"/>
  <c r="AP362" i="611"/>
  <c r="F362" i="611" s="1"/>
  <c r="AI362" i="611"/>
  <c r="AH362" i="611"/>
  <c r="AG362" i="611"/>
  <c r="AK362" i="611" s="1"/>
  <c r="AT361" i="611"/>
  <c r="AR361" i="611"/>
  <c r="H361" i="611" s="1"/>
  <c r="AQ361" i="611"/>
  <c r="G361" i="611" s="1"/>
  <c r="AP361" i="611"/>
  <c r="F361" i="611" s="1"/>
  <c r="AI361" i="611"/>
  <c r="AH361" i="611"/>
  <c r="AG361" i="611"/>
  <c r="AT360" i="611"/>
  <c r="AR360" i="611"/>
  <c r="H360" i="611" s="1"/>
  <c r="AQ360" i="611"/>
  <c r="G360" i="611" s="1"/>
  <c r="AP360" i="611"/>
  <c r="F360" i="611" s="1"/>
  <c r="AO360" i="611"/>
  <c r="AO361" i="611" s="1"/>
  <c r="AI360" i="611"/>
  <c r="AH360" i="611"/>
  <c r="AG360" i="611"/>
  <c r="AJ360" i="611" s="1"/>
  <c r="AT359" i="611"/>
  <c r="AR359" i="611"/>
  <c r="H359" i="611" s="1"/>
  <c r="AQ359" i="611"/>
  <c r="G359" i="611" s="1"/>
  <c r="AP359" i="611"/>
  <c r="F359" i="611" s="1"/>
  <c r="AI359" i="611"/>
  <c r="AH359" i="611"/>
  <c r="AG359" i="611"/>
  <c r="AJ359" i="611" s="1"/>
  <c r="AT358" i="611"/>
  <c r="AR358" i="611"/>
  <c r="H358" i="611" s="1"/>
  <c r="AQ358" i="611"/>
  <c r="G358" i="611" s="1"/>
  <c r="AP358" i="611"/>
  <c r="F358" i="611" s="1"/>
  <c r="AI358" i="611"/>
  <c r="AH358" i="611"/>
  <c r="AG358" i="611"/>
  <c r="AK358" i="611" s="1"/>
  <c r="AT357" i="611"/>
  <c r="AR357" i="611"/>
  <c r="H357" i="611" s="1"/>
  <c r="AQ357" i="611"/>
  <c r="G357" i="611" s="1"/>
  <c r="AP357" i="611"/>
  <c r="F357" i="611" s="1"/>
  <c r="AI357" i="611"/>
  <c r="AH357" i="611"/>
  <c r="AG357" i="611"/>
  <c r="AT356" i="611"/>
  <c r="AR356" i="611"/>
  <c r="H356" i="611" s="1"/>
  <c r="AQ356" i="611"/>
  <c r="G356" i="611" s="1"/>
  <c r="AP356" i="611"/>
  <c r="F356" i="611" s="1"/>
  <c r="AI356" i="611"/>
  <c r="AH356" i="611"/>
  <c r="AG356" i="611"/>
  <c r="AT355" i="611"/>
  <c r="AR355" i="611"/>
  <c r="H355" i="611" s="1"/>
  <c r="AQ355" i="611"/>
  <c r="G355" i="611" s="1"/>
  <c r="AP355" i="611"/>
  <c r="F355" i="611" s="1"/>
  <c r="AI355" i="611"/>
  <c r="AH355" i="611"/>
  <c r="AG355" i="611"/>
  <c r="AJ355" i="611" s="1"/>
  <c r="AT354" i="611"/>
  <c r="AR354" i="611"/>
  <c r="H354" i="611" s="1"/>
  <c r="AQ354" i="611"/>
  <c r="G354" i="611" s="1"/>
  <c r="AP354" i="611"/>
  <c r="F354" i="611" s="1"/>
  <c r="AI354" i="611"/>
  <c r="AH354" i="611"/>
  <c r="AG354" i="611"/>
  <c r="AT353" i="611"/>
  <c r="AR353" i="611"/>
  <c r="H353" i="611" s="1"/>
  <c r="AQ353" i="611"/>
  <c r="G353" i="611" s="1"/>
  <c r="AP353" i="611"/>
  <c r="F353" i="611" s="1"/>
  <c r="AO353" i="611"/>
  <c r="AI353" i="611"/>
  <c r="AH353" i="611"/>
  <c r="AG353" i="611"/>
  <c r="AT352" i="611"/>
  <c r="AR352" i="611"/>
  <c r="H352" i="611" s="1"/>
  <c r="AQ352" i="611"/>
  <c r="G352" i="611" s="1"/>
  <c r="AP352" i="611"/>
  <c r="F352" i="611" s="1"/>
  <c r="AI352" i="611"/>
  <c r="AH352" i="611"/>
  <c r="AG352" i="611"/>
  <c r="AT351" i="611"/>
  <c r="AR351" i="611"/>
  <c r="H351" i="611" s="1"/>
  <c r="AQ351" i="611"/>
  <c r="G351" i="611" s="1"/>
  <c r="AP351" i="611"/>
  <c r="F351" i="611" s="1"/>
  <c r="AI351" i="611"/>
  <c r="AH351" i="611"/>
  <c r="AG351" i="611"/>
  <c r="AT350" i="611"/>
  <c r="AR350" i="611"/>
  <c r="H350" i="611" s="1"/>
  <c r="AQ350" i="611"/>
  <c r="G350" i="611" s="1"/>
  <c r="AP350" i="611"/>
  <c r="F350" i="611" s="1"/>
  <c r="AI350" i="611"/>
  <c r="AH350" i="611"/>
  <c r="AG350" i="611"/>
  <c r="AK350" i="611" s="1"/>
  <c r="AT349" i="611"/>
  <c r="AR349" i="611"/>
  <c r="H349" i="611" s="1"/>
  <c r="AQ349" i="611"/>
  <c r="G349" i="611" s="1"/>
  <c r="AP349" i="611"/>
  <c r="F349" i="611" s="1"/>
  <c r="AI349" i="611"/>
  <c r="AH349" i="611"/>
  <c r="AG349" i="611"/>
  <c r="AT348" i="611"/>
  <c r="AR348" i="611"/>
  <c r="H348" i="611" s="1"/>
  <c r="AQ348" i="611"/>
  <c r="G348" i="611" s="1"/>
  <c r="AP348" i="611"/>
  <c r="F348" i="611" s="1"/>
  <c r="AI348" i="611"/>
  <c r="AH348" i="611"/>
  <c r="AG348" i="611"/>
  <c r="AJ348" i="611" s="1"/>
  <c r="AT347" i="611"/>
  <c r="AR347" i="611"/>
  <c r="H347" i="611" s="1"/>
  <c r="AQ347" i="611"/>
  <c r="G347" i="611" s="1"/>
  <c r="AP347" i="611"/>
  <c r="F347" i="611" s="1"/>
  <c r="AI347" i="611"/>
  <c r="AH347" i="611"/>
  <c r="AG347" i="611"/>
  <c r="AT346" i="611"/>
  <c r="AR346" i="611"/>
  <c r="H346" i="611" s="1"/>
  <c r="AQ346" i="611"/>
  <c r="G346" i="611" s="1"/>
  <c r="AP346" i="611"/>
  <c r="F346" i="611" s="1"/>
  <c r="AO346" i="611"/>
  <c r="AO347" i="611" s="1"/>
  <c r="AI346" i="611"/>
  <c r="AH346" i="611"/>
  <c r="AG346" i="611"/>
  <c r="AK346" i="611" s="1"/>
  <c r="AT345" i="611"/>
  <c r="AR345" i="611"/>
  <c r="H345" i="611" s="1"/>
  <c r="AQ345" i="611"/>
  <c r="G345" i="611" s="1"/>
  <c r="AP345" i="611"/>
  <c r="F345" i="611" s="1"/>
  <c r="AI345" i="611"/>
  <c r="AH345" i="611"/>
  <c r="AG345" i="611"/>
  <c r="AJ345" i="611" s="1"/>
  <c r="AT344" i="611"/>
  <c r="AR344" i="611"/>
  <c r="H344" i="611" s="1"/>
  <c r="AQ344" i="611"/>
  <c r="G344" i="611" s="1"/>
  <c r="AP344" i="611"/>
  <c r="F344" i="611" s="1"/>
  <c r="AI344" i="611"/>
  <c r="AH344" i="611"/>
  <c r="AG344" i="611"/>
  <c r="AT343" i="611"/>
  <c r="AR343" i="611"/>
  <c r="H343" i="611" s="1"/>
  <c r="AQ343" i="611"/>
  <c r="G343" i="611" s="1"/>
  <c r="AP343" i="611"/>
  <c r="F343" i="611" s="1"/>
  <c r="AI343" i="611"/>
  <c r="AH343" i="611"/>
  <c r="AG343" i="611"/>
  <c r="AT342" i="611"/>
  <c r="AR342" i="611"/>
  <c r="H342" i="611" s="1"/>
  <c r="AQ342" i="611"/>
  <c r="G342" i="611" s="1"/>
  <c r="AP342" i="611"/>
  <c r="F342" i="611" s="1"/>
  <c r="AI342" i="611"/>
  <c r="AH342" i="611"/>
  <c r="AG342" i="611"/>
  <c r="AJ342" i="611" s="1"/>
  <c r="AT341" i="611"/>
  <c r="AR341" i="611"/>
  <c r="H341" i="611" s="1"/>
  <c r="AQ341" i="611"/>
  <c r="G341" i="611" s="1"/>
  <c r="AP341" i="611"/>
  <c r="F341" i="611" s="1"/>
  <c r="AI341" i="611"/>
  <c r="AH341" i="611"/>
  <c r="AG341" i="611"/>
  <c r="AJ341" i="611" s="1"/>
  <c r="AT340" i="611"/>
  <c r="AR340" i="611"/>
  <c r="H340" i="611" s="1"/>
  <c r="AQ340" i="611"/>
  <c r="G340" i="611" s="1"/>
  <c r="AP340" i="611"/>
  <c r="F340" i="611" s="1"/>
  <c r="AI340" i="611"/>
  <c r="AH340" i="611"/>
  <c r="AG340" i="611"/>
  <c r="AK340" i="611" s="1"/>
  <c r="AT339" i="611"/>
  <c r="AR339" i="611"/>
  <c r="H339" i="611" s="1"/>
  <c r="AQ339" i="611"/>
  <c r="G339" i="611" s="1"/>
  <c r="AP339" i="611"/>
  <c r="F339" i="611" s="1"/>
  <c r="AO339" i="611"/>
  <c r="AO340" i="611" s="1"/>
  <c r="E340" i="611" s="1"/>
  <c r="AI339" i="611"/>
  <c r="AH339" i="611"/>
  <c r="AG339" i="611"/>
  <c r="AT338" i="611"/>
  <c r="AR338" i="611"/>
  <c r="H338" i="611" s="1"/>
  <c r="AQ338" i="611"/>
  <c r="G338" i="611" s="1"/>
  <c r="AP338" i="611"/>
  <c r="F338" i="611" s="1"/>
  <c r="AI338" i="611"/>
  <c r="AH338" i="611"/>
  <c r="AG338" i="611"/>
  <c r="AK338" i="611" s="1"/>
  <c r="AT337" i="611"/>
  <c r="AR337" i="611"/>
  <c r="H337" i="611" s="1"/>
  <c r="AQ337" i="611"/>
  <c r="G337" i="611" s="1"/>
  <c r="AP337" i="611"/>
  <c r="F337" i="611" s="1"/>
  <c r="AI337" i="611"/>
  <c r="AH337" i="611"/>
  <c r="AG337" i="611"/>
  <c r="AJ337" i="611" s="1"/>
  <c r="AT336" i="611"/>
  <c r="AR336" i="611"/>
  <c r="H336" i="611" s="1"/>
  <c r="AQ336" i="611"/>
  <c r="G336" i="611" s="1"/>
  <c r="AP336" i="611"/>
  <c r="F336" i="611" s="1"/>
  <c r="AI336" i="611"/>
  <c r="AH336" i="611"/>
  <c r="AG336" i="611"/>
  <c r="AT335" i="611"/>
  <c r="AR335" i="611"/>
  <c r="H335" i="611" s="1"/>
  <c r="AQ335" i="611"/>
  <c r="G335" i="611" s="1"/>
  <c r="AP335" i="611"/>
  <c r="F335" i="611" s="1"/>
  <c r="AI335" i="611"/>
  <c r="AH335" i="611"/>
  <c r="AG335" i="611"/>
  <c r="AK335" i="611" s="1"/>
  <c r="AT334" i="611"/>
  <c r="AR334" i="611"/>
  <c r="H334" i="611" s="1"/>
  <c r="AQ334" i="611"/>
  <c r="G334" i="611" s="1"/>
  <c r="AP334" i="611"/>
  <c r="F334" i="611" s="1"/>
  <c r="AI334" i="611"/>
  <c r="AH334" i="611"/>
  <c r="AG334" i="611"/>
  <c r="AT333" i="611"/>
  <c r="AR333" i="611"/>
  <c r="H333" i="611" s="1"/>
  <c r="AQ333" i="611"/>
  <c r="G333" i="611" s="1"/>
  <c r="AP333" i="611"/>
  <c r="F333" i="611" s="1"/>
  <c r="AI333" i="611"/>
  <c r="AH333" i="611"/>
  <c r="AG333" i="611"/>
  <c r="AT332" i="611"/>
  <c r="AR332" i="611"/>
  <c r="H332" i="611" s="1"/>
  <c r="AQ332" i="611"/>
  <c r="G332" i="611" s="1"/>
  <c r="AP332" i="611"/>
  <c r="F332" i="611" s="1"/>
  <c r="AO332" i="611"/>
  <c r="AO333" i="611" s="1"/>
  <c r="E333" i="611" s="1"/>
  <c r="AI332" i="611"/>
  <c r="AH332" i="611"/>
  <c r="AG332" i="611"/>
  <c r="AJ332" i="611" s="1"/>
  <c r="AT331" i="611"/>
  <c r="AR331" i="611"/>
  <c r="H331" i="611" s="1"/>
  <c r="AQ331" i="611"/>
  <c r="G331" i="611" s="1"/>
  <c r="AP331" i="611"/>
  <c r="F331" i="611" s="1"/>
  <c r="AI331" i="611"/>
  <c r="AH331" i="611"/>
  <c r="AG331" i="611"/>
  <c r="AK331" i="611" s="1"/>
  <c r="AT330" i="611"/>
  <c r="AR330" i="611"/>
  <c r="H330" i="611" s="1"/>
  <c r="AQ330" i="611"/>
  <c r="G330" i="611" s="1"/>
  <c r="AP330" i="611"/>
  <c r="F330" i="611" s="1"/>
  <c r="AI330" i="611"/>
  <c r="AH330" i="611"/>
  <c r="AG330" i="611"/>
  <c r="AT329" i="611"/>
  <c r="AR329" i="611"/>
  <c r="H329" i="611" s="1"/>
  <c r="AQ329" i="611"/>
  <c r="G329" i="611" s="1"/>
  <c r="AP329" i="611"/>
  <c r="F329" i="611" s="1"/>
  <c r="AI329" i="611"/>
  <c r="AH329" i="611"/>
  <c r="AG329" i="611"/>
  <c r="AT328" i="611"/>
  <c r="AR328" i="611"/>
  <c r="H328" i="611" s="1"/>
  <c r="AQ328" i="611"/>
  <c r="G328" i="611" s="1"/>
  <c r="AP328" i="611"/>
  <c r="F328" i="611" s="1"/>
  <c r="AI328" i="611"/>
  <c r="AH328" i="611"/>
  <c r="AG328" i="611"/>
  <c r="AK328" i="611" s="1"/>
  <c r="AT327" i="611"/>
  <c r="AR327" i="611"/>
  <c r="H327" i="611" s="1"/>
  <c r="AQ327" i="611"/>
  <c r="G327" i="611" s="1"/>
  <c r="AP327" i="611"/>
  <c r="F327" i="611" s="1"/>
  <c r="AI327" i="611"/>
  <c r="AH327" i="611"/>
  <c r="AG327" i="611"/>
  <c r="AK327" i="611" s="1"/>
  <c r="AT326" i="611"/>
  <c r="AR326" i="611"/>
  <c r="H326" i="611" s="1"/>
  <c r="AQ326" i="611"/>
  <c r="G326" i="611" s="1"/>
  <c r="AP326" i="611"/>
  <c r="F326" i="611" s="1"/>
  <c r="AI326" i="611"/>
  <c r="AH326" i="611"/>
  <c r="AG326" i="611"/>
  <c r="AT325" i="611"/>
  <c r="AR325" i="611"/>
  <c r="H325" i="611" s="1"/>
  <c r="AQ325" i="611"/>
  <c r="G325" i="611" s="1"/>
  <c r="AP325" i="611"/>
  <c r="F325" i="611" s="1"/>
  <c r="AO325" i="611"/>
  <c r="E325" i="611" s="1"/>
  <c r="AI325" i="611"/>
  <c r="AH325" i="611"/>
  <c r="AG325" i="611"/>
  <c r="AT324" i="611"/>
  <c r="AR324" i="611"/>
  <c r="H324" i="611" s="1"/>
  <c r="AQ324" i="611"/>
  <c r="G324" i="611" s="1"/>
  <c r="AP324" i="611"/>
  <c r="F324" i="611" s="1"/>
  <c r="AO324" i="611"/>
  <c r="E324" i="611" s="1"/>
  <c r="AN324" i="611"/>
  <c r="AN325" i="611" s="1"/>
  <c r="AI324" i="611"/>
  <c r="AH324" i="611"/>
  <c r="AG324" i="611"/>
  <c r="AT323" i="611"/>
  <c r="AR323" i="611"/>
  <c r="H323" i="611" s="1"/>
  <c r="AQ323" i="611"/>
  <c r="G323" i="611" s="1"/>
  <c r="AP323" i="611"/>
  <c r="F323" i="611" s="1"/>
  <c r="AI323" i="611"/>
  <c r="AH323" i="611"/>
  <c r="AG323" i="611"/>
  <c r="AK323" i="611" s="1"/>
  <c r="AT322" i="611"/>
  <c r="AR322" i="611"/>
  <c r="H322" i="611" s="1"/>
  <c r="AQ322" i="611"/>
  <c r="G322" i="611" s="1"/>
  <c r="AP322" i="611"/>
  <c r="F322" i="611" s="1"/>
  <c r="AI322" i="611"/>
  <c r="AH322" i="611"/>
  <c r="AG322" i="611"/>
  <c r="AT321" i="611"/>
  <c r="AR321" i="611"/>
  <c r="H321" i="611" s="1"/>
  <c r="AQ321" i="611"/>
  <c r="G321" i="611" s="1"/>
  <c r="AP321" i="611"/>
  <c r="F321" i="611" s="1"/>
  <c r="AI321" i="611"/>
  <c r="AH321" i="611"/>
  <c r="AG321" i="611"/>
  <c r="AT320" i="611"/>
  <c r="AR320" i="611"/>
  <c r="H320" i="611" s="1"/>
  <c r="AQ320" i="611"/>
  <c r="G320" i="611" s="1"/>
  <c r="AP320" i="611"/>
  <c r="F320" i="611" s="1"/>
  <c r="AI320" i="611"/>
  <c r="AH320" i="611"/>
  <c r="AG320" i="611"/>
  <c r="AT319" i="611"/>
  <c r="AR319" i="611"/>
  <c r="H319" i="611" s="1"/>
  <c r="AQ319" i="611"/>
  <c r="G319" i="611" s="1"/>
  <c r="AP319" i="611"/>
  <c r="F319" i="611" s="1"/>
  <c r="AI319" i="611"/>
  <c r="AH319" i="611"/>
  <c r="AG319" i="611"/>
  <c r="AK319" i="611" s="1"/>
  <c r="AT318" i="611"/>
  <c r="AR318" i="611"/>
  <c r="H318" i="611" s="1"/>
  <c r="AQ318" i="611"/>
  <c r="G318" i="611" s="1"/>
  <c r="AP318" i="611"/>
  <c r="F318" i="611" s="1"/>
  <c r="AI318" i="611"/>
  <c r="AH318" i="611"/>
  <c r="AG318" i="611"/>
  <c r="AT317" i="611"/>
  <c r="AR317" i="611"/>
  <c r="H317" i="611" s="1"/>
  <c r="AQ317" i="611"/>
  <c r="G317" i="611" s="1"/>
  <c r="AP317" i="611"/>
  <c r="F317" i="611" s="1"/>
  <c r="AO317" i="611"/>
  <c r="E317" i="611" s="1"/>
  <c r="AI317" i="611"/>
  <c r="AH317" i="611"/>
  <c r="AG317" i="611"/>
  <c r="AT316" i="611"/>
  <c r="AR316" i="611"/>
  <c r="H316" i="611" s="1"/>
  <c r="AQ316" i="611"/>
  <c r="G316" i="611" s="1"/>
  <c r="AP316" i="611"/>
  <c r="F316" i="611" s="1"/>
  <c r="AI316" i="611"/>
  <c r="AH316" i="611"/>
  <c r="AG316" i="611"/>
  <c r="AK316" i="611" s="1"/>
  <c r="AT315" i="611"/>
  <c r="AR315" i="611"/>
  <c r="H315" i="611" s="1"/>
  <c r="AQ315" i="611"/>
  <c r="G315" i="611" s="1"/>
  <c r="AP315" i="611"/>
  <c r="F315" i="611" s="1"/>
  <c r="AI315" i="611"/>
  <c r="AH315" i="611"/>
  <c r="AG315" i="611"/>
  <c r="AK315" i="611" s="1"/>
  <c r="AT314" i="611"/>
  <c r="AR314" i="611"/>
  <c r="H314" i="611" s="1"/>
  <c r="AQ314" i="611"/>
  <c r="G314" i="611" s="1"/>
  <c r="AP314" i="611"/>
  <c r="F314" i="611" s="1"/>
  <c r="AI314" i="611"/>
  <c r="AH314" i="611"/>
  <c r="AG314" i="611"/>
  <c r="AT313" i="611"/>
  <c r="AR313" i="611"/>
  <c r="H313" i="611" s="1"/>
  <c r="AQ313" i="611"/>
  <c r="G313" i="611" s="1"/>
  <c r="AP313" i="611"/>
  <c r="F313" i="611" s="1"/>
  <c r="AI313" i="611"/>
  <c r="AH313" i="611"/>
  <c r="AG313" i="611"/>
  <c r="AT312" i="611"/>
  <c r="AR312" i="611"/>
  <c r="H312" i="611" s="1"/>
  <c r="AQ312" i="611"/>
  <c r="G312" i="611" s="1"/>
  <c r="AP312" i="611"/>
  <c r="F312" i="611" s="1"/>
  <c r="AI312" i="611"/>
  <c r="AH312" i="611"/>
  <c r="AG312" i="611"/>
  <c r="AK312" i="611" s="1"/>
  <c r="AT311" i="611"/>
  <c r="AR311" i="611"/>
  <c r="H311" i="611" s="1"/>
  <c r="AQ311" i="611"/>
  <c r="G311" i="611" s="1"/>
  <c r="AP311" i="611"/>
  <c r="F311" i="611" s="1"/>
  <c r="AI311" i="611"/>
  <c r="AH311" i="611"/>
  <c r="AG311" i="611"/>
  <c r="AK311" i="611" s="1"/>
  <c r="AT310" i="611"/>
  <c r="AR310" i="611"/>
  <c r="H310" i="611" s="1"/>
  <c r="AQ310" i="611"/>
  <c r="G310" i="611" s="1"/>
  <c r="AP310" i="611"/>
  <c r="F310" i="611" s="1"/>
  <c r="AO310" i="611"/>
  <c r="E310" i="611" s="1"/>
  <c r="AI310" i="611"/>
  <c r="AH310" i="611"/>
  <c r="AG310" i="611"/>
  <c r="AT309" i="611"/>
  <c r="AR309" i="611"/>
  <c r="H309" i="611" s="1"/>
  <c r="AQ309" i="611"/>
  <c r="G309" i="611" s="1"/>
  <c r="AP309" i="611"/>
  <c r="F309" i="611" s="1"/>
  <c r="AI309" i="611"/>
  <c r="AH309" i="611"/>
  <c r="AG309" i="611"/>
  <c r="AT308" i="611"/>
  <c r="AR308" i="611"/>
  <c r="H308" i="611" s="1"/>
  <c r="AQ308" i="611"/>
  <c r="G308" i="611" s="1"/>
  <c r="AP308" i="611"/>
  <c r="F308" i="611" s="1"/>
  <c r="AI308" i="611"/>
  <c r="AH308" i="611"/>
  <c r="AG308" i="611"/>
  <c r="AJ308" i="611" s="1"/>
  <c r="AT307" i="611"/>
  <c r="AR307" i="611"/>
  <c r="H307" i="611" s="1"/>
  <c r="AQ307" i="611"/>
  <c r="G307" i="611" s="1"/>
  <c r="AP307" i="611"/>
  <c r="F307" i="611" s="1"/>
  <c r="AI307" i="611"/>
  <c r="AH307" i="611"/>
  <c r="AG307" i="611"/>
  <c r="AK307" i="611" s="1"/>
  <c r="AT306" i="611"/>
  <c r="AR306" i="611"/>
  <c r="H306" i="611" s="1"/>
  <c r="AQ306" i="611"/>
  <c r="G306" i="611" s="1"/>
  <c r="AP306" i="611"/>
  <c r="F306" i="611" s="1"/>
  <c r="AI306" i="611"/>
  <c r="AH306" i="611"/>
  <c r="AG306" i="611"/>
  <c r="AT305" i="611"/>
  <c r="AR305" i="611"/>
  <c r="H305" i="611" s="1"/>
  <c r="AQ305" i="611"/>
  <c r="G305" i="611" s="1"/>
  <c r="AP305" i="611"/>
  <c r="F305" i="611" s="1"/>
  <c r="AI305" i="611"/>
  <c r="AH305" i="611"/>
  <c r="AG305" i="611"/>
  <c r="AK305" i="611" s="1"/>
  <c r="AT304" i="611"/>
  <c r="AR304" i="611"/>
  <c r="H304" i="611" s="1"/>
  <c r="AQ304" i="611"/>
  <c r="G304" i="611" s="1"/>
  <c r="AP304" i="611"/>
  <c r="F304" i="611" s="1"/>
  <c r="AI304" i="611"/>
  <c r="AH304" i="611"/>
  <c r="AG304" i="611"/>
  <c r="AK304" i="611" s="1"/>
  <c r="AT303" i="611"/>
  <c r="AR303" i="611"/>
  <c r="H303" i="611" s="1"/>
  <c r="AQ303" i="611"/>
  <c r="G303" i="611" s="1"/>
  <c r="AP303" i="611"/>
  <c r="F303" i="611" s="1"/>
  <c r="AO303" i="611"/>
  <c r="E303" i="611" s="1"/>
  <c r="AI303" i="611"/>
  <c r="AH303" i="611"/>
  <c r="AG303" i="611"/>
  <c r="AJ303" i="611" s="1"/>
  <c r="AT302" i="611"/>
  <c r="AR302" i="611"/>
  <c r="H302" i="611" s="1"/>
  <c r="AQ302" i="611"/>
  <c r="G302" i="611" s="1"/>
  <c r="AP302" i="611"/>
  <c r="F302" i="611" s="1"/>
  <c r="AI302" i="611"/>
  <c r="AH302" i="611"/>
  <c r="AG302" i="611"/>
  <c r="AJ302" i="611" s="1"/>
  <c r="AT301" i="611"/>
  <c r="AR301" i="611"/>
  <c r="H301" i="611" s="1"/>
  <c r="AQ301" i="611"/>
  <c r="G301" i="611" s="1"/>
  <c r="AP301" i="611"/>
  <c r="F301" i="611" s="1"/>
  <c r="AI301" i="611"/>
  <c r="AH301" i="611"/>
  <c r="AG301" i="611"/>
  <c r="AK301" i="611" s="1"/>
  <c r="AT300" i="611"/>
  <c r="AR300" i="611"/>
  <c r="H300" i="611" s="1"/>
  <c r="AQ300" i="611"/>
  <c r="G300" i="611" s="1"/>
  <c r="AP300" i="611"/>
  <c r="F300" i="611" s="1"/>
  <c r="AO300" i="611"/>
  <c r="AI300" i="611"/>
  <c r="AH300" i="611"/>
  <c r="AG300" i="611"/>
  <c r="AT299" i="611"/>
  <c r="AR299" i="611"/>
  <c r="H299" i="611" s="1"/>
  <c r="AQ299" i="611"/>
  <c r="G299" i="611" s="1"/>
  <c r="AP299" i="611"/>
  <c r="F299" i="611" s="1"/>
  <c r="AI299" i="611"/>
  <c r="AH299" i="611"/>
  <c r="AG299" i="611"/>
  <c r="AJ299" i="611" s="1"/>
  <c r="AT298" i="611"/>
  <c r="AR298" i="611"/>
  <c r="H298" i="611" s="1"/>
  <c r="AQ298" i="611"/>
  <c r="G298" i="611" s="1"/>
  <c r="AP298" i="611"/>
  <c r="F298" i="611" s="1"/>
  <c r="AI298" i="611"/>
  <c r="AH298" i="611"/>
  <c r="AG298" i="611"/>
  <c r="AJ298" i="611" s="1"/>
  <c r="AT297" i="611"/>
  <c r="AR297" i="611"/>
  <c r="H297" i="611" s="1"/>
  <c r="AQ297" i="611"/>
  <c r="G297" i="611" s="1"/>
  <c r="AP297" i="611"/>
  <c r="F297" i="611" s="1"/>
  <c r="AO297" i="611"/>
  <c r="AI297" i="611"/>
  <c r="AH297" i="611"/>
  <c r="AG297" i="611"/>
  <c r="AT296" i="611"/>
  <c r="AR296" i="611"/>
  <c r="H296" i="611" s="1"/>
  <c r="AQ296" i="611"/>
  <c r="G296" i="611" s="1"/>
  <c r="AP296" i="611"/>
  <c r="F296" i="611" s="1"/>
  <c r="AI296" i="611"/>
  <c r="AH296" i="611"/>
  <c r="AG296" i="611"/>
  <c r="AK296" i="611" s="1"/>
  <c r="AT295" i="611"/>
  <c r="AR295" i="611"/>
  <c r="H295" i="611" s="1"/>
  <c r="AQ295" i="611"/>
  <c r="G295" i="611" s="1"/>
  <c r="AP295" i="611"/>
  <c r="F295" i="611" s="1"/>
  <c r="AI295" i="611"/>
  <c r="AH295" i="611"/>
  <c r="AG295" i="611"/>
  <c r="AJ295" i="611" s="1"/>
  <c r="AT294" i="611"/>
  <c r="AR294" i="611"/>
  <c r="H294" i="611" s="1"/>
  <c r="AQ294" i="611"/>
  <c r="G294" i="611" s="1"/>
  <c r="AP294" i="611"/>
  <c r="F294" i="611" s="1"/>
  <c r="AI294" i="611"/>
  <c r="AK294" i="611" s="1"/>
  <c r="AH294" i="611"/>
  <c r="AG294" i="611"/>
  <c r="AT293" i="611"/>
  <c r="AR293" i="611"/>
  <c r="H293" i="611" s="1"/>
  <c r="AQ293" i="611"/>
  <c r="G293" i="611" s="1"/>
  <c r="AP293" i="611"/>
  <c r="F293" i="611" s="1"/>
  <c r="AI293" i="611"/>
  <c r="AH293" i="611"/>
  <c r="AG293" i="611"/>
  <c r="AK293" i="611" s="1"/>
  <c r="AT292" i="611"/>
  <c r="AR292" i="611"/>
  <c r="H292" i="611" s="1"/>
  <c r="AQ292" i="611"/>
  <c r="G292" i="611" s="1"/>
  <c r="AP292" i="611"/>
  <c r="F292" i="611" s="1"/>
  <c r="AI292" i="611"/>
  <c r="AH292" i="611"/>
  <c r="AG292" i="611"/>
  <c r="AT291" i="611"/>
  <c r="AR291" i="611"/>
  <c r="H291" i="611" s="1"/>
  <c r="AQ291" i="611"/>
  <c r="G291" i="611" s="1"/>
  <c r="AP291" i="611"/>
  <c r="F291" i="611" s="1"/>
  <c r="AI291" i="611"/>
  <c r="AH291" i="611"/>
  <c r="AG291" i="611"/>
  <c r="AK291" i="611" s="1"/>
  <c r="AT290" i="611"/>
  <c r="AR290" i="611"/>
  <c r="H290" i="611" s="1"/>
  <c r="AQ290" i="611"/>
  <c r="G290" i="611" s="1"/>
  <c r="AP290" i="611"/>
  <c r="F290" i="611" s="1"/>
  <c r="AO290" i="611"/>
  <c r="E290" i="611" s="1"/>
  <c r="AI290" i="611"/>
  <c r="AH290" i="611"/>
  <c r="AG290" i="611"/>
  <c r="AK290" i="611" s="1"/>
  <c r="AT289" i="611"/>
  <c r="AR289" i="611"/>
  <c r="H289" i="611" s="1"/>
  <c r="AQ289" i="611"/>
  <c r="G289" i="611" s="1"/>
  <c r="AP289" i="611"/>
  <c r="F289" i="611" s="1"/>
  <c r="AI289" i="611"/>
  <c r="AH289" i="611"/>
  <c r="AG289" i="611"/>
  <c r="AK289" i="611" s="1"/>
  <c r="AT288" i="611"/>
  <c r="AR288" i="611"/>
  <c r="H288" i="611" s="1"/>
  <c r="AQ288" i="611"/>
  <c r="G288" i="611" s="1"/>
  <c r="AP288" i="611"/>
  <c r="F288" i="611" s="1"/>
  <c r="AI288" i="611"/>
  <c r="AH288" i="611"/>
  <c r="AG288" i="611"/>
  <c r="AT287" i="611"/>
  <c r="AR287" i="611"/>
  <c r="H287" i="611" s="1"/>
  <c r="AQ287" i="611"/>
  <c r="G287" i="611" s="1"/>
  <c r="AP287" i="611"/>
  <c r="F287" i="611" s="1"/>
  <c r="AI287" i="611"/>
  <c r="AH287" i="611"/>
  <c r="AG287" i="611"/>
  <c r="AK287" i="611" s="1"/>
  <c r="AT286" i="611"/>
  <c r="AR286" i="611"/>
  <c r="H286" i="611" s="1"/>
  <c r="AQ286" i="611"/>
  <c r="G286" i="611" s="1"/>
  <c r="AP286" i="611"/>
  <c r="F286" i="611" s="1"/>
  <c r="AI286" i="611"/>
  <c r="AH286" i="611"/>
  <c r="AG286" i="611"/>
  <c r="AT285" i="611"/>
  <c r="AR285" i="611"/>
  <c r="H285" i="611" s="1"/>
  <c r="AQ285" i="611"/>
  <c r="G285" i="611" s="1"/>
  <c r="AP285" i="611"/>
  <c r="F285" i="611" s="1"/>
  <c r="AI285" i="611"/>
  <c r="AH285" i="611"/>
  <c r="AG285" i="611"/>
  <c r="AT284" i="611"/>
  <c r="AR284" i="611"/>
  <c r="H284" i="611" s="1"/>
  <c r="AQ284" i="611"/>
  <c r="G284" i="611" s="1"/>
  <c r="AP284" i="611"/>
  <c r="F284" i="611" s="1"/>
  <c r="AI284" i="611"/>
  <c r="AH284" i="611"/>
  <c r="AG284" i="611"/>
  <c r="AT283" i="611"/>
  <c r="AR283" i="611"/>
  <c r="H283" i="611" s="1"/>
  <c r="AQ283" i="611"/>
  <c r="G283" i="611" s="1"/>
  <c r="AP283" i="611"/>
  <c r="F283" i="611" s="1"/>
  <c r="AO283" i="611"/>
  <c r="AO284" i="611" s="1"/>
  <c r="AO285" i="611" s="1"/>
  <c r="AI283" i="611"/>
  <c r="AH283" i="611"/>
  <c r="AG283" i="611"/>
  <c r="AT282" i="611"/>
  <c r="AR282" i="611"/>
  <c r="H282" i="611" s="1"/>
  <c r="AQ282" i="611"/>
  <c r="G282" i="611" s="1"/>
  <c r="AP282" i="611"/>
  <c r="F282" i="611" s="1"/>
  <c r="AI282" i="611"/>
  <c r="AH282" i="611"/>
  <c r="AG282" i="611"/>
  <c r="AK282" i="611" s="1"/>
  <c r="AT281" i="611"/>
  <c r="AR281" i="611"/>
  <c r="H281" i="611" s="1"/>
  <c r="AQ281" i="611"/>
  <c r="G281" i="611" s="1"/>
  <c r="AP281" i="611"/>
  <c r="F281" i="611" s="1"/>
  <c r="AI281" i="611"/>
  <c r="AH281" i="611"/>
  <c r="AG281" i="611"/>
  <c r="AK281" i="611" s="1"/>
  <c r="AT280" i="611"/>
  <c r="AR280" i="611"/>
  <c r="H280" i="611" s="1"/>
  <c r="AQ280" i="611"/>
  <c r="G280" i="611" s="1"/>
  <c r="AP280" i="611"/>
  <c r="F280" i="611" s="1"/>
  <c r="AI280" i="611"/>
  <c r="AH280" i="611"/>
  <c r="AG280" i="611"/>
  <c r="AT279" i="611"/>
  <c r="AR279" i="611"/>
  <c r="H279" i="611" s="1"/>
  <c r="AQ279" i="611"/>
  <c r="G279" i="611" s="1"/>
  <c r="AP279" i="611"/>
  <c r="F279" i="611" s="1"/>
  <c r="AI279" i="611"/>
  <c r="AH279" i="611"/>
  <c r="AG279" i="611"/>
  <c r="AK279" i="611" s="1"/>
  <c r="AT278" i="611"/>
  <c r="AR278" i="611"/>
  <c r="H278" i="611" s="1"/>
  <c r="AQ278" i="611"/>
  <c r="G278" i="611" s="1"/>
  <c r="AP278" i="611"/>
  <c r="F278" i="611" s="1"/>
  <c r="AI278" i="611"/>
  <c r="AH278" i="611"/>
  <c r="AG278" i="611"/>
  <c r="AT277" i="611"/>
  <c r="AR277" i="611"/>
  <c r="H277" i="611" s="1"/>
  <c r="AQ277" i="611"/>
  <c r="G277" i="611" s="1"/>
  <c r="AP277" i="611"/>
  <c r="F277" i="611" s="1"/>
  <c r="AI277" i="611"/>
  <c r="AH277" i="611"/>
  <c r="AG277" i="611"/>
  <c r="AT276" i="611"/>
  <c r="AR276" i="611"/>
  <c r="H276" i="611" s="1"/>
  <c r="AQ276" i="611"/>
  <c r="G276" i="611" s="1"/>
  <c r="AP276" i="611"/>
  <c r="F276" i="611" s="1"/>
  <c r="AO276" i="611"/>
  <c r="AO277" i="611" s="1"/>
  <c r="AI276" i="611"/>
  <c r="AH276" i="611"/>
  <c r="AG276" i="611"/>
  <c r="AT275" i="611"/>
  <c r="AR275" i="611"/>
  <c r="H275" i="611" s="1"/>
  <c r="AQ275" i="611"/>
  <c r="G275" i="611" s="1"/>
  <c r="AP275" i="611"/>
  <c r="F275" i="611" s="1"/>
  <c r="AI275" i="611"/>
  <c r="AH275" i="611"/>
  <c r="AG275" i="611"/>
  <c r="AK275" i="611" s="1"/>
  <c r="AT274" i="611"/>
  <c r="AR274" i="611"/>
  <c r="H274" i="611" s="1"/>
  <c r="AQ274" i="611"/>
  <c r="G274" i="611" s="1"/>
  <c r="AP274" i="611"/>
  <c r="F274" i="611" s="1"/>
  <c r="AK274" i="611"/>
  <c r="AJ274" i="611"/>
  <c r="AI274" i="611"/>
  <c r="AH274" i="611"/>
  <c r="AG274" i="611"/>
  <c r="AT273" i="611"/>
  <c r="AR273" i="611"/>
  <c r="H273" i="611" s="1"/>
  <c r="AQ273" i="611"/>
  <c r="G273" i="611" s="1"/>
  <c r="AP273" i="611"/>
  <c r="F273" i="611" s="1"/>
  <c r="AI273" i="611"/>
  <c r="AH273" i="611"/>
  <c r="AG273" i="611"/>
  <c r="AT272" i="611"/>
  <c r="AR272" i="611"/>
  <c r="H272" i="611" s="1"/>
  <c r="AQ272" i="611"/>
  <c r="G272" i="611" s="1"/>
  <c r="AP272" i="611"/>
  <c r="F272" i="611" s="1"/>
  <c r="AI272" i="611"/>
  <c r="AH272" i="611"/>
  <c r="AG272" i="611"/>
  <c r="AK272" i="611" s="1"/>
  <c r="AT271" i="611"/>
  <c r="AR271" i="611"/>
  <c r="H271" i="611" s="1"/>
  <c r="AQ271" i="611"/>
  <c r="G271" i="611" s="1"/>
  <c r="AP271" i="611"/>
  <c r="F271" i="611" s="1"/>
  <c r="AI271" i="611"/>
  <c r="AH271" i="611"/>
  <c r="AG271" i="611"/>
  <c r="AK271" i="611" s="1"/>
  <c r="AT270" i="611"/>
  <c r="AR270" i="611"/>
  <c r="H270" i="611" s="1"/>
  <c r="AQ270" i="611"/>
  <c r="G270" i="611" s="1"/>
  <c r="AP270" i="611"/>
  <c r="F270" i="611" s="1"/>
  <c r="AI270" i="611"/>
  <c r="AH270" i="611"/>
  <c r="AG270" i="611"/>
  <c r="AT269" i="611"/>
  <c r="AR269" i="611"/>
  <c r="H269" i="611" s="1"/>
  <c r="AQ269" i="611"/>
  <c r="G269" i="611" s="1"/>
  <c r="AP269" i="611"/>
  <c r="F269" i="611" s="1"/>
  <c r="AO269" i="611"/>
  <c r="E269" i="611" s="1"/>
  <c r="AI269" i="611"/>
  <c r="AH269" i="611"/>
  <c r="AG269" i="611"/>
  <c r="AK269" i="611" s="1"/>
  <c r="AT268" i="611"/>
  <c r="AR268" i="611"/>
  <c r="H268" i="611" s="1"/>
  <c r="AQ268" i="611"/>
  <c r="G268" i="611" s="1"/>
  <c r="AP268" i="611"/>
  <c r="F268" i="611" s="1"/>
  <c r="AI268" i="611"/>
  <c r="AH268" i="611"/>
  <c r="AG268" i="611"/>
  <c r="AT267" i="611"/>
  <c r="AR267" i="611"/>
  <c r="H267" i="611" s="1"/>
  <c r="AQ267" i="611"/>
  <c r="G267" i="611" s="1"/>
  <c r="AP267" i="611"/>
  <c r="F267" i="611" s="1"/>
  <c r="AI267" i="611"/>
  <c r="AH267" i="611"/>
  <c r="AG267" i="611"/>
  <c r="AK267" i="611" s="1"/>
  <c r="AT266" i="611"/>
  <c r="AR266" i="611"/>
  <c r="H266" i="611" s="1"/>
  <c r="AQ266" i="611"/>
  <c r="G266" i="611" s="1"/>
  <c r="AP266" i="611"/>
  <c r="F266" i="611" s="1"/>
  <c r="AI266" i="611"/>
  <c r="AH266" i="611"/>
  <c r="AG266" i="611"/>
  <c r="AT265" i="611"/>
  <c r="AR265" i="611"/>
  <c r="H265" i="611" s="1"/>
  <c r="AQ265" i="611"/>
  <c r="G265" i="611" s="1"/>
  <c r="AP265" i="611"/>
  <c r="F265" i="611" s="1"/>
  <c r="AI265" i="611"/>
  <c r="AH265" i="611"/>
  <c r="AG265" i="611"/>
  <c r="AT264" i="611"/>
  <c r="AR264" i="611"/>
  <c r="H264" i="611" s="1"/>
  <c r="AQ264" i="611"/>
  <c r="G264" i="611" s="1"/>
  <c r="AP264" i="611"/>
  <c r="F264" i="611" s="1"/>
  <c r="AI264" i="611"/>
  <c r="AH264" i="611"/>
  <c r="AG264" i="611"/>
  <c r="AT263" i="611"/>
  <c r="AR263" i="611"/>
  <c r="H263" i="611" s="1"/>
  <c r="AQ263" i="611"/>
  <c r="G263" i="611" s="1"/>
  <c r="AP263" i="611"/>
  <c r="F263" i="611" s="1"/>
  <c r="AI263" i="611"/>
  <c r="AH263" i="611"/>
  <c r="AG263" i="611"/>
  <c r="AK263" i="611" s="1"/>
  <c r="AT262" i="611"/>
  <c r="AR262" i="611"/>
  <c r="H262" i="611" s="1"/>
  <c r="AQ262" i="611"/>
  <c r="G262" i="611" s="1"/>
  <c r="AP262" i="611"/>
  <c r="F262" i="611" s="1"/>
  <c r="AO262" i="611"/>
  <c r="E262" i="611" s="1"/>
  <c r="AI262" i="611"/>
  <c r="AH262" i="611"/>
  <c r="AG262" i="611"/>
  <c r="AK262" i="611" s="1"/>
  <c r="AT261" i="611"/>
  <c r="AR261" i="611"/>
  <c r="H261" i="611" s="1"/>
  <c r="AQ261" i="611"/>
  <c r="G261" i="611" s="1"/>
  <c r="AP261" i="611"/>
  <c r="F261" i="611" s="1"/>
  <c r="AI261" i="611"/>
  <c r="AH261" i="611"/>
  <c r="AG261" i="611"/>
  <c r="AT260" i="611"/>
  <c r="AR260" i="611"/>
  <c r="H260" i="611" s="1"/>
  <c r="AQ260" i="611"/>
  <c r="G260" i="611" s="1"/>
  <c r="AP260" i="611"/>
  <c r="F260" i="611" s="1"/>
  <c r="AI260" i="611"/>
  <c r="AH260" i="611"/>
  <c r="AG260" i="611"/>
  <c r="AT259" i="611"/>
  <c r="AR259" i="611"/>
  <c r="H259" i="611" s="1"/>
  <c r="AQ259" i="611"/>
  <c r="G259" i="611" s="1"/>
  <c r="AP259" i="611"/>
  <c r="F259" i="611" s="1"/>
  <c r="AI259" i="611"/>
  <c r="AH259" i="611"/>
  <c r="AG259" i="611"/>
  <c r="AJ259" i="611" s="1"/>
  <c r="AT258" i="611"/>
  <c r="AR258" i="611"/>
  <c r="H258" i="611" s="1"/>
  <c r="AQ258" i="611"/>
  <c r="G258" i="611" s="1"/>
  <c r="AP258" i="611"/>
  <c r="F258" i="611" s="1"/>
  <c r="AI258" i="611"/>
  <c r="AH258" i="611"/>
  <c r="AG258" i="611"/>
  <c r="AT257" i="611"/>
  <c r="AR257" i="611"/>
  <c r="H257" i="611" s="1"/>
  <c r="AQ257" i="611"/>
  <c r="G257" i="611" s="1"/>
  <c r="AP257" i="611"/>
  <c r="F257" i="611" s="1"/>
  <c r="AI257" i="611"/>
  <c r="AH257" i="611"/>
  <c r="AG257" i="611"/>
  <c r="AT256" i="611"/>
  <c r="AR256" i="611"/>
  <c r="H256" i="611" s="1"/>
  <c r="AQ256" i="611"/>
  <c r="G256" i="611" s="1"/>
  <c r="AP256" i="611"/>
  <c r="F256" i="611" s="1"/>
  <c r="AI256" i="611"/>
  <c r="AK256" i="611" s="1"/>
  <c r="AH256" i="611"/>
  <c r="AG256" i="611"/>
  <c r="AJ256" i="611" s="1"/>
  <c r="AT255" i="611"/>
  <c r="AR255" i="611"/>
  <c r="H255" i="611" s="1"/>
  <c r="AQ255" i="611"/>
  <c r="G255" i="611" s="1"/>
  <c r="AP255" i="611"/>
  <c r="F255" i="611" s="1"/>
  <c r="AO255" i="611"/>
  <c r="AO256" i="611" s="1"/>
  <c r="AI255" i="611"/>
  <c r="AH255" i="611"/>
  <c r="AG255" i="611"/>
  <c r="AK255" i="611" s="1"/>
  <c r="AT254" i="611"/>
  <c r="AR254" i="611"/>
  <c r="H254" i="611" s="1"/>
  <c r="AQ254" i="611"/>
  <c r="G254" i="611" s="1"/>
  <c r="AP254" i="611"/>
  <c r="F254" i="611" s="1"/>
  <c r="AI254" i="611"/>
  <c r="AH254" i="611"/>
  <c r="AG254" i="611"/>
  <c r="AT253" i="611"/>
  <c r="AR253" i="611"/>
  <c r="H253" i="611" s="1"/>
  <c r="AQ253" i="611"/>
  <c r="G253" i="611" s="1"/>
  <c r="AP253" i="611"/>
  <c r="F253" i="611" s="1"/>
  <c r="AI253" i="611"/>
  <c r="AH253" i="611"/>
  <c r="AG253" i="611"/>
  <c r="AT252" i="611"/>
  <c r="AR252" i="611"/>
  <c r="H252" i="611" s="1"/>
  <c r="AQ252" i="611"/>
  <c r="G252" i="611" s="1"/>
  <c r="AP252" i="611"/>
  <c r="F252" i="611" s="1"/>
  <c r="AI252" i="611"/>
  <c r="AH252" i="611"/>
  <c r="AG252" i="611"/>
  <c r="AJ252" i="611" s="1"/>
  <c r="AT251" i="611"/>
  <c r="AR251" i="611"/>
  <c r="H251" i="611" s="1"/>
  <c r="AQ251" i="611"/>
  <c r="G251" i="611" s="1"/>
  <c r="AP251" i="611"/>
  <c r="F251" i="611" s="1"/>
  <c r="AI251" i="611"/>
  <c r="AH251" i="611"/>
  <c r="AG251" i="611"/>
  <c r="AK251" i="611" s="1"/>
  <c r="AT250" i="611"/>
  <c r="AR250" i="611"/>
  <c r="H250" i="611" s="1"/>
  <c r="AQ250" i="611"/>
  <c r="G250" i="611" s="1"/>
  <c r="AP250" i="611"/>
  <c r="F250" i="611" s="1"/>
  <c r="AI250" i="611"/>
  <c r="AH250" i="611"/>
  <c r="AG250" i="611"/>
  <c r="AT249" i="611"/>
  <c r="AR249" i="611"/>
  <c r="H249" i="611" s="1"/>
  <c r="AQ249" i="611"/>
  <c r="G249" i="611" s="1"/>
  <c r="AP249" i="611"/>
  <c r="F249" i="611" s="1"/>
  <c r="AI249" i="611"/>
  <c r="AH249" i="611"/>
  <c r="AG249" i="611"/>
  <c r="AT248" i="611"/>
  <c r="AR248" i="611"/>
  <c r="H248" i="611" s="1"/>
  <c r="AQ248" i="611"/>
  <c r="G248" i="611" s="1"/>
  <c r="AP248" i="611"/>
  <c r="F248" i="611" s="1"/>
  <c r="AO248" i="611"/>
  <c r="AO249" i="611" s="1"/>
  <c r="AO250" i="611" s="1"/>
  <c r="AI248" i="611"/>
  <c r="AH248" i="611"/>
  <c r="AG248" i="611"/>
  <c r="AJ248" i="611" s="1"/>
  <c r="AT247" i="611"/>
  <c r="AR247" i="611"/>
  <c r="H247" i="611" s="1"/>
  <c r="AQ247" i="611"/>
  <c r="G247" i="611" s="1"/>
  <c r="AP247" i="611"/>
  <c r="F247" i="611" s="1"/>
  <c r="AI247" i="611"/>
  <c r="AH247" i="611"/>
  <c r="AG247" i="611"/>
  <c r="AK247" i="611" s="1"/>
  <c r="AT246" i="611"/>
  <c r="AR246" i="611"/>
  <c r="H246" i="611" s="1"/>
  <c r="AQ246" i="611"/>
  <c r="G246" i="611" s="1"/>
  <c r="AP246" i="611"/>
  <c r="F246" i="611" s="1"/>
  <c r="AI246" i="611"/>
  <c r="AK246" i="611" s="1"/>
  <c r="AH246" i="611"/>
  <c r="AG246" i="611"/>
  <c r="AT245" i="611"/>
  <c r="AR245" i="611"/>
  <c r="H245" i="611" s="1"/>
  <c r="AQ245" i="611"/>
  <c r="G245" i="611" s="1"/>
  <c r="AP245" i="611"/>
  <c r="F245" i="611" s="1"/>
  <c r="AI245" i="611"/>
  <c r="AH245" i="611"/>
  <c r="AG245" i="611"/>
  <c r="AT244" i="611"/>
  <c r="AR244" i="611"/>
  <c r="H244" i="611" s="1"/>
  <c r="AQ244" i="611"/>
  <c r="G244" i="611" s="1"/>
  <c r="AP244" i="611"/>
  <c r="F244" i="611" s="1"/>
  <c r="AI244" i="611"/>
  <c r="AH244" i="611"/>
  <c r="AG244" i="611"/>
  <c r="AJ244" i="611" s="1"/>
  <c r="AT243" i="611"/>
  <c r="AR243" i="611"/>
  <c r="H243" i="611" s="1"/>
  <c r="AQ243" i="611"/>
  <c r="G243" i="611" s="1"/>
  <c r="AP243" i="611"/>
  <c r="F243" i="611" s="1"/>
  <c r="AI243" i="611"/>
  <c r="AH243" i="611"/>
  <c r="AG243" i="611"/>
  <c r="AK243" i="611" s="1"/>
  <c r="AT242" i="611"/>
  <c r="AR242" i="611"/>
  <c r="H242" i="611" s="1"/>
  <c r="AQ242" i="611"/>
  <c r="G242" i="611" s="1"/>
  <c r="AP242" i="611"/>
  <c r="F242" i="611" s="1"/>
  <c r="AI242" i="611"/>
  <c r="AH242" i="611"/>
  <c r="AG242" i="611"/>
  <c r="AT241" i="611"/>
  <c r="AR241" i="611"/>
  <c r="H241" i="611" s="1"/>
  <c r="AQ241" i="611"/>
  <c r="G241" i="611" s="1"/>
  <c r="AP241" i="611"/>
  <c r="F241" i="611" s="1"/>
  <c r="AO241" i="611"/>
  <c r="E241" i="611" s="1"/>
  <c r="AI241" i="611"/>
  <c r="AH241" i="611"/>
  <c r="AG241" i="611"/>
  <c r="AT240" i="611"/>
  <c r="AR240" i="611"/>
  <c r="H240" i="611" s="1"/>
  <c r="AQ240" i="611"/>
  <c r="G240" i="611" s="1"/>
  <c r="AP240" i="611"/>
  <c r="F240" i="611" s="1"/>
  <c r="AI240" i="611"/>
  <c r="AH240" i="611"/>
  <c r="AG240" i="611"/>
  <c r="AT239" i="611"/>
  <c r="AR239" i="611"/>
  <c r="H239" i="611" s="1"/>
  <c r="AQ239" i="611"/>
  <c r="G239" i="611" s="1"/>
  <c r="AP239" i="611"/>
  <c r="F239" i="611" s="1"/>
  <c r="AI239" i="611"/>
  <c r="AH239" i="611"/>
  <c r="AG239" i="611"/>
  <c r="AK239" i="611" s="1"/>
  <c r="AT238" i="611"/>
  <c r="AR238" i="611"/>
  <c r="H238" i="611" s="1"/>
  <c r="AQ238" i="611"/>
  <c r="G238" i="611" s="1"/>
  <c r="AP238" i="611"/>
  <c r="F238" i="611" s="1"/>
  <c r="AI238" i="611"/>
  <c r="AH238" i="611"/>
  <c r="AG238" i="611"/>
  <c r="AT237" i="611"/>
  <c r="AR237" i="611"/>
  <c r="H237" i="611" s="1"/>
  <c r="AQ237" i="611"/>
  <c r="G237" i="611" s="1"/>
  <c r="AP237" i="611"/>
  <c r="F237" i="611" s="1"/>
  <c r="AI237" i="611"/>
  <c r="AH237" i="611"/>
  <c r="AG237" i="611"/>
  <c r="AT236" i="611"/>
  <c r="AR236" i="611"/>
  <c r="H236" i="611" s="1"/>
  <c r="AQ236" i="611"/>
  <c r="G236" i="611" s="1"/>
  <c r="AP236" i="611"/>
  <c r="F236" i="611" s="1"/>
  <c r="AI236" i="611"/>
  <c r="AH236" i="611"/>
  <c r="AG236" i="611"/>
  <c r="AJ236" i="611" s="1"/>
  <c r="AT235" i="611"/>
  <c r="AR235" i="611"/>
  <c r="H235" i="611" s="1"/>
  <c r="AQ235" i="611"/>
  <c r="G235" i="611" s="1"/>
  <c r="AP235" i="611"/>
  <c r="F235" i="611" s="1"/>
  <c r="AI235" i="611"/>
  <c r="AH235" i="611"/>
  <c r="AG235" i="611"/>
  <c r="AK235" i="611" s="1"/>
  <c r="AT234" i="611"/>
  <c r="AR234" i="611"/>
  <c r="H234" i="611" s="1"/>
  <c r="AQ234" i="611"/>
  <c r="G234" i="611" s="1"/>
  <c r="AP234" i="611"/>
  <c r="F234" i="611" s="1"/>
  <c r="AO234" i="611"/>
  <c r="AO235" i="611" s="1"/>
  <c r="AI234" i="611"/>
  <c r="AH234" i="611"/>
  <c r="AG234" i="611"/>
  <c r="AT233" i="611"/>
  <c r="AR233" i="611"/>
  <c r="H233" i="611" s="1"/>
  <c r="AQ233" i="611"/>
  <c r="G233" i="611" s="1"/>
  <c r="AP233" i="611"/>
  <c r="F233" i="611" s="1"/>
  <c r="AI233" i="611"/>
  <c r="AH233" i="611"/>
  <c r="AG233" i="611"/>
  <c r="AT232" i="611"/>
  <c r="AR232" i="611"/>
  <c r="H232" i="611" s="1"/>
  <c r="AQ232" i="611"/>
  <c r="G232" i="611" s="1"/>
  <c r="AP232" i="611"/>
  <c r="F232" i="611" s="1"/>
  <c r="AI232" i="611"/>
  <c r="AH232" i="611"/>
  <c r="AG232" i="611"/>
  <c r="AJ232" i="611" s="1"/>
  <c r="AT231" i="611"/>
  <c r="AR231" i="611"/>
  <c r="H231" i="611" s="1"/>
  <c r="AQ231" i="611"/>
  <c r="G231" i="611" s="1"/>
  <c r="AP231" i="611"/>
  <c r="F231" i="611" s="1"/>
  <c r="AI231" i="611"/>
  <c r="AH231" i="611"/>
  <c r="AG231" i="611"/>
  <c r="AT230" i="611"/>
  <c r="AR230" i="611"/>
  <c r="H230" i="611" s="1"/>
  <c r="AQ230" i="611"/>
  <c r="G230" i="611" s="1"/>
  <c r="AP230" i="611"/>
  <c r="F230" i="611" s="1"/>
  <c r="AI230" i="611"/>
  <c r="AH230" i="611"/>
  <c r="AG230" i="611"/>
  <c r="AT229" i="611"/>
  <c r="AR229" i="611"/>
  <c r="H229" i="611" s="1"/>
  <c r="AQ229" i="611"/>
  <c r="G229" i="611" s="1"/>
  <c r="AP229" i="611"/>
  <c r="F229" i="611" s="1"/>
  <c r="AI229" i="611"/>
  <c r="AH229" i="611"/>
  <c r="AG229" i="611"/>
  <c r="AT228" i="611"/>
  <c r="AR228" i="611"/>
  <c r="H228" i="611" s="1"/>
  <c r="AQ228" i="611"/>
  <c r="G228" i="611" s="1"/>
  <c r="AP228" i="611"/>
  <c r="F228" i="611" s="1"/>
  <c r="AI228" i="611"/>
  <c r="AH228" i="611"/>
  <c r="AG228" i="611"/>
  <c r="AT227" i="611"/>
  <c r="AR227" i="611"/>
  <c r="H227" i="611" s="1"/>
  <c r="AQ227" i="611"/>
  <c r="G227" i="611" s="1"/>
  <c r="AP227" i="611"/>
  <c r="F227" i="611" s="1"/>
  <c r="AO227" i="611"/>
  <c r="AI227" i="611"/>
  <c r="AH227" i="611"/>
  <c r="AG227" i="611"/>
  <c r="AK227" i="611" s="1"/>
  <c r="AT226" i="611"/>
  <c r="AR226" i="611"/>
  <c r="H226" i="611" s="1"/>
  <c r="AQ226" i="611"/>
  <c r="G226" i="611" s="1"/>
  <c r="AP226" i="611"/>
  <c r="F226" i="611" s="1"/>
  <c r="AI226" i="611"/>
  <c r="AH226" i="611"/>
  <c r="AG226" i="611"/>
  <c r="AT225" i="611"/>
  <c r="AR225" i="611"/>
  <c r="H225" i="611" s="1"/>
  <c r="AQ225" i="611"/>
  <c r="G225" i="611" s="1"/>
  <c r="AP225" i="611"/>
  <c r="F225" i="611" s="1"/>
  <c r="AI225" i="611"/>
  <c r="AH225" i="611"/>
  <c r="AG225" i="611"/>
  <c r="AT224" i="611"/>
  <c r="AR224" i="611"/>
  <c r="H224" i="611" s="1"/>
  <c r="AQ224" i="611"/>
  <c r="G224" i="611" s="1"/>
  <c r="AP224" i="611"/>
  <c r="F224" i="611" s="1"/>
  <c r="AI224" i="611"/>
  <c r="AH224" i="611"/>
  <c r="AG224" i="611"/>
  <c r="AK224" i="611" s="1"/>
  <c r="AT223" i="611"/>
  <c r="AR223" i="611"/>
  <c r="H223" i="611" s="1"/>
  <c r="AQ223" i="611"/>
  <c r="G223" i="611" s="1"/>
  <c r="AP223" i="611"/>
  <c r="F223" i="611" s="1"/>
  <c r="AI223" i="611"/>
  <c r="AH223" i="611"/>
  <c r="AG223" i="611"/>
  <c r="AT222" i="611"/>
  <c r="AR222" i="611"/>
  <c r="H222" i="611" s="1"/>
  <c r="AQ222" i="611"/>
  <c r="G222" i="611" s="1"/>
  <c r="AP222" i="611"/>
  <c r="F222" i="611" s="1"/>
  <c r="AI222" i="611"/>
  <c r="AH222" i="611"/>
  <c r="AG222" i="611"/>
  <c r="AT221" i="611"/>
  <c r="AR221" i="611"/>
  <c r="H221" i="611" s="1"/>
  <c r="AQ221" i="611"/>
  <c r="G221" i="611" s="1"/>
  <c r="AP221" i="611"/>
  <c r="F221" i="611" s="1"/>
  <c r="AI221" i="611"/>
  <c r="AH221" i="611"/>
  <c r="AG221" i="611"/>
  <c r="AT220" i="611"/>
  <c r="AR220" i="611"/>
  <c r="H220" i="611" s="1"/>
  <c r="AQ220" i="611"/>
  <c r="G220" i="611" s="1"/>
  <c r="AP220" i="611"/>
  <c r="F220" i="611" s="1"/>
  <c r="AO220" i="611"/>
  <c r="AO221" i="611" s="1"/>
  <c r="AO222" i="611" s="1"/>
  <c r="E222" i="611" s="1"/>
  <c r="AI220" i="611"/>
  <c r="AH220" i="611"/>
  <c r="AG220" i="611"/>
  <c r="AK220" i="611" s="1"/>
  <c r="AT219" i="611"/>
  <c r="AR219" i="611"/>
  <c r="H219" i="611" s="1"/>
  <c r="AQ219" i="611"/>
  <c r="G219" i="611" s="1"/>
  <c r="AP219" i="611"/>
  <c r="F219" i="611" s="1"/>
  <c r="AI219" i="611"/>
  <c r="AH219" i="611"/>
  <c r="AG219" i="611"/>
  <c r="AK219" i="611" s="1"/>
  <c r="AT218" i="611"/>
  <c r="AR218" i="611"/>
  <c r="H218" i="611" s="1"/>
  <c r="AQ218" i="611"/>
  <c r="G218" i="611" s="1"/>
  <c r="AP218" i="611"/>
  <c r="F218" i="611" s="1"/>
  <c r="AI218" i="611"/>
  <c r="AH218" i="611"/>
  <c r="AG218" i="611"/>
  <c r="AJ218" i="611" s="1"/>
  <c r="AT217" i="611"/>
  <c r="AR217" i="611"/>
  <c r="H217" i="611" s="1"/>
  <c r="AQ217" i="611"/>
  <c r="G217" i="611" s="1"/>
  <c r="AP217" i="611"/>
  <c r="F217" i="611" s="1"/>
  <c r="AI217" i="611"/>
  <c r="AH217" i="611"/>
  <c r="AG217" i="611"/>
  <c r="AT216" i="611"/>
  <c r="AR216" i="611"/>
  <c r="H216" i="611" s="1"/>
  <c r="AQ216" i="611"/>
  <c r="G216" i="611" s="1"/>
  <c r="AP216" i="611"/>
  <c r="F216" i="611" s="1"/>
  <c r="AI216" i="611"/>
  <c r="AH216" i="611"/>
  <c r="AG216" i="611"/>
  <c r="AJ216" i="611" s="1"/>
  <c r="AT215" i="611"/>
  <c r="AR215" i="611"/>
  <c r="H215" i="611" s="1"/>
  <c r="AQ215" i="611"/>
  <c r="G215" i="611" s="1"/>
  <c r="AP215" i="611"/>
  <c r="F215" i="611" s="1"/>
  <c r="AI215" i="611"/>
  <c r="AH215" i="611"/>
  <c r="AG215" i="611"/>
  <c r="AK215" i="611" s="1"/>
  <c r="AT214" i="611"/>
  <c r="AR214" i="611"/>
  <c r="H214" i="611" s="1"/>
  <c r="AQ214" i="611"/>
  <c r="G214" i="611" s="1"/>
  <c r="AP214" i="611"/>
  <c r="F214" i="611" s="1"/>
  <c r="AI214" i="611"/>
  <c r="AH214" i="611"/>
  <c r="AG214" i="611"/>
  <c r="AT213" i="611"/>
  <c r="AR213" i="611"/>
  <c r="H213" i="611" s="1"/>
  <c r="AQ213" i="611"/>
  <c r="G213" i="611" s="1"/>
  <c r="AP213" i="611"/>
  <c r="F213" i="611" s="1"/>
  <c r="AO213" i="611"/>
  <c r="E213" i="611" s="1"/>
  <c r="AI213" i="611"/>
  <c r="AH213" i="611"/>
  <c r="AG213" i="611"/>
  <c r="AT212" i="611"/>
  <c r="AR212" i="611"/>
  <c r="H212" i="611" s="1"/>
  <c r="AQ212" i="611"/>
  <c r="G212" i="611" s="1"/>
  <c r="AP212" i="611"/>
  <c r="F212" i="611" s="1"/>
  <c r="AI212" i="611"/>
  <c r="AK212" i="611" s="1"/>
  <c r="AH212" i="611"/>
  <c r="AG212" i="611"/>
  <c r="AT211" i="611"/>
  <c r="AR211" i="611"/>
  <c r="H211" i="611" s="1"/>
  <c r="AQ211" i="611"/>
  <c r="G211" i="611" s="1"/>
  <c r="AP211" i="611"/>
  <c r="F211" i="611" s="1"/>
  <c r="AI211" i="611"/>
  <c r="AH211" i="611"/>
  <c r="AG211" i="611"/>
  <c r="AK211" i="611" s="1"/>
  <c r="AT210" i="611"/>
  <c r="AR210" i="611"/>
  <c r="H210" i="611" s="1"/>
  <c r="AQ210" i="611"/>
  <c r="G210" i="611" s="1"/>
  <c r="AP210" i="611"/>
  <c r="F210" i="611" s="1"/>
  <c r="AI210" i="611"/>
  <c r="AH210" i="611"/>
  <c r="AG210" i="611"/>
  <c r="AJ210" i="611" s="1"/>
  <c r="AT209" i="611"/>
  <c r="AR209" i="611"/>
  <c r="H209" i="611" s="1"/>
  <c r="AQ209" i="611"/>
  <c r="G209" i="611" s="1"/>
  <c r="AP209" i="611"/>
  <c r="F209" i="611" s="1"/>
  <c r="AI209" i="611"/>
  <c r="AH209" i="611"/>
  <c r="AG209" i="611"/>
  <c r="AT208" i="611"/>
  <c r="AR208" i="611"/>
  <c r="H208" i="611" s="1"/>
  <c r="AQ208" i="611"/>
  <c r="G208" i="611" s="1"/>
  <c r="AP208" i="611"/>
  <c r="F208" i="611" s="1"/>
  <c r="AI208" i="611"/>
  <c r="AH208" i="611"/>
  <c r="AG208" i="611"/>
  <c r="AK208" i="611" s="1"/>
  <c r="AT207" i="611"/>
  <c r="AR207" i="611"/>
  <c r="H207" i="611" s="1"/>
  <c r="AQ207" i="611"/>
  <c r="G207" i="611" s="1"/>
  <c r="AP207" i="611"/>
  <c r="F207" i="611" s="1"/>
  <c r="AI207" i="611"/>
  <c r="AH207" i="611"/>
  <c r="AG207" i="611"/>
  <c r="AT206" i="611"/>
  <c r="AR206" i="611"/>
  <c r="H206" i="611" s="1"/>
  <c r="AQ206" i="611"/>
  <c r="G206" i="611" s="1"/>
  <c r="AP206" i="611"/>
  <c r="F206" i="611" s="1"/>
  <c r="AO206" i="611"/>
  <c r="AO207" i="611" s="1"/>
  <c r="AI206" i="611"/>
  <c r="AH206" i="611"/>
  <c r="AG206" i="611"/>
  <c r="AT205" i="611"/>
  <c r="AR205" i="611"/>
  <c r="H205" i="611" s="1"/>
  <c r="AQ205" i="611"/>
  <c r="G205" i="611" s="1"/>
  <c r="AP205" i="611"/>
  <c r="F205" i="611" s="1"/>
  <c r="AI205" i="611"/>
  <c r="AH205" i="611"/>
  <c r="AG205" i="611"/>
  <c r="AT204" i="611"/>
  <c r="AR204" i="611"/>
  <c r="H204" i="611" s="1"/>
  <c r="AQ204" i="611"/>
  <c r="G204" i="611" s="1"/>
  <c r="AP204" i="611"/>
  <c r="F204" i="611" s="1"/>
  <c r="AI204" i="611"/>
  <c r="AH204" i="611"/>
  <c r="AG204" i="611"/>
  <c r="AJ204" i="611" s="1"/>
  <c r="AT203" i="611"/>
  <c r="AR203" i="611"/>
  <c r="H203" i="611" s="1"/>
  <c r="AQ203" i="611"/>
  <c r="G203" i="611" s="1"/>
  <c r="AP203" i="611"/>
  <c r="F203" i="611" s="1"/>
  <c r="AO203" i="611"/>
  <c r="E203" i="611" s="1"/>
  <c r="AI203" i="611"/>
  <c r="AH203" i="611"/>
  <c r="AG203" i="611"/>
  <c r="AK203" i="611" s="1"/>
  <c r="AT202" i="611"/>
  <c r="AR202" i="611"/>
  <c r="H202" i="611" s="1"/>
  <c r="AQ202" i="611"/>
  <c r="G202" i="611" s="1"/>
  <c r="AP202" i="611"/>
  <c r="F202" i="611" s="1"/>
  <c r="AI202" i="611"/>
  <c r="AH202" i="611"/>
  <c r="AG202" i="611"/>
  <c r="AT201" i="611"/>
  <c r="AR201" i="611"/>
  <c r="H201" i="611" s="1"/>
  <c r="AQ201" i="611"/>
  <c r="G201" i="611" s="1"/>
  <c r="AP201" i="611"/>
  <c r="F201" i="611" s="1"/>
  <c r="AI201" i="611"/>
  <c r="AH201" i="611"/>
  <c r="AG201" i="611"/>
  <c r="AT200" i="611"/>
  <c r="AR200" i="611"/>
  <c r="H200" i="611" s="1"/>
  <c r="AQ200" i="611"/>
  <c r="G200" i="611" s="1"/>
  <c r="AP200" i="611"/>
  <c r="F200" i="611" s="1"/>
  <c r="AO200" i="611"/>
  <c r="AO201" i="611" s="1"/>
  <c r="AI200" i="611"/>
  <c r="AH200" i="611"/>
  <c r="AG200" i="611"/>
  <c r="AT199" i="611"/>
  <c r="AR199" i="611"/>
  <c r="H199" i="611" s="1"/>
  <c r="AQ199" i="611"/>
  <c r="G199" i="611" s="1"/>
  <c r="AP199" i="611"/>
  <c r="F199" i="611" s="1"/>
  <c r="AI199" i="611"/>
  <c r="AH199" i="611"/>
  <c r="AG199" i="611"/>
  <c r="AT198" i="611"/>
  <c r="AR198" i="611"/>
  <c r="H198" i="611" s="1"/>
  <c r="AQ198" i="611"/>
  <c r="G198" i="611" s="1"/>
  <c r="AP198" i="611"/>
  <c r="F198" i="611" s="1"/>
  <c r="AI198" i="611"/>
  <c r="AH198" i="611"/>
  <c r="AG198" i="611"/>
  <c r="AJ198" i="611" s="1"/>
  <c r="AT197" i="611"/>
  <c r="AR197" i="611"/>
  <c r="H197" i="611" s="1"/>
  <c r="AQ197" i="611"/>
  <c r="G197" i="611" s="1"/>
  <c r="AP197" i="611"/>
  <c r="F197" i="611" s="1"/>
  <c r="AO197" i="611"/>
  <c r="E197" i="611" s="1"/>
  <c r="AI197" i="611"/>
  <c r="AH197" i="611"/>
  <c r="AG197" i="611"/>
  <c r="AT196" i="611"/>
  <c r="AR196" i="611"/>
  <c r="H196" i="611" s="1"/>
  <c r="AQ196" i="611"/>
  <c r="G196" i="611" s="1"/>
  <c r="AP196" i="611"/>
  <c r="F196" i="611" s="1"/>
  <c r="AI196" i="611"/>
  <c r="AH196" i="611"/>
  <c r="AG196" i="611"/>
  <c r="AT195" i="611"/>
  <c r="AR195" i="611"/>
  <c r="H195" i="611" s="1"/>
  <c r="AQ195" i="611"/>
  <c r="G195" i="611" s="1"/>
  <c r="AP195" i="611"/>
  <c r="F195" i="611" s="1"/>
  <c r="AI195" i="611"/>
  <c r="AH195" i="611"/>
  <c r="AG195" i="611"/>
  <c r="AT194" i="611"/>
  <c r="AR194" i="611"/>
  <c r="H194" i="611" s="1"/>
  <c r="AQ194" i="611"/>
  <c r="G194" i="611" s="1"/>
  <c r="AP194" i="611"/>
  <c r="F194" i="611" s="1"/>
  <c r="AO194" i="611"/>
  <c r="E194" i="611" s="1"/>
  <c r="AI194" i="611"/>
  <c r="AH194" i="611"/>
  <c r="AG194" i="611"/>
  <c r="AT193" i="611"/>
  <c r="AR193" i="611"/>
  <c r="H193" i="611" s="1"/>
  <c r="AQ193" i="611"/>
  <c r="G193" i="611" s="1"/>
  <c r="AP193" i="611"/>
  <c r="F193" i="611" s="1"/>
  <c r="AI193" i="611"/>
  <c r="AH193" i="611"/>
  <c r="AG193" i="611"/>
  <c r="AT192" i="611"/>
  <c r="AR192" i="611"/>
  <c r="H192" i="611" s="1"/>
  <c r="AQ192" i="611"/>
  <c r="G192" i="611" s="1"/>
  <c r="AP192" i="611"/>
  <c r="F192" i="611" s="1"/>
  <c r="AI192" i="611"/>
  <c r="AH192" i="611"/>
  <c r="AG192" i="611"/>
  <c r="AK192" i="611" s="1"/>
  <c r="AT191" i="611"/>
  <c r="AR191" i="611"/>
  <c r="H191" i="611" s="1"/>
  <c r="AQ191" i="611"/>
  <c r="G191" i="611" s="1"/>
  <c r="AP191" i="611"/>
  <c r="F191" i="611" s="1"/>
  <c r="AO191" i="611"/>
  <c r="E191" i="611" s="1"/>
  <c r="AI191" i="611"/>
  <c r="AH191" i="611"/>
  <c r="AG191" i="611"/>
  <c r="AT190" i="611"/>
  <c r="AR190" i="611"/>
  <c r="H190" i="611" s="1"/>
  <c r="AQ190" i="611"/>
  <c r="G190" i="611" s="1"/>
  <c r="AP190" i="611"/>
  <c r="F190" i="611" s="1"/>
  <c r="AI190" i="611"/>
  <c r="AH190" i="611"/>
  <c r="AG190" i="611"/>
  <c r="AJ190" i="611" s="1"/>
  <c r="AT189" i="611"/>
  <c r="AR189" i="611"/>
  <c r="H189" i="611" s="1"/>
  <c r="AQ189" i="611"/>
  <c r="G189" i="611" s="1"/>
  <c r="AP189" i="611"/>
  <c r="F189" i="611" s="1"/>
  <c r="AI189" i="611"/>
  <c r="AH189" i="611"/>
  <c r="AG189" i="611"/>
  <c r="AT188" i="611"/>
  <c r="AR188" i="611"/>
  <c r="H188" i="611" s="1"/>
  <c r="AQ188" i="611"/>
  <c r="G188" i="611" s="1"/>
  <c r="AP188" i="611"/>
  <c r="F188" i="611" s="1"/>
  <c r="AO188" i="611"/>
  <c r="E188" i="611" s="1"/>
  <c r="AI188" i="611"/>
  <c r="AH188" i="611"/>
  <c r="AG188" i="611"/>
  <c r="AT187" i="611"/>
  <c r="AR187" i="611"/>
  <c r="H187" i="611" s="1"/>
  <c r="AQ187" i="611"/>
  <c r="G187" i="611" s="1"/>
  <c r="AP187" i="611"/>
  <c r="F187" i="611" s="1"/>
  <c r="AI187" i="611"/>
  <c r="AH187" i="611"/>
  <c r="AG187" i="611"/>
  <c r="AK187" i="611" s="1"/>
  <c r="AT186" i="611"/>
  <c r="AR186" i="611"/>
  <c r="H186" i="611" s="1"/>
  <c r="AQ186" i="611"/>
  <c r="G186" i="611" s="1"/>
  <c r="AP186" i="611"/>
  <c r="F186" i="611" s="1"/>
  <c r="AI186" i="611"/>
  <c r="AH186" i="611"/>
  <c r="AG186" i="611"/>
  <c r="AT185" i="611"/>
  <c r="AR185" i="611"/>
  <c r="H185" i="611" s="1"/>
  <c r="AQ185" i="611"/>
  <c r="G185" i="611" s="1"/>
  <c r="AP185" i="611"/>
  <c r="F185" i="611" s="1"/>
  <c r="AO185" i="611"/>
  <c r="E185" i="611" s="1"/>
  <c r="AI185" i="611"/>
  <c r="AH185" i="611"/>
  <c r="AG185" i="611"/>
  <c r="AT184" i="611"/>
  <c r="AR184" i="611"/>
  <c r="H184" i="611" s="1"/>
  <c r="AQ184" i="611"/>
  <c r="G184" i="611" s="1"/>
  <c r="AP184" i="611"/>
  <c r="F184" i="611" s="1"/>
  <c r="AI184" i="611"/>
  <c r="AH184" i="611"/>
  <c r="AG184" i="611"/>
  <c r="AT183" i="611"/>
  <c r="AR183" i="611"/>
  <c r="H183" i="611" s="1"/>
  <c r="AQ183" i="611"/>
  <c r="G183" i="611" s="1"/>
  <c r="AP183" i="611"/>
  <c r="F183" i="611" s="1"/>
  <c r="AI183" i="611"/>
  <c r="AH183" i="611"/>
  <c r="AG183" i="611"/>
  <c r="AT182" i="611"/>
  <c r="AR182" i="611"/>
  <c r="H182" i="611" s="1"/>
  <c r="AQ182" i="611"/>
  <c r="G182" i="611" s="1"/>
  <c r="AP182" i="611"/>
  <c r="F182" i="611" s="1"/>
  <c r="AO182" i="611"/>
  <c r="AO183" i="611" s="1"/>
  <c r="AI182" i="611"/>
  <c r="AH182" i="611"/>
  <c r="AG182" i="611"/>
  <c r="AJ182" i="611" s="1"/>
  <c r="AT181" i="611"/>
  <c r="AR181" i="611"/>
  <c r="H181" i="611" s="1"/>
  <c r="AQ181" i="611"/>
  <c r="G181" i="611" s="1"/>
  <c r="AP181" i="611"/>
  <c r="F181" i="611" s="1"/>
  <c r="AI181" i="611"/>
  <c r="AH181" i="611"/>
  <c r="AG181" i="611"/>
  <c r="AT180" i="611"/>
  <c r="AR180" i="611"/>
  <c r="H180" i="611" s="1"/>
  <c r="AQ180" i="611"/>
  <c r="G180" i="611" s="1"/>
  <c r="AP180" i="611"/>
  <c r="F180" i="611" s="1"/>
  <c r="AI180" i="611"/>
  <c r="AH180" i="611"/>
  <c r="AG180" i="611"/>
  <c r="AT179" i="611"/>
  <c r="AR179" i="611"/>
  <c r="H179" i="611" s="1"/>
  <c r="AQ179" i="611"/>
  <c r="G179" i="611" s="1"/>
  <c r="AP179" i="611"/>
  <c r="F179" i="611" s="1"/>
  <c r="AO179" i="611"/>
  <c r="AO180" i="611" s="1"/>
  <c r="AI179" i="611"/>
  <c r="AH179" i="611"/>
  <c r="AG179" i="611"/>
  <c r="AT178" i="611"/>
  <c r="AR178" i="611"/>
  <c r="H178" i="611" s="1"/>
  <c r="AQ178" i="611"/>
  <c r="G178" i="611" s="1"/>
  <c r="AP178" i="611"/>
  <c r="F178" i="611" s="1"/>
  <c r="AI178" i="611"/>
  <c r="AH178" i="611"/>
  <c r="AG178" i="611"/>
  <c r="AT177" i="611"/>
  <c r="AR177" i="611"/>
  <c r="H177" i="611" s="1"/>
  <c r="AQ177" i="611"/>
  <c r="G177" i="611" s="1"/>
  <c r="AP177" i="611"/>
  <c r="F177" i="611" s="1"/>
  <c r="AK177" i="611"/>
  <c r="AI177" i="611"/>
  <c r="AH177" i="611"/>
  <c r="AG177" i="611"/>
  <c r="AJ177" i="611" s="1"/>
  <c r="AT176" i="611"/>
  <c r="AR176" i="611"/>
  <c r="H176" i="611" s="1"/>
  <c r="AQ176" i="611"/>
  <c r="G176" i="611" s="1"/>
  <c r="AP176" i="611"/>
  <c r="F176" i="611" s="1"/>
  <c r="AO176" i="611"/>
  <c r="AO177" i="611" s="1"/>
  <c r="AI176" i="611"/>
  <c r="AH176" i="611"/>
  <c r="AG176" i="611"/>
  <c r="AT175" i="611"/>
  <c r="AR175" i="611"/>
  <c r="H175" i="611" s="1"/>
  <c r="AQ175" i="611"/>
  <c r="G175" i="611" s="1"/>
  <c r="AP175" i="611"/>
  <c r="F175" i="611" s="1"/>
  <c r="AI175" i="611"/>
  <c r="AH175" i="611"/>
  <c r="AG175" i="611"/>
  <c r="AT174" i="611"/>
  <c r="AR174" i="611"/>
  <c r="H174" i="611" s="1"/>
  <c r="AQ174" i="611"/>
  <c r="G174" i="611" s="1"/>
  <c r="AP174" i="611"/>
  <c r="F174" i="611" s="1"/>
  <c r="AI174" i="611"/>
  <c r="AH174" i="611"/>
  <c r="AG174" i="611"/>
  <c r="AT173" i="611"/>
  <c r="AR173" i="611"/>
  <c r="H173" i="611" s="1"/>
  <c r="AQ173" i="611"/>
  <c r="G173" i="611" s="1"/>
  <c r="AP173" i="611"/>
  <c r="F173" i="611" s="1"/>
  <c r="AO173" i="611"/>
  <c r="AO174" i="611" s="1"/>
  <c r="AI173" i="611"/>
  <c r="AH173" i="611"/>
  <c r="AG173" i="611"/>
  <c r="AJ173" i="611" s="1"/>
  <c r="AT172" i="611"/>
  <c r="AR172" i="611"/>
  <c r="H172" i="611" s="1"/>
  <c r="AQ172" i="611"/>
  <c r="G172" i="611" s="1"/>
  <c r="AP172" i="611"/>
  <c r="F172" i="611" s="1"/>
  <c r="AI172" i="611"/>
  <c r="AH172" i="611"/>
  <c r="AG172" i="611"/>
  <c r="AT171" i="611"/>
  <c r="AR171" i="611"/>
  <c r="H171" i="611" s="1"/>
  <c r="AQ171" i="611"/>
  <c r="G171" i="611" s="1"/>
  <c r="AP171" i="611"/>
  <c r="F171" i="611" s="1"/>
  <c r="AI171" i="611"/>
  <c r="AH171" i="611"/>
  <c r="AG171" i="611"/>
  <c r="AT170" i="611"/>
  <c r="AR170" i="611"/>
  <c r="H170" i="611" s="1"/>
  <c r="AQ170" i="611"/>
  <c r="G170" i="611" s="1"/>
  <c r="AP170" i="611"/>
  <c r="F170" i="611" s="1"/>
  <c r="AO170" i="611"/>
  <c r="AO171" i="611" s="1"/>
  <c r="AI170" i="611"/>
  <c r="AH170" i="611"/>
  <c r="AG170" i="611"/>
  <c r="AT169" i="611"/>
  <c r="AR169" i="611"/>
  <c r="H169" i="611" s="1"/>
  <c r="AQ169" i="611"/>
  <c r="G169" i="611" s="1"/>
  <c r="AP169" i="611"/>
  <c r="F169" i="611" s="1"/>
  <c r="AI169" i="611"/>
  <c r="AH169" i="611"/>
  <c r="AG169" i="611"/>
  <c r="AK169" i="611" s="1"/>
  <c r="AT168" i="611"/>
  <c r="AR168" i="611"/>
  <c r="H168" i="611" s="1"/>
  <c r="AQ168" i="611"/>
  <c r="G168" i="611" s="1"/>
  <c r="AP168" i="611"/>
  <c r="F168" i="611" s="1"/>
  <c r="AI168" i="611"/>
  <c r="AH168" i="611"/>
  <c r="AG168" i="611"/>
  <c r="AT167" i="611"/>
  <c r="AR167" i="611"/>
  <c r="H167" i="611" s="1"/>
  <c r="AQ167" i="611"/>
  <c r="G167" i="611" s="1"/>
  <c r="AP167" i="611"/>
  <c r="F167" i="611" s="1"/>
  <c r="AO167" i="611"/>
  <c r="E167" i="611" s="1"/>
  <c r="AI167" i="611"/>
  <c r="AH167" i="611"/>
  <c r="AG167" i="611"/>
  <c r="AT166" i="611"/>
  <c r="AR166" i="611"/>
  <c r="H166" i="611" s="1"/>
  <c r="AQ166" i="611"/>
  <c r="G166" i="611" s="1"/>
  <c r="AP166" i="611"/>
  <c r="F166" i="611" s="1"/>
  <c r="AI166" i="611"/>
  <c r="AH166" i="611"/>
  <c r="AG166" i="611"/>
  <c r="AT165" i="611"/>
  <c r="AR165" i="611"/>
  <c r="H165" i="611" s="1"/>
  <c r="AQ165" i="611"/>
  <c r="G165" i="611" s="1"/>
  <c r="AP165" i="611"/>
  <c r="F165" i="611" s="1"/>
  <c r="AI165" i="611"/>
  <c r="AH165" i="611"/>
  <c r="AG165" i="611"/>
  <c r="AK165" i="611" s="1"/>
  <c r="AT164" i="611"/>
  <c r="AR164" i="611"/>
  <c r="H164" i="611" s="1"/>
  <c r="AQ164" i="611"/>
  <c r="G164" i="611" s="1"/>
  <c r="AP164" i="611"/>
  <c r="F164" i="611" s="1"/>
  <c r="AO164" i="611"/>
  <c r="AO165" i="611" s="1"/>
  <c r="AI164" i="611"/>
  <c r="AH164" i="611"/>
  <c r="AG164" i="611"/>
  <c r="AT163" i="611"/>
  <c r="AR163" i="611"/>
  <c r="H163" i="611" s="1"/>
  <c r="AQ163" i="611"/>
  <c r="G163" i="611" s="1"/>
  <c r="AP163" i="611"/>
  <c r="F163" i="611" s="1"/>
  <c r="AI163" i="611"/>
  <c r="AT162" i="611"/>
  <c r="AR162" i="611"/>
  <c r="H162" i="611" s="1"/>
  <c r="AQ162" i="611"/>
  <c r="G162" i="611" s="1"/>
  <c r="AP162" i="611"/>
  <c r="F162" i="611" s="1"/>
  <c r="AI162" i="611"/>
  <c r="AT161" i="611"/>
  <c r="AR161" i="611"/>
  <c r="H161" i="611" s="1"/>
  <c r="AQ161" i="611"/>
  <c r="G161" i="611" s="1"/>
  <c r="AP161" i="611"/>
  <c r="F161" i="611" s="1"/>
  <c r="AO161" i="611"/>
  <c r="AO162" i="611" s="1"/>
  <c r="AI161" i="611"/>
  <c r="AH161" i="611"/>
  <c r="AG161" i="611"/>
  <c r="AJ161" i="611" s="1"/>
  <c r="AT160" i="611"/>
  <c r="AR160" i="611"/>
  <c r="H160" i="611" s="1"/>
  <c r="AQ160" i="611"/>
  <c r="G160" i="611" s="1"/>
  <c r="AP160" i="611"/>
  <c r="F160" i="611" s="1"/>
  <c r="AI160" i="611"/>
  <c r="AT159" i="611"/>
  <c r="AR159" i="611"/>
  <c r="H159" i="611" s="1"/>
  <c r="AQ159" i="611"/>
  <c r="G159" i="611" s="1"/>
  <c r="AP159" i="611"/>
  <c r="F159" i="611" s="1"/>
  <c r="AI159" i="611"/>
  <c r="AT158" i="611"/>
  <c r="AR158" i="611"/>
  <c r="H158" i="611" s="1"/>
  <c r="AQ158" i="611"/>
  <c r="G158" i="611" s="1"/>
  <c r="AP158" i="611"/>
  <c r="F158" i="611" s="1"/>
  <c r="AO158" i="611"/>
  <c r="AO159" i="611" s="1"/>
  <c r="AI158" i="611"/>
  <c r="AH158" i="611"/>
  <c r="AG158" i="611"/>
  <c r="AJ158" i="611" s="1"/>
  <c r="AT157" i="611"/>
  <c r="AR157" i="611"/>
  <c r="H157" i="611" s="1"/>
  <c r="AQ157" i="611"/>
  <c r="G157" i="611" s="1"/>
  <c r="AP157" i="611"/>
  <c r="F157" i="611" s="1"/>
  <c r="AI157" i="611"/>
  <c r="AT156" i="611"/>
  <c r="AR156" i="611"/>
  <c r="H156" i="611" s="1"/>
  <c r="AQ156" i="611"/>
  <c r="G156" i="611" s="1"/>
  <c r="AP156" i="611"/>
  <c r="F156" i="611" s="1"/>
  <c r="AI156" i="611"/>
  <c r="AT155" i="611"/>
  <c r="AR155" i="611"/>
  <c r="H155" i="611" s="1"/>
  <c r="AQ155" i="611"/>
  <c r="G155" i="611" s="1"/>
  <c r="AP155" i="611"/>
  <c r="F155" i="611" s="1"/>
  <c r="AO155" i="611"/>
  <c r="E155" i="611" s="1"/>
  <c r="AI155" i="611"/>
  <c r="AH155" i="611"/>
  <c r="AG155" i="611"/>
  <c r="AT154" i="611"/>
  <c r="AR154" i="611"/>
  <c r="H154" i="611" s="1"/>
  <c r="AQ154" i="611"/>
  <c r="G154" i="611" s="1"/>
  <c r="AP154" i="611"/>
  <c r="F154" i="611" s="1"/>
  <c r="AI154" i="611"/>
  <c r="AT153" i="611"/>
  <c r="AR153" i="611"/>
  <c r="H153" i="611" s="1"/>
  <c r="AQ153" i="611"/>
  <c r="G153" i="611" s="1"/>
  <c r="AP153" i="611"/>
  <c r="F153" i="611" s="1"/>
  <c r="AI153" i="611"/>
  <c r="AT152" i="611"/>
  <c r="AR152" i="611"/>
  <c r="H152" i="611" s="1"/>
  <c r="AQ152" i="611"/>
  <c r="G152" i="611" s="1"/>
  <c r="AP152" i="611"/>
  <c r="F152" i="611" s="1"/>
  <c r="AO152" i="611"/>
  <c r="AO153" i="611" s="1"/>
  <c r="AI152" i="611"/>
  <c r="AH152" i="611"/>
  <c r="AG152" i="611"/>
  <c r="AT151" i="611"/>
  <c r="AR151" i="611"/>
  <c r="H151" i="611" s="1"/>
  <c r="AQ151" i="611"/>
  <c r="G151" i="611" s="1"/>
  <c r="AP151" i="611"/>
  <c r="F151" i="611" s="1"/>
  <c r="AI151" i="611"/>
  <c r="AT150" i="611"/>
  <c r="AR150" i="611"/>
  <c r="H150" i="611" s="1"/>
  <c r="AQ150" i="611"/>
  <c r="G150" i="611" s="1"/>
  <c r="AP150" i="611"/>
  <c r="F150" i="611" s="1"/>
  <c r="AI150" i="611"/>
  <c r="AT149" i="611"/>
  <c r="AR149" i="611"/>
  <c r="H149" i="611" s="1"/>
  <c r="AQ149" i="611"/>
  <c r="G149" i="611" s="1"/>
  <c r="AP149" i="611"/>
  <c r="F149" i="611" s="1"/>
  <c r="AO149" i="611"/>
  <c r="AO150" i="611" s="1"/>
  <c r="AI149" i="611"/>
  <c r="AH149" i="611"/>
  <c r="AG149" i="611"/>
  <c r="AJ149" i="611" s="1"/>
  <c r="AT148" i="611"/>
  <c r="AR148" i="611"/>
  <c r="H148" i="611" s="1"/>
  <c r="AQ148" i="611"/>
  <c r="G148" i="611" s="1"/>
  <c r="AP148" i="611"/>
  <c r="F148" i="611" s="1"/>
  <c r="AI148" i="611"/>
  <c r="AT147" i="611"/>
  <c r="AR147" i="611"/>
  <c r="H147" i="611" s="1"/>
  <c r="AQ147" i="611"/>
  <c r="G147" i="611" s="1"/>
  <c r="AP147" i="611"/>
  <c r="F147" i="611" s="1"/>
  <c r="AI147" i="611"/>
  <c r="AT146" i="611"/>
  <c r="AR146" i="611"/>
  <c r="H146" i="611" s="1"/>
  <c r="AQ146" i="611"/>
  <c r="G146" i="611" s="1"/>
  <c r="AP146" i="611"/>
  <c r="F146" i="611" s="1"/>
  <c r="AO146" i="611"/>
  <c r="AO147" i="611" s="1"/>
  <c r="AI146" i="611"/>
  <c r="AH146" i="611"/>
  <c r="AG146" i="611"/>
  <c r="AJ146" i="611" s="1"/>
  <c r="AT145" i="611"/>
  <c r="AR145" i="611"/>
  <c r="H145" i="611" s="1"/>
  <c r="AQ145" i="611"/>
  <c r="G145" i="611" s="1"/>
  <c r="AP145" i="611"/>
  <c r="F145" i="611" s="1"/>
  <c r="AI145" i="611"/>
  <c r="AT144" i="611"/>
  <c r="AR144" i="611"/>
  <c r="H144" i="611" s="1"/>
  <c r="AQ144" i="611"/>
  <c r="G144" i="611" s="1"/>
  <c r="AP144" i="611"/>
  <c r="F144" i="611" s="1"/>
  <c r="AI144" i="611"/>
  <c r="AT143" i="611"/>
  <c r="AR143" i="611"/>
  <c r="H143" i="611" s="1"/>
  <c r="AQ143" i="611"/>
  <c r="G143" i="611" s="1"/>
  <c r="AP143" i="611"/>
  <c r="F143" i="611" s="1"/>
  <c r="AO143" i="611"/>
  <c r="E143" i="611" s="1"/>
  <c r="AI143" i="611"/>
  <c r="AH143" i="611"/>
  <c r="AG143" i="611"/>
  <c r="AT142" i="611"/>
  <c r="AR142" i="611"/>
  <c r="H142" i="611" s="1"/>
  <c r="AQ142" i="611"/>
  <c r="G142" i="611" s="1"/>
  <c r="AP142" i="611"/>
  <c r="F142" i="611" s="1"/>
  <c r="AI142" i="611"/>
  <c r="AT141" i="611"/>
  <c r="AR141" i="611"/>
  <c r="H141" i="611" s="1"/>
  <c r="AQ141" i="611"/>
  <c r="G141" i="611" s="1"/>
  <c r="AP141" i="611"/>
  <c r="F141" i="611" s="1"/>
  <c r="AI141" i="611"/>
  <c r="AT140" i="611"/>
  <c r="AR140" i="611"/>
  <c r="H140" i="611" s="1"/>
  <c r="AQ140" i="611"/>
  <c r="G140" i="611" s="1"/>
  <c r="AP140" i="611"/>
  <c r="F140" i="611" s="1"/>
  <c r="AO140" i="611"/>
  <c r="AI140" i="611"/>
  <c r="AK140" i="611" s="1"/>
  <c r="AH140" i="611"/>
  <c r="AG140" i="611"/>
  <c r="AT139" i="611"/>
  <c r="AR139" i="611"/>
  <c r="H139" i="611" s="1"/>
  <c r="AQ139" i="611"/>
  <c r="G139" i="611" s="1"/>
  <c r="AP139" i="611"/>
  <c r="F139" i="611" s="1"/>
  <c r="AI139" i="611"/>
  <c r="AT138" i="611"/>
  <c r="AR138" i="611"/>
  <c r="H138" i="611" s="1"/>
  <c r="AQ138" i="611"/>
  <c r="G138" i="611" s="1"/>
  <c r="AP138" i="611"/>
  <c r="F138" i="611" s="1"/>
  <c r="AI138" i="611"/>
  <c r="AT137" i="611"/>
  <c r="AR137" i="611"/>
  <c r="H137" i="611" s="1"/>
  <c r="AQ137" i="611"/>
  <c r="G137" i="611" s="1"/>
  <c r="AP137" i="611"/>
  <c r="F137" i="611" s="1"/>
  <c r="AO137" i="611"/>
  <c r="AO138" i="611" s="1"/>
  <c r="AI137" i="611"/>
  <c r="AH137" i="611"/>
  <c r="AG137" i="611"/>
  <c r="AK137" i="611" s="1"/>
  <c r="AT136" i="611"/>
  <c r="AR136" i="611"/>
  <c r="H136" i="611" s="1"/>
  <c r="AQ136" i="611"/>
  <c r="G136" i="611" s="1"/>
  <c r="AP136" i="611"/>
  <c r="F136" i="611" s="1"/>
  <c r="AI136" i="611"/>
  <c r="AT135" i="611"/>
  <c r="AR135" i="611"/>
  <c r="H135" i="611" s="1"/>
  <c r="AQ135" i="611"/>
  <c r="G135" i="611" s="1"/>
  <c r="AP135" i="611"/>
  <c r="F135" i="611" s="1"/>
  <c r="AI135" i="611"/>
  <c r="AT134" i="611"/>
  <c r="AR134" i="611"/>
  <c r="H134" i="611" s="1"/>
  <c r="AQ134" i="611"/>
  <c r="G134" i="611" s="1"/>
  <c r="AP134" i="611"/>
  <c r="F134" i="611" s="1"/>
  <c r="AO134" i="611"/>
  <c r="AO135" i="611" s="1"/>
  <c r="AO136" i="611" s="1"/>
  <c r="E136" i="611" s="1"/>
  <c r="AI134" i="611"/>
  <c r="AH134" i="611"/>
  <c r="AG134" i="611"/>
  <c r="AJ134" i="611" s="1"/>
  <c r="AT133" i="611"/>
  <c r="AR133" i="611"/>
  <c r="H133" i="611" s="1"/>
  <c r="AQ133" i="611"/>
  <c r="G133" i="611" s="1"/>
  <c r="AP133" i="611"/>
  <c r="F133" i="611" s="1"/>
  <c r="AI133" i="611"/>
  <c r="AT132" i="611"/>
  <c r="AR132" i="611"/>
  <c r="H132" i="611" s="1"/>
  <c r="AQ132" i="611"/>
  <c r="G132" i="611" s="1"/>
  <c r="AP132" i="611"/>
  <c r="F132" i="611" s="1"/>
  <c r="AI132" i="611"/>
  <c r="AT131" i="611"/>
  <c r="AR131" i="611"/>
  <c r="H131" i="611" s="1"/>
  <c r="AQ131" i="611"/>
  <c r="G131" i="611" s="1"/>
  <c r="AP131" i="611"/>
  <c r="F131" i="611" s="1"/>
  <c r="AO131" i="611"/>
  <c r="AO132" i="611" s="1"/>
  <c r="AI131" i="611"/>
  <c r="AH131" i="611"/>
  <c r="AG131" i="611"/>
  <c r="AT130" i="611"/>
  <c r="AR130" i="611"/>
  <c r="H130" i="611" s="1"/>
  <c r="AQ130" i="611"/>
  <c r="G130" i="611" s="1"/>
  <c r="AP130" i="611"/>
  <c r="F130" i="611" s="1"/>
  <c r="AI130" i="611"/>
  <c r="AT129" i="611"/>
  <c r="AR129" i="611"/>
  <c r="H129" i="611" s="1"/>
  <c r="AQ129" i="611"/>
  <c r="G129" i="611" s="1"/>
  <c r="AP129" i="611"/>
  <c r="F129" i="611" s="1"/>
  <c r="AI129" i="611"/>
  <c r="AT128" i="611"/>
  <c r="AR128" i="611"/>
  <c r="H128" i="611" s="1"/>
  <c r="AQ128" i="611"/>
  <c r="G128" i="611" s="1"/>
  <c r="AP128" i="611"/>
  <c r="F128" i="611" s="1"/>
  <c r="AO128" i="611"/>
  <c r="AI128" i="611"/>
  <c r="AH128" i="611"/>
  <c r="AG128" i="611"/>
  <c r="AJ128" i="611" s="1"/>
  <c r="AT127" i="611"/>
  <c r="AR127" i="611"/>
  <c r="H127" i="611" s="1"/>
  <c r="AQ127" i="611"/>
  <c r="G127" i="611" s="1"/>
  <c r="AP127" i="611"/>
  <c r="F127" i="611" s="1"/>
  <c r="AI127" i="611"/>
  <c r="AT126" i="611"/>
  <c r="AR126" i="611"/>
  <c r="H126" i="611" s="1"/>
  <c r="AQ126" i="611"/>
  <c r="G126" i="611" s="1"/>
  <c r="AP126" i="611"/>
  <c r="F126" i="611" s="1"/>
  <c r="AI126" i="611"/>
  <c r="AT125" i="611"/>
  <c r="AR125" i="611"/>
  <c r="H125" i="611" s="1"/>
  <c r="AQ125" i="611"/>
  <c r="G125" i="611" s="1"/>
  <c r="AP125" i="611"/>
  <c r="F125" i="611" s="1"/>
  <c r="AO125" i="611"/>
  <c r="AI125" i="611"/>
  <c r="AH125" i="611"/>
  <c r="AG125" i="611"/>
  <c r="AT124" i="611"/>
  <c r="AR124" i="611"/>
  <c r="H124" i="611" s="1"/>
  <c r="AQ124" i="611"/>
  <c r="G124" i="611" s="1"/>
  <c r="AP124" i="611"/>
  <c r="F124" i="611" s="1"/>
  <c r="AI124" i="611"/>
  <c r="AT123" i="611"/>
  <c r="AR123" i="611"/>
  <c r="H123" i="611" s="1"/>
  <c r="AQ123" i="611"/>
  <c r="G123" i="611" s="1"/>
  <c r="AP123" i="611"/>
  <c r="F123" i="611" s="1"/>
  <c r="AI123" i="611"/>
  <c r="AT122" i="611"/>
  <c r="AR122" i="611"/>
  <c r="H122" i="611" s="1"/>
  <c r="AQ122" i="611"/>
  <c r="G122" i="611" s="1"/>
  <c r="AP122" i="611"/>
  <c r="F122" i="611" s="1"/>
  <c r="AO122" i="611"/>
  <c r="AO123" i="611" s="1"/>
  <c r="E123" i="611" s="1"/>
  <c r="AI122" i="611"/>
  <c r="AH122" i="611"/>
  <c r="AG122" i="611"/>
  <c r="AK122" i="611" s="1"/>
  <c r="AT121" i="611"/>
  <c r="AR121" i="611"/>
  <c r="H121" i="611" s="1"/>
  <c r="AQ121" i="611"/>
  <c r="G121" i="611" s="1"/>
  <c r="AP121" i="611"/>
  <c r="F121" i="611" s="1"/>
  <c r="AI121" i="611"/>
  <c r="AT120" i="611"/>
  <c r="AR120" i="611"/>
  <c r="H120" i="611" s="1"/>
  <c r="AQ120" i="611"/>
  <c r="G120" i="611" s="1"/>
  <c r="AP120" i="611"/>
  <c r="F120" i="611" s="1"/>
  <c r="AI120" i="611"/>
  <c r="AT119" i="611"/>
  <c r="AR119" i="611"/>
  <c r="H119" i="611" s="1"/>
  <c r="AQ119" i="611"/>
  <c r="G119" i="611" s="1"/>
  <c r="AP119" i="611"/>
  <c r="F119" i="611" s="1"/>
  <c r="AO119" i="611"/>
  <c r="E119" i="611" s="1"/>
  <c r="AI119" i="611"/>
  <c r="AH119" i="611"/>
  <c r="AG119" i="611"/>
  <c r="AK119" i="611" s="1"/>
  <c r="AT118" i="611"/>
  <c r="AR118" i="611"/>
  <c r="H118" i="611" s="1"/>
  <c r="AQ118" i="611"/>
  <c r="G118" i="611" s="1"/>
  <c r="AP118" i="611"/>
  <c r="F118" i="611" s="1"/>
  <c r="AI118" i="611"/>
  <c r="AT117" i="611"/>
  <c r="AR117" i="611"/>
  <c r="H117" i="611" s="1"/>
  <c r="AQ117" i="611"/>
  <c r="G117" i="611" s="1"/>
  <c r="AP117" i="611"/>
  <c r="F117" i="611" s="1"/>
  <c r="AI117" i="611"/>
  <c r="AT116" i="611"/>
  <c r="AR116" i="611"/>
  <c r="H116" i="611" s="1"/>
  <c r="AQ116" i="611"/>
  <c r="G116" i="611" s="1"/>
  <c r="AP116" i="611"/>
  <c r="F116" i="611" s="1"/>
  <c r="AO116" i="611"/>
  <c r="AI116" i="611"/>
  <c r="AH116" i="611"/>
  <c r="AG116" i="611"/>
  <c r="AJ116" i="611" s="1"/>
  <c r="AT115" i="611"/>
  <c r="AR115" i="611"/>
  <c r="H115" i="611" s="1"/>
  <c r="AQ115" i="611"/>
  <c r="G115" i="611" s="1"/>
  <c r="AP115" i="611"/>
  <c r="F115" i="611" s="1"/>
  <c r="AI115" i="611"/>
  <c r="AT114" i="611"/>
  <c r="AR114" i="611"/>
  <c r="H114" i="611" s="1"/>
  <c r="AQ114" i="611"/>
  <c r="G114" i="611" s="1"/>
  <c r="AP114" i="611"/>
  <c r="F114" i="611" s="1"/>
  <c r="AI114" i="611"/>
  <c r="AT113" i="611"/>
  <c r="AR113" i="611"/>
  <c r="H113" i="611" s="1"/>
  <c r="AQ113" i="611"/>
  <c r="G113" i="611" s="1"/>
  <c r="AP113" i="611"/>
  <c r="F113" i="611" s="1"/>
  <c r="AO113" i="611"/>
  <c r="E113" i="611" s="1"/>
  <c r="AI113" i="611"/>
  <c r="AH113" i="611"/>
  <c r="AG113" i="611"/>
  <c r="AT112" i="611"/>
  <c r="AR112" i="611"/>
  <c r="H112" i="611" s="1"/>
  <c r="AQ112" i="611"/>
  <c r="G112" i="611" s="1"/>
  <c r="AP112" i="611"/>
  <c r="F112" i="611" s="1"/>
  <c r="AI112" i="611"/>
  <c r="AT111" i="611"/>
  <c r="AR111" i="611"/>
  <c r="H111" i="611" s="1"/>
  <c r="AQ111" i="611"/>
  <c r="G111" i="611" s="1"/>
  <c r="AP111" i="611"/>
  <c r="F111" i="611" s="1"/>
  <c r="AI111" i="611"/>
  <c r="AT110" i="611"/>
  <c r="AR110" i="611"/>
  <c r="H110" i="611" s="1"/>
  <c r="AQ110" i="611"/>
  <c r="G110" i="611" s="1"/>
  <c r="AP110" i="611"/>
  <c r="F110" i="611" s="1"/>
  <c r="AO110" i="611"/>
  <c r="AI110" i="611"/>
  <c r="AH110" i="611"/>
  <c r="AG110" i="611"/>
  <c r="AT109" i="611"/>
  <c r="AR109" i="611"/>
  <c r="H109" i="611" s="1"/>
  <c r="AQ109" i="611"/>
  <c r="G109" i="611" s="1"/>
  <c r="AP109" i="611"/>
  <c r="F109" i="611" s="1"/>
  <c r="AI109" i="611"/>
  <c r="AT108" i="611"/>
  <c r="AR108" i="611"/>
  <c r="H108" i="611" s="1"/>
  <c r="AQ108" i="611"/>
  <c r="G108" i="611" s="1"/>
  <c r="AP108" i="611"/>
  <c r="F108" i="611" s="1"/>
  <c r="AI108" i="611"/>
  <c r="AT107" i="611"/>
  <c r="AR107" i="611"/>
  <c r="H107" i="611" s="1"/>
  <c r="AQ107" i="611"/>
  <c r="G107" i="611" s="1"/>
  <c r="AP107" i="611"/>
  <c r="F107" i="611" s="1"/>
  <c r="AO107" i="611"/>
  <c r="E107" i="611" s="1"/>
  <c r="AI107" i="611"/>
  <c r="AH107" i="611"/>
  <c r="AG107" i="611"/>
  <c r="AK107" i="611" s="1"/>
  <c r="AT106" i="611"/>
  <c r="AR106" i="611"/>
  <c r="H106" i="611" s="1"/>
  <c r="AQ106" i="611"/>
  <c r="G106" i="611" s="1"/>
  <c r="AP106" i="611"/>
  <c r="F106" i="611" s="1"/>
  <c r="AI106" i="611"/>
  <c r="AT105" i="611"/>
  <c r="AR105" i="611"/>
  <c r="H105" i="611" s="1"/>
  <c r="AQ105" i="611"/>
  <c r="G105" i="611" s="1"/>
  <c r="AP105" i="611"/>
  <c r="F105" i="611" s="1"/>
  <c r="AI105" i="611"/>
  <c r="AT104" i="611"/>
  <c r="AR104" i="611"/>
  <c r="H104" i="611" s="1"/>
  <c r="AQ104" i="611"/>
  <c r="G104" i="611" s="1"/>
  <c r="AP104" i="611"/>
  <c r="F104" i="611" s="1"/>
  <c r="AO104" i="611"/>
  <c r="AI104" i="611"/>
  <c r="AH104" i="611"/>
  <c r="AG104" i="611"/>
  <c r="AJ104" i="611" s="1"/>
  <c r="AT103" i="611"/>
  <c r="AR103" i="611"/>
  <c r="H103" i="611" s="1"/>
  <c r="AQ103" i="611"/>
  <c r="G103" i="611" s="1"/>
  <c r="AP103" i="611"/>
  <c r="F103" i="611" s="1"/>
  <c r="AI103" i="611"/>
  <c r="AT102" i="611"/>
  <c r="AR102" i="611"/>
  <c r="H102" i="611" s="1"/>
  <c r="AQ102" i="611"/>
  <c r="G102" i="611" s="1"/>
  <c r="AP102" i="611"/>
  <c r="F102" i="611" s="1"/>
  <c r="AI102" i="611"/>
  <c r="AT101" i="611"/>
  <c r="AR101" i="611"/>
  <c r="H101" i="611" s="1"/>
  <c r="AQ101" i="611"/>
  <c r="G101" i="611" s="1"/>
  <c r="AP101" i="611"/>
  <c r="F101" i="611" s="1"/>
  <c r="AO101" i="611"/>
  <c r="AO102" i="611" s="1"/>
  <c r="E102" i="611" s="1"/>
  <c r="AI101" i="611"/>
  <c r="AH101" i="611"/>
  <c r="AG101" i="611"/>
  <c r="AK101" i="611" s="1"/>
  <c r="AT100" i="611"/>
  <c r="AR100" i="611"/>
  <c r="H100" i="611" s="1"/>
  <c r="AQ100" i="611"/>
  <c r="G100" i="611" s="1"/>
  <c r="AP100" i="611"/>
  <c r="F100" i="611" s="1"/>
  <c r="AI100" i="611"/>
  <c r="AT99" i="611"/>
  <c r="AR99" i="611"/>
  <c r="H99" i="611" s="1"/>
  <c r="AQ99" i="611"/>
  <c r="G99" i="611" s="1"/>
  <c r="AP99" i="611"/>
  <c r="F99" i="611" s="1"/>
  <c r="AI99" i="611"/>
  <c r="AT98" i="611"/>
  <c r="AR98" i="611"/>
  <c r="H98" i="611" s="1"/>
  <c r="AQ98" i="611"/>
  <c r="G98" i="611" s="1"/>
  <c r="AP98" i="611"/>
  <c r="F98" i="611" s="1"/>
  <c r="AO98" i="611"/>
  <c r="AO99" i="611" s="1"/>
  <c r="E99" i="611" s="1"/>
  <c r="AI98" i="611"/>
  <c r="AH98" i="611"/>
  <c r="AG98" i="611"/>
  <c r="AJ98" i="611" s="1"/>
  <c r="AT97" i="611"/>
  <c r="AR97" i="611"/>
  <c r="H97" i="611" s="1"/>
  <c r="AQ97" i="611"/>
  <c r="G97" i="611" s="1"/>
  <c r="AP97" i="611"/>
  <c r="F97" i="611" s="1"/>
  <c r="AI97" i="611"/>
  <c r="AT96" i="611"/>
  <c r="AR96" i="611"/>
  <c r="H96" i="611" s="1"/>
  <c r="AQ96" i="611"/>
  <c r="G96" i="611" s="1"/>
  <c r="AP96" i="611"/>
  <c r="F96" i="611" s="1"/>
  <c r="AI96" i="611"/>
  <c r="AT95" i="611"/>
  <c r="AR95" i="611"/>
  <c r="H95" i="611" s="1"/>
  <c r="AQ95" i="611"/>
  <c r="G95" i="611" s="1"/>
  <c r="AP95" i="611"/>
  <c r="F95" i="611" s="1"/>
  <c r="AO95" i="611"/>
  <c r="E95" i="611" s="1"/>
  <c r="AI95" i="611"/>
  <c r="AH95" i="611"/>
  <c r="AG95" i="611"/>
  <c r="AT94" i="611"/>
  <c r="AR94" i="611"/>
  <c r="H94" i="611" s="1"/>
  <c r="AQ94" i="611"/>
  <c r="G94" i="611" s="1"/>
  <c r="AP94" i="611"/>
  <c r="F94" i="611" s="1"/>
  <c r="AI94" i="611"/>
  <c r="AT93" i="611"/>
  <c r="AR93" i="611"/>
  <c r="H93" i="611" s="1"/>
  <c r="AQ93" i="611"/>
  <c r="G93" i="611" s="1"/>
  <c r="AP93" i="611"/>
  <c r="F93" i="611" s="1"/>
  <c r="AI93" i="611"/>
  <c r="AT92" i="611"/>
  <c r="AR92" i="611"/>
  <c r="H92" i="611" s="1"/>
  <c r="AQ92" i="611"/>
  <c r="G92" i="611" s="1"/>
  <c r="AP92" i="611"/>
  <c r="F92" i="611" s="1"/>
  <c r="AI92" i="611"/>
  <c r="AT91" i="611"/>
  <c r="AR91" i="611"/>
  <c r="H91" i="611" s="1"/>
  <c r="AQ91" i="611"/>
  <c r="G91" i="611" s="1"/>
  <c r="AP91" i="611"/>
  <c r="F91" i="611" s="1"/>
  <c r="AI91" i="611"/>
  <c r="AT90" i="611"/>
  <c r="AR90" i="611"/>
  <c r="H90" i="611" s="1"/>
  <c r="AQ90" i="611"/>
  <c r="G90" i="611" s="1"/>
  <c r="AP90" i="611"/>
  <c r="F90" i="611" s="1"/>
  <c r="AI90" i="611"/>
  <c r="AT89" i="611"/>
  <c r="AR89" i="611"/>
  <c r="H89" i="611" s="1"/>
  <c r="AQ89" i="611"/>
  <c r="G89" i="611" s="1"/>
  <c r="AP89" i="611"/>
  <c r="F89" i="611" s="1"/>
  <c r="AI89" i="611"/>
  <c r="AT88" i="611"/>
  <c r="AR88" i="611"/>
  <c r="H88" i="611" s="1"/>
  <c r="AQ88" i="611"/>
  <c r="G88" i="611" s="1"/>
  <c r="AP88" i="611"/>
  <c r="F88" i="611" s="1"/>
  <c r="AO88" i="611"/>
  <c r="E88" i="611" s="1"/>
  <c r="AI88" i="611"/>
  <c r="AH88" i="611"/>
  <c r="AG88" i="611"/>
  <c r="AK88" i="611" s="1"/>
  <c r="AT87" i="611"/>
  <c r="AR87" i="611"/>
  <c r="H87" i="611" s="1"/>
  <c r="AQ87" i="611"/>
  <c r="G87" i="611" s="1"/>
  <c r="AP87" i="611"/>
  <c r="F87" i="611" s="1"/>
  <c r="AI87" i="611"/>
  <c r="AT86" i="611"/>
  <c r="AR86" i="611"/>
  <c r="H86" i="611" s="1"/>
  <c r="AQ86" i="611"/>
  <c r="G86" i="611" s="1"/>
  <c r="AP86" i="611"/>
  <c r="F86" i="611" s="1"/>
  <c r="AI86" i="611"/>
  <c r="AT85" i="611"/>
  <c r="AR85" i="611"/>
  <c r="H85" i="611" s="1"/>
  <c r="AQ85" i="611"/>
  <c r="G85" i="611" s="1"/>
  <c r="AP85" i="611"/>
  <c r="F85" i="611" s="1"/>
  <c r="AI85" i="611"/>
  <c r="AT84" i="611"/>
  <c r="AR84" i="611"/>
  <c r="H84" i="611" s="1"/>
  <c r="AQ84" i="611"/>
  <c r="G84" i="611" s="1"/>
  <c r="AP84" i="611"/>
  <c r="F84" i="611" s="1"/>
  <c r="AI84" i="611"/>
  <c r="AT83" i="611"/>
  <c r="AR83" i="611"/>
  <c r="H83" i="611" s="1"/>
  <c r="AQ83" i="611"/>
  <c r="G83" i="611" s="1"/>
  <c r="AP83" i="611"/>
  <c r="F83" i="611" s="1"/>
  <c r="AI83" i="611"/>
  <c r="AT82" i="611"/>
  <c r="AR82" i="611"/>
  <c r="H82" i="611" s="1"/>
  <c r="AQ82" i="611"/>
  <c r="G82" i="611" s="1"/>
  <c r="AP82" i="611"/>
  <c r="F82" i="611" s="1"/>
  <c r="AI82" i="611"/>
  <c r="AT81" i="611"/>
  <c r="AR81" i="611"/>
  <c r="H81" i="611" s="1"/>
  <c r="AQ81" i="611"/>
  <c r="G81" i="611" s="1"/>
  <c r="AP81" i="611"/>
  <c r="F81" i="611" s="1"/>
  <c r="AO81" i="611"/>
  <c r="E81" i="611" s="1"/>
  <c r="AI81" i="611"/>
  <c r="AH81" i="611"/>
  <c r="AG81" i="611"/>
  <c r="AK81" i="611" s="1"/>
  <c r="AT80" i="611"/>
  <c r="AR80" i="611"/>
  <c r="H80" i="611" s="1"/>
  <c r="AQ80" i="611"/>
  <c r="G80" i="611" s="1"/>
  <c r="AP80" i="611"/>
  <c r="F80" i="611" s="1"/>
  <c r="AI80" i="611"/>
  <c r="AT79" i="611"/>
  <c r="AR79" i="611"/>
  <c r="H79" i="611" s="1"/>
  <c r="AQ79" i="611"/>
  <c r="G79" i="611" s="1"/>
  <c r="AP79" i="611"/>
  <c r="F79" i="611" s="1"/>
  <c r="AI79" i="611"/>
  <c r="AT78" i="611"/>
  <c r="AR78" i="611"/>
  <c r="H78" i="611" s="1"/>
  <c r="AQ78" i="611"/>
  <c r="G78" i="611" s="1"/>
  <c r="AP78" i="611"/>
  <c r="F78" i="611" s="1"/>
  <c r="AI78" i="611"/>
  <c r="AT77" i="611"/>
  <c r="AR77" i="611"/>
  <c r="H77" i="611" s="1"/>
  <c r="AQ77" i="611"/>
  <c r="G77" i="611" s="1"/>
  <c r="AP77" i="611"/>
  <c r="F77" i="611" s="1"/>
  <c r="AI77" i="611"/>
  <c r="AT76" i="611"/>
  <c r="AR76" i="611"/>
  <c r="H76" i="611" s="1"/>
  <c r="AQ76" i="611"/>
  <c r="G76" i="611" s="1"/>
  <c r="AP76" i="611"/>
  <c r="F76" i="611" s="1"/>
  <c r="AI76" i="611"/>
  <c r="AT75" i="611"/>
  <c r="AR75" i="611"/>
  <c r="H75" i="611" s="1"/>
  <c r="AQ75" i="611"/>
  <c r="G75" i="611" s="1"/>
  <c r="AP75" i="611"/>
  <c r="F75" i="611" s="1"/>
  <c r="AI75" i="611"/>
  <c r="AT74" i="611"/>
  <c r="AR74" i="611"/>
  <c r="H74" i="611" s="1"/>
  <c r="AQ74" i="611"/>
  <c r="G74" i="611" s="1"/>
  <c r="AP74" i="611"/>
  <c r="F74" i="611" s="1"/>
  <c r="AO74" i="611"/>
  <c r="E74" i="611" s="1"/>
  <c r="AI74" i="611"/>
  <c r="AH74" i="611"/>
  <c r="AG74" i="611"/>
  <c r="AJ74" i="611" s="1"/>
  <c r="AT73" i="611"/>
  <c r="AR73" i="611"/>
  <c r="H73" i="611" s="1"/>
  <c r="AQ73" i="611"/>
  <c r="G73" i="611" s="1"/>
  <c r="AP73" i="611"/>
  <c r="F73" i="611" s="1"/>
  <c r="AI73" i="611"/>
  <c r="AT72" i="611"/>
  <c r="AR72" i="611"/>
  <c r="H72" i="611" s="1"/>
  <c r="AQ72" i="611"/>
  <c r="G72" i="611" s="1"/>
  <c r="AP72" i="611"/>
  <c r="F72" i="611" s="1"/>
  <c r="AI72" i="611"/>
  <c r="AT71" i="611"/>
  <c r="AR71" i="611"/>
  <c r="H71" i="611" s="1"/>
  <c r="AQ71" i="611"/>
  <c r="G71" i="611" s="1"/>
  <c r="AP71" i="611"/>
  <c r="F71" i="611" s="1"/>
  <c r="AI71" i="611"/>
  <c r="AT70" i="611"/>
  <c r="AR70" i="611"/>
  <c r="H70" i="611" s="1"/>
  <c r="AQ70" i="611"/>
  <c r="G70" i="611" s="1"/>
  <c r="AP70" i="611"/>
  <c r="F70" i="611" s="1"/>
  <c r="AI70" i="611"/>
  <c r="AT69" i="611"/>
  <c r="AR69" i="611"/>
  <c r="H69" i="611" s="1"/>
  <c r="AQ69" i="611"/>
  <c r="G69" i="611" s="1"/>
  <c r="AP69" i="611"/>
  <c r="F69" i="611" s="1"/>
  <c r="AI69" i="611"/>
  <c r="AT68" i="611"/>
  <c r="AR68" i="611"/>
  <c r="H68" i="611" s="1"/>
  <c r="AQ68" i="611"/>
  <c r="G68" i="611" s="1"/>
  <c r="AP68" i="611"/>
  <c r="F68" i="611" s="1"/>
  <c r="AI68" i="611"/>
  <c r="AT67" i="611"/>
  <c r="AR67" i="611"/>
  <c r="H67" i="611" s="1"/>
  <c r="AQ67" i="611"/>
  <c r="G67" i="611" s="1"/>
  <c r="AP67" i="611"/>
  <c r="F67" i="611" s="1"/>
  <c r="AO67" i="611"/>
  <c r="E67" i="611" s="1"/>
  <c r="AI67" i="611"/>
  <c r="AH67" i="611"/>
  <c r="AG67" i="611"/>
  <c r="AK67" i="611" s="1"/>
  <c r="AT66" i="611"/>
  <c r="AR66" i="611"/>
  <c r="H66" i="611" s="1"/>
  <c r="AQ66" i="611"/>
  <c r="G66" i="611" s="1"/>
  <c r="AP66" i="611"/>
  <c r="F66" i="611" s="1"/>
  <c r="AI66" i="611"/>
  <c r="AT65" i="611"/>
  <c r="AR65" i="611"/>
  <c r="H65" i="611" s="1"/>
  <c r="AQ65" i="611"/>
  <c r="G65" i="611" s="1"/>
  <c r="AP65" i="611"/>
  <c r="F65" i="611" s="1"/>
  <c r="AI65" i="611"/>
  <c r="AT64" i="611"/>
  <c r="AR64" i="611"/>
  <c r="H64" i="611" s="1"/>
  <c r="AQ64" i="611"/>
  <c r="G64" i="611" s="1"/>
  <c r="AP64" i="611"/>
  <c r="F64" i="611" s="1"/>
  <c r="AI64" i="611"/>
  <c r="AT63" i="611"/>
  <c r="AR63" i="611"/>
  <c r="H63" i="611" s="1"/>
  <c r="AQ63" i="611"/>
  <c r="G63" i="611" s="1"/>
  <c r="AP63" i="611"/>
  <c r="F63" i="611" s="1"/>
  <c r="AI63" i="611"/>
  <c r="AT62" i="611"/>
  <c r="AR62" i="611"/>
  <c r="H62" i="611" s="1"/>
  <c r="AQ62" i="611"/>
  <c r="G62" i="611" s="1"/>
  <c r="AP62" i="611"/>
  <c r="F62" i="611" s="1"/>
  <c r="AI62" i="611"/>
  <c r="AT61" i="611"/>
  <c r="AR61" i="611"/>
  <c r="H61" i="611" s="1"/>
  <c r="AQ61" i="611"/>
  <c r="G61" i="611" s="1"/>
  <c r="AP61" i="611"/>
  <c r="F61" i="611" s="1"/>
  <c r="AI61" i="611"/>
  <c r="AT60" i="611"/>
  <c r="AR60" i="611"/>
  <c r="H60" i="611" s="1"/>
  <c r="AQ60" i="611"/>
  <c r="G60" i="611" s="1"/>
  <c r="AP60" i="611"/>
  <c r="F60" i="611" s="1"/>
  <c r="AO60" i="611"/>
  <c r="E60" i="611" s="1"/>
  <c r="AI60" i="611"/>
  <c r="AH60" i="611"/>
  <c r="AG60" i="611"/>
  <c r="AJ60" i="611" s="1"/>
  <c r="AT59" i="611"/>
  <c r="AR59" i="611"/>
  <c r="H59" i="611" s="1"/>
  <c r="AQ59" i="611"/>
  <c r="G59" i="611" s="1"/>
  <c r="AP59" i="611"/>
  <c r="F59" i="611" s="1"/>
  <c r="AI59" i="611"/>
  <c r="AT58" i="611"/>
  <c r="AR58" i="611"/>
  <c r="H58" i="611" s="1"/>
  <c r="AQ58" i="611"/>
  <c r="G58" i="611" s="1"/>
  <c r="AP58" i="611"/>
  <c r="F58" i="611" s="1"/>
  <c r="AI58" i="611"/>
  <c r="AT57" i="611"/>
  <c r="AR57" i="611"/>
  <c r="H57" i="611" s="1"/>
  <c r="AQ57" i="611"/>
  <c r="G57" i="611" s="1"/>
  <c r="AP57" i="611"/>
  <c r="F57" i="611" s="1"/>
  <c r="AI57" i="611"/>
  <c r="AT56" i="611"/>
  <c r="AR56" i="611"/>
  <c r="H56" i="611" s="1"/>
  <c r="AQ56" i="611"/>
  <c r="G56" i="611" s="1"/>
  <c r="AP56" i="611"/>
  <c r="F56" i="611" s="1"/>
  <c r="AI56" i="611"/>
  <c r="AT55" i="611"/>
  <c r="AR55" i="611"/>
  <c r="H55" i="611" s="1"/>
  <c r="AQ55" i="611"/>
  <c r="G55" i="611" s="1"/>
  <c r="AP55" i="611"/>
  <c r="F55" i="611" s="1"/>
  <c r="AI55" i="611"/>
  <c r="AT54" i="611"/>
  <c r="AR54" i="611"/>
  <c r="H54" i="611" s="1"/>
  <c r="AQ54" i="611"/>
  <c r="G54" i="611" s="1"/>
  <c r="AP54" i="611"/>
  <c r="F54" i="611" s="1"/>
  <c r="AI54" i="611"/>
  <c r="AT53" i="611"/>
  <c r="AR53" i="611"/>
  <c r="H53" i="611" s="1"/>
  <c r="AQ53" i="611"/>
  <c r="G53" i="611" s="1"/>
  <c r="AP53" i="611"/>
  <c r="F53" i="611" s="1"/>
  <c r="AO53" i="611"/>
  <c r="E53" i="611" s="1"/>
  <c r="AI53" i="611"/>
  <c r="AH53" i="611"/>
  <c r="AG53" i="611"/>
  <c r="AT52" i="611"/>
  <c r="AR52" i="611"/>
  <c r="H52" i="611" s="1"/>
  <c r="AQ52" i="611"/>
  <c r="G52" i="611" s="1"/>
  <c r="AP52" i="611"/>
  <c r="F52" i="611" s="1"/>
  <c r="AI52" i="611"/>
  <c r="AT51" i="611"/>
  <c r="AR51" i="611"/>
  <c r="H51" i="611" s="1"/>
  <c r="AQ51" i="611"/>
  <c r="G51" i="611" s="1"/>
  <c r="AP51" i="611"/>
  <c r="F51" i="611" s="1"/>
  <c r="AI51" i="611"/>
  <c r="AT50" i="611"/>
  <c r="AR50" i="611"/>
  <c r="H50" i="611" s="1"/>
  <c r="AQ50" i="611"/>
  <c r="G50" i="611" s="1"/>
  <c r="AP50" i="611"/>
  <c r="F50" i="611" s="1"/>
  <c r="AI50" i="611"/>
  <c r="AT49" i="611"/>
  <c r="AR49" i="611"/>
  <c r="H49" i="611" s="1"/>
  <c r="AQ49" i="611"/>
  <c r="G49" i="611" s="1"/>
  <c r="AP49" i="611"/>
  <c r="F49" i="611" s="1"/>
  <c r="AI49" i="611"/>
  <c r="AT48" i="611"/>
  <c r="AR48" i="611"/>
  <c r="H48" i="611" s="1"/>
  <c r="AQ48" i="611"/>
  <c r="G48" i="611" s="1"/>
  <c r="AP48" i="611"/>
  <c r="F48" i="611" s="1"/>
  <c r="AI48" i="611"/>
  <c r="AT47" i="611"/>
  <c r="AR47" i="611"/>
  <c r="H47" i="611" s="1"/>
  <c r="AQ47" i="611"/>
  <c r="G47" i="611" s="1"/>
  <c r="AP47" i="611"/>
  <c r="F47" i="611" s="1"/>
  <c r="AI47" i="611"/>
  <c r="AT46" i="611"/>
  <c r="AR46" i="611"/>
  <c r="H46" i="611" s="1"/>
  <c r="AQ46" i="611"/>
  <c r="G46" i="611" s="1"/>
  <c r="AP46" i="611"/>
  <c r="F46" i="611" s="1"/>
  <c r="AO46" i="611"/>
  <c r="E46" i="611" s="1"/>
  <c r="AI46" i="611"/>
  <c r="AH46" i="611"/>
  <c r="AG46" i="611"/>
  <c r="AJ46" i="611" s="1"/>
  <c r="AT45" i="611"/>
  <c r="AR45" i="611"/>
  <c r="H45" i="611" s="1"/>
  <c r="AQ45" i="611"/>
  <c r="G45" i="611" s="1"/>
  <c r="AP45" i="611"/>
  <c r="F45" i="611" s="1"/>
  <c r="AI45" i="611"/>
  <c r="AT44" i="611"/>
  <c r="AR44" i="611"/>
  <c r="H44" i="611" s="1"/>
  <c r="AQ44" i="611"/>
  <c r="G44" i="611" s="1"/>
  <c r="AP44" i="611"/>
  <c r="F44" i="611" s="1"/>
  <c r="AI44" i="611"/>
  <c r="AT43" i="611"/>
  <c r="AR43" i="611"/>
  <c r="H43" i="611" s="1"/>
  <c r="AQ43" i="611"/>
  <c r="G43" i="611" s="1"/>
  <c r="AP43" i="611"/>
  <c r="F43" i="611" s="1"/>
  <c r="AI43" i="611"/>
  <c r="AT42" i="611"/>
  <c r="AR42" i="611"/>
  <c r="H42" i="611" s="1"/>
  <c r="AQ42" i="611"/>
  <c r="G42" i="611" s="1"/>
  <c r="AP42" i="611"/>
  <c r="F42" i="611" s="1"/>
  <c r="AI42" i="611"/>
  <c r="AT41" i="611"/>
  <c r="AR41" i="611"/>
  <c r="H41" i="611" s="1"/>
  <c r="AQ41" i="611"/>
  <c r="G41" i="611" s="1"/>
  <c r="AP41" i="611"/>
  <c r="F41" i="611" s="1"/>
  <c r="AI41" i="611"/>
  <c r="AT40" i="611"/>
  <c r="AR40" i="611"/>
  <c r="H40" i="611" s="1"/>
  <c r="AQ40" i="611"/>
  <c r="G40" i="611" s="1"/>
  <c r="AP40" i="611"/>
  <c r="F40" i="611" s="1"/>
  <c r="AI40" i="611"/>
  <c r="AT39" i="611"/>
  <c r="AR39" i="611"/>
  <c r="H39" i="611" s="1"/>
  <c r="AQ39" i="611"/>
  <c r="G39" i="611" s="1"/>
  <c r="AP39" i="611"/>
  <c r="F39" i="611" s="1"/>
  <c r="AO39" i="611"/>
  <c r="AO40" i="611" s="1"/>
  <c r="AO41" i="611" s="1"/>
  <c r="AI39" i="611"/>
  <c r="AH39" i="611"/>
  <c r="AG39" i="611"/>
  <c r="AT38" i="611"/>
  <c r="AR38" i="611"/>
  <c r="H38" i="611" s="1"/>
  <c r="AQ38" i="611"/>
  <c r="G38" i="611" s="1"/>
  <c r="AP38" i="611"/>
  <c r="F38" i="611" s="1"/>
  <c r="AI38" i="611"/>
  <c r="AT37" i="611"/>
  <c r="AR37" i="611"/>
  <c r="H37" i="611" s="1"/>
  <c r="AQ37" i="611"/>
  <c r="G37" i="611" s="1"/>
  <c r="AP37" i="611"/>
  <c r="F37" i="611" s="1"/>
  <c r="AI37" i="611"/>
  <c r="AT36" i="611"/>
  <c r="AR36" i="611"/>
  <c r="H36" i="611" s="1"/>
  <c r="AQ36" i="611"/>
  <c r="G36" i="611" s="1"/>
  <c r="AP36" i="611"/>
  <c r="F36" i="611" s="1"/>
  <c r="AI36" i="611"/>
  <c r="AT35" i="611"/>
  <c r="AR35" i="611"/>
  <c r="H35" i="611" s="1"/>
  <c r="AQ35" i="611"/>
  <c r="G35" i="611" s="1"/>
  <c r="AP35" i="611"/>
  <c r="F35" i="611" s="1"/>
  <c r="AI35" i="611"/>
  <c r="AT34" i="611"/>
  <c r="AR34" i="611"/>
  <c r="H34" i="611" s="1"/>
  <c r="AQ34" i="611"/>
  <c r="G34" i="611" s="1"/>
  <c r="AP34" i="611"/>
  <c r="F34" i="611" s="1"/>
  <c r="AI34" i="611"/>
  <c r="AT33" i="611"/>
  <c r="AR33" i="611"/>
  <c r="H33" i="611" s="1"/>
  <c r="AQ33" i="611"/>
  <c r="G33" i="611" s="1"/>
  <c r="AP33" i="611"/>
  <c r="F33" i="611" s="1"/>
  <c r="AI33" i="611"/>
  <c r="AT32" i="611"/>
  <c r="AR32" i="611"/>
  <c r="H32" i="611" s="1"/>
  <c r="AQ32" i="611"/>
  <c r="G32" i="611" s="1"/>
  <c r="AP32" i="611"/>
  <c r="F32" i="611" s="1"/>
  <c r="AO32" i="611"/>
  <c r="E32" i="611" s="1"/>
  <c r="AI32" i="611"/>
  <c r="AH32" i="611"/>
  <c r="AG32" i="611"/>
  <c r="AK32" i="611" s="1"/>
  <c r="AT31" i="611"/>
  <c r="AR31" i="611"/>
  <c r="H31" i="611" s="1"/>
  <c r="AQ31" i="611"/>
  <c r="G31" i="611" s="1"/>
  <c r="AP31" i="611"/>
  <c r="F31" i="611" s="1"/>
  <c r="AI31" i="611"/>
  <c r="AT30" i="611"/>
  <c r="AR30" i="611"/>
  <c r="H30" i="611" s="1"/>
  <c r="AQ30" i="611"/>
  <c r="G30" i="611" s="1"/>
  <c r="AP30" i="611"/>
  <c r="F30" i="611" s="1"/>
  <c r="AI30" i="611"/>
  <c r="AT29" i="611"/>
  <c r="AR29" i="611"/>
  <c r="H29" i="611" s="1"/>
  <c r="AQ29" i="611"/>
  <c r="G29" i="611" s="1"/>
  <c r="AP29" i="611"/>
  <c r="F29" i="611" s="1"/>
  <c r="AI29" i="611"/>
  <c r="AT28" i="611"/>
  <c r="AR28" i="611"/>
  <c r="H28" i="611" s="1"/>
  <c r="AQ28" i="611"/>
  <c r="G28" i="611" s="1"/>
  <c r="AP28" i="611"/>
  <c r="F28" i="611" s="1"/>
  <c r="AI28" i="611"/>
  <c r="AT27" i="611"/>
  <c r="AR27" i="611"/>
  <c r="H27" i="611" s="1"/>
  <c r="AQ27" i="611"/>
  <c r="G27" i="611" s="1"/>
  <c r="AP27" i="611"/>
  <c r="F27" i="611" s="1"/>
  <c r="AI27" i="611"/>
  <c r="AT26" i="611"/>
  <c r="AR26" i="611"/>
  <c r="H26" i="611" s="1"/>
  <c r="AQ26" i="611"/>
  <c r="G26" i="611" s="1"/>
  <c r="AP26" i="611"/>
  <c r="F26" i="611" s="1"/>
  <c r="AI26" i="611"/>
  <c r="AT25" i="611"/>
  <c r="AR25" i="611"/>
  <c r="H25" i="611" s="1"/>
  <c r="AQ25" i="611"/>
  <c r="G25" i="611" s="1"/>
  <c r="AP25" i="611"/>
  <c r="F25" i="611" s="1"/>
  <c r="AO25" i="611"/>
  <c r="E25" i="611" s="1"/>
  <c r="AI25" i="611"/>
  <c r="AH25" i="611"/>
  <c r="AG25" i="611"/>
  <c r="AJ25" i="611" s="1"/>
  <c r="AT24" i="611"/>
  <c r="AR24" i="611"/>
  <c r="H24" i="611" s="1"/>
  <c r="AQ24" i="611"/>
  <c r="G24" i="611" s="1"/>
  <c r="AP24" i="611"/>
  <c r="F24" i="611" s="1"/>
  <c r="AI24" i="611"/>
  <c r="AT23" i="611"/>
  <c r="AR23" i="611"/>
  <c r="H23" i="611" s="1"/>
  <c r="AQ23" i="611"/>
  <c r="G23" i="611" s="1"/>
  <c r="AP23" i="611"/>
  <c r="F23" i="611" s="1"/>
  <c r="AI23" i="611"/>
  <c r="AT22" i="611"/>
  <c r="AR22" i="611"/>
  <c r="H22" i="611" s="1"/>
  <c r="AQ22" i="611"/>
  <c r="G22" i="611" s="1"/>
  <c r="AP22" i="611"/>
  <c r="F22" i="611" s="1"/>
  <c r="AI22" i="611"/>
  <c r="AT21" i="611"/>
  <c r="AR21" i="611"/>
  <c r="H21" i="611" s="1"/>
  <c r="AQ21" i="611"/>
  <c r="G21" i="611" s="1"/>
  <c r="AP21" i="611"/>
  <c r="F21" i="611" s="1"/>
  <c r="AI21" i="611"/>
  <c r="AT20" i="611"/>
  <c r="AR20" i="611"/>
  <c r="H20" i="611" s="1"/>
  <c r="AQ20" i="611"/>
  <c r="G20" i="611" s="1"/>
  <c r="AP20" i="611"/>
  <c r="F20" i="611" s="1"/>
  <c r="AI20" i="611"/>
  <c r="AT19" i="611"/>
  <c r="AR19" i="611"/>
  <c r="H19" i="611" s="1"/>
  <c r="AQ19" i="611"/>
  <c r="G19" i="611" s="1"/>
  <c r="AP19" i="611"/>
  <c r="F19" i="611" s="1"/>
  <c r="AI19" i="611"/>
  <c r="AT18" i="611"/>
  <c r="AR18" i="611"/>
  <c r="H18" i="611" s="1"/>
  <c r="AQ18" i="611"/>
  <c r="G18" i="611" s="1"/>
  <c r="AP18" i="611"/>
  <c r="F18" i="611" s="1"/>
  <c r="AO18" i="611"/>
  <c r="E18" i="611" s="1"/>
  <c r="AI18" i="611"/>
  <c r="AH18" i="611"/>
  <c r="AG18" i="611"/>
  <c r="AK18" i="611" s="1"/>
  <c r="AT17" i="611"/>
  <c r="AR17" i="611"/>
  <c r="H17" i="611" s="1"/>
  <c r="AQ17" i="611"/>
  <c r="G17" i="611" s="1"/>
  <c r="AP17" i="611"/>
  <c r="F17" i="611" s="1"/>
  <c r="AO17" i="611"/>
  <c r="E17" i="611" s="1"/>
  <c r="AN17" i="611"/>
  <c r="D17" i="611" s="1"/>
  <c r="AI17" i="611"/>
  <c r="AH17" i="611"/>
  <c r="AG17" i="611"/>
  <c r="AT16" i="611"/>
  <c r="AR16" i="611"/>
  <c r="H16" i="611" s="1"/>
  <c r="AQ16" i="611"/>
  <c r="G16" i="611" s="1"/>
  <c r="AP16" i="611"/>
  <c r="F16" i="611" s="1"/>
  <c r="AO16" i="611"/>
  <c r="E16" i="611" s="1"/>
  <c r="AN16" i="611"/>
  <c r="D16" i="611" s="1"/>
  <c r="AM16" i="611"/>
  <c r="AI16" i="611"/>
  <c r="AH16" i="611"/>
  <c r="AG16" i="611"/>
  <c r="AJ16" i="611" s="1"/>
  <c r="AT15" i="611"/>
  <c r="AI15" i="611"/>
  <c r="AH15" i="611"/>
  <c r="AG15" i="611"/>
  <c r="AK15" i="611" s="1"/>
  <c r="H15" i="611"/>
  <c r="G15" i="611"/>
  <c r="F15" i="611"/>
  <c r="E15" i="611"/>
  <c r="D15" i="611"/>
  <c r="C15" i="611"/>
  <c r="B15" i="611"/>
  <c r="AT14" i="611"/>
  <c r="AR14" i="611"/>
  <c r="H14" i="611" s="1"/>
  <c r="AQ14" i="611"/>
  <c r="AQ15" i="611" s="1"/>
  <c r="AP14" i="611"/>
  <c r="F14" i="611" s="1"/>
  <c r="AO14" i="611"/>
  <c r="E14" i="611" s="1"/>
  <c r="AI14" i="611"/>
  <c r="AT13" i="611"/>
  <c r="AR13" i="611"/>
  <c r="H13" i="611" s="1"/>
  <c r="AQ13" i="611"/>
  <c r="G13" i="611" s="1"/>
  <c r="AP13" i="611"/>
  <c r="F13" i="611" s="1"/>
  <c r="AO13" i="611"/>
  <c r="E13" i="611" s="1"/>
  <c r="AI13" i="611"/>
  <c r="AT12" i="611"/>
  <c r="AR12" i="611"/>
  <c r="H12" i="611" s="1"/>
  <c r="AQ12" i="611"/>
  <c r="G12" i="611" s="1"/>
  <c r="AP12" i="611"/>
  <c r="F12" i="611" s="1"/>
  <c r="AO12" i="611"/>
  <c r="E12" i="611" s="1"/>
  <c r="AN12" i="611"/>
  <c r="D12" i="611" s="1"/>
  <c r="AI12" i="611"/>
  <c r="AH12" i="611"/>
  <c r="AG12" i="611"/>
  <c r="AK12" i="611" s="1"/>
  <c r="AT11" i="611"/>
  <c r="AR11" i="611"/>
  <c r="H11" i="611" s="1"/>
  <c r="AQ11" i="611"/>
  <c r="G11" i="611" s="1"/>
  <c r="AP11" i="611"/>
  <c r="F11" i="611" s="1"/>
  <c r="AO11" i="611"/>
  <c r="E11" i="611" s="1"/>
  <c r="AN11" i="611"/>
  <c r="D11" i="611" s="1"/>
  <c r="AM11" i="611"/>
  <c r="C11" i="611" s="1"/>
  <c r="AI11" i="611"/>
  <c r="AH11" i="611"/>
  <c r="AG11" i="611"/>
  <c r="AJ11" i="611" s="1"/>
  <c r="AT10" i="611"/>
  <c r="AI10" i="611"/>
  <c r="AH10" i="611"/>
  <c r="AG10" i="611"/>
  <c r="AJ10" i="611" s="1"/>
  <c r="H10" i="611"/>
  <c r="G10" i="611"/>
  <c r="F10" i="611"/>
  <c r="E10" i="611"/>
  <c r="D10" i="611"/>
  <c r="C10" i="611"/>
  <c r="B10" i="611"/>
  <c r="AT9" i="611"/>
  <c r="AR9" i="611"/>
  <c r="H9" i="611" s="1"/>
  <c r="AQ9" i="611"/>
  <c r="G9" i="611" s="1"/>
  <c r="AP9" i="611"/>
  <c r="F9" i="611" s="1"/>
  <c r="AO9" i="611"/>
  <c r="E9" i="611" s="1"/>
  <c r="AI9" i="611"/>
  <c r="AT8" i="611"/>
  <c r="AR8" i="611"/>
  <c r="H8" i="611" s="1"/>
  <c r="AQ8" i="611"/>
  <c r="G8" i="611" s="1"/>
  <c r="AP8" i="611"/>
  <c r="F8" i="611" s="1"/>
  <c r="AO8" i="611"/>
  <c r="E8" i="611" s="1"/>
  <c r="AI8" i="611"/>
  <c r="AT7" i="611"/>
  <c r="AR7" i="611"/>
  <c r="H7" i="611" s="1"/>
  <c r="AQ7" i="611"/>
  <c r="G7" i="611" s="1"/>
  <c r="AP7" i="611"/>
  <c r="F7" i="611" s="1"/>
  <c r="AO7" i="611"/>
  <c r="E7" i="611" s="1"/>
  <c r="AN7" i="611"/>
  <c r="AN8" i="611" s="1"/>
  <c r="AI7" i="611"/>
  <c r="AH7" i="611"/>
  <c r="AG7" i="611"/>
  <c r="AK7" i="611" s="1"/>
  <c r="AT6" i="611"/>
  <c r="AR6" i="611"/>
  <c r="H6" i="611" s="1"/>
  <c r="AQ6" i="611"/>
  <c r="G6" i="611" s="1"/>
  <c r="AP6" i="611"/>
  <c r="F6" i="611" s="1"/>
  <c r="AO6" i="611"/>
  <c r="E6" i="611" s="1"/>
  <c r="AN6" i="611"/>
  <c r="D6" i="611" s="1"/>
  <c r="AM6" i="611"/>
  <c r="C6" i="611" s="1"/>
  <c r="AL6" i="611"/>
  <c r="AL7" i="611" s="1"/>
  <c r="B7" i="611" s="1"/>
  <c r="AI6" i="611"/>
  <c r="AH6" i="611"/>
  <c r="AG6" i="611"/>
  <c r="D50" i="610"/>
  <c r="E50" i="610" s="1"/>
  <c r="F50" i="610" s="1"/>
  <c r="G50" i="610" s="1"/>
  <c r="H50" i="610" s="1"/>
  <c r="I50" i="610" s="1"/>
  <c r="J50" i="610" s="1"/>
  <c r="K50" i="610" s="1"/>
  <c r="L50" i="610" s="1"/>
  <c r="M50" i="610" s="1"/>
  <c r="N50" i="610" s="1"/>
  <c r="O50" i="610" s="1"/>
  <c r="P50" i="610" s="1"/>
  <c r="Q50" i="610" s="1"/>
  <c r="R50" i="610" s="1"/>
  <c r="S50" i="610" s="1"/>
  <c r="T50" i="610" s="1"/>
  <c r="U50" i="610" s="1"/>
  <c r="V50" i="610" s="1"/>
  <c r="W50" i="610" s="1"/>
  <c r="X50" i="610" s="1"/>
  <c r="Y50" i="610" s="1"/>
  <c r="Z50" i="610" s="1"/>
  <c r="AA50" i="610" s="1"/>
  <c r="AB50" i="610" s="1"/>
  <c r="AC50" i="610" s="1"/>
  <c r="AD50" i="610" s="1"/>
  <c r="AE50" i="610" s="1"/>
  <c r="AF50" i="610" s="1"/>
  <c r="AG50" i="610" s="1"/>
  <c r="AH50" i="610" s="1"/>
  <c r="AI50" i="610" s="1"/>
  <c r="AJ50" i="610" s="1"/>
  <c r="AK50" i="610" s="1"/>
  <c r="AL50" i="610" s="1"/>
  <c r="AM50" i="610" s="1"/>
  <c r="AN50" i="610" s="1"/>
  <c r="AO50" i="610" s="1"/>
  <c r="AP50" i="610" s="1"/>
  <c r="AQ50" i="610" s="1"/>
  <c r="AR50" i="610" s="1"/>
  <c r="AS50" i="610" s="1"/>
  <c r="AT50" i="610" s="1"/>
  <c r="AU50" i="610" s="1"/>
  <c r="AV50" i="610" s="1"/>
  <c r="AW50" i="610" s="1"/>
  <c r="AX50" i="610" s="1"/>
  <c r="AY50" i="610" s="1"/>
  <c r="AZ50" i="610" s="1"/>
  <c r="BA50" i="610" s="1"/>
  <c r="BB50" i="610" s="1"/>
  <c r="BC50" i="610" s="1"/>
  <c r="BD50" i="610" s="1"/>
  <c r="BE50" i="610" s="1"/>
  <c r="BF50" i="610" s="1"/>
  <c r="BG50" i="610" s="1"/>
  <c r="BH50" i="610" s="1"/>
  <c r="BI50" i="610" s="1"/>
  <c r="BJ50" i="610" s="1"/>
  <c r="BK50" i="610" s="1"/>
  <c r="BL50" i="610" s="1"/>
  <c r="BM50" i="610" s="1"/>
  <c r="BN50" i="610" s="1"/>
  <c r="BO50" i="610" s="1"/>
  <c r="BP50" i="610" s="1"/>
  <c r="BQ50" i="610" s="1"/>
  <c r="BR50" i="610" s="1"/>
  <c r="BS50" i="610" s="1"/>
  <c r="BT50" i="610" s="1"/>
  <c r="BU50" i="610" s="1"/>
  <c r="BV50" i="610" s="1"/>
  <c r="BW50" i="610" s="1"/>
  <c r="BX50" i="610" s="1"/>
  <c r="BY50" i="610" s="1"/>
  <c r="BZ50" i="610" s="1"/>
  <c r="CA50" i="610" s="1"/>
  <c r="CB50" i="610" s="1"/>
  <c r="CC50" i="610" s="1"/>
  <c r="CD50" i="610" s="1"/>
  <c r="CE50" i="610" s="1"/>
  <c r="CF50" i="610" s="1"/>
  <c r="CG50" i="610" s="1"/>
  <c r="CH50" i="610" s="1"/>
  <c r="CI50" i="610" s="1"/>
  <c r="CJ50" i="610" s="1"/>
  <c r="CK50" i="610" s="1"/>
  <c r="CL50" i="610" s="1"/>
  <c r="CM50" i="610" s="1"/>
  <c r="CN50" i="610" s="1"/>
  <c r="CO50" i="610" s="1"/>
  <c r="CP50" i="610" s="1"/>
  <c r="CQ50" i="610" s="1"/>
  <c r="CR50" i="610" s="1"/>
  <c r="CS50" i="610" s="1"/>
  <c r="CT50" i="610" s="1"/>
  <c r="B48" i="610"/>
  <c r="C46" i="610"/>
  <c r="E22" i="610"/>
  <c r="D22" i="610"/>
  <c r="C18" i="610"/>
  <c r="AT377" i="609"/>
  <c r="AR377" i="609"/>
  <c r="H377" i="609" s="1"/>
  <c r="AQ377" i="609"/>
  <c r="G377" i="609" s="1"/>
  <c r="AP377" i="609"/>
  <c r="F377" i="609" s="1"/>
  <c r="AO377" i="609"/>
  <c r="E377" i="609" s="1"/>
  <c r="AI377" i="609"/>
  <c r="AH377" i="609"/>
  <c r="AG377" i="609"/>
  <c r="AT376" i="609"/>
  <c r="AR376" i="609"/>
  <c r="H376" i="609" s="1"/>
  <c r="AQ376" i="609"/>
  <c r="G376" i="609" s="1"/>
  <c r="AP376" i="609"/>
  <c r="F376" i="609" s="1"/>
  <c r="AO376" i="609"/>
  <c r="E376" i="609" s="1"/>
  <c r="AI376" i="609"/>
  <c r="AH376" i="609"/>
  <c r="AG376" i="609"/>
  <c r="AJ376" i="609" s="1"/>
  <c r="AT375" i="609"/>
  <c r="AR375" i="609"/>
  <c r="H375" i="609" s="1"/>
  <c r="AQ375" i="609"/>
  <c r="G375" i="609" s="1"/>
  <c r="AP375" i="609"/>
  <c r="F375" i="609" s="1"/>
  <c r="AO375" i="609"/>
  <c r="E375" i="609" s="1"/>
  <c r="AI375" i="609"/>
  <c r="AH375" i="609"/>
  <c r="AG375" i="609"/>
  <c r="AT374" i="609"/>
  <c r="AR374" i="609"/>
  <c r="H374" i="609" s="1"/>
  <c r="AQ374" i="609"/>
  <c r="G374" i="609" s="1"/>
  <c r="AP374" i="609"/>
  <c r="F374" i="609" s="1"/>
  <c r="AO374" i="609"/>
  <c r="E374" i="609" s="1"/>
  <c r="AI374" i="609"/>
  <c r="AH374" i="609"/>
  <c r="AG374" i="609"/>
  <c r="AK374" i="609" s="1"/>
  <c r="AT373" i="609"/>
  <c r="AR373" i="609"/>
  <c r="H373" i="609" s="1"/>
  <c r="AQ373" i="609"/>
  <c r="G373" i="609" s="1"/>
  <c r="AP373" i="609"/>
  <c r="F373" i="609" s="1"/>
  <c r="AO373" i="609"/>
  <c r="E373" i="609" s="1"/>
  <c r="AI373" i="609"/>
  <c r="AH373" i="609"/>
  <c r="AG373" i="609"/>
  <c r="AT372" i="609"/>
  <c r="AR372" i="609"/>
  <c r="H372" i="609" s="1"/>
  <c r="AQ372" i="609"/>
  <c r="G372" i="609" s="1"/>
  <c r="AP372" i="609"/>
  <c r="F372" i="609" s="1"/>
  <c r="AO372" i="609"/>
  <c r="E372" i="609" s="1"/>
  <c r="AI372" i="609"/>
  <c r="AH372" i="609"/>
  <c r="AG372" i="609"/>
  <c r="AJ372" i="609" s="1"/>
  <c r="AT371" i="609"/>
  <c r="AR371" i="609"/>
  <c r="H371" i="609" s="1"/>
  <c r="AQ371" i="609"/>
  <c r="G371" i="609" s="1"/>
  <c r="AP371" i="609"/>
  <c r="F371" i="609" s="1"/>
  <c r="AO371" i="609"/>
  <c r="E371" i="609" s="1"/>
  <c r="AN371" i="609"/>
  <c r="AN372" i="609" s="1"/>
  <c r="AI371" i="609"/>
  <c r="AH371" i="609"/>
  <c r="AG371" i="609"/>
  <c r="AT370" i="609"/>
  <c r="AR370" i="609"/>
  <c r="H370" i="609" s="1"/>
  <c r="AQ370" i="609"/>
  <c r="G370" i="609" s="1"/>
  <c r="AP370" i="609"/>
  <c r="F370" i="609" s="1"/>
  <c r="AO370" i="609"/>
  <c r="E370" i="609" s="1"/>
  <c r="AI370" i="609"/>
  <c r="AH370" i="609"/>
  <c r="AG370" i="609"/>
  <c r="AK370" i="609" s="1"/>
  <c r="AT369" i="609"/>
  <c r="AR369" i="609"/>
  <c r="H369" i="609" s="1"/>
  <c r="AQ369" i="609"/>
  <c r="G369" i="609" s="1"/>
  <c r="AP369" i="609"/>
  <c r="F369" i="609" s="1"/>
  <c r="AO369" i="609"/>
  <c r="E369" i="609" s="1"/>
  <c r="AI369" i="609"/>
  <c r="AH369" i="609"/>
  <c r="AG369" i="609"/>
  <c r="AT368" i="609"/>
  <c r="AR368" i="609"/>
  <c r="H368" i="609" s="1"/>
  <c r="AQ368" i="609"/>
  <c r="G368" i="609" s="1"/>
  <c r="AP368" i="609"/>
  <c r="F368" i="609" s="1"/>
  <c r="AO368" i="609"/>
  <c r="E368" i="609" s="1"/>
  <c r="AI368" i="609"/>
  <c r="AH368" i="609"/>
  <c r="AG368" i="609"/>
  <c r="AJ368" i="609" s="1"/>
  <c r="AT367" i="609"/>
  <c r="AR367" i="609"/>
  <c r="H367" i="609" s="1"/>
  <c r="AQ367" i="609"/>
  <c r="G367" i="609" s="1"/>
  <c r="AP367" i="609"/>
  <c r="F367" i="609" s="1"/>
  <c r="AO367" i="609"/>
  <c r="E367" i="609" s="1"/>
  <c r="AI367" i="609"/>
  <c r="AH367" i="609"/>
  <c r="AG367" i="609"/>
  <c r="AT366" i="609"/>
  <c r="AR366" i="609"/>
  <c r="H366" i="609" s="1"/>
  <c r="AQ366" i="609"/>
  <c r="G366" i="609" s="1"/>
  <c r="AP366" i="609"/>
  <c r="F366" i="609" s="1"/>
  <c r="AO366" i="609"/>
  <c r="E366" i="609" s="1"/>
  <c r="AI366" i="609"/>
  <c r="AH366" i="609"/>
  <c r="AG366" i="609"/>
  <c r="AK366" i="609" s="1"/>
  <c r="AT365" i="609"/>
  <c r="AR365" i="609"/>
  <c r="H365" i="609" s="1"/>
  <c r="AQ365" i="609"/>
  <c r="G365" i="609" s="1"/>
  <c r="AP365" i="609"/>
  <c r="F365" i="609" s="1"/>
  <c r="AO365" i="609"/>
  <c r="E365" i="609" s="1"/>
  <c r="AI365" i="609"/>
  <c r="AH365" i="609"/>
  <c r="AG365" i="609"/>
  <c r="AT364" i="609"/>
  <c r="AR364" i="609"/>
  <c r="H364" i="609" s="1"/>
  <c r="AQ364" i="609"/>
  <c r="G364" i="609" s="1"/>
  <c r="AP364" i="609"/>
  <c r="F364" i="609" s="1"/>
  <c r="AO364" i="609"/>
  <c r="E364" i="609" s="1"/>
  <c r="AN364" i="609"/>
  <c r="AN365" i="609" s="1"/>
  <c r="AN366" i="609" s="1"/>
  <c r="AI364" i="609"/>
  <c r="AH364" i="609"/>
  <c r="AG364" i="609"/>
  <c r="AJ364" i="609" s="1"/>
  <c r="AT363" i="609"/>
  <c r="AR363" i="609"/>
  <c r="H363" i="609" s="1"/>
  <c r="AQ363" i="609"/>
  <c r="G363" i="609" s="1"/>
  <c r="AP363" i="609"/>
  <c r="F363" i="609" s="1"/>
  <c r="AO363" i="609"/>
  <c r="E363" i="609" s="1"/>
  <c r="AI363" i="609"/>
  <c r="AH363" i="609"/>
  <c r="AG363" i="609"/>
  <c r="AT362" i="609"/>
  <c r="AR362" i="609"/>
  <c r="H362" i="609" s="1"/>
  <c r="AQ362" i="609"/>
  <c r="G362" i="609" s="1"/>
  <c r="AP362" i="609"/>
  <c r="F362" i="609" s="1"/>
  <c r="AO362" i="609"/>
  <c r="E362" i="609" s="1"/>
  <c r="AI362" i="609"/>
  <c r="AH362" i="609"/>
  <c r="AG362" i="609"/>
  <c r="AK362" i="609" s="1"/>
  <c r="AT361" i="609"/>
  <c r="AR361" i="609"/>
  <c r="H361" i="609" s="1"/>
  <c r="AQ361" i="609"/>
  <c r="G361" i="609" s="1"/>
  <c r="AP361" i="609"/>
  <c r="F361" i="609" s="1"/>
  <c r="AO361" i="609"/>
  <c r="E361" i="609" s="1"/>
  <c r="AI361" i="609"/>
  <c r="AH361" i="609"/>
  <c r="AG361" i="609"/>
  <c r="AT360" i="609"/>
  <c r="AR360" i="609"/>
  <c r="H360" i="609" s="1"/>
  <c r="AQ360" i="609"/>
  <c r="G360" i="609" s="1"/>
  <c r="AP360" i="609"/>
  <c r="F360" i="609" s="1"/>
  <c r="AO360" i="609"/>
  <c r="E360" i="609" s="1"/>
  <c r="AI360" i="609"/>
  <c r="AH360" i="609"/>
  <c r="AG360" i="609"/>
  <c r="AJ360" i="609" s="1"/>
  <c r="AT359" i="609"/>
  <c r="AR359" i="609"/>
  <c r="H359" i="609" s="1"/>
  <c r="AQ359" i="609"/>
  <c r="G359" i="609" s="1"/>
  <c r="AP359" i="609"/>
  <c r="F359" i="609" s="1"/>
  <c r="AO359" i="609"/>
  <c r="E359" i="609" s="1"/>
  <c r="AI359" i="609"/>
  <c r="AH359" i="609"/>
  <c r="AG359" i="609"/>
  <c r="AT358" i="609"/>
  <c r="AR358" i="609"/>
  <c r="H358" i="609" s="1"/>
  <c r="AQ358" i="609"/>
  <c r="G358" i="609" s="1"/>
  <c r="AP358" i="609"/>
  <c r="F358" i="609" s="1"/>
  <c r="AO358" i="609"/>
  <c r="E358" i="609" s="1"/>
  <c r="AI358" i="609"/>
  <c r="AH358" i="609"/>
  <c r="AG358" i="609"/>
  <c r="AK358" i="609" s="1"/>
  <c r="AT357" i="609"/>
  <c r="AR357" i="609"/>
  <c r="H357" i="609" s="1"/>
  <c r="AQ357" i="609"/>
  <c r="G357" i="609" s="1"/>
  <c r="AP357" i="609"/>
  <c r="F357" i="609" s="1"/>
  <c r="AO357" i="609"/>
  <c r="E357" i="609" s="1"/>
  <c r="AN357" i="609"/>
  <c r="AN358" i="609" s="1"/>
  <c r="AI357" i="609"/>
  <c r="AH357" i="609"/>
  <c r="AG357" i="609"/>
  <c r="AT356" i="609"/>
  <c r="AR356" i="609"/>
  <c r="H356" i="609" s="1"/>
  <c r="AQ356" i="609"/>
  <c r="G356" i="609" s="1"/>
  <c r="AP356" i="609"/>
  <c r="F356" i="609" s="1"/>
  <c r="AO356" i="609"/>
  <c r="E356" i="609" s="1"/>
  <c r="AI356" i="609"/>
  <c r="AH356" i="609"/>
  <c r="AG356" i="609"/>
  <c r="AJ356" i="609" s="1"/>
  <c r="AT355" i="609"/>
  <c r="AR355" i="609"/>
  <c r="H355" i="609" s="1"/>
  <c r="AQ355" i="609"/>
  <c r="G355" i="609" s="1"/>
  <c r="AP355" i="609"/>
  <c r="F355" i="609" s="1"/>
  <c r="AO355" i="609"/>
  <c r="E355" i="609" s="1"/>
  <c r="AI355" i="609"/>
  <c r="AH355" i="609"/>
  <c r="AG355" i="609"/>
  <c r="AT354" i="609"/>
  <c r="AR354" i="609"/>
  <c r="H354" i="609" s="1"/>
  <c r="AQ354" i="609"/>
  <c r="G354" i="609" s="1"/>
  <c r="AP354" i="609"/>
  <c r="F354" i="609" s="1"/>
  <c r="AO354" i="609"/>
  <c r="E354" i="609" s="1"/>
  <c r="AI354" i="609"/>
  <c r="AH354" i="609"/>
  <c r="AG354" i="609"/>
  <c r="AK354" i="609" s="1"/>
  <c r="AT353" i="609"/>
  <c r="AR353" i="609"/>
  <c r="H353" i="609" s="1"/>
  <c r="AQ353" i="609"/>
  <c r="G353" i="609" s="1"/>
  <c r="AP353" i="609"/>
  <c r="F353" i="609" s="1"/>
  <c r="AO353" i="609"/>
  <c r="E353" i="609" s="1"/>
  <c r="AI353" i="609"/>
  <c r="AH353" i="609"/>
  <c r="AG353" i="609"/>
  <c r="AT352" i="609"/>
  <c r="AR352" i="609"/>
  <c r="H352" i="609" s="1"/>
  <c r="AQ352" i="609"/>
  <c r="G352" i="609" s="1"/>
  <c r="AP352" i="609"/>
  <c r="F352" i="609" s="1"/>
  <c r="AO352" i="609"/>
  <c r="E352" i="609" s="1"/>
  <c r="AI352" i="609"/>
  <c r="AH352" i="609"/>
  <c r="AG352" i="609"/>
  <c r="AJ352" i="609" s="1"/>
  <c r="AT351" i="609"/>
  <c r="AR351" i="609"/>
  <c r="H351" i="609" s="1"/>
  <c r="AQ351" i="609"/>
  <c r="G351" i="609" s="1"/>
  <c r="AP351" i="609"/>
  <c r="F351" i="609" s="1"/>
  <c r="AO351" i="609"/>
  <c r="E351" i="609" s="1"/>
  <c r="AI351" i="609"/>
  <c r="AH351" i="609"/>
  <c r="AG351" i="609"/>
  <c r="AT350" i="609"/>
  <c r="AR350" i="609"/>
  <c r="H350" i="609" s="1"/>
  <c r="AQ350" i="609"/>
  <c r="G350" i="609" s="1"/>
  <c r="AP350" i="609"/>
  <c r="F350" i="609" s="1"/>
  <c r="AO350" i="609"/>
  <c r="E350" i="609" s="1"/>
  <c r="AN350" i="609"/>
  <c r="D350" i="609" s="1"/>
  <c r="AI350" i="609"/>
  <c r="AH350" i="609"/>
  <c r="AG350" i="609"/>
  <c r="AK350" i="609" s="1"/>
  <c r="AT349" i="609"/>
  <c r="AR349" i="609"/>
  <c r="H349" i="609" s="1"/>
  <c r="AQ349" i="609"/>
  <c r="G349" i="609" s="1"/>
  <c r="AP349" i="609"/>
  <c r="F349" i="609" s="1"/>
  <c r="AO349" i="609"/>
  <c r="E349" i="609" s="1"/>
  <c r="AI349" i="609"/>
  <c r="AH349" i="609"/>
  <c r="AG349" i="609"/>
  <c r="AT348" i="609"/>
  <c r="AR348" i="609"/>
  <c r="H348" i="609" s="1"/>
  <c r="AQ348" i="609"/>
  <c r="G348" i="609" s="1"/>
  <c r="AP348" i="609"/>
  <c r="F348" i="609" s="1"/>
  <c r="AO348" i="609"/>
  <c r="E348" i="609" s="1"/>
  <c r="AI348" i="609"/>
  <c r="AH348" i="609"/>
  <c r="AG348" i="609"/>
  <c r="AJ348" i="609" s="1"/>
  <c r="AT347" i="609"/>
  <c r="AR347" i="609"/>
  <c r="H347" i="609" s="1"/>
  <c r="AQ347" i="609"/>
  <c r="G347" i="609" s="1"/>
  <c r="AP347" i="609"/>
  <c r="F347" i="609" s="1"/>
  <c r="AO347" i="609"/>
  <c r="E347" i="609" s="1"/>
  <c r="AI347" i="609"/>
  <c r="AH347" i="609"/>
  <c r="AG347" i="609"/>
  <c r="AT346" i="609"/>
  <c r="AR346" i="609"/>
  <c r="H346" i="609" s="1"/>
  <c r="AQ346" i="609"/>
  <c r="G346" i="609" s="1"/>
  <c r="AP346" i="609"/>
  <c r="F346" i="609" s="1"/>
  <c r="AO346" i="609"/>
  <c r="E346" i="609" s="1"/>
  <c r="AI346" i="609"/>
  <c r="AH346" i="609"/>
  <c r="AG346" i="609"/>
  <c r="AK346" i="609" s="1"/>
  <c r="AT345" i="609"/>
  <c r="AR345" i="609"/>
  <c r="H345" i="609" s="1"/>
  <c r="AQ345" i="609"/>
  <c r="G345" i="609" s="1"/>
  <c r="AP345" i="609"/>
  <c r="F345" i="609" s="1"/>
  <c r="AO345" i="609"/>
  <c r="E345" i="609" s="1"/>
  <c r="AI345" i="609"/>
  <c r="AH345" i="609"/>
  <c r="AG345" i="609"/>
  <c r="AT344" i="609"/>
  <c r="AR344" i="609"/>
  <c r="H344" i="609" s="1"/>
  <c r="AQ344" i="609"/>
  <c r="G344" i="609" s="1"/>
  <c r="AP344" i="609"/>
  <c r="F344" i="609" s="1"/>
  <c r="AO344" i="609"/>
  <c r="E344" i="609" s="1"/>
  <c r="AI344" i="609"/>
  <c r="AH344" i="609"/>
  <c r="AG344" i="609"/>
  <c r="AJ344" i="609" s="1"/>
  <c r="AT343" i="609"/>
  <c r="AR343" i="609"/>
  <c r="H343" i="609" s="1"/>
  <c r="AQ343" i="609"/>
  <c r="G343" i="609" s="1"/>
  <c r="AP343" i="609"/>
  <c r="F343" i="609" s="1"/>
  <c r="AO343" i="609"/>
  <c r="E343" i="609" s="1"/>
  <c r="AN343" i="609"/>
  <c r="AN344" i="609" s="1"/>
  <c r="AI343" i="609"/>
  <c r="AH343" i="609"/>
  <c r="AG343" i="609"/>
  <c r="AT342" i="609"/>
  <c r="AR342" i="609"/>
  <c r="H342" i="609" s="1"/>
  <c r="AQ342" i="609"/>
  <c r="G342" i="609" s="1"/>
  <c r="AP342" i="609"/>
  <c r="F342" i="609" s="1"/>
  <c r="AO342" i="609"/>
  <c r="E342" i="609" s="1"/>
  <c r="AI342" i="609"/>
  <c r="AH342" i="609"/>
  <c r="AG342" i="609"/>
  <c r="AK342" i="609" s="1"/>
  <c r="AT341" i="609"/>
  <c r="AR341" i="609"/>
  <c r="H341" i="609" s="1"/>
  <c r="AQ341" i="609"/>
  <c r="G341" i="609" s="1"/>
  <c r="AP341" i="609"/>
  <c r="F341" i="609" s="1"/>
  <c r="AO341" i="609"/>
  <c r="E341" i="609" s="1"/>
  <c r="AI341" i="609"/>
  <c r="AH341" i="609"/>
  <c r="AG341" i="609"/>
  <c r="AT340" i="609"/>
  <c r="AR340" i="609"/>
  <c r="H340" i="609" s="1"/>
  <c r="AQ340" i="609"/>
  <c r="G340" i="609" s="1"/>
  <c r="AP340" i="609"/>
  <c r="F340" i="609" s="1"/>
  <c r="AO340" i="609"/>
  <c r="E340" i="609" s="1"/>
  <c r="AI340" i="609"/>
  <c r="AH340" i="609"/>
  <c r="AG340" i="609"/>
  <c r="AJ340" i="609" s="1"/>
  <c r="AT339" i="609"/>
  <c r="AR339" i="609"/>
  <c r="H339" i="609" s="1"/>
  <c r="AQ339" i="609"/>
  <c r="G339" i="609" s="1"/>
  <c r="AP339" i="609"/>
  <c r="F339" i="609" s="1"/>
  <c r="AO339" i="609"/>
  <c r="E339" i="609" s="1"/>
  <c r="AI339" i="609"/>
  <c r="AH339" i="609"/>
  <c r="AG339" i="609"/>
  <c r="AT338" i="609"/>
  <c r="AR338" i="609"/>
  <c r="H338" i="609" s="1"/>
  <c r="AQ338" i="609"/>
  <c r="G338" i="609" s="1"/>
  <c r="AP338" i="609"/>
  <c r="F338" i="609" s="1"/>
  <c r="AO338" i="609"/>
  <c r="E338" i="609" s="1"/>
  <c r="AI338" i="609"/>
  <c r="AH338" i="609"/>
  <c r="AG338" i="609"/>
  <c r="AK338" i="609" s="1"/>
  <c r="AT337" i="609"/>
  <c r="AR337" i="609"/>
  <c r="H337" i="609" s="1"/>
  <c r="AQ337" i="609"/>
  <c r="G337" i="609" s="1"/>
  <c r="AP337" i="609"/>
  <c r="F337" i="609" s="1"/>
  <c r="AO337" i="609"/>
  <c r="E337" i="609" s="1"/>
  <c r="AI337" i="609"/>
  <c r="AH337" i="609"/>
  <c r="AG337" i="609"/>
  <c r="AT336" i="609"/>
  <c r="AR336" i="609"/>
  <c r="H336" i="609" s="1"/>
  <c r="AQ336" i="609"/>
  <c r="G336" i="609" s="1"/>
  <c r="AP336" i="609"/>
  <c r="F336" i="609" s="1"/>
  <c r="AO336" i="609"/>
  <c r="E336" i="609" s="1"/>
  <c r="AN336" i="609"/>
  <c r="AN337" i="609" s="1"/>
  <c r="AN338" i="609" s="1"/>
  <c r="AI336" i="609"/>
  <c r="AH336" i="609"/>
  <c r="AG336" i="609"/>
  <c r="AJ336" i="609" s="1"/>
  <c r="AT335" i="609"/>
  <c r="AR335" i="609"/>
  <c r="H335" i="609" s="1"/>
  <c r="AQ335" i="609"/>
  <c r="G335" i="609" s="1"/>
  <c r="AP335" i="609"/>
  <c r="F335" i="609" s="1"/>
  <c r="AO335" i="609"/>
  <c r="E335" i="609" s="1"/>
  <c r="AI335" i="609"/>
  <c r="AH335" i="609"/>
  <c r="AG335" i="609"/>
  <c r="AT334" i="609"/>
  <c r="AR334" i="609"/>
  <c r="H334" i="609" s="1"/>
  <c r="AQ334" i="609"/>
  <c r="G334" i="609" s="1"/>
  <c r="AP334" i="609"/>
  <c r="F334" i="609" s="1"/>
  <c r="AO334" i="609"/>
  <c r="E334" i="609" s="1"/>
  <c r="AI334" i="609"/>
  <c r="AH334" i="609"/>
  <c r="AG334" i="609"/>
  <c r="AK334" i="609" s="1"/>
  <c r="AT333" i="609"/>
  <c r="AR333" i="609"/>
  <c r="H333" i="609" s="1"/>
  <c r="AQ333" i="609"/>
  <c r="G333" i="609" s="1"/>
  <c r="AP333" i="609"/>
  <c r="F333" i="609" s="1"/>
  <c r="AO333" i="609"/>
  <c r="E333" i="609" s="1"/>
  <c r="AI333" i="609"/>
  <c r="AH333" i="609"/>
  <c r="AG333" i="609"/>
  <c r="AT332" i="609"/>
  <c r="AR332" i="609"/>
  <c r="H332" i="609" s="1"/>
  <c r="AQ332" i="609"/>
  <c r="G332" i="609" s="1"/>
  <c r="AP332" i="609"/>
  <c r="F332" i="609" s="1"/>
  <c r="AO332" i="609"/>
  <c r="E332" i="609" s="1"/>
  <c r="AI332" i="609"/>
  <c r="AH332" i="609"/>
  <c r="AG332" i="609"/>
  <c r="AJ332" i="609" s="1"/>
  <c r="AT331" i="609"/>
  <c r="AR331" i="609"/>
  <c r="H331" i="609" s="1"/>
  <c r="AQ331" i="609"/>
  <c r="G331" i="609" s="1"/>
  <c r="AP331" i="609"/>
  <c r="F331" i="609" s="1"/>
  <c r="AO331" i="609"/>
  <c r="E331" i="609" s="1"/>
  <c r="AI331" i="609"/>
  <c r="AH331" i="609"/>
  <c r="AG331" i="609"/>
  <c r="AT330" i="609"/>
  <c r="AR330" i="609"/>
  <c r="H330" i="609" s="1"/>
  <c r="AQ330" i="609"/>
  <c r="G330" i="609" s="1"/>
  <c r="AP330" i="609"/>
  <c r="F330" i="609" s="1"/>
  <c r="AO330" i="609"/>
  <c r="E330" i="609" s="1"/>
  <c r="AI330" i="609"/>
  <c r="AH330" i="609"/>
  <c r="AG330" i="609"/>
  <c r="AK330" i="609" s="1"/>
  <c r="AT329" i="609"/>
  <c r="AR329" i="609"/>
  <c r="H329" i="609" s="1"/>
  <c r="AQ329" i="609"/>
  <c r="G329" i="609" s="1"/>
  <c r="AP329" i="609"/>
  <c r="F329" i="609" s="1"/>
  <c r="AO329" i="609"/>
  <c r="E329" i="609" s="1"/>
  <c r="AN329" i="609"/>
  <c r="AN330" i="609" s="1"/>
  <c r="AI329" i="609"/>
  <c r="AH329" i="609"/>
  <c r="AG329" i="609"/>
  <c r="AT328" i="609"/>
  <c r="AR328" i="609"/>
  <c r="H328" i="609" s="1"/>
  <c r="AQ328" i="609"/>
  <c r="G328" i="609" s="1"/>
  <c r="AP328" i="609"/>
  <c r="F328" i="609" s="1"/>
  <c r="AO328" i="609"/>
  <c r="E328" i="609" s="1"/>
  <c r="AI328" i="609"/>
  <c r="AH328" i="609"/>
  <c r="AG328" i="609"/>
  <c r="AJ328" i="609" s="1"/>
  <c r="AT327" i="609"/>
  <c r="AR327" i="609"/>
  <c r="H327" i="609" s="1"/>
  <c r="AQ327" i="609"/>
  <c r="G327" i="609" s="1"/>
  <c r="AP327" i="609"/>
  <c r="F327" i="609" s="1"/>
  <c r="AO327" i="609"/>
  <c r="E327" i="609" s="1"/>
  <c r="AI327" i="609"/>
  <c r="AH327" i="609"/>
  <c r="AG327" i="609"/>
  <c r="AT326" i="609"/>
  <c r="AR326" i="609"/>
  <c r="H326" i="609" s="1"/>
  <c r="AQ326" i="609"/>
  <c r="G326" i="609" s="1"/>
  <c r="AP326" i="609"/>
  <c r="F326" i="609" s="1"/>
  <c r="AO326" i="609"/>
  <c r="E326" i="609" s="1"/>
  <c r="AI326" i="609"/>
  <c r="AH326" i="609"/>
  <c r="AG326" i="609"/>
  <c r="AK326" i="609" s="1"/>
  <c r="AT325" i="609"/>
  <c r="AR325" i="609"/>
  <c r="H325" i="609" s="1"/>
  <c r="AQ325" i="609"/>
  <c r="G325" i="609" s="1"/>
  <c r="AP325" i="609"/>
  <c r="F325" i="609" s="1"/>
  <c r="AO325" i="609"/>
  <c r="E325" i="609" s="1"/>
  <c r="AI325" i="609"/>
  <c r="AH325" i="609"/>
  <c r="AG325" i="609"/>
  <c r="AT324" i="609"/>
  <c r="AR324" i="609"/>
  <c r="H324" i="609" s="1"/>
  <c r="AQ324" i="609"/>
  <c r="G324" i="609" s="1"/>
  <c r="AP324" i="609"/>
  <c r="F324" i="609" s="1"/>
  <c r="AO324" i="609"/>
  <c r="E324" i="609" s="1"/>
  <c r="AI324" i="609"/>
  <c r="AH324" i="609"/>
  <c r="AG324" i="609"/>
  <c r="AJ324" i="609" s="1"/>
  <c r="AT323" i="609"/>
  <c r="AR323" i="609"/>
  <c r="H323" i="609" s="1"/>
  <c r="AQ323" i="609"/>
  <c r="G323" i="609" s="1"/>
  <c r="AP323" i="609"/>
  <c r="F323" i="609" s="1"/>
  <c r="AO323" i="609"/>
  <c r="E323" i="609" s="1"/>
  <c r="AI323" i="609"/>
  <c r="AH323" i="609"/>
  <c r="AG323" i="609"/>
  <c r="AT322" i="609"/>
  <c r="AR322" i="609"/>
  <c r="H322" i="609" s="1"/>
  <c r="AQ322" i="609"/>
  <c r="G322" i="609" s="1"/>
  <c r="AP322" i="609"/>
  <c r="F322" i="609" s="1"/>
  <c r="AO322" i="609"/>
  <c r="E322" i="609" s="1"/>
  <c r="AN322" i="609"/>
  <c r="AN323" i="609" s="1"/>
  <c r="AI322" i="609"/>
  <c r="AH322" i="609"/>
  <c r="AG322" i="609"/>
  <c r="AK322" i="609" s="1"/>
  <c r="AT321" i="609"/>
  <c r="AR321" i="609"/>
  <c r="H321" i="609" s="1"/>
  <c r="AQ321" i="609"/>
  <c r="G321" i="609" s="1"/>
  <c r="AP321" i="609"/>
  <c r="F321" i="609" s="1"/>
  <c r="AO321" i="609"/>
  <c r="E321" i="609" s="1"/>
  <c r="AI321" i="609"/>
  <c r="AH321" i="609"/>
  <c r="AG321" i="609"/>
  <c r="AT320" i="609"/>
  <c r="AR320" i="609"/>
  <c r="H320" i="609" s="1"/>
  <c r="AQ320" i="609"/>
  <c r="G320" i="609" s="1"/>
  <c r="AP320" i="609"/>
  <c r="F320" i="609" s="1"/>
  <c r="AO320" i="609"/>
  <c r="E320" i="609" s="1"/>
  <c r="AI320" i="609"/>
  <c r="AH320" i="609"/>
  <c r="AG320" i="609"/>
  <c r="AT319" i="609"/>
  <c r="AR319" i="609"/>
  <c r="H319" i="609" s="1"/>
  <c r="AQ319" i="609"/>
  <c r="G319" i="609" s="1"/>
  <c r="AP319" i="609"/>
  <c r="F319" i="609" s="1"/>
  <c r="AO319" i="609"/>
  <c r="E319" i="609" s="1"/>
  <c r="AI319" i="609"/>
  <c r="AH319" i="609"/>
  <c r="AG319" i="609"/>
  <c r="AT318" i="609"/>
  <c r="AR318" i="609"/>
  <c r="H318" i="609" s="1"/>
  <c r="AQ318" i="609"/>
  <c r="G318" i="609" s="1"/>
  <c r="AP318" i="609"/>
  <c r="F318" i="609" s="1"/>
  <c r="AO318" i="609"/>
  <c r="E318" i="609" s="1"/>
  <c r="AI318" i="609"/>
  <c r="AH318" i="609"/>
  <c r="AG318" i="609"/>
  <c r="AK318" i="609" s="1"/>
  <c r="AT317" i="609"/>
  <c r="AR317" i="609"/>
  <c r="H317" i="609" s="1"/>
  <c r="AQ317" i="609"/>
  <c r="G317" i="609" s="1"/>
  <c r="AP317" i="609"/>
  <c r="F317" i="609" s="1"/>
  <c r="AO317" i="609"/>
  <c r="E317" i="609" s="1"/>
  <c r="AI317" i="609"/>
  <c r="AH317" i="609"/>
  <c r="AG317" i="609"/>
  <c r="AT316" i="609"/>
  <c r="AR316" i="609"/>
  <c r="H316" i="609" s="1"/>
  <c r="AQ316" i="609"/>
  <c r="G316" i="609" s="1"/>
  <c r="AP316" i="609"/>
  <c r="F316" i="609" s="1"/>
  <c r="AO316" i="609"/>
  <c r="E316" i="609" s="1"/>
  <c r="AI316" i="609"/>
  <c r="AH316" i="609"/>
  <c r="AG316" i="609"/>
  <c r="AJ316" i="609" s="1"/>
  <c r="AT315" i="609"/>
  <c r="AR315" i="609"/>
  <c r="H315" i="609" s="1"/>
  <c r="AQ315" i="609"/>
  <c r="G315" i="609" s="1"/>
  <c r="AP315" i="609"/>
  <c r="F315" i="609" s="1"/>
  <c r="AO315" i="609"/>
  <c r="E315" i="609" s="1"/>
  <c r="AN315" i="609"/>
  <c r="AI315" i="609"/>
  <c r="AH315" i="609"/>
  <c r="AG315" i="609"/>
  <c r="AT314" i="609"/>
  <c r="AR314" i="609"/>
  <c r="H314" i="609" s="1"/>
  <c r="AQ314" i="609"/>
  <c r="G314" i="609" s="1"/>
  <c r="AP314" i="609"/>
  <c r="F314" i="609" s="1"/>
  <c r="AO314" i="609"/>
  <c r="E314" i="609" s="1"/>
  <c r="AI314" i="609"/>
  <c r="AH314" i="609"/>
  <c r="AG314" i="609"/>
  <c r="AK314" i="609" s="1"/>
  <c r="AT313" i="609"/>
  <c r="AR313" i="609"/>
  <c r="H313" i="609" s="1"/>
  <c r="AQ313" i="609"/>
  <c r="G313" i="609" s="1"/>
  <c r="AP313" i="609"/>
  <c r="F313" i="609" s="1"/>
  <c r="AO313" i="609"/>
  <c r="E313" i="609" s="1"/>
  <c r="AI313" i="609"/>
  <c r="AH313" i="609"/>
  <c r="AG313" i="609"/>
  <c r="AT312" i="609"/>
  <c r="AR312" i="609"/>
  <c r="H312" i="609" s="1"/>
  <c r="AQ312" i="609"/>
  <c r="G312" i="609" s="1"/>
  <c r="AP312" i="609"/>
  <c r="F312" i="609" s="1"/>
  <c r="AO312" i="609"/>
  <c r="E312" i="609" s="1"/>
  <c r="AI312" i="609"/>
  <c r="AH312" i="609"/>
  <c r="AG312" i="609"/>
  <c r="AJ312" i="609" s="1"/>
  <c r="AT311" i="609"/>
  <c r="AR311" i="609"/>
  <c r="H311" i="609" s="1"/>
  <c r="AQ311" i="609"/>
  <c r="G311" i="609" s="1"/>
  <c r="AP311" i="609"/>
  <c r="F311" i="609" s="1"/>
  <c r="AO311" i="609"/>
  <c r="E311" i="609" s="1"/>
  <c r="AI311" i="609"/>
  <c r="AH311" i="609"/>
  <c r="AG311" i="609"/>
  <c r="AT310" i="609"/>
  <c r="AR310" i="609"/>
  <c r="H310" i="609" s="1"/>
  <c r="AQ310" i="609"/>
  <c r="G310" i="609" s="1"/>
  <c r="AP310" i="609"/>
  <c r="F310" i="609" s="1"/>
  <c r="AO310" i="609"/>
  <c r="E310" i="609" s="1"/>
  <c r="AI310" i="609"/>
  <c r="AH310" i="609"/>
  <c r="AG310" i="609"/>
  <c r="AK310" i="609" s="1"/>
  <c r="AT309" i="609"/>
  <c r="AR309" i="609"/>
  <c r="H309" i="609" s="1"/>
  <c r="AQ309" i="609"/>
  <c r="G309" i="609" s="1"/>
  <c r="AP309" i="609"/>
  <c r="F309" i="609" s="1"/>
  <c r="AO309" i="609"/>
  <c r="E309" i="609" s="1"/>
  <c r="AI309" i="609"/>
  <c r="AH309" i="609"/>
  <c r="AG309" i="609"/>
  <c r="AT308" i="609"/>
  <c r="AR308" i="609"/>
  <c r="H308" i="609" s="1"/>
  <c r="AQ308" i="609"/>
  <c r="G308" i="609" s="1"/>
  <c r="AP308" i="609"/>
  <c r="F308" i="609" s="1"/>
  <c r="AO308" i="609"/>
  <c r="E308" i="609" s="1"/>
  <c r="AN308" i="609"/>
  <c r="AN309" i="609" s="1"/>
  <c r="AI308" i="609"/>
  <c r="AH308" i="609"/>
  <c r="AG308" i="609"/>
  <c r="AJ308" i="609" s="1"/>
  <c r="AT307" i="609"/>
  <c r="AR307" i="609"/>
  <c r="H307" i="609" s="1"/>
  <c r="AQ307" i="609"/>
  <c r="G307" i="609" s="1"/>
  <c r="AP307" i="609"/>
  <c r="F307" i="609" s="1"/>
  <c r="AO307" i="609"/>
  <c r="E307" i="609" s="1"/>
  <c r="AI307" i="609"/>
  <c r="AH307" i="609"/>
  <c r="AG307" i="609"/>
  <c r="AT306" i="609"/>
  <c r="AR306" i="609"/>
  <c r="H306" i="609" s="1"/>
  <c r="AQ306" i="609"/>
  <c r="G306" i="609" s="1"/>
  <c r="AP306" i="609"/>
  <c r="F306" i="609" s="1"/>
  <c r="AO306" i="609"/>
  <c r="E306" i="609" s="1"/>
  <c r="AI306" i="609"/>
  <c r="AH306" i="609"/>
  <c r="AG306" i="609"/>
  <c r="AK306" i="609" s="1"/>
  <c r="AT305" i="609"/>
  <c r="AR305" i="609"/>
  <c r="H305" i="609" s="1"/>
  <c r="AQ305" i="609"/>
  <c r="G305" i="609" s="1"/>
  <c r="AP305" i="609"/>
  <c r="F305" i="609" s="1"/>
  <c r="AO305" i="609"/>
  <c r="E305" i="609" s="1"/>
  <c r="AI305" i="609"/>
  <c r="AH305" i="609"/>
  <c r="AG305" i="609"/>
  <c r="AT304" i="609"/>
  <c r="AR304" i="609"/>
  <c r="H304" i="609" s="1"/>
  <c r="AQ304" i="609"/>
  <c r="G304" i="609" s="1"/>
  <c r="AP304" i="609"/>
  <c r="F304" i="609" s="1"/>
  <c r="AO304" i="609"/>
  <c r="E304" i="609" s="1"/>
  <c r="AI304" i="609"/>
  <c r="AH304" i="609"/>
  <c r="AG304" i="609"/>
  <c r="AK304" i="609" s="1"/>
  <c r="AT303" i="609"/>
  <c r="AR303" i="609"/>
  <c r="H303" i="609" s="1"/>
  <c r="AQ303" i="609"/>
  <c r="G303" i="609" s="1"/>
  <c r="AP303" i="609"/>
  <c r="F303" i="609" s="1"/>
  <c r="AO303" i="609"/>
  <c r="E303" i="609" s="1"/>
  <c r="AI303" i="609"/>
  <c r="AH303" i="609"/>
  <c r="AG303" i="609"/>
  <c r="AT302" i="609"/>
  <c r="AR302" i="609"/>
  <c r="H302" i="609" s="1"/>
  <c r="AQ302" i="609"/>
  <c r="G302" i="609" s="1"/>
  <c r="AP302" i="609"/>
  <c r="F302" i="609" s="1"/>
  <c r="AO302" i="609"/>
  <c r="E302" i="609" s="1"/>
  <c r="AI302" i="609"/>
  <c r="AH302" i="609"/>
  <c r="AG302" i="609"/>
  <c r="AK302" i="609" s="1"/>
  <c r="AT301" i="609"/>
  <c r="AR301" i="609"/>
  <c r="H301" i="609" s="1"/>
  <c r="AQ301" i="609"/>
  <c r="G301" i="609" s="1"/>
  <c r="AP301" i="609"/>
  <c r="F301" i="609" s="1"/>
  <c r="AO301" i="609"/>
  <c r="E301" i="609" s="1"/>
  <c r="AN301" i="609"/>
  <c r="AI301" i="609"/>
  <c r="AH301" i="609"/>
  <c r="AG301" i="609"/>
  <c r="AT300" i="609"/>
  <c r="AR300" i="609"/>
  <c r="H300" i="609" s="1"/>
  <c r="AQ300" i="609"/>
  <c r="G300" i="609" s="1"/>
  <c r="AP300" i="609"/>
  <c r="F300" i="609" s="1"/>
  <c r="AO300" i="609"/>
  <c r="E300" i="609" s="1"/>
  <c r="AI300" i="609"/>
  <c r="AH300" i="609"/>
  <c r="AG300" i="609"/>
  <c r="AK300" i="609" s="1"/>
  <c r="AT299" i="609"/>
  <c r="AR299" i="609"/>
  <c r="H299" i="609" s="1"/>
  <c r="AQ299" i="609"/>
  <c r="G299" i="609" s="1"/>
  <c r="AP299" i="609"/>
  <c r="F299" i="609" s="1"/>
  <c r="AO299" i="609"/>
  <c r="E299" i="609" s="1"/>
  <c r="AI299" i="609"/>
  <c r="AH299" i="609"/>
  <c r="AG299" i="609"/>
  <c r="AT298" i="609"/>
  <c r="AR298" i="609"/>
  <c r="H298" i="609" s="1"/>
  <c r="AQ298" i="609"/>
  <c r="G298" i="609" s="1"/>
  <c r="AP298" i="609"/>
  <c r="F298" i="609" s="1"/>
  <c r="AO298" i="609"/>
  <c r="E298" i="609" s="1"/>
  <c r="AI298" i="609"/>
  <c r="AH298" i="609"/>
  <c r="AG298" i="609"/>
  <c r="AJ298" i="609" s="1"/>
  <c r="AT297" i="609"/>
  <c r="AR297" i="609"/>
  <c r="H297" i="609" s="1"/>
  <c r="AQ297" i="609"/>
  <c r="G297" i="609" s="1"/>
  <c r="AP297" i="609"/>
  <c r="F297" i="609" s="1"/>
  <c r="AO297" i="609"/>
  <c r="E297" i="609" s="1"/>
  <c r="AI297" i="609"/>
  <c r="AH297" i="609"/>
  <c r="AG297" i="609"/>
  <c r="AT296" i="609"/>
  <c r="AR296" i="609"/>
  <c r="H296" i="609" s="1"/>
  <c r="AQ296" i="609"/>
  <c r="G296" i="609" s="1"/>
  <c r="AP296" i="609"/>
  <c r="F296" i="609" s="1"/>
  <c r="AO296" i="609"/>
  <c r="E296" i="609" s="1"/>
  <c r="AI296" i="609"/>
  <c r="AH296" i="609"/>
  <c r="AG296" i="609"/>
  <c r="AK296" i="609" s="1"/>
  <c r="AT295" i="609"/>
  <c r="AR295" i="609"/>
  <c r="H295" i="609" s="1"/>
  <c r="AQ295" i="609"/>
  <c r="G295" i="609" s="1"/>
  <c r="AP295" i="609"/>
  <c r="F295" i="609" s="1"/>
  <c r="AO295" i="609"/>
  <c r="E295" i="609" s="1"/>
  <c r="AI295" i="609"/>
  <c r="AH295" i="609"/>
  <c r="AG295" i="609"/>
  <c r="AT294" i="609"/>
  <c r="AR294" i="609"/>
  <c r="H294" i="609" s="1"/>
  <c r="AQ294" i="609"/>
  <c r="G294" i="609" s="1"/>
  <c r="AP294" i="609"/>
  <c r="F294" i="609" s="1"/>
  <c r="AO294" i="609"/>
  <c r="E294" i="609" s="1"/>
  <c r="AN294" i="609"/>
  <c r="AN295" i="609" s="1"/>
  <c r="AI294" i="609"/>
  <c r="AH294" i="609"/>
  <c r="AG294" i="609"/>
  <c r="AT293" i="609"/>
  <c r="AR293" i="609"/>
  <c r="H293" i="609" s="1"/>
  <c r="AQ293" i="609"/>
  <c r="G293" i="609" s="1"/>
  <c r="AP293" i="609"/>
  <c r="F293" i="609" s="1"/>
  <c r="AO293" i="609"/>
  <c r="E293" i="609" s="1"/>
  <c r="AI293" i="609"/>
  <c r="AH293" i="609"/>
  <c r="AG293" i="609"/>
  <c r="AT292" i="609"/>
  <c r="AR292" i="609"/>
  <c r="H292" i="609" s="1"/>
  <c r="AQ292" i="609"/>
  <c r="G292" i="609" s="1"/>
  <c r="AP292" i="609"/>
  <c r="F292" i="609" s="1"/>
  <c r="AO292" i="609"/>
  <c r="E292" i="609" s="1"/>
  <c r="AI292" i="609"/>
  <c r="AH292" i="609"/>
  <c r="AG292" i="609"/>
  <c r="AT291" i="609"/>
  <c r="AR291" i="609"/>
  <c r="H291" i="609" s="1"/>
  <c r="AQ291" i="609"/>
  <c r="G291" i="609" s="1"/>
  <c r="AP291" i="609"/>
  <c r="F291" i="609" s="1"/>
  <c r="AO291" i="609"/>
  <c r="E291" i="609" s="1"/>
  <c r="AI291" i="609"/>
  <c r="AH291" i="609"/>
  <c r="AG291" i="609"/>
  <c r="AT290" i="609"/>
  <c r="AR290" i="609"/>
  <c r="H290" i="609" s="1"/>
  <c r="AQ290" i="609"/>
  <c r="G290" i="609" s="1"/>
  <c r="AP290" i="609"/>
  <c r="F290" i="609" s="1"/>
  <c r="AO290" i="609"/>
  <c r="E290" i="609" s="1"/>
  <c r="AI290" i="609"/>
  <c r="AH290" i="609"/>
  <c r="AG290" i="609"/>
  <c r="AT289" i="609"/>
  <c r="AR289" i="609"/>
  <c r="H289" i="609" s="1"/>
  <c r="AQ289" i="609"/>
  <c r="G289" i="609" s="1"/>
  <c r="AP289" i="609"/>
  <c r="F289" i="609" s="1"/>
  <c r="AO289" i="609"/>
  <c r="E289" i="609" s="1"/>
  <c r="AI289" i="609"/>
  <c r="AH289" i="609"/>
  <c r="AG289" i="609"/>
  <c r="AJ289" i="609" s="1"/>
  <c r="AT288" i="609"/>
  <c r="AR288" i="609"/>
  <c r="H288" i="609" s="1"/>
  <c r="AQ288" i="609"/>
  <c r="G288" i="609" s="1"/>
  <c r="AP288" i="609"/>
  <c r="F288" i="609" s="1"/>
  <c r="AO288" i="609"/>
  <c r="E288" i="609" s="1"/>
  <c r="AI288" i="609"/>
  <c r="AH288" i="609"/>
  <c r="AG288" i="609"/>
  <c r="AK288" i="609" s="1"/>
  <c r="AT287" i="609"/>
  <c r="AR287" i="609"/>
  <c r="H287" i="609" s="1"/>
  <c r="AQ287" i="609"/>
  <c r="G287" i="609" s="1"/>
  <c r="AP287" i="609"/>
  <c r="F287" i="609" s="1"/>
  <c r="AO287" i="609"/>
  <c r="E287" i="609" s="1"/>
  <c r="AN287" i="609"/>
  <c r="D287" i="609" s="1"/>
  <c r="AI287" i="609"/>
  <c r="AH287" i="609"/>
  <c r="AG287" i="609"/>
  <c r="AT286" i="609"/>
  <c r="AR286" i="609"/>
  <c r="H286" i="609" s="1"/>
  <c r="AQ286" i="609"/>
  <c r="G286" i="609" s="1"/>
  <c r="AP286" i="609"/>
  <c r="F286" i="609" s="1"/>
  <c r="AO286" i="609"/>
  <c r="E286" i="609" s="1"/>
  <c r="AI286" i="609"/>
  <c r="AH286" i="609"/>
  <c r="AG286" i="609"/>
  <c r="AK286" i="609" s="1"/>
  <c r="AT285" i="609"/>
  <c r="AR285" i="609"/>
  <c r="H285" i="609" s="1"/>
  <c r="AQ285" i="609"/>
  <c r="G285" i="609" s="1"/>
  <c r="AP285" i="609"/>
  <c r="F285" i="609" s="1"/>
  <c r="AO285" i="609"/>
  <c r="E285" i="609" s="1"/>
  <c r="AI285" i="609"/>
  <c r="AH285" i="609"/>
  <c r="AG285" i="609"/>
  <c r="AT284" i="609"/>
  <c r="AR284" i="609"/>
  <c r="H284" i="609" s="1"/>
  <c r="AQ284" i="609"/>
  <c r="G284" i="609" s="1"/>
  <c r="AP284" i="609"/>
  <c r="F284" i="609" s="1"/>
  <c r="AO284" i="609"/>
  <c r="E284" i="609" s="1"/>
  <c r="AI284" i="609"/>
  <c r="AH284" i="609"/>
  <c r="AG284" i="609"/>
  <c r="AK284" i="609" s="1"/>
  <c r="AT283" i="609"/>
  <c r="AR283" i="609"/>
  <c r="H283" i="609" s="1"/>
  <c r="AQ283" i="609"/>
  <c r="G283" i="609" s="1"/>
  <c r="AP283" i="609"/>
  <c r="F283" i="609" s="1"/>
  <c r="AO283" i="609"/>
  <c r="E283" i="609" s="1"/>
  <c r="AI283" i="609"/>
  <c r="AH283" i="609"/>
  <c r="AG283" i="609"/>
  <c r="AT282" i="609"/>
  <c r="AR282" i="609"/>
  <c r="H282" i="609" s="1"/>
  <c r="AQ282" i="609"/>
  <c r="G282" i="609" s="1"/>
  <c r="AP282" i="609"/>
  <c r="F282" i="609" s="1"/>
  <c r="AO282" i="609"/>
  <c r="E282" i="609" s="1"/>
  <c r="AI282" i="609"/>
  <c r="AH282" i="609"/>
  <c r="AG282" i="609"/>
  <c r="AJ282" i="609" s="1"/>
  <c r="AT281" i="609"/>
  <c r="AR281" i="609"/>
  <c r="H281" i="609" s="1"/>
  <c r="AQ281" i="609"/>
  <c r="G281" i="609" s="1"/>
  <c r="AP281" i="609"/>
  <c r="F281" i="609" s="1"/>
  <c r="AO281" i="609"/>
  <c r="E281" i="609" s="1"/>
  <c r="AI281" i="609"/>
  <c r="AH281" i="609"/>
  <c r="AG281" i="609"/>
  <c r="AT280" i="609"/>
  <c r="AR280" i="609"/>
  <c r="H280" i="609" s="1"/>
  <c r="AQ280" i="609"/>
  <c r="G280" i="609" s="1"/>
  <c r="AP280" i="609"/>
  <c r="F280" i="609" s="1"/>
  <c r="AO280" i="609"/>
  <c r="E280" i="609" s="1"/>
  <c r="AN280" i="609"/>
  <c r="AN281" i="609" s="1"/>
  <c r="D281" i="609" s="1"/>
  <c r="AI280" i="609"/>
  <c r="AH280" i="609"/>
  <c r="AG280" i="609"/>
  <c r="AT279" i="609"/>
  <c r="AR279" i="609"/>
  <c r="H279" i="609" s="1"/>
  <c r="AQ279" i="609"/>
  <c r="G279" i="609" s="1"/>
  <c r="AP279" i="609"/>
  <c r="F279" i="609" s="1"/>
  <c r="AO279" i="609"/>
  <c r="E279" i="609" s="1"/>
  <c r="AI279" i="609"/>
  <c r="AH279" i="609"/>
  <c r="AG279" i="609"/>
  <c r="AK279" i="609" s="1"/>
  <c r="AT278" i="609"/>
  <c r="AR278" i="609"/>
  <c r="H278" i="609" s="1"/>
  <c r="AQ278" i="609"/>
  <c r="G278" i="609" s="1"/>
  <c r="AP278" i="609"/>
  <c r="F278" i="609" s="1"/>
  <c r="AO278" i="609"/>
  <c r="E278" i="609" s="1"/>
  <c r="AI278" i="609"/>
  <c r="AH278" i="609"/>
  <c r="AG278" i="609"/>
  <c r="AT277" i="609"/>
  <c r="AR277" i="609"/>
  <c r="H277" i="609" s="1"/>
  <c r="AQ277" i="609"/>
  <c r="G277" i="609" s="1"/>
  <c r="AP277" i="609"/>
  <c r="F277" i="609" s="1"/>
  <c r="AO277" i="609"/>
  <c r="E277" i="609" s="1"/>
  <c r="AI277" i="609"/>
  <c r="AH277" i="609"/>
  <c r="AG277" i="609"/>
  <c r="AJ277" i="609" s="1"/>
  <c r="AT276" i="609"/>
  <c r="AR276" i="609"/>
  <c r="H276" i="609" s="1"/>
  <c r="AQ276" i="609"/>
  <c r="G276" i="609" s="1"/>
  <c r="AP276" i="609"/>
  <c r="F276" i="609" s="1"/>
  <c r="AO276" i="609"/>
  <c r="E276" i="609" s="1"/>
  <c r="AI276" i="609"/>
  <c r="AH276" i="609"/>
  <c r="AG276" i="609"/>
  <c r="AJ276" i="609" s="1"/>
  <c r="AT275" i="609"/>
  <c r="AR275" i="609"/>
  <c r="H275" i="609" s="1"/>
  <c r="AQ275" i="609"/>
  <c r="G275" i="609" s="1"/>
  <c r="AP275" i="609"/>
  <c r="F275" i="609" s="1"/>
  <c r="AO275" i="609"/>
  <c r="E275" i="609" s="1"/>
  <c r="AI275" i="609"/>
  <c r="AH275" i="609"/>
  <c r="AG275" i="609"/>
  <c r="AK275" i="609" s="1"/>
  <c r="AT274" i="609"/>
  <c r="AR274" i="609"/>
  <c r="H274" i="609" s="1"/>
  <c r="AQ274" i="609"/>
  <c r="G274" i="609" s="1"/>
  <c r="AP274" i="609"/>
  <c r="F274" i="609" s="1"/>
  <c r="AO274" i="609"/>
  <c r="E274" i="609" s="1"/>
  <c r="AI274" i="609"/>
  <c r="AH274" i="609"/>
  <c r="AG274" i="609"/>
  <c r="AT273" i="609"/>
  <c r="AR273" i="609"/>
  <c r="H273" i="609" s="1"/>
  <c r="AQ273" i="609"/>
  <c r="G273" i="609" s="1"/>
  <c r="AP273" i="609"/>
  <c r="F273" i="609" s="1"/>
  <c r="AO273" i="609"/>
  <c r="E273" i="609" s="1"/>
  <c r="AN273" i="609"/>
  <c r="D273" i="609" s="1"/>
  <c r="AI273" i="609"/>
  <c r="AH273" i="609"/>
  <c r="AG273" i="609"/>
  <c r="AJ273" i="609" s="1"/>
  <c r="AT272" i="609"/>
  <c r="AR272" i="609"/>
  <c r="H272" i="609" s="1"/>
  <c r="AQ272" i="609"/>
  <c r="G272" i="609" s="1"/>
  <c r="AP272" i="609"/>
  <c r="F272" i="609" s="1"/>
  <c r="AO272" i="609"/>
  <c r="E272" i="609" s="1"/>
  <c r="AI272" i="609"/>
  <c r="AH272" i="609"/>
  <c r="AG272" i="609"/>
  <c r="AK272" i="609" s="1"/>
  <c r="AT271" i="609"/>
  <c r="AR271" i="609"/>
  <c r="H271" i="609" s="1"/>
  <c r="AQ271" i="609"/>
  <c r="G271" i="609" s="1"/>
  <c r="AP271" i="609"/>
  <c r="F271" i="609" s="1"/>
  <c r="AO271" i="609"/>
  <c r="E271" i="609" s="1"/>
  <c r="AI271" i="609"/>
  <c r="AH271" i="609"/>
  <c r="AG271" i="609"/>
  <c r="AT270" i="609"/>
  <c r="AR270" i="609"/>
  <c r="H270" i="609" s="1"/>
  <c r="AQ270" i="609"/>
  <c r="G270" i="609" s="1"/>
  <c r="AP270" i="609"/>
  <c r="F270" i="609" s="1"/>
  <c r="AO270" i="609"/>
  <c r="E270" i="609" s="1"/>
  <c r="AI270" i="609"/>
  <c r="AH270" i="609"/>
  <c r="AG270" i="609"/>
  <c r="AJ270" i="609" s="1"/>
  <c r="AT269" i="609"/>
  <c r="AR269" i="609"/>
  <c r="H269" i="609" s="1"/>
  <c r="AQ269" i="609"/>
  <c r="G269" i="609" s="1"/>
  <c r="AP269" i="609"/>
  <c r="F269" i="609" s="1"/>
  <c r="AO269" i="609"/>
  <c r="E269" i="609" s="1"/>
  <c r="AI269" i="609"/>
  <c r="AH269" i="609"/>
  <c r="AG269" i="609"/>
  <c r="AT268" i="609"/>
  <c r="AR268" i="609"/>
  <c r="H268" i="609" s="1"/>
  <c r="AQ268" i="609"/>
  <c r="G268" i="609" s="1"/>
  <c r="AP268" i="609"/>
  <c r="F268" i="609" s="1"/>
  <c r="AO268" i="609"/>
  <c r="E268" i="609" s="1"/>
  <c r="AI268" i="609"/>
  <c r="AH268" i="609"/>
  <c r="AG268" i="609"/>
  <c r="AK268" i="609" s="1"/>
  <c r="AT267" i="609"/>
  <c r="AR267" i="609"/>
  <c r="H267" i="609" s="1"/>
  <c r="AQ267" i="609"/>
  <c r="G267" i="609" s="1"/>
  <c r="AP267" i="609"/>
  <c r="F267" i="609" s="1"/>
  <c r="AO267" i="609"/>
  <c r="E267" i="609" s="1"/>
  <c r="AI267" i="609"/>
  <c r="AH267" i="609"/>
  <c r="AG267" i="609"/>
  <c r="AK267" i="609" s="1"/>
  <c r="AT266" i="609"/>
  <c r="AR266" i="609"/>
  <c r="H266" i="609" s="1"/>
  <c r="AQ266" i="609"/>
  <c r="G266" i="609" s="1"/>
  <c r="AP266" i="609"/>
  <c r="F266" i="609" s="1"/>
  <c r="AO266" i="609"/>
  <c r="E266" i="609" s="1"/>
  <c r="AN266" i="609"/>
  <c r="AN267" i="609" s="1"/>
  <c r="AI266" i="609"/>
  <c r="AH266" i="609"/>
  <c r="AG266" i="609"/>
  <c r="AK266" i="609" s="1"/>
  <c r="AT265" i="609"/>
  <c r="AR265" i="609"/>
  <c r="H265" i="609" s="1"/>
  <c r="AQ265" i="609"/>
  <c r="G265" i="609" s="1"/>
  <c r="AP265" i="609"/>
  <c r="F265" i="609" s="1"/>
  <c r="AO265" i="609"/>
  <c r="E265" i="609" s="1"/>
  <c r="AI265" i="609"/>
  <c r="AH265" i="609"/>
  <c r="AG265" i="609"/>
  <c r="AT264" i="609"/>
  <c r="AR264" i="609"/>
  <c r="H264" i="609" s="1"/>
  <c r="AQ264" i="609"/>
  <c r="G264" i="609" s="1"/>
  <c r="AP264" i="609"/>
  <c r="F264" i="609" s="1"/>
  <c r="AO264" i="609"/>
  <c r="E264" i="609" s="1"/>
  <c r="AI264" i="609"/>
  <c r="AH264" i="609"/>
  <c r="AG264" i="609"/>
  <c r="AJ264" i="609" s="1"/>
  <c r="AT263" i="609"/>
  <c r="AR263" i="609"/>
  <c r="H263" i="609" s="1"/>
  <c r="AQ263" i="609"/>
  <c r="G263" i="609" s="1"/>
  <c r="AP263" i="609"/>
  <c r="F263" i="609" s="1"/>
  <c r="AO263" i="609"/>
  <c r="E263" i="609" s="1"/>
  <c r="AI263" i="609"/>
  <c r="AH263" i="609"/>
  <c r="AG263" i="609"/>
  <c r="AK263" i="609" s="1"/>
  <c r="AT262" i="609"/>
  <c r="AR262" i="609"/>
  <c r="H262" i="609" s="1"/>
  <c r="AQ262" i="609"/>
  <c r="G262" i="609" s="1"/>
  <c r="AP262" i="609"/>
  <c r="F262" i="609" s="1"/>
  <c r="AO262" i="609"/>
  <c r="E262" i="609" s="1"/>
  <c r="AI262" i="609"/>
  <c r="AH262" i="609"/>
  <c r="AG262" i="609"/>
  <c r="AJ262" i="609" s="1"/>
  <c r="AT261" i="609"/>
  <c r="AR261" i="609"/>
  <c r="H261" i="609" s="1"/>
  <c r="AQ261" i="609"/>
  <c r="G261" i="609" s="1"/>
  <c r="AP261" i="609"/>
  <c r="F261" i="609" s="1"/>
  <c r="AO261" i="609"/>
  <c r="E261" i="609" s="1"/>
  <c r="AI261" i="609"/>
  <c r="AH261" i="609"/>
  <c r="AG261" i="609"/>
  <c r="AT260" i="609"/>
  <c r="AR260" i="609"/>
  <c r="H260" i="609" s="1"/>
  <c r="AQ260" i="609"/>
  <c r="G260" i="609" s="1"/>
  <c r="AP260" i="609"/>
  <c r="F260" i="609" s="1"/>
  <c r="AO260" i="609"/>
  <c r="E260" i="609" s="1"/>
  <c r="AI260" i="609"/>
  <c r="AH260" i="609"/>
  <c r="AG260" i="609"/>
  <c r="AJ260" i="609" s="1"/>
  <c r="AT259" i="609"/>
  <c r="AR259" i="609"/>
  <c r="H259" i="609" s="1"/>
  <c r="AQ259" i="609"/>
  <c r="G259" i="609" s="1"/>
  <c r="AP259" i="609"/>
  <c r="F259" i="609" s="1"/>
  <c r="AO259" i="609"/>
  <c r="E259" i="609" s="1"/>
  <c r="AN259" i="609"/>
  <c r="AN260" i="609" s="1"/>
  <c r="AN261" i="609" s="1"/>
  <c r="AI259" i="609"/>
  <c r="AH259" i="609"/>
  <c r="AG259" i="609"/>
  <c r="AK259" i="609" s="1"/>
  <c r="AT258" i="609"/>
  <c r="AR258" i="609"/>
  <c r="H258" i="609" s="1"/>
  <c r="AQ258" i="609"/>
  <c r="G258" i="609" s="1"/>
  <c r="AP258" i="609"/>
  <c r="F258" i="609" s="1"/>
  <c r="AO258" i="609"/>
  <c r="E258" i="609" s="1"/>
  <c r="AI258" i="609"/>
  <c r="AH258" i="609"/>
  <c r="AG258" i="609"/>
  <c r="AK258" i="609" s="1"/>
  <c r="AT257" i="609"/>
  <c r="AR257" i="609"/>
  <c r="H257" i="609" s="1"/>
  <c r="AQ257" i="609"/>
  <c r="G257" i="609" s="1"/>
  <c r="AP257" i="609"/>
  <c r="F257" i="609" s="1"/>
  <c r="AO257" i="609"/>
  <c r="E257" i="609" s="1"/>
  <c r="AI257" i="609"/>
  <c r="AH257" i="609"/>
  <c r="AG257" i="609"/>
  <c r="AT256" i="609"/>
  <c r="AR256" i="609"/>
  <c r="H256" i="609" s="1"/>
  <c r="AQ256" i="609"/>
  <c r="G256" i="609" s="1"/>
  <c r="AP256" i="609"/>
  <c r="F256" i="609" s="1"/>
  <c r="AO256" i="609"/>
  <c r="E256" i="609" s="1"/>
  <c r="AI256" i="609"/>
  <c r="AH256" i="609"/>
  <c r="AG256" i="609"/>
  <c r="AJ256" i="609" s="1"/>
  <c r="AT255" i="609"/>
  <c r="AR255" i="609"/>
  <c r="H255" i="609" s="1"/>
  <c r="AQ255" i="609"/>
  <c r="G255" i="609" s="1"/>
  <c r="AP255" i="609"/>
  <c r="F255" i="609" s="1"/>
  <c r="AO255" i="609"/>
  <c r="E255" i="609" s="1"/>
  <c r="AI255" i="609"/>
  <c r="AH255" i="609"/>
  <c r="AG255" i="609"/>
  <c r="AK255" i="609" s="1"/>
  <c r="AT254" i="609"/>
  <c r="AR254" i="609"/>
  <c r="H254" i="609" s="1"/>
  <c r="AQ254" i="609"/>
  <c r="G254" i="609" s="1"/>
  <c r="AP254" i="609"/>
  <c r="F254" i="609" s="1"/>
  <c r="AO254" i="609"/>
  <c r="E254" i="609" s="1"/>
  <c r="AI254" i="609"/>
  <c r="AH254" i="609"/>
  <c r="AG254" i="609"/>
  <c r="AK254" i="609" s="1"/>
  <c r="AT253" i="609"/>
  <c r="AR253" i="609"/>
  <c r="H253" i="609" s="1"/>
  <c r="AQ253" i="609"/>
  <c r="G253" i="609" s="1"/>
  <c r="AP253" i="609"/>
  <c r="F253" i="609" s="1"/>
  <c r="AO253" i="609"/>
  <c r="E253" i="609" s="1"/>
  <c r="AI253" i="609"/>
  <c r="AH253" i="609"/>
  <c r="AG253" i="609"/>
  <c r="AT252" i="609"/>
  <c r="AR252" i="609"/>
  <c r="H252" i="609" s="1"/>
  <c r="AQ252" i="609"/>
  <c r="G252" i="609" s="1"/>
  <c r="AP252" i="609"/>
  <c r="F252" i="609" s="1"/>
  <c r="AO252" i="609"/>
  <c r="E252" i="609" s="1"/>
  <c r="AN252" i="609"/>
  <c r="AN253" i="609" s="1"/>
  <c r="AI252" i="609"/>
  <c r="AH252" i="609"/>
  <c r="AG252" i="609"/>
  <c r="AJ252" i="609" s="1"/>
  <c r="AT251" i="609"/>
  <c r="AR251" i="609"/>
  <c r="H251" i="609" s="1"/>
  <c r="AQ251" i="609"/>
  <c r="G251" i="609" s="1"/>
  <c r="AP251" i="609"/>
  <c r="F251" i="609" s="1"/>
  <c r="AO251" i="609"/>
  <c r="E251" i="609" s="1"/>
  <c r="AI251" i="609"/>
  <c r="AH251" i="609"/>
  <c r="AG251" i="609"/>
  <c r="AT250" i="609"/>
  <c r="AR250" i="609"/>
  <c r="H250" i="609" s="1"/>
  <c r="AQ250" i="609"/>
  <c r="G250" i="609" s="1"/>
  <c r="AP250" i="609"/>
  <c r="F250" i="609" s="1"/>
  <c r="AO250" i="609"/>
  <c r="E250" i="609" s="1"/>
  <c r="AI250" i="609"/>
  <c r="AH250" i="609"/>
  <c r="AG250" i="609"/>
  <c r="AK250" i="609" s="1"/>
  <c r="AT249" i="609"/>
  <c r="AR249" i="609"/>
  <c r="H249" i="609" s="1"/>
  <c r="AQ249" i="609"/>
  <c r="G249" i="609" s="1"/>
  <c r="AP249" i="609"/>
  <c r="F249" i="609" s="1"/>
  <c r="AO249" i="609"/>
  <c r="E249" i="609" s="1"/>
  <c r="AI249" i="609"/>
  <c r="AH249" i="609"/>
  <c r="AG249" i="609"/>
  <c r="AT248" i="609"/>
  <c r="AR248" i="609"/>
  <c r="H248" i="609" s="1"/>
  <c r="AQ248" i="609"/>
  <c r="G248" i="609" s="1"/>
  <c r="AP248" i="609"/>
  <c r="F248" i="609" s="1"/>
  <c r="AO248" i="609"/>
  <c r="E248" i="609" s="1"/>
  <c r="AI248" i="609"/>
  <c r="AH248" i="609"/>
  <c r="AG248" i="609"/>
  <c r="AJ248" i="609" s="1"/>
  <c r="AT247" i="609"/>
  <c r="AR247" i="609"/>
  <c r="H247" i="609" s="1"/>
  <c r="AQ247" i="609"/>
  <c r="G247" i="609" s="1"/>
  <c r="AP247" i="609"/>
  <c r="F247" i="609" s="1"/>
  <c r="AO247" i="609"/>
  <c r="E247" i="609" s="1"/>
  <c r="AI247" i="609"/>
  <c r="AH247" i="609"/>
  <c r="AG247" i="609"/>
  <c r="AT246" i="609"/>
  <c r="AR246" i="609"/>
  <c r="H246" i="609" s="1"/>
  <c r="AQ246" i="609"/>
  <c r="G246" i="609" s="1"/>
  <c r="AP246" i="609"/>
  <c r="F246" i="609" s="1"/>
  <c r="AO246" i="609"/>
  <c r="E246" i="609" s="1"/>
  <c r="AI246" i="609"/>
  <c r="AH246" i="609"/>
  <c r="AG246" i="609"/>
  <c r="AJ246" i="609" s="1"/>
  <c r="AT245" i="609"/>
  <c r="AR245" i="609"/>
  <c r="H245" i="609" s="1"/>
  <c r="AQ245" i="609"/>
  <c r="G245" i="609" s="1"/>
  <c r="AP245" i="609"/>
  <c r="F245" i="609" s="1"/>
  <c r="AO245" i="609"/>
  <c r="E245" i="609" s="1"/>
  <c r="AN245" i="609"/>
  <c r="D245" i="609" s="1"/>
  <c r="AI245" i="609"/>
  <c r="AH245" i="609"/>
  <c r="AG245" i="609"/>
  <c r="AT244" i="609"/>
  <c r="AR244" i="609"/>
  <c r="H244" i="609" s="1"/>
  <c r="AQ244" i="609"/>
  <c r="G244" i="609" s="1"/>
  <c r="AP244" i="609"/>
  <c r="F244" i="609" s="1"/>
  <c r="AO244" i="609"/>
  <c r="E244" i="609" s="1"/>
  <c r="AI244" i="609"/>
  <c r="AH244" i="609"/>
  <c r="AG244" i="609"/>
  <c r="AJ244" i="609" s="1"/>
  <c r="AT243" i="609"/>
  <c r="AR243" i="609"/>
  <c r="H243" i="609" s="1"/>
  <c r="AQ243" i="609"/>
  <c r="G243" i="609" s="1"/>
  <c r="AP243" i="609"/>
  <c r="F243" i="609" s="1"/>
  <c r="AO243" i="609"/>
  <c r="E243" i="609" s="1"/>
  <c r="AI243" i="609"/>
  <c r="AH243" i="609"/>
  <c r="AG243" i="609"/>
  <c r="AT242" i="609"/>
  <c r="AR242" i="609"/>
  <c r="H242" i="609" s="1"/>
  <c r="AQ242" i="609"/>
  <c r="G242" i="609" s="1"/>
  <c r="AP242" i="609"/>
  <c r="F242" i="609" s="1"/>
  <c r="AO242" i="609"/>
  <c r="E242" i="609" s="1"/>
  <c r="AI242" i="609"/>
  <c r="AH242" i="609"/>
  <c r="AG242" i="609"/>
  <c r="AK242" i="609" s="1"/>
  <c r="AT241" i="609"/>
  <c r="AR241" i="609"/>
  <c r="H241" i="609" s="1"/>
  <c r="AQ241" i="609"/>
  <c r="G241" i="609" s="1"/>
  <c r="AP241" i="609"/>
  <c r="F241" i="609" s="1"/>
  <c r="AO241" i="609"/>
  <c r="E241" i="609" s="1"/>
  <c r="AI241" i="609"/>
  <c r="AH241" i="609"/>
  <c r="AG241" i="609"/>
  <c r="AT240" i="609"/>
  <c r="AR240" i="609"/>
  <c r="H240" i="609" s="1"/>
  <c r="AQ240" i="609"/>
  <c r="G240" i="609" s="1"/>
  <c r="AP240" i="609"/>
  <c r="F240" i="609" s="1"/>
  <c r="AO240" i="609"/>
  <c r="E240" i="609" s="1"/>
  <c r="AI240" i="609"/>
  <c r="AH240" i="609"/>
  <c r="AG240" i="609"/>
  <c r="AJ240" i="609" s="1"/>
  <c r="AT239" i="609"/>
  <c r="AR239" i="609"/>
  <c r="H239" i="609" s="1"/>
  <c r="AQ239" i="609"/>
  <c r="G239" i="609" s="1"/>
  <c r="AP239" i="609"/>
  <c r="F239" i="609" s="1"/>
  <c r="AO239" i="609"/>
  <c r="E239" i="609" s="1"/>
  <c r="AI239" i="609"/>
  <c r="AH239" i="609"/>
  <c r="AG239" i="609"/>
  <c r="AT238" i="609"/>
  <c r="AR238" i="609"/>
  <c r="H238" i="609" s="1"/>
  <c r="AQ238" i="609"/>
  <c r="G238" i="609" s="1"/>
  <c r="AP238" i="609"/>
  <c r="F238" i="609" s="1"/>
  <c r="AO238" i="609"/>
  <c r="E238" i="609" s="1"/>
  <c r="AN238" i="609"/>
  <c r="AN239" i="609" s="1"/>
  <c r="AN240" i="609" s="1"/>
  <c r="AI238" i="609"/>
  <c r="AH238" i="609"/>
  <c r="AG238" i="609"/>
  <c r="AK238" i="609" s="1"/>
  <c r="AT237" i="609"/>
  <c r="AR237" i="609"/>
  <c r="H237" i="609" s="1"/>
  <c r="AQ237" i="609"/>
  <c r="G237" i="609" s="1"/>
  <c r="AP237" i="609"/>
  <c r="F237" i="609" s="1"/>
  <c r="AO237" i="609"/>
  <c r="E237" i="609" s="1"/>
  <c r="AI237" i="609"/>
  <c r="AH237" i="609"/>
  <c r="AG237" i="609"/>
  <c r="AT236" i="609"/>
  <c r="AR236" i="609"/>
  <c r="H236" i="609" s="1"/>
  <c r="AQ236" i="609"/>
  <c r="G236" i="609" s="1"/>
  <c r="AP236" i="609"/>
  <c r="F236" i="609" s="1"/>
  <c r="AO236" i="609"/>
  <c r="E236" i="609" s="1"/>
  <c r="AI236" i="609"/>
  <c r="AH236" i="609"/>
  <c r="AG236" i="609"/>
  <c r="AJ236" i="609" s="1"/>
  <c r="AT235" i="609"/>
  <c r="AR235" i="609"/>
  <c r="H235" i="609" s="1"/>
  <c r="AQ235" i="609"/>
  <c r="G235" i="609" s="1"/>
  <c r="AP235" i="609"/>
  <c r="F235" i="609" s="1"/>
  <c r="AO235" i="609"/>
  <c r="E235" i="609" s="1"/>
  <c r="AI235" i="609"/>
  <c r="AH235" i="609"/>
  <c r="AG235" i="609"/>
  <c r="AJ235" i="609" s="1"/>
  <c r="AT234" i="609"/>
  <c r="AR234" i="609"/>
  <c r="H234" i="609" s="1"/>
  <c r="AQ234" i="609"/>
  <c r="G234" i="609" s="1"/>
  <c r="AP234" i="609"/>
  <c r="F234" i="609" s="1"/>
  <c r="AO234" i="609"/>
  <c r="E234" i="609" s="1"/>
  <c r="AI234" i="609"/>
  <c r="AH234" i="609"/>
  <c r="AG234" i="609"/>
  <c r="AJ234" i="609" s="1"/>
  <c r="AT233" i="609"/>
  <c r="AR233" i="609"/>
  <c r="H233" i="609" s="1"/>
  <c r="AQ233" i="609"/>
  <c r="G233" i="609" s="1"/>
  <c r="AP233" i="609"/>
  <c r="F233" i="609" s="1"/>
  <c r="AO233" i="609"/>
  <c r="E233" i="609" s="1"/>
  <c r="AI233" i="609"/>
  <c r="AH233" i="609"/>
  <c r="AG233" i="609"/>
  <c r="AT232" i="609"/>
  <c r="AR232" i="609"/>
  <c r="H232" i="609" s="1"/>
  <c r="AQ232" i="609"/>
  <c r="G232" i="609" s="1"/>
  <c r="AP232" i="609"/>
  <c r="F232" i="609" s="1"/>
  <c r="AO232" i="609"/>
  <c r="E232" i="609" s="1"/>
  <c r="AI232" i="609"/>
  <c r="AH232" i="609"/>
  <c r="AG232" i="609"/>
  <c r="AJ232" i="609" s="1"/>
  <c r="AT231" i="609"/>
  <c r="AR231" i="609"/>
  <c r="H231" i="609" s="1"/>
  <c r="AQ231" i="609"/>
  <c r="G231" i="609" s="1"/>
  <c r="AP231" i="609"/>
  <c r="F231" i="609" s="1"/>
  <c r="AO231" i="609"/>
  <c r="E231" i="609" s="1"/>
  <c r="AN231" i="609"/>
  <c r="AN232" i="609" s="1"/>
  <c r="AI231" i="609"/>
  <c r="AH231" i="609"/>
  <c r="AG231" i="609"/>
  <c r="AT230" i="609"/>
  <c r="AR230" i="609"/>
  <c r="H230" i="609" s="1"/>
  <c r="AQ230" i="609"/>
  <c r="G230" i="609" s="1"/>
  <c r="AP230" i="609"/>
  <c r="F230" i="609" s="1"/>
  <c r="AO230" i="609"/>
  <c r="E230" i="609" s="1"/>
  <c r="AI230" i="609"/>
  <c r="AT229" i="609"/>
  <c r="AR229" i="609"/>
  <c r="H229" i="609" s="1"/>
  <c r="AQ229" i="609"/>
  <c r="G229" i="609" s="1"/>
  <c r="AP229" i="609"/>
  <c r="F229" i="609" s="1"/>
  <c r="AO229" i="609"/>
  <c r="E229" i="609" s="1"/>
  <c r="AI229" i="609"/>
  <c r="AT228" i="609"/>
  <c r="AR228" i="609"/>
  <c r="H228" i="609" s="1"/>
  <c r="AQ228" i="609"/>
  <c r="G228" i="609" s="1"/>
  <c r="AP228" i="609"/>
  <c r="F228" i="609" s="1"/>
  <c r="AO228" i="609"/>
  <c r="E228" i="609" s="1"/>
  <c r="AI228" i="609"/>
  <c r="AT227" i="609"/>
  <c r="AR227" i="609"/>
  <c r="H227" i="609" s="1"/>
  <c r="AQ227" i="609"/>
  <c r="G227" i="609" s="1"/>
  <c r="AP227" i="609"/>
  <c r="F227" i="609" s="1"/>
  <c r="AO227" i="609"/>
  <c r="E227" i="609" s="1"/>
  <c r="AI227" i="609"/>
  <c r="AT226" i="609"/>
  <c r="AR226" i="609"/>
  <c r="H226" i="609" s="1"/>
  <c r="AQ226" i="609"/>
  <c r="G226" i="609" s="1"/>
  <c r="AP226" i="609"/>
  <c r="F226" i="609" s="1"/>
  <c r="AO226" i="609"/>
  <c r="E226" i="609" s="1"/>
  <c r="AI226" i="609"/>
  <c r="AT225" i="609"/>
  <c r="AR225" i="609"/>
  <c r="H225" i="609" s="1"/>
  <c r="AQ225" i="609"/>
  <c r="G225" i="609" s="1"/>
  <c r="AP225" i="609"/>
  <c r="F225" i="609" s="1"/>
  <c r="AO225" i="609"/>
  <c r="E225" i="609" s="1"/>
  <c r="AI225" i="609"/>
  <c r="AT224" i="609"/>
  <c r="AR224" i="609"/>
  <c r="AQ224" i="609"/>
  <c r="G224" i="609" s="1"/>
  <c r="AP224" i="609"/>
  <c r="F224" i="609" s="1"/>
  <c r="AO224" i="609"/>
  <c r="E224" i="609" s="1"/>
  <c r="AN224" i="609"/>
  <c r="D224" i="609" s="1"/>
  <c r="AI224" i="609"/>
  <c r="AH224" i="609"/>
  <c r="AG224" i="609"/>
  <c r="AK224" i="609" s="1"/>
  <c r="H224" i="609"/>
  <c r="AT223" i="609"/>
  <c r="AR223" i="609"/>
  <c r="H223" i="609" s="1"/>
  <c r="AQ223" i="609"/>
  <c r="G223" i="609" s="1"/>
  <c r="AP223" i="609"/>
  <c r="F223" i="609" s="1"/>
  <c r="AO223" i="609"/>
  <c r="E223" i="609" s="1"/>
  <c r="AI223" i="609"/>
  <c r="AT222" i="609"/>
  <c r="AR222" i="609"/>
  <c r="H222" i="609" s="1"/>
  <c r="AQ222" i="609"/>
  <c r="G222" i="609" s="1"/>
  <c r="AP222" i="609"/>
  <c r="F222" i="609" s="1"/>
  <c r="AO222" i="609"/>
  <c r="E222" i="609" s="1"/>
  <c r="AI222" i="609"/>
  <c r="AT221" i="609"/>
  <c r="AR221" i="609"/>
  <c r="H221" i="609" s="1"/>
  <c r="AQ221" i="609"/>
  <c r="G221" i="609" s="1"/>
  <c r="AP221" i="609"/>
  <c r="F221" i="609" s="1"/>
  <c r="AO221" i="609"/>
  <c r="E221" i="609" s="1"/>
  <c r="AI221" i="609"/>
  <c r="AT220" i="609"/>
  <c r="AR220" i="609"/>
  <c r="H220" i="609" s="1"/>
  <c r="AQ220" i="609"/>
  <c r="G220" i="609" s="1"/>
  <c r="AP220" i="609"/>
  <c r="F220" i="609" s="1"/>
  <c r="AO220" i="609"/>
  <c r="E220" i="609" s="1"/>
  <c r="AI220" i="609"/>
  <c r="AT219" i="609"/>
  <c r="AR219" i="609"/>
  <c r="H219" i="609" s="1"/>
  <c r="AQ219" i="609"/>
  <c r="G219" i="609" s="1"/>
  <c r="AP219" i="609"/>
  <c r="F219" i="609" s="1"/>
  <c r="AO219" i="609"/>
  <c r="E219" i="609" s="1"/>
  <c r="AI219" i="609"/>
  <c r="AT218" i="609"/>
  <c r="AR218" i="609"/>
  <c r="H218" i="609" s="1"/>
  <c r="AQ218" i="609"/>
  <c r="G218" i="609" s="1"/>
  <c r="AP218" i="609"/>
  <c r="F218" i="609" s="1"/>
  <c r="AO218" i="609"/>
  <c r="E218" i="609" s="1"/>
  <c r="AI218" i="609"/>
  <c r="AT217" i="609"/>
  <c r="AR217" i="609"/>
  <c r="H217" i="609" s="1"/>
  <c r="AQ217" i="609"/>
  <c r="G217" i="609" s="1"/>
  <c r="AP217" i="609"/>
  <c r="F217" i="609" s="1"/>
  <c r="AO217" i="609"/>
  <c r="E217" i="609" s="1"/>
  <c r="AN217" i="609"/>
  <c r="D217" i="609" s="1"/>
  <c r="AI217" i="609"/>
  <c r="AH217" i="609"/>
  <c r="AG217" i="609"/>
  <c r="AT216" i="609"/>
  <c r="AR216" i="609"/>
  <c r="H216" i="609" s="1"/>
  <c r="AQ216" i="609"/>
  <c r="G216" i="609" s="1"/>
  <c r="AP216" i="609"/>
  <c r="F216" i="609" s="1"/>
  <c r="AO216" i="609"/>
  <c r="E216" i="609" s="1"/>
  <c r="AI216" i="609"/>
  <c r="AT215" i="609"/>
  <c r="AR215" i="609"/>
  <c r="H215" i="609" s="1"/>
  <c r="AQ215" i="609"/>
  <c r="G215" i="609" s="1"/>
  <c r="AP215" i="609"/>
  <c r="F215" i="609" s="1"/>
  <c r="AO215" i="609"/>
  <c r="E215" i="609" s="1"/>
  <c r="AI215" i="609"/>
  <c r="AT214" i="609"/>
  <c r="AR214" i="609"/>
  <c r="H214" i="609" s="1"/>
  <c r="AQ214" i="609"/>
  <c r="G214" i="609" s="1"/>
  <c r="AP214" i="609"/>
  <c r="F214" i="609" s="1"/>
  <c r="AO214" i="609"/>
  <c r="E214" i="609" s="1"/>
  <c r="AI214" i="609"/>
  <c r="AT213" i="609"/>
  <c r="AR213" i="609"/>
  <c r="H213" i="609" s="1"/>
  <c r="AQ213" i="609"/>
  <c r="G213" i="609" s="1"/>
  <c r="AP213" i="609"/>
  <c r="F213" i="609" s="1"/>
  <c r="AO213" i="609"/>
  <c r="E213" i="609" s="1"/>
  <c r="AI213" i="609"/>
  <c r="AT212" i="609"/>
  <c r="AR212" i="609"/>
  <c r="H212" i="609" s="1"/>
  <c r="AQ212" i="609"/>
  <c r="G212" i="609" s="1"/>
  <c r="AP212" i="609"/>
  <c r="F212" i="609" s="1"/>
  <c r="AO212" i="609"/>
  <c r="E212" i="609" s="1"/>
  <c r="AI212" i="609"/>
  <c r="AT211" i="609"/>
  <c r="AR211" i="609"/>
  <c r="H211" i="609" s="1"/>
  <c r="AQ211" i="609"/>
  <c r="G211" i="609" s="1"/>
  <c r="AP211" i="609"/>
  <c r="F211" i="609" s="1"/>
  <c r="AO211" i="609"/>
  <c r="E211" i="609" s="1"/>
  <c r="AI211" i="609"/>
  <c r="AT210" i="609"/>
  <c r="AR210" i="609"/>
  <c r="H210" i="609" s="1"/>
  <c r="AQ210" i="609"/>
  <c r="G210" i="609" s="1"/>
  <c r="AP210" i="609"/>
  <c r="F210" i="609" s="1"/>
  <c r="AO210" i="609"/>
  <c r="E210" i="609" s="1"/>
  <c r="AN210" i="609"/>
  <c r="D210" i="609" s="1"/>
  <c r="AI210" i="609"/>
  <c r="AH210" i="609"/>
  <c r="AG210" i="609"/>
  <c r="AK210" i="609" s="1"/>
  <c r="AT209" i="609"/>
  <c r="AR209" i="609"/>
  <c r="H209" i="609" s="1"/>
  <c r="AQ209" i="609"/>
  <c r="G209" i="609" s="1"/>
  <c r="AP209" i="609"/>
  <c r="F209" i="609" s="1"/>
  <c r="AO209" i="609"/>
  <c r="E209" i="609" s="1"/>
  <c r="AI209" i="609"/>
  <c r="AT208" i="609"/>
  <c r="AR208" i="609"/>
  <c r="H208" i="609" s="1"/>
  <c r="AQ208" i="609"/>
  <c r="G208" i="609" s="1"/>
  <c r="AP208" i="609"/>
  <c r="F208" i="609" s="1"/>
  <c r="AO208" i="609"/>
  <c r="E208" i="609" s="1"/>
  <c r="AI208" i="609"/>
  <c r="AT207" i="609"/>
  <c r="AR207" i="609"/>
  <c r="H207" i="609" s="1"/>
  <c r="AQ207" i="609"/>
  <c r="G207" i="609" s="1"/>
  <c r="AP207" i="609"/>
  <c r="F207" i="609" s="1"/>
  <c r="AO207" i="609"/>
  <c r="E207" i="609" s="1"/>
  <c r="AI207" i="609"/>
  <c r="AT206" i="609"/>
  <c r="AR206" i="609"/>
  <c r="H206" i="609" s="1"/>
  <c r="AQ206" i="609"/>
  <c r="G206" i="609" s="1"/>
  <c r="AP206" i="609"/>
  <c r="F206" i="609" s="1"/>
  <c r="AO206" i="609"/>
  <c r="E206" i="609" s="1"/>
  <c r="AI206" i="609"/>
  <c r="AT205" i="609"/>
  <c r="AR205" i="609"/>
  <c r="H205" i="609" s="1"/>
  <c r="AQ205" i="609"/>
  <c r="G205" i="609" s="1"/>
  <c r="AP205" i="609"/>
  <c r="F205" i="609" s="1"/>
  <c r="AO205" i="609"/>
  <c r="E205" i="609" s="1"/>
  <c r="AI205" i="609"/>
  <c r="AT204" i="609"/>
  <c r="AR204" i="609"/>
  <c r="H204" i="609" s="1"/>
  <c r="AQ204" i="609"/>
  <c r="G204" i="609" s="1"/>
  <c r="AP204" i="609"/>
  <c r="F204" i="609" s="1"/>
  <c r="AO204" i="609"/>
  <c r="E204" i="609" s="1"/>
  <c r="AI204" i="609"/>
  <c r="AT203" i="609"/>
  <c r="AR203" i="609"/>
  <c r="H203" i="609" s="1"/>
  <c r="AQ203" i="609"/>
  <c r="G203" i="609" s="1"/>
  <c r="AP203" i="609"/>
  <c r="F203" i="609" s="1"/>
  <c r="AO203" i="609"/>
  <c r="E203" i="609" s="1"/>
  <c r="AN203" i="609"/>
  <c r="AN204" i="609" s="1"/>
  <c r="AI203" i="609"/>
  <c r="AH203" i="609"/>
  <c r="AG203" i="609"/>
  <c r="AK203" i="609" s="1"/>
  <c r="AT202" i="609"/>
  <c r="AR202" i="609"/>
  <c r="H202" i="609" s="1"/>
  <c r="AQ202" i="609"/>
  <c r="G202" i="609" s="1"/>
  <c r="AP202" i="609"/>
  <c r="F202" i="609" s="1"/>
  <c r="AO202" i="609"/>
  <c r="E202" i="609" s="1"/>
  <c r="AI202" i="609"/>
  <c r="AT201" i="609"/>
  <c r="AR201" i="609"/>
  <c r="H201" i="609" s="1"/>
  <c r="AQ201" i="609"/>
  <c r="G201" i="609" s="1"/>
  <c r="AP201" i="609"/>
  <c r="F201" i="609" s="1"/>
  <c r="AO201" i="609"/>
  <c r="E201" i="609" s="1"/>
  <c r="AI201" i="609"/>
  <c r="AT200" i="609"/>
  <c r="AR200" i="609"/>
  <c r="H200" i="609" s="1"/>
  <c r="AQ200" i="609"/>
  <c r="G200" i="609" s="1"/>
  <c r="AP200" i="609"/>
  <c r="F200" i="609" s="1"/>
  <c r="AO200" i="609"/>
  <c r="E200" i="609" s="1"/>
  <c r="AI200" i="609"/>
  <c r="AT199" i="609"/>
  <c r="AR199" i="609"/>
  <c r="H199" i="609" s="1"/>
  <c r="AQ199" i="609"/>
  <c r="G199" i="609" s="1"/>
  <c r="AP199" i="609"/>
  <c r="F199" i="609" s="1"/>
  <c r="AO199" i="609"/>
  <c r="E199" i="609" s="1"/>
  <c r="AI199" i="609"/>
  <c r="AT198" i="609"/>
  <c r="AR198" i="609"/>
  <c r="H198" i="609" s="1"/>
  <c r="AQ198" i="609"/>
  <c r="G198" i="609" s="1"/>
  <c r="AP198" i="609"/>
  <c r="F198" i="609" s="1"/>
  <c r="AO198" i="609"/>
  <c r="E198" i="609" s="1"/>
  <c r="AI198" i="609"/>
  <c r="AT197" i="609"/>
  <c r="AR197" i="609"/>
  <c r="H197" i="609" s="1"/>
  <c r="AQ197" i="609"/>
  <c r="G197" i="609" s="1"/>
  <c r="AP197" i="609"/>
  <c r="F197" i="609" s="1"/>
  <c r="AO197" i="609"/>
  <c r="E197" i="609" s="1"/>
  <c r="AI197" i="609"/>
  <c r="AT196" i="609"/>
  <c r="AR196" i="609"/>
  <c r="H196" i="609" s="1"/>
  <c r="AQ196" i="609"/>
  <c r="G196" i="609" s="1"/>
  <c r="AP196" i="609"/>
  <c r="F196" i="609" s="1"/>
  <c r="AO196" i="609"/>
  <c r="E196" i="609" s="1"/>
  <c r="AN196" i="609"/>
  <c r="D196" i="609" s="1"/>
  <c r="AI196" i="609"/>
  <c r="AH196" i="609"/>
  <c r="AG196" i="609"/>
  <c r="AJ196" i="609" s="1"/>
  <c r="AT195" i="609"/>
  <c r="AR195" i="609"/>
  <c r="H195" i="609" s="1"/>
  <c r="AQ195" i="609"/>
  <c r="G195" i="609" s="1"/>
  <c r="AP195" i="609"/>
  <c r="F195" i="609" s="1"/>
  <c r="AO195" i="609"/>
  <c r="E195" i="609" s="1"/>
  <c r="AI195" i="609"/>
  <c r="AT194" i="609"/>
  <c r="AR194" i="609"/>
  <c r="H194" i="609" s="1"/>
  <c r="AQ194" i="609"/>
  <c r="G194" i="609" s="1"/>
  <c r="AP194" i="609"/>
  <c r="F194" i="609" s="1"/>
  <c r="AO194" i="609"/>
  <c r="E194" i="609" s="1"/>
  <c r="AI194" i="609"/>
  <c r="AT193" i="609"/>
  <c r="AR193" i="609"/>
  <c r="H193" i="609" s="1"/>
  <c r="AQ193" i="609"/>
  <c r="G193" i="609" s="1"/>
  <c r="AP193" i="609"/>
  <c r="F193" i="609" s="1"/>
  <c r="AO193" i="609"/>
  <c r="E193" i="609" s="1"/>
  <c r="AI193" i="609"/>
  <c r="AT192" i="609"/>
  <c r="AR192" i="609"/>
  <c r="H192" i="609" s="1"/>
  <c r="AQ192" i="609"/>
  <c r="G192" i="609" s="1"/>
  <c r="AP192" i="609"/>
  <c r="F192" i="609" s="1"/>
  <c r="AO192" i="609"/>
  <c r="E192" i="609" s="1"/>
  <c r="AI192" i="609"/>
  <c r="AT191" i="609"/>
  <c r="AR191" i="609"/>
  <c r="H191" i="609" s="1"/>
  <c r="AQ191" i="609"/>
  <c r="G191" i="609" s="1"/>
  <c r="AP191" i="609"/>
  <c r="F191" i="609" s="1"/>
  <c r="AO191" i="609"/>
  <c r="E191" i="609" s="1"/>
  <c r="AI191" i="609"/>
  <c r="AT190" i="609"/>
  <c r="AR190" i="609"/>
  <c r="H190" i="609" s="1"/>
  <c r="AQ190" i="609"/>
  <c r="G190" i="609" s="1"/>
  <c r="AP190" i="609"/>
  <c r="F190" i="609" s="1"/>
  <c r="AO190" i="609"/>
  <c r="E190" i="609" s="1"/>
  <c r="AI190" i="609"/>
  <c r="AT189" i="609"/>
  <c r="AR189" i="609"/>
  <c r="H189" i="609" s="1"/>
  <c r="AQ189" i="609"/>
  <c r="G189" i="609" s="1"/>
  <c r="AP189" i="609"/>
  <c r="F189" i="609" s="1"/>
  <c r="AO189" i="609"/>
  <c r="E189" i="609" s="1"/>
  <c r="AN189" i="609"/>
  <c r="AI189" i="609"/>
  <c r="AH189" i="609"/>
  <c r="AG189" i="609"/>
  <c r="AT188" i="609"/>
  <c r="AR188" i="609"/>
  <c r="H188" i="609" s="1"/>
  <c r="AQ188" i="609"/>
  <c r="G188" i="609" s="1"/>
  <c r="AP188" i="609"/>
  <c r="F188" i="609" s="1"/>
  <c r="AO188" i="609"/>
  <c r="E188" i="609" s="1"/>
  <c r="AI188" i="609"/>
  <c r="AT187" i="609"/>
  <c r="AR187" i="609"/>
  <c r="H187" i="609" s="1"/>
  <c r="AQ187" i="609"/>
  <c r="G187" i="609" s="1"/>
  <c r="AP187" i="609"/>
  <c r="F187" i="609" s="1"/>
  <c r="AO187" i="609"/>
  <c r="E187" i="609" s="1"/>
  <c r="AI187" i="609"/>
  <c r="AT186" i="609"/>
  <c r="AR186" i="609"/>
  <c r="H186" i="609" s="1"/>
  <c r="AQ186" i="609"/>
  <c r="G186" i="609" s="1"/>
  <c r="AP186" i="609"/>
  <c r="F186" i="609" s="1"/>
  <c r="AO186" i="609"/>
  <c r="E186" i="609" s="1"/>
  <c r="AI186" i="609"/>
  <c r="AT185" i="609"/>
  <c r="AR185" i="609"/>
  <c r="H185" i="609" s="1"/>
  <c r="AQ185" i="609"/>
  <c r="G185" i="609" s="1"/>
  <c r="AP185" i="609"/>
  <c r="F185" i="609" s="1"/>
  <c r="AO185" i="609"/>
  <c r="E185" i="609" s="1"/>
  <c r="AI185" i="609"/>
  <c r="AT184" i="609"/>
  <c r="AR184" i="609"/>
  <c r="H184" i="609" s="1"/>
  <c r="AQ184" i="609"/>
  <c r="G184" i="609" s="1"/>
  <c r="AP184" i="609"/>
  <c r="F184" i="609" s="1"/>
  <c r="AO184" i="609"/>
  <c r="E184" i="609" s="1"/>
  <c r="AI184" i="609"/>
  <c r="AT183" i="609"/>
  <c r="AR183" i="609"/>
  <c r="H183" i="609" s="1"/>
  <c r="AQ183" i="609"/>
  <c r="G183" i="609" s="1"/>
  <c r="AP183" i="609"/>
  <c r="F183" i="609" s="1"/>
  <c r="AO183" i="609"/>
  <c r="E183" i="609" s="1"/>
  <c r="AI183" i="609"/>
  <c r="AT182" i="609"/>
  <c r="AR182" i="609"/>
  <c r="H182" i="609" s="1"/>
  <c r="AQ182" i="609"/>
  <c r="G182" i="609" s="1"/>
  <c r="AP182" i="609"/>
  <c r="F182" i="609" s="1"/>
  <c r="AO182" i="609"/>
  <c r="E182" i="609" s="1"/>
  <c r="AN182" i="609"/>
  <c r="AN183" i="609" s="1"/>
  <c r="AN184" i="609" s="1"/>
  <c r="AN185" i="609" s="1"/>
  <c r="AI182" i="609"/>
  <c r="AK182" i="609" s="1"/>
  <c r="AH182" i="609"/>
  <c r="AG182" i="609"/>
  <c r="AT181" i="609"/>
  <c r="AR181" i="609"/>
  <c r="H181" i="609" s="1"/>
  <c r="AQ181" i="609"/>
  <c r="G181" i="609" s="1"/>
  <c r="AP181" i="609"/>
  <c r="F181" i="609" s="1"/>
  <c r="AO181" i="609"/>
  <c r="E181" i="609" s="1"/>
  <c r="AI181" i="609"/>
  <c r="AT180" i="609"/>
  <c r="AR180" i="609"/>
  <c r="H180" i="609" s="1"/>
  <c r="AQ180" i="609"/>
  <c r="G180" i="609" s="1"/>
  <c r="AP180" i="609"/>
  <c r="F180" i="609" s="1"/>
  <c r="AO180" i="609"/>
  <c r="E180" i="609" s="1"/>
  <c r="AI180" i="609"/>
  <c r="AT179" i="609"/>
  <c r="AR179" i="609"/>
  <c r="H179" i="609" s="1"/>
  <c r="AQ179" i="609"/>
  <c r="G179" i="609" s="1"/>
  <c r="AP179" i="609"/>
  <c r="F179" i="609" s="1"/>
  <c r="AO179" i="609"/>
  <c r="E179" i="609" s="1"/>
  <c r="AI179" i="609"/>
  <c r="AT178" i="609"/>
  <c r="AR178" i="609"/>
  <c r="H178" i="609" s="1"/>
  <c r="AQ178" i="609"/>
  <c r="G178" i="609" s="1"/>
  <c r="AP178" i="609"/>
  <c r="F178" i="609" s="1"/>
  <c r="AO178" i="609"/>
  <c r="E178" i="609" s="1"/>
  <c r="AI178" i="609"/>
  <c r="AT177" i="609"/>
  <c r="AR177" i="609"/>
  <c r="H177" i="609" s="1"/>
  <c r="AQ177" i="609"/>
  <c r="G177" i="609" s="1"/>
  <c r="AP177" i="609"/>
  <c r="F177" i="609" s="1"/>
  <c r="AO177" i="609"/>
  <c r="E177" i="609" s="1"/>
  <c r="AI177" i="609"/>
  <c r="AT176" i="609"/>
  <c r="AR176" i="609"/>
  <c r="H176" i="609" s="1"/>
  <c r="AQ176" i="609"/>
  <c r="G176" i="609" s="1"/>
  <c r="AP176" i="609"/>
  <c r="F176" i="609" s="1"/>
  <c r="AO176" i="609"/>
  <c r="E176" i="609" s="1"/>
  <c r="AI176" i="609"/>
  <c r="AT175" i="609"/>
  <c r="AR175" i="609"/>
  <c r="H175" i="609" s="1"/>
  <c r="AQ175" i="609"/>
  <c r="G175" i="609" s="1"/>
  <c r="AP175" i="609"/>
  <c r="F175" i="609" s="1"/>
  <c r="AO175" i="609"/>
  <c r="E175" i="609" s="1"/>
  <c r="AN175" i="609"/>
  <c r="AI175" i="609"/>
  <c r="AH175" i="609"/>
  <c r="AG175" i="609"/>
  <c r="AT174" i="609"/>
  <c r="AR174" i="609"/>
  <c r="H174" i="609" s="1"/>
  <c r="AQ174" i="609"/>
  <c r="G174" i="609" s="1"/>
  <c r="AP174" i="609"/>
  <c r="F174" i="609" s="1"/>
  <c r="AO174" i="609"/>
  <c r="E174" i="609" s="1"/>
  <c r="AI174" i="609"/>
  <c r="AT173" i="609"/>
  <c r="AR173" i="609"/>
  <c r="H173" i="609" s="1"/>
  <c r="AQ173" i="609"/>
  <c r="G173" i="609" s="1"/>
  <c r="AP173" i="609"/>
  <c r="F173" i="609" s="1"/>
  <c r="AO173" i="609"/>
  <c r="E173" i="609" s="1"/>
  <c r="AI173" i="609"/>
  <c r="AT172" i="609"/>
  <c r="AR172" i="609"/>
  <c r="H172" i="609" s="1"/>
  <c r="AQ172" i="609"/>
  <c r="G172" i="609" s="1"/>
  <c r="AP172" i="609"/>
  <c r="F172" i="609" s="1"/>
  <c r="AO172" i="609"/>
  <c r="E172" i="609" s="1"/>
  <c r="AI172" i="609"/>
  <c r="AT171" i="609"/>
  <c r="AR171" i="609"/>
  <c r="H171" i="609" s="1"/>
  <c r="AQ171" i="609"/>
  <c r="G171" i="609" s="1"/>
  <c r="AP171" i="609"/>
  <c r="F171" i="609" s="1"/>
  <c r="AO171" i="609"/>
  <c r="E171" i="609" s="1"/>
  <c r="AI171" i="609"/>
  <c r="AT170" i="609"/>
  <c r="AR170" i="609"/>
  <c r="H170" i="609" s="1"/>
  <c r="AQ170" i="609"/>
  <c r="G170" i="609" s="1"/>
  <c r="AP170" i="609"/>
  <c r="F170" i="609" s="1"/>
  <c r="AO170" i="609"/>
  <c r="E170" i="609" s="1"/>
  <c r="AI170" i="609"/>
  <c r="AT169" i="609"/>
  <c r="AR169" i="609"/>
  <c r="H169" i="609" s="1"/>
  <c r="AQ169" i="609"/>
  <c r="G169" i="609" s="1"/>
  <c r="AP169" i="609"/>
  <c r="F169" i="609" s="1"/>
  <c r="AO169" i="609"/>
  <c r="E169" i="609" s="1"/>
  <c r="AI169" i="609"/>
  <c r="AT168" i="609"/>
  <c r="AR168" i="609"/>
  <c r="H168" i="609" s="1"/>
  <c r="AQ168" i="609"/>
  <c r="G168" i="609" s="1"/>
  <c r="AP168" i="609"/>
  <c r="F168" i="609" s="1"/>
  <c r="AO168" i="609"/>
  <c r="E168" i="609" s="1"/>
  <c r="AN168" i="609"/>
  <c r="AN169" i="609" s="1"/>
  <c r="AI168" i="609"/>
  <c r="AH168" i="609"/>
  <c r="AG168" i="609"/>
  <c r="AK168" i="609" s="1"/>
  <c r="AT167" i="609"/>
  <c r="AR167" i="609"/>
  <c r="H167" i="609" s="1"/>
  <c r="AQ167" i="609"/>
  <c r="G167" i="609" s="1"/>
  <c r="AP167" i="609"/>
  <c r="F167" i="609" s="1"/>
  <c r="AO167" i="609"/>
  <c r="E167" i="609" s="1"/>
  <c r="AI167" i="609"/>
  <c r="AT166" i="609"/>
  <c r="AR166" i="609"/>
  <c r="H166" i="609" s="1"/>
  <c r="AQ166" i="609"/>
  <c r="G166" i="609" s="1"/>
  <c r="AP166" i="609"/>
  <c r="F166" i="609" s="1"/>
  <c r="AO166" i="609"/>
  <c r="E166" i="609" s="1"/>
  <c r="AI166" i="609"/>
  <c r="AT165" i="609"/>
  <c r="AR165" i="609"/>
  <c r="H165" i="609" s="1"/>
  <c r="AQ165" i="609"/>
  <c r="G165" i="609" s="1"/>
  <c r="AP165" i="609"/>
  <c r="F165" i="609" s="1"/>
  <c r="AO165" i="609"/>
  <c r="E165" i="609" s="1"/>
  <c r="AI165" i="609"/>
  <c r="AT164" i="609"/>
  <c r="AR164" i="609"/>
  <c r="H164" i="609" s="1"/>
  <c r="AQ164" i="609"/>
  <c r="G164" i="609" s="1"/>
  <c r="AP164" i="609"/>
  <c r="F164" i="609" s="1"/>
  <c r="AO164" i="609"/>
  <c r="E164" i="609" s="1"/>
  <c r="AI164" i="609"/>
  <c r="AT163" i="609"/>
  <c r="AR163" i="609"/>
  <c r="H163" i="609" s="1"/>
  <c r="AQ163" i="609"/>
  <c r="G163" i="609" s="1"/>
  <c r="AP163" i="609"/>
  <c r="F163" i="609" s="1"/>
  <c r="AO163" i="609"/>
  <c r="E163" i="609" s="1"/>
  <c r="AI163" i="609"/>
  <c r="AT162" i="609"/>
  <c r="AR162" i="609"/>
  <c r="H162" i="609" s="1"/>
  <c r="AQ162" i="609"/>
  <c r="G162" i="609" s="1"/>
  <c r="AP162" i="609"/>
  <c r="F162" i="609" s="1"/>
  <c r="AO162" i="609"/>
  <c r="E162" i="609" s="1"/>
  <c r="AI162" i="609"/>
  <c r="AT161" i="609"/>
  <c r="AR161" i="609"/>
  <c r="H161" i="609" s="1"/>
  <c r="AQ161" i="609"/>
  <c r="G161" i="609" s="1"/>
  <c r="AP161" i="609"/>
  <c r="F161" i="609" s="1"/>
  <c r="AO161" i="609"/>
  <c r="E161" i="609" s="1"/>
  <c r="AN161" i="609"/>
  <c r="D161" i="609" s="1"/>
  <c r="AI161" i="609"/>
  <c r="AH161" i="609"/>
  <c r="AG161" i="609"/>
  <c r="AT160" i="609"/>
  <c r="AR160" i="609"/>
  <c r="H160" i="609" s="1"/>
  <c r="AQ160" i="609"/>
  <c r="G160" i="609" s="1"/>
  <c r="AP160" i="609"/>
  <c r="F160" i="609" s="1"/>
  <c r="AO160" i="609"/>
  <c r="E160" i="609" s="1"/>
  <c r="AI160" i="609"/>
  <c r="AT159" i="609"/>
  <c r="AR159" i="609"/>
  <c r="H159" i="609" s="1"/>
  <c r="AQ159" i="609"/>
  <c r="G159" i="609" s="1"/>
  <c r="AP159" i="609"/>
  <c r="F159" i="609" s="1"/>
  <c r="AO159" i="609"/>
  <c r="E159" i="609" s="1"/>
  <c r="AI159" i="609"/>
  <c r="AT158" i="609"/>
  <c r="AR158" i="609"/>
  <c r="H158" i="609" s="1"/>
  <c r="AQ158" i="609"/>
  <c r="G158" i="609" s="1"/>
  <c r="AP158" i="609"/>
  <c r="F158" i="609" s="1"/>
  <c r="AO158" i="609"/>
  <c r="E158" i="609" s="1"/>
  <c r="AI158" i="609"/>
  <c r="AT157" i="609"/>
  <c r="AR157" i="609"/>
  <c r="H157" i="609" s="1"/>
  <c r="AQ157" i="609"/>
  <c r="G157" i="609" s="1"/>
  <c r="AP157" i="609"/>
  <c r="F157" i="609" s="1"/>
  <c r="AO157" i="609"/>
  <c r="E157" i="609" s="1"/>
  <c r="AI157" i="609"/>
  <c r="AT156" i="609"/>
  <c r="AR156" i="609"/>
  <c r="H156" i="609" s="1"/>
  <c r="AQ156" i="609"/>
  <c r="G156" i="609" s="1"/>
  <c r="AP156" i="609"/>
  <c r="F156" i="609" s="1"/>
  <c r="AO156" i="609"/>
  <c r="E156" i="609" s="1"/>
  <c r="AI156" i="609"/>
  <c r="AT155" i="609"/>
  <c r="AR155" i="609"/>
  <c r="H155" i="609" s="1"/>
  <c r="AQ155" i="609"/>
  <c r="G155" i="609" s="1"/>
  <c r="AP155" i="609"/>
  <c r="F155" i="609" s="1"/>
  <c r="AO155" i="609"/>
  <c r="E155" i="609" s="1"/>
  <c r="AI155" i="609"/>
  <c r="AT154" i="609"/>
  <c r="AR154" i="609"/>
  <c r="H154" i="609" s="1"/>
  <c r="AQ154" i="609"/>
  <c r="G154" i="609" s="1"/>
  <c r="AP154" i="609"/>
  <c r="F154" i="609" s="1"/>
  <c r="AO154" i="609"/>
  <c r="E154" i="609" s="1"/>
  <c r="AN154" i="609"/>
  <c r="D154" i="609" s="1"/>
  <c r="AI154" i="609"/>
  <c r="AH154" i="609"/>
  <c r="AG154" i="609"/>
  <c r="AT153" i="609"/>
  <c r="AR153" i="609"/>
  <c r="H153" i="609" s="1"/>
  <c r="AQ153" i="609"/>
  <c r="G153" i="609" s="1"/>
  <c r="AP153" i="609"/>
  <c r="F153" i="609" s="1"/>
  <c r="AO153" i="609"/>
  <c r="E153" i="609" s="1"/>
  <c r="AI153" i="609"/>
  <c r="AT152" i="609"/>
  <c r="AR152" i="609"/>
  <c r="H152" i="609" s="1"/>
  <c r="AQ152" i="609"/>
  <c r="G152" i="609" s="1"/>
  <c r="AP152" i="609"/>
  <c r="F152" i="609" s="1"/>
  <c r="AO152" i="609"/>
  <c r="E152" i="609" s="1"/>
  <c r="AI152" i="609"/>
  <c r="AT151" i="609"/>
  <c r="AR151" i="609"/>
  <c r="H151" i="609" s="1"/>
  <c r="AQ151" i="609"/>
  <c r="G151" i="609" s="1"/>
  <c r="AP151" i="609"/>
  <c r="F151" i="609" s="1"/>
  <c r="AO151" i="609"/>
  <c r="E151" i="609" s="1"/>
  <c r="AI151" i="609"/>
  <c r="AT150" i="609"/>
  <c r="AR150" i="609"/>
  <c r="H150" i="609" s="1"/>
  <c r="AQ150" i="609"/>
  <c r="G150" i="609" s="1"/>
  <c r="AP150" i="609"/>
  <c r="F150" i="609" s="1"/>
  <c r="AO150" i="609"/>
  <c r="E150" i="609" s="1"/>
  <c r="AI150" i="609"/>
  <c r="AT149" i="609"/>
  <c r="AR149" i="609"/>
  <c r="H149" i="609" s="1"/>
  <c r="AQ149" i="609"/>
  <c r="G149" i="609" s="1"/>
  <c r="AP149" i="609"/>
  <c r="F149" i="609" s="1"/>
  <c r="AO149" i="609"/>
  <c r="E149" i="609" s="1"/>
  <c r="AI149" i="609"/>
  <c r="AT148" i="609"/>
  <c r="AR148" i="609"/>
  <c r="H148" i="609" s="1"/>
  <c r="AQ148" i="609"/>
  <c r="G148" i="609" s="1"/>
  <c r="AP148" i="609"/>
  <c r="F148" i="609" s="1"/>
  <c r="AO148" i="609"/>
  <c r="E148" i="609" s="1"/>
  <c r="AI148" i="609"/>
  <c r="AT147" i="609"/>
  <c r="AR147" i="609"/>
  <c r="H147" i="609" s="1"/>
  <c r="AQ147" i="609"/>
  <c r="G147" i="609" s="1"/>
  <c r="AP147" i="609"/>
  <c r="F147" i="609" s="1"/>
  <c r="AO147" i="609"/>
  <c r="E147" i="609" s="1"/>
  <c r="AN147" i="609"/>
  <c r="AI147" i="609"/>
  <c r="AH147" i="609"/>
  <c r="AG147" i="609"/>
  <c r="AK147" i="609" s="1"/>
  <c r="AT146" i="609"/>
  <c r="AR146" i="609"/>
  <c r="H146" i="609" s="1"/>
  <c r="AQ146" i="609"/>
  <c r="G146" i="609" s="1"/>
  <c r="AP146" i="609"/>
  <c r="F146" i="609" s="1"/>
  <c r="AO146" i="609"/>
  <c r="E146" i="609" s="1"/>
  <c r="AI146" i="609"/>
  <c r="AT145" i="609"/>
  <c r="AR145" i="609"/>
  <c r="H145" i="609" s="1"/>
  <c r="AQ145" i="609"/>
  <c r="G145" i="609" s="1"/>
  <c r="AP145" i="609"/>
  <c r="F145" i="609" s="1"/>
  <c r="AO145" i="609"/>
  <c r="E145" i="609" s="1"/>
  <c r="AI145" i="609"/>
  <c r="AT144" i="609"/>
  <c r="AR144" i="609"/>
  <c r="H144" i="609" s="1"/>
  <c r="AQ144" i="609"/>
  <c r="G144" i="609" s="1"/>
  <c r="AP144" i="609"/>
  <c r="F144" i="609" s="1"/>
  <c r="AO144" i="609"/>
  <c r="E144" i="609" s="1"/>
  <c r="AI144" i="609"/>
  <c r="AT143" i="609"/>
  <c r="AR143" i="609"/>
  <c r="H143" i="609" s="1"/>
  <c r="AQ143" i="609"/>
  <c r="G143" i="609" s="1"/>
  <c r="AP143" i="609"/>
  <c r="F143" i="609" s="1"/>
  <c r="AO143" i="609"/>
  <c r="E143" i="609" s="1"/>
  <c r="AI143" i="609"/>
  <c r="AT142" i="609"/>
  <c r="AR142" i="609"/>
  <c r="H142" i="609" s="1"/>
  <c r="AQ142" i="609"/>
  <c r="G142" i="609" s="1"/>
  <c r="AP142" i="609"/>
  <c r="F142" i="609" s="1"/>
  <c r="AO142" i="609"/>
  <c r="E142" i="609" s="1"/>
  <c r="AI142" i="609"/>
  <c r="AT141" i="609"/>
  <c r="AR141" i="609"/>
  <c r="H141" i="609" s="1"/>
  <c r="AQ141" i="609"/>
  <c r="G141" i="609" s="1"/>
  <c r="AP141" i="609"/>
  <c r="F141" i="609" s="1"/>
  <c r="AO141" i="609"/>
  <c r="E141" i="609" s="1"/>
  <c r="AI141" i="609"/>
  <c r="AT140" i="609"/>
  <c r="AR140" i="609"/>
  <c r="H140" i="609" s="1"/>
  <c r="AQ140" i="609"/>
  <c r="G140" i="609" s="1"/>
  <c r="AP140" i="609"/>
  <c r="F140" i="609" s="1"/>
  <c r="AO140" i="609"/>
  <c r="E140" i="609" s="1"/>
  <c r="AN140" i="609"/>
  <c r="D140" i="609" s="1"/>
  <c r="AI140" i="609"/>
  <c r="AH140" i="609"/>
  <c r="AG140" i="609"/>
  <c r="AT139" i="609"/>
  <c r="AR139" i="609"/>
  <c r="H139" i="609" s="1"/>
  <c r="AQ139" i="609"/>
  <c r="G139" i="609" s="1"/>
  <c r="AP139" i="609"/>
  <c r="F139" i="609" s="1"/>
  <c r="AO139" i="609"/>
  <c r="E139" i="609" s="1"/>
  <c r="AI139" i="609"/>
  <c r="AT138" i="609"/>
  <c r="AR138" i="609"/>
  <c r="H138" i="609" s="1"/>
  <c r="AQ138" i="609"/>
  <c r="G138" i="609" s="1"/>
  <c r="AP138" i="609"/>
  <c r="F138" i="609" s="1"/>
  <c r="AO138" i="609"/>
  <c r="E138" i="609" s="1"/>
  <c r="AI138" i="609"/>
  <c r="AT137" i="609"/>
  <c r="AR137" i="609"/>
  <c r="H137" i="609" s="1"/>
  <c r="AQ137" i="609"/>
  <c r="G137" i="609" s="1"/>
  <c r="AP137" i="609"/>
  <c r="F137" i="609" s="1"/>
  <c r="AO137" i="609"/>
  <c r="E137" i="609" s="1"/>
  <c r="AI137" i="609"/>
  <c r="AT136" i="609"/>
  <c r="AR136" i="609"/>
  <c r="H136" i="609" s="1"/>
  <c r="AQ136" i="609"/>
  <c r="G136" i="609" s="1"/>
  <c r="AP136" i="609"/>
  <c r="F136" i="609" s="1"/>
  <c r="AO136" i="609"/>
  <c r="E136" i="609" s="1"/>
  <c r="AI136" i="609"/>
  <c r="AT135" i="609"/>
  <c r="AR135" i="609"/>
  <c r="H135" i="609" s="1"/>
  <c r="AQ135" i="609"/>
  <c r="G135" i="609" s="1"/>
  <c r="AP135" i="609"/>
  <c r="F135" i="609" s="1"/>
  <c r="AO135" i="609"/>
  <c r="E135" i="609" s="1"/>
  <c r="AI135" i="609"/>
  <c r="AT134" i="609"/>
  <c r="AR134" i="609"/>
  <c r="H134" i="609" s="1"/>
  <c r="AQ134" i="609"/>
  <c r="G134" i="609" s="1"/>
  <c r="AP134" i="609"/>
  <c r="F134" i="609" s="1"/>
  <c r="AO134" i="609"/>
  <c r="E134" i="609" s="1"/>
  <c r="AI134" i="609"/>
  <c r="AT133" i="609"/>
  <c r="AR133" i="609"/>
  <c r="H133" i="609" s="1"/>
  <c r="AQ133" i="609"/>
  <c r="G133" i="609" s="1"/>
  <c r="AP133" i="609"/>
  <c r="F133" i="609" s="1"/>
  <c r="AO133" i="609"/>
  <c r="E133" i="609" s="1"/>
  <c r="AN133" i="609"/>
  <c r="AN134" i="609" s="1"/>
  <c r="AI133" i="609"/>
  <c r="AH133" i="609"/>
  <c r="AG133" i="609"/>
  <c r="AJ133" i="609" s="1"/>
  <c r="AT132" i="609"/>
  <c r="AR132" i="609"/>
  <c r="H132" i="609" s="1"/>
  <c r="AQ132" i="609"/>
  <c r="G132" i="609" s="1"/>
  <c r="AP132" i="609"/>
  <c r="F132" i="609" s="1"/>
  <c r="AO132" i="609"/>
  <c r="E132" i="609" s="1"/>
  <c r="AI132" i="609"/>
  <c r="AT131" i="609"/>
  <c r="AR131" i="609"/>
  <c r="H131" i="609" s="1"/>
  <c r="AQ131" i="609"/>
  <c r="G131" i="609" s="1"/>
  <c r="AP131" i="609"/>
  <c r="F131" i="609" s="1"/>
  <c r="AO131" i="609"/>
  <c r="E131" i="609" s="1"/>
  <c r="AI131" i="609"/>
  <c r="AT130" i="609"/>
  <c r="AR130" i="609"/>
  <c r="H130" i="609" s="1"/>
  <c r="AQ130" i="609"/>
  <c r="G130" i="609" s="1"/>
  <c r="AP130" i="609"/>
  <c r="F130" i="609" s="1"/>
  <c r="AO130" i="609"/>
  <c r="E130" i="609" s="1"/>
  <c r="AI130" i="609"/>
  <c r="AT129" i="609"/>
  <c r="AR129" i="609"/>
  <c r="H129" i="609" s="1"/>
  <c r="AQ129" i="609"/>
  <c r="G129" i="609" s="1"/>
  <c r="AP129" i="609"/>
  <c r="F129" i="609" s="1"/>
  <c r="AO129" i="609"/>
  <c r="E129" i="609" s="1"/>
  <c r="AI129" i="609"/>
  <c r="AT128" i="609"/>
  <c r="AR128" i="609"/>
  <c r="H128" i="609" s="1"/>
  <c r="AQ128" i="609"/>
  <c r="G128" i="609" s="1"/>
  <c r="AP128" i="609"/>
  <c r="F128" i="609" s="1"/>
  <c r="AO128" i="609"/>
  <c r="E128" i="609" s="1"/>
  <c r="AI128" i="609"/>
  <c r="AT127" i="609"/>
  <c r="AR127" i="609"/>
  <c r="H127" i="609" s="1"/>
  <c r="AQ127" i="609"/>
  <c r="G127" i="609" s="1"/>
  <c r="AP127" i="609"/>
  <c r="F127" i="609" s="1"/>
  <c r="AO127" i="609"/>
  <c r="E127" i="609" s="1"/>
  <c r="AI127" i="609"/>
  <c r="AT126" i="609"/>
  <c r="AR126" i="609"/>
  <c r="H126" i="609" s="1"/>
  <c r="AQ126" i="609"/>
  <c r="G126" i="609" s="1"/>
  <c r="AP126" i="609"/>
  <c r="F126" i="609" s="1"/>
  <c r="AO126" i="609"/>
  <c r="E126" i="609" s="1"/>
  <c r="AN126" i="609"/>
  <c r="AN127" i="609" s="1"/>
  <c r="AI126" i="609"/>
  <c r="AH126" i="609"/>
  <c r="AG126" i="609"/>
  <c r="AT125" i="609"/>
  <c r="AR125" i="609"/>
  <c r="H125" i="609" s="1"/>
  <c r="AQ125" i="609"/>
  <c r="G125" i="609" s="1"/>
  <c r="AP125" i="609"/>
  <c r="F125" i="609" s="1"/>
  <c r="AO125" i="609"/>
  <c r="E125" i="609" s="1"/>
  <c r="AI125" i="609"/>
  <c r="AT124" i="609"/>
  <c r="AR124" i="609"/>
  <c r="H124" i="609" s="1"/>
  <c r="AQ124" i="609"/>
  <c r="G124" i="609" s="1"/>
  <c r="AP124" i="609"/>
  <c r="F124" i="609" s="1"/>
  <c r="AO124" i="609"/>
  <c r="E124" i="609" s="1"/>
  <c r="AI124" i="609"/>
  <c r="AT123" i="609"/>
  <c r="AR123" i="609"/>
  <c r="H123" i="609" s="1"/>
  <c r="AQ123" i="609"/>
  <c r="G123" i="609" s="1"/>
  <c r="AP123" i="609"/>
  <c r="F123" i="609" s="1"/>
  <c r="AO123" i="609"/>
  <c r="E123" i="609" s="1"/>
  <c r="AI123" i="609"/>
  <c r="AT122" i="609"/>
  <c r="AR122" i="609"/>
  <c r="H122" i="609" s="1"/>
  <c r="AQ122" i="609"/>
  <c r="G122" i="609" s="1"/>
  <c r="AP122" i="609"/>
  <c r="F122" i="609" s="1"/>
  <c r="AO122" i="609"/>
  <c r="E122" i="609" s="1"/>
  <c r="AI122" i="609"/>
  <c r="AT121" i="609"/>
  <c r="AR121" i="609"/>
  <c r="H121" i="609" s="1"/>
  <c r="AQ121" i="609"/>
  <c r="G121" i="609" s="1"/>
  <c r="AP121" i="609"/>
  <c r="F121" i="609" s="1"/>
  <c r="AO121" i="609"/>
  <c r="E121" i="609" s="1"/>
  <c r="AI121" i="609"/>
  <c r="AT120" i="609"/>
  <c r="AR120" i="609"/>
  <c r="H120" i="609" s="1"/>
  <c r="AQ120" i="609"/>
  <c r="G120" i="609" s="1"/>
  <c r="AP120" i="609"/>
  <c r="F120" i="609" s="1"/>
  <c r="AO120" i="609"/>
  <c r="E120" i="609" s="1"/>
  <c r="AI120" i="609"/>
  <c r="AT119" i="609"/>
  <c r="AR119" i="609"/>
  <c r="H119" i="609" s="1"/>
  <c r="AQ119" i="609"/>
  <c r="G119" i="609" s="1"/>
  <c r="AP119" i="609"/>
  <c r="F119" i="609" s="1"/>
  <c r="AO119" i="609"/>
  <c r="E119" i="609" s="1"/>
  <c r="AN119" i="609"/>
  <c r="AN120" i="609" s="1"/>
  <c r="AN121" i="609" s="1"/>
  <c r="AI119" i="609"/>
  <c r="AH119" i="609"/>
  <c r="AG119" i="609"/>
  <c r="AT118" i="609"/>
  <c r="AR118" i="609"/>
  <c r="H118" i="609" s="1"/>
  <c r="AQ118" i="609"/>
  <c r="G118" i="609" s="1"/>
  <c r="AP118" i="609"/>
  <c r="F118" i="609" s="1"/>
  <c r="AO118" i="609"/>
  <c r="E118" i="609" s="1"/>
  <c r="AI118" i="609"/>
  <c r="AT117" i="609"/>
  <c r="AR117" i="609"/>
  <c r="H117" i="609" s="1"/>
  <c r="AQ117" i="609"/>
  <c r="G117" i="609" s="1"/>
  <c r="AP117" i="609"/>
  <c r="F117" i="609" s="1"/>
  <c r="AO117" i="609"/>
  <c r="E117" i="609" s="1"/>
  <c r="AI117" i="609"/>
  <c r="AT116" i="609"/>
  <c r="AR116" i="609"/>
  <c r="H116" i="609" s="1"/>
  <c r="AQ116" i="609"/>
  <c r="G116" i="609" s="1"/>
  <c r="AP116" i="609"/>
  <c r="F116" i="609" s="1"/>
  <c r="AO116" i="609"/>
  <c r="E116" i="609" s="1"/>
  <c r="AI116" i="609"/>
  <c r="AT115" i="609"/>
  <c r="AR115" i="609"/>
  <c r="H115" i="609" s="1"/>
  <c r="AQ115" i="609"/>
  <c r="G115" i="609" s="1"/>
  <c r="AP115" i="609"/>
  <c r="F115" i="609" s="1"/>
  <c r="AO115" i="609"/>
  <c r="E115" i="609" s="1"/>
  <c r="AI115" i="609"/>
  <c r="AT114" i="609"/>
  <c r="AR114" i="609"/>
  <c r="H114" i="609" s="1"/>
  <c r="AQ114" i="609"/>
  <c r="G114" i="609" s="1"/>
  <c r="AP114" i="609"/>
  <c r="F114" i="609" s="1"/>
  <c r="AO114" i="609"/>
  <c r="E114" i="609" s="1"/>
  <c r="AI114" i="609"/>
  <c r="AT113" i="609"/>
  <c r="AR113" i="609"/>
  <c r="H113" i="609" s="1"/>
  <c r="AQ113" i="609"/>
  <c r="G113" i="609" s="1"/>
  <c r="AP113" i="609"/>
  <c r="F113" i="609" s="1"/>
  <c r="AO113" i="609"/>
  <c r="E113" i="609" s="1"/>
  <c r="AI113" i="609"/>
  <c r="AT112" i="609"/>
  <c r="AR112" i="609"/>
  <c r="H112" i="609" s="1"/>
  <c r="AQ112" i="609"/>
  <c r="G112" i="609" s="1"/>
  <c r="AP112" i="609"/>
  <c r="F112" i="609" s="1"/>
  <c r="AO112" i="609"/>
  <c r="E112" i="609" s="1"/>
  <c r="AN112" i="609"/>
  <c r="AN113" i="609" s="1"/>
  <c r="AI112" i="609"/>
  <c r="AH112" i="609"/>
  <c r="AG112" i="609"/>
  <c r="AJ112" i="609" s="1"/>
  <c r="AT111" i="609"/>
  <c r="AR111" i="609"/>
  <c r="H111" i="609" s="1"/>
  <c r="AQ111" i="609"/>
  <c r="G111" i="609" s="1"/>
  <c r="AP111" i="609"/>
  <c r="F111" i="609" s="1"/>
  <c r="AO111" i="609"/>
  <c r="E111" i="609" s="1"/>
  <c r="AI111" i="609"/>
  <c r="AT110" i="609"/>
  <c r="AR110" i="609"/>
  <c r="H110" i="609" s="1"/>
  <c r="AQ110" i="609"/>
  <c r="G110" i="609" s="1"/>
  <c r="AP110" i="609"/>
  <c r="F110" i="609" s="1"/>
  <c r="AO110" i="609"/>
  <c r="E110" i="609" s="1"/>
  <c r="AI110" i="609"/>
  <c r="AT109" i="609"/>
  <c r="AR109" i="609"/>
  <c r="H109" i="609" s="1"/>
  <c r="AQ109" i="609"/>
  <c r="G109" i="609" s="1"/>
  <c r="AP109" i="609"/>
  <c r="F109" i="609" s="1"/>
  <c r="AO109" i="609"/>
  <c r="E109" i="609" s="1"/>
  <c r="AI109" i="609"/>
  <c r="AT108" i="609"/>
  <c r="AR108" i="609"/>
  <c r="H108" i="609" s="1"/>
  <c r="AQ108" i="609"/>
  <c r="G108" i="609" s="1"/>
  <c r="AP108" i="609"/>
  <c r="F108" i="609" s="1"/>
  <c r="AO108" i="609"/>
  <c r="E108" i="609" s="1"/>
  <c r="AI108" i="609"/>
  <c r="AT107" i="609"/>
  <c r="AR107" i="609"/>
  <c r="H107" i="609" s="1"/>
  <c r="AQ107" i="609"/>
  <c r="G107" i="609" s="1"/>
  <c r="AP107" i="609"/>
  <c r="F107" i="609" s="1"/>
  <c r="AO107" i="609"/>
  <c r="E107" i="609" s="1"/>
  <c r="AI107" i="609"/>
  <c r="AT106" i="609"/>
  <c r="AR106" i="609"/>
  <c r="H106" i="609" s="1"/>
  <c r="AQ106" i="609"/>
  <c r="G106" i="609" s="1"/>
  <c r="AP106" i="609"/>
  <c r="F106" i="609" s="1"/>
  <c r="AO106" i="609"/>
  <c r="E106" i="609" s="1"/>
  <c r="AI106" i="609"/>
  <c r="AT105" i="609"/>
  <c r="AR105" i="609"/>
  <c r="H105" i="609" s="1"/>
  <c r="AQ105" i="609"/>
  <c r="G105" i="609" s="1"/>
  <c r="AP105" i="609"/>
  <c r="F105" i="609" s="1"/>
  <c r="AO105" i="609"/>
  <c r="E105" i="609" s="1"/>
  <c r="AN105" i="609"/>
  <c r="AN106" i="609" s="1"/>
  <c r="AN107" i="609" s="1"/>
  <c r="D107" i="609" s="1"/>
  <c r="AI105" i="609"/>
  <c r="AH105" i="609"/>
  <c r="AG105" i="609"/>
  <c r="AJ105" i="609" s="1"/>
  <c r="AT104" i="609"/>
  <c r="AR104" i="609"/>
  <c r="H104" i="609" s="1"/>
  <c r="AQ104" i="609"/>
  <c r="G104" i="609" s="1"/>
  <c r="AP104" i="609"/>
  <c r="F104" i="609" s="1"/>
  <c r="AO104" i="609"/>
  <c r="E104" i="609" s="1"/>
  <c r="AI104" i="609"/>
  <c r="AT103" i="609"/>
  <c r="AR103" i="609"/>
  <c r="H103" i="609" s="1"/>
  <c r="AQ103" i="609"/>
  <c r="G103" i="609" s="1"/>
  <c r="AP103" i="609"/>
  <c r="F103" i="609" s="1"/>
  <c r="AO103" i="609"/>
  <c r="E103" i="609" s="1"/>
  <c r="AI103" i="609"/>
  <c r="AT102" i="609"/>
  <c r="AR102" i="609"/>
  <c r="H102" i="609" s="1"/>
  <c r="AQ102" i="609"/>
  <c r="G102" i="609" s="1"/>
  <c r="AP102" i="609"/>
  <c r="F102" i="609" s="1"/>
  <c r="AO102" i="609"/>
  <c r="E102" i="609" s="1"/>
  <c r="AI102" i="609"/>
  <c r="AT101" i="609"/>
  <c r="AR101" i="609"/>
  <c r="H101" i="609" s="1"/>
  <c r="AQ101" i="609"/>
  <c r="G101" i="609" s="1"/>
  <c r="AP101" i="609"/>
  <c r="F101" i="609" s="1"/>
  <c r="AO101" i="609"/>
  <c r="E101" i="609" s="1"/>
  <c r="AI101" i="609"/>
  <c r="AT100" i="609"/>
  <c r="AR100" i="609"/>
  <c r="H100" i="609" s="1"/>
  <c r="AQ100" i="609"/>
  <c r="G100" i="609" s="1"/>
  <c r="AP100" i="609"/>
  <c r="F100" i="609" s="1"/>
  <c r="AO100" i="609"/>
  <c r="E100" i="609" s="1"/>
  <c r="AI100" i="609"/>
  <c r="AT99" i="609"/>
  <c r="AR99" i="609"/>
  <c r="H99" i="609" s="1"/>
  <c r="AQ99" i="609"/>
  <c r="G99" i="609" s="1"/>
  <c r="AP99" i="609"/>
  <c r="F99" i="609" s="1"/>
  <c r="AO99" i="609"/>
  <c r="E99" i="609" s="1"/>
  <c r="AI99" i="609"/>
  <c r="AT98" i="609"/>
  <c r="AR98" i="609"/>
  <c r="H98" i="609" s="1"/>
  <c r="AQ98" i="609"/>
  <c r="G98" i="609" s="1"/>
  <c r="AP98" i="609"/>
  <c r="F98" i="609" s="1"/>
  <c r="AO98" i="609"/>
  <c r="E98" i="609" s="1"/>
  <c r="AN98" i="609"/>
  <c r="AN99" i="609" s="1"/>
  <c r="AN100" i="609" s="1"/>
  <c r="AI98" i="609"/>
  <c r="AH98" i="609"/>
  <c r="AG98" i="609"/>
  <c r="AT97" i="609"/>
  <c r="AR97" i="609"/>
  <c r="H97" i="609" s="1"/>
  <c r="AQ97" i="609"/>
  <c r="G97" i="609" s="1"/>
  <c r="AP97" i="609"/>
  <c r="F97" i="609" s="1"/>
  <c r="AO97" i="609"/>
  <c r="E97" i="609" s="1"/>
  <c r="AI97" i="609"/>
  <c r="AT96" i="609"/>
  <c r="AR96" i="609"/>
  <c r="H96" i="609" s="1"/>
  <c r="AQ96" i="609"/>
  <c r="G96" i="609" s="1"/>
  <c r="AP96" i="609"/>
  <c r="F96" i="609" s="1"/>
  <c r="AO96" i="609"/>
  <c r="E96" i="609" s="1"/>
  <c r="AI96" i="609"/>
  <c r="AT95" i="609"/>
  <c r="AR95" i="609"/>
  <c r="H95" i="609" s="1"/>
  <c r="AQ95" i="609"/>
  <c r="G95" i="609" s="1"/>
  <c r="AP95" i="609"/>
  <c r="F95" i="609" s="1"/>
  <c r="AO95" i="609"/>
  <c r="E95" i="609" s="1"/>
  <c r="AI95" i="609"/>
  <c r="AT94" i="609"/>
  <c r="AR94" i="609"/>
  <c r="H94" i="609" s="1"/>
  <c r="AQ94" i="609"/>
  <c r="G94" i="609" s="1"/>
  <c r="AP94" i="609"/>
  <c r="F94" i="609" s="1"/>
  <c r="AO94" i="609"/>
  <c r="E94" i="609" s="1"/>
  <c r="AI94" i="609"/>
  <c r="AT93" i="609"/>
  <c r="AR93" i="609"/>
  <c r="H93" i="609" s="1"/>
  <c r="AQ93" i="609"/>
  <c r="G93" i="609" s="1"/>
  <c r="AP93" i="609"/>
  <c r="F93" i="609" s="1"/>
  <c r="AO93" i="609"/>
  <c r="E93" i="609" s="1"/>
  <c r="AI93" i="609"/>
  <c r="AT92" i="609"/>
  <c r="AR92" i="609"/>
  <c r="H92" i="609" s="1"/>
  <c r="AQ92" i="609"/>
  <c r="G92" i="609" s="1"/>
  <c r="AP92" i="609"/>
  <c r="F92" i="609" s="1"/>
  <c r="AO92" i="609"/>
  <c r="E92" i="609" s="1"/>
  <c r="AI92" i="609"/>
  <c r="AT91" i="609"/>
  <c r="AR91" i="609"/>
  <c r="H91" i="609" s="1"/>
  <c r="AQ91" i="609"/>
  <c r="G91" i="609" s="1"/>
  <c r="AP91" i="609"/>
  <c r="F91" i="609" s="1"/>
  <c r="AO91" i="609"/>
  <c r="E91" i="609" s="1"/>
  <c r="AN91" i="609"/>
  <c r="D91" i="609" s="1"/>
  <c r="AI91" i="609"/>
  <c r="AH91" i="609"/>
  <c r="AG91" i="609"/>
  <c r="AT90" i="609"/>
  <c r="AR90" i="609"/>
  <c r="H90" i="609" s="1"/>
  <c r="AQ90" i="609"/>
  <c r="G90" i="609" s="1"/>
  <c r="AP90" i="609"/>
  <c r="F90" i="609" s="1"/>
  <c r="AO90" i="609"/>
  <c r="E90" i="609" s="1"/>
  <c r="AI90" i="609"/>
  <c r="AT89" i="609"/>
  <c r="AR89" i="609"/>
  <c r="H89" i="609" s="1"/>
  <c r="AQ89" i="609"/>
  <c r="G89" i="609" s="1"/>
  <c r="AP89" i="609"/>
  <c r="F89" i="609" s="1"/>
  <c r="AO89" i="609"/>
  <c r="E89" i="609" s="1"/>
  <c r="AI89" i="609"/>
  <c r="AT88" i="609"/>
  <c r="AR88" i="609"/>
  <c r="H88" i="609" s="1"/>
  <c r="AQ88" i="609"/>
  <c r="G88" i="609" s="1"/>
  <c r="AP88" i="609"/>
  <c r="F88" i="609" s="1"/>
  <c r="AO88" i="609"/>
  <c r="E88" i="609" s="1"/>
  <c r="AI88" i="609"/>
  <c r="AT87" i="609"/>
  <c r="AR87" i="609"/>
  <c r="H87" i="609" s="1"/>
  <c r="AQ87" i="609"/>
  <c r="G87" i="609" s="1"/>
  <c r="AP87" i="609"/>
  <c r="F87" i="609" s="1"/>
  <c r="AO87" i="609"/>
  <c r="E87" i="609" s="1"/>
  <c r="AI87" i="609"/>
  <c r="AT86" i="609"/>
  <c r="AR86" i="609"/>
  <c r="H86" i="609" s="1"/>
  <c r="AQ86" i="609"/>
  <c r="G86" i="609" s="1"/>
  <c r="AP86" i="609"/>
  <c r="F86" i="609" s="1"/>
  <c r="AO86" i="609"/>
  <c r="E86" i="609" s="1"/>
  <c r="AI86" i="609"/>
  <c r="AT85" i="609"/>
  <c r="AR85" i="609"/>
  <c r="H85" i="609" s="1"/>
  <c r="AQ85" i="609"/>
  <c r="G85" i="609" s="1"/>
  <c r="AP85" i="609"/>
  <c r="F85" i="609" s="1"/>
  <c r="AO85" i="609"/>
  <c r="E85" i="609" s="1"/>
  <c r="AI85" i="609"/>
  <c r="AT84" i="609"/>
  <c r="AR84" i="609"/>
  <c r="H84" i="609" s="1"/>
  <c r="AQ84" i="609"/>
  <c r="G84" i="609" s="1"/>
  <c r="AP84" i="609"/>
  <c r="F84" i="609" s="1"/>
  <c r="AO84" i="609"/>
  <c r="E84" i="609" s="1"/>
  <c r="AN84" i="609"/>
  <c r="AI84" i="609"/>
  <c r="AH84" i="609"/>
  <c r="AG84" i="609"/>
  <c r="AJ84" i="609" s="1"/>
  <c r="AT83" i="609"/>
  <c r="AR83" i="609"/>
  <c r="H83" i="609" s="1"/>
  <c r="AQ83" i="609"/>
  <c r="G83" i="609" s="1"/>
  <c r="AP83" i="609"/>
  <c r="F83" i="609" s="1"/>
  <c r="AO83" i="609"/>
  <c r="E83" i="609" s="1"/>
  <c r="AI83" i="609"/>
  <c r="AH83" i="609"/>
  <c r="AG83" i="609"/>
  <c r="AT82" i="609"/>
  <c r="AR82" i="609"/>
  <c r="H82" i="609" s="1"/>
  <c r="AQ82" i="609"/>
  <c r="G82" i="609" s="1"/>
  <c r="AP82" i="609"/>
  <c r="F82" i="609" s="1"/>
  <c r="AO82" i="609"/>
  <c r="E82" i="609" s="1"/>
  <c r="AI82" i="609"/>
  <c r="AH82" i="609"/>
  <c r="AG82" i="609"/>
  <c r="AT81" i="609"/>
  <c r="AR81" i="609"/>
  <c r="H81" i="609" s="1"/>
  <c r="AQ81" i="609"/>
  <c r="G81" i="609" s="1"/>
  <c r="AP81" i="609"/>
  <c r="F81" i="609" s="1"/>
  <c r="AO81" i="609"/>
  <c r="E81" i="609" s="1"/>
  <c r="AI81" i="609"/>
  <c r="AH81" i="609"/>
  <c r="AG81" i="609"/>
  <c r="AT80" i="609"/>
  <c r="AR80" i="609"/>
  <c r="H80" i="609" s="1"/>
  <c r="AQ80" i="609"/>
  <c r="G80" i="609" s="1"/>
  <c r="AP80" i="609"/>
  <c r="F80" i="609" s="1"/>
  <c r="AO80" i="609"/>
  <c r="E80" i="609" s="1"/>
  <c r="AI80" i="609"/>
  <c r="AH80" i="609"/>
  <c r="AG80" i="609"/>
  <c r="AJ80" i="609" s="1"/>
  <c r="AT79" i="609"/>
  <c r="AR79" i="609"/>
  <c r="H79" i="609" s="1"/>
  <c r="AQ79" i="609"/>
  <c r="G79" i="609" s="1"/>
  <c r="AP79" i="609"/>
  <c r="F79" i="609" s="1"/>
  <c r="AO79" i="609"/>
  <c r="E79" i="609" s="1"/>
  <c r="AI79" i="609"/>
  <c r="AH79" i="609"/>
  <c r="AG79" i="609"/>
  <c r="AJ79" i="609" s="1"/>
  <c r="AT78" i="609"/>
  <c r="AR78" i="609"/>
  <c r="H78" i="609" s="1"/>
  <c r="AQ78" i="609"/>
  <c r="G78" i="609" s="1"/>
  <c r="AP78" i="609"/>
  <c r="F78" i="609" s="1"/>
  <c r="AO78" i="609"/>
  <c r="E78" i="609" s="1"/>
  <c r="AI78" i="609"/>
  <c r="AH78" i="609"/>
  <c r="AG78" i="609"/>
  <c r="AT77" i="609"/>
  <c r="AR77" i="609"/>
  <c r="H77" i="609" s="1"/>
  <c r="AQ77" i="609"/>
  <c r="G77" i="609" s="1"/>
  <c r="AP77" i="609"/>
  <c r="F77" i="609" s="1"/>
  <c r="AO77" i="609"/>
  <c r="E77" i="609" s="1"/>
  <c r="AN77" i="609"/>
  <c r="AN78" i="609" s="1"/>
  <c r="AI77" i="609"/>
  <c r="AH77" i="609"/>
  <c r="AG77" i="609"/>
  <c r="AJ77" i="609" s="1"/>
  <c r="AT76" i="609"/>
  <c r="AR76" i="609"/>
  <c r="H76" i="609" s="1"/>
  <c r="AQ76" i="609"/>
  <c r="G76" i="609" s="1"/>
  <c r="AP76" i="609"/>
  <c r="F76" i="609" s="1"/>
  <c r="AO76" i="609"/>
  <c r="E76" i="609" s="1"/>
  <c r="AI76" i="609"/>
  <c r="AT75" i="609"/>
  <c r="AR75" i="609"/>
  <c r="H75" i="609" s="1"/>
  <c r="AQ75" i="609"/>
  <c r="G75" i="609" s="1"/>
  <c r="AP75" i="609"/>
  <c r="F75" i="609" s="1"/>
  <c r="AO75" i="609"/>
  <c r="E75" i="609" s="1"/>
  <c r="AI75" i="609"/>
  <c r="AT74" i="609"/>
  <c r="AR74" i="609"/>
  <c r="H74" i="609" s="1"/>
  <c r="AQ74" i="609"/>
  <c r="G74" i="609" s="1"/>
  <c r="AP74" i="609"/>
  <c r="F74" i="609" s="1"/>
  <c r="AO74" i="609"/>
  <c r="E74" i="609" s="1"/>
  <c r="AI74" i="609"/>
  <c r="AT73" i="609"/>
  <c r="AR73" i="609"/>
  <c r="H73" i="609" s="1"/>
  <c r="AQ73" i="609"/>
  <c r="G73" i="609" s="1"/>
  <c r="AP73" i="609"/>
  <c r="F73" i="609" s="1"/>
  <c r="AO73" i="609"/>
  <c r="E73" i="609" s="1"/>
  <c r="AI73" i="609"/>
  <c r="AT72" i="609"/>
  <c r="AR72" i="609"/>
  <c r="H72" i="609" s="1"/>
  <c r="AQ72" i="609"/>
  <c r="G72" i="609" s="1"/>
  <c r="AP72" i="609"/>
  <c r="F72" i="609" s="1"/>
  <c r="AO72" i="609"/>
  <c r="E72" i="609" s="1"/>
  <c r="AI72" i="609"/>
  <c r="AT71" i="609"/>
  <c r="AR71" i="609"/>
  <c r="H71" i="609" s="1"/>
  <c r="AQ71" i="609"/>
  <c r="G71" i="609" s="1"/>
  <c r="AP71" i="609"/>
  <c r="F71" i="609" s="1"/>
  <c r="AO71" i="609"/>
  <c r="E71" i="609" s="1"/>
  <c r="AI71" i="609"/>
  <c r="AT70" i="609"/>
  <c r="AR70" i="609"/>
  <c r="H70" i="609" s="1"/>
  <c r="AQ70" i="609"/>
  <c r="G70" i="609" s="1"/>
  <c r="AP70" i="609"/>
  <c r="F70" i="609" s="1"/>
  <c r="AO70" i="609"/>
  <c r="E70" i="609" s="1"/>
  <c r="AN70" i="609"/>
  <c r="AI70" i="609"/>
  <c r="AH70" i="609"/>
  <c r="AG70" i="609"/>
  <c r="AJ70" i="609" s="1"/>
  <c r="AT69" i="609"/>
  <c r="AR69" i="609"/>
  <c r="H69" i="609" s="1"/>
  <c r="AQ69" i="609"/>
  <c r="G69" i="609" s="1"/>
  <c r="AP69" i="609"/>
  <c r="F69" i="609" s="1"/>
  <c r="AO69" i="609"/>
  <c r="E69" i="609" s="1"/>
  <c r="AI69" i="609"/>
  <c r="AT68" i="609"/>
  <c r="AR68" i="609"/>
  <c r="H68" i="609" s="1"/>
  <c r="AQ68" i="609"/>
  <c r="G68" i="609" s="1"/>
  <c r="AP68" i="609"/>
  <c r="F68" i="609" s="1"/>
  <c r="AO68" i="609"/>
  <c r="E68" i="609" s="1"/>
  <c r="AI68" i="609"/>
  <c r="AT67" i="609"/>
  <c r="AR67" i="609"/>
  <c r="H67" i="609" s="1"/>
  <c r="AQ67" i="609"/>
  <c r="G67" i="609" s="1"/>
  <c r="AP67" i="609"/>
  <c r="F67" i="609" s="1"/>
  <c r="AO67" i="609"/>
  <c r="E67" i="609" s="1"/>
  <c r="AI67" i="609"/>
  <c r="AT66" i="609"/>
  <c r="AR66" i="609"/>
  <c r="H66" i="609" s="1"/>
  <c r="AQ66" i="609"/>
  <c r="G66" i="609" s="1"/>
  <c r="AP66" i="609"/>
  <c r="F66" i="609" s="1"/>
  <c r="AO66" i="609"/>
  <c r="E66" i="609" s="1"/>
  <c r="AI66" i="609"/>
  <c r="AT65" i="609"/>
  <c r="AR65" i="609"/>
  <c r="H65" i="609" s="1"/>
  <c r="AQ65" i="609"/>
  <c r="G65" i="609" s="1"/>
  <c r="AP65" i="609"/>
  <c r="F65" i="609" s="1"/>
  <c r="AO65" i="609"/>
  <c r="E65" i="609" s="1"/>
  <c r="AI65" i="609"/>
  <c r="AT64" i="609"/>
  <c r="AR64" i="609"/>
  <c r="H64" i="609" s="1"/>
  <c r="AQ64" i="609"/>
  <c r="G64" i="609" s="1"/>
  <c r="AP64" i="609"/>
  <c r="F64" i="609" s="1"/>
  <c r="AO64" i="609"/>
  <c r="E64" i="609" s="1"/>
  <c r="AI64" i="609"/>
  <c r="AT63" i="609"/>
  <c r="AR63" i="609"/>
  <c r="H63" i="609" s="1"/>
  <c r="AQ63" i="609"/>
  <c r="G63" i="609" s="1"/>
  <c r="AP63" i="609"/>
  <c r="F63" i="609" s="1"/>
  <c r="AO63" i="609"/>
  <c r="E63" i="609" s="1"/>
  <c r="AN63" i="609"/>
  <c r="AN64" i="609" s="1"/>
  <c r="AI63" i="609"/>
  <c r="AH63" i="609"/>
  <c r="AG63" i="609"/>
  <c r="AT62" i="609"/>
  <c r="AR62" i="609"/>
  <c r="H62" i="609" s="1"/>
  <c r="AQ62" i="609"/>
  <c r="G62" i="609" s="1"/>
  <c r="AP62" i="609"/>
  <c r="F62" i="609" s="1"/>
  <c r="AO62" i="609"/>
  <c r="E62" i="609" s="1"/>
  <c r="AI62" i="609"/>
  <c r="AT61" i="609"/>
  <c r="AR61" i="609"/>
  <c r="H61" i="609" s="1"/>
  <c r="AQ61" i="609"/>
  <c r="G61" i="609" s="1"/>
  <c r="AP61" i="609"/>
  <c r="F61" i="609" s="1"/>
  <c r="AO61" i="609"/>
  <c r="E61" i="609" s="1"/>
  <c r="AI61" i="609"/>
  <c r="AT60" i="609"/>
  <c r="AR60" i="609"/>
  <c r="H60" i="609" s="1"/>
  <c r="AQ60" i="609"/>
  <c r="G60" i="609" s="1"/>
  <c r="AP60" i="609"/>
  <c r="F60" i="609" s="1"/>
  <c r="AO60" i="609"/>
  <c r="E60" i="609" s="1"/>
  <c r="AI60" i="609"/>
  <c r="AT59" i="609"/>
  <c r="AR59" i="609"/>
  <c r="H59" i="609" s="1"/>
  <c r="AQ59" i="609"/>
  <c r="G59" i="609" s="1"/>
  <c r="AP59" i="609"/>
  <c r="F59" i="609" s="1"/>
  <c r="AO59" i="609"/>
  <c r="E59" i="609" s="1"/>
  <c r="AI59" i="609"/>
  <c r="AT58" i="609"/>
  <c r="AR58" i="609"/>
  <c r="H58" i="609" s="1"/>
  <c r="AQ58" i="609"/>
  <c r="G58" i="609" s="1"/>
  <c r="AP58" i="609"/>
  <c r="F58" i="609" s="1"/>
  <c r="AO58" i="609"/>
  <c r="E58" i="609" s="1"/>
  <c r="AI58" i="609"/>
  <c r="AT57" i="609"/>
  <c r="AR57" i="609"/>
  <c r="H57" i="609" s="1"/>
  <c r="AQ57" i="609"/>
  <c r="G57" i="609" s="1"/>
  <c r="AP57" i="609"/>
  <c r="F57" i="609" s="1"/>
  <c r="AO57" i="609"/>
  <c r="E57" i="609" s="1"/>
  <c r="AI57" i="609"/>
  <c r="AT56" i="609"/>
  <c r="AR56" i="609"/>
  <c r="H56" i="609" s="1"/>
  <c r="AQ56" i="609"/>
  <c r="G56" i="609" s="1"/>
  <c r="AP56" i="609"/>
  <c r="F56" i="609" s="1"/>
  <c r="AO56" i="609"/>
  <c r="E56" i="609" s="1"/>
  <c r="AN56" i="609"/>
  <c r="D56" i="609" s="1"/>
  <c r="AI56" i="609"/>
  <c r="AH56" i="609"/>
  <c r="AG56" i="609"/>
  <c r="AT55" i="609"/>
  <c r="AR55" i="609"/>
  <c r="H55" i="609" s="1"/>
  <c r="AQ55" i="609"/>
  <c r="G55" i="609" s="1"/>
  <c r="AP55" i="609"/>
  <c r="F55" i="609" s="1"/>
  <c r="AO55" i="609"/>
  <c r="E55" i="609" s="1"/>
  <c r="AI55" i="609"/>
  <c r="AT54" i="609"/>
  <c r="AR54" i="609"/>
  <c r="H54" i="609" s="1"/>
  <c r="AQ54" i="609"/>
  <c r="G54" i="609" s="1"/>
  <c r="AP54" i="609"/>
  <c r="F54" i="609" s="1"/>
  <c r="AO54" i="609"/>
  <c r="E54" i="609" s="1"/>
  <c r="AI54" i="609"/>
  <c r="AT53" i="609"/>
  <c r="AR53" i="609"/>
  <c r="H53" i="609" s="1"/>
  <c r="AQ53" i="609"/>
  <c r="G53" i="609" s="1"/>
  <c r="AP53" i="609"/>
  <c r="F53" i="609" s="1"/>
  <c r="AO53" i="609"/>
  <c r="E53" i="609" s="1"/>
  <c r="AI53" i="609"/>
  <c r="AT52" i="609"/>
  <c r="AR52" i="609"/>
  <c r="H52" i="609" s="1"/>
  <c r="AQ52" i="609"/>
  <c r="G52" i="609" s="1"/>
  <c r="AP52" i="609"/>
  <c r="F52" i="609" s="1"/>
  <c r="AO52" i="609"/>
  <c r="E52" i="609" s="1"/>
  <c r="AI52" i="609"/>
  <c r="AT51" i="609"/>
  <c r="AR51" i="609"/>
  <c r="H51" i="609" s="1"/>
  <c r="AQ51" i="609"/>
  <c r="G51" i="609" s="1"/>
  <c r="AP51" i="609"/>
  <c r="F51" i="609" s="1"/>
  <c r="AO51" i="609"/>
  <c r="E51" i="609" s="1"/>
  <c r="AI51" i="609"/>
  <c r="AT50" i="609"/>
  <c r="AR50" i="609"/>
  <c r="H50" i="609" s="1"/>
  <c r="AQ50" i="609"/>
  <c r="G50" i="609" s="1"/>
  <c r="AP50" i="609"/>
  <c r="F50" i="609" s="1"/>
  <c r="AO50" i="609"/>
  <c r="E50" i="609" s="1"/>
  <c r="AI50" i="609"/>
  <c r="AT49" i="609"/>
  <c r="AR49" i="609"/>
  <c r="H49" i="609" s="1"/>
  <c r="AQ49" i="609"/>
  <c r="G49" i="609" s="1"/>
  <c r="AP49" i="609"/>
  <c r="F49" i="609" s="1"/>
  <c r="AO49" i="609"/>
  <c r="E49" i="609" s="1"/>
  <c r="AN49" i="609"/>
  <c r="D49" i="609" s="1"/>
  <c r="AI49" i="609"/>
  <c r="AH49" i="609"/>
  <c r="AG49" i="609"/>
  <c r="AJ49" i="609" s="1"/>
  <c r="AT48" i="609"/>
  <c r="AR48" i="609"/>
  <c r="H48" i="609" s="1"/>
  <c r="AQ48" i="609"/>
  <c r="G48" i="609" s="1"/>
  <c r="AP48" i="609"/>
  <c r="F48" i="609" s="1"/>
  <c r="AO48" i="609"/>
  <c r="E48" i="609" s="1"/>
  <c r="AI48" i="609"/>
  <c r="AT47" i="609"/>
  <c r="AR47" i="609"/>
  <c r="H47" i="609" s="1"/>
  <c r="AQ47" i="609"/>
  <c r="G47" i="609" s="1"/>
  <c r="AP47" i="609"/>
  <c r="F47" i="609" s="1"/>
  <c r="AO47" i="609"/>
  <c r="E47" i="609" s="1"/>
  <c r="AI47" i="609"/>
  <c r="AT46" i="609"/>
  <c r="AR46" i="609"/>
  <c r="H46" i="609" s="1"/>
  <c r="AQ46" i="609"/>
  <c r="G46" i="609" s="1"/>
  <c r="AP46" i="609"/>
  <c r="F46" i="609" s="1"/>
  <c r="AO46" i="609"/>
  <c r="E46" i="609" s="1"/>
  <c r="AI46" i="609"/>
  <c r="AT45" i="609"/>
  <c r="AR45" i="609"/>
  <c r="H45" i="609" s="1"/>
  <c r="AQ45" i="609"/>
  <c r="G45" i="609" s="1"/>
  <c r="AP45" i="609"/>
  <c r="F45" i="609" s="1"/>
  <c r="AO45" i="609"/>
  <c r="E45" i="609" s="1"/>
  <c r="AI45" i="609"/>
  <c r="AT44" i="609"/>
  <c r="AR44" i="609"/>
  <c r="H44" i="609" s="1"/>
  <c r="AQ44" i="609"/>
  <c r="G44" i="609" s="1"/>
  <c r="AP44" i="609"/>
  <c r="F44" i="609" s="1"/>
  <c r="AO44" i="609"/>
  <c r="E44" i="609" s="1"/>
  <c r="AI44" i="609"/>
  <c r="AT43" i="609"/>
  <c r="AR43" i="609"/>
  <c r="H43" i="609" s="1"/>
  <c r="AQ43" i="609"/>
  <c r="G43" i="609" s="1"/>
  <c r="AP43" i="609"/>
  <c r="F43" i="609" s="1"/>
  <c r="AO43" i="609"/>
  <c r="E43" i="609" s="1"/>
  <c r="AI43" i="609"/>
  <c r="AT42" i="609"/>
  <c r="AR42" i="609"/>
  <c r="H42" i="609" s="1"/>
  <c r="AQ42" i="609"/>
  <c r="G42" i="609" s="1"/>
  <c r="AP42" i="609"/>
  <c r="F42" i="609" s="1"/>
  <c r="AO42" i="609"/>
  <c r="E42" i="609" s="1"/>
  <c r="AN42" i="609"/>
  <c r="AN43" i="609" s="1"/>
  <c r="AI42" i="609"/>
  <c r="AH42" i="609"/>
  <c r="AG42" i="609"/>
  <c r="AK42" i="609" s="1"/>
  <c r="AT41" i="609"/>
  <c r="AR41" i="609"/>
  <c r="H41" i="609" s="1"/>
  <c r="AQ41" i="609"/>
  <c r="G41" i="609" s="1"/>
  <c r="AP41" i="609"/>
  <c r="F41" i="609" s="1"/>
  <c r="AO41" i="609"/>
  <c r="E41" i="609" s="1"/>
  <c r="AI41" i="609"/>
  <c r="AT40" i="609"/>
  <c r="AR40" i="609"/>
  <c r="H40" i="609" s="1"/>
  <c r="AQ40" i="609"/>
  <c r="G40" i="609" s="1"/>
  <c r="AP40" i="609"/>
  <c r="F40" i="609" s="1"/>
  <c r="AO40" i="609"/>
  <c r="E40" i="609" s="1"/>
  <c r="AI40" i="609"/>
  <c r="AT39" i="609"/>
  <c r="AR39" i="609"/>
  <c r="H39" i="609" s="1"/>
  <c r="AQ39" i="609"/>
  <c r="G39" i="609" s="1"/>
  <c r="AP39" i="609"/>
  <c r="F39" i="609" s="1"/>
  <c r="AO39" i="609"/>
  <c r="E39" i="609" s="1"/>
  <c r="AI39" i="609"/>
  <c r="AT38" i="609"/>
  <c r="AR38" i="609"/>
  <c r="H38" i="609" s="1"/>
  <c r="AQ38" i="609"/>
  <c r="G38" i="609" s="1"/>
  <c r="AP38" i="609"/>
  <c r="F38" i="609" s="1"/>
  <c r="AO38" i="609"/>
  <c r="E38" i="609" s="1"/>
  <c r="AI38" i="609"/>
  <c r="AT37" i="609"/>
  <c r="AR37" i="609"/>
  <c r="H37" i="609" s="1"/>
  <c r="AQ37" i="609"/>
  <c r="G37" i="609" s="1"/>
  <c r="AP37" i="609"/>
  <c r="F37" i="609" s="1"/>
  <c r="AO37" i="609"/>
  <c r="E37" i="609" s="1"/>
  <c r="AI37" i="609"/>
  <c r="AT36" i="609"/>
  <c r="AR36" i="609"/>
  <c r="H36" i="609" s="1"/>
  <c r="AQ36" i="609"/>
  <c r="G36" i="609" s="1"/>
  <c r="AP36" i="609"/>
  <c r="F36" i="609" s="1"/>
  <c r="AO36" i="609"/>
  <c r="E36" i="609" s="1"/>
  <c r="AI36" i="609"/>
  <c r="AT35" i="609"/>
  <c r="AR35" i="609"/>
  <c r="H35" i="609" s="1"/>
  <c r="AQ35" i="609"/>
  <c r="G35" i="609" s="1"/>
  <c r="AP35" i="609"/>
  <c r="F35" i="609" s="1"/>
  <c r="AO35" i="609"/>
  <c r="E35" i="609" s="1"/>
  <c r="AN35" i="609"/>
  <c r="AN36" i="609" s="1"/>
  <c r="AI35" i="609"/>
  <c r="AH35" i="609"/>
  <c r="AG35" i="609"/>
  <c r="AK35" i="609" s="1"/>
  <c r="AT34" i="609"/>
  <c r="AR34" i="609"/>
  <c r="H34" i="609" s="1"/>
  <c r="AQ34" i="609"/>
  <c r="G34" i="609" s="1"/>
  <c r="AP34" i="609"/>
  <c r="F34" i="609" s="1"/>
  <c r="AO34" i="609"/>
  <c r="E34" i="609" s="1"/>
  <c r="AI34" i="609"/>
  <c r="AT33" i="609"/>
  <c r="AR33" i="609"/>
  <c r="H33" i="609" s="1"/>
  <c r="AQ33" i="609"/>
  <c r="G33" i="609" s="1"/>
  <c r="AP33" i="609"/>
  <c r="F33" i="609" s="1"/>
  <c r="AO33" i="609"/>
  <c r="E33" i="609" s="1"/>
  <c r="AI33" i="609"/>
  <c r="AT32" i="609"/>
  <c r="AR32" i="609"/>
  <c r="H32" i="609" s="1"/>
  <c r="AQ32" i="609"/>
  <c r="G32" i="609" s="1"/>
  <c r="AP32" i="609"/>
  <c r="F32" i="609" s="1"/>
  <c r="AO32" i="609"/>
  <c r="E32" i="609" s="1"/>
  <c r="AI32" i="609"/>
  <c r="AT31" i="609"/>
  <c r="AR31" i="609"/>
  <c r="H31" i="609" s="1"/>
  <c r="AQ31" i="609"/>
  <c r="G31" i="609" s="1"/>
  <c r="AP31" i="609"/>
  <c r="F31" i="609" s="1"/>
  <c r="AO31" i="609"/>
  <c r="E31" i="609" s="1"/>
  <c r="AI31" i="609"/>
  <c r="AT30" i="609"/>
  <c r="AR30" i="609"/>
  <c r="H30" i="609" s="1"/>
  <c r="AQ30" i="609"/>
  <c r="G30" i="609" s="1"/>
  <c r="AP30" i="609"/>
  <c r="F30" i="609" s="1"/>
  <c r="AO30" i="609"/>
  <c r="E30" i="609" s="1"/>
  <c r="AI30" i="609"/>
  <c r="AT29" i="609"/>
  <c r="AR29" i="609"/>
  <c r="H29" i="609" s="1"/>
  <c r="AQ29" i="609"/>
  <c r="G29" i="609" s="1"/>
  <c r="AP29" i="609"/>
  <c r="F29" i="609" s="1"/>
  <c r="AO29" i="609"/>
  <c r="E29" i="609" s="1"/>
  <c r="AI29" i="609"/>
  <c r="AT28" i="609"/>
  <c r="AR28" i="609"/>
  <c r="H28" i="609" s="1"/>
  <c r="AQ28" i="609"/>
  <c r="G28" i="609" s="1"/>
  <c r="AP28" i="609"/>
  <c r="F28" i="609" s="1"/>
  <c r="AO28" i="609"/>
  <c r="E28" i="609" s="1"/>
  <c r="AN28" i="609"/>
  <c r="D28" i="609" s="1"/>
  <c r="AI28" i="609"/>
  <c r="AH28" i="609"/>
  <c r="AG28" i="609"/>
  <c r="AJ28" i="609" s="1"/>
  <c r="AT27" i="609"/>
  <c r="AR27" i="609"/>
  <c r="H27" i="609" s="1"/>
  <c r="AQ27" i="609"/>
  <c r="G27" i="609" s="1"/>
  <c r="AP27" i="609"/>
  <c r="F27" i="609" s="1"/>
  <c r="AO27" i="609"/>
  <c r="E27" i="609" s="1"/>
  <c r="AI27" i="609"/>
  <c r="AT26" i="609"/>
  <c r="AR26" i="609"/>
  <c r="H26" i="609" s="1"/>
  <c r="AQ26" i="609"/>
  <c r="G26" i="609" s="1"/>
  <c r="AP26" i="609"/>
  <c r="F26" i="609" s="1"/>
  <c r="AO26" i="609"/>
  <c r="E26" i="609" s="1"/>
  <c r="AI26" i="609"/>
  <c r="AT25" i="609"/>
  <c r="AR25" i="609"/>
  <c r="H25" i="609" s="1"/>
  <c r="AQ25" i="609"/>
  <c r="G25" i="609" s="1"/>
  <c r="AP25" i="609"/>
  <c r="F25" i="609" s="1"/>
  <c r="AO25" i="609"/>
  <c r="E25" i="609" s="1"/>
  <c r="AI25" i="609"/>
  <c r="AT24" i="609"/>
  <c r="AR24" i="609"/>
  <c r="H24" i="609" s="1"/>
  <c r="AQ24" i="609"/>
  <c r="G24" i="609" s="1"/>
  <c r="AP24" i="609"/>
  <c r="F24" i="609" s="1"/>
  <c r="AO24" i="609"/>
  <c r="E24" i="609" s="1"/>
  <c r="AI24" i="609"/>
  <c r="AT23" i="609"/>
  <c r="AR23" i="609"/>
  <c r="H23" i="609" s="1"/>
  <c r="AQ23" i="609"/>
  <c r="G23" i="609" s="1"/>
  <c r="AP23" i="609"/>
  <c r="F23" i="609" s="1"/>
  <c r="AO23" i="609"/>
  <c r="E23" i="609" s="1"/>
  <c r="AI23" i="609"/>
  <c r="AT22" i="609"/>
  <c r="AR22" i="609"/>
  <c r="H22" i="609" s="1"/>
  <c r="AQ22" i="609"/>
  <c r="G22" i="609" s="1"/>
  <c r="AP22" i="609"/>
  <c r="F22" i="609" s="1"/>
  <c r="AO22" i="609"/>
  <c r="E22" i="609" s="1"/>
  <c r="AI22" i="609"/>
  <c r="AT21" i="609"/>
  <c r="AR21" i="609"/>
  <c r="H21" i="609" s="1"/>
  <c r="AQ21" i="609"/>
  <c r="G21" i="609" s="1"/>
  <c r="AP21" i="609"/>
  <c r="F21" i="609" s="1"/>
  <c r="AO21" i="609"/>
  <c r="E21" i="609" s="1"/>
  <c r="AN21" i="609"/>
  <c r="AN22" i="609" s="1"/>
  <c r="AI21" i="609"/>
  <c r="AH21" i="609"/>
  <c r="AG21" i="609"/>
  <c r="AK21" i="609" s="1"/>
  <c r="AT20" i="609"/>
  <c r="AR20" i="609"/>
  <c r="H20" i="609" s="1"/>
  <c r="AQ20" i="609"/>
  <c r="G20" i="609" s="1"/>
  <c r="AP20" i="609"/>
  <c r="F20" i="609" s="1"/>
  <c r="AO20" i="609"/>
  <c r="E20" i="609" s="1"/>
  <c r="AI20" i="609"/>
  <c r="AT19" i="609"/>
  <c r="AR19" i="609"/>
  <c r="H19" i="609" s="1"/>
  <c r="AQ19" i="609"/>
  <c r="G19" i="609" s="1"/>
  <c r="AP19" i="609"/>
  <c r="F19" i="609" s="1"/>
  <c r="AO19" i="609"/>
  <c r="E19" i="609" s="1"/>
  <c r="AI19" i="609"/>
  <c r="AT18" i="609"/>
  <c r="AR18" i="609"/>
  <c r="H18" i="609" s="1"/>
  <c r="AQ18" i="609"/>
  <c r="G18" i="609" s="1"/>
  <c r="AP18" i="609"/>
  <c r="F18" i="609" s="1"/>
  <c r="AO18" i="609"/>
  <c r="E18" i="609" s="1"/>
  <c r="AI18" i="609"/>
  <c r="AT17" i="609"/>
  <c r="AR17" i="609"/>
  <c r="H17" i="609" s="1"/>
  <c r="AQ17" i="609"/>
  <c r="G17" i="609" s="1"/>
  <c r="AP17" i="609"/>
  <c r="F17" i="609" s="1"/>
  <c r="AO17" i="609"/>
  <c r="E17" i="609" s="1"/>
  <c r="AI17" i="609"/>
  <c r="AT16" i="609"/>
  <c r="AR16" i="609"/>
  <c r="H16" i="609" s="1"/>
  <c r="AQ16" i="609"/>
  <c r="G16" i="609" s="1"/>
  <c r="AP16" i="609"/>
  <c r="F16" i="609" s="1"/>
  <c r="AO16" i="609"/>
  <c r="E16" i="609" s="1"/>
  <c r="AI16" i="609"/>
  <c r="AT15" i="609"/>
  <c r="AR15" i="609"/>
  <c r="H15" i="609" s="1"/>
  <c r="AQ15" i="609"/>
  <c r="G15" i="609" s="1"/>
  <c r="AP15" i="609"/>
  <c r="F15" i="609" s="1"/>
  <c r="AO15" i="609"/>
  <c r="E15" i="609" s="1"/>
  <c r="AI15" i="609"/>
  <c r="AT14" i="609"/>
  <c r="AR14" i="609"/>
  <c r="H14" i="609" s="1"/>
  <c r="AQ14" i="609"/>
  <c r="G14" i="609" s="1"/>
  <c r="AP14" i="609"/>
  <c r="F14" i="609" s="1"/>
  <c r="AO14" i="609"/>
  <c r="E14" i="609" s="1"/>
  <c r="AN14" i="609"/>
  <c r="D14" i="609" s="1"/>
  <c r="AI14" i="609"/>
  <c r="AH14" i="609"/>
  <c r="AG14" i="609"/>
  <c r="AJ14" i="609" s="1"/>
  <c r="AT13" i="609"/>
  <c r="AR13" i="609"/>
  <c r="H13" i="609" s="1"/>
  <c r="AQ13" i="609"/>
  <c r="G13" i="609" s="1"/>
  <c r="AP13" i="609"/>
  <c r="F13" i="609" s="1"/>
  <c r="AO13" i="609"/>
  <c r="E13" i="609" s="1"/>
  <c r="AI13" i="609"/>
  <c r="AT12" i="609"/>
  <c r="AR12" i="609"/>
  <c r="H12" i="609" s="1"/>
  <c r="AQ12" i="609"/>
  <c r="G12" i="609" s="1"/>
  <c r="AP12" i="609"/>
  <c r="F12" i="609" s="1"/>
  <c r="AO12" i="609"/>
  <c r="E12" i="609" s="1"/>
  <c r="AI12" i="609"/>
  <c r="AT11" i="609"/>
  <c r="AR11" i="609"/>
  <c r="H11" i="609" s="1"/>
  <c r="AQ11" i="609"/>
  <c r="G11" i="609" s="1"/>
  <c r="AP11" i="609"/>
  <c r="F11" i="609" s="1"/>
  <c r="AO11" i="609"/>
  <c r="E11" i="609" s="1"/>
  <c r="AI11" i="609"/>
  <c r="AT10" i="609"/>
  <c r="AR10" i="609"/>
  <c r="H10" i="609" s="1"/>
  <c r="AQ10" i="609"/>
  <c r="G10" i="609" s="1"/>
  <c r="AP10" i="609"/>
  <c r="F10" i="609" s="1"/>
  <c r="AO10" i="609"/>
  <c r="E10" i="609" s="1"/>
  <c r="AI10" i="609"/>
  <c r="AT9" i="609"/>
  <c r="AR9" i="609"/>
  <c r="H9" i="609" s="1"/>
  <c r="AQ9" i="609"/>
  <c r="G9" i="609" s="1"/>
  <c r="AP9" i="609"/>
  <c r="F9" i="609" s="1"/>
  <c r="AO9" i="609"/>
  <c r="E9" i="609" s="1"/>
  <c r="AI9" i="609"/>
  <c r="AT8" i="609"/>
  <c r="AR8" i="609"/>
  <c r="H8" i="609" s="1"/>
  <c r="AQ8" i="609"/>
  <c r="G8" i="609" s="1"/>
  <c r="AP8" i="609"/>
  <c r="F8" i="609" s="1"/>
  <c r="AO8" i="609"/>
  <c r="E8" i="609" s="1"/>
  <c r="AI8" i="609"/>
  <c r="AT7" i="609"/>
  <c r="AR7" i="609"/>
  <c r="H7" i="609" s="1"/>
  <c r="AQ7" i="609"/>
  <c r="G7" i="609" s="1"/>
  <c r="AP7" i="609"/>
  <c r="F7" i="609" s="1"/>
  <c r="AO7" i="609"/>
  <c r="E7" i="609" s="1"/>
  <c r="AN7" i="609"/>
  <c r="AN8" i="609" s="1"/>
  <c r="AI7" i="609"/>
  <c r="AH7" i="609"/>
  <c r="AG7" i="609"/>
  <c r="AK7" i="609" s="1"/>
  <c r="AT6" i="609"/>
  <c r="AR6" i="609"/>
  <c r="H6" i="609" s="1"/>
  <c r="AQ6" i="609"/>
  <c r="G6" i="609" s="1"/>
  <c r="AP6" i="609"/>
  <c r="F6" i="609" s="1"/>
  <c r="AO6" i="609"/>
  <c r="E6" i="609" s="1"/>
  <c r="AN6" i="609"/>
  <c r="D6" i="609" s="1"/>
  <c r="AM6" i="609"/>
  <c r="AM7" i="609" s="1"/>
  <c r="AM8" i="609" s="1"/>
  <c r="AL6" i="609"/>
  <c r="AL7" i="609" s="1"/>
  <c r="AL8" i="609" s="1"/>
  <c r="AI6" i="609"/>
  <c r="AH6" i="609"/>
  <c r="AG6" i="609"/>
  <c r="AJ6" i="609" s="1"/>
  <c r="D50" i="608"/>
  <c r="E50" i="608" s="1"/>
  <c r="F50" i="608" s="1"/>
  <c r="G50" i="608" s="1"/>
  <c r="H50" i="608" s="1"/>
  <c r="I50" i="608" s="1"/>
  <c r="J50" i="608" s="1"/>
  <c r="K50" i="608" s="1"/>
  <c r="L50" i="608" s="1"/>
  <c r="M50" i="608" s="1"/>
  <c r="N50" i="608" s="1"/>
  <c r="O50" i="608" s="1"/>
  <c r="P50" i="608" s="1"/>
  <c r="Q50" i="608" s="1"/>
  <c r="R50" i="608" s="1"/>
  <c r="S50" i="608" s="1"/>
  <c r="T50" i="608" s="1"/>
  <c r="U50" i="608" s="1"/>
  <c r="V50" i="608" s="1"/>
  <c r="W50" i="608" s="1"/>
  <c r="X50" i="608" s="1"/>
  <c r="Y50" i="608" s="1"/>
  <c r="Z50" i="608" s="1"/>
  <c r="AA50" i="608" s="1"/>
  <c r="AB50" i="608" s="1"/>
  <c r="AC50" i="608" s="1"/>
  <c r="AD50" i="608" s="1"/>
  <c r="AE50" i="608" s="1"/>
  <c r="AF50" i="608" s="1"/>
  <c r="AG50" i="608" s="1"/>
  <c r="AH50" i="608" s="1"/>
  <c r="AI50" i="608" s="1"/>
  <c r="AJ50" i="608" s="1"/>
  <c r="AK50" i="608" s="1"/>
  <c r="AL50" i="608" s="1"/>
  <c r="AM50" i="608" s="1"/>
  <c r="AN50" i="608" s="1"/>
  <c r="AO50" i="608" s="1"/>
  <c r="AP50" i="608" s="1"/>
  <c r="AQ50" i="608" s="1"/>
  <c r="AR50" i="608" s="1"/>
  <c r="AS50" i="608" s="1"/>
  <c r="AT50" i="608" s="1"/>
  <c r="AU50" i="608" s="1"/>
  <c r="AV50" i="608" s="1"/>
  <c r="AW50" i="608" s="1"/>
  <c r="AX50" i="608" s="1"/>
  <c r="AY50" i="608" s="1"/>
  <c r="AZ50" i="608" s="1"/>
  <c r="BA50" i="608" s="1"/>
  <c r="BB50" i="608" s="1"/>
  <c r="BC50" i="608" s="1"/>
  <c r="BD50" i="608" s="1"/>
  <c r="BE50" i="608" s="1"/>
  <c r="BF50" i="608" s="1"/>
  <c r="BG50" i="608" s="1"/>
  <c r="BH50" i="608" s="1"/>
  <c r="BI50" i="608" s="1"/>
  <c r="BJ50" i="608" s="1"/>
  <c r="BK50" i="608" s="1"/>
  <c r="BL50" i="608" s="1"/>
  <c r="BM50" i="608" s="1"/>
  <c r="BN50" i="608" s="1"/>
  <c r="BO50" i="608" s="1"/>
  <c r="BP50" i="608" s="1"/>
  <c r="BQ50" i="608" s="1"/>
  <c r="BR50" i="608" s="1"/>
  <c r="BS50" i="608" s="1"/>
  <c r="BT50" i="608" s="1"/>
  <c r="BU50" i="608" s="1"/>
  <c r="BV50" i="608" s="1"/>
  <c r="BW50" i="608" s="1"/>
  <c r="BX50" i="608" s="1"/>
  <c r="BY50" i="608" s="1"/>
  <c r="BZ50" i="608" s="1"/>
  <c r="CA50" i="608" s="1"/>
  <c r="CB50" i="608" s="1"/>
  <c r="CC50" i="608" s="1"/>
  <c r="CD50" i="608" s="1"/>
  <c r="CE50" i="608" s="1"/>
  <c r="CF50" i="608" s="1"/>
  <c r="CG50" i="608" s="1"/>
  <c r="CH50" i="608" s="1"/>
  <c r="CI50" i="608" s="1"/>
  <c r="CJ50" i="608" s="1"/>
  <c r="CK50" i="608" s="1"/>
  <c r="CL50" i="608" s="1"/>
  <c r="CM50" i="608" s="1"/>
  <c r="CN50" i="608" s="1"/>
  <c r="CO50" i="608" s="1"/>
  <c r="CP50" i="608" s="1"/>
  <c r="CQ50" i="608" s="1"/>
  <c r="CR50" i="608" s="1"/>
  <c r="CS50" i="608" s="1"/>
  <c r="CT50" i="608" s="1"/>
  <c r="B48" i="608"/>
  <c r="C46" i="608"/>
  <c r="E22" i="608"/>
  <c r="D22" i="608"/>
  <c r="C18" i="608"/>
  <c r="AT146" i="607"/>
  <c r="AR146" i="607"/>
  <c r="H146" i="607" s="1"/>
  <c r="AQ146" i="607"/>
  <c r="G146" i="607" s="1"/>
  <c r="AP146" i="607"/>
  <c r="F146" i="607" s="1"/>
  <c r="AO146" i="607"/>
  <c r="E146" i="607" s="1"/>
  <c r="AN146" i="607"/>
  <c r="D146" i="607" s="1"/>
  <c r="AI146" i="607"/>
  <c r="AH146" i="607"/>
  <c r="AG146" i="607"/>
  <c r="AT145" i="607"/>
  <c r="AR145" i="607"/>
  <c r="H145" i="607" s="1"/>
  <c r="AQ145" i="607"/>
  <c r="G145" i="607" s="1"/>
  <c r="AP145" i="607"/>
  <c r="F145" i="607" s="1"/>
  <c r="AO145" i="607"/>
  <c r="E145" i="607" s="1"/>
  <c r="AN145" i="607"/>
  <c r="D145" i="607" s="1"/>
  <c r="AI145" i="607"/>
  <c r="AH145" i="607"/>
  <c r="AG145" i="607"/>
  <c r="AJ145" i="607" s="1"/>
  <c r="AT144" i="607"/>
  <c r="AR144" i="607"/>
  <c r="H144" i="607" s="1"/>
  <c r="AQ144" i="607"/>
  <c r="G144" i="607" s="1"/>
  <c r="AP144" i="607"/>
  <c r="F144" i="607" s="1"/>
  <c r="AO144" i="607"/>
  <c r="E144" i="607" s="1"/>
  <c r="AN144" i="607"/>
  <c r="D144" i="607" s="1"/>
  <c r="AI144" i="607"/>
  <c r="AH144" i="607"/>
  <c r="AG144" i="607"/>
  <c r="AT143" i="607"/>
  <c r="AR143" i="607"/>
  <c r="H143" i="607" s="1"/>
  <c r="AQ143" i="607"/>
  <c r="G143" i="607" s="1"/>
  <c r="AP143" i="607"/>
  <c r="F143" i="607" s="1"/>
  <c r="AO143" i="607"/>
  <c r="E143" i="607" s="1"/>
  <c r="AN143" i="607"/>
  <c r="D143" i="607" s="1"/>
  <c r="AI143" i="607"/>
  <c r="AH143" i="607"/>
  <c r="AG143" i="607"/>
  <c r="AT142" i="607"/>
  <c r="AR142" i="607"/>
  <c r="H142" i="607" s="1"/>
  <c r="AQ142" i="607"/>
  <c r="G142" i="607" s="1"/>
  <c r="AP142" i="607"/>
  <c r="F142" i="607" s="1"/>
  <c r="AO142" i="607"/>
  <c r="E142" i="607" s="1"/>
  <c r="AI142" i="607"/>
  <c r="AH142" i="607"/>
  <c r="AG142" i="607"/>
  <c r="AT141" i="607"/>
  <c r="AR141" i="607"/>
  <c r="H141" i="607" s="1"/>
  <c r="AQ141" i="607"/>
  <c r="G141" i="607" s="1"/>
  <c r="AP141" i="607"/>
  <c r="F141" i="607" s="1"/>
  <c r="AO141" i="607"/>
  <c r="E141" i="607" s="1"/>
  <c r="AI141" i="607"/>
  <c r="AH141" i="607"/>
  <c r="AG141" i="607"/>
  <c r="AJ141" i="607" s="1"/>
  <c r="AT140" i="607"/>
  <c r="AR140" i="607"/>
  <c r="H140" i="607" s="1"/>
  <c r="AQ140" i="607"/>
  <c r="G140" i="607" s="1"/>
  <c r="AP140" i="607"/>
  <c r="F140" i="607" s="1"/>
  <c r="AO140" i="607"/>
  <c r="E140" i="607" s="1"/>
  <c r="AN140" i="607"/>
  <c r="AN141" i="607" s="1"/>
  <c r="AI140" i="607"/>
  <c r="AH140" i="607"/>
  <c r="AG140" i="607"/>
  <c r="AT139" i="607"/>
  <c r="AR139" i="607"/>
  <c r="H139" i="607" s="1"/>
  <c r="AQ139" i="607"/>
  <c r="G139" i="607" s="1"/>
  <c r="AP139" i="607"/>
  <c r="F139" i="607" s="1"/>
  <c r="AO139" i="607"/>
  <c r="E139" i="607" s="1"/>
  <c r="AI139" i="607"/>
  <c r="AT138" i="607"/>
  <c r="AR138" i="607"/>
  <c r="H138" i="607" s="1"/>
  <c r="AQ138" i="607"/>
  <c r="G138" i="607" s="1"/>
  <c r="AP138" i="607"/>
  <c r="F138" i="607" s="1"/>
  <c r="AO138" i="607"/>
  <c r="E138" i="607" s="1"/>
  <c r="AI138" i="607"/>
  <c r="AT137" i="607"/>
  <c r="AR137" i="607"/>
  <c r="H137" i="607" s="1"/>
  <c r="AQ137" i="607"/>
  <c r="G137" i="607" s="1"/>
  <c r="AP137" i="607"/>
  <c r="F137" i="607" s="1"/>
  <c r="AO137" i="607"/>
  <c r="E137" i="607" s="1"/>
  <c r="AI137" i="607"/>
  <c r="AT136" i="607"/>
  <c r="AR136" i="607"/>
  <c r="H136" i="607" s="1"/>
  <c r="AQ136" i="607"/>
  <c r="G136" i="607" s="1"/>
  <c r="AP136" i="607"/>
  <c r="F136" i="607" s="1"/>
  <c r="AO136" i="607"/>
  <c r="E136" i="607" s="1"/>
  <c r="AI136" i="607"/>
  <c r="AT135" i="607"/>
  <c r="AR135" i="607"/>
  <c r="H135" i="607" s="1"/>
  <c r="AQ135" i="607"/>
  <c r="G135" i="607" s="1"/>
  <c r="AP135" i="607"/>
  <c r="F135" i="607" s="1"/>
  <c r="AO135" i="607"/>
  <c r="E135" i="607" s="1"/>
  <c r="AI135" i="607"/>
  <c r="AT134" i="607"/>
  <c r="AR134" i="607"/>
  <c r="H134" i="607" s="1"/>
  <c r="AQ134" i="607"/>
  <c r="G134" i="607" s="1"/>
  <c r="AP134" i="607"/>
  <c r="F134" i="607" s="1"/>
  <c r="AO134" i="607"/>
  <c r="E134" i="607" s="1"/>
  <c r="AI134" i="607"/>
  <c r="AT133" i="607"/>
  <c r="AR133" i="607"/>
  <c r="H133" i="607" s="1"/>
  <c r="AQ133" i="607"/>
  <c r="G133" i="607" s="1"/>
  <c r="AP133" i="607"/>
  <c r="F133" i="607" s="1"/>
  <c r="AO133" i="607"/>
  <c r="E133" i="607" s="1"/>
  <c r="AN133" i="607"/>
  <c r="AN134" i="607" s="1"/>
  <c r="AN135" i="607" s="1"/>
  <c r="AI133" i="607"/>
  <c r="AH133" i="607"/>
  <c r="AG133" i="607"/>
  <c r="AJ133" i="607" s="1"/>
  <c r="AT132" i="607"/>
  <c r="AR132" i="607"/>
  <c r="H132" i="607" s="1"/>
  <c r="AQ132" i="607"/>
  <c r="G132" i="607" s="1"/>
  <c r="AP132" i="607"/>
  <c r="F132" i="607" s="1"/>
  <c r="AO132" i="607"/>
  <c r="E132" i="607" s="1"/>
  <c r="AI132" i="607"/>
  <c r="AT131" i="607"/>
  <c r="AR131" i="607"/>
  <c r="H131" i="607" s="1"/>
  <c r="AQ131" i="607"/>
  <c r="G131" i="607" s="1"/>
  <c r="AP131" i="607"/>
  <c r="F131" i="607" s="1"/>
  <c r="AO131" i="607"/>
  <c r="E131" i="607" s="1"/>
  <c r="AI131" i="607"/>
  <c r="AT130" i="607"/>
  <c r="AR130" i="607"/>
  <c r="H130" i="607" s="1"/>
  <c r="AQ130" i="607"/>
  <c r="G130" i="607" s="1"/>
  <c r="AP130" i="607"/>
  <c r="F130" i="607" s="1"/>
  <c r="AO130" i="607"/>
  <c r="E130" i="607" s="1"/>
  <c r="AI130" i="607"/>
  <c r="AT129" i="607"/>
  <c r="AR129" i="607"/>
  <c r="H129" i="607" s="1"/>
  <c r="AQ129" i="607"/>
  <c r="G129" i="607" s="1"/>
  <c r="AP129" i="607"/>
  <c r="F129" i="607" s="1"/>
  <c r="AO129" i="607"/>
  <c r="E129" i="607" s="1"/>
  <c r="AI129" i="607"/>
  <c r="AT128" i="607"/>
  <c r="AR128" i="607"/>
  <c r="H128" i="607" s="1"/>
  <c r="AQ128" i="607"/>
  <c r="G128" i="607" s="1"/>
  <c r="AP128" i="607"/>
  <c r="F128" i="607" s="1"/>
  <c r="AO128" i="607"/>
  <c r="E128" i="607" s="1"/>
  <c r="AI128" i="607"/>
  <c r="AT127" i="607"/>
  <c r="AR127" i="607"/>
  <c r="H127" i="607" s="1"/>
  <c r="AQ127" i="607"/>
  <c r="G127" i="607" s="1"/>
  <c r="AP127" i="607"/>
  <c r="F127" i="607" s="1"/>
  <c r="AO127" i="607"/>
  <c r="E127" i="607" s="1"/>
  <c r="AI127" i="607"/>
  <c r="AT126" i="607"/>
  <c r="AR126" i="607"/>
  <c r="H126" i="607" s="1"/>
  <c r="AQ126" i="607"/>
  <c r="G126" i="607" s="1"/>
  <c r="AP126" i="607"/>
  <c r="F126" i="607" s="1"/>
  <c r="AO126" i="607"/>
  <c r="E126" i="607" s="1"/>
  <c r="AN126" i="607"/>
  <c r="AN127" i="607" s="1"/>
  <c r="AI126" i="607"/>
  <c r="AH126" i="607"/>
  <c r="AG126" i="607"/>
  <c r="AT125" i="607"/>
  <c r="AR125" i="607"/>
  <c r="H125" i="607" s="1"/>
  <c r="AQ125" i="607"/>
  <c r="G125" i="607" s="1"/>
  <c r="AP125" i="607"/>
  <c r="F125" i="607" s="1"/>
  <c r="AO125" i="607"/>
  <c r="E125" i="607" s="1"/>
  <c r="AI125" i="607"/>
  <c r="AT124" i="607"/>
  <c r="AR124" i="607"/>
  <c r="H124" i="607" s="1"/>
  <c r="AQ124" i="607"/>
  <c r="G124" i="607" s="1"/>
  <c r="AP124" i="607"/>
  <c r="F124" i="607" s="1"/>
  <c r="AO124" i="607"/>
  <c r="E124" i="607" s="1"/>
  <c r="AI124" i="607"/>
  <c r="AT123" i="607"/>
  <c r="AR123" i="607"/>
  <c r="H123" i="607" s="1"/>
  <c r="AQ123" i="607"/>
  <c r="G123" i="607" s="1"/>
  <c r="AP123" i="607"/>
  <c r="F123" i="607" s="1"/>
  <c r="AO123" i="607"/>
  <c r="E123" i="607" s="1"/>
  <c r="AI123" i="607"/>
  <c r="AT122" i="607"/>
  <c r="AR122" i="607"/>
  <c r="H122" i="607" s="1"/>
  <c r="AQ122" i="607"/>
  <c r="G122" i="607" s="1"/>
  <c r="AP122" i="607"/>
  <c r="F122" i="607" s="1"/>
  <c r="AO122" i="607"/>
  <c r="E122" i="607" s="1"/>
  <c r="AI122" i="607"/>
  <c r="AT121" i="607"/>
  <c r="AR121" i="607"/>
  <c r="H121" i="607" s="1"/>
  <c r="AQ121" i="607"/>
  <c r="G121" i="607" s="1"/>
  <c r="AP121" i="607"/>
  <c r="F121" i="607" s="1"/>
  <c r="AO121" i="607"/>
  <c r="E121" i="607" s="1"/>
  <c r="AI121" i="607"/>
  <c r="AT120" i="607"/>
  <c r="AR120" i="607"/>
  <c r="H120" i="607" s="1"/>
  <c r="AQ120" i="607"/>
  <c r="G120" i="607" s="1"/>
  <c r="AP120" i="607"/>
  <c r="F120" i="607" s="1"/>
  <c r="AO120" i="607"/>
  <c r="E120" i="607" s="1"/>
  <c r="AI120" i="607"/>
  <c r="AT119" i="607"/>
  <c r="AR119" i="607"/>
  <c r="H119" i="607" s="1"/>
  <c r="AQ119" i="607"/>
  <c r="G119" i="607" s="1"/>
  <c r="AP119" i="607"/>
  <c r="F119" i="607" s="1"/>
  <c r="AO119" i="607"/>
  <c r="E119" i="607" s="1"/>
  <c r="AN119" i="607"/>
  <c r="AN120" i="607" s="1"/>
  <c r="AN121" i="607" s="1"/>
  <c r="AI119" i="607"/>
  <c r="AH119" i="607"/>
  <c r="AG119" i="607"/>
  <c r="AJ119" i="607" s="1"/>
  <c r="AT118" i="607"/>
  <c r="AR118" i="607"/>
  <c r="H118" i="607" s="1"/>
  <c r="AQ118" i="607"/>
  <c r="G118" i="607" s="1"/>
  <c r="AP118" i="607"/>
  <c r="F118" i="607" s="1"/>
  <c r="AO118" i="607"/>
  <c r="E118" i="607" s="1"/>
  <c r="AI118" i="607"/>
  <c r="AT117" i="607"/>
  <c r="AR117" i="607"/>
  <c r="H117" i="607" s="1"/>
  <c r="AQ117" i="607"/>
  <c r="G117" i="607" s="1"/>
  <c r="AP117" i="607"/>
  <c r="F117" i="607" s="1"/>
  <c r="AO117" i="607"/>
  <c r="E117" i="607" s="1"/>
  <c r="AI117" i="607"/>
  <c r="AT116" i="607"/>
  <c r="AR116" i="607"/>
  <c r="H116" i="607" s="1"/>
  <c r="AQ116" i="607"/>
  <c r="G116" i="607" s="1"/>
  <c r="AP116" i="607"/>
  <c r="F116" i="607" s="1"/>
  <c r="AO116" i="607"/>
  <c r="E116" i="607" s="1"/>
  <c r="AI116" i="607"/>
  <c r="AT115" i="607"/>
  <c r="AR115" i="607"/>
  <c r="H115" i="607" s="1"/>
  <c r="AQ115" i="607"/>
  <c r="G115" i="607" s="1"/>
  <c r="AP115" i="607"/>
  <c r="F115" i="607" s="1"/>
  <c r="AO115" i="607"/>
  <c r="E115" i="607" s="1"/>
  <c r="AI115" i="607"/>
  <c r="AT114" i="607"/>
  <c r="AR114" i="607"/>
  <c r="H114" i="607" s="1"/>
  <c r="AQ114" i="607"/>
  <c r="G114" i="607" s="1"/>
  <c r="AP114" i="607"/>
  <c r="F114" i="607" s="1"/>
  <c r="AO114" i="607"/>
  <c r="E114" i="607" s="1"/>
  <c r="AI114" i="607"/>
  <c r="AT113" i="607"/>
  <c r="AR113" i="607"/>
  <c r="H113" i="607" s="1"/>
  <c r="AQ113" i="607"/>
  <c r="G113" i="607" s="1"/>
  <c r="AP113" i="607"/>
  <c r="F113" i="607" s="1"/>
  <c r="AO113" i="607"/>
  <c r="E113" i="607" s="1"/>
  <c r="AI113" i="607"/>
  <c r="AT112" i="607"/>
  <c r="AR112" i="607"/>
  <c r="H112" i="607" s="1"/>
  <c r="AQ112" i="607"/>
  <c r="G112" i="607" s="1"/>
  <c r="AP112" i="607"/>
  <c r="F112" i="607" s="1"/>
  <c r="AO112" i="607"/>
  <c r="E112" i="607" s="1"/>
  <c r="AN112" i="607"/>
  <c r="AN113" i="607" s="1"/>
  <c r="AI112" i="607"/>
  <c r="AH112" i="607"/>
  <c r="AG112" i="607"/>
  <c r="AT111" i="607"/>
  <c r="AR111" i="607"/>
  <c r="H111" i="607" s="1"/>
  <c r="AQ111" i="607"/>
  <c r="G111" i="607" s="1"/>
  <c r="AP111" i="607"/>
  <c r="F111" i="607" s="1"/>
  <c r="AO111" i="607"/>
  <c r="E111" i="607" s="1"/>
  <c r="AI111" i="607"/>
  <c r="AT110" i="607"/>
  <c r="AR110" i="607"/>
  <c r="H110" i="607" s="1"/>
  <c r="AQ110" i="607"/>
  <c r="G110" i="607" s="1"/>
  <c r="AP110" i="607"/>
  <c r="F110" i="607" s="1"/>
  <c r="AO110" i="607"/>
  <c r="E110" i="607" s="1"/>
  <c r="AI110" i="607"/>
  <c r="AT109" i="607"/>
  <c r="AR109" i="607"/>
  <c r="H109" i="607" s="1"/>
  <c r="AQ109" i="607"/>
  <c r="G109" i="607" s="1"/>
  <c r="AP109" i="607"/>
  <c r="F109" i="607" s="1"/>
  <c r="AO109" i="607"/>
  <c r="E109" i="607" s="1"/>
  <c r="AI109" i="607"/>
  <c r="AT108" i="607"/>
  <c r="AR108" i="607"/>
  <c r="H108" i="607" s="1"/>
  <c r="AQ108" i="607"/>
  <c r="G108" i="607" s="1"/>
  <c r="AP108" i="607"/>
  <c r="F108" i="607" s="1"/>
  <c r="AO108" i="607"/>
  <c r="E108" i="607" s="1"/>
  <c r="AI108" i="607"/>
  <c r="AT107" i="607"/>
  <c r="AR107" i="607"/>
  <c r="H107" i="607" s="1"/>
  <c r="AQ107" i="607"/>
  <c r="G107" i="607" s="1"/>
  <c r="AP107" i="607"/>
  <c r="F107" i="607" s="1"/>
  <c r="AO107" i="607"/>
  <c r="E107" i="607" s="1"/>
  <c r="AI107" i="607"/>
  <c r="AT106" i="607"/>
  <c r="AR106" i="607"/>
  <c r="H106" i="607" s="1"/>
  <c r="AQ106" i="607"/>
  <c r="G106" i="607" s="1"/>
  <c r="AP106" i="607"/>
  <c r="F106" i="607" s="1"/>
  <c r="AO106" i="607"/>
  <c r="E106" i="607" s="1"/>
  <c r="AI106" i="607"/>
  <c r="AT105" i="607"/>
  <c r="AR105" i="607"/>
  <c r="H105" i="607" s="1"/>
  <c r="AQ105" i="607"/>
  <c r="G105" i="607" s="1"/>
  <c r="AP105" i="607"/>
  <c r="F105" i="607" s="1"/>
  <c r="AO105" i="607"/>
  <c r="E105" i="607" s="1"/>
  <c r="AN105" i="607"/>
  <c r="D105" i="607" s="1"/>
  <c r="AI105" i="607"/>
  <c r="AH105" i="607"/>
  <c r="AG105" i="607"/>
  <c r="AJ105" i="607" s="1"/>
  <c r="AT104" i="607"/>
  <c r="AR104" i="607"/>
  <c r="H104" i="607" s="1"/>
  <c r="AQ104" i="607"/>
  <c r="G104" i="607" s="1"/>
  <c r="AP104" i="607"/>
  <c r="F104" i="607" s="1"/>
  <c r="AO104" i="607"/>
  <c r="E104" i="607" s="1"/>
  <c r="AI104" i="607"/>
  <c r="AT103" i="607"/>
  <c r="AR103" i="607"/>
  <c r="H103" i="607" s="1"/>
  <c r="AQ103" i="607"/>
  <c r="G103" i="607" s="1"/>
  <c r="AP103" i="607"/>
  <c r="F103" i="607" s="1"/>
  <c r="AO103" i="607"/>
  <c r="E103" i="607" s="1"/>
  <c r="AI103" i="607"/>
  <c r="AT102" i="607"/>
  <c r="AR102" i="607"/>
  <c r="H102" i="607" s="1"/>
  <c r="AQ102" i="607"/>
  <c r="G102" i="607" s="1"/>
  <c r="AP102" i="607"/>
  <c r="F102" i="607" s="1"/>
  <c r="AO102" i="607"/>
  <c r="E102" i="607" s="1"/>
  <c r="AI102" i="607"/>
  <c r="AT101" i="607"/>
  <c r="AR101" i="607"/>
  <c r="H101" i="607" s="1"/>
  <c r="AQ101" i="607"/>
  <c r="G101" i="607" s="1"/>
  <c r="AP101" i="607"/>
  <c r="F101" i="607" s="1"/>
  <c r="AO101" i="607"/>
  <c r="E101" i="607" s="1"/>
  <c r="AI101" i="607"/>
  <c r="AT100" i="607"/>
  <c r="AR100" i="607"/>
  <c r="H100" i="607" s="1"/>
  <c r="AQ100" i="607"/>
  <c r="G100" i="607" s="1"/>
  <c r="AP100" i="607"/>
  <c r="F100" i="607" s="1"/>
  <c r="AO100" i="607"/>
  <c r="E100" i="607" s="1"/>
  <c r="AI100" i="607"/>
  <c r="AT99" i="607"/>
  <c r="AR99" i="607"/>
  <c r="H99" i="607" s="1"/>
  <c r="AQ99" i="607"/>
  <c r="G99" i="607" s="1"/>
  <c r="AP99" i="607"/>
  <c r="F99" i="607" s="1"/>
  <c r="AO99" i="607"/>
  <c r="E99" i="607" s="1"/>
  <c r="AI99" i="607"/>
  <c r="AT98" i="607"/>
  <c r="AR98" i="607"/>
  <c r="H98" i="607" s="1"/>
  <c r="AQ98" i="607"/>
  <c r="G98" i="607" s="1"/>
  <c r="AP98" i="607"/>
  <c r="F98" i="607" s="1"/>
  <c r="AO98" i="607"/>
  <c r="E98" i="607" s="1"/>
  <c r="AN98" i="607"/>
  <c r="AN99" i="607" s="1"/>
  <c r="AI98" i="607"/>
  <c r="AH98" i="607"/>
  <c r="AG98" i="607"/>
  <c r="AT97" i="607"/>
  <c r="AR97" i="607"/>
  <c r="H97" i="607" s="1"/>
  <c r="AQ97" i="607"/>
  <c r="G97" i="607" s="1"/>
  <c r="AP97" i="607"/>
  <c r="F97" i="607" s="1"/>
  <c r="AO97" i="607"/>
  <c r="E97" i="607" s="1"/>
  <c r="AI97" i="607"/>
  <c r="AT96" i="607"/>
  <c r="AR96" i="607"/>
  <c r="H96" i="607" s="1"/>
  <c r="AQ96" i="607"/>
  <c r="G96" i="607" s="1"/>
  <c r="AP96" i="607"/>
  <c r="F96" i="607" s="1"/>
  <c r="AO96" i="607"/>
  <c r="E96" i="607" s="1"/>
  <c r="AI96" i="607"/>
  <c r="AT95" i="607"/>
  <c r="AR95" i="607"/>
  <c r="H95" i="607" s="1"/>
  <c r="AQ95" i="607"/>
  <c r="G95" i="607" s="1"/>
  <c r="AP95" i="607"/>
  <c r="F95" i="607" s="1"/>
  <c r="AO95" i="607"/>
  <c r="E95" i="607" s="1"/>
  <c r="AI95" i="607"/>
  <c r="AT94" i="607"/>
  <c r="AR94" i="607"/>
  <c r="H94" i="607" s="1"/>
  <c r="AQ94" i="607"/>
  <c r="G94" i="607" s="1"/>
  <c r="AP94" i="607"/>
  <c r="F94" i="607" s="1"/>
  <c r="AO94" i="607"/>
  <c r="E94" i="607" s="1"/>
  <c r="AI94" i="607"/>
  <c r="AT93" i="607"/>
  <c r="AR93" i="607"/>
  <c r="H93" i="607" s="1"/>
  <c r="AQ93" i="607"/>
  <c r="G93" i="607" s="1"/>
  <c r="AP93" i="607"/>
  <c r="F93" i="607" s="1"/>
  <c r="AO93" i="607"/>
  <c r="E93" i="607" s="1"/>
  <c r="AI93" i="607"/>
  <c r="AT92" i="607"/>
  <c r="AR92" i="607"/>
  <c r="H92" i="607" s="1"/>
  <c r="AQ92" i="607"/>
  <c r="G92" i="607" s="1"/>
  <c r="AP92" i="607"/>
  <c r="F92" i="607" s="1"/>
  <c r="AO92" i="607"/>
  <c r="E92" i="607" s="1"/>
  <c r="AI92" i="607"/>
  <c r="AT91" i="607"/>
  <c r="AR91" i="607"/>
  <c r="H91" i="607" s="1"/>
  <c r="AQ91" i="607"/>
  <c r="G91" i="607" s="1"/>
  <c r="AP91" i="607"/>
  <c r="F91" i="607" s="1"/>
  <c r="AO91" i="607"/>
  <c r="E91" i="607" s="1"/>
  <c r="AN91" i="607"/>
  <c r="D91" i="607" s="1"/>
  <c r="AI91" i="607"/>
  <c r="AH91" i="607"/>
  <c r="AG91" i="607"/>
  <c r="AJ91" i="607" s="1"/>
  <c r="AT90" i="607"/>
  <c r="AR90" i="607"/>
  <c r="H90" i="607" s="1"/>
  <c r="AQ90" i="607"/>
  <c r="G90" i="607" s="1"/>
  <c r="AP90" i="607"/>
  <c r="F90" i="607" s="1"/>
  <c r="AO90" i="607"/>
  <c r="E90" i="607" s="1"/>
  <c r="AI90" i="607"/>
  <c r="AT89" i="607"/>
  <c r="AR89" i="607"/>
  <c r="H89" i="607" s="1"/>
  <c r="AQ89" i="607"/>
  <c r="G89" i="607" s="1"/>
  <c r="AP89" i="607"/>
  <c r="F89" i="607" s="1"/>
  <c r="AO89" i="607"/>
  <c r="E89" i="607" s="1"/>
  <c r="AI89" i="607"/>
  <c r="AT88" i="607"/>
  <c r="AR88" i="607"/>
  <c r="H88" i="607" s="1"/>
  <c r="AQ88" i="607"/>
  <c r="G88" i="607" s="1"/>
  <c r="AP88" i="607"/>
  <c r="F88" i="607" s="1"/>
  <c r="AO88" i="607"/>
  <c r="E88" i="607" s="1"/>
  <c r="AI88" i="607"/>
  <c r="AT87" i="607"/>
  <c r="AR87" i="607"/>
  <c r="H87" i="607" s="1"/>
  <c r="AQ87" i="607"/>
  <c r="G87" i="607" s="1"/>
  <c r="AP87" i="607"/>
  <c r="F87" i="607" s="1"/>
  <c r="AO87" i="607"/>
  <c r="E87" i="607" s="1"/>
  <c r="AI87" i="607"/>
  <c r="AT86" i="607"/>
  <c r="AR86" i="607"/>
  <c r="H86" i="607" s="1"/>
  <c r="AQ86" i="607"/>
  <c r="G86" i="607" s="1"/>
  <c r="AP86" i="607"/>
  <c r="F86" i="607" s="1"/>
  <c r="AO86" i="607"/>
  <c r="E86" i="607" s="1"/>
  <c r="AI86" i="607"/>
  <c r="AT85" i="607"/>
  <c r="AR85" i="607"/>
  <c r="H85" i="607" s="1"/>
  <c r="AQ85" i="607"/>
  <c r="G85" i="607" s="1"/>
  <c r="AP85" i="607"/>
  <c r="F85" i="607" s="1"/>
  <c r="AO85" i="607"/>
  <c r="E85" i="607" s="1"/>
  <c r="AI85" i="607"/>
  <c r="AT84" i="607"/>
  <c r="AR84" i="607"/>
  <c r="H84" i="607" s="1"/>
  <c r="AQ84" i="607"/>
  <c r="G84" i="607" s="1"/>
  <c r="AP84" i="607"/>
  <c r="F84" i="607" s="1"/>
  <c r="AO84" i="607"/>
  <c r="E84" i="607" s="1"/>
  <c r="AN84" i="607"/>
  <c r="AI84" i="607"/>
  <c r="AH84" i="607"/>
  <c r="AG84" i="607"/>
  <c r="AT83" i="607"/>
  <c r="AR83" i="607"/>
  <c r="H83" i="607" s="1"/>
  <c r="AQ83" i="607"/>
  <c r="G83" i="607" s="1"/>
  <c r="AP83" i="607"/>
  <c r="F83" i="607" s="1"/>
  <c r="AO83" i="607"/>
  <c r="E83" i="607" s="1"/>
  <c r="AI83" i="607"/>
  <c r="AT82" i="607"/>
  <c r="AR82" i="607"/>
  <c r="H82" i="607" s="1"/>
  <c r="AQ82" i="607"/>
  <c r="G82" i="607" s="1"/>
  <c r="AP82" i="607"/>
  <c r="F82" i="607" s="1"/>
  <c r="AO82" i="607"/>
  <c r="E82" i="607" s="1"/>
  <c r="AI82" i="607"/>
  <c r="AT81" i="607"/>
  <c r="AR81" i="607"/>
  <c r="H81" i="607" s="1"/>
  <c r="AQ81" i="607"/>
  <c r="G81" i="607" s="1"/>
  <c r="AP81" i="607"/>
  <c r="F81" i="607" s="1"/>
  <c r="AO81" i="607"/>
  <c r="E81" i="607" s="1"/>
  <c r="AI81" i="607"/>
  <c r="AT80" i="607"/>
  <c r="AR80" i="607"/>
  <c r="H80" i="607" s="1"/>
  <c r="AQ80" i="607"/>
  <c r="G80" i="607" s="1"/>
  <c r="AP80" i="607"/>
  <c r="F80" i="607" s="1"/>
  <c r="AO80" i="607"/>
  <c r="E80" i="607" s="1"/>
  <c r="AI80" i="607"/>
  <c r="AT79" i="607"/>
  <c r="AR79" i="607"/>
  <c r="H79" i="607" s="1"/>
  <c r="AQ79" i="607"/>
  <c r="G79" i="607" s="1"/>
  <c r="AP79" i="607"/>
  <c r="F79" i="607" s="1"/>
  <c r="AO79" i="607"/>
  <c r="E79" i="607" s="1"/>
  <c r="AI79" i="607"/>
  <c r="AT78" i="607"/>
  <c r="AR78" i="607"/>
  <c r="H78" i="607" s="1"/>
  <c r="AQ78" i="607"/>
  <c r="G78" i="607" s="1"/>
  <c r="AP78" i="607"/>
  <c r="F78" i="607" s="1"/>
  <c r="AO78" i="607"/>
  <c r="E78" i="607" s="1"/>
  <c r="AI78" i="607"/>
  <c r="AT77" i="607"/>
  <c r="AR77" i="607"/>
  <c r="H77" i="607" s="1"/>
  <c r="AQ77" i="607"/>
  <c r="G77" i="607" s="1"/>
  <c r="AP77" i="607"/>
  <c r="F77" i="607" s="1"/>
  <c r="AO77" i="607"/>
  <c r="E77" i="607" s="1"/>
  <c r="AN77" i="607"/>
  <c r="AN78" i="607" s="1"/>
  <c r="AI77" i="607"/>
  <c r="AH77" i="607"/>
  <c r="AG77" i="607"/>
  <c r="AT76" i="607"/>
  <c r="AR76" i="607"/>
  <c r="H76" i="607" s="1"/>
  <c r="AQ76" i="607"/>
  <c r="G76" i="607" s="1"/>
  <c r="AP76" i="607"/>
  <c r="F76" i="607" s="1"/>
  <c r="AO76" i="607"/>
  <c r="E76" i="607" s="1"/>
  <c r="AI76" i="607"/>
  <c r="AT75" i="607"/>
  <c r="AR75" i="607"/>
  <c r="H75" i="607" s="1"/>
  <c r="AQ75" i="607"/>
  <c r="G75" i="607" s="1"/>
  <c r="AP75" i="607"/>
  <c r="F75" i="607" s="1"/>
  <c r="AO75" i="607"/>
  <c r="E75" i="607" s="1"/>
  <c r="AI75" i="607"/>
  <c r="AT74" i="607"/>
  <c r="AR74" i="607"/>
  <c r="H74" i="607" s="1"/>
  <c r="AQ74" i="607"/>
  <c r="G74" i="607" s="1"/>
  <c r="AP74" i="607"/>
  <c r="F74" i="607" s="1"/>
  <c r="AO74" i="607"/>
  <c r="E74" i="607" s="1"/>
  <c r="AI74" i="607"/>
  <c r="AT73" i="607"/>
  <c r="AR73" i="607"/>
  <c r="H73" i="607" s="1"/>
  <c r="AQ73" i="607"/>
  <c r="G73" i="607" s="1"/>
  <c r="AP73" i="607"/>
  <c r="F73" i="607" s="1"/>
  <c r="AO73" i="607"/>
  <c r="E73" i="607" s="1"/>
  <c r="AI73" i="607"/>
  <c r="AT72" i="607"/>
  <c r="AR72" i="607"/>
  <c r="H72" i="607" s="1"/>
  <c r="AQ72" i="607"/>
  <c r="G72" i="607" s="1"/>
  <c r="AP72" i="607"/>
  <c r="F72" i="607" s="1"/>
  <c r="AO72" i="607"/>
  <c r="E72" i="607" s="1"/>
  <c r="AI72" i="607"/>
  <c r="AT71" i="607"/>
  <c r="AR71" i="607"/>
  <c r="H71" i="607" s="1"/>
  <c r="AQ71" i="607"/>
  <c r="G71" i="607" s="1"/>
  <c r="AP71" i="607"/>
  <c r="F71" i="607" s="1"/>
  <c r="AO71" i="607"/>
  <c r="E71" i="607" s="1"/>
  <c r="AI71" i="607"/>
  <c r="AT70" i="607"/>
  <c r="AR70" i="607"/>
  <c r="H70" i="607" s="1"/>
  <c r="AQ70" i="607"/>
  <c r="G70" i="607" s="1"/>
  <c r="AP70" i="607"/>
  <c r="F70" i="607" s="1"/>
  <c r="AO70" i="607"/>
  <c r="E70" i="607" s="1"/>
  <c r="AN70" i="607"/>
  <c r="AI70" i="607"/>
  <c r="AH70" i="607"/>
  <c r="AG70" i="607"/>
  <c r="AT69" i="607"/>
  <c r="AR69" i="607"/>
  <c r="H69" i="607" s="1"/>
  <c r="AQ69" i="607"/>
  <c r="G69" i="607" s="1"/>
  <c r="AP69" i="607"/>
  <c r="F69" i="607" s="1"/>
  <c r="AO69" i="607"/>
  <c r="E69" i="607" s="1"/>
  <c r="AI69" i="607"/>
  <c r="AT68" i="607"/>
  <c r="AR68" i="607"/>
  <c r="H68" i="607" s="1"/>
  <c r="AQ68" i="607"/>
  <c r="G68" i="607" s="1"/>
  <c r="AP68" i="607"/>
  <c r="F68" i="607" s="1"/>
  <c r="AO68" i="607"/>
  <c r="E68" i="607" s="1"/>
  <c r="AI68" i="607"/>
  <c r="AT67" i="607"/>
  <c r="AR67" i="607"/>
  <c r="H67" i="607" s="1"/>
  <c r="AQ67" i="607"/>
  <c r="G67" i="607" s="1"/>
  <c r="AP67" i="607"/>
  <c r="F67" i="607" s="1"/>
  <c r="AO67" i="607"/>
  <c r="E67" i="607" s="1"/>
  <c r="AI67" i="607"/>
  <c r="AT66" i="607"/>
  <c r="AR66" i="607"/>
  <c r="H66" i="607" s="1"/>
  <c r="AQ66" i="607"/>
  <c r="G66" i="607" s="1"/>
  <c r="AP66" i="607"/>
  <c r="F66" i="607" s="1"/>
  <c r="AO66" i="607"/>
  <c r="E66" i="607" s="1"/>
  <c r="AI66" i="607"/>
  <c r="AT65" i="607"/>
  <c r="AR65" i="607"/>
  <c r="H65" i="607" s="1"/>
  <c r="AQ65" i="607"/>
  <c r="G65" i="607" s="1"/>
  <c r="AP65" i="607"/>
  <c r="F65" i="607" s="1"/>
  <c r="AO65" i="607"/>
  <c r="E65" i="607" s="1"/>
  <c r="AI65" i="607"/>
  <c r="AT64" i="607"/>
  <c r="AR64" i="607"/>
  <c r="H64" i="607" s="1"/>
  <c r="AQ64" i="607"/>
  <c r="G64" i="607" s="1"/>
  <c r="AP64" i="607"/>
  <c r="F64" i="607" s="1"/>
  <c r="AO64" i="607"/>
  <c r="E64" i="607" s="1"/>
  <c r="AI64" i="607"/>
  <c r="AT63" i="607"/>
  <c r="AR63" i="607"/>
  <c r="H63" i="607" s="1"/>
  <c r="AQ63" i="607"/>
  <c r="G63" i="607" s="1"/>
  <c r="AP63" i="607"/>
  <c r="F63" i="607" s="1"/>
  <c r="AO63" i="607"/>
  <c r="E63" i="607" s="1"/>
  <c r="AN63" i="607"/>
  <c r="D63" i="607" s="1"/>
  <c r="AI63" i="607"/>
  <c r="AH63" i="607"/>
  <c r="AG63" i="607"/>
  <c r="AK63" i="607" s="1"/>
  <c r="AT62" i="607"/>
  <c r="AR62" i="607"/>
  <c r="H62" i="607" s="1"/>
  <c r="AQ62" i="607"/>
  <c r="G62" i="607" s="1"/>
  <c r="AP62" i="607"/>
  <c r="F62" i="607" s="1"/>
  <c r="AO62" i="607"/>
  <c r="E62" i="607" s="1"/>
  <c r="AI62" i="607"/>
  <c r="AT61" i="607"/>
  <c r="AR61" i="607"/>
  <c r="H61" i="607" s="1"/>
  <c r="AQ61" i="607"/>
  <c r="G61" i="607" s="1"/>
  <c r="AP61" i="607"/>
  <c r="F61" i="607" s="1"/>
  <c r="AO61" i="607"/>
  <c r="E61" i="607" s="1"/>
  <c r="AI61" i="607"/>
  <c r="AT60" i="607"/>
  <c r="AR60" i="607"/>
  <c r="H60" i="607" s="1"/>
  <c r="AQ60" i="607"/>
  <c r="G60" i="607" s="1"/>
  <c r="AP60" i="607"/>
  <c r="F60" i="607" s="1"/>
  <c r="AO60" i="607"/>
  <c r="E60" i="607" s="1"/>
  <c r="AI60" i="607"/>
  <c r="AT59" i="607"/>
  <c r="AR59" i="607"/>
  <c r="H59" i="607" s="1"/>
  <c r="AQ59" i="607"/>
  <c r="G59" i="607" s="1"/>
  <c r="AP59" i="607"/>
  <c r="F59" i="607" s="1"/>
  <c r="AO59" i="607"/>
  <c r="E59" i="607" s="1"/>
  <c r="AI59" i="607"/>
  <c r="AT58" i="607"/>
  <c r="AR58" i="607"/>
  <c r="H58" i="607" s="1"/>
  <c r="AQ58" i="607"/>
  <c r="G58" i="607" s="1"/>
  <c r="AP58" i="607"/>
  <c r="F58" i="607" s="1"/>
  <c r="AO58" i="607"/>
  <c r="E58" i="607" s="1"/>
  <c r="AI58" i="607"/>
  <c r="AT57" i="607"/>
  <c r="AR57" i="607"/>
  <c r="H57" i="607" s="1"/>
  <c r="AQ57" i="607"/>
  <c r="G57" i="607" s="1"/>
  <c r="AP57" i="607"/>
  <c r="F57" i="607" s="1"/>
  <c r="AO57" i="607"/>
  <c r="E57" i="607" s="1"/>
  <c r="AI57" i="607"/>
  <c r="AT56" i="607"/>
  <c r="AR56" i="607"/>
  <c r="H56" i="607" s="1"/>
  <c r="AQ56" i="607"/>
  <c r="G56" i="607" s="1"/>
  <c r="AP56" i="607"/>
  <c r="F56" i="607" s="1"/>
  <c r="AO56" i="607"/>
  <c r="E56" i="607" s="1"/>
  <c r="AN56" i="607"/>
  <c r="AN57" i="607" s="1"/>
  <c r="D57" i="607" s="1"/>
  <c r="AI56" i="607"/>
  <c r="AH56" i="607"/>
  <c r="AG56" i="607"/>
  <c r="AT55" i="607"/>
  <c r="AR55" i="607"/>
  <c r="H55" i="607" s="1"/>
  <c r="AQ55" i="607"/>
  <c r="G55" i="607" s="1"/>
  <c r="AP55" i="607"/>
  <c r="F55" i="607" s="1"/>
  <c r="AO55" i="607"/>
  <c r="E55" i="607" s="1"/>
  <c r="AI55" i="607"/>
  <c r="AT54" i="607"/>
  <c r="AR54" i="607"/>
  <c r="H54" i="607" s="1"/>
  <c r="AQ54" i="607"/>
  <c r="G54" i="607" s="1"/>
  <c r="AP54" i="607"/>
  <c r="F54" i="607" s="1"/>
  <c r="AO54" i="607"/>
  <c r="E54" i="607" s="1"/>
  <c r="AI54" i="607"/>
  <c r="AT53" i="607"/>
  <c r="AR53" i="607"/>
  <c r="H53" i="607" s="1"/>
  <c r="AQ53" i="607"/>
  <c r="G53" i="607" s="1"/>
  <c r="AP53" i="607"/>
  <c r="F53" i="607" s="1"/>
  <c r="AO53" i="607"/>
  <c r="E53" i="607" s="1"/>
  <c r="AI53" i="607"/>
  <c r="AT52" i="607"/>
  <c r="AR52" i="607"/>
  <c r="H52" i="607" s="1"/>
  <c r="AQ52" i="607"/>
  <c r="G52" i="607" s="1"/>
  <c r="AP52" i="607"/>
  <c r="F52" i="607" s="1"/>
  <c r="AO52" i="607"/>
  <c r="E52" i="607" s="1"/>
  <c r="AI52" i="607"/>
  <c r="AT51" i="607"/>
  <c r="AR51" i="607"/>
  <c r="H51" i="607" s="1"/>
  <c r="AQ51" i="607"/>
  <c r="G51" i="607" s="1"/>
  <c r="AP51" i="607"/>
  <c r="F51" i="607" s="1"/>
  <c r="AO51" i="607"/>
  <c r="E51" i="607" s="1"/>
  <c r="AI51" i="607"/>
  <c r="AT50" i="607"/>
  <c r="AR50" i="607"/>
  <c r="H50" i="607" s="1"/>
  <c r="AQ50" i="607"/>
  <c r="G50" i="607" s="1"/>
  <c r="AP50" i="607"/>
  <c r="F50" i="607" s="1"/>
  <c r="AO50" i="607"/>
  <c r="E50" i="607" s="1"/>
  <c r="AI50" i="607"/>
  <c r="AT49" i="607"/>
  <c r="AR49" i="607"/>
  <c r="H49" i="607" s="1"/>
  <c r="AQ49" i="607"/>
  <c r="G49" i="607" s="1"/>
  <c r="AP49" i="607"/>
  <c r="F49" i="607" s="1"/>
  <c r="AO49" i="607"/>
  <c r="E49" i="607" s="1"/>
  <c r="AN49" i="607"/>
  <c r="AN50" i="607" s="1"/>
  <c r="AI49" i="607"/>
  <c r="AH49" i="607"/>
  <c r="AG49" i="607"/>
  <c r="AT48" i="607"/>
  <c r="AR48" i="607"/>
  <c r="H48" i="607" s="1"/>
  <c r="AQ48" i="607"/>
  <c r="G48" i="607" s="1"/>
  <c r="AP48" i="607"/>
  <c r="F48" i="607" s="1"/>
  <c r="AO48" i="607"/>
  <c r="E48" i="607" s="1"/>
  <c r="AI48" i="607"/>
  <c r="AT47" i="607"/>
  <c r="AR47" i="607"/>
  <c r="H47" i="607" s="1"/>
  <c r="AQ47" i="607"/>
  <c r="G47" i="607" s="1"/>
  <c r="AP47" i="607"/>
  <c r="F47" i="607" s="1"/>
  <c r="AO47" i="607"/>
  <c r="E47" i="607" s="1"/>
  <c r="AI47" i="607"/>
  <c r="AT46" i="607"/>
  <c r="AR46" i="607"/>
  <c r="H46" i="607" s="1"/>
  <c r="AQ46" i="607"/>
  <c r="G46" i="607" s="1"/>
  <c r="AP46" i="607"/>
  <c r="F46" i="607" s="1"/>
  <c r="AO46" i="607"/>
  <c r="E46" i="607" s="1"/>
  <c r="AI46" i="607"/>
  <c r="AT45" i="607"/>
  <c r="AR45" i="607"/>
  <c r="H45" i="607" s="1"/>
  <c r="AQ45" i="607"/>
  <c r="G45" i="607" s="1"/>
  <c r="AP45" i="607"/>
  <c r="F45" i="607" s="1"/>
  <c r="AO45" i="607"/>
  <c r="E45" i="607" s="1"/>
  <c r="AI45" i="607"/>
  <c r="AT44" i="607"/>
  <c r="AR44" i="607"/>
  <c r="H44" i="607" s="1"/>
  <c r="AQ44" i="607"/>
  <c r="G44" i="607" s="1"/>
  <c r="AP44" i="607"/>
  <c r="F44" i="607" s="1"/>
  <c r="AO44" i="607"/>
  <c r="E44" i="607" s="1"/>
  <c r="AI44" i="607"/>
  <c r="AT43" i="607"/>
  <c r="AR43" i="607"/>
  <c r="H43" i="607" s="1"/>
  <c r="AQ43" i="607"/>
  <c r="G43" i="607" s="1"/>
  <c r="AP43" i="607"/>
  <c r="F43" i="607" s="1"/>
  <c r="AO43" i="607"/>
  <c r="E43" i="607" s="1"/>
  <c r="AI43" i="607"/>
  <c r="AT42" i="607"/>
  <c r="AR42" i="607"/>
  <c r="H42" i="607" s="1"/>
  <c r="AQ42" i="607"/>
  <c r="G42" i="607" s="1"/>
  <c r="AP42" i="607"/>
  <c r="F42" i="607" s="1"/>
  <c r="AO42" i="607"/>
  <c r="E42" i="607" s="1"/>
  <c r="AN42" i="607"/>
  <c r="D42" i="607" s="1"/>
  <c r="AI42" i="607"/>
  <c r="AH42" i="607"/>
  <c r="AG42" i="607"/>
  <c r="AJ42" i="607" s="1"/>
  <c r="AT41" i="607"/>
  <c r="AR41" i="607"/>
  <c r="H41" i="607" s="1"/>
  <c r="AQ41" i="607"/>
  <c r="G41" i="607" s="1"/>
  <c r="AP41" i="607"/>
  <c r="F41" i="607" s="1"/>
  <c r="AO41" i="607"/>
  <c r="E41" i="607" s="1"/>
  <c r="AI41" i="607"/>
  <c r="AT40" i="607"/>
  <c r="AR40" i="607"/>
  <c r="H40" i="607" s="1"/>
  <c r="AQ40" i="607"/>
  <c r="G40" i="607" s="1"/>
  <c r="AP40" i="607"/>
  <c r="F40" i="607" s="1"/>
  <c r="AO40" i="607"/>
  <c r="E40" i="607" s="1"/>
  <c r="AI40" i="607"/>
  <c r="AT39" i="607"/>
  <c r="AR39" i="607"/>
  <c r="H39" i="607" s="1"/>
  <c r="AQ39" i="607"/>
  <c r="G39" i="607" s="1"/>
  <c r="AP39" i="607"/>
  <c r="F39" i="607" s="1"/>
  <c r="AO39" i="607"/>
  <c r="E39" i="607" s="1"/>
  <c r="AI39" i="607"/>
  <c r="AT38" i="607"/>
  <c r="AR38" i="607"/>
  <c r="H38" i="607" s="1"/>
  <c r="AQ38" i="607"/>
  <c r="G38" i="607" s="1"/>
  <c r="AP38" i="607"/>
  <c r="F38" i="607" s="1"/>
  <c r="AO38" i="607"/>
  <c r="E38" i="607" s="1"/>
  <c r="AI38" i="607"/>
  <c r="AT37" i="607"/>
  <c r="AR37" i="607"/>
  <c r="H37" i="607" s="1"/>
  <c r="AQ37" i="607"/>
  <c r="G37" i="607" s="1"/>
  <c r="AP37" i="607"/>
  <c r="F37" i="607" s="1"/>
  <c r="AO37" i="607"/>
  <c r="E37" i="607" s="1"/>
  <c r="AI37" i="607"/>
  <c r="AT36" i="607"/>
  <c r="AR36" i="607"/>
  <c r="H36" i="607" s="1"/>
  <c r="AQ36" i="607"/>
  <c r="G36" i="607" s="1"/>
  <c r="AP36" i="607"/>
  <c r="F36" i="607" s="1"/>
  <c r="AO36" i="607"/>
  <c r="E36" i="607" s="1"/>
  <c r="AI36" i="607"/>
  <c r="AT35" i="607"/>
  <c r="AR35" i="607"/>
  <c r="H35" i="607" s="1"/>
  <c r="AQ35" i="607"/>
  <c r="G35" i="607" s="1"/>
  <c r="AP35" i="607"/>
  <c r="F35" i="607" s="1"/>
  <c r="AO35" i="607"/>
  <c r="E35" i="607" s="1"/>
  <c r="AN35" i="607"/>
  <c r="AN36" i="607" s="1"/>
  <c r="AI35" i="607"/>
  <c r="AH35" i="607"/>
  <c r="AG35" i="607"/>
  <c r="AK35" i="607" s="1"/>
  <c r="AT34" i="607"/>
  <c r="AR34" i="607"/>
  <c r="H34" i="607" s="1"/>
  <c r="AQ34" i="607"/>
  <c r="G34" i="607" s="1"/>
  <c r="AP34" i="607"/>
  <c r="F34" i="607" s="1"/>
  <c r="AO34" i="607"/>
  <c r="E34" i="607" s="1"/>
  <c r="AI34" i="607"/>
  <c r="AH34" i="607"/>
  <c r="AG34" i="607"/>
  <c r="AJ34" i="607" s="1"/>
  <c r="AT33" i="607"/>
  <c r="AR33" i="607"/>
  <c r="H33" i="607" s="1"/>
  <c r="AQ33" i="607"/>
  <c r="G33" i="607" s="1"/>
  <c r="AP33" i="607"/>
  <c r="F33" i="607" s="1"/>
  <c r="AO33" i="607"/>
  <c r="E33" i="607" s="1"/>
  <c r="AI33" i="607"/>
  <c r="AH33" i="607"/>
  <c r="AG33" i="607"/>
  <c r="AT32" i="607"/>
  <c r="AR32" i="607"/>
  <c r="H32" i="607" s="1"/>
  <c r="AQ32" i="607"/>
  <c r="G32" i="607" s="1"/>
  <c r="AP32" i="607"/>
  <c r="F32" i="607" s="1"/>
  <c r="AO32" i="607"/>
  <c r="E32" i="607" s="1"/>
  <c r="AI32" i="607"/>
  <c r="AH32" i="607"/>
  <c r="AG32" i="607"/>
  <c r="AT31" i="607"/>
  <c r="AR31" i="607"/>
  <c r="H31" i="607" s="1"/>
  <c r="AQ31" i="607"/>
  <c r="G31" i="607" s="1"/>
  <c r="AP31" i="607"/>
  <c r="F31" i="607" s="1"/>
  <c r="AO31" i="607"/>
  <c r="E31" i="607" s="1"/>
  <c r="AI31" i="607"/>
  <c r="AH31" i="607"/>
  <c r="AG31" i="607"/>
  <c r="AK31" i="607" s="1"/>
  <c r="AT30" i="607"/>
  <c r="AR30" i="607"/>
  <c r="H30" i="607" s="1"/>
  <c r="AQ30" i="607"/>
  <c r="G30" i="607" s="1"/>
  <c r="AP30" i="607"/>
  <c r="F30" i="607" s="1"/>
  <c r="AO30" i="607"/>
  <c r="E30" i="607" s="1"/>
  <c r="AI30" i="607"/>
  <c r="AH30" i="607"/>
  <c r="AG30" i="607"/>
  <c r="AJ30" i="607" s="1"/>
  <c r="AT29" i="607"/>
  <c r="AR29" i="607"/>
  <c r="H29" i="607" s="1"/>
  <c r="AQ29" i="607"/>
  <c r="G29" i="607" s="1"/>
  <c r="AP29" i="607"/>
  <c r="F29" i="607" s="1"/>
  <c r="AO29" i="607"/>
  <c r="E29" i="607" s="1"/>
  <c r="AI29" i="607"/>
  <c r="AH29" i="607"/>
  <c r="AG29" i="607"/>
  <c r="AT28" i="607"/>
  <c r="AR28" i="607"/>
  <c r="H28" i="607" s="1"/>
  <c r="AQ28" i="607"/>
  <c r="G28" i="607" s="1"/>
  <c r="AP28" i="607"/>
  <c r="F28" i="607" s="1"/>
  <c r="AO28" i="607"/>
  <c r="E28" i="607" s="1"/>
  <c r="AN28" i="607"/>
  <c r="AN29" i="607" s="1"/>
  <c r="AN30" i="607" s="1"/>
  <c r="AI28" i="607"/>
  <c r="AH28" i="607"/>
  <c r="AG28" i="607"/>
  <c r="AT27" i="607"/>
  <c r="AR27" i="607"/>
  <c r="H27" i="607" s="1"/>
  <c r="AQ27" i="607"/>
  <c r="G27" i="607" s="1"/>
  <c r="AP27" i="607"/>
  <c r="F27" i="607" s="1"/>
  <c r="AO27" i="607"/>
  <c r="E27" i="607" s="1"/>
  <c r="AI27" i="607"/>
  <c r="AT26" i="607"/>
  <c r="AR26" i="607"/>
  <c r="H26" i="607" s="1"/>
  <c r="AQ26" i="607"/>
  <c r="G26" i="607" s="1"/>
  <c r="AP26" i="607"/>
  <c r="F26" i="607" s="1"/>
  <c r="AO26" i="607"/>
  <c r="E26" i="607" s="1"/>
  <c r="AI26" i="607"/>
  <c r="AT25" i="607"/>
  <c r="AR25" i="607"/>
  <c r="H25" i="607" s="1"/>
  <c r="AQ25" i="607"/>
  <c r="G25" i="607" s="1"/>
  <c r="AP25" i="607"/>
  <c r="F25" i="607" s="1"/>
  <c r="AO25" i="607"/>
  <c r="E25" i="607" s="1"/>
  <c r="AI25" i="607"/>
  <c r="AT24" i="607"/>
  <c r="AR24" i="607"/>
  <c r="H24" i="607" s="1"/>
  <c r="AQ24" i="607"/>
  <c r="G24" i="607" s="1"/>
  <c r="AP24" i="607"/>
  <c r="F24" i="607" s="1"/>
  <c r="AO24" i="607"/>
  <c r="E24" i="607" s="1"/>
  <c r="AI24" i="607"/>
  <c r="AT23" i="607"/>
  <c r="AR23" i="607"/>
  <c r="H23" i="607" s="1"/>
  <c r="AQ23" i="607"/>
  <c r="G23" i="607" s="1"/>
  <c r="AP23" i="607"/>
  <c r="F23" i="607" s="1"/>
  <c r="AO23" i="607"/>
  <c r="E23" i="607" s="1"/>
  <c r="AI23" i="607"/>
  <c r="AT22" i="607"/>
  <c r="AR22" i="607"/>
  <c r="H22" i="607" s="1"/>
  <c r="AQ22" i="607"/>
  <c r="G22" i="607" s="1"/>
  <c r="AP22" i="607"/>
  <c r="F22" i="607" s="1"/>
  <c r="AO22" i="607"/>
  <c r="E22" i="607" s="1"/>
  <c r="AI22" i="607"/>
  <c r="AT21" i="607"/>
  <c r="AR21" i="607"/>
  <c r="H21" i="607" s="1"/>
  <c r="AQ21" i="607"/>
  <c r="G21" i="607" s="1"/>
  <c r="AP21" i="607"/>
  <c r="F21" i="607" s="1"/>
  <c r="AO21" i="607"/>
  <c r="E21" i="607" s="1"/>
  <c r="AN21" i="607"/>
  <c r="AN22" i="607" s="1"/>
  <c r="AI21" i="607"/>
  <c r="AH21" i="607"/>
  <c r="AG21" i="607"/>
  <c r="AT20" i="607"/>
  <c r="AR20" i="607"/>
  <c r="H20" i="607" s="1"/>
  <c r="AQ20" i="607"/>
  <c r="G20" i="607" s="1"/>
  <c r="AP20" i="607"/>
  <c r="F20" i="607" s="1"/>
  <c r="AO20" i="607"/>
  <c r="E20" i="607" s="1"/>
  <c r="AI20" i="607"/>
  <c r="AH20" i="607"/>
  <c r="AG20" i="607"/>
  <c r="AT19" i="607"/>
  <c r="AR19" i="607"/>
  <c r="H19" i="607" s="1"/>
  <c r="AQ19" i="607"/>
  <c r="G19" i="607" s="1"/>
  <c r="AP19" i="607"/>
  <c r="F19" i="607" s="1"/>
  <c r="AO19" i="607"/>
  <c r="E19" i="607" s="1"/>
  <c r="AI19" i="607"/>
  <c r="AH19" i="607"/>
  <c r="AG19" i="607"/>
  <c r="AK19" i="607" s="1"/>
  <c r="AT18" i="607"/>
  <c r="AR18" i="607"/>
  <c r="H18" i="607" s="1"/>
  <c r="AQ18" i="607"/>
  <c r="G18" i="607" s="1"/>
  <c r="AP18" i="607"/>
  <c r="F18" i="607" s="1"/>
  <c r="AO18" i="607"/>
  <c r="E18" i="607" s="1"/>
  <c r="AI18" i="607"/>
  <c r="AH18" i="607"/>
  <c r="AG18" i="607"/>
  <c r="AJ18" i="607" s="1"/>
  <c r="AT17" i="607"/>
  <c r="AR17" i="607"/>
  <c r="H17" i="607" s="1"/>
  <c r="AQ17" i="607"/>
  <c r="G17" i="607" s="1"/>
  <c r="AP17" i="607"/>
  <c r="F17" i="607" s="1"/>
  <c r="AO17" i="607"/>
  <c r="E17" i="607" s="1"/>
  <c r="AI17" i="607"/>
  <c r="AH17" i="607"/>
  <c r="AG17" i="607"/>
  <c r="AT16" i="607"/>
  <c r="AR16" i="607"/>
  <c r="H16" i="607" s="1"/>
  <c r="AQ16" i="607"/>
  <c r="G16" i="607" s="1"/>
  <c r="AP16" i="607"/>
  <c r="F16" i="607" s="1"/>
  <c r="AO16" i="607"/>
  <c r="E16" i="607" s="1"/>
  <c r="AI16" i="607"/>
  <c r="AH16" i="607"/>
  <c r="AG16" i="607"/>
  <c r="AT15" i="607"/>
  <c r="AR15" i="607"/>
  <c r="H15" i="607" s="1"/>
  <c r="AQ15" i="607"/>
  <c r="G15" i="607" s="1"/>
  <c r="AP15" i="607"/>
  <c r="F15" i="607" s="1"/>
  <c r="AO15" i="607"/>
  <c r="E15" i="607" s="1"/>
  <c r="AI15" i="607"/>
  <c r="AH15" i="607"/>
  <c r="AG15" i="607"/>
  <c r="AK15" i="607" s="1"/>
  <c r="AT14" i="607"/>
  <c r="AR14" i="607"/>
  <c r="H14" i="607" s="1"/>
  <c r="AQ14" i="607"/>
  <c r="G14" i="607" s="1"/>
  <c r="AP14" i="607"/>
  <c r="F14" i="607" s="1"/>
  <c r="AO14" i="607"/>
  <c r="E14" i="607" s="1"/>
  <c r="AN14" i="607"/>
  <c r="AN15" i="607" s="1"/>
  <c r="AN16" i="607" s="1"/>
  <c r="AI14" i="607"/>
  <c r="AH14" i="607"/>
  <c r="AG14" i="607"/>
  <c r="AJ14" i="607" s="1"/>
  <c r="AT13" i="607"/>
  <c r="AR13" i="607"/>
  <c r="H13" i="607" s="1"/>
  <c r="AQ13" i="607"/>
  <c r="G13" i="607" s="1"/>
  <c r="AP13" i="607"/>
  <c r="F13" i="607" s="1"/>
  <c r="AO13" i="607"/>
  <c r="E13" i="607" s="1"/>
  <c r="AI13" i="607"/>
  <c r="AH13" i="607"/>
  <c r="AG13" i="607"/>
  <c r="AT12" i="607"/>
  <c r="AR12" i="607"/>
  <c r="H12" i="607" s="1"/>
  <c r="AQ12" i="607"/>
  <c r="G12" i="607" s="1"/>
  <c r="AP12" i="607"/>
  <c r="F12" i="607" s="1"/>
  <c r="AO12" i="607"/>
  <c r="E12" i="607" s="1"/>
  <c r="AI12" i="607"/>
  <c r="AH12" i="607"/>
  <c r="AG12" i="607"/>
  <c r="AT11" i="607"/>
  <c r="AR11" i="607"/>
  <c r="H11" i="607" s="1"/>
  <c r="AQ11" i="607"/>
  <c r="G11" i="607" s="1"/>
  <c r="AP11" i="607"/>
  <c r="F11" i="607" s="1"/>
  <c r="AO11" i="607"/>
  <c r="E11" i="607" s="1"/>
  <c r="AI11" i="607"/>
  <c r="AH11" i="607"/>
  <c r="AG11" i="607"/>
  <c r="AK11" i="607" s="1"/>
  <c r="AT10" i="607"/>
  <c r="AR10" i="607"/>
  <c r="H10" i="607" s="1"/>
  <c r="AQ10" i="607"/>
  <c r="G10" i="607" s="1"/>
  <c r="AP10" i="607"/>
  <c r="F10" i="607" s="1"/>
  <c r="AO10" i="607"/>
  <c r="E10" i="607" s="1"/>
  <c r="AI10" i="607"/>
  <c r="AH10" i="607"/>
  <c r="AG10" i="607"/>
  <c r="AJ10" i="607" s="1"/>
  <c r="AT9" i="607"/>
  <c r="AR9" i="607"/>
  <c r="H9" i="607" s="1"/>
  <c r="AQ9" i="607"/>
  <c r="G9" i="607" s="1"/>
  <c r="AP9" i="607"/>
  <c r="F9" i="607" s="1"/>
  <c r="AO9" i="607"/>
  <c r="E9" i="607" s="1"/>
  <c r="AI9" i="607"/>
  <c r="AH9" i="607"/>
  <c r="AG9" i="607"/>
  <c r="AT8" i="607"/>
  <c r="AR8" i="607"/>
  <c r="H8" i="607" s="1"/>
  <c r="AQ8" i="607"/>
  <c r="G8" i="607" s="1"/>
  <c r="AP8" i="607"/>
  <c r="F8" i="607" s="1"/>
  <c r="AO8" i="607"/>
  <c r="E8" i="607" s="1"/>
  <c r="AI8" i="607"/>
  <c r="AH8" i="607"/>
  <c r="AG8" i="607"/>
  <c r="AT7" i="607"/>
  <c r="AR7" i="607"/>
  <c r="H7" i="607" s="1"/>
  <c r="AQ7" i="607"/>
  <c r="G7" i="607" s="1"/>
  <c r="AP7" i="607"/>
  <c r="F7" i="607" s="1"/>
  <c r="AO7" i="607"/>
  <c r="E7" i="607" s="1"/>
  <c r="AN7" i="607"/>
  <c r="AN8" i="607" s="1"/>
  <c r="AI7" i="607"/>
  <c r="AH7" i="607"/>
  <c r="AG7" i="607"/>
  <c r="AK7" i="607" s="1"/>
  <c r="AT6" i="607"/>
  <c r="AR6" i="607"/>
  <c r="H6" i="607" s="1"/>
  <c r="AQ6" i="607"/>
  <c r="G6" i="607" s="1"/>
  <c r="AP6" i="607"/>
  <c r="F6" i="607" s="1"/>
  <c r="AO6" i="607"/>
  <c r="E6" i="607" s="1"/>
  <c r="AN6" i="607"/>
  <c r="D6" i="607" s="1"/>
  <c r="AM6" i="607"/>
  <c r="AM7" i="607" s="1"/>
  <c r="AM8" i="607" s="1"/>
  <c r="AL6" i="607"/>
  <c r="AL7" i="607" s="1"/>
  <c r="AL8" i="607" s="1"/>
  <c r="AI6" i="607"/>
  <c r="AH6" i="607"/>
  <c r="AG6" i="607"/>
  <c r="D50" i="606"/>
  <c r="E50" i="606" s="1"/>
  <c r="F50" i="606" s="1"/>
  <c r="G50" i="606" s="1"/>
  <c r="H50" i="606" s="1"/>
  <c r="I50" i="606" s="1"/>
  <c r="J50" i="606" s="1"/>
  <c r="K50" i="606" s="1"/>
  <c r="L50" i="606" s="1"/>
  <c r="M50" i="606" s="1"/>
  <c r="N50" i="606" s="1"/>
  <c r="O50" i="606" s="1"/>
  <c r="P50" i="606" s="1"/>
  <c r="Q50" i="606" s="1"/>
  <c r="R50" i="606" s="1"/>
  <c r="S50" i="606" s="1"/>
  <c r="T50" i="606" s="1"/>
  <c r="U50" i="606" s="1"/>
  <c r="V50" i="606" s="1"/>
  <c r="W50" i="606" s="1"/>
  <c r="X50" i="606" s="1"/>
  <c r="Y50" i="606" s="1"/>
  <c r="Z50" i="606" s="1"/>
  <c r="AA50" i="606" s="1"/>
  <c r="AB50" i="606" s="1"/>
  <c r="AC50" i="606" s="1"/>
  <c r="AD50" i="606" s="1"/>
  <c r="AE50" i="606" s="1"/>
  <c r="AF50" i="606" s="1"/>
  <c r="AG50" i="606" s="1"/>
  <c r="AH50" i="606" s="1"/>
  <c r="AI50" i="606" s="1"/>
  <c r="AJ50" i="606" s="1"/>
  <c r="AK50" i="606" s="1"/>
  <c r="AL50" i="606" s="1"/>
  <c r="AM50" i="606" s="1"/>
  <c r="AN50" i="606" s="1"/>
  <c r="AO50" i="606" s="1"/>
  <c r="AP50" i="606" s="1"/>
  <c r="AQ50" i="606" s="1"/>
  <c r="AR50" i="606" s="1"/>
  <c r="AS50" i="606" s="1"/>
  <c r="AT50" i="606" s="1"/>
  <c r="AU50" i="606" s="1"/>
  <c r="AV50" i="606" s="1"/>
  <c r="AW50" i="606" s="1"/>
  <c r="AX50" i="606" s="1"/>
  <c r="AY50" i="606" s="1"/>
  <c r="AZ50" i="606" s="1"/>
  <c r="BA50" i="606" s="1"/>
  <c r="BB50" i="606" s="1"/>
  <c r="BC50" i="606" s="1"/>
  <c r="BD50" i="606" s="1"/>
  <c r="BE50" i="606" s="1"/>
  <c r="BF50" i="606" s="1"/>
  <c r="BG50" i="606" s="1"/>
  <c r="BH50" i="606" s="1"/>
  <c r="BI50" i="606" s="1"/>
  <c r="BJ50" i="606" s="1"/>
  <c r="BK50" i="606" s="1"/>
  <c r="BL50" i="606" s="1"/>
  <c r="BM50" i="606" s="1"/>
  <c r="BN50" i="606" s="1"/>
  <c r="BO50" i="606" s="1"/>
  <c r="BP50" i="606" s="1"/>
  <c r="BQ50" i="606" s="1"/>
  <c r="BR50" i="606" s="1"/>
  <c r="BS50" i="606" s="1"/>
  <c r="BT50" i="606" s="1"/>
  <c r="BU50" i="606" s="1"/>
  <c r="BV50" i="606" s="1"/>
  <c r="BW50" i="606" s="1"/>
  <c r="BX50" i="606" s="1"/>
  <c r="BY50" i="606" s="1"/>
  <c r="BZ50" i="606" s="1"/>
  <c r="CA50" i="606" s="1"/>
  <c r="CB50" i="606" s="1"/>
  <c r="CC50" i="606" s="1"/>
  <c r="CD50" i="606" s="1"/>
  <c r="CE50" i="606" s="1"/>
  <c r="CF50" i="606" s="1"/>
  <c r="CG50" i="606" s="1"/>
  <c r="CH50" i="606" s="1"/>
  <c r="CI50" i="606" s="1"/>
  <c r="CJ50" i="606" s="1"/>
  <c r="CK50" i="606" s="1"/>
  <c r="CL50" i="606" s="1"/>
  <c r="CM50" i="606" s="1"/>
  <c r="CN50" i="606" s="1"/>
  <c r="CO50" i="606" s="1"/>
  <c r="CP50" i="606" s="1"/>
  <c r="CQ50" i="606" s="1"/>
  <c r="CR50" i="606" s="1"/>
  <c r="CS50" i="606" s="1"/>
  <c r="CT50" i="606" s="1"/>
  <c r="B48" i="606"/>
  <c r="C46" i="606"/>
  <c r="E22" i="606"/>
  <c r="D22" i="606"/>
  <c r="C18" i="606"/>
  <c r="AT426" i="605"/>
  <c r="AR426" i="605"/>
  <c r="H426" i="605" s="1"/>
  <c r="AQ426" i="605"/>
  <c r="G426" i="605" s="1"/>
  <c r="AP426" i="605"/>
  <c r="F426" i="605" s="1"/>
  <c r="AO426" i="605"/>
  <c r="E426" i="605" s="1"/>
  <c r="AN426" i="605"/>
  <c r="D426" i="605" s="1"/>
  <c r="AI426" i="605"/>
  <c r="AH426" i="605"/>
  <c r="AG426" i="605"/>
  <c r="AT425" i="605"/>
  <c r="AR425" i="605"/>
  <c r="H425" i="605" s="1"/>
  <c r="AQ425" i="605"/>
  <c r="G425" i="605" s="1"/>
  <c r="AP425" i="605"/>
  <c r="F425" i="605" s="1"/>
  <c r="AO425" i="605"/>
  <c r="E425" i="605" s="1"/>
  <c r="AN425" i="605"/>
  <c r="D425" i="605" s="1"/>
  <c r="AI425" i="605"/>
  <c r="AH425" i="605"/>
  <c r="AG425" i="605"/>
  <c r="AJ425" i="605" s="1"/>
  <c r="AT424" i="605"/>
  <c r="AR424" i="605"/>
  <c r="H424" i="605" s="1"/>
  <c r="AQ424" i="605"/>
  <c r="G424" i="605" s="1"/>
  <c r="AP424" i="605"/>
  <c r="F424" i="605" s="1"/>
  <c r="AO424" i="605"/>
  <c r="E424" i="605" s="1"/>
  <c r="AN424" i="605"/>
  <c r="D424" i="605" s="1"/>
  <c r="AI424" i="605"/>
  <c r="AH424" i="605"/>
  <c r="AG424" i="605"/>
  <c r="AT423" i="605"/>
  <c r="AR423" i="605"/>
  <c r="H423" i="605" s="1"/>
  <c r="AQ423" i="605"/>
  <c r="G423" i="605" s="1"/>
  <c r="AP423" i="605"/>
  <c r="F423" i="605" s="1"/>
  <c r="AO423" i="605"/>
  <c r="E423" i="605" s="1"/>
  <c r="AN423" i="605"/>
  <c r="D423" i="605" s="1"/>
  <c r="AI423" i="605"/>
  <c r="AH423" i="605"/>
  <c r="AG423" i="605"/>
  <c r="AT422" i="605"/>
  <c r="AR422" i="605"/>
  <c r="H422" i="605" s="1"/>
  <c r="AQ422" i="605"/>
  <c r="G422" i="605" s="1"/>
  <c r="AP422" i="605"/>
  <c r="F422" i="605" s="1"/>
  <c r="AO422" i="605"/>
  <c r="E422" i="605" s="1"/>
  <c r="AI422" i="605"/>
  <c r="AH422" i="605"/>
  <c r="AG422" i="605"/>
  <c r="AT421" i="605"/>
  <c r="AR421" i="605"/>
  <c r="H421" i="605" s="1"/>
  <c r="AQ421" i="605"/>
  <c r="G421" i="605" s="1"/>
  <c r="AP421" i="605"/>
  <c r="F421" i="605" s="1"/>
  <c r="AO421" i="605"/>
  <c r="E421" i="605" s="1"/>
  <c r="AI421" i="605"/>
  <c r="AH421" i="605"/>
  <c r="AG421" i="605"/>
  <c r="AT420" i="605"/>
  <c r="AR420" i="605"/>
  <c r="H420" i="605" s="1"/>
  <c r="AQ420" i="605"/>
  <c r="G420" i="605" s="1"/>
  <c r="AP420" i="605"/>
  <c r="F420" i="605" s="1"/>
  <c r="AO420" i="605"/>
  <c r="E420" i="605" s="1"/>
  <c r="AN420" i="605"/>
  <c r="AN421" i="605" s="1"/>
  <c r="AI420" i="605"/>
  <c r="AH420" i="605"/>
  <c r="AG420" i="605"/>
  <c r="AT419" i="605"/>
  <c r="AR419" i="605"/>
  <c r="H419" i="605" s="1"/>
  <c r="AQ419" i="605"/>
  <c r="G419" i="605" s="1"/>
  <c r="AP419" i="605"/>
  <c r="F419" i="605" s="1"/>
  <c r="AO419" i="605"/>
  <c r="E419" i="605" s="1"/>
  <c r="AI419" i="605"/>
  <c r="AH419" i="605"/>
  <c r="AG419" i="605"/>
  <c r="AT418" i="605"/>
  <c r="AR418" i="605"/>
  <c r="H418" i="605" s="1"/>
  <c r="AQ418" i="605"/>
  <c r="G418" i="605" s="1"/>
  <c r="AP418" i="605"/>
  <c r="F418" i="605" s="1"/>
  <c r="AO418" i="605"/>
  <c r="E418" i="605" s="1"/>
  <c r="AI418" i="605"/>
  <c r="AH418" i="605"/>
  <c r="AG418" i="605"/>
  <c r="AT417" i="605"/>
  <c r="AR417" i="605"/>
  <c r="H417" i="605" s="1"/>
  <c r="AQ417" i="605"/>
  <c r="G417" i="605" s="1"/>
  <c r="AP417" i="605"/>
  <c r="F417" i="605" s="1"/>
  <c r="AO417" i="605"/>
  <c r="E417" i="605" s="1"/>
  <c r="AI417" i="605"/>
  <c r="AH417" i="605"/>
  <c r="AG417" i="605"/>
  <c r="AT416" i="605"/>
  <c r="AR416" i="605"/>
  <c r="H416" i="605" s="1"/>
  <c r="AQ416" i="605"/>
  <c r="G416" i="605" s="1"/>
  <c r="AP416" i="605"/>
  <c r="F416" i="605" s="1"/>
  <c r="AO416" i="605"/>
  <c r="E416" i="605" s="1"/>
  <c r="AI416" i="605"/>
  <c r="AH416" i="605"/>
  <c r="AG416" i="605"/>
  <c r="AT415" i="605"/>
  <c r="AR415" i="605"/>
  <c r="H415" i="605" s="1"/>
  <c r="AQ415" i="605"/>
  <c r="G415" i="605" s="1"/>
  <c r="AP415" i="605"/>
  <c r="F415" i="605" s="1"/>
  <c r="AO415" i="605"/>
  <c r="E415" i="605" s="1"/>
  <c r="AI415" i="605"/>
  <c r="AH415" i="605"/>
  <c r="AG415" i="605"/>
  <c r="AT414" i="605"/>
  <c r="AR414" i="605"/>
  <c r="H414" i="605" s="1"/>
  <c r="AQ414" i="605"/>
  <c r="G414" i="605" s="1"/>
  <c r="AP414" i="605"/>
  <c r="F414" i="605" s="1"/>
  <c r="AO414" i="605"/>
  <c r="E414" i="605" s="1"/>
  <c r="AI414" i="605"/>
  <c r="AH414" i="605"/>
  <c r="AG414" i="605"/>
  <c r="AT413" i="605"/>
  <c r="AR413" i="605"/>
  <c r="H413" i="605" s="1"/>
  <c r="AQ413" i="605"/>
  <c r="G413" i="605" s="1"/>
  <c r="AP413" i="605"/>
  <c r="F413" i="605" s="1"/>
  <c r="AO413" i="605"/>
  <c r="E413" i="605" s="1"/>
  <c r="AN413" i="605"/>
  <c r="AN414" i="605" s="1"/>
  <c r="AN415" i="605" s="1"/>
  <c r="AI413" i="605"/>
  <c r="AH413" i="605"/>
  <c r="AG413" i="605"/>
  <c r="AT412" i="605"/>
  <c r="AR412" i="605"/>
  <c r="H412" i="605" s="1"/>
  <c r="AQ412" i="605"/>
  <c r="G412" i="605" s="1"/>
  <c r="AP412" i="605"/>
  <c r="F412" i="605" s="1"/>
  <c r="AO412" i="605"/>
  <c r="E412" i="605" s="1"/>
  <c r="AI412" i="605"/>
  <c r="AH412" i="605"/>
  <c r="AG412" i="605"/>
  <c r="AT411" i="605"/>
  <c r="AR411" i="605"/>
  <c r="H411" i="605" s="1"/>
  <c r="AQ411" i="605"/>
  <c r="G411" i="605" s="1"/>
  <c r="AP411" i="605"/>
  <c r="F411" i="605" s="1"/>
  <c r="AO411" i="605"/>
  <c r="E411" i="605" s="1"/>
  <c r="AI411" i="605"/>
  <c r="AH411" i="605"/>
  <c r="AG411" i="605"/>
  <c r="AT410" i="605"/>
  <c r="AR410" i="605"/>
  <c r="H410" i="605" s="1"/>
  <c r="AQ410" i="605"/>
  <c r="G410" i="605" s="1"/>
  <c r="AP410" i="605"/>
  <c r="F410" i="605" s="1"/>
  <c r="AO410" i="605"/>
  <c r="E410" i="605" s="1"/>
  <c r="AI410" i="605"/>
  <c r="AH410" i="605"/>
  <c r="AG410" i="605"/>
  <c r="AT409" i="605"/>
  <c r="AR409" i="605"/>
  <c r="H409" i="605" s="1"/>
  <c r="AQ409" i="605"/>
  <c r="G409" i="605" s="1"/>
  <c r="AP409" i="605"/>
  <c r="F409" i="605" s="1"/>
  <c r="AO409" i="605"/>
  <c r="E409" i="605" s="1"/>
  <c r="AI409" i="605"/>
  <c r="AH409" i="605"/>
  <c r="AG409" i="605"/>
  <c r="AT408" i="605"/>
  <c r="AR408" i="605"/>
  <c r="H408" i="605" s="1"/>
  <c r="AQ408" i="605"/>
  <c r="G408" i="605" s="1"/>
  <c r="AP408" i="605"/>
  <c r="F408" i="605" s="1"/>
  <c r="AO408" i="605"/>
  <c r="E408" i="605" s="1"/>
  <c r="AI408" i="605"/>
  <c r="AH408" i="605"/>
  <c r="AG408" i="605"/>
  <c r="AT407" i="605"/>
  <c r="AR407" i="605"/>
  <c r="H407" i="605" s="1"/>
  <c r="AQ407" i="605"/>
  <c r="G407" i="605" s="1"/>
  <c r="AP407" i="605"/>
  <c r="F407" i="605" s="1"/>
  <c r="AO407" i="605"/>
  <c r="E407" i="605" s="1"/>
  <c r="AI407" i="605"/>
  <c r="AH407" i="605"/>
  <c r="AG407" i="605"/>
  <c r="AJ407" i="605" s="1"/>
  <c r="AT406" i="605"/>
  <c r="AR406" i="605"/>
  <c r="H406" i="605" s="1"/>
  <c r="AQ406" i="605"/>
  <c r="G406" i="605" s="1"/>
  <c r="AP406" i="605"/>
  <c r="F406" i="605" s="1"/>
  <c r="AO406" i="605"/>
  <c r="E406" i="605" s="1"/>
  <c r="AN406" i="605"/>
  <c r="AN407" i="605" s="1"/>
  <c r="AI406" i="605"/>
  <c r="AH406" i="605"/>
  <c r="AG406" i="605"/>
  <c r="AT405" i="605"/>
  <c r="AR405" i="605"/>
  <c r="H405" i="605" s="1"/>
  <c r="AQ405" i="605"/>
  <c r="G405" i="605" s="1"/>
  <c r="AP405" i="605"/>
  <c r="F405" i="605" s="1"/>
  <c r="AO405" i="605"/>
  <c r="E405" i="605" s="1"/>
  <c r="AI405" i="605"/>
  <c r="AH405" i="605"/>
  <c r="AG405" i="605"/>
  <c r="AJ405" i="605" s="1"/>
  <c r="AT404" i="605"/>
  <c r="AR404" i="605"/>
  <c r="H404" i="605" s="1"/>
  <c r="AQ404" i="605"/>
  <c r="G404" i="605" s="1"/>
  <c r="AP404" i="605"/>
  <c r="F404" i="605" s="1"/>
  <c r="AO404" i="605"/>
  <c r="E404" i="605" s="1"/>
  <c r="AI404" i="605"/>
  <c r="AH404" i="605"/>
  <c r="AG404" i="605"/>
  <c r="AT403" i="605"/>
  <c r="AR403" i="605"/>
  <c r="H403" i="605" s="1"/>
  <c r="AQ403" i="605"/>
  <c r="G403" i="605" s="1"/>
  <c r="AP403" i="605"/>
  <c r="F403" i="605" s="1"/>
  <c r="AO403" i="605"/>
  <c r="E403" i="605" s="1"/>
  <c r="AI403" i="605"/>
  <c r="AH403" i="605"/>
  <c r="AG403" i="605"/>
  <c r="AJ403" i="605" s="1"/>
  <c r="AT402" i="605"/>
  <c r="AR402" i="605"/>
  <c r="H402" i="605" s="1"/>
  <c r="AQ402" i="605"/>
  <c r="G402" i="605" s="1"/>
  <c r="AP402" i="605"/>
  <c r="F402" i="605" s="1"/>
  <c r="AO402" i="605"/>
  <c r="E402" i="605" s="1"/>
  <c r="AI402" i="605"/>
  <c r="AH402" i="605"/>
  <c r="AG402" i="605"/>
  <c r="AT401" i="605"/>
  <c r="AR401" i="605"/>
  <c r="H401" i="605" s="1"/>
  <c r="AQ401" i="605"/>
  <c r="G401" i="605" s="1"/>
  <c r="AP401" i="605"/>
  <c r="F401" i="605" s="1"/>
  <c r="AO401" i="605"/>
  <c r="E401" i="605" s="1"/>
  <c r="AI401" i="605"/>
  <c r="AH401" i="605"/>
  <c r="AG401" i="605"/>
  <c r="AT400" i="605"/>
  <c r="AR400" i="605"/>
  <c r="H400" i="605" s="1"/>
  <c r="AQ400" i="605"/>
  <c r="G400" i="605" s="1"/>
  <c r="AP400" i="605"/>
  <c r="F400" i="605" s="1"/>
  <c r="AO400" i="605"/>
  <c r="E400" i="605" s="1"/>
  <c r="AI400" i="605"/>
  <c r="AH400" i="605"/>
  <c r="AG400" i="605"/>
  <c r="AT399" i="605"/>
  <c r="AR399" i="605"/>
  <c r="H399" i="605" s="1"/>
  <c r="AQ399" i="605"/>
  <c r="G399" i="605" s="1"/>
  <c r="AP399" i="605"/>
  <c r="F399" i="605" s="1"/>
  <c r="AO399" i="605"/>
  <c r="E399" i="605" s="1"/>
  <c r="AN399" i="605"/>
  <c r="AN400" i="605" s="1"/>
  <c r="AI399" i="605"/>
  <c r="AH399" i="605"/>
  <c r="AG399" i="605"/>
  <c r="AT398" i="605"/>
  <c r="AR398" i="605"/>
  <c r="H398" i="605" s="1"/>
  <c r="AQ398" i="605"/>
  <c r="G398" i="605" s="1"/>
  <c r="AP398" i="605"/>
  <c r="F398" i="605" s="1"/>
  <c r="AO398" i="605"/>
  <c r="E398" i="605" s="1"/>
  <c r="AI398" i="605"/>
  <c r="AH398" i="605"/>
  <c r="AG398" i="605"/>
  <c r="AT397" i="605"/>
  <c r="AR397" i="605"/>
  <c r="H397" i="605" s="1"/>
  <c r="AQ397" i="605"/>
  <c r="G397" i="605" s="1"/>
  <c r="AP397" i="605"/>
  <c r="F397" i="605" s="1"/>
  <c r="AO397" i="605"/>
  <c r="E397" i="605" s="1"/>
  <c r="AI397" i="605"/>
  <c r="AH397" i="605"/>
  <c r="AG397" i="605"/>
  <c r="AT396" i="605"/>
  <c r="AR396" i="605"/>
  <c r="H396" i="605" s="1"/>
  <c r="AQ396" i="605"/>
  <c r="G396" i="605" s="1"/>
  <c r="AP396" i="605"/>
  <c r="F396" i="605" s="1"/>
  <c r="AO396" i="605"/>
  <c r="E396" i="605" s="1"/>
  <c r="AI396" i="605"/>
  <c r="AH396" i="605"/>
  <c r="AG396" i="605"/>
  <c r="AT395" i="605"/>
  <c r="AR395" i="605"/>
  <c r="H395" i="605" s="1"/>
  <c r="AQ395" i="605"/>
  <c r="G395" i="605" s="1"/>
  <c r="AP395" i="605"/>
  <c r="F395" i="605" s="1"/>
  <c r="AO395" i="605"/>
  <c r="E395" i="605" s="1"/>
  <c r="AI395" i="605"/>
  <c r="AH395" i="605"/>
  <c r="AG395" i="605"/>
  <c r="AT394" i="605"/>
  <c r="AR394" i="605"/>
  <c r="H394" i="605" s="1"/>
  <c r="AQ394" i="605"/>
  <c r="G394" i="605" s="1"/>
  <c r="AP394" i="605"/>
  <c r="F394" i="605" s="1"/>
  <c r="AO394" i="605"/>
  <c r="E394" i="605" s="1"/>
  <c r="AI394" i="605"/>
  <c r="AH394" i="605"/>
  <c r="AG394" i="605"/>
  <c r="AT393" i="605"/>
  <c r="AR393" i="605"/>
  <c r="H393" i="605" s="1"/>
  <c r="AQ393" i="605"/>
  <c r="G393" i="605" s="1"/>
  <c r="AP393" i="605"/>
  <c r="F393" i="605" s="1"/>
  <c r="AO393" i="605"/>
  <c r="E393" i="605" s="1"/>
  <c r="AI393" i="605"/>
  <c r="AH393" i="605"/>
  <c r="AG393" i="605"/>
  <c r="AT392" i="605"/>
  <c r="AR392" i="605"/>
  <c r="H392" i="605" s="1"/>
  <c r="AQ392" i="605"/>
  <c r="G392" i="605" s="1"/>
  <c r="AP392" i="605"/>
  <c r="F392" i="605" s="1"/>
  <c r="AO392" i="605"/>
  <c r="E392" i="605" s="1"/>
  <c r="AN392" i="605"/>
  <c r="AI392" i="605"/>
  <c r="AH392" i="605"/>
  <c r="AG392" i="605"/>
  <c r="AT391" i="605"/>
  <c r="AR391" i="605"/>
  <c r="H391" i="605" s="1"/>
  <c r="AQ391" i="605"/>
  <c r="G391" i="605" s="1"/>
  <c r="AP391" i="605"/>
  <c r="F391" i="605" s="1"/>
  <c r="AO391" i="605"/>
  <c r="E391" i="605" s="1"/>
  <c r="AI391" i="605"/>
  <c r="AH391" i="605"/>
  <c r="AG391" i="605"/>
  <c r="AJ391" i="605" s="1"/>
  <c r="AT390" i="605"/>
  <c r="AR390" i="605"/>
  <c r="H390" i="605" s="1"/>
  <c r="AQ390" i="605"/>
  <c r="G390" i="605" s="1"/>
  <c r="AP390" i="605"/>
  <c r="F390" i="605" s="1"/>
  <c r="AO390" i="605"/>
  <c r="E390" i="605" s="1"/>
  <c r="AI390" i="605"/>
  <c r="AH390" i="605"/>
  <c r="AG390" i="605"/>
  <c r="AT389" i="605"/>
  <c r="AR389" i="605"/>
  <c r="H389" i="605" s="1"/>
  <c r="AQ389" i="605"/>
  <c r="G389" i="605" s="1"/>
  <c r="AP389" i="605"/>
  <c r="F389" i="605" s="1"/>
  <c r="AO389" i="605"/>
  <c r="E389" i="605" s="1"/>
  <c r="AI389" i="605"/>
  <c r="AH389" i="605"/>
  <c r="AG389" i="605"/>
  <c r="AT388" i="605"/>
  <c r="AR388" i="605"/>
  <c r="H388" i="605" s="1"/>
  <c r="AQ388" i="605"/>
  <c r="G388" i="605" s="1"/>
  <c r="AP388" i="605"/>
  <c r="F388" i="605" s="1"/>
  <c r="AO388" i="605"/>
  <c r="E388" i="605" s="1"/>
  <c r="AI388" i="605"/>
  <c r="AH388" i="605"/>
  <c r="AG388" i="605"/>
  <c r="AT387" i="605"/>
  <c r="AR387" i="605"/>
  <c r="H387" i="605" s="1"/>
  <c r="AQ387" i="605"/>
  <c r="G387" i="605" s="1"/>
  <c r="AP387" i="605"/>
  <c r="F387" i="605" s="1"/>
  <c r="AO387" i="605"/>
  <c r="E387" i="605" s="1"/>
  <c r="AI387" i="605"/>
  <c r="AH387" i="605"/>
  <c r="AG387" i="605"/>
  <c r="AT386" i="605"/>
  <c r="AR386" i="605"/>
  <c r="H386" i="605" s="1"/>
  <c r="AQ386" i="605"/>
  <c r="G386" i="605" s="1"/>
  <c r="AP386" i="605"/>
  <c r="F386" i="605" s="1"/>
  <c r="AO386" i="605"/>
  <c r="E386" i="605" s="1"/>
  <c r="AI386" i="605"/>
  <c r="AH386" i="605"/>
  <c r="AG386" i="605"/>
  <c r="AT385" i="605"/>
  <c r="AR385" i="605"/>
  <c r="H385" i="605" s="1"/>
  <c r="AQ385" i="605"/>
  <c r="G385" i="605" s="1"/>
  <c r="AP385" i="605"/>
  <c r="F385" i="605" s="1"/>
  <c r="AO385" i="605"/>
  <c r="E385" i="605" s="1"/>
  <c r="AN385" i="605"/>
  <c r="D385" i="605" s="1"/>
  <c r="AI385" i="605"/>
  <c r="AH385" i="605"/>
  <c r="AG385" i="605"/>
  <c r="AT384" i="605"/>
  <c r="AR384" i="605"/>
  <c r="H384" i="605" s="1"/>
  <c r="AQ384" i="605"/>
  <c r="G384" i="605" s="1"/>
  <c r="AP384" i="605"/>
  <c r="F384" i="605" s="1"/>
  <c r="AO384" i="605"/>
  <c r="E384" i="605" s="1"/>
  <c r="AI384" i="605"/>
  <c r="AH384" i="605"/>
  <c r="AG384" i="605"/>
  <c r="AJ384" i="605" s="1"/>
  <c r="AT383" i="605"/>
  <c r="AR383" i="605"/>
  <c r="H383" i="605" s="1"/>
  <c r="AQ383" i="605"/>
  <c r="G383" i="605" s="1"/>
  <c r="AP383" i="605"/>
  <c r="F383" i="605" s="1"/>
  <c r="AO383" i="605"/>
  <c r="E383" i="605" s="1"/>
  <c r="AI383" i="605"/>
  <c r="AH383" i="605"/>
  <c r="AG383" i="605"/>
  <c r="AT382" i="605"/>
  <c r="AR382" i="605"/>
  <c r="H382" i="605" s="1"/>
  <c r="AQ382" i="605"/>
  <c r="G382" i="605" s="1"/>
  <c r="AP382" i="605"/>
  <c r="F382" i="605" s="1"/>
  <c r="AO382" i="605"/>
  <c r="E382" i="605" s="1"/>
  <c r="AI382" i="605"/>
  <c r="AH382" i="605"/>
  <c r="AG382" i="605"/>
  <c r="AT381" i="605"/>
  <c r="AR381" i="605"/>
  <c r="H381" i="605" s="1"/>
  <c r="AQ381" i="605"/>
  <c r="G381" i="605" s="1"/>
  <c r="AP381" i="605"/>
  <c r="F381" i="605" s="1"/>
  <c r="AO381" i="605"/>
  <c r="E381" i="605" s="1"/>
  <c r="AI381" i="605"/>
  <c r="AH381" i="605"/>
  <c r="AG381" i="605"/>
  <c r="AK381" i="605" s="1"/>
  <c r="AT380" i="605"/>
  <c r="AR380" i="605"/>
  <c r="H380" i="605" s="1"/>
  <c r="AQ380" i="605"/>
  <c r="G380" i="605" s="1"/>
  <c r="AP380" i="605"/>
  <c r="F380" i="605" s="1"/>
  <c r="AO380" i="605"/>
  <c r="E380" i="605" s="1"/>
  <c r="AI380" i="605"/>
  <c r="AH380" i="605"/>
  <c r="AG380" i="605"/>
  <c r="AT379" i="605"/>
  <c r="AR379" i="605"/>
  <c r="H379" i="605" s="1"/>
  <c r="AQ379" i="605"/>
  <c r="G379" i="605" s="1"/>
  <c r="AP379" i="605"/>
  <c r="F379" i="605" s="1"/>
  <c r="AO379" i="605"/>
  <c r="E379" i="605" s="1"/>
  <c r="AI379" i="605"/>
  <c r="AH379" i="605"/>
  <c r="AG379" i="605"/>
  <c r="AT378" i="605"/>
  <c r="AR378" i="605"/>
  <c r="H378" i="605" s="1"/>
  <c r="AQ378" i="605"/>
  <c r="G378" i="605" s="1"/>
  <c r="AP378" i="605"/>
  <c r="F378" i="605" s="1"/>
  <c r="AO378" i="605"/>
  <c r="E378" i="605" s="1"/>
  <c r="AN378" i="605"/>
  <c r="D378" i="605" s="1"/>
  <c r="AI378" i="605"/>
  <c r="AH378" i="605"/>
  <c r="AG378" i="605"/>
  <c r="AT377" i="605"/>
  <c r="AR377" i="605"/>
  <c r="H377" i="605" s="1"/>
  <c r="AQ377" i="605"/>
  <c r="G377" i="605" s="1"/>
  <c r="AP377" i="605"/>
  <c r="F377" i="605" s="1"/>
  <c r="AO377" i="605"/>
  <c r="E377" i="605" s="1"/>
  <c r="AI377" i="605"/>
  <c r="AH377" i="605"/>
  <c r="AG377" i="605"/>
  <c r="AT376" i="605"/>
  <c r="AR376" i="605"/>
  <c r="H376" i="605" s="1"/>
  <c r="AQ376" i="605"/>
  <c r="G376" i="605" s="1"/>
  <c r="AP376" i="605"/>
  <c r="F376" i="605" s="1"/>
  <c r="AO376" i="605"/>
  <c r="E376" i="605" s="1"/>
  <c r="AI376" i="605"/>
  <c r="AH376" i="605"/>
  <c r="AG376" i="605"/>
  <c r="AT375" i="605"/>
  <c r="AR375" i="605"/>
  <c r="H375" i="605" s="1"/>
  <c r="AQ375" i="605"/>
  <c r="G375" i="605" s="1"/>
  <c r="AP375" i="605"/>
  <c r="F375" i="605" s="1"/>
  <c r="AO375" i="605"/>
  <c r="E375" i="605" s="1"/>
  <c r="AI375" i="605"/>
  <c r="AH375" i="605"/>
  <c r="AG375" i="605"/>
  <c r="AT374" i="605"/>
  <c r="AR374" i="605"/>
  <c r="H374" i="605" s="1"/>
  <c r="AQ374" i="605"/>
  <c r="G374" i="605" s="1"/>
  <c r="AP374" i="605"/>
  <c r="F374" i="605" s="1"/>
  <c r="AO374" i="605"/>
  <c r="E374" i="605" s="1"/>
  <c r="AI374" i="605"/>
  <c r="AH374" i="605"/>
  <c r="AG374" i="605"/>
  <c r="AK374" i="605" s="1"/>
  <c r="AT373" i="605"/>
  <c r="AR373" i="605"/>
  <c r="H373" i="605" s="1"/>
  <c r="AQ373" i="605"/>
  <c r="G373" i="605" s="1"/>
  <c r="AP373" i="605"/>
  <c r="F373" i="605" s="1"/>
  <c r="AO373" i="605"/>
  <c r="E373" i="605" s="1"/>
  <c r="AI373" i="605"/>
  <c r="AH373" i="605"/>
  <c r="AG373" i="605"/>
  <c r="AT372" i="605"/>
  <c r="AR372" i="605"/>
  <c r="H372" i="605" s="1"/>
  <c r="AQ372" i="605"/>
  <c r="G372" i="605" s="1"/>
  <c r="AP372" i="605"/>
  <c r="F372" i="605" s="1"/>
  <c r="AO372" i="605"/>
  <c r="E372" i="605" s="1"/>
  <c r="AI372" i="605"/>
  <c r="AH372" i="605"/>
  <c r="AG372" i="605"/>
  <c r="AT371" i="605"/>
  <c r="AR371" i="605"/>
  <c r="H371" i="605" s="1"/>
  <c r="AQ371" i="605"/>
  <c r="G371" i="605" s="1"/>
  <c r="AP371" i="605"/>
  <c r="F371" i="605" s="1"/>
  <c r="AO371" i="605"/>
  <c r="E371" i="605" s="1"/>
  <c r="AN371" i="605"/>
  <c r="D371" i="605" s="1"/>
  <c r="AI371" i="605"/>
  <c r="AH371" i="605"/>
  <c r="AG371" i="605"/>
  <c r="AT370" i="605"/>
  <c r="AR370" i="605"/>
  <c r="H370" i="605" s="1"/>
  <c r="AQ370" i="605"/>
  <c r="G370" i="605" s="1"/>
  <c r="AP370" i="605"/>
  <c r="F370" i="605" s="1"/>
  <c r="AO370" i="605"/>
  <c r="E370" i="605" s="1"/>
  <c r="AI370" i="605"/>
  <c r="AH370" i="605"/>
  <c r="AG370" i="605"/>
  <c r="AT369" i="605"/>
  <c r="AR369" i="605"/>
  <c r="H369" i="605" s="1"/>
  <c r="AQ369" i="605"/>
  <c r="G369" i="605" s="1"/>
  <c r="AP369" i="605"/>
  <c r="F369" i="605" s="1"/>
  <c r="AO369" i="605"/>
  <c r="E369" i="605" s="1"/>
  <c r="AI369" i="605"/>
  <c r="AH369" i="605"/>
  <c r="AG369" i="605"/>
  <c r="AT368" i="605"/>
  <c r="AR368" i="605"/>
  <c r="H368" i="605" s="1"/>
  <c r="AQ368" i="605"/>
  <c r="G368" i="605" s="1"/>
  <c r="AP368" i="605"/>
  <c r="F368" i="605" s="1"/>
  <c r="AO368" i="605"/>
  <c r="E368" i="605" s="1"/>
  <c r="AI368" i="605"/>
  <c r="AH368" i="605"/>
  <c r="AG368" i="605"/>
  <c r="AT367" i="605"/>
  <c r="AR367" i="605"/>
  <c r="H367" i="605" s="1"/>
  <c r="AQ367" i="605"/>
  <c r="G367" i="605" s="1"/>
  <c r="AP367" i="605"/>
  <c r="F367" i="605" s="1"/>
  <c r="AO367" i="605"/>
  <c r="E367" i="605" s="1"/>
  <c r="AI367" i="605"/>
  <c r="AH367" i="605"/>
  <c r="AG367" i="605"/>
  <c r="AT366" i="605"/>
  <c r="AR366" i="605"/>
  <c r="H366" i="605" s="1"/>
  <c r="AQ366" i="605"/>
  <c r="G366" i="605" s="1"/>
  <c r="AP366" i="605"/>
  <c r="F366" i="605" s="1"/>
  <c r="AO366" i="605"/>
  <c r="E366" i="605" s="1"/>
  <c r="AI366" i="605"/>
  <c r="AH366" i="605"/>
  <c r="AG366" i="605"/>
  <c r="AT365" i="605"/>
  <c r="AR365" i="605"/>
  <c r="H365" i="605" s="1"/>
  <c r="AQ365" i="605"/>
  <c r="G365" i="605" s="1"/>
  <c r="AP365" i="605"/>
  <c r="F365" i="605" s="1"/>
  <c r="AO365" i="605"/>
  <c r="E365" i="605" s="1"/>
  <c r="AI365" i="605"/>
  <c r="AH365" i="605"/>
  <c r="AG365" i="605"/>
  <c r="AT364" i="605"/>
  <c r="AR364" i="605"/>
  <c r="H364" i="605" s="1"/>
  <c r="AQ364" i="605"/>
  <c r="G364" i="605" s="1"/>
  <c r="AP364" i="605"/>
  <c r="F364" i="605" s="1"/>
  <c r="AO364" i="605"/>
  <c r="E364" i="605" s="1"/>
  <c r="AN364" i="605"/>
  <c r="AN365" i="605" s="1"/>
  <c r="AI364" i="605"/>
  <c r="AH364" i="605"/>
  <c r="AG364" i="605"/>
  <c r="AT363" i="605"/>
  <c r="AR363" i="605"/>
  <c r="H363" i="605" s="1"/>
  <c r="AQ363" i="605"/>
  <c r="G363" i="605" s="1"/>
  <c r="AP363" i="605"/>
  <c r="F363" i="605" s="1"/>
  <c r="AO363" i="605"/>
  <c r="E363" i="605" s="1"/>
  <c r="AI363" i="605"/>
  <c r="AH363" i="605"/>
  <c r="AG363" i="605"/>
  <c r="AT362" i="605"/>
  <c r="AR362" i="605"/>
  <c r="H362" i="605" s="1"/>
  <c r="AQ362" i="605"/>
  <c r="G362" i="605" s="1"/>
  <c r="AP362" i="605"/>
  <c r="F362" i="605" s="1"/>
  <c r="AO362" i="605"/>
  <c r="E362" i="605" s="1"/>
  <c r="AI362" i="605"/>
  <c r="AH362" i="605"/>
  <c r="AG362" i="605"/>
  <c r="AT361" i="605"/>
  <c r="AR361" i="605"/>
  <c r="H361" i="605" s="1"/>
  <c r="AQ361" i="605"/>
  <c r="G361" i="605" s="1"/>
  <c r="AP361" i="605"/>
  <c r="F361" i="605" s="1"/>
  <c r="AO361" i="605"/>
  <c r="E361" i="605" s="1"/>
  <c r="AI361" i="605"/>
  <c r="AH361" i="605"/>
  <c r="AG361" i="605"/>
  <c r="AT360" i="605"/>
  <c r="AR360" i="605"/>
  <c r="H360" i="605" s="1"/>
  <c r="AQ360" i="605"/>
  <c r="G360" i="605" s="1"/>
  <c r="AP360" i="605"/>
  <c r="F360" i="605" s="1"/>
  <c r="AO360" i="605"/>
  <c r="E360" i="605" s="1"/>
  <c r="AI360" i="605"/>
  <c r="AH360" i="605"/>
  <c r="AG360" i="605"/>
  <c r="AT359" i="605"/>
  <c r="AR359" i="605"/>
  <c r="H359" i="605" s="1"/>
  <c r="AQ359" i="605"/>
  <c r="G359" i="605" s="1"/>
  <c r="AP359" i="605"/>
  <c r="F359" i="605" s="1"/>
  <c r="AO359" i="605"/>
  <c r="E359" i="605" s="1"/>
  <c r="AI359" i="605"/>
  <c r="AH359" i="605"/>
  <c r="AG359" i="605"/>
  <c r="AT358" i="605"/>
  <c r="AR358" i="605"/>
  <c r="H358" i="605" s="1"/>
  <c r="AQ358" i="605"/>
  <c r="G358" i="605" s="1"/>
  <c r="AP358" i="605"/>
  <c r="F358" i="605" s="1"/>
  <c r="AO358" i="605"/>
  <c r="E358" i="605" s="1"/>
  <c r="AI358" i="605"/>
  <c r="AH358" i="605"/>
  <c r="AG358" i="605"/>
  <c r="AT357" i="605"/>
  <c r="AR357" i="605"/>
  <c r="H357" i="605" s="1"/>
  <c r="AQ357" i="605"/>
  <c r="G357" i="605" s="1"/>
  <c r="AP357" i="605"/>
  <c r="F357" i="605" s="1"/>
  <c r="AO357" i="605"/>
  <c r="E357" i="605" s="1"/>
  <c r="AN357" i="605"/>
  <c r="AN358" i="605" s="1"/>
  <c r="D358" i="605" s="1"/>
  <c r="AI357" i="605"/>
  <c r="AH357" i="605"/>
  <c r="AG357" i="605"/>
  <c r="AT356" i="605"/>
  <c r="AR356" i="605"/>
  <c r="H356" i="605" s="1"/>
  <c r="AQ356" i="605"/>
  <c r="G356" i="605" s="1"/>
  <c r="AP356" i="605"/>
  <c r="F356" i="605" s="1"/>
  <c r="AO356" i="605"/>
  <c r="E356" i="605" s="1"/>
  <c r="AI356" i="605"/>
  <c r="AH356" i="605"/>
  <c r="AG356" i="605"/>
  <c r="AT355" i="605"/>
  <c r="AR355" i="605"/>
  <c r="H355" i="605" s="1"/>
  <c r="AQ355" i="605"/>
  <c r="G355" i="605" s="1"/>
  <c r="AP355" i="605"/>
  <c r="F355" i="605" s="1"/>
  <c r="AO355" i="605"/>
  <c r="E355" i="605" s="1"/>
  <c r="AI355" i="605"/>
  <c r="AH355" i="605"/>
  <c r="AG355" i="605"/>
  <c r="AT354" i="605"/>
  <c r="AR354" i="605"/>
  <c r="H354" i="605" s="1"/>
  <c r="AQ354" i="605"/>
  <c r="G354" i="605" s="1"/>
  <c r="AP354" i="605"/>
  <c r="F354" i="605" s="1"/>
  <c r="AO354" i="605"/>
  <c r="E354" i="605" s="1"/>
  <c r="AI354" i="605"/>
  <c r="AH354" i="605"/>
  <c r="AG354" i="605"/>
  <c r="AK354" i="605" s="1"/>
  <c r="AT353" i="605"/>
  <c r="AR353" i="605"/>
  <c r="H353" i="605" s="1"/>
  <c r="AQ353" i="605"/>
  <c r="G353" i="605" s="1"/>
  <c r="AP353" i="605"/>
  <c r="F353" i="605" s="1"/>
  <c r="AO353" i="605"/>
  <c r="E353" i="605" s="1"/>
  <c r="AI353" i="605"/>
  <c r="AH353" i="605"/>
  <c r="AG353" i="605"/>
  <c r="AT352" i="605"/>
  <c r="AR352" i="605"/>
  <c r="H352" i="605" s="1"/>
  <c r="AQ352" i="605"/>
  <c r="G352" i="605" s="1"/>
  <c r="AP352" i="605"/>
  <c r="F352" i="605" s="1"/>
  <c r="AO352" i="605"/>
  <c r="E352" i="605" s="1"/>
  <c r="AI352" i="605"/>
  <c r="AH352" i="605"/>
  <c r="AG352" i="605"/>
  <c r="AT351" i="605"/>
  <c r="AR351" i="605"/>
  <c r="H351" i="605" s="1"/>
  <c r="AQ351" i="605"/>
  <c r="G351" i="605" s="1"/>
  <c r="AP351" i="605"/>
  <c r="F351" i="605" s="1"/>
  <c r="AO351" i="605"/>
  <c r="E351" i="605" s="1"/>
  <c r="AI351" i="605"/>
  <c r="AH351" i="605"/>
  <c r="AG351" i="605"/>
  <c r="AT350" i="605"/>
  <c r="AR350" i="605"/>
  <c r="H350" i="605" s="1"/>
  <c r="AQ350" i="605"/>
  <c r="G350" i="605" s="1"/>
  <c r="AP350" i="605"/>
  <c r="F350" i="605" s="1"/>
  <c r="AO350" i="605"/>
  <c r="E350" i="605" s="1"/>
  <c r="AN350" i="605"/>
  <c r="D350" i="605" s="1"/>
  <c r="AI350" i="605"/>
  <c r="AH350" i="605"/>
  <c r="AG350" i="605"/>
  <c r="AT349" i="605"/>
  <c r="AR349" i="605"/>
  <c r="H349" i="605" s="1"/>
  <c r="AQ349" i="605"/>
  <c r="G349" i="605" s="1"/>
  <c r="AP349" i="605"/>
  <c r="F349" i="605" s="1"/>
  <c r="AO349" i="605"/>
  <c r="E349" i="605" s="1"/>
  <c r="AI349" i="605"/>
  <c r="AH349" i="605"/>
  <c r="AG349" i="605"/>
  <c r="AT348" i="605"/>
  <c r="AR348" i="605"/>
  <c r="H348" i="605" s="1"/>
  <c r="AQ348" i="605"/>
  <c r="G348" i="605" s="1"/>
  <c r="AP348" i="605"/>
  <c r="F348" i="605" s="1"/>
  <c r="AO348" i="605"/>
  <c r="E348" i="605" s="1"/>
  <c r="AI348" i="605"/>
  <c r="AH348" i="605"/>
  <c r="AG348" i="605"/>
  <c r="AJ348" i="605" s="1"/>
  <c r="AT347" i="605"/>
  <c r="AR347" i="605"/>
  <c r="H347" i="605" s="1"/>
  <c r="AQ347" i="605"/>
  <c r="G347" i="605" s="1"/>
  <c r="AP347" i="605"/>
  <c r="F347" i="605" s="1"/>
  <c r="AO347" i="605"/>
  <c r="E347" i="605" s="1"/>
  <c r="AI347" i="605"/>
  <c r="AH347" i="605"/>
  <c r="AG347" i="605"/>
  <c r="AT346" i="605"/>
  <c r="AR346" i="605"/>
  <c r="H346" i="605" s="1"/>
  <c r="AQ346" i="605"/>
  <c r="G346" i="605" s="1"/>
  <c r="AP346" i="605"/>
  <c r="F346" i="605" s="1"/>
  <c r="AO346" i="605"/>
  <c r="E346" i="605" s="1"/>
  <c r="AI346" i="605"/>
  <c r="AH346" i="605"/>
  <c r="AG346" i="605"/>
  <c r="AT345" i="605"/>
  <c r="AR345" i="605"/>
  <c r="H345" i="605" s="1"/>
  <c r="AQ345" i="605"/>
  <c r="G345" i="605" s="1"/>
  <c r="AP345" i="605"/>
  <c r="F345" i="605" s="1"/>
  <c r="AO345" i="605"/>
  <c r="E345" i="605" s="1"/>
  <c r="AI345" i="605"/>
  <c r="AH345" i="605"/>
  <c r="AG345" i="605"/>
  <c r="AK345" i="605" s="1"/>
  <c r="AT344" i="605"/>
  <c r="AR344" i="605"/>
  <c r="H344" i="605" s="1"/>
  <c r="AQ344" i="605"/>
  <c r="G344" i="605" s="1"/>
  <c r="AP344" i="605"/>
  <c r="F344" i="605" s="1"/>
  <c r="AO344" i="605"/>
  <c r="E344" i="605" s="1"/>
  <c r="AI344" i="605"/>
  <c r="AH344" i="605"/>
  <c r="AG344" i="605"/>
  <c r="AT343" i="605"/>
  <c r="AR343" i="605"/>
  <c r="H343" i="605" s="1"/>
  <c r="AQ343" i="605"/>
  <c r="G343" i="605" s="1"/>
  <c r="AP343" i="605"/>
  <c r="F343" i="605" s="1"/>
  <c r="AO343" i="605"/>
  <c r="E343" i="605" s="1"/>
  <c r="AN343" i="605"/>
  <c r="D343" i="605" s="1"/>
  <c r="AI343" i="605"/>
  <c r="AH343" i="605"/>
  <c r="AG343" i="605"/>
  <c r="AT342" i="605"/>
  <c r="AR342" i="605"/>
  <c r="H342" i="605" s="1"/>
  <c r="AQ342" i="605"/>
  <c r="G342" i="605" s="1"/>
  <c r="AP342" i="605"/>
  <c r="F342" i="605" s="1"/>
  <c r="AO342" i="605"/>
  <c r="E342" i="605" s="1"/>
  <c r="AI342" i="605"/>
  <c r="AH342" i="605"/>
  <c r="AG342" i="605"/>
  <c r="AJ342" i="605" s="1"/>
  <c r="AT341" i="605"/>
  <c r="AR341" i="605"/>
  <c r="H341" i="605" s="1"/>
  <c r="AQ341" i="605"/>
  <c r="G341" i="605" s="1"/>
  <c r="AP341" i="605"/>
  <c r="F341" i="605" s="1"/>
  <c r="AO341" i="605"/>
  <c r="E341" i="605" s="1"/>
  <c r="AI341" i="605"/>
  <c r="AH341" i="605"/>
  <c r="AG341" i="605"/>
  <c r="AT340" i="605"/>
  <c r="AR340" i="605"/>
  <c r="H340" i="605" s="1"/>
  <c r="AQ340" i="605"/>
  <c r="G340" i="605" s="1"/>
  <c r="AP340" i="605"/>
  <c r="F340" i="605" s="1"/>
  <c r="AO340" i="605"/>
  <c r="E340" i="605" s="1"/>
  <c r="AI340" i="605"/>
  <c r="AH340" i="605"/>
  <c r="AG340" i="605"/>
  <c r="AT339" i="605"/>
  <c r="AR339" i="605"/>
  <c r="H339" i="605" s="1"/>
  <c r="AQ339" i="605"/>
  <c r="G339" i="605" s="1"/>
  <c r="AP339" i="605"/>
  <c r="F339" i="605" s="1"/>
  <c r="AO339" i="605"/>
  <c r="E339" i="605" s="1"/>
  <c r="AI339" i="605"/>
  <c r="AH339" i="605"/>
  <c r="AG339" i="605"/>
  <c r="AK339" i="605" s="1"/>
  <c r="AT338" i="605"/>
  <c r="AR338" i="605"/>
  <c r="H338" i="605" s="1"/>
  <c r="AQ338" i="605"/>
  <c r="G338" i="605" s="1"/>
  <c r="AP338" i="605"/>
  <c r="F338" i="605" s="1"/>
  <c r="AO338" i="605"/>
  <c r="E338" i="605" s="1"/>
  <c r="AI338" i="605"/>
  <c r="AH338" i="605"/>
  <c r="AG338" i="605"/>
  <c r="AT337" i="605"/>
  <c r="AR337" i="605"/>
  <c r="H337" i="605" s="1"/>
  <c r="AQ337" i="605"/>
  <c r="G337" i="605" s="1"/>
  <c r="AP337" i="605"/>
  <c r="F337" i="605" s="1"/>
  <c r="AO337" i="605"/>
  <c r="E337" i="605" s="1"/>
  <c r="AI337" i="605"/>
  <c r="AH337" i="605"/>
  <c r="AG337" i="605"/>
  <c r="AJ337" i="605" s="1"/>
  <c r="AT336" i="605"/>
  <c r="AR336" i="605"/>
  <c r="H336" i="605" s="1"/>
  <c r="AQ336" i="605"/>
  <c r="G336" i="605" s="1"/>
  <c r="AP336" i="605"/>
  <c r="F336" i="605" s="1"/>
  <c r="AO336" i="605"/>
  <c r="E336" i="605" s="1"/>
  <c r="AN336" i="605"/>
  <c r="AN337" i="605" s="1"/>
  <c r="AI336" i="605"/>
  <c r="AH336" i="605"/>
  <c r="AG336" i="605"/>
  <c r="AJ336" i="605" s="1"/>
  <c r="AT335" i="605"/>
  <c r="AR335" i="605"/>
  <c r="H335" i="605" s="1"/>
  <c r="AQ335" i="605"/>
  <c r="G335" i="605" s="1"/>
  <c r="AP335" i="605"/>
  <c r="F335" i="605" s="1"/>
  <c r="AO335" i="605"/>
  <c r="E335" i="605" s="1"/>
  <c r="AI335" i="605"/>
  <c r="AH335" i="605"/>
  <c r="AG335" i="605"/>
  <c r="AT334" i="605"/>
  <c r="AR334" i="605"/>
  <c r="H334" i="605" s="1"/>
  <c r="AQ334" i="605"/>
  <c r="G334" i="605" s="1"/>
  <c r="AP334" i="605"/>
  <c r="F334" i="605" s="1"/>
  <c r="AO334" i="605"/>
  <c r="E334" i="605" s="1"/>
  <c r="AI334" i="605"/>
  <c r="AH334" i="605"/>
  <c r="AG334" i="605"/>
  <c r="AK334" i="605" s="1"/>
  <c r="AT333" i="605"/>
  <c r="AR333" i="605"/>
  <c r="H333" i="605" s="1"/>
  <c r="AQ333" i="605"/>
  <c r="G333" i="605" s="1"/>
  <c r="AP333" i="605"/>
  <c r="F333" i="605" s="1"/>
  <c r="AO333" i="605"/>
  <c r="E333" i="605" s="1"/>
  <c r="AI333" i="605"/>
  <c r="AH333" i="605"/>
  <c r="AG333" i="605"/>
  <c r="AT332" i="605"/>
  <c r="AR332" i="605"/>
  <c r="H332" i="605" s="1"/>
  <c r="AQ332" i="605"/>
  <c r="G332" i="605" s="1"/>
  <c r="AP332" i="605"/>
  <c r="F332" i="605" s="1"/>
  <c r="AO332" i="605"/>
  <c r="E332" i="605" s="1"/>
  <c r="AI332" i="605"/>
  <c r="AH332" i="605"/>
  <c r="AG332" i="605"/>
  <c r="AJ332" i="605" s="1"/>
  <c r="AT331" i="605"/>
  <c r="AR331" i="605"/>
  <c r="H331" i="605" s="1"/>
  <c r="AQ331" i="605"/>
  <c r="G331" i="605" s="1"/>
  <c r="AP331" i="605"/>
  <c r="F331" i="605" s="1"/>
  <c r="AO331" i="605"/>
  <c r="E331" i="605" s="1"/>
  <c r="AI331" i="605"/>
  <c r="AH331" i="605"/>
  <c r="AG331" i="605"/>
  <c r="AT330" i="605"/>
  <c r="AR330" i="605"/>
  <c r="H330" i="605" s="1"/>
  <c r="AQ330" i="605"/>
  <c r="G330" i="605" s="1"/>
  <c r="AP330" i="605"/>
  <c r="F330" i="605" s="1"/>
  <c r="AO330" i="605"/>
  <c r="E330" i="605" s="1"/>
  <c r="AI330" i="605"/>
  <c r="AH330" i="605"/>
  <c r="AG330" i="605"/>
  <c r="AT329" i="605"/>
  <c r="AR329" i="605"/>
  <c r="H329" i="605" s="1"/>
  <c r="AQ329" i="605"/>
  <c r="G329" i="605" s="1"/>
  <c r="AP329" i="605"/>
  <c r="F329" i="605" s="1"/>
  <c r="AO329" i="605"/>
  <c r="E329" i="605" s="1"/>
  <c r="AN329" i="605"/>
  <c r="AI329" i="605"/>
  <c r="AH329" i="605"/>
  <c r="AG329" i="605"/>
  <c r="AK329" i="605" s="1"/>
  <c r="AT328" i="605"/>
  <c r="AR328" i="605"/>
  <c r="H328" i="605" s="1"/>
  <c r="AQ328" i="605"/>
  <c r="G328" i="605" s="1"/>
  <c r="AP328" i="605"/>
  <c r="F328" i="605" s="1"/>
  <c r="AO328" i="605"/>
  <c r="E328" i="605" s="1"/>
  <c r="AI328" i="605"/>
  <c r="AH328" i="605"/>
  <c r="AG328" i="605"/>
  <c r="AT327" i="605"/>
  <c r="AR327" i="605"/>
  <c r="H327" i="605" s="1"/>
  <c r="AQ327" i="605"/>
  <c r="G327" i="605" s="1"/>
  <c r="AP327" i="605"/>
  <c r="F327" i="605" s="1"/>
  <c r="AO327" i="605"/>
  <c r="E327" i="605" s="1"/>
  <c r="AI327" i="605"/>
  <c r="AH327" i="605"/>
  <c r="AG327" i="605"/>
  <c r="AT326" i="605"/>
  <c r="AR326" i="605"/>
  <c r="H326" i="605" s="1"/>
  <c r="AQ326" i="605"/>
  <c r="G326" i="605" s="1"/>
  <c r="AP326" i="605"/>
  <c r="F326" i="605" s="1"/>
  <c r="AO326" i="605"/>
  <c r="E326" i="605" s="1"/>
  <c r="AI326" i="605"/>
  <c r="AH326" i="605"/>
  <c r="AG326" i="605"/>
  <c r="AT325" i="605"/>
  <c r="AR325" i="605"/>
  <c r="H325" i="605" s="1"/>
  <c r="AQ325" i="605"/>
  <c r="G325" i="605" s="1"/>
  <c r="AP325" i="605"/>
  <c r="F325" i="605" s="1"/>
  <c r="AO325" i="605"/>
  <c r="E325" i="605" s="1"/>
  <c r="AI325" i="605"/>
  <c r="AH325" i="605"/>
  <c r="AG325" i="605"/>
  <c r="AT324" i="605"/>
  <c r="AR324" i="605"/>
  <c r="H324" i="605" s="1"/>
  <c r="AQ324" i="605"/>
  <c r="G324" i="605" s="1"/>
  <c r="AP324" i="605"/>
  <c r="F324" i="605" s="1"/>
  <c r="AO324" i="605"/>
  <c r="E324" i="605" s="1"/>
  <c r="AI324" i="605"/>
  <c r="AH324" i="605"/>
  <c r="AG324" i="605"/>
  <c r="AT323" i="605"/>
  <c r="AR323" i="605"/>
  <c r="H323" i="605" s="1"/>
  <c r="AQ323" i="605"/>
  <c r="G323" i="605" s="1"/>
  <c r="AP323" i="605"/>
  <c r="F323" i="605" s="1"/>
  <c r="AO323" i="605"/>
  <c r="E323" i="605" s="1"/>
  <c r="AI323" i="605"/>
  <c r="AH323" i="605"/>
  <c r="AG323" i="605"/>
  <c r="AT322" i="605"/>
  <c r="AR322" i="605"/>
  <c r="H322" i="605" s="1"/>
  <c r="AQ322" i="605"/>
  <c r="G322" i="605" s="1"/>
  <c r="AP322" i="605"/>
  <c r="F322" i="605" s="1"/>
  <c r="AO322" i="605"/>
  <c r="E322" i="605" s="1"/>
  <c r="AN322" i="605"/>
  <c r="AN323" i="605" s="1"/>
  <c r="AN324" i="605" s="1"/>
  <c r="D324" i="605" s="1"/>
  <c r="AI322" i="605"/>
  <c r="AH322" i="605"/>
  <c r="AG322" i="605"/>
  <c r="AT321" i="605"/>
  <c r="AR321" i="605"/>
  <c r="H321" i="605" s="1"/>
  <c r="AQ321" i="605"/>
  <c r="G321" i="605" s="1"/>
  <c r="AP321" i="605"/>
  <c r="F321" i="605" s="1"/>
  <c r="AO321" i="605"/>
  <c r="E321" i="605" s="1"/>
  <c r="AI321" i="605"/>
  <c r="AH321" i="605"/>
  <c r="AG321" i="605"/>
  <c r="AT320" i="605"/>
  <c r="AR320" i="605"/>
  <c r="H320" i="605" s="1"/>
  <c r="AQ320" i="605"/>
  <c r="G320" i="605" s="1"/>
  <c r="AP320" i="605"/>
  <c r="F320" i="605" s="1"/>
  <c r="AO320" i="605"/>
  <c r="E320" i="605" s="1"/>
  <c r="AI320" i="605"/>
  <c r="AH320" i="605"/>
  <c r="AG320" i="605"/>
  <c r="AT319" i="605"/>
  <c r="AR319" i="605"/>
  <c r="H319" i="605" s="1"/>
  <c r="AQ319" i="605"/>
  <c r="G319" i="605" s="1"/>
  <c r="AP319" i="605"/>
  <c r="F319" i="605" s="1"/>
  <c r="AO319" i="605"/>
  <c r="E319" i="605" s="1"/>
  <c r="AI319" i="605"/>
  <c r="AH319" i="605"/>
  <c r="AG319" i="605"/>
  <c r="AT318" i="605"/>
  <c r="AR318" i="605"/>
  <c r="H318" i="605" s="1"/>
  <c r="AQ318" i="605"/>
  <c r="G318" i="605" s="1"/>
  <c r="AP318" i="605"/>
  <c r="F318" i="605" s="1"/>
  <c r="AO318" i="605"/>
  <c r="E318" i="605" s="1"/>
  <c r="AI318" i="605"/>
  <c r="AH318" i="605"/>
  <c r="AG318" i="605"/>
  <c r="AT317" i="605"/>
  <c r="AR317" i="605"/>
  <c r="H317" i="605" s="1"/>
  <c r="AQ317" i="605"/>
  <c r="G317" i="605" s="1"/>
  <c r="AP317" i="605"/>
  <c r="F317" i="605" s="1"/>
  <c r="AO317" i="605"/>
  <c r="E317" i="605" s="1"/>
  <c r="AI317" i="605"/>
  <c r="AH317" i="605"/>
  <c r="AG317" i="605"/>
  <c r="AK317" i="605" s="1"/>
  <c r="AT316" i="605"/>
  <c r="AR316" i="605"/>
  <c r="H316" i="605" s="1"/>
  <c r="AQ316" i="605"/>
  <c r="G316" i="605" s="1"/>
  <c r="AP316" i="605"/>
  <c r="F316" i="605" s="1"/>
  <c r="AO316" i="605"/>
  <c r="E316" i="605" s="1"/>
  <c r="AI316" i="605"/>
  <c r="AH316" i="605"/>
  <c r="AG316" i="605"/>
  <c r="AT315" i="605"/>
  <c r="AR315" i="605"/>
  <c r="H315" i="605" s="1"/>
  <c r="AQ315" i="605"/>
  <c r="G315" i="605" s="1"/>
  <c r="AP315" i="605"/>
  <c r="F315" i="605" s="1"/>
  <c r="AO315" i="605"/>
  <c r="E315" i="605" s="1"/>
  <c r="AN315" i="605"/>
  <c r="AN316" i="605" s="1"/>
  <c r="AI315" i="605"/>
  <c r="AH315" i="605"/>
  <c r="AG315" i="605"/>
  <c r="AT314" i="605"/>
  <c r="AR314" i="605"/>
  <c r="H314" i="605" s="1"/>
  <c r="AQ314" i="605"/>
  <c r="G314" i="605" s="1"/>
  <c r="AP314" i="605"/>
  <c r="F314" i="605" s="1"/>
  <c r="AO314" i="605"/>
  <c r="E314" i="605" s="1"/>
  <c r="AI314" i="605"/>
  <c r="AT313" i="605"/>
  <c r="AR313" i="605"/>
  <c r="H313" i="605" s="1"/>
  <c r="AQ313" i="605"/>
  <c r="G313" i="605" s="1"/>
  <c r="AP313" i="605"/>
  <c r="F313" i="605" s="1"/>
  <c r="AO313" i="605"/>
  <c r="E313" i="605" s="1"/>
  <c r="AI313" i="605"/>
  <c r="AT312" i="605"/>
  <c r="AR312" i="605"/>
  <c r="H312" i="605" s="1"/>
  <c r="AQ312" i="605"/>
  <c r="G312" i="605" s="1"/>
  <c r="AP312" i="605"/>
  <c r="F312" i="605" s="1"/>
  <c r="AO312" i="605"/>
  <c r="E312" i="605" s="1"/>
  <c r="AI312" i="605"/>
  <c r="AT311" i="605"/>
  <c r="AR311" i="605"/>
  <c r="H311" i="605" s="1"/>
  <c r="AQ311" i="605"/>
  <c r="G311" i="605" s="1"/>
  <c r="AP311" i="605"/>
  <c r="F311" i="605" s="1"/>
  <c r="AO311" i="605"/>
  <c r="E311" i="605" s="1"/>
  <c r="AI311" i="605"/>
  <c r="AT310" i="605"/>
  <c r="AR310" i="605"/>
  <c r="H310" i="605" s="1"/>
  <c r="AQ310" i="605"/>
  <c r="G310" i="605" s="1"/>
  <c r="AP310" i="605"/>
  <c r="F310" i="605" s="1"/>
  <c r="AO310" i="605"/>
  <c r="E310" i="605" s="1"/>
  <c r="AI310" i="605"/>
  <c r="AT309" i="605"/>
  <c r="AR309" i="605"/>
  <c r="H309" i="605" s="1"/>
  <c r="AQ309" i="605"/>
  <c r="G309" i="605" s="1"/>
  <c r="AP309" i="605"/>
  <c r="F309" i="605" s="1"/>
  <c r="AO309" i="605"/>
  <c r="E309" i="605" s="1"/>
  <c r="AI309" i="605"/>
  <c r="AT308" i="605"/>
  <c r="AR308" i="605"/>
  <c r="H308" i="605" s="1"/>
  <c r="AQ308" i="605"/>
  <c r="G308" i="605" s="1"/>
  <c r="AP308" i="605"/>
  <c r="F308" i="605" s="1"/>
  <c r="AO308" i="605"/>
  <c r="E308" i="605" s="1"/>
  <c r="AN308" i="605"/>
  <c r="D308" i="605" s="1"/>
  <c r="AI308" i="605"/>
  <c r="AH308" i="605"/>
  <c r="AG308" i="605"/>
  <c r="AT307" i="605"/>
  <c r="AR307" i="605"/>
  <c r="H307" i="605" s="1"/>
  <c r="AQ307" i="605"/>
  <c r="G307" i="605" s="1"/>
  <c r="AP307" i="605"/>
  <c r="F307" i="605" s="1"/>
  <c r="AO307" i="605"/>
  <c r="E307" i="605" s="1"/>
  <c r="AI307" i="605"/>
  <c r="AH307" i="605"/>
  <c r="AG307" i="605"/>
  <c r="AK307" i="605" s="1"/>
  <c r="AT306" i="605"/>
  <c r="AR306" i="605"/>
  <c r="H306" i="605" s="1"/>
  <c r="AQ306" i="605"/>
  <c r="G306" i="605" s="1"/>
  <c r="AP306" i="605"/>
  <c r="F306" i="605" s="1"/>
  <c r="AO306" i="605"/>
  <c r="E306" i="605" s="1"/>
  <c r="AI306" i="605"/>
  <c r="AH306" i="605"/>
  <c r="AG306" i="605"/>
  <c r="AT305" i="605"/>
  <c r="AR305" i="605"/>
  <c r="H305" i="605" s="1"/>
  <c r="AQ305" i="605"/>
  <c r="G305" i="605" s="1"/>
  <c r="AP305" i="605"/>
  <c r="F305" i="605" s="1"/>
  <c r="AO305" i="605"/>
  <c r="E305" i="605" s="1"/>
  <c r="AI305" i="605"/>
  <c r="AH305" i="605"/>
  <c r="AG305" i="605"/>
  <c r="AK305" i="605" s="1"/>
  <c r="AT304" i="605"/>
  <c r="AR304" i="605"/>
  <c r="H304" i="605" s="1"/>
  <c r="AQ304" i="605"/>
  <c r="G304" i="605" s="1"/>
  <c r="AP304" i="605"/>
  <c r="F304" i="605" s="1"/>
  <c r="AO304" i="605"/>
  <c r="E304" i="605" s="1"/>
  <c r="AI304" i="605"/>
  <c r="AH304" i="605"/>
  <c r="AG304" i="605"/>
  <c r="AT303" i="605"/>
  <c r="AR303" i="605"/>
  <c r="H303" i="605" s="1"/>
  <c r="AQ303" i="605"/>
  <c r="G303" i="605" s="1"/>
  <c r="AP303" i="605"/>
  <c r="F303" i="605" s="1"/>
  <c r="AO303" i="605"/>
  <c r="E303" i="605" s="1"/>
  <c r="AI303" i="605"/>
  <c r="AH303" i="605"/>
  <c r="AG303" i="605"/>
  <c r="AJ303" i="605" s="1"/>
  <c r="AT302" i="605"/>
  <c r="AR302" i="605"/>
  <c r="H302" i="605" s="1"/>
  <c r="AQ302" i="605"/>
  <c r="G302" i="605" s="1"/>
  <c r="AP302" i="605"/>
  <c r="F302" i="605" s="1"/>
  <c r="AO302" i="605"/>
  <c r="E302" i="605" s="1"/>
  <c r="AI302" i="605"/>
  <c r="AH302" i="605"/>
  <c r="AG302" i="605"/>
  <c r="AT301" i="605"/>
  <c r="AR301" i="605"/>
  <c r="H301" i="605" s="1"/>
  <c r="AQ301" i="605"/>
  <c r="G301" i="605" s="1"/>
  <c r="AP301" i="605"/>
  <c r="F301" i="605" s="1"/>
  <c r="AO301" i="605"/>
  <c r="E301" i="605" s="1"/>
  <c r="AN301" i="605"/>
  <c r="D301" i="605" s="1"/>
  <c r="AI301" i="605"/>
  <c r="AH301" i="605"/>
  <c r="AG301" i="605"/>
  <c r="AT300" i="605"/>
  <c r="AR300" i="605"/>
  <c r="H300" i="605" s="1"/>
  <c r="AQ300" i="605"/>
  <c r="G300" i="605" s="1"/>
  <c r="AP300" i="605"/>
  <c r="F300" i="605" s="1"/>
  <c r="AO300" i="605"/>
  <c r="E300" i="605" s="1"/>
  <c r="AI300" i="605"/>
  <c r="AH300" i="605"/>
  <c r="AG300" i="605"/>
  <c r="AT299" i="605"/>
  <c r="AR299" i="605"/>
  <c r="H299" i="605" s="1"/>
  <c r="AQ299" i="605"/>
  <c r="G299" i="605" s="1"/>
  <c r="AP299" i="605"/>
  <c r="F299" i="605" s="1"/>
  <c r="AO299" i="605"/>
  <c r="E299" i="605" s="1"/>
  <c r="AI299" i="605"/>
  <c r="AH299" i="605"/>
  <c r="AG299" i="605"/>
  <c r="AT298" i="605"/>
  <c r="AR298" i="605"/>
  <c r="H298" i="605" s="1"/>
  <c r="AQ298" i="605"/>
  <c r="G298" i="605" s="1"/>
  <c r="AP298" i="605"/>
  <c r="F298" i="605" s="1"/>
  <c r="AO298" i="605"/>
  <c r="E298" i="605" s="1"/>
  <c r="AI298" i="605"/>
  <c r="AH298" i="605"/>
  <c r="AG298" i="605"/>
  <c r="AK298" i="605" s="1"/>
  <c r="AT297" i="605"/>
  <c r="AR297" i="605"/>
  <c r="H297" i="605" s="1"/>
  <c r="AQ297" i="605"/>
  <c r="G297" i="605" s="1"/>
  <c r="AP297" i="605"/>
  <c r="F297" i="605" s="1"/>
  <c r="AO297" i="605"/>
  <c r="E297" i="605" s="1"/>
  <c r="AI297" i="605"/>
  <c r="AH297" i="605"/>
  <c r="AG297" i="605"/>
  <c r="AT296" i="605"/>
  <c r="AR296" i="605"/>
  <c r="H296" i="605" s="1"/>
  <c r="AQ296" i="605"/>
  <c r="G296" i="605" s="1"/>
  <c r="AP296" i="605"/>
  <c r="F296" i="605" s="1"/>
  <c r="AO296" i="605"/>
  <c r="E296" i="605" s="1"/>
  <c r="AI296" i="605"/>
  <c r="AH296" i="605"/>
  <c r="AG296" i="605"/>
  <c r="AT295" i="605"/>
  <c r="AR295" i="605"/>
  <c r="H295" i="605" s="1"/>
  <c r="AQ295" i="605"/>
  <c r="G295" i="605" s="1"/>
  <c r="AP295" i="605"/>
  <c r="F295" i="605" s="1"/>
  <c r="AO295" i="605"/>
  <c r="E295" i="605" s="1"/>
  <c r="AI295" i="605"/>
  <c r="AH295" i="605"/>
  <c r="AG295" i="605"/>
  <c r="AT294" i="605"/>
  <c r="AR294" i="605"/>
  <c r="H294" i="605" s="1"/>
  <c r="AQ294" i="605"/>
  <c r="G294" i="605" s="1"/>
  <c r="AP294" i="605"/>
  <c r="F294" i="605" s="1"/>
  <c r="AO294" i="605"/>
  <c r="E294" i="605" s="1"/>
  <c r="AN294" i="605"/>
  <c r="AN295" i="605" s="1"/>
  <c r="AI294" i="605"/>
  <c r="AH294" i="605"/>
  <c r="AG294" i="605"/>
  <c r="AT293" i="605"/>
  <c r="AR293" i="605"/>
  <c r="H293" i="605" s="1"/>
  <c r="AQ293" i="605"/>
  <c r="G293" i="605" s="1"/>
  <c r="AP293" i="605"/>
  <c r="F293" i="605" s="1"/>
  <c r="AO293" i="605"/>
  <c r="E293" i="605" s="1"/>
  <c r="AI293" i="605"/>
  <c r="AH293" i="605"/>
  <c r="AG293" i="605"/>
  <c r="AT292" i="605"/>
  <c r="AR292" i="605"/>
  <c r="H292" i="605" s="1"/>
  <c r="AQ292" i="605"/>
  <c r="G292" i="605" s="1"/>
  <c r="AP292" i="605"/>
  <c r="F292" i="605" s="1"/>
  <c r="AO292" i="605"/>
  <c r="E292" i="605" s="1"/>
  <c r="AI292" i="605"/>
  <c r="AH292" i="605"/>
  <c r="AG292" i="605"/>
  <c r="AT291" i="605"/>
  <c r="AR291" i="605"/>
  <c r="H291" i="605" s="1"/>
  <c r="AQ291" i="605"/>
  <c r="G291" i="605" s="1"/>
  <c r="AP291" i="605"/>
  <c r="F291" i="605" s="1"/>
  <c r="AO291" i="605"/>
  <c r="E291" i="605" s="1"/>
  <c r="AI291" i="605"/>
  <c r="AH291" i="605"/>
  <c r="AG291" i="605"/>
  <c r="AT290" i="605"/>
  <c r="AR290" i="605"/>
  <c r="H290" i="605" s="1"/>
  <c r="AQ290" i="605"/>
  <c r="G290" i="605" s="1"/>
  <c r="AP290" i="605"/>
  <c r="F290" i="605" s="1"/>
  <c r="AO290" i="605"/>
  <c r="E290" i="605" s="1"/>
  <c r="AI290" i="605"/>
  <c r="AH290" i="605"/>
  <c r="AG290" i="605"/>
  <c r="AK290" i="605" s="1"/>
  <c r="AT289" i="605"/>
  <c r="AR289" i="605"/>
  <c r="H289" i="605" s="1"/>
  <c r="AQ289" i="605"/>
  <c r="G289" i="605" s="1"/>
  <c r="AP289" i="605"/>
  <c r="F289" i="605" s="1"/>
  <c r="AO289" i="605"/>
  <c r="E289" i="605" s="1"/>
  <c r="AI289" i="605"/>
  <c r="AH289" i="605"/>
  <c r="AG289" i="605"/>
  <c r="AT288" i="605"/>
  <c r="AR288" i="605"/>
  <c r="H288" i="605" s="1"/>
  <c r="AQ288" i="605"/>
  <c r="G288" i="605" s="1"/>
  <c r="AP288" i="605"/>
  <c r="F288" i="605" s="1"/>
  <c r="AO288" i="605"/>
  <c r="E288" i="605" s="1"/>
  <c r="AI288" i="605"/>
  <c r="AH288" i="605"/>
  <c r="AG288" i="605"/>
  <c r="AJ288" i="605" s="1"/>
  <c r="AT287" i="605"/>
  <c r="AR287" i="605"/>
  <c r="H287" i="605" s="1"/>
  <c r="AQ287" i="605"/>
  <c r="G287" i="605" s="1"/>
  <c r="AP287" i="605"/>
  <c r="F287" i="605" s="1"/>
  <c r="AO287" i="605"/>
  <c r="E287" i="605" s="1"/>
  <c r="AN287" i="605"/>
  <c r="AN288" i="605" s="1"/>
  <c r="D288" i="605" s="1"/>
  <c r="AI287" i="605"/>
  <c r="AH287" i="605"/>
  <c r="AG287" i="605"/>
  <c r="AT286" i="605"/>
  <c r="AR286" i="605"/>
  <c r="H286" i="605" s="1"/>
  <c r="AQ286" i="605"/>
  <c r="G286" i="605" s="1"/>
  <c r="AP286" i="605"/>
  <c r="F286" i="605" s="1"/>
  <c r="AO286" i="605"/>
  <c r="E286" i="605" s="1"/>
  <c r="AI286" i="605"/>
  <c r="AH286" i="605"/>
  <c r="AG286" i="605"/>
  <c r="AT285" i="605"/>
  <c r="AR285" i="605"/>
  <c r="H285" i="605" s="1"/>
  <c r="AQ285" i="605"/>
  <c r="G285" i="605" s="1"/>
  <c r="AP285" i="605"/>
  <c r="F285" i="605" s="1"/>
  <c r="AO285" i="605"/>
  <c r="E285" i="605" s="1"/>
  <c r="AI285" i="605"/>
  <c r="AH285" i="605"/>
  <c r="AG285" i="605"/>
  <c r="AT284" i="605"/>
  <c r="AR284" i="605"/>
  <c r="H284" i="605" s="1"/>
  <c r="AQ284" i="605"/>
  <c r="G284" i="605" s="1"/>
  <c r="AP284" i="605"/>
  <c r="F284" i="605" s="1"/>
  <c r="AO284" i="605"/>
  <c r="E284" i="605" s="1"/>
  <c r="AI284" i="605"/>
  <c r="AH284" i="605"/>
  <c r="AG284" i="605"/>
  <c r="AT283" i="605"/>
  <c r="AR283" i="605"/>
  <c r="H283" i="605" s="1"/>
  <c r="AQ283" i="605"/>
  <c r="G283" i="605" s="1"/>
  <c r="AP283" i="605"/>
  <c r="F283" i="605" s="1"/>
  <c r="AO283" i="605"/>
  <c r="E283" i="605" s="1"/>
  <c r="AI283" i="605"/>
  <c r="AH283" i="605"/>
  <c r="AG283" i="605"/>
  <c r="AT282" i="605"/>
  <c r="AR282" i="605"/>
  <c r="H282" i="605" s="1"/>
  <c r="AQ282" i="605"/>
  <c r="G282" i="605" s="1"/>
  <c r="AP282" i="605"/>
  <c r="F282" i="605" s="1"/>
  <c r="AO282" i="605"/>
  <c r="E282" i="605" s="1"/>
  <c r="AI282" i="605"/>
  <c r="AH282" i="605"/>
  <c r="AG282" i="605"/>
  <c r="AT281" i="605"/>
  <c r="AR281" i="605"/>
  <c r="H281" i="605" s="1"/>
  <c r="AQ281" i="605"/>
  <c r="G281" i="605" s="1"/>
  <c r="AP281" i="605"/>
  <c r="F281" i="605" s="1"/>
  <c r="AO281" i="605"/>
  <c r="E281" i="605" s="1"/>
  <c r="AI281" i="605"/>
  <c r="AH281" i="605"/>
  <c r="AG281" i="605"/>
  <c r="AT280" i="605"/>
  <c r="AR280" i="605"/>
  <c r="H280" i="605" s="1"/>
  <c r="AQ280" i="605"/>
  <c r="G280" i="605" s="1"/>
  <c r="AP280" i="605"/>
  <c r="F280" i="605" s="1"/>
  <c r="AO280" i="605"/>
  <c r="E280" i="605" s="1"/>
  <c r="AN280" i="605"/>
  <c r="AN281" i="605" s="1"/>
  <c r="AI280" i="605"/>
  <c r="AH280" i="605"/>
  <c r="AG280" i="605"/>
  <c r="AT279" i="605"/>
  <c r="AR279" i="605"/>
  <c r="H279" i="605" s="1"/>
  <c r="AQ279" i="605"/>
  <c r="G279" i="605" s="1"/>
  <c r="AP279" i="605"/>
  <c r="F279" i="605" s="1"/>
  <c r="AO279" i="605"/>
  <c r="E279" i="605" s="1"/>
  <c r="AI279" i="605"/>
  <c r="AH279" i="605"/>
  <c r="AG279" i="605"/>
  <c r="AK279" i="605" s="1"/>
  <c r="AT278" i="605"/>
  <c r="AR278" i="605"/>
  <c r="H278" i="605" s="1"/>
  <c r="AQ278" i="605"/>
  <c r="G278" i="605" s="1"/>
  <c r="AP278" i="605"/>
  <c r="F278" i="605" s="1"/>
  <c r="AO278" i="605"/>
  <c r="E278" i="605" s="1"/>
  <c r="AI278" i="605"/>
  <c r="AH278" i="605"/>
  <c r="AG278" i="605"/>
  <c r="AT277" i="605"/>
  <c r="AR277" i="605"/>
  <c r="H277" i="605" s="1"/>
  <c r="AQ277" i="605"/>
  <c r="G277" i="605" s="1"/>
  <c r="AP277" i="605"/>
  <c r="F277" i="605" s="1"/>
  <c r="AO277" i="605"/>
  <c r="E277" i="605" s="1"/>
  <c r="AI277" i="605"/>
  <c r="AH277" i="605"/>
  <c r="AG277" i="605"/>
  <c r="AT276" i="605"/>
  <c r="AR276" i="605"/>
  <c r="H276" i="605" s="1"/>
  <c r="AQ276" i="605"/>
  <c r="G276" i="605" s="1"/>
  <c r="AP276" i="605"/>
  <c r="F276" i="605" s="1"/>
  <c r="AO276" i="605"/>
  <c r="E276" i="605" s="1"/>
  <c r="AI276" i="605"/>
  <c r="AH276" i="605"/>
  <c r="AG276" i="605"/>
  <c r="AT275" i="605"/>
  <c r="AR275" i="605"/>
  <c r="H275" i="605" s="1"/>
  <c r="AQ275" i="605"/>
  <c r="G275" i="605" s="1"/>
  <c r="AP275" i="605"/>
  <c r="F275" i="605" s="1"/>
  <c r="AO275" i="605"/>
  <c r="E275" i="605" s="1"/>
  <c r="AI275" i="605"/>
  <c r="AH275" i="605"/>
  <c r="AG275" i="605"/>
  <c r="AK275" i="605" s="1"/>
  <c r="AT274" i="605"/>
  <c r="AR274" i="605"/>
  <c r="H274" i="605" s="1"/>
  <c r="AQ274" i="605"/>
  <c r="G274" i="605" s="1"/>
  <c r="AP274" i="605"/>
  <c r="F274" i="605" s="1"/>
  <c r="AO274" i="605"/>
  <c r="E274" i="605" s="1"/>
  <c r="AI274" i="605"/>
  <c r="AH274" i="605"/>
  <c r="AG274" i="605"/>
  <c r="AT273" i="605"/>
  <c r="AR273" i="605"/>
  <c r="H273" i="605" s="1"/>
  <c r="AQ273" i="605"/>
  <c r="G273" i="605" s="1"/>
  <c r="AP273" i="605"/>
  <c r="F273" i="605" s="1"/>
  <c r="AO273" i="605"/>
  <c r="E273" i="605" s="1"/>
  <c r="AN273" i="605"/>
  <c r="AN274" i="605" s="1"/>
  <c r="AN275" i="605" s="1"/>
  <c r="AI273" i="605"/>
  <c r="AH273" i="605"/>
  <c r="AG273" i="605"/>
  <c r="AT272" i="605"/>
  <c r="AR272" i="605"/>
  <c r="H272" i="605" s="1"/>
  <c r="AQ272" i="605"/>
  <c r="G272" i="605" s="1"/>
  <c r="AP272" i="605"/>
  <c r="F272" i="605" s="1"/>
  <c r="AO272" i="605"/>
  <c r="E272" i="605" s="1"/>
  <c r="AI272" i="605"/>
  <c r="AH272" i="605"/>
  <c r="AG272" i="605"/>
  <c r="AJ272" i="605" s="1"/>
  <c r="AT271" i="605"/>
  <c r="AR271" i="605"/>
  <c r="H271" i="605" s="1"/>
  <c r="AQ271" i="605"/>
  <c r="G271" i="605" s="1"/>
  <c r="AP271" i="605"/>
  <c r="F271" i="605" s="1"/>
  <c r="AO271" i="605"/>
  <c r="E271" i="605" s="1"/>
  <c r="AI271" i="605"/>
  <c r="AH271" i="605"/>
  <c r="AG271" i="605"/>
  <c r="AT270" i="605"/>
  <c r="AR270" i="605"/>
  <c r="H270" i="605" s="1"/>
  <c r="AQ270" i="605"/>
  <c r="G270" i="605" s="1"/>
  <c r="AP270" i="605"/>
  <c r="F270" i="605" s="1"/>
  <c r="AO270" i="605"/>
  <c r="E270" i="605" s="1"/>
  <c r="AI270" i="605"/>
  <c r="AH270" i="605"/>
  <c r="AG270" i="605"/>
  <c r="AK270" i="605" s="1"/>
  <c r="AT269" i="605"/>
  <c r="AR269" i="605"/>
  <c r="H269" i="605" s="1"/>
  <c r="AQ269" i="605"/>
  <c r="G269" i="605" s="1"/>
  <c r="AP269" i="605"/>
  <c r="F269" i="605" s="1"/>
  <c r="AO269" i="605"/>
  <c r="E269" i="605" s="1"/>
  <c r="AI269" i="605"/>
  <c r="AH269" i="605"/>
  <c r="AG269" i="605"/>
  <c r="AT268" i="605"/>
  <c r="AR268" i="605"/>
  <c r="H268" i="605" s="1"/>
  <c r="AQ268" i="605"/>
  <c r="G268" i="605" s="1"/>
  <c r="AP268" i="605"/>
  <c r="F268" i="605" s="1"/>
  <c r="AO268" i="605"/>
  <c r="E268" i="605" s="1"/>
  <c r="AI268" i="605"/>
  <c r="AH268" i="605"/>
  <c r="AG268" i="605"/>
  <c r="AT267" i="605"/>
  <c r="AR267" i="605"/>
  <c r="H267" i="605" s="1"/>
  <c r="AQ267" i="605"/>
  <c r="G267" i="605" s="1"/>
  <c r="AP267" i="605"/>
  <c r="F267" i="605" s="1"/>
  <c r="AO267" i="605"/>
  <c r="E267" i="605" s="1"/>
  <c r="AI267" i="605"/>
  <c r="AH267" i="605"/>
  <c r="AG267" i="605"/>
  <c r="AT266" i="605"/>
  <c r="AR266" i="605"/>
  <c r="H266" i="605" s="1"/>
  <c r="AQ266" i="605"/>
  <c r="G266" i="605" s="1"/>
  <c r="AP266" i="605"/>
  <c r="F266" i="605" s="1"/>
  <c r="AO266" i="605"/>
  <c r="E266" i="605" s="1"/>
  <c r="AN266" i="605"/>
  <c r="AN267" i="605" s="1"/>
  <c r="AI266" i="605"/>
  <c r="AH266" i="605"/>
  <c r="AG266" i="605"/>
  <c r="AK266" i="605" s="1"/>
  <c r="AT265" i="605"/>
  <c r="AR265" i="605"/>
  <c r="H265" i="605" s="1"/>
  <c r="AQ265" i="605"/>
  <c r="G265" i="605" s="1"/>
  <c r="AP265" i="605"/>
  <c r="F265" i="605" s="1"/>
  <c r="AO265" i="605"/>
  <c r="E265" i="605" s="1"/>
  <c r="AI265" i="605"/>
  <c r="AH265" i="605"/>
  <c r="AG265" i="605"/>
  <c r="AT264" i="605"/>
  <c r="AR264" i="605"/>
  <c r="H264" i="605" s="1"/>
  <c r="AQ264" i="605"/>
  <c r="G264" i="605" s="1"/>
  <c r="AP264" i="605"/>
  <c r="F264" i="605" s="1"/>
  <c r="AO264" i="605"/>
  <c r="E264" i="605" s="1"/>
  <c r="AI264" i="605"/>
  <c r="AH264" i="605"/>
  <c r="AG264" i="605"/>
  <c r="AK264" i="605" s="1"/>
  <c r="AT263" i="605"/>
  <c r="AR263" i="605"/>
  <c r="H263" i="605" s="1"/>
  <c r="AQ263" i="605"/>
  <c r="G263" i="605" s="1"/>
  <c r="AP263" i="605"/>
  <c r="F263" i="605" s="1"/>
  <c r="AO263" i="605"/>
  <c r="E263" i="605" s="1"/>
  <c r="AI263" i="605"/>
  <c r="AH263" i="605"/>
  <c r="AG263" i="605"/>
  <c r="AJ263" i="605" s="1"/>
  <c r="AT262" i="605"/>
  <c r="AR262" i="605"/>
  <c r="H262" i="605" s="1"/>
  <c r="AQ262" i="605"/>
  <c r="G262" i="605" s="1"/>
  <c r="AP262" i="605"/>
  <c r="F262" i="605" s="1"/>
  <c r="AO262" i="605"/>
  <c r="E262" i="605" s="1"/>
  <c r="AI262" i="605"/>
  <c r="AH262" i="605"/>
  <c r="AG262" i="605"/>
  <c r="AJ262" i="605" s="1"/>
  <c r="AT261" i="605"/>
  <c r="AR261" i="605"/>
  <c r="H261" i="605" s="1"/>
  <c r="AQ261" i="605"/>
  <c r="G261" i="605" s="1"/>
  <c r="AP261" i="605"/>
  <c r="F261" i="605" s="1"/>
  <c r="AO261" i="605"/>
  <c r="E261" i="605" s="1"/>
  <c r="AI261" i="605"/>
  <c r="AH261" i="605"/>
  <c r="AG261" i="605"/>
  <c r="AK261" i="605" s="1"/>
  <c r="AT260" i="605"/>
  <c r="AR260" i="605"/>
  <c r="H260" i="605" s="1"/>
  <c r="AQ260" i="605"/>
  <c r="G260" i="605" s="1"/>
  <c r="AP260" i="605"/>
  <c r="F260" i="605" s="1"/>
  <c r="AO260" i="605"/>
  <c r="E260" i="605" s="1"/>
  <c r="AI260" i="605"/>
  <c r="AH260" i="605"/>
  <c r="AG260" i="605"/>
  <c r="AT259" i="605"/>
  <c r="AR259" i="605"/>
  <c r="H259" i="605" s="1"/>
  <c r="AQ259" i="605"/>
  <c r="G259" i="605" s="1"/>
  <c r="AP259" i="605"/>
  <c r="F259" i="605" s="1"/>
  <c r="AO259" i="605"/>
  <c r="E259" i="605" s="1"/>
  <c r="AN259" i="605"/>
  <c r="AN260" i="605" s="1"/>
  <c r="AI259" i="605"/>
  <c r="AH259" i="605"/>
  <c r="AG259" i="605"/>
  <c r="AK259" i="605" s="1"/>
  <c r="AT258" i="605"/>
  <c r="AR258" i="605"/>
  <c r="H258" i="605" s="1"/>
  <c r="AQ258" i="605"/>
  <c r="G258" i="605" s="1"/>
  <c r="AP258" i="605"/>
  <c r="F258" i="605" s="1"/>
  <c r="AO258" i="605"/>
  <c r="E258" i="605" s="1"/>
  <c r="AI258" i="605"/>
  <c r="AH258" i="605"/>
  <c r="AG258" i="605"/>
  <c r="AJ258" i="605" s="1"/>
  <c r="AT257" i="605"/>
  <c r="AR257" i="605"/>
  <c r="H257" i="605" s="1"/>
  <c r="AQ257" i="605"/>
  <c r="G257" i="605" s="1"/>
  <c r="AP257" i="605"/>
  <c r="F257" i="605" s="1"/>
  <c r="AO257" i="605"/>
  <c r="E257" i="605" s="1"/>
  <c r="AI257" i="605"/>
  <c r="AH257" i="605"/>
  <c r="AG257" i="605"/>
  <c r="AK257" i="605" s="1"/>
  <c r="AT256" i="605"/>
  <c r="AR256" i="605"/>
  <c r="H256" i="605" s="1"/>
  <c r="AQ256" i="605"/>
  <c r="G256" i="605" s="1"/>
  <c r="AP256" i="605"/>
  <c r="F256" i="605" s="1"/>
  <c r="AO256" i="605"/>
  <c r="E256" i="605" s="1"/>
  <c r="AI256" i="605"/>
  <c r="AH256" i="605"/>
  <c r="AG256" i="605"/>
  <c r="AK256" i="605" s="1"/>
  <c r="AT255" i="605"/>
  <c r="AR255" i="605"/>
  <c r="H255" i="605" s="1"/>
  <c r="AQ255" i="605"/>
  <c r="G255" i="605" s="1"/>
  <c r="AP255" i="605"/>
  <c r="F255" i="605" s="1"/>
  <c r="AO255" i="605"/>
  <c r="E255" i="605" s="1"/>
  <c r="AI255" i="605"/>
  <c r="AH255" i="605"/>
  <c r="AG255" i="605"/>
  <c r="AK255" i="605" s="1"/>
  <c r="AT254" i="605"/>
  <c r="AR254" i="605"/>
  <c r="H254" i="605" s="1"/>
  <c r="AQ254" i="605"/>
  <c r="G254" i="605" s="1"/>
  <c r="AP254" i="605"/>
  <c r="F254" i="605" s="1"/>
  <c r="AO254" i="605"/>
  <c r="E254" i="605" s="1"/>
  <c r="AI254" i="605"/>
  <c r="AH254" i="605"/>
  <c r="AG254" i="605"/>
  <c r="AT253" i="605"/>
  <c r="AR253" i="605"/>
  <c r="H253" i="605" s="1"/>
  <c r="AQ253" i="605"/>
  <c r="G253" i="605" s="1"/>
  <c r="AP253" i="605"/>
  <c r="F253" i="605" s="1"/>
  <c r="AO253" i="605"/>
  <c r="E253" i="605" s="1"/>
  <c r="AI253" i="605"/>
  <c r="AH253" i="605"/>
  <c r="AG253" i="605"/>
  <c r="AK253" i="605" s="1"/>
  <c r="AT252" i="605"/>
  <c r="AR252" i="605"/>
  <c r="H252" i="605" s="1"/>
  <c r="AQ252" i="605"/>
  <c r="G252" i="605" s="1"/>
  <c r="AP252" i="605"/>
  <c r="F252" i="605" s="1"/>
  <c r="AO252" i="605"/>
  <c r="E252" i="605" s="1"/>
  <c r="AN252" i="605"/>
  <c r="AN253" i="605" s="1"/>
  <c r="AI252" i="605"/>
  <c r="AH252" i="605"/>
  <c r="AG252" i="605"/>
  <c r="AT251" i="605"/>
  <c r="AR251" i="605"/>
  <c r="H251" i="605" s="1"/>
  <c r="AQ251" i="605"/>
  <c r="G251" i="605" s="1"/>
  <c r="AP251" i="605"/>
  <c r="F251" i="605" s="1"/>
  <c r="AO251" i="605"/>
  <c r="E251" i="605" s="1"/>
  <c r="AI251" i="605"/>
  <c r="AH251" i="605"/>
  <c r="AG251" i="605"/>
  <c r="AT250" i="605"/>
  <c r="AR250" i="605"/>
  <c r="H250" i="605" s="1"/>
  <c r="AQ250" i="605"/>
  <c r="G250" i="605" s="1"/>
  <c r="AP250" i="605"/>
  <c r="F250" i="605" s="1"/>
  <c r="AO250" i="605"/>
  <c r="E250" i="605" s="1"/>
  <c r="AI250" i="605"/>
  <c r="AH250" i="605"/>
  <c r="AG250" i="605"/>
  <c r="AT249" i="605"/>
  <c r="AR249" i="605"/>
  <c r="H249" i="605" s="1"/>
  <c r="AQ249" i="605"/>
  <c r="G249" i="605" s="1"/>
  <c r="AP249" i="605"/>
  <c r="F249" i="605" s="1"/>
  <c r="AO249" i="605"/>
  <c r="E249" i="605" s="1"/>
  <c r="AI249" i="605"/>
  <c r="AH249" i="605"/>
  <c r="AG249" i="605"/>
  <c r="AT248" i="605"/>
  <c r="AR248" i="605"/>
  <c r="H248" i="605" s="1"/>
  <c r="AQ248" i="605"/>
  <c r="G248" i="605" s="1"/>
  <c r="AP248" i="605"/>
  <c r="F248" i="605" s="1"/>
  <c r="AO248" i="605"/>
  <c r="E248" i="605" s="1"/>
  <c r="AI248" i="605"/>
  <c r="AH248" i="605"/>
  <c r="AG248" i="605"/>
  <c r="AT247" i="605"/>
  <c r="AR247" i="605"/>
  <c r="H247" i="605" s="1"/>
  <c r="AQ247" i="605"/>
  <c r="G247" i="605" s="1"/>
  <c r="AP247" i="605"/>
  <c r="F247" i="605" s="1"/>
  <c r="AO247" i="605"/>
  <c r="E247" i="605" s="1"/>
  <c r="AI247" i="605"/>
  <c r="AH247" i="605"/>
  <c r="AG247" i="605"/>
  <c r="AT246" i="605"/>
  <c r="AR246" i="605"/>
  <c r="H246" i="605" s="1"/>
  <c r="AQ246" i="605"/>
  <c r="G246" i="605" s="1"/>
  <c r="AP246" i="605"/>
  <c r="F246" i="605" s="1"/>
  <c r="AO246" i="605"/>
  <c r="E246" i="605" s="1"/>
  <c r="AI246" i="605"/>
  <c r="AH246" i="605"/>
  <c r="AG246" i="605"/>
  <c r="AK246" i="605" s="1"/>
  <c r="AT245" i="605"/>
  <c r="AR245" i="605"/>
  <c r="H245" i="605" s="1"/>
  <c r="AQ245" i="605"/>
  <c r="G245" i="605" s="1"/>
  <c r="AP245" i="605"/>
  <c r="F245" i="605" s="1"/>
  <c r="AO245" i="605"/>
  <c r="E245" i="605" s="1"/>
  <c r="AN245" i="605"/>
  <c r="D245" i="605" s="1"/>
  <c r="AI245" i="605"/>
  <c r="AH245" i="605"/>
  <c r="AG245" i="605"/>
  <c r="AJ245" i="605" s="1"/>
  <c r="AT244" i="605"/>
  <c r="AR244" i="605"/>
  <c r="H244" i="605" s="1"/>
  <c r="AQ244" i="605"/>
  <c r="G244" i="605" s="1"/>
  <c r="AP244" i="605"/>
  <c r="F244" i="605" s="1"/>
  <c r="AO244" i="605"/>
  <c r="E244" i="605" s="1"/>
  <c r="AI244" i="605"/>
  <c r="AH244" i="605"/>
  <c r="AG244" i="605"/>
  <c r="AT243" i="605"/>
  <c r="AR243" i="605"/>
  <c r="H243" i="605" s="1"/>
  <c r="AQ243" i="605"/>
  <c r="G243" i="605" s="1"/>
  <c r="AP243" i="605"/>
  <c r="F243" i="605" s="1"/>
  <c r="AO243" i="605"/>
  <c r="E243" i="605" s="1"/>
  <c r="AI243" i="605"/>
  <c r="AH243" i="605"/>
  <c r="AG243" i="605"/>
  <c r="AJ243" i="605" s="1"/>
  <c r="AT242" i="605"/>
  <c r="AR242" i="605"/>
  <c r="H242" i="605" s="1"/>
  <c r="AQ242" i="605"/>
  <c r="G242" i="605" s="1"/>
  <c r="AP242" i="605"/>
  <c r="F242" i="605" s="1"/>
  <c r="AO242" i="605"/>
  <c r="E242" i="605" s="1"/>
  <c r="AI242" i="605"/>
  <c r="AH242" i="605"/>
  <c r="AG242" i="605"/>
  <c r="AT241" i="605"/>
  <c r="AR241" i="605"/>
  <c r="H241" i="605" s="1"/>
  <c r="AQ241" i="605"/>
  <c r="G241" i="605" s="1"/>
  <c r="AP241" i="605"/>
  <c r="F241" i="605" s="1"/>
  <c r="AO241" i="605"/>
  <c r="E241" i="605" s="1"/>
  <c r="AI241" i="605"/>
  <c r="AH241" i="605"/>
  <c r="AG241" i="605"/>
  <c r="AK241" i="605" s="1"/>
  <c r="AT240" i="605"/>
  <c r="AR240" i="605"/>
  <c r="H240" i="605" s="1"/>
  <c r="AQ240" i="605"/>
  <c r="G240" i="605" s="1"/>
  <c r="AP240" i="605"/>
  <c r="F240" i="605" s="1"/>
  <c r="AO240" i="605"/>
  <c r="E240" i="605" s="1"/>
  <c r="AI240" i="605"/>
  <c r="AH240" i="605"/>
  <c r="AG240" i="605"/>
  <c r="AT239" i="605"/>
  <c r="AR239" i="605"/>
  <c r="H239" i="605" s="1"/>
  <c r="AQ239" i="605"/>
  <c r="G239" i="605" s="1"/>
  <c r="AP239" i="605"/>
  <c r="F239" i="605" s="1"/>
  <c r="AO239" i="605"/>
  <c r="E239" i="605" s="1"/>
  <c r="AI239" i="605"/>
  <c r="AH239" i="605"/>
  <c r="AG239" i="605"/>
  <c r="AK239" i="605" s="1"/>
  <c r="AT238" i="605"/>
  <c r="AR238" i="605"/>
  <c r="H238" i="605" s="1"/>
  <c r="AQ238" i="605"/>
  <c r="G238" i="605" s="1"/>
  <c r="AP238" i="605"/>
  <c r="F238" i="605" s="1"/>
  <c r="AO238" i="605"/>
  <c r="E238" i="605" s="1"/>
  <c r="AN238" i="605"/>
  <c r="D238" i="605" s="1"/>
  <c r="AI238" i="605"/>
  <c r="AH238" i="605"/>
  <c r="AG238" i="605"/>
  <c r="AT237" i="605"/>
  <c r="AR237" i="605"/>
  <c r="H237" i="605" s="1"/>
  <c r="AQ237" i="605"/>
  <c r="G237" i="605" s="1"/>
  <c r="AP237" i="605"/>
  <c r="F237" i="605" s="1"/>
  <c r="AO237" i="605"/>
  <c r="E237" i="605" s="1"/>
  <c r="AI237" i="605"/>
  <c r="AH237" i="605"/>
  <c r="AG237" i="605"/>
  <c r="AK237" i="605" s="1"/>
  <c r="AT236" i="605"/>
  <c r="AR236" i="605"/>
  <c r="H236" i="605" s="1"/>
  <c r="AQ236" i="605"/>
  <c r="G236" i="605" s="1"/>
  <c r="AP236" i="605"/>
  <c r="F236" i="605" s="1"/>
  <c r="AO236" i="605"/>
  <c r="E236" i="605" s="1"/>
  <c r="AI236" i="605"/>
  <c r="AH236" i="605"/>
  <c r="AG236" i="605"/>
  <c r="AT235" i="605"/>
  <c r="AR235" i="605"/>
  <c r="H235" i="605" s="1"/>
  <c r="AQ235" i="605"/>
  <c r="G235" i="605" s="1"/>
  <c r="AP235" i="605"/>
  <c r="F235" i="605" s="1"/>
  <c r="AO235" i="605"/>
  <c r="E235" i="605" s="1"/>
  <c r="AI235" i="605"/>
  <c r="AH235" i="605"/>
  <c r="AG235" i="605"/>
  <c r="AK235" i="605" s="1"/>
  <c r="AT234" i="605"/>
  <c r="AR234" i="605"/>
  <c r="H234" i="605" s="1"/>
  <c r="AQ234" i="605"/>
  <c r="G234" i="605" s="1"/>
  <c r="AP234" i="605"/>
  <c r="F234" i="605" s="1"/>
  <c r="AO234" i="605"/>
  <c r="E234" i="605" s="1"/>
  <c r="AI234" i="605"/>
  <c r="AH234" i="605"/>
  <c r="AG234" i="605"/>
  <c r="AT233" i="605"/>
  <c r="AR233" i="605"/>
  <c r="H233" i="605" s="1"/>
  <c r="AQ233" i="605"/>
  <c r="G233" i="605" s="1"/>
  <c r="AP233" i="605"/>
  <c r="F233" i="605" s="1"/>
  <c r="AO233" i="605"/>
  <c r="E233" i="605" s="1"/>
  <c r="AI233" i="605"/>
  <c r="AH233" i="605"/>
  <c r="AG233" i="605"/>
  <c r="AT232" i="605"/>
  <c r="AR232" i="605"/>
  <c r="H232" i="605" s="1"/>
  <c r="AQ232" i="605"/>
  <c r="G232" i="605" s="1"/>
  <c r="AP232" i="605"/>
  <c r="F232" i="605" s="1"/>
  <c r="AO232" i="605"/>
  <c r="E232" i="605" s="1"/>
  <c r="AI232" i="605"/>
  <c r="AH232" i="605"/>
  <c r="AG232" i="605"/>
  <c r="AT231" i="605"/>
  <c r="AR231" i="605"/>
  <c r="H231" i="605" s="1"/>
  <c r="AQ231" i="605"/>
  <c r="G231" i="605" s="1"/>
  <c r="AP231" i="605"/>
  <c r="F231" i="605" s="1"/>
  <c r="AO231" i="605"/>
  <c r="E231" i="605" s="1"/>
  <c r="AN231" i="605"/>
  <c r="AN232" i="605" s="1"/>
  <c r="D232" i="605" s="1"/>
  <c r="AI231" i="605"/>
  <c r="AH231" i="605"/>
  <c r="AG231" i="605"/>
  <c r="AT230" i="605"/>
  <c r="AR230" i="605"/>
  <c r="H230" i="605" s="1"/>
  <c r="AQ230" i="605"/>
  <c r="G230" i="605" s="1"/>
  <c r="AP230" i="605"/>
  <c r="F230" i="605" s="1"/>
  <c r="AO230" i="605"/>
  <c r="E230" i="605" s="1"/>
  <c r="AI230" i="605"/>
  <c r="AH230" i="605"/>
  <c r="AG230" i="605"/>
  <c r="AT229" i="605"/>
  <c r="AR229" i="605"/>
  <c r="H229" i="605" s="1"/>
  <c r="AQ229" i="605"/>
  <c r="G229" i="605" s="1"/>
  <c r="AP229" i="605"/>
  <c r="F229" i="605" s="1"/>
  <c r="AO229" i="605"/>
  <c r="E229" i="605" s="1"/>
  <c r="AI229" i="605"/>
  <c r="AH229" i="605"/>
  <c r="AG229" i="605"/>
  <c r="AT228" i="605"/>
  <c r="AR228" i="605"/>
  <c r="H228" i="605" s="1"/>
  <c r="AQ228" i="605"/>
  <c r="G228" i="605" s="1"/>
  <c r="AP228" i="605"/>
  <c r="F228" i="605" s="1"/>
  <c r="AO228" i="605"/>
  <c r="E228" i="605" s="1"/>
  <c r="AI228" i="605"/>
  <c r="AH228" i="605"/>
  <c r="AG228" i="605"/>
  <c r="AT227" i="605"/>
  <c r="AR227" i="605"/>
  <c r="H227" i="605" s="1"/>
  <c r="AQ227" i="605"/>
  <c r="G227" i="605" s="1"/>
  <c r="AP227" i="605"/>
  <c r="F227" i="605" s="1"/>
  <c r="AO227" i="605"/>
  <c r="E227" i="605" s="1"/>
  <c r="AI227" i="605"/>
  <c r="AH227" i="605"/>
  <c r="AG227" i="605"/>
  <c r="AT226" i="605"/>
  <c r="AR226" i="605"/>
  <c r="H226" i="605" s="1"/>
  <c r="AQ226" i="605"/>
  <c r="G226" i="605" s="1"/>
  <c r="AP226" i="605"/>
  <c r="F226" i="605" s="1"/>
  <c r="AO226" i="605"/>
  <c r="E226" i="605" s="1"/>
  <c r="AI226" i="605"/>
  <c r="AH226" i="605"/>
  <c r="AG226" i="605"/>
  <c r="AT225" i="605"/>
  <c r="AR225" i="605"/>
  <c r="H225" i="605" s="1"/>
  <c r="AQ225" i="605"/>
  <c r="G225" i="605" s="1"/>
  <c r="AP225" i="605"/>
  <c r="F225" i="605" s="1"/>
  <c r="AO225" i="605"/>
  <c r="E225" i="605" s="1"/>
  <c r="AI225" i="605"/>
  <c r="AH225" i="605"/>
  <c r="AG225" i="605"/>
  <c r="AT224" i="605"/>
  <c r="AR224" i="605"/>
  <c r="H224" i="605" s="1"/>
  <c r="AQ224" i="605"/>
  <c r="G224" i="605" s="1"/>
  <c r="AP224" i="605"/>
  <c r="F224" i="605" s="1"/>
  <c r="AO224" i="605"/>
  <c r="E224" i="605" s="1"/>
  <c r="AN224" i="605"/>
  <c r="D224" i="605" s="1"/>
  <c r="AI224" i="605"/>
  <c r="AH224" i="605"/>
  <c r="AG224" i="605"/>
  <c r="AT223" i="605"/>
  <c r="AR223" i="605"/>
  <c r="H223" i="605" s="1"/>
  <c r="AQ223" i="605"/>
  <c r="G223" i="605" s="1"/>
  <c r="AP223" i="605"/>
  <c r="F223" i="605" s="1"/>
  <c r="AO223" i="605"/>
  <c r="E223" i="605" s="1"/>
  <c r="AI223" i="605"/>
  <c r="AT222" i="605"/>
  <c r="AR222" i="605"/>
  <c r="H222" i="605" s="1"/>
  <c r="AQ222" i="605"/>
  <c r="G222" i="605" s="1"/>
  <c r="AP222" i="605"/>
  <c r="F222" i="605" s="1"/>
  <c r="AO222" i="605"/>
  <c r="E222" i="605" s="1"/>
  <c r="AI222" i="605"/>
  <c r="AT221" i="605"/>
  <c r="AR221" i="605"/>
  <c r="H221" i="605" s="1"/>
  <c r="AQ221" i="605"/>
  <c r="G221" i="605" s="1"/>
  <c r="AP221" i="605"/>
  <c r="F221" i="605" s="1"/>
  <c r="AO221" i="605"/>
  <c r="E221" i="605" s="1"/>
  <c r="AI221" i="605"/>
  <c r="AT220" i="605"/>
  <c r="AR220" i="605"/>
  <c r="H220" i="605" s="1"/>
  <c r="AQ220" i="605"/>
  <c r="G220" i="605" s="1"/>
  <c r="AP220" i="605"/>
  <c r="F220" i="605" s="1"/>
  <c r="AO220" i="605"/>
  <c r="E220" i="605" s="1"/>
  <c r="AI220" i="605"/>
  <c r="AT219" i="605"/>
  <c r="AR219" i="605"/>
  <c r="H219" i="605" s="1"/>
  <c r="AQ219" i="605"/>
  <c r="G219" i="605" s="1"/>
  <c r="AP219" i="605"/>
  <c r="F219" i="605" s="1"/>
  <c r="AO219" i="605"/>
  <c r="E219" i="605" s="1"/>
  <c r="AI219" i="605"/>
  <c r="AT218" i="605"/>
  <c r="AR218" i="605"/>
  <c r="H218" i="605" s="1"/>
  <c r="AQ218" i="605"/>
  <c r="G218" i="605" s="1"/>
  <c r="AP218" i="605"/>
  <c r="F218" i="605" s="1"/>
  <c r="AO218" i="605"/>
  <c r="E218" i="605" s="1"/>
  <c r="AI218" i="605"/>
  <c r="AT217" i="605"/>
  <c r="AR217" i="605"/>
  <c r="H217" i="605" s="1"/>
  <c r="AQ217" i="605"/>
  <c r="G217" i="605" s="1"/>
  <c r="AP217" i="605"/>
  <c r="F217" i="605" s="1"/>
  <c r="AO217" i="605"/>
  <c r="E217" i="605" s="1"/>
  <c r="AN217" i="605"/>
  <c r="AI217" i="605"/>
  <c r="AH217" i="605"/>
  <c r="AG217" i="605"/>
  <c r="AT216" i="605"/>
  <c r="AR216" i="605"/>
  <c r="H216" i="605" s="1"/>
  <c r="AQ216" i="605"/>
  <c r="G216" i="605" s="1"/>
  <c r="AP216" i="605"/>
  <c r="F216" i="605" s="1"/>
  <c r="AO216" i="605"/>
  <c r="E216" i="605" s="1"/>
  <c r="AI216" i="605"/>
  <c r="AH216" i="605"/>
  <c r="AG216" i="605"/>
  <c r="AJ216" i="605" s="1"/>
  <c r="AT215" i="605"/>
  <c r="AR215" i="605"/>
  <c r="H215" i="605" s="1"/>
  <c r="AQ215" i="605"/>
  <c r="G215" i="605" s="1"/>
  <c r="AP215" i="605"/>
  <c r="F215" i="605" s="1"/>
  <c r="AO215" i="605"/>
  <c r="E215" i="605" s="1"/>
  <c r="AI215" i="605"/>
  <c r="AH215" i="605"/>
  <c r="AG215" i="605"/>
  <c r="AT214" i="605"/>
  <c r="AR214" i="605"/>
  <c r="H214" i="605" s="1"/>
  <c r="AQ214" i="605"/>
  <c r="G214" i="605" s="1"/>
  <c r="AP214" i="605"/>
  <c r="F214" i="605" s="1"/>
  <c r="AO214" i="605"/>
  <c r="E214" i="605" s="1"/>
  <c r="AI214" i="605"/>
  <c r="AH214" i="605"/>
  <c r="AG214" i="605"/>
  <c r="AT213" i="605"/>
  <c r="AR213" i="605"/>
  <c r="H213" i="605" s="1"/>
  <c r="AQ213" i="605"/>
  <c r="G213" i="605" s="1"/>
  <c r="AP213" i="605"/>
  <c r="F213" i="605" s="1"/>
  <c r="AO213" i="605"/>
  <c r="E213" i="605" s="1"/>
  <c r="AI213" i="605"/>
  <c r="AH213" i="605"/>
  <c r="AG213" i="605"/>
  <c r="AT212" i="605"/>
  <c r="AR212" i="605"/>
  <c r="H212" i="605" s="1"/>
  <c r="AQ212" i="605"/>
  <c r="G212" i="605" s="1"/>
  <c r="AP212" i="605"/>
  <c r="F212" i="605" s="1"/>
  <c r="AO212" i="605"/>
  <c r="E212" i="605" s="1"/>
  <c r="AI212" i="605"/>
  <c r="AH212" i="605"/>
  <c r="AG212" i="605"/>
  <c r="AK212" i="605" s="1"/>
  <c r="AT211" i="605"/>
  <c r="AR211" i="605"/>
  <c r="H211" i="605" s="1"/>
  <c r="AQ211" i="605"/>
  <c r="G211" i="605" s="1"/>
  <c r="AP211" i="605"/>
  <c r="F211" i="605" s="1"/>
  <c r="AO211" i="605"/>
  <c r="E211" i="605" s="1"/>
  <c r="AI211" i="605"/>
  <c r="AH211" i="605"/>
  <c r="AG211" i="605"/>
  <c r="AT210" i="605"/>
  <c r="AR210" i="605"/>
  <c r="H210" i="605" s="1"/>
  <c r="AQ210" i="605"/>
  <c r="G210" i="605" s="1"/>
  <c r="AP210" i="605"/>
  <c r="F210" i="605" s="1"/>
  <c r="AO210" i="605"/>
  <c r="E210" i="605" s="1"/>
  <c r="AN210" i="605"/>
  <c r="AN211" i="605" s="1"/>
  <c r="AI210" i="605"/>
  <c r="AH210" i="605"/>
  <c r="AG210" i="605"/>
  <c r="AK210" i="605" s="1"/>
  <c r="AT209" i="605"/>
  <c r="AR209" i="605"/>
  <c r="H209" i="605" s="1"/>
  <c r="AQ209" i="605"/>
  <c r="G209" i="605" s="1"/>
  <c r="AP209" i="605"/>
  <c r="F209" i="605" s="1"/>
  <c r="AO209" i="605"/>
  <c r="E209" i="605" s="1"/>
  <c r="AI209" i="605"/>
  <c r="AH209" i="605"/>
  <c r="AG209" i="605"/>
  <c r="AT208" i="605"/>
  <c r="AR208" i="605"/>
  <c r="H208" i="605" s="1"/>
  <c r="AQ208" i="605"/>
  <c r="G208" i="605" s="1"/>
  <c r="AP208" i="605"/>
  <c r="F208" i="605" s="1"/>
  <c r="AO208" i="605"/>
  <c r="E208" i="605" s="1"/>
  <c r="AI208" i="605"/>
  <c r="AH208" i="605"/>
  <c r="AG208" i="605"/>
  <c r="AT207" i="605"/>
  <c r="AR207" i="605"/>
  <c r="H207" i="605" s="1"/>
  <c r="AQ207" i="605"/>
  <c r="G207" i="605" s="1"/>
  <c r="AP207" i="605"/>
  <c r="F207" i="605" s="1"/>
  <c r="AO207" i="605"/>
  <c r="E207" i="605" s="1"/>
  <c r="AI207" i="605"/>
  <c r="AH207" i="605"/>
  <c r="AG207" i="605"/>
  <c r="AT206" i="605"/>
  <c r="AR206" i="605"/>
  <c r="H206" i="605" s="1"/>
  <c r="AQ206" i="605"/>
  <c r="G206" i="605" s="1"/>
  <c r="AP206" i="605"/>
  <c r="F206" i="605" s="1"/>
  <c r="AO206" i="605"/>
  <c r="E206" i="605" s="1"/>
  <c r="AI206" i="605"/>
  <c r="AH206" i="605"/>
  <c r="AG206" i="605"/>
  <c r="AT205" i="605"/>
  <c r="AR205" i="605"/>
  <c r="H205" i="605" s="1"/>
  <c r="AQ205" i="605"/>
  <c r="G205" i="605" s="1"/>
  <c r="AP205" i="605"/>
  <c r="F205" i="605" s="1"/>
  <c r="AO205" i="605"/>
  <c r="E205" i="605" s="1"/>
  <c r="AI205" i="605"/>
  <c r="AH205" i="605"/>
  <c r="AG205" i="605"/>
  <c r="AT204" i="605"/>
  <c r="AR204" i="605"/>
  <c r="H204" i="605" s="1"/>
  <c r="AQ204" i="605"/>
  <c r="G204" i="605" s="1"/>
  <c r="AP204" i="605"/>
  <c r="F204" i="605" s="1"/>
  <c r="AO204" i="605"/>
  <c r="E204" i="605" s="1"/>
  <c r="AI204" i="605"/>
  <c r="AH204" i="605"/>
  <c r="AG204" i="605"/>
  <c r="AJ204" i="605" s="1"/>
  <c r="AT203" i="605"/>
  <c r="AR203" i="605"/>
  <c r="H203" i="605" s="1"/>
  <c r="AQ203" i="605"/>
  <c r="G203" i="605" s="1"/>
  <c r="AP203" i="605"/>
  <c r="F203" i="605" s="1"/>
  <c r="AO203" i="605"/>
  <c r="E203" i="605" s="1"/>
  <c r="AN203" i="605"/>
  <c r="D203" i="605" s="1"/>
  <c r="AI203" i="605"/>
  <c r="AH203" i="605"/>
  <c r="AG203" i="605"/>
  <c r="AT202" i="605"/>
  <c r="AR202" i="605"/>
  <c r="H202" i="605" s="1"/>
  <c r="AQ202" i="605"/>
  <c r="G202" i="605" s="1"/>
  <c r="AP202" i="605"/>
  <c r="F202" i="605" s="1"/>
  <c r="AO202" i="605"/>
  <c r="E202" i="605" s="1"/>
  <c r="AI202" i="605"/>
  <c r="AH202" i="605"/>
  <c r="AG202" i="605"/>
  <c r="AT201" i="605"/>
  <c r="AR201" i="605"/>
  <c r="H201" i="605" s="1"/>
  <c r="AQ201" i="605"/>
  <c r="G201" i="605" s="1"/>
  <c r="AP201" i="605"/>
  <c r="F201" i="605" s="1"/>
  <c r="AO201" i="605"/>
  <c r="E201" i="605" s="1"/>
  <c r="AI201" i="605"/>
  <c r="AH201" i="605"/>
  <c r="AG201" i="605"/>
  <c r="AT200" i="605"/>
  <c r="AR200" i="605"/>
  <c r="H200" i="605" s="1"/>
  <c r="AQ200" i="605"/>
  <c r="G200" i="605" s="1"/>
  <c r="AP200" i="605"/>
  <c r="F200" i="605" s="1"/>
  <c r="AO200" i="605"/>
  <c r="E200" i="605" s="1"/>
  <c r="AI200" i="605"/>
  <c r="AH200" i="605"/>
  <c r="AG200" i="605"/>
  <c r="AT199" i="605"/>
  <c r="AR199" i="605"/>
  <c r="H199" i="605" s="1"/>
  <c r="AQ199" i="605"/>
  <c r="G199" i="605" s="1"/>
  <c r="AP199" i="605"/>
  <c r="F199" i="605" s="1"/>
  <c r="AO199" i="605"/>
  <c r="E199" i="605" s="1"/>
  <c r="AI199" i="605"/>
  <c r="AH199" i="605"/>
  <c r="AG199" i="605"/>
  <c r="AJ199" i="605" s="1"/>
  <c r="AT198" i="605"/>
  <c r="AR198" i="605"/>
  <c r="H198" i="605" s="1"/>
  <c r="AQ198" i="605"/>
  <c r="G198" i="605" s="1"/>
  <c r="AP198" i="605"/>
  <c r="F198" i="605" s="1"/>
  <c r="AO198" i="605"/>
  <c r="E198" i="605" s="1"/>
  <c r="AI198" i="605"/>
  <c r="AH198" i="605"/>
  <c r="AG198" i="605"/>
  <c r="AT197" i="605"/>
  <c r="AR197" i="605"/>
  <c r="H197" i="605" s="1"/>
  <c r="AQ197" i="605"/>
  <c r="G197" i="605" s="1"/>
  <c r="AP197" i="605"/>
  <c r="F197" i="605" s="1"/>
  <c r="AO197" i="605"/>
  <c r="E197" i="605" s="1"/>
  <c r="AI197" i="605"/>
  <c r="AT196" i="605"/>
  <c r="AR196" i="605"/>
  <c r="H196" i="605" s="1"/>
  <c r="AQ196" i="605"/>
  <c r="G196" i="605" s="1"/>
  <c r="AP196" i="605"/>
  <c r="F196" i="605" s="1"/>
  <c r="AO196" i="605"/>
  <c r="E196" i="605" s="1"/>
  <c r="AN196" i="605"/>
  <c r="AI196" i="605"/>
  <c r="AH196" i="605"/>
  <c r="AG196" i="605"/>
  <c r="AJ196" i="605" s="1"/>
  <c r="AT195" i="605"/>
  <c r="AR195" i="605"/>
  <c r="H195" i="605" s="1"/>
  <c r="AQ195" i="605"/>
  <c r="G195" i="605" s="1"/>
  <c r="AP195" i="605"/>
  <c r="F195" i="605" s="1"/>
  <c r="AO195" i="605"/>
  <c r="E195" i="605" s="1"/>
  <c r="AI195" i="605"/>
  <c r="AT194" i="605"/>
  <c r="AR194" i="605"/>
  <c r="H194" i="605" s="1"/>
  <c r="AQ194" i="605"/>
  <c r="G194" i="605" s="1"/>
  <c r="AP194" i="605"/>
  <c r="F194" i="605" s="1"/>
  <c r="AO194" i="605"/>
  <c r="E194" i="605" s="1"/>
  <c r="AI194" i="605"/>
  <c r="AT193" i="605"/>
  <c r="AR193" i="605"/>
  <c r="H193" i="605" s="1"/>
  <c r="AQ193" i="605"/>
  <c r="G193" i="605" s="1"/>
  <c r="AP193" i="605"/>
  <c r="F193" i="605" s="1"/>
  <c r="AO193" i="605"/>
  <c r="E193" i="605" s="1"/>
  <c r="AI193" i="605"/>
  <c r="AT192" i="605"/>
  <c r="AR192" i="605"/>
  <c r="H192" i="605" s="1"/>
  <c r="AQ192" i="605"/>
  <c r="G192" i="605" s="1"/>
  <c r="AP192" i="605"/>
  <c r="F192" i="605" s="1"/>
  <c r="AO192" i="605"/>
  <c r="E192" i="605" s="1"/>
  <c r="AI192" i="605"/>
  <c r="AT191" i="605"/>
  <c r="AR191" i="605"/>
  <c r="H191" i="605" s="1"/>
  <c r="AQ191" i="605"/>
  <c r="G191" i="605" s="1"/>
  <c r="AP191" i="605"/>
  <c r="F191" i="605" s="1"/>
  <c r="AO191" i="605"/>
  <c r="E191" i="605" s="1"/>
  <c r="AI191" i="605"/>
  <c r="AT190" i="605"/>
  <c r="AR190" i="605"/>
  <c r="H190" i="605" s="1"/>
  <c r="AQ190" i="605"/>
  <c r="G190" i="605" s="1"/>
  <c r="AP190" i="605"/>
  <c r="F190" i="605" s="1"/>
  <c r="AO190" i="605"/>
  <c r="E190" i="605" s="1"/>
  <c r="AI190" i="605"/>
  <c r="AT189" i="605"/>
  <c r="AR189" i="605"/>
  <c r="H189" i="605" s="1"/>
  <c r="AQ189" i="605"/>
  <c r="G189" i="605" s="1"/>
  <c r="AP189" i="605"/>
  <c r="F189" i="605" s="1"/>
  <c r="AO189" i="605"/>
  <c r="E189" i="605" s="1"/>
  <c r="AN189" i="605"/>
  <c r="AN190" i="605" s="1"/>
  <c r="AI189" i="605"/>
  <c r="AH189" i="605"/>
  <c r="AG189" i="605"/>
  <c r="AT188" i="605"/>
  <c r="AR188" i="605"/>
  <c r="H188" i="605" s="1"/>
  <c r="AQ188" i="605"/>
  <c r="G188" i="605" s="1"/>
  <c r="AP188" i="605"/>
  <c r="F188" i="605" s="1"/>
  <c r="AO188" i="605"/>
  <c r="E188" i="605" s="1"/>
  <c r="AI188" i="605"/>
  <c r="AT187" i="605"/>
  <c r="AR187" i="605"/>
  <c r="H187" i="605" s="1"/>
  <c r="AQ187" i="605"/>
  <c r="G187" i="605" s="1"/>
  <c r="AP187" i="605"/>
  <c r="F187" i="605" s="1"/>
  <c r="AO187" i="605"/>
  <c r="E187" i="605" s="1"/>
  <c r="AI187" i="605"/>
  <c r="AT186" i="605"/>
  <c r="AR186" i="605"/>
  <c r="H186" i="605" s="1"/>
  <c r="AQ186" i="605"/>
  <c r="G186" i="605" s="1"/>
  <c r="AP186" i="605"/>
  <c r="F186" i="605" s="1"/>
  <c r="AO186" i="605"/>
  <c r="E186" i="605" s="1"/>
  <c r="AI186" i="605"/>
  <c r="AT185" i="605"/>
  <c r="AR185" i="605"/>
  <c r="H185" i="605" s="1"/>
  <c r="AQ185" i="605"/>
  <c r="G185" i="605" s="1"/>
  <c r="AP185" i="605"/>
  <c r="F185" i="605" s="1"/>
  <c r="AO185" i="605"/>
  <c r="E185" i="605" s="1"/>
  <c r="AI185" i="605"/>
  <c r="AT184" i="605"/>
  <c r="AR184" i="605"/>
  <c r="H184" i="605" s="1"/>
  <c r="AQ184" i="605"/>
  <c r="G184" i="605" s="1"/>
  <c r="AP184" i="605"/>
  <c r="F184" i="605" s="1"/>
  <c r="AO184" i="605"/>
  <c r="E184" i="605" s="1"/>
  <c r="AI184" i="605"/>
  <c r="AT183" i="605"/>
  <c r="AR183" i="605"/>
  <c r="H183" i="605" s="1"/>
  <c r="AQ183" i="605"/>
  <c r="G183" i="605" s="1"/>
  <c r="AP183" i="605"/>
  <c r="F183" i="605" s="1"/>
  <c r="AO183" i="605"/>
  <c r="E183" i="605" s="1"/>
  <c r="AI183" i="605"/>
  <c r="AT182" i="605"/>
  <c r="AR182" i="605"/>
  <c r="H182" i="605" s="1"/>
  <c r="AQ182" i="605"/>
  <c r="G182" i="605" s="1"/>
  <c r="AP182" i="605"/>
  <c r="F182" i="605" s="1"/>
  <c r="AO182" i="605"/>
  <c r="E182" i="605" s="1"/>
  <c r="AN182" i="605"/>
  <c r="D182" i="605" s="1"/>
  <c r="AI182" i="605"/>
  <c r="AH182" i="605"/>
  <c r="AG182" i="605"/>
  <c r="AT181" i="605"/>
  <c r="AR181" i="605"/>
  <c r="H181" i="605" s="1"/>
  <c r="AQ181" i="605"/>
  <c r="G181" i="605" s="1"/>
  <c r="AP181" i="605"/>
  <c r="F181" i="605" s="1"/>
  <c r="AO181" i="605"/>
  <c r="E181" i="605" s="1"/>
  <c r="AI181" i="605"/>
  <c r="AT180" i="605"/>
  <c r="AR180" i="605"/>
  <c r="H180" i="605" s="1"/>
  <c r="AQ180" i="605"/>
  <c r="G180" i="605" s="1"/>
  <c r="AP180" i="605"/>
  <c r="F180" i="605" s="1"/>
  <c r="AO180" i="605"/>
  <c r="E180" i="605" s="1"/>
  <c r="AI180" i="605"/>
  <c r="AT179" i="605"/>
  <c r="AR179" i="605"/>
  <c r="H179" i="605" s="1"/>
  <c r="AQ179" i="605"/>
  <c r="G179" i="605" s="1"/>
  <c r="AP179" i="605"/>
  <c r="F179" i="605" s="1"/>
  <c r="AO179" i="605"/>
  <c r="E179" i="605" s="1"/>
  <c r="AI179" i="605"/>
  <c r="AT178" i="605"/>
  <c r="AR178" i="605"/>
  <c r="H178" i="605" s="1"/>
  <c r="AQ178" i="605"/>
  <c r="G178" i="605" s="1"/>
  <c r="AP178" i="605"/>
  <c r="F178" i="605" s="1"/>
  <c r="AO178" i="605"/>
  <c r="E178" i="605" s="1"/>
  <c r="AI178" i="605"/>
  <c r="AT177" i="605"/>
  <c r="AR177" i="605"/>
  <c r="H177" i="605" s="1"/>
  <c r="AQ177" i="605"/>
  <c r="G177" i="605" s="1"/>
  <c r="AP177" i="605"/>
  <c r="F177" i="605" s="1"/>
  <c r="AO177" i="605"/>
  <c r="E177" i="605" s="1"/>
  <c r="AI177" i="605"/>
  <c r="AT176" i="605"/>
  <c r="AR176" i="605"/>
  <c r="H176" i="605" s="1"/>
  <c r="AQ176" i="605"/>
  <c r="G176" i="605" s="1"/>
  <c r="AP176" i="605"/>
  <c r="F176" i="605" s="1"/>
  <c r="AO176" i="605"/>
  <c r="E176" i="605" s="1"/>
  <c r="AI176" i="605"/>
  <c r="AT175" i="605"/>
  <c r="AR175" i="605"/>
  <c r="H175" i="605" s="1"/>
  <c r="AQ175" i="605"/>
  <c r="G175" i="605" s="1"/>
  <c r="AP175" i="605"/>
  <c r="F175" i="605" s="1"/>
  <c r="AO175" i="605"/>
  <c r="E175" i="605" s="1"/>
  <c r="AN175" i="605"/>
  <c r="D175" i="605" s="1"/>
  <c r="AI175" i="605"/>
  <c r="AH175" i="605"/>
  <c r="AG175" i="605"/>
  <c r="AT174" i="605"/>
  <c r="AR174" i="605"/>
  <c r="H174" i="605" s="1"/>
  <c r="AQ174" i="605"/>
  <c r="G174" i="605" s="1"/>
  <c r="AP174" i="605"/>
  <c r="F174" i="605" s="1"/>
  <c r="AO174" i="605"/>
  <c r="E174" i="605" s="1"/>
  <c r="AI174" i="605"/>
  <c r="AT173" i="605"/>
  <c r="AR173" i="605"/>
  <c r="H173" i="605" s="1"/>
  <c r="AQ173" i="605"/>
  <c r="G173" i="605" s="1"/>
  <c r="AP173" i="605"/>
  <c r="F173" i="605" s="1"/>
  <c r="AO173" i="605"/>
  <c r="E173" i="605" s="1"/>
  <c r="AI173" i="605"/>
  <c r="AT172" i="605"/>
  <c r="AR172" i="605"/>
  <c r="H172" i="605" s="1"/>
  <c r="AQ172" i="605"/>
  <c r="G172" i="605" s="1"/>
  <c r="AP172" i="605"/>
  <c r="F172" i="605" s="1"/>
  <c r="AO172" i="605"/>
  <c r="E172" i="605" s="1"/>
  <c r="AI172" i="605"/>
  <c r="AT171" i="605"/>
  <c r="AR171" i="605"/>
  <c r="H171" i="605" s="1"/>
  <c r="AQ171" i="605"/>
  <c r="G171" i="605" s="1"/>
  <c r="AP171" i="605"/>
  <c r="F171" i="605" s="1"/>
  <c r="AO171" i="605"/>
  <c r="E171" i="605" s="1"/>
  <c r="AI171" i="605"/>
  <c r="AT170" i="605"/>
  <c r="AR170" i="605"/>
  <c r="H170" i="605" s="1"/>
  <c r="AQ170" i="605"/>
  <c r="G170" i="605" s="1"/>
  <c r="AP170" i="605"/>
  <c r="F170" i="605" s="1"/>
  <c r="AO170" i="605"/>
  <c r="E170" i="605" s="1"/>
  <c r="AI170" i="605"/>
  <c r="AT169" i="605"/>
  <c r="AR169" i="605"/>
  <c r="H169" i="605" s="1"/>
  <c r="AQ169" i="605"/>
  <c r="G169" i="605" s="1"/>
  <c r="AP169" i="605"/>
  <c r="F169" i="605" s="1"/>
  <c r="AO169" i="605"/>
  <c r="E169" i="605" s="1"/>
  <c r="AI169" i="605"/>
  <c r="AT168" i="605"/>
  <c r="AR168" i="605"/>
  <c r="H168" i="605" s="1"/>
  <c r="AQ168" i="605"/>
  <c r="G168" i="605" s="1"/>
  <c r="AP168" i="605"/>
  <c r="F168" i="605" s="1"/>
  <c r="AO168" i="605"/>
  <c r="E168" i="605" s="1"/>
  <c r="AN168" i="605"/>
  <c r="AN169" i="605" s="1"/>
  <c r="D169" i="605" s="1"/>
  <c r="AI168" i="605"/>
  <c r="AH168" i="605"/>
  <c r="AG168" i="605"/>
  <c r="AT167" i="605"/>
  <c r="AR167" i="605"/>
  <c r="H167" i="605" s="1"/>
  <c r="AQ167" i="605"/>
  <c r="G167" i="605" s="1"/>
  <c r="AP167" i="605"/>
  <c r="F167" i="605" s="1"/>
  <c r="AO167" i="605"/>
  <c r="E167" i="605" s="1"/>
  <c r="AI167" i="605"/>
  <c r="AH167" i="605"/>
  <c r="AG167" i="605"/>
  <c r="AT166" i="605"/>
  <c r="AR166" i="605"/>
  <c r="H166" i="605" s="1"/>
  <c r="AQ166" i="605"/>
  <c r="G166" i="605" s="1"/>
  <c r="AP166" i="605"/>
  <c r="F166" i="605" s="1"/>
  <c r="AO166" i="605"/>
  <c r="E166" i="605" s="1"/>
  <c r="AI166" i="605"/>
  <c r="AH166" i="605"/>
  <c r="AG166" i="605"/>
  <c r="AT165" i="605"/>
  <c r="AR165" i="605"/>
  <c r="H165" i="605" s="1"/>
  <c r="AQ165" i="605"/>
  <c r="G165" i="605" s="1"/>
  <c r="AP165" i="605"/>
  <c r="F165" i="605" s="1"/>
  <c r="AO165" i="605"/>
  <c r="E165" i="605" s="1"/>
  <c r="AI165" i="605"/>
  <c r="AH165" i="605"/>
  <c r="AG165" i="605"/>
  <c r="AT164" i="605"/>
  <c r="AR164" i="605"/>
  <c r="H164" i="605" s="1"/>
  <c r="AQ164" i="605"/>
  <c r="G164" i="605" s="1"/>
  <c r="AP164" i="605"/>
  <c r="F164" i="605" s="1"/>
  <c r="AO164" i="605"/>
  <c r="E164" i="605" s="1"/>
  <c r="AI164" i="605"/>
  <c r="AH164" i="605"/>
  <c r="AG164" i="605"/>
  <c r="AK164" i="605" s="1"/>
  <c r="AT163" i="605"/>
  <c r="AR163" i="605"/>
  <c r="H163" i="605" s="1"/>
  <c r="AQ163" i="605"/>
  <c r="G163" i="605" s="1"/>
  <c r="AP163" i="605"/>
  <c r="F163" i="605" s="1"/>
  <c r="AO163" i="605"/>
  <c r="E163" i="605" s="1"/>
  <c r="AI163" i="605"/>
  <c r="AH163" i="605"/>
  <c r="AG163" i="605"/>
  <c r="AT162" i="605"/>
  <c r="AR162" i="605"/>
  <c r="H162" i="605" s="1"/>
  <c r="AQ162" i="605"/>
  <c r="G162" i="605" s="1"/>
  <c r="AP162" i="605"/>
  <c r="F162" i="605" s="1"/>
  <c r="AO162" i="605"/>
  <c r="E162" i="605" s="1"/>
  <c r="AI162" i="605"/>
  <c r="AH162" i="605"/>
  <c r="AG162" i="605"/>
  <c r="AT161" i="605"/>
  <c r="AR161" i="605"/>
  <c r="H161" i="605" s="1"/>
  <c r="AQ161" i="605"/>
  <c r="G161" i="605" s="1"/>
  <c r="AP161" i="605"/>
  <c r="F161" i="605" s="1"/>
  <c r="AO161" i="605"/>
  <c r="E161" i="605" s="1"/>
  <c r="AN161" i="605"/>
  <c r="D161" i="605" s="1"/>
  <c r="AI161" i="605"/>
  <c r="AH161" i="605"/>
  <c r="AG161" i="605"/>
  <c r="AT160" i="605"/>
  <c r="AR160" i="605"/>
  <c r="H160" i="605" s="1"/>
  <c r="AQ160" i="605"/>
  <c r="G160" i="605" s="1"/>
  <c r="AP160" i="605"/>
  <c r="F160" i="605" s="1"/>
  <c r="AO160" i="605"/>
  <c r="E160" i="605" s="1"/>
  <c r="AI160" i="605"/>
  <c r="AT159" i="605"/>
  <c r="AR159" i="605"/>
  <c r="H159" i="605" s="1"/>
  <c r="AQ159" i="605"/>
  <c r="G159" i="605" s="1"/>
  <c r="AP159" i="605"/>
  <c r="F159" i="605" s="1"/>
  <c r="AO159" i="605"/>
  <c r="E159" i="605" s="1"/>
  <c r="AI159" i="605"/>
  <c r="AT158" i="605"/>
  <c r="AR158" i="605"/>
  <c r="H158" i="605" s="1"/>
  <c r="AQ158" i="605"/>
  <c r="G158" i="605" s="1"/>
  <c r="AP158" i="605"/>
  <c r="F158" i="605" s="1"/>
  <c r="AO158" i="605"/>
  <c r="E158" i="605" s="1"/>
  <c r="AI158" i="605"/>
  <c r="AT157" i="605"/>
  <c r="AR157" i="605"/>
  <c r="H157" i="605" s="1"/>
  <c r="AQ157" i="605"/>
  <c r="G157" i="605" s="1"/>
  <c r="AP157" i="605"/>
  <c r="F157" i="605" s="1"/>
  <c r="AO157" i="605"/>
  <c r="E157" i="605" s="1"/>
  <c r="AI157" i="605"/>
  <c r="AT156" i="605"/>
  <c r="AR156" i="605"/>
  <c r="H156" i="605" s="1"/>
  <c r="AQ156" i="605"/>
  <c r="G156" i="605" s="1"/>
  <c r="AP156" i="605"/>
  <c r="F156" i="605" s="1"/>
  <c r="AO156" i="605"/>
  <c r="E156" i="605" s="1"/>
  <c r="AI156" i="605"/>
  <c r="AT155" i="605"/>
  <c r="AR155" i="605"/>
  <c r="H155" i="605" s="1"/>
  <c r="AQ155" i="605"/>
  <c r="G155" i="605" s="1"/>
  <c r="AP155" i="605"/>
  <c r="F155" i="605" s="1"/>
  <c r="AO155" i="605"/>
  <c r="E155" i="605" s="1"/>
  <c r="AI155" i="605"/>
  <c r="AT154" i="605"/>
  <c r="AR154" i="605"/>
  <c r="H154" i="605" s="1"/>
  <c r="AQ154" i="605"/>
  <c r="G154" i="605" s="1"/>
  <c r="AP154" i="605"/>
  <c r="F154" i="605" s="1"/>
  <c r="AO154" i="605"/>
  <c r="E154" i="605" s="1"/>
  <c r="AN154" i="605"/>
  <c r="AN155" i="605" s="1"/>
  <c r="AI154" i="605"/>
  <c r="AH154" i="605"/>
  <c r="AG154" i="605"/>
  <c r="AT153" i="605"/>
  <c r="AR153" i="605"/>
  <c r="H153" i="605" s="1"/>
  <c r="AQ153" i="605"/>
  <c r="G153" i="605" s="1"/>
  <c r="AP153" i="605"/>
  <c r="F153" i="605" s="1"/>
  <c r="AO153" i="605"/>
  <c r="E153" i="605" s="1"/>
  <c r="AI153" i="605"/>
  <c r="AH153" i="605"/>
  <c r="AG153" i="605"/>
  <c r="AT152" i="605"/>
  <c r="AR152" i="605"/>
  <c r="H152" i="605" s="1"/>
  <c r="AQ152" i="605"/>
  <c r="G152" i="605" s="1"/>
  <c r="AP152" i="605"/>
  <c r="F152" i="605" s="1"/>
  <c r="AO152" i="605"/>
  <c r="E152" i="605" s="1"/>
  <c r="AI152" i="605"/>
  <c r="AH152" i="605"/>
  <c r="AG152" i="605"/>
  <c r="AK152" i="605" s="1"/>
  <c r="AT151" i="605"/>
  <c r="AR151" i="605"/>
  <c r="H151" i="605" s="1"/>
  <c r="AQ151" i="605"/>
  <c r="G151" i="605" s="1"/>
  <c r="AP151" i="605"/>
  <c r="F151" i="605" s="1"/>
  <c r="AO151" i="605"/>
  <c r="E151" i="605" s="1"/>
  <c r="AI151" i="605"/>
  <c r="AH151" i="605"/>
  <c r="AG151" i="605"/>
  <c r="AT150" i="605"/>
  <c r="AR150" i="605"/>
  <c r="H150" i="605" s="1"/>
  <c r="AQ150" i="605"/>
  <c r="G150" i="605" s="1"/>
  <c r="AP150" i="605"/>
  <c r="F150" i="605" s="1"/>
  <c r="AO150" i="605"/>
  <c r="E150" i="605" s="1"/>
  <c r="AI150" i="605"/>
  <c r="AH150" i="605"/>
  <c r="AG150" i="605"/>
  <c r="AT149" i="605"/>
  <c r="AR149" i="605"/>
  <c r="H149" i="605" s="1"/>
  <c r="AQ149" i="605"/>
  <c r="G149" i="605" s="1"/>
  <c r="AP149" i="605"/>
  <c r="F149" i="605" s="1"/>
  <c r="AO149" i="605"/>
  <c r="E149" i="605" s="1"/>
  <c r="AI149" i="605"/>
  <c r="AH149" i="605"/>
  <c r="AG149" i="605"/>
  <c r="AT148" i="605"/>
  <c r="AR148" i="605"/>
  <c r="H148" i="605" s="1"/>
  <c r="AQ148" i="605"/>
  <c r="G148" i="605" s="1"/>
  <c r="AP148" i="605"/>
  <c r="F148" i="605" s="1"/>
  <c r="AO148" i="605"/>
  <c r="E148" i="605" s="1"/>
  <c r="AI148" i="605"/>
  <c r="AH148" i="605"/>
  <c r="AG148" i="605"/>
  <c r="AT147" i="605"/>
  <c r="AR147" i="605"/>
  <c r="H147" i="605" s="1"/>
  <c r="AQ147" i="605"/>
  <c r="G147" i="605" s="1"/>
  <c r="AP147" i="605"/>
  <c r="F147" i="605" s="1"/>
  <c r="AO147" i="605"/>
  <c r="E147" i="605" s="1"/>
  <c r="AN147" i="605"/>
  <c r="AI147" i="605"/>
  <c r="AH147" i="605"/>
  <c r="AG147" i="605"/>
  <c r="AT146" i="605"/>
  <c r="AR146" i="605"/>
  <c r="H146" i="605" s="1"/>
  <c r="AQ146" i="605"/>
  <c r="G146" i="605" s="1"/>
  <c r="AP146" i="605"/>
  <c r="F146" i="605" s="1"/>
  <c r="AO146" i="605"/>
  <c r="E146" i="605" s="1"/>
  <c r="AI146" i="605"/>
  <c r="AH146" i="605"/>
  <c r="AG146" i="605"/>
  <c r="AT145" i="605"/>
  <c r="AR145" i="605"/>
  <c r="H145" i="605" s="1"/>
  <c r="AQ145" i="605"/>
  <c r="G145" i="605" s="1"/>
  <c r="AP145" i="605"/>
  <c r="F145" i="605" s="1"/>
  <c r="AO145" i="605"/>
  <c r="E145" i="605" s="1"/>
  <c r="AI145" i="605"/>
  <c r="AH145" i="605"/>
  <c r="AG145" i="605"/>
  <c r="AT144" i="605"/>
  <c r="AR144" i="605"/>
  <c r="H144" i="605" s="1"/>
  <c r="AQ144" i="605"/>
  <c r="G144" i="605" s="1"/>
  <c r="AP144" i="605"/>
  <c r="F144" i="605" s="1"/>
  <c r="AO144" i="605"/>
  <c r="E144" i="605" s="1"/>
  <c r="AI144" i="605"/>
  <c r="AH144" i="605"/>
  <c r="AG144" i="605"/>
  <c r="AT143" i="605"/>
  <c r="AR143" i="605"/>
  <c r="H143" i="605" s="1"/>
  <c r="AQ143" i="605"/>
  <c r="G143" i="605" s="1"/>
  <c r="AP143" i="605"/>
  <c r="F143" i="605" s="1"/>
  <c r="AO143" i="605"/>
  <c r="E143" i="605" s="1"/>
  <c r="AI143" i="605"/>
  <c r="AH143" i="605"/>
  <c r="AG143" i="605"/>
  <c r="AK143" i="605" s="1"/>
  <c r="AT142" i="605"/>
  <c r="AR142" i="605"/>
  <c r="H142" i="605" s="1"/>
  <c r="AQ142" i="605"/>
  <c r="G142" i="605" s="1"/>
  <c r="AP142" i="605"/>
  <c r="F142" i="605" s="1"/>
  <c r="AO142" i="605"/>
  <c r="E142" i="605" s="1"/>
  <c r="AI142" i="605"/>
  <c r="AH142" i="605"/>
  <c r="AG142" i="605"/>
  <c r="AT141" i="605"/>
  <c r="AR141" i="605"/>
  <c r="H141" i="605" s="1"/>
  <c r="AQ141" i="605"/>
  <c r="G141" i="605" s="1"/>
  <c r="AP141" i="605"/>
  <c r="F141" i="605" s="1"/>
  <c r="AO141" i="605"/>
  <c r="E141" i="605" s="1"/>
  <c r="AI141" i="605"/>
  <c r="AH141" i="605"/>
  <c r="AG141" i="605"/>
  <c r="AT140" i="605"/>
  <c r="AR140" i="605"/>
  <c r="H140" i="605" s="1"/>
  <c r="AQ140" i="605"/>
  <c r="G140" i="605" s="1"/>
  <c r="AP140" i="605"/>
  <c r="F140" i="605" s="1"/>
  <c r="AO140" i="605"/>
  <c r="E140" i="605" s="1"/>
  <c r="AN140" i="605"/>
  <c r="AN141" i="605" s="1"/>
  <c r="AI140" i="605"/>
  <c r="AH140" i="605"/>
  <c r="AG140" i="605"/>
  <c r="AT139" i="605"/>
  <c r="AR139" i="605"/>
  <c r="H139" i="605" s="1"/>
  <c r="AQ139" i="605"/>
  <c r="G139" i="605" s="1"/>
  <c r="AP139" i="605"/>
  <c r="F139" i="605" s="1"/>
  <c r="AO139" i="605"/>
  <c r="E139" i="605" s="1"/>
  <c r="AI139" i="605"/>
  <c r="AT138" i="605"/>
  <c r="AR138" i="605"/>
  <c r="H138" i="605" s="1"/>
  <c r="AQ138" i="605"/>
  <c r="G138" i="605" s="1"/>
  <c r="AP138" i="605"/>
  <c r="F138" i="605" s="1"/>
  <c r="AO138" i="605"/>
  <c r="E138" i="605" s="1"/>
  <c r="AI138" i="605"/>
  <c r="AT137" i="605"/>
  <c r="AR137" i="605"/>
  <c r="H137" i="605" s="1"/>
  <c r="AQ137" i="605"/>
  <c r="G137" i="605" s="1"/>
  <c r="AP137" i="605"/>
  <c r="F137" i="605" s="1"/>
  <c r="AO137" i="605"/>
  <c r="E137" i="605" s="1"/>
  <c r="AI137" i="605"/>
  <c r="AT136" i="605"/>
  <c r="AR136" i="605"/>
  <c r="H136" i="605" s="1"/>
  <c r="AQ136" i="605"/>
  <c r="G136" i="605" s="1"/>
  <c r="AP136" i="605"/>
  <c r="F136" i="605" s="1"/>
  <c r="AO136" i="605"/>
  <c r="E136" i="605" s="1"/>
  <c r="AI136" i="605"/>
  <c r="AT135" i="605"/>
  <c r="AR135" i="605"/>
  <c r="H135" i="605" s="1"/>
  <c r="AQ135" i="605"/>
  <c r="G135" i="605" s="1"/>
  <c r="AP135" i="605"/>
  <c r="F135" i="605" s="1"/>
  <c r="AO135" i="605"/>
  <c r="E135" i="605" s="1"/>
  <c r="AI135" i="605"/>
  <c r="AT134" i="605"/>
  <c r="AR134" i="605"/>
  <c r="H134" i="605" s="1"/>
  <c r="AQ134" i="605"/>
  <c r="G134" i="605" s="1"/>
  <c r="AP134" i="605"/>
  <c r="F134" i="605" s="1"/>
  <c r="AO134" i="605"/>
  <c r="E134" i="605" s="1"/>
  <c r="AI134" i="605"/>
  <c r="AT133" i="605"/>
  <c r="AR133" i="605"/>
  <c r="H133" i="605" s="1"/>
  <c r="AQ133" i="605"/>
  <c r="G133" i="605" s="1"/>
  <c r="AP133" i="605"/>
  <c r="F133" i="605" s="1"/>
  <c r="AO133" i="605"/>
  <c r="E133" i="605" s="1"/>
  <c r="AN133" i="605"/>
  <c r="AN134" i="605" s="1"/>
  <c r="AI133" i="605"/>
  <c r="AH133" i="605"/>
  <c r="AG133" i="605"/>
  <c r="AT132" i="605"/>
  <c r="AR132" i="605"/>
  <c r="H132" i="605" s="1"/>
  <c r="AQ132" i="605"/>
  <c r="G132" i="605" s="1"/>
  <c r="AP132" i="605"/>
  <c r="F132" i="605" s="1"/>
  <c r="AO132" i="605"/>
  <c r="E132" i="605" s="1"/>
  <c r="AI132" i="605"/>
  <c r="AH132" i="605"/>
  <c r="AG132" i="605"/>
  <c r="AT131" i="605"/>
  <c r="AR131" i="605"/>
  <c r="H131" i="605" s="1"/>
  <c r="AQ131" i="605"/>
  <c r="G131" i="605" s="1"/>
  <c r="AP131" i="605"/>
  <c r="F131" i="605" s="1"/>
  <c r="AO131" i="605"/>
  <c r="E131" i="605" s="1"/>
  <c r="AI131" i="605"/>
  <c r="AH131" i="605"/>
  <c r="AG131" i="605"/>
  <c r="AT130" i="605"/>
  <c r="AR130" i="605"/>
  <c r="H130" i="605" s="1"/>
  <c r="AQ130" i="605"/>
  <c r="G130" i="605" s="1"/>
  <c r="AP130" i="605"/>
  <c r="F130" i="605" s="1"/>
  <c r="AO130" i="605"/>
  <c r="E130" i="605" s="1"/>
  <c r="AI130" i="605"/>
  <c r="AH130" i="605"/>
  <c r="AG130" i="605"/>
  <c r="AT129" i="605"/>
  <c r="AR129" i="605"/>
  <c r="H129" i="605" s="1"/>
  <c r="AQ129" i="605"/>
  <c r="G129" i="605" s="1"/>
  <c r="AP129" i="605"/>
  <c r="F129" i="605" s="1"/>
  <c r="AO129" i="605"/>
  <c r="E129" i="605" s="1"/>
  <c r="AI129" i="605"/>
  <c r="AH129" i="605"/>
  <c r="AG129" i="605"/>
  <c r="AT128" i="605"/>
  <c r="AR128" i="605"/>
  <c r="H128" i="605" s="1"/>
  <c r="AQ128" i="605"/>
  <c r="G128" i="605" s="1"/>
  <c r="AP128" i="605"/>
  <c r="F128" i="605" s="1"/>
  <c r="AO128" i="605"/>
  <c r="E128" i="605" s="1"/>
  <c r="AI128" i="605"/>
  <c r="AH128" i="605"/>
  <c r="AG128" i="605"/>
  <c r="AT127" i="605"/>
  <c r="AR127" i="605"/>
  <c r="H127" i="605" s="1"/>
  <c r="AQ127" i="605"/>
  <c r="G127" i="605" s="1"/>
  <c r="AP127" i="605"/>
  <c r="F127" i="605" s="1"/>
  <c r="AO127" i="605"/>
  <c r="E127" i="605" s="1"/>
  <c r="AI127" i="605"/>
  <c r="AH127" i="605"/>
  <c r="AG127" i="605"/>
  <c r="AT126" i="605"/>
  <c r="AR126" i="605"/>
  <c r="H126" i="605" s="1"/>
  <c r="AQ126" i="605"/>
  <c r="G126" i="605" s="1"/>
  <c r="AP126" i="605"/>
  <c r="F126" i="605" s="1"/>
  <c r="AO126" i="605"/>
  <c r="E126" i="605" s="1"/>
  <c r="AN126" i="605"/>
  <c r="AN127" i="605" s="1"/>
  <c r="AI126" i="605"/>
  <c r="AH126" i="605"/>
  <c r="AG126" i="605"/>
  <c r="AT125" i="605"/>
  <c r="AR125" i="605"/>
  <c r="H125" i="605" s="1"/>
  <c r="AQ125" i="605"/>
  <c r="G125" i="605" s="1"/>
  <c r="AP125" i="605"/>
  <c r="F125" i="605" s="1"/>
  <c r="AO125" i="605"/>
  <c r="E125" i="605" s="1"/>
  <c r="AI125" i="605"/>
  <c r="AT124" i="605"/>
  <c r="AR124" i="605"/>
  <c r="H124" i="605" s="1"/>
  <c r="AQ124" i="605"/>
  <c r="G124" i="605" s="1"/>
  <c r="AP124" i="605"/>
  <c r="F124" i="605" s="1"/>
  <c r="AO124" i="605"/>
  <c r="E124" i="605" s="1"/>
  <c r="AI124" i="605"/>
  <c r="AT123" i="605"/>
  <c r="AR123" i="605"/>
  <c r="H123" i="605" s="1"/>
  <c r="AQ123" i="605"/>
  <c r="G123" i="605" s="1"/>
  <c r="AP123" i="605"/>
  <c r="F123" i="605" s="1"/>
  <c r="AO123" i="605"/>
  <c r="E123" i="605" s="1"/>
  <c r="AI123" i="605"/>
  <c r="AT122" i="605"/>
  <c r="AR122" i="605"/>
  <c r="H122" i="605" s="1"/>
  <c r="AQ122" i="605"/>
  <c r="G122" i="605" s="1"/>
  <c r="AP122" i="605"/>
  <c r="F122" i="605" s="1"/>
  <c r="AO122" i="605"/>
  <c r="E122" i="605" s="1"/>
  <c r="AI122" i="605"/>
  <c r="AT121" i="605"/>
  <c r="AR121" i="605"/>
  <c r="H121" i="605" s="1"/>
  <c r="AQ121" i="605"/>
  <c r="G121" i="605" s="1"/>
  <c r="AP121" i="605"/>
  <c r="F121" i="605" s="1"/>
  <c r="AO121" i="605"/>
  <c r="E121" i="605" s="1"/>
  <c r="AI121" i="605"/>
  <c r="AT120" i="605"/>
  <c r="AR120" i="605"/>
  <c r="H120" i="605" s="1"/>
  <c r="AQ120" i="605"/>
  <c r="G120" i="605" s="1"/>
  <c r="AP120" i="605"/>
  <c r="F120" i="605" s="1"/>
  <c r="AO120" i="605"/>
  <c r="E120" i="605" s="1"/>
  <c r="AI120" i="605"/>
  <c r="AT119" i="605"/>
  <c r="AR119" i="605"/>
  <c r="H119" i="605" s="1"/>
  <c r="AQ119" i="605"/>
  <c r="G119" i="605" s="1"/>
  <c r="AP119" i="605"/>
  <c r="F119" i="605" s="1"/>
  <c r="AO119" i="605"/>
  <c r="E119" i="605" s="1"/>
  <c r="AN119" i="605"/>
  <c r="AN120" i="605" s="1"/>
  <c r="AI119" i="605"/>
  <c r="AH119" i="605"/>
  <c r="AG119" i="605"/>
  <c r="AT118" i="605"/>
  <c r="AR118" i="605"/>
  <c r="H118" i="605" s="1"/>
  <c r="AQ118" i="605"/>
  <c r="G118" i="605" s="1"/>
  <c r="AP118" i="605"/>
  <c r="F118" i="605" s="1"/>
  <c r="AO118" i="605"/>
  <c r="E118" i="605" s="1"/>
  <c r="AI118" i="605"/>
  <c r="AT117" i="605"/>
  <c r="AR117" i="605"/>
  <c r="H117" i="605" s="1"/>
  <c r="AQ117" i="605"/>
  <c r="G117" i="605" s="1"/>
  <c r="AP117" i="605"/>
  <c r="F117" i="605" s="1"/>
  <c r="AO117" i="605"/>
  <c r="E117" i="605" s="1"/>
  <c r="AI117" i="605"/>
  <c r="AT116" i="605"/>
  <c r="AR116" i="605"/>
  <c r="H116" i="605" s="1"/>
  <c r="AQ116" i="605"/>
  <c r="G116" i="605" s="1"/>
  <c r="AP116" i="605"/>
  <c r="F116" i="605" s="1"/>
  <c r="AO116" i="605"/>
  <c r="E116" i="605" s="1"/>
  <c r="AI116" i="605"/>
  <c r="AT115" i="605"/>
  <c r="AR115" i="605"/>
  <c r="H115" i="605" s="1"/>
  <c r="AQ115" i="605"/>
  <c r="G115" i="605" s="1"/>
  <c r="AP115" i="605"/>
  <c r="F115" i="605" s="1"/>
  <c r="AO115" i="605"/>
  <c r="E115" i="605" s="1"/>
  <c r="AI115" i="605"/>
  <c r="AT114" i="605"/>
  <c r="AR114" i="605"/>
  <c r="H114" i="605" s="1"/>
  <c r="AQ114" i="605"/>
  <c r="G114" i="605" s="1"/>
  <c r="AP114" i="605"/>
  <c r="F114" i="605" s="1"/>
  <c r="AO114" i="605"/>
  <c r="E114" i="605" s="1"/>
  <c r="AI114" i="605"/>
  <c r="AT113" i="605"/>
  <c r="AR113" i="605"/>
  <c r="H113" i="605" s="1"/>
  <c r="AQ113" i="605"/>
  <c r="G113" i="605" s="1"/>
  <c r="AP113" i="605"/>
  <c r="F113" i="605" s="1"/>
  <c r="AO113" i="605"/>
  <c r="E113" i="605" s="1"/>
  <c r="AI113" i="605"/>
  <c r="AT112" i="605"/>
  <c r="AR112" i="605"/>
  <c r="H112" i="605" s="1"/>
  <c r="AQ112" i="605"/>
  <c r="G112" i="605" s="1"/>
  <c r="AP112" i="605"/>
  <c r="F112" i="605" s="1"/>
  <c r="AO112" i="605"/>
  <c r="E112" i="605" s="1"/>
  <c r="AN112" i="605"/>
  <c r="AN113" i="605" s="1"/>
  <c r="AI112" i="605"/>
  <c r="AH112" i="605"/>
  <c r="AG112" i="605"/>
  <c r="AT111" i="605"/>
  <c r="AR111" i="605"/>
  <c r="H111" i="605" s="1"/>
  <c r="AQ111" i="605"/>
  <c r="G111" i="605" s="1"/>
  <c r="AP111" i="605"/>
  <c r="F111" i="605" s="1"/>
  <c r="AO111" i="605"/>
  <c r="E111" i="605" s="1"/>
  <c r="AI111" i="605"/>
  <c r="AT110" i="605"/>
  <c r="AR110" i="605"/>
  <c r="H110" i="605" s="1"/>
  <c r="AQ110" i="605"/>
  <c r="G110" i="605" s="1"/>
  <c r="AP110" i="605"/>
  <c r="F110" i="605" s="1"/>
  <c r="AO110" i="605"/>
  <c r="E110" i="605" s="1"/>
  <c r="AI110" i="605"/>
  <c r="AT109" i="605"/>
  <c r="AR109" i="605"/>
  <c r="H109" i="605" s="1"/>
  <c r="AQ109" i="605"/>
  <c r="G109" i="605" s="1"/>
  <c r="AP109" i="605"/>
  <c r="F109" i="605" s="1"/>
  <c r="AO109" i="605"/>
  <c r="E109" i="605" s="1"/>
  <c r="AI109" i="605"/>
  <c r="AT108" i="605"/>
  <c r="AR108" i="605"/>
  <c r="H108" i="605" s="1"/>
  <c r="AQ108" i="605"/>
  <c r="G108" i="605" s="1"/>
  <c r="AP108" i="605"/>
  <c r="F108" i="605" s="1"/>
  <c r="AO108" i="605"/>
  <c r="E108" i="605" s="1"/>
  <c r="AI108" i="605"/>
  <c r="AT107" i="605"/>
  <c r="AR107" i="605"/>
  <c r="H107" i="605" s="1"/>
  <c r="AQ107" i="605"/>
  <c r="G107" i="605" s="1"/>
  <c r="AP107" i="605"/>
  <c r="F107" i="605" s="1"/>
  <c r="AO107" i="605"/>
  <c r="E107" i="605" s="1"/>
  <c r="AI107" i="605"/>
  <c r="AT106" i="605"/>
  <c r="AR106" i="605"/>
  <c r="H106" i="605" s="1"/>
  <c r="AQ106" i="605"/>
  <c r="G106" i="605" s="1"/>
  <c r="AP106" i="605"/>
  <c r="F106" i="605" s="1"/>
  <c r="AO106" i="605"/>
  <c r="E106" i="605" s="1"/>
  <c r="AI106" i="605"/>
  <c r="AT105" i="605"/>
  <c r="AR105" i="605"/>
  <c r="H105" i="605" s="1"/>
  <c r="AQ105" i="605"/>
  <c r="G105" i="605" s="1"/>
  <c r="AP105" i="605"/>
  <c r="F105" i="605" s="1"/>
  <c r="AO105" i="605"/>
  <c r="E105" i="605" s="1"/>
  <c r="AN105" i="605"/>
  <c r="D105" i="605" s="1"/>
  <c r="AI105" i="605"/>
  <c r="AH105" i="605"/>
  <c r="AG105" i="605"/>
  <c r="AT104" i="605"/>
  <c r="AR104" i="605"/>
  <c r="H104" i="605" s="1"/>
  <c r="AQ104" i="605"/>
  <c r="G104" i="605" s="1"/>
  <c r="AP104" i="605"/>
  <c r="F104" i="605" s="1"/>
  <c r="AO104" i="605"/>
  <c r="E104" i="605" s="1"/>
  <c r="AI104" i="605"/>
  <c r="AT103" i="605"/>
  <c r="AR103" i="605"/>
  <c r="H103" i="605" s="1"/>
  <c r="AQ103" i="605"/>
  <c r="G103" i="605" s="1"/>
  <c r="AP103" i="605"/>
  <c r="F103" i="605" s="1"/>
  <c r="AO103" i="605"/>
  <c r="E103" i="605" s="1"/>
  <c r="AI103" i="605"/>
  <c r="AT102" i="605"/>
  <c r="AR102" i="605"/>
  <c r="H102" i="605" s="1"/>
  <c r="AQ102" i="605"/>
  <c r="G102" i="605" s="1"/>
  <c r="AP102" i="605"/>
  <c r="F102" i="605" s="1"/>
  <c r="AO102" i="605"/>
  <c r="E102" i="605" s="1"/>
  <c r="AI102" i="605"/>
  <c r="AT101" i="605"/>
  <c r="AR101" i="605"/>
  <c r="H101" i="605" s="1"/>
  <c r="AQ101" i="605"/>
  <c r="G101" i="605" s="1"/>
  <c r="AP101" i="605"/>
  <c r="F101" i="605" s="1"/>
  <c r="AO101" i="605"/>
  <c r="E101" i="605" s="1"/>
  <c r="AI101" i="605"/>
  <c r="AT100" i="605"/>
  <c r="AR100" i="605"/>
  <c r="H100" i="605" s="1"/>
  <c r="AQ100" i="605"/>
  <c r="G100" i="605" s="1"/>
  <c r="AP100" i="605"/>
  <c r="F100" i="605" s="1"/>
  <c r="AO100" i="605"/>
  <c r="E100" i="605" s="1"/>
  <c r="AI100" i="605"/>
  <c r="AT99" i="605"/>
  <c r="AR99" i="605"/>
  <c r="H99" i="605" s="1"/>
  <c r="AQ99" i="605"/>
  <c r="G99" i="605" s="1"/>
  <c r="AP99" i="605"/>
  <c r="F99" i="605" s="1"/>
  <c r="AO99" i="605"/>
  <c r="E99" i="605" s="1"/>
  <c r="AI99" i="605"/>
  <c r="AT98" i="605"/>
  <c r="AR98" i="605"/>
  <c r="H98" i="605" s="1"/>
  <c r="AQ98" i="605"/>
  <c r="G98" i="605" s="1"/>
  <c r="AP98" i="605"/>
  <c r="F98" i="605" s="1"/>
  <c r="AO98" i="605"/>
  <c r="E98" i="605" s="1"/>
  <c r="AN98" i="605"/>
  <c r="AN99" i="605" s="1"/>
  <c r="AI98" i="605"/>
  <c r="AH98" i="605"/>
  <c r="AG98" i="605"/>
  <c r="AT97" i="605"/>
  <c r="AR97" i="605"/>
  <c r="H97" i="605" s="1"/>
  <c r="AQ97" i="605"/>
  <c r="G97" i="605" s="1"/>
  <c r="AP97" i="605"/>
  <c r="F97" i="605" s="1"/>
  <c r="AO97" i="605"/>
  <c r="E97" i="605" s="1"/>
  <c r="AI97" i="605"/>
  <c r="AT96" i="605"/>
  <c r="AR96" i="605"/>
  <c r="H96" i="605" s="1"/>
  <c r="AQ96" i="605"/>
  <c r="G96" i="605" s="1"/>
  <c r="AP96" i="605"/>
  <c r="F96" i="605" s="1"/>
  <c r="AO96" i="605"/>
  <c r="E96" i="605" s="1"/>
  <c r="AI96" i="605"/>
  <c r="AT95" i="605"/>
  <c r="AR95" i="605"/>
  <c r="H95" i="605" s="1"/>
  <c r="AQ95" i="605"/>
  <c r="G95" i="605" s="1"/>
  <c r="AP95" i="605"/>
  <c r="F95" i="605" s="1"/>
  <c r="AO95" i="605"/>
  <c r="E95" i="605" s="1"/>
  <c r="AI95" i="605"/>
  <c r="AT94" i="605"/>
  <c r="AR94" i="605"/>
  <c r="H94" i="605" s="1"/>
  <c r="AQ94" i="605"/>
  <c r="G94" i="605" s="1"/>
  <c r="AP94" i="605"/>
  <c r="F94" i="605" s="1"/>
  <c r="AO94" i="605"/>
  <c r="E94" i="605" s="1"/>
  <c r="AI94" i="605"/>
  <c r="AT93" i="605"/>
  <c r="AR93" i="605"/>
  <c r="H93" i="605" s="1"/>
  <c r="AQ93" i="605"/>
  <c r="G93" i="605" s="1"/>
  <c r="AP93" i="605"/>
  <c r="F93" i="605" s="1"/>
  <c r="AO93" i="605"/>
  <c r="E93" i="605" s="1"/>
  <c r="AI93" i="605"/>
  <c r="AT92" i="605"/>
  <c r="AR92" i="605"/>
  <c r="H92" i="605" s="1"/>
  <c r="AQ92" i="605"/>
  <c r="G92" i="605" s="1"/>
  <c r="AP92" i="605"/>
  <c r="F92" i="605" s="1"/>
  <c r="AO92" i="605"/>
  <c r="E92" i="605" s="1"/>
  <c r="AI92" i="605"/>
  <c r="AT91" i="605"/>
  <c r="AR91" i="605"/>
  <c r="H91" i="605" s="1"/>
  <c r="AQ91" i="605"/>
  <c r="G91" i="605" s="1"/>
  <c r="AP91" i="605"/>
  <c r="F91" i="605" s="1"/>
  <c r="AO91" i="605"/>
  <c r="E91" i="605" s="1"/>
  <c r="AN91" i="605"/>
  <c r="AN92" i="605" s="1"/>
  <c r="D92" i="605" s="1"/>
  <c r="AI91" i="605"/>
  <c r="AH91" i="605"/>
  <c r="AG91" i="605"/>
  <c r="AJ91" i="605" s="1"/>
  <c r="AT90" i="605"/>
  <c r="AR90" i="605"/>
  <c r="H90" i="605" s="1"/>
  <c r="AQ90" i="605"/>
  <c r="G90" i="605" s="1"/>
  <c r="AP90" i="605"/>
  <c r="F90" i="605" s="1"/>
  <c r="AO90" i="605"/>
  <c r="E90" i="605" s="1"/>
  <c r="AI90" i="605"/>
  <c r="AT89" i="605"/>
  <c r="AR89" i="605"/>
  <c r="H89" i="605" s="1"/>
  <c r="AQ89" i="605"/>
  <c r="G89" i="605" s="1"/>
  <c r="AP89" i="605"/>
  <c r="F89" i="605" s="1"/>
  <c r="AO89" i="605"/>
  <c r="E89" i="605" s="1"/>
  <c r="AI89" i="605"/>
  <c r="AT88" i="605"/>
  <c r="AR88" i="605"/>
  <c r="H88" i="605" s="1"/>
  <c r="AQ88" i="605"/>
  <c r="G88" i="605" s="1"/>
  <c r="AP88" i="605"/>
  <c r="F88" i="605" s="1"/>
  <c r="AO88" i="605"/>
  <c r="E88" i="605" s="1"/>
  <c r="AI88" i="605"/>
  <c r="AT87" i="605"/>
  <c r="AR87" i="605"/>
  <c r="H87" i="605" s="1"/>
  <c r="AQ87" i="605"/>
  <c r="G87" i="605" s="1"/>
  <c r="AP87" i="605"/>
  <c r="F87" i="605" s="1"/>
  <c r="AO87" i="605"/>
  <c r="E87" i="605" s="1"/>
  <c r="AI87" i="605"/>
  <c r="AT86" i="605"/>
  <c r="AR86" i="605"/>
  <c r="H86" i="605" s="1"/>
  <c r="AQ86" i="605"/>
  <c r="G86" i="605" s="1"/>
  <c r="AP86" i="605"/>
  <c r="F86" i="605" s="1"/>
  <c r="AO86" i="605"/>
  <c r="E86" i="605" s="1"/>
  <c r="AI86" i="605"/>
  <c r="AT85" i="605"/>
  <c r="AR85" i="605"/>
  <c r="H85" i="605" s="1"/>
  <c r="AQ85" i="605"/>
  <c r="G85" i="605" s="1"/>
  <c r="AP85" i="605"/>
  <c r="F85" i="605" s="1"/>
  <c r="AO85" i="605"/>
  <c r="E85" i="605" s="1"/>
  <c r="AI85" i="605"/>
  <c r="AT84" i="605"/>
  <c r="AR84" i="605"/>
  <c r="H84" i="605" s="1"/>
  <c r="AQ84" i="605"/>
  <c r="G84" i="605" s="1"/>
  <c r="AP84" i="605"/>
  <c r="F84" i="605" s="1"/>
  <c r="AO84" i="605"/>
  <c r="E84" i="605" s="1"/>
  <c r="AN84" i="605"/>
  <c r="AN85" i="605" s="1"/>
  <c r="D85" i="605" s="1"/>
  <c r="AI84" i="605"/>
  <c r="AH84" i="605"/>
  <c r="AG84" i="605"/>
  <c r="AJ84" i="605" s="1"/>
  <c r="AT83" i="605"/>
  <c r="AR83" i="605"/>
  <c r="H83" i="605" s="1"/>
  <c r="AQ83" i="605"/>
  <c r="G83" i="605" s="1"/>
  <c r="AP83" i="605"/>
  <c r="F83" i="605" s="1"/>
  <c r="AO83" i="605"/>
  <c r="E83" i="605" s="1"/>
  <c r="AI83" i="605"/>
  <c r="AT82" i="605"/>
  <c r="AR82" i="605"/>
  <c r="H82" i="605" s="1"/>
  <c r="AQ82" i="605"/>
  <c r="G82" i="605" s="1"/>
  <c r="AP82" i="605"/>
  <c r="F82" i="605" s="1"/>
  <c r="AO82" i="605"/>
  <c r="E82" i="605" s="1"/>
  <c r="AI82" i="605"/>
  <c r="AT81" i="605"/>
  <c r="AR81" i="605"/>
  <c r="H81" i="605" s="1"/>
  <c r="AQ81" i="605"/>
  <c r="G81" i="605" s="1"/>
  <c r="AP81" i="605"/>
  <c r="F81" i="605" s="1"/>
  <c r="AO81" i="605"/>
  <c r="E81" i="605" s="1"/>
  <c r="AI81" i="605"/>
  <c r="AT80" i="605"/>
  <c r="AR80" i="605"/>
  <c r="H80" i="605" s="1"/>
  <c r="AQ80" i="605"/>
  <c r="G80" i="605" s="1"/>
  <c r="AP80" i="605"/>
  <c r="F80" i="605" s="1"/>
  <c r="AO80" i="605"/>
  <c r="E80" i="605" s="1"/>
  <c r="AI80" i="605"/>
  <c r="AT79" i="605"/>
  <c r="AR79" i="605"/>
  <c r="H79" i="605" s="1"/>
  <c r="AQ79" i="605"/>
  <c r="G79" i="605" s="1"/>
  <c r="AP79" i="605"/>
  <c r="F79" i="605" s="1"/>
  <c r="AO79" i="605"/>
  <c r="E79" i="605" s="1"/>
  <c r="AI79" i="605"/>
  <c r="AT78" i="605"/>
  <c r="AR78" i="605"/>
  <c r="H78" i="605" s="1"/>
  <c r="AQ78" i="605"/>
  <c r="G78" i="605" s="1"/>
  <c r="AP78" i="605"/>
  <c r="F78" i="605" s="1"/>
  <c r="AO78" i="605"/>
  <c r="E78" i="605" s="1"/>
  <c r="AI78" i="605"/>
  <c r="AT77" i="605"/>
  <c r="AR77" i="605"/>
  <c r="H77" i="605" s="1"/>
  <c r="AQ77" i="605"/>
  <c r="G77" i="605" s="1"/>
  <c r="AP77" i="605"/>
  <c r="F77" i="605" s="1"/>
  <c r="AO77" i="605"/>
  <c r="E77" i="605" s="1"/>
  <c r="AN77" i="605"/>
  <c r="D77" i="605" s="1"/>
  <c r="AI77" i="605"/>
  <c r="AH77" i="605"/>
  <c r="AG77" i="605"/>
  <c r="AT76" i="605"/>
  <c r="AR76" i="605"/>
  <c r="H76" i="605" s="1"/>
  <c r="AQ76" i="605"/>
  <c r="G76" i="605" s="1"/>
  <c r="AP76" i="605"/>
  <c r="F76" i="605" s="1"/>
  <c r="AO76" i="605"/>
  <c r="E76" i="605" s="1"/>
  <c r="AI76" i="605"/>
  <c r="AH76" i="605"/>
  <c r="AG76" i="605"/>
  <c r="AT75" i="605"/>
  <c r="AR75" i="605"/>
  <c r="H75" i="605" s="1"/>
  <c r="AQ75" i="605"/>
  <c r="G75" i="605" s="1"/>
  <c r="AP75" i="605"/>
  <c r="F75" i="605" s="1"/>
  <c r="AO75" i="605"/>
  <c r="E75" i="605" s="1"/>
  <c r="AI75" i="605"/>
  <c r="AH75" i="605"/>
  <c r="AG75" i="605"/>
  <c r="AJ75" i="605" s="1"/>
  <c r="AT74" i="605"/>
  <c r="AR74" i="605"/>
  <c r="H74" i="605" s="1"/>
  <c r="AQ74" i="605"/>
  <c r="G74" i="605" s="1"/>
  <c r="AP74" i="605"/>
  <c r="F74" i="605" s="1"/>
  <c r="AO74" i="605"/>
  <c r="E74" i="605" s="1"/>
  <c r="AI74" i="605"/>
  <c r="AH74" i="605"/>
  <c r="AG74" i="605"/>
  <c r="AT73" i="605"/>
  <c r="AR73" i="605"/>
  <c r="H73" i="605" s="1"/>
  <c r="AQ73" i="605"/>
  <c r="G73" i="605" s="1"/>
  <c r="AP73" i="605"/>
  <c r="F73" i="605" s="1"/>
  <c r="AO73" i="605"/>
  <c r="E73" i="605" s="1"/>
  <c r="AI73" i="605"/>
  <c r="AH73" i="605"/>
  <c r="AG73" i="605"/>
  <c r="AK73" i="605" s="1"/>
  <c r="AT72" i="605"/>
  <c r="AR72" i="605"/>
  <c r="H72" i="605" s="1"/>
  <c r="AQ72" i="605"/>
  <c r="G72" i="605" s="1"/>
  <c r="AP72" i="605"/>
  <c r="F72" i="605" s="1"/>
  <c r="AO72" i="605"/>
  <c r="E72" i="605" s="1"/>
  <c r="AI72" i="605"/>
  <c r="AH72" i="605"/>
  <c r="AG72" i="605"/>
  <c r="AT71" i="605"/>
  <c r="AR71" i="605"/>
  <c r="H71" i="605" s="1"/>
  <c r="AQ71" i="605"/>
  <c r="G71" i="605" s="1"/>
  <c r="AP71" i="605"/>
  <c r="F71" i="605" s="1"/>
  <c r="AO71" i="605"/>
  <c r="E71" i="605" s="1"/>
  <c r="AI71" i="605"/>
  <c r="AH71" i="605"/>
  <c r="AG71" i="605"/>
  <c r="AT70" i="605"/>
  <c r="AR70" i="605"/>
  <c r="H70" i="605" s="1"/>
  <c r="AQ70" i="605"/>
  <c r="G70" i="605" s="1"/>
  <c r="AP70" i="605"/>
  <c r="F70" i="605" s="1"/>
  <c r="AO70" i="605"/>
  <c r="E70" i="605" s="1"/>
  <c r="AN70" i="605"/>
  <c r="AN71" i="605" s="1"/>
  <c r="D71" i="605" s="1"/>
  <c r="AI70" i="605"/>
  <c r="AH70" i="605"/>
  <c r="AG70" i="605"/>
  <c r="AT69" i="605"/>
  <c r="AR69" i="605"/>
  <c r="H69" i="605" s="1"/>
  <c r="AQ69" i="605"/>
  <c r="G69" i="605" s="1"/>
  <c r="AP69" i="605"/>
  <c r="F69" i="605" s="1"/>
  <c r="AO69" i="605"/>
  <c r="E69" i="605" s="1"/>
  <c r="AI69" i="605"/>
  <c r="AT68" i="605"/>
  <c r="AR68" i="605"/>
  <c r="H68" i="605" s="1"/>
  <c r="AQ68" i="605"/>
  <c r="G68" i="605" s="1"/>
  <c r="AP68" i="605"/>
  <c r="F68" i="605" s="1"/>
  <c r="AO68" i="605"/>
  <c r="E68" i="605" s="1"/>
  <c r="AI68" i="605"/>
  <c r="AT67" i="605"/>
  <c r="AR67" i="605"/>
  <c r="H67" i="605" s="1"/>
  <c r="AQ67" i="605"/>
  <c r="G67" i="605" s="1"/>
  <c r="AP67" i="605"/>
  <c r="F67" i="605" s="1"/>
  <c r="AO67" i="605"/>
  <c r="E67" i="605" s="1"/>
  <c r="AI67" i="605"/>
  <c r="AT66" i="605"/>
  <c r="AR66" i="605"/>
  <c r="H66" i="605" s="1"/>
  <c r="AQ66" i="605"/>
  <c r="G66" i="605" s="1"/>
  <c r="AP66" i="605"/>
  <c r="F66" i="605" s="1"/>
  <c r="AO66" i="605"/>
  <c r="E66" i="605" s="1"/>
  <c r="AI66" i="605"/>
  <c r="AT65" i="605"/>
  <c r="AR65" i="605"/>
  <c r="H65" i="605" s="1"/>
  <c r="AQ65" i="605"/>
  <c r="G65" i="605" s="1"/>
  <c r="AP65" i="605"/>
  <c r="F65" i="605" s="1"/>
  <c r="AO65" i="605"/>
  <c r="E65" i="605" s="1"/>
  <c r="AI65" i="605"/>
  <c r="AT64" i="605"/>
  <c r="AR64" i="605"/>
  <c r="H64" i="605" s="1"/>
  <c r="AQ64" i="605"/>
  <c r="G64" i="605" s="1"/>
  <c r="AP64" i="605"/>
  <c r="F64" i="605" s="1"/>
  <c r="AO64" i="605"/>
  <c r="E64" i="605" s="1"/>
  <c r="AI64" i="605"/>
  <c r="AT63" i="605"/>
  <c r="AR63" i="605"/>
  <c r="H63" i="605" s="1"/>
  <c r="AQ63" i="605"/>
  <c r="G63" i="605" s="1"/>
  <c r="AP63" i="605"/>
  <c r="F63" i="605" s="1"/>
  <c r="AO63" i="605"/>
  <c r="E63" i="605" s="1"/>
  <c r="AN63" i="605"/>
  <c r="AI63" i="605"/>
  <c r="AH63" i="605"/>
  <c r="AG63" i="605"/>
  <c r="AT62" i="605"/>
  <c r="AR62" i="605"/>
  <c r="H62" i="605" s="1"/>
  <c r="AQ62" i="605"/>
  <c r="G62" i="605" s="1"/>
  <c r="AP62" i="605"/>
  <c r="F62" i="605" s="1"/>
  <c r="AO62" i="605"/>
  <c r="E62" i="605" s="1"/>
  <c r="AI62" i="605"/>
  <c r="AT61" i="605"/>
  <c r="AR61" i="605"/>
  <c r="H61" i="605" s="1"/>
  <c r="AQ61" i="605"/>
  <c r="G61" i="605" s="1"/>
  <c r="AP61" i="605"/>
  <c r="F61" i="605" s="1"/>
  <c r="AO61" i="605"/>
  <c r="E61" i="605" s="1"/>
  <c r="AI61" i="605"/>
  <c r="AT60" i="605"/>
  <c r="AR60" i="605"/>
  <c r="H60" i="605" s="1"/>
  <c r="AQ60" i="605"/>
  <c r="G60" i="605" s="1"/>
  <c r="AP60" i="605"/>
  <c r="F60" i="605" s="1"/>
  <c r="AO60" i="605"/>
  <c r="E60" i="605" s="1"/>
  <c r="AI60" i="605"/>
  <c r="AT59" i="605"/>
  <c r="AR59" i="605"/>
  <c r="H59" i="605" s="1"/>
  <c r="AQ59" i="605"/>
  <c r="G59" i="605" s="1"/>
  <c r="AP59" i="605"/>
  <c r="F59" i="605" s="1"/>
  <c r="AO59" i="605"/>
  <c r="E59" i="605" s="1"/>
  <c r="AI59" i="605"/>
  <c r="AT58" i="605"/>
  <c r="AR58" i="605"/>
  <c r="H58" i="605" s="1"/>
  <c r="AQ58" i="605"/>
  <c r="G58" i="605" s="1"/>
  <c r="AP58" i="605"/>
  <c r="F58" i="605" s="1"/>
  <c r="AO58" i="605"/>
  <c r="E58" i="605" s="1"/>
  <c r="AI58" i="605"/>
  <c r="AT57" i="605"/>
  <c r="AR57" i="605"/>
  <c r="H57" i="605" s="1"/>
  <c r="AQ57" i="605"/>
  <c r="G57" i="605" s="1"/>
  <c r="AP57" i="605"/>
  <c r="F57" i="605" s="1"/>
  <c r="AO57" i="605"/>
  <c r="E57" i="605" s="1"/>
  <c r="AI57" i="605"/>
  <c r="AT56" i="605"/>
  <c r="AR56" i="605"/>
  <c r="H56" i="605" s="1"/>
  <c r="AQ56" i="605"/>
  <c r="G56" i="605" s="1"/>
  <c r="AP56" i="605"/>
  <c r="F56" i="605" s="1"/>
  <c r="AO56" i="605"/>
  <c r="E56" i="605" s="1"/>
  <c r="AN56" i="605"/>
  <c r="AN57" i="605" s="1"/>
  <c r="AI56" i="605"/>
  <c r="AH56" i="605"/>
  <c r="AG56" i="605"/>
  <c r="AK56" i="605" s="1"/>
  <c r="AT55" i="605"/>
  <c r="AR55" i="605"/>
  <c r="H55" i="605" s="1"/>
  <c r="AQ55" i="605"/>
  <c r="G55" i="605" s="1"/>
  <c r="AP55" i="605"/>
  <c r="F55" i="605" s="1"/>
  <c r="AO55" i="605"/>
  <c r="E55" i="605" s="1"/>
  <c r="AI55" i="605"/>
  <c r="AT54" i="605"/>
  <c r="AR54" i="605"/>
  <c r="H54" i="605" s="1"/>
  <c r="AQ54" i="605"/>
  <c r="G54" i="605" s="1"/>
  <c r="AP54" i="605"/>
  <c r="F54" i="605" s="1"/>
  <c r="AO54" i="605"/>
  <c r="E54" i="605" s="1"/>
  <c r="AI54" i="605"/>
  <c r="AT53" i="605"/>
  <c r="AR53" i="605"/>
  <c r="H53" i="605" s="1"/>
  <c r="AQ53" i="605"/>
  <c r="G53" i="605" s="1"/>
  <c r="AP53" i="605"/>
  <c r="F53" i="605" s="1"/>
  <c r="AO53" i="605"/>
  <c r="E53" i="605" s="1"/>
  <c r="AI53" i="605"/>
  <c r="AT52" i="605"/>
  <c r="AR52" i="605"/>
  <c r="H52" i="605" s="1"/>
  <c r="AQ52" i="605"/>
  <c r="G52" i="605" s="1"/>
  <c r="AP52" i="605"/>
  <c r="F52" i="605" s="1"/>
  <c r="AO52" i="605"/>
  <c r="E52" i="605" s="1"/>
  <c r="AI52" i="605"/>
  <c r="AT51" i="605"/>
  <c r="AR51" i="605"/>
  <c r="H51" i="605" s="1"/>
  <c r="AQ51" i="605"/>
  <c r="G51" i="605" s="1"/>
  <c r="AP51" i="605"/>
  <c r="F51" i="605" s="1"/>
  <c r="AO51" i="605"/>
  <c r="E51" i="605" s="1"/>
  <c r="AI51" i="605"/>
  <c r="AT50" i="605"/>
  <c r="AR50" i="605"/>
  <c r="H50" i="605" s="1"/>
  <c r="AQ50" i="605"/>
  <c r="G50" i="605" s="1"/>
  <c r="AP50" i="605"/>
  <c r="F50" i="605" s="1"/>
  <c r="AO50" i="605"/>
  <c r="E50" i="605" s="1"/>
  <c r="AI50" i="605"/>
  <c r="AT49" i="605"/>
  <c r="AR49" i="605"/>
  <c r="H49" i="605" s="1"/>
  <c r="AQ49" i="605"/>
  <c r="G49" i="605" s="1"/>
  <c r="AP49" i="605"/>
  <c r="F49" i="605" s="1"/>
  <c r="AO49" i="605"/>
  <c r="E49" i="605" s="1"/>
  <c r="AN49" i="605"/>
  <c r="AN50" i="605" s="1"/>
  <c r="D50" i="605" s="1"/>
  <c r="AI49" i="605"/>
  <c r="AH49" i="605"/>
  <c r="AG49" i="605"/>
  <c r="AK49" i="605" s="1"/>
  <c r="AT48" i="605"/>
  <c r="AR48" i="605"/>
  <c r="H48" i="605" s="1"/>
  <c r="AQ48" i="605"/>
  <c r="G48" i="605" s="1"/>
  <c r="AP48" i="605"/>
  <c r="F48" i="605" s="1"/>
  <c r="AO48" i="605"/>
  <c r="E48" i="605" s="1"/>
  <c r="AI48" i="605"/>
  <c r="AT47" i="605"/>
  <c r="AR47" i="605"/>
  <c r="H47" i="605" s="1"/>
  <c r="AQ47" i="605"/>
  <c r="G47" i="605" s="1"/>
  <c r="AP47" i="605"/>
  <c r="F47" i="605" s="1"/>
  <c r="AO47" i="605"/>
  <c r="E47" i="605" s="1"/>
  <c r="AI47" i="605"/>
  <c r="AT46" i="605"/>
  <c r="AR46" i="605"/>
  <c r="H46" i="605" s="1"/>
  <c r="AQ46" i="605"/>
  <c r="G46" i="605" s="1"/>
  <c r="AP46" i="605"/>
  <c r="F46" i="605" s="1"/>
  <c r="AO46" i="605"/>
  <c r="E46" i="605" s="1"/>
  <c r="AI46" i="605"/>
  <c r="AT45" i="605"/>
  <c r="AR45" i="605"/>
  <c r="H45" i="605" s="1"/>
  <c r="AQ45" i="605"/>
  <c r="G45" i="605" s="1"/>
  <c r="AP45" i="605"/>
  <c r="F45" i="605" s="1"/>
  <c r="AO45" i="605"/>
  <c r="E45" i="605" s="1"/>
  <c r="AI45" i="605"/>
  <c r="AT44" i="605"/>
  <c r="AR44" i="605"/>
  <c r="H44" i="605" s="1"/>
  <c r="AQ44" i="605"/>
  <c r="G44" i="605" s="1"/>
  <c r="AP44" i="605"/>
  <c r="F44" i="605" s="1"/>
  <c r="AO44" i="605"/>
  <c r="E44" i="605" s="1"/>
  <c r="AI44" i="605"/>
  <c r="AT43" i="605"/>
  <c r="AR43" i="605"/>
  <c r="H43" i="605" s="1"/>
  <c r="AQ43" i="605"/>
  <c r="G43" i="605" s="1"/>
  <c r="AP43" i="605"/>
  <c r="F43" i="605" s="1"/>
  <c r="AO43" i="605"/>
  <c r="E43" i="605" s="1"/>
  <c r="AI43" i="605"/>
  <c r="AT42" i="605"/>
  <c r="AR42" i="605"/>
  <c r="H42" i="605" s="1"/>
  <c r="AQ42" i="605"/>
  <c r="G42" i="605" s="1"/>
  <c r="AP42" i="605"/>
  <c r="F42" i="605" s="1"/>
  <c r="AO42" i="605"/>
  <c r="E42" i="605" s="1"/>
  <c r="AN42" i="605"/>
  <c r="AN43" i="605" s="1"/>
  <c r="AI42" i="605"/>
  <c r="AH42" i="605"/>
  <c r="AG42" i="605"/>
  <c r="AT41" i="605"/>
  <c r="AR41" i="605"/>
  <c r="H41" i="605" s="1"/>
  <c r="AQ41" i="605"/>
  <c r="G41" i="605" s="1"/>
  <c r="AP41" i="605"/>
  <c r="F41" i="605" s="1"/>
  <c r="AO41" i="605"/>
  <c r="E41" i="605" s="1"/>
  <c r="AI41" i="605"/>
  <c r="AT40" i="605"/>
  <c r="AR40" i="605"/>
  <c r="H40" i="605" s="1"/>
  <c r="AQ40" i="605"/>
  <c r="G40" i="605" s="1"/>
  <c r="AP40" i="605"/>
  <c r="F40" i="605" s="1"/>
  <c r="AO40" i="605"/>
  <c r="E40" i="605" s="1"/>
  <c r="AI40" i="605"/>
  <c r="AT39" i="605"/>
  <c r="AR39" i="605"/>
  <c r="H39" i="605" s="1"/>
  <c r="AQ39" i="605"/>
  <c r="G39" i="605" s="1"/>
  <c r="AP39" i="605"/>
  <c r="F39" i="605" s="1"/>
  <c r="AO39" i="605"/>
  <c r="E39" i="605" s="1"/>
  <c r="AI39" i="605"/>
  <c r="AT38" i="605"/>
  <c r="AR38" i="605"/>
  <c r="H38" i="605" s="1"/>
  <c r="AQ38" i="605"/>
  <c r="G38" i="605" s="1"/>
  <c r="AP38" i="605"/>
  <c r="F38" i="605" s="1"/>
  <c r="AO38" i="605"/>
  <c r="E38" i="605" s="1"/>
  <c r="AI38" i="605"/>
  <c r="AT37" i="605"/>
  <c r="AR37" i="605"/>
  <c r="H37" i="605" s="1"/>
  <c r="AQ37" i="605"/>
  <c r="G37" i="605" s="1"/>
  <c r="AP37" i="605"/>
  <c r="F37" i="605" s="1"/>
  <c r="AO37" i="605"/>
  <c r="E37" i="605" s="1"/>
  <c r="AI37" i="605"/>
  <c r="AT36" i="605"/>
  <c r="AR36" i="605"/>
  <c r="H36" i="605" s="1"/>
  <c r="AQ36" i="605"/>
  <c r="G36" i="605" s="1"/>
  <c r="AP36" i="605"/>
  <c r="F36" i="605" s="1"/>
  <c r="AO36" i="605"/>
  <c r="E36" i="605" s="1"/>
  <c r="AI36" i="605"/>
  <c r="AT35" i="605"/>
  <c r="AR35" i="605"/>
  <c r="H35" i="605" s="1"/>
  <c r="AQ35" i="605"/>
  <c r="G35" i="605" s="1"/>
  <c r="AP35" i="605"/>
  <c r="F35" i="605" s="1"/>
  <c r="AO35" i="605"/>
  <c r="E35" i="605" s="1"/>
  <c r="AN35" i="605"/>
  <c r="AI35" i="605"/>
  <c r="AH35" i="605"/>
  <c r="AG35" i="605"/>
  <c r="AT34" i="605"/>
  <c r="AR34" i="605"/>
  <c r="H34" i="605" s="1"/>
  <c r="AQ34" i="605"/>
  <c r="G34" i="605" s="1"/>
  <c r="AP34" i="605"/>
  <c r="F34" i="605" s="1"/>
  <c r="AO34" i="605"/>
  <c r="E34" i="605" s="1"/>
  <c r="AI34" i="605"/>
  <c r="AT33" i="605"/>
  <c r="AR33" i="605"/>
  <c r="H33" i="605" s="1"/>
  <c r="AQ33" i="605"/>
  <c r="G33" i="605" s="1"/>
  <c r="AP33" i="605"/>
  <c r="F33" i="605" s="1"/>
  <c r="AO33" i="605"/>
  <c r="E33" i="605" s="1"/>
  <c r="AI33" i="605"/>
  <c r="AT32" i="605"/>
  <c r="AR32" i="605"/>
  <c r="H32" i="605" s="1"/>
  <c r="AQ32" i="605"/>
  <c r="G32" i="605" s="1"/>
  <c r="AP32" i="605"/>
  <c r="F32" i="605" s="1"/>
  <c r="AO32" i="605"/>
  <c r="E32" i="605" s="1"/>
  <c r="AI32" i="605"/>
  <c r="AT31" i="605"/>
  <c r="AR31" i="605"/>
  <c r="H31" i="605" s="1"/>
  <c r="AQ31" i="605"/>
  <c r="G31" i="605" s="1"/>
  <c r="AP31" i="605"/>
  <c r="F31" i="605" s="1"/>
  <c r="AO31" i="605"/>
  <c r="E31" i="605" s="1"/>
  <c r="AI31" i="605"/>
  <c r="AT30" i="605"/>
  <c r="AR30" i="605"/>
  <c r="H30" i="605" s="1"/>
  <c r="AQ30" i="605"/>
  <c r="G30" i="605" s="1"/>
  <c r="AP30" i="605"/>
  <c r="F30" i="605" s="1"/>
  <c r="AO30" i="605"/>
  <c r="E30" i="605" s="1"/>
  <c r="AI30" i="605"/>
  <c r="AT29" i="605"/>
  <c r="AR29" i="605"/>
  <c r="H29" i="605" s="1"/>
  <c r="AQ29" i="605"/>
  <c r="G29" i="605" s="1"/>
  <c r="AP29" i="605"/>
  <c r="F29" i="605" s="1"/>
  <c r="AO29" i="605"/>
  <c r="E29" i="605" s="1"/>
  <c r="AI29" i="605"/>
  <c r="AT28" i="605"/>
  <c r="AR28" i="605"/>
  <c r="H28" i="605" s="1"/>
  <c r="AQ28" i="605"/>
  <c r="G28" i="605" s="1"/>
  <c r="AP28" i="605"/>
  <c r="F28" i="605" s="1"/>
  <c r="AO28" i="605"/>
  <c r="E28" i="605" s="1"/>
  <c r="AN28" i="605"/>
  <c r="AN29" i="605" s="1"/>
  <c r="AN30" i="605" s="1"/>
  <c r="AI28" i="605"/>
  <c r="AH28" i="605"/>
  <c r="AG28" i="605"/>
  <c r="AJ28" i="605" s="1"/>
  <c r="AT27" i="605"/>
  <c r="AR27" i="605"/>
  <c r="H27" i="605" s="1"/>
  <c r="AQ27" i="605"/>
  <c r="G27" i="605" s="1"/>
  <c r="AP27" i="605"/>
  <c r="F27" i="605" s="1"/>
  <c r="AO27" i="605"/>
  <c r="E27" i="605" s="1"/>
  <c r="AI27" i="605"/>
  <c r="AT26" i="605"/>
  <c r="AR26" i="605"/>
  <c r="H26" i="605" s="1"/>
  <c r="AQ26" i="605"/>
  <c r="G26" i="605" s="1"/>
  <c r="AP26" i="605"/>
  <c r="F26" i="605" s="1"/>
  <c r="AO26" i="605"/>
  <c r="E26" i="605" s="1"/>
  <c r="AI26" i="605"/>
  <c r="AT25" i="605"/>
  <c r="AR25" i="605"/>
  <c r="H25" i="605" s="1"/>
  <c r="AQ25" i="605"/>
  <c r="G25" i="605" s="1"/>
  <c r="AP25" i="605"/>
  <c r="F25" i="605" s="1"/>
  <c r="AO25" i="605"/>
  <c r="E25" i="605" s="1"/>
  <c r="AI25" i="605"/>
  <c r="AT24" i="605"/>
  <c r="AR24" i="605"/>
  <c r="H24" i="605" s="1"/>
  <c r="AQ24" i="605"/>
  <c r="G24" i="605" s="1"/>
  <c r="AP24" i="605"/>
  <c r="F24" i="605" s="1"/>
  <c r="AO24" i="605"/>
  <c r="E24" i="605" s="1"/>
  <c r="AI24" i="605"/>
  <c r="AT23" i="605"/>
  <c r="AR23" i="605"/>
  <c r="H23" i="605" s="1"/>
  <c r="AQ23" i="605"/>
  <c r="G23" i="605" s="1"/>
  <c r="AP23" i="605"/>
  <c r="F23" i="605" s="1"/>
  <c r="AO23" i="605"/>
  <c r="E23" i="605" s="1"/>
  <c r="AI23" i="605"/>
  <c r="AT22" i="605"/>
  <c r="AR22" i="605"/>
  <c r="H22" i="605" s="1"/>
  <c r="AQ22" i="605"/>
  <c r="G22" i="605" s="1"/>
  <c r="AP22" i="605"/>
  <c r="F22" i="605" s="1"/>
  <c r="AO22" i="605"/>
  <c r="E22" i="605" s="1"/>
  <c r="AI22" i="605"/>
  <c r="AT21" i="605"/>
  <c r="AR21" i="605"/>
  <c r="H21" i="605" s="1"/>
  <c r="AQ21" i="605"/>
  <c r="G21" i="605" s="1"/>
  <c r="AP21" i="605"/>
  <c r="F21" i="605" s="1"/>
  <c r="AO21" i="605"/>
  <c r="E21" i="605" s="1"/>
  <c r="AN21" i="605"/>
  <c r="AN22" i="605" s="1"/>
  <c r="D22" i="605" s="1"/>
  <c r="AI21" i="605"/>
  <c r="AH21" i="605"/>
  <c r="AG21" i="605"/>
  <c r="AT20" i="605"/>
  <c r="AR20" i="605"/>
  <c r="H20" i="605" s="1"/>
  <c r="AQ20" i="605"/>
  <c r="G20" i="605" s="1"/>
  <c r="AP20" i="605"/>
  <c r="F20" i="605" s="1"/>
  <c r="AO20" i="605"/>
  <c r="E20" i="605" s="1"/>
  <c r="AI20" i="605"/>
  <c r="AT19" i="605"/>
  <c r="AR19" i="605"/>
  <c r="H19" i="605" s="1"/>
  <c r="AQ19" i="605"/>
  <c r="G19" i="605" s="1"/>
  <c r="AP19" i="605"/>
  <c r="F19" i="605" s="1"/>
  <c r="AO19" i="605"/>
  <c r="E19" i="605" s="1"/>
  <c r="AI19" i="605"/>
  <c r="AT18" i="605"/>
  <c r="AR18" i="605"/>
  <c r="H18" i="605" s="1"/>
  <c r="AQ18" i="605"/>
  <c r="G18" i="605" s="1"/>
  <c r="AP18" i="605"/>
  <c r="F18" i="605" s="1"/>
  <c r="AO18" i="605"/>
  <c r="E18" i="605" s="1"/>
  <c r="AI18" i="605"/>
  <c r="AT17" i="605"/>
  <c r="AR17" i="605"/>
  <c r="H17" i="605" s="1"/>
  <c r="AQ17" i="605"/>
  <c r="G17" i="605" s="1"/>
  <c r="AP17" i="605"/>
  <c r="F17" i="605" s="1"/>
  <c r="AO17" i="605"/>
  <c r="E17" i="605" s="1"/>
  <c r="AI17" i="605"/>
  <c r="AT16" i="605"/>
  <c r="AR16" i="605"/>
  <c r="H16" i="605" s="1"/>
  <c r="AQ16" i="605"/>
  <c r="G16" i="605" s="1"/>
  <c r="AP16" i="605"/>
  <c r="F16" i="605" s="1"/>
  <c r="AO16" i="605"/>
  <c r="E16" i="605" s="1"/>
  <c r="AI16" i="605"/>
  <c r="AT15" i="605"/>
  <c r="AR15" i="605"/>
  <c r="H15" i="605" s="1"/>
  <c r="AQ15" i="605"/>
  <c r="G15" i="605" s="1"/>
  <c r="AP15" i="605"/>
  <c r="F15" i="605" s="1"/>
  <c r="AO15" i="605"/>
  <c r="E15" i="605" s="1"/>
  <c r="AI15" i="605"/>
  <c r="AT14" i="605"/>
  <c r="AR14" i="605"/>
  <c r="H14" i="605" s="1"/>
  <c r="AQ14" i="605"/>
  <c r="G14" i="605" s="1"/>
  <c r="AP14" i="605"/>
  <c r="F14" i="605" s="1"/>
  <c r="AO14" i="605"/>
  <c r="E14" i="605" s="1"/>
  <c r="AN14" i="605"/>
  <c r="AN15" i="605" s="1"/>
  <c r="AI14" i="605"/>
  <c r="AH14" i="605"/>
  <c r="AG14" i="605"/>
  <c r="AT13" i="605"/>
  <c r="AR13" i="605"/>
  <c r="H13" i="605" s="1"/>
  <c r="AQ13" i="605"/>
  <c r="G13" i="605" s="1"/>
  <c r="AP13" i="605"/>
  <c r="F13" i="605" s="1"/>
  <c r="AO13" i="605"/>
  <c r="E13" i="605" s="1"/>
  <c r="AI13" i="605"/>
  <c r="AT12" i="605"/>
  <c r="AR12" i="605"/>
  <c r="H12" i="605" s="1"/>
  <c r="AQ12" i="605"/>
  <c r="G12" i="605" s="1"/>
  <c r="AP12" i="605"/>
  <c r="F12" i="605" s="1"/>
  <c r="AO12" i="605"/>
  <c r="E12" i="605" s="1"/>
  <c r="AI12" i="605"/>
  <c r="AT11" i="605"/>
  <c r="AR11" i="605"/>
  <c r="H11" i="605" s="1"/>
  <c r="AQ11" i="605"/>
  <c r="G11" i="605" s="1"/>
  <c r="AP11" i="605"/>
  <c r="F11" i="605" s="1"/>
  <c r="AO11" i="605"/>
  <c r="E11" i="605" s="1"/>
  <c r="AI11" i="605"/>
  <c r="AT10" i="605"/>
  <c r="AR10" i="605"/>
  <c r="H10" i="605" s="1"/>
  <c r="AQ10" i="605"/>
  <c r="G10" i="605" s="1"/>
  <c r="AP10" i="605"/>
  <c r="F10" i="605" s="1"/>
  <c r="AO10" i="605"/>
  <c r="E10" i="605" s="1"/>
  <c r="AI10" i="605"/>
  <c r="AT9" i="605"/>
  <c r="AR9" i="605"/>
  <c r="H9" i="605" s="1"/>
  <c r="AQ9" i="605"/>
  <c r="G9" i="605" s="1"/>
  <c r="AP9" i="605"/>
  <c r="F9" i="605" s="1"/>
  <c r="AO9" i="605"/>
  <c r="E9" i="605" s="1"/>
  <c r="AI9" i="605"/>
  <c r="AT8" i="605"/>
  <c r="AR8" i="605"/>
  <c r="H8" i="605" s="1"/>
  <c r="AQ8" i="605"/>
  <c r="G8" i="605" s="1"/>
  <c r="AP8" i="605"/>
  <c r="F8" i="605" s="1"/>
  <c r="AO8" i="605"/>
  <c r="E8" i="605" s="1"/>
  <c r="AI8" i="605"/>
  <c r="AT7" i="605"/>
  <c r="AR7" i="605"/>
  <c r="H7" i="605" s="1"/>
  <c r="AQ7" i="605"/>
  <c r="G7" i="605" s="1"/>
  <c r="AP7" i="605"/>
  <c r="F7" i="605" s="1"/>
  <c r="AO7" i="605"/>
  <c r="E7" i="605" s="1"/>
  <c r="AN7" i="605"/>
  <c r="AN8" i="605" s="1"/>
  <c r="AI7" i="605"/>
  <c r="AH7" i="605"/>
  <c r="AG7" i="605"/>
  <c r="AT6" i="605"/>
  <c r="AR6" i="605"/>
  <c r="H6" i="605" s="1"/>
  <c r="AQ6" i="605"/>
  <c r="G6" i="605" s="1"/>
  <c r="AP6" i="605"/>
  <c r="F6" i="605" s="1"/>
  <c r="AO6" i="605"/>
  <c r="E6" i="605" s="1"/>
  <c r="AN6" i="605"/>
  <c r="D6" i="605" s="1"/>
  <c r="AM6" i="605"/>
  <c r="C6" i="605" s="1"/>
  <c r="AL6" i="605"/>
  <c r="AL7" i="605" s="1"/>
  <c r="B7" i="605" s="1"/>
  <c r="AI6" i="605"/>
  <c r="AH6" i="605"/>
  <c r="AG6" i="605"/>
  <c r="C25" i="614"/>
  <c r="C25" i="612"/>
  <c r="C25" i="610"/>
  <c r="C25" i="608"/>
  <c r="C25" i="606"/>
  <c r="AJ189" i="605" l="1"/>
  <c r="AK105" i="605"/>
  <c r="AJ127" i="605"/>
  <c r="AJ201" i="605"/>
  <c r="AK230" i="605"/>
  <c r="AK281" i="605"/>
  <c r="AJ285" i="605"/>
  <c r="AJ369" i="605"/>
  <c r="AJ371" i="605"/>
  <c r="AJ70" i="605"/>
  <c r="AJ128" i="605"/>
  <c r="AK200" i="605"/>
  <c r="AK202" i="605"/>
  <c r="AK225" i="605"/>
  <c r="AK227" i="605"/>
  <c r="AK231" i="605"/>
  <c r="AJ14" i="605"/>
  <c r="AK247" i="605"/>
  <c r="AJ249" i="605"/>
  <c r="AK251" i="605"/>
  <c r="AK302" i="605"/>
  <c r="AK331" i="605"/>
  <c r="AK335" i="605"/>
  <c r="AJ167" i="605"/>
  <c r="AK265" i="605"/>
  <c r="AK267" i="605"/>
  <c r="AK351" i="605"/>
  <c r="AK357" i="605"/>
  <c r="AK205" i="605"/>
  <c r="AJ232" i="605"/>
  <c r="AJ234" i="605"/>
  <c r="AK289" i="605"/>
  <c r="AJ293" i="605"/>
  <c r="AJ316" i="605"/>
  <c r="AJ318" i="605"/>
  <c r="AJ320" i="605"/>
  <c r="AK375" i="605"/>
  <c r="AJ377" i="605"/>
  <c r="AK213" i="605"/>
  <c r="AK215" i="605"/>
  <c r="AK217" i="605"/>
  <c r="AJ244" i="605"/>
  <c r="AJ328" i="605"/>
  <c r="AJ151" i="605"/>
  <c r="AK274" i="605"/>
  <c r="C26" i="614"/>
  <c r="AK299" i="611"/>
  <c r="AK147" i="613"/>
  <c r="AK173" i="613"/>
  <c r="F22" i="614"/>
  <c r="AK377" i="609"/>
  <c r="AK180" i="611"/>
  <c r="AK357" i="611"/>
  <c r="AJ14" i="613"/>
  <c r="AJ224" i="611"/>
  <c r="AJ170" i="613"/>
  <c r="AJ126" i="613"/>
  <c r="AJ192" i="613"/>
  <c r="AK189" i="605"/>
  <c r="AK422" i="611"/>
  <c r="AK9" i="613"/>
  <c r="AK98" i="613"/>
  <c r="AJ172" i="613"/>
  <c r="AK28" i="609"/>
  <c r="AK185" i="613"/>
  <c r="AK49" i="613"/>
  <c r="AK194" i="613"/>
  <c r="AJ192" i="611"/>
  <c r="AJ327" i="611"/>
  <c r="AK394" i="611"/>
  <c r="AJ396" i="611"/>
  <c r="AJ56" i="613"/>
  <c r="AJ182" i="613"/>
  <c r="AK303" i="611"/>
  <c r="AJ8" i="613"/>
  <c r="AJ166" i="613"/>
  <c r="AK173" i="611"/>
  <c r="AK354" i="611"/>
  <c r="AN36" i="613"/>
  <c r="AN127" i="613"/>
  <c r="AN128" i="613" s="1"/>
  <c r="D28" i="613"/>
  <c r="D140" i="613"/>
  <c r="D154" i="613"/>
  <c r="D112" i="613"/>
  <c r="AK162" i="613"/>
  <c r="AK21" i="613"/>
  <c r="AK63" i="613"/>
  <c r="AK70" i="613"/>
  <c r="AK181" i="613"/>
  <c r="AK7" i="613"/>
  <c r="AJ188" i="613"/>
  <c r="AJ164" i="613"/>
  <c r="AK13" i="613"/>
  <c r="AK171" i="613"/>
  <c r="AJ174" i="613"/>
  <c r="AJ6" i="613"/>
  <c r="AJ10" i="613"/>
  <c r="AK167" i="613"/>
  <c r="AK177" i="613"/>
  <c r="AK191" i="613"/>
  <c r="AJ140" i="613"/>
  <c r="AJ184" i="613"/>
  <c r="AK195" i="613"/>
  <c r="AJ180" i="613"/>
  <c r="D182" i="613"/>
  <c r="AJ112" i="613"/>
  <c r="D14" i="613"/>
  <c r="AN92" i="613"/>
  <c r="AN93" i="613" s="1"/>
  <c r="AN94" i="613" s="1"/>
  <c r="AN64" i="613"/>
  <c r="AN65" i="613" s="1"/>
  <c r="AN66" i="613" s="1"/>
  <c r="D168" i="613"/>
  <c r="AK169" i="613"/>
  <c r="AJ176" i="613"/>
  <c r="AK183" i="613"/>
  <c r="AK193" i="613"/>
  <c r="AK133" i="613"/>
  <c r="AJ186" i="613"/>
  <c r="AK189" i="613"/>
  <c r="AN22" i="613"/>
  <c r="D22" i="613" s="1"/>
  <c r="AJ105" i="613"/>
  <c r="AK165" i="613"/>
  <c r="AK179" i="613"/>
  <c r="AN45" i="613"/>
  <c r="D44" i="613"/>
  <c r="AN9" i="613"/>
  <c r="D8" i="613"/>
  <c r="AL8" i="613"/>
  <c r="B7" i="613"/>
  <c r="AM8" i="613"/>
  <c r="C7" i="613"/>
  <c r="AN17" i="613"/>
  <c r="D16" i="613"/>
  <c r="AJ251" i="611"/>
  <c r="AN30" i="613"/>
  <c r="AN58" i="613"/>
  <c r="D57" i="613"/>
  <c r="AN79" i="613"/>
  <c r="D78" i="613"/>
  <c r="AK200" i="611"/>
  <c r="AJ231" i="611"/>
  <c r="AJ400" i="611"/>
  <c r="AJ21" i="613"/>
  <c r="AN86" i="613"/>
  <c r="D85" i="613"/>
  <c r="AJ7" i="613"/>
  <c r="AJ11" i="613"/>
  <c r="AN100" i="613"/>
  <c r="D99" i="613"/>
  <c r="AN72" i="613"/>
  <c r="D71" i="613"/>
  <c r="AK161" i="611"/>
  <c r="AJ227" i="611"/>
  <c r="AK361" i="611"/>
  <c r="B6" i="613"/>
  <c r="AK42" i="613"/>
  <c r="AJ42" i="613"/>
  <c r="AK143" i="611"/>
  <c r="AK245" i="611"/>
  <c r="AJ304" i="611"/>
  <c r="AK407" i="611"/>
  <c r="C6" i="613"/>
  <c r="AJ49" i="613"/>
  <c r="AN51" i="613"/>
  <c r="D50" i="613"/>
  <c r="AK337" i="611"/>
  <c r="AK294" i="609"/>
  <c r="AJ335" i="611"/>
  <c r="AK399" i="611"/>
  <c r="AK199" i="611"/>
  <c r="AK259" i="611"/>
  <c r="AJ331" i="611"/>
  <c r="D7" i="613"/>
  <c r="AJ9" i="613"/>
  <c r="AJ13" i="613"/>
  <c r="D15" i="613"/>
  <c r="AK397" i="611"/>
  <c r="AK419" i="611"/>
  <c r="AK35" i="613"/>
  <c r="AJ35" i="613"/>
  <c r="D43" i="613"/>
  <c r="AK81" i="609"/>
  <c r="AK83" i="609"/>
  <c r="AN191" i="613"/>
  <c r="D191" i="613" s="1"/>
  <c r="D190" i="613"/>
  <c r="AJ77" i="613"/>
  <c r="AN142" i="613"/>
  <c r="D141" i="613"/>
  <c r="AN134" i="613"/>
  <c r="D133" i="613"/>
  <c r="AN149" i="613"/>
  <c r="D148" i="613"/>
  <c r="AN163" i="613"/>
  <c r="D162" i="613"/>
  <c r="AN177" i="613"/>
  <c r="D176" i="613"/>
  <c r="D56" i="613"/>
  <c r="AJ70" i="613"/>
  <c r="D84" i="613"/>
  <c r="AJ98" i="613"/>
  <c r="AK119" i="613"/>
  <c r="AJ119" i="613"/>
  <c r="AN120" i="613"/>
  <c r="D119" i="613"/>
  <c r="AN106" i="613"/>
  <c r="AN157" i="613"/>
  <c r="D156" i="613"/>
  <c r="D49" i="613"/>
  <c r="AJ63" i="613"/>
  <c r="D77" i="613"/>
  <c r="AJ91" i="613"/>
  <c r="AN114" i="613"/>
  <c r="D113" i="613"/>
  <c r="D42" i="613"/>
  <c r="D70" i="613"/>
  <c r="D98" i="613"/>
  <c r="AN171" i="613"/>
  <c r="D170" i="613"/>
  <c r="AN185" i="613"/>
  <c r="D184" i="613"/>
  <c r="AJ147" i="613"/>
  <c r="D161" i="613"/>
  <c r="AJ163" i="613"/>
  <c r="AJ167" i="613"/>
  <c r="D169" i="613"/>
  <c r="AJ171" i="613"/>
  <c r="AJ175" i="613"/>
  <c r="AJ179" i="613"/>
  <c r="AJ183" i="613"/>
  <c r="AJ187" i="613"/>
  <c r="D189" i="613"/>
  <c r="AJ191" i="613"/>
  <c r="AJ195" i="613"/>
  <c r="AJ133" i="613"/>
  <c r="D147" i="613"/>
  <c r="D155" i="613"/>
  <c r="AJ161" i="613"/>
  <c r="AJ165" i="613"/>
  <c r="AJ169" i="613"/>
  <c r="AJ173" i="613"/>
  <c r="D175" i="613"/>
  <c r="AJ177" i="613"/>
  <c r="AJ181" i="613"/>
  <c r="D183" i="613"/>
  <c r="AJ185" i="613"/>
  <c r="AJ189" i="613"/>
  <c r="AJ193" i="613"/>
  <c r="AO33" i="611"/>
  <c r="AO34" i="611" s="1"/>
  <c r="E34" i="611" s="1"/>
  <c r="C26" i="612"/>
  <c r="AJ272" i="609"/>
  <c r="AO103" i="611"/>
  <c r="E103" i="611" s="1"/>
  <c r="AK182" i="611"/>
  <c r="AK240" i="611"/>
  <c r="AJ42" i="609"/>
  <c r="AK112" i="609"/>
  <c r="E297" i="611"/>
  <c r="AO298" i="611"/>
  <c r="E298" i="611" s="1"/>
  <c r="AJ296" i="609"/>
  <c r="AK163" i="605"/>
  <c r="AK165" i="605"/>
  <c r="AO68" i="611"/>
  <c r="AO69" i="611" s="1"/>
  <c r="E69" i="611" s="1"/>
  <c r="AJ193" i="611"/>
  <c r="AJ219" i="611"/>
  <c r="AK254" i="611"/>
  <c r="AK46" i="611"/>
  <c r="AO82" i="611"/>
  <c r="E82" i="611" s="1"/>
  <c r="AJ122" i="611"/>
  <c r="AJ187" i="611"/>
  <c r="AK206" i="611"/>
  <c r="AK60" i="611"/>
  <c r="AK149" i="611"/>
  <c r="AK269" i="609"/>
  <c r="AK271" i="609"/>
  <c r="AJ137" i="611"/>
  <c r="AK164" i="611"/>
  <c r="AK183" i="611"/>
  <c r="AJ239" i="611"/>
  <c r="AK283" i="611"/>
  <c r="AJ283" i="611"/>
  <c r="AJ322" i="609"/>
  <c r="AK152" i="611"/>
  <c r="AK202" i="611"/>
  <c r="AK248" i="611"/>
  <c r="AK110" i="611"/>
  <c r="AK264" i="611"/>
  <c r="AJ264" i="611"/>
  <c r="AK292" i="611"/>
  <c r="E131" i="611"/>
  <c r="AK218" i="611"/>
  <c r="AK288" i="611"/>
  <c r="AJ288" i="611"/>
  <c r="AJ254" i="609"/>
  <c r="AJ350" i="609"/>
  <c r="AK167" i="611"/>
  <c r="AK188" i="611"/>
  <c r="AJ207" i="611"/>
  <c r="AK253" i="611"/>
  <c r="AK154" i="609"/>
  <c r="AK313" i="609"/>
  <c r="AK286" i="611"/>
  <c r="AJ286" i="611"/>
  <c r="AK258" i="611"/>
  <c r="AK260" i="611"/>
  <c r="AJ296" i="611"/>
  <c r="AK308" i="611"/>
  <c r="AK360" i="611"/>
  <c r="AK364" i="611"/>
  <c r="AK368" i="611"/>
  <c r="F22" i="612"/>
  <c r="AK352" i="611"/>
  <c r="AJ432" i="611"/>
  <c r="AK434" i="611"/>
  <c r="AK384" i="611"/>
  <c r="AK428" i="611"/>
  <c r="AK265" i="611"/>
  <c r="AK344" i="611"/>
  <c r="AJ346" i="611"/>
  <c r="AK348" i="611"/>
  <c r="AJ380" i="611"/>
  <c r="AJ309" i="611"/>
  <c r="AJ311" i="611"/>
  <c r="AK411" i="611"/>
  <c r="AK228" i="611"/>
  <c r="AK237" i="611"/>
  <c r="AK276" i="611"/>
  <c r="AK342" i="611"/>
  <c r="AK395" i="611"/>
  <c r="AK405" i="611"/>
  <c r="AJ316" i="611"/>
  <c r="AK332" i="611"/>
  <c r="AK385" i="611"/>
  <c r="AJ289" i="611"/>
  <c r="AK387" i="611"/>
  <c r="AK427" i="611"/>
  <c r="AK370" i="611"/>
  <c r="AK381" i="611"/>
  <c r="AJ323" i="611"/>
  <c r="AK349" i="611"/>
  <c r="AK406" i="611"/>
  <c r="AK410" i="611"/>
  <c r="AK412" i="611"/>
  <c r="E98" i="611"/>
  <c r="E221" i="611"/>
  <c r="AO96" i="611"/>
  <c r="AO97" i="611" s="1"/>
  <c r="E97" i="611" s="1"/>
  <c r="AO120" i="611"/>
  <c r="E120" i="611" s="1"/>
  <c r="AO144" i="611"/>
  <c r="E144" i="611" s="1"/>
  <c r="AO156" i="611"/>
  <c r="AO157" i="611" s="1"/>
  <c r="E157" i="611" s="1"/>
  <c r="AO431" i="611"/>
  <c r="AO432" i="611" s="1"/>
  <c r="AO375" i="611"/>
  <c r="AO376" i="611" s="1"/>
  <c r="AO108" i="611"/>
  <c r="AO109" i="611" s="1"/>
  <c r="E109" i="611" s="1"/>
  <c r="AO186" i="611"/>
  <c r="E186" i="611" s="1"/>
  <c r="AO304" i="611"/>
  <c r="AO305" i="611" s="1"/>
  <c r="AO417" i="611"/>
  <c r="AO418" i="611" s="1"/>
  <c r="AO419" i="611" s="1"/>
  <c r="AM445" i="611"/>
  <c r="AM446" i="611" s="1"/>
  <c r="AM447" i="611" s="1"/>
  <c r="C447" i="611" s="1"/>
  <c r="G14" i="611"/>
  <c r="E39" i="611"/>
  <c r="B6" i="611"/>
  <c r="AM12" i="611"/>
  <c r="AM13" i="611" s="1"/>
  <c r="D324" i="611"/>
  <c r="AO192" i="611"/>
  <c r="E192" i="611" s="1"/>
  <c r="AO89" i="611"/>
  <c r="E89" i="611" s="1"/>
  <c r="AN13" i="611"/>
  <c r="D13" i="611" s="1"/>
  <c r="AO326" i="611"/>
  <c r="AP10" i="611"/>
  <c r="AK16" i="611"/>
  <c r="AR10" i="611"/>
  <c r="AK125" i="611"/>
  <c r="AJ125" i="611"/>
  <c r="AJ53" i="611"/>
  <c r="AK53" i="611"/>
  <c r="AO117" i="611"/>
  <c r="E116" i="611"/>
  <c r="AK11" i="611"/>
  <c r="AJ101" i="611"/>
  <c r="AL8" i="611"/>
  <c r="B8" i="611" s="1"/>
  <c r="AO15" i="611"/>
  <c r="AK25" i="611"/>
  <c r="E180" i="611"/>
  <c r="AO181" i="611"/>
  <c r="E181" i="611" s="1"/>
  <c r="AO129" i="611"/>
  <c r="AO130" i="611" s="1"/>
  <c r="E130" i="611" s="1"/>
  <c r="E128" i="611"/>
  <c r="AK6" i="611"/>
  <c r="AJ6" i="611"/>
  <c r="AN326" i="611"/>
  <c r="D326" i="611" s="1"/>
  <c r="D325" i="611"/>
  <c r="AO105" i="611"/>
  <c r="E105" i="611" s="1"/>
  <c r="E104" i="611"/>
  <c r="AK113" i="611"/>
  <c r="AJ113" i="611"/>
  <c r="AO278" i="611"/>
  <c r="AO279" i="611" s="1"/>
  <c r="E277" i="611"/>
  <c r="E40" i="611"/>
  <c r="AK10" i="611"/>
  <c r="AO75" i="611"/>
  <c r="AO76" i="611" s="1"/>
  <c r="E76" i="611" s="1"/>
  <c r="AK204" i="611"/>
  <c r="AK146" i="611"/>
  <c r="AK174" i="611"/>
  <c r="AK179" i="611"/>
  <c r="AK194" i="611"/>
  <c r="AK230" i="611"/>
  <c r="AK273" i="611"/>
  <c r="AK402" i="611"/>
  <c r="AK417" i="611"/>
  <c r="AK429" i="611"/>
  <c r="AK155" i="611"/>
  <c r="AK176" i="611"/>
  <c r="AK184" i="611"/>
  <c r="AJ201" i="611"/>
  <c r="AJ223" i="611"/>
  <c r="AK250" i="611"/>
  <c r="AK257" i="611"/>
  <c r="AK295" i="611"/>
  <c r="AJ312" i="611"/>
  <c r="AJ338" i="611"/>
  <c r="AK39" i="611"/>
  <c r="AJ169" i="611"/>
  <c r="AK186" i="611"/>
  <c r="AO189" i="611"/>
  <c r="AO190" i="611" s="1"/>
  <c r="E190" i="611" s="1"/>
  <c r="AJ203" i="611"/>
  <c r="AJ215" i="611"/>
  <c r="AK232" i="611"/>
  <c r="AK241" i="611"/>
  <c r="AK266" i="611"/>
  <c r="AK268" i="611"/>
  <c r="AK278" i="611"/>
  <c r="AJ297" i="611"/>
  <c r="AK300" i="611"/>
  <c r="AJ305" i="611"/>
  <c r="AJ319" i="611"/>
  <c r="AJ328" i="611"/>
  <c r="AK333" i="611"/>
  <c r="AK367" i="611"/>
  <c r="AJ372" i="611"/>
  <c r="AJ382" i="611"/>
  <c r="AJ392" i="611"/>
  <c r="AK414" i="611"/>
  <c r="AJ436" i="611"/>
  <c r="AK98" i="611"/>
  <c r="AK166" i="611"/>
  <c r="AK191" i="611"/>
  <c r="AK196" i="611"/>
  <c r="AJ220" i="611"/>
  <c r="AK234" i="611"/>
  <c r="AJ243" i="611"/>
  <c r="AK252" i="611"/>
  <c r="AK261" i="611"/>
  <c r="AJ275" i="611"/>
  <c r="AK280" i="611"/>
  <c r="AJ290" i="611"/>
  <c r="AJ307" i="611"/>
  <c r="AK324" i="611"/>
  <c r="AJ340" i="611"/>
  <c r="AJ350" i="611"/>
  <c r="AJ362" i="611"/>
  <c r="AK409" i="611"/>
  <c r="AJ424" i="611"/>
  <c r="AJ282" i="611"/>
  <c r="AJ444" i="611"/>
  <c r="AK17" i="611"/>
  <c r="AK171" i="611"/>
  <c r="AK178" i="611"/>
  <c r="AK374" i="611"/>
  <c r="AK389" i="611"/>
  <c r="AJ404" i="611"/>
  <c r="AK426" i="611"/>
  <c r="AK431" i="611"/>
  <c r="AK168" i="611"/>
  <c r="AK198" i="611"/>
  <c r="AJ205" i="611"/>
  <c r="AK238" i="611"/>
  <c r="AJ247" i="611"/>
  <c r="AK270" i="611"/>
  <c r="E388" i="611"/>
  <c r="AK401" i="611"/>
  <c r="AJ416" i="611"/>
  <c r="AK421" i="611"/>
  <c r="AO124" i="611"/>
  <c r="E124" i="611" s="1"/>
  <c r="AO168" i="611"/>
  <c r="AO169" i="611" s="1"/>
  <c r="E169" i="611" s="1"/>
  <c r="AO263" i="611"/>
  <c r="E263" i="611" s="1"/>
  <c r="E346" i="611"/>
  <c r="AK433" i="611"/>
  <c r="AO214" i="611"/>
  <c r="E214" i="611" s="1"/>
  <c r="AO318" i="611"/>
  <c r="E360" i="611"/>
  <c r="E135" i="611"/>
  <c r="E182" i="611"/>
  <c r="E276" i="611"/>
  <c r="AJ376" i="611"/>
  <c r="AK391" i="611"/>
  <c r="AK413" i="611"/>
  <c r="AK423" i="611"/>
  <c r="AK170" i="611"/>
  <c r="AK175" i="611"/>
  <c r="E179" i="611"/>
  <c r="AJ185" i="611"/>
  <c r="AJ209" i="611"/>
  <c r="AK242" i="611"/>
  <c r="AK249" i="611"/>
  <c r="E283" i="611"/>
  <c r="AK284" i="611"/>
  <c r="AK306" i="611"/>
  <c r="AO334" i="611"/>
  <c r="AO335" i="611" s="1"/>
  <c r="AO336" i="611" s="1"/>
  <c r="AK356" i="611"/>
  <c r="AJ358" i="611"/>
  <c r="AJ366" i="611"/>
  <c r="AK398" i="611"/>
  <c r="AJ408" i="611"/>
  <c r="AK418" i="611"/>
  <c r="AK430" i="611"/>
  <c r="AK435" i="611"/>
  <c r="D7" i="611"/>
  <c r="AJ67" i="611"/>
  <c r="E101" i="611"/>
  <c r="AK158" i="611"/>
  <c r="AJ165" i="611"/>
  <c r="AK190" i="611"/>
  <c r="AK195" i="611"/>
  <c r="E206" i="611"/>
  <c r="AJ211" i="611"/>
  <c r="AO242" i="611"/>
  <c r="E242" i="611" s="1"/>
  <c r="AJ269" i="611"/>
  <c r="AJ315" i="611"/>
  <c r="AK378" i="611"/>
  <c r="AJ388" i="611"/>
  <c r="AK393" i="611"/>
  <c r="E402" i="611"/>
  <c r="AK403" i="611"/>
  <c r="AK437" i="611"/>
  <c r="AK116" i="611"/>
  <c r="AK128" i="611"/>
  <c r="AK172" i="611"/>
  <c r="AK216" i="611"/>
  <c r="AJ235" i="611"/>
  <c r="AJ255" i="611"/>
  <c r="AJ279" i="611"/>
  <c r="AK320" i="611"/>
  <c r="AK415" i="611"/>
  <c r="AK425" i="611"/>
  <c r="E41" i="611"/>
  <c r="AO42" i="611"/>
  <c r="D8" i="611"/>
  <c r="AN9" i="611"/>
  <c r="AK254" i="605"/>
  <c r="AK14" i="609"/>
  <c r="AK340" i="609"/>
  <c r="AM7" i="611"/>
  <c r="AJ32" i="611"/>
  <c r="AO61" i="611"/>
  <c r="AK237" i="609"/>
  <c r="AJ250" i="609"/>
  <c r="AK321" i="609"/>
  <c r="AN18" i="611"/>
  <c r="AO54" i="611"/>
  <c r="AJ302" i="609"/>
  <c r="AO19" i="611"/>
  <c r="AK119" i="609"/>
  <c r="AJ168" i="609"/>
  <c r="AJ81" i="611"/>
  <c r="AJ88" i="611"/>
  <c r="AK260" i="609"/>
  <c r="AJ310" i="609"/>
  <c r="AJ15" i="611"/>
  <c r="AO26" i="611"/>
  <c r="AO47" i="611"/>
  <c r="AK236" i="609"/>
  <c r="AK282" i="609"/>
  <c r="AP15" i="611"/>
  <c r="AM17" i="611"/>
  <c r="C16" i="611"/>
  <c r="AJ17" i="611"/>
  <c r="AK74" i="611"/>
  <c r="AK98" i="609"/>
  <c r="AO10" i="611"/>
  <c r="AJ242" i="609"/>
  <c r="AJ334" i="609"/>
  <c r="AJ7" i="611"/>
  <c r="AJ12" i="611"/>
  <c r="AR15" i="611"/>
  <c r="AJ18" i="611"/>
  <c r="AQ10" i="611"/>
  <c r="AJ39" i="611"/>
  <c r="AK104" i="611"/>
  <c r="AO151" i="611"/>
  <c r="E151" i="611" s="1"/>
  <c r="E150" i="611"/>
  <c r="AO163" i="611"/>
  <c r="E163" i="611" s="1"/>
  <c r="E162" i="611"/>
  <c r="E183" i="611"/>
  <c r="AO184" i="611"/>
  <c r="E184" i="611" s="1"/>
  <c r="AO126" i="611"/>
  <c r="E125" i="611"/>
  <c r="AK131" i="611"/>
  <c r="AJ131" i="611"/>
  <c r="AO148" i="611"/>
  <c r="E148" i="611" s="1"/>
  <c r="E147" i="611"/>
  <c r="E207" i="611"/>
  <c r="AO208" i="611"/>
  <c r="AJ107" i="611"/>
  <c r="AO114" i="611"/>
  <c r="AK134" i="611"/>
  <c r="AO178" i="611"/>
  <c r="E178" i="611" s="1"/>
  <c r="E177" i="611"/>
  <c r="AJ140" i="611"/>
  <c r="AJ152" i="611"/>
  <c r="AJ119" i="611"/>
  <c r="AO133" i="611"/>
  <c r="E133" i="611" s="1"/>
  <c r="E132" i="611"/>
  <c r="AO154" i="611"/>
  <c r="E154" i="611" s="1"/>
  <c r="E153" i="611"/>
  <c r="AO141" i="611"/>
  <c r="E140" i="611"/>
  <c r="AJ110" i="611"/>
  <c r="AO139" i="611"/>
  <c r="E139" i="611" s="1"/>
  <c r="E138" i="611"/>
  <c r="AJ95" i="611"/>
  <c r="AO100" i="611"/>
  <c r="E100" i="611" s="1"/>
  <c r="AK95" i="611"/>
  <c r="AO160" i="611"/>
  <c r="E160" i="611" s="1"/>
  <c r="E159" i="611"/>
  <c r="AO175" i="611"/>
  <c r="E175" i="611" s="1"/>
  <c r="E174" i="611"/>
  <c r="E201" i="611"/>
  <c r="AO202" i="611"/>
  <c r="E202" i="611" s="1"/>
  <c r="AO172" i="611"/>
  <c r="E172" i="611" s="1"/>
  <c r="E171" i="611"/>
  <c r="AO111" i="611"/>
  <c r="E110" i="611"/>
  <c r="AO166" i="611"/>
  <c r="E166" i="611" s="1"/>
  <c r="E165" i="611"/>
  <c r="AK217" i="611"/>
  <c r="AJ217" i="611"/>
  <c r="AK221" i="611"/>
  <c r="AJ221" i="611"/>
  <c r="AK222" i="611"/>
  <c r="AJ222" i="611"/>
  <c r="AK233" i="611"/>
  <c r="E200" i="611"/>
  <c r="AO257" i="611"/>
  <c r="E256" i="611"/>
  <c r="AK193" i="611"/>
  <c r="AK205" i="611"/>
  <c r="AO223" i="611"/>
  <c r="AK231" i="611"/>
  <c r="AJ240" i="611"/>
  <c r="AO251" i="611"/>
  <c r="E250" i="611"/>
  <c r="AJ166" i="611"/>
  <c r="AJ170" i="611"/>
  <c r="AJ174" i="611"/>
  <c r="AJ178" i="611"/>
  <c r="AJ183" i="611"/>
  <c r="AJ188" i="611"/>
  <c r="AJ199" i="611"/>
  <c r="AJ206" i="611"/>
  <c r="E152" i="611"/>
  <c r="E164" i="611"/>
  <c r="E176" i="611"/>
  <c r="AJ194" i="611"/>
  <c r="AO204" i="611"/>
  <c r="AK207" i="611"/>
  <c r="AK236" i="611"/>
  <c r="AJ189" i="611"/>
  <c r="AO198" i="611"/>
  <c r="AJ208" i="611"/>
  <c r="AK189" i="611"/>
  <c r="AK229" i="611"/>
  <c r="AJ229" i="611"/>
  <c r="AJ143" i="611"/>
  <c r="AJ155" i="611"/>
  <c r="AJ167" i="611"/>
  <c r="AJ171" i="611"/>
  <c r="AJ175" i="611"/>
  <c r="AJ179" i="611"/>
  <c r="AJ184" i="611"/>
  <c r="AJ195" i="611"/>
  <c r="AJ200" i="611"/>
  <c r="AK209" i="611"/>
  <c r="AK210" i="611"/>
  <c r="AJ228" i="611"/>
  <c r="E249" i="611"/>
  <c r="E137" i="611"/>
  <c r="E149" i="611"/>
  <c r="E161" i="611"/>
  <c r="E173" i="611"/>
  <c r="E234" i="611"/>
  <c r="AK185" i="611"/>
  <c r="AK201" i="611"/>
  <c r="AJ212" i="611"/>
  <c r="AJ164" i="611"/>
  <c r="AJ168" i="611"/>
  <c r="AJ172" i="611"/>
  <c r="AJ176" i="611"/>
  <c r="AJ180" i="611"/>
  <c r="AJ191" i="611"/>
  <c r="AJ196" i="611"/>
  <c r="AJ213" i="611"/>
  <c r="AK226" i="611"/>
  <c r="AJ226" i="611"/>
  <c r="E122" i="611"/>
  <c r="E134" i="611"/>
  <c r="E146" i="611"/>
  <c r="E158" i="611"/>
  <c r="E170" i="611"/>
  <c r="AJ186" i="611"/>
  <c r="AO195" i="611"/>
  <c r="AJ202" i="611"/>
  <c r="AK213" i="611"/>
  <c r="AK225" i="611"/>
  <c r="AJ225" i="611"/>
  <c r="AK244" i="611"/>
  <c r="AJ181" i="611"/>
  <c r="AJ197" i="611"/>
  <c r="AK214" i="611"/>
  <c r="AO228" i="611"/>
  <c r="E227" i="611"/>
  <c r="AK181" i="611"/>
  <c r="AK197" i="611"/>
  <c r="AJ214" i="611"/>
  <c r="AK223" i="611"/>
  <c r="AO236" i="611"/>
  <c r="E235" i="611"/>
  <c r="AO286" i="611"/>
  <c r="E285" i="611"/>
  <c r="E284" i="611"/>
  <c r="AJ306" i="611"/>
  <c r="AK334" i="611"/>
  <c r="AJ334" i="611"/>
  <c r="AK310" i="611"/>
  <c r="AJ310" i="611"/>
  <c r="AJ260" i="611"/>
  <c r="AJ265" i="611"/>
  <c r="AK297" i="611"/>
  <c r="AK309" i="611"/>
  <c r="AJ270" i="611"/>
  <c r="AK298" i="611"/>
  <c r="AK326" i="611"/>
  <c r="AJ326" i="611"/>
  <c r="AJ276" i="611"/>
  <c r="AK325" i="611"/>
  <c r="AK347" i="611"/>
  <c r="AJ347" i="611"/>
  <c r="AJ261" i="611"/>
  <c r="AJ277" i="611"/>
  <c r="AJ291" i="611"/>
  <c r="AO311" i="611"/>
  <c r="AJ324" i="611"/>
  <c r="AJ266" i="611"/>
  <c r="AJ271" i="611"/>
  <c r="AK277" i="611"/>
  <c r="AJ284" i="611"/>
  <c r="AO270" i="611"/>
  <c r="AJ285" i="611"/>
  <c r="AJ300" i="611"/>
  <c r="AK322" i="611"/>
  <c r="AJ322" i="611"/>
  <c r="AJ233" i="611"/>
  <c r="AJ237" i="611"/>
  <c r="AJ241" i="611"/>
  <c r="AJ245" i="611"/>
  <c r="AJ249" i="611"/>
  <c r="AJ253" i="611"/>
  <c r="AJ257" i="611"/>
  <c r="AJ278" i="611"/>
  <c r="AK285" i="611"/>
  <c r="AJ292" i="611"/>
  <c r="AJ301" i="611"/>
  <c r="E255" i="611"/>
  <c r="AJ262" i="611"/>
  <c r="AJ267" i="611"/>
  <c r="AJ272" i="611"/>
  <c r="AJ293" i="611"/>
  <c r="AK302" i="611"/>
  <c r="AK321" i="611"/>
  <c r="AJ321" i="611"/>
  <c r="AK336" i="611"/>
  <c r="AJ336" i="611"/>
  <c r="AO291" i="611"/>
  <c r="AK330" i="611"/>
  <c r="AJ330" i="611"/>
  <c r="AK343" i="611"/>
  <c r="AJ343" i="611"/>
  <c r="AO301" i="611"/>
  <c r="E300" i="611"/>
  <c r="AJ320" i="611"/>
  <c r="AJ230" i="611"/>
  <c r="AJ234" i="611"/>
  <c r="AJ238" i="611"/>
  <c r="AJ242" i="611"/>
  <c r="AJ246" i="611"/>
  <c r="AJ250" i="611"/>
  <c r="AJ254" i="611"/>
  <c r="AJ258" i="611"/>
  <c r="AJ263" i="611"/>
  <c r="AJ268" i="611"/>
  <c r="AJ273" i="611"/>
  <c r="AJ287" i="611"/>
  <c r="AJ294" i="611"/>
  <c r="AK317" i="611"/>
  <c r="AJ317" i="611"/>
  <c r="AK318" i="611"/>
  <c r="AJ318" i="611"/>
  <c r="E220" i="611"/>
  <c r="E248" i="611"/>
  <c r="AJ280" i="611"/>
  <c r="AK329" i="611"/>
  <c r="AJ281" i="611"/>
  <c r="AK314" i="611"/>
  <c r="AJ314" i="611"/>
  <c r="AK313" i="611"/>
  <c r="AJ313" i="611"/>
  <c r="AK351" i="611"/>
  <c r="AJ351" i="611"/>
  <c r="AO405" i="611"/>
  <c r="E404" i="611"/>
  <c r="AN439" i="611"/>
  <c r="D438" i="611"/>
  <c r="AK375" i="611"/>
  <c r="AJ375" i="611"/>
  <c r="AO362" i="611"/>
  <c r="E361" i="611"/>
  <c r="AO368" i="611"/>
  <c r="E367" i="611"/>
  <c r="AJ374" i="611"/>
  <c r="AO392" i="611"/>
  <c r="E391" i="611"/>
  <c r="AO397" i="611"/>
  <c r="E396" i="611"/>
  <c r="AO341" i="611"/>
  <c r="AK373" i="611"/>
  <c r="AO382" i="611"/>
  <c r="E381" i="611"/>
  <c r="AJ352" i="611"/>
  <c r="AK353" i="611"/>
  <c r="C446" i="611"/>
  <c r="E339" i="611"/>
  <c r="AJ344" i="611"/>
  <c r="AK345" i="611"/>
  <c r="AJ353" i="611"/>
  <c r="AN447" i="611"/>
  <c r="D447" i="611" s="1"/>
  <c r="D446" i="611"/>
  <c r="AJ325" i="611"/>
  <c r="AJ329" i="611"/>
  <c r="AJ333" i="611"/>
  <c r="AJ354" i="611"/>
  <c r="AK379" i="611"/>
  <c r="AJ379" i="611"/>
  <c r="AO411" i="611"/>
  <c r="E410" i="611"/>
  <c r="AN443" i="611"/>
  <c r="D443" i="611" s="1"/>
  <c r="D442" i="611"/>
  <c r="AK355" i="611"/>
  <c r="AK371" i="611"/>
  <c r="AJ371" i="611"/>
  <c r="E390" i="611"/>
  <c r="AO354" i="611"/>
  <c r="E353" i="611"/>
  <c r="AO433" i="611"/>
  <c r="E432" i="611"/>
  <c r="AJ356" i="611"/>
  <c r="AK339" i="611"/>
  <c r="AJ357" i="611"/>
  <c r="AJ370" i="611"/>
  <c r="AK377" i="611"/>
  <c r="AK383" i="611"/>
  <c r="E332" i="611"/>
  <c r="AJ339" i="611"/>
  <c r="AK359" i="611"/>
  <c r="AK369" i="611"/>
  <c r="AJ369" i="611"/>
  <c r="AO425" i="611"/>
  <c r="E424" i="611"/>
  <c r="AK341" i="611"/>
  <c r="AO348" i="611"/>
  <c r="E347" i="611"/>
  <c r="AJ349" i="611"/>
  <c r="AJ361" i="611"/>
  <c r="AK363" i="611"/>
  <c r="AK365" i="611"/>
  <c r="AJ383" i="611"/>
  <c r="AJ387" i="611"/>
  <c r="AJ391" i="611"/>
  <c r="AJ395" i="611"/>
  <c r="AJ399" i="611"/>
  <c r="AJ403" i="611"/>
  <c r="AJ407" i="611"/>
  <c r="AJ411" i="611"/>
  <c r="AJ415" i="611"/>
  <c r="AJ419" i="611"/>
  <c r="AJ423" i="611"/>
  <c r="AJ427" i="611"/>
  <c r="AJ431" i="611"/>
  <c r="AJ435" i="611"/>
  <c r="D437" i="611"/>
  <c r="D441" i="611"/>
  <c r="D445" i="611"/>
  <c r="E389" i="611"/>
  <c r="E409" i="611"/>
  <c r="AJ373" i="611"/>
  <c r="AJ377" i="611"/>
  <c r="AJ381" i="611"/>
  <c r="AJ385" i="611"/>
  <c r="AJ441" i="611"/>
  <c r="AJ445" i="611"/>
  <c r="E395" i="611"/>
  <c r="E403" i="611"/>
  <c r="E423" i="611"/>
  <c r="D259" i="609"/>
  <c r="AN50" i="609"/>
  <c r="AN51" i="609" s="1"/>
  <c r="AN52" i="609" s="1"/>
  <c r="B6" i="609"/>
  <c r="D133" i="609"/>
  <c r="C26" i="610"/>
  <c r="AK63" i="609"/>
  <c r="D77" i="609"/>
  <c r="AK80" i="609"/>
  <c r="AK77" i="609"/>
  <c r="AJ256" i="605"/>
  <c r="AK6" i="607"/>
  <c r="AN141" i="609"/>
  <c r="D35" i="609"/>
  <c r="AK16" i="607"/>
  <c r="AK18" i="607"/>
  <c r="AK126" i="609"/>
  <c r="D63" i="609"/>
  <c r="AK105" i="609"/>
  <c r="AK56" i="609"/>
  <c r="AK234" i="609"/>
  <c r="AK246" i="609"/>
  <c r="AK298" i="609"/>
  <c r="F22" i="610"/>
  <c r="AK316" i="609"/>
  <c r="AK343" i="609"/>
  <c r="AK243" i="609"/>
  <c r="AK327" i="609"/>
  <c r="AK345" i="609"/>
  <c r="AK356" i="609"/>
  <c r="AK311" i="609"/>
  <c r="AJ318" i="609"/>
  <c r="AK252" i="609"/>
  <c r="AJ279" i="609"/>
  <c r="AK290" i="609"/>
  <c r="AK367" i="609"/>
  <c r="AK262" i="609"/>
  <c r="AJ281" i="609"/>
  <c r="AJ306" i="609"/>
  <c r="AK308" i="609"/>
  <c r="AK196" i="609"/>
  <c r="AK240" i="609"/>
  <c r="AK247" i="609"/>
  <c r="AJ266" i="609"/>
  <c r="AJ362" i="609"/>
  <c r="AK364" i="609"/>
  <c r="AK324" i="609"/>
  <c r="AK353" i="609"/>
  <c r="AK261" i="609"/>
  <c r="AK285" i="609"/>
  <c r="AK335" i="609"/>
  <c r="AK244" i="609"/>
  <c r="AJ258" i="609"/>
  <c r="AK274" i="609"/>
  <c r="AK276" i="609"/>
  <c r="AK289" i="609"/>
  <c r="AJ346" i="609"/>
  <c r="AJ366" i="609"/>
  <c r="AK280" i="609"/>
  <c r="AK305" i="609"/>
  <c r="AK319" i="609"/>
  <c r="AK253" i="609"/>
  <c r="AJ263" i="609"/>
  <c r="AK265" i="609"/>
  <c r="AK332" i="609"/>
  <c r="AK337" i="609"/>
  <c r="AK359" i="609"/>
  <c r="AK361" i="609"/>
  <c r="D336" i="609"/>
  <c r="AN351" i="609"/>
  <c r="AN352" i="609" s="1"/>
  <c r="AN353" i="609" s="1"/>
  <c r="AN218" i="609"/>
  <c r="AN219" i="609" s="1"/>
  <c r="AN220" i="609" s="1"/>
  <c r="AN57" i="609"/>
  <c r="AN58" i="609" s="1"/>
  <c r="AN59" i="609" s="1"/>
  <c r="D308" i="609"/>
  <c r="AN65" i="609"/>
  <c r="AN66" i="609" s="1"/>
  <c r="D64" i="609"/>
  <c r="D231" i="609"/>
  <c r="AN92" i="609"/>
  <c r="D92" i="609" s="1"/>
  <c r="AN29" i="609"/>
  <c r="AN30" i="609" s="1"/>
  <c r="AN31" i="609" s="1"/>
  <c r="D182" i="609"/>
  <c r="D364" i="609"/>
  <c r="AN274" i="609"/>
  <c r="D274" i="609" s="1"/>
  <c r="D322" i="609"/>
  <c r="AN246" i="609"/>
  <c r="AN247" i="609" s="1"/>
  <c r="AN248" i="609" s="1"/>
  <c r="AN108" i="609"/>
  <c r="AN109" i="609" s="1"/>
  <c r="AN15" i="609"/>
  <c r="AN16" i="609" s="1"/>
  <c r="AN17" i="609" s="1"/>
  <c r="C6" i="609"/>
  <c r="AK49" i="609"/>
  <c r="AK82" i="609"/>
  <c r="D119" i="609"/>
  <c r="AK6" i="609"/>
  <c r="AJ7" i="609"/>
  <c r="AK84" i="609"/>
  <c r="AJ21" i="609"/>
  <c r="D105" i="609"/>
  <c r="AJ35" i="609"/>
  <c r="AK369" i="609"/>
  <c r="AK372" i="609"/>
  <c r="AK375" i="609"/>
  <c r="AK140" i="609"/>
  <c r="AJ259" i="609"/>
  <c r="AJ314" i="609"/>
  <c r="AJ330" i="609"/>
  <c r="AK333" i="609"/>
  <c r="AK349" i="609"/>
  <c r="AJ203" i="609"/>
  <c r="AK217" i="609"/>
  <c r="AK233" i="609"/>
  <c r="AK256" i="609"/>
  <c r="AJ275" i="609"/>
  <c r="AK278" i="609"/>
  <c r="AJ288" i="609"/>
  <c r="AK307" i="609"/>
  <c r="AK317" i="609"/>
  <c r="AK320" i="609"/>
  <c r="AK336" i="609"/>
  <c r="D280" i="609"/>
  <c r="AJ304" i="609"/>
  <c r="AK323" i="609"/>
  <c r="AK339" i="609"/>
  <c r="AK352" i="609"/>
  <c r="AK355" i="609"/>
  <c r="AK365" i="609"/>
  <c r="AK368" i="609"/>
  <c r="AK371" i="609"/>
  <c r="AK70" i="609"/>
  <c r="AK79" i="609"/>
  <c r="AK287" i="609"/>
  <c r="AJ342" i="609"/>
  <c r="AJ255" i="609"/>
  <c r="AJ284" i="609"/>
  <c r="AJ300" i="609"/>
  <c r="AJ326" i="609"/>
  <c r="AK329" i="609"/>
  <c r="AK348" i="609"/>
  <c r="AJ358" i="609"/>
  <c r="AJ374" i="609"/>
  <c r="AK351" i="609"/>
  <c r="D168" i="609"/>
  <c r="AK251" i="609"/>
  <c r="AK277" i="609"/>
  <c r="AJ286" i="609"/>
  <c r="AJ338" i="609"/>
  <c r="AJ354" i="609"/>
  <c r="AJ370" i="609"/>
  <c r="AK133" i="609"/>
  <c r="AJ147" i="609"/>
  <c r="AK257" i="609"/>
  <c r="AJ267" i="609"/>
  <c r="AK273" i="609"/>
  <c r="D294" i="609"/>
  <c r="AK309" i="609"/>
  <c r="AK325" i="609"/>
  <c r="AK328" i="609"/>
  <c r="AK341" i="609"/>
  <c r="AK344" i="609"/>
  <c r="AK347" i="609"/>
  <c r="AK357" i="609"/>
  <c r="AK360" i="609"/>
  <c r="AK363" i="609"/>
  <c r="AK376" i="609"/>
  <c r="AK231" i="609"/>
  <c r="AJ238" i="609"/>
  <c r="AK248" i="609"/>
  <c r="AK264" i="609"/>
  <c r="AK270" i="609"/>
  <c r="AK292" i="609"/>
  <c r="AK312" i="609"/>
  <c r="AK315" i="609"/>
  <c r="AK331" i="609"/>
  <c r="AK373" i="609"/>
  <c r="D36" i="609"/>
  <c r="AN37" i="609"/>
  <c r="AN44" i="609"/>
  <c r="D43" i="609"/>
  <c r="AL9" i="609"/>
  <c r="B8" i="609"/>
  <c r="AM9" i="609"/>
  <c r="C8" i="609"/>
  <c r="AN9" i="609"/>
  <c r="D8" i="609"/>
  <c r="AN101" i="609"/>
  <c r="D100" i="609"/>
  <c r="AN23" i="609"/>
  <c r="D22" i="609"/>
  <c r="D42" i="609"/>
  <c r="D134" i="609"/>
  <c r="AN135" i="609"/>
  <c r="AK78" i="609"/>
  <c r="AJ78" i="609"/>
  <c r="AK153" i="605"/>
  <c r="AJ56" i="609"/>
  <c r="AN79" i="609"/>
  <c r="D78" i="609"/>
  <c r="AK84" i="605"/>
  <c r="B7" i="609"/>
  <c r="AN186" i="609"/>
  <c r="D185" i="609"/>
  <c r="C7" i="609"/>
  <c r="AK12" i="607"/>
  <c r="AJ31" i="607"/>
  <c r="AJ33" i="607"/>
  <c r="D7" i="609"/>
  <c r="AN85" i="609"/>
  <c r="D84" i="609"/>
  <c r="AJ83" i="609"/>
  <c r="D99" i="609"/>
  <c r="AN128" i="609"/>
  <c r="D127" i="609"/>
  <c r="AN114" i="609"/>
  <c r="D113" i="609"/>
  <c r="AJ63" i="609"/>
  <c r="AN71" i="609"/>
  <c r="D70" i="609"/>
  <c r="AJ81" i="609"/>
  <c r="AN122" i="609"/>
  <c r="D121" i="609"/>
  <c r="AK28" i="607"/>
  <c r="AK98" i="605"/>
  <c r="AJ13" i="607"/>
  <c r="D21" i="609"/>
  <c r="AK91" i="609"/>
  <c r="AJ91" i="609"/>
  <c r="AN162" i="609"/>
  <c r="AJ140" i="609"/>
  <c r="AJ154" i="609"/>
  <c r="AJ82" i="609"/>
  <c r="AJ98" i="609"/>
  <c r="D112" i="609"/>
  <c r="D120" i="609"/>
  <c r="AJ126" i="609"/>
  <c r="AK175" i="609"/>
  <c r="AJ175" i="609"/>
  <c r="AN155" i="609"/>
  <c r="AN170" i="609"/>
  <c r="D169" i="609"/>
  <c r="AN176" i="609"/>
  <c r="D175" i="609"/>
  <c r="AN205" i="609"/>
  <c r="D204" i="609"/>
  <c r="AJ119" i="609"/>
  <c r="AN148" i="609"/>
  <c r="D147" i="609"/>
  <c r="AK189" i="609"/>
  <c r="AJ182" i="609"/>
  <c r="AN190" i="609"/>
  <c r="D189" i="609"/>
  <c r="D98" i="609"/>
  <c r="D106" i="609"/>
  <c r="D126" i="609"/>
  <c r="AK161" i="609"/>
  <c r="D184" i="609"/>
  <c r="D203" i="609"/>
  <c r="AN225" i="609"/>
  <c r="AJ237" i="609"/>
  <c r="AN241" i="609"/>
  <c r="D240" i="609"/>
  <c r="AN262" i="609"/>
  <c r="D261" i="609"/>
  <c r="AJ210" i="609"/>
  <c r="AN268" i="609"/>
  <c r="D267" i="609"/>
  <c r="AK235" i="609"/>
  <c r="AK241" i="609"/>
  <c r="AJ241" i="609"/>
  <c r="AK249" i="609"/>
  <c r="AJ249" i="609"/>
  <c r="AK245" i="609"/>
  <c r="AJ245" i="609"/>
  <c r="AN211" i="609"/>
  <c r="AK232" i="609"/>
  <c r="AJ233" i="609"/>
  <c r="AN254" i="609"/>
  <c r="D253" i="609"/>
  <c r="AJ217" i="609"/>
  <c r="AJ231" i="609"/>
  <c r="D239" i="609"/>
  <c r="AJ161" i="609"/>
  <c r="D183" i="609"/>
  <c r="AJ189" i="609"/>
  <c r="AN197" i="609"/>
  <c r="AJ224" i="609"/>
  <c r="AN233" i="609"/>
  <c r="D232" i="609"/>
  <c r="AK239" i="609"/>
  <c r="AJ239" i="609"/>
  <c r="D238" i="609"/>
  <c r="D266" i="609"/>
  <c r="AJ268" i="609"/>
  <c r="AN339" i="609"/>
  <c r="D338" i="609"/>
  <c r="AN345" i="609"/>
  <c r="D344" i="609"/>
  <c r="AK303" i="609"/>
  <c r="AJ303" i="609"/>
  <c r="AJ320" i="609"/>
  <c r="AJ253" i="609"/>
  <c r="AJ257" i="609"/>
  <c r="AJ261" i="609"/>
  <c r="AJ265" i="609"/>
  <c r="AJ269" i="609"/>
  <c r="AJ278" i="609"/>
  <c r="AK283" i="609"/>
  <c r="AN288" i="609"/>
  <c r="AK291" i="609"/>
  <c r="AJ291" i="609"/>
  <c r="AJ283" i="609"/>
  <c r="AJ290" i="609"/>
  <c r="AJ292" i="609"/>
  <c r="AK293" i="609"/>
  <c r="AJ293" i="609"/>
  <c r="AN316" i="609"/>
  <c r="D315" i="609"/>
  <c r="AJ274" i="609"/>
  <c r="AN282" i="609"/>
  <c r="AJ294" i="609"/>
  <c r="AK295" i="609"/>
  <c r="AJ295" i="609"/>
  <c r="AK301" i="609"/>
  <c r="AJ301" i="609"/>
  <c r="AN324" i="609"/>
  <c r="D323" i="609"/>
  <c r="AK297" i="609"/>
  <c r="AJ297" i="609"/>
  <c r="AK299" i="609"/>
  <c r="AJ299" i="609"/>
  <c r="AN302" i="609"/>
  <c r="D301" i="609"/>
  <c r="AN310" i="609"/>
  <c r="D309" i="609"/>
  <c r="AN367" i="609"/>
  <c r="D366" i="609"/>
  <c r="AN373" i="609"/>
  <c r="D372" i="609"/>
  <c r="D252" i="609"/>
  <c r="D260" i="609"/>
  <c r="AN296" i="609"/>
  <c r="D295" i="609"/>
  <c r="AN331" i="609"/>
  <c r="D330" i="609"/>
  <c r="AJ285" i="609"/>
  <c r="AJ271" i="609"/>
  <c r="AJ280" i="609"/>
  <c r="AJ243" i="609"/>
  <c r="AJ247" i="609"/>
  <c r="AJ251" i="609"/>
  <c r="AK281" i="609"/>
  <c r="AJ287" i="609"/>
  <c r="AN359" i="609"/>
  <c r="D358" i="609"/>
  <c r="AJ305" i="609"/>
  <c r="AJ309" i="609"/>
  <c r="AJ313" i="609"/>
  <c r="AJ317" i="609"/>
  <c r="AJ321" i="609"/>
  <c r="AJ325" i="609"/>
  <c r="AJ329" i="609"/>
  <c r="AJ333" i="609"/>
  <c r="AJ337" i="609"/>
  <c r="AJ341" i="609"/>
  <c r="D343" i="609"/>
  <c r="AJ345" i="609"/>
  <c r="AJ349" i="609"/>
  <c r="AJ353" i="609"/>
  <c r="AJ357" i="609"/>
  <c r="AJ361" i="609"/>
  <c r="AJ365" i="609"/>
  <c r="AJ369" i="609"/>
  <c r="D371" i="609"/>
  <c r="AJ373" i="609"/>
  <c r="AJ377" i="609"/>
  <c r="AJ307" i="609"/>
  <c r="AJ311" i="609"/>
  <c r="AJ315" i="609"/>
  <c r="AJ319" i="609"/>
  <c r="AJ323" i="609"/>
  <c r="AJ327" i="609"/>
  <c r="D329" i="609"/>
  <c r="AJ331" i="609"/>
  <c r="AJ335" i="609"/>
  <c r="D337" i="609"/>
  <c r="AJ339" i="609"/>
  <c r="AJ343" i="609"/>
  <c r="AJ347" i="609"/>
  <c r="AJ351" i="609"/>
  <c r="AJ355" i="609"/>
  <c r="D357" i="609"/>
  <c r="AJ359" i="609"/>
  <c r="AJ363" i="609"/>
  <c r="D365" i="609"/>
  <c r="AJ367" i="609"/>
  <c r="AJ371" i="609"/>
  <c r="AJ375" i="609"/>
  <c r="C26" i="608"/>
  <c r="F22" i="608"/>
  <c r="AK75" i="605"/>
  <c r="AJ15" i="607"/>
  <c r="AJ17" i="607"/>
  <c r="AK30" i="607"/>
  <c r="AK32" i="607"/>
  <c r="AK98" i="607"/>
  <c r="AK144" i="607"/>
  <c r="AJ21" i="607"/>
  <c r="AK10" i="607"/>
  <c r="AN43" i="607"/>
  <c r="AN44" i="607" s="1"/>
  <c r="D44" i="607" s="1"/>
  <c r="AK91" i="607"/>
  <c r="AK337" i="605"/>
  <c r="AK378" i="605"/>
  <c r="AK28" i="605"/>
  <c r="AK343" i="605"/>
  <c r="AK168" i="605"/>
  <c r="AJ345" i="605"/>
  <c r="AJ7" i="607"/>
  <c r="AK208" i="605"/>
  <c r="AK369" i="605"/>
  <c r="AJ210" i="605"/>
  <c r="AK119" i="607"/>
  <c r="AN64" i="607"/>
  <c r="D64" i="607" s="1"/>
  <c r="D14" i="607"/>
  <c r="D133" i="607"/>
  <c r="AN106" i="607"/>
  <c r="AN107" i="607" s="1"/>
  <c r="D107" i="607" s="1"/>
  <c r="AN92" i="607"/>
  <c r="AN93" i="607" s="1"/>
  <c r="D93" i="607" s="1"/>
  <c r="AJ9" i="607"/>
  <c r="AK20" i="607"/>
  <c r="AK140" i="607"/>
  <c r="AK14" i="607"/>
  <c r="AK77" i="607"/>
  <c r="AK143" i="607"/>
  <c r="AJ11" i="607"/>
  <c r="AK84" i="607"/>
  <c r="AK105" i="607"/>
  <c r="AK8" i="607"/>
  <c r="AK126" i="607"/>
  <c r="AK146" i="607"/>
  <c r="B6" i="607"/>
  <c r="C6" i="607"/>
  <c r="AJ19" i="607"/>
  <c r="AJ35" i="607"/>
  <c r="AK42" i="607"/>
  <c r="AK142" i="607"/>
  <c r="D56" i="607"/>
  <c r="AJ63" i="607"/>
  <c r="AK145" i="607"/>
  <c r="D28" i="607"/>
  <c r="AJ29" i="607"/>
  <c r="AK112" i="607"/>
  <c r="D119" i="607"/>
  <c r="AK133" i="607"/>
  <c r="AK34" i="607"/>
  <c r="AJ49" i="607"/>
  <c r="AK141" i="607"/>
  <c r="AK56" i="607"/>
  <c r="D77" i="607"/>
  <c r="AN9" i="607"/>
  <c r="D8" i="607"/>
  <c r="AN23" i="607"/>
  <c r="D22" i="607"/>
  <c r="AN51" i="607"/>
  <c r="D50" i="607"/>
  <c r="AN17" i="607"/>
  <c r="D16" i="607"/>
  <c r="AN37" i="607"/>
  <c r="D36" i="607"/>
  <c r="AL9" i="607"/>
  <c r="B8" i="607"/>
  <c r="AM9" i="607"/>
  <c r="C8" i="607"/>
  <c r="AN31" i="607"/>
  <c r="D30" i="607"/>
  <c r="AK206" i="605"/>
  <c r="AK323" i="605"/>
  <c r="AK325" i="605"/>
  <c r="AK9" i="607"/>
  <c r="AK13" i="607"/>
  <c r="AK17" i="607"/>
  <c r="AK21" i="607"/>
  <c r="AK29" i="607"/>
  <c r="AK33" i="607"/>
  <c r="AK49" i="607"/>
  <c r="AN58" i="607"/>
  <c r="AK346" i="605"/>
  <c r="AK385" i="605"/>
  <c r="AJ6" i="607"/>
  <c r="AN79" i="607"/>
  <c r="D78" i="607"/>
  <c r="D266" i="605"/>
  <c r="AJ335" i="605"/>
  <c r="AN100" i="607"/>
  <c r="D99" i="607"/>
  <c r="AK410" i="605"/>
  <c r="AK412" i="605"/>
  <c r="AJ77" i="607"/>
  <c r="AN142" i="607"/>
  <c r="D142" i="607" s="1"/>
  <c r="D141" i="607"/>
  <c r="D126" i="605"/>
  <c r="AK175" i="605"/>
  <c r="AJ264" i="605"/>
  <c r="AK297" i="605"/>
  <c r="AJ299" i="605"/>
  <c r="AK70" i="607"/>
  <c r="AK245" i="605"/>
  <c r="D21" i="607"/>
  <c r="D29" i="607"/>
  <c r="D49" i="607"/>
  <c r="AN71" i="607"/>
  <c r="D70" i="607"/>
  <c r="AN85" i="607"/>
  <c r="D84" i="607"/>
  <c r="AN128" i="607"/>
  <c r="D127" i="607"/>
  <c r="AN136" i="607"/>
  <c r="D135" i="607"/>
  <c r="AJ8" i="607"/>
  <c r="AJ12" i="607"/>
  <c r="AJ16" i="607"/>
  <c r="AJ20" i="607"/>
  <c r="AJ28" i="607"/>
  <c r="AJ32" i="607"/>
  <c r="AJ56" i="607"/>
  <c r="AJ215" i="605"/>
  <c r="AK282" i="605"/>
  <c r="AK234" i="605"/>
  <c r="AK294" i="605"/>
  <c r="AJ357" i="605"/>
  <c r="AK411" i="605"/>
  <c r="B7" i="607"/>
  <c r="AK263" i="605"/>
  <c r="AJ298" i="605"/>
  <c r="C7" i="607"/>
  <c r="D7" i="607"/>
  <c r="D15" i="607"/>
  <c r="D35" i="607"/>
  <c r="AN114" i="607"/>
  <c r="D113" i="607"/>
  <c r="AN122" i="607"/>
  <c r="D121" i="607"/>
  <c r="AJ70" i="607"/>
  <c r="AJ98" i="607"/>
  <c r="D112" i="607"/>
  <c r="D120" i="607"/>
  <c r="AJ126" i="607"/>
  <c r="D140" i="607"/>
  <c r="AJ142" i="607"/>
  <c r="AJ146" i="607"/>
  <c r="AJ143" i="607"/>
  <c r="AJ84" i="607"/>
  <c r="D98" i="607"/>
  <c r="AJ112" i="607"/>
  <c r="D126" i="607"/>
  <c r="D134" i="607"/>
  <c r="AJ140" i="607"/>
  <c r="AJ144" i="607"/>
  <c r="C26" i="606"/>
  <c r="AK128" i="605"/>
  <c r="D70" i="605"/>
  <c r="D84" i="605"/>
  <c r="D91" i="605"/>
  <c r="AK7" i="605"/>
  <c r="AN142" i="605"/>
  <c r="D142" i="605" s="1"/>
  <c r="D141" i="605"/>
  <c r="D21" i="605"/>
  <c r="D28" i="605"/>
  <c r="D112" i="605"/>
  <c r="AK146" i="605"/>
  <c r="AK271" i="605"/>
  <c r="AK306" i="605"/>
  <c r="AJ329" i="605"/>
  <c r="F22" i="606"/>
  <c r="AK150" i="605"/>
  <c r="AK199" i="605"/>
  <c r="AK349" i="605"/>
  <c r="AK360" i="605"/>
  <c r="AK389" i="605"/>
  <c r="AK394" i="605"/>
  <c r="AN239" i="605"/>
  <c r="D239" i="605" s="1"/>
  <c r="AJ266" i="605"/>
  <c r="AK277" i="605"/>
  <c r="AK303" i="605"/>
  <c r="AK340" i="605"/>
  <c r="AK382" i="605"/>
  <c r="AK248" i="605"/>
  <c r="AK250" i="605"/>
  <c r="AK252" i="605"/>
  <c r="AK328" i="605"/>
  <c r="AK373" i="605"/>
  <c r="AJ279" i="605"/>
  <c r="AK355" i="605"/>
  <c r="AJ375" i="605"/>
  <c r="AK415" i="605"/>
  <c r="AK127" i="605"/>
  <c r="AN225" i="605"/>
  <c r="AN226" i="605" s="1"/>
  <c r="D226" i="605" s="1"/>
  <c r="AK342" i="605"/>
  <c r="AK377" i="605"/>
  <c r="AK391" i="605"/>
  <c r="AK426" i="605"/>
  <c r="AN386" i="605"/>
  <c r="AN387" i="605" s="1"/>
  <c r="AK131" i="605"/>
  <c r="AK198" i="605"/>
  <c r="AK211" i="605"/>
  <c r="AJ274" i="605"/>
  <c r="AK300" i="605"/>
  <c r="AK361" i="605"/>
  <c r="AK395" i="605"/>
  <c r="AK425" i="605"/>
  <c r="AJ247" i="605"/>
  <c r="AK287" i="605"/>
  <c r="AN379" i="605"/>
  <c r="D379" i="605" s="1"/>
  <c r="AK383" i="605"/>
  <c r="AK390" i="605"/>
  <c r="D280" i="605"/>
  <c r="D315" i="605"/>
  <c r="AK372" i="605"/>
  <c r="AK244" i="605"/>
  <c r="AJ289" i="605"/>
  <c r="AK405" i="605"/>
  <c r="D413" i="605"/>
  <c r="AK414" i="605"/>
  <c r="AK418" i="605"/>
  <c r="AN106" i="605"/>
  <c r="AN107" i="605" s="1"/>
  <c r="D107" i="605" s="1"/>
  <c r="D42" i="605"/>
  <c r="B6" i="605"/>
  <c r="D29" i="605"/>
  <c r="D49" i="605"/>
  <c r="D119" i="605"/>
  <c r="AN162" i="605"/>
  <c r="AN163" i="605" s="1"/>
  <c r="D7" i="605"/>
  <c r="D168" i="605"/>
  <c r="AN351" i="605"/>
  <c r="AN352" i="605" s="1"/>
  <c r="AN353" i="605" s="1"/>
  <c r="D353" i="605" s="1"/>
  <c r="D273" i="605"/>
  <c r="D336" i="605"/>
  <c r="D14" i="605"/>
  <c r="D399" i="605"/>
  <c r="D275" i="605"/>
  <c r="AN276" i="605"/>
  <c r="AK319" i="605"/>
  <c r="AJ319" i="605"/>
  <c r="D295" i="605"/>
  <c r="AN296" i="605"/>
  <c r="D296" i="605" s="1"/>
  <c r="AN330" i="605"/>
  <c r="D330" i="605" s="1"/>
  <c r="D329" i="605"/>
  <c r="D134" i="605"/>
  <c r="AN135" i="605"/>
  <c r="AN136" i="605" s="1"/>
  <c r="AN137" i="605" s="1"/>
  <c r="AN197" i="605"/>
  <c r="D196" i="605"/>
  <c r="AK291" i="605"/>
  <c r="AJ291" i="605"/>
  <c r="AJ144" i="605"/>
  <c r="D154" i="605"/>
  <c r="AK167" i="605"/>
  <c r="AK196" i="605"/>
  <c r="AK283" i="605"/>
  <c r="AK130" i="605"/>
  <c r="AK151" i="605"/>
  <c r="AK154" i="605"/>
  <c r="AK201" i="605"/>
  <c r="AK204" i="605"/>
  <c r="AK226" i="605"/>
  <c r="AK285" i="605"/>
  <c r="AK403" i="605"/>
  <c r="AK409" i="605"/>
  <c r="AK232" i="605"/>
  <c r="AK332" i="605"/>
  <c r="AK358" i="605"/>
  <c r="AK397" i="605"/>
  <c r="AK400" i="605"/>
  <c r="AK406" i="605"/>
  <c r="AK420" i="605"/>
  <c r="AK423" i="605"/>
  <c r="AJ49" i="605"/>
  <c r="AJ105" i="605"/>
  <c r="AK140" i="605"/>
  <c r="AJ143" i="605"/>
  <c r="AJ241" i="605"/>
  <c r="AJ278" i="605"/>
  <c r="AJ302" i="605"/>
  <c r="AJ305" i="605"/>
  <c r="AN309" i="605"/>
  <c r="D309" i="605" s="1"/>
  <c r="AK363" i="605"/>
  <c r="AK119" i="605"/>
  <c r="AK132" i="605"/>
  <c r="AK148" i="605"/>
  <c r="AK161" i="605"/>
  <c r="AK262" i="605"/>
  <c r="AK366" i="605"/>
  <c r="AK379" i="605"/>
  <c r="AK388" i="605"/>
  <c r="AK417" i="605"/>
  <c r="AK21" i="605"/>
  <c r="AK74" i="605"/>
  <c r="AJ71" i="605"/>
  <c r="AK77" i="605"/>
  <c r="AK203" i="605"/>
  <c r="AJ225" i="605"/>
  <c r="AK258" i="605"/>
  <c r="AK293" i="605"/>
  <c r="AK296" i="605"/>
  <c r="AK321" i="605"/>
  <c r="AJ339" i="605"/>
  <c r="AN51" i="605"/>
  <c r="D51" i="605" s="1"/>
  <c r="AK91" i="605"/>
  <c r="AJ231" i="605"/>
  <c r="AJ237" i="605"/>
  <c r="AK243" i="605"/>
  <c r="AJ290" i="605"/>
  <c r="AK399" i="605"/>
  <c r="AK408" i="605"/>
  <c r="AJ331" i="605"/>
  <c r="AK396" i="605"/>
  <c r="AK402" i="605"/>
  <c r="AK419" i="605"/>
  <c r="AK422" i="605"/>
  <c r="AK142" i="605"/>
  <c r="AK147" i="605"/>
  <c r="D189" i="605"/>
  <c r="AK284" i="605"/>
  <c r="AK326" i="605"/>
  <c r="D364" i="605"/>
  <c r="AJ365" i="605"/>
  <c r="AK70" i="605"/>
  <c r="D98" i="605"/>
  <c r="D133" i="605"/>
  <c r="AK216" i="605"/>
  <c r="AJ224" i="605"/>
  <c r="AN246" i="605"/>
  <c r="AJ270" i="605"/>
  <c r="AJ307" i="605"/>
  <c r="AJ317" i="605"/>
  <c r="AJ334" i="605"/>
  <c r="AK338" i="605"/>
  <c r="AK341" i="605"/>
  <c r="AN344" i="605"/>
  <c r="D344" i="605" s="1"/>
  <c r="AJ374" i="605"/>
  <c r="AK387" i="605"/>
  <c r="AK393" i="605"/>
  <c r="AK413" i="605"/>
  <c r="AK416" i="605"/>
  <c r="AK76" i="605"/>
  <c r="D210" i="605"/>
  <c r="AJ230" i="605"/>
  <c r="AJ257" i="605"/>
  <c r="AK273" i="605"/>
  <c r="AJ281" i="605"/>
  <c r="AK371" i="605"/>
  <c r="AJ381" i="605"/>
  <c r="AJ152" i="605"/>
  <c r="AJ236" i="605"/>
  <c r="AK242" i="605"/>
  <c r="AN289" i="605"/>
  <c r="D289" i="605" s="1"/>
  <c r="AK320" i="605"/>
  <c r="D322" i="605"/>
  <c r="AK353" i="605"/>
  <c r="AK404" i="605"/>
  <c r="AK407" i="605"/>
  <c r="AJ112" i="605"/>
  <c r="AK162" i="605"/>
  <c r="AK260" i="605"/>
  <c r="D294" i="605"/>
  <c r="AK398" i="605"/>
  <c r="AK401" i="605"/>
  <c r="AK421" i="605"/>
  <c r="AK424" i="605"/>
  <c r="D15" i="605"/>
  <c r="AN16" i="605"/>
  <c r="D8" i="605"/>
  <c r="AN9" i="605"/>
  <c r="AN58" i="605"/>
  <c r="D57" i="605"/>
  <c r="AN31" i="605"/>
  <c r="D30" i="605"/>
  <c r="AK14" i="605"/>
  <c r="AN23" i="605"/>
  <c r="D56" i="605"/>
  <c r="D113" i="605"/>
  <c r="AN114" i="605"/>
  <c r="AJ7" i="605"/>
  <c r="AN100" i="605"/>
  <c r="D99" i="605"/>
  <c r="AK35" i="605"/>
  <c r="AJ35" i="605"/>
  <c r="AK72" i="605"/>
  <c r="AJ72" i="605"/>
  <c r="AM7" i="605"/>
  <c r="AL8" i="605"/>
  <c r="AJ56" i="605"/>
  <c r="D35" i="605"/>
  <c r="AN36" i="605"/>
  <c r="AK63" i="605"/>
  <c r="AN121" i="605"/>
  <c r="D120" i="605"/>
  <c r="D63" i="605"/>
  <c r="AN64" i="605"/>
  <c r="AJ21" i="605"/>
  <c r="D127" i="605"/>
  <c r="AN128" i="605"/>
  <c r="AK42" i="605"/>
  <c r="D43" i="605"/>
  <c r="AN44" i="605"/>
  <c r="AJ73" i="605"/>
  <c r="AK6" i="605"/>
  <c r="AJ42" i="605"/>
  <c r="AJ6" i="605"/>
  <c r="AK71" i="605"/>
  <c r="AK112" i="605"/>
  <c r="AK144" i="605"/>
  <c r="AN93" i="605"/>
  <c r="AN156" i="605"/>
  <c r="D155" i="605"/>
  <c r="AN191" i="605"/>
  <c r="D190" i="605"/>
  <c r="AN78" i="605"/>
  <c r="AN86" i="605"/>
  <c r="AJ140" i="605"/>
  <c r="AN72" i="605"/>
  <c r="AK141" i="605"/>
  <c r="AJ141" i="605"/>
  <c r="AK149" i="605"/>
  <c r="AN212" i="605"/>
  <c r="D211" i="605"/>
  <c r="AJ148" i="605"/>
  <c r="AJ74" i="605"/>
  <c r="AJ147" i="605"/>
  <c r="AJ163" i="605"/>
  <c r="AJ98" i="605"/>
  <c r="AJ119" i="605"/>
  <c r="AN148" i="605"/>
  <c r="D147" i="605"/>
  <c r="AJ76" i="605"/>
  <c r="AJ131" i="605"/>
  <c r="AJ132" i="605"/>
  <c r="AK133" i="605"/>
  <c r="AJ63" i="605"/>
  <c r="AJ77" i="605"/>
  <c r="AK129" i="605"/>
  <c r="AJ133" i="605"/>
  <c r="AK126" i="605"/>
  <c r="AJ126" i="605"/>
  <c r="AJ129" i="605"/>
  <c r="AK145" i="605"/>
  <c r="AJ145" i="605"/>
  <c r="AN218" i="605"/>
  <c r="D217" i="605"/>
  <c r="AK229" i="605"/>
  <c r="AJ229" i="605"/>
  <c r="AN282" i="605"/>
  <c r="D281" i="605"/>
  <c r="AJ203" i="605"/>
  <c r="AJ168" i="605"/>
  <c r="AN176" i="605"/>
  <c r="AN183" i="605"/>
  <c r="AK240" i="605"/>
  <c r="AJ240" i="605"/>
  <c r="AJ164" i="605"/>
  <c r="AJ226" i="605"/>
  <c r="AJ227" i="605"/>
  <c r="AK228" i="605"/>
  <c r="AJ205" i="605"/>
  <c r="AJ207" i="605"/>
  <c r="AJ228" i="605"/>
  <c r="D260" i="605"/>
  <c r="AN261" i="605"/>
  <c r="AN268" i="605"/>
  <c r="D267" i="605"/>
  <c r="AN204" i="605"/>
  <c r="AJ206" i="605"/>
  <c r="AK207" i="605"/>
  <c r="AK233" i="605"/>
  <c r="AJ233" i="605"/>
  <c r="AK209" i="605"/>
  <c r="AJ209" i="605"/>
  <c r="AJ239" i="605"/>
  <c r="AJ149" i="605"/>
  <c r="AJ153" i="605"/>
  <c r="AJ161" i="605"/>
  <c r="AJ165" i="605"/>
  <c r="AJ198" i="605"/>
  <c r="AJ208" i="605"/>
  <c r="D231" i="605"/>
  <c r="AN233" i="605"/>
  <c r="AK238" i="605"/>
  <c r="AJ238" i="605"/>
  <c r="AK166" i="605"/>
  <c r="AJ175" i="605"/>
  <c r="AJ211" i="605"/>
  <c r="AJ212" i="605"/>
  <c r="AJ217" i="605"/>
  <c r="AN254" i="605"/>
  <c r="D253" i="605"/>
  <c r="AJ130" i="605"/>
  <c r="D140" i="605"/>
  <c r="AJ142" i="605"/>
  <c r="AJ146" i="605"/>
  <c r="AJ150" i="605"/>
  <c r="AJ154" i="605"/>
  <c r="AJ162" i="605"/>
  <c r="AJ166" i="605"/>
  <c r="AJ200" i="605"/>
  <c r="AK214" i="605"/>
  <c r="AJ214" i="605"/>
  <c r="AN170" i="605"/>
  <c r="AK182" i="605"/>
  <c r="AJ213" i="605"/>
  <c r="AJ182" i="605"/>
  <c r="AJ202" i="605"/>
  <c r="AK224" i="605"/>
  <c r="AK236" i="605"/>
  <c r="AK249" i="605"/>
  <c r="D252" i="605"/>
  <c r="D259" i="605"/>
  <c r="AN317" i="605"/>
  <c r="D316" i="605"/>
  <c r="AJ250" i="605"/>
  <c r="AJ271" i="605"/>
  <c r="AJ251" i="605"/>
  <c r="AJ273" i="605"/>
  <c r="AK315" i="605"/>
  <c r="AJ321" i="605"/>
  <c r="AK308" i="605"/>
  <c r="AJ308" i="605"/>
  <c r="AJ275" i="605"/>
  <c r="AK276" i="605"/>
  <c r="AJ276" i="605"/>
  <c r="AJ252" i="605"/>
  <c r="AJ265" i="605"/>
  <c r="AJ277" i="605"/>
  <c r="AK278" i="605"/>
  <c r="D287" i="605"/>
  <c r="AK304" i="605"/>
  <c r="AJ304" i="605"/>
  <c r="AJ306" i="605"/>
  <c r="AN338" i="605"/>
  <c r="D337" i="605"/>
  <c r="AJ246" i="605"/>
  <c r="AJ259" i="605"/>
  <c r="AJ253" i="605"/>
  <c r="AK301" i="605"/>
  <c r="AJ301" i="605"/>
  <c r="AK280" i="605"/>
  <c r="AJ280" i="605"/>
  <c r="AJ260" i="605"/>
  <c r="AJ282" i="605"/>
  <c r="AJ235" i="605"/>
  <c r="AJ254" i="605"/>
  <c r="AJ267" i="605"/>
  <c r="AK299" i="605"/>
  <c r="AJ300" i="605"/>
  <c r="AK322" i="605"/>
  <c r="AJ322" i="605"/>
  <c r="AJ248" i="605"/>
  <c r="AJ261" i="605"/>
  <c r="AK269" i="605"/>
  <c r="AJ269" i="605"/>
  <c r="AJ283" i="605"/>
  <c r="AK286" i="605"/>
  <c r="AJ286" i="605"/>
  <c r="AK292" i="605"/>
  <c r="AJ292" i="605"/>
  <c r="AK295" i="605"/>
  <c r="AJ242" i="605"/>
  <c r="AJ255" i="605"/>
  <c r="AK268" i="605"/>
  <c r="AJ287" i="605"/>
  <c r="AJ294" i="605"/>
  <c r="AJ296" i="605"/>
  <c r="AJ297" i="605"/>
  <c r="AN302" i="605"/>
  <c r="AJ268" i="605"/>
  <c r="D274" i="605"/>
  <c r="AJ284" i="605"/>
  <c r="AK288" i="605"/>
  <c r="AN325" i="605"/>
  <c r="AJ338" i="605"/>
  <c r="AJ340" i="605"/>
  <c r="AJ341" i="605"/>
  <c r="AJ343" i="605"/>
  <c r="AK344" i="605"/>
  <c r="AJ346" i="605"/>
  <c r="AJ359" i="605"/>
  <c r="AJ361" i="605"/>
  <c r="AJ315" i="605"/>
  <c r="AJ344" i="605"/>
  <c r="AK347" i="605"/>
  <c r="AJ360" i="605"/>
  <c r="AK367" i="605"/>
  <c r="AJ347" i="605"/>
  <c r="AK350" i="605"/>
  <c r="AJ351" i="605"/>
  <c r="AK352" i="605"/>
  <c r="AK356" i="605"/>
  <c r="AJ356" i="605"/>
  <c r="AJ358" i="605"/>
  <c r="AJ349" i="605"/>
  <c r="AJ350" i="605"/>
  <c r="AJ352" i="605"/>
  <c r="AJ353" i="605"/>
  <c r="AJ354" i="605"/>
  <c r="AN359" i="605"/>
  <c r="AK272" i="605"/>
  <c r="AJ295" i="605"/>
  <c r="D323" i="605"/>
  <c r="AJ355" i="605"/>
  <c r="AJ366" i="605"/>
  <c r="AK318" i="605"/>
  <c r="D365" i="605"/>
  <c r="AN366" i="605"/>
  <c r="AK364" i="605"/>
  <c r="AJ364" i="605"/>
  <c r="AK324" i="605"/>
  <c r="AJ324" i="605"/>
  <c r="AK370" i="605"/>
  <c r="AJ370" i="605"/>
  <c r="AJ323" i="605"/>
  <c r="AJ325" i="605"/>
  <c r="D357" i="605"/>
  <c r="AJ363" i="605"/>
  <c r="AJ326" i="605"/>
  <c r="AK327" i="605"/>
  <c r="AJ327" i="605"/>
  <c r="AK333" i="605"/>
  <c r="AJ333" i="605"/>
  <c r="AK362" i="605"/>
  <c r="AJ330" i="605"/>
  <c r="AK330" i="605"/>
  <c r="AK348" i="605"/>
  <c r="AK359" i="605"/>
  <c r="AK365" i="605"/>
  <c r="AN393" i="605"/>
  <c r="D392" i="605"/>
  <c r="AJ385" i="605"/>
  <c r="AJ389" i="605"/>
  <c r="AJ372" i="605"/>
  <c r="AJ378" i="605"/>
  <c r="AK386" i="605"/>
  <c r="AJ386" i="605"/>
  <c r="AJ397" i="605"/>
  <c r="AJ387" i="605"/>
  <c r="AJ367" i="605"/>
  <c r="AJ373" i="605"/>
  <c r="AJ379" i="605"/>
  <c r="AN372" i="605"/>
  <c r="AK380" i="605"/>
  <c r="AN408" i="605"/>
  <c r="D407" i="605"/>
  <c r="AN422" i="605"/>
  <c r="D422" i="605" s="1"/>
  <c r="D421" i="605"/>
  <c r="AJ362" i="605"/>
  <c r="AK368" i="605"/>
  <c r="AJ380" i="605"/>
  <c r="AK316" i="605"/>
  <c r="AJ368" i="605"/>
  <c r="AJ395" i="605"/>
  <c r="AJ401" i="605"/>
  <c r="AN416" i="605"/>
  <c r="D415" i="605"/>
  <c r="AN401" i="605"/>
  <c r="D400" i="605"/>
  <c r="AJ382" i="605"/>
  <c r="AK376" i="605"/>
  <c r="AK392" i="605"/>
  <c r="AJ393" i="605"/>
  <c r="AJ399" i="605"/>
  <c r="AJ376" i="605"/>
  <c r="AJ383" i="605"/>
  <c r="AK336" i="605"/>
  <c r="AK384" i="605"/>
  <c r="AJ409" i="605"/>
  <c r="AJ413" i="605"/>
  <c r="AJ417" i="605"/>
  <c r="AJ421" i="605"/>
  <c r="AJ390" i="605"/>
  <c r="AJ394" i="605"/>
  <c r="AJ398" i="605"/>
  <c r="AJ402" i="605"/>
  <c r="AJ406" i="605"/>
  <c r="AJ410" i="605"/>
  <c r="AJ414" i="605"/>
  <c r="AJ418" i="605"/>
  <c r="D420" i="605"/>
  <c r="AJ422" i="605"/>
  <c r="AJ426" i="605"/>
  <c r="AJ411" i="605"/>
  <c r="AJ415" i="605"/>
  <c r="AJ419" i="605"/>
  <c r="AJ423" i="605"/>
  <c r="AJ388" i="605"/>
  <c r="AJ392" i="605"/>
  <c r="AJ396" i="605"/>
  <c r="AJ400" i="605"/>
  <c r="AJ404" i="605"/>
  <c r="D406" i="605"/>
  <c r="AJ408" i="605"/>
  <c r="AJ412" i="605"/>
  <c r="D414" i="605"/>
  <c r="AJ416" i="605"/>
  <c r="AJ420" i="605"/>
  <c r="AJ424" i="605"/>
  <c r="D23" i="614"/>
  <c r="D25" i="614"/>
  <c r="C51" i="614"/>
  <c r="C53" i="614"/>
  <c r="D51" i="614"/>
  <c r="C23" i="614"/>
  <c r="D53" i="614"/>
  <c r="E51" i="614"/>
  <c r="C53" i="612"/>
  <c r="D51" i="612"/>
  <c r="D53" i="612"/>
  <c r="E51" i="612"/>
  <c r="C23" i="612"/>
  <c r="D23" i="612"/>
  <c r="D25" i="612"/>
  <c r="C51" i="612"/>
  <c r="E53" i="612"/>
  <c r="D23" i="610"/>
  <c r="D25" i="610"/>
  <c r="C51" i="610"/>
  <c r="C53" i="610"/>
  <c r="D51" i="610"/>
  <c r="C23" i="610"/>
  <c r="D53" i="610"/>
  <c r="E51" i="610"/>
  <c r="E53" i="610"/>
  <c r="D53" i="608"/>
  <c r="C23" i="608"/>
  <c r="D51" i="608"/>
  <c r="E25" i="608"/>
  <c r="D23" i="608"/>
  <c r="D25" i="608"/>
  <c r="C51" i="608"/>
  <c r="C53" i="608"/>
  <c r="D23" i="606"/>
  <c r="D25" i="606"/>
  <c r="C51" i="606"/>
  <c r="C53" i="606"/>
  <c r="D51" i="606"/>
  <c r="D53" i="606"/>
  <c r="E51" i="606"/>
  <c r="C23" i="606"/>
  <c r="E431" i="611" l="1"/>
  <c r="D127" i="613"/>
  <c r="AO70" i="611"/>
  <c r="AO71" i="611" s="1"/>
  <c r="AN65" i="607"/>
  <c r="D92" i="613"/>
  <c r="AN23" i="613"/>
  <c r="C24" i="614"/>
  <c r="D24" i="614" s="1"/>
  <c r="C54" i="614"/>
  <c r="C52" i="614"/>
  <c r="D52" i="614" s="1"/>
  <c r="E52" i="614" s="1"/>
  <c r="G22" i="614"/>
  <c r="D26" i="614"/>
  <c r="E304" i="611"/>
  <c r="AO187" i="611"/>
  <c r="E187" i="611" s="1"/>
  <c r="E108" i="611"/>
  <c r="D36" i="613"/>
  <c r="AN37" i="613"/>
  <c r="E75" i="611"/>
  <c r="D93" i="613"/>
  <c r="AO35" i="611"/>
  <c r="E35" i="611" s="1"/>
  <c r="E278" i="611"/>
  <c r="AO145" i="611"/>
  <c r="E145" i="611" s="1"/>
  <c r="AO193" i="611"/>
  <c r="E193" i="611" s="1"/>
  <c r="E417" i="611"/>
  <c r="AO121" i="611"/>
  <c r="E121" i="611" s="1"/>
  <c r="D65" i="613"/>
  <c r="E335" i="611"/>
  <c r="E33" i="611"/>
  <c r="D64" i="613"/>
  <c r="D120" i="613"/>
  <c r="AN121" i="613"/>
  <c r="AN59" i="613"/>
  <c r="D58" i="613"/>
  <c r="AN135" i="613"/>
  <c r="D134" i="613"/>
  <c r="AN31" i="613"/>
  <c r="D30" i="613"/>
  <c r="AN129" i="613"/>
  <c r="D128" i="613"/>
  <c r="D51" i="613"/>
  <c r="AN52" i="613"/>
  <c r="AN95" i="613"/>
  <c r="D94" i="613"/>
  <c r="AN87" i="613"/>
  <c r="D86" i="613"/>
  <c r="D23" i="613"/>
  <c r="AN24" i="613"/>
  <c r="D17" i="613"/>
  <c r="AN18" i="613"/>
  <c r="AO77" i="611"/>
  <c r="E77" i="611" s="1"/>
  <c r="AN115" i="613"/>
  <c r="D114" i="613"/>
  <c r="AN73" i="613"/>
  <c r="D72" i="613"/>
  <c r="AM9" i="613"/>
  <c r="C8" i="613"/>
  <c r="AN186" i="613"/>
  <c r="D185" i="613"/>
  <c r="AN158" i="613"/>
  <c r="D157" i="613"/>
  <c r="AN178" i="613"/>
  <c r="D177" i="613"/>
  <c r="AN143" i="613"/>
  <c r="D142" i="613"/>
  <c r="AL9" i="613"/>
  <c r="B8" i="613"/>
  <c r="AN172" i="613"/>
  <c r="D171" i="613"/>
  <c r="AN164" i="613"/>
  <c r="D163" i="613"/>
  <c r="AN10" i="613"/>
  <c r="D9" i="613"/>
  <c r="E375" i="611"/>
  <c r="AO243" i="611"/>
  <c r="AO244" i="611" s="1"/>
  <c r="E96" i="611"/>
  <c r="D106" i="613"/>
  <c r="AN107" i="613"/>
  <c r="AN67" i="613"/>
  <c r="D66" i="613"/>
  <c r="AN101" i="613"/>
  <c r="D100" i="613"/>
  <c r="AN80" i="613"/>
  <c r="D79" i="613"/>
  <c r="AN150" i="613"/>
  <c r="D149" i="613"/>
  <c r="AN46" i="613"/>
  <c r="D45" i="613"/>
  <c r="AO83" i="611"/>
  <c r="AO84" i="611" s="1"/>
  <c r="AO85" i="611" s="1"/>
  <c r="E85" i="611" s="1"/>
  <c r="D65" i="609"/>
  <c r="AO299" i="611"/>
  <c r="E299" i="611" s="1"/>
  <c r="E334" i="611"/>
  <c r="E418" i="611"/>
  <c r="D51" i="609"/>
  <c r="D386" i="605"/>
  <c r="E189" i="611"/>
  <c r="E68" i="611"/>
  <c r="AO215" i="611"/>
  <c r="AO216" i="611" s="1"/>
  <c r="C12" i="611"/>
  <c r="AO264" i="611"/>
  <c r="AO265" i="611" s="1"/>
  <c r="C52" i="612"/>
  <c r="D52" i="612" s="1"/>
  <c r="E52" i="612" s="1"/>
  <c r="C24" i="612"/>
  <c r="D24" i="612" s="1"/>
  <c r="C54" i="612"/>
  <c r="AL9" i="611"/>
  <c r="AL10" i="611" s="1"/>
  <c r="AL11" i="611" s="1"/>
  <c r="G22" i="612"/>
  <c r="AN14" i="611"/>
  <c r="D14" i="611" s="1"/>
  <c r="AO90" i="611"/>
  <c r="E90" i="611" s="1"/>
  <c r="D26" i="612"/>
  <c r="AN93" i="609"/>
  <c r="AN94" i="609" s="1"/>
  <c r="D219" i="609"/>
  <c r="C445" i="611"/>
  <c r="E156" i="611"/>
  <c r="AO327" i="611"/>
  <c r="E326" i="611"/>
  <c r="AN327" i="611"/>
  <c r="AN328" i="611" s="1"/>
  <c r="AO106" i="611"/>
  <c r="E106" i="611" s="1"/>
  <c r="E129" i="611"/>
  <c r="AO118" i="611"/>
  <c r="E118" i="611" s="1"/>
  <c r="E117" i="611"/>
  <c r="D50" i="609"/>
  <c r="AO319" i="611"/>
  <c r="E318" i="611"/>
  <c r="E168" i="611"/>
  <c r="AO237" i="611"/>
  <c r="E236" i="611"/>
  <c r="C13" i="611"/>
  <c r="AM14" i="611"/>
  <c r="E368" i="611"/>
  <c r="AO369" i="611"/>
  <c r="E195" i="611"/>
  <c r="AO196" i="611"/>
  <c r="E196" i="611" s="1"/>
  <c r="AO127" i="611"/>
  <c r="E127" i="611" s="1"/>
  <c r="E126" i="611"/>
  <c r="AO412" i="611"/>
  <c r="E411" i="611"/>
  <c r="AO420" i="611"/>
  <c r="E419" i="611"/>
  <c r="E336" i="611"/>
  <c r="AO337" i="611"/>
  <c r="E198" i="611"/>
  <c r="AO199" i="611"/>
  <c r="E199" i="611" s="1"/>
  <c r="C7" i="611"/>
  <c r="AM8" i="611"/>
  <c r="E362" i="611"/>
  <c r="AO363" i="611"/>
  <c r="C17" i="611"/>
  <c r="AM18" i="611"/>
  <c r="AO62" i="611"/>
  <c r="E61" i="611"/>
  <c r="E19" i="611"/>
  <c r="AO20" i="611"/>
  <c r="AO383" i="611"/>
  <c r="E382" i="611"/>
  <c r="E305" i="611"/>
  <c r="AO306" i="611"/>
  <c r="AO229" i="611"/>
  <c r="E228" i="611"/>
  <c r="AO205" i="611"/>
  <c r="E205" i="611" s="1"/>
  <c r="E204" i="611"/>
  <c r="AN440" i="611"/>
  <c r="D440" i="611" s="1"/>
  <c r="D439" i="611"/>
  <c r="AO115" i="611"/>
  <c r="E115" i="611" s="1"/>
  <c r="E114" i="611"/>
  <c r="E47" i="611"/>
  <c r="AO48" i="611"/>
  <c r="E348" i="611"/>
  <c r="AO349" i="611"/>
  <c r="AO434" i="611"/>
  <c r="E433" i="611"/>
  <c r="AO342" i="611"/>
  <c r="E341" i="611"/>
  <c r="AO252" i="611"/>
  <c r="E251" i="611"/>
  <c r="D9" i="611"/>
  <c r="AN10" i="611"/>
  <c r="AO406" i="611"/>
  <c r="E405" i="611"/>
  <c r="AO302" i="611"/>
  <c r="E302" i="611" s="1"/>
  <c r="E301" i="611"/>
  <c r="E270" i="611"/>
  <c r="AO271" i="611"/>
  <c r="AO355" i="611"/>
  <c r="E354" i="611"/>
  <c r="AO398" i="611"/>
  <c r="E397" i="611"/>
  <c r="AO142" i="611"/>
  <c r="E142" i="611" s="1"/>
  <c r="E141" i="611"/>
  <c r="AO209" i="611"/>
  <c r="E208" i="611"/>
  <c r="E26" i="611"/>
  <c r="AO27" i="611"/>
  <c r="AO426" i="611"/>
  <c r="E425" i="611"/>
  <c r="E279" i="611"/>
  <c r="AO280" i="611"/>
  <c r="AO224" i="611"/>
  <c r="E223" i="611"/>
  <c r="AO55" i="611"/>
  <c r="E54" i="611"/>
  <c r="AO393" i="611"/>
  <c r="E392" i="611"/>
  <c r="E42" i="611"/>
  <c r="AO43" i="611"/>
  <c r="AO377" i="611"/>
  <c r="E376" i="611"/>
  <c r="E286" i="611"/>
  <c r="AO287" i="611"/>
  <c r="E291" i="611"/>
  <c r="AO292" i="611"/>
  <c r="AO312" i="611"/>
  <c r="E311" i="611"/>
  <c r="E257" i="611"/>
  <c r="AO258" i="611"/>
  <c r="E111" i="611"/>
  <c r="AO112" i="611"/>
  <c r="E112" i="611" s="1"/>
  <c r="D18" i="611"/>
  <c r="AN19" i="611"/>
  <c r="D30" i="609"/>
  <c r="D246" i="609"/>
  <c r="D351" i="609"/>
  <c r="AN275" i="609"/>
  <c r="D275" i="609" s="1"/>
  <c r="D247" i="609"/>
  <c r="D57" i="609"/>
  <c r="D352" i="609"/>
  <c r="D29" i="609"/>
  <c r="C24" i="610"/>
  <c r="D24" i="610" s="1"/>
  <c r="C54" i="610"/>
  <c r="C52" i="610"/>
  <c r="D52" i="610" s="1"/>
  <c r="E52" i="610" s="1"/>
  <c r="AN60" i="609"/>
  <c r="AN61" i="609" s="1"/>
  <c r="D59" i="609"/>
  <c r="G22" i="610"/>
  <c r="D141" i="609"/>
  <c r="AN142" i="609"/>
  <c r="D26" i="610"/>
  <c r="D218" i="609"/>
  <c r="D58" i="609"/>
  <c r="D16" i="609"/>
  <c r="D108" i="609"/>
  <c r="D106" i="605"/>
  <c r="D15" i="609"/>
  <c r="AN374" i="609"/>
  <c r="D373" i="609"/>
  <c r="AN255" i="609"/>
  <c r="D254" i="609"/>
  <c r="D225" i="609"/>
  <c r="AN226" i="609"/>
  <c r="D205" i="609"/>
  <c r="AN206" i="609"/>
  <c r="D79" i="609"/>
  <c r="AN80" i="609"/>
  <c r="D52" i="609"/>
  <c r="AN53" i="609"/>
  <c r="AN368" i="609"/>
  <c r="D367" i="609"/>
  <c r="D282" i="609"/>
  <c r="AN283" i="609"/>
  <c r="AN269" i="609"/>
  <c r="D268" i="609"/>
  <c r="AN129" i="609"/>
  <c r="D128" i="609"/>
  <c r="AN234" i="609"/>
  <c r="D233" i="609"/>
  <c r="AN10" i="609"/>
  <c r="D9" i="609"/>
  <c r="D310" i="609"/>
  <c r="AN311" i="609"/>
  <c r="AN354" i="609"/>
  <c r="D353" i="609"/>
  <c r="AN317" i="609"/>
  <c r="D316" i="609"/>
  <c r="D176" i="609"/>
  <c r="AN177" i="609"/>
  <c r="AN123" i="609"/>
  <c r="D122" i="609"/>
  <c r="D85" i="609"/>
  <c r="AN86" i="609"/>
  <c r="D135" i="609"/>
  <c r="AN136" i="609"/>
  <c r="AM10" i="609"/>
  <c r="C9" i="609"/>
  <c r="D302" i="609"/>
  <c r="AN303" i="609"/>
  <c r="AN212" i="609"/>
  <c r="D211" i="609"/>
  <c r="AN149" i="609"/>
  <c r="D148" i="609"/>
  <c r="AN187" i="609"/>
  <c r="D186" i="609"/>
  <c r="AN163" i="609"/>
  <c r="D162" i="609"/>
  <c r="AN110" i="609"/>
  <c r="D109" i="609"/>
  <c r="AL10" i="609"/>
  <c r="B9" i="609"/>
  <c r="AN346" i="609"/>
  <c r="D345" i="609"/>
  <c r="AN249" i="609"/>
  <c r="D248" i="609"/>
  <c r="D93" i="609"/>
  <c r="D44" i="609"/>
  <c r="AN45" i="609"/>
  <c r="AN332" i="609"/>
  <c r="D331" i="609"/>
  <c r="AN340" i="609"/>
  <c r="D339" i="609"/>
  <c r="AN263" i="609"/>
  <c r="D262" i="609"/>
  <c r="D170" i="609"/>
  <c r="AN171" i="609"/>
  <c r="AN67" i="609"/>
  <c r="D66" i="609"/>
  <c r="D31" i="609"/>
  <c r="AN32" i="609"/>
  <c r="AN297" i="609"/>
  <c r="D296" i="609"/>
  <c r="AN325" i="609"/>
  <c r="D324" i="609"/>
  <c r="AN191" i="609"/>
  <c r="D190" i="609"/>
  <c r="AN72" i="609"/>
  <c r="D71" i="609"/>
  <c r="D37" i="609"/>
  <c r="AN38" i="609"/>
  <c r="AN360" i="609"/>
  <c r="D359" i="609"/>
  <c r="D288" i="609"/>
  <c r="AN289" i="609"/>
  <c r="AN198" i="609"/>
  <c r="D197" i="609"/>
  <c r="AN242" i="609"/>
  <c r="D241" i="609"/>
  <c r="AN156" i="609"/>
  <c r="D155" i="609"/>
  <c r="AN221" i="609"/>
  <c r="D220" i="609"/>
  <c r="AN24" i="609"/>
  <c r="D23" i="609"/>
  <c r="AN115" i="609"/>
  <c r="D114" i="609"/>
  <c r="AN102" i="609"/>
  <c r="D101" i="609"/>
  <c r="AN18" i="609"/>
  <c r="D17" i="609"/>
  <c r="AN94" i="607"/>
  <c r="AN95" i="607" s="1"/>
  <c r="D92" i="607"/>
  <c r="D43" i="607"/>
  <c r="C54" i="608"/>
  <c r="C52" i="608"/>
  <c r="D52" i="608" s="1"/>
  <c r="C24" i="608"/>
  <c r="D24" i="608" s="1"/>
  <c r="D106" i="607"/>
  <c r="AN108" i="607"/>
  <c r="AN109" i="607" s="1"/>
  <c r="AN45" i="607"/>
  <c r="AN46" i="607" s="1"/>
  <c r="G22" i="608"/>
  <c r="D26" i="608"/>
  <c r="AN331" i="605"/>
  <c r="AN332" i="605" s="1"/>
  <c r="AN123" i="607"/>
  <c r="D122" i="607"/>
  <c r="AN129" i="607"/>
  <c r="D128" i="607"/>
  <c r="D58" i="607"/>
  <c r="AN59" i="607"/>
  <c r="AM10" i="607"/>
  <c r="C9" i="607"/>
  <c r="AN115" i="607"/>
  <c r="D114" i="607"/>
  <c r="AL10" i="607"/>
  <c r="B9" i="607"/>
  <c r="AN101" i="607"/>
  <c r="D100" i="607"/>
  <c r="AN38" i="607"/>
  <c r="D37" i="607"/>
  <c r="AN108" i="605"/>
  <c r="D108" i="605" s="1"/>
  <c r="AN18" i="607"/>
  <c r="D17" i="607"/>
  <c r="AN86" i="607"/>
  <c r="D85" i="607"/>
  <c r="AN80" i="607"/>
  <c r="D79" i="607"/>
  <c r="AN52" i="607"/>
  <c r="D51" i="607"/>
  <c r="D71" i="607"/>
  <c r="AN72" i="607"/>
  <c r="AN24" i="607"/>
  <c r="D23" i="607"/>
  <c r="AN137" i="607"/>
  <c r="D136" i="607"/>
  <c r="D65" i="607"/>
  <c r="AN66" i="607"/>
  <c r="AN32" i="607"/>
  <c r="D31" i="607"/>
  <c r="AN10" i="607"/>
  <c r="D9" i="607"/>
  <c r="AN227" i="605"/>
  <c r="AN228" i="605" s="1"/>
  <c r="AN380" i="605"/>
  <c r="AN381" i="605" s="1"/>
  <c r="AN240" i="605"/>
  <c r="AN241" i="605" s="1"/>
  <c r="AN310" i="605"/>
  <c r="AN311" i="605" s="1"/>
  <c r="D225" i="605"/>
  <c r="D162" i="605"/>
  <c r="D351" i="605"/>
  <c r="AN143" i="605"/>
  <c r="AN144" i="605" s="1"/>
  <c r="C24" i="606"/>
  <c r="D24" i="606" s="1"/>
  <c r="C54" i="606"/>
  <c r="C52" i="606"/>
  <c r="D52" i="606" s="1"/>
  <c r="E52" i="606" s="1"/>
  <c r="G22" i="606"/>
  <c r="D26" i="606"/>
  <c r="D136" i="605"/>
  <c r="AN290" i="605"/>
  <c r="AN291" i="605" s="1"/>
  <c r="AN345" i="605"/>
  <c r="D345" i="605" s="1"/>
  <c r="AN354" i="605"/>
  <c r="AN355" i="605" s="1"/>
  <c r="D135" i="605"/>
  <c r="D352" i="605"/>
  <c r="AN52" i="605"/>
  <c r="D52" i="605" s="1"/>
  <c r="AN247" i="605"/>
  <c r="D246" i="605"/>
  <c r="AN277" i="605"/>
  <c r="D276" i="605"/>
  <c r="AN297" i="605"/>
  <c r="D297" i="605" s="1"/>
  <c r="AN198" i="605"/>
  <c r="D197" i="605"/>
  <c r="AN367" i="605"/>
  <c r="D366" i="605"/>
  <c r="D338" i="605"/>
  <c r="AN339" i="605"/>
  <c r="AN149" i="605"/>
  <c r="D148" i="605"/>
  <c r="AN219" i="605"/>
  <c r="D218" i="605"/>
  <c r="D86" i="605"/>
  <c r="AN87" i="605"/>
  <c r="D268" i="605"/>
  <c r="AN269" i="605"/>
  <c r="D78" i="605"/>
  <c r="AN79" i="605"/>
  <c r="AN24" i="605"/>
  <c r="D23" i="605"/>
  <c r="D261" i="605"/>
  <c r="AN262" i="605"/>
  <c r="AN184" i="605"/>
  <c r="D183" i="605"/>
  <c r="AN45" i="605"/>
  <c r="D44" i="605"/>
  <c r="AN65" i="605"/>
  <c r="D64" i="605"/>
  <c r="AN326" i="605"/>
  <c r="D325" i="605"/>
  <c r="D176" i="605"/>
  <c r="AN177" i="605"/>
  <c r="AN164" i="605"/>
  <c r="D163" i="605"/>
  <c r="D191" i="605"/>
  <c r="AN192" i="605"/>
  <c r="D36" i="605"/>
  <c r="AN37" i="605"/>
  <c r="B8" i="605"/>
  <c r="AL9" i="605"/>
  <c r="D233" i="605"/>
  <c r="AN234" i="605"/>
  <c r="AN138" i="605"/>
  <c r="D137" i="605"/>
  <c r="C7" i="605"/>
  <c r="AM8" i="605"/>
  <c r="AN409" i="605"/>
  <c r="D408" i="605"/>
  <c r="D170" i="605"/>
  <c r="AN171" i="605"/>
  <c r="AN157" i="605"/>
  <c r="D156" i="605"/>
  <c r="AN394" i="605"/>
  <c r="D393" i="605"/>
  <c r="D317" i="605"/>
  <c r="AN318" i="605"/>
  <c r="AN32" i="605"/>
  <c r="D31" i="605"/>
  <c r="AN402" i="605"/>
  <c r="D401" i="605"/>
  <c r="AN373" i="605"/>
  <c r="D372" i="605"/>
  <c r="D359" i="605"/>
  <c r="AN360" i="605"/>
  <c r="AN303" i="605"/>
  <c r="D302" i="605"/>
  <c r="AN213" i="605"/>
  <c r="D212" i="605"/>
  <c r="AN122" i="605"/>
  <c r="D121" i="605"/>
  <c r="AN59" i="605"/>
  <c r="D58" i="605"/>
  <c r="AN417" i="605"/>
  <c r="D416" i="605"/>
  <c r="D387" i="605"/>
  <c r="AN388" i="605"/>
  <c r="D93" i="605"/>
  <c r="AN94" i="605"/>
  <c r="D100" i="605"/>
  <c r="AN101" i="605"/>
  <c r="D9" i="605"/>
  <c r="AN10" i="605"/>
  <c r="D254" i="605"/>
  <c r="AN255" i="605"/>
  <c r="AN129" i="605"/>
  <c r="D128" i="605"/>
  <c r="D114" i="605"/>
  <c r="AN115" i="605"/>
  <c r="D282" i="605"/>
  <c r="AN283" i="605"/>
  <c r="D16" i="605"/>
  <c r="AN17" i="605"/>
  <c r="D204" i="605"/>
  <c r="AN205" i="605"/>
  <c r="D72" i="605"/>
  <c r="AN73" i="605"/>
  <c r="F51" i="614"/>
  <c r="F25" i="614"/>
  <c r="E25" i="614"/>
  <c r="E23" i="614"/>
  <c r="E53" i="614"/>
  <c r="F23" i="614"/>
  <c r="F53" i="612"/>
  <c r="F51" i="612"/>
  <c r="F25" i="612"/>
  <c r="F23" i="612"/>
  <c r="E25" i="612"/>
  <c r="E23" i="612"/>
  <c r="F53" i="610"/>
  <c r="F51" i="610"/>
  <c r="F25" i="610"/>
  <c r="F23" i="610"/>
  <c r="E25" i="610"/>
  <c r="E23" i="610"/>
  <c r="F25" i="608"/>
  <c r="F23" i="608"/>
  <c r="E23" i="608"/>
  <c r="E51" i="608"/>
  <c r="E53" i="608"/>
  <c r="F51" i="606"/>
  <c r="E53" i="606"/>
  <c r="E25" i="606"/>
  <c r="E23" i="606"/>
  <c r="F25" i="606"/>
  <c r="E70" i="611" l="1"/>
  <c r="C27" i="614"/>
  <c r="AO36" i="611"/>
  <c r="AO78" i="611"/>
  <c r="AO79" i="611" s="1"/>
  <c r="E26" i="614"/>
  <c r="D27" i="614"/>
  <c r="H22" i="614"/>
  <c r="F52" i="614"/>
  <c r="D54" i="614"/>
  <c r="C55" i="614"/>
  <c r="E24" i="614"/>
  <c r="F24" i="614" s="1"/>
  <c r="AN38" i="613"/>
  <c r="D37" i="613"/>
  <c r="E264" i="611"/>
  <c r="E243" i="611"/>
  <c r="AO86" i="611"/>
  <c r="AO87" i="611" s="1"/>
  <c r="E87" i="611" s="1"/>
  <c r="AO91" i="611"/>
  <c r="AO92" i="611" s="1"/>
  <c r="AO93" i="611" s="1"/>
  <c r="B9" i="611"/>
  <c r="AN108" i="613"/>
  <c r="D107" i="613"/>
  <c r="AN179" i="613"/>
  <c r="D178" i="613"/>
  <c r="AN88" i="613"/>
  <c r="D87" i="613"/>
  <c r="AN159" i="613"/>
  <c r="D158" i="613"/>
  <c r="AN96" i="613"/>
  <c r="D95" i="613"/>
  <c r="AN187" i="613"/>
  <c r="D186" i="613"/>
  <c r="AN53" i="613"/>
  <c r="D52" i="613"/>
  <c r="AN47" i="613"/>
  <c r="D46" i="613"/>
  <c r="E83" i="611"/>
  <c r="AN11" i="613"/>
  <c r="D10" i="613"/>
  <c r="AM10" i="613"/>
  <c r="C9" i="613"/>
  <c r="AN151" i="613"/>
  <c r="D150" i="613"/>
  <c r="AN130" i="613"/>
  <c r="D129" i="613"/>
  <c r="AN165" i="613"/>
  <c r="D164" i="613"/>
  <c r="AN74" i="613"/>
  <c r="D73" i="613"/>
  <c r="AN81" i="613"/>
  <c r="D80" i="613"/>
  <c r="D31" i="613"/>
  <c r="AN32" i="613"/>
  <c r="E84" i="611"/>
  <c r="AN173" i="613"/>
  <c r="D172" i="613"/>
  <c r="AN116" i="613"/>
  <c r="D115" i="613"/>
  <c r="AN102" i="613"/>
  <c r="D101" i="613"/>
  <c r="AN136" i="613"/>
  <c r="D135" i="613"/>
  <c r="AL10" i="613"/>
  <c r="B9" i="613"/>
  <c r="AN19" i="613"/>
  <c r="D18" i="613"/>
  <c r="AN60" i="613"/>
  <c r="D59" i="613"/>
  <c r="AN144" i="613"/>
  <c r="D143" i="613"/>
  <c r="AN25" i="613"/>
  <c r="D24" i="613"/>
  <c r="AN122" i="613"/>
  <c r="D121" i="613"/>
  <c r="AN68" i="613"/>
  <c r="D67" i="613"/>
  <c r="D327" i="611"/>
  <c r="AN15" i="611"/>
  <c r="E215" i="611"/>
  <c r="C27" i="612"/>
  <c r="D60" i="609"/>
  <c r="E26" i="612"/>
  <c r="D27" i="612"/>
  <c r="H22" i="612"/>
  <c r="D54" i="612"/>
  <c r="C55" i="612"/>
  <c r="E24" i="612"/>
  <c r="F24" i="612" s="1"/>
  <c r="F52" i="612"/>
  <c r="AO328" i="611"/>
  <c r="E327" i="611"/>
  <c r="D331" i="605"/>
  <c r="AO320" i="611"/>
  <c r="E319" i="611"/>
  <c r="AN276" i="609"/>
  <c r="AN277" i="609" s="1"/>
  <c r="E265" i="611"/>
  <c r="AO266" i="611"/>
  <c r="AM19" i="611"/>
  <c r="C18" i="611"/>
  <c r="AO217" i="611"/>
  <c r="E216" i="611"/>
  <c r="AO56" i="611"/>
  <c r="E55" i="611"/>
  <c r="AO399" i="611"/>
  <c r="E398" i="611"/>
  <c r="AO343" i="611"/>
  <c r="E342" i="611"/>
  <c r="AO245" i="611"/>
  <c r="E244" i="611"/>
  <c r="E287" i="611"/>
  <c r="AO288" i="611"/>
  <c r="AO364" i="611"/>
  <c r="E363" i="611"/>
  <c r="AO225" i="611"/>
  <c r="E224" i="611"/>
  <c r="AO356" i="611"/>
  <c r="E355" i="611"/>
  <c r="AO435" i="611"/>
  <c r="E434" i="611"/>
  <c r="AO230" i="611"/>
  <c r="E229" i="611"/>
  <c r="D19" i="611"/>
  <c r="AN20" i="611"/>
  <c r="E280" i="611"/>
  <c r="AO281" i="611"/>
  <c r="E271" i="611"/>
  <c r="AO272" i="611"/>
  <c r="AO350" i="611"/>
  <c r="E349" i="611"/>
  <c r="E306" i="611"/>
  <c r="AO307" i="611"/>
  <c r="AM9" i="611"/>
  <c r="C8" i="611"/>
  <c r="AO378" i="611"/>
  <c r="E377" i="611"/>
  <c r="AO370" i="611"/>
  <c r="E369" i="611"/>
  <c r="AL12" i="611"/>
  <c r="B11" i="611"/>
  <c r="AO427" i="611"/>
  <c r="E426" i="611"/>
  <c r="AO72" i="611"/>
  <c r="E71" i="611"/>
  <c r="AO384" i="611"/>
  <c r="E383" i="611"/>
  <c r="E258" i="611"/>
  <c r="AO259" i="611"/>
  <c r="E43" i="611"/>
  <c r="AO44" i="611"/>
  <c r="E27" i="611"/>
  <c r="AO28" i="611"/>
  <c r="E48" i="611"/>
  <c r="AO49" i="611"/>
  <c r="E20" i="611"/>
  <c r="AO21" i="611"/>
  <c r="AO338" i="611"/>
  <c r="E338" i="611" s="1"/>
  <c r="E337" i="611"/>
  <c r="AM15" i="611"/>
  <c r="C14" i="611"/>
  <c r="AO407" i="611"/>
  <c r="E406" i="611"/>
  <c r="AO313" i="611"/>
  <c r="E312" i="611"/>
  <c r="AO210" i="611"/>
  <c r="E209" i="611"/>
  <c r="AN329" i="611"/>
  <c r="D328" i="611"/>
  <c r="AO421" i="611"/>
  <c r="E420" i="611"/>
  <c r="AO37" i="611"/>
  <c r="E36" i="611"/>
  <c r="AO293" i="611"/>
  <c r="E292" i="611"/>
  <c r="AO394" i="611"/>
  <c r="E394" i="611" s="1"/>
  <c r="E393" i="611"/>
  <c r="AO253" i="611"/>
  <c r="E252" i="611"/>
  <c r="AO63" i="611"/>
  <c r="E62" i="611"/>
  <c r="AO413" i="611"/>
  <c r="E412" i="611"/>
  <c r="AO238" i="611"/>
  <c r="E237" i="611"/>
  <c r="C27" i="610"/>
  <c r="E26" i="610"/>
  <c r="D27" i="610"/>
  <c r="D142" i="609"/>
  <c r="AN143" i="609"/>
  <c r="H22" i="610"/>
  <c r="F52" i="610"/>
  <c r="D54" i="610"/>
  <c r="C55" i="610"/>
  <c r="E24" i="610"/>
  <c r="F24" i="610" s="1"/>
  <c r="AN290" i="609"/>
  <c r="D289" i="609"/>
  <c r="AN304" i="609"/>
  <c r="D303" i="609"/>
  <c r="AN312" i="609"/>
  <c r="D311" i="609"/>
  <c r="AN19" i="609"/>
  <c r="D18" i="609"/>
  <c r="AN68" i="609"/>
  <c r="D67" i="609"/>
  <c r="AN250" i="609"/>
  <c r="D249" i="609"/>
  <c r="AN369" i="609"/>
  <c r="D368" i="609"/>
  <c r="AN172" i="609"/>
  <c r="D171" i="609"/>
  <c r="D53" i="609"/>
  <c r="AN54" i="609"/>
  <c r="AN103" i="609"/>
  <c r="D102" i="609"/>
  <c r="AN361" i="609"/>
  <c r="D360" i="609"/>
  <c r="AN347" i="609"/>
  <c r="D346" i="609"/>
  <c r="AM11" i="609"/>
  <c r="C10" i="609"/>
  <c r="D38" i="609"/>
  <c r="AN39" i="609"/>
  <c r="AN137" i="609"/>
  <c r="D136" i="609"/>
  <c r="AN81" i="609"/>
  <c r="D80" i="609"/>
  <c r="AN116" i="609"/>
  <c r="D115" i="609"/>
  <c r="AN264" i="609"/>
  <c r="D263" i="609"/>
  <c r="AL11" i="609"/>
  <c r="B10" i="609"/>
  <c r="AN11" i="609"/>
  <c r="D10" i="609"/>
  <c r="AN87" i="609"/>
  <c r="D86" i="609"/>
  <c r="D206" i="609"/>
  <c r="AN207" i="609"/>
  <c r="AN25" i="609"/>
  <c r="D24" i="609"/>
  <c r="AN73" i="609"/>
  <c r="D72" i="609"/>
  <c r="AN341" i="609"/>
  <c r="D340" i="609"/>
  <c r="AN111" i="609"/>
  <c r="D111" i="609" s="1"/>
  <c r="D110" i="609"/>
  <c r="AN235" i="609"/>
  <c r="D234" i="609"/>
  <c r="D226" i="609"/>
  <c r="AN227" i="609"/>
  <c r="D221" i="609"/>
  <c r="AN222" i="609"/>
  <c r="AN192" i="609"/>
  <c r="D191" i="609"/>
  <c r="AN333" i="609"/>
  <c r="D332" i="609"/>
  <c r="AN164" i="609"/>
  <c r="D163" i="609"/>
  <c r="AN124" i="609"/>
  <c r="D123" i="609"/>
  <c r="AN130" i="609"/>
  <c r="D129" i="609"/>
  <c r="D45" i="609"/>
  <c r="AN46" i="609"/>
  <c r="AN178" i="609"/>
  <c r="D177" i="609"/>
  <c r="D156" i="609"/>
  <c r="AN157" i="609"/>
  <c r="AN326" i="609"/>
  <c r="D325" i="609"/>
  <c r="AN188" i="609"/>
  <c r="D188" i="609" s="1"/>
  <c r="D187" i="609"/>
  <c r="AN256" i="609"/>
  <c r="D255" i="609"/>
  <c r="D310" i="605"/>
  <c r="AN243" i="609"/>
  <c r="D242" i="609"/>
  <c r="AN298" i="609"/>
  <c r="D297" i="609"/>
  <c r="AN62" i="609"/>
  <c r="D62" i="609" s="1"/>
  <c r="D61" i="609"/>
  <c r="AN150" i="609"/>
  <c r="D149" i="609"/>
  <c r="AN318" i="609"/>
  <c r="D317" i="609"/>
  <c r="AN270" i="609"/>
  <c r="D269" i="609"/>
  <c r="AN375" i="609"/>
  <c r="D374" i="609"/>
  <c r="D32" i="609"/>
  <c r="AN33" i="609"/>
  <c r="D283" i="609"/>
  <c r="AN284" i="609"/>
  <c r="D198" i="609"/>
  <c r="AN199" i="609"/>
  <c r="AN95" i="609"/>
  <c r="D94" i="609"/>
  <c r="AN213" i="609"/>
  <c r="D212" i="609"/>
  <c r="AN355" i="609"/>
  <c r="D354" i="609"/>
  <c r="D94" i="607"/>
  <c r="D108" i="607"/>
  <c r="H22" i="608"/>
  <c r="E24" i="608"/>
  <c r="F24" i="608" s="1"/>
  <c r="D45" i="607"/>
  <c r="D27" i="608"/>
  <c r="E26" i="608"/>
  <c r="E52" i="608"/>
  <c r="C27" i="608"/>
  <c r="C55" i="608"/>
  <c r="D54" i="608"/>
  <c r="D240" i="605"/>
  <c r="D380" i="605"/>
  <c r="AN109" i="605"/>
  <c r="AN110" i="605" s="1"/>
  <c r="D290" i="605"/>
  <c r="AN53" i="607"/>
  <c r="D52" i="607"/>
  <c r="AL11" i="607"/>
  <c r="B10" i="607"/>
  <c r="D227" i="605"/>
  <c r="AN81" i="607"/>
  <c r="D80" i="607"/>
  <c r="AN110" i="607"/>
  <c r="D109" i="607"/>
  <c r="AN11" i="607"/>
  <c r="D10" i="607"/>
  <c r="AN87" i="607"/>
  <c r="D86" i="607"/>
  <c r="AN96" i="607"/>
  <c r="D95" i="607"/>
  <c r="AN33" i="607"/>
  <c r="D32" i="607"/>
  <c r="AN19" i="607"/>
  <c r="D18" i="607"/>
  <c r="AN116" i="607"/>
  <c r="D115" i="607"/>
  <c r="AN67" i="607"/>
  <c r="D66" i="607"/>
  <c r="AM11" i="607"/>
  <c r="C10" i="607"/>
  <c r="D59" i="607"/>
  <c r="AN60" i="607"/>
  <c r="AN138" i="607"/>
  <c r="D137" i="607"/>
  <c r="AN47" i="607"/>
  <c r="D46" i="607"/>
  <c r="AN25" i="607"/>
  <c r="D24" i="607"/>
  <c r="AN39" i="607"/>
  <c r="D38" i="607"/>
  <c r="AN130" i="607"/>
  <c r="D129" i="607"/>
  <c r="AN73" i="607"/>
  <c r="D72" i="607"/>
  <c r="AN102" i="607"/>
  <c r="D101" i="607"/>
  <c r="AN124" i="607"/>
  <c r="D123" i="607"/>
  <c r="AN298" i="605"/>
  <c r="D298" i="605" s="1"/>
  <c r="D354" i="605"/>
  <c r="AN53" i="605"/>
  <c r="D53" i="605" s="1"/>
  <c r="D143" i="605"/>
  <c r="C27" i="606"/>
  <c r="H22" i="606"/>
  <c r="F52" i="606"/>
  <c r="D54" i="606"/>
  <c r="C55" i="606"/>
  <c r="E26" i="606"/>
  <c r="D27" i="606"/>
  <c r="E24" i="606"/>
  <c r="AN346" i="605"/>
  <c r="D346" i="605" s="1"/>
  <c r="AN199" i="605"/>
  <c r="D198" i="605"/>
  <c r="AN278" i="605"/>
  <c r="D277" i="605"/>
  <c r="D247" i="605"/>
  <c r="AN248" i="605"/>
  <c r="AN389" i="605"/>
  <c r="D388" i="605"/>
  <c r="D192" i="605"/>
  <c r="AN193" i="605"/>
  <c r="D262" i="605"/>
  <c r="AN263" i="605"/>
  <c r="D129" i="605"/>
  <c r="AN130" i="605"/>
  <c r="D373" i="605"/>
  <c r="AN374" i="605"/>
  <c r="AN356" i="605"/>
  <c r="D356" i="605" s="1"/>
  <c r="D355" i="605"/>
  <c r="AN220" i="605"/>
  <c r="D219" i="605"/>
  <c r="AN418" i="605"/>
  <c r="D417" i="605"/>
  <c r="AN403" i="605"/>
  <c r="D402" i="605"/>
  <c r="AN410" i="605"/>
  <c r="D409" i="605"/>
  <c r="AN165" i="605"/>
  <c r="D164" i="605"/>
  <c r="AN292" i="605"/>
  <c r="D291" i="605"/>
  <c r="D255" i="605"/>
  <c r="AN256" i="605"/>
  <c r="C8" i="605"/>
  <c r="AM9" i="605"/>
  <c r="D177" i="605"/>
  <c r="AN178" i="605"/>
  <c r="D59" i="605"/>
  <c r="AN60" i="605"/>
  <c r="AN33" i="605"/>
  <c r="D32" i="605"/>
  <c r="D24" i="605"/>
  <c r="AN25" i="605"/>
  <c r="D149" i="605"/>
  <c r="AN150" i="605"/>
  <c r="D73" i="605"/>
  <c r="AN74" i="605"/>
  <c r="AN382" i="605"/>
  <c r="D381" i="605"/>
  <c r="D122" i="605"/>
  <c r="AN123" i="605"/>
  <c r="AN139" i="605"/>
  <c r="D139" i="605" s="1"/>
  <c r="D138" i="605"/>
  <c r="AN229" i="605"/>
  <c r="D228" i="605"/>
  <c r="AN312" i="605"/>
  <c r="D311" i="605"/>
  <c r="D205" i="605"/>
  <c r="AN206" i="605"/>
  <c r="AN11" i="605"/>
  <c r="D10" i="605"/>
  <c r="AN319" i="605"/>
  <c r="D318" i="605"/>
  <c r="AN235" i="605"/>
  <c r="D234" i="605"/>
  <c r="D79" i="605"/>
  <c r="AN80" i="605"/>
  <c r="D339" i="605"/>
  <c r="AN340" i="605"/>
  <c r="AN214" i="605"/>
  <c r="D213" i="605"/>
  <c r="AN327" i="605"/>
  <c r="D326" i="605"/>
  <c r="D17" i="605"/>
  <c r="AN18" i="605"/>
  <c r="D101" i="605"/>
  <c r="AN102" i="605"/>
  <c r="D269" i="605"/>
  <c r="AN270" i="605"/>
  <c r="AN304" i="605"/>
  <c r="D303" i="605"/>
  <c r="AN395" i="605"/>
  <c r="D394" i="605"/>
  <c r="AN66" i="605"/>
  <c r="D65" i="605"/>
  <c r="D367" i="605"/>
  <c r="AN368" i="605"/>
  <c r="D283" i="605"/>
  <c r="AN284" i="605"/>
  <c r="D94" i="605"/>
  <c r="AN95" i="605"/>
  <c r="AL10" i="605"/>
  <c r="B9" i="605"/>
  <c r="D157" i="605"/>
  <c r="AN158" i="605"/>
  <c r="AN46" i="605"/>
  <c r="D45" i="605"/>
  <c r="AN242" i="605"/>
  <c r="D241" i="605"/>
  <c r="D115" i="605"/>
  <c r="AN116" i="605"/>
  <c r="AN361" i="605"/>
  <c r="D360" i="605"/>
  <c r="D171" i="605"/>
  <c r="AN172" i="605"/>
  <c r="D37" i="605"/>
  <c r="AN38" i="605"/>
  <c r="D87" i="605"/>
  <c r="AN88" i="605"/>
  <c r="AN145" i="605"/>
  <c r="D144" i="605"/>
  <c r="D332" i="605"/>
  <c r="AN333" i="605"/>
  <c r="D184" i="605"/>
  <c r="AN185" i="605"/>
  <c r="G25" i="614"/>
  <c r="G23" i="614"/>
  <c r="F53" i="614"/>
  <c r="G25" i="612"/>
  <c r="G53" i="610"/>
  <c r="G51" i="610"/>
  <c r="G25" i="610"/>
  <c r="G23" i="610"/>
  <c r="G25" i="608"/>
  <c r="G23" i="608"/>
  <c r="F51" i="608"/>
  <c r="F53" i="608"/>
  <c r="F23" i="606"/>
  <c r="G51" i="606"/>
  <c r="G23" i="606"/>
  <c r="F53" i="606"/>
  <c r="G25" i="606"/>
  <c r="E78" i="611" l="1"/>
  <c r="E91" i="611"/>
  <c r="E86" i="611"/>
  <c r="G24" i="614"/>
  <c r="E54" i="614"/>
  <c r="D55" i="614"/>
  <c r="I22" i="614"/>
  <c r="F26" i="614"/>
  <c r="E27" i="614"/>
  <c r="E92" i="611"/>
  <c r="AN39" i="613"/>
  <c r="D38" i="613"/>
  <c r="AN82" i="613"/>
  <c r="D81" i="613"/>
  <c r="AN48" i="613"/>
  <c r="D48" i="613" s="1"/>
  <c r="D47" i="613"/>
  <c r="D19" i="613"/>
  <c r="AN20" i="613"/>
  <c r="D20" i="613" s="1"/>
  <c r="AN54" i="613"/>
  <c r="D53" i="613"/>
  <c r="AN75" i="613"/>
  <c r="D74" i="613"/>
  <c r="AL11" i="613"/>
  <c r="B10" i="613"/>
  <c r="AN188" i="613"/>
  <c r="D188" i="613" s="1"/>
  <c r="D187" i="613"/>
  <c r="AN166" i="613"/>
  <c r="D165" i="613"/>
  <c r="AN69" i="613"/>
  <c r="D69" i="613" s="1"/>
  <c r="D68" i="613"/>
  <c r="D136" i="613"/>
  <c r="AN137" i="613"/>
  <c r="AN97" i="613"/>
  <c r="D97" i="613" s="1"/>
  <c r="D96" i="613"/>
  <c r="AN131" i="613"/>
  <c r="D130" i="613"/>
  <c r="D122" i="613"/>
  <c r="AN123" i="613"/>
  <c r="D102" i="613"/>
  <c r="AN103" i="613"/>
  <c r="AN160" i="613"/>
  <c r="D160" i="613" s="1"/>
  <c r="D159" i="613"/>
  <c r="AN152" i="613"/>
  <c r="D151" i="613"/>
  <c r="AN26" i="613"/>
  <c r="D25" i="613"/>
  <c r="AN117" i="613"/>
  <c r="D116" i="613"/>
  <c r="AN89" i="613"/>
  <c r="D88" i="613"/>
  <c r="AM11" i="613"/>
  <c r="C10" i="613"/>
  <c r="D144" i="613"/>
  <c r="AN145" i="613"/>
  <c r="AN174" i="613"/>
  <c r="D174" i="613" s="1"/>
  <c r="D173" i="613"/>
  <c r="AN180" i="613"/>
  <c r="D179" i="613"/>
  <c r="AN12" i="613"/>
  <c r="D11" i="613"/>
  <c r="AN61" i="613"/>
  <c r="D60" i="613"/>
  <c r="D32" i="613"/>
  <c r="AN33" i="613"/>
  <c r="AN109" i="613"/>
  <c r="D108" i="613"/>
  <c r="D276" i="609"/>
  <c r="E54" i="612"/>
  <c r="D55" i="612"/>
  <c r="I22" i="612"/>
  <c r="F26" i="612"/>
  <c r="E27" i="612"/>
  <c r="AO329" i="611"/>
  <c r="E328" i="611"/>
  <c r="AO321" i="611"/>
  <c r="E320" i="611"/>
  <c r="E44" i="611"/>
  <c r="AO45" i="611"/>
  <c r="E45" i="611" s="1"/>
  <c r="AO414" i="611"/>
  <c r="E413" i="611"/>
  <c r="AO211" i="611"/>
  <c r="E210" i="611"/>
  <c r="C9" i="611"/>
  <c r="AM10" i="611"/>
  <c r="AO357" i="611"/>
  <c r="E356" i="611"/>
  <c r="AO57" i="611"/>
  <c r="E56" i="611"/>
  <c r="E259" i="611"/>
  <c r="AO260" i="611"/>
  <c r="E307" i="611"/>
  <c r="AO308" i="611"/>
  <c r="AO64" i="611"/>
  <c r="E63" i="611"/>
  <c r="E313" i="611"/>
  <c r="AO314" i="611"/>
  <c r="AO226" i="611"/>
  <c r="E226" i="611" s="1"/>
  <c r="E225" i="611"/>
  <c r="E217" i="611"/>
  <c r="AO218" i="611"/>
  <c r="AO254" i="611"/>
  <c r="E254" i="611" s="1"/>
  <c r="E253" i="611"/>
  <c r="AO408" i="611"/>
  <c r="E408" i="611" s="1"/>
  <c r="E407" i="611"/>
  <c r="AO385" i="611"/>
  <c r="E384" i="611"/>
  <c r="AO351" i="611"/>
  <c r="E350" i="611"/>
  <c r="AO94" i="611"/>
  <c r="E94" i="611" s="1"/>
  <c r="E93" i="611"/>
  <c r="E272" i="611"/>
  <c r="AO273" i="611"/>
  <c r="E72" i="611"/>
  <c r="AO73" i="611"/>
  <c r="E73" i="611" s="1"/>
  <c r="E364" i="611"/>
  <c r="AO365" i="611"/>
  <c r="E281" i="611"/>
  <c r="AO282" i="611"/>
  <c r="E282" i="611" s="1"/>
  <c r="E288" i="611"/>
  <c r="AO289" i="611"/>
  <c r="E289" i="611" s="1"/>
  <c r="E293" i="611"/>
  <c r="AO294" i="611"/>
  <c r="AO428" i="611"/>
  <c r="E427" i="611"/>
  <c r="E21" i="611"/>
  <c r="AO22" i="611"/>
  <c r="D20" i="611"/>
  <c r="AN21" i="611"/>
  <c r="E37" i="611"/>
  <c r="AO38" i="611"/>
  <c r="E38" i="611" s="1"/>
  <c r="B12" i="611"/>
  <c r="AL13" i="611"/>
  <c r="E245" i="611"/>
  <c r="AO246" i="611"/>
  <c r="C19" i="611"/>
  <c r="AM20" i="611"/>
  <c r="E49" i="611"/>
  <c r="AO50" i="611"/>
  <c r="E266" i="611"/>
  <c r="AO267" i="611"/>
  <c r="AO422" i="611"/>
  <c r="E422" i="611" s="1"/>
  <c r="E421" i="611"/>
  <c r="AO371" i="611"/>
  <c r="E370" i="611"/>
  <c r="AO231" i="611"/>
  <c r="E230" i="611"/>
  <c r="AO344" i="611"/>
  <c r="E343" i="611"/>
  <c r="E28" i="611"/>
  <c r="AO29" i="611"/>
  <c r="AO239" i="611"/>
  <c r="E238" i="611"/>
  <c r="AN330" i="611"/>
  <c r="D329" i="611"/>
  <c r="AO379" i="611"/>
  <c r="E378" i="611"/>
  <c r="AO436" i="611"/>
  <c r="E436" i="611" s="1"/>
  <c r="E435" i="611"/>
  <c r="AO400" i="611"/>
  <c r="E399" i="611"/>
  <c r="AO80" i="611"/>
  <c r="E80" i="611" s="1"/>
  <c r="E79" i="611"/>
  <c r="G24" i="610"/>
  <c r="E54" i="610"/>
  <c r="D55" i="610"/>
  <c r="AN54" i="605"/>
  <c r="AN55" i="605" s="1"/>
  <c r="D55" i="605" s="1"/>
  <c r="G52" i="610"/>
  <c r="I22" i="610"/>
  <c r="AN144" i="609"/>
  <c r="D143" i="609"/>
  <c r="F26" i="610"/>
  <c r="E27" i="610"/>
  <c r="AN376" i="609"/>
  <c r="D375" i="609"/>
  <c r="AN165" i="609"/>
  <c r="D164" i="609"/>
  <c r="AN74" i="609"/>
  <c r="D73" i="609"/>
  <c r="AN82" i="609"/>
  <c r="D81" i="609"/>
  <c r="AN173" i="609"/>
  <c r="D172" i="609"/>
  <c r="AN356" i="609"/>
  <c r="D356" i="609" s="1"/>
  <c r="D355" i="609"/>
  <c r="D270" i="609"/>
  <c r="AN271" i="609"/>
  <c r="AN334" i="609"/>
  <c r="D333" i="609"/>
  <c r="AN26" i="609"/>
  <c r="D25" i="609"/>
  <c r="D137" i="609"/>
  <c r="AN138" i="609"/>
  <c r="AN370" i="609"/>
  <c r="D370" i="609" s="1"/>
  <c r="D369" i="609"/>
  <c r="AN214" i="609"/>
  <c r="D213" i="609"/>
  <c r="AN319" i="609"/>
  <c r="D318" i="609"/>
  <c r="D207" i="609"/>
  <c r="AN208" i="609"/>
  <c r="D39" i="609"/>
  <c r="AN40" i="609"/>
  <c r="AN327" i="609"/>
  <c r="D326" i="609"/>
  <c r="AN193" i="609"/>
  <c r="D192" i="609"/>
  <c r="AN251" i="609"/>
  <c r="D251" i="609" s="1"/>
  <c r="D250" i="609"/>
  <c r="AN96" i="609"/>
  <c r="D95" i="609"/>
  <c r="AN151" i="609"/>
  <c r="D150" i="609"/>
  <c r="D157" i="609"/>
  <c r="AN158" i="609"/>
  <c r="AN223" i="609"/>
  <c r="D223" i="609" s="1"/>
  <c r="D222" i="609"/>
  <c r="D199" i="609"/>
  <c r="AN200" i="609"/>
  <c r="AN88" i="609"/>
  <c r="D87" i="609"/>
  <c r="AM12" i="609"/>
  <c r="C11" i="609"/>
  <c r="AN69" i="609"/>
  <c r="D69" i="609" s="1"/>
  <c r="D68" i="609"/>
  <c r="D227" i="609"/>
  <c r="AN228" i="609"/>
  <c r="D277" i="609"/>
  <c r="AN278" i="609"/>
  <c r="AN179" i="609"/>
  <c r="D178" i="609"/>
  <c r="AN12" i="609"/>
  <c r="D11" i="609"/>
  <c r="AN348" i="609"/>
  <c r="D347" i="609"/>
  <c r="AN20" i="609"/>
  <c r="D20" i="609" s="1"/>
  <c r="D19" i="609"/>
  <c r="AN299" i="609"/>
  <c r="D298" i="609"/>
  <c r="D46" i="609"/>
  <c r="AN47" i="609"/>
  <c r="AN285" i="609"/>
  <c r="D284" i="609"/>
  <c r="AN236" i="609"/>
  <c r="D235" i="609"/>
  <c r="AL12" i="609"/>
  <c r="B11" i="609"/>
  <c r="AN362" i="609"/>
  <c r="D361" i="609"/>
  <c r="AN313" i="609"/>
  <c r="D312" i="609"/>
  <c r="AN244" i="609"/>
  <c r="D244" i="609" s="1"/>
  <c r="D243" i="609"/>
  <c r="D33" i="609"/>
  <c r="AN34" i="609"/>
  <c r="D34" i="609" s="1"/>
  <c r="AN131" i="609"/>
  <c r="D130" i="609"/>
  <c r="AN265" i="609"/>
  <c r="D265" i="609" s="1"/>
  <c r="D264" i="609"/>
  <c r="D103" i="609"/>
  <c r="AN104" i="609"/>
  <c r="D104" i="609" s="1"/>
  <c r="D304" i="609"/>
  <c r="AN305" i="609"/>
  <c r="D54" i="609"/>
  <c r="AN55" i="609"/>
  <c r="D55" i="609" s="1"/>
  <c r="AN257" i="609"/>
  <c r="D256" i="609"/>
  <c r="AN125" i="609"/>
  <c r="D125" i="609" s="1"/>
  <c r="D124" i="609"/>
  <c r="AN342" i="609"/>
  <c r="D342" i="609" s="1"/>
  <c r="D341" i="609"/>
  <c r="AN117" i="609"/>
  <c r="D116" i="609"/>
  <c r="D290" i="609"/>
  <c r="AN291" i="609"/>
  <c r="D109" i="605"/>
  <c r="F52" i="608"/>
  <c r="F26" i="608"/>
  <c r="E27" i="608"/>
  <c r="G24" i="608"/>
  <c r="I22" i="608"/>
  <c r="E54" i="608"/>
  <c r="D55" i="608"/>
  <c r="AN26" i="607"/>
  <c r="D25" i="607"/>
  <c r="AN34" i="607"/>
  <c r="D34" i="607" s="1"/>
  <c r="D33" i="607"/>
  <c r="AN48" i="607"/>
  <c r="D48" i="607" s="1"/>
  <c r="D47" i="607"/>
  <c r="AN97" i="607"/>
  <c r="D97" i="607" s="1"/>
  <c r="D96" i="607"/>
  <c r="AN139" i="607"/>
  <c r="D139" i="607" s="1"/>
  <c r="D138" i="607"/>
  <c r="AN88" i="607"/>
  <c r="D87" i="607"/>
  <c r="AN61" i="607"/>
  <c r="D60" i="607"/>
  <c r="AN125" i="607"/>
  <c r="D125" i="607" s="1"/>
  <c r="D124" i="607"/>
  <c r="AN12" i="607"/>
  <c r="D11" i="607"/>
  <c r="AN103" i="607"/>
  <c r="D102" i="607"/>
  <c r="AM12" i="607"/>
  <c r="C11" i="607"/>
  <c r="AN111" i="607"/>
  <c r="D111" i="607" s="1"/>
  <c r="D110" i="607"/>
  <c r="AN74" i="607"/>
  <c r="D73" i="607"/>
  <c r="AN68" i="607"/>
  <c r="D67" i="607"/>
  <c r="AN82" i="607"/>
  <c r="D81" i="607"/>
  <c r="AN299" i="605"/>
  <c r="AN300" i="605" s="1"/>
  <c r="D300" i="605" s="1"/>
  <c r="AN131" i="607"/>
  <c r="D130" i="607"/>
  <c r="AN117" i="607"/>
  <c r="D116" i="607"/>
  <c r="AL12" i="607"/>
  <c r="B11" i="607"/>
  <c r="AN40" i="607"/>
  <c r="D39" i="607"/>
  <c r="AN20" i="607"/>
  <c r="D20" i="607" s="1"/>
  <c r="D19" i="607"/>
  <c r="AN54" i="607"/>
  <c r="D53" i="607"/>
  <c r="F24" i="606"/>
  <c r="G24" i="606" s="1"/>
  <c r="F26" i="606"/>
  <c r="E27" i="606"/>
  <c r="E54" i="606"/>
  <c r="D55" i="606"/>
  <c r="G52" i="606"/>
  <c r="I22" i="606"/>
  <c r="AN347" i="605"/>
  <c r="D347" i="605" s="1"/>
  <c r="D248" i="605"/>
  <c r="AN249" i="605"/>
  <c r="AN279" i="605"/>
  <c r="D279" i="605" s="1"/>
  <c r="D278" i="605"/>
  <c r="D199" i="605"/>
  <c r="AN200" i="605"/>
  <c r="AN39" i="605"/>
  <c r="D38" i="605"/>
  <c r="C9" i="605"/>
  <c r="AM10" i="605"/>
  <c r="AL11" i="605"/>
  <c r="B10" i="605"/>
  <c r="AN320" i="605"/>
  <c r="D319" i="605"/>
  <c r="D382" i="605"/>
  <c r="AN383" i="605"/>
  <c r="D172" i="605"/>
  <c r="AN173" i="605"/>
  <c r="D95" i="605"/>
  <c r="AN96" i="605"/>
  <c r="D102" i="605"/>
  <c r="AN103" i="605"/>
  <c r="D256" i="605"/>
  <c r="AN257" i="605"/>
  <c r="AN12" i="605"/>
  <c r="D11" i="605"/>
  <c r="AN221" i="605"/>
  <c r="D220" i="605"/>
  <c r="AN285" i="605"/>
  <c r="D284" i="605"/>
  <c r="AN19" i="605"/>
  <c r="D18" i="605"/>
  <c r="AN207" i="605"/>
  <c r="D206" i="605"/>
  <c r="AN75" i="605"/>
  <c r="D74" i="605"/>
  <c r="D361" i="605"/>
  <c r="AN362" i="605"/>
  <c r="D292" i="605"/>
  <c r="AN293" i="605"/>
  <c r="D293" i="605" s="1"/>
  <c r="D116" i="605"/>
  <c r="AN117" i="605"/>
  <c r="AN369" i="605"/>
  <c r="D368" i="605"/>
  <c r="D150" i="605"/>
  <c r="AN151" i="605"/>
  <c r="AN375" i="605"/>
  <c r="D374" i="605"/>
  <c r="D327" i="605"/>
  <c r="AN328" i="605"/>
  <c r="D328" i="605" s="1"/>
  <c r="D312" i="605"/>
  <c r="AN313" i="605"/>
  <c r="D165" i="605"/>
  <c r="AN166" i="605"/>
  <c r="AN186" i="605"/>
  <c r="D185" i="605"/>
  <c r="AN26" i="605"/>
  <c r="D25" i="605"/>
  <c r="D130" i="605"/>
  <c r="AN131" i="605"/>
  <c r="D242" i="605"/>
  <c r="AN243" i="605"/>
  <c r="D66" i="605"/>
  <c r="AN67" i="605"/>
  <c r="D214" i="605"/>
  <c r="AN215" i="605"/>
  <c r="D110" i="605"/>
  <c r="AN111" i="605"/>
  <c r="D111" i="605" s="1"/>
  <c r="AN411" i="605"/>
  <c r="D410" i="605"/>
  <c r="D333" i="605"/>
  <c r="AN334" i="605"/>
  <c r="D340" i="605"/>
  <c r="AN341" i="605"/>
  <c r="D263" i="605"/>
  <c r="AN264" i="605"/>
  <c r="AN47" i="605"/>
  <c r="D46" i="605"/>
  <c r="AN396" i="605"/>
  <c r="D395" i="605"/>
  <c r="D229" i="605"/>
  <c r="AN230" i="605"/>
  <c r="D230" i="605" s="1"/>
  <c r="D33" i="605"/>
  <c r="AN34" i="605"/>
  <c r="D34" i="605" s="1"/>
  <c r="AN404" i="605"/>
  <c r="D403" i="605"/>
  <c r="AN159" i="605"/>
  <c r="D158" i="605"/>
  <c r="D80" i="605"/>
  <c r="AN81" i="605"/>
  <c r="AN61" i="605"/>
  <c r="D60" i="605"/>
  <c r="D193" i="605"/>
  <c r="AN194" i="605"/>
  <c r="AN146" i="605"/>
  <c r="D146" i="605" s="1"/>
  <c r="D145" i="605"/>
  <c r="AN305" i="605"/>
  <c r="D304" i="605"/>
  <c r="AN419" i="605"/>
  <c r="D419" i="605" s="1"/>
  <c r="D418" i="605"/>
  <c r="D88" i="605"/>
  <c r="AN89" i="605"/>
  <c r="D270" i="605"/>
  <c r="AN271" i="605"/>
  <c r="D123" i="605"/>
  <c r="AN124" i="605"/>
  <c r="D178" i="605"/>
  <c r="AN179" i="605"/>
  <c r="AN236" i="605"/>
  <c r="D235" i="605"/>
  <c r="D389" i="605"/>
  <c r="AN390" i="605"/>
  <c r="G51" i="614"/>
  <c r="G53" i="614"/>
  <c r="H25" i="614"/>
  <c r="G23" i="612"/>
  <c r="H25" i="612"/>
  <c r="H23" i="612"/>
  <c r="G51" i="612"/>
  <c r="G53" i="612"/>
  <c r="H25" i="610"/>
  <c r="H23" i="610"/>
  <c r="H53" i="608"/>
  <c r="H25" i="608"/>
  <c r="H23" i="608"/>
  <c r="G51" i="608"/>
  <c r="G53" i="608"/>
  <c r="H25" i="606"/>
  <c r="H23" i="606"/>
  <c r="G53" i="606"/>
  <c r="D54" i="605" l="1"/>
  <c r="G52" i="614"/>
  <c r="G26" i="614"/>
  <c r="F27" i="614"/>
  <c r="J22" i="614"/>
  <c r="F54" i="614"/>
  <c r="E55" i="614"/>
  <c r="AN40" i="613"/>
  <c r="D39" i="613"/>
  <c r="AN181" i="613"/>
  <c r="D181" i="613" s="1"/>
  <c r="D180" i="613"/>
  <c r="AN167" i="613"/>
  <c r="D167" i="613" s="1"/>
  <c r="D166" i="613"/>
  <c r="D103" i="613"/>
  <c r="AN104" i="613"/>
  <c r="D104" i="613" s="1"/>
  <c r="AN146" i="613"/>
  <c r="D146" i="613" s="1"/>
  <c r="D145" i="613"/>
  <c r="AN124" i="613"/>
  <c r="D123" i="613"/>
  <c r="AL12" i="613"/>
  <c r="B11" i="613"/>
  <c r="AM12" i="613"/>
  <c r="C11" i="613"/>
  <c r="AN132" i="613"/>
  <c r="D132" i="613" s="1"/>
  <c r="D131" i="613"/>
  <c r="AN76" i="613"/>
  <c r="D76" i="613" s="1"/>
  <c r="D75" i="613"/>
  <c r="AN110" i="613"/>
  <c r="D109" i="613"/>
  <c r="AN90" i="613"/>
  <c r="D90" i="613" s="1"/>
  <c r="D89" i="613"/>
  <c r="AN55" i="613"/>
  <c r="D55" i="613" s="1"/>
  <c r="D54" i="613"/>
  <c r="AN34" i="613"/>
  <c r="D34" i="613" s="1"/>
  <c r="D33" i="613"/>
  <c r="AN118" i="613"/>
  <c r="D118" i="613" s="1"/>
  <c r="D117" i="613"/>
  <c r="AN138" i="613"/>
  <c r="D137" i="613"/>
  <c r="AN62" i="613"/>
  <c r="D62" i="613" s="1"/>
  <c r="D61" i="613"/>
  <c r="AN27" i="613"/>
  <c r="D27" i="613" s="1"/>
  <c r="D26" i="613"/>
  <c r="AN13" i="613"/>
  <c r="D13" i="613" s="1"/>
  <c r="D12" i="613"/>
  <c r="AN153" i="613"/>
  <c r="D153" i="613" s="1"/>
  <c r="D152" i="613"/>
  <c r="AN83" i="613"/>
  <c r="D83" i="613" s="1"/>
  <c r="D82" i="613"/>
  <c r="G52" i="612"/>
  <c r="G24" i="612"/>
  <c r="H24" i="612" s="1"/>
  <c r="G26" i="612"/>
  <c r="F27" i="612"/>
  <c r="J22" i="612"/>
  <c r="F54" i="612"/>
  <c r="E55" i="612"/>
  <c r="AO330" i="611"/>
  <c r="E329" i="611"/>
  <c r="AO322" i="611"/>
  <c r="E321" i="611"/>
  <c r="AM21" i="611"/>
  <c r="C20" i="611"/>
  <c r="AO309" i="611"/>
  <c r="E309" i="611" s="1"/>
  <c r="E308" i="611"/>
  <c r="AO240" i="611"/>
  <c r="E240" i="611" s="1"/>
  <c r="E239" i="611"/>
  <c r="AO352" i="611"/>
  <c r="E352" i="611" s="1"/>
  <c r="E351" i="611"/>
  <c r="E29" i="611"/>
  <c r="AO30" i="611"/>
  <c r="AO247" i="611"/>
  <c r="E247" i="611" s="1"/>
  <c r="E246" i="611"/>
  <c r="E260" i="611"/>
  <c r="AO261" i="611"/>
  <c r="E261" i="611" s="1"/>
  <c r="AO386" i="611"/>
  <c r="E385" i="611"/>
  <c r="B13" i="611"/>
  <c r="AL14" i="611"/>
  <c r="E344" i="611"/>
  <c r="AO345" i="611"/>
  <c r="E345" i="611" s="1"/>
  <c r="AO58" i="611"/>
  <c r="E57" i="611"/>
  <c r="AO366" i="611"/>
  <c r="E366" i="611" s="1"/>
  <c r="E365" i="611"/>
  <c r="AO232" i="611"/>
  <c r="E231" i="611"/>
  <c r="AO358" i="611"/>
  <c r="E357" i="611"/>
  <c r="D21" i="611"/>
  <c r="AN22" i="611"/>
  <c r="E218" i="611"/>
  <c r="AO219" i="611"/>
  <c r="E219" i="611" s="1"/>
  <c r="AO401" i="611"/>
  <c r="E401" i="611" s="1"/>
  <c r="E400" i="611"/>
  <c r="AO372" i="611"/>
  <c r="E371" i="611"/>
  <c r="AO23" i="611"/>
  <c r="E22" i="611"/>
  <c r="E273" i="611"/>
  <c r="AO274" i="611"/>
  <c r="AO212" i="611"/>
  <c r="E212" i="611" s="1"/>
  <c r="E211" i="611"/>
  <c r="E267" i="611"/>
  <c r="AO268" i="611"/>
  <c r="E268" i="611" s="1"/>
  <c r="E314" i="611"/>
  <c r="AO315" i="611"/>
  <c r="AO380" i="611"/>
  <c r="E380" i="611" s="1"/>
  <c r="E379" i="611"/>
  <c r="AO429" i="611"/>
  <c r="E429" i="611" s="1"/>
  <c r="E428" i="611"/>
  <c r="AO415" i="611"/>
  <c r="E415" i="611" s="1"/>
  <c r="E414" i="611"/>
  <c r="E50" i="611"/>
  <c r="AO51" i="611"/>
  <c r="E294" i="611"/>
  <c r="AO295" i="611"/>
  <c r="AN331" i="611"/>
  <c r="D330" i="611"/>
  <c r="AO65" i="611"/>
  <c r="E64" i="611"/>
  <c r="G26" i="610"/>
  <c r="F27" i="610"/>
  <c r="D144" i="609"/>
  <c r="AN145" i="609"/>
  <c r="J22" i="610"/>
  <c r="F54" i="610"/>
  <c r="E55" i="610"/>
  <c r="H24" i="610"/>
  <c r="D200" i="609"/>
  <c r="AN201" i="609"/>
  <c r="D40" i="609"/>
  <c r="AN41" i="609"/>
  <c r="D41" i="609" s="1"/>
  <c r="D271" i="609"/>
  <c r="AN272" i="609"/>
  <c r="D272" i="609" s="1"/>
  <c r="AN258" i="609"/>
  <c r="D258" i="609" s="1"/>
  <c r="D257" i="609"/>
  <c r="AN314" i="609"/>
  <c r="D314" i="609" s="1"/>
  <c r="D313" i="609"/>
  <c r="AN349" i="609"/>
  <c r="D349" i="609" s="1"/>
  <c r="D348" i="609"/>
  <c r="D208" i="609"/>
  <c r="AN209" i="609"/>
  <c r="D209" i="609" s="1"/>
  <c r="AN306" i="609"/>
  <c r="D305" i="609"/>
  <c r="D158" i="609"/>
  <c r="AN159" i="609"/>
  <c r="AL13" i="609"/>
  <c r="B12" i="609"/>
  <c r="AN180" i="609"/>
  <c r="D179" i="609"/>
  <c r="AN320" i="609"/>
  <c r="D319" i="609"/>
  <c r="AN174" i="609"/>
  <c r="D174" i="609" s="1"/>
  <c r="D173" i="609"/>
  <c r="AN363" i="609"/>
  <c r="D363" i="609" s="1"/>
  <c r="D362" i="609"/>
  <c r="D278" i="609"/>
  <c r="AN279" i="609"/>
  <c r="D279" i="609" s="1"/>
  <c r="AN237" i="609"/>
  <c r="D237" i="609" s="1"/>
  <c r="D236" i="609"/>
  <c r="AN152" i="609"/>
  <c r="D151" i="609"/>
  <c r="AN215" i="609"/>
  <c r="D214" i="609"/>
  <c r="AN83" i="609"/>
  <c r="D83" i="609" s="1"/>
  <c r="D82" i="609"/>
  <c r="AN292" i="609"/>
  <c r="D291" i="609"/>
  <c r="D228" i="609"/>
  <c r="AN229" i="609"/>
  <c r="AN13" i="609"/>
  <c r="D13" i="609" s="1"/>
  <c r="D12" i="609"/>
  <c r="D285" i="609"/>
  <c r="AN286" i="609"/>
  <c r="D286" i="609" s="1"/>
  <c r="AN97" i="609"/>
  <c r="D97" i="609" s="1"/>
  <c r="D96" i="609"/>
  <c r="AN75" i="609"/>
  <c r="D74" i="609"/>
  <c r="D47" i="609"/>
  <c r="AN48" i="609"/>
  <c r="D48" i="609" s="1"/>
  <c r="D138" i="609"/>
  <c r="AN139" i="609"/>
  <c r="D139" i="609" s="1"/>
  <c r="AN118" i="609"/>
  <c r="D118" i="609" s="1"/>
  <c r="D117" i="609"/>
  <c r="AN132" i="609"/>
  <c r="D132" i="609" s="1"/>
  <c r="D131" i="609"/>
  <c r="AN166" i="609"/>
  <c r="D165" i="609"/>
  <c r="AN300" i="609"/>
  <c r="D300" i="609" s="1"/>
  <c r="D299" i="609"/>
  <c r="AM13" i="609"/>
  <c r="C12" i="609"/>
  <c r="AN194" i="609"/>
  <c r="D193" i="609"/>
  <c r="AN27" i="609"/>
  <c r="D27" i="609" s="1"/>
  <c r="D26" i="609"/>
  <c r="AN89" i="609"/>
  <c r="D88" i="609"/>
  <c r="AN328" i="609"/>
  <c r="D328" i="609" s="1"/>
  <c r="D327" i="609"/>
  <c r="AN335" i="609"/>
  <c r="D335" i="609" s="1"/>
  <c r="D334" i="609"/>
  <c r="AN377" i="609"/>
  <c r="D377" i="609" s="1"/>
  <c r="D376" i="609"/>
  <c r="F54" i="608"/>
  <c r="E55" i="608"/>
  <c r="J22" i="608"/>
  <c r="H24" i="608"/>
  <c r="G26" i="608"/>
  <c r="F27" i="608"/>
  <c r="G52" i="608"/>
  <c r="D299" i="605"/>
  <c r="AN132" i="607"/>
  <c r="D132" i="607" s="1"/>
  <c r="D131" i="607"/>
  <c r="AN83" i="607"/>
  <c r="D83" i="607" s="1"/>
  <c r="D82" i="607"/>
  <c r="D61" i="607"/>
  <c r="AN62" i="607"/>
  <c r="D62" i="607" s="1"/>
  <c r="AN69" i="607"/>
  <c r="D69" i="607" s="1"/>
  <c r="D68" i="607"/>
  <c r="AN89" i="607"/>
  <c r="D88" i="607"/>
  <c r="AN55" i="607"/>
  <c r="D55" i="607" s="1"/>
  <c r="D54" i="607"/>
  <c r="AN75" i="607"/>
  <c r="D74" i="607"/>
  <c r="AN41" i="607"/>
  <c r="D41" i="607" s="1"/>
  <c r="D40" i="607"/>
  <c r="AM13" i="607"/>
  <c r="C12" i="607"/>
  <c r="AL13" i="607"/>
  <c r="B12" i="607"/>
  <c r="AN104" i="607"/>
  <c r="D104" i="607" s="1"/>
  <c r="D103" i="607"/>
  <c r="AN118" i="607"/>
  <c r="D118" i="607" s="1"/>
  <c r="D117" i="607"/>
  <c r="AN13" i="607"/>
  <c r="D13" i="607" s="1"/>
  <c r="D12" i="607"/>
  <c r="AN27" i="607"/>
  <c r="D27" i="607" s="1"/>
  <c r="D26" i="607"/>
  <c r="AN348" i="605"/>
  <c r="D348" i="605" s="1"/>
  <c r="J22" i="606"/>
  <c r="F54" i="606"/>
  <c r="E55" i="606"/>
  <c r="G26" i="606"/>
  <c r="F27" i="606"/>
  <c r="H24" i="606"/>
  <c r="D200" i="605"/>
  <c r="AN201" i="605"/>
  <c r="D249" i="605"/>
  <c r="AN250" i="605"/>
  <c r="D67" i="605"/>
  <c r="AN68" i="605"/>
  <c r="D173" i="605"/>
  <c r="AN174" i="605"/>
  <c r="D174" i="605" s="1"/>
  <c r="D236" i="605"/>
  <c r="AN237" i="605"/>
  <c r="D237" i="605" s="1"/>
  <c r="AN397" i="605"/>
  <c r="D396" i="605"/>
  <c r="D375" i="605"/>
  <c r="AN376" i="605"/>
  <c r="AN20" i="605"/>
  <c r="D20" i="605" s="1"/>
  <c r="D19" i="605"/>
  <c r="D179" i="605"/>
  <c r="AN180" i="605"/>
  <c r="D194" i="605"/>
  <c r="AN195" i="605"/>
  <c r="D195" i="605" s="1"/>
  <c r="D243" i="605"/>
  <c r="AN244" i="605"/>
  <c r="D244" i="605" s="1"/>
  <c r="AN152" i="605"/>
  <c r="D151" i="605"/>
  <c r="D383" i="605"/>
  <c r="AN384" i="605"/>
  <c r="D384" i="605" s="1"/>
  <c r="AN48" i="605"/>
  <c r="D48" i="605" s="1"/>
  <c r="D47" i="605"/>
  <c r="D285" i="605"/>
  <c r="AN286" i="605"/>
  <c r="D286" i="605" s="1"/>
  <c r="AN125" i="605"/>
  <c r="D125" i="605" s="1"/>
  <c r="D124" i="605"/>
  <c r="D264" i="605"/>
  <c r="AN265" i="605"/>
  <c r="D265" i="605" s="1"/>
  <c r="AN132" i="605"/>
  <c r="D132" i="605" s="1"/>
  <c r="D131" i="605"/>
  <c r="AN62" i="605"/>
  <c r="D62" i="605" s="1"/>
  <c r="D61" i="605"/>
  <c r="AN370" i="605"/>
  <c r="D370" i="605" s="1"/>
  <c r="D369" i="605"/>
  <c r="D221" i="605"/>
  <c r="AN222" i="605"/>
  <c r="AN321" i="605"/>
  <c r="D321" i="605" s="1"/>
  <c r="D320" i="605"/>
  <c r="D271" i="605"/>
  <c r="AN272" i="605"/>
  <c r="D272" i="605" s="1"/>
  <c r="D81" i="605"/>
  <c r="AN82" i="605"/>
  <c r="D341" i="605"/>
  <c r="AN342" i="605"/>
  <c r="D342" i="605" s="1"/>
  <c r="D117" i="605"/>
  <c r="AN118" i="605"/>
  <c r="D118" i="605" s="1"/>
  <c r="AN27" i="605"/>
  <c r="D27" i="605" s="1"/>
  <c r="D26" i="605"/>
  <c r="D12" i="605"/>
  <c r="AN13" i="605"/>
  <c r="D13" i="605" s="1"/>
  <c r="AL12" i="605"/>
  <c r="B11" i="605"/>
  <c r="D334" i="605"/>
  <c r="AN335" i="605"/>
  <c r="D335" i="605" s="1"/>
  <c r="D257" i="605"/>
  <c r="AN258" i="605"/>
  <c r="D258" i="605" s="1"/>
  <c r="AN160" i="605"/>
  <c r="D160" i="605" s="1"/>
  <c r="D159" i="605"/>
  <c r="D186" i="605"/>
  <c r="AN187" i="605"/>
  <c r="D89" i="605"/>
  <c r="AN90" i="605"/>
  <c r="D90" i="605" s="1"/>
  <c r="D166" i="605"/>
  <c r="AN167" i="605"/>
  <c r="D167" i="605" s="1"/>
  <c r="AN363" i="605"/>
  <c r="D363" i="605" s="1"/>
  <c r="D362" i="605"/>
  <c r="AM11" i="605"/>
  <c r="C10" i="605"/>
  <c r="AN405" i="605"/>
  <c r="D405" i="605" s="1"/>
  <c r="D404" i="605"/>
  <c r="AN412" i="605"/>
  <c r="D412" i="605" s="1"/>
  <c r="D411" i="605"/>
  <c r="AN391" i="605"/>
  <c r="D391" i="605" s="1"/>
  <c r="D390" i="605"/>
  <c r="D313" i="605"/>
  <c r="AN314" i="605"/>
  <c r="D314" i="605" s="1"/>
  <c r="D103" i="605"/>
  <c r="AN104" i="605"/>
  <c r="D104" i="605" s="1"/>
  <c r="AN76" i="605"/>
  <c r="D76" i="605" s="1"/>
  <c r="D75" i="605"/>
  <c r="AN216" i="605"/>
  <c r="D216" i="605" s="1"/>
  <c r="D215" i="605"/>
  <c r="D96" i="605"/>
  <c r="AN97" i="605"/>
  <c r="D97" i="605" s="1"/>
  <c r="D305" i="605"/>
  <c r="AN306" i="605"/>
  <c r="D207" i="605"/>
  <c r="AN208" i="605"/>
  <c r="D39" i="605"/>
  <c r="AN40" i="605"/>
  <c r="H23" i="614"/>
  <c r="I51" i="614"/>
  <c r="I25" i="614"/>
  <c r="I23" i="614"/>
  <c r="H51" i="614"/>
  <c r="H53" i="614"/>
  <c r="I25" i="612"/>
  <c r="I23" i="612"/>
  <c r="H51" i="612"/>
  <c r="H53" i="612"/>
  <c r="I25" i="610"/>
  <c r="I23" i="610"/>
  <c r="H51" i="610"/>
  <c r="H53" i="610"/>
  <c r="I25" i="608"/>
  <c r="I23" i="608"/>
  <c r="H51" i="608"/>
  <c r="I25" i="606"/>
  <c r="I23" i="606"/>
  <c r="H51" i="606"/>
  <c r="H53" i="606"/>
  <c r="H24" i="614" l="1"/>
  <c r="I24" i="614" s="1"/>
  <c r="G54" i="614"/>
  <c r="F55" i="614"/>
  <c r="K22" i="614"/>
  <c r="H26" i="614"/>
  <c r="G27" i="614"/>
  <c r="H52" i="614"/>
  <c r="I52" i="614" s="1"/>
  <c r="AN41" i="613"/>
  <c r="D41" i="613" s="1"/>
  <c r="D40" i="613"/>
  <c r="AN139" i="613"/>
  <c r="D139" i="613" s="1"/>
  <c r="D138" i="613"/>
  <c r="AM13" i="613"/>
  <c r="C12" i="613"/>
  <c r="AL13" i="613"/>
  <c r="B12" i="613"/>
  <c r="D124" i="613"/>
  <c r="AN125" i="613"/>
  <c r="D125" i="613" s="1"/>
  <c r="AN111" i="613"/>
  <c r="D111" i="613" s="1"/>
  <c r="D110" i="613"/>
  <c r="G54" i="612"/>
  <c r="F55" i="612"/>
  <c r="K22" i="612"/>
  <c r="H26" i="612"/>
  <c r="G27" i="612"/>
  <c r="I24" i="612"/>
  <c r="H52" i="612"/>
  <c r="AO331" i="611"/>
  <c r="E331" i="611" s="1"/>
  <c r="E330" i="611"/>
  <c r="AO323" i="611"/>
  <c r="E323" i="611" s="1"/>
  <c r="E322" i="611"/>
  <c r="AO387" i="611"/>
  <c r="E387" i="611" s="1"/>
  <c r="E386" i="611"/>
  <c r="AO316" i="611"/>
  <c r="E316" i="611" s="1"/>
  <c r="E315" i="611"/>
  <c r="D22" i="611"/>
  <c r="AN23" i="611"/>
  <c r="AO66" i="611"/>
  <c r="E66" i="611" s="1"/>
  <c r="E65" i="611"/>
  <c r="E358" i="611"/>
  <c r="AO359" i="611"/>
  <c r="E359" i="611" s="1"/>
  <c r="E30" i="611"/>
  <c r="AO31" i="611"/>
  <c r="E31" i="611" s="1"/>
  <c r="AN332" i="611"/>
  <c r="D331" i="611"/>
  <c r="AO233" i="611"/>
  <c r="E233" i="611" s="1"/>
  <c r="E232" i="611"/>
  <c r="E295" i="611"/>
  <c r="AO296" i="611"/>
  <c r="E296" i="611" s="1"/>
  <c r="E274" i="611"/>
  <c r="AO275" i="611"/>
  <c r="E275" i="611" s="1"/>
  <c r="AO52" i="611"/>
  <c r="E52" i="611" s="1"/>
  <c r="E51" i="611"/>
  <c r="E23" i="611"/>
  <c r="AO24" i="611"/>
  <c r="E24" i="611" s="1"/>
  <c r="E58" i="611"/>
  <c r="AO59" i="611"/>
  <c r="E59" i="611" s="1"/>
  <c r="AO373" i="611"/>
  <c r="E373" i="611" s="1"/>
  <c r="E372" i="611"/>
  <c r="B14" i="611"/>
  <c r="AL15" i="611"/>
  <c r="AL16" i="611" s="1"/>
  <c r="C21" i="611"/>
  <c r="AM22" i="611"/>
  <c r="H52" i="610"/>
  <c r="I24" i="610"/>
  <c r="G54" i="610"/>
  <c r="F55" i="610"/>
  <c r="K22" i="610"/>
  <c r="AN146" i="609"/>
  <c r="D146" i="609" s="1"/>
  <c r="D145" i="609"/>
  <c r="H26" i="610"/>
  <c r="G27" i="610"/>
  <c r="AM14" i="609"/>
  <c r="C13" i="609"/>
  <c r="AN307" i="609"/>
  <c r="D307" i="609" s="1"/>
  <c r="D306" i="609"/>
  <c r="AN167" i="609"/>
  <c r="D167" i="609" s="1"/>
  <c r="D166" i="609"/>
  <c r="D229" i="609"/>
  <c r="AN230" i="609"/>
  <c r="D230" i="609" s="1"/>
  <c r="D292" i="609"/>
  <c r="AN293" i="609"/>
  <c r="D293" i="609" s="1"/>
  <c r="AN321" i="609"/>
  <c r="D321" i="609" s="1"/>
  <c r="D320" i="609"/>
  <c r="AN90" i="609"/>
  <c r="D90" i="609" s="1"/>
  <c r="D89" i="609"/>
  <c r="AN181" i="609"/>
  <c r="D181" i="609" s="1"/>
  <c r="D180" i="609"/>
  <c r="AN216" i="609"/>
  <c r="D216" i="609" s="1"/>
  <c r="D215" i="609"/>
  <c r="AL14" i="609"/>
  <c r="B13" i="609"/>
  <c r="AN160" i="609"/>
  <c r="D160" i="609" s="1"/>
  <c r="D159" i="609"/>
  <c r="D201" i="609"/>
  <c r="AN202" i="609"/>
  <c r="D202" i="609" s="1"/>
  <c r="D194" i="609"/>
  <c r="AN195" i="609"/>
  <c r="D195" i="609" s="1"/>
  <c r="AN76" i="609"/>
  <c r="D76" i="609" s="1"/>
  <c r="D75" i="609"/>
  <c r="AN153" i="609"/>
  <c r="D153" i="609" s="1"/>
  <c r="D152" i="609"/>
  <c r="AN349" i="605"/>
  <c r="D349" i="605" s="1"/>
  <c r="H52" i="608"/>
  <c r="H26" i="608"/>
  <c r="G27" i="608"/>
  <c r="I24" i="608"/>
  <c r="K22" i="608"/>
  <c r="G54" i="608"/>
  <c r="F55" i="608"/>
  <c r="AN76" i="607"/>
  <c r="D76" i="607" s="1"/>
  <c r="D75" i="607"/>
  <c r="AN90" i="607"/>
  <c r="D90" i="607" s="1"/>
  <c r="D89" i="607"/>
  <c r="AL14" i="607"/>
  <c r="B13" i="607"/>
  <c r="AM14" i="607"/>
  <c r="C13" i="607"/>
  <c r="H52" i="606"/>
  <c r="I24" i="606"/>
  <c r="H26" i="606"/>
  <c r="G27" i="606"/>
  <c r="G54" i="606"/>
  <c r="F55" i="606"/>
  <c r="K22" i="606"/>
  <c r="D250" i="605"/>
  <c r="AN251" i="605"/>
  <c r="D251" i="605" s="1"/>
  <c r="D201" i="605"/>
  <c r="AN202" i="605"/>
  <c r="D202" i="605" s="1"/>
  <c r="D40" i="605"/>
  <c r="AN41" i="605"/>
  <c r="D41" i="605" s="1"/>
  <c r="D187" i="605"/>
  <c r="AN188" i="605"/>
  <c r="D188" i="605" s="1"/>
  <c r="D180" i="605"/>
  <c r="AN181" i="605"/>
  <c r="D181" i="605" s="1"/>
  <c r="AN209" i="605"/>
  <c r="D209" i="605" s="1"/>
  <c r="D208" i="605"/>
  <c r="AN83" i="605"/>
  <c r="D83" i="605" s="1"/>
  <c r="D82" i="605"/>
  <c r="AN307" i="605"/>
  <c r="D307" i="605" s="1"/>
  <c r="D306" i="605"/>
  <c r="D376" i="605"/>
  <c r="AN377" i="605"/>
  <c r="D377" i="605" s="1"/>
  <c r="D397" i="605"/>
  <c r="AN398" i="605"/>
  <c r="D398" i="605" s="1"/>
  <c r="AN223" i="605"/>
  <c r="D223" i="605" s="1"/>
  <c r="D222" i="605"/>
  <c r="AM12" i="605"/>
  <c r="C11" i="605"/>
  <c r="B12" i="605"/>
  <c r="AL13" i="605"/>
  <c r="AN153" i="605"/>
  <c r="D153" i="605" s="1"/>
  <c r="D152" i="605"/>
  <c r="AN69" i="605"/>
  <c r="D69" i="605" s="1"/>
  <c r="D68" i="605"/>
  <c r="I53" i="614"/>
  <c r="J25" i="614"/>
  <c r="J25" i="612"/>
  <c r="J23" i="612"/>
  <c r="I51" i="612"/>
  <c r="I53" i="612"/>
  <c r="J25" i="610"/>
  <c r="J23" i="610"/>
  <c r="I51" i="610"/>
  <c r="I53" i="610"/>
  <c r="I51" i="608"/>
  <c r="I53" i="608"/>
  <c r="J25" i="608"/>
  <c r="J25" i="606"/>
  <c r="J23" i="606"/>
  <c r="I51" i="606"/>
  <c r="I53" i="606"/>
  <c r="I26" i="614" l="1"/>
  <c r="H27" i="614"/>
  <c r="L22" i="614"/>
  <c r="H54" i="614"/>
  <c r="G55" i="614"/>
  <c r="AL14" i="613"/>
  <c r="B13" i="613"/>
  <c r="AM14" i="613"/>
  <c r="C13" i="613"/>
  <c r="I52" i="612"/>
  <c r="J24" i="612"/>
  <c r="I26" i="612"/>
  <c r="H27" i="612"/>
  <c r="L22" i="612"/>
  <c r="H54" i="612"/>
  <c r="G55" i="612"/>
  <c r="AM23" i="611"/>
  <c r="C22" i="611"/>
  <c r="B16" i="611"/>
  <c r="AL17" i="611"/>
  <c r="AN333" i="611"/>
  <c r="D332" i="611"/>
  <c r="D23" i="611"/>
  <c r="AN24" i="611"/>
  <c r="I26" i="610"/>
  <c r="H27" i="610"/>
  <c r="L22" i="610"/>
  <c r="H54" i="610"/>
  <c r="G55" i="610"/>
  <c r="J24" i="610"/>
  <c r="I52" i="610"/>
  <c r="AL15" i="609"/>
  <c r="B14" i="609"/>
  <c r="AM15" i="609"/>
  <c r="C14" i="609"/>
  <c r="H54" i="608"/>
  <c r="G55" i="608"/>
  <c r="L22" i="608"/>
  <c r="I26" i="608"/>
  <c r="H27" i="608"/>
  <c r="I52" i="608"/>
  <c r="AM15" i="607"/>
  <c r="C14" i="607"/>
  <c r="AL15" i="607"/>
  <c r="B14" i="607"/>
  <c r="L22" i="606"/>
  <c r="H54" i="606"/>
  <c r="G55" i="606"/>
  <c r="I26" i="606"/>
  <c r="H27" i="606"/>
  <c r="J24" i="606"/>
  <c r="I52" i="606"/>
  <c r="AL14" i="605"/>
  <c r="B13" i="605"/>
  <c r="C12" i="605"/>
  <c r="AM13" i="605"/>
  <c r="K25" i="614"/>
  <c r="J53" i="614"/>
  <c r="J23" i="614"/>
  <c r="K23" i="614"/>
  <c r="J51" i="614"/>
  <c r="K25" i="612"/>
  <c r="K23" i="612"/>
  <c r="J51" i="612"/>
  <c r="J53" i="612"/>
  <c r="K23" i="610"/>
  <c r="J53" i="610"/>
  <c r="K25" i="610"/>
  <c r="J51" i="610"/>
  <c r="K23" i="608"/>
  <c r="J53" i="608"/>
  <c r="J23" i="608"/>
  <c r="J51" i="608"/>
  <c r="K25" i="608"/>
  <c r="K53" i="608"/>
  <c r="K25" i="606"/>
  <c r="K23" i="606"/>
  <c r="J51" i="606"/>
  <c r="J53" i="606"/>
  <c r="J52" i="614" l="1"/>
  <c r="J24" i="614"/>
  <c r="K24" i="614" s="1"/>
  <c r="M22" i="614"/>
  <c r="I54" i="614"/>
  <c r="H55" i="614"/>
  <c r="J26" i="614"/>
  <c r="I27" i="614"/>
  <c r="AM15" i="613"/>
  <c r="C14" i="613"/>
  <c r="AL15" i="613"/>
  <c r="B14" i="613"/>
  <c r="I54" i="612"/>
  <c r="H55" i="612"/>
  <c r="M22" i="612"/>
  <c r="J26" i="612"/>
  <c r="I27" i="612"/>
  <c r="K24" i="612"/>
  <c r="J52" i="612"/>
  <c r="D24" i="611"/>
  <c r="AN25" i="611"/>
  <c r="AN334" i="611"/>
  <c r="D333" i="611"/>
  <c r="AL18" i="611"/>
  <c r="B17" i="611"/>
  <c r="AM24" i="611"/>
  <c r="C23" i="611"/>
  <c r="K24" i="610"/>
  <c r="M22" i="610"/>
  <c r="J52" i="610"/>
  <c r="I54" i="610"/>
  <c r="H55" i="610"/>
  <c r="J26" i="610"/>
  <c r="I27" i="610"/>
  <c r="AM16" i="609"/>
  <c r="C15" i="609"/>
  <c r="AL16" i="609"/>
  <c r="B15" i="609"/>
  <c r="J24" i="608"/>
  <c r="K24" i="608" s="1"/>
  <c r="J52" i="608"/>
  <c r="J26" i="608"/>
  <c r="I27" i="608"/>
  <c r="M22" i="608"/>
  <c r="I54" i="608"/>
  <c r="H55" i="608"/>
  <c r="AL16" i="607"/>
  <c r="B15" i="607"/>
  <c r="AM16" i="607"/>
  <c r="C15" i="607"/>
  <c r="K24" i="606"/>
  <c r="I54" i="606"/>
  <c r="H55" i="606"/>
  <c r="J52" i="606"/>
  <c r="M22" i="606"/>
  <c r="J26" i="606"/>
  <c r="I27" i="606"/>
  <c r="C13" i="605"/>
  <c r="AM14" i="605"/>
  <c r="B14" i="605"/>
  <c r="AL15" i="605"/>
  <c r="K51" i="614"/>
  <c r="L25" i="614"/>
  <c r="K53" i="614"/>
  <c r="L23" i="614"/>
  <c r="L51" i="612"/>
  <c r="L25" i="612"/>
  <c r="L23" i="612"/>
  <c r="K51" i="612"/>
  <c r="K53" i="612"/>
  <c r="L23" i="610"/>
  <c r="K53" i="610"/>
  <c r="K51" i="610"/>
  <c r="L25" i="610"/>
  <c r="K51" i="608"/>
  <c r="L23" i="608"/>
  <c r="L25" i="608"/>
  <c r="L53" i="608"/>
  <c r="K53" i="606"/>
  <c r="L23" i="606"/>
  <c r="L25" i="606"/>
  <c r="K51" i="606"/>
  <c r="L51" i="606"/>
  <c r="K26" i="614" l="1"/>
  <c r="J27" i="614"/>
  <c r="J54" i="614"/>
  <c r="I55" i="614"/>
  <c r="N22" i="614"/>
  <c r="L24" i="614"/>
  <c r="K52" i="614"/>
  <c r="AL16" i="613"/>
  <c r="B15" i="613"/>
  <c r="AM16" i="613"/>
  <c r="C15" i="613"/>
  <c r="K52" i="612"/>
  <c r="L52" i="612" s="1"/>
  <c r="L24" i="612"/>
  <c r="K26" i="612"/>
  <c r="J27" i="612"/>
  <c r="N22" i="612"/>
  <c r="J54" i="612"/>
  <c r="I55" i="612"/>
  <c r="AM25" i="611"/>
  <c r="C24" i="611"/>
  <c r="B18" i="611"/>
  <c r="AL19" i="611"/>
  <c r="AN335" i="611"/>
  <c r="D334" i="611"/>
  <c r="D25" i="611"/>
  <c r="AN26" i="611"/>
  <c r="K26" i="610"/>
  <c r="J27" i="610"/>
  <c r="J54" i="610"/>
  <c r="I55" i="610"/>
  <c r="N22" i="610"/>
  <c r="K52" i="610"/>
  <c r="L24" i="610"/>
  <c r="AL17" i="609"/>
  <c r="B16" i="609"/>
  <c r="AM17" i="609"/>
  <c r="C16" i="609"/>
  <c r="J54" i="608"/>
  <c r="I55" i="608"/>
  <c r="K26" i="608"/>
  <c r="J27" i="608"/>
  <c r="N22" i="608"/>
  <c r="K52" i="608"/>
  <c r="L24" i="608"/>
  <c r="AM17" i="607"/>
  <c r="C16" i="607"/>
  <c r="AL17" i="607"/>
  <c r="B16" i="607"/>
  <c r="K26" i="606"/>
  <c r="J27" i="606"/>
  <c r="K52" i="606"/>
  <c r="L52" i="606" s="1"/>
  <c r="J54" i="606"/>
  <c r="I55" i="606"/>
  <c r="N22" i="606"/>
  <c r="L24" i="606"/>
  <c r="C14" i="605"/>
  <c r="AM15" i="605"/>
  <c r="B15" i="605"/>
  <c r="AL16" i="605"/>
  <c r="M25" i="614"/>
  <c r="M23" i="614"/>
  <c r="L51" i="614"/>
  <c r="L53" i="614"/>
  <c r="M23" i="612"/>
  <c r="L53" i="612"/>
  <c r="M25" i="612"/>
  <c r="L51" i="610"/>
  <c r="L53" i="610"/>
  <c r="M25" i="610"/>
  <c r="M25" i="608"/>
  <c r="M23" i="608"/>
  <c r="L51" i="608"/>
  <c r="M51" i="608"/>
  <c r="L53" i="606"/>
  <c r="M23" i="606"/>
  <c r="M51" i="606"/>
  <c r="M25" i="606"/>
  <c r="L52" i="614" l="1"/>
  <c r="M24" i="614"/>
  <c r="O22" i="614"/>
  <c r="K54" i="614"/>
  <c r="J55" i="614"/>
  <c r="L26" i="614"/>
  <c r="K27" i="614"/>
  <c r="C16" i="613"/>
  <c r="AM17" i="613"/>
  <c r="B16" i="613"/>
  <c r="AL17" i="613"/>
  <c r="K54" i="612"/>
  <c r="J55" i="612"/>
  <c r="O22" i="612"/>
  <c r="L26" i="612"/>
  <c r="K27" i="612"/>
  <c r="M24" i="612"/>
  <c r="D26" i="611"/>
  <c r="AN27" i="611"/>
  <c r="AN336" i="611"/>
  <c r="D335" i="611"/>
  <c r="B19" i="611"/>
  <c r="AL20" i="611"/>
  <c r="C25" i="611"/>
  <c r="AM26" i="611"/>
  <c r="L52" i="610"/>
  <c r="O22" i="610"/>
  <c r="K54" i="610"/>
  <c r="J55" i="610"/>
  <c r="L26" i="610"/>
  <c r="K27" i="610"/>
  <c r="AM18" i="609"/>
  <c r="C17" i="609"/>
  <c r="AL18" i="609"/>
  <c r="B17" i="609"/>
  <c r="L52" i="608"/>
  <c r="M52" i="608" s="1"/>
  <c r="L26" i="608"/>
  <c r="K27" i="608"/>
  <c r="M24" i="608"/>
  <c r="O22" i="608"/>
  <c r="K54" i="608"/>
  <c r="J55" i="608"/>
  <c r="AL18" i="607"/>
  <c r="B17" i="607"/>
  <c r="AM18" i="607"/>
  <c r="C17" i="607"/>
  <c r="M24" i="606"/>
  <c r="M52" i="606"/>
  <c r="O22" i="606"/>
  <c r="K54" i="606"/>
  <c r="J55" i="606"/>
  <c r="L26" i="606"/>
  <c r="K27" i="606"/>
  <c r="C15" i="605"/>
  <c r="AM16" i="605"/>
  <c r="B16" i="605"/>
  <c r="AL17" i="605"/>
  <c r="M51" i="614"/>
  <c r="N25" i="614"/>
  <c r="M53" i="614"/>
  <c r="N23" i="614"/>
  <c r="N51" i="614"/>
  <c r="N25" i="612"/>
  <c r="N23" i="612"/>
  <c r="M51" i="612"/>
  <c r="M53" i="612"/>
  <c r="M23" i="610"/>
  <c r="N25" i="610"/>
  <c r="M51" i="610"/>
  <c r="N23" i="610"/>
  <c r="M53" i="610"/>
  <c r="M53" i="608"/>
  <c r="N23" i="608"/>
  <c r="N25" i="608"/>
  <c r="N23" i="606"/>
  <c r="M53" i="606"/>
  <c r="N25" i="606"/>
  <c r="N53" i="606"/>
  <c r="L54" i="614" l="1"/>
  <c r="K55" i="614"/>
  <c r="M26" i="614"/>
  <c r="L27" i="614"/>
  <c r="N24" i="614"/>
  <c r="P22" i="614"/>
  <c r="M52" i="614"/>
  <c r="N52" i="614" s="1"/>
  <c r="AL18" i="613"/>
  <c r="B17" i="613"/>
  <c r="C17" i="613"/>
  <c r="AM18" i="613"/>
  <c r="M52" i="612"/>
  <c r="M26" i="612"/>
  <c r="L27" i="612"/>
  <c r="P22" i="612"/>
  <c r="N24" i="612"/>
  <c r="L54" i="612"/>
  <c r="K55" i="612"/>
  <c r="AM27" i="611"/>
  <c r="C26" i="611"/>
  <c r="B20" i="611"/>
  <c r="AL21" i="611"/>
  <c r="D336" i="611"/>
  <c r="AN337" i="611"/>
  <c r="D27" i="611"/>
  <c r="AN28" i="611"/>
  <c r="M24" i="610"/>
  <c r="N24" i="610" s="1"/>
  <c r="L54" i="610"/>
  <c r="K55" i="610"/>
  <c r="P22" i="610"/>
  <c r="M26" i="610"/>
  <c r="L27" i="610"/>
  <c r="M52" i="610"/>
  <c r="AL19" i="609"/>
  <c r="B18" i="609"/>
  <c r="AM19" i="609"/>
  <c r="C18" i="609"/>
  <c r="L54" i="608"/>
  <c r="K55" i="608"/>
  <c r="P22" i="608"/>
  <c r="M26" i="608"/>
  <c r="L27" i="608"/>
  <c r="N24" i="608"/>
  <c r="AM19" i="607"/>
  <c r="C18" i="607"/>
  <c r="AL19" i="607"/>
  <c r="B18" i="607"/>
  <c r="L54" i="606"/>
  <c r="K55" i="606"/>
  <c r="M26" i="606"/>
  <c r="L27" i="606"/>
  <c r="P22" i="606"/>
  <c r="N24" i="606"/>
  <c r="AL18" i="605"/>
  <c r="B17" i="605"/>
  <c r="C16" i="605"/>
  <c r="AM17" i="605"/>
  <c r="O25" i="614"/>
  <c r="O23" i="614"/>
  <c r="N53" i="614"/>
  <c r="O23" i="612"/>
  <c r="N51" i="612"/>
  <c r="N53" i="612"/>
  <c r="O25" i="612"/>
  <c r="N51" i="610"/>
  <c r="N53" i="610"/>
  <c r="O23" i="610"/>
  <c r="O23" i="608"/>
  <c r="N51" i="608"/>
  <c r="N53" i="608"/>
  <c r="O25" i="608"/>
  <c r="N51" i="606"/>
  <c r="O25" i="606"/>
  <c r="O23" i="606"/>
  <c r="O51" i="606"/>
  <c r="Q22" i="614" l="1"/>
  <c r="O24" i="614"/>
  <c r="N26" i="614"/>
  <c r="M27" i="614"/>
  <c r="M54" i="614"/>
  <c r="L55" i="614"/>
  <c r="C18" i="613"/>
  <c r="AM19" i="613"/>
  <c r="B18" i="613"/>
  <c r="AL19" i="613"/>
  <c r="M54" i="612"/>
  <c r="L55" i="612"/>
  <c r="O24" i="612"/>
  <c r="Q22" i="612"/>
  <c r="N26" i="612"/>
  <c r="M27" i="612"/>
  <c r="N52" i="612"/>
  <c r="D28" i="611"/>
  <c r="AN29" i="611"/>
  <c r="AN338" i="611"/>
  <c r="D337" i="611"/>
  <c r="B21" i="611"/>
  <c r="AL22" i="611"/>
  <c r="C27" i="611"/>
  <c r="AM28" i="611"/>
  <c r="Q22" i="610"/>
  <c r="N52" i="610"/>
  <c r="M54" i="610"/>
  <c r="L55" i="610"/>
  <c r="N26" i="610"/>
  <c r="M27" i="610"/>
  <c r="O24" i="610"/>
  <c r="AM20" i="609"/>
  <c r="C19" i="609"/>
  <c r="AL20" i="609"/>
  <c r="B19" i="609"/>
  <c r="N52" i="608"/>
  <c r="O24" i="608"/>
  <c r="Q22" i="608"/>
  <c r="N26" i="608"/>
  <c r="M27" i="608"/>
  <c r="M54" i="608"/>
  <c r="L55" i="608"/>
  <c r="AL20" i="607"/>
  <c r="B19" i="607"/>
  <c r="AM20" i="607"/>
  <c r="C19" i="607"/>
  <c r="N52" i="606"/>
  <c r="O52" i="606" s="1"/>
  <c r="O24" i="606"/>
  <c r="N26" i="606"/>
  <c r="M27" i="606"/>
  <c r="M54" i="606"/>
  <c r="L55" i="606"/>
  <c r="Q22" i="606"/>
  <c r="C17" i="605"/>
  <c r="AM18" i="605"/>
  <c r="AL19" i="605"/>
  <c r="B18" i="605"/>
  <c r="P25" i="614"/>
  <c r="P23" i="614"/>
  <c r="O51" i="614"/>
  <c r="O53" i="614"/>
  <c r="P23" i="612"/>
  <c r="O51" i="612"/>
  <c r="O53" i="612"/>
  <c r="P25" i="612"/>
  <c r="P25" i="610"/>
  <c r="P23" i="610"/>
  <c r="O51" i="610"/>
  <c r="O53" i="610"/>
  <c r="O25" i="610"/>
  <c r="P25" i="608"/>
  <c r="O53" i="608"/>
  <c r="O51" i="608"/>
  <c r="P23" i="608"/>
  <c r="P25" i="606"/>
  <c r="O53" i="606"/>
  <c r="P23" i="606"/>
  <c r="P53" i="606"/>
  <c r="O52" i="614" l="1"/>
  <c r="O26" i="614"/>
  <c r="N27" i="614"/>
  <c r="P24" i="614"/>
  <c r="R22" i="614"/>
  <c r="N54" i="614"/>
  <c r="M55" i="614"/>
  <c r="AL20" i="613"/>
  <c r="B19" i="613"/>
  <c r="C19" i="613"/>
  <c r="AM20" i="613"/>
  <c r="O52" i="612"/>
  <c r="O26" i="612"/>
  <c r="N27" i="612"/>
  <c r="R22" i="612"/>
  <c r="P24" i="612"/>
  <c r="N54" i="612"/>
  <c r="M55" i="612"/>
  <c r="AM29" i="611"/>
  <c r="C28" i="611"/>
  <c r="B22" i="611"/>
  <c r="AL23" i="611"/>
  <c r="AN339" i="611"/>
  <c r="D338" i="611"/>
  <c r="AN30" i="611"/>
  <c r="D29" i="611"/>
  <c r="P24" i="610"/>
  <c r="O26" i="610"/>
  <c r="N27" i="610"/>
  <c r="N54" i="610"/>
  <c r="M55" i="610"/>
  <c r="R22" i="610"/>
  <c r="O52" i="610"/>
  <c r="AL21" i="609"/>
  <c r="B20" i="609"/>
  <c r="AM21" i="609"/>
  <c r="C20" i="609"/>
  <c r="N54" i="608"/>
  <c r="M55" i="608"/>
  <c r="R22" i="608"/>
  <c r="O26" i="608"/>
  <c r="N27" i="608"/>
  <c r="P24" i="608"/>
  <c r="O52" i="608"/>
  <c r="AM21" i="607"/>
  <c r="C20" i="607"/>
  <c r="AL21" i="607"/>
  <c r="B20" i="607"/>
  <c r="N54" i="606"/>
  <c r="M55" i="606"/>
  <c r="R22" i="606"/>
  <c r="O26" i="606"/>
  <c r="N27" i="606"/>
  <c r="P24" i="606"/>
  <c r="AM19" i="605"/>
  <c r="C18" i="605"/>
  <c r="AL20" i="605"/>
  <c r="B19" i="605"/>
  <c r="P53" i="614"/>
  <c r="Q25" i="614"/>
  <c r="P51" i="614"/>
  <c r="Q23" i="614"/>
  <c r="Q53" i="614"/>
  <c r="Q25" i="612"/>
  <c r="Q23" i="612"/>
  <c r="P51" i="612"/>
  <c r="P53" i="612"/>
  <c r="Q23" i="610"/>
  <c r="P51" i="610"/>
  <c r="P53" i="610"/>
  <c r="Q25" i="610"/>
  <c r="P51" i="608"/>
  <c r="Q25" i="608"/>
  <c r="Q23" i="608"/>
  <c r="P53" i="608"/>
  <c r="Q53" i="608"/>
  <c r="P51" i="606"/>
  <c r="Q25" i="606"/>
  <c r="Q23" i="606"/>
  <c r="Q51" i="606"/>
  <c r="O54" i="614" l="1"/>
  <c r="N55" i="614"/>
  <c r="Q24" i="614"/>
  <c r="S22" i="614"/>
  <c r="P26" i="614"/>
  <c r="O27" i="614"/>
  <c r="P52" i="614"/>
  <c r="C20" i="613"/>
  <c r="AM21" i="613"/>
  <c r="B20" i="613"/>
  <c r="AL21" i="613"/>
  <c r="Q24" i="612"/>
  <c r="O54" i="612"/>
  <c r="N55" i="612"/>
  <c r="S22" i="612"/>
  <c r="P26" i="612"/>
  <c r="O27" i="612"/>
  <c r="P52" i="612"/>
  <c r="D339" i="611"/>
  <c r="AN340" i="611"/>
  <c r="AL24" i="611"/>
  <c r="B23" i="611"/>
  <c r="D30" i="611"/>
  <c r="AN31" i="611"/>
  <c r="AM30" i="611"/>
  <c r="C29" i="611"/>
  <c r="S22" i="610"/>
  <c r="P52" i="610"/>
  <c r="O54" i="610"/>
  <c r="N55" i="610"/>
  <c r="P26" i="610"/>
  <c r="O27" i="610"/>
  <c r="Q24" i="610"/>
  <c r="AM22" i="609"/>
  <c r="C21" i="609"/>
  <c r="AL22" i="609"/>
  <c r="B21" i="609"/>
  <c r="P52" i="608"/>
  <c r="Q24" i="608"/>
  <c r="S22" i="608"/>
  <c r="P26" i="608"/>
  <c r="O27" i="608"/>
  <c r="O54" i="608"/>
  <c r="N55" i="608"/>
  <c r="AL22" i="607"/>
  <c r="B21" i="607"/>
  <c r="AM22" i="607"/>
  <c r="C21" i="607"/>
  <c r="P52" i="606"/>
  <c r="Q52" i="606" s="1"/>
  <c r="Q24" i="606"/>
  <c r="S22" i="606"/>
  <c r="P26" i="606"/>
  <c r="O27" i="606"/>
  <c r="O54" i="606"/>
  <c r="N55" i="606"/>
  <c r="AL21" i="605"/>
  <c r="B20" i="605"/>
  <c r="AM20" i="605"/>
  <c r="C19" i="605"/>
  <c r="Q51" i="614"/>
  <c r="R51" i="614"/>
  <c r="R23" i="614"/>
  <c r="R25" i="614"/>
  <c r="R23" i="612"/>
  <c r="Q51" i="612"/>
  <c r="R25" i="612"/>
  <c r="Q53" i="612"/>
  <c r="R25" i="610"/>
  <c r="R23" i="610"/>
  <c r="Q51" i="610"/>
  <c r="Q53" i="610"/>
  <c r="R23" i="608"/>
  <c r="Q51" i="608"/>
  <c r="R25" i="608"/>
  <c r="R53" i="608"/>
  <c r="R23" i="606"/>
  <c r="Q53" i="606"/>
  <c r="R25" i="606"/>
  <c r="R53" i="606"/>
  <c r="Q52" i="614" l="1"/>
  <c r="R52" i="614" s="1"/>
  <c r="Q26" i="614"/>
  <c r="P27" i="614"/>
  <c r="T22" i="614"/>
  <c r="R24" i="614"/>
  <c r="P54" i="614"/>
  <c r="O55" i="614"/>
  <c r="B21" i="613"/>
  <c r="AL22" i="613"/>
  <c r="C21" i="613"/>
  <c r="AM22" i="613"/>
  <c r="T22" i="612"/>
  <c r="Q52" i="612"/>
  <c r="P54" i="612"/>
  <c r="O55" i="612"/>
  <c r="Q26" i="612"/>
  <c r="P27" i="612"/>
  <c r="R24" i="612"/>
  <c r="D31" i="611"/>
  <c r="AN32" i="611"/>
  <c r="AM31" i="611"/>
  <c r="C30" i="611"/>
  <c r="B24" i="611"/>
  <c r="AL25" i="611"/>
  <c r="D340" i="611"/>
  <c r="AN341" i="611"/>
  <c r="R24" i="610"/>
  <c r="Q26" i="610"/>
  <c r="P27" i="610"/>
  <c r="P54" i="610"/>
  <c r="O55" i="610"/>
  <c r="Q52" i="610"/>
  <c r="T22" i="610"/>
  <c r="AL23" i="609"/>
  <c r="B22" i="609"/>
  <c r="AM23" i="609"/>
  <c r="C22" i="609"/>
  <c r="P54" i="608"/>
  <c r="O55" i="608"/>
  <c r="Q26" i="608"/>
  <c r="P27" i="608"/>
  <c r="R24" i="608"/>
  <c r="T22" i="608"/>
  <c r="Q52" i="608"/>
  <c r="AM23" i="607"/>
  <c r="C22" i="607"/>
  <c r="AL23" i="607"/>
  <c r="B22" i="607"/>
  <c r="Q26" i="606"/>
  <c r="P27" i="606"/>
  <c r="P54" i="606"/>
  <c r="O55" i="606"/>
  <c r="T22" i="606"/>
  <c r="R24" i="606"/>
  <c r="AM21" i="605"/>
  <c r="C20" i="605"/>
  <c r="AL22" i="605"/>
  <c r="B21" i="605"/>
  <c r="S51" i="614"/>
  <c r="R53" i="614"/>
  <c r="R51" i="612"/>
  <c r="R53" i="612"/>
  <c r="R51" i="610"/>
  <c r="R53" i="610"/>
  <c r="R51" i="608"/>
  <c r="S51" i="608"/>
  <c r="R51" i="606"/>
  <c r="S53" i="606"/>
  <c r="Q54" i="614" l="1"/>
  <c r="P55" i="614"/>
  <c r="U22" i="614"/>
  <c r="R26" i="614"/>
  <c r="Q27" i="614"/>
  <c r="S52" i="614"/>
  <c r="C22" i="613"/>
  <c r="AM23" i="613"/>
  <c r="B22" i="613"/>
  <c r="AL23" i="613"/>
  <c r="U22" i="612"/>
  <c r="R26" i="612"/>
  <c r="Q27" i="612"/>
  <c r="R52" i="612"/>
  <c r="Q54" i="612"/>
  <c r="P55" i="612"/>
  <c r="AN342" i="611"/>
  <c r="D341" i="611"/>
  <c r="C31" i="611"/>
  <c r="AM32" i="611"/>
  <c r="D32" i="611"/>
  <c r="AN33" i="611"/>
  <c r="B25" i="611"/>
  <c r="AL26" i="611"/>
  <c r="U22" i="610"/>
  <c r="R52" i="610"/>
  <c r="Q54" i="610"/>
  <c r="P55" i="610"/>
  <c r="R26" i="610"/>
  <c r="Q27" i="610"/>
  <c r="AM24" i="609"/>
  <c r="C23" i="609"/>
  <c r="AL24" i="609"/>
  <c r="B23" i="609"/>
  <c r="U22" i="608"/>
  <c r="R26" i="608"/>
  <c r="Q27" i="608"/>
  <c r="R52" i="608"/>
  <c r="S52" i="608" s="1"/>
  <c r="Q54" i="608"/>
  <c r="P55" i="608"/>
  <c r="AL24" i="607"/>
  <c r="B23" i="607"/>
  <c r="AM24" i="607"/>
  <c r="C23" i="607"/>
  <c r="R52" i="606"/>
  <c r="Q54" i="606"/>
  <c r="P55" i="606"/>
  <c r="U22" i="606"/>
  <c r="R26" i="606"/>
  <c r="Q27" i="606"/>
  <c r="AL23" i="605"/>
  <c r="B22" i="605"/>
  <c r="AM22" i="605"/>
  <c r="C21" i="605"/>
  <c r="T25" i="614"/>
  <c r="S23" i="614"/>
  <c r="S25" i="614"/>
  <c r="T23" i="614"/>
  <c r="S53" i="614"/>
  <c r="T25" i="612"/>
  <c r="T23" i="612"/>
  <c r="S51" i="612"/>
  <c r="S53" i="612"/>
  <c r="S23" i="612"/>
  <c r="S25" i="612"/>
  <c r="T25" i="610"/>
  <c r="T23" i="610"/>
  <c r="S23" i="610"/>
  <c r="S51" i="610"/>
  <c r="S25" i="610"/>
  <c r="S53" i="610"/>
  <c r="T51" i="608"/>
  <c r="S23" i="608"/>
  <c r="S25" i="608"/>
  <c r="S53" i="608"/>
  <c r="S51" i="606"/>
  <c r="T23" i="606"/>
  <c r="T25" i="606"/>
  <c r="S25" i="606"/>
  <c r="S23" i="606"/>
  <c r="T53" i="606"/>
  <c r="S24" i="614" l="1"/>
  <c r="T24" i="614" s="1"/>
  <c r="S26" i="614"/>
  <c r="R27" i="614"/>
  <c r="V22" i="614"/>
  <c r="R54" i="614"/>
  <c r="Q55" i="614"/>
  <c r="AL24" i="613"/>
  <c r="B23" i="613"/>
  <c r="C23" i="613"/>
  <c r="AM24" i="613"/>
  <c r="S24" i="612"/>
  <c r="T24" i="612" s="1"/>
  <c r="R54" i="612"/>
  <c r="Q55" i="612"/>
  <c r="S52" i="612"/>
  <c r="S26" i="612"/>
  <c r="R27" i="612"/>
  <c r="V22" i="612"/>
  <c r="D33" i="611"/>
  <c r="AN34" i="611"/>
  <c r="B26" i="611"/>
  <c r="AL27" i="611"/>
  <c r="AM33" i="611"/>
  <c r="C32" i="611"/>
  <c r="AN343" i="611"/>
  <c r="D342" i="611"/>
  <c r="S24" i="610"/>
  <c r="T24" i="610" s="1"/>
  <c r="S26" i="610"/>
  <c r="R27" i="610"/>
  <c r="R54" i="610"/>
  <c r="Q55" i="610"/>
  <c r="S52" i="610"/>
  <c r="V22" i="610"/>
  <c r="AL25" i="609"/>
  <c r="B24" i="609"/>
  <c r="AM25" i="609"/>
  <c r="C24" i="609"/>
  <c r="S24" i="608"/>
  <c r="R54" i="608"/>
  <c r="Q55" i="608"/>
  <c r="S26" i="608"/>
  <c r="R27" i="608"/>
  <c r="V22" i="608"/>
  <c r="T52" i="608"/>
  <c r="AM25" i="607"/>
  <c r="C24" i="607"/>
  <c r="AL25" i="607"/>
  <c r="B24" i="607"/>
  <c r="S24" i="606"/>
  <c r="T24" i="606" s="1"/>
  <c r="S26" i="606"/>
  <c r="R27" i="606"/>
  <c r="R54" i="606"/>
  <c r="Q55" i="606"/>
  <c r="V22" i="606"/>
  <c r="S52" i="606"/>
  <c r="AM23" i="605"/>
  <c r="C22" i="605"/>
  <c r="B23" i="605"/>
  <c r="AL24" i="605"/>
  <c r="U25" i="614"/>
  <c r="T53" i="614"/>
  <c r="U53" i="614"/>
  <c r="U23" i="614"/>
  <c r="T51" i="614"/>
  <c r="U25" i="612"/>
  <c r="U23" i="612"/>
  <c r="T51" i="612"/>
  <c r="T53" i="612"/>
  <c r="U25" i="610"/>
  <c r="U23" i="610"/>
  <c r="T51" i="610"/>
  <c r="T53" i="610"/>
  <c r="U53" i="610"/>
  <c r="U23" i="608"/>
  <c r="U25" i="608"/>
  <c r="T25" i="608"/>
  <c r="T53" i="608"/>
  <c r="T23" i="608"/>
  <c r="U53" i="608"/>
  <c r="T51" i="606"/>
  <c r="U25" i="606"/>
  <c r="U23" i="606"/>
  <c r="T52" i="614" l="1"/>
  <c r="W22" i="614"/>
  <c r="R55" i="614"/>
  <c r="S54" i="614"/>
  <c r="S27" i="614"/>
  <c r="T26" i="614"/>
  <c r="U24" i="614"/>
  <c r="AM25" i="613"/>
  <c r="C24" i="613"/>
  <c r="B24" i="613"/>
  <c r="AL25" i="613"/>
  <c r="W22" i="612"/>
  <c r="S27" i="612"/>
  <c r="T26" i="612"/>
  <c r="T52" i="612"/>
  <c r="R55" i="612"/>
  <c r="S54" i="612"/>
  <c r="U24" i="612"/>
  <c r="D343" i="611"/>
  <c r="AN344" i="611"/>
  <c r="C33" i="611"/>
  <c r="AM34" i="611"/>
  <c r="D34" i="611"/>
  <c r="AN35" i="611"/>
  <c r="B27" i="611"/>
  <c r="AL28" i="611"/>
  <c r="W22" i="610"/>
  <c r="T52" i="610"/>
  <c r="R55" i="610"/>
  <c r="S54" i="610"/>
  <c r="S27" i="610"/>
  <c r="T26" i="610"/>
  <c r="U24" i="610"/>
  <c r="AM26" i="609"/>
  <c r="C25" i="609"/>
  <c r="AL26" i="609"/>
  <c r="B25" i="609"/>
  <c r="S27" i="608"/>
  <c r="T26" i="608"/>
  <c r="W22" i="608"/>
  <c r="R55" i="608"/>
  <c r="S54" i="608"/>
  <c r="T24" i="608"/>
  <c r="U24" i="608" s="1"/>
  <c r="AL26" i="607"/>
  <c r="B25" i="607"/>
  <c r="AM26" i="607"/>
  <c r="C25" i="607"/>
  <c r="T52" i="606"/>
  <c r="W22" i="606"/>
  <c r="R55" i="606"/>
  <c r="S54" i="606"/>
  <c r="S27" i="606"/>
  <c r="T26" i="606"/>
  <c r="U24" i="606"/>
  <c r="AL25" i="605"/>
  <c r="B24" i="605"/>
  <c r="AM24" i="605"/>
  <c r="C23" i="605"/>
  <c r="V25" i="614"/>
  <c r="V23" i="614"/>
  <c r="U51" i="614"/>
  <c r="V25" i="612"/>
  <c r="V23" i="612"/>
  <c r="U51" i="612"/>
  <c r="U53" i="612"/>
  <c r="U51" i="610"/>
  <c r="V25" i="610"/>
  <c r="V23" i="610"/>
  <c r="V23" i="608"/>
  <c r="V25" i="608"/>
  <c r="U51" i="608"/>
  <c r="V53" i="608"/>
  <c r="V25" i="606"/>
  <c r="U51" i="606"/>
  <c r="V23" i="606"/>
  <c r="U53" i="606"/>
  <c r="V51" i="606"/>
  <c r="T54" i="614" l="1"/>
  <c r="S55" i="614"/>
  <c r="U26" i="614"/>
  <c r="T27" i="614"/>
  <c r="X22" i="614"/>
  <c r="V24" i="614"/>
  <c r="U52" i="614"/>
  <c r="AL26" i="613"/>
  <c r="B25" i="613"/>
  <c r="AM26" i="613"/>
  <c r="C25" i="613"/>
  <c r="V24" i="612"/>
  <c r="T54" i="612"/>
  <c r="S55" i="612"/>
  <c r="U52" i="612"/>
  <c r="U26" i="612"/>
  <c r="T27" i="612"/>
  <c r="X22" i="612"/>
  <c r="AN36" i="611"/>
  <c r="D35" i="611"/>
  <c r="B28" i="611"/>
  <c r="AL29" i="611"/>
  <c r="AM35" i="611"/>
  <c r="C34" i="611"/>
  <c r="D344" i="611"/>
  <c r="AN345" i="611"/>
  <c r="V24" i="610"/>
  <c r="T54" i="610"/>
  <c r="S55" i="610"/>
  <c r="U52" i="610"/>
  <c r="X22" i="610"/>
  <c r="U26" i="610"/>
  <c r="T27" i="610"/>
  <c r="AL27" i="609"/>
  <c r="B26" i="609"/>
  <c r="AM27" i="609"/>
  <c r="C26" i="609"/>
  <c r="U52" i="608"/>
  <c r="S55" i="608"/>
  <c r="T54" i="608"/>
  <c r="X22" i="608"/>
  <c r="T27" i="608"/>
  <c r="U26" i="608"/>
  <c r="V24" i="608"/>
  <c r="AM27" i="607"/>
  <c r="C26" i="607"/>
  <c r="AL27" i="607"/>
  <c r="B26" i="607"/>
  <c r="V24" i="606"/>
  <c r="T54" i="606"/>
  <c r="S55" i="606"/>
  <c r="X22" i="606"/>
  <c r="U26" i="606"/>
  <c r="T27" i="606"/>
  <c r="U52" i="606"/>
  <c r="V52" i="606" s="1"/>
  <c r="AM25" i="605"/>
  <c r="C24" i="605"/>
  <c r="AL26" i="605"/>
  <c r="B25" i="605"/>
  <c r="V53" i="614"/>
  <c r="V51" i="614"/>
  <c r="W23" i="614"/>
  <c r="W25" i="614"/>
  <c r="W25" i="612"/>
  <c r="W23" i="612"/>
  <c r="V51" i="612"/>
  <c r="V53" i="612"/>
  <c r="W23" i="610"/>
  <c r="W53" i="610"/>
  <c r="W25" i="610"/>
  <c r="V51" i="610"/>
  <c r="V53" i="610"/>
  <c r="W23" i="608"/>
  <c r="W25" i="608"/>
  <c r="V51" i="608"/>
  <c r="W23" i="606"/>
  <c r="V53" i="606"/>
  <c r="W25" i="606"/>
  <c r="Y22" i="614" l="1"/>
  <c r="V26" i="614"/>
  <c r="U27" i="614"/>
  <c r="V52" i="614"/>
  <c r="W24" i="614"/>
  <c r="U54" i="614"/>
  <c r="T55" i="614"/>
  <c r="AM27" i="613"/>
  <c r="C26" i="613"/>
  <c r="AL27" i="613"/>
  <c r="B26" i="613"/>
  <c r="Y22" i="612"/>
  <c r="V26" i="612"/>
  <c r="U27" i="612"/>
  <c r="V52" i="612"/>
  <c r="U54" i="612"/>
  <c r="T55" i="612"/>
  <c r="W24" i="612"/>
  <c r="AM36" i="611"/>
  <c r="C35" i="611"/>
  <c r="AL30" i="611"/>
  <c r="B29" i="611"/>
  <c r="AN346" i="611"/>
  <c r="D345" i="611"/>
  <c r="AN37" i="611"/>
  <c r="D36" i="611"/>
  <c r="V26" i="610"/>
  <c r="U27" i="610"/>
  <c r="Y22" i="610"/>
  <c r="V52" i="610"/>
  <c r="U54" i="610"/>
  <c r="T55" i="610"/>
  <c r="W24" i="610"/>
  <c r="AM28" i="609"/>
  <c r="C27" i="609"/>
  <c r="AL28" i="609"/>
  <c r="B27" i="609"/>
  <c r="V26" i="608"/>
  <c r="U27" i="608"/>
  <c r="Y22" i="608"/>
  <c r="W24" i="608"/>
  <c r="T55" i="608"/>
  <c r="U54" i="608"/>
  <c r="V52" i="608"/>
  <c r="AL28" i="607"/>
  <c r="B27" i="607"/>
  <c r="AM28" i="607"/>
  <c r="C27" i="607"/>
  <c r="Y22" i="606"/>
  <c r="U54" i="606"/>
  <c r="T55" i="606"/>
  <c r="V26" i="606"/>
  <c r="U27" i="606"/>
  <c r="W24" i="606"/>
  <c r="AL27" i="605"/>
  <c r="B26" i="605"/>
  <c r="C25" i="605"/>
  <c r="AM26" i="605"/>
  <c r="X25" i="614"/>
  <c r="X23" i="614"/>
  <c r="W51" i="614"/>
  <c r="W53" i="614"/>
  <c r="X25" i="612"/>
  <c r="X23" i="612"/>
  <c r="W51" i="612"/>
  <c r="W53" i="612"/>
  <c r="X23" i="610"/>
  <c r="W51" i="610"/>
  <c r="X25" i="610"/>
  <c r="W51" i="608"/>
  <c r="W53" i="608"/>
  <c r="X25" i="608"/>
  <c r="X23" i="608"/>
  <c r="X25" i="606"/>
  <c r="X23" i="606"/>
  <c r="W53" i="606"/>
  <c r="W51" i="606"/>
  <c r="X51" i="606"/>
  <c r="V54" i="614" l="1"/>
  <c r="U55" i="614"/>
  <c r="X24" i="614"/>
  <c r="W52" i="614"/>
  <c r="W26" i="614"/>
  <c r="V27" i="614"/>
  <c r="Z22" i="614"/>
  <c r="AL28" i="613"/>
  <c r="B27" i="613"/>
  <c r="AM28" i="613"/>
  <c r="C27" i="613"/>
  <c r="X24" i="612"/>
  <c r="V54" i="612"/>
  <c r="U55" i="612"/>
  <c r="W52" i="612"/>
  <c r="W26" i="612"/>
  <c r="V27" i="612"/>
  <c r="Z22" i="612"/>
  <c r="AN38" i="611"/>
  <c r="D37" i="611"/>
  <c r="AN347" i="611"/>
  <c r="D346" i="611"/>
  <c r="B30" i="611"/>
  <c r="AL31" i="611"/>
  <c r="AM37" i="611"/>
  <c r="C36" i="611"/>
  <c r="W52" i="610"/>
  <c r="Z22" i="610"/>
  <c r="V54" i="610"/>
  <c r="U55" i="610"/>
  <c r="X24" i="610"/>
  <c r="W26" i="610"/>
  <c r="V27" i="610"/>
  <c r="AL29" i="609"/>
  <c r="B28" i="609"/>
  <c r="AM29" i="609"/>
  <c r="C28" i="609"/>
  <c r="V54" i="608"/>
  <c r="U55" i="608"/>
  <c r="W52" i="608"/>
  <c r="Z22" i="608"/>
  <c r="X24" i="608"/>
  <c r="W26" i="608"/>
  <c r="V27" i="608"/>
  <c r="AM29" i="607"/>
  <c r="C28" i="607"/>
  <c r="AL29" i="607"/>
  <c r="B28" i="607"/>
  <c r="W52" i="606"/>
  <c r="X52" i="606" s="1"/>
  <c r="X24" i="606"/>
  <c r="W26" i="606"/>
  <c r="V27" i="606"/>
  <c r="V54" i="606"/>
  <c r="U55" i="606"/>
  <c r="Z22" i="606"/>
  <c r="AM27" i="605"/>
  <c r="C26" i="605"/>
  <c r="AL28" i="605"/>
  <c r="B27" i="605"/>
  <c r="Y25" i="614"/>
  <c r="Y23" i="614"/>
  <c r="X51" i="614"/>
  <c r="X53" i="614"/>
  <c r="Y25" i="612"/>
  <c r="Y23" i="612"/>
  <c r="X51" i="612"/>
  <c r="X53" i="612"/>
  <c r="Y25" i="610"/>
  <c r="Y23" i="610"/>
  <c r="X51" i="610"/>
  <c r="X53" i="610"/>
  <c r="X51" i="608"/>
  <c r="X53" i="608"/>
  <c r="Y25" i="608"/>
  <c r="Y23" i="608"/>
  <c r="Y23" i="606"/>
  <c r="Y25" i="606"/>
  <c r="X53" i="606"/>
  <c r="AA22" i="614" l="1"/>
  <c r="X26" i="614"/>
  <c r="W27" i="614"/>
  <c r="X52" i="614"/>
  <c r="Y24" i="614"/>
  <c r="W54" i="614"/>
  <c r="V55" i="614"/>
  <c r="C28" i="613"/>
  <c r="AM29" i="613"/>
  <c r="AL29" i="613"/>
  <c r="B28" i="613"/>
  <c r="AA22" i="612"/>
  <c r="X26" i="612"/>
  <c r="W27" i="612"/>
  <c r="X52" i="612"/>
  <c r="W54" i="612"/>
  <c r="V55" i="612"/>
  <c r="Y24" i="612"/>
  <c r="AM38" i="611"/>
  <c r="C37" i="611"/>
  <c r="B31" i="611"/>
  <c r="AL32" i="611"/>
  <c r="D347" i="611"/>
  <c r="AN348" i="611"/>
  <c r="D38" i="611"/>
  <c r="AN39" i="611"/>
  <c r="X26" i="610"/>
  <c r="W27" i="610"/>
  <c r="W54" i="610"/>
  <c r="V55" i="610"/>
  <c r="Y24" i="610"/>
  <c r="AA22" i="610"/>
  <c r="X52" i="610"/>
  <c r="AM30" i="609"/>
  <c r="C29" i="609"/>
  <c r="AL30" i="609"/>
  <c r="B29" i="609"/>
  <c r="Y24" i="608"/>
  <c r="AA22" i="608"/>
  <c r="X26" i="608"/>
  <c r="W27" i="608"/>
  <c r="X52" i="608"/>
  <c r="W54" i="608"/>
  <c r="V55" i="608"/>
  <c r="AL30" i="607"/>
  <c r="B29" i="607"/>
  <c r="AM30" i="607"/>
  <c r="C29" i="607"/>
  <c r="X26" i="606"/>
  <c r="W27" i="606"/>
  <c r="AA22" i="606"/>
  <c r="Y24" i="606"/>
  <c r="W54" i="606"/>
  <c r="V55" i="606"/>
  <c r="B28" i="605"/>
  <c r="AL29" i="605"/>
  <c r="AM28" i="605"/>
  <c r="C27" i="605"/>
  <c r="Z25" i="614"/>
  <c r="Z23" i="614"/>
  <c r="Y51" i="614"/>
  <c r="Y53" i="614"/>
  <c r="Z25" i="612"/>
  <c r="Z23" i="612"/>
  <c r="Y51" i="612"/>
  <c r="Y53" i="612"/>
  <c r="Y53" i="610"/>
  <c r="Z25" i="610"/>
  <c r="Z23" i="610"/>
  <c r="Y51" i="610"/>
  <c r="Y53" i="608"/>
  <c r="Y51" i="608"/>
  <c r="Z25" i="608"/>
  <c r="Z23" i="608"/>
  <c r="Y53" i="606"/>
  <c r="Y51" i="606"/>
  <c r="Z25" i="606"/>
  <c r="Z23" i="606"/>
  <c r="Z53" i="606"/>
  <c r="X54" i="614" l="1"/>
  <c r="W55" i="614"/>
  <c r="Z24" i="614"/>
  <c r="Y52" i="614"/>
  <c r="Y26" i="614"/>
  <c r="X27" i="614"/>
  <c r="AB22" i="614"/>
  <c r="B29" i="613"/>
  <c r="AL30" i="613"/>
  <c r="C29" i="613"/>
  <c r="AM30" i="613"/>
  <c r="Z24" i="612"/>
  <c r="X54" i="612"/>
  <c r="W55" i="612"/>
  <c r="Y52" i="612"/>
  <c r="Y26" i="612"/>
  <c r="X27" i="612"/>
  <c r="AB22" i="612"/>
  <c r="D39" i="611"/>
  <c r="AN40" i="611"/>
  <c r="B32" i="611"/>
  <c r="AL33" i="611"/>
  <c r="D348" i="611"/>
  <c r="AN349" i="611"/>
  <c r="AM39" i="611"/>
  <c r="C38" i="611"/>
  <c r="Y52" i="610"/>
  <c r="AB22" i="610"/>
  <c r="Z24" i="610"/>
  <c r="X54" i="610"/>
  <c r="W55" i="610"/>
  <c r="Y26" i="610"/>
  <c r="X27" i="610"/>
  <c r="AL31" i="609"/>
  <c r="B30" i="609"/>
  <c r="AM31" i="609"/>
  <c r="C30" i="609"/>
  <c r="X54" i="608"/>
  <c r="W55" i="608"/>
  <c r="Y52" i="608"/>
  <c r="Y26" i="608"/>
  <c r="X27" i="608"/>
  <c r="AB22" i="608"/>
  <c r="Z24" i="608"/>
  <c r="AM31" i="607"/>
  <c r="C30" i="607"/>
  <c r="AL31" i="607"/>
  <c r="B30" i="607"/>
  <c r="Y52" i="606"/>
  <c r="X54" i="606"/>
  <c r="W55" i="606"/>
  <c r="Z24" i="606"/>
  <c r="AB22" i="606"/>
  <c r="Y26" i="606"/>
  <c r="X27" i="606"/>
  <c r="AM29" i="605"/>
  <c r="C28" i="605"/>
  <c r="AL30" i="605"/>
  <c r="B29" i="605"/>
  <c r="AA25" i="614"/>
  <c r="AA23" i="614"/>
  <c r="Z51" i="614"/>
  <c r="Z53" i="614"/>
  <c r="AA25" i="612"/>
  <c r="Z53" i="612"/>
  <c r="AA51" i="612"/>
  <c r="Z51" i="612"/>
  <c r="AA23" i="612"/>
  <c r="AA25" i="610"/>
  <c r="Z51" i="610"/>
  <c r="AA23" i="610"/>
  <c r="Z53" i="610"/>
  <c r="AA25" i="608"/>
  <c r="Z53" i="608"/>
  <c r="Z51" i="608"/>
  <c r="AA23" i="606"/>
  <c r="AA25" i="606"/>
  <c r="Z51" i="606"/>
  <c r="AC22" i="614" l="1"/>
  <c r="Z26" i="614"/>
  <c r="Y27" i="614"/>
  <c r="Z52" i="614"/>
  <c r="AA24" i="614"/>
  <c r="Y54" i="614"/>
  <c r="X55" i="614"/>
  <c r="C30" i="613"/>
  <c r="AM31" i="613"/>
  <c r="B30" i="613"/>
  <c r="AL31" i="613"/>
  <c r="AC22" i="612"/>
  <c r="Z26" i="612"/>
  <c r="Y27" i="612"/>
  <c r="Z52" i="612"/>
  <c r="AA52" i="612" s="1"/>
  <c r="Y54" i="612"/>
  <c r="X55" i="612"/>
  <c r="AA24" i="612"/>
  <c r="C39" i="611"/>
  <c r="AM40" i="611"/>
  <c r="D349" i="611"/>
  <c r="AN350" i="611"/>
  <c r="B33" i="611"/>
  <c r="AL34" i="611"/>
  <c r="D40" i="611"/>
  <c r="AN41" i="611"/>
  <c r="Y54" i="610"/>
  <c r="X55" i="610"/>
  <c r="Z26" i="610"/>
  <c r="Y27" i="610"/>
  <c r="AA24" i="610"/>
  <c r="AC22" i="610"/>
  <c r="Z52" i="610"/>
  <c r="C31" i="609"/>
  <c r="AM32" i="609"/>
  <c r="AL32" i="609"/>
  <c r="B31" i="609"/>
  <c r="AC22" i="608"/>
  <c r="Z26" i="608"/>
  <c r="Y27" i="608"/>
  <c r="Z52" i="608"/>
  <c r="Y54" i="608"/>
  <c r="X55" i="608"/>
  <c r="AL32" i="607"/>
  <c r="B31" i="607"/>
  <c r="AM32" i="607"/>
  <c r="C31" i="607"/>
  <c r="AC22" i="606"/>
  <c r="AA24" i="606"/>
  <c r="Y54" i="606"/>
  <c r="X55" i="606"/>
  <c r="Z26" i="606"/>
  <c r="Y27" i="606"/>
  <c r="Z52" i="606"/>
  <c r="B30" i="605"/>
  <c r="AL31" i="605"/>
  <c r="AM30" i="605"/>
  <c r="C29" i="605"/>
  <c r="AB25" i="614"/>
  <c r="AB23" i="614"/>
  <c r="AA51" i="614"/>
  <c r="AA53" i="614"/>
  <c r="AB25" i="612"/>
  <c r="AB23" i="612"/>
  <c r="AA53" i="612"/>
  <c r="AA53" i="610"/>
  <c r="AA51" i="610"/>
  <c r="AB23" i="610"/>
  <c r="AB25" i="610"/>
  <c r="AB25" i="608"/>
  <c r="AB23" i="608"/>
  <c r="AA51" i="608"/>
  <c r="AA53" i="608"/>
  <c r="AA23" i="608"/>
  <c r="AB25" i="606"/>
  <c r="AA53" i="606"/>
  <c r="AB23" i="606"/>
  <c r="AA51" i="606"/>
  <c r="Z54" i="614" l="1"/>
  <c r="Y55" i="614"/>
  <c r="AB24" i="614"/>
  <c r="AA52" i="614"/>
  <c r="AA26" i="614"/>
  <c r="Z27" i="614"/>
  <c r="AD22" i="614"/>
  <c r="AL32" i="613"/>
  <c r="B31" i="613"/>
  <c r="C31" i="613"/>
  <c r="AM32" i="613"/>
  <c r="AA26" i="612"/>
  <c r="Z27" i="612"/>
  <c r="Z54" i="612"/>
  <c r="Y55" i="612"/>
  <c r="AB24" i="612"/>
  <c r="AD22" i="612"/>
  <c r="AL35" i="611"/>
  <c r="B34" i="611"/>
  <c r="AN42" i="611"/>
  <c r="D41" i="611"/>
  <c r="D350" i="611"/>
  <c r="AN351" i="611"/>
  <c r="AM41" i="611"/>
  <c r="C40" i="611"/>
  <c r="AD22" i="610"/>
  <c r="AA52" i="610"/>
  <c r="AB24" i="610"/>
  <c r="AA26" i="610"/>
  <c r="Z27" i="610"/>
  <c r="Z54" i="610"/>
  <c r="Y55" i="610"/>
  <c r="B32" i="609"/>
  <c r="AL33" i="609"/>
  <c r="C32" i="609"/>
  <c r="AM33" i="609"/>
  <c r="AA24" i="608"/>
  <c r="AB24" i="608" s="1"/>
  <c r="AA52" i="608"/>
  <c r="AA26" i="608"/>
  <c r="Z27" i="608"/>
  <c r="Z54" i="608"/>
  <c r="Y55" i="608"/>
  <c r="AD22" i="608"/>
  <c r="AM33" i="607"/>
  <c r="C32" i="607"/>
  <c r="AL33" i="607"/>
  <c r="B32" i="607"/>
  <c r="AA52" i="606"/>
  <c r="AD22" i="606"/>
  <c r="AA26" i="606"/>
  <c r="Z27" i="606"/>
  <c r="Z54" i="606"/>
  <c r="Y55" i="606"/>
  <c r="AB24" i="606"/>
  <c r="C30" i="605"/>
  <c r="AM31" i="605"/>
  <c r="AL32" i="605"/>
  <c r="B31" i="605"/>
  <c r="AC25" i="614"/>
  <c r="AC23" i="614"/>
  <c r="AB51" i="614"/>
  <c r="AB53" i="614"/>
  <c r="AC25" i="612"/>
  <c r="AC23" i="612"/>
  <c r="AB51" i="612"/>
  <c r="AB53" i="612"/>
  <c r="AC25" i="610"/>
  <c r="AC23" i="610"/>
  <c r="AB51" i="610"/>
  <c r="AB53" i="610"/>
  <c r="AB51" i="608"/>
  <c r="AC23" i="608"/>
  <c r="AB53" i="608"/>
  <c r="AC25" i="608"/>
  <c r="AC53" i="608"/>
  <c r="AB51" i="606"/>
  <c r="AC25" i="606"/>
  <c r="AC23" i="606"/>
  <c r="AB53" i="606"/>
  <c r="AC51" i="606"/>
  <c r="AE22" i="614" l="1"/>
  <c r="AB26" i="614"/>
  <c r="AA27" i="614"/>
  <c r="AB52" i="614"/>
  <c r="AC24" i="614"/>
  <c r="AA54" i="614"/>
  <c r="Z55" i="614"/>
  <c r="C32" i="613"/>
  <c r="AM33" i="613"/>
  <c r="AL33" i="613"/>
  <c r="B32" i="613"/>
  <c r="AB52" i="612"/>
  <c r="AE22" i="612"/>
  <c r="AC24" i="612"/>
  <c r="AA54" i="612"/>
  <c r="Z55" i="612"/>
  <c r="AB26" i="612"/>
  <c r="AA27" i="612"/>
  <c r="D351" i="611"/>
  <c r="AN352" i="611"/>
  <c r="D42" i="611"/>
  <c r="AN43" i="611"/>
  <c r="C41" i="611"/>
  <c r="AM42" i="611"/>
  <c r="B35" i="611"/>
  <c r="AL36" i="611"/>
  <c r="AA54" i="610"/>
  <c r="Z55" i="610"/>
  <c r="AB26" i="610"/>
  <c r="AA27" i="610"/>
  <c r="AC24" i="610"/>
  <c r="AB52" i="610"/>
  <c r="AE22" i="610"/>
  <c r="C33" i="609"/>
  <c r="AM34" i="609"/>
  <c r="AL34" i="609"/>
  <c r="B33" i="609"/>
  <c r="AE22" i="608"/>
  <c r="AA54" i="608"/>
  <c r="Z55" i="608"/>
  <c r="AB26" i="608"/>
  <c r="AA27" i="608"/>
  <c r="AB52" i="608"/>
  <c r="AC24" i="608"/>
  <c r="AL34" i="607"/>
  <c r="B33" i="607"/>
  <c r="AM34" i="607"/>
  <c r="C33" i="607"/>
  <c r="AB26" i="606"/>
  <c r="AA27" i="606"/>
  <c r="AC24" i="606"/>
  <c r="AA54" i="606"/>
  <c r="Z55" i="606"/>
  <c r="AE22" i="606"/>
  <c r="AB52" i="606"/>
  <c r="AC52" i="606" s="1"/>
  <c r="AL33" i="605"/>
  <c r="B32" i="605"/>
  <c r="AM32" i="605"/>
  <c r="C31" i="605"/>
  <c r="AD25" i="614"/>
  <c r="AD23" i="614"/>
  <c r="AC51" i="614"/>
  <c r="AC53" i="614"/>
  <c r="AD25" i="612"/>
  <c r="AD23" i="612"/>
  <c r="AC51" i="612"/>
  <c r="AC53" i="612"/>
  <c r="AD25" i="610"/>
  <c r="AD23" i="610"/>
  <c r="AC53" i="610"/>
  <c r="AC51" i="610"/>
  <c r="AC51" i="608"/>
  <c r="AD25" i="608"/>
  <c r="AD23" i="608"/>
  <c r="AD23" i="606"/>
  <c r="AC53" i="606"/>
  <c r="AD51" i="606"/>
  <c r="AD25" i="606"/>
  <c r="AB54" i="614" l="1"/>
  <c r="AA55" i="614"/>
  <c r="AD24" i="614"/>
  <c r="AC52" i="614"/>
  <c r="AC26" i="614"/>
  <c r="AB27" i="614"/>
  <c r="AF22" i="614"/>
  <c r="AL34" i="613"/>
  <c r="B33" i="613"/>
  <c r="AM34" i="613"/>
  <c r="C33" i="613"/>
  <c r="AC26" i="612"/>
  <c r="AB27" i="612"/>
  <c r="AB54" i="612"/>
  <c r="AA55" i="612"/>
  <c r="AD24" i="612"/>
  <c r="AF22" i="612"/>
  <c r="AC52" i="612"/>
  <c r="AL37" i="611"/>
  <c r="B36" i="611"/>
  <c r="AM43" i="611"/>
  <c r="C42" i="611"/>
  <c r="D43" i="611"/>
  <c r="AN44" i="611"/>
  <c r="D352" i="611"/>
  <c r="AN353" i="611"/>
  <c r="AF22" i="610"/>
  <c r="AD24" i="610"/>
  <c r="AC26" i="610"/>
  <c r="AB27" i="610"/>
  <c r="AC52" i="610"/>
  <c r="AB54" i="610"/>
  <c r="AA55" i="610"/>
  <c r="B34" i="609"/>
  <c r="AL35" i="609"/>
  <c r="C34" i="609"/>
  <c r="AM35" i="609"/>
  <c r="AD24" i="608"/>
  <c r="AC52" i="608"/>
  <c r="AC26" i="608"/>
  <c r="AB27" i="608"/>
  <c r="AB54" i="608"/>
  <c r="AA55" i="608"/>
  <c r="AF22" i="608"/>
  <c r="AM35" i="607"/>
  <c r="C34" i="607"/>
  <c r="AL35" i="607"/>
  <c r="B34" i="607"/>
  <c r="AF22" i="606"/>
  <c r="AB54" i="606"/>
  <c r="AA55" i="606"/>
  <c r="AD52" i="606"/>
  <c r="AD24" i="606"/>
  <c r="AC26" i="606"/>
  <c r="AB27" i="606"/>
  <c r="AM33" i="605"/>
  <c r="C32" i="605"/>
  <c r="AL34" i="605"/>
  <c r="B33" i="605"/>
  <c r="AE25" i="614"/>
  <c r="AE23" i="614"/>
  <c r="AD51" i="614"/>
  <c r="AD53" i="614"/>
  <c r="AE25" i="612"/>
  <c r="AE23" i="612"/>
  <c r="AD51" i="612"/>
  <c r="AD53" i="612"/>
  <c r="AD53" i="610"/>
  <c r="AD51" i="610"/>
  <c r="AE25" i="610"/>
  <c r="AE25" i="608"/>
  <c r="AD53" i="608"/>
  <c r="AE23" i="608"/>
  <c r="AD51" i="608"/>
  <c r="AE51" i="608"/>
  <c r="AD53" i="606"/>
  <c r="AE25" i="606"/>
  <c r="AE23" i="606"/>
  <c r="AG22" i="614" l="1"/>
  <c r="AD26" i="614"/>
  <c r="AC27" i="614"/>
  <c r="AD52" i="614"/>
  <c r="AE24" i="614"/>
  <c r="AC54" i="614"/>
  <c r="AB55" i="614"/>
  <c r="AM35" i="613"/>
  <c r="C34" i="613"/>
  <c r="AL35" i="613"/>
  <c r="B34" i="613"/>
  <c r="AD52" i="612"/>
  <c r="AG22" i="612"/>
  <c r="AE24" i="612"/>
  <c r="AC54" i="612"/>
  <c r="AB55" i="612"/>
  <c r="AD26" i="612"/>
  <c r="AC27" i="612"/>
  <c r="AN354" i="611"/>
  <c r="D353" i="611"/>
  <c r="D44" i="611"/>
  <c r="AN45" i="611"/>
  <c r="C43" i="611"/>
  <c r="AM44" i="611"/>
  <c r="AL38" i="611"/>
  <c r="B37" i="611"/>
  <c r="AC54" i="610"/>
  <c r="AB55" i="610"/>
  <c r="AD26" i="610"/>
  <c r="AC27" i="610"/>
  <c r="AD52" i="610"/>
  <c r="AG22" i="610"/>
  <c r="C35" i="609"/>
  <c r="AM36" i="609"/>
  <c r="AL36" i="609"/>
  <c r="B35" i="609"/>
  <c r="AG22" i="608"/>
  <c r="AD26" i="608"/>
  <c r="AC27" i="608"/>
  <c r="AD52" i="608"/>
  <c r="AE52" i="608" s="1"/>
  <c r="AC54" i="608"/>
  <c r="AB55" i="608"/>
  <c r="AE24" i="608"/>
  <c r="AL36" i="607"/>
  <c r="B35" i="607"/>
  <c r="AM36" i="607"/>
  <c r="C35" i="607"/>
  <c r="AE24" i="606"/>
  <c r="AG22" i="606"/>
  <c r="AD26" i="606"/>
  <c r="AC27" i="606"/>
  <c r="AC54" i="606"/>
  <c r="AB55" i="606"/>
  <c r="B34" i="605"/>
  <c r="AL35" i="605"/>
  <c r="C33" i="605"/>
  <c r="AM34" i="605"/>
  <c r="AF25" i="614"/>
  <c r="AF23" i="614"/>
  <c r="AE51" i="614"/>
  <c r="AE53" i="614"/>
  <c r="AF25" i="612"/>
  <c r="AF23" i="612"/>
  <c r="AE51" i="612"/>
  <c r="AE53" i="612"/>
  <c r="AE23" i="610"/>
  <c r="AE51" i="610"/>
  <c r="AF23" i="610"/>
  <c r="AE53" i="610"/>
  <c r="AF51" i="610"/>
  <c r="AE53" i="608"/>
  <c r="AF25" i="608"/>
  <c r="AF23" i="608"/>
  <c r="AF25" i="606"/>
  <c r="AF23" i="606"/>
  <c r="AE51" i="606"/>
  <c r="AE53" i="606"/>
  <c r="AF53" i="606"/>
  <c r="AE52" i="614" l="1"/>
  <c r="AH22" i="614"/>
  <c r="AD54" i="614"/>
  <c r="AC55" i="614"/>
  <c r="AE26" i="614"/>
  <c r="AD27" i="614"/>
  <c r="AF24" i="614"/>
  <c r="AL36" i="613"/>
  <c r="B35" i="613"/>
  <c r="AM36" i="613"/>
  <c r="C35" i="613"/>
  <c r="AE26" i="612"/>
  <c r="AD27" i="612"/>
  <c r="AD54" i="612"/>
  <c r="AC55" i="612"/>
  <c r="AF24" i="612"/>
  <c r="AH22" i="612"/>
  <c r="AE52" i="612"/>
  <c r="AL39" i="611"/>
  <c r="B38" i="611"/>
  <c r="AM45" i="611"/>
  <c r="C44" i="611"/>
  <c r="AN46" i="611"/>
  <c r="D45" i="611"/>
  <c r="AN355" i="611"/>
  <c r="D354" i="611"/>
  <c r="AE24" i="610"/>
  <c r="AF24" i="610" s="1"/>
  <c r="AE52" i="610"/>
  <c r="AF52" i="610" s="1"/>
  <c r="AH22" i="610"/>
  <c r="AE26" i="610"/>
  <c r="AD27" i="610"/>
  <c r="AD54" i="610"/>
  <c r="AC55" i="610"/>
  <c r="AL37" i="609"/>
  <c r="B36" i="609"/>
  <c r="AM37" i="609"/>
  <c r="C36" i="609"/>
  <c r="AD54" i="608"/>
  <c r="AC55" i="608"/>
  <c r="AH22" i="608"/>
  <c r="AF24" i="608"/>
  <c r="AE26" i="608"/>
  <c r="AD27" i="608"/>
  <c r="AM37" i="607"/>
  <c r="C36" i="607"/>
  <c r="AL37" i="607"/>
  <c r="B36" i="607"/>
  <c r="AE52" i="606"/>
  <c r="AE26" i="606"/>
  <c r="AD27" i="606"/>
  <c r="AD54" i="606"/>
  <c r="AC55" i="606"/>
  <c r="AH22" i="606"/>
  <c r="AF24" i="606"/>
  <c r="AM35" i="605"/>
  <c r="C34" i="605"/>
  <c r="B35" i="605"/>
  <c r="AL36" i="605"/>
  <c r="AG25" i="614"/>
  <c r="AG23" i="614"/>
  <c r="AF51" i="614"/>
  <c r="AF53" i="614"/>
  <c r="AG25" i="612"/>
  <c r="AG23" i="612"/>
  <c r="AF51" i="612"/>
  <c r="AF53" i="612"/>
  <c r="AF25" i="610"/>
  <c r="AG23" i="610"/>
  <c r="AF53" i="610"/>
  <c r="AG25" i="610"/>
  <c r="AG53" i="610"/>
  <c r="AG51" i="608"/>
  <c r="AF53" i="608"/>
  <c r="AG23" i="608"/>
  <c r="AF51" i="608"/>
  <c r="AG25" i="608"/>
  <c r="AG25" i="606"/>
  <c r="AG51" i="606"/>
  <c r="AG23" i="606"/>
  <c r="AF51" i="606"/>
  <c r="AG24" i="614" l="1"/>
  <c r="AF26" i="614"/>
  <c r="AE27" i="614"/>
  <c r="AE54" i="614"/>
  <c r="AD55" i="614"/>
  <c r="AI22" i="614"/>
  <c r="AF52" i="614"/>
  <c r="AM37" i="613"/>
  <c r="C36" i="613"/>
  <c r="AL37" i="613"/>
  <c r="B36" i="613"/>
  <c r="AF52" i="612"/>
  <c r="AI22" i="612"/>
  <c r="AG24" i="612"/>
  <c r="AE54" i="612"/>
  <c r="AD55" i="612"/>
  <c r="AF26" i="612"/>
  <c r="AE27" i="612"/>
  <c r="AN356" i="611"/>
  <c r="D355" i="611"/>
  <c r="D46" i="611"/>
  <c r="AN47" i="611"/>
  <c r="C45" i="611"/>
  <c r="AM46" i="611"/>
  <c r="B39" i="611"/>
  <c r="AL40" i="611"/>
  <c r="AE54" i="610"/>
  <c r="AD55" i="610"/>
  <c r="AI22" i="610"/>
  <c r="AF26" i="610"/>
  <c r="AE27" i="610"/>
  <c r="AG24" i="610"/>
  <c r="C37" i="609"/>
  <c r="AM38" i="609"/>
  <c r="AL38" i="609"/>
  <c r="B37" i="609"/>
  <c r="AF52" i="608"/>
  <c r="AG52" i="608" s="1"/>
  <c r="AG24" i="608"/>
  <c r="AI22" i="608"/>
  <c r="AF26" i="608"/>
  <c r="AE27" i="608"/>
  <c r="AE54" i="608"/>
  <c r="AD55" i="608"/>
  <c r="AL38" i="607"/>
  <c r="B37" i="607"/>
  <c r="AM38" i="607"/>
  <c r="C37" i="607"/>
  <c r="AG24" i="606"/>
  <c r="AI22" i="606"/>
  <c r="AF26" i="606"/>
  <c r="AE27" i="606"/>
  <c r="AE54" i="606"/>
  <c r="AD55" i="606"/>
  <c r="AF52" i="606"/>
  <c r="AG52" i="606" s="1"/>
  <c r="AL37" i="605"/>
  <c r="B36" i="605"/>
  <c r="C35" i="605"/>
  <c r="AM36" i="605"/>
  <c r="AH25" i="614"/>
  <c r="AH23" i="614"/>
  <c r="AG51" i="614"/>
  <c r="AG53" i="614"/>
  <c r="AH25" i="612"/>
  <c r="AH23" i="612"/>
  <c r="AG51" i="612"/>
  <c r="AG53" i="612"/>
  <c r="AH25" i="610"/>
  <c r="AH23" i="610"/>
  <c r="AG51" i="610"/>
  <c r="AH51" i="610"/>
  <c r="AH25" i="608"/>
  <c r="AH23" i="608"/>
  <c r="AG53" i="608"/>
  <c r="AH53" i="608"/>
  <c r="AH23" i="606"/>
  <c r="AH25" i="606"/>
  <c r="AG53" i="606"/>
  <c r="AH51" i="606"/>
  <c r="AG52" i="614" l="1"/>
  <c r="AJ22" i="614"/>
  <c r="AF54" i="614"/>
  <c r="AE55" i="614"/>
  <c r="AG26" i="614"/>
  <c r="AF27" i="614"/>
  <c r="AH24" i="614"/>
  <c r="AL38" i="613"/>
  <c r="B37" i="613"/>
  <c r="AM38" i="613"/>
  <c r="C37" i="613"/>
  <c r="AG26" i="612"/>
  <c r="AF27" i="612"/>
  <c r="AF54" i="612"/>
  <c r="AE55" i="612"/>
  <c r="AH24" i="612"/>
  <c r="AJ22" i="612"/>
  <c r="AG52" i="612"/>
  <c r="B40" i="611"/>
  <c r="AL41" i="611"/>
  <c r="AM47" i="611"/>
  <c r="C46" i="611"/>
  <c r="D47" i="611"/>
  <c r="AN48" i="611"/>
  <c r="AN357" i="611"/>
  <c r="D356" i="611"/>
  <c r="AG52" i="610"/>
  <c r="AH52" i="610" s="1"/>
  <c r="AG26" i="610"/>
  <c r="AF27" i="610"/>
  <c r="AH24" i="610"/>
  <c r="AJ22" i="610"/>
  <c r="AF54" i="610"/>
  <c r="AE55" i="610"/>
  <c r="B38" i="609"/>
  <c r="AL39" i="609"/>
  <c r="C38" i="609"/>
  <c r="AM39" i="609"/>
  <c r="AF54" i="608"/>
  <c r="AE55" i="608"/>
  <c r="AG26" i="608"/>
  <c r="AF27" i="608"/>
  <c r="AJ22" i="608"/>
  <c r="AH24" i="608"/>
  <c r="AM39" i="607"/>
  <c r="C38" i="607"/>
  <c r="AL39" i="607"/>
  <c r="B38" i="607"/>
  <c r="AH52" i="606"/>
  <c r="AF54" i="606"/>
  <c r="AE55" i="606"/>
  <c r="AJ22" i="606"/>
  <c r="AG26" i="606"/>
  <c r="AF27" i="606"/>
  <c r="AH24" i="606"/>
  <c r="AM37" i="605"/>
  <c r="C36" i="605"/>
  <c r="AL38" i="605"/>
  <c r="B37" i="605"/>
  <c r="AH51" i="614"/>
  <c r="AH53" i="614"/>
  <c r="AI51" i="612"/>
  <c r="AH51" i="612"/>
  <c r="AH53" i="612"/>
  <c r="AH53" i="610"/>
  <c r="AI51" i="610"/>
  <c r="AI51" i="608"/>
  <c r="AH51" i="608"/>
  <c r="AH53" i="606"/>
  <c r="AI51" i="606"/>
  <c r="AH26" i="614" l="1"/>
  <c r="AG27" i="614"/>
  <c r="AG54" i="614"/>
  <c r="AF55" i="614"/>
  <c r="AK22" i="614"/>
  <c r="AH52" i="614"/>
  <c r="AM39" i="613"/>
  <c r="C38" i="613"/>
  <c r="AL39" i="613"/>
  <c r="B38" i="613"/>
  <c r="AH52" i="612"/>
  <c r="AI52" i="612" s="1"/>
  <c r="AK22" i="612"/>
  <c r="AG54" i="612"/>
  <c r="AF55" i="612"/>
  <c r="AH26" i="612"/>
  <c r="AG27" i="612"/>
  <c r="D357" i="611"/>
  <c r="AN358" i="611"/>
  <c r="D48" i="611"/>
  <c r="AN49" i="611"/>
  <c r="C47" i="611"/>
  <c r="AM48" i="611"/>
  <c r="B41" i="611"/>
  <c r="AL42" i="611"/>
  <c r="AG54" i="610"/>
  <c r="AF55" i="610"/>
  <c r="AK22" i="610"/>
  <c r="AH26" i="610"/>
  <c r="AG27" i="610"/>
  <c r="AI52" i="610"/>
  <c r="C39" i="609"/>
  <c r="AM40" i="609"/>
  <c r="AL40" i="609"/>
  <c r="B39" i="609"/>
  <c r="AH52" i="608"/>
  <c r="AI52" i="608" s="1"/>
  <c r="AK22" i="608"/>
  <c r="AH26" i="608"/>
  <c r="AG27" i="608"/>
  <c r="AG54" i="608"/>
  <c r="AF55" i="608"/>
  <c r="AL40" i="607"/>
  <c r="B39" i="607"/>
  <c r="AM40" i="607"/>
  <c r="C39" i="607"/>
  <c r="AH26" i="606"/>
  <c r="AG27" i="606"/>
  <c r="AK22" i="606"/>
  <c r="AG54" i="606"/>
  <c r="AF55" i="606"/>
  <c r="AI52" i="606"/>
  <c r="B38" i="605"/>
  <c r="AL39" i="605"/>
  <c r="C37" i="605"/>
  <c r="AM38" i="605"/>
  <c r="AJ23" i="614"/>
  <c r="AI51" i="614"/>
  <c r="AI53" i="614"/>
  <c r="AI23" i="614"/>
  <c r="AI25" i="614"/>
  <c r="AJ25" i="614"/>
  <c r="AJ51" i="612"/>
  <c r="AJ25" i="612"/>
  <c r="AJ23" i="612"/>
  <c r="AI53" i="612"/>
  <c r="AI23" i="612"/>
  <c r="AI25" i="612"/>
  <c r="AI23" i="610"/>
  <c r="AI53" i="610"/>
  <c r="AJ25" i="610"/>
  <c r="AJ23" i="610"/>
  <c r="AI25" i="610"/>
  <c r="AJ53" i="610"/>
  <c r="AI25" i="608"/>
  <c r="AI53" i="608"/>
  <c r="AJ51" i="608"/>
  <c r="AI23" i="608"/>
  <c r="AJ23" i="608"/>
  <c r="AJ25" i="606"/>
  <c r="AI25" i="606"/>
  <c r="AI53" i="606"/>
  <c r="AI23" i="606"/>
  <c r="AJ23" i="606"/>
  <c r="AJ53" i="606"/>
  <c r="AI24" i="614" l="1"/>
  <c r="AJ24" i="614" s="1"/>
  <c r="AI52" i="614"/>
  <c r="AL22" i="614"/>
  <c r="AH54" i="614"/>
  <c r="AG55" i="614"/>
  <c r="AI26" i="614"/>
  <c r="AH27" i="614"/>
  <c r="AL40" i="613"/>
  <c r="B39" i="613"/>
  <c r="AM40" i="613"/>
  <c r="C39" i="613"/>
  <c r="AI24" i="612"/>
  <c r="AJ24" i="612" s="1"/>
  <c r="AI26" i="612"/>
  <c r="AH27" i="612"/>
  <c r="AH54" i="612"/>
  <c r="AG55" i="612"/>
  <c r="AL22" i="612"/>
  <c r="AJ52" i="612"/>
  <c r="AL43" i="611"/>
  <c r="B42" i="611"/>
  <c r="AM49" i="611"/>
  <c r="C48" i="611"/>
  <c r="AN50" i="611"/>
  <c r="D49" i="611"/>
  <c r="AN359" i="611"/>
  <c r="D358" i="611"/>
  <c r="AI24" i="610"/>
  <c r="AJ24" i="610" s="1"/>
  <c r="AI26" i="610"/>
  <c r="AH27" i="610"/>
  <c r="AL22" i="610"/>
  <c r="AH54" i="610"/>
  <c r="AG55" i="610"/>
  <c r="B40" i="609"/>
  <c r="AL41" i="609"/>
  <c r="C40" i="609"/>
  <c r="AM41" i="609"/>
  <c r="AI24" i="608"/>
  <c r="AJ24" i="608" s="1"/>
  <c r="AI26" i="608"/>
  <c r="AH27" i="608"/>
  <c r="AL22" i="608"/>
  <c r="AH54" i="608"/>
  <c r="AG55" i="608"/>
  <c r="AJ52" i="608"/>
  <c r="AM41" i="607"/>
  <c r="C40" i="607"/>
  <c r="AL41" i="607"/>
  <c r="B40" i="607"/>
  <c r="AI24" i="606"/>
  <c r="AJ24" i="606" s="1"/>
  <c r="AH54" i="606"/>
  <c r="AG55" i="606"/>
  <c r="AI26" i="606"/>
  <c r="AH27" i="606"/>
  <c r="AL22" i="606"/>
  <c r="C38" i="605"/>
  <c r="AM39" i="605"/>
  <c r="AL40" i="605"/>
  <c r="B39" i="605"/>
  <c r="AK53" i="614"/>
  <c r="AK25" i="614"/>
  <c r="AK23" i="614"/>
  <c r="AJ51" i="614"/>
  <c r="AJ53" i="614"/>
  <c r="AK23" i="612"/>
  <c r="AK51" i="612"/>
  <c r="AJ53" i="612"/>
  <c r="AK25" i="612"/>
  <c r="AJ51" i="610"/>
  <c r="AK23" i="610"/>
  <c r="AJ53" i="608"/>
  <c r="AK23" i="608"/>
  <c r="AK25" i="608"/>
  <c r="AJ25" i="608"/>
  <c r="AK51" i="608"/>
  <c r="AK23" i="606"/>
  <c r="AJ51" i="606"/>
  <c r="AK25" i="606"/>
  <c r="AI27" i="614" l="1"/>
  <c r="AJ26" i="614"/>
  <c r="AH55" i="614"/>
  <c r="AI54" i="614"/>
  <c r="AM22" i="614"/>
  <c r="AJ52" i="614"/>
  <c r="AK24" i="614"/>
  <c r="AM41" i="613"/>
  <c r="C40" i="613"/>
  <c r="AL41" i="613"/>
  <c r="B40" i="613"/>
  <c r="AK52" i="612"/>
  <c r="AM22" i="612"/>
  <c r="AH55" i="612"/>
  <c r="AI54" i="612"/>
  <c r="AI27" i="612"/>
  <c r="AJ26" i="612"/>
  <c r="AK24" i="612"/>
  <c r="D359" i="611"/>
  <c r="AN360" i="611"/>
  <c r="D50" i="611"/>
  <c r="AN51" i="611"/>
  <c r="C49" i="611"/>
  <c r="AM50" i="611"/>
  <c r="B43" i="611"/>
  <c r="AL44" i="611"/>
  <c r="AJ52" i="610"/>
  <c r="AM22" i="610"/>
  <c r="AI27" i="610"/>
  <c r="AJ26" i="610"/>
  <c r="AH55" i="610"/>
  <c r="AI54" i="610"/>
  <c r="AK24" i="610"/>
  <c r="C41" i="609"/>
  <c r="AM42" i="609"/>
  <c r="AL42" i="609"/>
  <c r="B41" i="609"/>
  <c r="AM22" i="608"/>
  <c r="AK52" i="608"/>
  <c r="AH55" i="608"/>
  <c r="AI54" i="608"/>
  <c r="AI27" i="608"/>
  <c r="AJ26" i="608"/>
  <c r="AK24" i="608"/>
  <c r="AL42" i="607"/>
  <c r="B41" i="607"/>
  <c r="AM42" i="607"/>
  <c r="C41" i="607"/>
  <c r="AJ52" i="606"/>
  <c r="AM22" i="606"/>
  <c r="AH55" i="606"/>
  <c r="AI54" i="606"/>
  <c r="AI27" i="606"/>
  <c r="AJ26" i="606"/>
  <c r="AK24" i="606"/>
  <c r="AM40" i="605"/>
  <c r="C39" i="605"/>
  <c r="AL41" i="605"/>
  <c r="B40" i="605"/>
  <c r="AL25" i="614"/>
  <c r="AL23" i="614"/>
  <c r="AK51" i="614"/>
  <c r="AL23" i="612"/>
  <c r="AK53" i="612"/>
  <c r="AL25" i="612"/>
  <c r="AK25" i="610"/>
  <c r="AK53" i="610"/>
  <c r="AL23" i="610"/>
  <c r="AL25" i="610"/>
  <c r="AK51" i="610"/>
  <c r="AL23" i="608"/>
  <c r="AK53" i="608"/>
  <c r="AL25" i="608"/>
  <c r="AL23" i="606"/>
  <c r="AK53" i="606"/>
  <c r="AK51" i="606"/>
  <c r="AL24" i="614" l="1"/>
  <c r="AK52" i="614"/>
  <c r="AN22" i="614"/>
  <c r="AJ54" i="614"/>
  <c r="AI55" i="614"/>
  <c r="AK26" i="614"/>
  <c r="AJ27" i="614"/>
  <c r="AL42" i="613"/>
  <c r="B41" i="613"/>
  <c r="AM42" i="613"/>
  <c r="C41" i="613"/>
  <c r="AN22" i="612"/>
  <c r="AK26" i="612"/>
  <c r="AJ27" i="612"/>
  <c r="AJ54" i="612"/>
  <c r="AI55" i="612"/>
  <c r="AL24" i="612"/>
  <c r="AM51" i="611"/>
  <c r="C50" i="611"/>
  <c r="B44" i="611"/>
  <c r="AL45" i="611"/>
  <c r="D51" i="611"/>
  <c r="AN52" i="611"/>
  <c r="D360" i="611"/>
  <c r="AN361" i="611"/>
  <c r="AJ54" i="610"/>
  <c r="AI55" i="610"/>
  <c r="AK26" i="610"/>
  <c r="AJ27" i="610"/>
  <c r="AN22" i="610"/>
  <c r="AL24" i="610"/>
  <c r="AK52" i="610"/>
  <c r="B42" i="609"/>
  <c r="AL43" i="609"/>
  <c r="C42" i="609"/>
  <c r="AM43" i="609"/>
  <c r="AJ27" i="608"/>
  <c r="AK26" i="608"/>
  <c r="AN22" i="608"/>
  <c r="AL24" i="608"/>
  <c r="AI55" i="608"/>
  <c r="AJ54" i="608"/>
  <c r="AM43" i="607"/>
  <c r="C42" i="607"/>
  <c r="AL43" i="607"/>
  <c r="B42" i="607"/>
  <c r="AJ54" i="606"/>
  <c r="AI55" i="606"/>
  <c r="AN22" i="606"/>
  <c r="AL24" i="606"/>
  <c r="AK26" i="606"/>
  <c r="AJ27" i="606"/>
  <c r="AK52" i="606"/>
  <c r="AL42" i="605"/>
  <c r="B41" i="605"/>
  <c r="C40" i="605"/>
  <c r="AM41" i="605"/>
  <c r="AM25" i="614"/>
  <c r="AM23" i="614"/>
  <c r="AL51" i="614"/>
  <c r="AL53" i="614"/>
  <c r="AL51" i="612"/>
  <c r="AM25" i="612"/>
  <c r="AM23" i="612"/>
  <c r="AL53" i="612"/>
  <c r="AM25" i="610"/>
  <c r="AL51" i="610"/>
  <c r="AL53" i="610"/>
  <c r="AM23" i="610"/>
  <c r="AL53" i="608"/>
  <c r="AM25" i="608"/>
  <c r="AM23" i="608"/>
  <c r="AL51" i="608"/>
  <c r="AM25" i="606"/>
  <c r="AL51" i="606"/>
  <c r="AM23" i="606"/>
  <c r="AL25" i="606"/>
  <c r="AL53" i="606"/>
  <c r="AM53" i="606"/>
  <c r="AL26" i="614" l="1"/>
  <c r="AK27" i="614"/>
  <c r="AK54" i="614"/>
  <c r="AJ55" i="614"/>
  <c r="AO22" i="614"/>
  <c r="AL52" i="614"/>
  <c r="AM24" i="614"/>
  <c r="AM43" i="613"/>
  <c r="C42" i="613"/>
  <c r="AL43" i="613"/>
  <c r="B42" i="613"/>
  <c r="AL52" i="612"/>
  <c r="AL26" i="612"/>
  <c r="AK27" i="612"/>
  <c r="AM24" i="612"/>
  <c r="AO22" i="612"/>
  <c r="AK54" i="612"/>
  <c r="AJ55" i="612"/>
  <c r="AN53" i="611"/>
  <c r="D52" i="611"/>
  <c r="D361" i="611"/>
  <c r="AN362" i="611"/>
  <c r="B45" i="611"/>
  <c r="AL46" i="611"/>
  <c r="C51" i="611"/>
  <c r="AM52" i="611"/>
  <c r="AL52" i="610"/>
  <c r="AM24" i="610"/>
  <c r="AO22" i="610"/>
  <c r="AL26" i="610"/>
  <c r="AK27" i="610"/>
  <c r="AK54" i="610"/>
  <c r="AJ55" i="610"/>
  <c r="AM44" i="609"/>
  <c r="C43" i="609"/>
  <c r="AL44" i="609"/>
  <c r="B43" i="609"/>
  <c r="AL52" i="608"/>
  <c r="AM24" i="608"/>
  <c r="AO22" i="608"/>
  <c r="AK54" i="608"/>
  <c r="AJ55" i="608"/>
  <c r="AL26" i="608"/>
  <c r="AK27" i="608"/>
  <c r="AL44" i="607"/>
  <c r="B43" i="607"/>
  <c r="AM44" i="607"/>
  <c r="C43" i="607"/>
  <c r="AL26" i="606"/>
  <c r="AK27" i="606"/>
  <c r="AM24" i="606"/>
  <c r="AL52" i="606"/>
  <c r="AO22" i="606"/>
  <c r="AK54" i="606"/>
  <c r="AJ55" i="606"/>
  <c r="AM42" i="605"/>
  <c r="C41" i="605"/>
  <c r="AL43" i="605"/>
  <c r="B42" i="605"/>
  <c r="AM53" i="614"/>
  <c r="AN25" i="614"/>
  <c r="AN23" i="614"/>
  <c r="AM51" i="614"/>
  <c r="AM53" i="612"/>
  <c r="AM51" i="612"/>
  <c r="AN25" i="612"/>
  <c r="AN25" i="610"/>
  <c r="AM53" i="610"/>
  <c r="AN23" i="610"/>
  <c r="AM51" i="610"/>
  <c r="AN51" i="610"/>
  <c r="AN23" i="608"/>
  <c r="AM53" i="608"/>
  <c r="AM51" i="608"/>
  <c r="AM51" i="606"/>
  <c r="AN23" i="606"/>
  <c r="AN25" i="606"/>
  <c r="AM52" i="614" l="1"/>
  <c r="AP22" i="614"/>
  <c r="AN24" i="614"/>
  <c r="AL54" i="614"/>
  <c r="AK55" i="614"/>
  <c r="AM26" i="614"/>
  <c r="AL27" i="614"/>
  <c r="AL44" i="613"/>
  <c r="B43" i="613"/>
  <c r="AM44" i="613"/>
  <c r="C43" i="613"/>
  <c r="AP22" i="612"/>
  <c r="AL54" i="612"/>
  <c r="AK55" i="612"/>
  <c r="AM26" i="612"/>
  <c r="AL27" i="612"/>
  <c r="AM52" i="612"/>
  <c r="AL47" i="611"/>
  <c r="B46" i="611"/>
  <c r="D362" i="611"/>
  <c r="AN363" i="611"/>
  <c r="AM53" i="611"/>
  <c r="C52" i="611"/>
  <c r="AN54" i="611"/>
  <c r="D53" i="611"/>
  <c r="AL54" i="610"/>
  <c r="AK55" i="610"/>
  <c r="AN24" i="610"/>
  <c r="AM26" i="610"/>
  <c r="AL27" i="610"/>
  <c r="AP22" i="610"/>
  <c r="AM52" i="610"/>
  <c r="AN52" i="610" s="1"/>
  <c r="AL45" i="609"/>
  <c r="B44" i="609"/>
  <c r="AM45" i="609"/>
  <c r="C44" i="609"/>
  <c r="AM26" i="608"/>
  <c r="AL27" i="608"/>
  <c r="AL54" i="608"/>
  <c r="AK55" i="608"/>
  <c r="AP22" i="608"/>
  <c r="AN24" i="608"/>
  <c r="AM52" i="608"/>
  <c r="AM45" i="607"/>
  <c r="C44" i="607"/>
  <c r="AL45" i="607"/>
  <c r="B44" i="607"/>
  <c r="AP22" i="606"/>
  <c r="AM52" i="606"/>
  <c r="AN24" i="606"/>
  <c r="AL54" i="606"/>
  <c r="AK55" i="606"/>
  <c r="AM26" i="606"/>
  <c r="AL27" i="606"/>
  <c r="B43" i="605"/>
  <c r="AL44" i="605"/>
  <c r="AM43" i="605"/>
  <c r="C42" i="605"/>
  <c r="AO25" i="614"/>
  <c r="AO23" i="614"/>
  <c r="AN51" i="614"/>
  <c r="AN53" i="614"/>
  <c r="AO25" i="612"/>
  <c r="AO23" i="612"/>
  <c r="AN23" i="612"/>
  <c r="AN53" i="612"/>
  <c r="AN51" i="612"/>
  <c r="AN53" i="610"/>
  <c r="AO23" i="610"/>
  <c r="AO25" i="610"/>
  <c r="AO23" i="608"/>
  <c r="AN51" i="608"/>
  <c r="AO25" i="608"/>
  <c r="AN25" i="608"/>
  <c r="AN53" i="608"/>
  <c r="AO53" i="608"/>
  <c r="AN51" i="606"/>
  <c r="AO23" i="606"/>
  <c r="AO25" i="606"/>
  <c r="AN53" i="606"/>
  <c r="AN26" i="614" l="1"/>
  <c r="AM27" i="614"/>
  <c r="AO24" i="614"/>
  <c r="AQ22" i="614"/>
  <c r="AM54" i="614"/>
  <c r="AL55" i="614"/>
  <c r="AN52" i="614"/>
  <c r="AM45" i="613"/>
  <c r="C44" i="613"/>
  <c r="AL45" i="613"/>
  <c r="B44" i="613"/>
  <c r="AN24" i="612"/>
  <c r="AO24" i="612" s="1"/>
  <c r="AN52" i="612"/>
  <c r="AN26" i="612"/>
  <c r="AM27" i="612"/>
  <c r="AM54" i="612"/>
  <c r="AL55" i="612"/>
  <c r="AQ22" i="612"/>
  <c r="AN55" i="611"/>
  <c r="D54" i="611"/>
  <c r="C53" i="611"/>
  <c r="AM54" i="611"/>
  <c r="D363" i="611"/>
  <c r="AN364" i="611"/>
  <c r="B47" i="611"/>
  <c r="AL48" i="611"/>
  <c r="AQ22" i="610"/>
  <c r="AO24" i="610"/>
  <c r="AN26" i="610"/>
  <c r="AM27" i="610"/>
  <c r="AM54" i="610"/>
  <c r="AL55" i="610"/>
  <c r="C45" i="609"/>
  <c r="AM46" i="609"/>
  <c r="AL46" i="609"/>
  <c r="B45" i="609"/>
  <c r="AN52" i="608"/>
  <c r="AM54" i="608"/>
  <c r="AL55" i="608"/>
  <c r="AQ22" i="608"/>
  <c r="AO24" i="608"/>
  <c r="AN26" i="608"/>
  <c r="AM27" i="608"/>
  <c r="AL46" i="607"/>
  <c r="B45" i="607"/>
  <c r="AM46" i="607"/>
  <c r="C45" i="607"/>
  <c r="AM54" i="606"/>
  <c r="AL55" i="606"/>
  <c r="AN26" i="606"/>
  <c r="AM27" i="606"/>
  <c r="AN52" i="606"/>
  <c r="AQ22" i="606"/>
  <c r="AO24" i="606"/>
  <c r="AL45" i="605"/>
  <c r="B44" i="605"/>
  <c r="C43" i="605"/>
  <c r="AM44" i="605"/>
  <c r="AO53" i="614"/>
  <c r="AO51" i="614"/>
  <c r="AP25" i="614"/>
  <c r="AP23" i="612"/>
  <c r="AO53" i="612"/>
  <c r="AO51" i="612"/>
  <c r="AP25" i="612"/>
  <c r="AO51" i="610"/>
  <c r="AP25" i="610"/>
  <c r="AO53" i="610"/>
  <c r="AP23" i="610"/>
  <c r="AP25" i="608"/>
  <c r="AP23" i="608"/>
  <c r="AO51" i="608"/>
  <c r="AP25" i="606"/>
  <c r="AO53" i="606"/>
  <c r="AO51" i="606"/>
  <c r="AP23" i="606"/>
  <c r="AO52" i="614" l="1"/>
  <c r="AR22" i="614"/>
  <c r="AN54" i="614"/>
  <c r="AM55" i="614"/>
  <c r="AO26" i="614"/>
  <c r="AN27" i="614"/>
  <c r="AL46" i="613"/>
  <c r="B45" i="613"/>
  <c r="AM46" i="613"/>
  <c r="C45" i="613"/>
  <c r="AR22" i="612"/>
  <c r="AN54" i="612"/>
  <c r="AM55" i="612"/>
  <c r="AO26" i="612"/>
  <c r="AN27" i="612"/>
  <c r="AO52" i="612"/>
  <c r="AP24" i="612"/>
  <c r="D364" i="611"/>
  <c r="AN365" i="611"/>
  <c r="B48" i="611"/>
  <c r="AL49" i="611"/>
  <c r="AM55" i="611"/>
  <c r="C54" i="611"/>
  <c r="AN56" i="611"/>
  <c r="D55" i="611"/>
  <c r="AO52" i="610"/>
  <c r="AN54" i="610"/>
  <c r="AM55" i="610"/>
  <c r="AP24" i="610"/>
  <c r="AR22" i="610"/>
  <c r="AO26" i="610"/>
  <c r="AN27" i="610"/>
  <c r="B46" i="609"/>
  <c r="AL47" i="609"/>
  <c r="C46" i="609"/>
  <c r="AM47" i="609"/>
  <c r="AR22" i="608"/>
  <c r="AO26" i="608"/>
  <c r="AN27" i="608"/>
  <c r="AP24" i="608"/>
  <c r="AN54" i="608"/>
  <c r="AM55" i="608"/>
  <c r="AO52" i="608"/>
  <c r="AM47" i="607"/>
  <c r="C46" i="607"/>
  <c r="AL47" i="607"/>
  <c r="B46" i="607"/>
  <c r="AR22" i="606"/>
  <c r="AO26" i="606"/>
  <c r="AN27" i="606"/>
  <c r="AP24" i="606"/>
  <c r="AO52" i="606"/>
  <c r="AN54" i="606"/>
  <c r="AM55" i="606"/>
  <c r="AM45" i="605"/>
  <c r="C44" i="605"/>
  <c r="AL46" i="605"/>
  <c r="B45" i="605"/>
  <c r="AP23" i="614"/>
  <c r="AQ25" i="614"/>
  <c r="AQ23" i="614"/>
  <c r="AP51" i="614"/>
  <c r="AP53" i="614"/>
  <c r="AP51" i="612"/>
  <c r="AP53" i="612"/>
  <c r="AQ25" i="612"/>
  <c r="AQ23" i="612"/>
  <c r="AP53" i="610"/>
  <c r="AP51" i="610"/>
  <c r="AQ23" i="610"/>
  <c r="AQ25" i="610"/>
  <c r="AQ23" i="608"/>
  <c r="AP53" i="608"/>
  <c r="AQ25" i="608"/>
  <c r="AP51" i="608"/>
  <c r="AP51" i="606"/>
  <c r="AP53" i="606"/>
  <c r="AQ25" i="606"/>
  <c r="AQ23" i="606"/>
  <c r="AP24" i="614" l="1"/>
  <c r="AQ24" i="614" s="1"/>
  <c r="AP26" i="614"/>
  <c r="AO27" i="614"/>
  <c r="AO54" i="614"/>
  <c r="AN55" i="614"/>
  <c r="AS22" i="614"/>
  <c r="AP52" i="614"/>
  <c r="AM47" i="613"/>
  <c r="C46" i="613"/>
  <c r="AL47" i="613"/>
  <c r="B46" i="613"/>
  <c r="AP52" i="612"/>
  <c r="AP26" i="612"/>
  <c r="AO27" i="612"/>
  <c r="AQ24" i="612"/>
  <c r="AO54" i="612"/>
  <c r="AN55" i="612"/>
  <c r="AS22" i="612"/>
  <c r="AN57" i="611"/>
  <c r="D56" i="611"/>
  <c r="AM56" i="611"/>
  <c r="C55" i="611"/>
  <c r="B49" i="611"/>
  <c r="AL50" i="611"/>
  <c r="D365" i="611"/>
  <c r="AN366" i="611"/>
  <c r="AP26" i="610"/>
  <c r="AO27" i="610"/>
  <c r="AS22" i="610"/>
  <c r="AQ24" i="610"/>
  <c r="AO54" i="610"/>
  <c r="AN55" i="610"/>
  <c r="AP52" i="610"/>
  <c r="C47" i="609"/>
  <c r="AM48" i="609"/>
  <c r="AL48" i="609"/>
  <c r="B47" i="609"/>
  <c r="AP52" i="608"/>
  <c r="AO54" i="608"/>
  <c r="AN55" i="608"/>
  <c r="AS22" i="608"/>
  <c r="AP26" i="608"/>
  <c r="AO27" i="608"/>
  <c r="AQ24" i="608"/>
  <c r="AL48" i="607"/>
  <c r="B47" i="607"/>
  <c r="AM48" i="607"/>
  <c r="C47" i="607"/>
  <c r="AP26" i="606"/>
  <c r="AO27" i="606"/>
  <c r="AP52" i="606"/>
  <c r="AS22" i="606"/>
  <c r="AO54" i="606"/>
  <c r="AN55" i="606"/>
  <c r="AQ24" i="606"/>
  <c r="B46" i="605"/>
  <c r="AL47" i="605"/>
  <c r="AM46" i="605"/>
  <c r="C45" i="605"/>
  <c r="AQ53" i="614"/>
  <c r="AR23" i="614"/>
  <c r="AQ51" i="614"/>
  <c r="AR25" i="614"/>
  <c r="AR53" i="614"/>
  <c r="AQ51" i="612"/>
  <c r="AR51" i="612"/>
  <c r="AR25" i="612"/>
  <c r="AQ53" i="612"/>
  <c r="AR23" i="612"/>
  <c r="AR23" i="610"/>
  <c r="AR25" i="610"/>
  <c r="AQ53" i="610"/>
  <c r="AQ51" i="610"/>
  <c r="AR51" i="610"/>
  <c r="AR25" i="608"/>
  <c r="AQ53" i="608"/>
  <c r="AQ51" i="608"/>
  <c r="AR23" i="608"/>
  <c r="AR25" i="606"/>
  <c r="AR23" i="606"/>
  <c r="AQ51" i="606"/>
  <c r="AQ53" i="606"/>
  <c r="AQ52" i="614" l="1"/>
  <c r="AP54" i="614"/>
  <c r="AO55" i="614"/>
  <c r="AT22" i="614"/>
  <c r="AQ26" i="614"/>
  <c r="AP27" i="614"/>
  <c r="AR24" i="614"/>
  <c r="AL48" i="613"/>
  <c r="B47" i="613"/>
  <c r="AM48" i="613"/>
  <c r="C47" i="613"/>
  <c r="AT22" i="612"/>
  <c r="AP54" i="612"/>
  <c r="AO55" i="612"/>
  <c r="AR24" i="612"/>
  <c r="AQ26" i="612"/>
  <c r="AP27" i="612"/>
  <c r="AQ52" i="612"/>
  <c r="AR52" i="612" s="1"/>
  <c r="AM57" i="611"/>
  <c r="C56" i="611"/>
  <c r="AL51" i="611"/>
  <c r="B50" i="611"/>
  <c r="D366" i="611"/>
  <c r="AN367" i="611"/>
  <c r="AN58" i="611"/>
  <c r="D57" i="611"/>
  <c r="AP54" i="610"/>
  <c r="AO55" i="610"/>
  <c r="AR24" i="610"/>
  <c r="AQ52" i="610"/>
  <c r="AR52" i="610" s="1"/>
  <c r="AT22" i="610"/>
  <c r="AQ26" i="610"/>
  <c r="AP27" i="610"/>
  <c r="B48" i="609"/>
  <c r="AL49" i="609"/>
  <c r="C48" i="609"/>
  <c r="AM49" i="609"/>
  <c r="AR24" i="608"/>
  <c r="AQ26" i="608"/>
  <c r="AP27" i="608"/>
  <c r="AT22" i="608"/>
  <c r="AP54" i="608"/>
  <c r="AO55" i="608"/>
  <c r="AQ52" i="608"/>
  <c r="AM49" i="607"/>
  <c r="C48" i="607"/>
  <c r="AL49" i="607"/>
  <c r="B48" i="607"/>
  <c r="AR24" i="606"/>
  <c r="AQ52" i="606"/>
  <c r="AP54" i="606"/>
  <c r="AO55" i="606"/>
  <c r="AT22" i="606"/>
  <c r="AQ26" i="606"/>
  <c r="AP27" i="606"/>
  <c r="AL48" i="605"/>
  <c r="B47" i="605"/>
  <c r="AM47" i="605"/>
  <c r="C46" i="605"/>
  <c r="AR51" i="614"/>
  <c r="AS25" i="614"/>
  <c r="AS23" i="614"/>
  <c r="AS25" i="612"/>
  <c r="AS23" i="612"/>
  <c r="AR53" i="612"/>
  <c r="AR53" i="610"/>
  <c r="AS23" i="610"/>
  <c r="AS25" i="610"/>
  <c r="AS53" i="610"/>
  <c r="AR51" i="608"/>
  <c r="AS25" i="608"/>
  <c r="AS23" i="608"/>
  <c r="AR53" i="608"/>
  <c r="AS23" i="606"/>
  <c r="AR53" i="606"/>
  <c r="AS25" i="606"/>
  <c r="AR51" i="606"/>
  <c r="AU22" i="614" l="1"/>
  <c r="AS24" i="614"/>
  <c r="AQ54" i="614"/>
  <c r="AP55" i="614"/>
  <c r="AR26" i="614"/>
  <c r="AQ27" i="614"/>
  <c r="AR52" i="614"/>
  <c r="AM49" i="613"/>
  <c r="C48" i="613"/>
  <c r="AL49" i="613"/>
  <c r="B48" i="613"/>
  <c r="AS24" i="612"/>
  <c r="AU22" i="612"/>
  <c r="AQ54" i="612"/>
  <c r="AP55" i="612"/>
  <c r="AR26" i="612"/>
  <c r="AQ27" i="612"/>
  <c r="D58" i="611"/>
  <c r="AN59" i="611"/>
  <c r="AN368" i="611"/>
  <c r="D367" i="611"/>
  <c r="B51" i="611"/>
  <c r="AL52" i="611"/>
  <c r="AM58" i="611"/>
  <c r="C57" i="611"/>
  <c r="AR26" i="610"/>
  <c r="AQ27" i="610"/>
  <c r="AS24" i="610"/>
  <c r="AU22" i="610"/>
  <c r="AQ54" i="610"/>
  <c r="AP55" i="610"/>
  <c r="C49" i="609"/>
  <c r="AM50" i="609"/>
  <c r="AL50" i="609"/>
  <c r="B49" i="609"/>
  <c r="AQ54" i="608"/>
  <c r="AP55" i="608"/>
  <c r="AR52" i="608"/>
  <c r="AU22" i="608"/>
  <c r="AR26" i="608"/>
  <c r="AQ27" i="608"/>
  <c r="AS24" i="608"/>
  <c r="AL50" i="607"/>
  <c r="B49" i="607"/>
  <c r="AM50" i="607"/>
  <c r="C49" i="607"/>
  <c r="AR26" i="606"/>
  <c r="AQ27" i="606"/>
  <c r="AU22" i="606"/>
  <c r="AR52" i="606"/>
  <c r="AQ54" i="606"/>
  <c r="AP55" i="606"/>
  <c r="AS24" i="606"/>
  <c r="AM48" i="605"/>
  <c r="C47" i="605"/>
  <c r="B48" i="605"/>
  <c r="AL49" i="605"/>
  <c r="AT51" i="614"/>
  <c r="AT25" i="614"/>
  <c r="AT23" i="614"/>
  <c r="AS51" i="614"/>
  <c r="AS53" i="614"/>
  <c r="AS51" i="612"/>
  <c r="AT23" i="612"/>
  <c r="AS53" i="612"/>
  <c r="AT25" i="612"/>
  <c r="AS51" i="610"/>
  <c r="AT25" i="610"/>
  <c r="AT23" i="610"/>
  <c r="AS51" i="608"/>
  <c r="AS53" i="608"/>
  <c r="AT23" i="608"/>
  <c r="AT25" i="606"/>
  <c r="AT23" i="606"/>
  <c r="AS53" i="606"/>
  <c r="AS51" i="606"/>
  <c r="AS26" i="614" l="1"/>
  <c r="AR27" i="614"/>
  <c r="AR54" i="614"/>
  <c r="AQ55" i="614"/>
  <c r="AT24" i="614"/>
  <c r="AS52" i="614"/>
  <c r="AT52" i="614" s="1"/>
  <c r="AV22" i="614"/>
  <c r="AL50" i="613"/>
  <c r="B49" i="613"/>
  <c r="AM50" i="613"/>
  <c r="C49" i="613"/>
  <c r="AS52" i="612"/>
  <c r="AS26" i="612"/>
  <c r="AR27" i="612"/>
  <c r="AR54" i="612"/>
  <c r="AQ55" i="612"/>
  <c r="AV22" i="612"/>
  <c r="AT24" i="612"/>
  <c r="AM59" i="611"/>
  <c r="C58" i="611"/>
  <c r="AN369" i="611"/>
  <c r="D368" i="611"/>
  <c r="AN60" i="611"/>
  <c r="D59" i="611"/>
  <c r="AL53" i="611"/>
  <c r="B52" i="611"/>
  <c r="AS52" i="610"/>
  <c r="AR54" i="610"/>
  <c r="AQ55" i="610"/>
  <c r="AV22" i="610"/>
  <c r="AT24" i="610"/>
  <c r="AS26" i="610"/>
  <c r="AR27" i="610"/>
  <c r="B50" i="609"/>
  <c r="AL51" i="609"/>
  <c r="AM51" i="609"/>
  <c r="C50" i="609"/>
  <c r="AS52" i="608"/>
  <c r="AT24" i="608"/>
  <c r="AS26" i="608"/>
  <c r="AR27" i="608"/>
  <c r="AV22" i="608"/>
  <c r="AR54" i="608"/>
  <c r="AQ55" i="608"/>
  <c r="AM51" i="607"/>
  <c r="C50" i="607"/>
  <c r="AL51" i="607"/>
  <c r="B50" i="607"/>
  <c r="AT24" i="606"/>
  <c r="AV22" i="606"/>
  <c r="AR54" i="606"/>
  <c r="AQ55" i="606"/>
  <c r="AS52" i="606"/>
  <c r="AS26" i="606"/>
  <c r="AR27" i="606"/>
  <c r="AL50" i="605"/>
  <c r="B49" i="605"/>
  <c r="C48" i="605"/>
  <c r="AM49" i="605"/>
  <c r="AU53" i="614"/>
  <c r="AU25" i="614"/>
  <c r="AU23" i="614"/>
  <c r="AT53" i="614"/>
  <c r="AU23" i="612"/>
  <c r="AU25" i="612"/>
  <c r="AT51" i="612"/>
  <c r="AT53" i="612"/>
  <c r="AU23" i="610"/>
  <c r="AT53" i="610"/>
  <c r="AU25" i="610"/>
  <c r="AT51" i="610"/>
  <c r="AU51" i="610"/>
  <c r="AT51" i="608"/>
  <c r="AT25" i="608"/>
  <c r="AT53" i="608"/>
  <c r="AU25" i="608"/>
  <c r="AU23" i="608"/>
  <c r="AU25" i="606"/>
  <c r="AU23" i="606"/>
  <c r="AT51" i="606"/>
  <c r="AT53" i="606"/>
  <c r="AW22" i="614" l="1"/>
  <c r="AU24" i="614"/>
  <c r="AS54" i="614"/>
  <c r="AR55" i="614"/>
  <c r="AT26" i="614"/>
  <c r="AS27" i="614"/>
  <c r="AM51" i="613"/>
  <c r="C50" i="613"/>
  <c r="AL51" i="613"/>
  <c r="B50" i="613"/>
  <c r="AW22" i="612"/>
  <c r="AS54" i="612"/>
  <c r="AR55" i="612"/>
  <c r="AU24" i="612"/>
  <c r="AT26" i="612"/>
  <c r="AS27" i="612"/>
  <c r="AT52" i="612"/>
  <c r="AL54" i="611"/>
  <c r="B53" i="611"/>
  <c r="AN61" i="611"/>
  <c r="D60" i="611"/>
  <c r="AN370" i="611"/>
  <c r="D369" i="611"/>
  <c r="C59" i="611"/>
  <c r="AM60" i="611"/>
  <c r="AU24" i="610"/>
  <c r="AT26" i="610"/>
  <c r="AS27" i="610"/>
  <c r="AW22" i="610"/>
  <c r="AS54" i="610"/>
  <c r="AR55" i="610"/>
  <c r="AT52" i="610"/>
  <c r="AU52" i="610" s="1"/>
  <c r="AM52" i="609"/>
  <c r="C51" i="609"/>
  <c r="AL52" i="609"/>
  <c r="B51" i="609"/>
  <c r="AS54" i="608"/>
  <c r="AR55" i="608"/>
  <c r="AW22" i="608"/>
  <c r="AU24" i="608"/>
  <c r="AT52" i="608"/>
  <c r="AT26" i="608"/>
  <c r="AS27" i="608"/>
  <c r="AL52" i="607"/>
  <c r="B51" i="607"/>
  <c r="AM52" i="607"/>
  <c r="C51" i="607"/>
  <c r="AT52" i="606"/>
  <c r="AS54" i="606"/>
  <c r="AR55" i="606"/>
  <c r="AW22" i="606"/>
  <c r="AT26" i="606"/>
  <c r="AS27" i="606"/>
  <c r="AU24" i="606"/>
  <c r="C49" i="605"/>
  <c r="AM50" i="605"/>
  <c r="AL51" i="605"/>
  <c r="B50" i="605"/>
  <c r="AV25" i="614"/>
  <c r="AV23" i="614"/>
  <c r="AU51" i="614"/>
  <c r="AV23" i="612"/>
  <c r="AU51" i="612"/>
  <c r="AU53" i="612"/>
  <c r="AV25" i="612"/>
  <c r="AV25" i="610"/>
  <c r="AV23" i="610"/>
  <c r="AU53" i="610"/>
  <c r="AV25" i="608"/>
  <c r="AU53" i="608"/>
  <c r="AV23" i="608"/>
  <c r="AU51" i="608"/>
  <c r="AU53" i="606"/>
  <c r="AV25" i="606"/>
  <c r="AV23" i="606"/>
  <c r="AU51" i="606"/>
  <c r="AV51" i="606"/>
  <c r="AU52" i="614" l="1"/>
  <c r="AU26" i="614"/>
  <c r="AT27" i="614"/>
  <c r="AT54" i="614"/>
  <c r="AS55" i="614"/>
  <c r="AV24" i="614"/>
  <c r="AX22" i="614"/>
  <c r="AL52" i="613"/>
  <c r="B51" i="613"/>
  <c r="C51" i="613"/>
  <c r="AM52" i="613"/>
  <c r="AT54" i="612"/>
  <c r="AS55" i="612"/>
  <c r="AV24" i="612"/>
  <c r="AU26" i="612"/>
  <c r="AT27" i="612"/>
  <c r="AU52" i="612"/>
  <c r="AX22" i="612"/>
  <c r="AM61" i="611"/>
  <c r="C60" i="611"/>
  <c r="AN371" i="611"/>
  <c r="D370" i="611"/>
  <c r="AN62" i="611"/>
  <c r="D61" i="611"/>
  <c r="AL55" i="611"/>
  <c r="B54" i="611"/>
  <c r="AT54" i="610"/>
  <c r="AS55" i="610"/>
  <c r="AX22" i="610"/>
  <c r="AU26" i="610"/>
  <c r="AT27" i="610"/>
  <c r="AV24" i="610"/>
  <c r="AL53" i="609"/>
  <c r="B52" i="609"/>
  <c r="C52" i="609"/>
  <c r="AM53" i="609"/>
  <c r="AU26" i="608"/>
  <c r="AT27" i="608"/>
  <c r="AU52" i="608"/>
  <c r="AV24" i="608"/>
  <c r="AX22" i="608"/>
  <c r="AT54" i="608"/>
  <c r="AS55" i="608"/>
  <c r="AM53" i="607"/>
  <c r="C52" i="607"/>
  <c r="AL53" i="607"/>
  <c r="B52" i="607"/>
  <c r="AV24" i="606"/>
  <c r="AU26" i="606"/>
  <c r="AT27" i="606"/>
  <c r="AT54" i="606"/>
  <c r="AS55" i="606"/>
  <c r="AX22" i="606"/>
  <c r="AU52" i="606"/>
  <c r="AV52" i="606" s="1"/>
  <c r="AM51" i="605"/>
  <c r="C50" i="605"/>
  <c r="AL52" i="605"/>
  <c r="B51" i="605"/>
  <c r="AW25" i="614"/>
  <c r="AV51" i="614"/>
  <c r="AV53" i="614"/>
  <c r="AW23" i="614"/>
  <c r="AW23" i="612"/>
  <c r="AV51" i="612"/>
  <c r="AV53" i="612"/>
  <c r="AW25" i="612"/>
  <c r="AW51" i="612"/>
  <c r="AV53" i="610"/>
  <c r="AW23" i="610"/>
  <c r="AW25" i="610"/>
  <c r="AV51" i="610"/>
  <c r="AV51" i="608"/>
  <c r="AW51" i="608"/>
  <c r="AW23" i="608"/>
  <c r="AW25" i="608"/>
  <c r="AV53" i="608"/>
  <c r="AV53" i="606"/>
  <c r="AW23" i="606"/>
  <c r="AW51" i="606"/>
  <c r="AY22" i="614" l="1"/>
  <c r="AW24" i="614"/>
  <c r="AU54" i="614"/>
  <c r="AT55" i="614"/>
  <c r="AV26" i="614"/>
  <c r="AU27" i="614"/>
  <c r="AV52" i="614"/>
  <c r="AM53" i="613"/>
  <c r="C52" i="613"/>
  <c r="AL53" i="613"/>
  <c r="B52" i="613"/>
  <c r="AW24" i="612"/>
  <c r="AY22" i="612"/>
  <c r="AV52" i="612"/>
  <c r="AW52" i="612" s="1"/>
  <c r="AV26" i="612"/>
  <c r="AU27" i="612"/>
  <c r="AU54" i="612"/>
  <c r="AT55" i="612"/>
  <c r="AL56" i="611"/>
  <c r="B55" i="611"/>
  <c r="AN63" i="611"/>
  <c r="D62" i="611"/>
  <c r="AN372" i="611"/>
  <c r="D371" i="611"/>
  <c r="AM62" i="611"/>
  <c r="C61" i="611"/>
  <c r="AV52" i="610"/>
  <c r="AV26" i="610"/>
  <c r="AU27" i="610"/>
  <c r="AW24" i="610"/>
  <c r="AY22" i="610"/>
  <c r="AU54" i="610"/>
  <c r="AT55" i="610"/>
  <c r="C53" i="609"/>
  <c r="AM54" i="609"/>
  <c r="AL54" i="609"/>
  <c r="B53" i="609"/>
  <c r="AU54" i="608"/>
  <c r="AT55" i="608"/>
  <c r="AW24" i="608"/>
  <c r="AY22" i="608"/>
  <c r="AV52" i="608"/>
  <c r="AW52" i="608" s="1"/>
  <c r="AV26" i="608"/>
  <c r="AU27" i="608"/>
  <c r="AL54" i="607"/>
  <c r="B53" i="607"/>
  <c r="AM54" i="607"/>
  <c r="C53" i="607"/>
  <c r="AW52" i="606"/>
  <c r="AY22" i="606"/>
  <c r="AU54" i="606"/>
  <c r="AT55" i="606"/>
  <c r="AV26" i="606"/>
  <c r="AU27" i="606"/>
  <c r="AW24" i="606"/>
  <c r="B52" i="605"/>
  <c r="AL53" i="605"/>
  <c r="AM52" i="605"/>
  <c r="C51" i="605"/>
  <c r="AX25" i="614"/>
  <c r="AX23" i="614"/>
  <c r="AW51" i="614"/>
  <c r="AW53" i="614"/>
  <c r="AX25" i="612"/>
  <c r="AW53" i="612"/>
  <c r="AX23" i="612"/>
  <c r="AX53" i="612"/>
  <c r="AX25" i="610"/>
  <c r="AX23" i="610"/>
  <c r="AW51" i="610"/>
  <c r="AW53" i="610"/>
  <c r="AX51" i="610"/>
  <c r="AX25" i="608"/>
  <c r="AW53" i="608"/>
  <c r="AX23" i="608"/>
  <c r="AX51" i="608"/>
  <c r="AW53" i="606"/>
  <c r="AW25" i="606"/>
  <c r="AX25" i="606"/>
  <c r="AX23" i="606"/>
  <c r="AX53" i="606"/>
  <c r="AW52" i="614" l="1"/>
  <c r="AX24" i="614"/>
  <c r="AW26" i="614"/>
  <c r="AV27" i="614"/>
  <c r="AV54" i="614"/>
  <c r="AU55" i="614"/>
  <c r="AZ22" i="614"/>
  <c r="AL54" i="613"/>
  <c r="B53" i="613"/>
  <c r="AM54" i="613"/>
  <c r="C53" i="613"/>
  <c r="AV54" i="612"/>
  <c r="AU55" i="612"/>
  <c r="AW26" i="612"/>
  <c r="AV27" i="612"/>
  <c r="AZ22" i="612"/>
  <c r="AX24" i="612"/>
  <c r="AM63" i="611"/>
  <c r="C62" i="611"/>
  <c r="AN64" i="611"/>
  <c r="D63" i="611"/>
  <c r="AN373" i="611"/>
  <c r="D372" i="611"/>
  <c r="AL57" i="611"/>
  <c r="B56" i="611"/>
  <c r="AV54" i="610"/>
  <c r="AU55" i="610"/>
  <c r="AX24" i="610"/>
  <c r="AW26" i="610"/>
  <c r="AV27" i="610"/>
  <c r="AZ22" i="610"/>
  <c r="AW52" i="610"/>
  <c r="AX52" i="610" s="1"/>
  <c r="B54" i="609"/>
  <c r="AL55" i="609"/>
  <c r="C54" i="609"/>
  <c r="AM55" i="609"/>
  <c r="AX52" i="608"/>
  <c r="AW26" i="608"/>
  <c r="AV27" i="608"/>
  <c r="AX24" i="608"/>
  <c r="AZ22" i="608"/>
  <c r="AV54" i="608"/>
  <c r="AU55" i="608"/>
  <c r="AM55" i="607"/>
  <c r="C54" i="607"/>
  <c r="AL55" i="607"/>
  <c r="B54" i="607"/>
  <c r="AW26" i="606"/>
  <c r="AV27" i="606"/>
  <c r="AV54" i="606"/>
  <c r="AU55" i="606"/>
  <c r="AZ22" i="606"/>
  <c r="AX24" i="606"/>
  <c r="AL54" i="605"/>
  <c r="B53" i="605"/>
  <c r="AM53" i="605"/>
  <c r="C52" i="605"/>
  <c r="AX51" i="614"/>
  <c r="AX53" i="614"/>
  <c r="AX51" i="612"/>
  <c r="AY53" i="612"/>
  <c r="AX53" i="610"/>
  <c r="AY53" i="610"/>
  <c r="AX53" i="608"/>
  <c r="AX51" i="606"/>
  <c r="AY23" i="606"/>
  <c r="BA22" i="614" l="1"/>
  <c r="AW54" i="614"/>
  <c r="AV55" i="614"/>
  <c r="AX26" i="614"/>
  <c r="AW27" i="614"/>
  <c r="AX52" i="614"/>
  <c r="AM55" i="613"/>
  <c r="C54" i="613"/>
  <c r="AL55" i="613"/>
  <c r="B54" i="613"/>
  <c r="AX52" i="612"/>
  <c r="BA22" i="612"/>
  <c r="AX26" i="612"/>
  <c r="AW27" i="612"/>
  <c r="AW54" i="612"/>
  <c r="AV55" i="612"/>
  <c r="AL58" i="611"/>
  <c r="B57" i="611"/>
  <c r="AN374" i="611"/>
  <c r="D373" i="611"/>
  <c r="AN65" i="611"/>
  <c r="D64" i="611"/>
  <c r="AM64" i="611"/>
  <c r="C63" i="611"/>
  <c r="BA22" i="610"/>
  <c r="AX26" i="610"/>
  <c r="AW27" i="610"/>
  <c r="AW54" i="610"/>
  <c r="AV55" i="610"/>
  <c r="C55" i="609"/>
  <c r="AM56" i="609"/>
  <c r="AL56" i="609"/>
  <c r="B55" i="609"/>
  <c r="AW54" i="608"/>
  <c r="AV55" i="608"/>
  <c r="BA22" i="608"/>
  <c r="AX26" i="608"/>
  <c r="AW27" i="608"/>
  <c r="AL56" i="607"/>
  <c r="B55" i="607"/>
  <c r="AM56" i="607"/>
  <c r="C55" i="607"/>
  <c r="AX52" i="606"/>
  <c r="AW54" i="606"/>
  <c r="AV55" i="606"/>
  <c r="AY24" i="606"/>
  <c r="BA22" i="606"/>
  <c r="AX26" i="606"/>
  <c r="AW27" i="606"/>
  <c r="AM54" i="605"/>
  <c r="C53" i="605"/>
  <c r="AL55" i="605"/>
  <c r="B54" i="605"/>
  <c r="AZ25" i="614"/>
  <c r="AZ23" i="614"/>
  <c r="AY51" i="614"/>
  <c r="AY53" i="614"/>
  <c r="AY23" i="614"/>
  <c r="AY25" i="614"/>
  <c r="AY23" i="612"/>
  <c r="AY51" i="612"/>
  <c r="AZ23" i="612"/>
  <c r="AY25" i="612"/>
  <c r="AZ25" i="612"/>
  <c r="AY23" i="610"/>
  <c r="AZ23" i="610"/>
  <c r="AY25" i="610"/>
  <c r="AY51" i="610"/>
  <c r="AZ25" i="610"/>
  <c r="AZ53" i="608"/>
  <c r="AY53" i="608"/>
  <c r="AY51" i="608"/>
  <c r="AY23" i="608"/>
  <c r="AY25" i="608"/>
  <c r="AZ51" i="608"/>
  <c r="AZ51" i="606"/>
  <c r="AY53" i="606"/>
  <c r="AY51" i="606"/>
  <c r="AZ23" i="606"/>
  <c r="AY25" i="606"/>
  <c r="AZ25" i="606"/>
  <c r="AY24" i="614" l="1"/>
  <c r="AZ24" i="614" s="1"/>
  <c r="AY52" i="614"/>
  <c r="AY26" i="614"/>
  <c r="AX27" i="614"/>
  <c r="AX54" i="614"/>
  <c r="AW55" i="614"/>
  <c r="BB22" i="614"/>
  <c r="AL56" i="613"/>
  <c r="B55" i="613"/>
  <c r="C55" i="613"/>
  <c r="AM56" i="613"/>
  <c r="AY24" i="612"/>
  <c r="AZ24" i="612" s="1"/>
  <c r="AX54" i="612"/>
  <c r="AW55" i="612"/>
  <c r="AY26" i="612"/>
  <c r="AX27" i="612"/>
  <c r="BB22" i="612"/>
  <c r="AY52" i="612"/>
  <c r="AM65" i="611"/>
  <c r="C64" i="611"/>
  <c r="AN66" i="611"/>
  <c r="D65" i="611"/>
  <c r="D374" i="611"/>
  <c r="AN375" i="611"/>
  <c r="AL59" i="611"/>
  <c r="B58" i="611"/>
  <c r="AY52" i="610"/>
  <c r="AY24" i="610"/>
  <c r="AZ24" i="610" s="1"/>
  <c r="AX54" i="610"/>
  <c r="AW55" i="610"/>
  <c r="AY26" i="610"/>
  <c r="AX27" i="610"/>
  <c r="BB22" i="610"/>
  <c r="B56" i="609"/>
  <c r="AL57" i="609"/>
  <c r="C56" i="609"/>
  <c r="AM57" i="609"/>
  <c r="AY24" i="608"/>
  <c r="AY52" i="608"/>
  <c r="AZ52" i="608" s="1"/>
  <c r="BB22" i="608"/>
  <c r="AY26" i="608"/>
  <c r="AX27" i="608"/>
  <c r="AX54" i="608"/>
  <c r="AW55" i="608"/>
  <c r="C56" i="607"/>
  <c r="AM57" i="607"/>
  <c r="B56" i="607"/>
  <c r="AL57" i="607"/>
  <c r="AY26" i="606"/>
  <c r="AX27" i="606"/>
  <c r="AX54" i="606"/>
  <c r="AW55" i="606"/>
  <c r="BB22" i="606"/>
  <c r="AZ24" i="606"/>
  <c r="AY52" i="606"/>
  <c r="AZ52" i="606" s="1"/>
  <c r="AL56" i="605"/>
  <c r="B55" i="605"/>
  <c r="AM55" i="605"/>
  <c r="C54" i="605"/>
  <c r="BA53" i="614"/>
  <c r="BA25" i="614"/>
  <c r="BA23" i="614"/>
  <c r="AZ51" i="614"/>
  <c r="AZ53" i="614"/>
  <c r="AZ53" i="612"/>
  <c r="AZ51" i="612"/>
  <c r="BA25" i="612"/>
  <c r="BA23" i="612"/>
  <c r="BA53" i="612"/>
  <c r="BA25" i="610"/>
  <c r="AZ53" i="610"/>
  <c r="AZ51" i="610"/>
  <c r="BA23" i="610"/>
  <c r="BA25" i="608"/>
  <c r="BA23" i="608"/>
  <c r="AZ23" i="608"/>
  <c r="AZ25" i="608"/>
  <c r="BA23" i="606"/>
  <c r="AZ53" i="606"/>
  <c r="BC22" i="614" l="1"/>
  <c r="AX55" i="614"/>
  <c r="AY54" i="614"/>
  <c r="AY27" i="614"/>
  <c r="AZ26" i="614"/>
  <c r="AZ52" i="614"/>
  <c r="BA24" i="614"/>
  <c r="AM57" i="613"/>
  <c r="C56" i="613"/>
  <c r="AL57" i="613"/>
  <c r="B56" i="613"/>
  <c r="AZ52" i="612"/>
  <c r="BC22" i="612"/>
  <c r="AY27" i="612"/>
  <c r="AZ26" i="612"/>
  <c r="AX55" i="612"/>
  <c r="AY54" i="612"/>
  <c r="BA24" i="612"/>
  <c r="B59" i="611"/>
  <c r="AL60" i="611"/>
  <c r="AN376" i="611"/>
  <c r="D375" i="611"/>
  <c r="D66" i="611"/>
  <c r="AN67" i="611"/>
  <c r="C65" i="611"/>
  <c r="AM66" i="611"/>
  <c r="BC22" i="610"/>
  <c r="AX55" i="610"/>
  <c r="AY54" i="610"/>
  <c r="BA24" i="610"/>
  <c r="AY27" i="610"/>
  <c r="AZ26" i="610"/>
  <c r="AZ52" i="610"/>
  <c r="C57" i="609"/>
  <c r="AM58" i="609"/>
  <c r="AL58" i="609"/>
  <c r="B57" i="609"/>
  <c r="AY27" i="608"/>
  <c r="AZ26" i="608"/>
  <c r="AX55" i="608"/>
  <c r="AY54" i="608"/>
  <c r="BC22" i="608"/>
  <c r="AZ24" i="608"/>
  <c r="BA24" i="608" s="1"/>
  <c r="AL58" i="607"/>
  <c r="B57" i="607"/>
  <c r="C57" i="607"/>
  <c r="AM58" i="607"/>
  <c r="BC22" i="606"/>
  <c r="BA24" i="606"/>
  <c r="AX55" i="606"/>
  <c r="AY54" i="606"/>
  <c r="AY27" i="606"/>
  <c r="AZ26" i="606"/>
  <c r="AM56" i="605"/>
  <c r="C55" i="605"/>
  <c r="B56" i="605"/>
  <c r="AL57" i="605"/>
  <c r="BB23" i="614"/>
  <c r="BB25" i="614"/>
  <c r="BA51" i="614"/>
  <c r="BA51" i="612"/>
  <c r="BB25" i="612"/>
  <c r="BB23" i="612"/>
  <c r="BB25" i="610"/>
  <c r="BB23" i="610"/>
  <c r="BA51" i="610"/>
  <c r="BA53" i="610"/>
  <c r="BA53" i="608"/>
  <c r="BA51" i="608"/>
  <c r="BB25" i="608"/>
  <c r="BA25" i="606"/>
  <c r="BB25" i="606"/>
  <c r="BB23" i="606"/>
  <c r="BA53" i="606"/>
  <c r="BA51" i="606"/>
  <c r="BB24" i="614" l="1"/>
  <c r="BA52" i="614"/>
  <c r="BA26" i="614"/>
  <c r="AZ27" i="614"/>
  <c r="AZ54" i="614"/>
  <c r="AY55" i="614"/>
  <c r="BD22" i="614"/>
  <c r="AL58" i="613"/>
  <c r="B57" i="613"/>
  <c r="AM58" i="613"/>
  <c r="C57" i="613"/>
  <c r="BB24" i="612"/>
  <c r="BD22" i="612"/>
  <c r="AZ54" i="612"/>
  <c r="AY55" i="612"/>
  <c r="BA26" i="612"/>
  <c r="AZ27" i="612"/>
  <c r="BA52" i="612"/>
  <c r="AN68" i="611"/>
  <c r="D67" i="611"/>
  <c r="AM67" i="611"/>
  <c r="C66" i="611"/>
  <c r="AN377" i="611"/>
  <c r="D376" i="611"/>
  <c r="AL61" i="611"/>
  <c r="B60" i="611"/>
  <c r="BA52" i="610"/>
  <c r="BA26" i="610"/>
  <c r="AZ27" i="610"/>
  <c r="AZ54" i="610"/>
  <c r="AY55" i="610"/>
  <c r="BB24" i="610"/>
  <c r="BD22" i="610"/>
  <c r="B58" i="609"/>
  <c r="AL59" i="609"/>
  <c r="AM59" i="609"/>
  <c r="C58" i="609"/>
  <c r="BA52" i="608"/>
  <c r="BD22" i="608"/>
  <c r="AZ27" i="608"/>
  <c r="BA26" i="608"/>
  <c r="AY55" i="608"/>
  <c r="AZ54" i="608"/>
  <c r="C58" i="607"/>
  <c r="AM59" i="607"/>
  <c r="B58" i="607"/>
  <c r="AL59" i="607"/>
  <c r="BA52" i="606"/>
  <c r="BA26" i="606"/>
  <c r="AZ27" i="606"/>
  <c r="AZ54" i="606"/>
  <c r="AY55" i="606"/>
  <c r="BD22" i="606"/>
  <c r="BB24" i="606"/>
  <c r="AL58" i="605"/>
  <c r="B57" i="605"/>
  <c r="C56" i="605"/>
  <c r="AM57" i="605"/>
  <c r="BB51" i="614"/>
  <c r="BB53" i="614"/>
  <c r="BC25" i="614"/>
  <c r="BC23" i="614"/>
  <c r="BB51" i="612"/>
  <c r="BC25" i="612"/>
  <c r="BB53" i="612"/>
  <c r="BC23" i="612"/>
  <c r="BC25" i="610"/>
  <c r="BC23" i="610"/>
  <c r="BB53" i="610"/>
  <c r="BB51" i="610"/>
  <c r="BB23" i="608"/>
  <c r="BB53" i="608"/>
  <c r="BC25" i="608"/>
  <c r="BC23" i="608"/>
  <c r="BB51" i="608"/>
  <c r="BC53" i="608"/>
  <c r="BC25" i="606"/>
  <c r="BB51" i="606"/>
  <c r="BC23" i="606"/>
  <c r="BB53" i="606"/>
  <c r="BE22" i="614" l="1"/>
  <c r="BB26" i="614"/>
  <c r="BA27" i="614"/>
  <c r="BA54" i="614"/>
  <c r="AZ55" i="614"/>
  <c r="BB52" i="614"/>
  <c r="BC24" i="614"/>
  <c r="AM59" i="613"/>
  <c r="C58" i="613"/>
  <c r="AL59" i="613"/>
  <c r="B58" i="613"/>
  <c r="BB26" i="612"/>
  <c r="BA27" i="612"/>
  <c r="BB52" i="612"/>
  <c r="BA54" i="612"/>
  <c r="AZ55" i="612"/>
  <c r="BE22" i="612"/>
  <c r="BC24" i="612"/>
  <c r="AL62" i="611"/>
  <c r="B61" i="611"/>
  <c r="AN378" i="611"/>
  <c r="D377" i="611"/>
  <c r="AM68" i="611"/>
  <c r="C67" i="611"/>
  <c r="AN69" i="611"/>
  <c r="D68" i="611"/>
  <c r="BE22" i="610"/>
  <c r="BA54" i="610"/>
  <c r="AZ55" i="610"/>
  <c r="BC24" i="610"/>
  <c r="BB26" i="610"/>
  <c r="BA27" i="610"/>
  <c r="BB52" i="610"/>
  <c r="AM60" i="609"/>
  <c r="C59" i="609"/>
  <c r="AL60" i="609"/>
  <c r="B59" i="609"/>
  <c r="BB24" i="608"/>
  <c r="BC24" i="608" s="1"/>
  <c r="BB26" i="608"/>
  <c r="BA27" i="608"/>
  <c r="BE22" i="608"/>
  <c r="BA54" i="608"/>
  <c r="AZ55" i="608"/>
  <c r="BB52" i="608"/>
  <c r="AL60" i="607"/>
  <c r="B59" i="607"/>
  <c r="C59" i="607"/>
  <c r="AM60" i="607"/>
  <c r="BE22" i="606"/>
  <c r="BC24" i="606"/>
  <c r="BB26" i="606"/>
  <c r="BA27" i="606"/>
  <c r="BA54" i="606"/>
  <c r="AZ55" i="606"/>
  <c r="BB52" i="606"/>
  <c r="AM58" i="605"/>
  <c r="C57" i="605"/>
  <c r="AL59" i="605"/>
  <c r="B58" i="605"/>
  <c r="BD23" i="614"/>
  <c r="BC51" i="614"/>
  <c r="BD25" i="614"/>
  <c r="BC53" i="614"/>
  <c r="BC53" i="612"/>
  <c r="BD23" i="612"/>
  <c r="BD25" i="612"/>
  <c r="BC51" i="612"/>
  <c r="BD53" i="612"/>
  <c r="BC51" i="610"/>
  <c r="BC53" i="610"/>
  <c r="BD25" i="610"/>
  <c r="BD23" i="610"/>
  <c r="BD51" i="610"/>
  <c r="BD25" i="608"/>
  <c r="BC51" i="608"/>
  <c r="BD23" i="608"/>
  <c r="BD25" i="606"/>
  <c r="BC53" i="606"/>
  <c r="BD23" i="606"/>
  <c r="BC51" i="606"/>
  <c r="BB54" i="614" l="1"/>
  <c r="BA55" i="614"/>
  <c r="BC52" i="614"/>
  <c r="BC26" i="614"/>
  <c r="BB27" i="614"/>
  <c r="BF22" i="614"/>
  <c r="BD24" i="614"/>
  <c r="AL60" i="613"/>
  <c r="B59" i="613"/>
  <c r="C59" i="613"/>
  <c r="AM60" i="613"/>
  <c r="BB54" i="612"/>
  <c r="BA55" i="612"/>
  <c r="BC52" i="612"/>
  <c r="BD24" i="612"/>
  <c r="BF22" i="612"/>
  <c r="BC26" i="612"/>
  <c r="BB27" i="612"/>
  <c r="AN70" i="611"/>
  <c r="D69" i="611"/>
  <c r="AM69" i="611"/>
  <c r="C68" i="611"/>
  <c r="AN379" i="611"/>
  <c r="D378" i="611"/>
  <c r="AL63" i="611"/>
  <c r="B62" i="611"/>
  <c r="BB54" i="610"/>
  <c r="BA55" i="610"/>
  <c r="BC26" i="610"/>
  <c r="BB27" i="610"/>
  <c r="BC52" i="610"/>
  <c r="BD52" i="610" s="1"/>
  <c r="BD24" i="610"/>
  <c r="BF22" i="610"/>
  <c r="AL61" i="609"/>
  <c r="B60" i="609"/>
  <c r="AM61" i="609"/>
  <c r="C60" i="609"/>
  <c r="BC52" i="608"/>
  <c r="BB54" i="608"/>
  <c r="BA55" i="608"/>
  <c r="BF22" i="608"/>
  <c r="BC26" i="608"/>
  <c r="BB27" i="608"/>
  <c r="BD24" i="608"/>
  <c r="C60" i="607"/>
  <c r="AM61" i="607"/>
  <c r="B60" i="607"/>
  <c r="AL61" i="607"/>
  <c r="BB54" i="606"/>
  <c r="BA55" i="606"/>
  <c r="BC52" i="606"/>
  <c r="BD24" i="606"/>
  <c r="BF22" i="606"/>
  <c r="BC26" i="606"/>
  <c r="BB27" i="606"/>
  <c r="AL60" i="605"/>
  <c r="B59" i="605"/>
  <c r="C58" i="605"/>
  <c r="AM59" i="605"/>
  <c r="BE51" i="614"/>
  <c r="BE25" i="614"/>
  <c r="BE23" i="614"/>
  <c r="BD51" i="614"/>
  <c r="BD53" i="614"/>
  <c r="BD51" i="612"/>
  <c r="BE23" i="612"/>
  <c r="BE25" i="612"/>
  <c r="BE51" i="612"/>
  <c r="BE23" i="610"/>
  <c r="BD53" i="610"/>
  <c r="BE51" i="610"/>
  <c r="BD51" i="608"/>
  <c r="BE23" i="608"/>
  <c r="BD53" i="608"/>
  <c r="BE25" i="608"/>
  <c r="BE51" i="608"/>
  <c r="BE25" i="606"/>
  <c r="BD51" i="606"/>
  <c r="BD53" i="606"/>
  <c r="BE23" i="606"/>
  <c r="BE24" i="614" l="1"/>
  <c r="BG22" i="614"/>
  <c r="BD26" i="614"/>
  <c r="BC27" i="614"/>
  <c r="BD52" i="614"/>
  <c r="BE52" i="614" s="1"/>
  <c r="BC54" i="614"/>
  <c r="BB55" i="614"/>
  <c r="AM61" i="613"/>
  <c r="C60" i="613"/>
  <c r="AL61" i="613"/>
  <c r="B60" i="613"/>
  <c r="BE24" i="612"/>
  <c r="BD52" i="612"/>
  <c r="BE52" i="612" s="1"/>
  <c r="BD26" i="612"/>
  <c r="BC27" i="612"/>
  <c r="BG22" i="612"/>
  <c r="BC54" i="612"/>
  <c r="BB55" i="612"/>
  <c r="AL64" i="611"/>
  <c r="B63" i="611"/>
  <c r="AN380" i="611"/>
  <c r="D379" i="611"/>
  <c r="AM70" i="611"/>
  <c r="C69" i="611"/>
  <c r="AN71" i="611"/>
  <c r="D70" i="611"/>
  <c r="BE24" i="610"/>
  <c r="BD26" i="610"/>
  <c r="BC27" i="610"/>
  <c r="BG22" i="610"/>
  <c r="BE52" i="610"/>
  <c r="BC54" i="610"/>
  <c r="BB55" i="610"/>
  <c r="AM62" i="609"/>
  <c r="C61" i="609"/>
  <c r="AL62" i="609"/>
  <c r="B61" i="609"/>
  <c r="BE24" i="608"/>
  <c r="BD26" i="608"/>
  <c r="BC27" i="608"/>
  <c r="BG22" i="608"/>
  <c r="BC54" i="608"/>
  <c r="BB55" i="608"/>
  <c r="BD52" i="608"/>
  <c r="BE52" i="608" s="1"/>
  <c r="AL62" i="607"/>
  <c r="B61" i="607"/>
  <c r="C61" i="607"/>
  <c r="AM62" i="607"/>
  <c r="BD26" i="606"/>
  <c r="BC27" i="606"/>
  <c r="BE24" i="606"/>
  <c r="BD52" i="606"/>
  <c r="BG22" i="606"/>
  <c r="BC54" i="606"/>
  <c r="BB55" i="606"/>
  <c r="C59" i="605"/>
  <c r="AM60" i="605"/>
  <c r="B60" i="605"/>
  <c r="AL61" i="605"/>
  <c r="BF25" i="614"/>
  <c r="BF23" i="614"/>
  <c r="BE53" i="614"/>
  <c r="BE53" i="612"/>
  <c r="BF25" i="612"/>
  <c r="BF23" i="612"/>
  <c r="BE53" i="610"/>
  <c r="BE25" i="610"/>
  <c r="BF23" i="610"/>
  <c r="BF25" i="610"/>
  <c r="BF53" i="610"/>
  <c r="BF23" i="608"/>
  <c r="BF25" i="608"/>
  <c r="BE53" i="608"/>
  <c r="BE51" i="606"/>
  <c r="BE53" i="606"/>
  <c r="BF25" i="606"/>
  <c r="BF23" i="606"/>
  <c r="BF53" i="606"/>
  <c r="BD54" i="614" l="1"/>
  <c r="BC55" i="614"/>
  <c r="BE26" i="614"/>
  <c r="BD27" i="614"/>
  <c r="BH22" i="614"/>
  <c r="BF24" i="614"/>
  <c r="AL62" i="613"/>
  <c r="B61" i="613"/>
  <c r="AM62" i="613"/>
  <c r="C61" i="613"/>
  <c r="BD54" i="612"/>
  <c r="BC55" i="612"/>
  <c r="BH22" i="612"/>
  <c r="BE26" i="612"/>
  <c r="BD27" i="612"/>
  <c r="BF24" i="612"/>
  <c r="AN72" i="611"/>
  <c r="D71" i="611"/>
  <c r="AM71" i="611"/>
  <c r="C70" i="611"/>
  <c r="AN381" i="611"/>
  <c r="D380" i="611"/>
  <c r="AL65" i="611"/>
  <c r="B64" i="611"/>
  <c r="BD54" i="610"/>
  <c r="BC55" i="610"/>
  <c r="BF24" i="610"/>
  <c r="BH22" i="610"/>
  <c r="BE26" i="610"/>
  <c r="BD27" i="610"/>
  <c r="AL63" i="609"/>
  <c r="B62" i="609"/>
  <c r="AM63" i="609"/>
  <c r="C62" i="609"/>
  <c r="BD54" i="608"/>
  <c r="BC55" i="608"/>
  <c r="BH22" i="608"/>
  <c r="BE26" i="608"/>
  <c r="BD27" i="608"/>
  <c r="BF24" i="608"/>
  <c r="C62" i="607"/>
  <c r="AM63" i="607"/>
  <c r="B62" i="607"/>
  <c r="AL63" i="607"/>
  <c r="BD54" i="606"/>
  <c r="BC55" i="606"/>
  <c r="BF24" i="606"/>
  <c r="BH22" i="606"/>
  <c r="BE52" i="606"/>
  <c r="BE26" i="606"/>
  <c r="BD27" i="606"/>
  <c r="AL62" i="605"/>
  <c r="B61" i="605"/>
  <c r="AM61" i="605"/>
  <c r="C60" i="605"/>
  <c r="BG25" i="614"/>
  <c r="BG23" i="614"/>
  <c r="BF51" i="614"/>
  <c r="BF53" i="614"/>
  <c r="BG23" i="612"/>
  <c r="BF53" i="612"/>
  <c r="BG25" i="612"/>
  <c r="BF51" i="612"/>
  <c r="BG23" i="610"/>
  <c r="BF51" i="610"/>
  <c r="BG25" i="610"/>
  <c r="BF53" i="608"/>
  <c r="BG25" i="608"/>
  <c r="BG23" i="608"/>
  <c r="BF51" i="608"/>
  <c r="BG51" i="608"/>
  <c r="BF51" i="606"/>
  <c r="BG25" i="606"/>
  <c r="BG23" i="606"/>
  <c r="BG51" i="606"/>
  <c r="BF52" i="614" l="1"/>
  <c r="BG24" i="614"/>
  <c r="BI22" i="614"/>
  <c r="BF26" i="614"/>
  <c r="BE27" i="614"/>
  <c r="BE54" i="614"/>
  <c r="BD55" i="614"/>
  <c r="AM63" i="613"/>
  <c r="C62" i="613"/>
  <c r="AL63" i="613"/>
  <c r="B62" i="613"/>
  <c r="BF52" i="612"/>
  <c r="BI22" i="612"/>
  <c r="BF26" i="612"/>
  <c r="BE27" i="612"/>
  <c r="BG24" i="612"/>
  <c r="BE54" i="612"/>
  <c r="BD55" i="612"/>
  <c r="B65" i="611"/>
  <c r="AL66" i="611"/>
  <c r="AN382" i="611"/>
  <c r="D381" i="611"/>
  <c r="AM72" i="611"/>
  <c r="C71" i="611"/>
  <c r="AN73" i="611"/>
  <c r="D72" i="611"/>
  <c r="BF52" i="610"/>
  <c r="BF26" i="610"/>
  <c r="BE27" i="610"/>
  <c r="BI22" i="610"/>
  <c r="BG24" i="610"/>
  <c r="BE54" i="610"/>
  <c r="BD55" i="610"/>
  <c r="AM64" i="609"/>
  <c r="C63" i="609"/>
  <c r="AL64" i="609"/>
  <c r="B63" i="609"/>
  <c r="BF52" i="608"/>
  <c r="BG52" i="608" s="1"/>
  <c r="BF26" i="608"/>
  <c r="BE27" i="608"/>
  <c r="BG24" i="608"/>
  <c r="BI22" i="608"/>
  <c r="BE54" i="608"/>
  <c r="BD55" i="608"/>
  <c r="AL64" i="607"/>
  <c r="B63" i="607"/>
  <c r="C63" i="607"/>
  <c r="AM64" i="607"/>
  <c r="BF26" i="606"/>
  <c r="BE27" i="606"/>
  <c r="BG24" i="606"/>
  <c r="BF52" i="606"/>
  <c r="BG52" i="606" s="1"/>
  <c r="BI22" i="606"/>
  <c r="BE54" i="606"/>
  <c r="BD55" i="606"/>
  <c r="AM62" i="605"/>
  <c r="C61" i="605"/>
  <c r="AL63" i="605"/>
  <c r="B62" i="605"/>
  <c r="BH25" i="614"/>
  <c r="BH23" i="614"/>
  <c r="BG51" i="614"/>
  <c r="BG53" i="614"/>
  <c r="BG53" i="612"/>
  <c r="BG51" i="612"/>
  <c r="BH25" i="612"/>
  <c r="BH23" i="612"/>
  <c r="BH23" i="610"/>
  <c r="BG53" i="610"/>
  <c r="BG51" i="610"/>
  <c r="BH25" i="610"/>
  <c r="BH53" i="610"/>
  <c r="BG53" i="608"/>
  <c r="BH25" i="608"/>
  <c r="BH23" i="608"/>
  <c r="BH53" i="608"/>
  <c r="BH23" i="606"/>
  <c r="BG53" i="606"/>
  <c r="BH25" i="606"/>
  <c r="BH53" i="606"/>
  <c r="BF54" i="614" l="1"/>
  <c r="BE55" i="614"/>
  <c r="BG26" i="614"/>
  <c r="BF27" i="614"/>
  <c r="BJ22" i="614"/>
  <c r="BH24" i="614"/>
  <c r="BG52" i="614"/>
  <c r="AL64" i="613"/>
  <c r="B63" i="613"/>
  <c r="AM64" i="613"/>
  <c r="C63" i="613"/>
  <c r="BH24" i="612"/>
  <c r="BG26" i="612"/>
  <c r="BF27" i="612"/>
  <c r="BJ22" i="612"/>
  <c r="BF54" i="612"/>
  <c r="BE55" i="612"/>
  <c r="BG52" i="612"/>
  <c r="AN74" i="611"/>
  <c r="D73" i="611"/>
  <c r="AM73" i="611"/>
  <c r="C72" i="611"/>
  <c r="AN383" i="611"/>
  <c r="D382" i="611"/>
  <c r="AL67" i="611"/>
  <c r="B66" i="611"/>
  <c r="BH24" i="610"/>
  <c r="BF54" i="610"/>
  <c r="BE55" i="610"/>
  <c r="BG26" i="610"/>
  <c r="BF27" i="610"/>
  <c r="BJ22" i="610"/>
  <c r="BG52" i="610"/>
  <c r="AL65" i="609"/>
  <c r="B64" i="609"/>
  <c r="AM65" i="609"/>
  <c r="C64" i="609"/>
  <c r="BH24" i="608"/>
  <c r="BG26" i="608"/>
  <c r="BF27" i="608"/>
  <c r="BF54" i="608"/>
  <c r="BE55" i="608"/>
  <c r="BJ22" i="608"/>
  <c r="C64" i="607"/>
  <c r="AM65" i="607"/>
  <c r="B64" i="607"/>
  <c r="AL65" i="607"/>
  <c r="BF54" i="606"/>
  <c r="BE55" i="606"/>
  <c r="BH24" i="606"/>
  <c r="BJ22" i="606"/>
  <c r="BG26" i="606"/>
  <c r="BF27" i="606"/>
  <c r="AL64" i="605"/>
  <c r="B63" i="605"/>
  <c r="C62" i="605"/>
  <c r="AM63" i="605"/>
  <c r="BI25" i="614"/>
  <c r="BI23" i="614"/>
  <c r="BH51" i="614"/>
  <c r="BH53" i="614"/>
  <c r="BI25" i="612"/>
  <c r="BH51" i="612"/>
  <c r="BI23" i="612"/>
  <c r="BH53" i="612"/>
  <c r="BH51" i="610"/>
  <c r="BI25" i="610"/>
  <c r="BI23" i="610"/>
  <c r="BH51" i="608"/>
  <c r="BI25" i="606"/>
  <c r="BI23" i="606"/>
  <c r="BH51" i="606"/>
  <c r="BH52" i="614" l="1"/>
  <c r="BI24" i="614"/>
  <c r="BK22" i="614"/>
  <c r="BH26" i="614"/>
  <c r="BG27" i="614"/>
  <c r="BG54" i="614"/>
  <c r="BF55" i="614"/>
  <c r="AM65" i="613"/>
  <c r="C64" i="613"/>
  <c r="AL65" i="613"/>
  <c r="B64" i="613"/>
  <c r="BK22" i="612"/>
  <c r="BH52" i="612"/>
  <c r="BG54" i="612"/>
  <c r="BF55" i="612"/>
  <c r="BH26" i="612"/>
  <c r="BG27" i="612"/>
  <c r="BI24" i="612"/>
  <c r="AL68" i="611"/>
  <c r="B67" i="611"/>
  <c r="AN384" i="611"/>
  <c r="D383" i="611"/>
  <c r="AM74" i="611"/>
  <c r="C73" i="611"/>
  <c r="AN75" i="611"/>
  <c r="D74" i="611"/>
  <c r="BH52" i="610"/>
  <c r="BK22" i="610"/>
  <c r="BG54" i="610"/>
  <c r="BF55" i="610"/>
  <c r="BH26" i="610"/>
  <c r="BG27" i="610"/>
  <c r="BI24" i="610"/>
  <c r="AM66" i="609"/>
  <c r="C65" i="609"/>
  <c r="AL66" i="609"/>
  <c r="B65" i="609"/>
  <c r="BH52" i="608"/>
  <c r="BK22" i="608"/>
  <c r="BH26" i="608"/>
  <c r="BG27" i="608"/>
  <c r="BG54" i="608"/>
  <c r="BF55" i="608"/>
  <c r="AL66" i="607"/>
  <c r="B65" i="607"/>
  <c r="AM66" i="607"/>
  <c r="C65" i="607"/>
  <c r="BH52" i="606"/>
  <c r="BH26" i="606"/>
  <c r="BG27" i="606"/>
  <c r="BI24" i="606"/>
  <c r="BK22" i="606"/>
  <c r="BG54" i="606"/>
  <c r="BF55" i="606"/>
  <c r="AM64" i="605"/>
  <c r="C63" i="605"/>
  <c r="B64" i="605"/>
  <c r="AL65" i="605"/>
  <c r="BJ25" i="614"/>
  <c r="BJ23" i="614"/>
  <c r="BI51" i="614"/>
  <c r="BI53" i="614"/>
  <c r="BJ53" i="614"/>
  <c r="BJ25" i="612"/>
  <c r="BJ23" i="612"/>
  <c r="BI51" i="612"/>
  <c r="BI53" i="612"/>
  <c r="BI51" i="610"/>
  <c r="BJ25" i="610"/>
  <c r="BJ23" i="610"/>
  <c r="BI53" i="610"/>
  <c r="BI53" i="608"/>
  <c r="BI25" i="608"/>
  <c r="BJ25" i="608"/>
  <c r="BI23" i="608"/>
  <c r="BJ23" i="608"/>
  <c r="BI51" i="608"/>
  <c r="BJ25" i="606"/>
  <c r="BJ23" i="606"/>
  <c r="BI51" i="606"/>
  <c r="BI53" i="606"/>
  <c r="BH54" i="614" l="1"/>
  <c r="BG55" i="614"/>
  <c r="BI26" i="614"/>
  <c r="BH27" i="614"/>
  <c r="BJ24" i="614"/>
  <c r="BL22" i="614"/>
  <c r="BI52" i="614"/>
  <c r="AL66" i="613"/>
  <c r="B65" i="613"/>
  <c r="AM66" i="613"/>
  <c r="C65" i="613"/>
  <c r="BJ24" i="612"/>
  <c r="BI26" i="612"/>
  <c r="BH27" i="612"/>
  <c r="BH54" i="612"/>
  <c r="BG55" i="612"/>
  <c r="BI52" i="612"/>
  <c r="BL22" i="612"/>
  <c r="AN76" i="611"/>
  <c r="D75" i="611"/>
  <c r="AM75" i="611"/>
  <c r="C74" i="611"/>
  <c r="AN385" i="611"/>
  <c r="D384" i="611"/>
  <c r="AL69" i="611"/>
  <c r="B68" i="611"/>
  <c r="BJ24" i="610"/>
  <c r="BI26" i="610"/>
  <c r="BH27" i="610"/>
  <c r="BH54" i="610"/>
  <c r="BG55" i="610"/>
  <c r="BL22" i="610"/>
  <c r="BI52" i="610"/>
  <c r="AL67" i="609"/>
  <c r="B66" i="609"/>
  <c r="AM67" i="609"/>
  <c r="C66" i="609"/>
  <c r="BI24" i="608"/>
  <c r="BJ24" i="608" s="1"/>
  <c r="BI26" i="608"/>
  <c r="BH27" i="608"/>
  <c r="BL22" i="608"/>
  <c r="BH54" i="608"/>
  <c r="BG55" i="608"/>
  <c r="BI52" i="608"/>
  <c r="AM67" i="607"/>
  <c r="C66" i="607"/>
  <c r="AL67" i="607"/>
  <c r="B66" i="607"/>
  <c r="BH54" i="606"/>
  <c r="BG55" i="606"/>
  <c r="BL22" i="606"/>
  <c r="BJ24" i="606"/>
  <c r="BI26" i="606"/>
  <c r="BH27" i="606"/>
  <c r="BI52" i="606"/>
  <c r="AL66" i="605"/>
  <c r="B65" i="605"/>
  <c r="C64" i="605"/>
  <c r="AM65" i="605"/>
  <c r="BJ51" i="614"/>
  <c r="BK23" i="614"/>
  <c r="BK51" i="614"/>
  <c r="BK25" i="612"/>
  <c r="BK23" i="612"/>
  <c r="BJ51" i="612"/>
  <c r="BJ53" i="612"/>
  <c r="BK23" i="610"/>
  <c r="BJ53" i="610"/>
  <c r="BK25" i="610"/>
  <c r="BJ51" i="610"/>
  <c r="BK51" i="610"/>
  <c r="BK23" i="608"/>
  <c r="BJ51" i="608"/>
  <c r="BK25" i="608"/>
  <c r="BJ53" i="608"/>
  <c r="BK53" i="608"/>
  <c r="BK25" i="606"/>
  <c r="BJ51" i="606"/>
  <c r="BK23" i="606"/>
  <c r="BJ53" i="606"/>
  <c r="BK51" i="606"/>
  <c r="BK24" i="614" l="1"/>
  <c r="BJ52" i="614"/>
  <c r="BK52" i="614" s="1"/>
  <c r="BJ26" i="614"/>
  <c r="BI27" i="614"/>
  <c r="BM22" i="614"/>
  <c r="BI54" i="614"/>
  <c r="BH55" i="614"/>
  <c r="AM67" i="613"/>
  <c r="C66" i="613"/>
  <c r="AL67" i="613"/>
  <c r="B66" i="613"/>
  <c r="BM22" i="612"/>
  <c r="BJ52" i="612"/>
  <c r="BI54" i="612"/>
  <c r="BH55" i="612"/>
  <c r="BJ26" i="612"/>
  <c r="BI27" i="612"/>
  <c r="BK24" i="612"/>
  <c r="AL70" i="611"/>
  <c r="B69" i="611"/>
  <c r="AN386" i="611"/>
  <c r="D385" i="611"/>
  <c r="AM76" i="611"/>
  <c r="C75" i="611"/>
  <c r="AN77" i="611"/>
  <c r="D76" i="611"/>
  <c r="BJ52" i="610"/>
  <c r="BK52" i="610" s="1"/>
  <c r="BI54" i="610"/>
  <c r="BH55" i="610"/>
  <c r="BM22" i="610"/>
  <c r="BJ26" i="610"/>
  <c r="BI27" i="610"/>
  <c r="BK24" i="610"/>
  <c r="AM68" i="609"/>
  <c r="C67" i="609"/>
  <c r="AL68" i="609"/>
  <c r="B67" i="609"/>
  <c r="BJ52" i="608"/>
  <c r="BI54" i="608"/>
  <c r="BH55" i="608"/>
  <c r="BM22" i="608"/>
  <c r="BJ26" i="608"/>
  <c r="BI27" i="608"/>
  <c r="BK24" i="608"/>
  <c r="AL68" i="607"/>
  <c r="B67" i="607"/>
  <c r="AM68" i="607"/>
  <c r="C67" i="607"/>
  <c r="BJ26" i="606"/>
  <c r="BI27" i="606"/>
  <c r="BJ52" i="606"/>
  <c r="BK52" i="606" s="1"/>
  <c r="BK24" i="606"/>
  <c r="BM22" i="606"/>
  <c r="BI54" i="606"/>
  <c r="BH55" i="606"/>
  <c r="AM66" i="605"/>
  <c r="C65" i="605"/>
  <c r="B66" i="605"/>
  <c r="AL67" i="605"/>
  <c r="BK25" i="614"/>
  <c r="BK53" i="614"/>
  <c r="BL23" i="614"/>
  <c r="BL25" i="614"/>
  <c r="BL25" i="612"/>
  <c r="BL23" i="612"/>
  <c r="BK51" i="612"/>
  <c r="BK53" i="612"/>
  <c r="BK53" i="610"/>
  <c r="BL25" i="610"/>
  <c r="BL23" i="610"/>
  <c r="BL53" i="610"/>
  <c r="BL25" i="608"/>
  <c r="BL23" i="608"/>
  <c r="BK51" i="608"/>
  <c r="BL51" i="608"/>
  <c r="BK53" i="606"/>
  <c r="BL23" i="606"/>
  <c r="BL25" i="606"/>
  <c r="BL53" i="606"/>
  <c r="BJ54" i="614" l="1"/>
  <c r="BI55" i="614"/>
  <c r="BN22" i="614"/>
  <c r="BK26" i="614"/>
  <c r="BJ27" i="614"/>
  <c r="BL24" i="614"/>
  <c r="AL68" i="613"/>
  <c r="B67" i="613"/>
  <c r="AM68" i="613"/>
  <c r="C67" i="613"/>
  <c r="BL24" i="612"/>
  <c r="BK26" i="612"/>
  <c r="BJ27" i="612"/>
  <c r="BJ54" i="612"/>
  <c r="BI55" i="612"/>
  <c r="BK52" i="612"/>
  <c r="BN22" i="612"/>
  <c r="AN78" i="611"/>
  <c r="D77" i="611"/>
  <c r="AM77" i="611"/>
  <c r="C76" i="611"/>
  <c r="AN387" i="611"/>
  <c r="D386" i="611"/>
  <c r="AL71" i="611"/>
  <c r="B70" i="611"/>
  <c r="BK26" i="610"/>
  <c r="BJ27" i="610"/>
  <c r="BL24" i="610"/>
  <c r="BN22" i="610"/>
  <c r="BJ54" i="610"/>
  <c r="BI55" i="610"/>
  <c r="AL69" i="609"/>
  <c r="B68" i="609"/>
  <c r="AM69" i="609"/>
  <c r="C68" i="609"/>
  <c r="BL24" i="608"/>
  <c r="BK26" i="608"/>
  <c r="BJ27" i="608"/>
  <c r="BJ54" i="608"/>
  <c r="BI55" i="608"/>
  <c r="BN22" i="608"/>
  <c r="BK52" i="608"/>
  <c r="BL52" i="608" s="1"/>
  <c r="AM69" i="607"/>
  <c r="C68" i="607"/>
  <c r="AL69" i="607"/>
  <c r="B68" i="607"/>
  <c r="BJ54" i="606"/>
  <c r="BI55" i="606"/>
  <c r="BL24" i="606"/>
  <c r="BN22" i="606"/>
  <c r="BK26" i="606"/>
  <c r="BJ27" i="606"/>
  <c r="AL68" i="605"/>
  <c r="B67" i="605"/>
  <c r="C66" i="605"/>
  <c r="AM67" i="605"/>
  <c r="BM25" i="614"/>
  <c r="BM23" i="614"/>
  <c r="BL51" i="614"/>
  <c r="BL53" i="614"/>
  <c r="BM51" i="612"/>
  <c r="BM25" i="612"/>
  <c r="BM23" i="612"/>
  <c r="BL51" i="612"/>
  <c r="BL53" i="612"/>
  <c r="BL51" i="610"/>
  <c r="BM25" i="610"/>
  <c r="BM23" i="610"/>
  <c r="BL53" i="608"/>
  <c r="BM23" i="608"/>
  <c r="BM25" i="608"/>
  <c r="BL51" i="606"/>
  <c r="BM25" i="606"/>
  <c r="BM23" i="606"/>
  <c r="BM51" i="606"/>
  <c r="BL52" i="614" l="1"/>
  <c r="BL26" i="614"/>
  <c r="BK27" i="614"/>
  <c r="BO22" i="614"/>
  <c r="BM24" i="614"/>
  <c r="BK54" i="614"/>
  <c r="BJ55" i="614"/>
  <c r="AM69" i="613"/>
  <c r="C68" i="613"/>
  <c r="AL69" i="613"/>
  <c r="B68" i="613"/>
  <c r="BO22" i="612"/>
  <c r="BL52" i="612"/>
  <c r="BM52" i="612" s="1"/>
  <c r="BK54" i="612"/>
  <c r="BJ55" i="612"/>
  <c r="BL26" i="612"/>
  <c r="BK27" i="612"/>
  <c r="BM24" i="612"/>
  <c r="B71" i="611"/>
  <c r="AL72" i="611"/>
  <c r="AN388" i="611"/>
  <c r="D387" i="611"/>
  <c r="C77" i="611"/>
  <c r="AM78" i="611"/>
  <c r="AN79" i="611"/>
  <c r="D78" i="611"/>
  <c r="BL52" i="610"/>
  <c r="BK54" i="610"/>
  <c r="BJ55" i="610"/>
  <c r="BO22" i="610"/>
  <c r="BM24" i="610"/>
  <c r="BL26" i="610"/>
  <c r="BK27" i="610"/>
  <c r="AM70" i="609"/>
  <c r="C69" i="609"/>
  <c r="AL70" i="609"/>
  <c r="B69" i="609"/>
  <c r="BO22" i="608"/>
  <c r="BK54" i="608"/>
  <c r="BJ55" i="608"/>
  <c r="BL26" i="608"/>
  <c r="BK27" i="608"/>
  <c r="BM24" i="608"/>
  <c r="AL70" i="607"/>
  <c r="B69" i="607"/>
  <c r="AM70" i="607"/>
  <c r="C69" i="607"/>
  <c r="BL52" i="606"/>
  <c r="BM52" i="606" s="1"/>
  <c r="BL26" i="606"/>
  <c r="BK27" i="606"/>
  <c r="BM24" i="606"/>
  <c r="BO22" i="606"/>
  <c r="BK54" i="606"/>
  <c r="BJ55" i="606"/>
  <c r="C67" i="605"/>
  <c r="AM68" i="605"/>
  <c r="AL69" i="605"/>
  <c r="B68" i="605"/>
  <c r="BN25" i="614"/>
  <c r="BN23" i="614"/>
  <c r="BM53" i="614"/>
  <c r="BM51" i="614"/>
  <c r="BN25" i="612"/>
  <c r="BN23" i="612"/>
  <c r="BM53" i="612"/>
  <c r="BN25" i="610"/>
  <c r="BM51" i="610"/>
  <c r="BN23" i="610"/>
  <c r="BM53" i="610"/>
  <c r="BM53" i="608"/>
  <c r="BM51" i="608"/>
  <c r="BN25" i="608"/>
  <c r="BN23" i="608"/>
  <c r="BN23" i="606"/>
  <c r="BN25" i="606"/>
  <c r="BM53" i="606"/>
  <c r="BL54" i="614" l="1"/>
  <c r="BK55" i="614"/>
  <c r="BP22" i="614"/>
  <c r="BN24" i="614"/>
  <c r="BM26" i="614"/>
  <c r="BL27" i="614"/>
  <c r="BM52" i="614"/>
  <c r="AL70" i="613"/>
  <c r="B69" i="613"/>
  <c r="AM70" i="613"/>
  <c r="C69" i="613"/>
  <c r="BN24" i="612"/>
  <c r="BM26" i="612"/>
  <c r="BL27" i="612"/>
  <c r="BL54" i="612"/>
  <c r="BK55" i="612"/>
  <c r="BP22" i="612"/>
  <c r="AN80" i="611"/>
  <c r="D79" i="611"/>
  <c r="AM79" i="611"/>
  <c r="C78" i="611"/>
  <c r="AN389" i="611"/>
  <c r="D388" i="611"/>
  <c r="AL73" i="611"/>
  <c r="B72" i="611"/>
  <c r="BP22" i="610"/>
  <c r="BM26" i="610"/>
  <c r="BL27" i="610"/>
  <c r="BL54" i="610"/>
  <c r="BK55" i="610"/>
  <c r="BN24" i="610"/>
  <c r="BM52" i="610"/>
  <c r="AL71" i="609"/>
  <c r="B70" i="609"/>
  <c r="AM71" i="609"/>
  <c r="C70" i="609"/>
  <c r="BM52" i="608"/>
  <c r="BM26" i="608"/>
  <c r="BL27" i="608"/>
  <c r="BL54" i="608"/>
  <c r="BK55" i="608"/>
  <c r="BN24" i="608"/>
  <c r="BP22" i="608"/>
  <c r="AM71" i="607"/>
  <c r="C70" i="607"/>
  <c r="AL71" i="607"/>
  <c r="B70" i="607"/>
  <c r="BL54" i="606"/>
  <c r="BK55" i="606"/>
  <c r="BP22" i="606"/>
  <c r="BN24" i="606"/>
  <c r="BM26" i="606"/>
  <c r="BL27" i="606"/>
  <c r="AM69" i="605"/>
  <c r="C68" i="605"/>
  <c r="AL70" i="605"/>
  <c r="B69" i="605"/>
  <c r="BN51" i="614"/>
  <c r="BN53" i="614"/>
  <c r="BO53" i="614"/>
  <c r="BO51" i="612"/>
  <c r="BN51" i="612"/>
  <c r="BN53" i="612"/>
  <c r="BN53" i="610"/>
  <c r="BN51" i="610"/>
  <c r="BO53" i="610"/>
  <c r="BN53" i="608"/>
  <c r="BN51" i="608"/>
  <c r="BO23" i="608"/>
  <c r="BN53" i="606"/>
  <c r="BN51" i="606"/>
  <c r="BO25" i="606"/>
  <c r="BN26" i="614" l="1"/>
  <c r="BM27" i="614"/>
  <c r="BQ22" i="614"/>
  <c r="BN52" i="614"/>
  <c r="BM54" i="614"/>
  <c r="BL55" i="614"/>
  <c r="AM71" i="613"/>
  <c r="C70" i="613"/>
  <c r="AL71" i="613"/>
  <c r="B70" i="613"/>
  <c r="BN52" i="612"/>
  <c r="BO52" i="612" s="1"/>
  <c r="BQ22" i="612"/>
  <c r="BM54" i="612"/>
  <c r="BL55" i="612"/>
  <c r="BN26" i="612"/>
  <c r="BM27" i="612"/>
  <c r="AL74" i="611"/>
  <c r="B73" i="611"/>
  <c r="AN390" i="611"/>
  <c r="D389" i="611"/>
  <c r="AM80" i="611"/>
  <c r="C79" i="611"/>
  <c r="AN81" i="611"/>
  <c r="D80" i="611"/>
  <c r="BM54" i="610"/>
  <c r="BL55" i="610"/>
  <c r="BN26" i="610"/>
  <c r="BM27" i="610"/>
  <c r="BQ22" i="610"/>
  <c r="BN52" i="610"/>
  <c r="AM72" i="609"/>
  <c r="C71" i="609"/>
  <c r="AL72" i="609"/>
  <c r="B71" i="609"/>
  <c r="BQ22" i="608"/>
  <c r="BM54" i="608"/>
  <c r="BL55" i="608"/>
  <c r="BO24" i="608"/>
  <c r="BN26" i="608"/>
  <c r="BM27" i="608"/>
  <c r="BN52" i="608"/>
  <c r="AL72" i="607"/>
  <c r="B71" i="607"/>
  <c r="C71" i="607"/>
  <c r="AM72" i="607"/>
  <c r="BN52" i="606"/>
  <c r="BN26" i="606"/>
  <c r="BM27" i="606"/>
  <c r="BQ22" i="606"/>
  <c r="BM54" i="606"/>
  <c r="BL55" i="606"/>
  <c r="B70" i="605"/>
  <c r="AL71" i="605"/>
  <c r="AM70" i="605"/>
  <c r="C69" i="605"/>
  <c r="BO25" i="614"/>
  <c r="BO51" i="614"/>
  <c r="BP23" i="614"/>
  <c r="BO23" i="614"/>
  <c r="BP25" i="614"/>
  <c r="BP25" i="612"/>
  <c r="BP23" i="612"/>
  <c r="BO53" i="612"/>
  <c r="BO23" i="612"/>
  <c r="BO25" i="612"/>
  <c r="BO51" i="610"/>
  <c r="BP25" i="610"/>
  <c r="BO25" i="610"/>
  <c r="BP23" i="610"/>
  <c r="BO23" i="610"/>
  <c r="BP53" i="610"/>
  <c r="BO25" i="608"/>
  <c r="BP53" i="608"/>
  <c r="BO51" i="608"/>
  <c r="BO53" i="608"/>
  <c r="BO51" i="606"/>
  <c r="BP23" i="606"/>
  <c r="BO23" i="606"/>
  <c r="BP25" i="606"/>
  <c r="BO53" i="606"/>
  <c r="BP53" i="606"/>
  <c r="BO24" i="614" l="1"/>
  <c r="BP24" i="614" s="1"/>
  <c r="BR22" i="614"/>
  <c r="BO52" i="614"/>
  <c r="BN54" i="614"/>
  <c r="BM55" i="614"/>
  <c r="BO26" i="614"/>
  <c r="BN27" i="614"/>
  <c r="AL72" i="613"/>
  <c r="B71" i="613"/>
  <c r="AM72" i="613"/>
  <c r="C71" i="613"/>
  <c r="BO24" i="612"/>
  <c r="BP24" i="612" s="1"/>
  <c r="BO26" i="612"/>
  <c r="BN27" i="612"/>
  <c r="BN54" i="612"/>
  <c r="BM55" i="612"/>
  <c r="BR22" i="612"/>
  <c r="AN82" i="611"/>
  <c r="D81" i="611"/>
  <c r="AM81" i="611"/>
  <c r="C80" i="611"/>
  <c r="AN391" i="611"/>
  <c r="D390" i="611"/>
  <c r="AL75" i="611"/>
  <c r="B74" i="611"/>
  <c r="BO24" i="610"/>
  <c r="BP24" i="610" s="1"/>
  <c r="BO52" i="610"/>
  <c r="BR22" i="610"/>
  <c r="BO26" i="610"/>
  <c r="BN27" i="610"/>
  <c r="BN54" i="610"/>
  <c r="BM55" i="610"/>
  <c r="AL73" i="609"/>
  <c r="B72" i="609"/>
  <c r="AM73" i="609"/>
  <c r="C72" i="609"/>
  <c r="BO52" i="608"/>
  <c r="BO26" i="608"/>
  <c r="BN27" i="608"/>
  <c r="BR22" i="608"/>
  <c r="BN54" i="608"/>
  <c r="BM55" i="608"/>
  <c r="AM73" i="607"/>
  <c r="C72" i="607"/>
  <c r="B72" i="607"/>
  <c r="AL73" i="607"/>
  <c r="BO24" i="606"/>
  <c r="BP24" i="606" s="1"/>
  <c r="BR22" i="606"/>
  <c r="BO26" i="606"/>
  <c r="BN27" i="606"/>
  <c r="BN54" i="606"/>
  <c r="BM55" i="606"/>
  <c r="BO52" i="606"/>
  <c r="AL72" i="605"/>
  <c r="B71" i="605"/>
  <c r="C70" i="605"/>
  <c r="AM71" i="605"/>
  <c r="BQ25" i="614"/>
  <c r="BQ23" i="614"/>
  <c r="BP51" i="614"/>
  <c r="BP53" i="614"/>
  <c r="BP51" i="612"/>
  <c r="BQ23" i="612"/>
  <c r="BQ25" i="612"/>
  <c r="BP53" i="612"/>
  <c r="BQ53" i="612"/>
  <c r="BQ23" i="610"/>
  <c r="BP51" i="610"/>
  <c r="BQ25" i="610"/>
  <c r="BQ23" i="608"/>
  <c r="BP23" i="608"/>
  <c r="BP51" i="608"/>
  <c r="BQ25" i="608"/>
  <c r="BP25" i="608"/>
  <c r="BQ25" i="606"/>
  <c r="BQ23" i="606"/>
  <c r="BP51" i="606"/>
  <c r="BO27" i="614" l="1"/>
  <c r="BP26" i="614"/>
  <c r="BN55" i="614"/>
  <c r="BO54" i="614"/>
  <c r="BP52" i="614"/>
  <c r="BS22" i="614"/>
  <c r="BQ24" i="614"/>
  <c r="AM73" i="613"/>
  <c r="C72" i="613"/>
  <c r="AL73" i="613"/>
  <c r="B72" i="613"/>
  <c r="BP52" i="612"/>
  <c r="BN55" i="612"/>
  <c r="BO54" i="612"/>
  <c r="BS22" i="612"/>
  <c r="BO27" i="612"/>
  <c r="BP26" i="612"/>
  <c r="BQ24" i="612"/>
  <c r="AN392" i="611"/>
  <c r="D391" i="611"/>
  <c r="AL76" i="611"/>
  <c r="B75" i="611"/>
  <c r="AM82" i="611"/>
  <c r="C81" i="611"/>
  <c r="AN83" i="611"/>
  <c r="D82" i="611"/>
  <c r="BN55" i="610"/>
  <c r="BO54" i="610"/>
  <c r="BO27" i="610"/>
  <c r="BP26" i="610"/>
  <c r="BS22" i="610"/>
  <c r="BP52" i="610"/>
  <c r="BQ24" i="610"/>
  <c r="AM74" i="609"/>
  <c r="C73" i="609"/>
  <c r="AL74" i="609"/>
  <c r="B73" i="609"/>
  <c r="BP24" i="608"/>
  <c r="BQ24" i="608" s="1"/>
  <c r="BS22" i="608"/>
  <c r="BN55" i="608"/>
  <c r="BO54" i="608"/>
  <c r="BO27" i="608"/>
  <c r="BP26" i="608"/>
  <c r="BP52" i="608"/>
  <c r="AL74" i="607"/>
  <c r="B73" i="607"/>
  <c r="AM74" i="607"/>
  <c r="C73" i="607"/>
  <c r="BN55" i="606"/>
  <c r="BO54" i="606"/>
  <c r="BS22" i="606"/>
  <c r="BO27" i="606"/>
  <c r="BP26" i="606"/>
  <c r="BP52" i="606"/>
  <c r="BQ24" i="606"/>
  <c r="C71" i="605"/>
  <c r="AM72" i="605"/>
  <c r="AL73" i="605"/>
  <c r="B72" i="605"/>
  <c r="BR25" i="614"/>
  <c r="BR23" i="614"/>
  <c r="BQ51" i="614"/>
  <c r="BQ53" i="614"/>
  <c r="BR23" i="612"/>
  <c r="BQ51" i="612"/>
  <c r="BR25" i="612"/>
  <c r="BR25" i="610"/>
  <c r="BR23" i="610"/>
  <c r="BQ51" i="610"/>
  <c r="BQ53" i="610"/>
  <c r="BR23" i="608"/>
  <c r="BQ53" i="608"/>
  <c r="BR25" i="608"/>
  <c r="BQ51" i="608"/>
  <c r="BQ51" i="606"/>
  <c r="BR23" i="606"/>
  <c r="BR25" i="606"/>
  <c r="BQ53" i="606"/>
  <c r="BR51" i="606"/>
  <c r="BT22" i="614" l="1"/>
  <c r="BP54" i="614"/>
  <c r="BO55" i="614"/>
  <c r="BQ52" i="614"/>
  <c r="BQ26" i="614"/>
  <c r="BP27" i="614"/>
  <c r="BR24" i="614"/>
  <c r="AL74" i="613"/>
  <c r="B73" i="613"/>
  <c r="AM74" i="613"/>
  <c r="C73" i="613"/>
  <c r="BT22" i="612"/>
  <c r="BR24" i="612"/>
  <c r="BP54" i="612"/>
  <c r="BO55" i="612"/>
  <c r="BQ26" i="612"/>
  <c r="BP27" i="612"/>
  <c r="BQ52" i="612"/>
  <c r="AL77" i="611"/>
  <c r="B76" i="611"/>
  <c r="AN84" i="611"/>
  <c r="D83" i="611"/>
  <c r="AM83" i="611"/>
  <c r="C82" i="611"/>
  <c r="D392" i="611"/>
  <c r="AN393" i="611"/>
  <c r="BR24" i="610"/>
  <c r="BQ52" i="610"/>
  <c r="BT22" i="610"/>
  <c r="BQ26" i="610"/>
  <c r="BP27" i="610"/>
  <c r="BP54" i="610"/>
  <c r="BO55" i="610"/>
  <c r="AL75" i="609"/>
  <c r="B74" i="609"/>
  <c r="AM75" i="609"/>
  <c r="C74" i="609"/>
  <c r="BQ52" i="608"/>
  <c r="BP27" i="608"/>
  <c r="BQ26" i="608"/>
  <c r="BO55" i="608"/>
  <c r="BP54" i="608"/>
  <c r="BT22" i="608"/>
  <c r="BR24" i="608"/>
  <c r="AM75" i="607"/>
  <c r="C74" i="607"/>
  <c r="AL75" i="607"/>
  <c r="B74" i="607"/>
  <c r="BR24" i="606"/>
  <c r="BQ52" i="606"/>
  <c r="BR52" i="606" s="1"/>
  <c r="BT22" i="606"/>
  <c r="BQ26" i="606"/>
  <c r="BP27" i="606"/>
  <c r="BP54" i="606"/>
  <c r="BO55" i="606"/>
  <c r="C72" i="605"/>
  <c r="AM73" i="605"/>
  <c r="AL74" i="605"/>
  <c r="B73" i="605"/>
  <c r="BS25" i="614"/>
  <c r="BS23" i="614"/>
  <c r="BR53" i="614"/>
  <c r="BR51" i="614"/>
  <c r="BS25" i="612"/>
  <c r="BS23" i="612"/>
  <c r="BR51" i="612"/>
  <c r="BR53" i="612"/>
  <c r="BS23" i="610"/>
  <c r="BS25" i="610"/>
  <c r="BR51" i="610"/>
  <c r="BR53" i="610"/>
  <c r="BS51" i="610"/>
  <c r="BR53" i="608"/>
  <c r="BS51" i="608"/>
  <c r="BR51" i="608"/>
  <c r="BS23" i="608"/>
  <c r="BS25" i="608"/>
  <c r="BS23" i="606"/>
  <c r="BR53" i="606"/>
  <c r="BS25" i="606"/>
  <c r="BS51" i="606"/>
  <c r="BR26" i="614" l="1"/>
  <c r="BQ27" i="614"/>
  <c r="BQ54" i="614"/>
  <c r="BP55" i="614"/>
  <c r="BR52" i="614"/>
  <c r="BU22" i="614"/>
  <c r="BS24" i="614"/>
  <c r="AM75" i="613"/>
  <c r="C74" i="613"/>
  <c r="AL75" i="613"/>
  <c r="B74" i="613"/>
  <c r="BR26" i="612"/>
  <c r="BQ27" i="612"/>
  <c r="BQ54" i="612"/>
  <c r="BP55" i="612"/>
  <c r="BS24" i="612"/>
  <c r="BR52" i="612"/>
  <c r="BU22" i="612"/>
  <c r="AM84" i="611"/>
  <c r="C83" i="611"/>
  <c r="AN394" i="611"/>
  <c r="D393" i="611"/>
  <c r="AN85" i="611"/>
  <c r="D84" i="611"/>
  <c r="AL78" i="611"/>
  <c r="B77" i="611"/>
  <c r="BQ54" i="610"/>
  <c r="BP55" i="610"/>
  <c r="BR26" i="610"/>
  <c r="BQ27" i="610"/>
  <c r="BU22" i="610"/>
  <c r="BR52" i="610"/>
  <c r="BS52" i="610" s="1"/>
  <c r="BS24" i="610"/>
  <c r="C75" i="609"/>
  <c r="AM76" i="609"/>
  <c r="AL76" i="609"/>
  <c r="B75" i="609"/>
  <c r="BS24" i="608"/>
  <c r="BU22" i="608"/>
  <c r="BQ54" i="608"/>
  <c r="BP55" i="608"/>
  <c r="BR26" i="608"/>
  <c r="BQ27" i="608"/>
  <c r="BR52" i="608"/>
  <c r="BS52" i="608" s="1"/>
  <c r="AL76" i="607"/>
  <c r="B75" i="607"/>
  <c r="AM76" i="607"/>
  <c r="C75" i="607"/>
  <c r="BQ54" i="606"/>
  <c r="BP55" i="606"/>
  <c r="BU22" i="606"/>
  <c r="BR26" i="606"/>
  <c r="BQ27" i="606"/>
  <c r="BS52" i="606"/>
  <c r="BS24" i="606"/>
  <c r="B74" i="605"/>
  <c r="AL75" i="605"/>
  <c r="C73" i="605"/>
  <c r="AM74" i="605"/>
  <c r="BS53" i="614"/>
  <c r="BT25" i="614"/>
  <c r="BT23" i="614"/>
  <c r="BS51" i="614"/>
  <c r="BT53" i="614"/>
  <c r="BT23" i="612"/>
  <c r="BS51" i="612"/>
  <c r="BT25" i="612"/>
  <c r="BS53" i="612"/>
  <c r="BS53" i="610"/>
  <c r="BT25" i="610"/>
  <c r="BT23" i="610"/>
  <c r="BT23" i="608"/>
  <c r="BT25" i="608"/>
  <c r="BS53" i="608"/>
  <c r="BT25" i="606"/>
  <c r="BT23" i="606"/>
  <c r="BS53" i="606"/>
  <c r="BT51" i="606"/>
  <c r="BT24" i="614" l="1"/>
  <c r="BS52" i="614"/>
  <c r="BR54" i="614"/>
  <c r="BQ55" i="614"/>
  <c r="BV22" i="614"/>
  <c r="BS26" i="614"/>
  <c r="BR27" i="614"/>
  <c r="AL76" i="613"/>
  <c r="B75" i="613"/>
  <c r="AM76" i="613"/>
  <c r="C75" i="613"/>
  <c r="BV22" i="612"/>
  <c r="BS52" i="612"/>
  <c r="BT24" i="612"/>
  <c r="BR54" i="612"/>
  <c r="BQ55" i="612"/>
  <c r="BS26" i="612"/>
  <c r="BR27" i="612"/>
  <c r="AL79" i="611"/>
  <c r="B78" i="611"/>
  <c r="AN86" i="611"/>
  <c r="D85" i="611"/>
  <c r="AN395" i="611"/>
  <c r="D394" i="611"/>
  <c r="AM85" i="611"/>
  <c r="C84" i="611"/>
  <c r="BV22" i="610"/>
  <c r="BT24" i="610"/>
  <c r="BS26" i="610"/>
  <c r="BR27" i="610"/>
  <c r="BR54" i="610"/>
  <c r="BQ55" i="610"/>
  <c r="B76" i="609"/>
  <c r="AL77" i="609"/>
  <c r="C76" i="609"/>
  <c r="AM77" i="609"/>
  <c r="BS26" i="608"/>
  <c r="BR27" i="608"/>
  <c r="BR54" i="608"/>
  <c r="BQ55" i="608"/>
  <c r="BV22" i="608"/>
  <c r="BT24" i="608"/>
  <c r="AM77" i="607"/>
  <c r="C76" i="607"/>
  <c r="AL77" i="607"/>
  <c r="B76" i="607"/>
  <c r="BT24" i="606"/>
  <c r="BV22" i="606"/>
  <c r="BT52" i="606"/>
  <c r="BS26" i="606"/>
  <c r="BR27" i="606"/>
  <c r="BR54" i="606"/>
  <c r="BQ55" i="606"/>
  <c r="C74" i="605"/>
  <c r="AM75" i="605"/>
  <c r="AL76" i="605"/>
  <c r="B75" i="605"/>
  <c r="BT51" i="614"/>
  <c r="BU25" i="614"/>
  <c r="BU23" i="614"/>
  <c r="BU25" i="612"/>
  <c r="BU23" i="612"/>
  <c r="BT51" i="612"/>
  <c r="BT53" i="612"/>
  <c r="BU25" i="610"/>
  <c r="BU23" i="610"/>
  <c r="BT51" i="610"/>
  <c r="BT53" i="610"/>
  <c r="BT51" i="608"/>
  <c r="BU25" i="608"/>
  <c r="BU23" i="608"/>
  <c r="BT53" i="608"/>
  <c r="BU25" i="606"/>
  <c r="BT53" i="606"/>
  <c r="BU23" i="606"/>
  <c r="BT26" i="614" l="1"/>
  <c r="BS27" i="614"/>
  <c r="BW22" i="614"/>
  <c r="BS54" i="614"/>
  <c r="BR55" i="614"/>
  <c r="BT52" i="614"/>
  <c r="BU24" i="614"/>
  <c r="AM77" i="613"/>
  <c r="C76" i="613"/>
  <c r="AL77" i="613"/>
  <c r="B76" i="613"/>
  <c r="BT26" i="612"/>
  <c r="BS27" i="612"/>
  <c r="BU24" i="612"/>
  <c r="BS54" i="612"/>
  <c r="BR55" i="612"/>
  <c r="BW22" i="612"/>
  <c r="BT52" i="612"/>
  <c r="AM86" i="611"/>
  <c r="C85" i="611"/>
  <c r="AN396" i="611"/>
  <c r="D395" i="611"/>
  <c r="D86" i="611"/>
  <c r="AN87" i="611"/>
  <c r="AL80" i="611"/>
  <c r="B79" i="611"/>
  <c r="BT52" i="610"/>
  <c r="BS54" i="610"/>
  <c r="BR55" i="610"/>
  <c r="BT26" i="610"/>
  <c r="BS27" i="610"/>
  <c r="BU24" i="610"/>
  <c r="BW22" i="610"/>
  <c r="C77" i="609"/>
  <c r="AM78" i="609"/>
  <c r="AL78" i="609"/>
  <c r="B77" i="609"/>
  <c r="BT52" i="608"/>
  <c r="BW22" i="608"/>
  <c r="BU24" i="608"/>
  <c r="BS54" i="608"/>
  <c r="BR55" i="608"/>
  <c r="BT26" i="608"/>
  <c r="BS27" i="608"/>
  <c r="AL78" i="607"/>
  <c r="B77" i="607"/>
  <c r="C77" i="607"/>
  <c r="AM78" i="607"/>
  <c r="BW22" i="606"/>
  <c r="BS54" i="606"/>
  <c r="BR55" i="606"/>
  <c r="BT26" i="606"/>
  <c r="BS27" i="606"/>
  <c r="BU24" i="606"/>
  <c r="AM76" i="605"/>
  <c r="C75" i="605"/>
  <c r="B76" i="605"/>
  <c r="AL77" i="605"/>
  <c r="BV25" i="614"/>
  <c r="BV23" i="614"/>
  <c r="BU51" i="614"/>
  <c r="BU53" i="614"/>
  <c r="BU53" i="612"/>
  <c r="BU51" i="612"/>
  <c r="BV23" i="612"/>
  <c r="BV25" i="612"/>
  <c r="BU53" i="610"/>
  <c r="BV23" i="610"/>
  <c r="BV25" i="610"/>
  <c r="BU51" i="610"/>
  <c r="BV51" i="610"/>
  <c r="BU53" i="608"/>
  <c r="BV25" i="608"/>
  <c r="BV23" i="608"/>
  <c r="BU51" i="608"/>
  <c r="BV51" i="608"/>
  <c r="BU51" i="606"/>
  <c r="BV25" i="606"/>
  <c r="BV23" i="606"/>
  <c r="BU53" i="606"/>
  <c r="BV24" i="614" l="1"/>
  <c r="BU52" i="614"/>
  <c r="BT54" i="614"/>
  <c r="BS55" i="614"/>
  <c r="BX22" i="614"/>
  <c r="BU26" i="614"/>
  <c r="BT27" i="614"/>
  <c r="AL78" i="613"/>
  <c r="B77" i="613"/>
  <c r="AM78" i="613"/>
  <c r="C77" i="613"/>
  <c r="BX22" i="612"/>
  <c r="BU52" i="612"/>
  <c r="BT54" i="612"/>
  <c r="BS55" i="612"/>
  <c r="BV24" i="612"/>
  <c r="BU26" i="612"/>
  <c r="BT27" i="612"/>
  <c r="AL81" i="611"/>
  <c r="B80" i="611"/>
  <c r="D87" i="611"/>
  <c r="AN88" i="611"/>
  <c r="AN397" i="611"/>
  <c r="D396" i="611"/>
  <c r="AM87" i="611"/>
  <c r="C86" i="611"/>
  <c r="BV24" i="610"/>
  <c r="BU26" i="610"/>
  <c r="BT27" i="610"/>
  <c r="BX22" i="610"/>
  <c r="BT54" i="610"/>
  <c r="BS55" i="610"/>
  <c r="BU52" i="610"/>
  <c r="BV52" i="610" s="1"/>
  <c r="AL79" i="609"/>
  <c r="B78" i="609"/>
  <c r="AM79" i="609"/>
  <c r="C78" i="609"/>
  <c r="BT54" i="608"/>
  <c r="BS55" i="608"/>
  <c r="BU26" i="608"/>
  <c r="BT27" i="608"/>
  <c r="BX22" i="608"/>
  <c r="BV24" i="608"/>
  <c r="BU52" i="608"/>
  <c r="BV52" i="608" s="1"/>
  <c r="AM79" i="607"/>
  <c r="C78" i="607"/>
  <c r="AL79" i="607"/>
  <c r="B78" i="607"/>
  <c r="BU52" i="606"/>
  <c r="BU26" i="606"/>
  <c r="BT27" i="606"/>
  <c r="BX22" i="606"/>
  <c r="BV24" i="606"/>
  <c r="BT54" i="606"/>
  <c r="BS55" i="606"/>
  <c r="AL78" i="605"/>
  <c r="B77" i="605"/>
  <c r="C76" i="605"/>
  <c r="AM77" i="605"/>
  <c r="BW51" i="614"/>
  <c r="BW25" i="614"/>
  <c r="BW23" i="614"/>
  <c r="BV51" i="614"/>
  <c r="BV53" i="614"/>
  <c r="BW25" i="612"/>
  <c r="BW23" i="612"/>
  <c r="BV51" i="612"/>
  <c r="BV53" i="612"/>
  <c r="BV53" i="610"/>
  <c r="BW25" i="610"/>
  <c r="BW23" i="610"/>
  <c r="BW25" i="608"/>
  <c r="BW23" i="608"/>
  <c r="BV53" i="608"/>
  <c r="BW25" i="606"/>
  <c r="BV53" i="606"/>
  <c r="BW23" i="606"/>
  <c r="BV51" i="606"/>
  <c r="BW53" i="606"/>
  <c r="BV26" i="614" l="1"/>
  <c r="BU27" i="614"/>
  <c r="BY22" i="614"/>
  <c r="BU54" i="614"/>
  <c r="BT55" i="614"/>
  <c r="BV52" i="614"/>
  <c r="BW52" i="614" s="1"/>
  <c r="BW24" i="614"/>
  <c r="AM79" i="613"/>
  <c r="C78" i="613"/>
  <c r="AL79" i="613"/>
  <c r="B78" i="613"/>
  <c r="BU54" i="612"/>
  <c r="BT55" i="612"/>
  <c r="BV52" i="612"/>
  <c r="BV26" i="612"/>
  <c r="BU27" i="612"/>
  <c r="BY22" i="612"/>
  <c r="BW24" i="612"/>
  <c r="AM88" i="611"/>
  <c r="C87" i="611"/>
  <c r="AN398" i="611"/>
  <c r="D397" i="611"/>
  <c r="AN89" i="611"/>
  <c r="D88" i="611"/>
  <c r="B81" i="611"/>
  <c r="AL82" i="611"/>
  <c r="BU54" i="610"/>
  <c r="BT55" i="610"/>
  <c r="BY22" i="610"/>
  <c r="BV26" i="610"/>
  <c r="BU27" i="610"/>
  <c r="BW24" i="610"/>
  <c r="AM80" i="609"/>
  <c r="C79" i="609"/>
  <c r="AL80" i="609"/>
  <c r="B79" i="609"/>
  <c r="BY22" i="608"/>
  <c r="BV26" i="608"/>
  <c r="BU27" i="608"/>
  <c r="BW24" i="608"/>
  <c r="BU54" i="608"/>
  <c r="BT55" i="608"/>
  <c r="AL80" i="607"/>
  <c r="B79" i="607"/>
  <c r="AM80" i="607"/>
  <c r="C79" i="607"/>
  <c r="BU54" i="606"/>
  <c r="BT55" i="606"/>
  <c r="BW24" i="606"/>
  <c r="BY22" i="606"/>
  <c r="BV26" i="606"/>
  <c r="BU27" i="606"/>
  <c r="BV52" i="606"/>
  <c r="C77" i="605"/>
  <c r="AM78" i="605"/>
  <c r="B78" i="605"/>
  <c r="AL79" i="605"/>
  <c r="BW53" i="614"/>
  <c r="BX25" i="614"/>
  <c r="BW53" i="612"/>
  <c r="BX25" i="612"/>
  <c r="BX23" i="612"/>
  <c r="BW51" i="612"/>
  <c r="BX53" i="612"/>
  <c r="BW53" i="610"/>
  <c r="BX25" i="610"/>
  <c r="BW51" i="610"/>
  <c r="BX23" i="610"/>
  <c r="BX23" i="608"/>
  <c r="BX25" i="608"/>
  <c r="BW51" i="608"/>
  <c r="BW53" i="608"/>
  <c r="BX51" i="608"/>
  <c r="BX25" i="606"/>
  <c r="BW51" i="606"/>
  <c r="BX23" i="606"/>
  <c r="BX51" i="606"/>
  <c r="BV54" i="614" l="1"/>
  <c r="BU55" i="614"/>
  <c r="BZ22" i="614"/>
  <c r="BW26" i="614"/>
  <c r="BV27" i="614"/>
  <c r="AL80" i="613"/>
  <c r="B79" i="613"/>
  <c r="AM80" i="613"/>
  <c r="C79" i="613"/>
  <c r="BZ22" i="612"/>
  <c r="BW26" i="612"/>
  <c r="BV27" i="612"/>
  <c r="BX24" i="612"/>
  <c r="BW52" i="612"/>
  <c r="BV54" i="612"/>
  <c r="BU55" i="612"/>
  <c r="AL83" i="611"/>
  <c r="B82" i="611"/>
  <c r="AN399" i="611"/>
  <c r="D398" i="611"/>
  <c r="AN90" i="611"/>
  <c r="D89" i="611"/>
  <c r="C88" i="611"/>
  <c r="AM89" i="611"/>
  <c r="BW52" i="610"/>
  <c r="BX24" i="610"/>
  <c r="BZ22" i="610"/>
  <c r="BW26" i="610"/>
  <c r="BV27" i="610"/>
  <c r="BV54" i="610"/>
  <c r="BU55" i="610"/>
  <c r="AL81" i="609"/>
  <c r="B80" i="609"/>
  <c r="AM81" i="609"/>
  <c r="C80" i="609"/>
  <c r="BW52" i="608"/>
  <c r="BX52" i="608" s="1"/>
  <c r="BV54" i="608"/>
  <c r="BU55" i="608"/>
  <c r="BX24" i="608"/>
  <c r="BW26" i="608"/>
  <c r="BV27" i="608"/>
  <c r="BZ22" i="608"/>
  <c r="AM81" i="607"/>
  <c r="C80" i="607"/>
  <c r="AL81" i="607"/>
  <c r="B80" i="607"/>
  <c r="BW52" i="606"/>
  <c r="BX52" i="606" s="1"/>
  <c r="BW26" i="606"/>
  <c r="BV27" i="606"/>
  <c r="BX24" i="606"/>
  <c r="BZ22" i="606"/>
  <c r="BV54" i="606"/>
  <c r="BU55" i="606"/>
  <c r="AL80" i="605"/>
  <c r="B79" i="605"/>
  <c r="C78" i="605"/>
  <c r="AM79" i="605"/>
  <c r="BX23" i="614"/>
  <c r="BY25" i="614"/>
  <c r="BY23" i="614"/>
  <c r="BX51" i="614"/>
  <c r="BX53" i="614"/>
  <c r="BX51" i="612"/>
  <c r="BY25" i="612"/>
  <c r="BY23" i="612"/>
  <c r="BX51" i="610"/>
  <c r="BY25" i="610"/>
  <c r="BX53" i="610"/>
  <c r="BY23" i="610"/>
  <c r="BY23" i="608"/>
  <c r="BY51" i="608"/>
  <c r="BX53" i="608"/>
  <c r="BY25" i="608"/>
  <c r="BY23" i="606"/>
  <c r="BX53" i="606"/>
  <c r="BY25" i="606"/>
  <c r="BY51" i="606"/>
  <c r="BX52" i="614" l="1"/>
  <c r="BX24" i="614"/>
  <c r="BY24" i="614" s="1"/>
  <c r="BX26" i="614"/>
  <c r="BW27" i="614"/>
  <c r="CA22" i="614"/>
  <c r="BW54" i="614"/>
  <c r="BV55" i="614"/>
  <c r="AM81" i="613"/>
  <c r="C80" i="613"/>
  <c r="AL81" i="613"/>
  <c r="B80" i="613"/>
  <c r="BX26" i="612"/>
  <c r="BW27" i="612"/>
  <c r="BW54" i="612"/>
  <c r="BV55" i="612"/>
  <c r="BY24" i="612"/>
  <c r="CA22" i="612"/>
  <c r="BX52" i="612"/>
  <c r="C89" i="611"/>
  <c r="AM90" i="611"/>
  <c r="D90" i="611"/>
  <c r="AN91" i="611"/>
  <c r="AN400" i="611"/>
  <c r="D399" i="611"/>
  <c r="AL84" i="611"/>
  <c r="B83" i="611"/>
  <c r="BW54" i="610"/>
  <c r="BV55" i="610"/>
  <c r="BX26" i="610"/>
  <c r="BW27" i="610"/>
  <c r="CA22" i="610"/>
  <c r="BY24" i="610"/>
  <c r="BX52" i="610"/>
  <c r="AM82" i="609"/>
  <c r="C81" i="609"/>
  <c r="AL82" i="609"/>
  <c r="B81" i="609"/>
  <c r="BY24" i="608"/>
  <c r="BW54" i="608"/>
  <c r="BV55" i="608"/>
  <c r="CA22" i="608"/>
  <c r="BX26" i="608"/>
  <c r="BW27" i="608"/>
  <c r="BY52" i="608"/>
  <c r="AL82" i="607"/>
  <c r="B81" i="607"/>
  <c r="AM82" i="607"/>
  <c r="C81" i="607"/>
  <c r="BY24" i="606"/>
  <c r="BW54" i="606"/>
  <c r="BV55" i="606"/>
  <c r="CA22" i="606"/>
  <c r="BX26" i="606"/>
  <c r="BW27" i="606"/>
  <c r="BY52" i="606"/>
  <c r="C79" i="605"/>
  <c r="AM80" i="605"/>
  <c r="B80" i="605"/>
  <c r="AL81" i="605"/>
  <c r="BZ25" i="614"/>
  <c r="BZ23" i="614"/>
  <c r="BY51" i="614"/>
  <c r="BY53" i="614"/>
  <c r="BZ25" i="612"/>
  <c r="BY53" i="612"/>
  <c r="BZ23" i="612"/>
  <c r="BY51" i="612"/>
  <c r="BZ53" i="612"/>
  <c r="BZ23" i="610"/>
  <c r="BY51" i="610"/>
  <c r="BZ25" i="610"/>
  <c r="BY53" i="610"/>
  <c r="BZ53" i="610"/>
  <c r="BZ25" i="608"/>
  <c r="BZ23" i="608"/>
  <c r="BY53" i="608"/>
  <c r="BZ51" i="608"/>
  <c r="BY53" i="606"/>
  <c r="BZ25" i="606"/>
  <c r="BZ23" i="606"/>
  <c r="CB22" i="614" l="1"/>
  <c r="BY26" i="614"/>
  <c r="BX27" i="614"/>
  <c r="BX54" i="614"/>
  <c r="BW55" i="614"/>
  <c r="BZ24" i="614"/>
  <c r="BY52" i="614"/>
  <c r="AL82" i="613"/>
  <c r="B81" i="613"/>
  <c r="AM82" i="613"/>
  <c r="C81" i="613"/>
  <c r="CB22" i="612"/>
  <c r="BZ24" i="612"/>
  <c r="BX54" i="612"/>
  <c r="BW55" i="612"/>
  <c r="BY52" i="612"/>
  <c r="BY26" i="612"/>
  <c r="BX27" i="612"/>
  <c r="AN401" i="611"/>
  <c r="D400" i="611"/>
  <c r="AL85" i="611"/>
  <c r="B84" i="611"/>
  <c r="D91" i="611"/>
  <c r="AN92" i="611"/>
  <c r="AM91" i="611"/>
  <c r="C90" i="611"/>
  <c r="BY52" i="610"/>
  <c r="BZ24" i="610"/>
  <c r="BY26" i="610"/>
  <c r="BX27" i="610"/>
  <c r="CB22" i="610"/>
  <c r="BX54" i="610"/>
  <c r="BW55" i="610"/>
  <c r="AL83" i="609"/>
  <c r="B82" i="609"/>
  <c r="AM83" i="609"/>
  <c r="C82" i="609"/>
  <c r="BZ52" i="608"/>
  <c r="CB22" i="608"/>
  <c r="BY26" i="608"/>
  <c r="BX27" i="608"/>
  <c r="BX54" i="608"/>
  <c r="BW55" i="608"/>
  <c r="BZ24" i="608"/>
  <c r="AM83" i="607"/>
  <c r="C82" i="607"/>
  <c r="AL83" i="607"/>
  <c r="B82" i="607"/>
  <c r="CB22" i="606"/>
  <c r="BX54" i="606"/>
  <c r="BW55" i="606"/>
  <c r="BY26" i="606"/>
  <c r="BX27" i="606"/>
  <c r="BZ24" i="606"/>
  <c r="AL82" i="605"/>
  <c r="B81" i="605"/>
  <c r="C80" i="605"/>
  <c r="AM81" i="605"/>
  <c r="BZ53" i="614"/>
  <c r="CA25" i="614"/>
  <c r="CA23" i="614"/>
  <c r="BZ51" i="614"/>
  <c r="CA25" i="612"/>
  <c r="CA23" i="612"/>
  <c r="BZ51" i="612"/>
  <c r="CA23" i="610"/>
  <c r="BZ51" i="610"/>
  <c r="CA25" i="610"/>
  <c r="CA51" i="610"/>
  <c r="BZ53" i="608"/>
  <c r="CA25" i="608"/>
  <c r="CA23" i="608"/>
  <c r="BZ53" i="606"/>
  <c r="CA25" i="606"/>
  <c r="BZ51" i="606"/>
  <c r="CA23" i="606"/>
  <c r="CA53" i="606"/>
  <c r="CA24" i="614" l="1"/>
  <c r="BZ52" i="614"/>
  <c r="BY54" i="614"/>
  <c r="BX55" i="614"/>
  <c r="CC22" i="614"/>
  <c r="BZ26" i="614"/>
  <c r="BY27" i="614"/>
  <c r="AM83" i="613"/>
  <c r="C82" i="613"/>
  <c r="AL83" i="613"/>
  <c r="B82" i="613"/>
  <c r="CA24" i="612"/>
  <c r="BZ26" i="612"/>
  <c r="BY27" i="612"/>
  <c r="BY54" i="612"/>
  <c r="BX55" i="612"/>
  <c r="CC22" i="612"/>
  <c r="BZ52" i="612"/>
  <c r="AM92" i="611"/>
  <c r="C91" i="611"/>
  <c r="D92" i="611"/>
  <c r="AN93" i="611"/>
  <c r="AL86" i="611"/>
  <c r="B85" i="611"/>
  <c r="AN402" i="611"/>
  <c r="D401" i="611"/>
  <c r="BY54" i="610"/>
  <c r="BX55" i="610"/>
  <c r="BZ26" i="610"/>
  <c r="BY27" i="610"/>
  <c r="CC22" i="610"/>
  <c r="CA24" i="610"/>
  <c r="BZ52" i="610"/>
  <c r="CA52" i="610" s="1"/>
  <c r="AM84" i="609"/>
  <c r="C83" i="609"/>
  <c r="AL84" i="609"/>
  <c r="B83" i="609"/>
  <c r="BZ26" i="608"/>
  <c r="BY27" i="608"/>
  <c r="CC22" i="608"/>
  <c r="CA24" i="608"/>
  <c r="BY54" i="608"/>
  <c r="BX55" i="608"/>
  <c r="AL84" i="607"/>
  <c r="B83" i="607"/>
  <c r="AM84" i="607"/>
  <c r="C83" i="607"/>
  <c r="BZ52" i="606"/>
  <c r="CA24" i="606"/>
  <c r="BZ26" i="606"/>
  <c r="BY27" i="606"/>
  <c r="BY54" i="606"/>
  <c r="BX55" i="606"/>
  <c r="CC22" i="606"/>
  <c r="C81" i="605"/>
  <c r="AM82" i="605"/>
  <c r="AL83" i="605"/>
  <c r="B82" i="605"/>
  <c r="CB25" i="614"/>
  <c r="CA53" i="614"/>
  <c r="CB23" i="614"/>
  <c r="CA51" i="614"/>
  <c r="CB51" i="614"/>
  <c r="CA53" i="612"/>
  <c r="CB51" i="612"/>
  <c r="CB25" i="612"/>
  <c r="CB23" i="612"/>
  <c r="CA51" i="612"/>
  <c r="CB25" i="610"/>
  <c r="CA53" i="610"/>
  <c r="CB23" i="610"/>
  <c r="CB23" i="608"/>
  <c r="CB25" i="608"/>
  <c r="CA51" i="608"/>
  <c r="CA53" i="608"/>
  <c r="CA51" i="606"/>
  <c r="CB23" i="606"/>
  <c r="CB25" i="606"/>
  <c r="CA26" i="614" l="1"/>
  <c r="BZ27" i="614"/>
  <c r="CD22" i="614"/>
  <c r="BZ54" i="614"/>
  <c r="BY55" i="614"/>
  <c r="CA52" i="614"/>
  <c r="CB52" i="614" s="1"/>
  <c r="CB24" i="614"/>
  <c r="AL84" i="613"/>
  <c r="B83" i="613"/>
  <c r="AM84" i="613"/>
  <c r="C83" i="613"/>
  <c r="CA52" i="612"/>
  <c r="CB52" i="612" s="1"/>
  <c r="CD22" i="612"/>
  <c r="BZ54" i="612"/>
  <c r="BY55" i="612"/>
  <c r="CA26" i="612"/>
  <c r="BZ27" i="612"/>
  <c r="CB24" i="612"/>
  <c r="B86" i="611"/>
  <c r="AL87" i="611"/>
  <c r="AN403" i="611"/>
  <c r="D402" i="611"/>
  <c r="AN94" i="611"/>
  <c r="D93" i="611"/>
  <c r="AM93" i="611"/>
  <c r="C92" i="611"/>
  <c r="CD22" i="610"/>
  <c r="CB24" i="610"/>
  <c r="CA26" i="610"/>
  <c r="BZ27" i="610"/>
  <c r="BZ54" i="610"/>
  <c r="BY55" i="610"/>
  <c r="B84" i="609"/>
  <c r="AL85" i="609"/>
  <c r="AM85" i="609"/>
  <c r="C84" i="609"/>
  <c r="CA52" i="608"/>
  <c r="CB24" i="608"/>
  <c r="CD22" i="608"/>
  <c r="BZ54" i="608"/>
  <c r="BY55" i="608"/>
  <c r="CA26" i="608"/>
  <c r="BZ27" i="608"/>
  <c r="AM85" i="607"/>
  <c r="C84" i="607"/>
  <c r="AL85" i="607"/>
  <c r="B84" i="607"/>
  <c r="CD22" i="606"/>
  <c r="BZ54" i="606"/>
  <c r="BY55" i="606"/>
  <c r="CA26" i="606"/>
  <c r="BZ27" i="606"/>
  <c r="CB24" i="606"/>
  <c r="CA52" i="606"/>
  <c r="AM83" i="605"/>
  <c r="C82" i="605"/>
  <c r="AL84" i="605"/>
  <c r="B83" i="605"/>
  <c r="CB53" i="614"/>
  <c r="CC25" i="614"/>
  <c r="CC25" i="612"/>
  <c r="CC23" i="612"/>
  <c r="CB53" i="612"/>
  <c r="CC25" i="610"/>
  <c r="CB51" i="610"/>
  <c r="CC23" i="610"/>
  <c r="CB53" i="610"/>
  <c r="CC25" i="608"/>
  <c r="CC23" i="608"/>
  <c r="CB53" i="608"/>
  <c r="CB51" i="608"/>
  <c r="CC23" i="606"/>
  <c r="CB53" i="606"/>
  <c r="CC25" i="606"/>
  <c r="CB51" i="606"/>
  <c r="CA54" i="614" l="1"/>
  <c r="BZ55" i="614"/>
  <c r="CE22" i="614"/>
  <c r="CB26" i="614"/>
  <c r="CA27" i="614"/>
  <c r="AM85" i="613"/>
  <c r="C84" i="613"/>
  <c r="AL85" i="613"/>
  <c r="B84" i="613"/>
  <c r="CC24" i="612"/>
  <c r="CB26" i="612"/>
  <c r="CA27" i="612"/>
  <c r="CA54" i="612"/>
  <c r="BZ55" i="612"/>
  <c r="CE22" i="612"/>
  <c r="D94" i="611"/>
  <c r="AN95" i="611"/>
  <c r="C93" i="611"/>
  <c r="AM94" i="611"/>
  <c r="AN404" i="611"/>
  <c r="D403" i="611"/>
  <c r="AL88" i="611"/>
  <c r="B87" i="611"/>
  <c r="CB52" i="610"/>
  <c r="CE22" i="610"/>
  <c r="CB26" i="610"/>
  <c r="CA27" i="610"/>
  <c r="CA54" i="610"/>
  <c r="BZ55" i="610"/>
  <c r="CC24" i="610"/>
  <c r="C85" i="609"/>
  <c r="AM86" i="609"/>
  <c r="AL86" i="609"/>
  <c r="B85" i="609"/>
  <c r="CB26" i="608"/>
  <c r="CA27" i="608"/>
  <c r="CA54" i="608"/>
  <c r="BZ55" i="608"/>
  <c r="CE22" i="608"/>
  <c r="CC24" i="608"/>
  <c r="CB52" i="608"/>
  <c r="AL86" i="607"/>
  <c r="B85" i="607"/>
  <c r="AM86" i="607"/>
  <c r="C85" i="607"/>
  <c r="CC24" i="606"/>
  <c r="CB52" i="606"/>
  <c r="CA54" i="606"/>
  <c r="BZ55" i="606"/>
  <c r="CE22" i="606"/>
  <c r="CB26" i="606"/>
  <c r="CA27" i="606"/>
  <c r="B84" i="605"/>
  <c r="AL85" i="605"/>
  <c r="AM84" i="605"/>
  <c r="C83" i="605"/>
  <c r="CC23" i="614"/>
  <c r="CD23" i="614"/>
  <c r="CC51" i="614"/>
  <c r="CC53" i="614"/>
  <c r="CD25" i="614"/>
  <c r="CC51" i="612"/>
  <c r="CD53" i="612"/>
  <c r="CC53" i="612"/>
  <c r="CD25" i="612"/>
  <c r="CD23" i="612"/>
  <c r="CC51" i="610"/>
  <c r="CC53" i="610"/>
  <c r="CD23" i="610"/>
  <c r="CD25" i="610"/>
  <c r="CD25" i="608"/>
  <c r="CD23" i="608"/>
  <c r="CC51" i="608"/>
  <c r="CC53" i="608"/>
  <c r="CD25" i="606"/>
  <c r="CD51" i="606"/>
  <c r="CC51" i="606"/>
  <c r="CC53" i="606"/>
  <c r="CD23" i="606"/>
  <c r="CC52" i="614" l="1"/>
  <c r="CC24" i="614"/>
  <c r="CD24" i="614" s="1"/>
  <c r="CC26" i="614"/>
  <c r="CB27" i="614"/>
  <c r="CF22" i="614"/>
  <c r="CB54" i="614"/>
  <c r="CA55" i="614"/>
  <c r="AL86" i="613"/>
  <c r="B85" i="613"/>
  <c r="AM86" i="613"/>
  <c r="C85" i="613"/>
  <c r="CC52" i="612"/>
  <c r="CF22" i="612"/>
  <c r="CB54" i="612"/>
  <c r="CA55" i="612"/>
  <c r="CC26" i="612"/>
  <c r="CB27" i="612"/>
  <c r="CD24" i="612"/>
  <c r="AM95" i="611"/>
  <c r="C94" i="611"/>
  <c r="B88" i="611"/>
  <c r="AL89" i="611"/>
  <c r="D95" i="611"/>
  <c r="AN96" i="611"/>
  <c r="AN405" i="611"/>
  <c r="D404" i="611"/>
  <c r="CD24" i="610"/>
  <c r="CC26" i="610"/>
  <c r="CB27" i="610"/>
  <c r="CF22" i="610"/>
  <c r="CB54" i="610"/>
  <c r="CA55" i="610"/>
  <c r="CC52" i="610"/>
  <c r="AL87" i="609"/>
  <c r="B86" i="609"/>
  <c r="AM87" i="609"/>
  <c r="C86" i="609"/>
  <c r="CC52" i="608"/>
  <c r="CF22" i="608"/>
  <c r="CD24" i="608"/>
  <c r="CB54" i="608"/>
  <c r="CA55" i="608"/>
  <c r="CC26" i="608"/>
  <c r="CB27" i="608"/>
  <c r="AM87" i="607"/>
  <c r="C86" i="607"/>
  <c r="AL87" i="607"/>
  <c r="B86" i="607"/>
  <c r="CB54" i="606"/>
  <c r="CA55" i="606"/>
  <c r="CF22" i="606"/>
  <c r="CC52" i="606"/>
  <c r="CD52" i="606" s="1"/>
  <c r="CC26" i="606"/>
  <c r="CB27" i="606"/>
  <c r="CD24" i="606"/>
  <c r="C84" i="605"/>
  <c r="AM85" i="605"/>
  <c r="AL86" i="605"/>
  <c r="B85" i="605"/>
  <c r="CE51" i="614"/>
  <c r="CD51" i="614"/>
  <c r="CD53" i="614"/>
  <c r="CD51" i="612"/>
  <c r="CD53" i="610"/>
  <c r="CD51" i="610"/>
  <c r="CE51" i="610"/>
  <c r="CD51" i="608"/>
  <c r="CD53" i="608"/>
  <c r="CE23" i="608"/>
  <c r="CD53" i="606"/>
  <c r="CE51" i="606"/>
  <c r="CC54" i="614" l="1"/>
  <c r="CB55" i="614"/>
  <c r="CG22" i="614"/>
  <c r="CD26" i="614"/>
  <c r="CC27" i="614"/>
  <c r="CD52" i="614"/>
  <c r="CE52" i="614" s="1"/>
  <c r="AM87" i="613"/>
  <c r="C86" i="613"/>
  <c r="AL87" i="613"/>
  <c r="B86" i="613"/>
  <c r="CC54" i="612"/>
  <c r="CB55" i="612"/>
  <c r="CG22" i="612"/>
  <c r="CD26" i="612"/>
  <c r="CC27" i="612"/>
  <c r="CD52" i="612"/>
  <c r="AN406" i="611"/>
  <c r="D405" i="611"/>
  <c r="D96" i="611"/>
  <c r="AN97" i="611"/>
  <c r="AL90" i="611"/>
  <c r="B89" i="611"/>
  <c r="AM96" i="611"/>
  <c r="C95" i="611"/>
  <c r="CG22" i="610"/>
  <c r="CC54" i="610"/>
  <c r="CB55" i="610"/>
  <c r="CD52" i="610"/>
  <c r="CE52" i="610" s="1"/>
  <c r="CD26" i="610"/>
  <c r="CC27" i="610"/>
  <c r="AM88" i="609"/>
  <c r="C87" i="609"/>
  <c r="AL88" i="609"/>
  <c r="B87" i="609"/>
  <c r="CC54" i="608"/>
  <c r="CB55" i="608"/>
  <c r="CG22" i="608"/>
  <c r="CD26" i="608"/>
  <c r="CC27" i="608"/>
  <c r="CE24" i="608"/>
  <c r="CD52" i="608"/>
  <c r="AL88" i="607"/>
  <c r="B87" i="607"/>
  <c r="AM88" i="607"/>
  <c r="C87" i="607"/>
  <c r="CE52" i="606"/>
  <c r="CD26" i="606"/>
  <c r="CC27" i="606"/>
  <c r="CG22" i="606"/>
  <c r="CC54" i="606"/>
  <c r="CB55" i="606"/>
  <c r="C85" i="605"/>
  <c r="AM86" i="605"/>
  <c r="B86" i="605"/>
  <c r="AL87" i="605"/>
  <c r="CE23" i="614"/>
  <c r="CF51" i="614"/>
  <c r="CF25" i="614"/>
  <c r="CF23" i="614"/>
  <c r="CE53" i="614"/>
  <c r="CE25" i="614"/>
  <c r="CE53" i="612"/>
  <c r="CF25" i="612"/>
  <c r="CF23" i="612"/>
  <c r="CE23" i="612"/>
  <c r="CE51" i="612"/>
  <c r="CE25" i="612"/>
  <c r="CF53" i="612"/>
  <c r="CE25" i="610"/>
  <c r="CF25" i="610"/>
  <c r="CE53" i="610"/>
  <c r="CF23" i="610"/>
  <c r="CE23" i="610"/>
  <c r="CE53" i="608"/>
  <c r="CE51" i="608"/>
  <c r="CE25" i="608"/>
  <c r="CF25" i="608"/>
  <c r="CE23" i="606"/>
  <c r="CE53" i="606"/>
  <c r="CE25" i="606"/>
  <c r="CF23" i="606"/>
  <c r="CF53" i="606"/>
  <c r="CE24" i="614" l="1"/>
  <c r="CF24" i="614" s="1"/>
  <c r="CE26" i="614"/>
  <c r="CD27" i="614"/>
  <c r="CH22" i="614"/>
  <c r="CF52" i="614"/>
  <c r="CD54" i="614"/>
  <c r="CC55" i="614"/>
  <c r="AL88" i="613"/>
  <c r="B87" i="613"/>
  <c r="AM88" i="613"/>
  <c r="C87" i="613"/>
  <c r="CE24" i="612"/>
  <c r="CF24" i="612" s="1"/>
  <c r="CE52" i="612"/>
  <c r="CE26" i="612"/>
  <c r="CD27" i="612"/>
  <c r="CD54" i="612"/>
  <c r="CC55" i="612"/>
  <c r="CH22" i="612"/>
  <c r="B90" i="611"/>
  <c r="AL91" i="611"/>
  <c r="C96" i="611"/>
  <c r="AM97" i="611"/>
  <c r="AN98" i="611"/>
  <c r="D97" i="611"/>
  <c r="AN407" i="611"/>
  <c r="D406" i="611"/>
  <c r="CE24" i="610"/>
  <c r="CF24" i="610" s="1"/>
  <c r="CE26" i="610"/>
  <c r="CD27" i="610"/>
  <c r="CH22" i="610"/>
  <c r="CD54" i="610"/>
  <c r="CC55" i="610"/>
  <c r="AL89" i="609"/>
  <c r="B88" i="609"/>
  <c r="AM89" i="609"/>
  <c r="C88" i="609"/>
  <c r="CE52" i="608"/>
  <c r="CE26" i="608"/>
  <c r="CD27" i="608"/>
  <c r="CH22" i="608"/>
  <c r="CD54" i="608"/>
  <c r="CC55" i="608"/>
  <c r="AM89" i="607"/>
  <c r="C88" i="607"/>
  <c r="AL89" i="607"/>
  <c r="B88" i="607"/>
  <c r="CE24" i="606"/>
  <c r="CF24" i="606" s="1"/>
  <c r="CH22" i="606"/>
  <c r="CD54" i="606"/>
  <c r="CC55" i="606"/>
  <c r="CE26" i="606"/>
  <c r="CD27" i="606"/>
  <c r="AL88" i="605"/>
  <c r="B87" i="605"/>
  <c r="C86" i="605"/>
  <c r="AM87" i="605"/>
  <c r="CF53" i="614"/>
  <c r="CG25" i="614"/>
  <c r="CG23" i="614"/>
  <c r="CG51" i="612"/>
  <c r="CG25" i="612"/>
  <c r="CG23" i="612"/>
  <c r="CF51" i="612"/>
  <c r="CF51" i="610"/>
  <c r="CG23" i="610"/>
  <c r="CF53" i="610"/>
  <c r="CG25" i="610"/>
  <c r="CG53" i="610"/>
  <c r="CF53" i="608"/>
  <c r="CG25" i="608"/>
  <c r="CF51" i="608"/>
  <c r="CF23" i="608"/>
  <c r="CG23" i="608"/>
  <c r="CG25" i="606"/>
  <c r="CG23" i="606"/>
  <c r="CF25" i="606"/>
  <c r="CF51" i="606"/>
  <c r="CG51" i="606"/>
  <c r="CD55" i="614" l="1"/>
  <c r="CE54" i="614"/>
  <c r="CI22" i="614"/>
  <c r="CE27" i="614"/>
  <c r="CF26" i="614"/>
  <c r="CG24" i="614"/>
  <c r="AM89" i="613"/>
  <c r="C88" i="613"/>
  <c r="AL89" i="613"/>
  <c r="B88" i="613"/>
  <c r="CI22" i="612"/>
  <c r="CD55" i="612"/>
  <c r="CE54" i="612"/>
  <c r="CE27" i="612"/>
  <c r="CF26" i="612"/>
  <c r="CF52" i="612"/>
  <c r="CG52" i="612" s="1"/>
  <c r="CG24" i="612"/>
  <c r="D98" i="611"/>
  <c r="AN99" i="611"/>
  <c r="C97" i="611"/>
  <c r="AM98" i="611"/>
  <c r="AN408" i="611"/>
  <c r="D407" i="611"/>
  <c r="B91" i="611"/>
  <c r="AL92" i="611"/>
  <c r="CF52" i="610"/>
  <c r="CD55" i="610"/>
  <c r="CE54" i="610"/>
  <c r="CE27" i="610"/>
  <c r="CF26" i="610"/>
  <c r="CI22" i="610"/>
  <c r="CG24" i="610"/>
  <c r="AM90" i="609"/>
  <c r="C89" i="609"/>
  <c r="AL90" i="609"/>
  <c r="B89" i="609"/>
  <c r="CF24" i="608"/>
  <c r="CG24" i="608" s="1"/>
  <c r="CI22" i="608"/>
  <c r="CE27" i="608"/>
  <c r="CF26" i="608"/>
  <c r="CD55" i="608"/>
  <c r="CE54" i="608"/>
  <c r="CF52" i="608"/>
  <c r="AL90" i="607"/>
  <c r="B89" i="607"/>
  <c r="AM90" i="607"/>
  <c r="C89" i="607"/>
  <c r="CF52" i="606"/>
  <c r="CG52" i="606" s="1"/>
  <c r="CD55" i="606"/>
  <c r="CE54" i="606"/>
  <c r="CE27" i="606"/>
  <c r="CF26" i="606"/>
  <c r="CI22" i="606"/>
  <c r="CG24" i="606"/>
  <c r="C87" i="605"/>
  <c r="AM88" i="605"/>
  <c r="B88" i="605"/>
  <c r="AL89" i="605"/>
  <c r="CG53" i="614"/>
  <c r="CH25" i="614"/>
  <c r="CH23" i="614"/>
  <c r="CG51" i="614"/>
  <c r="CH25" i="612"/>
  <c r="CH23" i="612"/>
  <c r="CG53" i="612"/>
  <c r="CG51" i="610"/>
  <c r="CH25" i="610"/>
  <c r="CH23" i="610"/>
  <c r="CH51" i="610"/>
  <c r="CH25" i="608"/>
  <c r="CG51" i="608"/>
  <c r="CG53" i="608"/>
  <c r="CH23" i="608"/>
  <c r="CH23" i="606"/>
  <c r="CH51" i="606"/>
  <c r="CH25" i="606"/>
  <c r="CG53" i="606"/>
  <c r="CG52" i="614" l="1"/>
  <c r="CH24" i="614"/>
  <c r="CJ22" i="614"/>
  <c r="CF54" i="614"/>
  <c r="CE55" i="614"/>
  <c r="CG26" i="614"/>
  <c r="CF27" i="614"/>
  <c r="AL90" i="613"/>
  <c r="B89" i="613"/>
  <c r="AM90" i="613"/>
  <c r="C89" i="613"/>
  <c r="CH24" i="612"/>
  <c r="CG26" i="612"/>
  <c r="CF27" i="612"/>
  <c r="CF54" i="612"/>
  <c r="CE55" i="612"/>
  <c r="CJ22" i="612"/>
  <c r="AN409" i="611"/>
  <c r="D408" i="611"/>
  <c r="B92" i="611"/>
  <c r="AL93" i="611"/>
  <c r="C98" i="611"/>
  <c r="AM99" i="611"/>
  <c r="D99" i="611"/>
  <c r="AN100" i="611"/>
  <c r="CH24" i="610"/>
  <c r="CF54" i="610"/>
  <c r="CE55" i="610"/>
  <c r="CJ22" i="610"/>
  <c r="CG26" i="610"/>
  <c r="CF27" i="610"/>
  <c r="CG52" i="610"/>
  <c r="CH52" i="610" s="1"/>
  <c r="AL91" i="609"/>
  <c r="B90" i="609"/>
  <c r="AM91" i="609"/>
  <c r="C90" i="609"/>
  <c r="CF27" i="608"/>
  <c r="CG26" i="608"/>
  <c r="CJ22" i="608"/>
  <c r="CE55" i="608"/>
  <c r="CF54" i="608"/>
  <c r="CG52" i="608"/>
  <c r="CH24" i="608"/>
  <c r="AM91" i="607"/>
  <c r="C90" i="607"/>
  <c r="AL91" i="607"/>
  <c r="B90" i="607"/>
  <c r="CH24" i="606"/>
  <c r="CG26" i="606"/>
  <c r="CF27" i="606"/>
  <c r="CF54" i="606"/>
  <c r="CE55" i="606"/>
  <c r="CJ22" i="606"/>
  <c r="CH52" i="606"/>
  <c r="C88" i="605"/>
  <c r="AM89" i="605"/>
  <c r="AL90" i="605"/>
  <c r="B89" i="605"/>
  <c r="CI25" i="614"/>
  <c r="CH51" i="614"/>
  <c r="CH53" i="614"/>
  <c r="CI23" i="614"/>
  <c r="CI25" i="612"/>
  <c r="CH51" i="612"/>
  <c r="CH53" i="612"/>
  <c r="CI23" i="612"/>
  <c r="CI23" i="610"/>
  <c r="CH53" i="610"/>
  <c r="CI25" i="608"/>
  <c r="CH53" i="608"/>
  <c r="CI23" i="608"/>
  <c r="CH51" i="608"/>
  <c r="CI53" i="608"/>
  <c r="CI23" i="606"/>
  <c r="CI25" i="606"/>
  <c r="CH53" i="606"/>
  <c r="CH26" i="614" l="1"/>
  <c r="CG27" i="614"/>
  <c r="CG54" i="614"/>
  <c r="CF55" i="614"/>
  <c r="CK22" i="614"/>
  <c r="CI24" i="614"/>
  <c r="CH52" i="614"/>
  <c r="AM91" i="613"/>
  <c r="C90" i="613"/>
  <c r="AL91" i="613"/>
  <c r="B90" i="613"/>
  <c r="CH52" i="612"/>
  <c r="CK22" i="612"/>
  <c r="CG54" i="612"/>
  <c r="CF55" i="612"/>
  <c r="CH26" i="612"/>
  <c r="CG27" i="612"/>
  <c r="CI24" i="612"/>
  <c r="B93" i="611"/>
  <c r="AL94" i="611"/>
  <c r="AM100" i="611"/>
  <c r="C99" i="611"/>
  <c r="AN101" i="611"/>
  <c r="D100" i="611"/>
  <c r="AN410" i="611"/>
  <c r="D409" i="611"/>
  <c r="CK22" i="610"/>
  <c r="CH26" i="610"/>
  <c r="CG27" i="610"/>
  <c r="CG54" i="610"/>
  <c r="CF55" i="610"/>
  <c r="CI24" i="610"/>
  <c r="AM92" i="609"/>
  <c r="C91" i="609"/>
  <c r="AL92" i="609"/>
  <c r="B91" i="609"/>
  <c r="CI24" i="608"/>
  <c r="CH52" i="608"/>
  <c r="CG54" i="608"/>
  <c r="CF55" i="608"/>
  <c r="CK22" i="608"/>
  <c r="CH26" i="608"/>
  <c r="CG27" i="608"/>
  <c r="AL92" i="607"/>
  <c r="B91" i="607"/>
  <c r="AM92" i="607"/>
  <c r="C91" i="607"/>
  <c r="CK22" i="606"/>
  <c r="CG54" i="606"/>
  <c r="CF55" i="606"/>
  <c r="CH26" i="606"/>
  <c r="CG27" i="606"/>
  <c r="CI24" i="606"/>
  <c r="C89" i="605"/>
  <c r="AM90" i="605"/>
  <c r="AL91" i="605"/>
  <c r="B90" i="605"/>
  <c r="CJ51" i="614"/>
  <c r="CJ25" i="614"/>
  <c r="CJ23" i="614"/>
  <c r="CI53" i="614"/>
  <c r="CI51" i="614"/>
  <c r="CJ25" i="612"/>
  <c r="CJ23" i="612"/>
  <c r="CI51" i="612"/>
  <c r="CI53" i="612"/>
  <c r="CJ25" i="610"/>
  <c r="CI53" i="610"/>
  <c r="CI51" i="610"/>
  <c r="CJ23" i="610"/>
  <c r="CI25" i="610"/>
  <c r="CJ25" i="608"/>
  <c r="CI51" i="608"/>
  <c r="CJ23" i="608"/>
  <c r="CJ51" i="608"/>
  <c r="CI51" i="606"/>
  <c r="CJ25" i="606"/>
  <c r="CJ23" i="606"/>
  <c r="CI53" i="606"/>
  <c r="CJ24" i="614" l="1"/>
  <c r="CL22" i="614"/>
  <c r="CI52" i="614"/>
  <c r="CJ52" i="614" s="1"/>
  <c r="CH54" i="614"/>
  <c r="CG55" i="614"/>
  <c r="CI26" i="614"/>
  <c r="CH27" i="614"/>
  <c r="AL92" i="613"/>
  <c r="B91" i="613"/>
  <c r="AM92" i="613"/>
  <c r="C91" i="613"/>
  <c r="CJ24" i="612"/>
  <c r="CI26" i="612"/>
  <c r="CH27" i="612"/>
  <c r="CH54" i="612"/>
  <c r="CG55" i="612"/>
  <c r="CL22" i="612"/>
  <c r="CI52" i="612"/>
  <c r="AN411" i="611"/>
  <c r="D410" i="611"/>
  <c r="AN102" i="611"/>
  <c r="D101" i="611"/>
  <c r="AM101" i="611"/>
  <c r="C100" i="611"/>
  <c r="AL95" i="611"/>
  <c r="B94" i="611"/>
  <c r="CI52" i="610"/>
  <c r="CJ24" i="610"/>
  <c r="CI26" i="610"/>
  <c r="CH27" i="610"/>
  <c r="CH54" i="610"/>
  <c r="CG55" i="610"/>
  <c r="CL22" i="610"/>
  <c r="AL93" i="609"/>
  <c r="B92" i="609"/>
  <c r="AM93" i="609"/>
  <c r="C92" i="609"/>
  <c r="CI26" i="608"/>
  <c r="CH27" i="608"/>
  <c r="CI52" i="608"/>
  <c r="CJ52" i="608" s="1"/>
  <c r="CL22" i="608"/>
  <c r="CH54" i="608"/>
  <c r="CG55" i="608"/>
  <c r="CJ24" i="608"/>
  <c r="AM93" i="607"/>
  <c r="C92" i="607"/>
  <c r="AL93" i="607"/>
  <c r="B92" i="607"/>
  <c r="CI52" i="606"/>
  <c r="CH54" i="606"/>
  <c r="CG55" i="606"/>
  <c r="CL22" i="606"/>
  <c r="CJ24" i="606"/>
  <c r="CI26" i="606"/>
  <c r="CH27" i="606"/>
  <c r="AL92" i="605"/>
  <c r="B91" i="605"/>
  <c r="AM91" i="605"/>
  <c r="C90" i="605"/>
  <c r="CJ53" i="614"/>
  <c r="CK25" i="614"/>
  <c r="CK23" i="614"/>
  <c r="CK25" i="612"/>
  <c r="CK23" i="612"/>
  <c r="CJ51" i="612"/>
  <c r="CJ53" i="612"/>
  <c r="CJ53" i="610"/>
  <c r="CK25" i="610"/>
  <c r="CJ51" i="610"/>
  <c r="CK23" i="610"/>
  <c r="CK51" i="610"/>
  <c r="CJ53" i="608"/>
  <c r="CK23" i="608"/>
  <c r="CK25" i="608"/>
  <c r="CK23" i="606"/>
  <c r="CK25" i="606"/>
  <c r="CJ51" i="606"/>
  <c r="CJ53" i="606"/>
  <c r="CI54" i="614" l="1"/>
  <c r="CH55" i="614"/>
  <c r="CM22" i="614"/>
  <c r="CJ26" i="614"/>
  <c r="CI27" i="614"/>
  <c r="CK24" i="614"/>
  <c r="AM93" i="613"/>
  <c r="C92" i="613"/>
  <c r="AL93" i="613"/>
  <c r="B92" i="613"/>
  <c r="CJ52" i="612"/>
  <c r="CM22" i="612"/>
  <c r="CI54" i="612"/>
  <c r="CH55" i="612"/>
  <c r="CJ26" i="612"/>
  <c r="CI27" i="612"/>
  <c r="CK24" i="612"/>
  <c r="B95" i="611"/>
  <c r="AL96" i="611"/>
  <c r="C101" i="611"/>
  <c r="AM102" i="611"/>
  <c r="D102" i="611"/>
  <c r="AN103" i="611"/>
  <c r="AN412" i="611"/>
  <c r="D411" i="611"/>
  <c r="CM22" i="610"/>
  <c r="CI54" i="610"/>
  <c r="CH55" i="610"/>
  <c r="CJ26" i="610"/>
  <c r="CI27" i="610"/>
  <c r="CK24" i="610"/>
  <c r="CJ52" i="610"/>
  <c r="CK52" i="610" s="1"/>
  <c r="AM94" i="609"/>
  <c r="C93" i="609"/>
  <c r="AL94" i="609"/>
  <c r="B93" i="609"/>
  <c r="CK24" i="608"/>
  <c r="CI54" i="608"/>
  <c r="CH55" i="608"/>
  <c r="CM22" i="608"/>
  <c r="CJ26" i="608"/>
  <c r="CI27" i="608"/>
  <c r="AL94" i="607"/>
  <c r="B93" i="607"/>
  <c r="AM94" i="607"/>
  <c r="C93" i="607"/>
  <c r="CJ26" i="606"/>
  <c r="CI27" i="606"/>
  <c r="CK24" i="606"/>
  <c r="CM22" i="606"/>
  <c r="CI54" i="606"/>
  <c r="CH55" i="606"/>
  <c r="CJ52" i="606"/>
  <c r="C91" i="605"/>
  <c r="AM92" i="605"/>
  <c r="B92" i="605"/>
  <c r="AL93" i="605"/>
  <c r="CK53" i="614"/>
  <c r="CL25" i="614"/>
  <c r="CL23" i="614"/>
  <c r="CK51" i="614"/>
  <c r="CL25" i="612"/>
  <c r="CL23" i="612"/>
  <c r="CK51" i="612"/>
  <c r="CK53" i="612"/>
  <c r="CL23" i="610"/>
  <c r="CK53" i="610"/>
  <c r="CL25" i="610"/>
  <c r="CK53" i="608"/>
  <c r="CL23" i="608"/>
  <c r="CL25" i="608"/>
  <c r="CK51" i="608"/>
  <c r="CL53" i="608"/>
  <c r="CK53" i="606"/>
  <c r="CK51" i="606"/>
  <c r="CK52" i="614" l="1"/>
  <c r="CL24" i="614"/>
  <c r="CK26" i="614"/>
  <c r="CJ27" i="614"/>
  <c r="CN22" i="614"/>
  <c r="CJ54" i="614"/>
  <c r="CI55" i="614"/>
  <c r="AL94" i="613"/>
  <c r="B93" i="613"/>
  <c r="AM94" i="613"/>
  <c r="C93" i="613"/>
  <c r="CL24" i="612"/>
  <c r="CK26" i="612"/>
  <c r="CJ27" i="612"/>
  <c r="CJ54" i="612"/>
  <c r="CI55" i="612"/>
  <c r="CN22" i="612"/>
  <c r="CK52" i="612"/>
  <c r="AN413" i="611"/>
  <c r="D412" i="611"/>
  <c r="D103" i="611"/>
  <c r="AN104" i="611"/>
  <c r="C102" i="611"/>
  <c r="AM103" i="611"/>
  <c r="B96" i="611"/>
  <c r="AL97" i="611"/>
  <c r="CL24" i="610"/>
  <c r="CJ54" i="610"/>
  <c r="CI55" i="610"/>
  <c r="CN22" i="610"/>
  <c r="CK26" i="610"/>
  <c r="CJ27" i="610"/>
  <c r="AL95" i="609"/>
  <c r="B94" i="609"/>
  <c r="AM95" i="609"/>
  <c r="C94" i="609"/>
  <c r="CK52" i="608"/>
  <c r="CK26" i="608"/>
  <c r="CJ27" i="608"/>
  <c r="CJ54" i="608"/>
  <c r="CI55" i="608"/>
  <c r="CN22" i="608"/>
  <c r="CL24" i="608"/>
  <c r="AM95" i="607"/>
  <c r="C94" i="607"/>
  <c r="AL95" i="607"/>
  <c r="B94" i="607"/>
  <c r="CN22" i="606"/>
  <c r="CK52" i="606"/>
  <c r="CJ54" i="606"/>
  <c r="CI55" i="606"/>
  <c r="CK26" i="606"/>
  <c r="CJ27" i="606"/>
  <c r="C92" i="605"/>
  <c r="AM93" i="605"/>
  <c r="AL94" i="605"/>
  <c r="B93" i="605"/>
  <c r="CM25" i="614"/>
  <c r="CM23" i="614"/>
  <c r="CL51" i="614"/>
  <c r="CL53" i="614"/>
  <c r="CM51" i="612"/>
  <c r="CM25" i="612"/>
  <c r="CM23" i="612"/>
  <c r="CL51" i="612"/>
  <c r="CL53" i="612"/>
  <c r="CL51" i="610"/>
  <c r="CM25" i="610"/>
  <c r="CM23" i="610"/>
  <c r="CL53" i="610"/>
  <c r="CM53" i="610"/>
  <c r="CL51" i="608"/>
  <c r="CM25" i="608"/>
  <c r="CM23" i="608"/>
  <c r="CM51" i="608"/>
  <c r="CL53" i="606"/>
  <c r="CM23" i="606"/>
  <c r="CL23" i="606"/>
  <c r="CM25" i="606"/>
  <c r="CL25" i="606"/>
  <c r="CL51" i="606"/>
  <c r="CO22" i="614" l="1"/>
  <c r="CK54" i="614"/>
  <c r="CJ55" i="614"/>
  <c r="CL26" i="614"/>
  <c r="CK27" i="614"/>
  <c r="CM24" i="614"/>
  <c r="CL52" i="614"/>
  <c r="AM95" i="613"/>
  <c r="C94" i="613"/>
  <c r="AL95" i="613"/>
  <c r="B94" i="613"/>
  <c r="CL52" i="612"/>
  <c r="CM52" i="612" s="1"/>
  <c r="CO22" i="612"/>
  <c r="CK54" i="612"/>
  <c r="CJ55" i="612"/>
  <c r="CL26" i="612"/>
  <c r="CK27" i="612"/>
  <c r="CM24" i="612"/>
  <c r="B97" i="611"/>
  <c r="AL98" i="611"/>
  <c r="AM104" i="611"/>
  <c r="C103" i="611"/>
  <c r="D104" i="611"/>
  <c r="AN105" i="611"/>
  <c r="AN414" i="611"/>
  <c r="D413" i="611"/>
  <c r="CL52" i="610"/>
  <c r="CL26" i="610"/>
  <c r="CK27" i="610"/>
  <c r="CO22" i="610"/>
  <c r="CK54" i="610"/>
  <c r="CJ55" i="610"/>
  <c r="CM24" i="610"/>
  <c r="AM96" i="609"/>
  <c r="C95" i="609"/>
  <c r="AL96" i="609"/>
  <c r="B95" i="609"/>
  <c r="CK54" i="608"/>
  <c r="CJ55" i="608"/>
  <c r="CM24" i="608"/>
  <c r="CO22" i="608"/>
  <c r="CL26" i="608"/>
  <c r="CK27" i="608"/>
  <c r="CL52" i="608"/>
  <c r="CM52" i="608" s="1"/>
  <c r="AL96" i="607"/>
  <c r="B95" i="607"/>
  <c r="AM96" i="607"/>
  <c r="C95" i="607"/>
  <c r="CL24" i="606"/>
  <c r="CM24" i="606" s="1"/>
  <c r="CK54" i="606"/>
  <c r="CJ55" i="606"/>
  <c r="CL52" i="606"/>
  <c r="CL26" i="606"/>
  <c r="CK27" i="606"/>
  <c r="CO22" i="606"/>
  <c r="B94" i="605"/>
  <c r="AL95" i="605"/>
  <c r="C93" i="605"/>
  <c r="AM94" i="605"/>
  <c r="CN25" i="614"/>
  <c r="CN23" i="614"/>
  <c r="CM51" i="614"/>
  <c r="CM53" i="614"/>
  <c r="CM53" i="612"/>
  <c r="CN25" i="612"/>
  <c r="CN23" i="612"/>
  <c r="CM51" i="610"/>
  <c r="CN51" i="610"/>
  <c r="CN25" i="610"/>
  <c r="CN23" i="610"/>
  <c r="CM53" i="608"/>
  <c r="CN25" i="608"/>
  <c r="CN23" i="608"/>
  <c r="CM51" i="606"/>
  <c r="CM53" i="606"/>
  <c r="CN23" i="606"/>
  <c r="CM52" i="614" l="1"/>
  <c r="CN24" i="614"/>
  <c r="CM26" i="614"/>
  <c r="CL27" i="614"/>
  <c r="CL54" i="614"/>
  <c r="CK55" i="614"/>
  <c r="CP22" i="614"/>
  <c r="AL96" i="613"/>
  <c r="B95" i="613"/>
  <c r="AM96" i="613"/>
  <c r="C95" i="613"/>
  <c r="CN24" i="612"/>
  <c r="CL54" i="612"/>
  <c r="CK55" i="612"/>
  <c r="CP22" i="612"/>
  <c r="CM26" i="612"/>
  <c r="CL27" i="612"/>
  <c r="AN415" i="611"/>
  <c r="D414" i="611"/>
  <c r="C104" i="611"/>
  <c r="AM105" i="611"/>
  <c r="B98" i="611"/>
  <c r="AL99" i="611"/>
  <c r="AN106" i="611"/>
  <c r="D105" i="611"/>
  <c r="CN24" i="610"/>
  <c r="CP22" i="610"/>
  <c r="CM26" i="610"/>
  <c r="CL27" i="610"/>
  <c r="CL54" i="610"/>
  <c r="CK55" i="610"/>
  <c r="CM52" i="610"/>
  <c r="CN52" i="610" s="1"/>
  <c r="AL97" i="609"/>
  <c r="B96" i="609"/>
  <c r="AM97" i="609"/>
  <c r="C96" i="609"/>
  <c r="CP22" i="608"/>
  <c r="CM26" i="608"/>
  <c r="CL27" i="608"/>
  <c r="CL54" i="608"/>
  <c r="CK55" i="608"/>
  <c r="CN24" i="608"/>
  <c r="AM97" i="607"/>
  <c r="C96" i="607"/>
  <c r="AL97" i="607"/>
  <c r="B96" i="607"/>
  <c r="CP22" i="606"/>
  <c r="CM52" i="606"/>
  <c r="CM26" i="606"/>
  <c r="CL27" i="606"/>
  <c r="CL54" i="606"/>
  <c r="CK55" i="606"/>
  <c r="CN24" i="606"/>
  <c r="C94" i="605"/>
  <c r="AM95" i="605"/>
  <c r="AL96" i="605"/>
  <c r="B95" i="605"/>
  <c r="CN51" i="614"/>
  <c r="CN53" i="614"/>
  <c r="CO25" i="614"/>
  <c r="CO23" i="614"/>
  <c r="CO25" i="612"/>
  <c r="CO23" i="612"/>
  <c r="CN53" i="612"/>
  <c r="CN51" i="612"/>
  <c r="CO23" i="610"/>
  <c r="CN53" i="610"/>
  <c r="CO25" i="608"/>
  <c r="CN53" i="608"/>
  <c r="CN51" i="608"/>
  <c r="CO23" i="608"/>
  <c r="CN25" i="606"/>
  <c r="CO23" i="606"/>
  <c r="CN53" i="606"/>
  <c r="CO25" i="606"/>
  <c r="CN51" i="606"/>
  <c r="CQ22" i="614" l="1"/>
  <c r="CM54" i="614"/>
  <c r="CL55" i="614"/>
  <c r="CN26" i="614"/>
  <c r="CM27" i="614"/>
  <c r="CO24" i="614"/>
  <c r="CN52" i="614"/>
  <c r="AM97" i="613"/>
  <c r="C96" i="613"/>
  <c r="AL97" i="613"/>
  <c r="B96" i="613"/>
  <c r="CN52" i="612"/>
  <c r="CQ22" i="612"/>
  <c r="CN26" i="612"/>
  <c r="CM27" i="612"/>
  <c r="CM54" i="612"/>
  <c r="CL55" i="612"/>
  <c r="CO24" i="612"/>
  <c r="D106" i="611"/>
  <c r="AN107" i="611"/>
  <c r="B99" i="611"/>
  <c r="AL100" i="611"/>
  <c r="C105" i="611"/>
  <c r="AM106" i="611"/>
  <c r="AN416" i="611"/>
  <c r="D415" i="611"/>
  <c r="CM54" i="610"/>
  <c r="CL55" i="610"/>
  <c r="CQ22" i="610"/>
  <c r="CN26" i="610"/>
  <c r="CM27" i="610"/>
  <c r="CO24" i="610"/>
  <c r="AM98" i="609"/>
  <c r="C97" i="609"/>
  <c r="AL98" i="609"/>
  <c r="B97" i="609"/>
  <c r="CN52" i="608"/>
  <c r="CQ22" i="608"/>
  <c r="CO24" i="608"/>
  <c r="CM54" i="608"/>
  <c r="CL55" i="608"/>
  <c r="CN26" i="608"/>
  <c r="CM27" i="608"/>
  <c r="AL98" i="607"/>
  <c r="B97" i="607"/>
  <c r="AM98" i="607"/>
  <c r="C97" i="607"/>
  <c r="CM54" i="606"/>
  <c r="CL55" i="606"/>
  <c r="CN26" i="606"/>
  <c r="CM27" i="606"/>
  <c r="CN52" i="606"/>
  <c r="CQ22" i="606"/>
  <c r="CO24" i="606"/>
  <c r="B96" i="605"/>
  <c r="AL97" i="605"/>
  <c r="C95" i="605"/>
  <c r="AM96" i="605"/>
  <c r="CP25" i="614"/>
  <c r="CP23" i="614"/>
  <c r="CO51" i="614"/>
  <c r="CO53" i="614"/>
  <c r="CO51" i="612"/>
  <c r="CO53" i="612"/>
  <c r="CP25" i="612"/>
  <c r="CP23" i="612"/>
  <c r="CO25" i="610"/>
  <c r="CP23" i="610"/>
  <c r="CO51" i="610"/>
  <c r="CP25" i="610"/>
  <c r="CO53" i="610"/>
  <c r="CP25" i="608"/>
  <c r="CP23" i="608"/>
  <c r="CO51" i="608"/>
  <c r="CO53" i="608"/>
  <c r="CP25" i="606"/>
  <c r="CP23" i="606"/>
  <c r="CO51" i="606"/>
  <c r="CP51" i="606"/>
  <c r="CO53" i="606"/>
  <c r="CO52" i="614" l="1"/>
  <c r="CP24" i="614"/>
  <c r="CO26" i="614"/>
  <c r="CN27" i="614"/>
  <c r="CN54" i="614"/>
  <c r="CM55" i="614"/>
  <c r="CR22" i="614"/>
  <c r="AL98" i="613"/>
  <c r="B97" i="613"/>
  <c r="AM98" i="613"/>
  <c r="C97" i="613"/>
  <c r="CP24" i="612"/>
  <c r="CR22" i="612"/>
  <c r="CO26" i="612"/>
  <c r="CN27" i="612"/>
  <c r="CN54" i="612"/>
  <c r="CM55" i="612"/>
  <c r="CO52" i="612"/>
  <c r="AN417" i="611"/>
  <c r="D416" i="611"/>
  <c r="C106" i="611"/>
  <c r="AM107" i="611"/>
  <c r="B100" i="611"/>
  <c r="AL101" i="611"/>
  <c r="D107" i="611"/>
  <c r="AN108" i="611"/>
  <c r="CO52" i="610"/>
  <c r="CO26" i="610"/>
  <c r="CN27" i="610"/>
  <c r="CP24" i="610"/>
  <c r="CR22" i="610"/>
  <c r="CN54" i="610"/>
  <c r="CM55" i="610"/>
  <c r="AL99" i="609"/>
  <c r="B98" i="609"/>
  <c r="AM99" i="609"/>
  <c r="C98" i="609"/>
  <c r="CN54" i="608"/>
  <c r="CM55" i="608"/>
  <c r="CP24" i="608"/>
  <c r="CO26" i="608"/>
  <c r="CN27" i="608"/>
  <c r="CR22" i="608"/>
  <c r="CO52" i="608"/>
  <c r="AM99" i="607"/>
  <c r="C98" i="607"/>
  <c r="AL99" i="607"/>
  <c r="B98" i="607"/>
  <c r="CP24" i="606"/>
  <c r="CR22" i="606"/>
  <c r="CO52" i="606"/>
  <c r="CP52" i="606" s="1"/>
  <c r="CO26" i="606"/>
  <c r="CN27" i="606"/>
  <c r="CN54" i="606"/>
  <c r="CM55" i="606"/>
  <c r="AL98" i="605"/>
  <c r="B97" i="605"/>
  <c r="C96" i="605"/>
  <c r="AM97" i="605"/>
  <c r="CQ53" i="614"/>
  <c r="CQ51" i="614"/>
  <c r="CQ25" i="614"/>
  <c r="CQ23" i="614"/>
  <c r="CP51" i="614"/>
  <c r="CP53" i="614"/>
  <c r="CP51" i="612"/>
  <c r="CQ25" i="612"/>
  <c r="CP53" i="612"/>
  <c r="CQ23" i="612"/>
  <c r="CQ23" i="610"/>
  <c r="CP53" i="610"/>
  <c r="CP51" i="610"/>
  <c r="CQ25" i="610"/>
  <c r="CQ25" i="608"/>
  <c r="CP53" i="608"/>
  <c r="CQ23" i="608"/>
  <c r="CP51" i="608"/>
  <c r="CQ51" i="608"/>
  <c r="CQ25" i="606"/>
  <c r="CQ23" i="606"/>
  <c r="CP53" i="606"/>
  <c r="CQ53" i="606"/>
  <c r="CS22" i="614" l="1"/>
  <c r="CO54" i="614"/>
  <c r="CN55" i="614"/>
  <c r="CP26" i="614"/>
  <c r="CO27" i="614"/>
  <c r="CQ24" i="614"/>
  <c r="CP52" i="614"/>
  <c r="CQ52" i="614" s="1"/>
  <c r="AM99" i="613"/>
  <c r="C98" i="613"/>
  <c r="AL99" i="613"/>
  <c r="B98" i="613"/>
  <c r="CP52" i="612"/>
  <c r="CP26" i="612"/>
  <c r="CO27" i="612"/>
  <c r="CO54" i="612"/>
  <c r="CN55" i="612"/>
  <c r="CS22" i="612"/>
  <c r="CQ24" i="612"/>
  <c r="AN109" i="611"/>
  <c r="D108" i="611"/>
  <c r="AL102" i="611"/>
  <c r="B101" i="611"/>
  <c r="AM108" i="611"/>
  <c r="C107" i="611"/>
  <c r="AN418" i="611"/>
  <c r="D417" i="611"/>
  <c r="CO54" i="610"/>
  <c r="CN55" i="610"/>
  <c r="CS22" i="610"/>
  <c r="CQ24" i="610"/>
  <c r="CP26" i="610"/>
  <c r="CO27" i="610"/>
  <c r="CP52" i="610"/>
  <c r="AM100" i="609"/>
  <c r="C99" i="609"/>
  <c r="AL100" i="609"/>
  <c r="B99" i="609"/>
  <c r="CP52" i="608"/>
  <c r="CQ52" i="608" s="1"/>
  <c r="CP26" i="608"/>
  <c r="CO27" i="608"/>
  <c r="CS22" i="608"/>
  <c r="CQ24" i="608"/>
  <c r="CO54" i="608"/>
  <c r="CN55" i="608"/>
  <c r="AL100" i="607"/>
  <c r="B99" i="607"/>
  <c r="AM100" i="607"/>
  <c r="C99" i="607"/>
  <c r="CO54" i="606"/>
  <c r="CN55" i="606"/>
  <c r="CP26" i="606"/>
  <c r="CO27" i="606"/>
  <c r="CS22" i="606"/>
  <c r="CQ24" i="606"/>
  <c r="C97" i="605"/>
  <c r="AM98" i="605"/>
  <c r="AL99" i="605"/>
  <c r="B98" i="605"/>
  <c r="CR25" i="614"/>
  <c r="CR23" i="614"/>
  <c r="CQ51" i="612"/>
  <c r="CR23" i="612"/>
  <c r="CQ53" i="612"/>
  <c r="CR25" i="612"/>
  <c r="CR53" i="612"/>
  <c r="CR23" i="610"/>
  <c r="CQ51" i="610"/>
  <c r="CQ53" i="610"/>
  <c r="CR25" i="610"/>
  <c r="CR25" i="608"/>
  <c r="CR23" i="608"/>
  <c r="CQ53" i="608"/>
  <c r="CR53" i="608"/>
  <c r="CR25" i="606"/>
  <c r="CQ51" i="606"/>
  <c r="CR23" i="606"/>
  <c r="CR51" i="606"/>
  <c r="CR24" i="614" l="1"/>
  <c r="CQ26" i="614"/>
  <c r="CP27" i="614"/>
  <c r="CP54" i="614"/>
  <c r="CO55" i="614"/>
  <c r="CT22" i="614"/>
  <c r="AL100" i="613"/>
  <c r="B99" i="613"/>
  <c r="AM100" i="613"/>
  <c r="C99" i="613"/>
  <c r="CP54" i="612"/>
  <c r="CO55" i="612"/>
  <c r="CR24" i="612"/>
  <c r="CQ26" i="612"/>
  <c r="CP27" i="612"/>
  <c r="CT22" i="612"/>
  <c r="CQ52" i="612"/>
  <c r="AN419" i="611"/>
  <c r="D418" i="611"/>
  <c r="AM109" i="611"/>
  <c r="C108" i="611"/>
  <c r="B102" i="611"/>
  <c r="AL103" i="611"/>
  <c r="AN110" i="611"/>
  <c r="D109" i="611"/>
  <c r="CQ52" i="610"/>
  <c r="CQ26" i="610"/>
  <c r="CP27" i="610"/>
  <c r="CT22" i="610"/>
  <c r="CR24" i="610"/>
  <c r="CP54" i="610"/>
  <c r="CO55" i="610"/>
  <c r="AL101" i="609"/>
  <c r="B100" i="609"/>
  <c r="AM101" i="609"/>
  <c r="C100" i="609"/>
  <c r="CR24" i="608"/>
  <c r="CP54" i="608"/>
  <c r="CO55" i="608"/>
  <c r="CT22" i="608"/>
  <c r="CQ26" i="608"/>
  <c r="CP27" i="608"/>
  <c r="AM101" i="607"/>
  <c r="C100" i="607"/>
  <c r="AL101" i="607"/>
  <c r="B100" i="607"/>
  <c r="CQ52" i="606"/>
  <c r="CR52" i="606" s="1"/>
  <c r="CR24" i="606"/>
  <c r="CQ26" i="606"/>
  <c r="CP27" i="606"/>
  <c r="CT22" i="606"/>
  <c r="CP54" i="606"/>
  <c r="CO55" i="606"/>
  <c r="AL100" i="605"/>
  <c r="B99" i="605"/>
  <c r="AM99" i="605"/>
  <c r="C98" i="605"/>
  <c r="CS25" i="614"/>
  <c r="CR51" i="614"/>
  <c r="CS23" i="614"/>
  <c r="CR53" i="614"/>
  <c r="CR51" i="612"/>
  <c r="CS25" i="612"/>
  <c r="CS23" i="612"/>
  <c r="CS51" i="612"/>
  <c r="CR51" i="610"/>
  <c r="CS23" i="610"/>
  <c r="CS25" i="610"/>
  <c r="CR53" i="610"/>
  <c r="CS25" i="608"/>
  <c r="CS23" i="608"/>
  <c r="CR51" i="608"/>
  <c r="CS51" i="608"/>
  <c r="CS25" i="606"/>
  <c r="CR53" i="606"/>
  <c r="CS23" i="606"/>
  <c r="CR52" i="614" l="1"/>
  <c r="CQ54" i="614"/>
  <c r="CP55" i="614"/>
  <c r="CR26" i="614"/>
  <c r="CQ27" i="614"/>
  <c r="CS24" i="614"/>
  <c r="AM101" i="613"/>
  <c r="C100" i="613"/>
  <c r="AL101" i="613"/>
  <c r="B100" i="613"/>
  <c r="CR52" i="612"/>
  <c r="CS52" i="612" s="1"/>
  <c r="CR26" i="612"/>
  <c r="CQ27" i="612"/>
  <c r="CS24" i="612"/>
  <c r="CQ54" i="612"/>
  <c r="CP55" i="612"/>
  <c r="D110" i="611"/>
  <c r="AN111" i="611"/>
  <c r="B103" i="611"/>
  <c r="AL104" i="611"/>
  <c r="AM110" i="611"/>
  <c r="C109" i="611"/>
  <c r="AN420" i="611"/>
  <c r="D419" i="611"/>
  <c r="CQ54" i="610"/>
  <c r="CP55" i="610"/>
  <c r="CS24" i="610"/>
  <c r="CR26" i="610"/>
  <c r="CQ27" i="610"/>
  <c r="CR52" i="610"/>
  <c r="AM102" i="609"/>
  <c r="C101" i="609"/>
  <c r="AL102" i="609"/>
  <c r="B101" i="609"/>
  <c r="CR52" i="608"/>
  <c r="CS52" i="608" s="1"/>
  <c r="CR26" i="608"/>
  <c r="CQ27" i="608"/>
  <c r="CQ54" i="608"/>
  <c r="CP55" i="608"/>
  <c r="CS24" i="608"/>
  <c r="AL102" i="607"/>
  <c r="B101" i="607"/>
  <c r="AM102" i="607"/>
  <c r="C101" i="607"/>
  <c r="CR26" i="606"/>
  <c r="CQ27" i="606"/>
  <c r="CS24" i="606"/>
  <c r="CQ54" i="606"/>
  <c r="CP55" i="606"/>
  <c r="AM100" i="605"/>
  <c r="C99" i="605"/>
  <c r="AL101" i="605"/>
  <c r="B100" i="605"/>
  <c r="CT53" i="614"/>
  <c r="CT51" i="614"/>
  <c r="CT25" i="614"/>
  <c r="CT23" i="614"/>
  <c r="CS51" i="614"/>
  <c r="CS53" i="614"/>
  <c r="CT53" i="612"/>
  <c r="CS53" i="612"/>
  <c r="CT51" i="612"/>
  <c r="CT25" i="612"/>
  <c r="CT23" i="612"/>
  <c r="CS51" i="610"/>
  <c r="CT51" i="610"/>
  <c r="CT25" i="610"/>
  <c r="CT23" i="610"/>
  <c r="CT53" i="610"/>
  <c r="CS53" i="610"/>
  <c r="CT51" i="608"/>
  <c r="CS53" i="608"/>
  <c r="CT53" i="608"/>
  <c r="CT25" i="608"/>
  <c r="CT23" i="608"/>
  <c r="CT53" i="606"/>
  <c r="CT23" i="606"/>
  <c r="CS53" i="606"/>
  <c r="CT51" i="606"/>
  <c r="CS51" i="606"/>
  <c r="CT25" i="606"/>
  <c r="CT24" i="614" l="1"/>
  <c r="CS26" i="614"/>
  <c r="CR27" i="614"/>
  <c r="CR54" i="614"/>
  <c r="CQ55" i="614"/>
  <c r="CS52" i="614"/>
  <c r="CT52" i="614" s="1"/>
  <c r="AL102" i="613"/>
  <c r="B101" i="613"/>
  <c r="AM102" i="613"/>
  <c r="C101" i="613"/>
  <c r="CT24" i="612"/>
  <c r="CR54" i="612"/>
  <c r="CQ55" i="612"/>
  <c r="CS26" i="612"/>
  <c r="CR27" i="612"/>
  <c r="CT52" i="612"/>
  <c r="AN421" i="611"/>
  <c r="D420" i="611"/>
  <c r="AM111" i="611"/>
  <c r="C110" i="611"/>
  <c r="B104" i="611"/>
  <c r="AL105" i="611"/>
  <c r="D111" i="611"/>
  <c r="AN112" i="611"/>
  <c r="CS52" i="610"/>
  <c r="CT52" i="610" s="1"/>
  <c r="CS26" i="610"/>
  <c r="CR27" i="610"/>
  <c r="CT24" i="610"/>
  <c r="CR54" i="610"/>
  <c r="CQ55" i="610"/>
  <c r="AL103" i="609"/>
  <c r="B102" i="609"/>
  <c r="AM103" i="609"/>
  <c r="C102" i="609"/>
  <c r="CT24" i="608"/>
  <c r="CS26" i="608"/>
  <c r="CR27" i="608"/>
  <c r="CR54" i="608"/>
  <c r="CQ55" i="608"/>
  <c r="CT52" i="608"/>
  <c r="AM103" i="607"/>
  <c r="C102" i="607"/>
  <c r="AL103" i="607"/>
  <c r="B102" i="607"/>
  <c r="CS52" i="606"/>
  <c r="CT52" i="606" s="1"/>
  <c r="CR54" i="606"/>
  <c r="CQ55" i="606"/>
  <c r="CT24" i="606"/>
  <c r="CS26" i="606"/>
  <c r="CR27" i="606"/>
  <c r="AL102" i="605"/>
  <c r="B101" i="605"/>
  <c r="C100" i="605"/>
  <c r="AM101" i="605"/>
  <c r="CS54" i="614" l="1"/>
  <c r="CR55" i="614"/>
  <c r="CT26" i="614"/>
  <c r="CT27" i="614" s="1"/>
  <c r="CS27" i="614"/>
  <c r="C102" i="613"/>
  <c r="AM103" i="613"/>
  <c r="B102" i="613"/>
  <c r="AL103" i="613"/>
  <c r="CT26" i="612"/>
  <c r="CT27" i="612" s="1"/>
  <c r="CS27" i="612"/>
  <c r="CS54" i="612"/>
  <c r="CR55" i="612"/>
  <c r="D112" i="611"/>
  <c r="AN113" i="611"/>
  <c r="B105" i="611"/>
  <c r="AL106" i="611"/>
  <c r="AM112" i="611"/>
  <c r="C111" i="611"/>
  <c r="AN422" i="611"/>
  <c r="D421" i="611"/>
  <c r="CS54" i="610"/>
  <c r="CR55" i="610"/>
  <c r="CT26" i="610"/>
  <c r="CT27" i="610" s="1"/>
  <c r="CS27" i="610"/>
  <c r="AM104" i="609"/>
  <c r="C103" i="609"/>
  <c r="AL104" i="609"/>
  <c r="B103" i="609"/>
  <c r="CS54" i="608"/>
  <c r="CR55" i="608"/>
  <c r="CT26" i="608"/>
  <c r="CT27" i="608" s="1"/>
  <c r="CS27" i="608"/>
  <c r="AL104" i="607"/>
  <c r="B103" i="607"/>
  <c r="AM104" i="607"/>
  <c r="C103" i="607"/>
  <c r="CT26" i="606"/>
  <c r="CT27" i="606" s="1"/>
  <c r="CS27" i="606"/>
  <c r="CS54" i="606"/>
  <c r="CR55" i="606"/>
  <c r="C101" i="605"/>
  <c r="AM102" i="605"/>
  <c r="B102" i="605"/>
  <c r="AL103" i="605"/>
  <c r="CT54" i="614" l="1"/>
  <c r="CT55" i="614" s="1"/>
  <c r="CS55" i="614"/>
  <c r="AL104" i="613"/>
  <c r="B103" i="613"/>
  <c r="C103" i="613"/>
  <c r="AM104" i="613"/>
  <c r="CT54" i="612"/>
  <c r="CT55" i="612" s="1"/>
  <c r="CS55" i="612"/>
  <c r="AN423" i="611"/>
  <c r="D422" i="611"/>
  <c r="C112" i="611"/>
  <c r="AM113" i="611"/>
  <c r="B106" i="611"/>
  <c r="AL107" i="611"/>
  <c r="AN114" i="611"/>
  <c r="D113" i="611"/>
  <c r="CT54" i="610"/>
  <c r="CT55" i="610" s="1"/>
  <c r="CS55" i="610"/>
  <c r="AL105" i="609"/>
  <c r="B104" i="609"/>
  <c r="AM105" i="609"/>
  <c r="C104" i="609"/>
  <c r="CT54" i="608"/>
  <c r="CT55" i="608" s="1"/>
  <c r="CS55" i="608"/>
  <c r="AM105" i="607"/>
  <c r="C104" i="607"/>
  <c r="AL105" i="607"/>
  <c r="B104" i="607"/>
  <c r="CT54" i="606"/>
  <c r="CT55" i="606" s="1"/>
  <c r="CS55" i="606"/>
  <c r="C102" i="605"/>
  <c r="AM103" i="605"/>
  <c r="AL104" i="605"/>
  <c r="B103" i="605"/>
  <c r="C104" i="613" l="1"/>
  <c r="AM105" i="613"/>
  <c r="B104" i="613"/>
  <c r="AL105" i="613"/>
  <c r="D114" i="611"/>
  <c r="AN115" i="611"/>
  <c r="B107" i="611"/>
  <c r="AL108" i="611"/>
  <c r="C113" i="611"/>
  <c r="AM114" i="611"/>
  <c r="AN424" i="611"/>
  <c r="D423" i="611"/>
  <c r="AM106" i="609"/>
  <c r="C105" i="609"/>
  <c r="AL106" i="609"/>
  <c r="B105" i="609"/>
  <c r="AL106" i="607"/>
  <c r="B105" i="607"/>
  <c r="AM106" i="607"/>
  <c r="C105" i="607"/>
  <c r="C103" i="605"/>
  <c r="AM104" i="605"/>
  <c r="B104" i="605"/>
  <c r="AL105" i="605"/>
  <c r="B105" i="613" l="1"/>
  <c r="AL106" i="613"/>
  <c r="C105" i="613"/>
  <c r="AM106" i="613"/>
  <c r="C114" i="611"/>
  <c r="AM115" i="611"/>
  <c r="B108" i="611"/>
  <c r="AL109" i="611"/>
  <c r="AN425" i="611"/>
  <c r="D424" i="611"/>
  <c r="D115" i="611"/>
  <c r="AN116" i="611"/>
  <c r="AL107" i="609"/>
  <c r="B106" i="609"/>
  <c r="AM107" i="609"/>
  <c r="C106" i="609"/>
  <c r="AM107" i="607"/>
  <c r="C106" i="607"/>
  <c r="AL107" i="607"/>
  <c r="B106" i="607"/>
  <c r="C104" i="605"/>
  <c r="AM105" i="605"/>
  <c r="AL106" i="605"/>
  <c r="B105" i="605"/>
  <c r="C106" i="613" l="1"/>
  <c r="AM107" i="613"/>
  <c r="B106" i="613"/>
  <c r="AL107" i="613"/>
  <c r="AL110" i="611"/>
  <c r="B109" i="611"/>
  <c r="AN426" i="611"/>
  <c r="D425" i="611"/>
  <c r="D116" i="611"/>
  <c r="AN117" i="611"/>
  <c r="AM116" i="611"/>
  <c r="C115" i="611"/>
  <c r="AM108" i="609"/>
  <c r="C107" i="609"/>
  <c r="AL108" i="609"/>
  <c r="B107" i="609"/>
  <c r="AL108" i="607"/>
  <c r="B107" i="607"/>
  <c r="AM108" i="607"/>
  <c r="C107" i="607"/>
  <c r="B106" i="605"/>
  <c r="AL107" i="605"/>
  <c r="C105" i="605"/>
  <c r="AM106" i="605"/>
  <c r="B107" i="613" l="1"/>
  <c r="AL108" i="613"/>
  <c r="C107" i="613"/>
  <c r="AM108" i="613"/>
  <c r="C116" i="611"/>
  <c r="AM117" i="611"/>
  <c r="AN118" i="611"/>
  <c r="D117" i="611"/>
  <c r="AN427" i="611"/>
  <c r="D426" i="611"/>
  <c r="AL111" i="611"/>
  <c r="B110" i="611"/>
  <c r="AL109" i="609"/>
  <c r="B108" i="609"/>
  <c r="AM109" i="609"/>
  <c r="C108" i="609"/>
  <c r="AM109" i="607"/>
  <c r="C108" i="607"/>
  <c r="AL109" i="607"/>
  <c r="B108" i="607"/>
  <c r="C106" i="605"/>
  <c r="AM107" i="605"/>
  <c r="AL108" i="605"/>
  <c r="B107" i="605"/>
  <c r="AM109" i="613" l="1"/>
  <c r="C108" i="613"/>
  <c r="B108" i="613"/>
  <c r="AL109" i="613"/>
  <c r="AN428" i="611"/>
  <c r="D427" i="611"/>
  <c r="AN119" i="611"/>
  <c r="D118" i="611"/>
  <c r="AL112" i="611"/>
  <c r="B111" i="611"/>
  <c r="C117" i="611"/>
  <c r="AM118" i="611"/>
  <c r="AM110" i="609"/>
  <c r="C109" i="609"/>
  <c r="AL110" i="609"/>
  <c r="B109" i="609"/>
  <c r="AL110" i="607"/>
  <c r="B109" i="607"/>
  <c r="AM110" i="607"/>
  <c r="C109" i="607"/>
  <c r="C107" i="605"/>
  <c r="AM108" i="605"/>
  <c r="AL109" i="605"/>
  <c r="B108" i="605"/>
  <c r="AL110" i="613" l="1"/>
  <c r="B109" i="613"/>
  <c r="AM110" i="613"/>
  <c r="C109" i="613"/>
  <c r="AM119" i="611"/>
  <c r="C118" i="611"/>
  <c r="B112" i="611"/>
  <c r="AL113" i="611"/>
  <c r="AN120" i="611"/>
  <c r="D119" i="611"/>
  <c r="AN429" i="611"/>
  <c r="D428" i="611"/>
  <c r="AL111" i="609"/>
  <c r="B110" i="609"/>
  <c r="AM111" i="609"/>
  <c r="C110" i="609"/>
  <c r="AM111" i="607"/>
  <c r="C110" i="607"/>
  <c r="AL111" i="607"/>
  <c r="B110" i="607"/>
  <c r="AL110" i="605"/>
  <c r="B109" i="605"/>
  <c r="AM109" i="605"/>
  <c r="C108" i="605"/>
  <c r="AM111" i="613" l="1"/>
  <c r="C110" i="613"/>
  <c r="AL111" i="613"/>
  <c r="B110" i="613"/>
  <c r="B113" i="611"/>
  <c r="AL114" i="611"/>
  <c r="AN121" i="611"/>
  <c r="D120" i="611"/>
  <c r="AN430" i="611"/>
  <c r="D429" i="611"/>
  <c r="AM120" i="611"/>
  <c r="C119" i="611"/>
  <c r="AM112" i="609"/>
  <c r="C111" i="609"/>
  <c r="AL112" i="609"/>
  <c r="B111" i="609"/>
  <c r="AL112" i="607"/>
  <c r="B111" i="607"/>
  <c r="AM112" i="607"/>
  <c r="C111" i="607"/>
  <c r="AM110" i="605"/>
  <c r="C109" i="605"/>
  <c r="AL111" i="605"/>
  <c r="B110" i="605"/>
  <c r="AL112" i="613" l="1"/>
  <c r="B111" i="613"/>
  <c r="AM112" i="613"/>
  <c r="C111" i="613"/>
  <c r="AN122" i="611"/>
  <c r="D121" i="611"/>
  <c r="AM121" i="611"/>
  <c r="C120" i="611"/>
  <c r="B114" i="611"/>
  <c r="AL115" i="611"/>
  <c r="AN431" i="611"/>
  <c r="D430" i="611"/>
  <c r="AL113" i="609"/>
  <c r="B112" i="609"/>
  <c r="AM113" i="609"/>
  <c r="C112" i="609"/>
  <c r="AM113" i="607"/>
  <c r="C112" i="607"/>
  <c r="AL113" i="607"/>
  <c r="B112" i="607"/>
  <c r="AL112" i="605"/>
  <c r="B111" i="605"/>
  <c r="C110" i="605"/>
  <c r="AM111" i="605"/>
  <c r="AM113" i="613" l="1"/>
  <c r="C112" i="613"/>
  <c r="AL113" i="613"/>
  <c r="B112" i="613"/>
  <c r="AN432" i="611"/>
  <c r="D431" i="611"/>
  <c r="B115" i="611"/>
  <c r="AL116" i="611"/>
  <c r="C121" i="611"/>
  <c r="AM122" i="611"/>
  <c r="D122" i="611"/>
  <c r="AN123" i="611"/>
  <c r="AM114" i="609"/>
  <c r="C113" i="609"/>
  <c r="AL114" i="609"/>
  <c r="B113" i="609"/>
  <c r="AL114" i="607"/>
  <c r="B113" i="607"/>
  <c r="AM114" i="607"/>
  <c r="C113" i="607"/>
  <c r="C111" i="605"/>
  <c r="AM112" i="605"/>
  <c r="B112" i="605"/>
  <c r="AL113" i="605"/>
  <c r="AL114" i="613" l="1"/>
  <c r="B113" i="613"/>
  <c r="AM114" i="613"/>
  <c r="C113" i="613"/>
  <c r="D123" i="611"/>
  <c r="AN124" i="611"/>
  <c r="C122" i="611"/>
  <c r="AM123" i="611"/>
  <c r="B116" i="611"/>
  <c r="AL117" i="611"/>
  <c r="AN433" i="611"/>
  <c r="D432" i="611"/>
  <c r="AL115" i="609"/>
  <c r="B114" i="609"/>
  <c r="AM115" i="609"/>
  <c r="C114" i="609"/>
  <c r="AM115" i="607"/>
  <c r="C114" i="607"/>
  <c r="AL115" i="607"/>
  <c r="B114" i="607"/>
  <c r="C112" i="605"/>
  <c r="AM113" i="605"/>
  <c r="AL114" i="605"/>
  <c r="B113" i="605"/>
  <c r="AM115" i="613" l="1"/>
  <c r="C114" i="613"/>
  <c r="AL115" i="613"/>
  <c r="B114" i="613"/>
  <c r="AN434" i="611"/>
  <c r="D433" i="611"/>
  <c r="B117" i="611"/>
  <c r="AL118" i="611"/>
  <c r="AM124" i="611"/>
  <c r="C123" i="611"/>
  <c r="D124" i="611"/>
  <c r="AN125" i="611"/>
  <c r="AM116" i="609"/>
  <c r="C115" i="609"/>
  <c r="AL116" i="609"/>
  <c r="B115" i="609"/>
  <c r="AL116" i="607"/>
  <c r="B115" i="607"/>
  <c r="AM116" i="607"/>
  <c r="C115" i="607"/>
  <c r="C113" i="605"/>
  <c r="AM114" i="605"/>
  <c r="B114" i="605"/>
  <c r="AL115" i="605"/>
  <c r="AL116" i="613" l="1"/>
  <c r="B115" i="613"/>
  <c r="AM116" i="613"/>
  <c r="C115" i="613"/>
  <c r="AN126" i="611"/>
  <c r="D125" i="611"/>
  <c r="C124" i="611"/>
  <c r="AM125" i="611"/>
  <c r="B118" i="611"/>
  <c r="AL119" i="611"/>
  <c r="AN435" i="611"/>
  <c r="D434" i="611"/>
  <c r="AL117" i="609"/>
  <c r="B116" i="609"/>
  <c r="AM117" i="609"/>
  <c r="C116" i="609"/>
  <c r="AM117" i="607"/>
  <c r="C116" i="607"/>
  <c r="AL117" i="607"/>
  <c r="B116" i="607"/>
  <c r="AL116" i="605"/>
  <c r="B115" i="605"/>
  <c r="C114" i="605"/>
  <c r="AM115" i="605"/>
  <c r="AM117" i="613" l="1"/>
  <c r="C116" i="613"/>
  <c r="AL117" i="613"/>
  <c r="B116" i="613"/>
  <c r="AL120" i="611"/>
  <c r="B119" i="611"/>
  <c r="C125" i="611"/>
  <c r="AM126" i="611"/>
  <c r="AN436" i="611"/>
  <c r="D436" i="611" s="1"/>
  <c r="D435" i="611"/>
  <c r="D126" i="611"/>
  <c r="AN127" i="611"/>
  <c r="AM118" i="609"/>
  <c r="C117" i="609"/>
  <c r="AL118" i="609"/>
  <c r="B117" i="609"/>
  <c r="AL118" i="607"/>
  <c r="B117" i="607"/>
  <c r="AM118" i="607"/>
  <c r="C117" i="607"/>
  <c r="C115" i="605"/>
  <c r="AM116" i="605"/>
  <c r="B116" i="605"/>
  <c r="AL117" i="605"/>
  <c r="AL118" i="613" l="1"/>
  <c r="B117" i="613"/>
  <c r="AM118" i="613"/>
  <c r="C117" i="613"/>
  <c r="C126" i="611"/>
  <c r="AM127" i="611"/>
  <c r="D127" i="611"/>
  <c r="AN128" i="611"/>
  <c r="AL121" i="611"/>
  <c r="B120" i="611"/>
  <c r="AL119" i="609"/>
  <c r="B118" i="609"/>
  <c r="AM119" i="609"/>
  <c r="C118" i="609"/>
  <c r="AM119" i="607"/>
  <c r="C118" i="607"/>
  <c r="AL119" i="607"/>
  <c r="B118" i="607"/>
  <c r="C116" i="605"/>
  <c r="AM117" i="605"/>
  <c r="AL118" i="605"/>
  <c r="B117" i="605"/>
  <c r="AM119" i="613" l="1"/>
  <c r="C118" i="613"/>
  <c r="AL119" i="613"/>
  <c r="B118" i="613"/>
  <c r="D128" i="611"/>
  <c r="AN129" i="611"/>
  <c r="AM128" i="611"/>
  <c r="C127" i="611"/>
  <c r="AL122" i="611"/>
  <c r="B121" i="611"/>
  <c r="AM120" i="609"/>
  <c r="C119" i="609"/>
  <c r="AL120" i="609"/>
  <c r="B119" i="609"/>
  <c r="AL120" i="607"/>
  <c r="B119" i="607"/>
  <c r="AM120" i="607"/>
  <c r="C119" i="607"/>
  <c r="AL119" i="605"/>
  <c r="B118" i="605"/>
  <c r="C117" i="605"/>
  <c r="AM118" i="605"/>
  <c r="B119" i="613" l="1"/>
  <c r="AL120" i="613"/>
  <c r="AM120" i="613"/>
  <c r="C119" i="613"/>
  <c r="C128" i="611"/>
  <c r="AM129" i="611"/>
  <c r="AN130" i="611"/>
  <c r="D129" i="611"/>
  <c r="AL123" i="611"/>
  <c r="B122" i="611"/>
  <c r="AL121" i="609"/>
  <c r="B120" i="609"/>
  <c r="AM121" i="609"/>
  <c r="C120" i="609"/>
  <c r="AM121" i="607"/>
  <c r="C120" i="607"/>
  <c r="AL121" i="607"/>
  <c r="B120" i="607"/>
  <c r="AM119" i="605"/>
  <c r="C118" i="605"/>
  <c r="AL120" i="605"/>
  <c r="B119" i="605"/>
  <c r="C120" i="613" l="1"/>
  <c r="AM121" i="613"/>
  <c r="B120" i="613"/>
  <c r="AL121" i="613"/>
  <c r="D130" i="611"/>
  <c r="AN131" i="611"/>
  <c r="B123" i="611"/>
  <c r="AL124" i="611"/>
  <c r="C129" i="611"/>
  <c r="AM130" i="611"/>
  <c r="AM122" i="609"/>
  <c r="C121" i="609"/>
  <c r="AL122" i="609"/>
  <c r="B121" i="609"/>
  <c r="AL122" i="607"/>
  <c r="B121" i="607"/>
  <c r="AM122" i="607"/>
  <c r="C121" i="607"/>
  <c r="AL121" i="605"/>
  <c r="B120" i="605"/>
  <c r="AM120" i="605"/>
  <c r="C119" i="605"/>
  <c r="B121" i="613" l="1"/>
  <c r="AL122" i="613"/>
  <c r="C121" i="613"/>
  <c r="AM122" i="613"/>
  <c r="B124" i="611"/>
  <c r="AL125" i="611"/>
  <c r="C130" i="611"/>
  <c r="AM131" i="611"/>
  <c r="D131" i="611"/>
  <c r="AN132" i="611"/>
  <c r="AL123" i="609"/>
  <c r="B122" i="609"/>
  <c r="AM123" i="609"/>
  <c r="C122" i="609"/>
  <c r="AM123" i="607"/>
  <c r="C122" i="607"/>
  <c r="AL123" i="607"/>
  <c r="B122" i="607"/>
  <c r="AM121" i="605"/>
  <c r="C120" i="605"/>
  <c r="AL122" i="605"/>
  <c r="B121" i="605"/>
  <c r="AM123" i="613" l="1"/>
  <c r="C122" i="613"/>
  <c r="AL123" i="613"/>
  <c r="B122" i="613"/>
  <c r="AM132" i="611"/>
  <c r="C131" i="611"/>
  <c r="D132" i="611"/>
  <c r="AN133" i="611"/>
  <c r="B125" i="611"/>
  <c r="AL126" i="611"/>
  <c r="AM124" i="609"/>
  <c r="C123" i="609"/>
  <c r="AL124" i="609"/>
  <c r="B123" i="609"/>
  <c r="AL124" i="607"/>
  <c r="B123" i="607"/>
  <c r="AM124" i="607"/>
  <c r="C123" i="607"/>
  <c r="AL123" i="605"/>
  <c r="B122" i="605"/>
  <c r="AM122" i="605"/>
  <c r="C121" i="605"/>
  <c r="B123" i="613" l="1"/>
  <c r="AL124" i="613"/>
  <c r="C123" i="613"/>
  <c r="AM124" i="613"/>
  <c r="AN134" i="611"/>
  <c r="D133" i="611"/>
  <c r="B126" i="611"/>
  <c r="AL127" i="611"/>
  <c r="C132" i="611"/>
  <c r="AM133" i="611"/>
  <c r="AL125" i="609"/>
  <c r="B124" i="609"/>
  <c r="AM125" i="609"/>
  <c r="C124" i="609"/>
  <c r="AM125" i="607"/>
  <c r="C124" i="607"/>
  <c r="AL125" i="607"/>
  <c r="B124" i="607"/>
  <c r="AM123" i="605"/>
  <c r="C122" i="605"/>
  <c r="AL124" i="605"/>
  <c r="B123" i="605"/>
  <c r="C124" i="613" l="1"/>
  <c r="AM125" i="613"/>
  <c r="AL125" i="613"/>
  <c r="B124" i="613"/>
  <c r="B127" i="611"/>
  <c r="AL128" i="611"/>
  <c r="C133" i="611"/>
  <c r="AM134" i="611"/>
  <c r="AN135" i="611"/>
  <c r="D134" i="611"/>
  <c r="AM126" i="609"/>
  <c r="C125" i="609"/>
  <c r="AL126" i="609"/>
  <c r="B125" i="609"/>
  <c r="AL126" i="607"/>
  <c r="B125" i="607"/>
  <c r="AM126" i="607"/>
  <c r="C125" i="607"/>
  <c r="B124" i="605"/>
  <c r="AL125" i="605"/>
  <c r="AM124" i="605"/>
  <c r="C123" i="605"/>
  <c r="AL126" i="613" l="1"/>
  <c r="B125" i="613"/>
  <c r="C125" i="613"/>
  <c r="AM126" i="613"/>
  <c r="C134" i="611"/>
  <c r="AM135" i="611"/>
  <c r="D135" i="611"/>
  <c r="AN136" i="611"/>
  <c r="B128" i="611"/>
  <c r="AL129" i="611"/>
  <c r="AL127" i="609"/>
  <c r="B126" i="609"/>
  <c r="AM127" i="609"/>
  <c r="C126" i="609"/>
  <c r="AM127" i="607"/>
  <c r="C126" i="607"/>
  <c r="AL127" i="607"/>
  <c r="B126" i="607"/>
  <c r="AL126" i="605"/>
  <c r="B125" i="605"/>
  <c r="C124" i="605"/>
  <c r="AM125" i="605"/>
  <c r="AM127" i="613" l="1"/>
  <c r="C126" i="613"/>
  <c r="AL127" i="613"/>
  <c r="B126" i="613"/>
  <c r="AN137" i="611"/>
  <c r="D136" i="611"/>
  <c r="B129" i="611"/>
  <c r="AL130" i="611"/>
  <c r="AM136" i="611"/>
  <c r="C135" i="611"/>
  <c r="AM128" i="609"/>
  <c r="C127" i="609"/>
  <c r="AL128" i="609"/>
  <c r="B127" i="609"/>
  <c r="AL128" i="607"/>
  <c r="B127" i="607"/>
  <c r="AM128" i="607"/>
  <c r="C127" i="607"/>
  <c r="C125" i="605"/>
  <c r="AM126" i="605"/>
  <c r="AL127" i="605"/>
  <c r="B126" i="605"/>
  <c r="AL128" i="613" l="1"/>
  <c r="B127" i="613"/>
  <c r="AM128" i="613"/>
  <c r="C127" i="613"/>
  <c r="C136" i="611"/>
  <c r="AM137" i="611"/>
  <c r="B130" i="611"/>
  <c r="AL131" i="611"/>
  <c r="AN138" i="611"/>
  <c r="D137" i="611"/>
  <c r="AL129" i="609"/>
  <c r="B128" i="609"/>
  <c r="AM129" i="609"/>
  <c r="C128" i="609"/>
  <c r="AM129" i="607"/>
  <c r="C128" i="607"/>
  <c r="AL129" i="607"/>
  <c r="B128" i="607"/>
  <c r="C126" i="605"/>
  <c r="AM127" i="605"/>
  <c r="AL128" i="605"/>
  <c r="B127" i="605"/>
  <c r="AM129" i="613" l="1"/>
  <c r="C128" i="613"/>
  <c r="AL129" i="613"/>
  <c r="B128" i="613"/>
  <c r="B131" i="611"/>
  <c r="AL132" i="611"/>
  <c r="AN139" i="611"/>
  <c r="D138" i="611"/>
  <c r="C137" i="611"/>
  <c r="AM138" i="611"/>
  <c r="AM130" i="609"/>
  <c r="C129" i="609"/>
  <c r="AL130" i="609"/>
  <c r="B129" i="609"/>
  <c r="AL130" i="607"/>
  <c r="B129" i="607"/>
  <c r="AM130" i="607"/>
  <c r="C129" i="607"/>
  <c r="AM128" i="605"/>
  <c r="C127" i="605"/>
  <c r="B128" i="605"/>
  <c r="AL129" i="605"/>
  <c r="AL130" i="613" l="1"/>
  <c r="B129" i="613"/>
  <c r="AM130" i="613"/>
  <c r="C129" i="613"/>
  <c r="AN140" i="611"/>
  <c r="D139" i="611"/>
  <c r="AM139" i="611"/>
  <c r="C138" i="611"/>
  <c r="B132" i="611"/>
  <c r="AL133" i="611"/>
  <c r="AL131" i="609"/>
  <c r="B130" i="609"/>
  <c r="AM131" i="609"/>
  <c r="C130" i="609"/>
  <c r="AM131" i="607"/>
  <c r="C130" i="607"/>
  <c r="AL131" i="607"/>
  <c r="B130" i="607"/>
  <c r="AL130" i="605"/>
  <c r="B129" i="605"/>
  <c r="AM129" i="605"/>
  <c r="C128" i="605"/>
  <c r="AM131" i="613" l="1"/>
  <c r="C130" i="613"/>
  <c r="AL131" i="613"/>
  <c r="B130" i="613"/>
  <c r="B133" i="611"/>
  <c r="AL134" i="611"/>
  <c r="AM140" i="611"/>
  <c r="C139" i="611"/>
  <c r="AN141" i="611"/>
  <c r="D140" i="611"/>
  <c r="AM132" i="609"/>
  <c r="C131" i="609"/>
  <c r="AL132" i="609"/>
  <c r="B131" i="609"/>
  <c r="AL132" i="607"/>
  <c r="B131" i="607"/>
  <c r="AM132" i="607"/>
  <c r="C131" i="607"/>
  <c r="AM130" i="605"/>
  <c r="C129" i="605"/>
  <c r="AL131" i="605"/>
  <c r="B130" i="605"/>
  <c r="AL132" i="613" l="1"/>
  <c r="B131" i="613"/>
  <c r="AM132" i="613"/>
  <c r="C131" i="613"/>
  <c r="AM141" i="611"/>
  <c r="C140" i="611"/>
  <c r="B134" i="611"/>
  <c r="AL135" i="611"/>
  <c r="AN142" i="611"/>
  <c r="D141" i="611"/>
  <c r="B132" i="609"/>
  <c r="AL133" i="609"/>
  <c r="C132" i="609"/>
  <c r="AM133" i="609"/>
  <c r="AM133" i="607"/>
  <c r="C132" i="607"/>
  <c r="AL133" i="607"/>
  <c r="B132" i="607"/>
  <c r="AL132" i="605"/>
  <c r="B131" i="605"/>
  <c r="AM131" i="605"/>
  <c r="C130" i="605"/>
  <c r="AM133" i="613" l="1"/>
  <c r="C132" i="613"/>
  <c r="AL133" i="613"/>
  <c r="B132" i="613"/>
  <c r="B135" i="611"/>
  <c r="AL136" i="611"/>
  <c r="AN143" i="611"/>
  <c r="D142" i="611"/>
  <c r="AM142" i="611"/>
  <c r="C141" i="611"/>
  <c r="C133" i="609"/>
  <c r="AM134" i="609"/>
  <c r="B133" i="609"/>
  <c r="AL134" i="609"/>
  <c r="AL134" i="607"/>
  <c r="B133" i="607"/>
  <c r="AM134" i="607"/>
  <c r="C133" i="607"/>
  <c r="AM132" i="605"/>
  <c r="C131" i="605"/>
  <c r="AL133" i="605"/>
  <c r="B132" i="605"/>
  <c r="AL134" i="613" l="1"/>
  <c r="B133" i="613"/>
  <c r="AM134" i="613"/>
  <c r="C133" i="613"/>
  <c r="AM143" i="611"/>
  <c r="C142" i="611"/>
  <c r="AN144" i="611"/>
  <c r="D143" i="611"/>
  <c r="B136" i="611"/>
  <c r="AL137" i="611"/>
  <c r="B134" i="609"/>
  <c r="AL135" i="609"/>
  <c r="C134" i="609"/>
  <c r="AM135" i="609"/>
  <c r="AM135" i="607"/>
  <c r="C134" i="607"/>
  <c r="AL135" i="607"/>
  <c r="B134" i="607"/>
  <c r="AL134" i="605"/>
  <c r="B133" i="605"/>
  <c r="AM133" i="605"/>
  <c r="C132" i="605"/>
  <c r="AM135" i="613" l="1"/>
  <c r="C134" i="613"/>
  <c r="AL135" i="613"/>
  <c r="B134" i="613"/>
  <c r="D144" i="611"/>
  <c r="AN145" i="611"/>
  <c r="B137" i="611"/>
  <c r="AL138" i="611"/>
  <c r="AM144" i="611"/>
  <c r="C143" i="611"/>
  <c r="C135" i="609"/>
  <c r="AM136" i="609"/>
  <c r="B135" i="609"/>
  <c r="AL136" i="609"/>
  <c r="AL136" i="607"/>
  <c r="B135" i="607"/>
  <c r="AM136" i="607"/>
  <c r="C135" i="607"/>
  <c r="AM134" i="605"/>
  <c r="C133" i="605"/>
  <c r="AL135" i="605"/>
  <c r="B134" i="605"/>
  <c r="AL136" i="613" l="1"/>
  <c r="B135" i="613"/>
  <c r="AM136" i="613"/>
  <c r="C135" i="613"/>
  <c r="C144" i="611"/>
  <c r="AM145" i="611"/>
  <c r="AN146" i="611"/>
  <c r="D145" i="611"/>
  <c r="AL139" i="611"/>
  <c r="B138" i="611"/>
  <c r="AL137" i="609"/>
  <c r="B136" i="609"/>
  <c r="C136" i="609"/>
  <c r="AM137" i="609"/>
  <c r="AM137" i="607"/>
  <c r="C136" i="607"/>
  <c r="AL137" i="607"/>
  <c r="B136" i="607"/>
  <c r="AL136" i="605"/>
  <c r="B135" i="605"/>
  <c r="AM135" i="605"/>
  <c r="C134" i="605"/>
  <c r="C136" i="613" l="1"/>
  <c r="AM137" i="613"/>
  <c r="AL137" i="613"/>
  <c r="B136" i="613"/>
  <c r="D146" i="611"/>
  <c r="AN147" i="611"/>
  <c r="AM146" i="611"/>
  <c r="C145" i="611"/>
  <c r="B139" i="611"/>
  <c r="AL140" i="611"/>
  <c r="C137" i="609"/>
  <c r="AM138" i="609"/>
  <c r="AL138" i="609"/>
  <c r="B137" i="609"/>
  <c r="AL138" i="607"/>
  <c r="B137" i="607"/>
  <c r="AM138" i="607"/>
  <c r="C137" i="607"/>
  <c r="AM136" i="605"/>
  <c r="C135" i="605"/>
  <c r="AL137" i="605"/>
  <c r="B136" i="605"/>
  <c r="AL138" i="613" l="1"/>
  <c r="B137" i="613"/>
  <c r="AM138" i="613"/>
  <c r="C137" i="613"/>
  <c r="B140" i="611"/>
  <c r="AL141" i="611"/>
  <c r="C146" i="611"/>
  <c r="AM147" i="611"/>
  <c r="AN148" i="611"/>
  <c r="D147" i="611"/>
  <c r="B138" i="609"/>
  <c r="AL139" i="609"/>
  <c r="C138" i="609"/>
  <c r="AM139" i="609"/>
  <c r="AM139" i="607"/>
  <c r="C138" i="607"/>
  <c r="AL139" i="607"/>
  <c r="B138" i="607"/>
  <c r="AL138" i="605"/>
  <c r="B137" i="605"/>
  <c r="AM137" i="605"/>
  <c r="C136" i="605"/>
  <c r="AM139" i="613" l="1"/>
  <c r="C138" i="613"/>
  <c r="AL139" i="613"/>
  <c r="B138" i="613"/>
  <c r="AM148" i="611"/>
  <c r="C147" i="611"/>
  <c r="AN149" i="611"/>
  <c r="D148" i="611"/>
  <c r="B141" i="611"/>
  <c r="AL142" i="611"/>
  <c r="C139" i="609"/>
  <c r="AM140" i="609"/>
  <c r="B139" i="609"/>
  <c r="AL140" i="609"/>
  <c r="AL140" i="607"/>
  <c r="B139" i="607"/>
  <c r="AM140" i="607"/>
  <c r="C139" i="607"/>
  <c r="AM138" i="605"/>
  <c r="C137" i="605"/>
  <c r="AL139" i="605"/>
  <c r="B138" i="605"/>
  <c r="AL140" i="613" l="1"/>
  <c r="B139" i="613"/>
  <c r="AM140" i="613"/>
  <c r="C139" i="613"/>
  <c r="B142" i="611"/>
  <c r="AL143" i="611"/>
  <c r="AN150" i="611"/>
  <c r="D149" i="611"/>
  <c r="AM149" i="611"/>
  <c r="C148" i="611"/>
  <c r="C140" i="609"/>
  <c r="AM141" i="609"/>
  <c r="AL141" i="609"/>
  <c r="B140" i="609"/>
  <c r="AM141" i="607"/>
  <c r="C140" i="607"/>
  <c r="AL141" i="607"/>
  <c r="B140" i="607"/>
  <c r="AL140" i="605"/>
  <c r="B139" i="605"/>
  <c r="AM139" i="605"/>
  <c r="C138" i="605"/>
  <c r="AM141" i="613" l="1"/>
  <c r="C140" i="613"/>
  <c r="AL141" i="613"/>
  <c r="B140" i="613"/>
  <c r="AN151" i="611"/>
  <c r="D150" i="611"/>
  <c r="AM150" i="611"/>
  <c r="C149" i="611"/>
  <c r="B143" i="611"/>
  <c r="AL144" i="611"/>
  <c r="B141" i="609"/>
  <c r="AL142" i="609"/>
  <c r="C141" i="609"/>
  <c r="AM142" i="609"/>
  <c r="AL142" i="607"/>
  <c r="B141" i="607"/>
  <c r="AM142" i="607"/>
  <c r="C141" i="607"/>
  <c r="AM140" i="605"/>
  <c r="C139" i="605"/>
  <c r="B140" i="605"/>
  <c r="AL141" i="605"/>
  <c r="AL142" i="613" l="1"/>
  <c r="B141" i="613"/>
  <c r="AM142" i="613"/>
  <c r="C141" i="613"/>
  <c r="AM151" i="611"/>
  <c r="C150" i="611"/>
  <c r="B144" i="611"/>
  <c r="AL145" i="611"/>
  <c r="AN152" i="611"/>
  <c r="D151" i="611"/>
  <c r="C142" i="609"/>
  <c r="AM143" i="609"/>
  <c r="AL143" i="609"/>
  <c r="B142" i="609"/>
  <c r="AM143" i="607"/>
  <c r="C142" i="607"/>
  <c r="AL143" i="607"/>
  <c r="B142" i="607"/>
  <c r="AL142" i="605"/>
  <c r="B141" i="605"/>
  <c r="AM141" i="605"/>
  <c r="C140" i="605"/>
  <c r="AM143" i="613" l="1"/>
  <c r="C142" i="613"/>
  <c r="AL143" i="613"/>
  <c r="B142" i="613"/>
  <c r="AN153" i="611"/>
  <c r="D152" i="611"/>
  <c r="B145" i="611"/>
  <c r="AL146" i="611"/>
  <c r="AM152" i="611"/>
  <c r="C151" i="611"/>
  <c r="B143" i="609"/>
  <c r="AL144" i="609"/>
  <c r="C143" i="609"/>
  <c r="AM144" i="609"/>
  <c r="AL144" i="607"/>
  <c r="B143" i="607"/>
  <c r="AM144" i="607"/>
  <c r="C143" i="607"/>
  <c r="C141" i="605"/>
  <c r="AM142" i="605"/>
  <c r="B142" i="605"/>
  <c r="AL143" i="605"/>
  <c r="AL144" i="613" l="1"/>
  <c r="B143" i="613"/>
  <c r="AM144" i="613"/>
  <c r="C143" i="613"/>
  <c r="B146" i="611"/>
  <c r="AL147" i="611"/>
  <c r="AM153" i="611"/>
  <c r="C152" i="611"/>
  <c r="AN154" i="611"/>
  <c r="D153" i="611"/>
  <c r="C144" i="609"/>
  <c r="AM145" i="609"/>
  <c r="AL145" i="609"/>
  <c r="B144" i="609"/>
  <c r="AM145" i="607"/>
  <c r="C144" i="607"/>
  <c r="AL145" i="607"/>
  <c r="B144" i="607"/>
  <c r="AL144" i="605"/>
  <c r="B143" i="605"/>
  <c r="C142" i="605"/>
  <c r="AM143" i="605"/>
  <c r="AM145" i="613" l="1"/>
  <c r="C144" i="613"/>
  <c r="AL145" i="613"/>
  <c r="B144" i="613"/>
  <c r="AN155" i="611"/>
  <c r="D154" i="611"/>
  <c r="AM154" i="611"/>
  <c r="C153" i="611"/>
  <c r="AL148" i="611"/>
  <c r="B147" i="611"/>
  <c r="B145" i="609"/>
  <c r="AL146" i="609"/>
  <c r="AM146" i="609"/>
  <c r="C145" i="609"/>
  <c r="AL146" i="607"/>
  <c r="B146" i="607" s="1"/>
  <c r="B145" i="607"/>
  <c r="AM146" i="607"/>
  <c r="C146" i="607" s="1"/>
  <c r="C145" i="607"/>
  <c r="C143" i="605"/>
  <c r="AM144" i="605"/>
  <c r="AL145" i="605"/>
  <c r="B144" i="605"/>
  <c r="AL146" i="613" l="1"/>
  <c r="B145" i="613"/>
  <c r="AM146" i="613"/>
  <c r="C145" i="613"/>
  <c r="C154" i="611"/>
  <c r="AM155" i="611"/>
  <c r="AL149" i="611"/>
  <c r="B148" i="611"/>
  <c r="AN156" i="611"/>
  <c r="D155" i="611"/>
  <c r="C146" i="609"/>
  <c r="AM147" i="609"/>
  <c r="AL147" i="609"/>
  <c r="B146" i="609"/>
  <c r="AL146" i="605"/>
  <c r="B145" i="605"/>
  <c r="AM145" i="605"/>
  <c r="C144" i="605"/>
  <c r="AM147" i="613" l="1"/>
  <c r="C146" i="613"/>
  <c r="AL147" i="613"/>
  <c r="B146" i="613"/>
  <c r="AL150" i="611"/>
  <c r="B149" i="611"/>
  <c r="D156" i="611"/>
  <c r="AN157" i="611"/>
  <c r="AM156" i="611"/>
  <c r="C155" i="611"/>
  <c r="AL148" i="609"/>
  <c r="B147" i="609"/>
  <c r="AM148" i="609"/>
  <c r="C147" i="609"/>
  <c r="AM146" i="605"/>
  <c r="C145" i="605"/>
  <c r="AL147" i="605"/>
  <c r="B146" i="605"/>
  <c r="AL148" i="613" l="1"/>
  <c r="B147" i="613"/>
  <c r="AM148" i="613"/>
  <c r="C147" i="613"/>
  <c r="AN158" i="611"/>
  <c r="D157" i="611"/>
  <c r="C156" i="611"/>
  <c r="AM157" i="611"/>
  <c r="AL151" i="611"/>
  <c r="B150" i="611"/>
  <c r="AM149" i="609"/>
  <c r="C148" i="609"/>
  <c r="AL149" i="609"/>
  <c r="B148" i="609"/>
  <c r="AL148" i="605"/>
  <c r="B147" i="605"/>
  <c r="AM147" i="605"/>
  <c r="C146" i="605"/>
  <c r="AM149" i="613" l="1"/>
  <c r="C148" i="613"/>
  <c r="AL149" i="613"/>
  <c r="B148" i="613"/>
  <c r="AL152" i="611"/>
  <c r="B151" i="611"/>
  <c r="AM158" i="611"/>
  <c r="C157" i="611"/>
  <c r="AN159" i="611"/>
  <c r="D158" i="611"/>
  <c r="AL150" i="609"/>
  <c r="B149" i="609"/>
  <c r="AM150" i="609"/>
  <c r="C149" i="609"/>
  <c r="AM148" i="605"/>
  <c r="C147" i="605"/>
  <c r="AL149" i="605"/>
  <c r="B148" i="605"/>
  <c r="AL150" i="613" l="1"/>
  <c r="B149" i="613"/>
  <c r="AM150" i="613"/>
  <c r="C149" i="613"/>
  <c r="AN160" i="611"/>
  <c r="D159" i="611"/>
  <c r="AM159" i="611"/>
  <c r="C158" i="611"/>
  <c r="AL153" i="611"/>
  <c r="B152" i="611"/>
  <c r="AM151" i="609"/>
  <c r="C150" i="609"/>
  <c r="AL151" i="609"/>
  <c r="B150" i="609"/>
  <c r="AL150" i="605"/>
  <c r="B149" i="605"/>
  <c r="AM149" i="605"/>
  <c r="C148" i="605"/>
  <c r="AM151" i="613" l="1"/>
  <c r="C150" i="613"/>
  <c r="AL151" i="613"/>
  <c r="B150" i="613"/>
  <c r="B153" i="611"/>
  <c r="AL154" i="611"/>
  <c r="AM160" i="611"/>
  <c r="C159" i="611"/>
  <c r="AN161" i="611"/>
  <c r="D160" i="611"/>
  <c r="AL152" i="609"/>
  <c r="B151" i="609"/>
  <c r="AM152" i="609"/>
  <c r="C151" i="609"/>
  <c r="C149" i="605"/>
  <c r="AM150" i="605"/>
  <c r="AL151" i="605"/>
  <c r="B150" i="605"/>
  <c r="AL152" i="613" l="1"/>
  <c r="B151" i="613"/>
  <c r="AM152" i="613"/>
  <c r="C151" i="613"/>
  <c r="C160" i="611"/>
  <c r="AM161" i="611"/>
  <c r="B154" i="611"/>
  <c r="AL155" i="611"/>
  <c r="AN162" i="611"/>
  <c r="D161" i="611"/>
  <c r="C152" i="609"/>
  <c r="AM153" i="609"/>
  <c r="AL153" i="609"/>
  <c r="B152" i="609"/>
  <c r="C150" i="605"/>
  <c r="AM151" i="605"/>
  <c r="AL152" i="605"/>
  <c r="B151" i="605"/>
  <c r="AM153" i="613" l="1"/>
  <c r="C152" i="613"/>
  <c r="AL153" i="613"/>
  <c r="B152" i="613"/>
  <c r="AL156" i="611"/>
  <c r="B155" i="611"/>
  <c r="AM162" i="611"/>
  <c r="C161" i="611"/>
  <c r="AN163" i="611"/>
  <c r="D162" i="611"/>
  <c r="B153" i="609"/>
  <c r="AL154" i="609"/>
  <c r="C153" i="609"/>
  <c r="AM154" i="609"/>
  <c r="AL153" i="605"/>
  <c r="B152" i="605"/>
  <c r="AM152" i="605"/>
  <c r="C151" i="605"/>
  <c r="AL154" i="613" l="1"/>
  <c r="B153" i="613"/>
  <c r="AM154" i="613"/>
  <c r="C153" i="613"/>
  <c r="AN164" i="611"/>
  <c r="D163" i="611"/>
  <c r="AM163" i="611"/>
  <c r="C162" i="611"/>
  <c r="AL157" i="611"/>
  <c r="B156" i="611"/>
  <c r="AL155" i="609"/>
  <c r="B154" i="609"/>
  <c r="C154" i="609"/>
  <c r="AM155" i="609"/>
  <c r="AM153" i="605"/>
  <c r="C152" i="605"/>
  <c r="AL154" i="605"/>
  <c r="B153" i="605"/>
  <c r="AM155" i="613" l="1"/>
  <c r="C154" i="613"/>
  <c r="AL155" i="613"/>
  <c r="B154" i="613"/>
  <c r="AL158" i="611"/>
  <c r="B157" i="611"/>
  <c r="AM164" i="611"/>
  <c r="C163" i="611"/>
  <c r="AN165" i="611"/>
  <c r="D164" i="611"/>
  <c r="AM156" i="609"/>
  <c r="C155" i="609"/>
  <c r="AL156" i="609"/>
  <c r="B155" i="609"/>
  <c r="AL155" i="605"/>
  <c r="B154" i="605"/>
  <c r="AM154" i="605"/>
  <c r="C153" i="605"/>
  <c r="AL156" i="613" l="1"/>
  <c r="B155" i="613"/>
  <c r="AM156" i="613"/>
  <c r="C155" i="613"/>
  <c r="AN166" i="611"/>
  <c r="D165" i="611"/>
  <c r="AM165" i="611"/>
  <c r="C164" i="611"/>
  <c r="AL159" i="611"/>
  <c r="B158" i="611"/>
  <c r="AL157" i="609"/>
  <c r="B156" i="609"/>
  <c r="C156" i="609"/>
  <c r="AM157" i="609"/>
  <c r="AM155" i="605"/>
  <c r="C154" i="605"/>
  <c r="AL156" i="605"/>
  <c r="B155" i="605"/>
  <c r="AM157" i="613" l="1"/>
  <c r="C156" i="613"/>
  <c r="AL157" i="613"/>
  <c r="B156" i="613"/>
  <c r="AM166" i="611"/>
  <c r="C165" i="611"/>
  <c r="AL160" i="611"/>
  <c r="B159" i="611"/>
  <c r="AN167" i="611"/>
  <c r="D166" i="611"/>
  <c r="C157" i="609"/>
  <c r="AM158" i="609"/>
  <c r="B157" i="609"/>
  <c r="AL158" i="609"/>
  <c r="AL157" i="605"/>
  <c r="B156" i="605"/>
  <c r="AM156" i="605"/>
  <c r="C155" i="605"/>
  <c r="AL158" i="613" l="1"/>
  <c r="B157" i="613"/>
  <c r="AM158" i="613"/>
  <c r="C157" i="613"/>
  <c r="AN168" i="611"/>
  <c r="D167" i="611"/>
  <c r="B160" i="611"/>
  <c r="AL161" i="611"/>
  <c r="AM167" i="611"/>
  <c r="C166" i="611"/>
  <c r="AL159" i="609"/>
  <c r="B158" i="609"/>
  <c r="C158" i="609"/>
  <c r="AM159" i="609"/>
  <c r="AM157" i="605"/>
  <c r="C156" i="605"/>
  <c r="AL158" i="605"/>
  <c r="B157" i="605"/>
  <c r="AM159" i="613" l="1"/>
  <c r="C158" i="613"/>
  <c r="AL159" i="613"/>
  <c r="B158" i="613"/>
  <c r="AM168" i="611"/>
  <c r="C167" i="611"/>
  <c r="AL162" i="611"/>
  <c r="B161" i="611"/>
  <c r="AN169" i="611"/>
  <c r="D168" i="611"/>
  <c r="AM160" i="609"/>
  <c r="C159" i="609"/>
  <c r="AL160" i="609"/>
  <c r="B159" i="609"/>
  <c r="AL159" i="605"/>
  <c r="B158" i="605"/>
  <c r="C157" i="605"/>
  <c r="AM158" i="605"/>
  <c r="AL160" i="613" l="1"/>
  <c r="B159" i="613"/>
  <c r="AM160" i="613"/>
  <c r="C159" i="613"/>
  <c r="AN170" i="611"/>
  <c r="D169" i="611"/>
  <c r="B162" i="611"/>
  <c r="AL163" i="611"/>
  <c r="AM169" i="611"/>
  <c r="C168" i="611"/>
  <c r="AL161" i="609"/>
  <c r="B160" i="609"/>
  <c r="C160" i="609"/>
  <c r="AM161" i="609"/>
  <c r="AM159" i="605"/>
  <c r="C158" i="605"/>
  <c r="AL160" i="605"/>
  <c r="B159" i="605"/>
  <c r="AM161" i="613" l="1"/>
  <c r="C160" i="613"/>
  <c r="AL161" i="613"/>
  <c r="B160" i="613"/>
  <c r="AM170" i="611"/>
  <c r="C169" i="611"/>
  <c r="AL164" i="611"/>
  <c r="B163" i="611"/>
  <c r="AN171" i="611"/>
  <c r="D170" i="611"/>
  <c r="C161" i="609"/>
  <c r="AM162" i="609"/>
  <c r="AL162" i="609"/>
  <c r="B161" i="609"/>
  <c r="AL161" i="605"/>
  <c r="B160" i="605"/>
  <c r="AM160" i="605"/>
  <c r="C159" i="605"/>
  <c r="AL162" i="613" l="1"/>
  <c r="B161" i="613"/>
  <c r="AM162" i="613"/>
  <c r="C161" i="613"/>
  <c r="AN172" i="611"/>
  <c r="D171" i="611"/>
  <c r="AL165" i="611"/>
  <c r="B164" i="611"/>
  <c r="AM171" i="611"/>
  <c r="C170" i="611"/>
  <c r="AL163" i="609"/>
  <c r="B162" i="609"/>
  <c r="AM163" i="609"/>
  <c r="C162" i="609"/>
  <c r="AM161" i="605"/>
  <c r="C160" i="605"/>
  <c r="AL162" i="605"/>
  <c r="B161" i="605"/>
  <c r="AM163" i="613" l="1"/>
  <c r="C162" i="613"/>
  <c r="AL163" i="613"/>
  <c r="B162" i="613"/>
  <c r="AM172" i="611"/>
  <c r="C171" i="611"/>
  <c r="AL166" i="611"/>
  <c r="B165" i="611"/>
  <c r="AN173" i="611"/>
  <c r="D172" i="611"/>
  <c r="AM164" i="609"/>
  <c r="C163" i="609"/>
  <c r="AL164" i="609"/>
  <c r="B163" i="609"/>
  <c r="AL163" i="605"/>
  <c r="B162" i="605"/>
  <c r="AM162" i="605"/>
  <c r="C161" i="605"/>
  <c r="AL164" i="613" l="1"/>
  <c r="B163" i="613"/>
  <c r="AM164" i="613"/>
  <c r="C163" i="613"/>
  <c r="AN174" i="611"/>
  <c r="D173" i="611"/>
  <c r="B166" i="611"/>
  <c r="AL167" i="611"/>
  <c r="AM173" i="611"/>
  <c r="C172" i="611"/>
  <c r="AL165" i="609"/>
  <c r="B164" i="609"/>
  <c r="AM165" i="609"/>
  <c r="C164" i="609"/>
  <c r="AM163" i="605"/>
  <c r="C162" i="605"/>
  <c r="AL164" i="605"/>
  <c r="B163" i="605"/>
  <c r="AM165" i="613" l="1"/>
  <c r="C164" i="613"/>
  <c r="AL165" i="613"/>
  <c r="B164" i="613"/>
  <c r="AL168" i="611"/>
  <c r="B167" i="611"/>
  <c r="AM174" i="611"/>
  <c r="C173" i="611"/>
  <c r="AN175" i="611"/>
  <c r="D174" i="611"/>
  <c r="AM166" i="609"/>
  <c r="C165" i="609"/>
  <c r="AL166" i="609"/>
  <c r="B165" i="609"/>
  <c r="AL165" i="605"/>
  <c r="B164" i="605"/>
  <c r="AM164" i="605"/>
  <c r="C163" i="605"/>
  <c r="AL166" i="613" l="1"/>
  <c r="B165" i="613"/>
  <c r="AM166" i="613"/>
  <c r="C165" i="613"/>
  <c r="AM175" i="611"/>
  <c r="C174" i="611"/>
  <c r="AN176" i="611"/>
  <c r="D175" i="611"/>
  <c r="AL169" i="611"/>
  <c r="B168" i="611"/>
  <c r="AL167" i="609"/>
  <c r="B166" i="609"/>
  <c r="AM167" i="609"/>
  <c r="C166" i="609"/>
  <c r="AM165" i="605"/>
  <c r="C164" i="605"/>
  <c r="B165" i="605"/>
  <c r="AL166" i="605"/>
  <c r="AM167" i="613" l="1"/>
  <c r="C166" i="613"/>
  <c r="AL167" i="613"/>
  <c r="B166" i="613"/>
  <c r="AN177" i="611"/>
  <c r="D176" i="611"/>
  <c r="AL170" i="611"/>
  <c r="B169" i="611"/>
  <c r="AM176" i="611"/>
  <c r="C175" i="611"/>
  <c r="AM168" i="609"/>
  <c r="C167" i="609"/>
  <c r="AL168" i="609"/>
  <c r="B167" i="609"/>
  <c r="B166" i="605"/>
  <c r="AL167" i="605"/>
  <c r="AM166" i="605"/>
  <c r="C165" i="605"/>
  <c r="AL168" i="613" l="1"/>
  <c r="B167" i="613"/>
  <c r="AM168" i="613"/>
  <c r="C167" i="613"/>
  <c r="B170" i="611"/>
  <c r="AL171" i="611"/>
  <c r="AM177" i="611"/>
  <c r="C176" i="611"/>
  <c r="AN178" i="611"/>
  <c r="D177" i="611"/>
  <c r="AL169" i="609"/>
  <c r="B168" i="609"/>
  <c r="C168" i="609"/>
  <c r="AM169" i="609"/>
  <c r="B167" i="605"/>
  <c r="AL168" i="605"/>
  <c r="C166" i="605"/>
  <c r="AM167" i="605"/>
  <c r="AM169" i="613" l="1"/>
  <c r="C168" i="613"/>
  <c r="AL169" i="613"/>
  <c r="B168" i="613"/>
  <c r="AM178" i="611"/>
  <c r="C177" i="611"/>
  <c r="AL172" i="611"/>
  <c r="B171" i="611"/>
  <c r="AN179" i="611"/>
  <c r="D178" i="611"/>
  <c r="AM170" i="609"/>
  <c r="C169" i="609"/>
  <c r="B169" i="609"/>
  <c r="AL170" i="609"/>
  <c r="C167" i="605"/>
  <c r="AM168" i="605"/>
  <c r="B168" i="605"/>
  <c r="AL169" i="605"/>
  <c r="AL170" i="613" l="1"/>
  <c r="B169" i="613"/>
  <c r="AM170" i="613"/>
  <c r="C169" i="613"/>
  <c r="AL173" i="611"/>
  <c r="B172" i="611"/>
  <c r="AN180" i="611"/>
  <c r="D179" i="611"/>
  <c r="AM179" i="611"/>
  <c r="C178" i="611"/>
  <c r="AL171" i="609"/>
  <c r="B170" i="609"/>
  <c r="C170" i="609"/>
  <c r="AM171" i="609"/>
  <c r="C168" i="605"/>
  <c r="AM169" i="605"/>
  <c r="B169" i="605"/>
  <c r="AL170" i="605"/>
  <c r="AM171" i="613" l="1"/>
  <c r="C170" i="613"/>
  <c r="AL171" i="613"/>
  <c r="B170" i="613"/>
  <c r="D180" i="611"/>
  <c r="AN181" i="611"/>
  <c r="AM180" i="611"/>
  <c r="C179" i="611"/>
  <c r="AL174" i="611"/>
  <c r="B173" i="611"/>
  <c r="AM172" i="609"/>
  <c r="C171" i="609"/>
  <c r="AL172" i="609"/>
  <c r="B171" i="609"/>
  <c r="B170" i="605"/>
  <c r="AL171" i="605"/>
  <c r="C169" i="605"/>
  <c r="AM170" i="605"/>
  <c r="AL172" i="613" l="1"/>
  <c r="B171" i="613"/>
  <c r="AM172" i="613"/>
  <c r="C171" i="613"/>
  <c r="AL175" i="611"/>
  <c r="B174" i="611"/>
  <c r="C180" i="611"/>
  <c r="AM181" i="611"/>
  <c r="D181" i="611"/>
  <c r="AN182" i="611"/>
  <c r="AL173" i="609"/>
  <c r="B172" i="609"/>
  <c r="AM173" i="609"/>
  <c r="C172" i="609"/>
  <c r="C170" i="605"/>
  <c r="AM171" i="605"/>
  <c r="B171" i="605"/>
  <c r="AL172" i="605"/>
  <c r="AM173" i="613" l="1"/>
  <c r="C172" i="613"/>
  <c r="AL173" i="613"/>
  <c r="B172" i="613"/>
  <c r="D182" i="611"/>
  <c r="AN183" i="611"/>
  <c r="C181" i="611"/>
  <c r="AM182" i="611"/>
  <c r="AL176" i="611"/>
  <c r="B175" i="611"/>
  <c r="AM174" i="609"/>
  <c r="C173" i="609"/>
  <c r="AL174" i="609"/>
  <c r="B173" i="609"/>
  <c r="B172" i="605"/>
  <c r="AL173" i="605"/>
  <c r="C171" i="605"/>
  <c r="AM172" i="605"/>
  <c r="AL174" i="613" l="1"/>
  <c r="B173" i="613"/>
  <c r="AM174" i="613"/>
  <c r="C173" i="613"/>
  <c r="AL177" i="611"/>
  <c r="B176" i="611"/>
  <c r="C182" i="611"/>
  <c r="AM183" i="611"/>
  <c r="AN184" i="611"/>
  <c r="D183" i="611"/>
  <c r="AL175" i="609"/>
  <c r="B174" i="609"/>
  <c r="AM175" i="609"/>
  <c r="C174" i="609"/>
  <c r="C172" i="605"/>
  <c r="AM173" i="605"/>
  <c r="B173" i="605"/>
  <c r="AL174" i="605"/>
  <c r="AM175" i="613" l="1"/>
  <c r="C174" i="613"/>
  <c r="AL175" i="613"/>
  <c r="B174" i="613"/>
  <c r="AN185" i="611"/>
  <c r="D184" i="611"/>
  <c r="C183" i="611"/>
  <c r="AM184" i="611"/>
  <c r="AL178" i="611"/>
  <c r="B177" i="611"/>
  <c r="AM176" i="609"/>
  <c r="C175" i="609"/>
  <c r="AL176" i="609"/>
  <c r="B175" i="609"/>
  <c r="B174" i="605"/>
  <c r="AL175" i="605"/>
  <c r="C173" i="605"/>
  <c r="AM174" i="605"/>
  <c r="AL176" i="613" l="1"/>
  <c r="B175" i="613"/>
  <c r="AM176" i="613"/>
  <c r="C175" i="613"/>
  <c r="AL179" i="611"/>
  <c r="B178" i="611"/>
  <c r="C184" i="611"/>
  <c r="AM185" i="611"/>
  <c r="D185" i="611"/>
  <c r="AN186" i="611"/>
  <c r="AL177" i="609"/>
  <c r="B176" i="609"/>
  <c r="AM177" i="609"/>
  <c r="C176" i="609"/>
  <c r="AM175" i="605"/>
  <c r="C174" i="605"/>
  <c r="B175" i="605"/>
  <c r="AL176" i="605"/>
  <c r="AM177" i="613" l="1"/>
  <c r="C176" i="613"/>
  <c r="AL177" i="613"/>
  <c r="B176" i="613"/>
  <c r="C185" i="611"/>
  <c r="AM186" i="611"/>
  <c r="D186" i="611"/>
  <c r="AN187" i="611"/>
  <c r="AL180" i="611"/>
  <c r="B179" i="611"/>
  <c r="AM178" i="609"/>
  <c r="C177" i="609"/>
  <c r="AL178" i="609"/>
  <c r="B177" i="609"/>
  <c r="B176" i="605"/>
  <c r="AL177" i="605"/>
  <c r="C175" i="605"/>
  <c r="AM176" i="605"/>
  <c r="AL178" i="613" l="1"/>
  <c r="B177" i="613"/>
  <c r="AM178" i="613"/>
  <c r="C177" i="613"/>
  <c r="B180" i="611"/>
  <c r="AL181" i="611"/>
  <c r="AN188" i="611"/>
  <c r="D187" i="611"/>
  <c r="C186" i="611"/>
  <c r="AM187" i="611"/>
  <c r="AL179" i="609"/>
  <c r="B178" i="609"/>
  <c r="AM179" i="609"/>
  <c r="C178" i="609"/>
  <c r="C176" i="605"/>
  <c r="AM177" i="605"/>
  <c r="B177" i="605"/>
  <c r="AL178" i="605"/>
  <c r="AM179" i="613" l="1"/>
  <c r="C178" i="613"/>
  <c r="AL179" i="613"/>
  <c r="B178" i="613"/>
  <c r="D188" i="611"/>
  <c r="AN189" i="611"/>
  <c r="C187" i="611"/>
  <c r="AM188" i="611"/>
  <c r="B181" i="611"/>
  <c r="AL182" i="611"/>
  <c r="AM180" i="609"/>
  <c r="C179" i="609"/>
  <c r="AL180" i="609"/>
  <c r="B179" i="609"/>
  <c r="B178" i="605"/>
  <c r="AL179" i="605"/>
  <c r="C177" i="605"/>
  <c r="AM178" i="605"/>
  <c r="AL180" i="613" l="1"/>
  <c r="B179" i="613"/>
  <c r="AM180" i="613"/>
  <c r="C179" i="613"/>
  <c r="C188" i="611"/>
  <c r="AM189" i="611"/>
  <c r="D189" i="611"/>
  <c r="AN190" i="611"/>
  <c r="B182" i="611"/>
  <c r="AL183" i="611"/>
  <c r="AL181" i="609"/>
  <c r="B180" i="609"/>
  <c r="AM181" i="609"/>
  <c r="C180" i="609"/>
  <c r="C178" i="605"/>
  <c r="AM179" i="605"/>
  <c r="AL180" i="605"/>
  <c r="B179" i="605"/>
  <c r="AM181" i="613" l="1"/>
  <c r="C180" i="613"/>
  <c r="AL181" i="613"/>
  <c r="B180" i="613"/>
  <c r="B183" i="611"/>
  <c r="AL184" i="611"/>
  <c r="D190" i="611"/>
  <c r="AN191" i="611"/>
  <c r="C189" i="611"/>
  <c r="AM190" i="611"/>
  <c r="AM182" i="609"/>
  <c r="C181" i="609"/>
  <c r="AL182" i="609"/>
  <c r="B181" i="609"/>
  <c r="C179" i="605"/>
  <c r="AM180" i="605"/>
  <c r="AL181" i="605"/>
  <c r="B180" i="605"/>
  <c r="AL182" i="613" l="1"/>
  <c r="B181" i="613"/>
  <c r="AM182" i="613"/>
  <c r="C181" i="613"/>
  <c r="B184" i="611"/>
  <c r="AL185" i="611"/>
  <c r="AM191" i="611"/>
  <c r="C190" i="611"/>
  <c r="AN192" i="611"/>
  <c r="D191" i="611"/>
  <c r="AL183" i="609"/>
  <c r="B182" i="609"/>
  <c r="AM183" i="609"/>
  <c r="C182" i="609"/>
  <c r="B181" i="605"/>
  <c r="AL182" i="605"/>
  <c r="AM181" i="605"/>
  <c r="C180" i="605"/>
  <c r="AM183" i="613" l="1"/>
  <c r="C182" i="613"/>
  <c r="AL183" i="613"/>
  <c r="B182" i="613"/>
  <c r="C191" i="611"/>
  <c r="AM192" i="611"/>
  <c r="D192" i="611"/>
  <c r="AN193" i="611"/>
  <c r="AL186" i="611"/>
  <c r="B185" i="611"/>
  <c r="AM184" i="609"/>
  <c r="C183" i="609"/>
  <c r="AL184" i="609"/>
  <c r="B183" i="609"/>
  <c r="B182" i="605"/>
  <c r="AL183" i="605"/>
  <c r="C181" i="605"/>
  <c r="AM182" i="605"/>
  <c r="AL184" i="613" l="1"/>
  <c r="B183" i="613"/>
  <c r="AM184" i="613"/>
  <c r="C183" i="613"/>
  <c r="D193" i="611"/>
  <c r="AN194" i="611"/>
  <c r="C192" i="611"/>
  <c r="AM193" i="611"/>
  <c r="B186" i="611"/>
  <c r="AL187" i="611"/>
  <c r="AL185" i="609"/>
  <c r="B184" i="609"/>
  <c r="AM185" i="609"/>
  <c r="C184" i="609"/>
  <c r="C182" i="605"/>
  <c r="AM183" i="605"/>
  <c r="B183" i="605"/>
  <c r="AL184" i="605"/>
  <c r="AM185" i="613" l="1"/>
  <c r="C184" i="613"/>
  <c r="AL185" i="613"/>
  <c r="B184" i="613"/>
  <c r="C193" i="611"/>
  <c r="AM194" i="611"/>
  <c r="B187" i="611"/>
  <c r="AL188" i="611"/>
  <c r="D194" i="611"/>
  <c r="AN195" i="611"/>
  <c r="AM186" i="609"/>
  <c r="C185" i="609"/>
  <c r="AL186" i="609"/>
  <c r="B185" i="609"/>
  <c r="AM184" i="605"/>
  <c r="C183" i="605"/>
  <c r="B184" i="605"/>
  <c r="AL185" i="605"/>
  <c r="AL186" i="613" l="1"/>
  <c r="B185" i="613"/>
  <c r="AM186" i="613"/>
  <c r="C185" i="613"/>
  <c r="AN196" i="611"/>
  <c r="D195" i="611"/>
  <c r="C194" i="611"/>
  <c r="AM195" i="611"/>
  <c r="B188" i="611"/>
  <c r="AL189" i="611"/>
  <c r="AL187" i="609"/>
  <c r="B186" i="609"/>
  <c r="C186" i="609"/>
  <c r="AM187" i="609"/>
  <c r="B185" i="605"/>
  <c r="AL186" i="605"/>
  <c r="C184" i="605"/>
  <c r="AM185" i="605"/>
  <c r="AM187" i="613" l="1"/>
  <c r="C186" i="613"/>
  <c r="AL187" i="613"/>
  <c r="B186" i="613"/>
  <c r="B189" i="611"/>
  <c r="AL190" i="611"/>
  <c r="AM196" i="611"/>
  <c r="C195" i="611"/>
  <c r="D196" i="611"/>
  <c r="AN197" i="611"/>
  <c r="AM188" i="609"/>
  <c r="C187" i="609"/>
  <c r="AL188" i="609"/>
  <c r="B187" i="609"/>
  <c r="C185" i="605"/>
  <c r="AM186" i="605"/>
  <c r="B186" i="605"/>
  <c r="AL187" i="605"/>
  <c r="AL188" i="613" l="1"/>
  <c r="B187" i="613"/>
  <c r="AM188" i="613"/>
  <c r="C187" i="613"/>
  <c r="D197" i="611"/>
  <c r="AN198" i="611"/>
  <c r="AL191" i="611"/>
  <c r="B190" i="611"/>
  <c r="C196" i="611"/>
  <c r="AM197" i="611"/>
  <c r="AL189" i="609"/>
  <c r="B188" i="609"/>
  <c r="AM189" i="609"/>
  <c r="C188" i="609"/>
  <c r="B187" i="605"/>
  <c r="AL188" i="605"/>
  <c r="C186" i="605"/>
  <c r="AM187" i="605"/>
  <c r="AM189" i="613" l="1"/>
  <c r="C188" i="613"/>
  <c r="AL189" i="613"/>
  <c r="B188" i="613"/>
  <c r="B191" i="611"/>
  <c r="AL192" i="611"/>
  <c r="C197" i="611"/>
  <c r="AM198" i="611"/>
  <c r="D198" i="611"/>
  <c r="AN199" i="611"/>
  <c r="AM190" i="609"/>
  <c r="C189" i="609"/>
  <c r="AL190" i="609"/>
  <c r="B189" i="609"/>
  <c r="AM188" i="605"/>
  <c r="C187" i="605"/>
  <c r="B188" i="605"/>
  <c r="AL189" i="605"/>
  <c r="AL190" i="613" l="1"/>
  <c r="B189" i="613"/>
  <c r="AM190" i="613"/>
  <c r="C189" i="613"/>
  <c r="AN200" i="611"/>
  <c r="D199" i="611"/>
  <c r="C198" i="611"/>
  <c r="AM199" i="611"/>
  <c r="B192" i="611"/>
  <c r="AL193" i="611"/>
  <c r="AL191" i="609"/>
  <c r="B190" i="609"/>
  <c r="AM191" i="609"/>
  <c r="C190" i="609"/>
  <c r="AL190" i="605"/>
  <c r="B189" i="605"/>
  <c r="AM189" i="605"/>
  <c r="C188" i="605"/>
  <c r="AM191" i="613" l="1"/>
  <c r="C190" i="613"/>
  <c r="AL191" i="613"/>
  <c r="B190" i="613"/>
  <c r="B193" i="611"/>
  <c r="AL194" i="611"/>
  <c r="C199" i="611"/>
  <c r="AM200" i="611"/>
  <c r="AN201" i="611"/>
  <c r="D200" i="611"/>
  <c r="AM192" i="609"/>
  <c r="C191" i="609"/>
  <c r="AL192" i="609"/>
  <c r="B191" i="609"/>
  <c r="AM190" i="605"/>
  <c r="C189" i="605"/>
  <c r="B190" i="605"/>
  <c r="AL191" i="605"/>
  <c r="AL192" i="613" l="1"/>
  <c r="B191" i="613"/>
  <c r="AM192" i="613"/>
  <c r="C191" i="613"/>
  <c r="D201" i="611"/>
  <c r="AN202" i="611"/>
  <c r="C200" i="611"/>
  <c r="AM201" i="611"/>
  <c r="B194" i="611"/>
  <c r="AL195" i="611"/>
  <c r="AL193" i="609"/>
  <c r="B192" i="609"/>
  <c r="AM193" i="609"/>
  <c r="C192" i="609"/>
  <c r="B191" i="605"/>
  <c r="AL192" i="605"/>
  <c r="C190" i="605"/>
  <c r="AM191" i="605"/>
  <c r="AM193" i="613" l="1"/>
  <c r="C192" i="613"/>
  <c r="AL193" i="613"/>
  <c r="B192" i="613"/>
  <c r="C201" i="611"/>
  <c r="AM202" i="611"/>
  <c r="B195" i="611"/>
  <c r="AL196" i="611"/>
  <c r="D202" i="611"/>
  <c r="AN203" i="611"/>
  <c r="AM194" i="609"/>
  <c r="C193" i="609"/>
  <c r="AL194" i="609"/>
  <c r="B193" i="609"/>
  <c r="AM192" i="605"/>
  <c r="C191" i="605"/>
  <c r="B192" i="605"/>
  <c r="AL193" i="605"/>
  <c r="AL194" i="613" l="1"/>
  <c r="B193" i="613"/>
  <c r="AM194" i="613"/>
  <c r="C193" i="613"/>
  <c r="B196" i="611"/>
  <c r="AL197" i="611"/>
  <c r="AN204" i="611"/>
  <c r="D203" i="611"/>
  <c r="C202" i="611"/>
  <c r="AM203" i="611"/>
  <c r="AL195" i="609"/>
  <c r="B194" i="609"/>
  <c r="AM195" i="609"/>
  <c r="C194" i="609"/>
  <c r="B193" i="605"/>
  <c r="AL194" i="605"/>
  <c r="C192" i="605"/>
  <c r="AM193" i="605"/>
  <c r="AM195" i="613" l="1"/>
  <c r="C195" i="613" s="1"/>
  <c r="C194" i="613"/>
  <c r="AL195" i="613"/>
  <c r="B195" i="613" s="1"/>
  <c r="B194" i="613"/>
  <c r="D204" i="611"/>
  <c r="AN205" i="611"/>
  <c r="B197" i="611"/>
  <c r="AL198" i="611"/>
  <c r="C203" i="611"/>
  <c r="AM204" i="611"/>
  <c r="C195" i="609"/>
  <c r="AM196" i="609"/>
  <c r="B195" i="609"/>
  <c r="AL196" i="609"/>
  <c r="B194" i="605"/>
  <c r="AL195" i="605"/>
  <c r="AM194" i="605"/>
  <c r="C193" i="605"/>
  <c r="C204" i="611" l="1"/>
  <c r="AM205" i="611"/>
  <c r="AN206" i="611"/>
  <c r="D205" i="611"/>
  <c r="B198" i="611"/>
  <c r="AL199" i="611"/>
  <c r="AL197" i="609"/>
  <c r="B196" i="609"/>
  <c r="C196" i="609"/>
  <c r="AM197" i="609"/>
  <c r="B195" i="605"/>
  <c r="AL196" i="605"/>
  <c r="C194" i="605"/>
  <c r="AM195" i="605"/>
  <c r="B199" i="611" l="1"/>
  <c r="AL200" i="611"/>
  <c r="D206" i="611"/>
  <c r="AN207" i="611"/>
  <c r="C205" i="611"/>
  <c r="AM206" i="611"/>
  <c r="AM198" i="609"/>
  <c r="C197" i="609"/>
  <c r="AL198" i="609"/>
  <c r="B197" i="609"/>
  <c r="B196" i="605"/>
  <c r="AL197" i="605"/>
  <c r="AM196" i="605"/>
  <c r="C195" i="605"/>
  <c r="AN208" i="611" l="1"/>
  <c r="D207" i="611"/>
  <c r="B200" i="611"/>
  <c r="AL201" i="611"/>
  <c r="C206" i="611"/>
  <c r="AM207" i="611"/>
  <c r="B198" i="609"/>
  <c r="AL199" i="609"/>
  <c r="AM199" i="609"/>
  <c r="C198" i="609"/>
  <c r="B197" i="605"/>
  <c r="AL198" i="605"/>
  <c r="C196" i="605"/>
  <c r="AM197" i="605"/>
  <c r="C207" i="611" l="1"/>
  <c r="AM208" i="611"/>
  <c r="AL202" i="611"/>
  <c r="B201" i="611"/>
  <c r="AN209" i="611"/>
  <c r="D208" i="611"/>
  <c r="C199" i="609"/>
  <c r="AM200" i="609"/>
  <c r="B199" i="609"/>
  <c r="AL200" i="609"/>
  <c r="C197" i="605"/>
  <c r="AM198" i="605"/>
  <c r="AL199" i="605"/>
  <c r="B198" i="605"/>
  <c r="AN210" i="611" l="1"/>
  <c r="D209" i="611"/>
  <c r="C208" i="611"/>
  <c r="AM209" i="611"/>
  <c r="B202" i="611"/>
  <c r="AL203" i="611"/>
  <c r="AL201" i="609"/>
  <c r="B200" i="609"/>
  <c r="C200" i="609"/>
  <c r="AM201" i="609"/>
  <c r="AL200" i="605"/>
  <c r="B199" i="605"/>
  <c r="AM199" i="605"/>
  <c r="C198" i="605"/>
  <c r="B203" i="611" l="1"/>
  <c r="AL204" i="611"/>
  <c r="AM210" i="611"/>
  <c r="C209" i="611"/>
  <c r="AN211" i="611"/>
  <c r="D210" i="611"/>
  <c r="C201" i="609"/>
  <c r="AM202" i="609"/>
  <c r="B201" i="609"/>
  <c r="AL202" i="609"/>
  <c r="AM200" i="605"/>
  <c r="C199" i="605"/>
  <c r="B200" i="605"/>
  <c r="AL201" i="605"/>
  <c r="B204" i="611" l="1"/>
  <c r="AL205" i="611"/>
  <c r="AN212" i="611"/>
  <c r="D211" i="611"/>
  <c r="AM211" i="611"/>
  <c r="C210" i="611"/>
  <c r="AM203" i="609"/>
  <c r="C202" i="609"/>
  <c r="B202" i="609"/>
  <c r="AL203" i="609"/>
  <c r="B201" i="605"/>
  <c r="AL202" i="605"/>
  <c r="AM201" i="605"/>
  <c r="C200" i="605"/>
  <c r="D212" i="611" l="1"/>
  <c r="AN213" i="611"/>
  <c r="B205" i="611"/>
  <c r="AL206" i="611"/>
  <c r="AM212" i="611"/>
  <c r="C211" i="611"/>
  <c r="B203" i="609"/>
  <c r="AL204" i="609"/>
  <c r="C203" i="609"/>
  <c r="AM204" i="609"/>
  <c r="C201" i="605"/>
  <c r="AM202" i="605"/>
  <c r="B202" i="605"/>
  <c r="AL203" i="605"/>
  <c r="AM213" i="611" l="1"/>
  <c r="C212" i="611"/>
  <c r="AN214" i="611"/>
  <c r="D213" i="611"/>
  <c r="B206" i="611"/>
  <c r="AL207" i="611"/>
  <c r="AM205" i="609"/>
  <c r="C204" i="609"/>
  <c r="AL205" i="609"/>
  <c r="B204" i="609"/>
  <c r="AL204" i="605"/>
  <c r="B203" i="605"/>
  <c r="C202" i="605"/>
  <c r="AM203" i="605"/>
  <c r="B207" i="611" l="1"/>
  <c r="AL208" i="611"/>
  <c r="D214" i="611"/>
  <c r="AN215" i="611"/>
  <c r="C213" i="611"/>
  <c r="AM214" i="611"/>
  <c r="AL206" i="609"/>
  <c r="B205" i="609"/>
  <c r="C205" i="609"/>
  <c r="AM206" i="609"/>
  <c r="AM204" i="605"/>
  <c r="C203" i="605"/>
  <c r="B204" i="605"/>
  <c r="AL205" i="605"/>
  <c r="B208" i="611" l="1"/>
  <c r="AL209" i="611"/>
  <c r="C214" i="611"/>
  <c r="AM215" i="611"/>
  <c r="AN216" i="611"/>
  <c r="D215" i="611"/>
  <c r="AM207" i="609"/>
  <c r="C206" i="609"/>
  <c r="B206" i="609"/>
  <c r="AL207" i="609"/>
  <c r="B205" i="605"/>
  <c r="AL206" i="605"/>
  <c r="C204" i="605"/>
  <c r="AM205" i="605"/>
  <c r="D216" i="611" l="1"/>
  <c r="AN217" i="611"/>
  <c r="C215" i="611"/>
  <c r="AM216" i="611"/>
  <c r="B209" i="611"/>
  <c r="AL210" i="611"/>
  <c r="B207" i="609"/>
  <c r="AL208" i="609"/>
  <c r="C207" i="609"/>
  <c r="AM208" i="609"/>
  <c r="AM206" i="605"/>
  <c r="C205" i="605"/>
  <c r="AL207" i="605"/>
  <c r="B206" i="605"/>
  <c r="AL211" i="611" l="1"/>
  <c r="B210" i="611"/>
  <c r="C216" i="611"/>
  <c r="AM217" i="611"/>
  <c r="AN218" i="611"/>
  <c r="D217" i="611"/>
  <c r="AM209" i="609"/>
  <c r="C208" i="609"/>
  <c r="AL209" i="609"/>
  <c r="B208" i="609"/>
  <c r="AL208" i="605"/>
  <c r="B207" i="605"/>
  <c r="AM207" i="605"/>
  <c r="C206" i="605"/>
  <c r="C217" i="611" l="1"/>
  <c r="AM218" i="611"/>
  <c r="D218" i="611"/>
  <c r="AN219" i="611"/>
  <c r="AL212" i="611"/>
  <c r="B211" i="611"/>
  <c r="B209" i="609"/>
  <c r="AL210" i="609"/>
  <c r="C209" i="609"/>
  <c r="AM210" i="609"/>
  <c r="AM208" i="605"/>
  <c r="C207" i="605"/>
  <c r="AL209" i="605"/>
  <c r="B208" i="605"/>
  <c r="AN220" i="611" l="1"/>
  <c r="D219" i="611"/>
  <c r="C218" i="611"/>
  <c r="AM219" i="611"/>
  <c r="AL213" i="611"/>
  <c r="B212" i="611"/>
  <c r="B210" i="609"/>
  <c r="AL211" i="609"/>
  <c r="AM211" i="609"/>
  <c r="C210" i="609"/>
  <c r="AL210" i="605"/>
  <c r="B209" i="605"/>
  <c r="AM209" i="605"/>
  <c r="C208" i="605"/>
  <c r="B213" i="611" l="1"/>
  <c r="AL214" i="611"/>
  <c r="C219" i="611"/>
  <c r="AM220" i="611"/>
  <c r="D220" i="611"/>
  <c r="AN221" i="611"/>
  <c r="AM212" i="609"/>
  <c r="C211" i="609"/>
  <c r="AL212" i="609"/>
  <c r="B211" i="609"/>
  <c r="AM210" i="605"/>
  <c r="C209" i="605"/>
  <c r="AL211" i="605"/>
  <c r="B210" i="605"/>
  <c r="AN222" i="611" l="1"/>
  <c r="D221" i="611"/>
  <c r="C220" i="611"/>
  <c r="AM221" i="611"/>
  <c r="B214" i="611"/>
  <c r="AL215" i="611"/>
  <c r="AL213" i="609"/>
  <c r="B212" i="609"/>
  <c r="AM213" i="609"/>
  <c r="C212" i="609"/>
  <c r="AL212" i="605"/>
  <c r="B211" i="605"/>
  <c r="AM211" i="605"/>
  <c r="C210" i="605"/>
  <c r="C221" i="611" l="1"/>
  <c r="AM222" i="611"/>
  <c r="B215" i="611"/>
  <c r="AL216" i="611"/>
  <c r="D222" i="611"/>
  <c r="AN223" i="611"/>
  <c r="AM214" i="609"/>
  <c r="C213" i="609"/>
  <c r="AL214" i="609"/>
  <c r="B213" i="609"/>
  <c r="AM212" i="605"/>
  <c r="C211" i="605"/>
  <c r="B212" i="605"/>
  <c r="AL213" i="605"/>
  <c r="AN224" i="611" l="1"/>
  <c r="D223" i="611"/>
  <c r="B216" i="611"/>
  <c r="AL217" i="611"/>
  <c r="C222" i="611"/>
  <c r="AM223" i="611"/>
  <c r="AL215" i="609"/>
  <c r="B214" i="609"/>
  <c r="AM215" i="609"/>
  <c r="C214" i="609"/>
  <c r="AL214" i="605"/>
  <c r="B213" i="605"/>
  <c r="C212" i="605"/>
  <c r="AM213" i="605"/>
  <c r="C223" i="611" l="1"/>
  <c r="AM224" i="611"/>
  <c r="AL218" i="611"/>
  <c r="B217" i="611"/>
  <c r="AN225" i="611"/>
  <c r="D224" i="611"/>
  <c r="AM216" i="609"/>
  <c r="C215" i="609"/>
  <c r="AL216" i="609"/>
  <c r="B215" i="609"/>
  <c r="AM214" i="605"/>
  <c r="C213" i="605"/>
  <c r="AL215" i="605"/>
  <c r="B214" i="605"/>
  <c r="AM225" i="611" l="1"/>
  <c r="C224" i="611"/>
  <c r="AN226" i="611"/>
  <c r="D225" i="611"/>
  <c r="B218" i="611"/>
  <c r="AL219" i="611"/>
  <c r="AL217" i="609"/>
  <c r="B216" i="609"/>
  <c r="AM217" i="609"/>
  <c r="C216" i="609"/>
  <c r="AL216" i="605"/>
  <c r="B215" i="605"/>
  <c r="C214" i="605"/>
  <c r="AM215" i="605"/>
  <c r="B219" i="611" l="1"/>
  <c r="AL220" i="611"/>
  <c r="AN227" i="611"/>
  <c r="D226" i="611"/>
  <c r="AM226" i="611"/>
  <c r="C225" i="611"/>
  <c r="AM218" i="609"/>
  <c r="C217" i="609"/>
  <c r="AL218" i="609"/>
  <c r="B217" i="609"/>
  <c r="AM216" i="605"/>
  <c r="C215" i="605"/>
  <c r="AL217" i="605"/>
  <c r="B216" i="605"/>
  <c r="AM227" i="611" l="1"/>
  <c r="C226" i="611"/>
  <c r="B220" i="611"/>
  <c r="AL221" i="611"/>
  <c r="AN228" i="611"/>
  <c r="D227" i="611"/>
  <c r="AL219" i="609"/>
  <c r="B218" i="609"/>
  <c r="AM219" i="609"/>
  <c r="C218" i="609"/>
  <c r="B217" i="605"/>
  <c r="AL218" i="605"/>
  <c r="AM217" i="605"/>
  <c r="C216" i="605"/>
  <c r="AN229" i="611" l="1"/>
  <c r="D228" i="611"/>
  <c r="AL222" i="611"/>
  <c r="B221" i="611"/>
  <c r="AM228" i="611"/>
  <c r="C227" i="611"/>
  <c r="AM220" i="609"/>
  <c r="C219" i="609"/>
  <c r="AL220" i="609"/>
  <c r="B219" i="609"/>
  <c r="AL219" i="605"/>
  <c r="B218" i="605"/>
  <c r="C217" i="605"/>
  <c r="AM218" i="605"/>
  <c r="AM229" i="611" l="1"/>
  <c r="C228" i="611"/>
  <c r="B222" i="611"/>
  <c r="AL223" i="611"/>
  <c r="AN230" i="611"/>
  <c r="D229" i="611"/>
  <c r="AL221" i="609"/>
  <c r="B220" i="609"/>
  <c r="AM221" i="609"/>
  <c r="C220" i="609"/>
  <c r="AM219" i="605"/>
  <c r="C218" i="605"/>
  <c r="AL220" i="605"/>
  <c r="B219" i="605"/>
  <c r="D230" i="611" l="1"/>
  <c r="AN231" i="611"/>
  <c r="B223" i="611"/>
  <c r="AL224" i="611"/>
  <c r="AM230" i="611"/>
  <c r="C229" i="611"/>
  <c r="AM222" i="609"/>
  <c r="C221" i="609"/>
  <c r="AL222" i="609"/>
  <c r="B221" i="609"/>
  <c r="AL221" i="605"/>
  <c r="B220" i="605"/>
  <c r="AM220" i="605"/>
  <c r="C219" i="605"/>
  <c r="AL225" i="611" l="1"/>
  <c r="B224" i="611"/>
  <c r="AN232" i="611"/>
  <c r="D231" i="611"/>
  <c r="C230" i="611"/>
  <c r="AM231" i="611"/>
  <c r="AL223" i="609"/>
  <c r="B222" i="609"/>
  <c r="AM223" i="609"/>
  <c r="C222" i="609"/>
  <c r="AM221" i="605"/>
  <c r="C220" i="605"/>
  <c r="AL222" i="605"/>
  <c r="B221" i="605"/>
  <c r="C231" i="611" l="1"/>
  <c r="AM232" i="611"/>
  <c r="AN233" i="611"/>
  <c r="D232" i="611"/>
  <c r="AL226" i="611"/>
  <c r="B225" i="611"/>
  <c r="C223" i="609"/>
  <c r="AM224" i="609"/>
  <c r="AL224" i="609"/>
  <c r="B223" i="609"/>
  <c r="B222" i="605"/>
  <c r="AL223" i="605"/>
  <c r="C221" i="605"/>
  <c r="AM222" i="605"/>
  <c r="AM233" i="611" l="1"/>
  <c r="C232" i="611"/>
  <c r="AL227" i="611"/>
  <c r="B226" i="611"/>
  <c r="AN234" i="611"/>
  <c r="D233" i="611"/>
  <c r="AM225" i="609"/>
  <c r="C224" i="609"/>
  <c r="AL225" i="609"/>
  <c r="B224" i="609"/>
  <c r="AM223" i="605"/>
  <c r="C222" i="605"/>
  <c r="AL224" i="605"/>
  <c r="B223" i="605"/>
  <c r="AN235" i="611" l="1"/>
  <c r="D234" i="611"/>
  <c r="AL228" i="611"/>
  <c r="B227" i="611"/>
  <c r="AM234" i="611"/>
  <c r="C233" i="611"/>
  <c r="AL226" i="609"/>
  <c r="B225" i="609"/>
  <c r="C225" i="609"/>
  <c r="AM226" i="609"/>
  <c r="AL225" i="605"/>
  <c r="B224" i="605"/>
  <c r="AM224" i="605"/>
  <c r="C223" i="605"/>
  <c r="AM235" i="611" l="1"/>
  <c r="C234" i="611"/>
  <c r="AL229" i="611"/>
  <c r="B228" i="611"/>
  <c r="AN236" i="611"/>
  <c r="D235" i="611"/>
  <c r="AM227" i="609"/>
  <c r="C226" i="609"/>
  <c r="AL227" i="609"/>
  <c r="B226" i="609"/>
  <c r="AM225" i="605"/>
  <c r="C224" i="605"/>
  <c r="AL226" i="605"/>
  <c r="B225" i="605"/>
  <c r="AN237" i="611" l="1"/>
  <c r="D236" i="611"/>
  <c r="AL230" i="611"/>
  <c r="B229" i="611"/>
  <c r="AM236" i="611"/>
  <c r="C235" i="611"/>
  <c r="AL228" i="609"/>
  <c r="B227" i="609"/>
  <c r="C227" i="609"/>
  <c r="AM228" i="609"/>
  <c r="B226" i="605"/>
  <c r="AL227" i="605"/>
  <c r="AM226" i="605"/>
  <c r="C225" i="605"/>
  <c r="B230" i="611" l="1"/>
  <c r="AL231" i="611"/>
  <c r="AM237" i="611"/>
  <c r="C236" i="611"/>
  <c r="AN238" i="611"/>
  <c r="D237" i="611"/>
  <c r="AM229" i="609"/>
  <c r="C228" i="609"/>
  <c r="AL229" i="609"/>
  <c r="B228" i="609"/>
  <c r="C226" i="605"/>
  <c r="AM227" i="605"/>
  <c r="B227" i="605"/>
  <c r="AL228" i="605"/>
  <c r="AN239" i="611" l="1"/>
  <c r="D238" i="611"/>
  <c r="B231" i="611"/>
  <c r="AL232" i="611"/>
  <c r="AM238" i="611"/>
  <c r="C237" i="611"/>
  <c r="AL230" i="609"/>
  <c r="B229" i="609"/>
  <c r="AM230" i="609"/>
  <c r="C229" i="609"/>
  <c r="AL229" i="605"/>
  <c r="B228" i="605"/>
  <c r="AM228" i="605"/>
  <c r="C227" i="605"/>
  <c r="AM239" i="611" l="1"/>
  <c r="C238" i="611"/>
  <c r="B232" i="611"/>
  <c r="AL233" i="611"/>
  <c r="AN240" i="611"/>
  <c r="D239" i="611"/>
  <c r="AM231" i="609"/>
  <c r="C230" i="609"/>
  <c r="AL231" i="609"/>
  <c r="B230" i="609"/>
  <c r="AM229" i="605"/>
  <c r="C228" i="605"/>
  <c r="B229" i="605"/>
  <c r="AL230" i="605"/>
  <c r="AN241" i="611" l="1"/>
  <c r="D240" i="611"/>
  <c r="AL234" i="611"/>
  <c r="B233" i="611"/>
  <c r="AM240" i="611"/>
  <c r="C239" i="611"/>
  <c r="AL232" i="609"/>
  <c r="B231" i="609"/>
  <c r="AM232" i="609"/>
  <c r="C231" i="609"/>
  <c r="B230" i="605"/>
  <c r="AL231" i="605"/>
  <c r="AM230" i="605"/>
  <c r="C229" i="605"/>
  <c r="AL235" i="611" l="1"/>
  <c r="B234" i="611"/>
  <c r="AM241" i="611"/>
  <c r="C240" i="611"/>
  <c r="AN242" i="611"/>
  <c r="D241" i="611"/>
  <c r="AM233" i="609"/>
  <c r="C232" i="609"/>
  <c r="AL233" i="609"/>
  <c r="B232" i="609"/>
  <c r="C230" i="605"/>
  <c r="AM231" i="605"/>
  <c r="B231" i="605"/>
  <c r="AL232" i="605"/>
  <c r="D242" i="611" l="1"/>
  <c r="AN243" i="611"/>
  <c r="AM242" i="611"/>
  <c r="C241" i="611"/>
  <c r="AL236" i="611"/>
  <c r="B235" i="611"/>
  <c r="AL234" i="609"/>
  <c r="B233" i="609"/>
  <c r="AM234" i="609"/>
  <c r="C233" i="609"/>
  <c r="B232" i="605"/>
  <c r="AL233" i="605"/>
  <c r="AM232" i="605"/>
  <c r="C231" i="605"/>
  <c r="AN244" i="611" l="1"/>
  <c r="D243" i="611"/>
  <c r="AL237" i="611"/>
  <c r="B236" i="611"/>
  <c r="C242" i="611"/>
  <c r="AM243" i="611"/>
  <c r="AM235" i="609"/>
  <c r="C234" i="609"/>
  <c r="AL235" i="609"/>
  <c r="B234" i="609"/>
  <c r="C232" i="605"/>
  <c r="AM233" i="605"/>
  <c r="B233" i="605"/>
  <c r="AL234" i="605"/>
  <c r="AM244" i="611" l="1"/>
  <c r="C243" i="611"/>
  <c r="AL238" i="611"/>
  <c r="B237" i="611"/>
  <c r="AN245" i="611"/>
  <c r="D244" i="611"/>
  <c r="AL236" i="609"/>
  <c r="B235" i="609"/>
  <c r="AM236" i="609"/>
  <c r="C235" i="609"/>
  <c r="AM234" i="605"/>
  <c r="C233" i="605"/>
  <c r="AL235" i="605"/>
  <c r="B234" i="605"/>
  <c r="AN246" i="611" l="1"/>
  <c r="D245" i="611"/>
  <c r="AL239" i="611"/>
  <c r="B238" i="611"/>
  <c r="AM245" i="611"/>
  <c r="C244" i="611"/>
  <c r="AM237" i="609"/>
  <c r="C236" i="609"/>
  <c r="AL237" i="609"/>
  <c r="B236" i="609"/>
  <c r="AL236" i="605"/>
  <c r="B235" i="605"/>
  <c r="AM235" i="605"/>
  <c r="C234" i="605"/>
  <c r="AL240" i="611" l="1"/>
  <c r="B239" i="611"/>
  <c r="AM246" i="611"/>
  <c r="C245" i="611"/>
  <c r="AN247" i="611"/>
  <c r="D246" i="611"/>
  <c r="B237" i="609"/>
  <c r="AL238" i="609"/>
  <c r="C237" i="609"/>
  <c r="AM238" i="609"/>
  <c r="AM236" i="605"/>
  <c r="C235" i="605"/>
  <c r="B236" i="605"/>
  <c r="AL237" i="605"/>
  <c r="AN248" i="611" l="1"/>
  <c r="D247" i="611"/>
  <c r="AM247" i="611"/>
  <c r="C246" i="611"/>
  <c r="AL241" i="611"/>
  <c r="B240" i="611"/>
  <c r="AM239" i="609"/>
  <c r="C238" i="609"/>
  <c r="AL239" i="609"/>
  <c r="B238" i="609"/>
  <c r="B237" i="605"/>
  <c r="AL238" i="605"/>
  <c r="C236" i="605"/>
  <c r="AM237" i="605"/>
  <c r="AM248" i="611" l="1"/>
  <c r="C247" i="611"/>
  <c r="AL242" i="611"/>
  <c r="B241" i="611"/>
  <c r="AN249" i="611"/>
  <c r="D248" i="611"/>
  <c r="AL240" i="609"/>
  <c r="B239" i="609"/>
  <c r="AM240" i="609"/>
  <c r="C239" i="609"/>
  <c r="B238" i="605"/>
  <c r="AL239" i="605"/>
  <c r="AM238" i="605"/>
  <c r="C237" i="605"/>
  <c r="AN250" i="611" l="1"/>
  <c r="D249" i="611"/>
  <c r="AL243" i="611"/>
  <c r="B242" i="611"/>
  <c r="AM249" i="611"/>
  <c r="C248" i="611"/>
  <c r="AM241" i="609"/>
  <c r="C240" i="609"/>
  <c r="AL241" i="609"/>
  <c r="B240" i="609"/>
  <c r="C238" i="605"/>
  <c r="AM239" i="605"/>
  <c r="B239" i="605"/>
  <c r="AL240" i="605"/>
  <c r="AM250" i="611" l="1"/>
  <c r="C249" i="611"/>
  <c r="AL244" i="611"/>
  <c r="B243" i="611"/>
  <c r="AN251" i="611"/>
  <c r="D250" i="611"/>
  <c r="AL242" i="609"/>
  <c r="B241" i="609"/>
  <c r="AM242" i="609"/>
  <c r="C241" i="609"/>
  <c r="AL241" i="605"/>
  <c r="B240" i="605"/>
  <c r="AM240" i="605"/>
  <c r="C239" i="605"/>
  <c r="AL245" i="611" l="1"/>
  <c r="B244" i="611"/>
  <c r="AN252" i="611"/>
  <c r="D251" i="611"/>
  <c r="AM251" i="611"/>
  <c r="C250" i="611"/>
  <c r="AM243" i="609"/>
  <c r="C242" i="609"/>
  <c r="AL243" i="609"/>
  <c r="B242" i="609"/>
  <c r="AM241" i="605"/>
  <c r="C240" i="605"/>
  <c r="AL242" i="605"/>
  <c r="B241" i="605"/>
  <c r="AM252" i="611" l="1"/>
  <c r="C251" i="611"/>
  <c r="AN253" i="611"/>
  <c r="D252" i="611"/>
  <c r="AL246" i="611"/>
  <c r="B245" i="611"/>
  <c r="AL244" i="609"/>
  <c r="B243" i="609"/>
  <c r="AM244" i="609"/>
  <c r="C243" i="609"/>
  <c r="B242" i="605"/>
  <c r="AL243" i="605"/>
  <c r="AM242" i="605"/>
  <c r="C241" i="605"/>
  <c r="AN254" i="611" l="1"/>
  <c r="D253" i="611"/>
  <c r="AL247" i="611"/>
  <c r="B246" i="611"/>
  <c r="AM253" i="611"/>
  <c r="C252" i="611"/>
  <c r="AM245" i="609"/>
  <c r="C244" i="609"/>
  <c r="AL245" i="609"/>
  <c r="B244" i="609"/>
  <c r="B243" i="605"/>
  <c r="AL244" i="605"/>
  <c r="AM243" i="605"/>
  <c r="C242" i="605"/>
  <c r="AM254" i="611" l="1"/>
  <c r="C253" i="611"/>
  <c r="AL248" i="611"/>
  <c r="B247" i="611"/>
  <c r="AN255" i="611"/>
  <c r="D254" i="611"/>
  <c r="AL246" i="609"/>
  <c r="B245" i="609"/>
  <c r="AM246" i="609"/>
  <c r="C245" i="609"/>
  <c r="AM244" i="605"/>
  <c r="C243" i="605"/>
  <c r="B244" i="605"/>
  <c r="AL245" i="605"/>
  <c r="AN256" i="611" l="1"/>
  <c r="D255" i="611"/>
  <c r="AL249" i="611"/>
  <c r="B248" i="611"/>
  <c r="AM255" i="611"/>
  <c r="C254" i="611"/>
  <c r="AM247" i="609"/>
  <c r="C246" i="609"/>
  <c r="AL247" i="609"/>
  <c r="B246" i="609"/>
  <c r="B245" i="605"/>
  <c r="AL246" i="605"/>
  <c r="C244" i="605"/>
  <c r="AM245" i="605"/>
  <c r="AM256" i="611" l="1"/>
  <c r="C255" i="611"/>
  <c r="AL250" i="611"/>
  <c r="B249" i="611"/>
  <c r="AN257" i="611"/>
  <c r="D256" i="611"/>
  <c r="AL248" i="609"/>
  <c r="B247" i="609"/>
  <c r="AM248" i="609"/>
  <c r="C247" i="609"/>
  <c r="AM246" i="605"/>
  <c r="C245" i="605"/>
  <c r="B246" i="605"/>
  <c r="AL247" i="605"/>
  <c r="AN258" i="611" l="1"/>
  <c r="D257" i="611"/>
  <c r="AL251" i="611"/>
  <c r="B250" i="611"/>
  <c r="AM257" i="611"/>
  <c r="C256" i="611"/>
  <c r="AM249" i="609"/>
  <c r="C248" i="609"/>
  <c r="AL249" i="609"/>
  <c r="B248" i="609"/>
  <c r="AL248" i="605"/>
  <c r="B247" i="605"/>
  <c r="AM247" i="605"/>
  <c r="C246" i="605"/>
  <c r="AM258" i="611" l="1"/>
  <c r="C257" i="611"/>
  <c r="AL252" i="611"/>
  <c r="B251" i="611"/>
  <c r="D258" i="611"/>
  <c r="AN259" i="611"/>
  <c r="AL250" i="609"/>
  <c r="B249" i="609"/>
  <c r="AM250" i="609"/>
  <c r="C249" i="609"/>
  <c r="AM248" i="605"/>
  <c r="C247" i="605"/>
  <c r="B248" i="605"/>
  <c r="AL249" i="605"/>
  <c r="D259" i="611" l="1"/>
  <c r="AN260" i="611"/>
  <c r="AL253" i="611"/>
  <c r="B252" i="611"/>
  <c r="C258" i="611"/>
  <c r="AM259" i="611"/>
  <c r="AM251" i="609"/>
  <c r="C250" i="609"/>
  <c r="AL251" i="609"/>
  <c r="B250" i="609"/>
  <c r="B249" i="605"/>
  <c r="AL250" i="605"/>
  <c r="C248" i="605"/>
  <c r="AM249" i="605"/>
  <c r="AL254" i="611" l="1"/>
  <c r="B253" i="611"/>
  <c r="C259" i="611"/>
  <c r="AM260" i="611"/>
  <c r="D260" i="611"/>
  <c r="AN261" i="611"/>
  <c r="AL252" i="609"/>
  <c r="B251" i="609"/>
  <c r="AM252" i="609"/>
  <c r="C251" i="609"/>
  <c r="AM250" i="605"/>
  <c r="C249" i="605"/>
  <c r="B250" i="605"/>
  <c r="AL251" i="605"/>
  <c r="D261" i="611" l="1"/>
  <c r="AN262" i="611"/>
  <c r="C260" i="611"/>
  <c r="AM261" i="611"/>
  <c r="AL255" i="611"/>
  <c r="B254" i="611"/>
  <c r="AM253" i="609"/>
  <c r="C252" i="609"/>
  <c r="AL253" i="609"/>
  <c r="B252" i="609"/>
  <c r="B251" i="605"/>
  <c r="AL252" i="605"/>
  <c r="C250" i="605"/>
  <c r="AM251" i="605"/>
  <c r="AL256" i="611" l="1"/>
  <c r="B255" i="611"/>
  <c r="AM262" i="611"/>
  <c r="C261" i="611"/>
  <c r="D262" i="611"/>
  <c r="AN263" i="611"/>
  <c r="AL254" i="609"/>
  <c r="B253" i="609"/>
  <c r="AM254" i="609"/>
  <c r="C253" i="609"/>
  <c r="AM252" i="605"/>
  <c r="C251" i="605"/>
  <c r="B252" i="605"/>
  <c r="AL253" i="605"/>
  <c r="D263" i="611" l="1"/>
  <c r="AN264" i="611"/>
  <c r="AM263" i="611"/>
  <c r="C262" i="611"/>
  <c r="AL257" i="611"/>
  <c r="B256" i="611"/>
  <c r="AM255" i="609"/>
  <c r="C254" i="609"/>
  <c r="AL255" i="609"/>
  <c r="B254" i="609"/>
  <c r="AL254" i="605"/>
  <c r="B253" i="605"/>
  <c r="C252" i="605"/>
  <c r="AM253" i="605"/>
  <c r="C263" i="611" l="1"/>
  <c r="AM264" i="611"/>
  <c r="D264" i="611"/>
  <c r="AN265" i="611"/>
  <c r="AL258" i="611"/>
  <c r="B257" i="611"/>
  <c r="AL256" i="609"/>
  <c r="B255" i="609"/>
  <c r="AM256" i="609"/>
  <c r="C255" i="609"/>
  <c r="AM254" i="605"/>
  <c r="C253" i="605"/>
  <c r="B254" i="605"/>
  <c r="AL255" i="605"/>
  <c r="B258" i="611" l="1"/>
  <c r="AL259" i="611"/>
  <c r="D265" i="611"/>
  <c r="AN266" i="611"/>
  <c r="C264" i="611"/>
  <c r="AM265" i="611"/>
  <c r="AM257" i="609"/>
  <c r="C256" i="609"/>
  <c r="AL257" i="609"/>
  <c r="B256" i="609"/>
  <c r="B255" i="605"/>
  <c r="AL256" i="605"/>
  <c r="C254" i="605"/>
  <c r="AM255" i="605"/>
  <c r="AM266" i="611" l="1"/>
  <c r="C265" i="611"/>
  <c r="B259" i="611"/>
  <c r="AL260" i="611"/>
  <c r="D266" i="611"/>
  <c r="AN267" i="611"/>
  <c r="AL258" i="609"/>
  <c r="B257" i="609"/>
  <c r="AM258" i="609"/>
  <c r="C257" i="609"/>
  <c r="AM256" i="605"/>
  <c r="C255" i="605"/>
  <c r="B256" i="605"/>
  <c r="AL257" i="605"/>
  <c r="D267" i="611" l="1"/>
  <c r="AN268" i="611"/>
  <c r="B260" i="611"/>
  <c r="AL261" i="611"/>
  <c r="C266" i="611"/>
  <c r="AM267" i="611"/>
  <c r="AM259" i="609"/>
  <c r="C258" i="609"/>
  <c r="AL259" i="609"/>
  <c r="B258" i="609"/>
  <c r="B257" i="605"/>
  <c r="AL258" i="605"/>
  <c r="C256" i="605"/>
  <c r="AM257" i="605"/>
  <c r="AM268" i="611" l="1"/>
  <c r="C267" i="611"/>
  <c r="B261" i="611"/>
  <c r="AL262" i="611"/>
  <c r="D268" i="611"/>
  <c r="AN269" i="611"/>
  <c r="AL260" i="609"/>
  <c r="B259" i="609"/>
  <c r="AM260" i="609"/>
  <c r="C259" i="609"/>
  <c r="AM258" i="605"/>
  <c r="C257" i="605"/>
  <c r="B258" i="605"/>
  <c r="AL259" i="605"/>
  <c r="D269" i="611" l="1"/>
  <c r="AN270" i="611"/>
  <c r="B262" i="611"/>
  <c r="AL263" i="611"/>
  <c r="C268" i="611"/>
  <c r="AM269" i="611"/>
  <c r="AM261" i="609"/>
  <c r="C260" i="609"/>
  <c r="AL261" i="609"/>
  <c r="B260" i="609"/>
  <c r="B259" i="605"/>
  <c r="AL260" i="605"/>
  <c r="C258" i="605"/>
  <c r="AM259" i="605"/>
  <c r="AM270" i="611" l="1"/>
  <c r="C269" i="611"/>
  <c r="D270" i="611"/>
  <c r="AN271" i="611"/>
  <c r="B263" i="611"/>
  <c r="AL264" i="611"/>
  <c r="AL262" i="609"/>
  <c r="B261" i="609"/>
  <c r="AM262" i="609"/>
  <c r="C261" i="609"/>
  <c r="AM260" i="605"/>
  <c r="C259" i="605"/>
  <c r="AL261" i="605"/>
  <c r="B260" i="605"/>
  <c r="B264" i="611" l="1"/>
  <c r="AL265" i="611"/>
  <c r="D271" i="611"/>
  <c r="AN272" i="611"/>
  <c r="C270" i="611"/>
  <c r="AM271" i="611"/>
  <c r="AM263" i="609"/>
  <c r="C262" i="609"/>
  <c r="AL263" i="609"/>
  <c r="B262" i="609"/>
  <c r="B261" i="605"/>
  <c r="AL262" i="605"/>
  <c r="C260" i="605"/>
  <c r="AM261" i="605"/>
  <c r="C271" i="611" l="1"/>
  <c r="AM272" i="611"/>
  <c r="B265" i="611"/>
  <c r="AL266" i="611"/>
  <c r="D272" i="611"/>
  <c r="AN273" i="611"/>
  <c r="AL264" i="609"/>
  <c r="B263" i="609"/>
  <c r="AM264" i="609"/>
  <c r="C263" i="609"/>
  <c r="AM262" i="605"/>
  <c r="C261" i="605"/>
  <c r="B262" i="605"/>
  <c r="AL263" i="605"/>
  <c r="D273" i="611" l="1"/>
  <c r="AN274" i="611"/>
  <c r="AM273" i="611"/>
  <c r="C272" i="611"/>
  <c r="B266" i="611"/>
  <c r="AL267" i="611"/>
  <c r="AM265" i="609"/>
  <c r="C264" i="609"/>
  <c r="AL265" i="609"/>
  <c r="B264" i="609"/>
  <c r="B263" i="605"/>
  <c r="AL264" i="605"/>
  <c r="C262" i="605"/>
  <c r="AM263" i="605"/>
  <c r="AM274" i="611" l="1"/>
  <c r="C273" i="611"/>
  <c r="D274" i="611"/>
  <c r="AN275" i="611"/>
  <c r="B267" i="611"/>
  <c r="AL268" i="611"/>
  <c r="AL266" i="609"/>
  <c r="B265" i="609"/>
  <c r="AM266" i="609"/>
  <c r="C265" i="609"/>
  <c r="AM264" i="605"/>
  <c r="C263" i="605"/>
  <c r="B264" i="605"/>
  <c r="AL265" i="605"/>
  <c r="B268" i="611" l="1"/>
  <c r="AL269" i="611"/>
  <c r="AN276" i="611"/>
  <c r="D275" i="611"/>
  <c r="C274" i="611"/>
  <c r="AM275" i="611"/>
  <c r="AM267" i="609"/>
  <c r="C266" i="609"/>
  <c r="AL267" i="609"/>
  <c r="B266" i="609"/>
  <c r="B265" i="605"/>
  <c r="AL266" i="605"/>
  <c r="C264" i="605"/>
  <c r="AM265" i="605"/>
  <c r="D276" i="611" l="1"/>
  <c r="AN277" i="611"/>
  <c r="B269" i="611"/>
  <c r="AL270" i="611"/>
  <c r="C275" i="611"/>
  <c r="AM276" i="611"/>
  <c r="AL268" i="609"/>
  <c r="B267" i="609"/>
  <c r="AM268" i="609"/>
  <c r="C267" i="609"/>
  <c r="AM266" i="605"/>
  <c r="C265" i="605"/>
  <c r="AL267" i="605"/>
  <c r="B266" i="605"/>
  <c r="C276" i="611" l="1"/>
  <c r="AM277" i="611"/>
  <c r="D277" i="611"/>
  <c r="AN278" i="611"/>
  <c r="B270" i="611"/>
  <c r="AL271" i="611"/>
  <c r="AM269" i="609"/>
  <c r="C268" i="609"/>
  <c r="AL269" i="609"/>
  <c r="B268" i="609"/>
  <c r="B267" i="605"/>
  <c r="AL268" i="605"/>
  <c r="AM267" i="605"/>
  <c r="C266" i="605"/>
  <c r="B271" i="611" l="1"/>
  <c r="AL272" i="611"/>
  <c r="AN279" i="611"/>
  <c r="D278" i="611"/>
  <c r="AM278" i="611"/>
  <c r="C277" i="611"/>
  <c r="AL270" i="609"/>
  <c r="B269" i="609"/>
  <c r="AM270" i="609"/>
  <c r="C269" i="609"/>
  <c r="C267" i="605"/>
  <c r="AM268" i="605"/>
  <c r="AL269" i="605"/>
  <c r="B268" i="605"/>
  <c r="AN280" i="611" l="1"/>
  <c r="D279" i="611"/>
  <c r="AM279" i="611"/>
  <c r="C278" i="611"/>
  <c r="AL273" i="611"/>
  <c r="B272" i="611"/>
  <c r="AM271" i="609"/>
  <c r="C270" i="609"/>
  <c r="B270" i="609"/>
  <c r="AL271" i="609"/>
  <c r="B269" i="605"/>
  <c r="AL270" i="605"/>
  <c r="AM269" i="605"/>
  <c r="C268" i="605"/>
  <c r="B273" i="611" l="1"/>
  <c r="AL274" i="611"/>
  <c r="C279" i="611"/>
  <c r="AM280" i="611"/>
  <c r="D280" i="611"/>
  <c r="AN281" i="611"/>
  <c r="B271" i="609"/>
  <c r="AL272" i="609"/>
  <c r="C271" i="609"/>
  <c r="AM272" i="609"/>
  <c r="C269" i="605"/>
  <c r="AM270" i="605"/>
  <c r="AL271" i="605"/>
  <c r="B270" i="605"/>
  <c r="C280" i="611" l="1"/>
  <c r="AM281" i="611"/>
  <c r="B274" i="611"/>
  <c r="AL275" i="611"/>
  <c r="D281" i="611"/>
  <c r="AN282" i="611"/>
  <c r="C272" i="609"/>
  <c r="AM273" i="609"/>
  <c r="B272" i="609"/>
  <c r="AL273" i="609"/>
  <c r="B271" i="605"/>
  <c r="AL272" i="605"/>
  <c r="AM271" i="605"/>
  <c r="C270" i="605"/>
  <c r="D282" i="611" l="1"/>
  <c r="AN283" i="611"/>
  <c r="AM282" i="611"/>
  <c r="C281" i="611"/>
  <c r="B275" i="611"/>
  <c r="AL276" i="611"/>
  <c r="B273" i="609"/>
  <c r="AL274" i="609"/>
  <c r="C273" i="609"/>
  <c r="AM274" i="609"/>
  <c r="C271" i="605"/>
  <c r="AM272" i="605"/>
  <c r="B272" i="605"/>
  <c r="AL273" i="605"/>
  <c r="B276" i="611" l="1"/>
  <c r="AL277" i="611"/>
  <c r="C282" i="611"/>
  <c r="AM283" i="611"/>
  <c r="AN284" i="611"/>
  <c r="D283" i="611"/>
  <c r="C274" i="609"/>
  <c r="AM275" i="609"/>
  <c r="B274" i="609"/>
  <c r="AL275" i="609"/>
  <c r="AL274" i="605"/>
  <c r="B273" i="605"/>
  <c r="C272" i="605"/>
  <c r="AM273" i="605"/>
  <c r="C283" i="611" l="1"/>
  <c r="AM284" i="611"/>
  <c r="B277" i="611"/>
  <c r="AL278" i="611"/>
  <c r="D284" i="611"/>
  <c r="AN285" i="611"/>
  <c r="B275" i="609"/>
  <c r="AL276" i="609"/>
  <c r="C275" i="609"/>
  <c r="AM276" i="609"/>
  <c r="AM274" i="605"/>
  <c r="C273" i="605"/>
  <c r="B274" i="605"/>
  <c r="AL275" i="605"/>
  <c r="B278" i="611" l="1"/>
  <c r="AL279" i="611"/>
  <c r="AN286" i="611"/>
  <c r="D285" i="611"/>
  <c r="C284" i="611"/>
  <c r="AM285" i="611"/>
  <c r="C276" i="609"/>
  <c r="AM277" i="609"/>
  <c r="B276" i="609"/>
  <c r="AL277" i="609"/>
  <c r="B275" i="605"/>
  <c r="AL276" i="605"/>
  <c r="C274" i="605"/>
  <c r="AM275" i="605"/>
  <c r="AM286" i="611" l="1"/>
  <c r="C285" i="611"/>
  <c r="D286" i="611"/>
  <c r="AN287" i="611"/>
  <c r="AL280" i="611"/>
  <c r="B279" i="611"/>
  <c r="C277" i="609"/>
  <c r="AM278" i="609"/>
  <c r="B277" i="609"/>
  <c r="AL278" i="609"/>
  <c r="C275" i="605"/>
  <c r="AM276" i="605"/>
  <c r="AL277" i="605"/>
  <c r="B276" i="605"/>
  <c r="B280" i="611" l="1"/>
  <c r="AL281" i="611"/>
  <c r="AN288" i="611"/>
  <c r="D287" i="611"/>
  <c r="AM287" i="611"/>
  <c r="C286" i="611"/>
  <c r="B278" i="609"/>
  <c r="AL279" i="609"/>
  <c r="C278" i="609"/>
  <c r="AM279" i="609"/>
  <c r="AM277" i="605"/>
  <c r="C276" i="605"/>
  <c r="B277" i="605"/>
  <c r="AL278" i="605"/>
  <c r="C287" i="611" l="1"/>
  <c r="AM288" i="611"/>
  <c r="D288" i="611"/>
  <c r="AN289" i="611"/>
  <c r="B281" i="611"/>
  <c r="AL282" i="611"/>
  <c r="AM280" i="609"/>
  <c r="C279" i="609"/>
  <c r="B279" i="609"/>
  <c r="AL280" i="609"/>
  <c r="B278" i="605"/>
  <c r="AL279" i="605"/>
  <c r="AM278" i="605"/>
  <c r="C277" i="605"/>
  <c r="D289" i="611" l="1"/>
  <c r="AN290" i="611"/>
  <c r="C288" i="611"/>
  <c r="AM289" i="611"/>
  <c r="B282" i="611"/>
  <c r="AL283" i="611"/>
  <c r="B280" i="609"/>
  <c r="AL281" i="609"/>
  <c r="C280" i="609"/>
  <c r="AM281" i="609"/>
  <c r="AM279" i="605"/>
  <c r="C278" i="605"/>
  <c r="B279" i="605"/>
  <c r="AL280" i="605"/>
  <c r="B283" i="611" l="1"/>
  <c r="AL284" i="611"/>
  <c r="AM290" i="611"/>
  <c r="C289" i="611"/>
  <c r="D290" i="611"/>
  <c r="AN291" i="611"/>
  <c r="C281" i="609"/>
  <c r="AM282" i="609"/>
  <c r="B281" i="609"/>
  <c r="AL282" i="609"/>
  <c r="AL281" i="605"/>
  <c r="B280" i="605"/>
  <c r="AM280" i="605"/>
  <c r="C279" i="605"/>
  <c r="C290" i="611" l="1"/>
  <c r="AM291" i="611"/>
  <c r="AN292" i="611"/>
  <c r="D291" i="611"/>
  <c r="B284" i="611"/>
  <c r="AL285" i="611"/>
  <c r="C282" i="609"/>
  <c r="AM283" i="609"/>
  <c r="B282" i="609"/>
  <c r="AL283" i="609"/>
  <c r="AM281" i="605"/>
  <c r="C280" i="605"/>
  <c r="AL282" i="605"/>
  <c r="B281" i="605"/>
  <c r="B285" i="611" l="1"/>
  <c r="AL286" i="611"/>
  <c r="AN293" i="611"/>
  <c r="D292" i="611"/>
  <c r="C291" i="611"/>
  <c r="AM292" i="611"/>
  <c r="C283" i="609"/>
  <c r="AM284" i="609"/>
  <c r="B283" i="609"/>
  <c r="AL284" i="609"/>
  <c r="AL283" i="605"/>
  <c r="B282" i="605"/>
  <c r="C281" i="605"/>
  <c r="AM282" i="605"/>
  <c r="AM293" i="611" l="1"/>
  <c r="C292" i="611"/>
  <c r="AN294" i="611"/>
  <c r="D293" i="611"/>
  <c r="AL287" i="611"/>
  <c r="B286" i="611"/>
  <c r="AL285" i="609"/>
  <c r="B284" i="609"/>
  <c r="C284" i="609"/>
  <c r="AM285" i="609"/>
  <c r="AM283" i="605"/>
  <c r="C282" i="605"/>
  <c r="B283" i="605"/>
  <c r="AL284" i="605"/>
  <c r="D294" i="611" l="1"/>
  <c r="AN295" i="611"/>
  <c r="B287" i="611"/>
  <c r="AL288" i="611"/>
  <c r="AM294" i="611"/>
  <c r="C293" i="611"/>
  <c r="C285" i="609"/>
  <c r="AM286" i="609"/>
  <c r="AL286" i="609"/>
  <c r="B285" i="609"/>
  <c r="B284" i="605"/>
  <c r="AL285" i="605"/>
  <c r="C283" i="605"/>
  <c r="AM284" i="605"/>
  <c r="AN296" i="611" l="1"/>
  <c r="D295" i="611"/>
  <c r="C294" i="611"/>
  <c r="AM295" i="611"/>
  <c r="B288" i="611"/>
  <c r="AL289" i="611"/>
  <c r="B286" i="609"/>
  <c r="AL287" i="609"/>
  <c r="C286" i="609"/>
  <c r="AM287" i="609"/>
  <c r="AM285" i="605"/>
  <c r="C284" i="605"/>
  <c r="AL286" i="605"/>
  <c r="B285" i="605"/>
  <c r="B289" i="611" l="1"/>
  <c r="AL290" i="611"/>
  <c r="C295" i="611"/>
  <c r="AM296" i="611"/>
  <c r="D296" i="611"/>
  <c r="AN297" i="611"/>
  <c r="B287" i="609"/>
  <c r="AL288" i="609"/>
  <c r="C287" i="609"/>
  <c r="AM288" i="609"/>
  <c r="B286" i="605"/>
  <c r="AL287" i="605"/>
  <c r="AM286" i="605"/>
  <c r="C285" i="605"/>
  <c r="C296" i="611" l="1"/>
  <c r="AM297" i="611"/>
  <c r="D297" i="611"/>
  <c r="AN298" i="611"/>
  <c r="B290" i="611"/>
  <c r="AL291" i="611"/>
  <c r="C288" i="609"/>
  <c r="AM289" i="609"/>
  <c r="AL289" i="609"/>
  <c r="B288" i="609"/>
  <c r="C286" i="605"/>
  <c r="AM287" i="605"/>
  <c r="B287" i="605"/>
  <c r="AL288" i="605"/>
  <c r="D298" i="611" l="1"/>
  <c r="AN299" i="611"/>
  <c r="B291" i="611"/>
  <c r="AL292" i="611"/>
  <c r="AM298" i="611"/>
  <c r="C297" i="611"/>
  <c r="B289" i="609"/>
  <c r="AL290" i="609"/>
  <c r="C289" i="609"/>
  <c r="AM290" i="609"/>
  <c r="B288" i="605"/>
  <c r="AL289" i="605"/>
  <c r="AM288" i="605"/>
  <c r="C287" i="605"/>
  <c r="B292" i="611" l="1"/>
  <c r="AL293" i="611"/>
  <c r="AN300" i="611"/>
  <c r="D299" i="611"/>
  <c r="C298" i="611"/>
  <c r="AM299" i="611"/>
  <c r="C290" i="609"/>
  <c r="AM291" i="609"/>
  <c r="B290" i="609"/>
  <c r="AL291" i="609"/>
  <c r="AM289" i="605"/>
  <c r="C288" i="605"/>
  <c r="B289" i="605"/>
  <c r="AL290" i="605"/>
  <c r="C299" i="611" l="1"/>
  <c r="AM300" i="611"/>
  <c r="AN301" i="611"/>
  <c r="D300" i="611"/>
  <c r="AL294" i="611"/>
  <c r="B293" i="611"/>
  <c r="B291" i="609"/>
  <c r="AL292" i="609"/>
  <c r="AM292" i="609"/>
  <c r="C291" i="609"/>
  <c r="B290" i="605"/>
  <c r="AL291" i="605"/>
  <c r="C289" i="605"/>
  <c r="AM290" i="605"/>
  <c r="AM301" i="611" l="1"/>
  <c r="C300" i="611"/>
  <c r="B294" i="611"/>
  <c r="AL295" i="611"/>
  <c r="AN302" i="611"/>
  <c r="D301" i="611"/>
  <c r="AL293" i="609"/>
  <c r="B292" i="609"/>
  <c r="C292" i="609"/>
  <c r="AM293" i="609"/>
  <c r="AM291" i="605"/>
  <c r="C290" i="605"/>
  <c r="AL292" i="605"/>
  <c r="B291" i="605"/>
  <c r="AN303" i="611" l="1"/>
  <c r="D302" i="611"/>
  <c r="B295" i="611"/>
  <c r="AL296" i="611"/>
  <c r="AM302" i="611"/>
  <c r="C301" i="611"/>
  <c r="AM294" i="609"/>
  <c r="C293" i="609"/>
  <c r="B293" i="609"/>
  <c r="AL294" i="609"/>
  <c r="AL293" i="605"/>
  <c r="B292" i="605"/>
  <c r="AM292" i="605"/>
  <c r="C291" i="605"/>
  <c r="AM303" i="611" l="1"/>
  <c r="C302" i="611"/>
  <c r="B296" i="611"/>
  <c r="AL297" i="611"/>
  <c r="AN304" i="611"/>
  <c r="D303" i="611"/>
  <c r="B294" i="609"/>
  <c r="AL295" i="609"/>
  <c r="C294" i="609"/>
  <c r="AM295" i="609"/>
  <c r="C292" i="605"/>
  <c r="AM293" i="605"/>
  <c r="AL294" i="605"/>
  <c r="B293" i="605"/>
  <c r="D304" i="611" l="1"/>
  <c r="AN305" i="611"/>
  <c r="B297" i="611"/>
  <c r="AL298" i="611"/>
  <c r="C303" i="611"/>
  <c r="AM304" i="611"/>
  <c r="AL296" i="609"/>
  <c r="B295" i="609"/>
  <c r="AM296" i="609"/>
  <c r="C295" i="609"/>
  <c r="AL295" i="605"/>
  <c r="B294" i="605"/>
  <c r="C293" i="605"/>
  <c r="AM294" i="605"/>
  <c r="D305" i="611" l="1"/>
  <c r="AN306" i="611"/>
  <c r="C304" i="611"/>
  <c r="AM305" i="611"/>
  <c r="B298" i="611"/>
  <c r="AL299" i="611"/>
  <c r="AM297" i="609"/>
  <c r="C296" i="609"/>
  <c r="AL297" i="609"/>
  <c r="B296" i="609"/>
  <c r="AM295" i="605"/>
  <c r="C294" i="605"/>
  <c r="AL296" i="605"/>
  <c r="B295" i="605"/>
  <c r="AM306" i="611" l="1"/>
  <c r="C305" i="611"/>
  <c r="B299" i="611"/>
  <c r="AL300" i="611"/>
  <c r="D306" i="611"/>
  <c r="AN307" i="611"/>
  <c r="AL298" i="609"/>
  <c r="B297" i="609"/>
  <c r="AM298" i="609"/>
  <c r="C297" i="609"/>
  <c r="AL297" i="605"/>
  <c r="B296" i="605"/>
  <c r="C295" i="605"/>
  <c r="AM296" i="605"/>
  <c r="AN308" i="611" l="1"/>
  <c r="D307" i="611"/>
  <c r="B300" i="611"/>
  <c r="AL301" i="611"/>
  <c r="C306" i="611"/>
  <c r="AM307" i="611"/>
  <c r="AM299" i="609"/>
  <c r="C298" i="609"/>
  <c r="AL299" i="609"/>
  <c r="B298" i="609"/>
  <c r="AM297" i="605"/>
  <c r="C296" i="605"/>
  <c r="AL298" i="605"/>
  <c r="B297" i="605"/>
  <c r="C307" i="611" l="1"/>
  <c r="AM308" i="611"/>
  <c r="AL302" i="611"/>
  <c r="B301" i="611"/>
  <c r="AN309" i="611"/>
  <c r="D308" i="611"/>
  <c r="AL300" i="609"/>
  <c r="B299" i="609"/>
  <c r="AM300" i="609"/>
  <c r="C299" i="609"/>
  <c r="B298" i="605"/>
  <c r="AL299" i="605"/>
  <c r="C297" i="605"/>
  <c r="AM298" i="605"/>
  <c r="D309" i="611" l="1"/>
  <c r="AN310" i="611"/>
  <c r="AL303" i="611"/>
  <c r="B302" i="611"/>
  <c r="C308" i="611"/>
  <c r="AM309" i="611"/>
  <c r="AM301" i="609"/>
  <c r="C300" i="609"/>
  <c r="AL301" i="609"/>
  <c r="B300" i="609"/>
  <c r="C298" i="605"/>
  <c r="AM299" i="605"/>
  <c r="B299" i="605"/>
  <c r="AL300" i="605"/>
  <c r="AL304" i="611" l="1"/>
  <c r="B303" i="611"/>
  <c r="AM310" i="611"/>
  <c r="C309" i="611"/>
  <c r="D310" i="611"/>
  <c r="AN311" i="611"/>
  <c r="AL302" i="609"/>
  <c r="B301" i="609"/>
  <c r="AM302" i="609"/>
  <c r="C301" i="609"/>
  <c r="AL301" i="605"/>
  <c r="B300" i="605"/>
  <c r="AM300" i="605"/>
  <c r="C299" i="605"/>
  <c r="AN312" i="611" l="1"/>
  <c r="D311" i="611"/>
  <c r="C310" i="611"/>
  <c r="AM311" i="611"/>
  <c r="B304" i="611"/>
  <c r="AL305" i="611"/>
  <c r="C302" i="609"/>
  <c r="AM303" i="609"/>
  <c r="AL303" i="609"/>
  <c r="B302" i="609"/>
  <c r="AM301" i="605"/>
  <c r="C300" i="605"/>
  <c r="AL302" i="605"/>
  <c r="B301" i="605"/>
  <c r="B305" i="611" l="1"/>
  <c r="AL306" i="611"/>
  <c r="C311" i="611"/>
  <c r="AM312" i="611"/>
  <c r="AN313" i="611"/>
  <c r="D312" i="611"/>
  <c r="B303" i="609"/>
  <c r="AL304" i="609"/>
  <c r="AM304" i="609"/>
  <c r="C303" i="609"/>
  <c r="AL303" i="605"/>
  <c r="B302" i="605"/>
  <c r="C301" i="605"/>
  <c r="AM302" i="605"/>
  <c r="AN314" i="611" l="1"/>
  <c r="D313" i="611"/>
  <c r="C312" i="611"/>
  <c r="AM313" i="611"/>
  <c r="B306" i="611"/>
  <c r="AL307" i="611"/>
  <c r="AL305" i="609"/>
  <c r="B304" i="609"/>
  <c r="AM305" i="609"/>
  <c r="C304" i="609"/>
  <c r="AM303" i="605"/>
  <c r="C302" i="605"/>
  <c r="AL304" i="605"/>
  <c r="B303" i="605"/>
  <c r="AM314" i="611" l="1"/>
  <c r="C313" i="611"/>
  <c r="B307" i="611"/>
  <c r="AL308" i="611"/>
  <c r="D314" i="611"/>
  <c r="AN315" i="611"/>
  <c r="AM306" i="609"/>
  <c r="C305" i="609"/>
  <c r="B305" i="609"/>
  <c r="AL306" i="609"/>
  <c r="AL305" i="605"/>
  <c r="B304" i="605"/>
  <c r="AM304" i="605"/>
  <c r="C303" i="605"/>
  <c r="AN316" i="611" l="1"/>
  <c r="D315" i="611"/>
  <c r="B308" i="611"/>
  <c r="AL309" i="611"/>
  <c r="C314" i="611"/>
  <c r="AM315" i="611"/>
  <c r="AL307" i="609"/>
  <c r="B306" i="609"/>
  <c r="AM307" i="609"/>
  <c r="C306" i="609"/>
  <c r="C304" i="605"/>
  <c r="AM305" i="605"/>
  <c r="B305" i="605"/>
  <c r="AL306" i="605"/>
  <c r="C315" i="611" l="1"/>
  <c r="AM316" i="611"/>
  <c r="AL310" i="611"/>
  <c r="B309" i="611"/>
  <c r="AN317" i="611"/>
  <c r="D316" i="611"/>
  <c r="AM308" i="609"/>
  <c r="C307" i="609"/>
  <c r="AL308" i="609"/>
  <c r="B307" i="609"/>
  <c r="AL307" i="605"/>
  <c r="B306" i="605"/>
  <c r="C305" i="605"/>
  <c r="AM306" i="605"/>
  <c r="AM317" i="611" l="1"/>
  <c r="C316" i="611"/>
  <c r="AN318" i="611"/>
  <c r="D317" i="611"/>
  <c r="B310" i="611"/>
  <c r="AL311" i="611"/>
  <c r="AL309" i="609"/>
  <c r="B308" i="609"/>
  <c r="AM309" i="609"/>
  <c r="C308" i="609"/>
  <c r="C306" i="605"/>
  <c r="AM307" i="605"/>
  <c r="AL308" i="605"/>
  <c r="B307" i="605"/>
  <c r="B311" i="611" l="1"/>
  <c r="AL312" i="611"/>
  <c r="AN319" i="611"/>
  <c r="D318" i="611"/>
  <c r="AM318" i="611"/>
  <c r="C317" i="611"/>
  <c r="AM310" i="609"/>
  <c r="C309" i="609"/>
  <c r="AL310" i="609"/>
  <c r="B309" i="609"/>
  <c r="B308" i="605"/>
  <c r="AL309" i="605"/>
  <c r="AM308" i="605"/>
  <c r="C307" i="605"/>
  <c r="AN320" i="611" l="1"/>
  <c r="D319" i="611"/>
  <c r="AM319" i="611"/>
  <c r="C318" i="611"/>
  <c r="B312" i="611"/>
  <c r="AL313" i="611"/>
  <c r="AL311" i="609"/>
  <c r="B310" i="609"/>
  <c r="C310" i="609"/>
  <c r="AM311" i="609"/>
  <c r="C308" i="605"/>
  <c r="AM309" i="605"/>
  <c r="B309" i="605"/>
  <c r="AL310" i="605"/>
  <c r="AL314" i="611" l="1"/>
  <c r="B313" i="611"/>
  <c r="AM320" i="611"/>
  <c r="C319" i="611"/>
  <c r="AN321" i="611"/>
  <c r="D320" i="611"/>
  <c r="AM312" i="609"/>
  <c r="C311" i="609"/>
  <c r="B311" i="609"/>
  <c r="AL312" i="609"/>
  <c r="AM310" i="605"/>
  <c r="C309" i="605"/>
  <c r="AL311" i="605"/>
  <c r="B310" i="605"/>
  <c r="AN322" i="611" l="1"/>
  <c r="D321" i="611"/>
  <c r="AM321" i="611"/>
  <c r="C320" i="611"/>
  <c r="AL315" i="611"/>
  <c r="B314" i="611"/>
  <c r="AL313" i="609"/>
  <c r="B312" i="609"/>
  <c r="AM313" i="609"/>
  <c r="C312" i="609"/>
  <c r="B311" i="605"/>
  <c r="AL312" i="605"/>
  <c r="AM311" i="605"/>
  <c r="C310" i="605"/>
  <c r="AM322" i="611" l="1"/>
  <c r="C321" i="611"/>
  <c r="AL316" i="611"/>
  <c r="B315" i="611"/>
  <c r="AN323" i="611"/>
  <c r="D323" i="611" s="1"/>
  <c r="D322" i="611"/>
  <c r="AM314" i="609"/>
  <c r="C313" i="609"/>
  <c r="AL314" i="609"/>
  <c r="B313" i="609"/>
  <c r="AM312" i="605"/>
  <c r="C311" i="605"/>
  <c r="B312" i="605"/>
  <c r="AL313" i="605"/>
  <c r="AL317" i="611" l="1"/>
  <c r="B316" i="611"/>
  <c r="AM323" i="611"/>
  <c r="C322" i="611"/>
  <c r="AL315" i="609"/>
  <c r="B314" i="609"/>
  <c r="AM315" i="609"/>
  <c r="C314" i="609"/>
  <c r="AL314" i="605"/>
  <c r="B313" i="605"/>
  <c r="C312" i="605"/>
  <c r="AM313" i="605"/>
  <c r="AM324" i="611" l="1"/>
  <c r="C323" i="611"/>
  <c r="AL318" i="611"/>
  <c r="B317" i="611"/>
  <c r="AM316" i="609"/>
  <c r="C315" i="609"/>
  <c r="AL316" i="609"/>
  <c r="B315" i="609"/>
  <c r="C313" i="605"/>
  <c r="AM314" i="605"/>
  <c r="AL315" i="605"/>
  <c r="B314" i="605"/>
  <c r="AL319" i="611" l="1"/>
  <c r="B318" i="611"/>
  <c r="C324" i="611"/>
  <c r="AM325" i="611"/>
  <c r="AL317" i="609"/>
  <c r="B316" i="609"/>
  <c r="AM317" i="609"/>
  <c r="C316" i="609"/>
  <c r="AL316" i="605"/>
  <c r="B315" i="605"/>
  <c r="AM315" i="605"/>
  <c r="C314" i="605"/>
  <c r="AM326" i="611" l="1"/>
  <c r="C325" i="611"/>
  <c r="AL320" i="611"/>
  <c r="B319" i="611"/>
  <c r="AM318" i="609"/>
  <c r="C317" i="609"/>
  <c r="AL318" i="609"/>
  <c r="B317" i="609"/>
  <c r="AM316" i="605"/>
  <c r="C315" i="605"/>
  <c r="B316" i="605"/>
  <c r="AL317" i="605"/>
  <c r="AL321" i="611" l="1"/>
  <c r="B320" i="611"/>
  <c r="C326" i="611"/>
  <c r="AM327" i="611"/>
  <c r="AL319" i="609"/>
  <c r="B318" i="609"/>
  <c r="AM319" i="609"/>
  <c r="C318" i="609"/>
  <c r="AL318" i="605"/>
  <c r="B317" i="605"/>
  <c r="C316" i="605"/>
  <c r="AM317" i="605"/>
  <c r="AM328" i="611" l="1"/>
  <c r="C327" i="611"/>
  <c r="AL322" i="611"/>
  <c r="B321" i="611"/>
  <c r="AM320" i="609"/>
  <c r="C319" i="609"/>
  <c r="AL320" i="609"/>
  <c r="B319" i="609"/>
  <c r="C317" i="605"/>
  <c r="AM318" i="605"/>
  <c r="AL319" i="605"/>
  <c r="B318" i="605"/>
  <c r="AL323" i="611" l="1"/>
  <c r="B322" i="611"/>
  <c r="AM329" i="611"/>
  <c r="C328" i="611"/>
  <c r="AL321" i="609"/>
  <c r="B320" i="609"/>
  <c r="AM321" i="609"/>
  <c r="C320" i="609"/>
  <c r="AM319" i="605"/>
  <c r="C318" i="605"/>
  <c r="B319" i="605"/>
  <c r="AL320" i="605"/>
  <c r="AM330" i="611" l="1"/>
  <c r="C329" i="611"/>
  <c r="AL324" i="611"/>
  <c r="B323" i="611"/>
  <c r="AM322" i="609"/>
  <c r="C321" i="609"/>
  <c r="AL322" i="609"/>
  <c r="B321" i="609"/>
  <c r="AL321" i="605"/>
  <c r="B320" i="605"/>
  <c r="C319" i="605"/>
  <c r="AM320" i="605"/>
  <c r="B324" i="611" l="1"/>
  <c r="AL325" i="611"/>
  <c r="AM331" i="611"/>
  <c r="C330" i="611"/>
  <c r="AL323" i="609"/>
  <c r="B322" i="609"/>
  <c r="AM323" i="609"/>
  <c r="C322" i="609"/>
  <c r="AM321" i="605"/>
  <c r="C320" i="605"/>
  <c r="AL322" i="605"/>
  <c r="B321" i="605"/>
  <c r="AM332" i="611" l="1"/>
  <c r="C331" i="611"/>
  <c r="AL326" i="611"/>
  <c r="B325" i="611"/>
  <c r="AM324" i="609"/>
  <c r="C323" i="609"/>
  <c r="AL324" i="609"/>
  <c r="B323" i="609"/>
  <c r="AL323" i="605"/>
  <c r="B322" i="605"/>
  <c r="AM322" i="605"/>
  <c r="C321" i="605"/>
  <c r="B326" i="611" l="1"/>
  <c r="AL327" i="611"/>
  <c r="AM333" i="611"/>
  <c r="C332" i="611"/>
  <c r="AL325" i="609"/>
  <c r="B324" i="609"/>
  <c r="AM325" i="609"/>
  <c r="C324" i="609"/>
  <c r="AM323" i="605"/>
  <c r="C322" i="605"/>
  <c r="AL324" i="605"/>
  <c r="B323" i="605"/>
  <c r="AL328" i="611" l="1"/>
  <c r="B327" i="611"/>
  <c r="AM334" i="611"/>
  <c r="C333" i="611"/>
  <c r="AM326" i="609"/>
  <c r="C325" i="609"/>
  <c r="AL326" i="609"/>
  <c r="B325" i="609"/>
  <c r="AL325" i="605"/>
  <c r="B324" i="605"/>
  <c r="AM324" i="605"/>
  <c r="C323" i="605"/>
  <c r="AM335" i="611" l="1"/>
  <c r="C334" i="611"/>
  <c r="AL329" i="611"/>
  <c r="B328" i="611"/>
  <c r="AL327" i="609"/>
  <c r="B326" i="609"/>
  <c r="AM327" i="609"/>
  <c r="C326" i="609"/>
  <c r="C324" i="605"/>
  <c r="AM325" i="605"/>
  <c r="AL326" i="605"/>
  <c r="B325" i="605"/>
  <c r="AL330" i="611" l="1"/>
  <c r="B329" i="611"/>
  <c r="AM336" i="611"/>
  <c r="C335" i="611"/>
  <c r="AM328" i="609"/>
  <c r="C327" i="609"/>
  <c r="AL328" i="609"/>
  <c r="B327" i="609"/>
  <c r="AL327" i="605"/>
  <c r="B326" i="605"/>
  <c r="C325" i="605"/>
  <c r="AM326" i="605"/>
  <c r="C336" i="611" l="1"/>
  <c r="AM337" i="611"/>
  <c r="AL331" i="611"/>
  <c r="B330" i="611"/>
  <c r="AL329" i="609"/>
  <c r="B328" i="609"/>
  <c r="AM329" i="609"/>
  <c r="C328" i="609"/>
  <c r="C326" i="605"/>
  <c r="AM327" i="605"/>
  <c r="B327" i="605"/>
  <c r="AL328" i="605"/>
  <c r="AL332" i="611" l="1"/>
  <c r="B331" i="611"/>
  <c r="C337" i="611"/>
  <c r="AM338" i="611"/>
  <c r="AM330" i="609"/>
  <c r="C329" i="609"/>
  <c r="AL330" i="609"/>
  <c r="B329" i="609"/>
  <c r="C327" i="605"/>
  <c r="AM328" i="605"/>
  <c r="B328" i="605"/>
  <c r="AL329" i="605"/>
  <c r="AM339" i="611" l="1"/>
  <c r="C338" i="611"/>
  <c r="AL333" i="611"/>
  <c r="B332" i="611"/>
  <c r="AL331" i="609"/>
  <c r="B330" i="609"/>
  <c r="AM331" i="609"/>
  <c r="C330" i="609"/>
  <c r="AL330" i="605"/>
  <c r="B329" i="605"/>
  <c r="AM329" i="605"/>
  <c r="C328" i="605"/>
  <c r="AL334" i="611" l="1"/>
  <c r="B333" i="611"/>
  <c r="C339" i="611"/>
  <c r="AM340" i="611"/>
  <c r="AM332" i="609"/>
  <c r="C331" i="609"/>
  <c r="AL332" i="609"/>
  <c r="B331" i="609"/>
  <c r="C329" i="605"/>
  <c r="AM330" i="605"/>
  <c r="B330" i="605"/>
  <c r="AL331" i="605"/>
  <c r="C340" i="611" l="1"/>
  <c r="AM341" i="611"/>
  <c r="AL335" i="611"/>
  <c r="B334" i="611"/>
  <c r="AL333" i="609"/>
  <c r="B332" i="609"/>
  <c r="AM333" i="609"/>
  <c r="C332" i="609"/>
  <c r="B331" i="605"/>
  <c r="AL332" i="605"/>
  <c r="C330" i="605"/>
  <c r="AM331" i="605"/>
  <c r="AL336" i="611" l="1"/>
  <c r="B335" i="611"/>
  <c r="C341" i="611"/>
  <c r="AM342" i="611"/>
  <c r="AM334" i="609"/>
  <c r="C333" i="609"/>
  <c r="AL334" i="609"/>
  <c r="B333" i="609"/>
  <c r="AL333" i="605"/>
  <c r="B332" i="605"/>
  <c r="AM332" i="605"/>
  <c r="C331" i="605"/>
  <c r="C342" i="611" l="1"/>
  <c r="AM343" i="611"/>
  <c r="AL337" i="611"/>
  <c r="B336" i="611"/>
  <c r="AL335" i="609"/>
  <c r="B334" i="609"/>
  <c r="AM335" i="609"/>
  <c r="C334" i="609"/>
  <c r="C332" i="605"/>
  <c r="AM333" i="605"/>
  <c r="AL334" i="605"/>
  <c r="B333" i="605"/>
  <c r="C343" i="611" l="1"/>
  <c r="AM344" i="611"/>
  <c r="B337" i="611"/>
  <c r="AL338" i="611"/>
  <c r="AM336" i="609"/>
  <c r="C335" i="609"/>
  <c r="AL336" i="609"/>
  <c r="B335" i="609"/>
  <c r="AL335" i="605"/>
  <c r="B334" i="605"/>
  <c r="C333" i="605"/>
  <c r="AM334" i="605"/>
  <c r="C344" i="611" l="1"/>
  <c r="AM345" i="611"/>
  <c r="AL339" i="611"/>
  <c r="B338" i="611"/>
  <c r="AL337" i="609"/>
  <c r="B336" i="609"/>
  <c r="AM337" i="609"/>
  <c r="C336" i="609"/>
  <c r="AM335" i="605"/>
  <c r="C334" i="605"/>
  <c r="B335" i="605"/>
  <c r="AL336" i="605"/>
  <c r="AM346" i="611" l="1"/>
  <c r="C345" i="611"/>
  <c r="AL340" i="611"/>
  <c r="B339" i="611"/>
  <c r="AM338" i="609"/>
  <c r="C337" i="609"/>
  <c r="AL338" i="609"/>
  <c r="B337" i="609"/>
  <c r="B336" i="605"/>
  <c r="AL337" i="605"/>
  <c r="C335" i="605"/>
  <c r="AM336" i="605"/>
  <c r="B340" i="611" l="1"/>
  <c r="AL341" i="611"/>
  <c r="AM347" i="611"/>
  <c r="C346" i="611"/>
  <c r="AL339" i="609"/>
  <c r="B338" i="609"/>
  <c r="AM339" i="609"/>
  <c r="C338" i="609"/>
  <c r="C336" i="605"/>
  <c r="AM337" i="605"/>
  <c r="AL338" i="605"/>
  <c r="B337" i="605"/>
  <c r="B341" i="611" l="1"/>
  <c r="AL342" i="611"/>
  <c r="C347" i="611"/>
  <c r="AM348" i="611"/>
  <c r="AM340" i="609"/>
  <c r="C339" i="609"/>
  <c r="AL340" i="609"/>
  <c r="B339" i="609"/>
  <c r="AM338" i="605"/>
  <c r="C337" i="605"/>
  <c r="B338" i="605"/>
  <c r="AL339" i="605"/>
  <c r="C348" i="611" l="1"/>
  <c r="AM349" i="611"/>
  <c r="AL343" i="611"/>
  <c r="B342" i="611"/>
  <c r="AL341" i="609"/>
  <c r="B340" i="609"/>
  <c r="AM341" i="609"/>
  <c r="C340" i="609"/>
  <c r="B339" i="605"/>
  <c r="AL340" i="605"/>
  <c r="C338" i="605"/>
  <c r="AM339" i="605"/>
  <c r="AL344" i="611" l="1"/>
  <c r="B343" i="611"/>
  <c r="C349" i="611"/>
  <c r="AM350" i="611"/>
  <c r="AM342" i="609"/>
  <c r="C341" i="609"/>
  <c r="AL342" i="609"/>
  <c r="B341" i="609"/>
  <c r="C339" i="605"/>
  <c r="AM340" i="605"/>
  <c r="AL341" i="605"/>
  <c r="B340" i="605"/>
  <c r="C350" i="611" l="1"/>
  <c r="AM351" i="611"/>
  <c r="B344" i="611"/>
  <c r="AL345" i="611"/>
  <c r="AL343" i="609"/>
  <c r="B342" i="609"/>
  <c r="AM343" i="609"/>
  <c r="C342" i="609"/>
  <c r="AL342" i="605"/>
  <c r="B341" i="605"/>
  <c r="AM341" i="605"/>
  <c r="C340" i="605"/>
  <c r="AM352" i="611" l="1"/>
  <c r="C351" i="611"/>
  <c r="B345" i="611"/>
  <c r="AL346" i="611"/>
  <c r="AM344" i="609"/>
  <c r="C343" i="609"/>
  <c r="AL344" i="609"/>
  <c r="B343" i="609"/>
  <c r="C341" i="605"/>
  <c r="AM342" i="605"/>
  <c r="B342" i="605"/>
  <c r="AL343" i="605"/>
  <c r="AL347" i="611" l="1"/>
  <c r="B346" i="611"/>
  <c r="C352" i="611"/>
  <c r="AM353" i="611"/>
  <c r="AL345" i="609"/>
  <c r="B344" i="609"/>
  <c r="AM345" i="609"/>
  <c r="C344" i="609"/>
  <c r="AL344" i="605"/>
  <c r="B343" i="605"/>
  <c r="C342" i="605"/>
  <c r="AM343" i="605"/>
  <c r="C353" i="611" l="1"/>
  <c r="AM354" i="611"/>
  <c r="B347" i="611"/>
  <c r="AL348" i="611"/>
  <c r="AM346" i="609"/>
  <c r="C345" i="609"/>
  <c r="AL346" i="609"/>
  <c r="B345" i="609"/>
  <c r="AM344" i="605"/>
  <c r="C343" i="605"/>
  <c r="B344" i="605"/>
  <c r="AL345" i="605"/>
  <c r="B348" i="611" l="1"/>
  <c r="AL349" i="611"/>
  <c r="C354" i="611"/>
  <c r="AM355" i="611"/>
  <c r="AL347" i="609"/>
  <c r="B346" i="609"/>
  <c r="AM347" i="609"/>
  <c r="C346" i="609"/>
  <c r="AL346" i="605"/>
  <c r="B345" i="605"/>
  <c r="C344" i="605"/>
  <c r="AM345" i="605"/>
  <c r="AM356" i="611" l="1"/>
  <c r="C355" i="611"/>
  <c r="B349" i="611"/>
  <c r="AL350" i="611"/>
  <c r="AM348" i="609"/>
  <c r="C347" i="609"/>
  <c r="AL348" i="609"/>
  <c r="B347" i="609"/>
  <c r="C345" i="605"/>
  <c r="AM346" i="605"/>
  <c r="AL347" i="605"/>
  <c r="B346" i="605"/>
  <c r="AL351" i="611" l="1"/>
  <c r="B350" i="611"/>
  <c r="AM357" i="611"/>
  <c r="C356" i="611"/>
  <c r="AL349" i="609"/>
  <c r="B348" i="609"/>
  <c r="AM349" i="609"/>
  <c r="C348" i="609"/>
  <c r="B347" i="605"/>
  <c r="AL348" i="605"/>
  <c r="C346" i="605"/>
  <c r="AM347" i="605"/>
  <c r="C357" i="611" l="1"/>
  <c r="AM358" i="611"/>
  <c r="AL352" i="611"/>
  <c r="B351" i="611"/>
  <c r="AM350" i="609"/>
  <c r="C349" i="609"/>
  <c r="AL350" i="609"/>
  <c r="B349" i="609"/>
  <c r="C347" i="605"/>
  <c r="AM348" i="605"/>
  <c r="B348" i="605"/>
  <c r="AL349" i="605"/>
  <c r="AM359" i="611" l="1"/>
  <c r="C358" i="611"/>
  <c r="AL353" i="611"/>
  <c r="B352" i="611"/>
  <c r="AL351" i="609"/>
  <c r="B350" i="609"/>
  <c r="AM351" i="609"/>
  <c r="C350" i="609"/>
  <c r="AL350" i="605"/>
  <c r="B349" i="605"/>
  <c r="C348" i="605"/>
  <c r="AM349" i="605"/>
  <c r="B353" i="611" l="1"/>
  <c r="AL354" i="611"/>
  <c r="C359" i="611"/>
  <c r="AM360" i="611"/>
  <c r="AM352" i="609"/>
  <c r="C351" i="609"/>
  <c r="AL352" i="609"/>
  <c r="B351" i="609"/>
  <c r="AM350" i="605"/>
  <c r="C349" i="605"/>
  <c r="B350" i="605"/>
  <c r="AL351" i="605"/>
  <c r="AL355" i="611" l="1"/>
  <c r="B354" i="611"/>
  <c r="C360" i="611"/>
  <c r="AM361" i="611"/>
  <c r="AL353" i="609"/>
  <c r="B352" i="609"/>
  <c r="AM353" i="609"/>
  <c r="C352" i="609"/>
  <c r="B351" i="605"/>
  <c r="AL352" i="605"/>
  <c r="AM351" i="605"/>
  <c r="C350" i="605"/>
  <c r="C361" i="611" l="1"/>
  <c r="AM362" i="611"/>
  <c r="AL356" i="611"/>
  <c r="B355" i="611"/>
  <c r="AM354" i="609"/>
  <c r="C353" i="609"/>
  <c r="AL354" i="609"/>
  <c r="B353" i="609"/>
  <c r="C351" i="605"/>
  <c r="AM352" i="605"/>
  <c r="AL353" i="605"/>
  <c r="B352" i="605"/>
  <c r="AM363" i="611" l="1"/>
  <c r="C362" i="611"/>
  <c r="AL357" i="611"/>
  <c r="B356" i="611"/>
  <c r="AL355" i="609"/>
  <c r="B354" i="609"/>
  <c r="AM355" i="609"/>
  <c r="C354" i="609"/>
  <c r="AL354" i="605"/>
  <c r="B353" i="605"/>
  <c r="AM353" i="605"/>
  <c r="C352" i="605"/>
  <c r="AL358" i="611" l="1"/>
  <c r="B357" i="611"/>
  <c r="C363" i="611"/>
  <c r="AM364" i="611"/>
  <c r="AM356" i="609"/>
  <c r="C355" i="609"/>
  <c r="AL356" i="609"/>
  <c r="B355" i="609"/>
  <c r="C353" i="605"/>
  <c r="AM354" i="605"/>
  <c r="B354" i="605"/>
  <c r="AL355" i="605"/>
  <c r="C364" i="611" l="1"/>
  <c r="AM365" i="611"/>
  <c r="AL359" i="611"/>
  <c r="B358" i="611"/>
  <c r="AL357" i="609"/>
  <c r="B356" i="609"/>
  <c r="AM357" i="609"/>
  <c r="C356" i="609"/>
  <c r="AL356" i="605"/>
  <c r="B355" i="605"/>
  <c r="AM355" i="605"/>
  <c r="C354" i="605"/>
  <c r="B359" i="611" l="1"/>
  <c r="AL360" i="611"/>
  <c r="C365" i="611"/>
  <c r="AM366" i="611"/>
  <c r="AM358" i="609"/>
  <c r="C357" i="609"/>
  <c r="AL358" i="609"/>
  <c r="B357" i="609"/>
  <c r="AM356" i="605"/>
  <c r="C355" i="605"/>
  <c r="B356" i="605"/>
  <c r="AL357" i="605"/>
  <c r="AL361" i="611" l="1"/>
  <c r="B360" i="611"/>
  <c r="AM367" i="611"/>
  <c r="C366" i="611"/>
  <c r="AL359" i="609"/>
  <c r="B358" i="609"/>
  <c r="AM359" i="609"/>
  <c r="C358" i="609"/>
  <c r="AL358" i="605"/>
  <c r="B357" i="605"/>
  <c r="C356" i="605"/>
  <c r="AM357" i="605"/>
  <c r="C367" i="611" l="1"/>
  <c r="AM368" i="611"/>
  <c r="B361" i="611"/>
  <c r="AL362" i="611"/>
  <c r="AM360" i="609"/>
  <c r="C359" i="609"/>
  <c r="AL360" i="609"/>
  <c r="B359" i="609"/>
  <c r="AM358" i="605"/>
  <c r="C357" i="605"/>
  <c r="B358" i="605"/>
  <c r="AL359" i="605"/>
  <c r="AL363" i="611" l="1"/>
  <c r="B362" i="611"/>
  <c r="AM369" i="611"/>
  <c r="C368" i="611"/>
  <c r="AL361" i="609"/>
  <c r="B360" i="609"/>
  <c r="AM361" i="609"/>
  <c r="C360" i="609"/>
  <c r="B359" i="605"/>
  <c r="AL360" i="605"/>
  <c r="AM359" i="605"/>
  <c r="C358" i="605"/>
  <c r="AM370" i="611" l="1"/>
  <c r="C369" i="611"/>
  <c r="B363" i="611"/>
  <c r="AL364" i="611"/>
  <c r="AM362" i="609"/>
  <c r="C361" i="609"/>
  <c r="AL362" i="609"/>
  <c r="B361" i="609"/>
  <c r="C359" i="605"/>
  <c r="AM360" i="605"/>
  <c r="AL361" i="605"/>
  <c r="B360" i="605"/>
  <c r="AL365" i="611" l="1"/>
  <c r="B364" i="611"/>
  <c r="AM371" i="611"/>
  <c r="C370" i="611"/>
  <c r="AL363" i="609"/>
  <c r="B362" i="609"/>
  <c r="AM363" i="609"/>
  <c r="C362" i="609"/>
  <c r="AL362" i="605"/>
  <c r="B361" i="605"/>
  <c r="AM361" i="605"/>
  <c r="C360" i="605"/>
  <c r="AM372" i="611" l="1"/>
  <c r="C371" i="611"/>
  <c r="B365" i="611"/>
  <c r="AL366" i="611"/>
  <c r="AM364" i="609"/>
  <c r="C363" i="609"/>
  <c r="AL364" i="609"/>
  <c r="B363" i="609"/>
  <c r="AM362" i="605"/>
  <c r="C361" i="605"/>
  <c r="B362" i="605"/>
  <c r="AL363" i="605"/>
  <c r="AL367" i="611" l="1"/>
  <c r="B366" i="611"/>
  <c r="AM373" i="611"/>
  <c r="C372" i="611"/>
  <c r="AL365" i="609"/>
  <c r="B364" i="609"/>
  <c r="AM365" i="609"/>
  <c r="C364" i="609"/>
  <c r="AL364" i="605"/>
  <c r="B363" i="605"/>
  <c r="C362" i="605"/>
  <c r="AM363" i="605"/>
  <c r="AM374" i="611" l="1"/>
  <c r="C373" i="611"/>
  <c r="B367" i="611"/>
  <c r="AL368" i="611"/>
  <c r="AM366" i="609"/>
  <c r="C365" i="609"/>
  <c r="AL366" i="609"/>
  <c r="B365" i="609"/>
  <c r="AM364" i="605"/>
  <c r="C363" i="605"/>
  <c r="AL365" i="605"/>
  <c r="B364" i="605"/>
  <c r="AL369" i="611" l="1"/>
  <c r="B368" i="611"/>
  <c r="AM375" i="611"/>
  <c r="C374" i="611"/>
  <c r="AL367" i="609"/>
  <c r="B366" i="609"/>
  <c r="AM367" i="609"/>
  <c r="C366" i="609"/>
  <c r="AL366" i="605"/>
  <c r="B365" i="605"/>
  <c r="C364" i="605"/>
  <c r="AM365" i="605"/>
  <c r="AM376" i="611" l="1"/>
  <c r="C375" i="611"/>
  <c r="AL370" i="611"/>
  <c r="B369" i="611"/>
  <c r="AM368" i="609"/>
  <c r="C367" i="609"/>
  <c r="AL368" i="609"/>
  <c r="B367" i="609"/>
  <c r="C365" i="605"/>
  <c r="AM366" i="605"/>
  <c r="AL367" i="605"/>
  <c r="B366" i="605"/>
  <c r="AL371" i="611" l="1"/>
  <c r="B370" i="611"/>
  <c r="AM377" i="611"/>
  <c r="C376" i="611"/>
  <c r="AL369" i="609"/>
  <c r="B368" i="609"/>
  <c r="AM369" i="609"/>
  <c r="C368" i="609"/>
  <c r="B367" i="605"/>
  <c r="AL368" i="605"/>
  <c r="AM367" i="605"/>
  <c r="C366" i="605"/>
  <c r="AM378" i="611" l="1"/>
  <c r="C377" i="611"/>
  <c r="AL372" i="611"/>
  <c r="B371" i="611"/>
  <c r="AM370" i="609"/>
  <c r="C369" i="609"/>
  <c r="AL370" i="609"/>
  <c r="B369" i="609"/>
  <c r="C367" i="605"/>
  <c r="AM368" i="605"/>
  <c r="B368" i="605"/>
  <c r="AL369" i="605"/>
  <c r="AL373" i="611" l="1"/>
  <c r="B372" i="611"/>
  <c r="AM379" i="611"/>
  <c r="C378" i="611"/>
  <c r="AL371" i="609"/>
  <c r="B370" i="609"/>
  <c r="AM371" i="609"/>
  <c r="C370" i="609"/>
  <c r="AM369" i="605"/>
  <c r="C368" i="605"/>
  <c r="AL370" i="605"/>
  <c r="B369" i="605"/>
  <c r="AM380" i="611" l="1"/>
  <c r="C379" i="611"/>
  <c r="B373" i="611"/>
  <c r="AL374" i="611"/>
  <c r="AM372" i="609"/>
  <c r="C371" i="609"/>
  <c r="AL372" i="609"/>
  <c r="B371" i="609"/>
  <c r="B370" i="605"/>
  <c r="AL371" i="605"/>
  <c r="AM370" i="605"/>
  <c r="C369" i="605"/>
  <c r="AL375" i="611" l="1"/>
  <c r="B374" i="611"/>
  <c r="C380" i="611"/>
  <c r="AM381" i="611"/>
  <c r="AL373" i="609"/>
  <c r="B372" i="609"/>
  <c r="AM373" i="609"/>
  <c r="C372" i="609"/>
  <c r="C370" i="605"/>
  <c r="AM371" i="605"/>
  <c r="B371" i="605"/>
  <c r="AL372" i="605"/>
  <c r="AM382" i="611" l="1"/>
  <c r="C381" i="611"/>
  <c r="B375" i="611"/>
  <c r="AL376" i="611"/>
  <c r="AM374" i="609"/>
  <c r="C373" i="609"/>
  <c r="AL374" i="609"/>
  <c r="B373" i="609"/>
  <c r="B372" i="605"/>
  <c r="AL373" i="605"/>
  <c r="C371" i="605"/>
  <c r="AM372" i="605"/>
  <c r="AL377" i="611" l="1"/>
  <c r="B376" i="611"/>
  <c r="AM383" i="611"/>
  <c r="C382" i="611"/>
  <c r="AL375" i="609"/>
  <c r="B374" i="609"/>
  <c r="AM375" i="609"/>
  <c r="C374" i="609"/>
  <c r="AM373" i="605"/>
  <c r="C372" i="605"/>
  <c r="AL374" i="605"/>
  <c r="B373" i="605"/>
  <c r="AM384" i="611" l="1"/>
  <c r="C383" i="611"/>
  <c r="AL378" i="611"/>
  <c r="B377" i="611"/>
  <c r="AM376" i="609"/>
  <c r="C375" i="609"/>
  <c r="AL376" i="609"/>
  <c r="B375" i="609"/>
  <c r="B374" i="605"/>
  <c r="AL375" i="605"/>
  <c r="AM374" i="605"/>
  <c r="C373" i="605"/>
  <c r="AL379" i="611" l="1"/>
  <c r="B378" i="611"/>
  <c r="AM385" i="611"/>
  <c r="C384" i="611"/>
  <c r="AL377" i="609"/>
  <c r="B377" i="609" s="1"/>
  <c r="B376" i="609"/>
  <c r="AM377" i="609"/>
  <c r="C377" i="609" s="1"/>
  <c r="C376" i="609"/>
  <c r="AM375" i="605"/>
  <c r="C374" i="605"/>
  <c r="AL376" i="605"/>
  <c r="B375" i="605"/>
  <c r="AM386" i="611" l="1"/>
  <c r="C385" i="611"/>
  <c r="AL380" i="611"/>
  <c r="B379" i="611"/>
  <c r="B376" i="605"/>
  <c r="AL377" i="605"/>
  <c r="C375" i="605"/>
  <c r="AM376" i="605"/>
  <c r="AL381" i="611" l="1"/>
  <c r="B380" i="611"/>
  <c r="AM387" i="611"/>
  <c r="C386" i="611"/>
  <c r="C376" i="605"/>
  <c r="AM377" i="605"/>
  <c r="AL378" i="605"/>
  <c r="B377" i="605"/>
  <c r="AM388" i="611" l="1"/>
  <c r="C387" i="611"/>
  <c r="B381" i="611"/>
  <c r="AL382" i="611"/>
  <c r="B378" i="605"/>
  <c r="AL379" i="605"/>
  <c r="C377" i="605"/>
  <c r="AM378" i="605"/>
  <c r="AL383" i="611" l="1"/>
  <c r="B382" i="611"/>
  <c r="AM389" i="611"/>
  <c r="C388" i="611"/>
  <c r="C378" i="605"/>
  <c r="AM379" i="605"/>
  <c r="B379" i="605"/>
  <c r="AL380" i="605"/>
  <c r="AM390" i="611" l="1"/>
  <c r="C389" i="611"/>
  <c r="AL384" i="611"/>
  <c r="B383" i="611"/>
  <c r="B380" i="605"/>
  <c r="AL381" i="605"/>
  <c r="C379" i="605"/>
  <c r="AM380" i="605"/>
  <c r="AL385" i="611" l="1"/>
  <c r="B384" i="611"/>
  <c r="AM391" i="611"/>
  <c r="C390" i="611"/>
  <c r="AM381" i="605"/>
  <c r="C380" i="605"/>
  <c r="AL382" i="605"/>
  <c r="B381" i="605"/>
  <c r="AM392" i="611" l="1"/>
  <c r="C391" i="611"/>
  <c r="AL386" i="611"/>
  <c r="B385" i="611"/>
  <c r="B382" i="605"/>
  <c r="AL383" i="605"/>
  <c r="AM382" i="605"/>
  <c r="C381" i="605"/>
  <c r="AL387" i="611" l="1"/>
  <c r="B386" i="611"/>
  <c r="AM393" i="611"/>
  <c r="C392" i="611"/>
  <c r="C382" i="605"/>
  <c r="AM383" i="605"/>
  <c r="B383" i="605"/>
  <c r="AL384" i="605"/>
  <c r="AM394" i="611" l="1"/>
  <c r="C393" i="611"/>
  <c r="AL388" i="611"/>
  <c r="B387" i="611"/>
  <c r="B384" i="605"/>
  <c r="AL385" i="605"/>
  <c r="C383" i="605"/>
  <c r="AM384" i="605"/>
  <c r="AL389" i="611" l="1"/>
  <c r="B388" i="611"/>
  <c r="AM395" i="611"/>
  <c r="C394" i="611"/>
  <c r="C384" i="605"/>
  <c r="AM385" i="605"/>
  <c r="AL386" i="605"/>
  <c r="B385" i="605"/>
  <c r="AM396" i="611" l="1"/>
  <c r="C395" i="611"/>
  <c r="AL390" i="611"/>
  <c r="B389" i="611"/>
  <c r="B386" i="605"/>
  <c r="AL387" i="605"/>
  <c r="C385" i="605"/>
  <c r="AM386" i="605"/>
  <c r="AL391" i="611" l="1"/>
  <c r="B390" i="611"/>
  <c r="AM397" i="611"/>
  <c r="C396" i="611"/>
  <c r="B387" i="605"/>
  <c r="AL388" i="605"/>
  <c r="C386" i="605"/>
  <c r="AM387" i="605"/>
  <c r="AM398" i="611" l="1"/>
  <c r="C397" i="611"/>
  <c r="AL392" i="611"/>
  <c r="B391" i="611"/>
  <c r="B388" i="605"/>
  <c r="AL389" i="605"/>
  <c r="C387" i="605"/>
  <c r="AM388" i="605"/>
  <c r="AL393" i="611" l="1"/>
  <c r="B392" i="611"/>
  <c r="AM399" i="611"/>
  <c r="C398" i="611"/>
  <c r="AL390" i="605"/>
  <c r="B389" i="605"/>
  <c r="AM389" i="605"/>
  <c r="C388" i="605"/>
  <c r="AM400" i="611" l="1"/>
  <c r="C399" i="611"/>
  <c r="AL394" i="611"/>
  <c r="B393" i="611"/>
  <c r="C389" i="605"/>
  <c r="AM390" i="605"/>
  <c r="B390" i="605"/>
  <c r="AL391" i="605"/>
  <c r="AL395" i="611" l="1"/>
  <c r="B394" i="611"/>
  <c r="AM401" i="611"/>
  <c r="C400" i="611"/>
  <c r="AL392" i="605"/>
  <c r="B391" i="605"/>
  <c r="AM391" i="605"/>
  <c r="C390" i="605"/>
  <c r="AM402" i="611" l="1"/>
  <c r="C401" i="611"/>
  <c r="AL396" i="611"/>
  <c r="B395" i="611"/>
  <c r="AM392" i="605"/>
  <c r="C391" i="605"/>
  <c r="AL393" i="605"/>
  <c r="B392" i="605"/>
  <c r="AL397" i="611" l="1"/>
  <c r="B396" i="611"/>
  <c r="AM403" i="611"/>
  <c r="C402" i="611"/>
  <c r="AL394" i="605"/>
  <c r="B393" i="605"/>
  <c r="AM393" i="605"/>
  <c r="C392" i="605"/>
  <c r="AM404" i="611" l="1"/>
  <c r="C403" i="611"/>
  <c r="AL398" i="611"/>
  <c r="B397" i="611"/>
  <c r="AM394" i="605"/>
  <c r="C393" i="605"/>
  <c r="AL395" i="605"/>
  <c r="B394" i="605"/>
  <c r="AL399" i="611" l="1"/>
  <c r="B398" i="611"/>
  <c r="AM405" i="611"/>
  <c r="C404" i="611"/>
  <c r="AL396" i="605"/>
  <c r="B395" i="605"/>
  <c r="AM395" i="605"/>
  <c r="C394" i="605"/>
  <c r="AM406" i="611" l="1"/>
  <c r="C405" i="611"/>
  <c r="AL400" i="611"/>
  <c r="B399" i="611"/>
  <c r="AM396" i="605"/>
  <c r="C395" i="605"/>
  <c r="AL397" i="605"/>
  <c r="B396" i="605"/>
  <c r="AL401" i="611" l="1"/>
  <c r="B400" i="611"/>
  <c r="AM407" i="611"/>
  <c r="C406" i="611"/>
  <c r="AL398" i="605"/>
  <c r="B397" i="605"/>
  <c r="AM397" i="605"/>
  <c r="C396" i="605"/>
  <c r="AM408" i="611" l="1"/>
  <c r="C407" i="611"/>
  <c r="AL402" i="611"/>
  <c r="B401" i="611"/>
  <c r="AM398" i="605"/>
  <c r="C397" i="605"/>
  <c r="AL399" i="605"/>
  <c r="B398" i="605"/>
  <c r="AL403" i="611" l="1"/>
  <c r="B402" i="611"/>
  <c r="AM409" i="611"/>
  <c r="C408" i="611"/>
  <c r="AL400" i="605"/>
  <c r="B399" i="605"/>
  <c r="AM399" i="605"/>
  <c r="C398" i="605"/>
  <c r="AM410" i="611" l="1"/>
  <c r="C409" i="611"/>
  <c r="AL404" i="611"/>
  <c r="B403" i="611"/>
  <c r="AM400" i="605"/>
  <c r="C399" i="605"/>
  <c r="AL401" i="605"/>
  <c r="B400" i="605"/>
  <c r="AL405" i="611" l="1"/>
  <c r="B404" i="611"/>
  <c r="AM411" i="611"/>
  <c r="C410" i="611"/>
  <c r="AL402" i="605"/>
  <c r="B401" i="605"/>
  <c r="AM401" i="605"/>
  <c r="C400" i="605"/>
  <c r="AM412" i="611" l="1"/>
  <c r="C411" i="611"/>
  <c r="AL406" i="611"/>
  <c r="B405" i="611"/>
  <c r="AM402" i="605"/>
  <c r="C401" i="605"/>
  <c r="AL403" i="605"/>
  <c r="B402" i="605"/>
  <c r="AL407" i="611" l="1"/>
  <c r="B406" i="611"/>
  <c r="AM413" i="611"/>
  <c r="C412" i="611"/>
  <c r="AL404" i="605"/>
  <c r="B403" i="605"/>
  <c r="AM403" i="605"/>
  <c r="C402" i="605"/>
  <c r="AM414" i="611" l="1"/>
  <c r="C413" i="611"/>
  <c r="AL408" i="611"/>
  <c r="B407" i="611"/>
  <c r="AM404" i="605"/>
  <c r="C403" i="605"/>
  <c r="AL405" i="605"/>
  <c r="B404" i="605"/>
  <c r="AL409" i="611" l="1"/>
  <c r="B408" i="611"/>
  <c r="AM415" i="611"/>
  <c r="C414" i="611"/>
  <c r="AL406" i="605"/>
  <c r="B405" i="605"/>
  <c r="AM405" i="605"/>
  <c r="C404" i="605"/>
  <c r="AM416" i="611" l="1"/>
  <c r="C415" i="611"/>
  <c r="AL410" i="611"/>
  <c r="B409" i="611"/>
  <c r="AM406" i="605"/>
  <c r="C405" i="605"/>
  <c r="AL407" i="605"/>
  <c r="B406" i="605"/>
  <c r="AL411" i="611" l="1"/>
  <c r="B410" i="611"/>
  <c r="AM417" i="611"/>
  <c r="C416" i="611"/>
  <c r="AL408" i="605"/>
  <c r="B407" i="605"/>
  <c r="AM407" i="605"/>
  <c r="C406" i="605"/>
  <c r="AM418" i="611" l="1"/>
  <c r="C417" i="611"/>
  <c r="AL412" i="611"/>
  <c r="B411" i="611"/>
  <c r="AM408" i="605"/>
  <c r="C407" i="605"/>
  <c r="AL409" i="605"/>
  <c r="B408" i="605"/>
  <c r="AL413" i="611" l="1"/>
  <c r="B412" i="611"/>
  <c r="AM419" i="611"/>
  <c r="C418" i="611"/>
  <c r="AL410" i="605"/>
  <c r="B409" i="605"/>
  <c r="AM409" i="605"/>
  <c r="C408" i="605"/>
  <c r="AM420" i="611" l="1"/>
  <c r="C419" i="611"/>
  <c r="AL414" i="611"/>
  <c r="B413" i="611"/>
  <c r="AM410" i="605"/>
  <c r="C409" i="605"/>
  <c r="AL411" i="605"/>
  <c r="B410" i="605"/>
  <c r="AL415" i="611" l="1"/>
  <c r="B414" i="611"/>
  <c r="AM421" i="611"/>
  <c r="C420" i="611"/>
  <c r="AL412" i="605"/>
  <c r="B411" i="605"/>
  <c r="AM411" i="605"/>
  <c r="C410" i="605"/>
  <c r="AM422" i="611" l="1"/>
  <c r="C421" i="611"/>
  <c r="AL416" i="611"/>
  <c r="B415" i="611"/>
  <c r="AM412" i="605"/>
  <c r="C411" i="605"/>
  <c r="AL413" i="605"/>
  <c r="B412" i="605"/>
  <c r="AL417" i="611" l="1"/>
  <c r="B416" i="611"/>
  <c r="AM423" i="611"/>
  <c r="C422" i="611"/>
  <c r="AL414" i="605"/>
  <c r="B413" i="605"/>
  <c r="AM413" i="605"/>
  <c r="C412" i="605"/>
  <c r="AM424" i="611" l="1"/>
  <c r="C423" i="611"/>
  <c r="AL418" i="611"/>
  <c r="B417" i="611"/>
  <c r="AM414" i="605"/>
  <c r="C413" i="605"/>
  <c r="AL415" i="605"/>
  <c r="B414" i="605"/>
  <c r="AL419" i="611" l="1"/>
  <c r="B418" i="611"/>
  <c r="AM425" i="611"/>
  <c r="C424" i="611"/>
  <c r="AL416" i="605"/>
  <c r="B415" i="605"/>
  <c r="AM415" i="605"/>
  <c r="C414" i="605"/>
  <c r="AM426" i="611" l="1"/>
  <c r="C425" i="611"/>
  <c r="AL420" i="611"/>
  <c r="B419" i="611"/>
  <c r="AM416" i="605"/>
  <c r="C415" i="605"/>
  <c r="AL417" i="605"/>
  <c r="B416" i="605"/>
  <c r="AL421" i="611" l="1"/>
  <c r="B420" i="611"/>
  <c r="AM427" i="611"/>
  <c r="C426" i="611"/>
  <c r="AL418" i="605"/>
  <c r="B417" i="605"/>
  <c r="AM417" i="605"/>
  <c r="C416" i="605"/>
  <c r="AM428" i="611" l="1"/>
  <c r="C427" i="611"/>
  <c r="AL422" i="611"/>
  <c r="B421" i="611"/>
  <c r="AM418" i="605"/>
  <c r="C417" i="605"/>
  <c r="AL419" i="605"/>
  <c r="B418" i="605"/>
  <c r="AL423" i="611" l="1"/>
  <c r="B422" i="611"/>
  <c r="AM429" i="611"/>
  <c r="C428" i="611"/>
  <c r="AL420" i="605"/>
  <c r="B419" i="605"/>
  <c r="AM419" i="605"/>
  <c r="C418" i="605"/>
  <c r="AM430" i="611" l="1"/>
  <c r="C429" i="611"/>
  <c r="AL424" i="611"/>
  <c r="B423" i="611"/>
  <c r="AM420" i="605"/>
  <c r="C419" i="605"/>
  <c r="AL421" i="605"/>
  <c r="B420" i="605"/>
  <c r="AL425" i="611" l="1"/>
  <c r="B424" i="611"/>
  <c r="AM431" i="611"/>
  <c r="C430" i="611"/>
  <c r="AL422" i="605"/>
  <c r="B421" i="605"/>
  <c r="AM421" i="605"/>
  <c r="C420" i="605"/>
  <c r="AM432" i="611" l="1"/>
  <c r="C431" i="611"/>
  <c r="AL426" i="611"/>
  <c r="B425" i="611"/>
  <c r="AM422" i="605"/>
  <c r="C421" i="605"/>
  <c r="AL423" i="605"/>
  <c r="B422" i="605"/>
  <c r="AL427" i="611" l="1"/>
  <c r="B426" i="611"/>
  <c r="AM433" i="611"/>
  <c r="C432" i="611"/>
  <c r="AL424" i="605"/>
  <c r="B423" i="605"/>
  <c r="AM423" i="605"/>
  <c r="C422" i="605"/>
  <c r="AM434" i="611" l="1"/>
  <c r="C433" i="611"/>
  <c r="AL428" i="611"/>
  <c r="B427" i="611"/>
  <c r="AM424" i="605"/>
  <c r="C423" i="605"/>
  <c r="AL425" i="605"/>
  <c r="B424" i="605"/>
  <c r="AL429" i="611" l="1"/>
  <c r="B428" i="611"/>
  <c r="AM435" i="611"/>
  <c r="C434" i="611"/>
  <c r="AL426" i="605"/>
  <c r="B426" i="605" s="1"/>
  <c r="B425" i="605"/>
  <c r="AM425" i="605"/>
  <c r="C424" i="605"/>
  <c r="AM436" i="611" l="1"/>
  <c r="C435" i="611"/>
  <c r="AL430" i="611"/>
  <c r="B429" i="611"/>
  <c r="AM426" i="605"/>
  <c r="C426" i="605" s="1"/>
  <c r="C425" i="605"/>
  <c r="AL431" i="611" l="1"/>
  <c r="B430" i="611"/>
  <c r="AM437" i="611"/>
  <c r="C436" i="611"/>
  <c r="AM438" i="611" l="1"/>
  <c r="C437" i="611"/>
  <c r="AL432" i="611"/>
  <c r="B431" i="611"/>
  <c r="AL433" i="611" l="1"/>
  <c r="B432" i="611"/>
  <c r="AM439" i="611"/>
  <c r="C438" i="611"/>
  <c r="AM440" i="611" l="1"/>
  <c r="C439" i="611"/>
  <c r="AL434" i="611"/>
  <c r="B433" i="611"/>
  <c r="AL435" i="611" l="1"/>
  <c r="B434" i="611"/>
  <c r="AM441" i="611"/>
  <c r="C440" i="611"/>
  <c r="AM442" i="611" l="1"/>
  <c r="C441" i="611"/>
  <c r="AL436" i="611"/>
  <c r="B435" i="611"/>
  <c r="AL437" i="611" l="1"/>
  <c r="B436" i="611"/>
  <c r="AM443" i="611"/>
  <c r="C443" i="611" s="1"/>
  <c r="C442" i="611"/>
  <c r="AL438" i="611" l="1"/>
  <c r="B437" i="611"/>
  <c r="AL439" i="611" l="1"/>
  <c r="B438" i="611"/>
  <c r="AL440" i="611" l="1"/>
  <c r="B439" i="611"/>
  <c r="AL441" i="611" l="1"/>
  <c r="B440" i="611"/>
  <c r="AL442" i="611" l="1"/>
  <c r="B441" i="611"/>
  <c r="AL443" i="611" l="1"/>
  <c r="B442" i="611"/>
  <c r="AL444" i="611" l="1"/>
  <c r="B443" i="611"/>
  <c r="AL445" i="611" l="1"/>
  <c r="B444" i="611"/>
  <c r="AL446" i="611" l="1"/>
  <c r="B445" i="611"/>
  <c r="AL447" i="611" l="1"/>
  <c r="B447" i="611" s="1"/>
  <c r="B446" i="611"/>
  <c r="C20" i="340" l="1"/>
  <c r="Z1" i="613" l="1"/>
  <c r="AG103" i="613" s="1"/>
  <c r="Z2" i="613"/>
  <c r="AG30" i="613"/>
  <c r="AA1" i="613"/>
  <c r="AG159" i="613"/>
  <c r="AG156" i="613"/>
  <c r="AG150" i="613"/>
  <c r="AG130" i="613"/>
  <c r="AG114" i="613"/>
  <c r="AG82" i="613"/>
  <c r="AG68" i="613"/>
  <c r="AG66" i="613"/>
  <c r="AG25" i="613"/>
  <c r="AG111" i="613"/>
  <c r="AG96" i="613"/>
  <c r="AG94" i="613"/>
  <c r="AG61" i="613"/>
  <c r="AG59" i="613"/>
  <c r="AG22" i="613"/>
  <c r="AG153" i="613"/>
  <c r="AG142" i="613"/>
  <c r="AG139" i="613"/>
  <c r="AG136" i="613"/>
  <c r="AG120" i="613"/>
  <c r="AG117" i="613"/>
  <c r="AG87" i="613"/>
  <c r="AG73" i="613"/>
  <c r="AG71" i="613"/>
  <c r="AG52" i="613"/>
  <c r="AG50" i="613"/>
  <c r="AG45" i="613"/>
  <c r="AG43" i="613"/>
  <c r="AG40" i="613"/>
  <c r="AG38" i="613"/>
  <c r="AG15" i="613"/>
  <c r="AG99" i="613"/>
  <c r="AG89" i="613"/>
  <c r="AG80" i="613"/>
  <c r="AG78" i="613"/>
  <c r="AG151" i="613"/>
  <c r="AG148" i="613"/>
  <c r="AG145" i="613"/>
  <c r="AG131" i="613"/>
  <c r="AG128" i="613"/>
  <c r="AG125" i="613"/>
  <c r="AG106" i="613"/>
  <c r="AG101" i="613"/>
  <c r="AG64" i="613"/>
  <c r="AG57" i="613"/>
  <c r="AG109" i="613"/>
  <c r="AG92" i="613"/>
  <c r="AG26" i="613"/>
  <c r="AG23" i="613"/>
  <c r="AG20" i="613"/>
  <c r="AG157" i="613"/>
  <c r="AG143" i="613"/>
  <c r="AG134" i="613"/>
  <c r="AG123" i="613"/>
  <c r="AG115" i="613"/>
  <c r="AG85" i="613"/>
  <c r="AG55" i="613"/>
  <c r="AG33" i="613"/>
  <c r="AG18" i="613"/>
  <c r="AG83" i="613"/>
  <c r="AG69" i="613"/>
  <c r="AG67" i="613"/>
  <c r="AG62" i="613"/>
  <c r="AG48" i="613"/>
  <c r="AG46" i="613"/>
  <c r="AG36" i="613"/>
  <c r="AG31" i="613"/>
  <c r="AG16" i="613"/>
  <c r="AG160" i="613"/>
  <c r="AG137" i="613"/>
  <c r="AG121" i="613"/>
  <c r="AG118" i="613"/>
  <c r="AG104" i="613"/>
  <c r="AG95" i="613"/>
  <c r="AG90" i="613"/>
  <c r="AG76" i="613"/>
  <c r="AG74" i="613"/>
  <c r="AG155" i="613"/>
  <c r="AG107" i="613"/>
  <c r="AG102" i="613"/>
  <c r="AG97" i="613"/>
  <c r="AG53" i="613"/>
  <c r="AG51" i="613"/>
  <c r="AG41" i="613"/>
  <c r="AG39" i="613"/>
  <c r="AG29" i="613"/>
  <c r="AG149" i="613"/>
  <c r="AG146" i="613"/>
  <c r="AG135" i="613"/>
  <c r="AG129" i="613"/>
  <c r="AG79" i="613"/>
  <c r="AG65" i="613"/>
  <c r="AG60" i="613"/>
  <c r="AG58" i="613"/>
  <c r="AG113" i="613"/>
  <c r="AG110" i="613"/>
  <c r="AG88" i="613"/>
  <c r="AG86" i="613"/>
  <c r="AG81" i="613"/>
  <c r="AG72" i="613"/>
  <c r="AG44" i="613"/>
  <c r="AG24" i="613"/>
  <c r="AG158" i="613"/>
  <c r="AG152" i="613"/>
  <c r="AG132" i="613"/>
  <c r="AG116" i="613"/>
  <c r="AG100" i="613"/>
  <c r="AG93" i="613"/>
  <c r="AG34" i="613"/>
  <c r="AG27" i="613"/>
  <c r="AG141" i="613"/>
  <c r="AG127" i="613"/>
  <c r="AG37" i="613"/>
  <c r="AG17" i="613"/>
  <c r="AG144" i="613"/>
  <c r="AG138" i="613"/>
  <c r="AG124" i="613"/>
  <c r="AG122" i="613"/>
  <c r="AG47" i="613"/>
  <c r="AG19" i="613"/>
  <c r="Z1" i="611"/>
  <c r="AG442" i="611" s="1"/>
  <c r="Z2" i="611"/>
  <c r="Z1" i="609"/>
  <c r="AG215" i="609" s="1"/>
  <c r="Z2" i="609"/>
  <c r="Z1" i="607"/>
  <c r="AG59" i="607" s="1"/>
  <c r="Z2" i="607"/>
  <c r="Z1" i="605"/>
  <c r="AG181" i="605" s="1"/>
  <c r="Z2" i="605"/>
  <c r="B48" i="162"/>
  <c r="D50" i="340"/>
  <c r="E50" i="340" s="1"/>
  <c r="F50" i="340" s="1"/>
  <c r="G50" i="340" s="1"/>
  <c r="H50" i="340" s="1"/>
  <c r="I50" i="340" s="1"/>
  <c r="J50" i="340" s="1"/>
  <c r="K50" i="340" s="1"/>
  <c r="L50" i="340" s="1"/>
  <c r="M50" i="340" s="1"/>
  <c r="N50" i="340" s="1"/>
  <c r="O50" i="340" s="1"/>
  <c r="P50" i="340" s="1"/>
  <c r="Q50" i="340" s="1"/>
  <c r="R50" i="340" s="1"/>
  <c r="S50" i="340" s="1"/>
  <c r="T50" i="340" s="1"/>
  <c r="U50" i="340" s="1"/>
  <c r="V50" i="340" s="1"/>
  <c r="W50" i="340" s="1"/>
  <c r="X50" i="340" s="1"/>
  <c r="Y50" i="340" s="1"/>
  <c r="Z50" i="340" s="1"/>
  <c r="AA50" i="340" s="1"/>
  <c r="AB50" i="340" s="1"/>
  <c r="AC50" i="340" s="1"/>
  <c r="AD50" i="340" s="1"/>
  <c r="AE50" i="340" s="1"/>
  <c r="AF50" i="340" s="1"/>
  <c r="AG50" i="340" s="1"/>
  <c r="AH50" i="340" s="1"/>
  <c r="AI50" i="340" s="1"/>
  <c r="AJ50" i="340" s="1"/>
  <c r="AK50" i="340" s="1"/>
  <c r="AL50" i="340" s="1"/>
  <c r="AM50" i="340" s="1"/>
  <c r="AN50" i="340" s="1"/>
  <c r="AO50" i="340" s="1"/>
  <c r="AP50" i="340" s="1"/>
  <c r="AQ50" i="340" s="1"/>
  <c r="AR50" i="340" s="1"/>
  <c r="AS50" i="340" s="1"/>
  <c r="AT50" i="340" s="1"/>
  <c r="AU50" i="340" s="1"/>
  <c r="AV50" i="340" s="1"/>
  <c r="AW50" i="340" s="1"/>
  <c r="AX50" i="340" s="1"/>
  <c r="AY50" i="340" s="1"/>
  <c r="AZ50" i="340" s="1"/>
  <c r="BA50" i="340" s="1"/>
  <c r="BB50" i="340" s="1"/>
  <c r="BC50" i="340" s="1"/>
  <c r="BD50" i="340" s="1"/>
  <c r="BE50" i="340" s="1"/>
  <c r="BF50" i="340" s="1"/>
  <c r="BG50" i="340" s="1"/>
  <c r="BH50" i="340" s="1"/>
  <c r="BI50" i="340" s="1"/>
  <c r="BJ50" i="340" s="1"/>
  <c r="BK50" i="340" s="1"/>
  <c r="BL50" i="340" s="1"/>
  <c r="BM50" i="340" s="1"/>
  <c r="BN50" i="340" s="1"/>
  <c r="BO50" i="340" s="1"/>
  <c r="BP50" i="340" s="1"/>
  <c r="BQ50" i="340" s="1"/>
  <c r="BR50" i="340" s="1"/>
  <c r="BS50" i="340" s="1"/>
  <c r="BT50" i="340" s="1"/>
  <c r="BU50" i="340" s="1"/>
  <c r="BV50" i="340" s="1"/>
  <c r="BW50" i="340" s="1"/>
  <c r="BX50" i="340" s="1"/>
  <c r="BY50" i="340" s="1"/>
  <c r="BZ50" i="340" s="1"/>
  <c r="CA50" i="340" s="1"/>
  <c r="CB50" i="340" s="1"/>
  <c r="CC50" i="340" s="1"/>
  <c r="CD50" i="340" s="1"/>
  <c r="CE50" i="340" s="1"/>
  <c r="CF50" i="340" s="1"/>
  <c r="CG50" i="340" s="1"/>
  <c r="CH50" i="340" s="1"/>
  <c r="CI50" i="340" s="1"/>
  <c r="CJ50" i="340" s="1"/>
  <c r="CK50" i="340" s="1"/>
  <c r="CL50" i="340" s="1"/>
  <c r="CM50" i="340" s="1"/>
  <c r="CN50" i="340" s="1"/>
  <c r="CO50" i="340" s="1"/>
  <c r="CP50" i="340" s="1"/>
  <c r="CQ50" i="340" s="1"/>
  <c r="CR50" i="340" s="1"/>
  <c r="CS50" i="340" s="1"/>
  <c r="CT50" i="340" s="1"/>
  <c r="AG32" i="613" l="1"/>
  <c r="AG54" i="613"/>
  <c r="AG75" i="613"/>
  <c r="AG30" i="611"/>
  <c r="AG83" i="611"/>
  <c r="AG56" i="611"/>
  <c r="AG105" i="611"/>
  <c r="AG14" i="611"/>
  <c r="AG20" i="611"/>
  <c r="AG117" i="611"/>
  <c r="AG124" i="611"/>
  <c r="AG86" i="611"/>
  <c r="AG440" i="611"/>
  <c r="AG443" i="611"/>
  <c r="AG36" i="611"/>
  <c r="AG71" i="611"/>
  <c r="AG52" i="611"/>
  <c r="AG75" i="611"/>
  <c r="AJ75" i="611" s="1"/>
  <c r="AG72" i="611"/>
  <c r="AG108" i="613"/>
  <c r="AG126" i="611"/>
  <c r="AG68" i="611"/>
  <c r="AK132" i="613"/>
  <c r="AJ132" i="613"/>
  <c r="AK135" i="613"/>
  <c r="AJ135" i="613"/>
  <c r="AK104" i="613"/>
  <c r="AJ104" i="613"/>
  <c r="AK55" i="613"/>
  <c r="AJ55" i="613"/>
  <c r="AK125" i="613"/>
  <c r="AJ125" i="613"/>
  <c r="AK52" i="613"/>
  <c r="AJ52" i="613"/>
  <c r="AK25" i="613"/>
  <c r="AJ25" i="613"/>
  <c r="AK146" i="613"/>
  <c r="AJ146" i="613"/>
  <c r="AK85" i="613"/>
  <c r="AJ85" i="613"/>
  <c r="AK128" i="613"/>
  <c r="AJ128" i="613"/>
  <c r="AK71" i="613"/>
  <c r="AJ71" i="613"/>
  <c r="AJ66" i="613"/>
  <c r="AK66" i="613"/>
  <c r="AK47" i="613"/>
  <c r="AJ47" i="613"/>
  <c r="AK115" i="613"/>
  <c r="AJ115" i="613"/>
  <c r="AJ131" i="613"/>
  <c r="AK131" i="613"/>
  <c r="AJ73" i="613"/>
  <c r="AK73" i="613"/>
  <c r="AK68" i="613"/>
  <c r="AJ68" i="613"/>
  <c r="AK123" i="613"/>
  <c r="AJ123" i="613"/>
  <c r="AJ145" i="613"/>
  <c r="AK145" i="613"/>
  <c r="AJ87" i="613"/>
  <c r="AK87" i="613"/>
  <c r="AJ82" i="613"/>
  <c r="AK82" i="613"/>
  <c r="AK39" i="613"/>
  <c r="AJ39" i="613"/>
  <c r="AK160" i="613"/>
  <c r="AJ160" i="613"/>
  <c r="AK134" i="613"/>
  <c r="AJ134" i="613"/>
  <c r="AK148" i="613"/>
  <c r="AJ148" i="613"/>
  <c r="AJ117" i="613"/>
  <c r="AK117" i="613"/>
  <c r="AJ114" i="613"/>
  <c r="AK114" i="613"/>
  <c r="AK121" i="613"/>
  <c r="AJ121" i="613"/>
  <c r="AG78" i="611"/>
  <c r="AG106" i="611"/>
  <c r="AJ106" i="611" s="1"/>
  <c r="AK72" i="613"/>
  <c r="AJ72" i="613"/>
  <c r="AK41" i="613"/>
  <c r="AJ41" i="613"/>
  <c r="AK16" i="613"/>
  <c r="AJ16" i="613"/>
  <c r="AK143" i="613"/>
  <c r="AJ143" i="613"/>
  <c r="AJ151" i="613"/>
  <c r="AK151" i="613"/>
  <c r="AK120" i="613"/>
  <c r="AJ120" i="613"/>
  <c r="AK130" i="613"/>
  <c r="AJ130" i="613"/>
  <c r="AK19" i="613"/>
  <c r="AJ19" i="613"/>
  <c r="AG90" i="611"/>
  <c r="AK122" i="613"/>
  <c r="AJ122" i="613"/>
  <c r="AG115" i="611"/>
  <c r="AG127" i="611"/>
  <c r="AG121" i="611"/>
  <c r="AG160" i="611"/>
  <c r="AK144" i="613"/>
  <c r="AJ144" i="613"/>
  <c r="AJ81" i="613"/>
  <c r="AK81" i="613"/>
  <c r="AK51" i="613"/>
  <c r="AJ51" i="613"/>
  <c r="AJ31" i="613"/>
  <c r="AK31" i="613"/>
  <c r="AK157" i="613"/>
  <c r="AJ157" i="613"/>
  <c r="AK78" i="613"/>
  <c r="AJ78" i="613"/>
  <c r="AK136" i="613"/>
  <c r="AJ136" i="613"/>
  <c r="AK150" i="613"/>
  <c r="AJ150" i="613"/>
  <c r="AK118" i="613"/>
  <c r="AJ118" i="613"/>
  <c r="AG103" i="611"/>
  <c r="AG77" i="611"/>
  <c r="AG43" i="611"/>
  <c r="AG129" i="611"/>
  <c r="AG114" i="611"/>
  <c r="AG118" i="611"/>
  <c r="AG76" i="611"/>
  <c r="AJ76" i="611" s="1"/>
  <c r="AG447" i="611"/>
  <c r="AG144" i="611"/>
  <c r="AJ144" i="611" s="1"/>
  <c r="AG63" i="611"/>
  <c r="AK17" i="613"/>
  <c r="AJ17" i="613"/>
  <c r="AK86" i="613"/>
  <c r="AJ86" i="613"/>
  <c r="AK53" i="613"/>
  <c r="AJ53" i="613"/>
  <c r="AK36" i="613"/>
  <c r="AJ36" i="613"/>
  <c r="AK20" i="613"/>
  <c r="AJ20" i="613"/>
  <c r="AK80" i="613"/>
  <c r="AJ80" i="613"/>
  <c r="AK139" i="613"/>
  <c r="AJ139" i="613"/>
  <c r="AK156" i="613"/>
  <c r="AJ156" i="613"/>
  <c r="AK158" i="613"/>
  <c r="AJ158" i="613"/>
  <c r="AK44" i="613"/>
  <c r="AJ44" i="613"/>
  <c r="AG162" i="611"/>
  <c r="AG62" i="611"/>
  <c r="AG147" i="611"/>
  <c r="AG69" i="611"/>
  <c r="AJ37" i="613"/>
  <c r="AK37" i="613"/>
  <c r="AK88" i="613"/>
  <c r="AJ88" i="613"/>
  <c r="AK97" i="613"/>
  <c r="AJ97" i="613"/>
  <c r="AK46" i="613"/>
  <c r="AJ46" i="613"/>
  <c r="AK23" i="613"/>
  <c r="AJ23" i="613"/>
  <c r="AK89" i="613"/>
  <c r="AJ89" i="613"/>
  <c r="AK142" i="613"/>
  <c r="AJ142" i="613"/>
  <c r="AK159" i="613"/>
  <c r="AJ159" i="613"/>
  <c r="AK152" i="613"/>
  <c r="AJ152" i="613"/>
  <c r="AJ137" i="613"/>
  <c r="AK137" i="613"/>
  <c r="AG85" i="611"/>
  <c r="AK85" i="611" s="1"/>
  <c r="AG154" i="611"/>
  <c r="AK154" i="611" s="1"/>
  <c r="AG21" i="611"/>
  <c r="AK21" i="611" s="1"/>
  <c r="AG132" i="611"/>
  <c r="AG438" i="611"/>
  <c r="AG82" i="611"/>
  <c r="AG446" i="611"/>
  <c r="AG92" i="611"/>
  <c r="AK127" i="613"/>
  <c r="AJ127" i="613"/>
  <c r="AJ110" i="613"/>
  <c r="AK110" i="613"/>
  <c r="AK102" i="613"/>
  <c r="AJ102" i="613"/>
  <c r="AK48" i="613"/>
  <c r="AJ48" i="613"/>
  <c r="AJ26" i="613"/>
  <c r="AK26" i="613"/>
  <c r="AK99" i="613"/>
  <c r="AJ99" i="613"/>
  <c r="AJ153" i="613"/>
  <c r="AK153" i="613"/>
  <c r="AH46" i="613"/>
  <c r="AH156" i="613"/>
  <c r="AH131" i="613"/>
  <c r="AH72" i="613"/>
  <c r="AH99" i="613"/>
  <c r="AH108" i="613"/>
  <c r="AH121" i="613"/>
  <c r="AH41" i="613"/>
  <c r="AH26" i="613"/>
  <c r="AH15" i="613"/>
  <c r="AH152" i="613"/>
  <c r="AH127" i="613"/>
  <c r="AH68" i="613"/>
  <c r="AH95" i="613"/>
  <c r="AH117" i="613"/>
  <c r="AH106" i="613"/>
  <c r="AH37" i="613"/>
  <c r="AH16" i="613"/>
  <c r="AH148" i="613"/>
  <c r="AH158" i="613"/>
  <c r="AH64" i="613"/>
  <c r="AH87" i="613"/>
  <c r="AH107" i="613"/>
  <c r="AH122" i="613"/>
  <c r="AH33" i="613"/>
  <c r="AH24" i="613"/>
  <c r="AH144" i="613"/>
  <c r="AH150" i="613"/>
  <c r="AH60" i="613"/>
  <c r="AH83" i="613"/>
  <c r="AH118" i="613"/>
  <c r="AH101" i="613"/>
  <c r="AH29" i="613"/>
  <c r="AH19" i="613"/>
  <c r="AH136" i="613"/>
  <c r="AH146" i="613"/>
  <c r="AH52" i="613"/>
  <c r="AH79" i="613"/>
  <c r="AH102" i="613"/>
  <c r="AH97" i="613"/>
  <c r="AH25" i="613"/>
  <c r="AH38" i="613"/>
  <c r="AH132" i="613"/>
  <c r="AH142" i="613"/>
  <c r="AH48" i="613"/>
  <c r="AH75" i="613"/>
  <c r="AH94" i="613"/>
  <c r="AH93" i="613"/>
  <c r="AH17" i="613"/>
  <c r="AH27" i="613"/>
  <c r="AH128" i="613"/>
  <c r="AH138" i="613"/>
  <c r="AH44" i="613"/>
  <c r="AH71" i="613"/>
  <c r="AH90" i="613"/>
  <c r="AH89" i="613"/>
  <c r="AH18" i="613"/>
  <c r="AH124" i="613"/>
  <c r="AH134" i="613"/>
  <c r="AH40" i="613"/>
  <c r="AH67" i="613"/>
  <c r="AH86" i="613"/>
  <c r="AH85" i="613"/>
  <c r="AH23" i="613"/>
  <c r="AH157" i="613"/>
  <c r="AH120" i="613"/>
  <c r="AH130" i="613"/>
  <c r="AH36" i="613"/>
  <c r="AH59" i="613"/>
  <c r="AH82" i="613"/>
  <c r="AH81" i="613"/>
  <c r="AH153" i="613"/>
  <c r="AH116" i="613"/>
  <c r="AH125" i="613"/>
  <c r="AH32" i="613"/>
  <c r="AH55" i="613"/>
  <c r="AH78" i="613"/>
  <c r="AH73" i="613"/>
  <c r="AH149" i="613"/>
  <c r="AH159" i="613"/>
  <c r="AH100" i="613"/>
  <c r="AH104" i="613"/>
  <c r="AH51" i="613"/>
  <c r="AH74" i="613"/>
  <c r="AH69" i="613"/>
  <c r="AH145" i="613"/>
  <c r="AH155" i="613"/>
  <c r="AH96" i="613"/>
  <c r="AH111" i="613"/>
  <c r="AH47" i="613"/>
  <c r="AH66" i="613"/>
  <c r="AH65" i="613"/>
  <c r="AH31" i="613"/>
  <c r="AH22" i="613"/>
  <c r="AH141" i="613"/>
  <c r="AH151" i="613"/>
  <c r="AH92" i="613"/>
  <c r="AH115" i="613"/>
  <c r="AH43" i="613"/>
  <c r="AH62" i="613"/>
  <c r="AH61" i="613"/>
  <c r="AH30" i="613"/>
  <c r="AH50" i="613"/>
  <c r="AH137" i="613"/>
  <c r="AH143" i="613"/>
  <c r="AH88" i="613"/>
  <c r="AH113" i="613"/>
  <c r="AH39" i="613"/>
  <c r="AH58" i="613"/>
  <c r="AH57" i="613"/>
  <c r="AH129" i="613"/>
  <c r="AH139" i="613"/>
  <c r="AH80" i="613"/>
  <c r="AH110" i="613"/>
  <c r="AH114" i="613"/>
  <c r="AH54" i="613"/>
  <c r="AH53" i="613"/>
  <c r="AH34" i="613"/>
  <c r="AH20" i="613"/>
  <c r="AH160" i="613"/>
  <c r="AH135" i="613"/>
  <c r="AH76" i="613"/>
  <c r="AH103" i="613"/>
  <c r="AH109" i="613"/>
  <c r="AH123" i="613"/>
  <c r="AH45" i="613"/>
  <c r="AJ149" i="613"/>
  <c r="AK149" i="613"/>
  <c r="AG108" i="611"/>
  <c r="AG28" i="611"/>
  <c r="AK28" i="611" s="1"/>
  <c r="AG142" i="611"/>
  <c r="AG120" i="611"/>
  <c r="AG123" i="611"/>
  <c r="AG44" i="611"/>
  <c r="AG111" i="611"/>
  <c r="AG48" i="611"/>
  <c r="AG59" i="611"/>
  <c r="AG64" i="611"/>
  <c r="AG70" i="611"/>
  <c r="AJ70" i="611" s="1"/>
  <c r="AG66" i="611"/>
  <c r="AJ66" i="611" s="1"/>
  <c r="AG139" i="611"/>
  <c r="AK139" i="611" s="1"/>
  <c r="AG9" i="611"/>
  <c r="AG112" i="611"/>
  <c r="AA1" i="611"/>
  <c r="AH156" i="611" s="1"/>
  <c r="AG94" i="611"/>
  <c r="AJ141" i="613"/>
  <c r="AK141" i="613"/>
  <c r="AK113" i="613"/>
  <c r="AJ113" i="613"/>
  <c r="AK107" i="613"/>
  <c r="AJ107" i="613"/>
  <c r="AK62" i="613"/>
  <c r="AJ62" i="613"/>
  <c r="AK92" i="613"/>
  <c r="AJ92" i="613"/>
  <c r="AJ15" i="613"/>
  <c r="AK15" i="613"/>
  <c r="AK22" i="613"/>
  <c r="AJ22" i="613"/>
  <c r="AK30" i="613"/>
  <c r="AJ30" i="613"/>
  <c r="AK124" i="613"/>
  <c r="AJ124" i="613"/>
  <c r="AG24" i="611"/>
  <c r="AG159" i="611"/>
  <c r="AG150" i="611"/>
  <c r="AG55" i="611"/>
  <c r="AG31" i="611"/>
  <c r="AG13" i="611"/>
  <c r="AG87" i="611"/>
  <c r="AG439" i="611"/>
  <c r="AK439" i="611" s="1"/>
  <c r="AG34" i="611"/>
  <c r="AK34" i="611" s="1"/>
  <c r="AG138" i="611"/>
  <c r="AK138" i="611" s="1"/>
  <c r="AG8" i="611"/>
  <c r="AG99" i="611"/>
  <c r="AJ27" i="613"/>
  <c r="AK27" i="613"/>
  <c r="AK58" i="613"/>
  <c r="AJ58" i="613"/>
  <c r="AJ155" i="613"/>
  <c r="AK155" i="613"/>
  <c r="AK67" i="613"/>
  <c r="AJ67" i="613"/>
  <c r="AJ109" i="613"/>
  <c r="AK109" i="613"/>
  <c r="AJ38" i="613"/>
  <c r="AK38" i="613"/>
  <c r="AK59" i="613"/>
  <c r="AJ59" i="613"/>
  <c r="AK32" i="613"/>
  <c r="AJ32" i="613"/>
  <c r="AK24" i="613"/>
  <c r="AJ24" i="613"/>
  <c r="AG47" i="611"/>
  <c r="AJ47" i="611" s="1"/>
  <c r="AG73" i="611"/>
  <c r="AG136" i="611"/>
  <c r="AJ136" i="611" s="1"/>
  <c r="AG37" i="611"/>
  <c r="AG54" i="611"/>
  <c r="AG89" i="611"/>
  <c r="AG141" i="611"/>
  <c r="AK141" i="611" s="1"/>
  <c r="AG41" i="611"/>
  <c r="AG84" i="611"/>
  <c r="AG27" i="611"/>
  <c r="AJ27" i="611" s="1"/>
  <c r="AG109" i="611"/>
  <c r="AK109" i="611" s="1"/>
  <c r="AJ34" i="613"/>
  <c r="AK34" i="613"/>
  <c r="AK60" i="613"/>
  <c r="AJ60" i="613"/>
  <c r="AJ74" i="613"/>
  <c r="AK74" i="613"/>
  <c r="AJ69" i="613"/>
  <c r="AK69" i="613"/>
  <c r="AK57" i="613"/>
  <c r="AJ57" i="613"/>
  <c r="AK40" i="613"/>
  <c r="AJ40" i="613"/>
  <c r="AK61" i="613"/>
  <c r="AJ61" i="613"/>
  <c r="AK54" i="613"/>
  <c r="AJ54" i="613"/>
  <c r="AJ29" i="613"/>
  <c r="AK29" i="613"/>
  <c r="AG135" i="611"/>
  <c r="AJ135" i="611" s="1"/>
  <c r="AG38" i="611"/>
  <c r="AK38" i="611" s="1"/>
  <c r="AG130" i="611"/>
  <c r="AK130" i="611" s="1"/>
  <c r="AG80" i="611"/>
  <c r="AJ80" i="611" s="1"/>
  <c r="AG19" i="611"/>
  <c r="AG51" i="611"/>
  <c r="AK51" i="611" s="1"/>
  <c r="AG91" i="611"/>
  <c r="AG22" i="611"/>
  <c r="AG148" i="611"/>
  <c r="AG45" i="611"/>
  <c r="AK45" i="611" s="1"/>
  <c r="AG133" i="611"/>
  <c r="AG33" i="611"/>
  <c r="AG151" i="611"/>
  <c r="AK151" i="611" s="1"/>
  <c r="AJ93" i="613"/>
  <c r="AK93" i="613"/>
  <c r="AK65" i="613"/>
  <c r="AJ65" i="613"/>
  <c r="AK76" i="613"/>
  <c r="AJ76" i="613"/>
  <c r="AJ83" i="613"/>
  <c r="AK83" i="613"/>
  <c r="AK64" i="613"/>
  <c r="AJ64" i="613"/>
  <c r="AJ43" i="613"/>
  <c r="AK43" i="613"/>
  <c r="AK94" i="613"/>
  <c r="AJ94" i="613"/>
  <c r="AK75" i="613"/>
  <c r="AJ75" i="613"/>
  <c r="AG79" i="611"/>
  <c r="AK79" i="611" s="1"/>
  <c r="AG145" i="611"/>
  <c r="AK145" i="611" s="1"/>
  <c r="AG49" i="611"/>
  <c r="AJ49" i="611" s="1"/>
  <c r="AG57" i="611"/>
  <c r="AJ57" i="611" s="1"/>
  <c r="AG23" i="611"/>
  <c r="AJ23" i="611" s="1"/>
  <c r="AG96" i="611"/>
  <c r="AG42" i="611"/>
  <c r="AK42" i="611" s="1"/>
  <c r="AG157" i="611"/>
  <c r="AG93" i="611"/>
  <c r="AK93" i="611" s="1"/>
  <c r="AG156" i="611"/>
  <c r="AG40" i="611"/>
  <c r="AG153" i="611"/>
  <c r="AK100" i="613"/>
  <c r="AJ100" i="613"/>
  <c r="AJ79" i="613"/>
  <c r="AK79" i="613"/>
  <c r="AJ90" i="613"/>
  <c r="AK90" i="613"/>
  <c r="AJ18" i="613"/>
  <c r="AK18" i="613"/>
  <c r="AJ101" i="613"/>
  <c r="AK101" i="613"/>
  <c r="AJ45" i="613"/>
  <c r="AK45" i="613"/>
  <c r="AK96" i="613"/>
  <c r="AJ96" i="613"/>
  <c r="AJ103" i="613"/>
  <c r="AK103" i="613"/>
  <c r="AG35" i="611"/>
  <c r="AJ35" i="611" s="1"/>
  <c r="AG97" i="611"/>
  <c r="AK97" i="611" s="1"/>
  <c r="AG61" i="611"/>
  <c r="AK138" i="613"/>
  <c r="AJ138" i="613"/>
  <c r="AG58" i="611"/>
  <c r="AJ58" i="611" s="1"/>
  <c r="AG29" i="611"/>
  <c r="AG102" i="611"/>
  <c r="AK102" i="611" s="1"/>
  <c r="AG50" i="611"/>
  <c r="AG26" i="611"/>
  <c r="AK26" i="611" s="1"/>
  <c r="AG100" i="611"/>
  <c r="AJ100" i="611" s="1"/>
  <c r="AG163" i="611"/>
  <c r="AG65" i="611"/>
  <c r="AK65" i="611" s="1"/>
  <c r="AK116" i="613"/>
  <c r="AJ116" i="613"/>
  <c r="AK129" i="613"/>
  <c r="AJ129" i="613"/>
  <c r="AJ95" i="613"/>
  <c r="AK95" i="613"/>
  <c r="AK33" i="613"/>
  <c r="AJ33" i="613"/>
  <c r="AJ106" i="613"/>
  <c r="AK106" i="613"/>
  <c r="AK50" i="613"/>
  <c r="AJ50" i="613"/>
  <c r="AK111" i="613"/>
  <c r="AJ111" i="613"/>
  <c r="AK108" i="613"/>
  <c r="AJ108" i="613"/>
  <c r="AG124" i="609"/>
  <c r="AG44" i="609"/>
  <c r="AG155" i="609"/>
  <c r="AG222" i="609"/>
  <c r="AG193" i="609"/>
  <c r="AG212" i="609"/>
  <c r="AG120" i="609"/>
  <c r="AJ120" i="609" s="1"/>
  <c r="AG16" i="609"/>
  <c r="AK16" i="609" s="1"/>
  <c r="AG65" i="609"/>
  <c r="AJ65" i="609" s="1"/>
  <c r="AG132" i="609"/>
  <c r="AG214" i="609"/>
  <c r="AK214" i="609" s="1"/>
  <c r="AG152" i="609"/>
  <c r="AG12" i="609"/>
  <c r="AK12" i="609" s="1"/>
  <c r="AG145" i="609"/>
  <c r="AJ145" i="609" s="1"/>
  <c r="AG123" i="609"/>
  <c r="AK123" i="609" s="1"/>
  <c r="AG53" i="609"/>
  <c r="AK53" i="609" s="1"/>
  <c r="AG213" i="609"/>
  <c r="AG96" i="609"/>
  <c r="AG118" i="609"/>
  <c r="AG15" i="609"/>
  <c r="AG166" i="609"/>
  <c r="AG54" i="609"/>
  <c r="AG19" i="609"/>
  <c r="AJ19" i="609" s="1"/>
  <c r="AG101" i="609"/>
  <c r="AJ101" i="609" s="1"/>
  <c r="AG127" i="609"/>
  <c r="AK127" i="609" s="1"/>
  <c r="AG114" i="609"/>
  <c r="AG89" i="609"/>
  <c r="AG20" i="609"/>
  <c r="AK20" i="609" s="1"/>
  <c r="AG186" i="609"/>
  <c r="AK186" i="609" s="1"/>
  <c r="AG211" i="609"/>
  <c r="AK211" i="609" s="1"/>
  <c r="AG228" i="609"/>
  <c r="AK228" i="609" s="1"/>
  <c r="AG135" i="609"/>
  <c r="AK135" i="609" s="1"/>
  <c r="AG200" i="609"/>
  <c r="AG128" i="609"/>
  <c r="AG111" i="609"/>
  <c r="AG130" i="609"/>
  <c r="AJ72" i="611"/>
  <c r="AK72" i="611"/>
  <c r="AK36" i="611"/>
  <c r="AJ36" i="611"/>
  <c r="AK14" i="611"/>
  <c r="AJ14" i="611"/>
  <c r="AK30" i="611"/>
  <c r="AJ30" i="611"/>
  <c r="AK105" i="611"/>
  <c r="AJ105" i="611"/>
  <c r="AK440" i="611"/>
  <c r="AJ440" i="611"/>
  <c r="AK71" i="611"/>
  <c r="AJ71" i="611"/>
  <c r="AJ86" i="611"/>
  <c r="AK86" i="611"/>
  <c r="AK56" i="611"/>
  <c r="AJ56" i="611"/>
  <c r="AK443" i="611"/>
  <c r="AJ443" i="611"/>
  <c r="AG52" i="609"/>
  <c r="AJ52" i="609" s="1"/>
  <c r="AG41" i="609"/>
  <c r="AK41" i="609" s="1"/>
  <c r="AG33" i="609"/>
  <c r="AJ33" i="609" s="1"/>
  <c r="AG18" i="609"/>
  <c r="AG9" i="609"/>
  <c r="AK9" i="609" s="1"/>
  <c r="AG160" i="609"/>
  <c r="AK160" i="609" s="1"/>
  <c r="AG110" i="609"/>
  <c r="AG227" i="609"/>
  <c r="AK227" i="609" s="1"/>
  <c r="AG131" i="609"/>
  <c r="AG221" i="609"/>
  <c r="AG169" i="609"/>
  <c r="AK90" i="611"/>
  <c r="AJ90" i="611"/>
  <c r="AK68" i="611"/>
  <c r="AJ68" i="611"/>
  <c r="AK103" i="611"/>
  <c r="AJ103" i="611"/>
  <c r="AK124" i="611"/>
  <c r="AJ124" i="611"/>
  <c r="AK77" i="611"/>
  <c r="AJ77" i="611"/>
  <c r="AK83" i="611"/>
  <c r="AJ83" i="611"/>
  <c r="AK115" i="611"/>
  <c r="AJ115" i="611"/>
  <c r="AJ142" i="611"/>
  <c r="AK142" i="611"/>
  <c r="AK114" i="611"/>
  <c r="AJ114" i="611"/>
  <c r="AK129" i="611"/>
  <c r="AJ129" i="611"/>
  <c r="AG74" i="609"/>
  <c r="AJ74" i="609" s="1"/>
  <c r="AG115" i="609"/>
  <c r="AG73" i="609"/>
  <c r="AJ73" i="609" s="1"/>
  <c r="AG47" i="609"/>
  <c r="AG225" i="609"/>
  <c r="AK225" i="609" s="1"/>
  <c r="AG129" i="609"/>
  <c r="AG134" i="609"/>
  <c r="AG164" i="609"/>
  <c r="AK164" i="609" s="1"/>
  <c r="AG197" i="609"/>
  <c r="AG43" i="609"/>
  <c r="AK43" i="609" s="1"/>
  <c r="AK118" i="611"/>
  <c r="AJ118" i="611"/>
  <c r="AK49" i="611"/>
  <c r="AJ24" i="611"/>
  <c r="AK24" i="611"/>
  <c r="AK106" i="611"/>
  <c r="AK120" i="611"/>
  <c r="AJ120" i="611"/>
  <c r="AK73" i="611"/>
  <c r="AJ73" i="611"/>
  <c r="AK135" i="611"/>
  <c r="AK52" i="611"/>
  <c r="AJ52" i="611"/>
  <c r="AG71" i="609"/>
  <c r="AJ71" i="609" s="1"/>
  <c r="AG55" i="609"/>
  <c r="AK55" i="609" s="1"/>
  <c r="AG146" i="609"/>
  <c r="AK146" i="609" s="1"/>
  <c r="AG137" i="609"/>
  <c r="AJ137" i="609" s="1"/>
  <c r="AG139" i="609"/>
  <c r="AK139" i="609" s="1"/>
  <c r="AG219" i="609"/>
  <c r="AG207" i="609"/>
  <c r="AJ207" i="609" s="1"/>
  <c r="AG97" i="609"/>
  <c r="AK97" i="609" s="1"/>
  <c r="AK123" i="611"/>
  <c r="AJ123" i="611"/>
  <c r="AK127" i="611"/>
  <c r="AJ127" i="611"/>
  <c r="AK159" i="611"/>
  <c r="AJ159" i="611"/>
  <c r="AJ121" i="611"/>
  <c r="AK121" i="611"/>
  <c r="AK160" i="611"/>
  <c r="AJ160" i="611"/>
  <c r="AG87" i="609"/>
  <c r="AK87" i="609" s="1"/>
  <c r="AG85" i="609"/>
  <c r="AJ85" i="609" s="1"/>
  <c r="AG22" i="609"/>
  <c r="AG86" i="609"/>
  <c r="AJ86" i="609" s="1"/>
  <c r="AA1" i="609"/>
  <c r="AH219" i="609" s="1"/>
  <c r="AG25" i="609"/>
  <c r="AK25" i="609" s="1"/>
  <c r="AG113" i="609"/>
  <c r="AJ113" i="609" s="1"/>
  <c r="AG125" i="609"/>
  <c r="AJ125" i="609" s="1"/>
  <c r="AG58" i="609"/>
  <c r="AJ58" i="609" s="1"/>
  <c r="AG165" i="609"/>
  <c r="AK165" i="609" s="1"/>
  <c r="AG157" i="609"/>
  <c r="AK157" i="609" s="1"/>
  <c r="AG187" i="609"/>
  <c r="AJ187" i="609" s="1"/>
  <c r="AG229" i="609"/>
  <c r="AJ229" i="609" s="1"/>
  <c r="AG226" i="609"/>
  <c r="AK226" i="609" s="1"/>
  <c r="AG108" i="609"/>
  <c r="AJ108" i="609" s="1"/>
  <c r="AK44" i="611"/>
  <c r="AJ44" i="611"/>
  <c r="AJ130" i="611"/>
  <c r="AK447" i="611"/>
  <c r="AJ447" i="611"/>
  <c r="AJ63" i="611"/>
  <c r="AK63" i="611"/>
  <c r="AG69" i="609"/>
  <c r="AG66" i="609"/>
  <c r="AJ66" i="609" s="1"/>
  <c r="AG24" i="609"/>
  <c r="AJ24" i="609" s="1"/>
  <c r="AG176" i="609"/>
  <c r="AK176" i="609" s="1"/>
  <c r="AG162" i="609"/>
  <c r="AG50" i="609"/>
  <c r="AJ50" i="609" s="1"/>
  <c r="AG136" i="609"/>
  <c r="AK136" i="609" s="1"/>
  <c r="AG100" i="609"/>
  <c r="AK100" i="609" s="1"/>
  <c r="AG144" i="609"/>
  <c r="AK144" i="609" s="1"/>
  <c r="AK111" i="611"/>
  <c r="AJ111" i="611"/>
  <c r="AK48" i="611"/>
  <c r="AJ48" i="611"/>
  <c r="AK162" i="611"/>
  <c r="AJ162" i="611"/>
  <c r="AK150" i="611"/>
  <c r="AJ150" i="611"/>
  <c r="AJ62" i="611"/>
  <c r="AK62" i="611"/>
  <c r="AK147" i="611"/>
  <c r="AJ147" i="611"/>
  <c r="AJ69" i="611"/>
  <c r="AK69" i="611"/>
  <c r="AG11" i="609"/>
  <c r="AK11" i="609" s="1"/>
  <c r="AG46" i="609"/>
  <c r="AK46" i="609" s="1"/>
  <c r="AG27" i="609"/>
  <c r="AK27" i="609" s="1"/>
  <c r="AG61" i="609"/>
  <c r="AK61" i="609" s="1"/>
  <c r="AG99" i="609"/>
  <c r="AK99" i="609" s="1"/>
  <c r="AG183" i="609"/>
  <c r="AJ183" i="609" s="1"/>
  <c r="AG195" i="609"/>
  <c r="AJ195" i="609" s="1"/>
  <c r="AG59" i="609"/>
  <c r="AK59" i="609" s="1"/>
  <c r="AG142" i="609"/>
  <c r="AK142" i="609" s="1"/>
  <c r="AG138" i="609"/>
  <c r="AK138" i="609" s="1"/>
  <c r="AG150" i="609"/>
  <c r="AJ150" i="609" s="1"/>
  <c r="AK55" i="611"/>
  <c r="AJ55" i="611"/>
  <c r="AJ19" i="611"/>
  <c r="AK19" i="611"/>
  <c r="AK59" i="611"/>
  <c r="AJ59" i="611"/>
  <c r="AK132" i="611"/>
  <c r="AJ132" i="611"/>
  <c r="AJ438" i="611"/>
  <c r="AK438" i="611"/>
  <c r="AJ82" i="611"/>
  <c r="AK82" i="611"/>
  <c r="AJ446" i="611"/>
  <c r="AK446" i="611"/>
  <c r="AJ92" i="611"/>
  <c r="AK92" i="611"/>
  <c r="AK20" i="611"/>
  <c r="AJ20" i="611"/>
  <c r="AK108" i="611"/>
  <c r="AJ108" i="611"/>
  <c r="AG177" i="609"/>
  <c r="AG38" i="609"/>
  <c r="AJ38" i="609" s="1"/>
  <c r="AG17" i="609"/>
  <c r="AJ17" i="609" s="1"/>
  <c r="AG57" i="609"/>
  <c r="AJ57" i="609" s="1"/>
  <c r="AG30" i="609"/>
  <c r="AK30" i="609" s="1"/>
  <c r="AG95" i="609"/>
  <c r="AK95" i="609" s="1"/>
  <c r="AG143" i="609"/>
  <c r="AJ143" i="609" s="1"/>
  <c r="AG220" i="609"/>
  <c r="AK220" i="609" s="1"/>
  <c r="AG149" i="609"/>
  <c r="AK149" i="609" s="1"/>
  <c r="AG62" i="609"/>
  <c r="AJ62" i="609" s="1"/>
  <c r="AG148" i="609"/>
  <c r="AK148" i="609" s="1"/>
  <c r="AG156" i="609"/>
  <c r="AK156" i="609" s="1"/>
  <c r="AG153" i="609"/>
  <c r="AK153" i="609" s="1"/>
  <c r="AK64" i="611"/>
  <c r="AJ64" i="611"/>
  <c r="AJ9" i="611"/>
  <c r="AK9" i="611"/>
  <c r="AJ112" i="611"/>
  <c r="AK112" i="611"/>
  <c r="AH42" i="611"/>
  <c r="AH8" i="611"/>
  <c r="AH151" i="611"/>
  <c r="AH77" i="611"/>
  <c r="AH71" i="611"/>
  <c r="AH13" i="611"/>
  <c r="AH127" i="611"/>
  <c r="AH73" i="611"/>
  <c r="AH96" i="611"/>
  <c r="AH106" i="611"/>
  <c r="AH27" i="611"/>
  <c r="AH76" i="611"/>
  <c r="AH72" i="611"/>
  <c r="AH112" i="611"/>
  <c r="AH45" i="611"/>
  <c r="AH439" i="611"/>
  <c r="AH64" i="611"/>
  <c r="AH132" i="611"/>
  <c r="AH52" i="611"/>
  <c r="AH150" i="611"/>
  <c r="AH163" i="611"/>
  <c r="AH120" i="611"/>
  <c r="AH100" i="611"/>
  <c r="AH69" i="611"/>
  <c r="AJ94" i="611"/>
  <c r="AK94" i="611"/>
  <c r="AK43" i="611"/>
  <c r="AJ43" i="611"/>
  <c r="AG121" i="609"/>
  <c r="AK121" i="609" s="1"/>
  <c r="AG39" i="609"/>
  <c r="AJ39" i="609" s="1"/>
  <c r="AG76" i="609"/>
  <c r="AJ76" i="609" s="1"/>
  <c r="AG48" i="609"/>
  <c r="AJ48" i="609" s="1"/>
  <c r="AG26" i="609"/>
  <c r="AJ26" i="609" s="1"/>
  <c r="AG102" i="609"/>
  <c r="AJ102" i="609" s="1"/>
  <c r="AG230" i="609"/>
  <c r="AK230" i="609" s="1"/>
  <c r="AG167" i="609"/>
  <c r="AK167" i="609" s="1"/>
  <c r="AG90" i="609"/>
  <c r="AK90" i="609" s="1"/>
  <c r="AG172" i="609"/>
  <c r="AJ172" i="609" s="1"/>
  <c r="AG158" i="609"/>
  <c r="AG181" i="609"/>
  <c r="AJ181" i="609" s="1"/>
  <c r="AJ31" i="611"/>
  <c r="AK31" i="611"/>
  <c r="AK13" i="611"/>
  <c r="AJ13" i="611"/>
  <c r="AK87" i="611"/>
  <c r="AJ87" i="611"/>
  <c r="AJ34" i="611"/>
  <c r="AJ8" i="611"/>
  <c r="AK8" i="611"/>
  <c r="AK99" i="611"/>
  <c r="AJ99" i="611"/>
  <c r="AJ78" i="611"/>
  <c r="AK78" i="611"/>
  <c r="AG40" i="609"/>
  <c r="AJ40" i="609" s="1"/>
  <c r="AG23" i="609"/>
  <c r="AK23" i="609" s="1"/>
  <c r="AG67" i="609"/>
  <c r="AK67" i="609" s="1"/>
  <c r="AG36" i="609"/>
  <c r="AK36" i="609" s="1"/>
  <c r="AG64" i="609"/>
  <c r="AJ64" i="609" s="1"/>
  <c r="AG32" i="609"/>
  <c r="AK32" i="609" s="1"/>
  <c r="AG171" i="609"/>
  <c r="AK171" i="609" s="1"/>
  <c r="AG173" i="609"/>
  <c r="AJ173" i="609" s="1"/>
  <c r="AG180" i="609"/>
  <c r="AJ180" i="609" s="1"/>
  <c r="AG93" i="609"/>
  <c r="AK93" i="609" s="1"/>
  <c r="AG194" i="609"/>
  <c r="AK194" i="609" s="1"/>
  <c r="AG174" i="609"/>
  <c r="AJ174" i="609" s="1"/>
  <c r="AG191" i="609"/>
  <c r="AJ191" i="609" s="1"/>
  <c r="AJ37" i="611"/>
  <c r="AK37" i="611"/>
  <c r="AJ54" i="611"/>
  <c r="AK54" i="611"/>
  <c r="AJ89" i="611"/>
  <c r="AK89" i="611"/>
  <c r="AJ141" i="611"/>
  <c r="AJ41" i="611"/>
  <c r="AK41" i="611"/>
  <c r="AJ84" i="611"/>
  <c r="AK84" i="611"/>
  <c r="AK27" i="611"/>
  <c r="AK61" i="611"/>
  <c r="AJ61" i="611"/>
  <c r="AG151" i="609"/>
  <c r="AJ151" i="609" s="1"/>
  <c r="AG72" i="609"/>
  <c r="AJ72" i="609" s="1"/>
  <c r="AG45" i="609"/>
  <c r="AK45" i="609" s="1"/>
  <c r="AG34" i="609"/>
  <c r="AK34" i="609" s="1"/>
  <c r="AG94" i="609"/>
  <c r="AK94" i="609" s="1"/>
  <c r="AG104" i="609"/>
  <c r="AK104" i="609" s="1"/>
  <c r="AG51" i="609"/>
  <c r="AK51" i="609" s="1"/>
  <c r="AG75" i="609"/>
  <c r="AJ75" i="609" s="1"/>
  <c r="AG201" i="609"/>
  <c r="AJ201" i="609" s="1"/>
  <c r="AG178" i="609"/>
  <c r="AJ178" i="609" s="1"/>
  <c r="AG185" i="609"/>
  <c r="AK185" i="609" s="1"/>
  <c r="AG159" i="609"/>
  <c r="AK159" i="609" s="1"/>
  <c r="AG202" i="609"/>
  <c r="AK202" i="609" s="1"/>
  <c r="AG179" i="609"/>
  <c r="AK179" i="609" s="1"/>
  <c r="AG199" i="609"/>
  <c r="AK199" i="609" s="1"/>
  <c r="AK91" i="611"/>
  <c r="AJ91" i="611"/>
  <c r="AJ22" i="611"/>
  <c r="AK22" i="611"/>
  <c r="AJ148" i="611"/>
  <c r="AK148" i="611"/>
  <c r="AJ45" i="611"/>
  <c r="AK133" i="611"/>
  <c r="AJ133" i="611"/>
  <c r="AJ33" i="611"/>
  <c r="AK33" i="611"/>
  <c r="AK117" i="611"/>
  <c r="AJ117" i="611"/>
  <c r="AG117" i="609"/>
  <c r="AJ117" i="609" s="1"/>
  <c r="AG29" i="609"/>
  <c r="AJ29" i="609" s="1"/>
  <c r="AG60" i="609"/>
  <c r="AK60" i="609" s="1"/>
  <c r="AG107" i="609"/>
  <c r="AJ107" i="609" s="1"/>
  <c r="AG10" i="609"/>
  <c r="AJ10" i="609" s="1"/>
  <c r="AG68" i="609"/>
  <c r="AJ68" i="609" s="1"/>
  <c r="AG88" i="609"/>
  <c r="AJ88" i="609" s="1"/>
  <c r="AG209" i="609"/>
  <c r="AJ209" i="609" s="1"/>
  <c r="AG190" i="609"/>
  <c r="AG198" i="609"/>
  <c r="AJ198" i="609" s="1"/>
  <c r="AG170" i="609"/>
  <c r="AJ170" i="609" s="1"/>
  <c r="AG205" i="609"/>
  <c r="AK205" i="609" s="1"/>
  <c r="AG184" i="609"/>
  <c r="AJ184" i="609" s="1"/>
  <c r="AG116" i="609"/>
  <c r="AJ116" i="609" s="1"/>
  <c r="AJ96" i="611"/>
  <c r="AK96" i="611"/>
  <c r="AK157" i="611"/>
  <c r="AJ157" i="611"/>
  <c r="AJ156" i="611"/>
  <c r="AK156" i="611"/>
  <c r="AJ40" i="611"/>
  <c r="AK40" i="611"/>
  <c r="AK153" i="611"/>
  <c r="AJ153" i="611"/>
  <c r="AK126" i="611"/>
  <c r="AJ126" i="611"/>
  <c r="AG37" i="609"/>
  <c r="AK37" i="609" s="1"/>
  <c r="AG8" i="609"/>
  <c r="AJ8" i="609" s="1"/>
  <c r="AG31" i="609"/>
  <c r="AK31" i="609" s="1"/>
  <c r="AG92" i="609"/>
  <c r="AJ92" i="609" s="1"/>
  <c r="AG109" i="609"/>
  <c r="AK109" i="609" s="1"/>
  <c r="AG13" i="609"/>
  <c r="AJ13" i="609" s="1"/>
  <c r="AG106" i="609"/>
  <c r="AK106" i="609" s="1"/>
  <c r="AG103" i="609"/>
  <c r="AK103" i="609" s="1"/>
  <c r="AG218" i="609"/>
  <c r="AK218" i="609" s="1"/>
  <c r="AG206" i="609"/>
  <c r="AK206" i="609" s="1"/>
  <c r="AG208" i="609"/>
  <c r="AJ208" i="609" s="1"/>
  <c r="AG192" i="609"/>
  <c r="AK192" i="609" s="1"/>
  <c r="AG216" i="609"/>
  <c r="AK216" i="609" s="1"/>
  <c r="AG223" i="609"/>
  <c r="AK223" i="609" s="1"/>
  <c r="AG122" i="609"/>
  <c r="AK122" i="609" s="1"/>
  <c r="AK29" i="611"/>
  <c r="AJ29" i="611"/>
  <c r="AJ102" i="611"/>
  <c r="AK50" i="611"/>
  <c r="AJ50" i="611"/>
  <c r="AJ26" i="611"/>
  <c r="AJ163" i="611"/>
  <c r="AK163" i="611"/>
  <c r="AJ442" i="611"/>
  <c r="AK442" i="611"/>
  <c r="AG141" i="609"/>
  <c r="AK141" i="609" s="1"/>
  <c r="AG163" i="609"/>
  <c r="AK163" i="609" s="1"/>
  <c r="AG176" i="605"/>
  <c r="AK176" i="605" s="1"/>
  <c r="AG220" i="605"/>
  <c r="AK220" i="605" s="1"/>
  <c r="AG16" i="605"/>
  <c r="AJ16" i="605" s="1"/>
  <c r="AG103" i="605"/>
  <c r="AK103" i="605" s="1"/>
  <c r="AG157" i="605"/>
  <c r="AK157" i="605" s="1"/>
  <c r="AG8" i="605"/>
  <c r="AJ8" i="605" s="1"/>
  <c r="AG40" i="605"/>
  <c r="AJ40" i="605" s="1"/>
  <c r="AG44" i="605"/>
  <c r="AJ44" i="605" s="1"/>
  <c r="AG38" i="605"/>
  <c r="AJ38" i="605" s="1"/>
  <c r="AG92" i="605"/>
  <c r="AK92" i="605" s="1"/>
  <c r="AG188" i="609"/>
  <c r="AK188" i="609" s="1"/>
  <c r="AG122" i="605"/>
  <c r="AK122" i="605" s="1"/>
  <c r="AG32" i="605"/>
  <c r="AK32" i="605" s="1"/>
  <c r="AG134" i="607"/>
  <c r="AK134" i="607" s="1"/>
  <c r="AG222" i="605"/>
  <c r="AJ222" i="605" s="1"/>
  <c r="AG173" i="605"/>
  <c r="AJ173" i="605" s="1"/>
  <c r="AG10" i="605"/>
  <c r="AJ10" i="605" s="1"/>
  <c r="AG204" i="609"/>
  <c r="AK204" i="609" s="1"/>
  <c r="AG94" i="605"/>
  <c r="AK94" i="605" s="1"/>
  <c r="AG48" i="605"/>
  <c r="AK48" i="605" s="1"/>
  <c r="AG192" i="605"/>
  <c r="AJ192" i="605" s="1"/>
  <c r="AG190" i="605"/>
  <c r="AJ190" i="605" s="1"/>
  <c r="AG64" i="605"/>
  <c r="AJ64" i="605" s="1"/>
  <c r="AG74" i="607"/>
  <c r="AJ74" i="607" s="1"/>
  <c r="AG79" i="607"/>
  <c r="AJ79" i="607" s="1"/>
  <c r="AG58" i="607"/>
  <c r="AK58" i="607" s="1"/>
  <c r="AG130" i="607"/>
  <c r="AJ130" i="607" s="1"/>
  <c r="AG127" i="607"/>
  <c r="AJ127" i="607" s="1"/>
  <c r="AG139" i="607"/>
  <c r="AJ139" i="607" s="1"/>
  <c r="AG115" i="607"/>
  <c r="AJ115" i="607" s="1"/>
  <c r="AG48" i="607"/>
  <c r="AJ48" i="607" s="1"/>
  <c r="AG123" i="607"/>
  <c r="AK123" i="607" s="1"/>
  <c r="AG47" i="607"/>
  <c r="AK47" i="607" s="1"/>
  <c r="AG82" i="607"/>
  <c r="AK82" i="607" s="1"/>
  <c r="AG57" i="607"/>
  <c r="AK57" i="607" s="1"/>
  <c r="AG38" i="607"/>
  <c r="AJ38" i="607" s="1"/>
  <c r="AG71" i="607"/>
  <c r="AK71" i="607" s="1"/>
  <c r="AG72" i="607"/>
  <c r="AK72" i="607" s="1"/>
  <c r="AG73" i="607"/>
  <c r="AK73" i="607" s="1"/>
  <c r="AG53" i="607"/>
  <c r="AK53" i="607" s="1"/>
  <c r="AG22" i="607"/>
  <c r="AJ22" i="607" s="1"/>
  <c r="AG120" i="607"/>
  <c r="AK120" i="607" s="1"/>
  <c r="AG131" i="607"/>
  <c r="AJ131" i="607" s="1"/>
  <c r="AG43" i="607"/>
  <c r="AK43" i="607" s="1"/>
  <c r="AG125" i="607"/>
  <c r="AJ125" i="607" s="1"/>
  <c r="AG50" i="607"/>
  <c r="AJ50" i="607" s="1"/>
  <c r="AG78" i="607"/>
  <c r="AK78" i="607" s="1"/>
  <c r="AG33" i="605"/>
  <c r="AJ33" i="605" s="1"/>
  <c r="AG312" i="605"/>
  <c r="AJ312" i="605" s="1"/>
  <c r="AG195" i="605"/>
  <c r="AK195" i="605" s="1"/>
  <c r="AG102" i="605"/>
  <c r="AK102" i="605" s="1"/>
  <c r="AG65" i="605"/>
  <c r="AK65" i="605" s="1"/>
  <c r="AG50" i="605"/>
  <c r="AJ50" i="605" s="1"/>
  <c r="AG36" i="607"/>
  <c r="AJ36" i="607" s="1"/>
  <c r="AG137" i="607"/>
  <c r="AK137" i="607" s="1"/>
  <c r="AG66" i="607"/>
  <c r="AJ66" i="607" s="1"/>
  <c r="AG81" i="607"/>
  <c r="AK81" i="607" s="1"/>
  <c r="AG37" i="607"/>
  <c r="AK37" i="607" s="1"/>
  <c r="AG109" i="607"/>
  <c r="AJ109" i="607" s="1"/>
  <c r="AH57" i="609"/>
  <c r="AH60" i="609"/>
  <c r="AH222" i="609"/>
  <c r="AH101" i="609"/>
  <c r="AH205" i="609"/>
  <c r="AH123" i="609"/>
  <c r="AJ165" i="609"/>
  <c r="AJ144" i="609"/>
  <c r="AG41" i="605"/>
  <c r="AK41" i="605" s="1"/>
  <c r="AG13" i="605"/>
  <c r="AK13" i="605" s="1"/>
  <c r="AG18" i="605"/>
  <c r="AK18" i="605" s="1"/>
  <c r="AG180" i="605"/>
  <c r="AK180" i="605" s="1"/>
  <c r="AG110" i="605"/>
  <c r="AJ110" i="605" s="1"/>
  <c r="AG79" i="605"/>
  <c r="AJ79" i="605" s="1"/>
  <c r="AG117" i="607"/>
  <c r="AJ117" i="607" s="1"/>
  <c r="AG138" i="607"/>
  <c r="AJ138" i="607" s="1"/>
  <c r="AJ61" i="609"/>
  <c r="AJ99" i="609"/>
  <c r="AK195" i="609"/>
  <c r="AJ59" i="609"/>
  <c r="AG179" i="605"/>
  <c r="AK179" i="605" s="1"/>
  <c r="AJ30" i="609"/>
  <c r="AJ149" i="609"/>
  <c r="AG136" i="605"/>
  <c r="AJ136" i="605" s="1"/>
  <c r="AG114" i="605"/>
  <c r="AJ114" i="605" s="1"/>
  <c r="AG37" i="605"/>
  <c r="AJ37" i="605" s="1"/>
  <c r="AG26" i="605"/>
  <c r="AJ26" i="605" s="1"/>
  <c r="AG219" i="605"/>
  <c r="AK219" i="605" s="1"/>
  <c r="AK158" i="609"/>
  <c r="AJ158" i="609"/>
  <c r="AK181" i="609"/>
  <c r="AK174" i="609"/>
  <c r="AK191" i="609"/>
  <c r="AG193" i="605"/>
  <c r="AJ193" i="605" s="1"/>
  <c r="AG174" i="605"/>
  <c r="AK174" i="605" s="1"/>
  <c r="AG178" i="605"/>
  <c r="AJ178" i="605" s="1"/>
  <c r="AG46" i="605"/>
  <c r="AK46" i="605" s="1"/>
  <c r="AG88" i="605"/>
  <c r="AJ88" i="605" s="1"/>
  <c r="AG15" i="605"/>
  <c r="AJ15" i="605" s="1"/>
  <c r="AG23" i="607"/>
  <c r="AK23" i="607" s="1"/>
  <c r="AG87" i="607"/>
  <c r="AJ87" i="607" s="1"/>
  <c r="AG100" i="607"/>
  <c r="AK100" i="607" s="1"/>
  <c r="AA1" i="607"/>
  <c r="AH122" i="607" s="1"/>
  <c r="AG86" i="607"/>
  <c r="AK86" i="607" s="1"/>
  <c r="AG88" i="607"/>
  <c r="AK88" i="607" s="1"/>
  <c r="AG183" i="605"/>
  <c r="AK183" i="605" s="1"/>
  <c r="AG218" i="605"/>
  <c r="AK218" i="605" s="1"/>
  <c r="AG185" i="605"/>
  <c r="AK185" i="605" s="1"/>
  <c r="AG80" i="605"/>
  <c r="AJ80" i="605" s="1"/>
  <c r="AG156" i="605"/>
  <c r="AJ156" i="605" s="1"/>
  <c r="AG20" i="605"/>
  <c r="AJ20" i="605" s="1"/>
  <c r="AG111" i="607"/>
  <c r="AK111" i="607" s="1"/>
  <c r="AG95" i="607"/>
  <c r="AJ95" i="607" s="1"/>
  <c r="AG108" i="607"/>
  <c r="AK108" i="607" s="1"/>
  <c r="AG45" i="607"/>
  <c r="AJ45" i="607" s="1"/>
  <c r="AG94" i="607"/>
  <c r="AJ94" i="607" s="1"/>
  <c r="AG96" i="607"/>
  <c r="AJ96" i="607" s="1"/>
  <c r="AK190" i="609"/>
  <c r="AJ190" i="609"/>
  <c r="AK116" i="609"/>
  <c r="AG191" i="605"/>
  <c r="AK191" i="605" s="1"/>
  <c r="AG24" i="605"/>
  <c r="AK24" i="605" s="1"/>
  <c r="AG60" i="605"/>
  <c r="AG97" i="605"/>
  <c r="AK97" i="605" s="1"/>
  <c r="AG158" i="605"/>
  <c r="AK158" i="605" s="1"/>
  <c r="AG39" i="605"/>
  <c r="AK39" i="605" s="1"/>
  <c r="AG41" i="607"/>
  <c r="AK41" i="607" s="1"/>
  <c r="AG116" i="607"/>
  <c r="AJ116" i="607" s="1"/>
  <c r="AG27" i="607"/>
  <c r="AK27" i="607" s="1"/>
  <c r="AG52" i="607"/>
  <c r="AJ52" i="607" s="1"/>
  <c r="AG26" i="607"/>
  <c r="AJ26" i="607" s="1"/>
  <c r="AG103" i="607"/>
  <c r="AJ103" i="607" s="1"/>
  <c r="AG100" i="605"/>
  <c r="AK100" i="605" s="1"/>
  <c r="AG52" i="605"/>
  <c r="AK52" i="605" s="1"/>
  <c r="AG83" i="605"/>
  <c r="AJ83" i="605" s="1"/>
  <c r="AG135" i="605"/>
  <c r="AK135" i="605" s="1"/>
  <c r="AG187" i="605"/>
  <c r="AJ187" i="605" s="1"/>
  <c r="AG45" i="605"/>
  <c r="AJ45" i="605" s="1"/>
  <c r="AG51" i="607"/>
  <c r="AK51" i="607" s="1"/>
  <c r="AG124" i="607"/>
  <c r="AJ124" i="607" s="1"/>
  <c r="AG40" i="607"/>
  <c r="AJ40" i="607" s="1"/>
  <c r="AG76" i="607"/>
  <c r="AK76" i="607" s="1"/>
  <c r="AG68" i="607"/>
  <c r="AJ68" i="607" s="1"/>
  <c r="AG135" i="607"/>
  <c r="AK135" i="607" s="1"/>
  <c r="AJ124" i="609"/>
  <c r="AK124" i="609"/>
  <c r="AK152" i="609"/>
  <c r="AJ152" i="609"/>
  <c r="AK15" i="609"/>
  <c r="AJ15" i="609"/>
  <c r="AK222" i="609"/>
  <c r="AJ222" i="609"/>
  <c r="AK200" i="609"/>
  <c r="AJ200" i="609"/>
  <c r="AJ128" i="609"/>
  <c r="AK128" i="609"/>
  <c r="AK111" i="609"/>
  <c r="AJ111" i="609"/>
  <c r="AK130" i="609"/>
  <c r="AJ130" i="609"/>
  <c r="AK162" i="609"/>
  <c r="AJ162" i="609"/>
  <c r="AG11" i="605"/>
  <c r="AK11" i="605" s="1"/>
  <c r="AG66" i="605"/>
  <c r="AK66" i="605" s="1"/>
  <c r="AG86" i="605"/>
  <c r="AK86" i="605" s="1"/>
  <c r="AA1" i="605"/>
  <c r="AH23" i="605" s="1"/>
  <c r="AG311" i="605"/>
  <c r="AK311" i="605" s="1"/>
  <c r="AG107" i="605"/>
  <c r="AJ107" i="605" s="1"/>
  <c r="AG80" i="607"/>
  <c r="AJ80" i="607" s="1"/>
  <c r="AG25" i="607"/>
  <c r="AK25" i="607" s="1"/>
  <c r="AG89" i="607"/>
  <c r="AJ89" i="607" s="1"/>
  <c r="AG102" i="607"/>
  <c r="AK102" i="607" s="1"/>
  <c r="AG83" i="607"/>
  <c r="AJ83" i="607" s="1"/>
  <c r="AG39" i="607"/>
  <c r="AJ39" i="607" s="1"/>
  <c r="AJ44" i="609"/>
  <c r="AK44" i="609"/>
  <c r="AJ132" i="609"/>
  <c r="AK132" i="609"/>
  <c r="AK19" i="609"/>
  <c r="AJ12" i="609"/>
  <c r="AJ155" i="609"/>
  <c r="AK155" i="609"/>
  <c r="AJ96" i="609"/>
  <c r="AK96" i="609"/>
  <c r="AJ214" i="609"/>
  <c r="AJ213" i="609"/>
  <c r="AK213" i="609"/>
  <c r="AK114" i="609"/>
  <c r="AJ114" i="609"/>
  <c r="AG69" i="605"/>
  <c r="AK69" i="605" s="1"/>
  <c r="AG78" i="605"/>
  <c r="AK78" i="605" s="1"/>
  <c r="AG108" i="605"/>
  <c r="AK108" i="605" s="1"/>
  <c r="AG29" i="605"/>
  <c r="AK29" i="605" s="1"/>
  <c r="AG314" i="605"/>
  <c r="AK314" i="605" s="1"/>
  <c r="AG137" i="605"/>
  <c r="AK137" i="605" s="1"/>
  <c r="AG85" i="607"/>
  <c r="AK85" i="607" s="1"/>
  <c r="AG55" i="607"/>
  <c r="AK55" i="607" s="1"/>
  <c r="AG92" i="607"/>
  <c r="AK92" i="607" s="1"/>
  <c r="AG110" i="607"/>
  <c r="AK110" i="607" s="1"/>
  <c r="AG99" i="607"/>
  <c r="AJ99" i="607" s="1"/>
  <c r="AG44" i="607"/>
  <c r="AK44" i="607" s="1"/>
  <c r="AK52" i="609"/>
  <c r="AJ41" i="609"/>
  <c r="AJ18" i="609"/>
  <c r="AK18" i="609"/>
  <c r="AJ110" i="609"/>
  <c r="AK110" i="609"/>
  <c r="AJ227" i="609"/>
  <c r="AK131" i="609"/>
  <c r="AJ131" i="609"/>
  <c r="AJ221" i="609"/>
  <c r="AK221" i="609"/>
  <c r="AJ169" i="609"/>
  <c r="AK169" i="609"/>
  <c r="AG95" i="605"/>
  <c r="AJ95" i="605" s="1"/>
  <c r="AG111" i="605"/>
  <c r="AK111" i="605" s="1"/>
  <c r="AG116" i="605"/>
  <c r="AK116" i="605" s="1"/>
  <c r="AG51" i="605"/>
  <c r="AJ51" i="605" s="1"/>
  <c r="AG12" i="605"/>
  <c r="AK12" i="605" s="1"/>
  <c r="AG155" i="605"/>
  <c r="AJ155" i="605" s="1"/>
  <c r="AG90" i="607"/>
  <c r="AK90" i="607" s="1"/>
  <c r="AG61" i="607"/>
  <c r="AK61" i="607" s="1"/>
  <c r="AG97" i="607"/>
  <c r="AJ97" i="607" s="1"/>
  <c r="AG106" i="607"/>
  <c r="AK106" i="607" s="1"/>
  <c r="AG104" i="607"/>
  <c r="AJ104" i="607" s="1"/>
  <c r="AG62" i="607"/>
  <c r="AK62" i="607" s="1"/>
  <c r="AK54" i="609"/>
  <c r="AJ54" i="609"/>
  <c r="AK89" i="609"/>
  <c r="AJ89" i="609"/>
  <c r="AJ20" i="609"/>
  <c r="AK193" i="609"/>
  <c r="AJ193" i="609"/>
  <c r="AK118" i="609"/>
  <c r="AJ118" i="609"/>
  <c r="AK166" i="609"/>
  <c r="AJ166" i="609"/>
  <c r="AG89" i="605"/>
  <c r="AJ89" i="605" s="1"/>
  <c r="AG138" i="605"/>
  <c r="AJ138" i="605" s="1"/>
  <c r="AG124" i="605"/>
  <c r="AJ124" i="605" s="1"/>
  <c r="AG54" i="605"/>
  <c r="AK54" i="605" s="1"/>
  <c r="AG34" i="605"/>
  <c r="AK34" i="605" s="1"/>
  <c r="AG194" i="605"/>
  <c r="AJ194" i="605" s="1"/>
  <c r="AG93" i="607"/>
  <c r="AJ93" i="607" s="1"/>
  <c r="AG64" i="607"/>
  <c r="AJ64" i="607" s="1"/>
  <c r="AG113" i="607"/>
  <c r="AK113" i="607" s="1"/>
  <c r="AG24" i="607"/>
  <c r="AK24" i="607" s="1"/>
  <c r="AG107" i="607"/>
  <c r="AJ107" i="607" s="1"/>
  <c r="AG65" i="607"/>
  <c r="AJ65" i="607" s="1"/>
  <c r="AK69" i="609"/>
  <c r="AJ69" i="609"/>
  <c r="AK66" i="609"/>
  <c r="AK212" i="609"/>
  <c r="AJ212" i="609"/>
  <c r="AJ115" i="609"/>
  <c r="AK115" i="609"/>
  <c r="AJ177" i="609"/>
  <c r="AK177" i="609"/>
  <c r="AK40" i="609"/>
  <c r="AK50" i="609"/>
  <c r="AG22" i="605"/>
  <c r="AK22" i="605" s="1"/>
  <c r="AG188" i="605"/>
  <c r="AK188" i="605" s="1"/>
  <c r="AG169" i="605"/>
  <c r="AK169" i="605" s="1"/>
  <c r="AG57" i="605"/>
  <c r="AK57" i="605" s="1"/>
  <c r="AG43" i="605"/>
  <c r="AK43" i="605" s="1"/>
  <c r="AG197" i="605"/>
  <c r="AJ197" i="605" s="1"/>
  <c r="AG114" i="607"/>
  <c r="AK114" i="607" s="1"/>
  <c r="AG69" i="607"/>
  <c r="AK69" i="607" s="1"/>
  <c r="AG118" i="607"/>
  <c r="AK118" i="607" s="1"/>
  <c r="AG54" i="607"/>
  <c r="AJ54" i="607" s="1"/>
  <c r="AG128" i="607"/>
  <c r="AJ128" i="607" s="1"/>
  <c r="AG75" i="607"/>
  <c r="AJ75" i="607" s="1"/>
  <c r="AK38" i="609"/>
  <c r="AK47" i="609"/>
  <c r="AJ47" i="609"/>
  <c r="AJ225" i="609"/>
  <c r="AJ129" i="609"/>
  <c r="AK129" i="609"/>
  <c r="AJ134" i="609"/>
  <c r="AK134" i="609"/>
  <c r="AJ164" i="609"/>
  <c r="AJ197" i="609"/>
  <c r="AK197" i="609"/>
  <c r="AG30" i="605"/>
  <c r="AJ30" i="605" s="1"/>
  <c r="AG309" i="605"/>
  <c r="AK309" i="605" s="1"/>
  <c r="AG171" i="605"/>
  <c r="AK171" i="605" s="1"/>
  <c r="AG68" i="605"/>
  <c r="AJ68" i="605" s="1"/>
  <c r="AG62" i="605"/>
  <c r="AK62" i="605" s="1"/>
  <c r="AG25" i="605"/>
  <c r="AJ25" i="605" s="1"/>
  <c r="AG122" i="607"/>
  <c r="AJ122" i="607" s="1"/>
  <c r="AG129" i="607"/>
  <c r="AJ129" i="607" s="1"/>
  <c r="AG121" i="607"/>
  <c r="AJ121" i="607" s="1"/>
  <c r="AG60" i="607"/>
  <c r="AK60" i="607" s="1"/>
  <c r="AG136" i="607"/>
  <c r="AJ136" i="607" s="1"/>
  <c r="AG101" i="607"/>
  <c r="AJ101" i="607" s="1"/>
  <c r="AJ22" i="609"/>
  <c r="AK22" i="609"/>
  <c r="AJ219" i="609"/>
  <c r="AK219" i="609"/>
  <c r="AK207" i="609"/>
  <c r="AJ97" i="609"/>
  <c r="AJ215" i="609"/>
  <c r="AK215" i="609"/>
  <c r="AG96" i="605"/>
  <c r="AJ96" i="605" s="1"/>
  <c r="AG17" i="605"/>
  <c r="AK17" i="605" s="1"/>
  <c r="AG223" i="605"/>
  <c r="AK223" i="605" s="1"/>
  <c r="AG99" i="605"/>
  <c r="AK99" i="605" s="1"/>
  <c r="AG36" i="605"/>
  <c r="AK36" i="605" s="1"/>
  <c r="AG19" i="605"/>
  <c r="AJ19" i="605" s="1"/>
  <c r="AG113" i="605"/>
  <c r="AK113" i="605" s="1"/>
  <c r="AG53" i="605"/>
  <c r="AK53" i="605" s="1"/>
  <c r="AG27" i="605"/>
  <c r="AJ27" i="605" s="1"/>
  <c r="AG139" i="605"/>
  <c r="AJ139" i="605" s="1"/>
  <c r="AG101" i="605"/>
  <c r="AJ101" i="605" s="1"/>
  <c r="AG47" i="605"/>
  <c r="AJ47" i="605" s="1"/>
  <c r="AG160" i="605"/>
  <c r="AJ160" i="605" s="1"/>
  <c r="AG115" i="605"/>
  <c r="AJ115" i="605" s="1"/>
  <c r="AG55" i="605"/>
  <c r="AJ55" i="605" s="1"/>
  <c r="AG59" i="605"/>
  <c r="AK59" i="605" s="1"/>
  <c r="AG177" i="605"/>
  <c r="AK177" i="605" s="1"/>
  <c r="AG123" i="605"/>
  <c r="AK123" i="605" s="1"/>
  <c r="AG58" i="605"/>
  <c r="AJ58" i="605" s="1"/>
  <c r="AG82" i="605"/>
  <c r="AK82" i="605" s="1"/>
  <c r="AG184" i="605"/>
  <c r="AK184" i="605" s="1"/>
  <c r="AG134" i="605"/>
  <c r="AK134" i="605" s="1"/>
  <c r="AG81" i="605"/>
  <c r="AJ81" i="605" s="1"/>
  <c r="AG85" i="605"/>
  <c r="AK85" i="605" s="1"/>
  <c r="AG221" i="605"/>
  <c r="AK221" i="605" s="1"/>
  <c r="AG172" i="605"/>
  <c r="AJ172" i="605" s="1"/>
  <c r="AG87" i="605"/>
  <c r="AK87" i="605" s="1"/>
  <c r="AG104" i="605"/>
  <c r="AK104" i="605" s="1"/>
  <c r="AG23" i="605"/>
  <c r="AJ23" i="605" s="1"/>
  <c r="AG186" i="605"/>
  <c r="AJ186" i="605" s="1"/>
  <c r="AG93" i="605"/>
  <c r="AK93" i="605" s="1"/>
  <c r="AG118" i="605"/>
  <c r="AJ118" i="605" s="1"/>
  <c r="AG31" i="605"/>
  <c r="AK31" i="605" s="1"/>
  <c r="AG310" i="605"/>
  <c r="AK310" i="605" s="1"/>
  <c r="AG106" i="605"/>
  <c r="AK106" i="605" s="1"/>
  <c r="AG121" i="605"/>
  <c r="AK121" i="605" s="1"/>
  <c r="AG90" i="605"/>
  <c r="AK90" i="605" s="1"/>
  <c r="AG313" i="605"/>
  <c r="AJ313" i="605" s="1"/>
  <c r="AG67" i="607"/>
  <c r="AJ67" i="607" s="1"/>
  <c r="AG132" i="607"/>
  <c r="AK132" i="607" s="1"/>
  <c r="AG46" i="607"/>
  <c r="AJ46" i="607" s="1"/>
  <c r="AG109" i="605"/>
  <c r="AJ109" i="605" s="1"/>
  <c r="AG170" i="605"/>
  <c r="AJ170" i="605" s="1"/>
  <c r="AG9" i="605"/>
  <c r="AJ9" i="605" s="1"/>
  <c r="AK66" i="607"/>
  <c r="AJ37" i="607"/>
  <c r="AK115" i="607"/>
  <c r="AK59" i="607"/>
  <c r="AJ59" i="607"/>
  <c r="AG117" i="605"/>
  <c r="AJ117" i="605" s="1"/>
  <c r="AG125" i="605"/>
  <c r="AJ125" i="605" s="1"/>
  <c r="AG61" i="605"/>
  <c r="AJ61" i="605" s="1"/>
  <c r="AG159" i="605"/>
  <c r="AJ159" i="605" s="1"/>
  <c r="AG67" i="605"/>
  <c r="AJ67" i="605" s="1"/>
  <c r="AG120" i="605"/>
  <c r="AJ120" i="605" s="1"/>
  <c r="AK80" i="605"/>
  <c r="AJ52" i="605"/>
  <c r="AJ24" i="605"/>
  <c r="AH156" i="605"/>
  <c r="AH97" i="605"/>
  <c r="AH89" i="605"/>
  <c r="AH160" i="605"/>
  <c r="AH61" i="605"/>
  <c r="AH157" i="605"/>
  <c r="AH188" i="605"/>
  <c r="AH44" i="605"/>
  <c r="AH10" i="605"/>
  <c r="AJ66" i="605"/>
  <c r="AJ60" i="605"/>
  <c r="AK60" i="605"/>
  <c r="AJ18" i="605"/>
  <c r="AJ314" i="605"/>
  <c r="AJ92" i="605"/>
  <c r="AK181" i="605"/>
  <c r="AJ181" i="605"/>
  <c r="C51" i="340"/>
  <c r="C53" i="340"/>
  <c r="D51" i="340"/>
  <c r="D53" i="340"/>
  <c r="C46" i="162"/>
  <c r="AH12" i="605" l="1"/>
  <c r="AH311" i="605"/>
  <c r="AJ121" i="609"/>
  <c r="AH58" i="605"/>
  <c r="AH104" i="605"/>
  <c r="AH59" i="605"/>
  <c r="AH190" i="605"/>
  <c r="AH118" i="605"/>
  <c r="AH172" i="605"/>
  <c r="AJ211" i="609"/>
  <c r="AH27" i="605"/>
  <c r="AH11" i="605"/>
  <c r="AH111" i="605"/>
  <c r="AH41" i="605"/>
  <c r="AH123" i="605"/>
  <c r="AH83" i="605"/>
  <c r="AJ97" i="611"/>
  <c r="AH80" i="605"/>
  <c r="AH220" i="605"/>
  <c r="AJ216" i="609"/>
  <c r="AH120" i="605"/>
  <c r="AH222" i="605"/>
  <c r="AH87" i="605"/>
  <c r="AJ58" i="607"/>
  <c r="AH30" i="605"/>
  <c r="AJ88" i="607"/>
  <c r="AH43" i="605"/>
  <c r="AH218" i="605"/>
  <c r="AJ120" i="607"/>
  <c r="AH45" i="605"/>
  <c r="AH136" i="605"/>
  <c r="AH95" i="605"/>
  <c r="AJ45" i="609"/>
  <c r="AK100" i="611"/>
  <c r="AJ28" i="611"/>
  <c r="AJ42" i="611"/>
  <c r="AK143" i="609"/>
  <c r="AK145" i="609"/>
  <c r="AK47" i="611"/>
  <c r="AJ32" i="605"/>
  <c r="AK125" i="607"/>
  <c r="AK183" i="609"/>
  <c r="AK27" i="605"/>
  <c r="AK178" i="609"/>
  <c r="AK44" i="605"/>
  <c r="AK57" i="609"/>
  <c r="AK66" i="611"/>
  <c r="AJ139" i="609"/>
  <c r="AJ221" i="605"/>
  <c r="AJ93" i="609"/>
  <c r="AK137" i="609"/>
  <c r="AK74" i="607"/>
  <c r="AJ16" i="609"/>
  <c r="AK101" i="609"/>
  <c r="AJ154" i="611"/>
  <c r="AK178" i="605"/>
  <c r="AJ53" i="607"/>
  <c r="AK80" i="611"/>
  <c r="AK127" i="607"/>
  <c r="AJ145" i="611"/>
  <c r="AJ138" i="611"/>
  <c r="AJ122" i="605"/>
  <c r="AK71" i="609"/>
  <c r="AK144" i="611"/>
  <c r="AJ27" i="607"/>
  <c r="AK65" i="609"/>
  <c r="AJ21" i="611"/>
  <c r="AK75" i="611"/>
  <c r="AJ43" i="607"/>
  <c r="AK24" i="609"/>
  <c r="AJ139" i="611"/>
  <c r="AK10" i="605"/>
  <c r="AJ76" i="607"/>
  <c r="AJ67" i="609"/>
  <c r="AK17" i="609"/>
  <c r="AJ176" i="605"/>
  <c r="AK73" i="609"/>
  <c r="AJ226" i="609"/>
  <c r="AK312" i="605"/>
  <c r="AJ46" i="609"/>
  <c r="AK85" i="609"/>
  <c r="AH124" i="605"/>
  <c r="AH9" i="605"/>
  <c r="AH62" i="605"/>
  <c r="AH57" i="605"/>
  <c r="AH69" i="605"/>
  <c r="AH93" i="605"/>
  <c r="AH187" i="605"/>
  <c r="AH82" i="605"/>
  <c r="AK172" i="609"/>
  <c r="AH131" i="607"/>
  <c r="AK187" i="609"/>
  <c r="AJ151" i="611"/>
  <c r="AH90" i="605"/>
  <c r="AH138" i="605"/>
  <c r="AH81" i="605"/>
  <c r="AH50" i="605"/>
  <c r="AH15" i="605"/>
  <c r="AH47" i="607"/>
  <c r="AH38" i="605"/>
  <c r="AH86" i="605"/>
  <c r="AH180" i="605"/>
  <c r="AH52" i="605"/>
  <c r="AH46" i="605"/>
  <c r="AH59" i="607"/>
  <c r="AH158" i="605"/>
  <c r="AH115" i="605"/>
  <c r="AH309" i="605"/>
  <c r="AH66" i="605"/>
  <c r="AH100" i="605"/>
  <c r="AH177" i="605"/>
  <c r="AH8" i="605"/>
  <c r="AH83" i="607"/>
  <c r="AJ199" i="609"/>
  <c r="AH43" i="607"/>
  <c r="AH184" i="605"/>
  <c r="AH122" i="605"/>
  <c r="AH65" i="605"/>
  <c r="AH79" i="605"/>
  <c r="AJ218" i="609"/>
  <c r="AH94" i="605"/>
  <c r="AH33" i="605"/>
  <c r="AH193" i="605"/>
  <c r="AH221" i="605"/>
  <c r="AH223" i="605"/>
  <c r="AH16" i="605"/>
  <c r="AH179" i="605"/>
  <c r="AH192" i="605"/>
  <c r="AH116" i="605"/>
  <c r="AH17" i="605"/>
  <c r="AH65" i="607"/>
  <c r="AH29" i="605"/>
  <c r="AH195" i="605"/>
  <c r="AH68" i="605"/>
  <c r="AK107" i="605"/>
  <c r="AH85" i="605"/>
  <c r="AH310" i="605"/>
  <c r="AH39" i="605"/>
  <c r="AH155" i="605"/>
  <c r="AH40" i="605"/>
  <c r="AH117" i="605"/>
  <c r="AK108" i="609"/>
  <c r="AK35" i="611"/>
  <c r="AK50" i="607"/>
  <c r="AJ97" i="605"/>
  <c r="AJ87" i="609"/>
  <c r="AJ157" i="609"/>
  <c r="AK198" i="609"/>
  <c r="AJ11" i="609"/>
  <c r="AK96" i="607"/>
  <c r="AJ191" i="605"/>
  <c r="AJ185" i="609"/>
  <c r="AJ134" i="607"/>
  <c r="AK38" i="605"/>
  <c r="AH137" i="607"/>
  <c r="AK170" i="605"/>
  <c r="AH27" i="607"/>
  <c r="AJ108" i="607"/>
  <c r="AH96" i="607"/>
  <c r="AH46" i="607"/>
  <c r="AH26" i="607"/>
  <c r="AK124" i="605"/>
  <c r="AH44" i="607"/>
  <c r="AJ142" i="609"/>
  <c r="AH97" i="607"/>
  <c r="AK58" i="611"/>
  <c r="AH72" i="607"/>
  <c r="AH115" i="607"/>
  <c r="AJ34" i="605"/>
  <c r="AH121" i="607"/>
  <c r="AH22" i="607"/>
  <c r="AK29" i="609"/>
  <c r="AJ43" i="609"/>
  <c r="AJ179" i="609"/>
  <c r="AJ51" i="611"/>
  <c r="AK136" i="611"/>
  <c r="AK155" i="605"/>
  <c r="AK180" i="609"/>
  <c r="AJ220" i="605"/>
  <c r="AJ439" i="611"/>
  <c r="AK57" i="611"/>
  <c r="AK9" i="605"/>
  <c r="AK120" i="609"/>
  <c r="AJ122" i="609"/>
  <c r="AK76" i="611"/>
  <c r="AJ82" i="607"/>
  <c r="AK173" i="605"/>
  <c r="AK101" i="605"/>
  <c r="AJ223" i="609"/>
  <c r="AJ27" i="609"/>
  <c r="AJ79" i="611"/>
  <c r="AJ93" i="611"/>
  <c r="AK86" i="609"/>
  <c r="AK22" i="607"/>
  <c r="AK229" i="609"/>
  <c r="AJ195" i="605"/>
  <c r="AK184" i="609"/>
  <c r="AK33" i="605"/>
  <c r="AJ127" i="609"/>
  <c r="AJ230" i="609"/>
  <c r="AK70" i="611"/>
  <c r="AJ85" i="611"/>
  <c r="AJ186" i="609"/>
  <c r="AH30" i="609"/>
  <c r="AH180" i="609"/>
  <c r="AH61" i="611"/>
  <c r="AH442" i="611"/>
  <c r="AH23" i="611"/>
  <c r="AH447" i="611"/>
  <c r="AH90" i="611"/>
  <c r="AH136" i="611"/>
  <c r="AH43" i="611"/>
  <c r="AJ38" i="611"/>
  <c r="AJ94" i="605"/>
  <c r="AJ179" i="605"/>
  <c r="AH51" i="609"/>
  <c r="AH104" i="609"/>
  <c r="AH38" i="611"/>
  <c r="AH40" i="611"/>
  <c r="AH51" i="611"/>
  <c r="AH63" i="611"/>
  <c r="AH92" i="611"/>
  <c r="AH82" i="611"/>
  <c r="AH145" i="611"/>
  <c r="AJ25" i="609"/>
  <c r="AH48" i="609"/>
  <c r="AH162" i="609"/>
  <c r="AH14" i="611"/>
  <c r="AH49" i="611"/>
  <c r="AH94" i="611"/>
  <c r="AH28" i="611"/>
  <c r="AH70" i="611"/>
  <c r="AH103" i="611"/>
  <c r="AH118" i="611"/>
  <c r="AH113" i="609"/>
  <c r="AH15" i="609"/>
  <c r="AK23" i="611"/>
  <c r="AH144" i="611"/>
  <c r="AH117" i="611"/>
  <c r="AH133" i="611"/>
  <c r="AH47" i="611"/>
  <c r="AH89" i="611"/>
  <c r="AH97" i="611"/>
  <c r="AH109" i="611"/>
  <c r="AJ41" i="607"/>
  <c r="AH107" i="609"/>
  <c r="AH165" i="609"/>
  <c r="AH166" i="609"/>
  <c r="AH108" i="611"/>
  <c r="AH139" i="611"/>
  <c r="AH58" i="611"/>
  <c r="AH130" i="611"/>
  <c r="AH80" i="611"/>
  <c r="AH19" i="611"/>
  <c r="AH124" i="611"/>
  <c r="AH73" i="609"/>
  <c r="AH37" i="609"/>
  <c r="AH103" i="609"/>
  <c r="AH160" i="611"/>
  <c r="AH121" i="611"/>
  <c r="AH102" i="611"/>
  <c r="AH162" i="611"/>
  <c r="AH44" i="611"/>
  <c r="AH31" i="611"/>
  <c r="AH79" i="611"/>
  <c r="AH126" i="611"/>
  <c r="AJ95" i="609"/>
  <c r="AH111" i="609"/>
  <c r="AH214" i="609"/>
  <c r="AH69" i="609"/>
  <c r="AJ65" i="611"/>
  <c r="AJ109" i="611"/>
  <c r="AH142" i="611"/>
  <c r="AH48" i="611"/>
  <c r="AH56" i="611"/>
  <c r="AH68" i="611"/>
  <c r="AH157" i="611"/>
  <c r="AH9" i="611"/>
  <c r="AH129" i="611"/>
  <c r="AH24" i="611"/>
  <c r="AH221" i="609"/>
  <c r="AH64" i="609"/>
  <c r="AH87" i="611"/>
  <c r="AH438" i="611"/>
  <c r="AH446" i="611"/>
  <c r="AH443" i="611"/>
  <c r="AH26" i="611"/>
  <c r="AH59" i="611"/>
  <c r="AH141" i="611"/>
  <c r="AH22" i="611"/>
  <c r="AJ102" i="605"/>
  <c r="AK193" i="605"/>
  <c r="AJ78" i="605"/>
  <c r="AH25" i="609"/>
  <c r="AH164" i="609"/>
  <c r="AH36" i="611"/>
  <c r="AH41" i="611"/>
  <c r="AH37" i="611"/>
  <c r="AH75" i="611"/>
  <c r="AH154" i="611"/>
  <c r="AH105" i="611"/>
  <c r="AH86" i="611"/>
  <c r="AH65" i="611"/>
  <c r="AJ57" i="607"/>
  <c r="AH186" i="609"/>
  <c r="AH10" i="609"/>
  <c r="AH159" i="611"/>
  <c r="AH30" i="611"/>
  <c r="AH91" i="611"/>
  <c r="AH50" i="611"/>
  <c r="AH66" i="611"/>
  <c r="AH99" i="611"/>
  <c r="AH123" i="611"/>
  <c r="AH115" i="611"/>
  <c r="AK138" i="607"/>
  <c r="AH94" i="609"/>
  <c r="AH20" i="609"/>
  <c r="AH83" i="611"/>
  <c r="AH33" i="611"/>
  <c r="AH21" i="611"/>
  <c r="AH93" i="611"/>
  <c r="AH148" i="611"/>
  <c r="AH78" i="611"/>
  <c r="AH114" i="611"/>
  <c r="AH135" i="611"/>
  <c r="AK76" i="609"/>
  <c r="AK33" i="609"/>
  <c r="AH90" i="609"/>
  <c r="AH16" i="609"/>
  <c r="AH34" i="611"/>
  <c r="AH85" i="611"/>
  <c r="AH54" i="611"/>
  <c r="AH153" i="611"/>
  <c r="AH440" i="611"/>
  <c r="AH84" i="611"/>
  <c r="AH55" i="611"/>
  <c r="AH147" i="611"/>
  <c r="AH97" i="609"/>
  <c r="AH75" i="609"/>
  <c r="AH20" i="611"/>
  <c r="AH138" i="611"/>
  <c r="AH111" i="611"/>
  <c r="AH62" i="611"/>
  <c r="AH29" i="611"/>
  <c r="AH57" i="611"/>
  <c r="AH35" i="611"/>
  <c r="AJ146" i="609"/>
  <c r="AK173" i="609"/>
  <c r="AJ137" i="607"/>
  <c r="AK64" i="605"/>
  <c r="AJ85" i="607"/>
  <c r="AJ160" i="609"/>
  <c r="AK39" i="607"/>
  <c r="AJ53" i="609"/>
  <c r="AK58" i="609"/>
  <c r="AK74" i="609"/>
  <c r="AJ180" i="605"/>
  <c r="AJ204" i="609"/>
  <c r="AJ100" i="609"/>
  <c r="AJ135" i="609"/>
  <c r="AK40" i="605"/>
  <c r="AJ73" i="607"/>
  <c r="AK209" i="609"/>
  <c r="AK102" i="609"/>
  <c r="AJ65" i="605"/>
  <c r="AJ103" i="605"/>
  <c r="AK136" i="605"/>
  <c r="AH52" i="607"/>
  <c r="AK38" i="607"/>
  <c r="AK64" i="609"/>
  <c r="AJ109" i="609"/>
  <c r="AH108" i="607"/>
  <c r="AK79" i="607"/>
  <c r="AJ48" i="605"/>
  <c r="AK159" i="605"/>
  <c r="AJ43" i="605"/>
  <c r="AH80" i="607"/>
  <c r="AK46" i="607"/>
  <c r="AK208" i="609"/>
  <c r="AJ104" i="609"/>
  <c r="AJ90" i="609"/>
  <c r="AK79" i="605"/>
  <c r="AH73" i="607"/>
  <c r="AH41" i="607"/>
  <c r="AK83" i="605"/>
  <c r="AH107" i="605"/>
  <c r="AH314" i="605"/>
  <c r="AH185" i="605"/>
  <c r="AH173" i="605"/>
  <c r="AH181" i="605"/>
  <c r="AH183" i="605"/>
  <c r="AH34" i="605"/>
  <c r="AK151" i="609"/>
  <c r="AJ220" i="609"/>
  <c r="AJ123" i="607"/>
  <c r="AK52" i="607"/>
  <c r="AJ141" i="609"/>
  <c r="AJ219" i="605"/>
  <c r="AK222" i="605"/>
  <c r="AH103" i="605"/>
  <c r="AH313" i="605"/>
  <c r="AH194" i="605"/>
  <c r="AH51" i="605"/>
  <c r="AH67" i="605"/>
  <c r="AH25" i="605"/>
  <c r="AH312" i="605"/>
  <c r="AJ47" i="607"/>
  <c r="AK48" i="607"/>
  <c r="AK117" i="609"/>
  <c r="AJ111" i="605"/>
  <c r="AK10" i="609"/>
  <c r="AJ148" i="609"/>
  <c r="AH186" i="605"/>
  <c r="AH102" i="605"/>
  <c r="AJ78" i="607"/>
  <c r="AJ69" i="605"/>
  <c r="AH53" i="605"/>
  <c r="AH174" i="605"/>
  <c r="AH135" i="605"/>
  <c r="AH170" i="605"/>
  <c r="AH101" i="605"/>
  <c r="AH134" i="605"/>
  <c r="AH197" i="605"/>
  <c r="AK72" i="609"/>
  <c r="AJ138" i="609"/>
  <c r="AJ135" i="605"/>
  <c r="AH137" i="605"/>
  <c r="AH31" i="605"/>
  <c r="AH13" i="605"/>
  <c r="AH55" i="605"/>
  <c r="AH191" i="605"/>
  <c r="AH169" i="605"/>
  <c r="AH121" i="605"/>
  <c r="AJ163" i="609"/>
  <c r="AK113" i="609"/>
  <c r="AK50" i="605"/>
  <c r="AK68" i="607"/>
  <c r="AJ116" i="605"/>
  <c r="AK117" i="607"/>
  <c r="AJ103" i="609"/>
  <c r="AJ71" i="607"/>
  <c r="AJ86" i="607"/>
  <c r="AK8" i="609"/>
  <c r="AJ81" i="607"/>
  <c r="AK13" i="609"/>
  <c r="AJ111" i="607"/>
  <c r="AK201" i="609"/>
  <c r="AK150" i="609"/>
  <c r="AK138" i="605"/>
  <c r="AK170" i="609"/>
  <c r="AH138" i="607"/>
  <c r="AH71" i="607"/>
  <c r="AH90" i="607"/>
  <c r="AH64" i="607"/>
  <c r="AH25" i="607"/>
  <c r="AH128" i="607"/>
  <c r="AH124" i="609"/>
  <c r="AH86" i="609"/>
  <c r="AH102" i="609"/>
  <c r="AH148" i="609"/>
  <c r="AH114" i="609"/>
  <c r="AH117" i="609"/>
  <c r="AH173" i="609"/>
  <c r="AH54" i="609"/>
  <c r="AH12" i="609"/>
  <c r="AH61" i="609"/>
  <c r="AH216" i="609"/>
  <c r="AH85" i="609"/>
  <c r="AH62" i="609"/>
  <c r="AH43" i="609"/>
  <c r="AH153" i="609"/>
  <c r="AH55" i="609"/>
  <c r="AH160" i="609"/>
  <c r="AH142" i="609"/>
  <c r="AH27" i="609"/>
  <c r="AH143" i="609"/>
  <c r="AH201" i="609"/>
  <c r="AH11" i="609"/>
  <c r="AH52" i="609"/>
  <c r="AH195" i="609"/>
  <c r="AH17" i="609"/>
  <c r="AH127" i="609"/>
  <c r="AH200" i="609"/>
  <c r="AH137" i="609"/>
  <c r="AH169" i="609"/>
  <c r="AH218" i="609"/>
  <c r="AH72" i="609"/>
  <c r="AH87" i="609"/>
  <c r="AH184" i="609"/>
  <c r="AH66" i="609"/>
  <c r="AH125" i="607"/>
  <c r="AH60" i="607"/>
  <c r="AH54" i="607"/>
  <c r="AH89" i="607"/>
  <c r="AH114" i="607"/>
  <c r="AH24" i="607"/>
  <c r="AK62" i="609"/>
  <c r="AH136" i="609"/>
  <c r="AH197" i="609"/>
  <c r="AH76" i="609"/>
  <c r="AH139" i="609"/>
  <c r="AH198" i="609"/>
  <c r="AH33" i="609"/>
  <c r="AH138" i="609"/>
  <c r="AH31" i="609"/>
  <c r="AH50" i="609"/>
  <c r="AH100" i="609"/>
  <c r="AH193" i="609"/>
  <c r="AH167" i="609"/>
  <c r="AH53" i="607"/>
  <c r="AH106" i="607"/>
  <c r="AH107" i="607"/>
  <c r="AH76" i="607"/>
  <c r="AK95" i="605"/>
  <c r="AH113" i="607"/>
  <c r="AH135" i="607"/>
  <c r="AH82" i="607"/>
  <c r="AH81" i="607"/>
  <c r="AH99" i="607"/>
  <c r="AH120" i="607"/>
  <c r="AH120" i="609"/>
  <c r="AH178" i="609"/>
  <c r="AH39" i="609"/>
  <c r="AH144" i="609"/>
  <c r="AH110" i="609"/>
  <c r="AH156" i="609"/>
  <c r="AH38" i="609"/>
  <c r="AH58" i="609"/>
  <c r="AH135" i="609"/>
  <c r="AH208" i="609"/>
  <c r="AH212" i="609"/>
  <c r="AH116" i="609"/>
  <c r="AH87" i="607"/>
  <c r="AH191" i="609"/>
  <c r="AH155" i="609"/>
  <c r="AH132" i="609"/>
  <c r="AH229" i="609"/>
  <c r="AH149" i="609"/>
  <c r="AH134" i="609"/>
  <c r="AH18" i="609"/>
  <c r="AH130" i="609"/>
  <c r="AH96" i="609"/>
  <c r="AH185" i="609"/>
  <c r="AH68" i="609"/>
  <c r="AH187" i="609"/>
  <c r="AK118" i="605"/>
  <c r="AH123" i="607"/>
  <c r="AH58" i="607"/>
  <c r="AH88" i="607"/>
  <c r="AH38" i="607"/>
  <c r="AH40" i="607"/>
  <c r="AH132" i="607"/>
  <c r="AH57" i="607"/>
  <c r="AH23" i="607"/>
  <c r="AH100" i="607"/>
  <c r="AH62" i="607"/>
  <c r="AH101" i="607"/>
  <c r="AH204" i="609"/>
  <c r="AH179" i="609"/>
  <c r="AH93" i="609"/>
  <c r="AH194" i="609"/>
  <c r="AH171" i="609"/>
  <c r="AH206" i="609"/>
  <c r="AH74" i="609"/>
  <c r="AH71" i="609"/>
  <c r="AH53" i="609"/>
  <c r="AH158" i="609"/>
  <c r="AH151" i="609"/>
  <c r="AH192" i="609"/>
  <c r="AK194" i="605"/>
  <c r="AH55" i="607"/>
  <c r="AH129" i="607"/>
  <c r="AH69" i="607"/>
  <c r="AH50" i="607"/>
  <c r="AH37" i="607"/>
  <c r="AH118" i="607"/>
  <c r="AK39" i="609"/>
  <c r="AH199" i="609"/>
  <c r="AH115" i="609"/>
  <c r="AH211" i="609"/>
  <c r="AH36" i="609"/>
  <c r="AH109" i="609"/>
  <c r="AH46" i="609"/>
  <c r="AH24" i="609"/>
  <c r="AH92" i="609"/>
  <c r="AH129" i="609"/>
  <c r="AH230" i="609"/>
  <c r="AH99" i="609"/>
  <c r="AH223" i="609"/>
  <c r="AH130" i="607"/>
  <c r="AH75" i="607"/>
  <c r="AH94" i="607"/>
  <c r="AH78" i="607"/>
  <c r="AJ311" i="605"/>
  <c r="AJ23" i="609"/>
  <c r="AH174" i="609"/>
  <c r="AH128" i="609"/>
  <c r="AH215" i="609"/>
  <c r="AH9" i="609"/>
  <c r="AH152" i="609"/>
  <c r="AH22" i="609"/>
  <c r="AH122" i="609"/>
  <c r="AH45" i="609"/>
  <c r="AH176" i="609"/>
  <c r="AH19" i="609"/>
  <c r="AH108" i="609"/>
  <c r="AH170" i="609"/>
  <c r="AJ90" i="605"/>
  <c r="AH117" i="607"/>
  <c r="AH67" i="607"/>
  <c r="AH86" i="607"/>
  <c r="AH45" i="607"/>
  <c r="AH48" i="607"/>
  <c r="AH111" i="607"/>
  <c r="AJ59" i="605"/>
  <c r="AJ183" i="605"/>
  <c r="AH134" i="607"/>
  <c r="AH139" i="607"/>
  <c r="AH79" i="607"/>
  <c r="AH85" i="607"/>
  <c r="AH93" i="607"/>
  <c r="AH124" i="607"/>
  <c r="AJ25" i="607"/>
  <c r="AH228" i="609"/>
  <c r="AH89" i="609"/>
  <c r="AH225" i="609"/>
  <c r="AH106" i="609"/>
  <c r="AH157" i="609"/>
  <c r="AH40" i="609"/>
  <c r="AH67" i="609"/>
  <c r="AH125" i="609"/>
  <c r="AH181" i="609"/>
  <c r="AH34" i="609"/>
  <c r="AH65" i="609"/>
  <c r="AH220" i="609"/>
  <c r="AH92" i="607"/>
  <c r="AH29" i="609"/>
  <c r="AH209" i="609"/>
  <c r="AH190" i="609"/>
  <c r="AH47" i="609"/>
  <c r="AH207" i="609"/>
  <c r="AH118" i="609"/>
  <c r="AH88" i="609"/>
  <c r="AH172" i="609"/>
  <c r="AH150" i="609"/>
  <c r="AH8" i="609"/>
  <c r="AH183" i="609"/>
  <c r="AH110" i="607"/>
  <c r="AJ41" i="605"/>
  <c r="AK16" i="605"/>
  <c r="AH74" i="607"/>
  <c r="AJ176" i="609"/>
  <c r="AH32" i="609"/>
  <c r="AH213" i="609"/>
  <c r="AH44" i="609"/>
  <c r="AH131" i="609"/>
  <c r="AH202" i="609"/>
  <c r="AH59" i="609"/>
  <c r="AH41" i="609"/>
  <c r="AH177" i="609"/>
  <c r="AH226" i="609"/>
  <c r="AH141" i="609"/>
  <c r="AH188" i="609"/>
  <c r="AH127" i="607"/>
  <c r="AH39" i="607"/>
  <c r="AH102" i="607"/>
  <c r="AH36" i="607"/>
  <c r="AJ17" i="605"/>
  <c r="AH136" i="607"/>
  <c r="AH66" i="607"/>
  <c r="AH95" i="607"/>
  <c r="AH103" i="607"/>
  <c r="AH109" i="607"/>
  <c r="AK68" i="605"/>
  <c r="AH51" i="607"/>
  <c r="AH61" i="607"/>
  <c r="AH68" i="607"/>
  <c r="AH104" i="607"/>
  <c r="AH116" i="607"/>
  <c r="AK104" i="607"/>
  <c r="AH145" i="609"/>
  <c r="AH227" i="609"/>
  <c r="AH13" i="609"/>
  <c r="AH159" i="609"/>
  <c r="AH26" i="609"/>
  <c r="AH163" i="609"/>
  <c r="AH121" i="609"/>
  <c r="AH146" i="609"/>
  <c r="AH23" i="609"/>
  <c r="AH95" i="609"/>
  <c r="AJ32" i="609"/>
  <c r="AJ36" i="609"/>
  <c r="AK48" i="609"/>
  <c r="AK45" i="607"/>
  <c r="AJ51" i="609"/>
  <c r="AK192" i="605"/>
  <c r="AJ87" i="605"/>
  <c r="AJ94" i="609"/>
  <c r="AK107" i="607"/>
  <c r="AJ228" i="609"/>
  <c r="AJ62" i="607"/>
  <c r="AJ46" i="605"/>
  <c r="AJ157" i="605"/>
  <c r="AK88" i="605"/>
  <c r="AJ100" i="605"/>
  <c r="AK68" i="609"/>
  <c r="AJ123" i="609"/>
  <c r="AJ156" i="609"/>
  <c r="AJ60" i="609"/>
  <c r="AJ34" i="609"/>
  <c r="AJ99" i="605"/>
  <c r="AH108" i="605"/>
  <c r="AH48" i="605"/>
  <c r="AH22" i="605"/>
  <c r="AH47" i="605"/>
  <c r="AH159" i="605"/>
  <c r="AH37" i="605"/>
  <c r="AH109" i="605"/>
  <c r="AH20" i="605"/>
  <c r="AH176" i="605"/>
  <c r="AK130" i="607"/>
  <c r="AJ55" i="607"/>
  <c r="AJ37" i="609"/>
  <c r="AJ36" i="605"/>
  <c r="AK19" i="605"/>
  <c r="AH64" i="605"/>
  <c r="AH114" i="605"/>
  <c r="AH26" i="605"/>
  <c r="AH139" i="605"/>
  <c r="AH106" i="605"/>
  <c r="AH60" i="605"/>
  <c r="AH219" i="605"/>
  <c r="AH19" i="605"/>
  <c r="AH99" i="605"/>
  <c r="AJ202" i="609"/>
  <c r="AJ194" i="609"/>
  <c r="AJ188" i="609"/>
  <c r="AJ205" i="609"/>
  <c r="AJ159" i="609"/>
  <c r="AJ192" i="609"/>
  <c r="AJ169" i="605"/>
  <c r="AK131" i="607"/>
  <c r="AK26" i="605"/>
  <c r="AK20" i="605"/>
  <c r="AK313" i="605"/>
  <c r="AH125" i="605"/>
  <c r="AH78" i="605"/>
  <c r="AH36" i="605"/>
  <c r="AH24" i="605"/>
  <c r="AH96" i="605"/>
  <c r="AH92" i="605"/>
  <c r="AH54" i="605"/>
  <c r="AH113" i="605"/>
  <c r="AH18" i="605"/>
  <c r="AJ167" i="609"/>
  <c r="AJ223" i="605"/>
  <c r="AK120" i="605"/>
  <c r="AH88" i="605"/>
  <c r="AH110" i="605"/>
  <c r="AH178" i="605"/>
  <c r="AH32" i="605"/>
  <c r="AH171" i="605"/>
  <c r="AK109" i="607"/>
  <c r="AJ113" i="607"/>
  <c r="AK190" i="605"/>
  <c r="AJ134" i="605"/>
  <c r="AJ135" i="607"/>
  <c r="AJ106" i="609"/>
  <c r="AJ72" i="607"/>
  <c r="AJ153" i="609"/>
  <c r="AJ158" i="605"/>
  <c r="AJ55" i="609"/>
  <c r="AK88" i="609"/>
  <c r="AK26" i="609"/>
  <c r="AJ106" i="607"/>
  <c r="AK95" i="607"/>
  <c r="AK92" i="609"/>
  <c r="AJ106" i="605"/>
  <c r="AK97" i="607"/>
  <c r="AK36" i="607"/>
  <c r="AK75" i="609"/>
  <c r="AJ121" i="605"/>
  <c r="AK8" i="605"/>
  <c r="AK114" i="605"/>
  <c r="AJ60" i="607"/>
  <c r="AJ136" i="609"/>
  <c r="AJ206" i="609"/>
  <c r="AK107" i="609"/>
  <c r="AJ171" i="609"/>
  <c r="AJ31" i="609"/>
  <c r="AK125" i="609"/>
  <c r="AK81" i="605"/>
  <c r="AJ9" i="609"/>
  <c r="AK139" i="605"/>
  <c r="AK116" i="607"/>
  <c r="AJ57" i="605"/>
  <c r="AJ174" i="605"/>
  <c r="AK172" i="605"/>
  <c r="AJ24" i="607"/>
  <c r="AJ137" i="605"/>
  <c r="AK139" i="607"/>
  <c r="AK109" i="605"/>
  <c r="AK40" i="607"/>
  <c r="AJ100" i="607"/>
  <c r="AK23" i="605"/>
  <c r="AJ108" i="605"/>
  <c r="AJ62" i="605"/>
  <c r="AK89" i="605"/>
  <c r="AK101" i="607"/>
  <c r="AK96" i="605"/>
  <c r="AK110" i="605"/>
  <c r="AJ86" i="605"/>
  <c r="AJ31" i="605"/>
  <c r="AJ54" i="605"/>
  <c r="AJ82" i="605"/>
  <c r="AJ177" i="605"/>
  <c r="AK156" i="605"/>
  <c r="AJ90" i="607"/>
  <c r="AK25" i="605"/>
  <c r="AK129" i="607"/>
  <c r="AK67" i="605"/>
  <c r="AK47" i="605"/>
  <c r="AK122" i="607"/>
  <c r="AK58" i="605"/>
  <c r="AK75" i="607"/>
  <c r="AJ61" i="607"/>
  <c r="AK117" i="605"/>
  <c r="AJ123" i="605"/>
  <c r="AJ184" i="605"/>
  <c r="AK121" i="607"/>
  <c r="AJ92" i="607"/>
  <c r="AK160" i="605"/>
  <c r="AK187" i="605"/>
  <c r="AK30" i="605"/>
  <c r="AK128" i="607"/>
  <c r="AK80" i="607"/>
  <c r="AJ114" i="607"/>
  <c r="AJ310" i="605"/>
  <c r="AK26" i="607"/>
  <c r="AJ132" i="607"/>
  <c r="AJ22" i="605"/>
  <c r="AK64" i="607"/>
  <c r="AK67" i="607"/>
  <c r="AK93" i="607"/>
  <c r="AJ85" i="605"/>
  <c r="AJ188" i="605"/>
  <c r="AK136" i="607"/>
  <c r="AK94" i="607"/>
  <c r="AK37" i="605"/>
  <c r="AJ29" i="605"/>
  <c r="AJ104" i="605"/>
  <c r="AJ39" i="605"/>
  <c r="AK65" i="607"/>
  <c r="AJ102" i="607"/>
  <c r="AK197" i="605"/>
  <c r="AK89" i="607"/>
  <c r="AJ53" i="605"/>
  <c r="AJ113" i="605"/>
  <c r="AJ13" i="605"/>
  <c r="AJ12" i="605"/>
  <c r="AJ185" i="605"/>
  <c r="AK45" i="605"/>
  <c r="AJ218" i="605"/>
  <c r="AK54" i="607"/>
  <c r="AK124" i="607"/>
  <c r="AJ11" i="605"/>
  <c r="AK103" i="607"/>
  <c r="AJ118" i="607"/>
  <c r="AK51" i="605"/>
  <c r="AK125" i="605"/>
  <c r="AK115" i="605"/>
  <c r="AJ51" i="607"/>
  <c r="AJ69" i="607"/>
  <c r="AJ44" i="607"/>
  <c r="AK83" i="607"/>
  <c r="AJ309" i="605"/>
  <c r="AJ171" i="605"/>
  <c r="AK15" i="605"/>
  <c r="AK87" i="607"/>
  <c r="AK99" i="607"/>
  <c r="AK186" i="605"/>
  <c r="AJ23" i="607"/>
  <c r="AJ110" i="607"/>
  <c r="AJ93" i="605"/>
  <c r="AK55" i="605"/>
  <c r="AK61" i="605"/>
  <c r="C54" i="340"/>
  <c r="C52" i="340"/>
  <c r="D52" i="340"/>
  <c r="C55" i="340" l="1"/>
  <c r="D54" i="340"/>
  <c r="D55" i="340" s="1"/>
  <c r="E53" i="340"/>
  <c r="E51" i="340"/>
  <c r="E52" i="340" l="1"/>
  <c r="E54" i="340"/>
  <c r="F52" i="340"/>
  <c r="F53" i="340"/>
  <c r="F51" i="340"/>
  <c r="E55" i="340" l="1"/>
  <c r="F54" i="340"/>
  <c r="F55" i="340" s="1"/>
  <c r="G53" i="340"/>
  <c r="G51" i="340"/>
  <c r="G52" i="340" l="1"/>
  <c r="G54" i="340"/>
  <c r="H53" i="340"/>
  <c r="H51" i="340"/>
  <c r="G55" i="340" l="1"/>
  <c r="I51" i="340"/>
  <c r="H52" i="340"/>
  <c r="I53" i="340"/>
  <c r="H54" i="340"/>
  <c r="I54" i="340" l="1"/>
  <c r="I52" i="340"/>
  <c r="H55" i="340"/>
  <c r="J51" i="340"/>
  <c r="J53" i="340"/>
  <c r="J52" i="340" l="1"/>
  <c r="I55" i="340"/>
  <c r="J54" i="340"/>
  <c r="K53" i="340"/>
  <c r="K51" i="340"/>
  <c r="J55" i="340" l="1"/>
  <c r="K52" i="340"/>
  <c r="K54" i="340"/>
  <c r="L53" i="340"/>
  <c r="L51" i="340"/>
  <c r="K55" i="340" l="1"/>
  <c r="L52" i="340"/>
  <c r="L54" i="340"/>
  <c r="M53" i="340"/>
  <c r="M51" i="340"/>
  <c r="L55" i="340" l="1"/>
  <c r="M54" i="340"/>
  <c r="N53" i="340"/>
  <c r="N51" i="340"/>
  <c r="M52" i="340"/>
  <c r="N52" i="340" l="1"/>
  <c r="M55" i="340"/>
  <c r="O53" i="340"/>
  <c r="O51" i="340"/>
  <c r="N54" i="340"/>
  <c r="N55" i="340" l="1"/>
  <c r="O52" i="340"/>
  <c r="O54" i="340"/>
  <c r="P51" i="340"/>
  <c r="P53" i="340"/>
  <c r="O55" i="340" l="1"/>
  <c r="Q51" i="340"/>
  <c r="Q52" i="340"/>
  <c r="Q53" i="340"/>
  <c r="P52" i="340"/>
  <c r="P54" i="340"/>
  <c r="Q54" i="340" l="1"/>
  <c r="Q55" i="340" s="1"/>
  <c r="P55" i="340"/>
  <c r="R53" i="340"/>
  <c r="R51" i="340"/>
  <c r="R52" i="340" l="1"/>
  <c r="R54" i="340"/>
  <c r="S53" i="340"/>
  <c r="S51" i="340"/>
  <c r="R55" i="340" l="1"/>
  <c r="S54" i="340"/>
  <c r="T53" i="340"/>
  <c r="T51" i="340"/>
  <c r="S52" i="340"/>
  <c r="T52" i="340" l="1"/>
  <c r="S55" i="340"/>
  <c r="U51" i="340"/>
  <c r="U53" i="340"/>
  <c r="T54" i="340"/>
  <c r="T55" i="340" l="1"/>
  <c r="U52" i="340"/>
  <c r="U54" i="340"/>
  <c r="V51" i="340"/>
  <c r="V53" i="340"/>
  <c r="V52" i="340" l="1"/>
  <c r="U55" i="340"/>
  <c r="V54" i="340"/>
  <c r="W53" i="340"/>
  <c r="W51" i="340"/>
  <c r="V55" i="340" l="1"/>
  <c r="W52" i="340"/>
  <c r="W54" i="340"/>
  <c r="X53" i="340"/>
  <c r="X51" i="340"/>
  <c r="X52" i="340" l="1"/>
  <c r="W55" i="340"/>
  <c r="Y53" i="340"/>
  <c r="Y51" i="340"/>
  <c r="X54" i="340"/>
  <c r="Y52" i="340" l="1"/>
  <c r="X55" i="340"/>
  <c r="Y54" i="340"/>
  <c r="Z53" i="340"/>
  <c r="Z51" i="340"/>
  <c r="Y55" i="340" l="1"/>
  <c r="Z54" i="340"/>
  <c r="AA53" i="340"/>
  <c r="AA51" i="340"/>
  <c r="Z52" i="340"/>
  <c r="AA52" i="340" l="1"/>
  <c r="AA54" i="340"/>
  <c r="Z55" i="340"/>
  <c r="AB51" i="340"/>
  <c r="AB53" i="340"/>
  <c r="AA55" i="340" l="1"/>
  <c r="AB52" i="340"/>
  <c r="AB54" i="340"/>
  <c r="AC53" i="340"/>
  <c r="AC51" i="340"/>
  <c r="AB55" i="340" l="1"/>
  <c r="AC52" i="340"/>
  <c r="AC54" i="340"/>
  <c r="AD53" i="340"/>
  <c r="AD51" i="340"/>
  <c r="AC55" i="340" l="1"/>
  <c r="AD52" i="340"/>
  <c r="AD54" i="340"/>
  <c r="AE53" i="340"/>
  <c r="AE51" i="340"/>
  <c r="AD55" i="340" l="1"/>
  <c r="AE52" i="340"/>
  <c r="AE54" i="340"/>
  <c r="AF53" i="340"/>
  <c r="AF51" i="340"/>
  <c r="AE55" i="340" l="1"/>
  <c r="AG51" i="340"/>
  <c r="AG52" i="340"/>
  <c r="AG53" i="340"/>
  <c r="AF52" i="340"/>
  <c r="AF54" i="340"/>
  <c r="AF55" i="340" l="1"/>
  <c r="AG54" i="340"/>
  <c r="AG55" i="340" s="1"/>
  <c r="AH53" i="340"/>
  <c r="AH51" i="340"/>
  <c r="AH52" i="340" l="1"/>
  <c r="AI51" i="340"/>
  <c r="AI53" i="340"/>
  <c r="AH54" i="340"/>
  <c r="AI52" i="340"/>
  <c r="AH55" i="340" l="1"/>
  <c r="AI54" i="340"/>
  <c r="AI55" i="340" s="1"/>
  <c r="AJ53" i="340"/>
  <c r="AJ51" i="340"/>
  <c r="AJ52" i="340" l="1"/>
  <c r="AJ54" i="340"/>
  <c r="AK53" i="340"/>
  <c r="AK51" i="340"/>
  <c r="AJ55" i="340" l="1"/>
  <c r="AK54" i="340"/>
  <c r="AK52" i="340"/>
  <c r="AL53" i="340"/>
  <c r="AL51" i="340"/>
  <c r="AK55" i="340" l="1"/>
  <c r="AL52" i="340"/>
  <c r="AL54" i="340"/>
  <c r="AM51" i="340"/>
  <c r="AM53" i="340"/>
  <c r="AL55" i="340" l="1"/>
  <c r="AM52" i="340"/>
  <c r="AM54" i="340"/>
  <c r="AN53" i="340"/>
  <c r="AN51" i="340"/>
  <c r="AN52" i="340" l="1"/>
  <c r="AM55" i="340"/>
  <c r="AN54" i="340"/>
  <c r="AO53" i="340"/>
  <c r="AO51" i="340"/>
  <c r="AN55" i="340" l="1"/>
  <c r="AO54" i="340"/>
  <c r="AO52" i="340"/>
  <c r="AP51" i="340"/>
  <c r="AP53" i="340"/>
  <c r="AP52" i="340" l="1"/>
  <c r="AO55" i="340"/>
  <c r="AP54" i="340"/>
  <c r="AQ53" i="340"/>
  <c r="AQ51" i="340"/>
  <c r="AP55" i="340" l="1"/>
  <c r="AQ52" i="340"/>
  <c r="AQ54" i="340"/>
  <c r="AR53" i="340"/>
  <c r="AR51" i="340"/>
  <c r="AQ55" i="340" l="1"/>
  <c r="AR54" i="340"/>
  <c r="AS53" i="340"/>
  <c r="AS51" i="340"/>
  <c r="AR52" i="340"/>
  <c r="AS52" i="340" l="1"/>
  <c r="AR55" i="340"/>
  <c r="AS54" i="340"/>
  <c r="AT53" i="340"/>
  <c r="AT51" i="340"/>
  <c r="AS55" i="340" l="1"/>
  <c r="AT52" i="340"/>
  <c r="AT54" i="340"/>
  <c r="AU53" i="340"/>
  <c r="AU51" i="340"/>
  <c r="AT55" i="340" l="1"/>
  <c r="AV51" i="340"/>
  <c r="AU54" i="340"/>
  <c r="AU52" i="340"/>
  <c r="AV53" i="340"/>
  <c r="AV52" i="340" l="1"/>
  <c r="AU55" i="340"/>
  <c r="AW53" i="340"/>
  <c r="AW51" i="340"/>
  <c r="AV54" i="340"/>
  <c r="AV55" i="340" l="1"/>
  <c r="AW52" i="340"/>
  <c r="AW54" i="340"/>
  <c r="AX53" i="340"/>
  <c r="AX51" i="340"/>
  <c r="AW55" i="340" l="1"/>
  <c r="AX52" i="340"/>
  <c r="AX54" i="340"/>
  <c r="AY53" i="340"/>
  <c r="AY51" i="340"/>
  <c r="AY52" i="340" l="1"/>
  <c r="AX55" i="340"/>
  <c r="AY54" i="340"/>
  <c r="AZ53" i="340"/>
  <c r="AZ51" i="340"/>
  <c r="AY55" i="340" l="1"/>
  <c r="BA51" i="340"/>
  <c r="AZ54" i="340"/>
  <c r="AZ52" i="340"/>
  <c r="BA53" i="340"/>
  <c r="AZ55" i="340" l="1"/>
  <c r="BA52" i="340"/>
  <c r="BA54" i="340"/>
  <c r="BB53" i="340"/>
  <c r="BB51" i="340"/>
  <c r="BA55" i="340" l="1"/>
  <c r="BB52" i="340"/>
  <c r="BB54" i="340"/>
  <c r="BC53" i="340"/>
  <c r="BC51" i="340"/>
  <c r="BB55" i="340" l="1"/>
  <c r="BC54" i="340"/>
  <c r="BD53" i="340"/>
  <c r="BC52" i="340"/>
  <c r="BD51" i="340"/>
  <c r="BC55" i="340" l="1"/>
  <c r="BD52" i="340"/>
  <c r="BD54" i="340"/>
  <c r="BE53" i="340"/>
  <c r="BE51" i="340"/>
  <c r="BD55" i="340" l="1"/>
  <c r="BE54" i="340"/>
  <c r="BE52" i="340"/>
  <c r="BF53" i="340"/>
  <c r="BF51" i="340"/>
  <c r="BE55" i="340" l="1"/>
  <c r="BF52" i="340"/>
  <c r="BF54" i="340"/>
  <c r="BG51" i="340"/>
  <c r="BG53" i="340"/>
  <c r="BF55" i="340" l="1"/>
  <c r="BG54" i="340"/>
  <c r="BG52" i="340"/>
  <c r="BH53" i="340"/>
  <c r="BH51" i="340"/>
  <c r="BG55" i="340" l="1"/>
  <c r="BH52" i="340"/>
  <c r="BI53" i="340"/>
  <c r="BH54" i="340"/>
  <c r="BI51" i="340"/>
  <c r="BH55" i="340" l="1"/>
  <c r="BI52" i="340"/>
  <c r="BJ53" i="340"/>
  <c r="BJ51" i="340"/>
  <c r="BI54" i="340"/>
  <c r="BJ52" i="340" l="1"/>
  <c r="BI55" i="340"/>
  <c r="BJ54" i="340"/>
  <c r="BK53" i="340"/>
  <c r="BK51" i="340"/>
  <c r="BJ55" i="340" l="1"/>
  <c r="BK54" i="340"/>
  <c r="BK52" i="340"/>
  <c r="BL53" i="340"/>
  <c r="BL51" i="340"/>
  <c r="BK55" i="340" l="1"/>
  <c r="BL52" i="340"/>
  <c r="BL54" i="340"/>
  <c r="BM53" i="340"/>
  <c r="BM51" i="340"/>
  <c r="BL55" i="340" l="1"/>
  <c r="BM52" i="340"/>
  <c r="BM54" i="340"/>
  <c r="BN51" i="340"/>
  <c r="BN53" i="340"/>
  <c r="BM55" i="340" l="1"/>
  <c r="BN52" i="340"/>
  <c r="BN54" i="340"/>
  <c r="BO53" i="340"/>
  <c r="BO51" i="340"/>
  <c r="BN55" i="340" l="1"/>
  <c r="BO52" i="340"/>
  <c r="BO54" i="340"/>
  <c r="BP53" i="340"/>
  <c r="BP51" i="340"/>
  <c r="BO55" i="340" l="1"/>
  <c r="BP52" i="340"/>
  <c r="BP54" i="340"/>
  <c r="BQ53" i="340"/>
  <c r="BQ51" i="340"/>
  <c r="BP55" i="340" l="1"/>
  <c r="BQ52" i="340"/>
  <c r="BQ54" i="340"/>
  <c r="BR53" i="340"/>
  <c r="BR51" i="340"/>
  <c r="BR52" i="340" l="1"/>
  <c r="BS53" i="340"/>
  <c r="BQ55" i="340"/>
  <c r="BS51" i="340"/>
  <c r="BR54" i="340"/>
  <c r="BR55" i="340" l="1"/>
  <c r="BS52" i="340"/>
  <c r="BS54" i="340"/>
  <c r="BT51" i="340"/>
  <c r="BT53" i="340"/>
  <c r="BS55" i="340" l="1"/>
  <c r="BU53" i="340"/>
  <c r="BU51" i="340"/>
  <c r="BT52" i="340"/>
  <c r="BT54" i="340"/>
  <c r="BU52" i="340" l="1"/>
  <c r="BU54" i="340"/>
  <c r="BT55" i="340"/>
  <c r="BV53" i="340"/>
  <c r="BV51" i="340"/>
  <c r="BU55" i="340" l="1"/>
  <c r="BW53" i="340"/>
  <c r="BW51" i="340"/>
  <c r="BV54" i="340"/>
  <c r="BV52" i="340"/>
  <c r="BW52" i="340" l="1"/>
  <c r="BW54" i="340"/>
  <c r="BV55" i="340"/>
  <c r="BX51" i="340"/>
  <c r="BX53" i="340"/>
  <c r="BW55" i="340" l="1"/>
  <c r="BY53" i="340"/>
  <c r="BY51" i="340"/>
  <c r="BX52" i="340"/>
  <c r="BX54" i="340"/>
  <c r="BY52" i="340" l="1"/>
  <c r="BY54" i="340"/>
  <c r="BX55" i="340"/>
  <c r="BZ53" i="340"/>
  <c r="BZ51" i="340"/>
  <c r="BY55" i="340" l="1"/>
  <c r="CA51" i="340"/>
  <c r="BZ54" i="340"/>
  <c r="BZ52" i="340"/>
  <c r="CA53" i="340"/>
  <c r="CA52" i="340" l="1"/>
  <c r="BZ55" i="340"/>
  <c r="CB51" i="340"/>
  <c r="CB53" i="340"/>
  <c r="CA54" i="340"/>
  <c r="CB52" i="340" l="1"/>
  <c r="CA55" i="340"/>
  <c r="CB54" i="340"/>
  <c r="CC53" i="340"/>
  <c r="CC51" i="340"/>
  <c r="CB55" i="340" l="1"/>
  <c r="CD53" i="340"/>
  <c r="CC54" i="340"/>
  <c r="CD51" i="340"/>
  <c r="CC52" i="340"/>
  <c r="CC55" i="340" l="1"/>
  <c r="CD52" i="340"/>
  <c r="CE51" i="340"/>
  <c r="CE53" i="340"/>
  <c r="CD54" i="340"/>
  <c r="CD55" i="340" l="1"/>
  <c r="CE54" i="340"/>
  <c r="CF51" i="340"/>
  <c r="CF53" i="340"/>
  <c r="CE52" i="340"/>
  <c r="CG51" i="340" l="1"/>
  <c r="CF54" i="340"/>
  <c r="CE55" i="340"/>
  <c r="CF52" i="340"/>
  <c r="CG53" i="340"/>
  <c r="CG52" i="340" l="1"/>
  <c r="CF55" i="340"/>
  <c r="CH51" i="340"/>
  <c r="CH53" i="340"/>
  <c r="CG54" i="340"/>
  <c r="CH52" i="340" l="1"/>
  <c r="CG55" i="340"/>
  <c r="CH54" i="340"/>
  <c r="CI53" i="340"/>
  <c r="CI51" i="340"/>
  <c r="CH55" i="340" l="1"/>
  <c r="CI52" i="340"/>
  <c r="CJ53" i="340"/>
  <c r="CI54" i="340"/>
  <c r="CJ51" i="340"/>
  <c r="CI55" i="340" l="1"/>
  <c r="CK51" i="340"/>
  <c r="CJ54" i="340"/>
  <c r="CK53" i="340"/>
  <c r="CJ52" i="340"/>
  <c r="CK52" i="340" l="1"/>
  <c r="CJ55" i="340"/>
  <c r="CK54" i="340"/>
  <c r="CL53" i="340"/>
  <c r="CL51" i="340"/>
  <c r="CK55" i="340" l="1"/>
  <c r="CL54" i="340"/>
  <c r="CM53" i="340"/>
  <c r="CM51" i="340"/>
  <c r="CM52" i="340"/>
  <c r="CL52" i="340"/>
  <c r="CL55" i="340" l="1"/>
  <c r="CN53" i="340"/>
  <c r="CM54" i="340"/>
  <c r="CM55" i="340" s="1"/>
  <c r="CN51" i="340"/>
  <c r="CN52" i="340" l="1"/>
  <c r="CO53" i="340"/>
  <c r="CO51" i="340"/>
  <c r="CN54" i="340"/>
  <c r="CN55" i="340" l="1"/>
  <c r="CO52" i="340"/>
  <c r="CP53" i="340"/>
  <c r="CO54" i="340"/>
  <c r="CP51" i="340"/>
  <c r="CO55" i="340" l="1"/>
  <c r="CP52" i="340"/>
  <c r="CQ53" i="340"/>
  <c r="CQ51" i="340"/>
  <c r="CP54" i="340"/>
  <c r="CP55" i="340" l="1"/>
  <c r="CQ54" i="340"/>
  <c r="CR51" i="340"/>
  <c r="CR53" i="340"/>
  <c r="CQ52" i="340"/>
  <c r="CR52" i="340" l="1"/>
  <c r="CQ55" i="340"/>
  <c r="CR54" i="340"/>
  <c r="CT51" i="340"/>
  <c r="CT53" i="340"/>
  <c r="CS53" i="340"/>
  <c r="CS51" i="340"/>
  <c r="CR55" i="340" l="1"/>
  <c r="CT52" i="340"/>
  <c r="CS54" i="340"/>
  <c r="CS52" i="340"/>
  <c r="CS55" i="340" l="1"/>
  <c r="CT54" i="340"/>
  <c r="CT55" i="340" s="1"/>
  <c r="C18" i="162" l="1"/>
  <c r="D50" i="162" s="1"/>
  <c r="E50" i="162" s="1"/>
  <c r="F50" i="162" s="1"/>
  <c r="G50" i="162" s="1"/>
  <c r="H50" i="162" s="1"/>
  <c r="I50" i="162" s="1"/>
  <c r="J50" i="162" s="1"/>
  <c r="K50" i="162" s="1"/>
  <c r="L50" i="162" s="1"/>
  <c r="M50" i="162" s="1"/>
  <c r="N50" i="162" s="1"/>
  <c r="O50" i="162" s="1"/>
  <c r="P50" i="162" s="1"/>
  <c r="Q50" i="162" s="1"/>
  <c r="R50" i="162" s="1"/>
  <c r="S50" i="162" s="1"/>
  <c r="T50" i="162" s="1"/>
  <c r="U50" i="162" s="1"/>
  <c r="V50" i="162" s="1"/>
  <c r="W50" i="162" s="1"/>
  <c r="X50" i="162" s="1"/>
  <c r="Y50" i="162" s="1"/>
  <c r="Z50" i="162" s="1"/>
  <c r="AA50" i="162" s="1"/>
  <c r="AB50" i="162" s="1"/>
  <c r="AC50" i="162" s="1"/>
  <c r="AD50" i="162" s="1"/>
  <c r="AE50" i="162" s="1"/>
  <c r="AF50" i="162" s="1"/>
  <c r="AG50" i="162" s="1"/>
  <c r="AH50" i="162" s="1"/>
  <c r="AI50" i="162" s="1"/>
  <c r="AJ50" i="162" s="1"/>
  <c r="AK50" i="162" s="1"/>
  <c r="AL50" i="162" s="1"/>
  <c r="AM50" i="162" s="1"/>
  <c r="AN50" i="162" s="1"/>
  <c r="AO50" i="162" s="1"/>
  <c r="AP50" i="162" s="1"/>
  <c r="AQ50" i="162" s="1"/>
  <c r="AR50" i="162" s="1"/>
  <c r="AS50" i="162" s="1"/>
  <c r="AT50" i="162" s="1"/>
  <c r="AU50" i="162" s="1"/>
  <c r="AV50" i="162" s="1"/>
  <c r="AW50" i="162" s="1"/>
  <c r="AX50" i="162" s="1"/>
  <c r="AY50" i="162" s="1"/>
  <c r="AZ50" i="162" s="1"/>
  <c r="BA50" i="162" s="1"/>
  <c r="BB50" i="162" s="1"/>
  <c r="BC50" i="162" s="1"/>
  <c r="BD50" i="162" s="1"/>
  <c r="BE50" i="162" s="1"/>
  <c r="BF50" i="162" s="1"/>
  <c r="BG50" i="162" s="1"/>
  <c r="BH50" i="162" s="1"/>
  <c r="BI50" i="162" s="1"/>
  <c r="BJ50" i="162" s="1"/>
  <c r="BK50" i="162" s="1"/>
  <c r="BL50" i="162" s="1"/>
  <c r="BM50" i="162" s="1"/>
  <c r="BN50" i="162" s="1"/>
  <c r="BO50" i="162" s="1"/>
  <c r="BP50" i="162" s="1"/>
  <c r="BQ50" i="162" s="1"/>
  <c r="BR50" i="162" s="1"/>
  <c r="BS50" i="162" s="1"/>
  <c r="BT50" i="162" s="1"/>
  <c r="BU50" i="162" s="1"/>
  <c r="BV50" i="162" s="1"/>
  <c r="BW50" i="162" s="1"/>
  <c r="BX50" i="162" s="1"/>
  <c r="BY50" i="162" s="1"/>
  <c r="BZ50" i="162" s="1"/>
  <c r="CA50" i="162" s="1"/>
  <c r="CB50" i="162" s="1"/>
  <c r="CC50" i="162" s="1"/>
  <c r="CD50" i="162" s="1"/>
  <c r="CE50" i="162" s="1"/>
  <c r="CF50" i="162" s="1"/>
  <c r="CG50" i="162" s="1"/>
  <c r="CH50" i="162" s="1"/>
  <c r="CI50" i="162" s="1"/>
  <c r="CJ50" i="162" s="1"/>
  <c r="CK50" i="162" s="1"/>
  <c r="CL50" i="162" s="1"/>
  <c r="CM50" i="162" s="1"/>
  <c r="CN50" i="162" s="1"/>
  <c r="CO50" i="162" s="1"/>
  <c r="CP50" i="162" s="1"/>
  <c r="CQ50" i="162" s="1"/>
  <c r="CR50" i="162" s="1"/>
  <c r="CS50" i="162" s="1"/>
  <c r="CT50" i="162" s="1"/>
  <c r="D22" i="340" l="1"/>
  <c r="C23" i="340" l="1"/>
  <c r="E22" i="340"/>
  <c r="D25" i="340" l="1"/>
  <c r="E23" i="340"/>
  <c r="C25" i="340"/>
  <c r="D23" i="340"/>
  <c r="E25" i="340"/>
  <c r="C24" i="340"/>
  <c r="F22" i="340"/>
  <c r="C26" i="340" l="1"/>
  <c r="C27" i="340" s="1"/>
  <c r="F25" i="340"/>
  <c r="F23" i="340"/>
  <c r="D24" i="340"/>
  <c r="E24" i="340"/>
  <c r="G22" i="340"/>
  <c r="D26" i="340"/>
  <c r="D27" i="340" l="1"/>
  <c r="G25" i="340"/>
  <c r="G23" i="340"/>
  <c r="F24" i="340"/>
  <c r="H22" i="340"/>
  <c r="H23" i="340" l="1"/>
  <c r="H25" i="340"/>
  <c r="E26" i="340"/>
  <c r="E27" i="340" s="1"/>
  <c r="G24" i="340"/>
  <c r="I22" i="340"/>
  <c r="F26" i="340"/>
  <c r="F27" i="340" s="1"/>
  <c r="H24" i="340" l="1"/>
  <c r="I25" i="340"/>
  <c r="I23" i="340"/>
  <c r="J22" i="340"/>
  <c r="G26" i="340"/>
  <c r="G27" i="340" s="1"/>
  <c r="I24" i="340" l="1"/>
  <c r="J25" i="340"/>
  <c r="J23" i="340"/>
  <c r="K22" i="340"/>
  <c r="J24" i="340" l="1"/>
  <c r="H26" i="340"/>
  <c r="H27" i="340" s="1"/>
  <c r="K23" i="340"/>
  <c r="K25" i="340"/>
  <c r="L22" i="340"/>
  <c r="I26" i="340"/>
  <c r="I27" i="340" s="1"/>
  <c r="L25" i="340" l="1"/>
  <c r="K24" i="340"/>
  <c r="L23" i="340"/>
  <c r="M22" i="340"/>
  <c r="M25" i="340" l="1"/>
  <c r="J26" i="340"/>
  <c r="J27" i="340" s="1"/>
  <c r="L24" i="340"/>
  <c r="M23" i="340"/>
  <c r="N25" i="340"/>
  <c r="N22" i="340"/>
  <c r="M24" i="340" l="1"/>
  <c r="N23" i="340"/>
  <c r="K26" i="340"/>
  <c r="K27" i="340" s="1"/>
  <c r="O22" i="340"/>
  <c r="O25" i="340" l="1"/>
  <c r="L26" i="340"/>
  <c r="L27" i="340" s="1"/>
  <c r="N24" i="340"/>
  <c r="O23" i="340"/>
  <c r="P25" i="340"/>
  <c r="P22" i="340"/>
  <c r="M26" i="340" l="1"/>
  <c r="M27" i="340" s="1"/>
  <c r="O24" i="340"/>
  <c r="P23" i="340"/>
  <c r="Q25" i="340"/>
  <c r="Q22" i="340"/>
  <c r="N26" i="340" l="1"/>
  <c r="N27" i="340" s="1"/>
  <c r="P24" i="340"/>
  <c r="Q23" i="340"/>
  <c r="R22" i="340"/>
  <c r="R25" i="340" l="1"/>
  <c r="R23" i="340"/>
  <c r="Q24" i="340"/>
  <c r="O26" i="340"/>
  <c r="O27" i="340" s="1"/>
  <c r="S22" i="340"/>
  <c r="S23" i="340" l="1"/>
  <c r="R24" i="340"/>
  <c r="S25" i="340"/>
  <c r="P26" i="340"/>
  <c r="P27" i="340" s="1"/>
  <c r="T22" i="340"/>
  <c r="S24" i="340" l="1"/>
  <c r="T23" i="340"/>
  <c r="T25" i="340"/>
  <c r="Q26" i="340"/>
  <c r="Q27" i="340" s="1"/>
  <c r="U22" i="340"/>
  <c r="U23" i="340" l="1"/>
  <c r="U25" i="340"/>
  <c r="T24" i="340"/>
  <c r="R26" i="340"/>
  <c r="R27" i="340" s="1"/>
  <c r="V22" i="340"/>
  <c r="S26" i="340"/>
  <c r="S27" i="340" s="1"/>
  <c r="U24" i="340" l="1"/>
  <c r="V23" i="340"/>
  <c r="V25" i="340"/>
  <c r="W22" i="340"/>
  <c r="T26" i="340"/>
  <c r="T27" i="340" s="1"/>
  <c r="V24" i="340" l="1"/>
  <c r="W23" i="340"/>
  <c r="W25" i="340"/>
  <c r="V26" i="340"/>
  <c r="X22" i="340"/>
  <c r="X23" i="340" l="1"/>
  <c r="V27" i="340"/>
  <c r="X25" i="340"/>
  <c r="W24" i="340"/>
  <c r="W26" i="340"/>
  <c r="U26" i="340"/>
  <c r="U27" i="340" s="1"/>
  <c r="Y22" i="340"/>
  <c r="X24" i="340" l="1"/>
  <c r="W27" i="340"/>
  <c r="Y23" i="340"/>
  <c r="Y25" i="340"/>
  <c r="Z23" i="340"/>
  <c r="X26" i="340"/>
  <c r="Z25" i="340"/>
  <c r="Z22" i="340"/>
  <c r="X27" i="340" l="1"/>
  <c r="Y26" i="340"/>
  <c r="Z24" i="340"/>
  <c r="Y24" i="340"/>
  <c r="AA22" i="340"/>
  <c r="Y27" i="340" l="1"/>
  <c r="AA25" i="340"/>
  <c r="AA23" i="340"/>
  <c r="Z26" i="340"/>
  <c r="Z27" i="340" s="1"/>
  <c r="AB23" i="340"/>
  <c r="AB22" i="340"/>
  <c r="AB25" i="340" l="1"/>
  <c r="AA26" i="340"/>
  <c r="AA24" i="340"/>
  <c r="AC23" i="340"/>
  <c r="AC22" i="340"/>
  <c r="AA27" i="340" l="1"/>
  <c r="AC25" i="340"/>
  <c r="AB26" i="340"/>
  <c r="AB24" i="340"/>
  <c r="AD23" i="340"/>
  <c r="AC24" i="340"/>
  <c r="AD22" i="340"/>
  <c r="AD25" i="340" l="1"/>
  <c r="AB27" i="340"/>
  <c r="AC26" i="340"/>
  <c r="AC27" i="340" s="1"/>
  <c r="AD24" i="340"/>
  <c r="AE22" i="340"/>
  <c r="AE23" i="340" l="1"/>
  <c r="AE25" i="340"/>
  <c r="AD26" i="340"/>
  <c r="AD27" i="340" s="1"/>
  <c r="AF25" i="340"/>
  <c r="AF23" i="340"/>
  <c r="AF22" i="340"/>
  <c r="AE24" i="340" l="1"/>
  <c r="AG23" i="340"/>
  <c r="AG25" i="340"/>
  <c r="AE26" i="340"/>
  <c r="AF24" i="340"/>
  <c r="AG22" i="340"/>
  <c r="AE27" i="340" l="1"/>
  <c r="AF26" i="340"/>
  <c r="AF27" i="340" s="1"/>
  <c r="AG24" i="340"/>
  <c r="AH22" i="340"/>
  <c r="AG26" i="340" l="1"/>
  <c r="AG27" i="340" s="1"/>
  <c r="AH25" i="340"/>
  <c r="AH23" i="340"/>
  <c r="AI22" i="340"/>
  <c r="AH26" i="340" l="1"/>
  <c r="AI23" i="340"/>
  <c r="AH24" i="340"/>
  <c r="AI25" i="340"/>
  <c r="AJ22" i="340"/>
  <c r="AI24" i="340" l="1"/>
  <c r="AH27" i="340"/>
  <c r="AI26" i="340"/>
  <c r="AJ25" i="340"/>
  <c r="AJ23" i="340"/>
  <c r="AK22" i="340"/>
  <c r="AI27" i="340" l="1"/>
  <c r="AK23" i="340"/>
  <c r="AJ24" i="340"/>
  <c r="AK25" i="340"/>
  <c r="AJ26" i="340"/>
  <c r="AL22" i="340"/>
  <c r="AL25" i="340" l="1"/>
  <c r="AK24" i="340"/>
  <c r="AK26" i="340"/>
  <c r="AJ27" i="340"/>
  <c r="AL23" i="340"/>
  <c r="AM22" i="340"/>
  <c r="AM25" i="340" l="1"/>
  <c r="AK27" i="340"/>
  <c r="AL26" i="340"/>
  <c r="AL24" i="340"/>
  <c r="AM23" i="340"/>
  <c r="AN22" i="340"/>
  <c r="AN25" i="340" l="1"/>
  <c r="AN23" i="340"/>
  <c r="AL27" i="340"/>
  <c r="AM26" i="340"/>
  <c r="AM24" i="340"/>
  <c r="AO22" i="340"/>
  <c r="AN24" i="340" l="1"/>
  <c r="AO25" i="340"/>
  <c r="AN26" i="340"/>
  <c r="AO23" i="340"/>
  <c r="AM27" i="340"/>
  <c r="AP22" i="340"/>
  <c r="AN27" i="340" l="1"/>
  <c r="AP23" i="340"/>
  <c r="AP25" i="340"/>
  <c r="AO26" i="340"/>
  <c r="AO24" i="340"/>
  <c r="AQ22" i="340"/>
  <c r="AO27" i="340" l="1"/>
  <c r="AP24" i="340"/>
  <c r="AQ23" i="340"/>
  <c r="AP26" i="340"/>
  <c r="AQ25" i="340"/>
  <c r="AR22" i="340"/>
  <c r="AR23" i="340" l="1"/>
  <c r="AR25" i="340"/>
  <c r="AP27" i="340"/>
  <c r="AQ26" i="340"/>
  <c r="AQ24" i="340"/>
  <c r="AS22" i="340"/>
  <c r="AS23" i="340" l="1"/>
  <c r="AR24" i="340"/>
  <c r="AS25" i="340"/>
  <c r="AQ27" i="340"/>
  <c r="AR26" i="340"/>
  <c r="AT23" i="340"/>
  <c r="AT22" i="340"/>
  <c r="AS24" i="340" l="1"/>
  <c r="AR27" i="340"/>
  <c r="AT25" i="340"/>
  <c r="AS26" i="340"/>
  <c r="AT24" i="340"/>
  <c r="AU22" i="340"/>
  <c r="AS27" i="340" l="1"/>
  <c r="AU23" i="340"/>
  <c r="AU25" i="340"/>
  <c r="AT26" i="340"/>
  <c r="AT27" i="340" s="1"/>
  <c r="AV23" i="340"/>
  <c r="AV25" i="340"/>
  <c r="AV22" i="340"/>
  <c r="AU24" i="340" l="1"/>
  <c r="AU26" i="340"/>
  <c r="AW23" i="340"/>
  <c r="AW25" i="340"/>
  <c r="AV24" i="340"/>
  <c r="AW22" i="340"/>
  <c r="AU27" i="340" l="1"/>
  <c r="AV26" i="340"/>
  <c r="AV27" i="340" s="1"/>
  <c r="AW24" i="340"/>
  <c r="AX22" i="340"/>
  <c r="AW26" i="340" l="1"/>
  <c r="AW27" i="340" s="1"/>
  <c r="AX23" i="340"/>
  <c r="AX25" i="340"/>
  <c r="AY23" i="340"/>
  <c r="AY22" i="340"/>
  <c r="AX26" i="340" l="1"/>
  <c r="AX24" i="340"/>
  <c r="AY25" i="340"/>
  <c r="AY24" i="340"/>
  <c r="AZ22" i="340"/>
  <c r="AZ23" i="340" l="1"/>
  <c r="AX27" i="340"/>
  <c r="AZ25" i="340"/>
  <c r="AY26" i="340"/>
  <c r="AY27" i="340" s="1"/>
  <c r="BA22" i="340"/>
  <c r="AZ24" i="340" l="1"/>
  <c r="BA23" i="340"/>
  <c r="AZ26" i="340"/>
  <c r="BA25" i="340"/>
  <c r="BB25" i="340"/>
  <c r="BB22" i="340"/>
  <c r="BA24" i="340" l="1"/>
  <c r="AZ27" i="340"/>
  <c r="BB23" i="340"/>
  <c r="BA26" i="340"/>
  <c r="BC22" i="340"/>
  <c r="BC23" i="340" l="1"/>
  <c r="BC25" i="340"/>
  <c r="BA27" i="340"/>
  <c r="BB24" i="340"/>
  <c r="BB26" i="340"/>
  <c r="BD22" i="340"/>
  <c r="BC24" i="340" l="1"/>
  <c r="BD23" i="340"/>
  <c r="BB27" i="340"/>
  <c r="BD25" i="340"/>
  <c r="BC26" i="340"/>
  <c r="BE22" i="340"/>
  <c r="BC27" i="340" l="1"/>
  <c r="BD24" i="340"/>
  <c r="BD26" i="340"/>
  <c r="BE25" i="340"/>
  <c r="BE23" i="340"/>
  <c r="BF22" i="340"/>
  <c r="BD27" i="340" l="1"/>
  <c r="BF23" i="340"/>
  <c r="BF24" i="340"/>
  <c r="BF25" i="340"/>
  <c r="BE24" i="340"/>
  <c r="BE26" i="340"/>
  <c r="BG22" i="340"/>
  <c r="BE27" i="340" l="1"/>
  <c r="BG23" i="340"/>
  <c r="BF26" i="340"/>
  <c r="BF27" i="340" s="1"/>
  <c r="BG25" i="340"/>
  <c r="BH22" i="340"/>
  <c r="BH25" i="340" l="1"/>
  <c r="BH23" i="340"/>
  <c r="BG24" i="340"/>
  <c r="BG26" i="340"/>
  <c r="BI25" i="340"/>
  <c r="BI23" i="340"/>
  <c r="BI22" i="340"/>
  <c r="BG27" i="340" l="1"/>
  <c r="BH24" i="340"/>
  <c r="BH26" i="340"/>
  <c r="BJ25" i="340"/>
  <c r="BI24" i="340"/>
  <c r="BJ22" i="340"/>
  <c r="BJ23" i="340" l="1"/>
  <c r="BH27" i="340"/>
  <c r="BK23" i="340"/>
  <c r="BI26" i="340"/>
  <c r="BI27" i="340" s="1"/>
  <c r="BJ24" i="340"/>
  <c r="BK22" i="340"/>
  <c r="BK25" i="340" l="1"/>
  <c r="BJ26" i="340"/>
  <c r="BJ27" i="340" s="1"/>
  <c r="BL25" i="340"/>
  <c r="BL23" i="340"/>
  <c r="BK24" i="340"/>
  <c r="BL22" i="340"/>
  <c r="BK26" i="340" l="1"/>
  <c r="BK27" i="340" s="1"/>
  <c r="BM23" i="340"/>
  <c r="BM25" i="340"/>
  <c r="BL24" i="340"/>
  <c r="BM22" i="340"/>
  <c r="BL26" i="340" l="1"/>
  <c r="BL27" i="340" s="1"/>
  <c r="BM24" i="340"/>
  <c r="BN22" i="340"/>
  <c r="BN23" i="340" l="1"/>
  <c r="BN25" i="340"/>
  <c r="BM26" i="340"/>
  <c r="BM27" i="340" s="1"/>
  <c r="BO22" i="340"/>
  <c r="BN24" i="340" l="1"/>
  <c r="BN26" i="340"/>
  <c r="BO25" i="340"/>
  <c r="BO23" i="340"/>
  <c r="BP22" i="340"/>
  <c r="BN27" i="340" l="1"/>
  <c r="BO24" i="340"/>
  <c r="BP23" i="340"/>
  <c r="BO26" i="340"/>
  <c r="BP25" i="340"/>
  <c r="BQ22" i="340"/>
  <c r="BP24" i="340" l="1"/>
  <c r="BO27" i="340"/>
  <c r="BP26" i="340"/>
  <c r="BQ23" i="340"/>
  <c r="BQ25" i="340"/>
  <c r="BR22" i="340"/>
  <c r="BP27" i="340" l="1"/>
  <c r="BQ26" i="340"/>
  <c r="BR23" i="340"/>
  <c r="BQ24" i="340"/>
  <c r="BR25" i="340"/>
  <c r="BS22" i="340"/>
  <c r="BS25" i="340" l="1"/>
  <c r="BR24" i="340"/>
  <c r="BQ27" i="340"/>
  <c r="BR26" i="340"/>
  <c r="BS23" i="340"/>
  <c r="BT22" i="340"/>
  <c r="BR27" i="340" l="1"/>
  <c r="BT25" i="340"/>
  <c r="BT23" i="340"/>
  <c r="BS26" i="340"/>
  <c r="BS24" i="340"/>
  <c r="BU22" i="340"/>
  <c r="BT24" i="340" l="1"/>
  <c r="BS27" i="340"/>
  <c r="BT26" i="340"/>
  <c r="BU25" i="340"/>
  <c r="BU23" i="340"/>
  <c r="BV23" i="340"/>
  <c r="BV22" i="340"/>
  <c r="BT27" i="340" l="1"/>
  <c r="BV25" i="340"/>
  <c r="BU24" i="340"/>
  <c r="BU26" i="340"/>
  <c r="BV24" i="340"/>
  <c r="BW22" i="340"/>
  <c r="BU27" i="340" l="1"/>
  <c r="BW23" i="340"/>
  <c r="BW25" i="340"/>
  <c r="BV26" i="340"/>
  <c r="BV27" i="340" s="1"/>
  <c r="BX22" i="340"/>
  <c r="BX23" i="340" l="1"/>
  <c r="BX24" i="340"/>
  <c r="BX25" i="340"/>
  <c r="BW24" i="340"/>
  <c r="BW26" i="340"/>
  <c r="BY22" i="340"/>
  <c r="BW27" i="340" l="1"/>
  <c r="BY23" i="340"/>
  <c r="BY25" i="340"/>
  <c r="BX26" i="340"/>
  <c r="BX27" i="340" s="1"/>
  <c r="BZ22" i="340"/>
  <c r="BZ23" i="340" l="1"/>
  <c r="BY24" i="340"/>
  <c r="BZ25" i="340"/>
  <c r="BY26" i="340"/>
  <c r="CA22" i="340"/>
  <c r="BZ24" i="340" l="1"/>
  <c r="BY27" i="340"/>
  <c r="CA25" i="340"/>
  <c r="CA23" i="340"/>
  <c r="CB25" i="340"/>
  <c r="CB23" i="340"/>
  <c r="BZ26" i="340"/>
  <c r="CB22" i="340"/>
  <c r="CA24" i="340" l="1"/>
  <c r="BZ27" i="340"/>
  <c r="CA26" i="340"/>
  <c r="CC25" i="340"/>
  <c r="CC23" i="340"/>
  <c r="CB24" i="340"/>
  <c r="CC22" i="340"/>
  <c r="CA27" i="340" l="1"/>
  <c r="CB26" i="340"/>
  <c r="CB27" i="340" s="1"/>
  <c r="CC24" i="340"/>
  <c r="CD22" i="340"/>
  <c r="CC26" i="340" l="1"/>
  <c r="CC27" i="340" s="1"/>
  <c r="CD25" i="340"/>
  <c r="CD23" i="340"/>
  <c r="CE22" i="340"/>
  <c r="CD26" i="340" l="1"/>
  <c r="CD24" i="340"/>
  <c r="CE25" i="340"/>
  <c r="CF23" i="340"/>
  <c r="CE23" i="340"/>
  <c r="CF22" i="340"/>
  <c r="CF25" i="340" l="1"/>
  <c r="CD27" i="340"/>
  <c r="CE24" i="340"/>
  <c r="CE26" i="340"/>
  <c r="CF24" i="340"/>
  <c r="CG22" i="340"/>
  <c r="CG25" i="340" l="1"/>
  <c r="CF26" i="340"/>
  <c r="CF27" i="340" s="1"/>
  <c r="CE27" i="340"/>
  <c r="CG23" i="340"/>
  <c r="CH23" i="340"/>
  <c r="CH22" i="340"/>
  <c r="CH25" i="340" l="1"/>
  <c r="CG24" i="340"/>
  <c r="CG26" i="340"/>
  <c r="CH24" i="340"/>
  <c r="CI22" i="340"/>
  <c r="CI25" i="340" l="1"/>
  <c r="CH26" i="340"/>
  <c r="CH27" i="340" s="1"/>
  <c r="CG27" i="340"/>
  <c r="CI23" i="340"/>
  <c r="CJ22" i="340"/>
  <c r="CI24" i="340" l="1"/>
  <c r="CJ25" i="340"/>
  <c r="CJ23" i="340"/>
  <c r="CI26" i="340"/>
  <c r="CK22" i="340"/>
  <c r="CI27" i="340" l="1"/>
  <c r="CJ24" i="340"/>
  <c r="CJ26" i="340"/>
  <c r="CK25" i="340"/>
  <c r="CK23" i="340"/>
  <c r="CL23" i="340"/>
  <c r="CL22" i="340"/>
  <c r="CJ27" i="340" l="1"/>
  <c r="CL25" i="340"/>
  <c r="CK26" i="340"/>
  <c r="CK24" i="340"/>
  <c r="CL24" i="340"/>
  <c r="CM22" i="340"/>
  <c r="CK27" i="340" l="1"/>
  <c r="CL26" i="340"/>
  <c r="CL27" i="340" s="1"/>
  <c r="CM23" i="340"/>
  <c r="CM25" i="340"/>
  <c r="CN22" i="340"/>
  <c r="CN23" i="340" l="1"/>
  <c r="CN25" i="340"/>
  <c r="CN24" i="340"/>
  <c r="CM24" i="340"/>
  <c r="CM26" i="340"/>
  <c r="CO22" i="340"/>
  <c r="CO25" i="340" l="1"/>
  <c r="CO23" i="340"/>
  <c r="CN26" i="340"/>
  <c r="CN27" i="340" s="1"/>
  <c r="CM27" i="340"/>
  <c r="CP22" i="340"/>
  <c r="CO24" i="340" l="1"/>
  <c r="CP25" i="340"/>
  <c r="CP23" i="340"/>
  <c r="CO26" i="340"/>
  <c r="CQ22" i="340"/>
  <c r="CO27" i="340" l="1"/>
  <c r="CQ25" i="340"/>
  <c r="CP24" i="340"/>
  <c r="CQ23" i="340"/>
  <c r="CP26" i="340"/>
  <c r="CR23" i="340"/>
  <c r="CR25" i="340"/>
  <c r="CR22" i="340"/>
  <c r="CP27" i="340" l="1"/>
  <c r="CQ24" i="340"/>
  <c r="CS23" i="340"/>
  <c r="CS25" i="340"/>
  <c r="CQ26" i="340"/>
  <c r="CR24" i="340"/>
  <c r="CS22" i="340"/>
  <c r="CQ27" i="340" l="1"/>
  <c r="CR26" i="340"/>
  <c r="CR27" i="340" s="1"/>
  <c r="CT25" i="340"/>
  <c r="CT23" i="340"/>
  <c r="CS24" i="340"/>
  <c r="CT22" i="340"/>
  <c r="CS26" i="340" l="1"/>
  <c r="CS27" i="340" s="1"/>
  <c r="CT24" i="340"/>
  <c r="D22" i="162"/>
  <c r="C25" i="162"/>
  <c r="C53" i="162"/>
  <c r="C23" i="162"/>
  <c r="C51" i="162"/>
  <c r="C54" i="162" l="1"/>
  <c r="C52" i="162"/>
  <c r="E22" i="162"/>
  <c r="CT26" i="340"/>
  <c r="CT27" i="340" s="1"/>
  <c r="F22" i="162"/>
  <c r="C24" i="162"/>
  <c r="C26" i="162"/>
  <c r="D23" i="162"/>
  <c r="D51" i="162"/>
  <c r="E23" i="162"/>
  <c r="E53" i="162"/>
  <c r="E51" i="162"/>
  <c r="E25" i="162"/>
  <c r="D25" i="162"/>
  <c r="D53" i="162"/>
  <c r="G22" i="162" l="1"/>
  <c r="D52" i="162"/>
  <c r="E52" i="162" s="1"/>
  <c r="C55" i="162"/>
  <c r="D54" i="162"/>
  <c r="H22" i="162"/>
  <c r="C27" i="162"/>
  <c r="D26" i="162"/>
  <c r="E26" i="162" s="1"/>
  <c r="D24" i="162"/>
  <c r="E24" i="162" s="1"/>
  <c r="F51" i="162"/>
  <c r="F23" i="162"/>
  <c r="F53" i="162"/>
  <c r="G23" i="162"/>
  <c r="G51" i="162"/>
  <c r="G25" i="162"/>
  <c r="F25" i="162"/>
  <c r="G53" i="162"/>
  <c r="E54" i="162" l="1"/>
  <c r="D55" i="162"/>
  <c r="F52" i="162"/>
  <c r="G52" i="162" s="1"/>
  <c r="F24" i="162"/>
  <c r="G24" i="162" s="1"/>
  <c r="I22" i="162"/>
  <c r="E27" i="162"/>
  <c r="F26" i="162"/>
  <c r="D27" i="162"/>
  <c r="H53" i="162"/>
  <c r="H25" i="162"/>
  <c r="H51" i="162"/>
  <c r="H23" i="162"/>
  <c r="H52" i="162" l="1"/>
  <c r="F54" i="162"/>
  <c r="E55" i="162"/>
  <c r="J22" i="162"/>
  <c r="H24" i="162"/>
  <c r="F27" i="162"/>
  <c r="G26" i="162"/>
  <c r="I51" i="162"/>
  <c r="I53" i="162"/>
  <c r="I23" i="162"/>
  <c r="I25" i="162"/>
  <c r="G54" i="162" l="1"/>
  <c r="F55" i="162"/>
  <c r="I52" i="162"/>
  <c r="I24" i="162"/>
  <c r="K22" i="162"/>
  <c r="G27" i="162"/>
  <c r="H26" i="162"/>
  <c r="J25" i="162"/>
  <c r="J53" i="162"/>
  <c r="J51" i="162"/>
  <c r="J23" i="162"/>
  <c r="J52" i="162" l="1"/>
  <c r="G55" i="162"/>
  <c r="H54" i="162"/>
  <c r="L22" i="162"/>
  <c r="J24" i="162"/>
  <c r="H27" i="162"/>
  <c r="I26" i="162"/>
  <c r="K53" i="162"/>
  <c r="K51" i="162"/>
  <c r="K23" i="162"/>
  <c r="K25" i="162"/>
  <c r="K52" i="162" l="1"/>
  <c r="I54" i="162"/>
  <c r="H55" i="162"/>
  <c r="K24" i="162"/>
  <c r="M22" i="162"/>
  <c r="I27" i="162"/>
  <c r="J26" i="162"/>
  <c r="L25" i="162"/>
  <c r="L51" i="162"/>
  <c r="L53" i="162"/>
  <c r="L23" i="162"/>
  <c r="J54" i="162" l="1"/>
  <c r="I55" i="162"/>
  <c r="L52" i="162"/>
  <c r="N22" i="162"/>
  <c r="L24" i="162"/>
  <c r="K26" i="162"/>
  <c r="J27" i="162"/>
  <c r="M23" i="162"/>
  <c r="M53" i="162"/>
  <c r="M51" i="162"/>
  <c r="M25" i="162"/>
  <c r="M52" i="162" l="1"/>
  <c r="J55" i="162"/>
  <c r="K54" i="162"/>
  <c r="M24" i="162"/>
  <c r="O22" i="162"/>
  <c r="L26" i="162"/>
  <c r="K27" i="162"/>
  <c r="N25" i="162"/>
  <c r="N23" i="162"/>
  <c r="N53" i="162"/>
  <c r="N51" i="162"/>
  <c r="L54" i="162" l="1"/>
  <c r="K55" i="162"/>
  <c r="N52" i="162"/>
  <c r="P22" i="162"/>
  <c r="N24" i="162"/>
  <c r="M26" i="162"/>
  <c r="L27" i="162"/>
  <c r="O51" i="162"/>
  <c r="O25" i="162"/>
  <c r="O53" i="162"/>
  <c r="O23" i="162"/>
  <c r="M54" i="162" l="1"/>
  <c r="L55" i="162"/>
  <c r="O52" i="162"/>
  <c r="O24" i="162"/>
  <c r="Q22" i="162"/>
  <c r="M27" i="162"/>
  <c r="N26" i="162"/>
  <c r="P23" i="162"/>
  <c r="P25" i="162"/>
  <c r="P53" i="162"/>
  <c r="P51" i="162"/>
  <c r="P52" i="162" l="1"/>
  <c r="M55" i="162"/>
  <c r="N54" i="162"/>
  <c r="R22" i="162"/>
  <c r="P24" i="162"/>
  <c r="N27" i="162"/>
  <c r="O26" i="162"/>
  <c r="Q53" i="162"/>
  <c r="Q23" i="162"/>
  <c r="Q51" i="162"/>
  <c r="Q25" i="162"/>
  <c r="O54" i="162" l="1"/>
  <c r="N55" i="162"/>
  <c r="Q52" i="162"/>
  <c r="Q24" i="162"/>
  <c r="S22" i="162"/>
  <c r="O27" i="162"/>
  <c r="P26" i="162"/>
  <c r="R51" i="162"/>
  <c r="R23" i="162"/>
  <c r="R25" i="162"/>
  <c r="R53" i="162"/>
  <c r="R52" i="162" l="1"/>
  <c r="O55" i="162"/>
  <c r="P54" i="162"/>
  <c r="T22" i="162"/>
  <c r="R24" i="162"/>
  <c r="P27" i="162"/>
  <c r="Q26" i="162"/>
  <c r="S53" i="162"/>
  <c r="S25" i="162"/>
  <c r="S51" i="162"/>
  <c r="S23" i="162"/>
  <c r="Q54" i="162" l="1"/>
  <c r="P55" i="162"/>
  <c r="S52" i="162"/>
  <c r="S24" i="162"/>
  <c r="U22" i="162"/>
  <c r="Q27" i="162"/>
  <c r="R26" i="162"/>
  <c r="T23" i="162"/>
  <c r="T53" i="162"/>
  <c r="T25" i="162"/>
  <c r="T51" i="162"/>
  <c r="T52" i="162" l="1"/>
  <c r="R54" i="162"/>
  <c r="Q55" i="162"/>
  <c r="V22" i="162"/>
  <c r="T24" i="162"/>
  <c r="R27" i="162"/>
  <c r="S26" i="162"/>
  <c r="U51" i="162"/>
  <c r="U53" i="162"/>
  <c r="U23" i="162"/>
  <c r="U25" i="162"/>
  <c r="R55" i="162" l="1"/>
  <c r="S54" i="162"/>
  <c r="U52" i="162"/>
  <c r="U24" i="162"/>
  <c r="W22" i="162"/>
  <c r="S27" i="162"/>
  <c r="T26" i="162"/>
  <c r="V25" i="162"/>
  <c r="V53" i="162"/>
  <c r="V51" i="162"/>
  <c r="V23" i="162"/>
  <c r="V52" i="162" l="1"/>
  <c r="T54" i="162"/>
  <c r="S55" i="162"/>
  <c r="X22" i="162"/>
  <c r="V24" i="162"/>
  <c r="T27" i="162"/>
  <c r="U26" i="162"/>
  <c r="W51" i="162"/>
  <c r="W23" i="162"/>
  <c r="W53" i="162"/>
  <c r="W25" i="162"/>
  <c r="T55" i="162" l="1"/>
  <c r="U54" i="162"/>
  <c r="W52" i="162"/>
  <c r="W24" i="162"/>
  <c r="Y22" i="162"/>
  <c r="U27" i="162"/>
  <c r="V26" i="162"/>
  <c r="X53" i="162"/>
  <c r="X51" i="162"/>
  <c r="X23" i="162"/>
  <c r="X25" i="162"/>
  <c r="X52" i="162" l="1"/>
  <c r="U55" i="162"/>
  <c r="V54" i="162"/>
  <c r="Z22" i="162"/>
  <c r="X24" i="162"/>
  <c r="V27" i="162"/>
  <c r="W26" i="162"/>
  <c r="Y25" i="162"/>
  <c r="Y53" i="162"/>
  <c r="Y23" i="162"/>
  <c r="Y51" i="162"/>
  <c r="W54" i="162" l="1"/>
  <c r="V55" i="162"/>
  <c r="Y52" i="162"/>
  <c r="Y24" i="162"/>
  <c r="AA22" i="162"/>
  <c r="W27" i="162"/>
  <c r="X26" i="162"/>
  <c r="Z51" i="162"/>
  <c r="Z23" i="162"/>
  <c r="Z53" i="162"/>
  <c r="Z25" i="162"/>
  <c r="Z52" i="162" l="1"/>
  <c r="X54" i="162"/>
  <c r="W55" i="162"/>
  <c r="AB22" i="162"/>
  <c r="Z24" i="162"/>
  <c r="X27" i="162"/>
  <c r="Y26" i="162"/>
  <c r="AA23" i="162"/>
  <c r="AA25" i="162"/>
  <c r="AA53" i="162"/>
  <c r="AA51" i="162"/>
  <c r="Y54" i="162" l="1"/>
  <c r="X55" i="162"/>
  <c r="AA52" i="162"/>
  <c r="AA24" i="162"/>
  <c r="AC22" i="162"/>
  <c r="Y27" i="162"/>
  <c r="Z26" i="162"/>
  <c r="AB51" i="162"/>
  <c r="AB23" i="162"/>
  <c r="AB25" i="162"/>
  <c r="AB53" i="162"/>
  <c r="AB52" i="162" l="1"/>
  <c r="Y55" i="162"/>
  <c r="Z54" i="162"/>
  <c r="AD22" i="162"/>
  <c r="AB24" i="162"/>
  <c r="AA26" i="162"/>
  <c r="Z27" i="162"/>
  <c r="AC23" i="162"/>
  <c r="AC25" i="162"/>
  <c r="AC51" i="162"/>
  <c r="AC53" i="162"/>
  <c r="AA54" i="162" l="1"/>
  <c r="Z55" i="162"/>
  <c r="AC52" i="162"/>
  <c r="AC24" i="162"/>
  <c r="AE22" i="162"/>
  <c r="AB26" i="162"/>
  <c r="AA27" i="162"/>
  <c r="AD23" i="162"/>
  <c r="AD53" i="162"/>
  <c r="AD51" i="162"/>
  <c r="AD25" i="162"/>
  <c r="AD52" i="162" l="1"/>
  <c r="AB54" i="162"/>
  <c r="AA55" i="162"/>
  <c r="AF22" i="162"/>
  <c r="AD24" i="162"/>
  <c r="AC26" i="162"/>
  <c r="AB27" i="162"/>
  <c r="AE53" i="162"/>
  <c r="AE23" i="162"/>
  <c r="AE51" i="162"/>
  <c r="AE25" i="162"/>
  <c r="AB55" i="162" l="1"/>
  <c r="AC54" i="162"/>
  <c r="AE52" i="162"/>
  <c r="AE24" i="162"/>
  <c r="AG22" i="162"/>
  <c r="AC27" i="162"/>
  <c r="AD26" i="162"/>
  <c r="AF53" i="162"/>
  <c r="AF25" i="162"/>
  <c r="AF51" i="162"/>
  <c r="AF23" i="162"/>
  <c r="AF52" i="162" l="1"/>
  <c r="AD54" i="162"/>
  <c r="AC55" i="162"/>
  <c r="AH22" i="162"/>
  <c r="AF24" i="162"/>
  <c r="AD27" i="162"/>
  <c r="AE26" i="162"/>
  <c r="AG25" i="162"/>
  <c r="AG51" i="162"/>
  <c r="AG53" i="162"/>
  <c r="AG23" i="162"/>
  <c r="AD55" i="162" l="1"/>
  <c r="AE54" i="162"/>
  <c r="AG52" i="162"/>
  <c r="AG24" i="162"/>
  <c r="AI22" i="162"/>
  <c r="AE27" i="162"/>
  <c r="AF26" i="162"/>
  <c r="AH53" i="162"/>
  <c r="AH51" i="162"/>
  <c r="AH23" i="162"/>
  <c r="AH25" i="162"/>
  <c r="AH52" i="162" l="1"/>
  <c r="AF54" i="162"/>
  <c r="AE55" i="162"/>
  <c r="AJ22" i="162"/>
  <c r="AH24" i="162"/>
  <c r="AF27" i="162"/>
  <c r="AG26" i="162"/>
  <c r="AI23" i="162"/>
  <c r="AI53" i="162"/>
  <c r="AI51" i="162"/>
  <c r="AI25" i="162"/>
  <c r="AG54" i="162" l="1"/>
  <c r="AF55" i="162"/>
  <c r="AI52" i="162"/>
  <c r="AI24" i="162"/>
  <c r="AK22" i="162"/>
  <c r="AG27" i="162"/>
  <c r="AH26" i="162"/>
  <c r="AJ53" i="162"/>
  <c r="AJ25" i="162"/>
  <c r="AJ51" i="162"/>
  <c r="AJ23" i="162"/>
  <c r="AJ52" i="162" l="1"/>
  <c r="AH54" i="162"/>
  <c r="AG55" i="162"/>
  <c r="AL22" i="162"/>
  <c r="AJ24" i="162"/>
  <c r="AH27" i="162"/>
  <c r="AI26" i="162"/>
  <c r="C3" i="2"/>
  <c r="AK53" i="162"/>
  <c r="AK25" i="162"/>
  <c r="AK23" i="162"/>
  <c r="AK51" i="162"/>
  <c r="AH55" i="162" l="1"/>
  <c r="AI54" i="162"/>
  <c r="AK52" i="162"/>
  <c r="AK24" i="162"/>
  <c r="AM22" i="162"/>
  <c r="AI27" i="162"/>
  <c r="AJ26" i="162"/>
  <c r="A3" i="2"/>
  <c r="B3" i="2" s="1"/>
  <c r="AL53" i="162"/>
  <c r="AL23" i="162"/>
  <c r="AL51" i="162"/>
  <c r="AL25" i="162"/>
  <c r="AL52" i="162" l="1"/>
  <c r="AI55" i="162"/>
  <c r="AJ54" i="162"/>
  <c r="AN22" i="162"/>
  <c r="AL24" i="162"/>
  <c r="AJ27" i="162"/>
  <c r="AK26" i="162"/>
  <c r="D3" i="2"/>
  <c r="E3" i="2"/>
  <c r="AM51" i="162"/>
  <c r="AM53" i="162"/>
  <c r="AM25" i="162"/>
  <c r="AM23" i="162"/>
  <c r="AJ55" i="162" l="1"/>
  <c r="AK54" i="162"/>
  <c r="AM52" i="162"/>
  <c r="AM24" i="162"/>
  <c r="AO22" i="162"/>
  <c r="AK27" i="162"/>
  <c r="AL26" i="162"/>
  <c r="AN53" i="162"/>
  <c r="AN23" i="162"/>
  <c r="AN51" i="162"/>
  <c r="AN25" i="162"/>
  <c r="AN52" i="162" l="1"/>
  <c r="AL54" i="162"/>
  <c r="AK55" i="162"/>
  <c r="AP22" i="162"/>
  <c r="AN24" i="162"/>
  <c r="AL27" i="162"/>
  <c r="AM26" i="162"/>
  <c r="AO53" i="162"/>
  <c r="AO25" i="162"/>
  <c r="AO23" i="162"/>
  <c r="AO51" i="162"/>
  <c r="AM54" i="162" l="1"/>
  <c r="AL55" i="162"/>
  <c r="AO52" i="162"/>
  <c r="AO24" i="162"/>
  <c r="AQ22" i="162"/>
  <c r="AM27" i="162"/>
  <c r="AN26" i="162"/>
  <c r="AP53" i="162"/>
  <c r="AP51" i="162"/>
  <c r="AP23" i="162"/>
  <c r="AP25" i="162"/>
  <c r="AP52" i="162" l="1"/>
  <c r="AN54" i="162"/>
  <c r="AM55" i="162"/>
  <c r="AR22" i="162"/>
  <c r="AP24" i="162"/>
  <c r="AN27" i="162"/>
  <c r="AO26" i="162"/>
  <c r="AQ23" i="162"/>
  <c r="AQ53" i="162"/>
  <c r="AQ51" i="162"/>
  <c r="AQ25" i="162"/>
  <c r="AO54" i="162" l="1"/>
  <c r="AN55" i="162"/>
  <c r="AQ52" i="162"/>
  <c r="AS22" i="162"/>
  <c r="AQ24" i="162"/>
  <c r="AO27" i="162"/>
  <c r="AP26" i="162"/>
  <c r="AR53" i="162"/>
  <c r="AR25" i="162"/>
  <c r="AR23" i="162"/>
  <c r="AR51" i="162"/>
  <c r="AR52" i="162" l="1"/>
  <c r="AP54" i="162"/>
  <c r="AO55" i="162"/>
  <c r="AR24" i="162"/>
  <c r="AT22" i="162"/>
  <c r="AQ26" i="162"/>
  <c r="AP27" i="162"/>
  <c r="AS51" i="162"/>
  <c r="AS53" i="162"/>
  <c r="AS25" i="162"/>
  <c r="AS23" i="162"/>
  <c r="AP55" i="162" l="1"/>
  <c r="AQ54" i="162"/>
  <c r="AS52" i="162"/>
  <c r="AU22" i="162"/>
  <c r="AS24" i="162"/>
  <c r="AR26" i="162"/>
  <c r="AQ27" i="162"/>
  <c r="AT53" i="162"/>
  <c r="AT51" i="162"/>
  <c r="AT23" i="162"/>
  <c r="AT25" i="162"/>
  <c r="AT52" i="162" l="1"/>
  <c r="AQ55" i="162"/>
  <c r="AR54" i="162"/>
  <c r="AV22" i="162"/>
  <c r="AT24" i="162"/>
  <c r="AS26" i="162"/>
  <c r="AR27" i="162"/>
  <c r="AU51" i="162"/>
  <c r="AU23" i="162"/>
  <c r="AU53" i="162"/>
  <c r="AU25" i="162"/>
  <c r="AS54" i="162" l="1"/>
  <c r="AR55" i="162"/>
  <c r="AU52" i="162"/>
  <c r="AU24" i="162"/>
  <c r="AW22" i="162"/>
  <c r="AS27" i="162"/>
  <c r="AT26" i="162"/>
  <c r="AV25" i="162"/>
  <c r="AV51" i="162"/>
  <c r="AV23" i="162"/>
  <c r="AV53" i="162"/>
  <c r="AV52" i="162" l="1"/>
  <c r="AS55" i="162"/>
  <c r="AT54" i="162"/>
  <c r="AX22" i="162"/>
  <c r="AV24" i="162"/>
  <c r="AT27" i="162"/>
  <c r="AU26" i="162"/>
  <c r="AW51" i="162"/>
  <c r="AW53" i="162"/>
  <c r="AW25" i="162"/>
  <c r="AW23" i="162"/>
  <c r="AU54" i="162" l="1"/>
  <c r="AT55" i="162"/>
  <c r="AW52" i="162"/>
  <c r="AW24" i="162"/>
  <c r="AY22" i="162"/>
  <c r="AU27" i="162"/>
  <c r="AV26" i="162"/>
  <c r="AX53" i="162"/>
  <c r="AX25" i="162"/>
  <c r="AX51" i="162"/>
  <c r="AX23" i="162"/>
  <c r="AX52" i="162" l="1"/>
  <c r="AV54" i="162"/>
  <c r="AU55" i="162"/>
  <c r="AZ22" i="162"/>
  <c r="AX24" i="162"/>
  <c r="AV27" i="162"/>
  <c r="AW26" i="162"/>
  <c r="AY53" i="162"/>
  <c r="AY25" i="162"/>
  <c r="AY51" i="162"/>
  <c r="AY23" i="162"/>
  <c r="AY52" i="162" l="1"/>
  <c r="AW54" i="162"/>
  <c r="AV55" i="162"/>
  <c r="AY24" i="162"/>
  <c r="BA22" i="162"/>
  <c r="AW27" i="162"/>
  <c r="AX26" i="162"/>
  <c r="AZ23" i="162"/>
  <c r="AZ51" i="162"/>
  <c r="AZ53" i="162"/>
  <c r="AZ25" i="162"/>
  <c r="AX54" i="162" l="1"/>
  <c r="AW55" i="162"/>
  <c r="AZ52" i="162"/>
  <c r="AZ24" i="162"/>
  <c r="BB22" i="162"/>
  <c r="AX27" i="162"/>
  <c r="AY26" i="162"/>
  <c r="BA53" i="162"/>
  <c r="BA25" i="162"/>
  <c r="BA23" i="162"/>
  <c r="BA51" i="162"/>
  <c r="AX55" i="162" l="1"/>
  <c r="AY54" i="162"/>
  <c r="BA52" i="162"/>
  <c r="BC22" i="162"/>
  <c r="BA24" i="162"/>
  <c r="AY27" i="162"/>
  <c r="AZ26" i="162"/>
  <c r="BB23" i="162"/>
  <c r="BB25" i="162"/>
  <c r="BB53" i="162"/>
  <c r="BB51" i="162"/>
  <c r="BB52" i="162" l="1"/>
  <c r="AZ54" i="162"/>
  <c r="AY55" i="162"/>
  <c r="BB24" i="162"/>
  <c r="BD22" i="162"/>
  <c r="AZ27" i="162"/>
  <c r="BA26" i="162"/>
  <c r="BC25" i="162"/>
  <c r="BC51" i="162"/>
  <c r="BC53" i="162"/>
  <c r="BC23" i="162"/>
  <c r="BC52" i="162" l="1"/>
  <c r="AZ55" i="162"/>
  <c r="BA54" i="162"/>
  <c r="BC24" i="162"/>
  <c r="BE22" i="162"/>
  <c r="BA27" i="162"/>
  <c r="BB26" i="162"/>
  <c r="BD25" i="162"/>
  <c r="BD53" i="162"/>
  <c r="BD51" i="162"/>
  <c r="BD23" i="162"/>
  <c r="BB54" i="162" l="1"/>
  <c r="BA55" i="162"/>
  <c r="BD52" i="162"/>
  <c r="BF22" i="162"/>
  <c r="BD24" i="162"/>
  <c r="BB27" i="162"/>
  <c r="BC26" i="162"/>
  <c r="BE51" i="162"/>
  <c r="BE53" i="162"/>
  <c r="BE25" i="162"/>
  <c r="BE23" i="162"/>
  <c r="BE52" i="162" l="1"/>
  <c r="BC54" i="162"/>
  <c r="BB55" i="162"/>
  <c r="BE24" i="162"/>
  <c r="BG22" i="162"/>
  <c r="BC27" i="162"/>
  <c r="BD26" i="162"/>
  <c r="BF25" i="162"/>
  <c r="BF51" i="162"/>
  <c r="BF53" i="162"/>
  <c r="BF23" i="162"/>
  <c r="BD54" i="162" l="1"/>
  <c r="BC55" i="162"/>
  <c r="BF52" i="162"/>
  <c r="BH22" i="162"/>
  <c r="BF24" i="162"/>
  <c r="BD27" i="162"/>
  <c r="BE26" i="162"/>
  <c r="BG51" i="162"/>
  <c r="BG25" i="162"/>
  <c r="BG53" i="162"/>
  <c r="BG23" i="162"/>
  <c r="BG52" i="162" l="1"/>
  <c r="BE54" i="162"/>
  <c r="BD55" i="162"/>
  <c r="BG24" i="162"/>
  <c r="BI22" i="162"/>
  <c r="BE27" i="162"/>
  <c r="BF26" i="162"/>
  <c r="BH25" i="162"/>
  <c r="BH51" i="162"/>
  <c r="BH53" i="162"/>
  <c r="BH23" i="162"/>
  <c r="BH52" i="162" l="1"/>
  <c r="BF54" i="162"/>
  <c r="BE55" i="162"/>
  <c r="BJ22" i="162"/>
  <c r="BH24" i="162"/>
  <c r="BG26" i="162"/>
  <c r="BF27" i="162"/>
  <c r="BI25" i="162"/>
  <c r="BI51" i="162"/>
  <c r="BI23" i="162"/>
  <c r="BI53" i="162"/>
  <c r="BG54" i="162" l="1"/>
  <c r="BF55" i="162"/>
  <c r="BI52" i="162"/>
  <c r="BI24" i="162"/>
  <c r="BK22" i="162"/>
  <c r="BH26" i="162"/>
  <c r="BG27" i="162"/>
  <c r="BJ23" i="162"/>
  <c r="BJ53" i="162"/>
  <c r="BJ51" i="162"/>
  <c r="BJ25" i="162"/>
  <c r="BJ52" i="162" l="1"/>
  <c r="BH54" i="162"/>
  <c r="BG55" i="162"/>
  <c r="BL22" i="162"/>
  <c r="BJ24" i="162"/>
  <c r="BI26" i="162"/>
  <c r="BH27" i="162"/>
  <c r="BK51" i="162"/>
  <c r="BK53" i="162"/>
  <c r="BK23" i="162"/>
  <c r="BK25" i="162"/>
  <c r="BK52" i="162" l="1"/>
  <c r="BI54" i="162"/>
  <c r="BH55" i="162"/>
  <c r="BK24" i="162"/>
  <c r="BM22" i="162"/>
  <c r="BI27" i="162"/>
  <c r="BJ26" i="162"/>
  <c r="BL51" i="162"/>
  <c r="BL25" i="162"/>
  <c r="BL23" i="162"/>
  <c r="BL53" i="162"/>
  <c r="BJ54" i="162" l="1"/>
  <c r="BI55" i="162"/>
  <c r="BL52" i="162"/>
  <c r="BL24" i="162"/>
  <c r="BN22" i="162"/>
  <c r="BJ27" i="162"/>
  <c r="BK26" i="162"/>
  <c r="BM23" i="162"/>
  <c r="BM53" i="162"/>
  <c r="BM25" i="162"/>
  <c r="BM51" i="162"/>
  <c r="BK54" i="162" l="1"/>
  <c r="BJ55" i="162"/>
  <c r="BM52" i="162"/>
  <c r="BO22" i="162"/>
  <c r="BM24" i="162"/>
  <c r="BK27" i="162"/>
  <c r="BL26" i="162"/>
  <c r="BN23" i="162"/>
  <c r="BN53" i="162"/>
  <c r="BN51" i="162"/>
  <c r="BN25" i="162"/>
  <c r="BN52" i="162" l="1"/>
  <c r="BL54" i="162"/>
  <c r="BK55" i="162"/>
  <c r="BN24" i="162"/>
  <c r="BP22" i="162"/>
  <c r="BL27" i="162"/>
  <c r="BM26" i="162"/>
  <c r="BO23" i="162"/>
  <c r="BO53" i="162"/>
  <c r="BO51" i="162"/>
  <c r="BO25" i="162"/>
  <c r="BM54" i="162" l="1"/>
  <c r="BL55" i="162"/>
  <c r="BO52" i="162"/>
  <c r="BO24" i="162"/>
  <c r="BQ22" i="162"/>
  <c r="BM27" i="162"/>
  <c r="BN26" i="162"/>
  <c r="BP25" i="162"/>
  <c r="BP53" i="162"/>
  <c r="BP23" i="162"/>
  <c r="BP51" i="162"/>
  <c r="BP52" i="162" l="1"/>
  <c r="BN54" i="162"/>
  <c r="BM55" i="162"/>
  <c r="BR22" i="162"/>
  <c r="BP24" i="162"/>
  <c r="BN27" i="162"/>
  <c r="BO26" i="162"/>
  <c r="BQ25" i="162"/>
  <c r="BQ51" i="162"/>
  <c r="BQ53" i="162"/>
  <c r="BQ23" i="162"/>
  <c r="BQ52" i="162" l="1"/>
  <c r="BN55" i="162"/>
  <c r="BO54" i="162"/>
  <c r="BQ24" i="162"/>
  <c r="BS22" i="162"/>
  <c r="BO27" i="162"/>
  <c r="BP26" i="162"/>
  <c r="BR53" i="162"/>
  <c r="BR25" i="162"/>
  <c r="BR23" i="162"/>
  <c r="BR51" i="162"/>
  <c r="BO55" i="162" l="1"/>
  <c r="BP54" i="162"/>
  <c r="BR52" i="162"/>
  <c r="BT22" i="162"/>
  <c r="BR24" i="162"/>
  <c r="BP27" i="162"/>
  <c r="BQ26" i="162"/>
  <c r="BS51" i="162"/>
  <c r="BS25" i="162"/>
  <c r="BS53" i="162"/>
  <c r="BS23" i="162"/>
  <c r="BS52" i="162" l="1"/>
  <c r="BQ54" i="162"/>
  <c r="BP55" i="162"/>
  <c r="BS24" i="162"/>
  <c r="BU22" i="162"/>
  <c r="BQ27" i="162"/>
  <c r="BR26" i="162"/>
  <c r="BT23" i="162"/>
  <c r="BT51" i="162"/>
  <c r="BT53" i="162"/>
  <c r="BT25" i="162"/>
  <c r="BR54" i="162" l="1"/>
  <c r="BQ55" i="162"/>
  <c r="BT52" i="162"/>
  <c r="BT24" i="162"/>
  <c r="BV22" i="162"/>
  <c r="BR27" i="162"/>
  <c r="BS26" i="162"/>
  <c r="BU51" i="162"/>
  <c r="BU23" i="162"/>
  <c r="BU53" i="162"/>
  <c r="BU25" i="162"/>
  <c r="BU52" i="162" l="1"/>
  <c r="BS54" i="162"/>
  <c r="BR55" i="162"/>
  <c r="BW22" i="162"/>
  <c r="BU24" i="162"/>
  <c r="BS27" i="162"/>
  <c r="BT26" i="162"/>
  <c r="BV23" i="162"/>
  <c r="BV53" i="162"/>
  <c r="BV51" i="162"/>
  <c r="BV25" i="162"/>
  <c r="BT54" i="162" l="1"/>
  <c r="BS55" i="162"/>
  <c r="BV52" i="162"/>
  <c r="BV24" i="162"/>
  <c r="BX22" i="162"/>
  <c r="BT27" i="162"/>
  <c r="BU26" i="162"/>
  <c r="BW51" i="162"/>
  <c r="BW53" i="162"/>
  <c r="BW23" i="162"/>
  <c r="BW25" i="162"/>
  <c r="BW52" i="162" l="1"/>
  <c r="BU54" i="162"/>
  <c r="BT55" i="162"/>
  <c r="BW24" i="162"/>
  <c r="BY22" i="162"/>
  <c r="BU27" i="162"/>
  <c r="BV26" i="162"/>
  <c r="BX53" i="162"/>
  <c r="BX23" i="162"/>
  <c r="BX25" i="162"/>
  <c r="BX51" i="162"/>
  <c r="BV54" i="162" l="1"/>
  <c r="BU55" i="162"/>
  <c r="BX52" i="162"/>
  <c r="BZ22" i="162"/>
  <c r="BX24" i="162"/>
  <c r="BW26" i="162"/>
  <c r="BV27" i="162"/>
  <c r="BY23" i="162"/>
  <c r="BY51" i="162"/>
  <c r="BY53" i="162"/>
  <c r="BY25" i="162"/>
  <c r="BY52" i="162" l="1"/>
  <c r="BW54" i="162"/>
  <c r="BV55" i="162"/>
  <c r="BY24" i="162"/>
  <c r="CA22" i="162"/>
  <c r="BX26" i="162"/>
  <c r="BW27" i="162"/>
  <c r="BZ53" i="162"/>
  <c r="BZ51" i="162"/>
  <c r="BZ25" i="162"/>
  <c r="BZ23" i="162"/>
  <c r="BX54" i="162" l="1"/>
  <c r="BW55" i="162"/>
  <c r="BZ52" i="162"/>
  <c r="BZ24" i="162"/>
  <c r="CB22" i="162"/>
  <c r="BY26" i="162"/>
  <c r="BX27" i="162"/>
  <c r="CA51" i="162"/>
  <c r="CA53" i="162"/>
  <c r="CA23" i="162"/>
  <c r="CA25" i="162"/>
  <c r="CA52" i="162" l="1"/>
  <c r="BY54" i="162"/>
  <c r="BX55" i="162"/>
  <c r="CC22" i="162"/>
  <c r="CA24" i="162"/>
  <c r="BY27" i="162"/>
  <c r="BZ26" i="162"/>
  <c r="CB25" i="162"/>
  <c r="CB23" i="162"/>
  <c r="CB51" i="162"/>
  <c r="CB53" i="162"/>
  <c r="BZ54" i="162" l="1"/>
  <c r="BY55" i="162"/>
  <c r="CB52" i="162"/>
  <c r="CB24" i="162"/>
  <c r="CD22" i="162"/>
  <c r="BZ27" i="162"/>
  <c r="CA26" i="162"/>
  <c r="CC25" i="162"/>
  <c r="CC23" i="162"/>
  <c r="CC53" i="162"/>
  <c r="CC51" i="162"/>
  <c r="CC52" i="162" l="1"/>
  <c r="CA54" i="162"/>
  <c r="BZ55" i="162"/>
  <c r="CC24" i="162"/>
  <c r="CE22" i="162"/>
  <c r="CA27" i="162"/>
  <c r="CB26" i="162"/>
  <c r="CD23" i="162"/>
  <c r="CD25" i="162"/>
  <c r="CD51" i="162"/>
  <c r="CD53" i="162"/>
  <c r="CB54" i="162" l="1"/>
  <c r="CA55" i="162"/>
  <c r="CD52" i="162"/>
  <c r="CF22" i="162"/>
  <c r="CD24" i="162"/>
  <c r="CB27" i="162"/>
  <c r="CC26" i="162"/>
  <c r="CE23" i="162"/>
  <c r="CE51" i="162"/>
  <c r="CE25" i="162"/>
  <c r="CE53" i="162"/>
  <c r="CE52" i="162" l="1"/>
  <c r="CC54" i="162"/>
  <c r="CB55" i="162"/>
  <c r="CE24" i="162"/>
  <c r="CG22" i="162"/>
  <c r="CC27" i="162"/>
  <c r="CD26" i="162"/>
  <c r="CF51" i="162"/>
  <c r="CF23" i="162"/>
  <c r="CF53" i="162"/>
  <c r="CF25" i="162"/>
  <c r="CD54" i="162" l="1"/>
  <c r="CC55" i="162"/>
  <c r="CF52" i="162"/>
  <c r="CF24" i="162"/>
  <c r="CH22" i="162"/>
  <c r="CD27" i="162"/>
  <c r="CE26" i="162"/>
  <c r="CG25" i="162"/>
  <c r="CG23" i="162"/>
  <c r="CG53" i="162"/>
  <c r="CG51" i="162"/>
  <c r="CG52" i="162" l="1"/>
  <c r="CD55" i="162"/>
  <c r="CE54" i="162"/>
  <c r="CI22" i="162"/>
  <c r="CG24" i="162"/>
  <c r="CE27" i="162"/>
  <c r="CF26" i="162"/>
  <c r="CH25" i="162"/>
  <c r="CH23" i="162"/>
  <c r="CH53" i="162"/>
  <c r="CH51" i="162"/>
  <c r="CE55" i="162" l="1"/>
  <c r="CF54" i="162"/>
  <c r="CH52" i="162"/>
  <c r="CH24" i="162"/>
  <c r="CJ22" i="162"/>
  <c r="CF27" i="162"/>
  <c r="CG26" i="162"/>
  <c r="CI53" i="162"/>
  <c r="CI51" i="162"/>
  <c r="CI23" i="162"/>
  <c r="CI25" i="162"/>
  <c r="CI52" i="162" l="1"/>
  <c r="CF55" i="162"/>
  <c r="CG54" i="162"/>
  <c r="CK22" i="162"/>
  <c r="CI24" i="162"/>
  <c r="CG27" i="162"/>
  <c r="CH26" i="162"/>
  <c r="CJ51" i="162"/>
  <c r="CJ25" i="162"/>
  <c r="CJ23" i="162"/>
  <c r="CJ53" i="162"/>
  <c r="CG55" i="162" l="1"/>
  <c r="CH54" i="162"/>
  <c r="CJ52" i="162"/>
  <c r="CJ24" i="162"/>
  <c r="CL22" i="162"/>
  <c r="CH27" i="162"/>
  <c r="CI26" i="162"/>
  <c r="CK23" i="162"/>
  <c r="CK53" i="162"/>
  <c r="CK25" i="162"/>
  <c r="CK51" i="162"/>
  <c r="CK52" i="162" l="1"/>
  <c r="CI54" i="162"/>
  <c r="CH55" i="162"/>
  <c r="CM22" i="162"/>
  <c r="CK24" i="162"/>
  <c r="CI27" i="162"/>
  <c r="CJ26" i="162"/>
  <c r="CL25" i="162"/>
  <c r="CL23" i="162"/>
  <c r="CL53" i="162"/>
  <c r="CL51" i="162"/>
  <c r="CJ54" i="162" l="1"/>
  <c r="CI55" i="162"/>
  <c r="CL52" i="162"/>
  <c r="CL24" i="162"/>
  <c r="CN22" i="162"/>
  <c r="CJ27" i="162"/>
  <c r="CK26" i="162"/>
  <c r="CM23" i="162"/>
  <c r="CM53" i="162"/>
  <c r="CM25" i="162"/>
  <c r="CM51" i="162"/>
  <c r="CM52" i="162" l="1"/>
  <c r="CK54" i="162"/>
  <c r="CJ55" i="162"/>
  <c r="CO22" i="162"/>
  <c r="CM24" i="162"/>
  <c r="CK27" i="162"/>
  <c r="CL26" i="162"/>
  <c r="CN53" i="162"/>
  <c r="CN23" i="162"/>
  <c r="CN51" i="162"/>
  <c r="CN25" i="162"/>
  <c r="CL54" i="162" l="1"/>
  <c r="CK55" i="162"/>
  <c r="CN52" i="162"/>
  <c r="CN24" i="162"/>
  <c r="CP22" i="162"/>
  <c r="CM26" i="162"/>
  <c r="CL27" i="162"/>
  <c r="CO23" i="162"/>
  <c r="CO25" i="162"/>
  <c r="CO53" i="162"/>
  <c r="CO51" i="162"/>
  <c r="CO52" i="162" l="1"/>
  <c r="CM54" i="162"/>
  <c r="CL55" i="162"/>
  <c r="CQ22" i="162"/>
  <c r="CO24" i="162"/>
  <c r="CN26" i="162"/>
  <c r="CM27" i="162"/>
  <c r="CP51" i="162"/>
  <c r="CP23" i="162"/>
  <c r="CP53" i="162"/>
  <c r="CP25" i="162"/>
  <c r="CM55" i="162" l="1"/>
  <c r="CN54" i="162"/>
  <c r="CP52" i="162"/>
  <c r="CP24" i="162"/>
  <c r="CR22" i="162"/>
  <c r="CO26" i="162"/>
  <c r="CN27" i="162"/>
  <c r="CQ23" i="162"/>
  <c r="CQ25" i="162"/>
  <c r="CQ53" i="162"/>
  <c r="CQ51" i="162"/>
  <c r="CQ52" i="162" l="1"/>
  <c r="CO54" i="162"/>
  <c r="CN55" i="162"/>
  <c r="CS22" i="162"/>
  <c r="CQ24" i="162"/>
  <c r="CO27" i="162"/>
  <c r="CP26" i="162"/>
  <c r="CR23" i="162"/>
  <c r="CR53" i="162"/>
  <c r="CR51" i="162"/>
  <c r="CR25" i="162"/>
  <c r="CP54" i="162" l="1"/>
  <c r="CO55" i="162"/>
  <c r="CR52" i="162"/>
  <c r="CR24" i="162"/>
  <c r="CT22" i="162"/>
  <c r="CP27" i="162"/>
  <c r="CQ26" i="162"/>
  <c r="CT53" i="162"/>
  <c r="CT25" i="162"/>
  <c r="CS53" i="162"/>
  <c r="CS23" i="162"/>
  <c r="CS25" i="162"/>
  <c r="CS51" i="162"/>
  <c r="CT51" i="162"/>
  <c r="CT23" i="162"/>
  <c r="CS52" i="162" l="1"/>
  <c r="CT52" i="162" s="1"/>
  <c r="CQ54" i="162"/>
  <c r="CP55" i="162"/>
  <c r="CS24" i="162"/>
  <c r="CT24" i="162" s="1"/>
  <c r="CQ27" i="162"/>
  <c r="CR26" i="162"/>
  <c r="CQ55" i="162" l="1"/>
  <c r="CR54" i="162"/>
  <c r="CR27" i="162"/>
  <c r="CS26" i="162"/>
  <c r="CS54" i="162" l="1"/>
  <c r="CR55" i="162"/>
  <c r="CS27" i="162"/>
  <c r="CT26" i="162"/>
  <c r="CT27" i="162" s="1"/>
  <c r="CS55" i="162" l="1"/>
  <c r="CT54" i="162"/>
  <c r="CT55" i="162" s="1"/>
</calcChain>
</file>

<file path=xl/sharedStrings.xml><?xml version="1.0" encoding="utf-8"?>
<sst xmlns="http://schemas.openxmlformats.org/spreadsheetml/2006/main" count="2754" uniqueCount="398">
  <si>
    <t>最新状況</t>
  </si>
  <si>
    <t>修正履歴</t>
  </si>
  <si>
    <t>No.</t>
    <phoneticPr fontId="4"/>
  </si>
  <si>
    <t>Name</t>
    <phoneticPr fontId="4"/>
  </si>
  <si>
    <t>Date</t>
    <phoneticPr fontId="4"/>
  </si>
  <si>
    <t>Version</t>
    <phoneticPr fontId="4"/>
  </si>
  <si>
    <t>Comments</t>
    <phoneticPr fontId="4"/>
  </si>
  <si>
    <t>曾進</t>
  </si>
  <si>
    <t>Ver 1.0</t>
    <phoneticPr fontId="4"/>
  </si>
  <si>
    <t>初期作成</t>
  </si>
  <si>
    <t>Sheet　Name</t>
    <phoneticPr fontId="1"/>
  </si>
  <si>
    <t>Overview</t>
    <phoneticPr fontId="1"/>
  </si>
  <si>
    <t>WBS(共通)</t>
  </si>
  <si>
    <t>WBS(インフラ)</t>
  </si>
  <si>
    <t>WBS(A_取引先管理)</t>
  </si>
  <si>
    <t>WBS(F_支払)</t>
  </si>
  <si>
    <t>WBS(X_システム共通)</t>
  </si>
  <si>
    <t>Sub-System</t>
    <phoneticPr fontId="1"/>
  </si>
  <si>
    <t>統計間隔日数：</t>
    <rPh sb="0" eb="2">
      <t>トウケイ</t>
    </rPh>
    <rPh sb="2" eb="4">
      <t>カンカク</t>
    </rPh>
    <rPh sb="4" eb="6">
      <t>ニッスウ</t>
    </rPh>
    <phoneticPr fontId="14"/>
  </si>
  <si>
    <t>タスク状態</t>
    <rPh sb="3" eb="5">
      <t>ジョウタイ</t>
    </rPh>
    <phoneticPr fontId="13"/>
  </si>
  <si>
    <t>予定完了</t>
    <rPh sb="0" eb="2">
      <t>ヨテイ</t>
    </rPh>
    <rPh sb="2" eb="4">
      <t>カンリョウ</t>
    </rPh>
    <phoneticPr fontId="13"/>
  </si>
  <si>
    <t>予定累計</t>
    <rPh sb="0" eb="2">
      <t>ヨテイ</t>
    </rPh>
    <rPh sb="2" eb="4">
      <t>ルイケイ</t>
    </rPh>
    <phoneticPr fontId="13"/>
  </si>
  <si>
    <t>実績完了</t>
    <rPh sb="0" eb="2">
      <t>ジッセキ</t>
    </rPh>
    <rPh sb="2" eb="4">
      <t>カンリョウ</t>
    </rPh>
    <phoneticPr fontId="13"/>
  </si>
  <si>
    <t>実績累計</t>
    <rPh sb="0" eb="2">
      <t>ジッセキ</t>
    </rPh>
    <rPh sb="2" eb="4">
      <t>ルイケイ</t>
    </rPh>
    <phoneticPr fontId="13"/>
  </si>
  <si>
    <t>予実差異</t>
    <rPh sb="0" eb="2">
      <t>ヨジツ</t>
    </rPh>
    <rPh sb="2" eb="4">
      <t>サイ</t>
    </rPh>
    <phoneticPr fontId="13"/>
  </si>
  <si>
    <t>　　　WBS (A_取引先管理）</t>
  </si>
  <si>
    <t>チーム名</t>
  </si>
  <si>
    <t>実績日:</t>
  </si>
  <si>
    <t>報告者</t>
  </si>
  <si>
    <t>-</t>
  </si>
  <si>
    <t>報告日:</t>
  </si>
  <si>
    <t>項番</t>
  </si>
  <si>
    <t>作業項目</t>
  </si>
  <si>
    <t>予定工数</t>
  </si>
  <si>
    <t>担当</t>
  </si>
  <si>
    <t>計画</t>
  </si>
  <si>
    <t>実績</t>
  </si>
  <si>
    <t>進捗率</t>
  </si>
  <si>
    <t>タスク概要／備考</t>
  </si>
  <si>
    <t>成果物</t>
  </si>
  <si>
    <t>計測単位</t>
  </si>
  <si>
    <t>工程</t>
  </si>
  <si>
    <t>PV</t>
  </si>
  <si>
    <t>EV</t>
  </si>
  <si>
    <t>SV</t>
  </si>
  <si>
    <t>SPI</t>
  </si>
  <si>
    <t>※有色は作業スケジュール表記タスク</t>
  </si>
  <si>
    <t xml:space="preserve"> (人日）</t>
  </si>
  <si>
    <t>開始日</t>
  </si>
  <si>
    <t>完了日</t>
  </si>
  <si>
    <t>予定</t>
  </si>
  <si>
    <t>（必要に応じて概要記載）</t>
  </si>
  <si>
    <t>計画数</t>
  </si>
  <si>
    <t>実績数</t>
  </si>
  <si>
    <t>今週</t>
  </si>
  <si>
    <t>次週</t>
  </si>
  <si>
    <t>A_取引先管理</t>
  </si>
  <si>
    <t>A01001A010_取引先基本情報画面</t>
  </si>
  <si>
    <t>大規模</t>
  </si>
  <si>
    <t>PG対応</t>
  </si>
  <si>
    <t>王　森</t>
  </si>
  <si>
    <t>PGレビュー</t>
  </si>
  <si>
    <t>劉　宏男</t>
  </si>
  <si>
    <t>単体テスト仕様書作成</t>
  </si>
  <si>
    <t>単体テスト仕様書レビュー</t>
  </si>
  <si>
    <t>単体テスト</t>
  </si>
  <si>
    <t>エビデンスレビュー</t>
  </si>
  <si>
    <t>A01001A020_取引先基本情報一覧照会</t>
  </si>
  <si>
    <t>A01001A030_取引先明細情報画面</t>
  </si>
  <si>
    <t>李　淵</t>
  </si>
  <si>
    <t>馬　嘉鐳</t>
  </si>
  <si>
    <t>A01001A040_取引先明細情報一覧照会</t>
  </si>
  <si>
    <t>A01001A050_取引先明細情報複写登録</t>
  </si>
  <si>
    <t>中規模</t>
  </si>
  <si>
    <t>A01001A060_取引先担当者情報画面</t>
  </si>
  <si>
    <t>A01001A070_取引先担当者一覧照会</t>
  </si>
  <si>
    <t>A01001A090_取引先部店・担当者一括変更</t>
  </si>
  <si>
    <t>李　昊</t>
  </si>
  <si>
    <t>姜　暁鑫</t>
  </si>
  <si>
    <t>A01002A100_簡易版決算情報画面</t>
  </si>
  <si>
    <t>A01002A110_決算情報アップロード</t>
  </si>
  <si>
    <t>小規模</t>
  </si>
  <si>
    <t>A01002A120_決算情報画面</t>
  </si>
  <si>
    <t>A01003A120_帝国データバンク情報照会</t>
  </si>
  <si>
    <t>A01003A130_帝国データバンク一覧照会</t>
  </si>
  <si>
    <t>A01003A140_倒産情報照会画面</t>
  </si>
  <si>
    <t>A02001A010_与信枠申請情報画面</t>
  </si>
  <si>
    <t>A02001A030_与信枠一覧照会画面</t>
  </si>
  <si>
    <t>A02001A040_与信枠照会画面</t>
  </si>
  <si>
    <t>A02001A050_与信枠補足情報登録画面</t>
  </si>
  <si>
    <t>A02002A050_債務者格付変更申請画面</t>
  </si>
  <si>
    <t>A02003A070_与信残高照会画面</t>
  </si>
  <si>
    <t>A02003A080_同一体・企業体与信残高一覧照会画面</t>
  </si>
  <si>
    <t>A02004A090_与信先業況報告書画面</t>
  </si>
  <si>
    <t>A02004A100_与信先業況報告書決裁登録画面</t>
  </si>
  <si>
    <t>A02004A110_与信先業況報告書一覧照会</t>
  </si>
  <si>
    <t>A02005A120_ネガ情報取込み画面</t>
  </si>
  <si>
    <t>A02005A140_ネガ情報登録画面</t>
  </si>
  <si>
    <t>A02005A150_ネガ情報一覧照会画面</t>
  </si>
  <si>
    <t>A02005A160_ネガ情報紐付け候補一覧照会画面</t>
  </si>
  <si>
    <t>A02006A170_回答パターン別個人信用情報照会画面</t>
  </si>
  <si>
    <t>A02006A180_CICクレジット）照会画面</t>
  </si>
  <si>
    <t>A02006A190_CIC信用情報）照会画面</t>
  </si>
  <si>
    <t>A02006A200_CIC照会履歴）照会画面</t>
  </si>
  <si>
    <t>A02006A210_CICＦＲＳ）照会画面</t>
  </si>
  <si>
    <t>A02006A220_CICCRIN情報）照会画面</t>
  </si>
  <si>
    <t>A02006A230_CIC詳細照会画面</t>
  </si>
  <si>
    <t>A02006A420_STARSⅡ本人情報照会画面</t>
  </si>
  <si>
    <t>A02006A430_STARSⅡファイルM情報照会画面</t>
  </si>
  <si>
    <t>A02006A440_STARSⅡ申込情報照会画面</t>
  </si>
  <si>
    <t>A02006A450_STARSⅡ債権詳細情報照会画面</t>
  </si>
  <si>
    <t>A02006A460_信用情報特定化</t>
  </si>
  <si>
    <t>A02006A470_各種情報検索</t>
  </si>
  <si>
    <t>A02006A480_申請情報作成時個人信用情報回答確認</t>
  </si>
  <si>
    <t>A02007A290_審査履歴一覧照会</t>
  </si>
  <si>
    <t>A03001A010_破綻先情報</t>
  </si>
  <si>
    <t>A03001A020_破綻先債権</t>
  </si>
  <si>
    <t>A03002A010_債権届出</t>
  </si>
  <si>
    <t>A03002A020_債権届出一覧照会</t>
  </si>
  <si>
    <t>A03003A020_破綻後回収予定</t>
  </si>
  <si>
    <t>A03003A070_管理委託確定取込</t>
  </si>
  <si>
    <t>A03003A090_管理委託収納結果取込</t>
  </si>
  <si>
    <t>A03003A100_管理委託収納結果取込取消</t>
  </si>
  <si>
    <t>A03004A010_期日管理設定</t>
  </si>
  <si>
    <t>A03005A010_貸倒債権償却</t>
  </si>
  <si>
    <t>A03006A010_破綻先情報一覧照会</t>
  </si>
  <si>
    <t>A03006A020_破綻契約債権一覧照会</t>
  </si>
  <si>
    <t>A03006A030_管理委託債権</t>
  </si>
  <si>
    <t>A03006A050_期日管理設定一覧照会</t>
  </si>
  <si>
    <t>試験結果評価</t>
  </si>
  <si>
    <t>エラー内容評価</t>
  </si>
  <si>
    <t>叢、何、鶴、南</t>
  </si>
  <si>
    <t>試験基準値評価</t>
  </si>
  <si>
    <t>お客様報告</t>
  </si>
  <si>
    <t>小林、孫</t>
  </si>
  <si>
    <t>富士通社資材受領</t>
  </si>
  <si>
    <t>何、鶴、小林</t>
  </si>
  <si>
    <t>資材統合（富士通＋NI+C）</t>
  </si>
  <si>
    <t>何、鶴、劉、小林</t>
  </si>
  <si>
    <t>試験済み資材提示</t>
  </si>
  <si>
    <t>何、小林</t>
  </si>
  <si>
    <t>　　　WBS (F_支払）</t>
  </si>
  <si>
    <t>F_支払</t>
  </si>
  <si>
    <t>F01001A010_支払依頼画面</t>
  </si>
  <si>
    <t>現行開発AP待ち(2026/3)</t>
  </si>
  <si>
    <t>ソースレビュー</t>
  </si>
  <si>
    <t>F01001A020_経常支払画面</t>
  </si>
  <si>
    <t>現行開発AP待ち(2026/4)</t>
  </si>
  <si>
    <t>F01001A040_支払画面</t>
  </si>
  <si>
    <t>湯　文龍</t>
  </si>
  <si>
    <t>王　雪雲</t>
  </si>
  <si>
    <t>F01002A010_支払申請照会画面</t>
  </si>
  <si>
    <t>現行開発AP待ち(2025/7)</t>
  </si>
  <si>
    <t>F01003A020_経常支払審査画面</t>
  </si>
  <si>
    <t>F01009A010_支払一覧画面</t>
  </si>
  <si>
    <t>羅　浩天</t>
  </si>
  <si>
    <t>F01009A020_支払個別画面</t>
  </si>
  <si>
    <t>F02001A010_相殺登録画面</t>
  </si>
  <si>
    <t>F02002A010_相殺取消画面</t>
  </si>
  <si>
    <t>高　宇航</t>
  </si>
  <si>
    <t>劉　洋</t>
  </si>
  <si>
    <t>F02005A010_相殺個別照会画面</t>
  </si>
  <si>
    <t>F02005A020_相殺一覧照会画面</t>
  </si>
  <si>
    <t>趙　宇</t>
  </si>
  <si>
    <t>F11006A010_共通ＰＦ契約情報画面</t>
  </si>
  <si>
    <t>尉　廷東</t>
  </si>
  <si>
    <t>F11006A030_共通ＰＦ契約通知一覧照会画面</t>
  </si>
  <si>
    <t>F11006A040_共通ＰＦ請求通知一覧照会画面</t>
  </si>
  <si>
    <t>F11006A050_共通ＰＦ請求通知明細照会画面</t>
  </si>
  <si>
    <t>F11006A060_共通ＰＦ支払依頼番号一覧照会画面</t>
  </si>
  <si>
    <t>F11006A070_共通ＰＦ支払一覧照会画面</t>
  </si>
  <si>
    <t>F11006A090_共通ＰＦ請求支払紐付画面</t>
  </si>
  <si>
    <t>　　　WBS (X_システム共通）</t>
  </si>
  <si>
    <t>X_システム共通</t>
  </si>
  <si>
    <t>X01001A010_折衝情報画面</t>
  </si>
  <si>
    <t>陳　帥</t>
  </si>
  <si>
    <t>張　瑩瑩</t>
  </si>
  <si>
    <t>X01001A020_折衝履歴情報一覧照会画面</t>
  </si>
  <si>
    <t>X01001A030_取引別折衝先一覧画面</t>
  </si>
  <si>
    <t>X01002A010_業務依頼画面</t>
  </si>
  <si>
    <t>周　志彤</t>
  </si>
  <si>
    <t>卞　凌志</t>
  </si>
  <si>
    <t>X01002A020_業務依頼一覧照会</t>
  </si>
  <si>
    <t>X01003A010_汎用申請画面</t>
  </si>
  <si>
    <t>X01003A100_承諾条件登録画面</t>
  </si>
  <si>
    <t>湯　鑫</t>
  </si>
  <si>
    <t>X01004A010_タスク集計一覧照会</t>
  </si>
  <si>
    <t>趙　元</t>
  </si>
  <si>
    <t>X01004A020_タスク詳細一覧変更</t>
  </si>
  <si>
    <t>X01004A030_タスク情報画面</t>
  </si>
  <si>
    <t>X01004A040_タスク実施者一覧変更</t>
  </si>
  <si>
    <t>X01004A050_指定情報タスク通知設定画面</t>
  </si>
  <si>
    <t>X01005A010_捺印管理画面</t>
  </si>
  <si>
    <t>X01020A010_整合性チェック結果照会</t>
  </si>
  <si>
    <t>X01042A010_担当者変更予約</t>
  </si>
  <si>
    <t>X01050A010_汎用コードサーチ</t>
  </si>
  <si>
    <t>X01050A020_担当者コードサーチ</t>
  </si>
  <si>
    <t>X01050A030_金融機関コードサーチ</t>
  </si>
  <si>
    <t>X01050A040_NTT組織コードサーチ</t>
  </si>
  <si>
    <t>X01050A050_ドコモ組織コードサーチ</t>
  </si>
  <si>
    <t>X01050A060_特約条項コードサーチ</t>
  </si>
  <si>
    <t>X01050A070_決算会社コードサーチ</t>
  </si>
  <si>
    <t>X01050A080_物件コードサーチ</t>
  </si>
  <si>
    <t>X01050A090_申請種類コードサーチ</t>
  </si>
  <si>
    <t>X01050A110_業種区分業種細分コードサーチ</t>
  </si>
  <si>
    <t>X01050A120_国コードサーチ</t>
  </si>
  <si>
    <t>X01050A130_住所コードサーチ</t>
  </si>
  <si>
    <t>X01050A140_ネガ内容コード</t>
  </si>
  <si>
    <t>X01050A150_商品コードサーチ</t>
  </si>
  <si>
    <t>X01050A170_営業取引業務コードサーチ</t>
  </si>
  <si>
    <t>X01050A180_債務区分サーチ</t>
  </si>
  <si>
    <t>X01050A200_書類コードサーチ</t>
  </si>
  <si>
    <t>X01050A210_折衝情報分類コードサーチ</t>
  </si>
  <si>
    <t>X01050A220_依頼種類コードサーチ</t>
  </si>
  <si>
    <t>X01050A230_タスク分類コードサーチ</t>
  </si>
  <si>
    <t>X01050A250_勘定科目コードサーチ</t>
  </si>
  <si>
    <t>X01050A260_補助コードサーチ</t>
  </si>
  <si>
    <t>X01050A270_セグメントコードサーチ</t>
  </si>
  <si>
    <t>X01050A280_施策コードサーチ</t>
  </si>
  <si>
    <t>X01050A290_部門コードサーチ</t>
  </si>
  <si>
    <t>X01050A300_債権区分サーチ</t>
  </si>
  <si>
    <t>X01050A310_開設口座コードサーチ</t>
  </si>
  <si>
    <t>X01050A320_フォーマットIDコードサーチ</t>
  </si>
  <si>
    <t>X01050A330_経費管理コードサーチ</t>
  </si>
  <si>
    <t>X01050A340_担当コードサーチ</t>
  </si>
  <si>
    <t>X01050A350_担当者コードサーチ</t>
  </si>
  <si>
    <t>X01050A360_担当者コードサーチ</t>
  </si>
  <si>
    <t>X01050A370_担当者コードサーチ</t>
  </si>
  <si>
    <t>X01050A380_担当一覧照会</t>
  </si>
  <si>
    <t>X01050A390_担当者一覧照会</t>
  </si>
  <si>
    <t>X01050A400_法人格コードサーチ</t>
  </si>
  <si>
    <t>X01051A010_共通JSP：契約共通ヘダー</t>
  </si>
  <si>
    <t>X01051A050_共通JSP：採算計算結果</t>
  </si>
  <si>
    <t>　　　WBS (インフラ）</t>
  </si>
  <si>
    <t>インフラ</t>
  </si>
  <si>
    <t>-_ログイン・リンク集画面</t>
  </si>
  <si>
    <t>SSOのため、多システムのログイン用画面になりそうですが、開発対象外と認識しています。</t>
  </si>
  <si>
    <t>Acknowledge_決裁画面</t>
  </si>
  <si>
    <t>于　程程</t>
  </si>
  <si>
    <t>成松　桃子</t>
  </si>
  <si>
    <t>ApplicationApply_申請画面</t>
  </si>
  <si>
    <t>ApplicationRetry_再申請画面</t>
  </si>
  <si>
    <t>張　琪</t>
  </si>
  <si>
    <t>DispFlowInfo_フロー参照画面</t>
  </si>
  <si>
    <t>X99801A020_申請一覧画面</t>
  </si>
  <si>
    <t>X99801A030_決裁一覧-未処理</t>
  </si>
  <si>
    <t>楊　智程</t>
  </si>
  <si>
    <t>趙　秉輝</t>
  </si>
  <si>
    <t>X99801A040_決裁一覧-処理済</t>
  </si>
  <si>
    <t>X99801A050_申請決裁参照一覧</t>
  </si>
  <si>
    <t>X99801A060_添付ファイル登録画面</t>
  </si>
  <si>
    <t>X99801A070_代理決裁登録変更画面</t>
  </si>
  <si>
    <t>X99801A090_代理決裁一覧照会画面</t>
  </si>
  <si>
    <t>X99801A100_処理履歴参照画面</t>
  </si>
  <si>
    <t>X99801A140_回覧ルート設定画面</t>
  </si>
  <si>
    <t>X99801A160_代理設定登録画面</t>
  </si>
  <si>
    <t>X99801A170_代理設定変更画面</t>
  </si>
  <si>
    <t>X99801A180_代理設定削除画面</t>
  </si>
  <si>
    <t>X99801A190_代理設定一覧照会画面</t>
  </si>
  <si>
    <t>X99801A200_フロー照会画面</t>
  </si>
  <si>
    <t>X99801A210_フロー詳細画面</t>
  </si>
  <si>
    <t>X99801A220_供覧者設定画面</t>
  </si>
  <si>
    <t>X99901A010_オンバッチ確認画面</t>
  </si>
  <si>
    <t>X99901A020_メール送信結果確認画面</t>
  </si>
  <si>
    <t>現行開発AP待ち(2025/9)</t>
  </si>
  <si>
    <t>X99901A030_FAX送信結果確認画面</t>
  </si>
  <si>
    <t>X99901A040_未印刷バッチ帳票印刷画面</t>
  </si>
  <si>
    <t>最新のSVFライセンスは必要なので、SVF機能8月以降に後ろ倒し</t>
  </si>
  <si>
    <t>X99901A050_バッチ帳票印刷履歴画面</t>
  </si>
  <si>
    <t>　　　WBS (共通）</t>
  </si>
  <si>
    <t>環境構築</t>
  </si>
  <si>
    <t>resin,eBuilderなど、開発ツールインストール</t>
  </si>
  <si>
    <t>全体</t>
  </si>
  <si>
    <t>SVNの設定、開発ソースなど資産の取得</t>
  </si>
  <si>
    <t>開発方針理解＋試作</t>
  </si>
  <si>
    <t>開発方針理解</t>
  </si>
  <si>
    <t>6月から投入する要員全体</t>
  </si>
  <si>
    <t>開発方針試作</t>
  </si>
  <si>
    <t>共通</t>
  </si>
  <si>
    <t>66画面</t>
  </si>
  <si>
    <t>設計書に記載されないJSPファイル</t>
  </si>
  <si>
    <t>16画面</t>
  </si>
  <si>
    <t>IMバージョンアップ</t>
  </si>
  <si>
    <t>バージョンアップ対応及び手順書作成</t>
  </si>
  <si>
    <t>趙（新）</t>
  </si>
  <si>
    <t>init.tag、attachdown.tag対応</t>
  </si>
  <si>
    <t>IM標準テーブル移行方針確認及び対応</t>
  </si>
  <si>
    <t>その他</t>
  </si>
  <si>
    <t>Abeamフレームワークのコンパイルエラー対応</t>
  </si>
  <si>
    <t>機能対応</t>
  </si>
  <si>
    <t>全体PJの技術サポート</t>
  </si>
  <si>
    <t>Abeam基盤と関連画面</t>
  </si>
  <si>
    <t>availability_check.jsp</t>
  </si>
  <si>
    <t>nologin_error.jsp</t>
  </si>
  <si>
    <t>noreferer_error.jsp</t>
  </si>
  <si>
    <t>error.jsp</t>
  </si>
  <si>
    <t>toolarge_error.jsp</t>
  </si>
  <si>
    <t>access_error.jsp</t>
  </si>
  <si>
    <t>session_error.jsp</t>
  </si>
  <si>
    <t>input_error.jsp</t>
  </si>
  <si>
    <t>not_running_error.jsp</t>
  </si>
  <si>
    <t>system_error.jsp</t>
  </si>
  <si>
    <t>service_error.jsp</t>
  </si>
  <si>
    <t>AcknowledgeBody.jsp</t>
  </si>
  <si>
    <t>タン</t>
  </si>
  <si>
    <t>AcknowledgeFoot.jsp</t>
  </si>
  <si>
    <t>AcknowledgeFrame.jsp</t>
  </si>
  <si>
    <t>AcknowledgeHead.jsp</t>
  </si>
  <si>
    <t>DetailAcknowledgeTab.jsp</t>
  </si>
  <si>
    <t>ApplicationRetryFoot.jsp</t>
  </si>
  <si>
    <t>ApplicationApplyFrame.jsp</t>
  </si>
  <si>
    <t>ApplicationApplyTab.jsp</t>
  </si>
  <si>
    <t>ApplicationRetryFrame.jsp</t>
  </si>
  <si>
    <t>DetailApplyTab.jsp</t>
  </si>
  <si>
    <t>ApplicationApplyFoot.jsp</t>
  </si>
  <si>
    <t>ApplicationApplyBody.jsp</t>
  </si>
  <si>
    <t>ApplicationRetryTab.jsp</t>
  </si>
  <si>
    <t>ApplicationRetryBody.jsp</t>
  </si>
  <si>
    <t>WorkflowError.jsp</t>
  </si>
  <si>
    <t>BpwErrorReturn.jsp</t>
  </si>
  <si>
    <t>sseiHeader\Ptn01.jsp</t>
  </si>
  <si>
    <t>sseiHeader\Ptn00.jsp</t>
  </si>
  <si>
    <t>sseiHeader\Ptn02.jsp</t>
  </si>
  <si>
    <t>sseiHeader\Ptn04.jsp</t>
  </si>
  <si>
    <t>sseiHeader\Ptn05.jsp</t>
  </si>
  <si>
    <t>sseiHeader\Ptn03.jsp</t>
  </si>
  <si>
    <t>KesaiSubCall.jsp</t>
  </si>
  <si>
    <t>AttachmentComment.jsp</t>
  </si>
  <si>
    <t>KaigitaiFugi.jsp</t>
  </si>
  <si>
    <t>KairanRouteSetting.jsp</t>
  </si>
  <si>
    <t>SectionalComment.jsp</t>
  </si>
  <si>
    <t>KyoranshaSetting.jsp</t>
  </si>
  <si>
    <t>GaiyoContent.jsp</t>
  </si>
  <si>
    <t>SwitchLinkDocument.jsp</t>
  </si>
  <si>
    <t>DispFlowInfo.jsp</t>
  </si>
  <si>
    <t>blankIFrame.jsp</t>
  </si>
  <si>
    <t>frameLoad.jsp</t>
  </si>
  <si>
    <t>sso.jsp</t>
  </si>
  <si>
    <t>message-defs.jsp</t>
  </si>
  <si>
    <t>header.jsp</t>
  </si>
  <si>
    <t>resubmit.jsp</t>
  </si>
  <si>
    <t>printPreview.jsp</t>
  </si>
  <si>
    <t>taglib-defs.jsp</t>
  </si>
  <si>
    <t>tokenError.jsp</t>
  </si>
  <si>
    <t>bmnSelect.jsp</t>
  </si>
  <si>
    <t>common-script.jsp</t>
  </si>
  <si>
    <t>referenceWindow.jsp</t>
  </si>
  <si>
    <t>pdfWindow.jsp</t>
  </si>
  <si>
    <t>page-defs.jsp</t>
  </si>
  <si>
    <t>systemCloseError.jsp</t>
  </si>
  <si>
    <t>close.jsp</t>
  </si>
  <si>
    <t>message-handler.jsp</t>
  </si>
  <si>
    <t>popupMessage.jsp</t>
  </si>
  <si>
    <t>attachmentUpload.jsp</t>
  </si>
  <si>
    <t>roleListGetError.jsp</t>
  </si>
  <si>
    <t>applicationError.jsp</t>
  </si>
  <si>
    <t>var-defs.jsp</t>
  </si>
  <si>
    <t>clickcall.jsp</t>
  </si>
  <si>
    <t>L01012A050D01.jsp</t>
  </si>
  <si>
    <t>L01012A050K01.jsp</t>
  </si>
  <si>
    <t>X99801A120D01.jsp</t>
  </si>
  <si>
    <t>X99801A150901.jsp</t>
  </si>
  <si>
    <t>X99801A150902.jsp</t>
  </si>
  <si>
    <t>X99801A150903.jsp</t>
  </si>
  <si>
    <t>X99801A150904.jsp</t>
  </si>
  <si>
    <t>X99801A150905.jsp</t>
  </si>
  <si>
    <t>X99801A150906.jsp</t>
  </si>
  <si>
    <t>X99901X020K01.jsp</t>
  </si>
  <si>
    <t>WorkflowCommon.jsp</t>
  </si>
  <si>
    <t>WorkflowTitle.jsp</t>
  </si>
  <si>
    <t>V98001A040D01.jsp</t>
  </si>
  <si>
    <t>V98001A050D01.jsp</t>
  </si>
  <si>
    <t>V99999A010D01.jsp</t>
  </si>
  <si>
    <t>C02508A100D01.jsp</t>
  </si>
  <si>
    <t>イントラマート構築手順書</t>
  </si>
  <si>
    <t>手順確認</t>
  </si>
  <si>
    <t>叢、趙（新）、郭、何</t>
  </si>
  <si>
    <t>手順書作成</t>
  </si>
  <si>
    <t>開発環境構築</t>
  </si>
  <si>
    <t>コムウェア様向け対応</t>
  </si>
  <si>
    <t>趙宇</t>
  </si>
  <si>
    <t>馬/劉</t>
  </si>
  <si>
    <t>予定着手</t>
    <phoneticPr fontId="13"/>
  </si>
  <si>
    <t>実績着手</t>
    <rPh sb="0" eb="2">
      <t>ジッセキ</t>
    </rPh>
    <rPh sb="2" eb="4">
      <t>チャクシュ</t>
    </rPh>
    <phoneticPr fontId="13"/>
  </si>
  <si>
    <t>WBS(共通)</t>
    <phoneticPr fontId="1"/>
  </si>
  <si>
    <t>WBS(インフラ)</t>
    <phoneticPr fontId="1"/>
  </si>
  <si>
    <t>WBS(A_取引先管理)</t>
    <phoneticPr fontId="1"/>
  </si>
  <si>
    <t>WBS(F_支払)</t>
    <phoneticPr fontId="1"/>
  </si>
  <si>
    <t>WBS(X_システム共通)</t>
    <phoneticPr fontId="1"/>
  </si>
  <si>
    <t>小規模→中規模</t>
  </si>
  <si>
    <t>タスク完了進捗</t>
    <rPh sb="3" eb="5">
      <t>カンリョウ</t>
    </rPh>
    <rPh sb="5" eb="7">
      <t>シンチョク</t>
    </rPh>
    <phoneticPr fontId="1"/>
  </si>
  <si>
    <t>タスク着手進捗</t>
    <rPh sb="3" eb="5">
      <t>チャクシュ</t>
    </rPh>
    <rPh sb="5" eb="7">
      <t>シンチョク</t>
    </rPh>
    <phoneticPr fontId="1"/>
  </si>
  <si>
    <r>
      <rPr>
        <sz val="10"/>
        <color theme="1"/>
        <rFont val="Meiryo"/>
        <family val="3"/>
        <charset val="128"/>
      </rPr>
      <t>課題E-</t>
    </r>
    <r>
      <rPr>
        <sz val="10"/>
        <color theme="1"/>
        <rFont val="Noto Sans JP"/>
        <family val="3"/>
        <charset val="128"/>
      </rPr>
      <t>6</t>
    </r>
    <r>
      <rPr>
        <sz val="10"/>
        <color theme="1"/>
        <rFont val="Meiryo"/>
        <family val="3"/>
        <charset val="128"/>
      </rPr>
      <t>関連</t>
    </r>
  </si>
  <si>
    <t>A01003A150_倒産情報一覧照会画面</t>
  </si>
  <si>
    <t>A02005A130_ネガ情報登録エラー一覧照会画面</t>
  </si>
  <si>
    <t>F11001A010_共通ＰＦ契約登録番号情報設定画面</t>
  </si>
  <si>
    <t>課題一覧_4_S_5(対応済み)</t>
  </si>
  <si>
    <t>報告日：</t>
    <rPh sb="0" eb="2">
      <t>ホウコク</t>
    </rPh>
    <rPh sb="2" eb="3">
      <t>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</si>
</sst>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mm/dd"/>
    <numFmt numFmtId="178" formatCode="00;&quot;&quot;"/>
    <numFmt numFmtId="179" formatCode="0.0_ "/>
  </numFmts>
  <fonts count="34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メイリオ"/>
      <family val="2"/>
      <charset val="128"/>
    </font>
    <font>
      <b/>
      <sz val="11"/>
      <color theme="1"/>
      <name val="メイリオ"/>
      <family val="3"/>
      <charset val="128"/>
    </font>
    <font>
      <sz val="6"/>
      <name val="メイリオ"/>
      <family val="2"/>
      <charset val="128"/>
    </font>
    <font>
      <b/>
      <sz val="11"/>
      <color theme="1"/>
      <name val="Meiryo UI"/>
      <family val="3"/>
      <charset val="128"/>
    </font>
    <font>
      <b/>
      <sz val="16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u/>
      <sz val="11"/>
      <color theme="10"/>
      <name val="游ゴシック"/>
      <family val="2"/>
      <scheme val="minor"/>
    </font>
    <font>
      <u/>
      <sz val="11"/>
      <color theme="10"/>
      <name val="メイリオ"/>
      <family val="2"/>
      <charset val="128"/>
    </font>
    <font>
      <sz val="11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sz val="11"/>
      <color rgb="FF00000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6"/>
      <color rgb="FF000000"/>
      <name val="Meiryo"/>
      <family val="3"/>
      <charset val="128"/>
    </font>
    <font>
      <sz val="11"/>
      <name val="Calibri"/>
      <family val="2"/>
    </font>
    <font>
      <sz val="10"/>
      <color rgb="FF000000"/>
      <name val="Meiryo"/>
      <family val="3"/>
      <charset val="128"/>
    </font>
    <font>
      <sz val="10"/>
      <color theme="0"/>
      <name val="Meiryo"/>
      <family val="3"/>
      <charset val="128"/>
    </font>
    <font>
      <b/>
      <sz val="16"/>
      <color theme="1"/>
      <name val="Meiryo"/>
      <family val="3"/>
      <charset val="128"/>
    </font>
    <font>
      <sz val="11"/>
      <color rgb="FF000000"/>
      <name val="Meiryo"/>
      <family val="3"/>
      <charset val="128"/>
    </font>
    <font>
      <sz val="11"/>
      <color rgb="FFFF0000"/>
      <name val="Meiryo"/>
      <family val="3"/>
      <charset val="128"/>
    </font>
    <font>
      <b/>
      <sz val="10"/>
      <color rgb="FF000000"/>
      <name val="Meiryo"/>
      <family val="3"/>
      <charset val="128"/>
    </font>
    <font>
      <sz val="9"/>
      <color rgb="FF000000"/>
      <name val="Meiryo"/>
      <family val="3"/>
      <charset val="128"/>
    </font>
    <font>
      <sz val="10"/>
      <color rgb="FFFF0000"/>
      <name val="Meiryo"/>
      <family val="3"/>
      <charset val="128"/>
    </font>
    <font>
      <i/>
      <sz val="10"/>
      <color rgb="FF000000"/>
      <name val="Meiryo"/>
      <family val="3"/>
      <charset val="128"/>
    </font>
    <font>
      <sz val="11"/>
      <color theme="1"/>
      <name val="Calibri"/>
      <family val="2"/>
    </font>
    <font>
      <b/>
      <sz val="10"/>
      <color rgb="FFFF0000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rgb="FF000000"/>
      <name val="Meiryo UI"/>
      <family val="3"/>
      <charset val="128"/>
    </font>
    <font>
      <sz val="11"/>
      <color rgb="FF000000"/>
      <name val="Calibri"/>
      <family val="2"/>
    </font>
    <font>
      <sz val="11"/>
      <color theme="1"/>
      <name val="Meiryo"/>
      <family val="3"/>
      <charset val="128"/>
    </font>
    <font>
      <b/>
      <sz val="14"/>
      <color theme="1"/>
      <name val="Meiryo UI"/>
      <family val="3"/>
      <charset val="128"/>
    </font>
    <font>
      <sz val="10"/>
      <color theme="1"/>
      <name val="Noto Sans JP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9CCFF"/>
        <bgColor rgb="FF99CCFF"/>
      </patternFill>
    </fill>
    <fill>
      <patternFill patternType="solid">
        <fgColor rgb="FFFFFF00"/>
        <bgColor rgb="FFFFFF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CC99"/>
        <bgColor rgb="FFFFCC99"/>
      </patternFill>
    </fill>
    <fill>
      <patternFill patternType="solid">
        <fgColor rgb="FFFFFFFF"/>
        <bgColor rgb="FFFFFFFF"/>
      </patternFill>
    </fill>
    <fill>
      <patternFill patternType="solid">
        <fgColor rgb="FFCCFFFF"/>
        <bgColor rgb="FFCCFFFF"/>
      </patternFill>
    </fill>
    <fill>
      <patternFill patternType="solid">
        <fgColor theme="0"/>
        <bgColor theme="0"/>
      </patternFill>
    </fill>
    <fill>
      <patternFill patternType="solid">
        <fgColor rgb="FFFFCCFF"/>
        <bgColor rgb="FFFFCCFF"/>
      </patternFill>
    </fill>
    <fill>
      <patternFill patternType="solid">
        <fgColor rgb="FFFFC000"/>
        <bgColor rgb="FFFFC000"/>
      </patternFill>
    </fill>
    <fill>
      <patternFill patternType="solid">
        <fgColor theme="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hair">
        <color rgb="FF000000"/>
      </right>
      <top style="medium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hair">
        <color rgb="FF000000"/>
      </right>
      <top style="medium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</borders>
  <cellStyleXfs count="162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</cellStyleXfs>
  <cellXfs count="623">
    <xf numFmtId="0" fontId="0" fillId="0" borderId="0" xfId="0">
      <alignment vertical="center"/>
    </xf>
    <xf numFmtId="0" fontId="3" fillId="0" borderId="0" xfId="1" applyFont="1">
      <alignment vertical="center"/>
    </xf>
    <xf numFmtId="0" fontId="2" fillId="0" borderId="0" xfId="1">
      <alignment vertical="center"/>
    </xf>
    <xf numFmtId="14" fontId="2" fillId="0" borderId="0" xfId="1" applyNumberFormat="1">
      <alignment vertical="center"/>
    </xf>
    <xf numFmtId="0" fontId="2" fillId="0" borderId="0" xfId="1" applyAlignment="1">
      <alignment horizontal="center" vertical="center"/>
    </xf>
    <xf numFmtId="176" fontId="2" fillId="0" borderId="0" xfId="1" applyNumberFormat="1">
      <alignment vertical="center"/>
    </xf>
    <xf numFmtId="0" fontId="2" fillId="0" borderId="0" xfId="1" applyAlignment="1">
      <alignment vertical="top"/>
    </xf>
    <xf numFmtId="0" fontId="2" fillId="0" borderId="0" xfId="1" applyAlignment="1">
      <alignment horizontal="center" vertical="top"/>
    </xf>
    <xf numFmtId="176" fontId="2" fillId="0" borderId="0" xfId="1" applyNumberFormat="1" applyAlignment="1">
      <alignment vertical="top"/>
    </xf>
    <xf numFmtId="0" fontId="2" fillId="0" borderId="0" xfId="1" applyAlignment="1">
      <alignment vertical="top" wrapText="1"/>
    </xf>
    <xf numFmtId="0" fontId="5" fillId="2" borderId="0" xfId="0" applyFont="1" applyFill="1">
      <alignment vertical="center"/>
    </xf>
    <xf numFmtId="0" fontId="0" fillId="3" borderId="0" xfId="0" applyFill="1">
      <alignment vertical="center"/>
    </xf>
    <xf numFmtId="0" fontId="5" fillId="2" borderId="0" xfId="0" applyFont="1" applyFill="1" applyAlignment="1">
      <alignment horizontal="center" vertical="center"/>
    </xf>
    <xf numFmtId="0" fontId="11" fillId="0" borderId="0" xfId="1" applyFont="1" applyAlignment="1">
      <alignment vertical="top" wrapText="1"/>
    </xf>
    <xf numFmtId="0" fontId="10" fillId="0" borderId="0" xfId="2" applyFont="1"/>
    <xf numFmtId="0" fontId="5" fillId="0" borderId="0" xfId="2" applyFont="1"/>
    <xf numFmtId="0" fontId="10" fillId="4" borderId="2" xfId="2" applyFont="1" applyFill="1" applyBorder="1" applyAlignment="1">
      <alignment horizontal="center"/>
    </xf>
    <xf numFmtId="0" fontId="10" fillId="0" borderId="0" xfId="2" applyFont="1" applyAlignment="1">
      <alignment horizontal="left"/>
    </xf>
    <xf numFmtId="0" fontId="5" fillId="5" borderId="1" xfId="2" applyFont="1" applyFill="1" applyBorder="1" applyAlignment="1">
      <alignment horizontal="center"/>
    </xf>
    <xf numFmtId="177" fontId="5" fillId="5" borderId="1" xfId="2" applyNumberFormat="1" applyFont="1" applyFill="1" applyBorder="1" applyAlignment="1">
      <alignment horizontal="center"/>
    </xf>
    <xf numFmtId="0" fontId="5" fillId="0" borderId="1" xfId="2" applyFont="1" applyBorder="1"/>
    <xf numFmtId="0" fontId="10" fillId="0" borderId="1" xfId="2" applyFont="1" applyBorder="1"/>
    <xf numFmtId="0" fontId="12" fillId="0" borderId="0" xfId="6"/>
    <xf numFmtId="0" fontId="5" fillId="4" borderId="0" xfId="2" applyFont="1" applyFill="1" applyAlignment="1">
      <alignment horizontal="left"/>
    </xf>
    <xf numFmtId="0" fontId="12" fillId="0" borderId="0" xfId="7"/>
    <xf numFmtId="0" fontId="32" fillId="16" borderId="0" xfId="2" applyFont="1" applyFill="1"/>
    <xf numFmtId="14" fontId="5" fillId="4" borderId="2" xfId="2" applyNumberFormat="1" applyFont="1" applyFill="1" applyBorder="1" applyAlignment="1">
      <alignment horizontal="center" shrinkToFit="1"/>
    </xf>
    <xf numFmtId="0" fontId="5" fillId="4" borderId="2" xfId="2" applyFont="1" applyFill="1" applyBorder="1" applyAlignment="1">
      <alignment horizontal="center"/>
    </xf>
    <xf numFmtId="0" fontId="17" fillId="0" borderId="6" xfId="69" applyFont="1" applyBorder="1" applyAlignment="1">
      <alignment horizontal="left" vertical="center"/>
    </xf>
    <xf numFmtId="176" fontId="17" fillId="0" borderId="7" xfId="69" applyNumberFormat="1" applyFont="1" applyBorder="1" applyAlignment="1">
      <alignment horizontal="left" vertical="center" shrinkToFit="1"/>
    </xf>
    <xf numFmtId="0" fontId="17" fillId="0" borderId="8" xfId="69" applyFont="1" applyBorder="1" applyAlignment="1">
      <alignment horizontal="left" vertical="center"/>
    </xf>
    <xf numFmtId="176" fontId="17" fillId="0" borderId="9" xfId="69" applyNumberFormat="1" applyFont="1" applyBorder="1" applyAlignment="1">
      <alignment horizontal="left" vertical="center"/>
    </xf>
    <xf numFmtId="176" fontId="18" fillId="0" borderId="4" xfId="69" applyNumberFormat="1" applyFont="1" applyBorder="1" applyAlignment="1">
      <alignment horizontal="left" vertical="center"/>
    </xf>
    <xf numFmtId="0" fontId="17" fillId="0" borderId="0" xfId="69" applyFont="1" applyAlignment="1">
      <alignment textRotation="90"/>
    </xf>
    <xf numFmtId="0" fontId="19" fillId="0" borderId="0" xfId="69" applyFont="1" applyAlignment="1">
      <alignment horizontal="left" vertical="center"/>
    </xf>
    <xf numFmtId="0" fontId="12" fillId="0" borderId="0" xfId="69"/>
    <xf numFmtId="0" fontId="17" fillId="0" borderId="13" xfId="69" applyFont="1" applyBorder="1" applyAlignment="1">
      <alignment horizontal="left" vertical="center"/>
    </xf>
    <xf numFmtId="176" fontId="17" fillId="0" borderId="14" xfId="69" applyNumberFormat="1" applyFont="1" applyBorder="1" applyAlignment="1">
      <alignment horizontal="left" vertical="center"/>
    </xf>
    <xf numFmtId="0" fontId="17" fillId="0" borderId="15" xfId="69" applyFont="1" applyBorder="1" applyAlignment="1">
      <alignment horizontal="left" vertical="center"/>
    </xf>
    <xf numFmtId="176" fontId="17" fillId="0" borderId="16" xfId="69" applyNumberFormat="1" applyFont="1" applyBorder="1" applyAlignment="1">
      <alignment horizontal="left" vertical="center"/>
    </xf>
    <xf numFmtId="0" fontId="20" fillId="0" borderId="0" xfId="69" applyFont="1"/>
    <xf numFmtId="0" fontId="21" fillId="0" borderId="0" xfId="69" applyFont="1"/>
    <xf numFmtId="0" fontId="22" fillId="0" borderId="0" xfId="69" applyFont="1"/>
    <xf numFmtId="0" fontId="23" fillId="0" borderId="0" xfId="69" applyFont="1" applyAlignment="1">
      <alignment horizontal="center"/>
    </xf>
    <xf numFmtId="0" fontId="17" fillId="0" borderId="0" xfId="69" applyFont="1" applyAlignment="1">
      <alignment horizontal="right" vertical="center"/>
    </xf>
    <xf numFmtId="176" fontId="17" fillId="0" borderId="0" xfId="69" applyNumberFormat="1" applyFont="1" applyAlignment="1">
      <alignment horizontal="left" vertical="center"/>
    </xf>
    <xf numFmtId="0" fontId="23" fillId="0" borderId="17" xfId="69" applyFont="1" applyBorder="1" applyAlignment="1">
      <alignment horizontal="center"/>
    </xf>
    <xf numFmtId="0" fontId="17" fillId="0" borderId="17" xfId="69" applyFont="1" applyBorder="1" applyAlignment="1">
      <alignment horizontal="right" vertical="center"/>
    </xf>
    <xf numFmtId="0" fontId="24" fillId="6" borderId="18" xfId="69" applyFont="1" applyFill="1" applyBorder="1" applyAlignment="1">
      <alignment horizontal="center" vertical="center"/>
    </xf>
    <xf numFmtId="0" fontId="17" fillId="6" borderId="20" xfId="69" applyFont="1" applyFill="1" applyBorder="1" applyAlignment="1">
      <alignment horizontal="right" vertical="center" wrapText="1"/>
    </xf>
    <xf numFmtId="0" fontId="17" fillId="6" borderId="18" xfId="69" applyFont="1" applyFill="1" applyBorder="1" applyAlignment="1">
      <alignment horizontal="center" vertical="center" wrapText="1"/>
    </xf>
    <xf numFmtId="0" fontId="17" fillId="6" borderId="18" xfId="69" applyFont="1" applyFill="1" applyBorder="1" applyAlignment="1">
      <alignment horizontal="center" vertical="center" shrinkToFit="1"/>
    </xf>
    <xf numFmtId="0" fontId="17" fillId="6" borderId="19" xfId="69" applyFont="1" applyFill="1" applyBorder="1" applyAlignment="1">
      <alignment vertical="center"/>
    </xf>
    <xf numFmtId="0" fontId="17" fillId="6" borderId="21" xfId="69" applyFont="1" applyFill="1" applyBorder="1" applyAlignment="1">
      <alignment vertical="center"/>
    </xf>
    <xf numFmtId="0" fontId="17" fillId="7" borderId="18" xfId="69" applyFont="1" applyFill="1" applyBorder="1" applyAlignment="1">
      <alignment horizontal="center" vertical="center"/>
    </xf>
    <xf numFmtId="0" fontId="17" fillId="0" borderId="18" xfId="69" applyFont="1" applyBorder="1" applyAlignment="1">
      <alignment horizontal="center" vertical="center"/>
    </xf>
    <xf numFmtId="0" fontId="17" fillId="8" borderId="18" xfId="69" applyFont="1" applyFill="1" applyBorder="1" applyAlignment="1">
      <alignment horizontal="center" vertical="center"/>
    </xf>
    <xf numFmtId="0" fontId="17" fillId="0" borderId="0" xfId="69" applyFont="1"/>
    <xf numFmtId="0" fontId="24" fillId="6" borderId="25" xfId="69" applyFont="1" applyFill="1" applyBorder="1" applyAlignment="1">
      <alignment horizontal="center" vertical="center"/>
    </xf>
    <xf numFmtId="0" fontId="17" fillId="6" borderId="26" xfId="69" applyFont="1" applyFill="1" applyBorder="1" applyAlignment="1">
      <alignment horizontal="center" vertical="center"/>
    </xf>
    <xf numFmtId="0" fontId="17" fillId="6" borderId="17" xfId="69" applyFont="1" applyFill="1" applyBorder="1" applyAlignment="1">
      <alignment horizontal="center" vertical="center"/>
    </xf>
    <xf numFmtId="0" fontId="25" fillId="6" borderId="17" xfId="69" applyFont="1" applyFill="1" applyBorder="1" applyAlignment="1">
      <alignment horizontal="right" vertical="center"/>
    </xf>
    <xf numFmtId="0" fontId="17" fillId="6" borderId="25" xfId="69" applyFont="1" applyFill="1" applyBorder="1" applyAlignment="1">
      <alignment horizontal="center" vertical="center" wrapText="1"/>
    </xf>
    <xf numFmtId="0" fontId="17" fillId="6" borderId="25" xfId="69" applyFont="1" applyFill="1" applyBorder="1" applyAlignment="1">
      <alignment horizontal="center" vertical="center" shrinkToFit="1"/>
    </xf>
    <xf numFmtId="0" fontId="17" fillId="6" borderId="27" xfId="69" applyFont="1" applyFill="1" applyBorder="1" applyAlignment="1">
      <alignment horizontal="center" vertical="center" shrinkToFit="1"/>
    </xf>
    <xf numFmtId="0" fontId="17" fillId="6" borderId="28" xfId="69" applyFont="1" applyFill="1" applyBorder="1" applyAlignment="1">
      <alignment horizontal="center" vertical="center" shrinkToFit="1"/>
    </xf>
    <xf numFmtId="0" fontId="17" fillId="6" borderId="27" xfId="69" applyFont="1" applyFill="1" applyBorder="1" applyAlignment="1">
      <alignment horizontal="center" vertical="center"/>
    </xf>
    <xf numFmtId="0" fontId="17" fillId="6" borderId="28" xfId="69" applyFont="1" applyFill="1" applyBorder="1" applyAlignment="1">
      <alignment horizontal="center" vertical="center"/>
    </xf>
    <xf numFmtId="0" fontId="17" fillId="6" borderId="26" xfId="69" applyFont="1" applyFill="1" applyBorder="1" applyAlignment="1">
      <alignment vertical="center"/>
    </xf>
    <xf numFmtId="0" fontId="17" fillId="6" borderId="29" xfId="69" applyFont="1" applyFill="1" applyBorder="1" applyAlignment="1">
      <alignment vertical="center"/>
    </xf>
    <xf numFmtId="0" fontId="17" fillId="7" borderId="25" xfId="69" applyFont="1" applyFill="1" applyBorder="1" applyAlignment="1">
      <alignment horizontal="center" vertical="center"/>
    </xf>
    <xf numFmtId="0" fontId="17" fillId="7" borderId="27" xfId="69" applyFont="1" applyFill="1" applyBorder="1" applyAlignment="1">
      <alignment horizontal="center" vertical="center"/>
    </xf>
    <xf numFmtId="0" fontId="17" fillId="7" borderId="28" xfId="69" applyFont="1" applyFill="1" applyBorder="1" applyAlignment="1">
      <alignment horizontal="center" vertical="center"/>
    </xf>
    <xf numFmtId="0" fontId="26" fillId="0" borderId="25" xfId="69" applyFont="1" applyBorder="1"/>
    <xf numFmtId="0" fontId="17" fillId="7" borderId="30" xfId="69" applyFont="1" applyFill="1" applyBorder="1" applyAlignment="1">
      <alignment horizontal="center" vertical="center"/>
    </xf>
    <xf numFmtId="0" fontId="17" fillId="8" borderId="30" xfId="69" applyFont="1" applyFill="1" applyBorder="1" applyAlignment="1">
      <alignment horizontal="center" vertical="center"/>
    </xf>
    <xf numFmtId="178" fontId="27" fillId="0" borderId="30" xfId="69" applyNumberFormat="1" applyFont="1" applyBorder="1" applyAlignment="1">
      <alignment horizontal="center" vertical="center"/>
    </xf>
    <xf numFmtId="0" fontId="28" fillId="0" borderId="27" xfId="69" applyFont="1" applyBorder="1" applyAlignment="1">
      <alignment horizontal="center" vertical="center"/>
    </xf>
    <xf numFmtId="0" fontId="28" fillId="0" borderId="31" xfId="69" applyFont="1" applyBorder="1" applyAlignment="1">
      <alignment horizontal="center" vertical="center"/>
    </xf>
    <xf numFmtId="0" fontId="28" fillId="0" borderId="32" xfId="69" applyFont="1" applyBorder="1" applyAlignment="1">
      <alignment horizontal="center" vertical="center"/>
    </xf>
    <xf numFmtId="0" fontId="28" fillId="0" borderId="28" xfId="69" applyFont="1" applyBorder="1" applyAlignment="1">
      <alignment horizontal="center" vertical="center"/>
    </xf>
    <xf numFmtId="0" fontId="28" fillId="9" borderId="22" xfId="69" applyFont="1" applyFill="1" applyBorder="1" applyAlignment="1">
      <alignment vertical="center"/>
    </xf>
    <xf numFmtId="0" fontId="28" fillId="9" borderId="24" xfId="69" applyFont="1" applyFill="1" applyBorder="1" applyAlignment="1">
      <alignment vertical="center"/>
    </xf>
    <xf numFmtId="0" fontId="28" fillId="9" borderId="24" xfId="69" applyFont="1" applyFill="1" applyBorder="1" applyAlignment="1">
      <alignment vertical="center" wrapText="1"/>
    </xf>
    <xf numFmtId="0" fontId="28" fillId="9" borderId="30" xfId="69" applyFont="1" applyFill="1" applyBorder="1" applyAlignment="1">
      <alignment horizontal="center" vertical="center"/>
    </xf>
    <xf numFmtId="0" fontId="28" fillId="9" borderId="30" xfId="69" applyFont="1" applyFill="1" applyBorder="1" applyAlignment="1">
      <alignment horizontal="center" vertical="center" shrinkToFit="1"/>
    </xf>
    <xf numFmtId="176" fontId="28" fillId="9" borderId="27" xfId="69" applyNumberFormat="1" applyFont="1" applyFill="1" applyBorder="1" applyAlignment="1">
      <alignment horizontal="center" vertical="center" shrinkToFit="1"/>
    </xf>
    <xf numFmtId="176" fontId="28" fillId="9" borderId="28" xfId="69" applyNumberFormat="1" applyFont="1" applyFill="1" applyBorder="1" applyAlignment="1">
      <alignment horizontal="center" vertical="center" shrinkToFit="1"/>
    </xf>
    <xf numFmtId="9" fontId="28" fillId="9" borderId="27" xfId="69" applyNumberFormat="1" applyFont="1" applyFill="1" applyBorder="1" applyAlignment="1">
      <alignment horizontal="center" vertical="center"/>
    </xf>
    <xf numFmtId="9" fontId="28" fillId="9" borderId="28" xfId="69" applyNumberFormat="1" applyFont="1" applyFill="1" applyBorder="1" applyAlignment="1">
      <alignment horizontal="center" vertical="center"/>
    </xf>
    <xf numFmtId="9" fontId="28" fillId="9" borderId="22" xfId="69" applyNumberFormat="1" applyFont="1" applyFill="1" applyBorder="1" applyAlignment="1">
      <alignment vertical="center"/>
    </xf>
    <xf numFmtId="0" fontId="28" fillId="9" borderId="23" xfId="69" applyFont="1" applyFill="1" applyBorder="1" applyAlignment="1">
      <alignment vertical="center"/>
    </xf>
    <xf numFmtId="0" fontId="28" fillId="10" borderId="30" xfId="69" applyFont="1" applyFill="1" applyBorder="1" applyAlignment="1">
      <alignment horizontal="left" vertical="center"/>
    </xf>
    <xf numFmtId="0" fontId="17" fillId="10" borderId="27" xfId="69" applyFont="1" applyFill="1" applyBorder="1" applyAlignment="1">
      <alignment horizontal="center" vertical="center"/>
    </xf>
    <xf numFmtId="0" fontId="17" fillId="10" borderId="28" xfId="69" applyFont="1" applyFill="1" applyBorder="1" applyAlignment="1">
      <alignment horizontal="center" vertical="center"/>
    </xf>
    <xf numFmtId="0" fontId="17" fillId="10" borderId="30" xfId="69" applyFont="1" applyFill="1" applyBorder="1" applyAlignment="1">
      <alignment vertical="center"/>
    </xf>
    <xf numFmtId="0" fontId="17" fillId="0" borderId="30" xfId="69" applyFont="1" applyBorder="1" applyAlignment="1">
      <alignment vertical="center"/>
    </xf>
    <xf numFmtId="0" fontId="17" fillId="0" borderId="30" xfId="69" applyFont="1" applyBorder="1" applyAlignment="1">
      <alignment horizontal="left" vertical="center"/>
    </xf>
    <xf numFmtId="0" fontId="28" fillId="0" borderId="0" xfId="69" applyFont="1" applyAlignment="1">
      <alignment vertical="center"/>
    </xf>
    <xf numFmtId="0" fontId="28" fillId="0" borderId="0" xfId="69" applyFont="1" applyAlignment="1">
      <alignment horizontal="left" vertical="center"/>
    </xf>
    <xf numFmtId="0" fontId="28" fillId="11" borderId="22" xfId="69" applyFont="1" applyFill="1" applyBorder="1" applyAlignment="1">
      <alignment vertical="center"/>
    </xf>
    <xf numFmtId="0" fontId="28" fillId="12" borderId="24" xfId="69" quotePrefix="1" applyFont="1" applyFill="1" applyBorder="1" applyAlignment="1">
      <alignment vertical="center"/>
    </xf>
    <xf numFmtId="0" fontId="28" fillId="12" borderId="24" xfId="69" applyFont="1" applyFill="1" applyBorder="1" applyAlignment="1">
      <alignment vertical="center"/>
    </xf>
    <xf numFmtId="0" fontId="28" fillId="12" borderId="30" xfId="69" applyFont="1" applyFill="1" applyBorder="1" applyAlignment="1">
      <alignment horizontal="center" vertical="center" shrinkToFit="1"/>
    </xf>
    <xf numFmtId="176" fontId="28" fillId="12" borderId="27" xfId="69" applyNumberFormat="1" applyFont="1" applyFill="1" applyBorder="1" applyAlignment="1">
      <alignment horizontal="center" vertical="center" shrinkToFit="1"/>
    </xf>
    <xf numFmtId="176" fontId="28" fillId="12" borderId="28" xfId="69" applyNumberFormat="1" applyFont="1" applyFill="1" applyBorder="1" applyAlignment="1">
      <alignment horizontal="center" vertical="center" shrinkToFit="1"/>
    </xf>
    <xf numFmtId="176" fontId="28" fillId="12" borderId="33" xfId="69" applyNumberFormat="1" applyFont="1" applyFill="1" applyBorder="1" applyAlignment="1">
      <alignment horizontal="center" vertical="center" shrinkToFit="1"/>
    </xf>
    <xf numFmtId="9" fontId="28" fillId="12" borderId="27" xfId="69" applyNumberFormat="1" applyFont="1" applyFill="1" applyBorder="1" applyAlignment="1">
      <alignment horizontal="center" vertical="center"/>
    </xf>
    <xf numFmtId="9" fontId="28" fillId="12" borderId="28" xfId="69" applyNumberFormat="1" applyFont="1" applyFill="1" applyBorder="1" applyAlignment="1">
      <alignment horizontal="center" vertical="center"/>
    </xf>
    <xf numFmtId="9" fontId="28" fillId="12" borderId="22" xfId="69" applyNumberFormat="1" applyFont="1" applyFill="1" applyBorder="1" applyAlignment="1">
      <alignment vertical="center"/>
    </xf>
    <xf numFmtId="0" fontId="28" fillId="12" borderId="23" xfId="69" applyFont="1" applyFill="1" applyBorder="1" applyAlignment="1">
      <alignment vertical="center"/>
    </xf>
    <xf numFmtId="0" fontId="28" fillId="0" borderId="24" xfId="69" applyFont="1" applyBorder="1" applyAlignment="1">
      <alignment vertical="center"/>
    </xf>
    <xf numFmtId="0" fontId="28" fillId="0" borderId="30" xfId="69" applyFont="1" applyBorder="1" applyAlignment="1">
      <alignment horizontal="center" vertical="center" shrinkToFit="1"/>
    </xf>
    <xf numFmtId="176" fontId="28" fillId="0" borderId="27" xfId="69" applyNumberFormat="1" applyFont="1" applyBorder="1" applyAlignment="1">
      <alignment horizontal="center" vertical="center" shrinkToFit="1"/>
    </xf>
    <xf numFmtId="176" fontId="28" fillId="0" borderId="33" xfId="69" applyNumberFormat="1" applyFont="1" applyBorder="1" applyAlignment="1">
      <alignment horizontal="center" vertical="center" shrinkToFit="1"/>
    </xf>
    <xf numFmtId="176" fontId="28" fillId="0" borderId="28" xfId="69" applyNumberFormat="1" applyFont="1" applyBorder="1" applyAlignment="1">
      <alignment horizontal="center" vertical="center" shrinkToFit="1"/>
    </xf>
    <xf numFmtId="9" fontId="28" fillId="0" borderId="27" xfId="69" applyNumberFormat="1" applyFont="1" applyBorder="1" applyAlignment="1">
      <alignment horizontal="center" vertical="center"/>
    </xf>
    <xf numFmtId="9" fontId="28" fillId="0" borderId="28" xfId="69" applyNumberFormat="1" applyFont="1" applyBorder="1" applyAlignment="1">
      <alignment horizontal="center" vertical="center"/>
    </xf>
    <xf numFmtId="9" fontId="28" fillId="0" borderId="22" xfId="69" applyNumberFormat="1" applyFont="1" applyBorder="1" applyAlignment="1">
      <alignment vertical="center"/>
    </xf>
    <xf numFmtId="0" fontId="28" fillId="0" borderId="23" xfId="69" applyFont="1" applyBorder="1" applyAlignment="1">
      <alignment vertical="center"/>
    </xf>
    <xf numFmtId="176" fontId="28" fillId="15" borderId="27" xfId="69" applyNumberFormat="1" applyFont="1" applyFill="1" applyBorder="1" applyAlignment="1">
      <alignment horizontal="center" vertical="center" shrinkToFit="1"/>
    </xf>
    <xf numFmtId="179" fontId="28" fillId="0" borderId="22" xfId="69" applyNumberFormat="1" applyFont="1" applyBorder="1" applyAlignment="1">
      <alignment vertical="center"/>
    </xf>
    <xf numFmtId="179" fontId="28" fillId="12" borderId="22" xfId="69" applyNumberFormat="1" applyFont="1" applyFill="1" applyBorder="1" applyAlignment="1">
      <alignment vertical="center"/>
    </xf>
    <xf numFmtId="0" fontId="28" fillId="15" borderId="27" xfId="69" applyFont="1" applyFill="1" applyBorder="1" applyAlignment="1">
      <alignment horizontal="center" vertical="center" shrinkToFit="1"/>
    </xf>
    <xf numFmtId="176" fontId="28" fillId="7" borderId="27" xfId="69" applyNumberFormat="1" applyFont="1" applyFill="1" applyBorder="1" applyAlignment="1">
      <alignment horizontal="center" vertical="center" shrinkToFit="1"/>
    </xf>
    <xf numFmtId="0" fontId="26" fillId="0" borderId="0" xfId="69" applyFont="1"/>
    <xf numFmtId="176" fontId="28" fillId="13" borderId="27" xfId="69" applyNumberFormat="1" applyFont="1" applyFill="1" applyBorder="1" applyAlignment="1">
      <alignment horizontal="center" vertical="center" shrinkToFit="1"/>
    </xf>
    <xf numFmtId="0" fontId="30" fillId="0" borderId="0" xfId="69" applyFont="1"/>
    <xf numFmtId="0" fontId="28" fillId="0" borderId="30" xfId="69" applyFont="1" applyBorder="1" applyAlignment="1">
      <alignment horizontal="center" vertical="center"/>
    </xf>
    <xf numFmtId="0" fontId="28" fillId="12" borderId="30" xfId="69" applyFont="1" applyFill="1" applyBorder="1" applyAlignment="1">
      <alignment horizontal="center" vertical="center"/>
    </xf>
    <xf numFmtId="0" fontId="17" fillId="0" borderId="6" xfId="74" applyFont="1" applyBorder="1" applyAlignment="1">
      <alignment horizontal="left" vertical="center"/>
    </xf>
    <xf numFmtId="176" fontId="17" fillId="0" borderId="7" xfId="74" applyNumberFormat="1" applyFont="1" applyBorder="1" applyAlignment="1">
      <alignment horizontal="left" vertical="center" shrinkToFit="1"/>
    </xf>
    <xf numFmtId="0" fontId="17" fillId="0" borderId="8" xfId="74" applyFont="1" applyBorder="1" applyAlignment="1">
      <alignment horizontal="left" vertical="center"/>
    </xf>
    <xf numFmtId="176" fontId="17" fillId="0" borderId="9" xfId="74" applyNumberFormat="1" applyFont="1" applyBorder="1" applyAlignment="1">
      <alignment horizontal="left" vertical="center"/>
    </xf>
    <xf numFmtId="176" fontId="18" fillId="0" borderId="4" xfId="74" applyNumberFormat="1" applyFont="1" applyBorder="1" applyAlignment="1">
      <alignment horizontal="left" vertical="center"/>
    </xf>
    <xf numFmtId="0" fontId="17" fillId="0" borderId="0" xfId="74" applyFont="1" applyAlignment="1">
      <alignment textRotation="90"/>
    </xf>
    <xf numFmtId="0" fontId="19" fillId="0" borderId="0" xfId="74" applyFont="1" applyAlignment="1">
      <alignment horizontal="left" vertical="center"/>
    </xf>
    <xf numFmtId="0" fontId="12" fillId="0" borderId="0" xfId="74"/>
    <xf numFmtId="0" fontId="17" fillId="0" borderId="13" xfId="74" applyFont="1" applyBorder="1" applyAlignment="1">
      <alignment horizontal="left" vertical="center"/>
    </xf>
    <xf numFmtId="176" fontId="17" fillId="0" borderId="14" xfId="74" applyNumberFormat="1" applyFont="1" applyBorder="1" applyAlignment="1">
      <alignment horizontal="left" vertical="center"/>
    </xf>
    <xf numFmtId="0" fontId="17" fillId="0" borderId="15" xfId="74" applyFont="1" applyBorder="1" applyAlignment="1">
      <alignment horizontal="left" vertical="center"/>
    </xf>
    <xf numFmtId="176" fontId="17" fillId="0" borderId="16" xfId="74" applyNumberFormat="1" applyFont="1" applyBorder="1" applyAlignment="1">
      <alignment horizontal="left" vertical="center"/>
    </xf>
    <xf numFmtId="0" fontId="20" fillId="0" borderId="0" xfId="74" applyFont="1"/>
    <xf numFmtId="0" fontId="21" fillId="0" borderId="0" xfId="74" applyFont="1"/>
    <xf numFmtId="0" fontId="22" fillId="0" borderId="0" xfId="74" applyFont="1"/>
    <xf numFmtId="0" fontId="23" fillId="0" borderId="0" xfId="74" applyFont="1" applyAlignment="1">
      <alignment horizontal="center"/>
    </xf>
    <xf numFmtId="0" fontId="17" fillId="0" borderId="0" xfId="74" applyFont="1" applyAlignment="1">
      <alignment horizontal="right" vertical="center"/>
    </xf>
    <xf numFmtId="176" fontId="17" fillId="0" borderId="0" xfId="74" applyNumberFormat="1" applyFont="1" applyAlignment="1">
      <alignment horizontal="left" vertical="center"/>
    </xf>
    <xf numFmtId="0" fontId="23" fillId="0" borderId="17" xfId="74" applyFont="1" applyBorder="1" applyAlignment="1">
      <alignment horizontal="center"/>
    </xf>
    <xf numFmtId="0" fontId="17" fillId="0" borderId="17" xfId="74" applyFont="1" applyBorder="1" applyAlignment="1">
      <alignment horizontal="right" vertical="center"/>
    </xf>
    <xf numFmtId="0" fontId="24" fillId="6" borderId="18" xfId="74" applyFont="1" applyFill="1" applyBorder="1" applyAlignment="1">
      <alignment horizontal="center" vertical="center"/>
    </xf>
    <xf numFmtId="0" fontId="17" fillId="6" borderId="20" xfId="74" applyFont="1" applyFill="1" applyBorder="1" applyAlignment="1">
      <alignment horizontal="right" vertical="center" wrapText="1"/>
    </xf>
    <xf numFmtId="0" fontId="17" fillId="6" borderId="18" xfId="74" applyFont="1" applyFill="1" applyBorder="1" applyAlignment="1">
      <alignment horizontal="center" vertical="center" wrapText="1"/>
    </xf>
    <xf numFmtId="0" fontId="17" fillId="6" borderId="18" xfId="74" applyFont="1" applyFill="1" applyBorder="1" applyAlignment="1">
      <alignment horizontal="center" vertical="center" shrinkToFit="1"/>
    </xf>
    <xf numFmtId="0" fontId="17" fillId="6" borderId="19" xfId="74" applyFont="1" applyFill="1" applyBorder="1" applyAlignment="1">
      <alignment vertical="center"/>
    </xf>
    <xf numFmtId="0" fontId="17" fillId="6" borderId="21" xfId="74" applyFont="1" applyFill="1" applyBorder="1" applyAlignment="1">
      <alignment vertical="center"/>
    </xf>
    <xf numFmtId="0" fontId="17" fillId="7" borderId="18" xfId="74" applyFont="1" applyFill="1" applyBorder="1" applyAlignment="1">
      <alignment horizontal="center" vertical="center"/>
    </xf>
    <xf numFmtId="0" fontId="17" fillId="0" borderId="18" xfId="74" applyFont="1" applyBorder="1" applyAlignment="1">
      <alignment horizontal="center" vertical="center"/>
    </xf>
    <xf numFmtId="0" fontId="17" fillId="8" borderId="18" xfId="74" applyFont="1" applyFill="1" applyBorder="1" applyAlignment="1">
      <alignment horizontal="center" vertical="center"/>
    </xf>
    <xf numFmtId="0" fontId="17" fillId="0" borderId="0" xfId="74" applyFont="1"/>
    <xf numFmtId="0" fontId="24" fillId="6" borderId="25" xfId="74" applyFont="1" applyFill="1" applyBorder="1" applyAlignment="1">
      <alignment horizontal="center" vertical="center"/>
    </xf>
    <xf numFmtId="0" fontId="17" fillId="6" borderId="26" xfId="74" applyFont="1" applyFill="1" applyBorder="1" applyAlignment="1">
      <alignment horizontal="center" vertical="center"/>
    </xf>
    <xf numFmtId="0" fontId="17" fillId="6" borderId="17" xfId="74" applyFont="1" applyFill="1" applyBorder="1" applyAlignment="1">
      <alignment horizontal="center" vertical="center"/>
    </xf>
    <xf numFmtId="0" fontId="25" fillId="6" borderId="17" xfId="74" applyFont="1" applyFill="1" applyBorder="1" applyAlignment="1">
      <alignment horizontal="right" vertical="center"/>
    </xf>
    <xf numFmtId="0" fontId="17" fillId="6" borderId="25" xfId="74" applyFont="1" applyFill="1" applyBorder="1" applyAlignment="1">
      <alignment horizontal="center" vertical="center" wrapText="1"/>
    </xf>
    <xf numFmtId="0" fontId="17" fillId="6" borderId="25" xfId="74" applyFont="1" applyFill="1" applyBorder="1" applyAlignment="1">
      <alignment horizontal="center" vertical="center" shrinkToFit="1"/>
    </xf>
    <xf numFmtId="0" fontId="17" fillId="6" borderId="27" xfId="74" applyFont="1" applyFill="1" applyBorder="1" applyAlignment="1">
      <alignment horizontal="center" vertical="center" shrinkToFit="1"/>
    </xf>
    <xf numFmtId="0" fontId="17" fillId="6" borderId="28" xfId="74" applyFont="1" applyFill="1" applyBorder="1" applyAlignment="1">
      <alignment horizontal="center" vertical="center" shrinkToFit="1"/>
    </xf>
    <xf numFmtId="0" fontId="17" fillId="6" borderId="27" xfId="74" applyFont="1" applyFill="1" applyBorder="1" applyAlignment="1">
      <alignment horizontal="center" vertical="center"/>
    </xf>
    <xf numFmtId="0" fontId="17" fillId="6" borderId="28" xfId="74" applyFont="1" applyFill="1" applyBorder="1" applyAlignment="1">
      <alignment horizontal="center" vertical="center"/>
    </xf>
    <xf numFmtId="0" fontId="17" fillId="6" borderId="26" xfId="74" applyFont="1" applyFill="1" applyBorder="1" applyAlignment="1">
      <alignment vertical="center"/>
    </xf>
    <xf numFmtId="0" fontId="17" fillId="6" borderId="29" xfId="74" applyFont="1" applyFill="1" applyBorder="1" applyAlignment="1">
      <alignment vertical="center"/>
    </xf>
    <xf numFmtId="0" fontId="17" fillId="7" borderId="25" xfId="74" applyFont="1" applyFill="1" applyBorder="1" applyAlignment="1">
      <alignment horizontal="center" vertical="center"/>
    </xf>
    <xf numFmtId="0" fontId="17" fillId="7" borderId="27" xfId="74" applyFont="1" applyFill="1" applyBorder="1" applyAlignment="1">
      <alignment horizontal="center" vertical="center"/>
    </xf>
    <xf numFmtId="0" fontId="17" fillId="7" borderId="28" xfId="74" applyFont="1" applyFill="1" applyBorder="1" applyAlignment="1">
      <alignment horizontal="center" vertical="center"/>
    </xf>
    <xf numFmtId="0" fontId="26" fillId="0" borderId="25" xfId="74" applyFont="1" applyBorder="1"/>
    <xf numFmtId="0" fontId="17" fillId="7" borderId="30" xfId="74" applyFont="1" applyFill="1" applyBorder="1" applyAlignment="1">
      <alignment horizontal="center" vertical="center"/>
    </xf>
    <xf numFmtId="0" fontId="17" fillId="8" borderId="30" xfId="74" applyFont="1" applyFill="1" applyBorder="1" applyAlignment="1">
      <alignment horizontal="center" vertical="center"/>
    </xf>
    <xf numFmtId="178" fontId="27" fillId="0" borderId="30" xfId="74" applyNumberFormat="1" applyFont="1" applyBorder="1" applyAlignment="1">
      <alignment horizontal="center" vertical="center"/>
    </xf>
    <xf numFmtId="0" fontId="28" fillId="0" borderId="27" xfId="74" applyFont="1" applyBorder="1" applyAlignment="1">
      <alignment horizontal="center" vertical="center"/>
    </xf>
    <xf numFmtId="0" fontId="28" fillId="0" borderId="31" xfId="74" applyFont="1" applyBorder="1" applyAlignment="1">
      <alignment horizontal="center" vertical="center"/>
    </xf>
    <xf numFmtId="0" fontId="28" fillId="0" borderId="32" xfId="74" applyFont="1" applyBorder="1" applyAlignment="1">
      <alignment horizontal="center" vertical="center"/>
    </xf>
    <xf numFmtId="0" fontId="28" fillId="0" borderId="28" xfId="74" applyFont="1" applyBorder="1" applyAlignment="1">
      <alignment horizontal="center" vertical="center"/>
    </xf>
    <xf numFmtId="0" fontId="28" fillId="9" borderId="22" xfId="74" applyFont="1" applyFill="1" applyBorder="1" applyAlignment="1">
      <alignment vertical="center"/>
    </xf>
    <xf numFmtId="0" fontId="28" fillId="9" borderId="24" xfId="74" applyFont="1" applyFill="1" applyBorder="1" applyAlignment="1">
      <alignment vertical="center"/>
    </xf>
    <xf numFmtId="0" fontId="28" fillId="9" borderId="24" xfId="74" applyFont="1" applyFill="1" applyBorder="1" applyAlignment="1">
      <alignment vertical="center" wrapText="1"/>
    </xf>
    <xf numFmtId="0" fontId="28" fillId="9" borderId="30" xfId="74" applyFont="1" applyFill="1" applyBorder="1" applyAlignment="1">
      <alignment horizontal="center" vertical="center"/>
    </xf>
    <xf numFmtId="0" fontId="28" fillId="9" borderId="30" xfId="74" applyFont="1" applyFill="1" applyBorder="1" applyAlignment="1">
      <alignment horizontal="center" vertical="center" shrinkToFit="1"/>
    </xf>
    <xf numFmtId="176" fontId="28" fillId="9" borderId="27" xfId="74" applyNumberFormat="1" applyFont="1" applyFill="1" applyBorder="1" applyAlignment="1">
      <alignment horizontal="center" vertical="center" shrinkToFit="1"/>
    </xf>
    <xf numFmtId="176" fontId="28" fillId="9" borderId="28" xfId="74" applyNumberFormat="1" applyFont="1" applyFill="1" applyBorder="1" applyAlignment="1">
      <alignment horizontal="center" vertical="center" shrinkToFit="1"/>
    </xf>
    <xf numFmtId="9" fontId="28" fillId="9" borderId="27" xfId="74" applyNumberFormat="1" applyFont="1" applyFill="1" applyBorder="1" applyAlignment="1">
      <alignment horizontal="center" vertical="center"/>
    </xf>
    <xf numFmtId="9" fontId="28" fillId="9" borderId="28" xfId="74" applyNumberFormat="1" applyFont="1" applyFill="1" applyBorder="1" applyAlignment="1">
      <alignment horizontal="center" vertical="center"/>
    </xf>
    <xf numFmtId="9" fontId="28" fillId="9" borderId="22" xfId="74" applyNumberFormat="1" applyFont="1" applyFill="1" applyBorder="1" applyAlignment="1">
      <alignment vertical="center"/>
    </xf>
    <xf numFmtId="0" fontId="28" fillId="9" borderId="23" xfId="74" applyFont="1" applyFill="1" applyBorder="1" applyAlignment="1">
      <alignment vertical="center"/>
    </xf>
    <xf numFmtId="0" fontId="28" fillId="10" borderId="30" xfId="74" applyFont="1" applyFill="1" applyBorder="1" applyAlignment="1">
      <alignment horizontal="left" vertical="center"/>
    </xf>
    <xf numFmtId="0" fontId="17" fillId="10" borderId="27" xfId="74" applyFont="1" applyFill="1" applyBorder="1" applyAlignment="1">
      <alignment horizontal="center" vertical="center"/>
    </xf>
    <xf numFmtId="0" fontId="17" fillId="10" borderId="28" xfId="74" applyFont="1" applyFill="1" applyBorder="1" applyAlignment="1">
      <alignment horizontal="center" vertical="center"/>
    </xf>
    <xf numFmtId="0" fontId="17" fillId="10" borderId="30" xfId="74" applyFont="1" applyFill="1" applyBorder="1" applyAlignment="1">
      <alignment vertical="center"/>
    </xf>
    <xf numFmtId="0" fontId="17" fillId="0" borderId="30" xfId="74" applyFont="1" applyBorder="1" applyAlignment="1">
      <alignment vertical="center"/>
    </xf>
    <xf numFmtId="0" fontId="17" fillId="0" borderId="30" xfId="74" applyFont="1" applyBorder="1" applyAlignment="1">
      <alignment horizontal="left" vertical="center"/>
    </xf>
    <xf numFmtId="0" fontId="28" fillId="0" borderId="0" xfId="74" applyFont="1" applyAlignment="1">
      <alignment vertical="center"/>
    </xf>
    <xf numFmtId="0" fontId="28" fillId="0" borderId="0" xfId="74" applyFont="1" applyAlignment="1">
      <alignment horizontal="left" vertical="center"/>
    </xf>
    <xf numFmtId="0" fontId="28" fillId="11" borderId="22" xfId="74" applyFont="1" applyFill="1" applyBorder="1" applyAlignment="1">
      <alignment vertical="center"/>
    </xf>
    <xf numFmtId="0" fontId="28" fillId="7" borderId="24" xfId="74" quotePrefix="1" applyFont="1" applyFill="1" applyBorder="1" applyAlignment="1">
      <alignment vertical="center"/>
    </xf>
    <xf numFmtId="0" fontId="28" fillId="7" borderId="24" xfId="74" applyFont="1" applyFill="1" applyBorder="1" applyAlignment="1">
      <alignment vertical="center"/>
    </xf>
    <xf numFmtId="0" fontId="28" fillId="12" borderId="30" xfId="74" applyFont="1" applyFill="1" applyBorder="1" applyAlignment="1">
      <alignment horizontal="center" vertical="center"/>
    </xf>
    <xf numFmtId="0" fontId="28" fillId="12" borderId="30" xfId="74" applyFont="1" applyFill="1" applyBorder="1" applyAlignment="1">
      <alignment horizontal="center" vertical="center" shrinkToFit="1"/>
    </xf>
    <xf numFmtId="176" fontId="28" fillId="12" borderId="27" xfId="74" applyNumberFormat="1" applyFont="1" applyFill="1" applyBorder="1" applyAlignment="1">
      <alignment horizontal="center" vertical="center" shrinkToFit="1"/>
    </xf>
    <xf numFmtId="176" fontId="28" fillId="12" borderId="28" xfId="74" applyNumberFormat="1" applyFont="1" applyFill="1" applyBorder="1" applyAlignment="1">
      <alignment horizontal="center" vertical="center" shrinkToFit="1"/>
    </xf>
    <xf numFmtId="176" fontId="28" fillId="12" borderId="33" xfId="74" applyNumberFormat="1" applyFont="1" applyFill="1" applyBorder="1" applyAlignment="1">
      <alignment horizontal="center" vertical="center" shrinkToFit="1"/>
    </xf>
    <xf numFmtId="9" fontId="28" fillId="12" borderId="27" xfId="74" applyNumberFormat="1" applyFont="1" applyFill="1" applyBorder="1" applyAlignment="1">
      <alignment horizontal="center" vertical="center"/>
    </xf>
    <xf numFmtId="9" fontId="28" fillId="12" borderId="28" xfId="74" applyNumberFormat="1" applyFont="1" applyFill="1" applyBorder="1" applyAlignment="1">
      <alignment horizontal="center" vertical="center"/>
    </xf>
    <xf numFmtId="9" fontId="27" fillId="7" borderId="22" xfId="74" applyNumberFormat="1" applyFont="1" applyFill="1" applyBorder="1" applyAlignment="1">
      <alignment vertical="center"/>
    </xf>
    <xf numFmtId="0" fontId="28" fillId="7" borderId="23" xfId="74" applyFont="1" applyFill="1" applyBorder="1" applyAlignment="1">
      <alignment vertical="center"/>
    </xf>
    <xf numFmtId="0" fontId="28" fillId="0" borderId="24" xfId="74" applyFont="1" applyBorder="1" applyAlignment="1">
      <alignment vertical="center"/>
    </xf>
    <xf numFmtId="0" fontId="28" fillId="0" borderId="30" xfId="74" applyFont="1" applyBorder="1" applyAlignment="1">
      <alignment horizontal="center" vertical="center"/>
    </xf>
    <xf numFmtId="0" fontId="28" fillId="0" borderId="30" xfId="74" applyFont="1" applyBorder="1" applyAlignment="1">
      <alignment horizontal="center" vertical="center" shrinkToFit="1"/>
    </xf>
    <xf numFmtId="176" fontId="28" fillId="0" borderId="27" xfId="74" applyNumberFormat="1" applyFont="1" applyBorder="1" applyAlignment="1">
      <alignment horizontal="center" vertical="center" shrinkToFit="1"/>
    </xf>
    <xf numFmtId="176" fontId="28" fillId="0" borderId="28" xfId="74" applyNumberFormat="1" applyFont="1" applyBorder="1" applyAlignment="1">
      <alignment horizontal="center" vertical="center" shrinkToFit="1"/>
    </xf>
    <xf numFmtId="176" fontId="28" fillId="0" borderId="33" xfId="74" applyNumberFormat="1" applyFont="1" applyBorder="1" applyAlignment="1">
      <alignment horizontal="center" vertical="center" shrinkToFit="1"/>
    </xf>
    <xf numFmtId="9" fontId="28" fillId="0" borderId="27" xfId="74" applyNumberFormat="1" applyFont="1" applyBorder="1" applyAlignment="1">
      <alignment horizontal="center" vertical="center"/>
    </xf>
    <xf numFmtId="9" fontId="28" fillId="0" borderId="28" xfId="74" applyNumberFormat="1" applyFont="1" applyBorder="1" applyAlignment="1">
      <alignment horizontal="center" vertical="center"/>
    </xf>
    <xf numFmtId="9" fontId="28" fillId="0" borderId="22" xfId="74" applyNumberFormat="1" applyFont="1" applyBorder="1" applyAlignment="1">
      <alignment vertical="center"/>
    </xf>
    <xf numFmtId="0" fontId="28" fillId="0" borderId="23" xfId="74" applyFont="1" applyBorder="1" applyAlignment="1">
      <alignment vertical="center"/>
    </xf>
    <xf numFmtId="0" fontId="28" fillId="12" borderId="24" xfId="74" quotePrefix="1" applyFont="1" applyFill="1" applyBorder="1" applyAlignment="1">
      <alignment vertical="center"/>
    </xf>
    <xf numFmtId="0" fontId="28" fillId="12" borderId="24" xfId="74" applyFont="1" applyFill="1" applyBorder="1" applyAlignment="1">
      <alignment vertical="center"/>
    </xf>
    <xf numFmtId="9" fontId="28" fillId="12" borderId="22" xfId="74" applyNumberFormat="1" applyFont="1" applyFill="1" applyBorder="1" applyAlignment="1">
      <alignment vertical="center"/>
    </xf>
    <xf numFmtId="0" fontId="28" fillId="12" borderId="23" xfId="74" applyFont="1" applyFill="1" applyBorder="1" applyAlignment="1">
      <alignment vertical="center"/>
    </xf>
    <xf numFmtId="0" fontId="28" fillId="0" borderId="22" xfId="74" applyFont="1" applyBorder="1" applyAlignment="1">
      <alignment vertical="center"/>
    </xf>
    <xf numFmtId="0" fontId="28" fillId="13" borderId="24" xfId="74" applyFont="1" applyFill="1" applyBorder="1" applyAlignment="1">
      <alignment vertical="center"/>
    </xf>
    <xf numFmtId="0" fontId="28" fillId="13" borderId="30" xfId="74" applyFont="1" applyFill="1" applyBorder="1" applyAlignment="1">
      <alignment horizontal="center" vertical="center"/>
    </xf>
    <xf numFmtId="176" fontId="28" fillId="13" borderId="28" xfId="74" applyNumberFormat="1" applyFont="1" applyFill="1" applyBorder="1" applyAlignment="1">
      <alignment horizontal="center" vertical="center" shrinkToFit="1"/>
    </xf>
    <xf numFmtId="9" fontId="28" fillId="13" borderId="22" xfId="74" applyNumberFormat="1" applyFont="1" applyFill="1" applyBorder="1" applyAlignment="1">
      <alignment vertical="center"/>
    </xf>
    <xf numFmtId="0" fontId="28" fillId="13" borderId="23" xfId="74" applyFont="1" applyFill="1" applyBorder="1" applyAlignment="1">
      <alignment vertical="center"/>
    </xf>
    <xf numFmtId="176" fontId="28" fillId="13" borderId="33" xfId="74" applyNumberFormat="1" applyFont="1" applyFill="1" applyBorder="1" applyAlignment="1">
      <alignment horizontal="center" vertical="center" shrinkToFit="1"/>
    </xf>
    <xf numFmtId="9" fontId="28" fillId="13" borderId="28" xfId="74" applyNumberFormat="1" applyFont="1" applyFill="1" applyBorder="1" applyAlignment="1">
      <alignment horizontal="center" vertical="center"/>
    </xf>
    <xf numFmtId="0" fontId="17" fillId="0" borderId="6" xfId="75" applyFont="1" applyBorder="1" applyAlignment="1">
      <alignment horizontal="left" vertical="center"/>
    </xf>
    <xf numFmtId="176" fontId="17" fillId="0" borderId="7" xfId="75" applyNumberFormat="1" applyFont="1" applyBorder="1" applyAlignment="1">
      <alignment horizontal="left" vertical="center" shrinkToFit="1"/>
    </xf>
    <xf numFmtId="0" fontId="17" fillId="0" borderId="8" xfId="75" applyFont="1" applyBorder="1" applyAlignment="1">
      <alignment horizontal="left" vertical="center"/>
    </xf>
    <xf numFmtId="176" fontId="17" fillId="0" borderId="9" xfId="75" applyNumberFormat="1" applyFont="1" applyBorder="1" applyAlignment="1">
      <alignment horizontal="left" vertical="center"/>
    </xf>
    <xf numFmtId="176" fontId="18" fillId="0" borderId="4" xfId="75" applyNumberFormat="1" applyFont="1" applyBorder="1" applyAlignment="1">
      <alignment horizontal="left" vertical="center"/>
    </xf>
    <xf numFmtId="0" fontId="17" fillId="0" borderId="0" xfId="75" applyFont="1" applyAlignment="1">
      <alignment textRotation="90"/>
    </xf>
    <xf numFmtId="0" fontId="19" fillId="0" borderId="0" xfId="75" applyFont="1" applyAlignment="1">
      <alignment horizontal="left" vertical="center"/>
    </xf>
    <xf numFmtId="0" fontId="12" fillId="0" borderId="0" xfId="75"/>
    <xf numFmtId="0" fontId="17" fillId="0" borderId="13" xfId="75" applyFont="1" applyBorder="1" applyAlignment="1">
      <alignment horizontal="left" vertical="center"/>
    </xf>
    <xf numFmtId="176" fontId="17" fillId="0" borderId="14" xfId="75" applyNumberFormat="1" applyFont="1" applyBorder="1" applyAlignment="1">
      <alignment horizontal="left" vertical="center"/>
    </xf>
    <xf numFmtId="0" fontId="17" fillId="0" borderId="15" xfId="75" applyFont="1" applyBorder="1" applyAlignment="1">
      <alignment horizontal="left" vertical="center"/>
    </xf>
    <xf numFmtId="176" fontId="17" fillId="0" borderId="16" xfId="75" applyNumberFormat="1" applyFont="1" applyBorder="1" applyAlignment="1">
      <alignment horizontal="left" vertical="center"/>
    </xf>
    <xf numFmtId="0" fontId="20" fillId="0" borderId="0" xfId="75" applyFont="1"/>
    <xf numFmtId="0" fontId="21" fillId="0" borderId="0" xfId="75" applyFont="1"/>
    <xf numFmtId="0" fontId="22" fillId="0" borderId="0" xfId="75" applyFont="1"/>
    <xf numFmtId="0" fontId="23" fillId="0" borderId="0" xfId="75" applyFont="1" applyAlignment="1">
      <alignment horizontal="center"/>
    </xf>
    <xf numFmtId="0" fontId="17" fillId="0" borderId="0" xfId="75" applyFont="1" applyAlignment="1">
      <alignment horizontal="right" vertical="center"/>
    </xf>
    <xf numFmtId="176" fontId="17" fillId="0" borderId="0" xfId="75" applyNumberFormat="1" applyFont="1" applyAlignment="1">
      <alignment horizontal="left" vertical="center"/>
    </xf>
    <xf numFmtId="0" fontId="23" fillId="0" borderId="17" xfId="75" applyFont="1" applyBorder="1" applyAlignment="1">
      <alignment horizontal="center"/>
    </xf>
    <xf numFmtId="0" fontId="17" fillId="0" borderId="17" xfId="75" applyFont="1" applyBorder="1" applyAlignment="1">
      <alignment horizontal="right" vertical="center"/>
    </xf>
    <xf numFmtId="0" fontId="24" fillId="6" borderId="18" xfId="75" applyFont="1" applyFill="1" applyBorder="1" applyAlignment="1">
      <alignment horizontal="center" vertical="center"/>
    </xf>
    <xf numFmtId="0" fontId="17" fillId="6" borderId="20" xfId="75" applyFont="1" applyFill="1" applyBorder="1" applyAlignment="1">
      <alignment horizontal="right" vertical="center" wrapText="1"/>
    </xf>
    <xf numFmtId="0" fontId="17" fillId="6" borderId="18" xfId="75" applyFont="1" applyFill="1" applyBorder="1" applyAlignment="1">
      <alignment horizontal="center" vertical="center" wrapText="1"/>
    </xf>
    <xf numFmtId="0" fontId="17" fillId="6" borderId="18" xfId="75" applyFont="1" applyFill="1" applyBorder="1" applyAlignment="1">
      <alignment horizontal="center" vertical="center" shrinkToFit="1"/>
    </xf>
    <xf numFmtId="0" fontId="17" fillId="6" borderId="19" xfId="75" applyFont="1" applyFill="1" applyBorder="1" applyAlignment="1">
      <alignment vertical="center"/>
    </xf>
    <xf numFmtId="0" fontId="17" fillId="6" borderId="21" xfId="75" applyFont="1" applyFill="1" applyBorder="1" applyAlignment="1">
      <alignment vertical="center"/>
    </xf>
    <xf numFmtId="0" fontId="17" fillId="7" borderId="18" xfId="75" applyFont="1" applyFill="1" applyBorder="1" applyAlignment="1">
      <alignment horizontal="center" vertical="center"/>
    </xf>
    <xf numFmtId="0" fontId="17" fillId="0" borderId="18" xfId="75" applyFont="1" applyBorder="1" applyAlignment="1">
      <alignment horizontal="center" vertical="center"/>
    </xf>
    <xf numFmtId="0" fontId="17" fillId="8" borderId="18" xfId="75" applyFont="1" applyFill="1" applyBorder="1" applyAlignment="1">
      <alignment horizontal="center" vertical="center"/>
    </xf>
    <xf numFmtId="0" fontId="17" fillId="0" borderId="0" xfId="75" applyFont="1"/>
    <xf numFmtId="0" fontId="24" fillId="6" borderId="25" xfId="75" applyFont="1" applyFill="1" applyBorder="1" applyAlignment="1">
      <alignment horizontal="center" vertical="center"/>
    </xf>
    <xf numFmtId="0" fontId="17" fillId="6" borderId="26" xfId="75" applyFont="1" applyFill="1" applyBorder="1" applyAlignment="1">
      <alignment horizontal="center" vertical="center"/>
    </xf>
    <xf numFmtId="0" fontId="17" fillId="6" borderId="17" xfId="75" applyFont="1" applyFill="1" applyBorder="1" applyAlignment="1">
      <alignment horizontal="center" vertical="center"/>
    </xf>
    <xf numFmtId="0" fontId="25" fillId="6" borderId="17" xfId="75" applyFont="1" applyFill="1" applyBorder="1" applyAlignment="1">
      <alignment horizontal="right" vertical="center"/>
    </xf>
    <xf numFmtId="0" fontId="17" fillId="6" borderId="25" xfId="75" applyFont="1" applyFill="1" applyBorder="1" applyAlignment="1">
      <alignment horizontal="center" vertical="center" wrapText="1"/>
    </xf>
    <xf numFmtId="0" fontId="17" fillId="6" borderId="25" xfId="75" applyFont="1" applyFill="1" applyBorder="1" applyAlignment="1">
      <alignment horizontal="center" vertical="center" shrinkToFit="1"/>
    </xf>
    <xf numFmtId="0" fontId="17" fillId="6" borderId="27" xfId="75" applyFont="1" applyFill="1" applyBorder="1" applyAlignment="1">
      <alignment horizontal="center" vertical="center" shrinkToFit="1"/>
    </xf>
    <xf numFmtId="0" fontId="17" fillId="6" borderId="28" xfId="75" applyFont="1" applyFill="1" applyBorder="1" applyAlignment="1">
      <alignment horizontal="center" vertical="center" shrinkToFit="1"/>
    </xf>
    <xf numFmtId="0" fontId="17" fillId="6" borderId="27" xfId="75" applyFont="1" applyFill="1" applyBorder="1" applyAlignment="1">
      <alignment horizontal="center" vertical="center"/>
    </xf>
    <xf numFmtId="0" fontId="17" fillId="6" borderId="28" xfId="75" applyFont="1" applyFill="1" applyBorder="1" applyAlignment="1">
      <alignment horizontal="center" vertical="center"/>
    </xf>
    <xf numFmtId="0" fontId="17" fillId="6" borderId="26" xfId="75" applyFont="1" applyFill="1" applyBorder="1" applyAlignment="1">
      <alignment vertical="center"/>
    </xf>
    <xf numFmtId="0" fontId="17" fillId="6" borderId="29" xfId="75" applyFont="1" applyFill="1" applyBorder="1" applyAlignment="1">
      <alignment vertical="center"/>
    </xf>
    <xf numFmtId="0" fontId="17" fillId="7" borderId="25" xfId="75" applyFont="1" applyFill="1" applyBorder="1" applyAlignment="1">
      <alignment horizontal="center" vertical="center"/>
    </xf>
    <xf numFmtId="0" fontId="17" fillId="7" borderId="27" xfId="75" applyFont="1" applyFill="1" applyBorder="1" applyAlignment="1">
      <alignment horizontal="center" vertical="center"/>
    </xf>
    <xf numFmtId="0" fontId="17" fillId="7" borderId="28" xfId="75" applyFont="1" applyFill="1" applyBorder="1" applyAlignment="1">
      <alignment horizontal="center" vertical="center"/>
    </xf>
    <xf numFmtId="0" fontId="26" fillId="0" borderId="25" xfId="75" applyFont="1" applyBorder="1"/>
    <xf numFmtId="0" fontId="17" fillId="7" borderId="30" xfId="75" applyFont="1" applyFill="1" applyBorder="1" applyAlignment="1">
      <alignment horizontal="center" vertical="center"/>
    </xf>
    <xf numFmtId="0" fontId="17" fillId="8" borderId="30" xfId="75" applyFont="1" applyFill="1" applyBorder="1" applyAlignment="1">
      <alignment horizontal="center" vertical="center"/>
    </xf>
    <xf numFmtId="178" fontId="27" fillId="0" borderId="30" xfId="75" applyNumberFormat="1" applyFont="1" applyBorder="1" applyAlignment="1">
      <alignment horizontal="center" vertical="center"/>
    </xf>
    <xf numFmtId="0" fontId="28" fillId="0" borderId="27" xfId="75" applyFont="1" applyBorder="1" applyAlignment="1">
      <alignment horizontal="center" vertical="center"/>
    </xf>
    <xf numFmtId="0" fontId="28" fillId="0" borderId="31" xfId="75" applyFont="1" applyBorder="1" applyAlignment="1">
      <alignment horizontal="center" vertical="center"/>
    </xf>
    <xf numFmtId="0" fontId="28" fillId="0" borderId="32" xfId="75" applyFont="1" applyBorder="1" applyAlignment="1">
      <alignment horizontal="center" vertical="center"/>
    </xf>
    <xf numFmtId="0" fontId="28" fillId="0" borderId="28" xfId="75" applyFont="1" applyBorder="1" applyAlignment="1">
      <alignment horizontal="center" vertical="center"/>
    </xf>
    <xf numFmtId="0" fontId="28" fillId="9" borderId="22" xfId="75" applyFont="1" applyFill="1" applyBorder="1" applyAlignment="1">
      <alignment vertical="center"/>
    </xf>
    <xf numFmtId="0" fontId="28" fillId="9" borderId="24" xfId="75" applyFont="1" applyFill="1" applyBorder="1" applyAlignment="1">
      <alignment vertical="center"/>
    </xf>
    <xf numFmtId="0" fontId="28" fillId="9" borderId="24" xfId="75" applyFont="1" applyFill="1" applyBorder="1" applyAlignment="1">
      <alignment vertical="center" wrapText="1"/>
    </xf>
    <xf numFmtId="0" fontId="28" fillId="9" borderId="30" xfId="75" applyFont="1" applyFill="1" applyBorder="1" applyAlignment="1">
      <alignment horizontal="center" vertical="center"/>
    </xf>
    <xf numFmtId="0" fontId="28" fillId="9" borderId="30" xfId="75" applyFont="1" applyFill="1" applyBorder="1" applyAlignment="1">
      <alignment horizontal="center" vertical="center" shrinkToFit="1"/>
    </xf>
    <xf numFmtId="176" fontId="28" fillId="9" borderId="27" xfId="75" applyNumberFormat="1" applyFont="1" applyFill="1" applyBorder="1" applyAlignment="1">
      <alignment horizontal="center" vertical="center" shrinkToFit="1"/>
    </xf>
    <xf numFmtId="176" fontId="28" fillId="9" borderId="28" xfId="75" applyNumberFormat="1" applyFont="1" applyFill="1" applyBorder="1" applyAlignment="1">
      <alignment horizontal="center" vertical="center" shrinkToFit="1"/>
    </xf>
    <xf numFmtId="9" fontId="28" fillId="9" borderId="27" xfId="75" applyNumberFormat="1" applyFont="1" applyFill="1" applyBorder="1" applyAlignment="1">
      <alignment horizontal="center" vertical="center"/>
    </xf>
    <xf numFmtId="9" fontId="28" fillId="9" borderId="28" xfId="75" applyNumberFormat="1" applyFont="1" applyFill="1" applyBorder="1" applyAlignment="1">
      <alignment horizontal="center" vertical="center"/>
    </xf>
    <xf numFmtId="9" fontId="28" fillId="9" borderId="22" xfId="75" applyNumberFormat="1" applyFont="1" applyFill="1" applyBorder="1" applyAlignment="1">
      <alignment vertical="center"/>
    </xf>
    <xf numFmtId="0" fontId="28" fillId="9" borderId="23" xfId="75" applyFont="1" applyFill="1" applyBorder="1" applyAlignment="1">
      <alignment vertical="center"/>
    </xf>
    <xf numFmtId="0" fontId="28" fillId="10" borderId="30" xfId="75" applyFont="1" applyFill="1" applyBorder="1" applyAlignment="1">
      <alignment horizontal="left" vertical="center"/>
    </xf>
    <xf numFmtId="0" fontId="17" fillId="10" borderId="27" xfId="75" applyFont="1" applyFill="1" applyBorder="1" applyAlignment="1">
      <alignment horizontal="center" vertical="center"/>
    </xf>
    <xf numFmtId="0" fontId="17" fillId="10" borderId="28" xfId="75" applyFont="1" applyFill="1" applyBorder="1" applyAlignment="1">
      <alignment horizontal="center" vertical="center"/>
    </xf>
    <xf numFmtId="0" fontId="17" fillId="10" borderId="30" xfId="75" applyFont="1" applyFill="1" applyBorder="1" applyAlignment="1">
      <alignment vertical="center"/>
    </xf>
    <xf numFmtId="0" fontId="17" fillId="0" borderId="30" xfId="75" applyFont="1" applyBorder="1" applyAlignment="1">
      <alignment vertical="center"/>
    </xf>
    <xf numFmtId="0" fontId="17" fillId="0" borderId="30" xfId="75" applyFont="1" applyBorder="1" applyAlignment="1">
      <alignment horizontal="left" vertical="center"/>
    </xf>
    <xf numFmtId="0" fontId="28" fillId="0" borderId="0" xfId="75" applyFont="1" applyAlignment="1">
      <alignment vertical="center"/>
    </xf>
    <xf numFmtId="0" fontId="28" fillId="0" borderId="0" xfId="75" applyFont="1" applyAlignment="1">
      <alignment horizontal="left" vertical="center"/>
    </xf>
    <xf numFmtId="0" fontId="28" fillId="11" borderId="22" xfId="75" applyFont="1" applyFill="1" applyBorder="1" applyAlignment="1">
      <alignment vertical="center"/>
    </xf>
    <xf numFmtId="0" fontId="28" fillId="12" borderId="24" xfId="75" quotePrefix="1" applyFont="1" applyFill="1" applyBorder="1" applyAlignment="1">
      <alignment vertical="center"/>
    </xf>
    <xf numFmtId="0" fontId="28" fillId="12" borderId="24" xfId="75" applyFont="1" applyFill="1" applyBorder="1" applyAlignment="1">
      <alignment vertical="center"/>
    </xf>
    <xf numFmtId="0" fontId="28" fillId="12" borderId="30" xfId="75" applyFont="1" applyFill="1" applyBorder="1" applyAlignment="1">
      <alignment horizontal="center" vertical="center"/>
    </xf>
    <xf numFmtId="0" fontId="28" fillId="12" borderId="30" xfId="75" applyFont="1" applyFill="1" applyBorder="1" applyAlignment="1">
      <alignment horizontal="center" vertical="center" shrinkToFit="1"/>
    </xf>
    <xf numFmtId="176" fontId="28" fillId="12" borderId="27" xfId="75" applyNumberFormat="1" applyFont="1" applyFill="1" applyBorder="1" applyAlignment="1">
      <alignment horizontal="center" vertical="center" shrinkToFit="1"/>
    </xf>
    <xf numFmtId="176" fontId="28" fillId="12" borderId="28" xfId="75" applyNumberFormat="1" applyFont="1" applyFill="1" applyBorder="1" applyAlignment="1">
      <alignment horizontal="center" vertical="center" shrinkToFit="1"/>
    </xf>
    <xf numFmtId="176" fontId="28" fillId="12" borderId="33" xfId="75" applyNumberFormat="1" applyFont="1" applyFill="1" applyBorder="1" applyAlignment="1">
      <alignment horizontal="center" vertical="center" shrinkToFit="1"/>
    </xf>
    <xf numFmtId="9" fontId="28" fillId="12" borderId="27" xfId="75" applyNumberFormat="1" applyFont="1" applyFill="1" applyBorder="1" applyAlignment="1">
      <alignment horizontal="center" vertical="center"/>
    </xf>
    <xf numFmtId="9" fontId="28" fillId="12" borderId="28" xfId="75" applyNumberFormat="1" applyFont="1" applyFill="1" applyBorder="1" applyAlignment="1">
      <alignment horizontal="center" vertical="center"/>
    </xf>
    <xf numFmtId="9" fontId="28" fillId="12" borderId="22" xfId="75" applyNumberFormat="1" applyFont="1" applyFill="1" applyBorder="1" applyAlignment="1">
      <alignment vertical="center"/>
    </xf>
    <xf numFmtId="0" fontId="28" fillId="12" borderId="23" xfId="75" applyFont="1" applyFill="1" applyBorder="1" applyAlignment="1">
      <alignment vertical="center"/>
    </xf>
    <xf numFmtId="0" fontId="28" fillId="0" borderId="24" xfId="75" applyFont="1" applyBorder="1" applyAlignment="1">
      <alignment vertical="center"/>
    </xf>
    <xf numFmtId="0" fontId="28" fillId="0" borderId="30" xfId="75" applyFont="1" applyBorder="1" applyAlignment="1">
      <alignment horizontal="center" vertical="center"/>
    </xf>
    <xf numFmtId="0" fontId="28" fillId="0" borderId="30" xfId="75" applyFont="1" applyBorder="1" applyAlignment="1">
      <alignment horizontal="center" vertical="center" shrinkToFit="1"/>
    </xf>
    <xf numFmtId="176" fontId="31" fillId="0" borderId="27" xfId="75" applyNumberFormat="1" applyFont="1" applyBorder="1" applyAlignment="1">
      <alignment horizontal="center"/>
    </xf>
    <xf numFmtId="176" fontId="31" fillId="0" borderId="28" xfId="75" applyNumberFormat="1" applyFont="1" applyBorder="1" applyAlignment="1">
      <alignment horizontal="center"/>
    </xf>
    <xf numFmtId="176" fontId="28" fillId="0" borderId="28" xfId="75" applyNumberFormat="1" applyFont="1" applyBorder="1" applyAlignment="1">
      <alignment horizontal="center" vertical="center" shrinkToFit="1"/>
    </xf>
    <xf numFmtId="9" fontId="28" fillId="0" borderId="27" xfId="75" applyNumberFormat="1" applyFont="1" applyBorder="1" applyAlignment="1">
      <alignment horizontal="center" vertical="center"/>
    </xf>
    <xf numFmtId="9" fontId="28" fillId="0" borderId="28" xfId="75" applyNumberFormat="1" applyFont="1" applyBorder="1" applyAlignment="1">
      <alignment horizontal="center" vertical="center"/>
    </xf>
    <xf numFmtId="9" fontId="28" fillId="0" borderId="22" xfId="75" applyNumberFormat="1" applyFont="1" applyBorder="1" applyAlignment="1">
      <alignment vertical="center"/>
    </xf>
    <xf numFmtId="0" fontId="28" fillId="0" borderId="23" xfId="75" applyFont="1" applyBorder="1" applyAlignment="1">
      <alignment vertical="center"/>
    </xf>
    <xf numFmtId="176" fontId="28" fillId="0" borderId="33" xfId="75" applyNumberFormat="1" applyFont="1" applyBorder="1" applyAlignment="1">
      <alignment horizontal="center" vertical="center" shrinkToFit="1"/>
    </xf>
    <xf numFmtId="176" fontId="28" fillId="0" borderId="27" xfId="75" applyNumberFormat="1" applyFont="1" applyBorder="1" applyAlignment="1">
      <alignment horizontal="center" vertical="center" shrinkToFit="1"/>
    </xf>
    <xf numFmtId="0" fontId="28" fillId="13" borderId="30" xfId="75" applyFont="1" applyFill="1" applyBorder="1" applyAlignment="1">
      <alignment horizontal="center" vertical="center" shrinkToFit="1"/>
    </xf>
    <xf numFmtId="0" fontId="28" fillId="0" borderId="22" xfId="75" applyFont="1" applyBorder="1" applyAlignment="1">
      <alignment vertical="center"/>
    </xf>
    <xf numFmtId="0" fontId="17" fillId="0" borderId="6" xfId="76" applyFont="1" applyBorder="1" applyAlignment="1">
      <alignment horizontal="left" vertical="center"/>
    </xf>
    <xf numFmtId="176" fontId="17" fillId="0" borderId="7" xfId="76" applyNumberFormat="1" applyFont="1" applyBorder="1" applyAlignment="1">
      <alignment horizontal="left" vertical="center" shrinkToFit="1"/>
    </xf>
    <xf numFmtId="0" fontId="17" fillId="0" borderId="8" xfId="76" applyFont="1" applyBorder="1" applyAlignment="1">
      <alignment horizontal="left" vertical="center"/>
    </xf>
    <xf numFmtId="176" fontId="17" fillId="0" borderId="9" xfId="76" applyNumberFormat="1" applyFont="1" applyBorder="1" applyAlignment="1">
      <alignment horizontal="left" vertical="center"/>
    </xf>
    <xf numFmtId="176" fontId="18" fillId="0" borderId="4" xfId="76" applyNumberFormat="1" applyFont="1" applyBorder="1" applyAlignment="1">
      <alignment horizontal="left" vertical="center"/>
    </xf>
    <xf numFmtId="0" fontId="17" fillId="0" borderId="0" xfId="76" applyFont="1" applyAlignment="1">
      <alignment textRotation="90"/>
    </xf>
    <xf numFmtId="0" fontId="19" fillId="0" borderId="0" xfId="76" applyFont="1" applyAlignment="1">
      <alignment horizontal="left" vertical="center"/>
    </xf>
    <xf numFmtId="0" fontId="12" fillId="0" borderId="0" xfId="76"/>
    <xf numFmtId="0" fontId="17" fillId="0" borderId="13" xfId="76" applyFont="1" applyBorder="1" applyAlignment="1">
      <alignment horizontal="left" vertical="center"/>
    </xf>
    <xf numFmtId="176" fontId="17" fillId="0" borderId="14" xfId="76" applyNumberFormat="1" applyFont="1" applyBorder="1" applyAlignment="1">
      <alignment horizontal="left" vertical="center"/>
    </xf>
    <xf numFmtId="0" fontId="17" fillId="0" borderId="15" xfId="76" applyFont="1" applyBorder="1" applyAlignment="1">
      <alignment horizontal="left" vertical="center"/>
    </xf>
    <xf numFmtId="176" fontId="17" fillId="0" borderId="16" xfId="76" applyNumberFormat="1" applyFont="1" applyBorder="1" applyAlignment="1">
      <alignment horizontal="left" vertical="center"/>
    </xf>
    <xf numFmtId="0" fontId="20" fillId="0" borderId="0" xfId="76" applyFont="1"/>
    <xf numFmtId="0" fontId="21" fillId="0" borderId="0" xfId="76" applyFont="1"/>
    <xf numFmtId="0" fontId="22" fillId="0" borderId="0" xfId="76" applyFont="1"/>
    <xf numFmtId="0" fontId="23" fillId="0" borderId="0" xfId="76" applyFont="1" applyAlignment="1">
      <alignment horizontal="center"/>
    </xf>
    <xf numFmtId="0" fontId="17" fillId="0" borderId="0" xfId="76" applyFont="1" applyAlignment="1">
      <alignment horizontal="right" vertical="center"/>
    </xf>
    <xf numFmtId="176" fontId="17" fillId="0" borderId="0" xfId="76" applyNumberFormat="1" applyFont="1" applyAlignment="1">
      <alignment horizontal="left" vertical="center"/>
    </xf>
    <xf numFmtId="0" fontId="23" fillId="0" borderId="17" xfId="76" applyFont="1" applyBorder="1" applyAlignment="1">
      <alignment horizontal="center"/>
    </xf>
    <xf numFmtId="0" fontId="17" fillId="0" borderId="17" xfId="76" applyFont="1" applyBorder="1" applyAlignment="1">
      <alignment horizontal="right" vertical="center"/>
    </xf>
    <xf numFmtId="0" fontId="24" fillId="6" borderId="18" xfId="76" applyFont="1" applyFill="1" applyBorder="1" applyAlignment="1">
      <alignment horizontal="center" vertical="center"/>
    </xf>
    <xf numFmtId="0" fontId="17" fillId="6" borderId="20" xfId="76" applyFont="1" applyFill="1" applyBorder="1" applyAlignment="1">
      <alignment horizontal="right" vertical="center" wrapText="1"/>
    </xf>
    <xf numFmtId="0" fontId="17" fillId="6" borderId="18" xfId="76" applyFont="1" applyFill="1" applyBorder="1" applyAlignment="1">
      <alignment horizontal="center" vertical="center" wrapText="1"/>
    </xf>
    <xf numFmtId="0" fontId="17" fillId="6" borderId="18" xfId="76" applyFont="1" applyFill="1" applyBorder="1" applyAlignment="1">
      <alignment horizontal="center" vertical="center" shrinkToFit="1"/>
    </xf>
    <xf numFmtId="0" fontId="17" fillId="6" borderId="19" xfId="76" applyFont="1" applyFill="1" applyBorder="1" applyAlignment="1">
      <alignment vertical="center"/>
    </xf>
    <xf numFmtId="0" fontId="17" fillId="6" borderId="21" xfId="76" applyFont="1" applyFill="1" applyBorder="1" applyAlignment="1">
      <alignment vertical="center"/>
    </xf>
    <xf numFmtId="0" fontId="17" fillId="7" borderId="18" xfId="76" applyFont="1" applyFill="1" applyBorder="1" applyAlignment="1">
      <alignment horizontal="center" vertical="center"/>
    </xf>
    <xf numFmtId="0" fontId="17" fillId="0" borderId="18" xfId="76" applyFont="1" applyBorder="1" applyAlignment="1">
      <alignment horizontal="center" vertical="center"/>
    </xf>
    <xf numFmtId="0" fontId="17" fillId="8" borderId="18" xfId="76" applyFont="1" applyFill="1" applyBorder="1" applyAlignment="1">
      <alignment horizontal="center" vertical="center"/>
    </xf>
    <xf numFmtId="0" fontId="17" fillId="0" borderId="0" xfId="76" applyFont="1"/>
    <xf numFmtId="0" fontId="24" fillId="6" borderId="25" xfId="76" applyFont="1" applyFill="1" applyBorder="1" applyAlignment="1">
      <alignment horizontal="center" vertical="center"/>
    </xf>
    <xf numFmtId="0" fontId="17" fillId="6" borderId="26" xfId="76" applyFont="1" applyFill="1" applyBorder="1" applyAlignment="1">
      <alignment horizontal="center" vertical="center"/>
    </xf>
    <xf numFmtId="0" fontId="17" fillId="6" borderId="17" xfId="76" applyFont="1" applyFill="1" applyBorder="1" applyAlignment="1">
      <alignment horizontal="center" vertical="center"/>
    </xf>
    <xf numFmtId="0" fontId="25" fillId="6" borderId="17" xfId="76" applyFont="1" applyFill="1" applyBorder="1" applyAlignment="1">
      <alignment horizontal="right" vertical="center"/>
    </xf>
    <xf numFmtId="0" fontId="17" fillId="6" borderId="25" xfId="76" applyFont="1" applyFill="1" applyBorder="1" applyAlignment="1">
      <alignment horizontal="center" vertical="center" wrapText="1"/>
    </xf>
    <xf numFmtId="0" fontId="17" fillId="6" borderId="25" xfId="76" applyFont="1" applyFill="1" applyBorder="1" applyAlignment="1">
      <alignment horizontal="center" vertical="center" shrinkToFit="1"/>
    </xf>
    <xf numFmtId="0" fontId="17" fillId="6" borderId="27" xfId="76" applyFont="1" applyFill="1" applyBorder="1" applyAlignment="1">
      <alignment horizontal="center" vertical="center" shrinkToFit="1"/>
    </xf>
    <xf numFmtId="0" fontId="17" fillId="6" borderId="28" xfId="76" applyFont="1" applyFill="1" applyBorder="1" applyAlignment="1">
      <alignment horizontal="center" vertical="center" shrinkToFit="1"/>
    </xf>
    <xf numFmtId="0" fontId="17" fillId="6" borderId="27" xfId="76" applyFont="1" applyFill="1" applyBorder="1" applyAlignment="1">
      <alignment horizontal="center" vertical="center"/>
    </xf>
    <xf numFmtId="0" fontId="17" fillId="6" borderId="28" xfId="76" applyFont="1" applyFill="1" applyBorder="1" applyAlignment="1">
      <alignment horizontal="center" vertical="center"/>
    </xf>
    <xf numFmtId="0" fontId="17" fillId="6" borderId="26" xfId="76" applyFont="1" applyFill="1" applyBorder="1" applyAlignment="1">
      <alignment vertical="center"/>
    </xf>
    <xf numFmtId="0" fontId="17" fillId="6" borderId="29" xfId="76" applyFont="1" applyFill="1" applyBorder="1" applyAlignment="1">
      <alignment vertical="center"/>
    </xf>
    <xf numFmtId="0" fontId="17" fillId="7" borderId="25" xfId="76" applyFont="1" applyFill="1" applyBorder="1" applyAlignment="1">
      <alignment horizontal="center" vertical="center"/>
    </xf>
    <xf numFmtId="0" fontId="17" fillId="7" borderId="27" xfId="76" applyFont="1" applyFill="1" applyBorder="1" applyAlignment="1">
      <alignment horizontal="center" vertical="center"/>
    </xf>
    <xf numFmtId="0" fontId="17" fillId="7" borderId="28" xfId="76" applyFont="1" applyFill="1" applyBorder="1" applyAlignment="1">
      <alignment horizontal="center" vertical="center"/>
    </xf>
    <xf numFmtId="0" fontId="26" fillId="0" borderId="25" xfId="76" applyFont="1" applyBorder="1"/>
    <xf numFmtId="0" fontId="17" fillId="7" borderId="30" xfId="76" applyFont="1" applyFill="1" applyBorder="1" applyAlignment="1">
      <alignment horizontal="center" vertical="center"/>
    </xf>
    <xf numFmtId="0" fontId="17" fillId="8" borderId="30" xfId="76" applyFont="1" applyFill="1" applyBorder="1" applyAlignment="1">
      <alignment horizontal="center" vertical="center"/>
    </xf>
    <xf numFmtId="178" fontId="27" fillId="0" borderId="30" xfId="76" applyNumberFormat="1" applyFont="1" applyBorder="1" applyAlignment="1">
      <alignment horizontal="center" vertical="center"/>
    </xf>
    <xf numFmtId="0" fontId="28" fillId="0" borderId="27" xfId="76" applyFont="1" applyBorder="1" applyAlignment="1">
      <alignment horizontal="center" vertical="center"/>
    </xf>
    <xf numFmtId="0" fontId="28" fillId="0" borderId="31" xfId="76" applyFont="1" applyBorder="1" applyAlignment="1">
      <alignment horizontal="center" vertical="center"/>
    </xf>
    <xf numFmtId="0" fontId="28" fillId="0" borderId="32" xfId="76" applyFont="1" applyBorder="1" applyAlignment="1">
      <alignment horizontal="center" vertical="center"/>
    </xf>
    <xf numFmtId="0" fontId="28" fillId="0" borderId="28" xfId="76" applyFont="1" applyBorder="1" applyAlignment="1">
      <alignment horizontal="center" vertical="center"/>
    </xf>
    <xf numFmtId="0" fontId="28" fillId="9" borderId="22" xfId="76" applyFont="1" applyFill="1" applyBorder="1" applyAlignment="1">
      <alignment vertical="center"/>
    </xf>
    <xf numFmtId="0" fontId="28" fillId="9" borderId="24" xfId="76" applyFont="1" applyFill="1" applyBorder="1" applyAlignment="1">
      <alignment vertical="center"/>
    </xf>
    <xf numFmtId="0" fontId="28" fillId="9" borderId="30" xfId="76" applyFont="1" applyFill="1" applyBorder="1" applyAlignment="1">
      <alignment horizontal="center" vertical="center" shrinkToFit="1"/>
    </xf>
    <xf numFmtId="176" fontId="28" fillId="9" borderId="27" xfId="76" applyNumberFormat="1" applyFont="1" applyFill="1" applyBorder="1" applyAlignment="1">
      <alignment horizontal="center" vertical="center" shrinkToFit="1"/>
    </xf>
    <xf numFmtId="176" fontId="28" fillId="9" borderId="28" xfId="76" applyNumberFormat="1" applyFont="1" applyFill="1" applyBorder="1" applyAlignment="1">
      <alignment horizontal="center" vertical="center" shrinkToFit="1"/>
    </xf>
    <xf numFmtId="9" fontId="28" fillId="9" borderId="27" xfId="76" applyNumberFormat="1" applyFont="1" applyFill="1" applyBorder="1" applyAlignment="1">
      <alignment horizontal="center" vertical="center"/>
    </xf>
    <xf numFmtId="9" fontId="28" fillId="9" borderId="28" xfId="76" applyNumberFormat="1" applyFont="1" applyFill="1" applyBorder="1" applyAlignment="1">
      <alignment horizontal="center" vertical="center"/>
    </xf>
    <xf numFmtId="9" fontId="28" fillId="9" borderId="22" xfId="76" applyNumberFormat="1" applyFont="1" applyFill="1" applyBorder="1" applyAlignment="1">
      <alignment vertical="center"/>
    </xf>
    <xf numFmtId="0" fontId="28" fillId="9" borderId="23" xfId="76" applyFont="1" applyFill="1" applyBorder="1" applyAlignment="1">
      <alignment vertical="center"/>
    </xf>
    <xf numFmtId="0" fontId="28" fillId="10" borderId="30" xfId="76" applyFont="1" applyFill="1" applyBorder="1" applyAlignment="1">
      <alignment horizontal="left" vertical="center"/>
    </xf>
    <xf numFmtId="0" fontId="17" fillId="10" borderId="27" xfId="76" applyFont="1" applyFill="1" applyBorder="1" applyAlignment="1">
      <alignment horizontal="center" vertical="center"/>
    </xf>
    <xf numFmtId="0" fontId="17" fillId="10" borderId="28" xfId="76" applyFont="1" applyFill="1" applyBorder="1" applyAlignment="1">
      <alignment horizontal="center" vertical="center"/>
    </xf>
    <xf numFmtId="0" fontId="17" fillId="10" borderId="30" xfId="76" applyFont="1" applyFill="1" applyBorder="1" applyAlignment="1">
      <alignment vertical="center"/>
    </xf>
    <xf numFmtId="0" fontId="17" fillId="0" borderId="30" xfId="76" applyFont="1" applyBorder="1" applyAlignment="1">
      <alignment vertical="center"/>
    </xf>
    <xf numFmtId="0" fontId="17" fillId="0" borderId="30" xfId="76" applyFont="1" applyBorder="1" applyAlignment="1">
      <alignment horizontal="left" vertical="center"/>
    </xf>
    <xf numFmtId="0" fontId="28" fillId="0" borderId="0" xfId="76" applyFont="1" applyAlignment="1">
      <alignment vertical="center"/>
    </xf>
    <xf numFmtId="0" fontId="28" fillId="0" borderId="0" xfId="76" applyFont="1" applyAlignment="1">
      <alignment horizontal="left" vertical="center"/>
    </xf>
    <xf numFmtId="0" fontId="28" fillId="11" borderId="22" xfId="76" applyFont="1" applyFill="1" applyBorder="1" applyAlignment="1">
      <alignment vertical="center"/>
    </xf>
    <xf numFmtId="0" fontId="28" fillId="12" borderId="24" xfId="76" applyFont="1" applyFill="1" applyBorder="1" applyAlignment="1">
      <alignment vertical="center"/>
    </xf>
    <xf numFmtId="0" fontId="28" fillId="12" borderId="30" xfId="76" applyFont="1" applyFill="1" applyBorder="1" applyAlignment="1">
      <alignment horizontal="center" vertical="center"/>
    </xf>
    <xf numFmtId="0" fontId="28" fillId="12" borderId="30" xfId="76" applyFont="1" applyFill="1" applyBorder="1" applyAlignment="1">
      <alignment horizontal="center" vertical="center" shrinkToFit="1"/>
    </xf>
    <xf numFmtId="176" fontId="28" fillId="12" borderId="27" xfId="76" applyNumberFormat="1" applyFont="1" applyFill="1" applyBorder="1" applyAlignment="1">
      <alignment horizontal="center" vertical="center" shrinkToFit="1"/>
    </xf>
    <xf numFmtId="176" fontId="28" fillId="12" borderId="28" xfId="76" applyNumberFormat="1" applyFont="1" applyFill="1" applyBorder="1" applyAlignment="1">
      <alignment horizontal="center" vertical="center" shrinkToFit="1"/>
    </xf>
    <xf numFmtId="176" fontId="28" fillId="12" borderId="33" xfId="76" applyNumberFormat="1" applyFont="1" applyFill="1" applyBorder="1" applyAlignment="1">
      <alignment horizontal="center" vertical="center" shrinkToFit="1"/>
    </xf>
    <xf numFmtId="9" fontId="28" fillId="12" borderId="27" xfId="76" applyNumberFormat="1" applyFont="1" applyFill="1" applyBorder="1" applyAlignment="1">
      <alignment horizontal="center" vertical="center"/>
    </xf>
    <xf numFmtId="9" fontId="28" fillId="12" borderId="28" xfId="76" applyNumberFormat="1" applyFont="1" applyFill="1" applyBorder="1" applyAlignment="1">
      <alignment horizontal="center" vertical="center"/>
    </xf>
    <xf numFmtId="9" fontId="28" fillId="12" borderId="22" xfId="76" applyNumberFormat="1" applyFont="1" applyFill="1" applyBorder="1" applyAlignment="1">
      <alignment vertical="center"/>
    </xf>
    <xf numFmtId="0" fontId="28" fillId="12" borderId="23" xfId="76" applyFont="1" applyFill="1" applyBorder="1" applyAlignment="1">
      <alignment vertical="center"/>
    </xf>
    <xf numFmtId="0" fontId="28" fillId="13" borderId="24" xfId="76" applyFont="1" applyFill="1" applyBorder="1" applyAlignment="1">
      <alignment vertical="center"/>
    </xf>
    <xf numFmtId="0" fontId="28" fillId="13" borderId="30" xfId="76" applyFont="1" applyFill="1" applyBorder="1" applyAlignment="1">
      <alignment horizontal="center" vertical="center"/>
    </xf>
    <xf numFmtId="0" fontId="28" fillId="13" borderId="30" xfId="76" applyFont="1" applyFill="1" applyBorder="1" applyAlignment="1">
      <alignment horizontal="center" vertical="center" shrinkToFit="1"/>
    </xf>
    <xf numFmtId="176" fontId="28" fillId="0" borderId="27" xfId="76" applyNumberFormat="1" applyFont="1" applyBorder="1" applyAlignment="1">
      <alignment horizontal="center" vertical="center" shrinkToFit="1"/>
    </xf>
    <xf numFmtId="176" fontId="28" fillId="0" borderId="28" xfId="76" applyNumberFormat="1" applyFont="1" applyBorder="1" applyAlignment="1">
      <alignment horizontal="center" vertical="center" shrinkToFit="1"/>
    </xf>
    <xf numFmtId="9" fontId="28" fillId="13" borderId="27" xfId="76" applyNumberFormat="1" applyFont="1" applyFill="1" applyBorder="1" applyAlignment="1">
      <alignment horizontal="center" vertical="center"/>
    </xf>
    <xf numFmtId="9" fontId="28" fillId="13" borderId="28" xfId="76" applyNumberFormat="1" applyFont="1" applyFill="1" applyBorder="1" applyAlignment="1">
      <alignment horizontal="center" vertical="center"/>
    </xf>
    <xf numFmtId="9" fontId="28" fillId="13" borderId="22" xfId="76" applyNumberFormat="1" applyFont="1" applyFill="1" applyBorder="1" applyAlignment="1">
      <alignment vertical="center"/>
    </xf>
    <xf numFmtId="0" fontId="28" fillId="13" borderId="23" xfId="76" applyFont="1" applyFill="1" applyBorder="1" applyAlignment="1">
      <alignment vertical="center"/>
    </xf>
    <xf numFmtId="0" fontId="28" fillId="0" borderId="30" xfId="76" applyFont="1" applyBorder="1" applyAlignment="1">
      <alignment horizontal="center" vertical="center" shrinkToFit="1"/>
    </xf>
    <xf numFmtId="176" fontId="28" fillId="13" borderId="33" xfId="76" applyNumberFormat="1" applyFont="1" applyFill="1" applyBorder="1" applyAlignment="1">
      <alignment horizontal="center" vertical="center" shrinkToFit="1"/>
    </xf>
    <xf numFmtId="176" fontId="28" fillId="13" borderId="28" xfId="76" applyNumberFormat="1" applyFont="1" applyFill="1" applyBorder="1" applyAlignment="1">
      <alignment horizontal="center" vertical="center" shrinkToFit="1"/>
    </xf>
    <xf numFmtId="0" fontId="28" fillId="9" borderId="30" xfId="76" applyFont="1" applyFill="1" applyBorder="1" applyAlignment="1">
      <alignment horizontal="center" vertical="center"/>
    </xf>
    <xf numFmtId="0" fontId="28" fillId="0" borderId="24" xfId="76" applyFont="1" applyBorder="1" applyAlignment="1">
      <alignment vertical="center"/>
    </xf>
    <xf numFmtId="0" fontId="28" fillId="0" borderId="30" xfId="76" applyFont="1" applyBorder="1" applyAlignment="1">
      <alignment horizontal="center" vertical="center"/>
    </xf>
    <xf numFmtId="9" fontId="28" fillId="0" borderId="27" xfId="76" applyNumberFormat="1" applyFont="1" applyBorder="1" applyAlignment="1">
      <alignment horizontal="center" vertical="center"/>
    </xf>
    <xf numFmtId="9" fontId="28" fillId="0" borderId="28" xfId="76" applyNumberFormat="1" applyFont="1" applyBorder="1" applyAlignment="1">
      <alignment horizontal="center" vertical="center"/>
    </xf>
    <xf numFmtId="0" fontId="28" fillId="0" borderId="22" xfId="76" applyFont="1" applyBorder="1" applyAlignment="1">
      <alignment vertical="center"/>
    </xf>
    <xf numFmtId="0" fontId="28" fillId="0" borderId="23" xfId="76" applyFont="1" applyBorder="1" applyAlignment="1">
      <alignment vertical="center"/>
    </xf>
    <xf numFmtId="0" fontId="27" fillId="0" borderId="22" xfId="76" applyFont="1" applyBorder="1" applyAlignment="1">
      <alignment vertical="center"/>
    </xf>
    <xf numFmtId="9" fontId="27" fillId="12" borderId="22" xfId="76" applyNumberFormat="1" applyFont="1" applyFill="1" applyBorder="1" applyAlignment="1">
      <alignment vertical="center"/>
    </xf>
    <xf numFmtId="178" fontId="27" fillId="14" borderId="30" xfId="76" applyNumberFormat="1" applyFont="1" applyFill="1" applyBorder="1" applyAlignment="1">
      <alignment horizontal="center" vertical="center"/>
    </xf>
    <xf numFmtId="0" fontId="17" fillId="0" borderId="6" xfId="77" applyFont="1" applyBorder="1" applyAlignment="1">
      <alignment horizontal="left" vertical="center"/>
    </xf>
    <xf numFmtId="176" fontId="17" fillId="0" borderId="7" xfId="77" applyNumberFormat="1" applyFont="1" applyBorder="1" applyAlignment="1">
      <alignment horizontal="left" vertical="center" shrinkToFit="1"/>
    </xf>
    <xf numFmtId="0" fontId="17" fillId="0" borderId="8" xfId="77" applyFont="1" applyBorder="1" applyAlignment="1">
      <alignment horizontal="left" vertical="center"/>
    </xf>
    <xf numFmtId="176" fontId="17" fillId="0" borderId="9" xfId="77" applyNumberFormat="1" applyFont="1" applyBorder="1" applyAlignment="1">
      <alignment horizontal="left" vertical="center"/>
    </xf>
    <xf numFmtId="176" fontId="18" fillId="0" borderId="4" xfId="77" applyNumberFormat="1" applyFont="1" applyBorder="1" applyAlignment="1">
      <alignment horizontal="left" vertical="center"/>
    </xf>
    <xf numFmtId="0" fontId="17" fillId="0" borderId="0" xfId="77" applyFont="1" applyAlignment="1">
      <alignment textRotation="90"/>
    </xf>
    <xf numFmtId="0" fontId="19" fillId="0" borderId="0" xfId="77" applyFont="1" applyAlignment="1">
      <alignment horizontal="left" vertical="center"/>
    </xf>
    <xf numFmtId="0" fontId="12" fillId="0" borderId="0" xfId="77"/>
    <xf numFmtId="0" fontId="17" fillId="0" borderId="13" xfId="77" applyFont="1" applyBorder="1" applyAlignment="1">
      <alignment horizontal="left" vertical="center"/>
    </xf>
    <xf numFmtId="176" fontId="17" fillId="0" borderId="14" xfId="77" applyNumberFormat="1" applyFont="1" applyBorder="1" applyAlignment="1">
      <alignment horizontal="left" vertical="center"/>
    </xf>
    <xf numFmtId="0" fontId="17" fillId="0" borderId="15" xfId="77" applyFont="1" applyBorder="1" applyAlignment="1">
      <alignment horizontal="left" vertical="center"/>
    </xf>
    <xf numFmtId="176" fontId="17" fillId="0" borderId="16" xfId="77" applyNumberFormat="1" applyFont="1" applyBorder="1" applyAlignment="1">
      <alignment horizontal="left" vertical="center"/>
    </xf>
    <xf numFmtId="0" fontId="20" fillId="0" borderId="0" xfId="77" applyFont="1"/>
    <xf numFmtId="0" fontId="21" fillId="0" borderId="0" xfId="77" applyFont="1"/>
    <xf numFmtId="0" fontId="22" fillId="0" borderId="0" xfId="77" applyFont="1"/>
    <xf numFmtId="0" fontId="23" fillId="0" borderId="0" xfId="77" applyFont="1" applyAlignment="1">
      <alignment horizontal="center"/>
    </xf>
    <xf numFmtId="0" fontId="17" fillId="0" borderId="0" xfId="77" applyFont="1" applyAlignment="1">
      <alignment horizontal="right" vertical="center"/>
    </xf>
    <xf numFmtId="176" fontId="17" fillId="0" borderId="0" xfId="77" applyNumberFormat="1" applyFont="1" applyAlignment="1">
      <alignment horizontal="left" vertical="center"/>
    </xf>
    <xf numFmtId="0" fontId="23" fillId="0" borderId="17" xfId="77" applyFont="1" applyBorder="1" applyAlignment="1">
      <alignment horizontal="center"/>
    </xf>
    <xf numFmtId="0" fontId="17" fillId="0" borderId="17" xfId="77" applyFont="1" applyBorder="1" applyAlignment="1">
      <alignment horizontal="right" vertical="center"/>
    </xf>
    <xf numFmtId="0" fontId="24" fillId="6" borderId="18" xfId="77" applyFont="1" applyFill="1" applyBorder="1" applyAlignment="1">
      <alignment horizontal="center" vertical="center"/>
    </xf>
    <xf numFmtId="0" fontId="17" fillId="6" borderId="20" xfId="77" applyFont="1" applyFill="1" applyBorder="1" applyAlignment="1">
      <alignment horizontal="right" vertical="center" wrapText="1"/>
    </xf>
    <xf numFmtId="0" fontId="17" fillId="6" borderId="18" xfId="77" applyFont="1" applyFill="1" applyBorder="1" applyAlignment="1">
      <alignment horizontal="center" vertical="center" wrapText="1"/>
    </xf>
    <xf numFmtId="0" fontId="17" fillId="6" borderId="18" xfId="77" applyFont="1" applyFill="1" applyBorder="1" applyAlignment="1">
      <alignment horizontal="center" vertical="center" shrinkToFit="1"/>
    </xf>
    <xf numFmtId="0" fontId="17" fillId="6" borderId="19" xfId="77" applyFont="1" applyFill="1" applyBorder="1" applyAlignment="1">
      <alignment vertical="center"/>
    </xf>
    <xf numFmtId="0" fontId="17" fillId="6" borderId="21" xfId="77" applyFont="1" applyFill="1" applyBorder="1" applyAlignment="1">
      <alignment vertical="center"/>
    </xf>
    <xf numFmtId="0" fontId="17" fillId="7" borderId="18" xfId="77" applyFont="1" applyFill="1" applyBorder="1" applyAlignment="1">
      <alignment horizontal="center" vertical="center"/>
    </xf>
    <xf numFmtId="0" fontId="17" fillId="0" borderId="18" xfId="77" applyFont="1" applyBorder="1" applyAlignment="1">
      <alignment horizontal="center" vertical="center"/>
    </xf>
    <xf numFmtId="0" fontId="17" fillId="8" borderId="18" xfId="77" applyFont="1" applyFill="1" applyBorder="1" applyAlignment="1">
      <alignment horizontal="center" vertical="center"/>
    </xf>
    <xf numFmtId="0" fontId="17" fillId="0" borderId="0" xfId="77" applyFont="1"/>
    <xf numFmtId="0" fontId="24" fillId="6" borderId="25" xfId="77" applyFont="1" applyFill="1" applyBorder="1" applyAlignment="1">
      <alignment horizontal="center" vertical="center"/>
    </xf>
    <xf numFmtId="0" fontId="17" fillId="6" borderId="26" xfId="77" applyFont="1" applyFill="1" applyBorder="1" applyAlignment="1">
      <alignment horizontal="center" vertical="center"/>
    </xf>
    <xf numFmtId="0" fontId="17" fillId="6" borderId="17" xfId="77" applyFont="1" applyFill="1" applyBorder="1" applyAlignment="1">
      <alignment horizontal="center" vertical="center"/>
    </xf>
    <xf numFmtId="0" fontId="25" fillId="6" borderId="17" xfId="77" applyFont="1" applyFill="1" applyBorder="1" applyAlignment="1">
      <alignment horizontal="right" vertical="center"/>
    </xf>
    <xf numFmtId="0" fontId="17" fillId="6" borderId="25" xfId="77" applyFont="1" applyFill="1" applyBorder="1" applyAlignment="1">
      <alignment horizontal="center" vertical="center" wrapText="1"/>
    </xf>
    <xf numFmtId="0" fontId="17" fillId="6" borderId="25" xfId="77" applyFont="1" applyFill="1" applyBorder="1" applyAlignment="1">
      <alignment horizontal="center" vertical="center" shrinkToFit="1"/>
    </xf>
    <xf numFmtId="0" fontId="17" fillId="6" borderId="27" xfId="77" applyFont="1" applyFill="1" applyBorder="1" applyAlignment="1">
      <alignment horizontal="center" vertical="center" shrinkToFit="1"/>
    </xf>
    <xf numFmtId="0" fontId="17" fillId="6" borderId="28" xfId="77" applyFont="1" applyFill="1" applyBorder="1" applyAlignment="1">
      <alignment horizontal="center" vertical="center" shrinkToFit="1"/>
    </xf>
    <xf numFmtId="0" fontId="17" fillId="6" borderId="27" xfId="77" applyFont="1" applyFill="1" applyBorder="1" applyAlignment="1">
      <alignment horizontal="center" vertical="center"/>
    </xf>
    <xf numFmtId="0" fontId="17" fillId="6" borderId="28" xfId="77" applyFont="1" applyFill="1" applyBorder="1" applyAlignment="1">
      <alignment horizontal="center" vertical="center"/>
    </xf>
    <xf numFmtId="0" fontId="17" fillId="6" borderId="26" xfId="77" applyFont="1" applyFill="1" applyBorder="1" applyAlignment="1">
      <alignment vertical="center"/>
    </xf>
    <xf numFmtId="0" fontId="17" fillId="6" borderId="29" xfId="77" applyFont="1" applyFill="1" applyBorder="1" applyAlignment="1">
      <alignment vertical="center"/>
    </xf>
    <xf numFmtId="0" fontId="17" fillId="7" borderId="25" xfId="77" applyFont="1" applyFill="1" applyBorder="1" applyAlignment="1">
      <alignment horizontal="center" vertical="center"/>
    </xf>
    <xf numFmtId="0" fontId="17" fillId="7" borderId="27" xfId="77" applyFont="1" applyFill="1" applyBorder="1" applyAlignment="1">
      <alignment horizontal="center" vertical="center"/>
    </xf>
    <xf numFmtId="0" fontId="17" fillId="7" borderId="28" xfId="77" applyFont="1" applyFill="1" applyBorder="1" applyAlignment="1">
      <alignment horizontal="center" vertical="center"/>
    </xf>
    <xf numFmtId="0" fontId="26" fillId="0" borderId="25" xfId="77" applyFont="1" applyBorder="1"/>
    <xf numFmtId="0" fontId="17" fillId="7" borderId="30" xfId="77" applyFont="1" applyFill="1" applyBorder="1" applyAlignment="1">
      <alignment horizontal="center" vertical="center"/>
    </xf>
    <xf numFmtId="0" fontId="17" fillId="8" borderId="30" xfId="77" applyFont="1" applyFill="1" applyBorder="1" applyAlignment="1">
      <alignment horizontal="center" vertical="center"/>
    </xf>
    <xf numFmtId="178" fontId="27" fillId="0" borderId="30" xfId="77" applyNumberFormat="1" applyFont="1" applyBorder="1" applyAlignment="1">
      <alignment horizontal="center" vertical="center"/>
    </xf>
    <xf numFmtId="0" fontId="28" fillId="0" borderId="27" xfId="77" applyFont="1" applyBorder="1" applyAlignment="1">
      <alignment horizontal="center" vertical="center"/>
    </xf>
    <xf numFmtId="0" fontId="28" fillId="0" borderId="31" xfId="77" applyFont="1" applyBorder="1" applyAlignment="1">
      <alignment horizontal="center" vertical="center"/>
    </xf>
    <xf numFmtId="0" fontId="28" fillId="0" borderId="32" xfId="77" applyFont="1" applyBorder="1" applyAlignment="1">
      <alignment horizontal="center" vertical="center"/>
    </xf>
    <xf numFmtId="0" fontId="28" fillId="0" borderId="28" xfId="77" applyFont="1" applyBorder="1" applyAlignment="1">
      <alignment horizontal="center" vertical="center"/>
    </xf>
    <xf numFmtId="0" fontId="28" fillId="9" borderId="22" xfId="77" applyFont="1" applyFill="1" applyBorder="1" applyAlignment="1">
      <alignment vertical="center"/>
    </xf>
    <xf numFmtId="0" fontId="28" fillId="9" borderId="24" xfId="77" applyFont="1" applyFill="1" applyBorder="1" applyAlignment="1">
      <alignment vertical="center"/>
    </xf>
    <xf numFmtId="0" fontId="28" fillId="9" borderId="24" xfId="77" applyFont="1" applyFill="1" applyBorder="1" applyAlignment="1">
      <alignment vertical="center" wrapText="1"/>
    </xf>
    <xf numFmtId="0" fontId="28" fillId="9" borderId="30" xfId="77" applyFont="1" applyFill="1" applyBorder="1" applyAlignment="1">
      <alignment horizontal="center" vertical="center"/>
    </xf>
    <xf numFmtId="0" fontId="28" fillId="9" borderId="30" xfId="77" applyFont="1" applyFill="1" applyBorder="1" applyAlignment="1">
      <alignment horizontal="center" vertical="center" shrinkToFit="1"/>
    </xf>
    <xf numFmtId="176" fontId="28" fillId="9" borderId="27" xfId="77" applyNumberFormat="1" applyFont="1" applyFill="1" applyBorder="1" applyAlignment="1">
      <alignment horizontal="center" vertical="center" shrinkToFit="1"/>
    </xf>
    <xf numFmtId="176" fontId="28" fillId="9" borderId="28" xfId="77" applyNumberFormat="1" applyFont="1" applyFill="1" applyBorder="1" applyAlignment="1">
      <alignment horizontal="center" vertical="center" shrinkToFit="1"/>
    </xf>
    <xf numFmtId="9" fontId="28" fillId="9" borderId="27" xfId="77" applyNumberFormat="1" applyFont="1" applyFill="1" applyBorder="1" applyAlignment="1">
      <alignment horizontal="center" vertical="center"/>
    </xf>
    <xf numFmtId="9" fontId="28" fillId="9" borderId="28" xfId="77" applyNumberFormat="1" applyFont="1" applyFill="1" applyBorder="1" applyAlignment="1">
      <alignment horizontal="center" vertical="center"/>
    </xf>
    <xf numFmtId="9" fontId="28" fillId="9" borderId="22" xfId="77" applyNumberFormat="1" applyFont="1" applyFill="1" applyBorder="1" applyAlignment="1">
      <alignment vertical="center"/>
    </xf>
    <xf numFmtId="0" fontId="28" fillId="9" borderId="23" xfId="77" applyFont="1" applyFill="1" applyBorder="1" applyAlignment="1">
      <alignment vertical="center"/>
    </xf>
    <xf numFmtId="0" fontId="28" fillId="10" borderId="30" xfId="77" applyFont="1" applyFill="1" applyBorder="1" applyAlignment="1">
      <alignment horizontal="left" vertical="center"/>
    </xf>
    <xf numFmtId="0" fontId="17" fillId="10" borderId="27" xfId="77" applyFont="1" applyFill="1" applyBorder="1" applyAlignment="1">
      <alignment horizontal="center" vertical="center"/>
    </xf>
    <xf numFmtId="0" fontId="17" fillId="10" borderId="28" xfId="77" applyFont="1" applyFill="1" applyBorder="1" applyAlignment="1">
      <alignment horizontal="center" vertical="center"/>
    </xf>
    <xf numFmtId="0" fontId="17" fillId="10" borderId="30" xfId="77" applyFont="1" applyFill="1" applyBorder="1" applyAlignment="1">
      <alignment vertical="center"/>
    </xf>
    <xf numFmtId="0" fontId="17" fillId="0" borderId="30" xfId="77" applyFont="1" applyBorder="1" applyAlignment="1">
      <alignment vertical="center"/>
    </xf>
    <xf numFmtId="0" fontId="17" fillId="0" borderId="30" xfId="77" applyFont="1" applyBorder="1" applyAlignment="1">
      <alignment horizontal="left" vertical="center"/>
    </xf>
    <xf numFmtId="0" fontId="28" fillId="0" borderId="0" xfId="77" applyFont="1" applyAlignment="1">
      <alignment vertical="center"/>
    </xf>
    <xf numFmtId="0" fontId="28" fillId="0" borderId="0" xfId="77" applyFont="1" applyAlignment="1">
      <alignment horizontal="left" vertical="center"/>
    </xf>
    <xf numFmtId="0" fontId="28" fillId="11" borderId="22" xfId="77" applyFont="1" applyFill="1" applyBorder="1" applyAlignment="1">
      <alignment vertical="center"/>
    </xf>
    <xf numFmtId="0" fontId="28" fillId="12" borderId="24" xfId="77" quotePrefix="1" applyFont="1" applyFill="1" applyBorder="1" applyAlignment="1">
      <alignment vertical="center"/>
    </xf>
    <xf numFmtId="0" fontId="28" fillId="12" borderId="24" xfId="77" applyFont="1" applyFill="1" applyBorder="1" applyAlignment="1">
      <alignment vertical="center"/>
    </xf>
    <xf numFmtId="0" fontId="28" fillId="12" borderId="30" xfId="77" applyFont="1" applyFill="1" applyBorder="1" applyAlignment="1">
      <alignment horizontal="center" vertical="center"/>
    </xf>
    <xf numFmtId="0" fontId="28" fillId="12" borderId="30" xfId="77" applyFont="1" applyFill="1" applyBorder="1" applyAlignment="1">
      <alignment horizontal="center" vertical="center" shrinkToFit="1"/>
    </xf>
    <xf numFmtId="176" fontId="28" fillId="12" borderId="27" xfId="77" applyNumberFormat="1" applyFont="1" applyFill="1" applyBorder="1" applyAlignment="1">
      <alignment horizontal="center" vertical="center" shrinkToFit="1"/>
    </xf>
    <xf numFmtId="176" fontId="28" fillId="12" borderId="28" xfId="77" applyNumberFormat="1" applyFont="1" applyFill="1" applyBorder="1" applyAlignment="1">
      <alignment horizontal="center" vertical="center" shrinkToFit="1"/>
    </xf>
    <xf numFmtId="176" fontId="28" fillId="12" borderId="33" xfId="77" applyNumberFormat="1" applyFont="1" applyFill="1" applyBorder="1" applyAlignment="1">
      <alignment horizontal="center" vertical="center" shrinkToFit="1"/>
    </xf>
    <xf numFmtId="9" fontId="28" fillId="12" borderId="27" xfId="77" applyNumberFormat="1" applyFont="1" applyFill="1" applyBorder="1" applyAlignment="1">
      <alignment horizontal="center" vertical="center"/>
    </xf>
    <xf numFmtId="9" fontId="28" fillId="12" borderId="28" xfId="77" applyNumberFormat="1" applyFont="1" applyFill="1" applyBorder="1" applyAlignment="1">
      <alignment horizontal="center" vertical="center"/>
    </xf>
    <xf numFmtId="9" fontId="28" fillId="12" borderId="22" xfId="77" applyNumberFormat="1" applyFont="1" applyFill="1" applyBorder="1" applyAlignment="1">
      <alignment vertical="center"/>
    </xf>
    <xf numFmtId="0" fontId="28" fillId="12" borderId="23" xfId="77" applyFont="1" applyFill="1" applyBorder="1" applyAlignment="1">
      <alignment vertical="center"/>
    </xf>
    <xf numFmtId="0" fontId="28" fillId="13" borderId="24" xfId="77" applyFont="1" applyFill="1" applyBorder="1" applyAlignment="1">
      <alignment vertical="center"/>
    </xf>
    <xf numFmtId="0" fontId="28" fillId="0" borderId="24" xfId="77" applyFont="1" applyBorder="1" applyAlignment="1">
      <alignment vertical="center"/>
    </xf>
    <xf numFmtId="0" fontId="28" fillId="0" borderId="30" xfId="77" applyFont="1" applyBorder="1" applyAlignment="1">
      <alignment horizontal="center" vertical="center"/>
    </xf>
    <xf numFmtId="0" fontId="28" fillId="0" borderId="30" xfId="77" applyFont="1" applyBorder="1" applyAlignment="1">
      <alignment horizontal="center" vertical="center" shrinkToFit="1"/>
    </xf>
    <xf numFmtId="176" fontId="28" fillId="0" borderId="27" xfId="77" applyNumberFormat="1" applyFont="1" applyBorder="1" applyAlignment="1">
      <alignment horizontal="center" vertical="center" shrinkToFit="1"/>
    </xf>
    <xf numFmtId="176" fontId="28" fillId="0" borderId="28" xfId="77" applyNumberFormat="1" applyFont="1" applyBorder="1" applyAlignment="1">
      <alignment horizontal="center" vertical="center" shrinkToFit="1"/>
    </xf>
    <xf numFmtId="176" fontId="28" fillId="13" borderId="33" xfId="77" applyNumberFormat="1" applyFont="1" applyFill="1" applyBorder="1" applyAlignment="1">
      <alignment horizontal="center" vertical="center" shrinkToFit="1"/>
    </xf>
    <xf numFmtId="176" fontId="28" fillId="13" borderId="28" xfId="77" applyNumberFormat="1" applyFont="1" applyFill="1" applyBorder="1" applyAlignment="1">
      <alignment horizontal="center" vertical="center" shrinkToFit="1"/>
    </xf>
    <xf numFmtId="9" fontId="28" fillId="13" borderId="27" xfId="77" applyNumberFormat="1" applyFont="1" applyFill="1" applyBorder="1" applyAlignment="1">
      <alignment horizontal="center" vertical="center"/>
    </xf>
    <xf numFmtId="9" fontId="28" fillId="13" borderId="28" xfId="77" applyNumberFormat="1" applyFont="1" applyFill="1" applyBorder="1" applyAlignment="1">
      <alignment horizontal="center" vertical="center"/>
    </xf>
    <xf numFmtId="9" fontId="27" fillId="13" borderId="19" xfId="77" applyNumberFormat="1" applyFont="1" applyFill="1" applyBorder="1" applyAlignment="1">
      <alignment horizontal="left" vertical="top" wrapText="1"/>
    </xf>
    <xf numFmtId="9" fontId="27" fillId="13" borderId="21" xfId="77" applyNumberFormat="1" applyFont="1" applyFill="1" applyBorder="1" applyAlignment="1">
      <alignment horizontal="left" vertical="top" wrapText="1"/>
    </xf>
    <xf numFmtId="9" fontId="27" fillId="13" borderId="34" xfId="77" applyNumberFormat="1" applyFont="1" applyFill="1" applyBorder="1" applyAlignment="1">
      <alignment horizontal="left" vertical="top" wrapText="1"/>
    </xf>
    <xf numFmtId="9" fontId="27" fillId="13" borderId="35" xfId="77" applyNumberFormat="1" applyFont="1" applyFill="1" applyBorder="1" applyAlignment="1">
      <alignment horizontal="left" vertical="top" wrapText="1"/>
    </xf>
    <xf numFmtId="9" fontId="27" fillId="13" borderId="26" xfId="77" applyNumberFormat="1" applyFont="1" applyFill="1" applyBorder="1" applyAlignment="1">
      <alignment horizontal="left" vertical="top" wrapText="1"/>
    </xf>
    <xf numFmtId="9" fontId="27" fillId="13" borderId="29" xfId="77" applyNumberFormat="1" applyFont="1" applyFill="1" applyBorder="1" applyAlignment="1">
      <alignment horizontal="left" vertical="top" wrapText="1"/>
    </xf>
    <xf numFmtId="9" fontId="28" fillId="13" borderId="22" xfId="77" applyNumberFormat="1" applyFont="1" applyFill="1" applyBorder="1" applyAlignment="1">
      <alignment vertical="center"/>
    </xf>
    <xf numFmtId="0" fontId="28" fillId="13" borderId="23" xfId="77" applyFont="1" applyFill="1" applyBorder="1" applyAlignment="1">
      <alignment vertical="center"/>
    </xf>
    <xf numFmtId="9" fontId="28" fillId="0" borderId="27" xfId="77" applyNumberFormat="1" applyFont="1" applyBorder="1" applyAlignment="1">
      <alignment horizontal="center" vertical="center"/>
    </xf>
    <xf numFmtId="9" fontId="28" fillId="0" borderId="22" xfId="77" applyNumberFormat="1" applyFont="1" applyBorder="1" applyAlignment="1">
      <alignment vertical="center"/>
    </xf>
    <xf numFmtId="0" fontId="28" fillId="0" borderId="23" xfId="77" applyFont="1" applyBorder="1" applyAlignment="1">
      <alignment vertical="center"/>
    </xf>
    <xf numFmtId="9" fontId="28" fillId="0" borderId="28" xfId="77" applyNumberFormat="1" applyFont="1" applyBorder="1" applyAlignment="1">
      <alignment horizontal="center" vertical="center"/>
    </xf>
    <xf numFmtId="176" fontId="28" fillId="0" borderId="33" xfId="77" applyNumberFormat="1" applyFont="1" applyBorder="1" applyAlignment="1">
      <alignment horizontal="center" vertical="center" shrinkToFit="1"/>
    </xf>
    <xf numFmtId="0" fontId="28" fillId="7" borderId="24" xfId="77" quotePrefix="1" applyFont="1" applyFill="1" applyBorder="1" applyAlignment="1">
      <alignment vertical="center"/>
    </xf>
    <xf numFmtId="0" fontId="28" fillId="7" borderId="24" xfId="77" applyFont="1" applyFill="1" applyBorder="1" applyAlignment="1">
      <alignment vertical="center"/>
    </xf>
    <xf numFmtId="9" fontId="27" fillId="7" borderId="22" xfId="77" applyNumberFormat="1" applyFont="1" applyFill="1" applyBorder="1" applyAlignment="1">
      <alignment vertical="center"/>
    </xf>
    <xf numFmtId="0" fontId="28" fillId="7" borderId="23" xfId="77" applyFont="1" applyFill="1" applyBorder="1" applyAlignment="1">
      <alignment vertical="center"/>
    </xf>
    <xf numFmtId="9" fontId="27" fillId="0" borderId="19" xfId="77" applyNumberFormat="1" applyFont="1" applyBorder="1" applyAlignment="1">
      <alignment horizontal="left" vertical="center" wrapText="1"/>
    </xf>
    <xf numFmtId="9" fontId="27" fillId="0" borderId="21" xfId="77" applyNumberFormat="1" applyFont="1" applyBorder="1" applyAlignment="1">
      <alignment horizontal="left" vertical="center" wrapText="1"/>
    </xf>
    <xf numFmtId="9" fontId="27" fillId="0" borderId="26" xfId="77" applyNumberFormat="1" applyFont="1" applyBorder="1" applyAlignment="1">
      <alignment horizontal="left" vertical="center" wrapText="1"/>
    </xf>
    <xf numFmtId="9" fontId="27" fillId="0" borderId="29" xfId="77" applyNumberFormat="1" applyFont="1" applyBorder="1" applyAlignment="1">
      <alignment horizontal="left" vertical="center" wrapText="1"/>
    </xf>
    <xf numFmtId="9" fontId="30" fillId="0" borderId="0" xfId="77" applyNumberFormat="1" applyFont="1"/>
    <xf numFmtId="0" fontId="17" fillId="6" borderId="22" xfId="69" applyFont="1" applyFill="1" applyBorder="1" applyAlignment="1">
      <alignment horizontal="center" vertical="center"/>
    </xf>
    <xf numFmtId="0" fontId="16" fillId="0" borderId="23" xfId="69" applyFont="1" applyBorder="1"/>
    <xf numFmtId="0" fontId="17" fillId="8" borderId="22" xfId="69" applyFont="1" applyFill="1" applyBorder="1" applyAlignment="1">
      <alignment horizontal="center" vertical="center"/>
    </xf>
    <xf numFmtId="0" fontId="16" fillId="0" borderId="24" xfId="69" applyFont="1" applyBorder="1"/>
    <xf numFmtId="0" fontId="15" fillId="0" borderId="3" xfId="69" applyFont="1" applyBorder="1" applyAlignment="1">
      <alignment horizontal="left" vertical="center"/>
    </xf>
    <xf numFmtId="0" fontId="16" fillId="0" borderId="4" xfId="69" applyFont="1" applyBorder="1"/>
    <xf numFmtId="0" fontId="16" fillId="0" borderId="5" xfId="69" applyFont="1" applyBorder="1"/>
    <xf numFmtId="0" fontId="16" fillId="0" borderId="10" xfId="69" applyFont="1" applyBorder="1"/>
    <xf numFmtId="0" fontId="16" fillId="0" borderId="11" xfId="69" applyFont="1" applyBorder="1"/>
    <xf numFmtId="0" fontId="16" fillId="0" borderId="12" xfId="69" applyFont="1" applyBorder="1"/>
    <xf numFmtId="0" fontId="17" fillId="6" borderId="19" xfId="69" applyFont="1" applyFill="1" applyBorder="1" applyAlignment="1">
      <alignment horizontal="center" vertical="center"/>
    </xf>
    <xf numFmtId="0" fontId="16" fillId="0" borderId="20" xfId="69" applyFont="1" applyBorder="1"/>
    <xf numFmtId="0" fontId="17" fillId="6" borderId="19" xfId="69" applyFont="1" applyFill="1" applyBorder="1" applyAlignment="1">
      <alignment horizontal="center" vertical="center" shrinkToFit="1"/>
    </xf>
    <xf numFmtId="0" fontId="16" fillId="0" borderId="21" xfId="69" applyFont="1" applyBorder="1"/>
    <xf numFmtId="0" fontId="17" fillId="6" borderId="22" xfId="74" applyFont="1" applyFill="1" applyBorder="1" applyAlignment="1">
      <alignment horizontal="center" vertical="center"/>
    </xf>
    <xf numFmtId="0" fontId="16" fillId="0" borderId="23" xfId="74" applyFont="1" applyBorder="1"/>
    <xf numFmtId="0" fontId="17" fillId="8" borderId="22" xfId="74" applyFont="1" applyFill="1" applyBorder="1" applyAlignment="1">
      <alignment horizontal="center" vertical="center"/>
    </xf>
    <xf numFmtId="0" fontId="16" fillId="0" borderId="24" xfId="74" applyFont="1" applyBorder="1"/>
    <xf numFmtId="0" fontId="15" fillId="0" borderId="3" xfId="74" applyFont="1" applyBorder="1" applyAlignment="1">
      <alignment horizontal="left" vertical="center"/>
    </xf>
    <xf numFmtId="0" fontId="16" fillId="0" borderId="4" xfId="74" applyFont="1" applyBorder="1"/>
    <xf numFmtId="0" fontId="16" fillId="0" borderId="5" xfId="74" applyFont="1" applyBorder="1"/>
    <xf numFmtId="0" fontId="16" fillId="0" borderId="10" xfId="74" applyFont="1" applyBorder="1"/>
    <xf numFmtId="0" fontId="16" fillId="0" borderId="11" xfId="74" applyFont="1" applyBorder="1"/>
    <xf numFmtId="0" fontId="16" fillId="0" borderId="12" xfId="74" applyFont="1" applyBorder="1"/>
    <xf numFmtId="0" fontId="17" fillId="6" borderId="19" xfId="74" applyFont="1" applyFill="1" applyBorder="1" applyAlignment="1">
      <alignment horizontal="center" vertical="center"/>
    </xf>
    <xf numFmtId="0" fontId="16" fillId="0" borderId="20" xfId="74" applyFont="1" applyBorder="1"/>
    <xf numFmtId="0" fontId="17" fillId="6" borderId="19" xfId="74" applyFont="1" applyFill="1" applyBorder="1" applyAlignment="1">
      <alignment horizontal="center" vertical="center" shrinkToFit="1"/>
    </xf>
    <xf numFmtId="0" fontId="16" fillId="0" borderId="21" xfId="74" applyFont="1" applyBorder="1"/>
    <xf numFmtId="0" fontId="17" fillId="6" borderId="22" xfId="75" applyFont="1" applyFill="1" applyBorder="1" applyAlignment="1">
      <alignment horizontal="center" vertical="center"/>
    </xf>
    <xf numFmtId="0" fontId="16" fillId="0" borderId="23" xfId="75" applyFont="1" applyBorder="1"/>
    <xf numFmtId="0" fontId="17" fillId="8" borderId="22" xfId="75" applyFont="1" applyFill="1" applyBorder="1" applyAlignment="1">
      <alignment horizontal="center" vertical="center"/>
    </xf>
    <xf numFmtId="0" fontId="16" fillId="0" borderId="24" xfId="75" applyFont="1" applyBorder="1"/>
    <xf numFmtId="0" fontId="15" fillId="0" borderId="3" xfId="75" applyFont="1" applyBorder="1" applyAlignment="1">
      <alignment horizontal="left" vertical="center"/>
    </xf>
    <xf numFmtId="0" fontId="16" fillId="0" borderId="4" xfId="75" applyFont="1" applyBorder="1"/>
    <xf numFmtId="0" fontId="16" fillId="0" borderId="5" xfId="75" applyFont="1" applyBorder="1"/>
    <xf numFmtId="0" fontId="16" fillId="0" borderId="10" xfId="75" applyFont="1" applyBorder="1"/>
    <xf numFmtId="0" fontId="16" fillId="0" borderId="11" xfId="75" applyFont="1" applyBorder="1"/>
    <xf numFmtId="0" fontId="16" fillId="0" borderId="12" xfId="75" applyFont="1" applyBorder="1"/>
    <xf numFmtId="0" fontId="17" fillId="6" borderId="19" xfId="75" applyFont="1" applyFill="1" applyBorder="1" applyAlignment="1">
      <alignment horizontal="center" vertical="center"/>
    </xf>
    <xf numFmtId="0" fontId="16" fillId="0" borderId="20" xfId="75" applyFont="1" applyBorder="1"/>
    <xf numFmtId="0" fontId="17" fillId="6" borderId="19" xfId="75" applyFont="1" applyFill="1" applyBorder="1" applyAlignment="1">
      <alignment horizontal="center" vertical="center" shrinkToFit="1"/>
    </xf>
    <xf numFmtId="0" fontId="16" fillId="0" borderId="21" xfId="75" applyFont="1" applyBorder="1"/>
    <xf numFmtId="0" fontId="17" fillId="6" borderId="22" xfId="76" applyFont="1" applyFill="1" applyBorder="1" applyAlignment="1">
      <alignment horizontal="center" vertical="center"/>
    </xf>
    <xf numFmtId="0" fontId="16" fillId="0" borderId="23" xfId="76" applyFont="1" applyBorder="1"/>
    <xf numFmtId="0" fontId="17" fillId="8" borderId="22" xfId="76" applyFont="1" applyFill="1" applyBorder="1" applyAlignment="1">
      <alignment horizontal="center" vertical="center"/>
    </xf>
    <xf numFmtId="0" fontId="16" fillId="0" borderId="24" xfId="76" applyFont="1" applyBorder="1"/>
    <xf numFmtId="0" fontId="15" fillId="0" borderId="3" xfId="76" applyFont="1" applyBorder="1" applyAlignment="1">
      <alignment horizontal="left" vertical="center"/>
    </xf>
    <xf numFmtId="0" fontId="16" fillId="0" borderId="4" xfId="76" applyFont="1" applyBorder="1"/>
    <xf numFmtId="0" fontId="16" fillId="0" borderId="5" xfId="76" applyFont="1" applyBorder="1"/>
    <xf numFmtId="0" fontId="16" fillId="0" borderId="10" xfId="76" applyFont="1" applyBorder="1"/>
    <xf numFmtId="0" fontId="16" fillId="0" borderId="11" xfId="76" applyFont="1" applyBorder="1"/>
    <xf numFmtId="0" fontId="16" fillId="0" borderId="12" xfId="76" applyFont="1" applyBorder="1"/>
    <xf numFmtId="0" fontId="17" fillId="6" borderId="19" xfId="76" applyFont="1" applyFill="1" applyBorder="1" applyAlignment="1">
      <alignment horizontal="center" vertical="center"/>
    </xf>
    <xf numFmtId="0" fontId="16" fillId="0" borderId="20" xfId="76" applyFont="1" applyBorder="1"/>
    <xf numFmtId="0" fontId="17" fillId="6" borderId="19" xfId="76" applyFont="1" applyFill="1" applyBorder="1" applyAlignment="1">
      <alignment horizontal="center" vertical="center" shrinkToFit="1"/>
    </xf>
    <xf numFmtId="0" fontId="16" fillId="0" borderId="21" xfId="76" applyFont="1" applyBorder="1"/>
    <xf numFmtId="0" fontId="17" fillId="6" borderId="22" xfId="77" applyFont="1" applyFill="1" applyBorder="1" applyAlignment="1">
      <alignment horizontal="center" vertical="center"/>
    </xf>
    <xf numFmtId="0" fontId="16" fillId="0" borderId="23" xfId="77" applyFont="1" applyBorder="1"/>
    <xf numFmtId="0" fontId="17" fillId="8" borderId="22" xfId="77" applyFont="1" applyFill="1" applyBorder="1" applyAlignment="1">
      <alignment horizontal="center" vertical="center"/>
    </xf>
    <xf numFmtId="0" fontId="16" fillId="0" borderId="24" xfId="77" applyFont="1" applyBorder="1"/>
    <xf numFmtId="0" fontId="15" fillId="0" borderId="3" xfId="77" applyFont="1" applyBorder="1" applyAlignment="1">
      <alignment horizontal="left" vertical="center"/>
    </xf>
    <xf numFmtId="0" fontId="16" fillId="0" borderId="4" xfId="77" applyFont="1" applyBorder="1"/>
    <xf numFmtId="0" fontId="16" fillId="0" borderId="5" xfId="77" applyFont="1" applyBorder="1"/>
    <xf numFmtId="0" fontId="16" fillId="0" borderId="10" xfId="77" applyFont="1" applyBorder="1"/>
    <xf numFmtId="0" fontId="16" fillId="0" borderId="11" xfId="77" applyFont="1" applyBorder="1"/>
    <xf numFmtId="0" fontId="16" fillId="0" borderId="12" xfId="77" applyFont="1" applyBorder="1"/>
    <xf numFmtId="0" fontId="17" fillId="6" borderId="19" xfId="77" applyFont="1" applyFill="1" applyBorder="1" applyAlignment="1">
      <alignment horizontal="center" vertical="center"/>
    </xf>
    <xf numFmtId="0" fontId="16" fillId="0" borderId="20" xfId="77" applyFont="1" applyBorder="1"/>
    <xf numFmtId="0" fontId="17" fillId="6" borderId="19" xfId="77" applyFont="1" applyFill="1" applyBorder="1" applyAlignment="1">
      <alignment horizontal="center" vertical="center" shrinkToFit="1"/>
    </xf>
    <xf numFmtId="0" fontId="16" fillId="0" borderId="21" xfId="77" applyFont="1" applyBorder="1"/>
  </cellXfs>
  <cellStyles count="162">
    <cellStyle name="ハイパーリンク 2" xfId="3" xr:uid="{D097508F-1CDD-4CC4-A3EF-1C26A8B51359}"/>
    <cellStyle name="ハイパーリンク 2 2" xfId="4" xr:uid="{B29541E3-555B-4116-9CDC-F1A2BE281FB5}"/>
    <cellStyle name="標準" xfId="0" builtinId="0"/>
    <cellStyle name="標準 10" xfId="12" xr:uid="{2CDFD33C-B684-485C-9E9D-6259CF448DB9}"/>
    <cellStyle name="標準 100" xfId="101" xr:uid="{A536097C-480A-401E-950C-7CF89D086A0C}"/>
    <cellStyle name="標準 101" xfId="102" xr:uid="{1669629A-DBAD-4C14-87FB-EE5B8FCEC353}"/>
    <cellStyle name="標準 102" xfId="103" xr:uid="{FCDA069A-18EA-4400-A188-62055BBC1CD6}"/>
    <cellStyle name="標準 103" xfId="104" xr:uid="{0B3FDFF2-6D2E-4EEA-A5E0-BBDD7F42FD6C}"/>
    <cellStyle name="標準 104" xfId="105" xr:uid="{C5707CE3-B49D-4D0B-A514-DE81B32604DC}"/>
    <cellStyle name="標準 105" xfId="106" xr:uid="{F3BCDB09-BEF6-494C-BA18-87ABBEC23C21}"/>
    <cellStyle name="標準 106" xfId="107" xr:uid="{D36231F9-348F-4363-9F0E-CE211055113D}"/>
    <cellStyle name="標準 107" xfId="108" xr:uid="{4776D080-3BEA-4C5C-88AE-B1D073C76802}"/>
    <cellStyle name="標準 108" xfId="109" xr:uid="{9BAD7BF2-C966-421B-AC9C-3277C1AC08C2}"/>
    <cellStyle name="標準 109" xfId="110" xr:uid="{1EFFB051-D45A-4602-9E95-D72EF61A7EFD}"/>
    <cellStyle name="標準 11" xfId="13" xr:uid="{C420C7D6-1105-42C0-9FF8-C30171DA5EA9}"/>
    <cellStyle name="標準 110" xfId="111" xr:uid="{FE27EBB4-243A-4E6B-B3A9-40FF94403E62}"/>
    <cellStyle name="標準 111" xfId="112" xr:uid="{ACE37364-7569-4D82-A8A8-EEAF66109FBF}"/>
    <cellStyle name="標準 112" xfId="113" xr:uid="{40B1C966-69F7-4991-BA61-2EF521BA4326}"/>
    <cellStyle name="標準 113" xfId="114" xr:uid="{7A4A1B47-E6FE-422A-94F9-FC67D7584ACE}"/>
    <cellStyle name="標準 114" xfId="115" xr:uid="{4F6D5AD5-BC7C-4177-BFF5-84A758CDBD94}"/>
    <cellStyle name="標準 115" xfId="116" xr:uid="{9E6B07EC-4195-4C43-B412-4F058E9B720E}"/>
    <cellStyle name="標準 116" xfId="117" xr:uid="{E2D6836A-E89F-4B9B-BBE4-6F834138236E}"/>
    <cellStyle name="標準 117" xfId="118" xr:uid="{DFB399E0-5EA3-4F74-9344-0D09D0CA261E}"/>
    <cellStyle name="標準 118" xfId="119" xr:uid="{16F04000-AA88-497D-97A1-52ECDD887F87}"/>
    <cellStyle name="標準 119" xfId="120" xr:uid="{FDF1874D-42F1-4176-8F76-553291F47D61}"/>
    <cellStyle name="標準 12" xfId="14" xr:uid="{4FB89D58-9F98-4A08-B503-664C11F4C719}"/>
    <cellStyle name="標準 120" xfId="121" xr:uid="{58A7DA40-DC97-411E-B30E-13075D7E915F}"/>
    <cellStyle name="標準 121" xfId="122" xr:uid="{33D3F196-B83D-44FE-98AB-9DC8D29E8B8C}"/>
    <cellStyle name="標準 122" xfId="123" xr:uid="{E50DD2EA-4DF7-41B4-95F7-BFC898C1D4B5}"/>
    <cellStyle name="標準 123" xfId="124" xr:uid="{82E8320A-3C32-4F4B-BEB5-6F33EB429EF9}"/>
    <cellStyle name="標準 124" xfId="125" xr:uid="{B084748D-BCC9-40A0-A1CB-E723B16D7EE8}"/>
    <cellStyle name="標準 125" xfId="126" xr:uid="{84F05C62-99A7-4482-A298-95CA3AB00522}"/>
    <cellStyle name="標準 126" xfId="127" xr:uid="{EB51CBBF-8A39-433F-895C-E9CBE3E2E383}"/>
    <cellStyle name="標準 127" xfId="128" xr:uid="{24EFC1A2-926F-4380-9158-320CE7743F20}"/>
    <cellStyle name="標準 128" xfId="129" xr:uid="{4284A7C3-68BB-460E-9DF1-C35FD3D2DDD2}"/>
    <cellStyle name="標準 129" xfId="130" xr:uid="{260D2D8D-D299-425A-8959-84B18DBCDF78}"/>
    <cellStyle name="標準 13" xfId="1" xr:uid="{346A6F46-2133-4E9D-B43C-E507C3BAD733}"/>
    <cellStyle name="標準 130" xfId="131" xr:uid="{FA87BFAD-431E-47EC-80B9-0A28A6D5040F}"/>
    <cellStyle name="標準 131" xfId="132" xr:uid="{3C158C0D-16E7-4568-8D99-ADCF8B081914}"/>
    <cellStyle name="標準 132" xfId="133" xr:uid="{9F0DF9D8-2663-45D0-9E54-C5624A617EDD}"/>
    <cellStyle name="標準 133" xfId="134" xr:uid="{E7CC945C-F9B1-4AFC-9516-8992226D0308}"/>
    <cellStyle name="標準 134" xfId="135" xr:uid="{21AEB60B-86F5-48B6-AC17-2AE16A6C88E3}"/>
    <cellStyle name="標準 135" xfId="136" xr:uid="{44BA5F96-860A-4FED-9D9F-ED7CC19E509A}"/>
    <cellStyle name="標準 136" xfId="137" xr:uid="{DE00532B-55B6-44AE-9C25-96CB4E0E7EAC}"/>
    <cellStyle name="標準 137" xfId="138" xr:uid="{DD1CD2A3-B594-4A68-85A8-C16EBC02F037}"/>
    <cellStyle name="標準 138" xfId="139" xr:uid="{C2F3A39D-2EB8-4494-9D0C-F428125CEB4A}"/>
    <cellStyle name="標準 139" xfId="140" xr:uid="{BFB8422D-33DC-435A-A971-4AFAA0512852}"/>
    <cellStyle name="標準 14" xfId="15" xr:uid="{834D9E9B-A1B0-4BBF-9DB2-D75B9B1259EC}"/>
    <cellStyle name="標準 140" xfId="141" xr:uid="{5068C742-FCD1-4067-9654-0FD6D8B4D651}"/>
    <cellStyle name="標準 141" xfId="142" xr:uid="{658BB3EA-80D7-4545-8F03-BBA9CF906332}"/>
    <cellStyle name="標準 142" xfId="143" xr:uid="{9363F17D-2ED5-4761-8F45-B76D1E04C195}"/>
    <cellStyle name="標準 143" xfId="144" xr:uid="{F6E30C80-0193-4F70-BA33-D24DE0EAC7D9}"/>
    <cellStyle name="標準 144" xfId="145" xr:uid="{22F25783-9F62-4602-B6E2-7C51957D9E75}"/>
    <cellStyle name="標準 145" xfId="146" xr:uid="{D5EC185D-011A-4CD5-998F-CEE1642BD9B3}"/>
    <cellStyle name="標準 146" xfId="147" xr:uid="{AEAD9A80-26DF-46C0-843E-8BDCDCCE916E}"/>
    <cellStyle name="標準 147" xfId="148" xr:uid="{DF371570-1B56-4612-9E30-47BB914562BE}"/>
    <cellStyle name="標準 148" xfId="149" xr:uid="{4B76504E-1C4A-4668-8F59-EBB611A8349B}"/>
    <cellStyle name="標準 149" xfId="150" xr:uid="{CEA910E6-F502-4D73-9A93-6FD79A2BCBD9}"/>
    <cellStyle name="標準 15" xfId="16" xr:uid="{CAD1657E-D901-43F8-90E2-B0573B4382AC}"/>
    <cellStyle name="標準 150" xfId="151" xr:uid="{A8F782AA-3B24-4F9E-B370-39743E956953}"/>
    <cellStyle name="標準 151" xfId="152" xr:uid="{2412B1AF-4BD9-444B-A0FE-FE2D57F9EB49}"/>
    <cellStyle name="標準 152" xfId="153" xr:uid="{384308B6-CB5C-427E-BAD4-6DD9C709AC99}"/>
    <cellStyle name="標準 153" xfId="154" xr:uid="{41C1171D-FA12-4E40-BA33-2344D7D3E02A}"/>
    <cellStyle name="標準 154" xfId="155" xr:uid="{68A103A7-3282-4970-9439-BACD464CA186}"/>
    <cellStyle name="標準 155" xfId="156" xr:uid="{5CA47CCD-7ABE-4EA7-9DFE-BB889FC56060}"/>
    <cellStyle name="標準 156" xfId="157" xr:uid="{4778091A-630C-41D1-81F0-51C1074A1351}"/>
    <cellStyle name="標準 157" xfId="158" xr:uid="{AA6A8051-0789-4191-BFA9-DAE05910C703}"/>
    <cellStyle name="標準 158" xfId="159" xr:uid="{C95F380A-CF24-49DE-97E1-230222D2942E}"/>
    <cellStyle name="標準 159" xfId="160" xr:uid="{23749196-8DEB-4CF9-AA6B-763ADE28362F}"/>
    <cellStyle name="標準 16" xfId="17" xr:uid="{39D2FC15-69DA-4B65-ACDB-77A3D0D54F8E}"/>
    <cellStyle name="標準 160" xfId="161" xr:uid="{2B8CEB57-9BF4-4F90-BD54-9FD2920BA1AD}"/>
    <cellStyle name="標準 17" xfId="18" xr:uid="{963D7E95-0531-4C74-AFC5-6255E74CE6D7}"/>
    <cellStyle name="標準 18" xfId="19" xr:uid="{286C6077-D44E-4F5C-99A0-CC18A9D9041C}"/>
    <cellStyle name="標準 19" xfId="20" xr:uid="{DCCD11C3-5B07-4A80-B86A-AEF1E11353A8}"/>
    <cellStyle name="標準 2" xfId="2" xr:uid="{84BAD198-0694-479D-9074-19A423FACE72}"/>
    <cellStyle name="標準 20" xfId="21" xr:uid="{6EE337D3-A888-4FD5-B48E-3A0E64AA7002}"/>
    <cellStyle name="標準 21" xfId="22" xr:uid="{38087C7D-557F-416C-8604-0EB78F5CB21C}"/>
    <cellStyle name="標準 22" xfId="23" xr:uid="{D7782FDF-2ED3-4CD5-BEA5-B8DDA79EB8D9}"/>
    <cellStyle name="標準 23" xfId="24" xr:uid="{416F6574-1AAE-4E51-BF52-A3438687F667}"/>
    <cellStyle name="標準 24" xfId="25" xr:uid="{7CABFFAC-8B54-4937-9CC7-BE2DE4D7DB9E}"/>
    <cellStyle name="標準 25" xfId="26" xr:uid="{A2FF0B1C-FEFD-4A10-9BDE-003149527712}"/>
    <cellStyle name="標準 26" xfId="27" xr:uid="{B24A06CB-BC9E-4EA9-B975-7BE32ADC87FC}"/>
    <cellStyle name="標準 27" xfId="28" xr:uid="{2D7FA3D8-081B-4BD6-B52F-808CDF3213BE}"/>
    <cellStyle name="標準 28" xfId="29" xr:uid="{2C48F93D-D982-4378-99EA-975CC7EA0DFE}"/>
    <cellStyle name="標準 29" xfId="30" xr:uid="{2AD30D85-AD16-4CFF-8136-E25C521BD0A3}"/>
    <cellStyle name="標準 3" xfId="5" xr:uid="{E0D1AE8B-2729-467F-80A7-926C4C3EE2C5}"/>
    <cellStyle name="標準 30" xfId="31" xr:uid="{6051C7B5-1AA0-4AC9-9A0B-57683802219F}"/>
    <cellStyle name="標準 31" xfId="32" xr:uid="{58E88BD4-4199-4B3A-B108-ECC03A1CC26F}"/>
    <cellStyle name="標準 32" xfId="33" xr:uid="{9F4AED64-08F0-487E-985C-8DC23F7B537D}"/>
    <cellStyle name="標準 33" xfId="34" xr:uid="{0F8CA619-45AF-4498-B078-0F5429DC3977}"/>
    <cellStyle name="標準 34" xfId="35" xr:uid="{C3ECD17F-6960-4B49-8CCE-BECAFBD1FF85}"/>
    <cellStyle name="標準 35" xfId="36" xr:uid="{B1EE54C1-B83A-4A7B-BBCF-0C18EBD9E93C}"/>
    <cellStyle name="標準 36" xfId="37" xr:uid="{9AF6FF40-5452-4D08-BBF1-170E6EBA154B}"/>
    <cellStyle name="標準 37" xfId="38" xr:uid="{6BADB84D-63B8-4655-87AA-3786DFE06968}"/>
    <cellStyle name="標準 38" xfId="39" xr:uid="{E3EB519D-9569-4EE9-9DBE-EB9FB9F9322A}"/>
    <cellStyle name="標準 39" xfId="40" xr:uid="{68456A2E-BFA0-4532-9754-16DBB9B123FD}"/>
    <cellStyle name="標準 4" xfId="6" xr:uid="{D28F331A-3968-407E-92DC-D182D36984E1}"/>
    <cellStyle name="標準 40" xfId="41" xr:uid="{248B7B53-D7DF-40C7-BCFB-9EB9B851A726}"/>
    <cellStyle name="標準 41" xfId="42" xr:uid="{D198298A-9837-485A-9D51-E88DF92CE76B}"/>
    <cellStyle name="標準 42" xfId="43" xr:uid="{FE9A0E82-A5FF-4EA1-A338-70865C1B9B30}"/>
    <cellStyle name="標準 43" xfId="44" xr:uid="{2E7F6522-EF6D-4D10-9760-B64BEDDC34E5}"/>
    <cellStyle name="標準 44" xfId="45" xr:uid="{30EC90F9-DFBE-45C3-AF3C-DAA0F9AF6EAE}"/>
    <cellStyle name="標準 45" xfId="46" xr:uid="{BC60A4AA-E543-4CB8-82E8-6ED7CB000C71}"/>
    <cellStyle name="標準 46" xfId="47" xr:uid="{0D97B1A9-D632-4F1E-B060-A1036F1F6A49}"/>
    <cellStyle name="標準 47" xfId="48" xr:uid="{01723253-8630-4345-B52B-247219D220D6}"/>
    <cellStyle name="標準 48" xfId="49" xr:uid="{F6C16BA5-8EDE-4AD4-BEF4-BC796B1F204B}"/>
    <cellStyle name="標準 49" xfId="50" xr:uid="{222C616E-D79B-40E5-94C5-245BA4CDDBCF}"/>
    <cellStyle name="標準 5" xfId="7" xr:uid="{58039DF8-E654-4E34-9B7E-17FFEA70C6B4}"/>
    <cellStyle name="標準 50" xfId="51" xr:uid="{8B95BF3D-C0CB-42F5-B29C-591E529FB0F2}"/>
    <cellStyle name="標準 51" xfId="52" xr:uid="{96D77620-DDB9-4746-BC3F-F5771C8D974F}"/>
    <cellStyle name="標準 52" xfId="53" xr:uid="{45144CEB-69D8-443E-BC4A-B31F84F22D51}"/>
    <cellStyle name="標準 53" xfId="54" xr:uid="{AA039DCD-6E0D-4AEF-B951-99655FE760DA}"/>
    <cellStyle name="標準 54" xfId="55" xr:uid="{9D5AFA33-0897-46FE-837E-967E95A51BB3}"/>
    <cellStyle name="標準 55" xfId="56" xr:uid="{1A3AE7C0-04B8-47EB-A1C3-87F842F811C5}"/>
    <cellStyle name="標準 56" xfId="57" xr:uid="{88A34356-D5A5-4A6A-A49F-426BBB5A0058}"/>
    <cellStyle name="標準 57" xfId="58" xr:uid="{491678D8-FC2A-4BCD-BDB1-D2FAB2078B8E}"/>
    <cellStyle name="標準 58" xfId="59" xr:uid="{9371F086-929D-4E28-BA70-2B2793612EF9}"/>
    <cellStyle name="標準 59" xfId="60" xr:uid="{5F88A0CA-313E-46D3-A95C-E4A274B7CB96}"/>
    <cellStyle name="標準 6" xfId="8" xr:uid="{E24E7634-3086-4C5B-8A35-296CBC89254C}"/>
    <cellStyle name="標準 60" xfId="61" xr:uid="{29857C5B-5190-46F3-8C0D-DB3CB7CD7CAA}"/>
    <cellStyle name="標準 61" xfId="62" xr:uid="{69AFFC6C-1053-4D66-9B29-87586AC40C58}"/>
    <cellStyle name="標準 62" xfId="63" xr:uid="{4D55660C-266D-4DF9-B5C9-CA3CBFA26248}"/>
    <cellStyle name="標準 63" xfId="64" xr:uid="{69767364-9579-408B-AB54-832D2750706F}"/>
    <cellStyle name="標準 64" xfId="65" xr:uid="{CC906EEC-8313-4CB5-A17D-519D956BA367}"/>
    <cellStyle name="標準 65" xfId="66" xr:uid="{EB04F280-CAB9-4DA8-B373-294295CF69F8}"/>
    <cellStyle name="標準 66" xfId="67" xr:uid="{E9528C11-E79D-4208-8CE0-9906CFB692EF}"/>
    <cellStyle name="標準 67" xfId="68" xr:uid="{C79542D0-F65A-46BB-9DF9-586F5D997BD8}"/>
    <cellStyle name="標準 68" xfId="69" xr:uid="{D5969F18-E666-4CA3-99FA-FA4C6301450B}"/>
    <cellStyle name="標準 69" xfId="70" xr:uid="{ECB0DEFF-13FD-42F5-B934-BCE1B5452937}"/>
    <cellStyle name="標準 7" xfId="9" xr:uid="{C232BAFB-E496-46F2-A8B9-984D7A9C865D}"/>
    <cellStyle name="標準 70" xfId="71" xr:uid="{48F11F2B-615A-43EF-941A-44E2D9615D36}"/>
    <cellStyle name="標準 71" xfId="72" xr:uid="{1F5D6C68-5A4A-41EE-9552-CB13F997B825}"/>
    <cellStyle name="標準 72" xfId="73" xr:uid="{FDCCB2C7-274C-4EE2-8936-F603CF79967F}"/>
    <cellStyle name="標準 73" xfId="74" xr:uid="{90F72B81-E360-41AE-BB90-D24C6C098828}"/>
    <cellStyle name="標準 74" xfId="75" xr:uid="{D9A6A60D-CB8F-4A57-8D30-5E8D0D0A493A}"/>
    <cellStyle name="標準 75" xfId="76" xr:uid="{C455B0C9-A38A-42A1-891B-EA3A80F8CEBB}"/>
    <cellStyle name="標準 76" xfId="77" xr:uid="{D6B5798D-34C6-45F2-A2EC-244C21550D6A}"/>
    <cellStyle name="標準 77" xfId="78" xr:uid="{ACDD8A6C-0700-4A66-B40A-C0926859A081}"/>
    <cellStyle name="標準 78" xfId="79" xr:uid="{B59A901B-785C-4CD4-BBAD-54071A35F22D}"/>
    <cellStyle name="標準 79" xfId="80" xr:uid="{A3730F2E-2E6C-4602-837B-296F8841E49C}"/>
    <cellStyle name="標準 8" xfId="10" xr:uid="{45BC4DB0-8D68-4C1C-AA6C-A3EBBC2A4886}"/>
    <cellStyle name="標準 80" xfId="81" xr:uid="{EBABABB6-36BA-4FFB-A608-C01E3E899FDF}"/>
    <cellStyle name="標準 81" xfId="82" xr:uid="{C6E00092-A663-41C6-A880-60AABC7EC3D9}"/>
    <cellStyle name="標準 82" xfId="83" xr:uid="{87991F92-DDD6-489A-9A34-C0B79B50D84A}"/>
    <cellStyle name="標準 83" xfId="84" xr:uid="{CEC86073-4C7B-4163-B6A3-3858E0BE7FFD}"/>
    <cellStyle name="標準 84" xfId="85" xr:uid="{8A31DB22-F88A-42DF-AF2E-33CAF3F586D3}"/>
    <cellStyle name="標準 85" xfId="86" xr:uid="{D8FF520E-5616-4ED8-B0CB-05084EA8A02B}"/>
    <cellStyle name="標準 86" xfId="87" xr:uid="{03ED5D59-59CB-4423-ADCE-0837BF95AEC3}"/>
    <cellStyle name="標準 87" xfId="88" xr:uid="{92194843-5056-4651-B452-9C684662AD7D}"/>
    <cellStyle name="標準 88" xfId="89" xr:uid="{D0DC89FA-37E6-48F6-9212-0A08694CB64D}"/>
    <cellStyle name="標準 89" xfId="90" xr:uid="{6BF00896-D7B6-4F26-8C63-DF3E0DC857AB}"/>
    <cellStyle name="標準 9" xfId="11" xr:uid="{0061E5B1-D118-44DC-A912-3978580D7D63}"/>
    <cellStyle name="標準 90" xfId="91" xr:uid="{1E967D0C-B161-4BB4-BC74-014CA2EC15A0}"/>
    <cellStyle name="標準 91" xfId="92" xr:uid="{480397B4-75E1-4DCA-9A17-B161C24188DF}"/>
    <cellStyle name="標準 92" xfId="93" xr:uid="{34F6C80F-AA94-44CD-BF71-9951CC72EB8B}"/>
    <cellStyle name="標準 93" xfId="94" xr:uid="{41F53FE1-3D1A-4F05-9839-EBE983E9C04E}"/>
    <cellStyle name="標準 94" xfId="95" xr:uid="{13C7B2E1-78F4-47D5-B878-109B19C2F4F9}"/>
    <cellStyle name="標準 95" xfId="96" xr:uid="{B8722C0F-C11E-4AA9-A417-DA9A14C5D919}"/>
    <cellStyle name="標準 96" xfId="97" xr:uid="{39283974-6172-4C00-95E1-C61B3DDA9D19}"/>
    <cellStyle name="標準 97" xfId="98" xr:uid="{8237739C-3DC6-49DF-94CF-2358294D7741}"/>
    <cellStyle name="標準 98" xfId="99" xr:uid="{81205CBD-FB11-4225-AD25-4D0760945D00}"/>
    <cellStyle name="標準 99" xfId="100" xr:uid="{571E2E29-D481-429E-BAFA-E6CFECD7571D}"/>
  </cellStyles>
  <dxfs count="49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fgColor indexed="64"/>
          <bgColor rgb="FFFF0000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fgColor indexed="64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fgColor indexed="64"/>
          <bgColor rgb="FFFF0000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fgColor indexed="64"/>
          <bgColor rgb="FFFF0000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fgColor indexed="64"/>
          <bgColor rgb="FFFF0000"/>
        </patternFill>
      </fill>
    </dxf>
    <dxf>
      <fill>
        <patternFill patternType="solid">
          <fgColor rgb="FFC0C0C0"/>
          <bgColor rgb="FFC0C0C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alignment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76" formatCode="yyyy/mm/dd"/>
      <alignment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011069839473168E-2"/>
          <c:y val="5.0925925925925923E-2"/>
          <c:w val="0.96878654846814394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Progress!$B$23</c:f>
              <c:strCache>
                <c:ptCount val="1"/>
                <c:pt idx="0">
                  <c:v>予定完了</c:v>
                </c:pt>
              </c:strCache>
            </c:strRef>
          </c:tx>
          <c:spPr>
            <a:pattFill prst="pct2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Progress!$C$22:$CT$22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Progress!$C$23:$CT$23</c:f>
              <c:numCache>
                <c:formatCode>General</c:formatCode>
                <c:ptCount val="96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18</c:v>
                </c:pt>
                <c:pt idx="8">
                  <c:v>21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22</c:v>
                </c:pt>
                <c:pt idx="16">
                  <c:v>21</c:v>
                </c:pt>
                <c:pt idx="17">
                  <c:v>43</c:v>
                </c:pt>
                <c:pt idx="18">
                  <c:v>22</c:v>
                </c:pt>
                <c:pt idx="19">
                  <c:v>0</c:v>
                </c:pt>
                <c:pt idx="20">
                  <c:v>0</c:v>
                </c:pt>
                <c:pt idx="21">
                  <c:v>17</c:v>
                </c:pt>
                <c:pt idx="22">
                  <c:v>6</c:v>
                </c:pt>
                <c:pt idx="23">
                  <c:v>19</c:v>
                </c:pt>
                <c:pt idx="24">
                  <c:v>23</c:v>
                </c:pt>
                <c:pt idx="25">
                  <c:v>22</c:v>
                </c:pt>
                <c:pt idx="26">
                  <c:v>0</c:v>
                </c:pt>
                <c:pt idx="27">
                  <c:v>0</c:v>
                </c:pt>
                <c:pt idx="28">
                  <c:v>21</c:v>
                </c:pt>
                <c:pt idx="29">
                  <c:v>0</c:v>
                </c:pt>
                <c:pt idx="30">
                  <c:v>4</c:v>
                </c:pt>
                <c:pt idx="31">
                  <c:v>4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12</c:v>
                </c:pt>
                <c:pt idx="36">
                  <c:v>15</c:v>
                </c:pt>
                <c:pt idx="37">
                  <c:v>7</c:v>
                </c:pt>
                <c:pt idx="38">
                  <c:v>12</c:v>
                </c:pt>
                <c:pt idx="39">
                  <c:v>7</c:v>
                </c:pt>
                <c:pt idx="40">
                  <c:v>0</c:v>
                </c:pt>
                <c:pt idx="41">
                  <c:v>0</c:v>
                </c:pt>
                <c:pt idx="42">
                  <c:v>8</c:v>
                </c:pt>
                <c:pt idx="43">
                  <c:v>10</c:v>
                </c:pt>
                <c:pt idx="44">
                  <c:v>5</c:v>
                </c:pt>
                <c:pt idx="45">
                  <c:v>2</c:v>
                </c:pt>
                <c:pt idx="46">
                  <c:v>5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16</c:v>
                </c:pt>
                <c:pt idx="51">
                  <c:v>17</c:v>
                </c:pt>
                <c:pt idx="52">
                  <c:v>9</c:v>
                </c:pt>
                <c:pt idx="53">
                  <c:v>7</c:v>
                </c:pt>
                <c:pt idx="54">
                  <c:v>0</c:v>
                </c:pt>
                <c:pt idx="55">
                  <c:v>0</c:v>
                </c:pt>
                <c:pt idx="56">
                  <c:v>16</c:v>
                </c:pt>
                <c:pt idx="57">
                  <c:v>15</c:v>
                </c:pt>
                <c:pt idx="58">
                  <c:v>4</c:v>
                </c:pt>
                <c:pt idx="59">
                  <c:v>10</c:v>
                </c:pt>
                <c:pt idx="60">
                  <c:v>3</c:v>
                </c:pt>
                <c:pt idx="61">
                  <c:v>0</c:v>
                </c:pt>
                <c:pt idx="62">
                  <c:v>0</c:v>
                </c:pt>
                <c:pt idx="63">
                  <c:v>5</c:v>
                </c:pt>
                <c:pt idx="64">
                  <c:v>14</c:v>
                </c:pt>
                <c:pt idx="65">
                  <c:v>18</c:v>
                </c:pt>
                <c:pt idx="66">
                  <c:v>4</c:v>
                </c:pt>
                <c:pt idx="67">
                  <c:v>5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</c:v>
                </c:pt>
                <c:pt idx="72">
                  <c:v>8</c:v>
                </c:pt>
                <c:pt idx="73">
                  <c:v>6</c:v>
                </c:pt>
                <c:pt idx="74">
                  <c:v>11</c:v>
                </c:pt>
                <c:pt idx="75">
                  <c:v>0</c:v>
                </c:pt>
                <c:pt idx="76">
                  <c:v>0</c:v>
                </c:pt>
                <c:pt idx="77">
                  <c:v>6</c:v>
                </c:pt>
                <c:pt idx="78">
                  <c:v>10</c:v>
                </c:pt>
                <c:pt idx="79">
                  <c:v>4</c:v>
                </c:pt>
                <c:pt idx="80">
                  <c:v>5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7</c:v>
                </c:pt>
                <c:pt idx="85">
                  <c:v>6</c:v>
                </c:pt>
                <c:pt idx="86">
                  <c:v>12</c:v>
                </c:pt>
                <c:pt idx="87">
                  <c:v>12</c:v>
                </c:pt>
                <c:pt idx="88">
                  <c:v>15</c:v>
                </c:pt>
                <c:pt idx="89">
                  <c:v>0</c:v>
                </c:pt>
                <c:pt idx="90">
                  <c:v>0</c:v>
                </c:pt>
                <c:pt idx="91">
                  <c:v>4</c:v>
                </c:pt>
                <c:pt idx="92">
                  <c:v>4</c:v>
                </c:pt>
                <c:pt idx="93">
                  <c:v>6</c:v>
                </c:pt>
                <c:pt idx="94">
                  <c:v>6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F-46B6-BA43-F7C77E4862D2}"/>
            </c:ext>
          </c:extLst>
        </c:ser>
        <c:ser>
          <c:idx val="2"/>
          <c:order val="2"/>
          <c:tx>
            <c:strRef>
              <c:f>Progress!$B$25</c:f>
              <c:strCache>
                <c:ptCount val="1"/>
                <c:pt idx="0">
                  <c:v>実績完了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Progress!$C$22:$CT$22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Progress!$C$25:$CT$25</c:f>
              <c:numCache>
                <c:formatCode>General</c:formatCode>
                <c:ptCount val="96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13</c:v>
                </c:pt>
                <c:pt idx="8">
                  <c:v>17</c:v>
                </c:pt>
                <c:pt idx="9">
                  <c:v>4</c:v>
                </c:pt>
                <c:pt idx="10">
                  <c:v>15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F-46B6-BA43-F7C77E486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Progress!$B$24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Progress!$C$22:$CT$22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Progress!$C$24:$CT$24</c:f>
              <c:numCache>
                <c:formatCode>General</c:formatCode>
                <c:ptCount val="96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14</c:v>
                </c:pt>
                <c:pt idx="5">
                  <c:v>14</c:v>
                </c:pt>
                <c:pt idx="6">
                  <c:v>14</c:v>
                </c:pt>
                <c:pt idx="7">
                  <c:v>32</c:v>
                </c:pt>
                <c:pt idx="8">
                  <c:v>53</c:v>
                </c:pt>
                <c:pt idx="9">
                  <c:v>56</c:v>
                </c:pt>
                <c:pt idx="10">
                  <c:v>56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59</c:v>
                </c:pt>
                <c:pt idx="15">
                  <c:v>81</c:v>
                </c:pt>
                <c:pt idx="16">
                  <c:v>102</c:v>
                </c:pt>
                <c:pt idx="17">
                  <c:v>145</c:v>
                </c:pt>
                <c:pt idx="18">
                  <c:v>167</c:v>
                </c:pt>
                <c:pt idx="19">
                  <c:v>167</c:v>
                </c:pt>
                <c:pt idx="20">
                  <c:v>167</c:v>
                </c:pt>
                <c:pt idx="21">
                  <c:v>184</c:v>
                </c:pt>
                <c:pt idx="22">
                  <c:v>190</c:v>
                </c:pt>
                <c:pt idx="23">
                  <c:v>209</c:v>
                </c:pt>
                <c:pt idx="24">
                  <c:v>232</c:v>
                </c:pt>
                <c:pt idx="25">
                  <c:v>254</c:v>
                </c:pt>
                <c:pt idx="26">
                  <c:v>254</c:v>
                </c:pt>
                <c:pt idx="27">
                  <c:v>254</c:v>
                </c:pt>
                <c:pt idx="28">
                  <c:v>275</c:v>
                </c:pt>
                <c:pt idx="29">
                  <c:v>275</c:v>
                </c:pt>
                <c:pt idx="30">
                  <c:v>279</c:v>
                </c:pt>
                <c:pt idx="31">
                  <c:v>283</c:v>
                </c:pt>
                <c:pt idx="32">
                  <c:v>285</c:v>
                </c:pt>
                <c:pt idx="33">
                  <c:v>285</c:v>
                </c:pt>
                <c:pt idx="34">
                  <c:v>285</c:v>
                </c:pt>
                <c:pt idx="35">
                  <c:v>297</c:v>
                </c:pt>
                <c:pt idx="36">
                  <c:v>312</c:v>
                </c:pt>
                <c:pt idx="37">
                  <c:v>319</c:v>
                </c:pt>
                <c:pt idx="38">
                  <c:v>331</c:v>
                </c:pt>
                <c:pt idx="39">
                  <c:v>338</c:v>
                </c:pt>
                <c:pt idx="40">
                  <c:v>338</c:v>
                </c:pt>
                <c:pt idx="41">
                  <c:v>338</c:v>
                </c:pt>
                <c:pt idx="42">
                  <c:v>346</c:v>
                </c:pt>
                <c:pt idx="43">
                  <c:v>356</c:v>
                </c:pt>
                <c:pt idx="44">
                  <c:v>361</c:v>
                </c:pt>
                <c:pt idx="45">
                  <c:v>363</c:v>
                </c:pt>
                <c:pt idx="46">
                  <c:v>368</c:v>
                </c:pt>
                <c:pt idx="47">
                  <c:v>368</c:v>
                </c:pt>
                <c:pt idx="48">
                  <c:v>368</c:v>
                </c:pt>
                <c:pt idx="49">
                  <c:v>368</c:v>
                </c:pt>
                <c:pt idx="50">
                  <c:v>384</c:v>
                </c:pt>
                <c:pt idx="51">
                  <c:v>401</c:v>
                </c:pt>
                <c:pt idx="52">
                  <c:v>410</c:v>
                </c:pt>
                <c:pt idx="53">
                  <c:v>417</c:v>
                </c:pt>
                <c:pt idx="54">
                  <c:v>417</c:v>
                </c:pt>
                <c:pt idx="55">
                  <c:v>417</c:v>
                </c:pt>
                <c:pt idx="56">
                  <c:v>433</c:v>
                </c:pt>
                <c:pt idx="57">
                  <c:v>448</c:v>
                </c:pt>
                <c:pt idx="58">
                  <c:v>452</c:v>
                </c:pt>
                <c:pt idx="59">
                  <c:v>462</c:v>
                </c:pt>
                <c:pt idx="60">
                  <c:v>465</c:v>
                </c:pt>
                <c:pt idx="61">
                  <c:v>465</c:v>
                </c:pt>
                <c:pt idx="62">
                  <c:v>465</c:v>
                </c:pt>
                <c:pt idx="63">
                  <c:v>470</c:v>
                </c:pt>
                <c:pt idx="64">
                  <c:v>484</c:v>
                </c:pt>
                <c:pt idx="65">
                  <c:v>502</c:v>
                </c:pt>
                <c:pt idx="66">
                  <c:v>506</c:v>
                </c:pt>
                <c:pt idx="67">
                  <c:v>511</c:v>
                </c:pt>
                <c:pt idx="68">
                  <c:v>511</c:v>
                </c:pt>
                <c:pt idx="69">
                  <c:v>511</c:v>
                </c:pt>
                <c:pt idx="70">
                  <c:v>511</c:v>
                </c:pt>
                <c:pt idx="71">
                  <c:v>513</c:v>
                </c:pt>
                <c:pt idx="72">
                  <c:v>521</c:v>
                </c:pt>
                <c:pt idx="73">
                  <c:v>527</c:v>
                </c:pt>
                <c:pt idx="74">
                  <c:v>538</c:v>
                </c:pt>
                <c:pt idx="75">
                  <c:v>538</c:v>
                </c:pt>
                <c:pt idx="76">
                  <c:v>538</c:v>
                </c:pt>
                <c:pt idx="77">
                  <c:v>544</c:v>
                </c:pt>
                <c:pt idx="78">
                  <c:v>554</c:v>
                </c:pt>
                <c:pt idx="79">
                  <c:v>558</c:v>
                </c:pt>
                <c:pt idx="80">
                  <c:v>563</c:v>
                </c:pt>
                <c:pt idx="81">
                  <c:v>565</c:v>
                </c:pt>
                <c:pt idx="82">
                  <c:v>565</c:v>
                </c:pt>
                <c:pt idx="83">
                  <c:v>565</c:v>
                </c:pt>
                <c:pt idx="84">
                  <c:v>572</c:v>
                </c:pt>
                <c:pt idx="85">
                  <c:v>578</c:v>
                </c:pt>
                <c:pt idx="86">
                  <c:v>590</c:v>
                </c:pt>
                <c:pt idx="87">
                  <c:v>602</c:v>
                </c:pt>
                <c:pt idx="88">
                  <c:v>617</c:v>
                </c:pt>
                <c:pt idx="89">
                  <c:v>617</c:v>
                </c:pt>
                <c:pt idx="90">
                  <c:v>617</c:v>
                </c:pt>
                <c:pt idx="91">
                  <c:v>621</c:v>
                </c:pt>
                <c:pt idx="92">
                  <c:v>625</c:v>
                </c:pt>
                <c:pt idx="93">
                  <c:v>631</c:v>
                </c:pt>
                <c:pt idx="94">
                  <c:v>637</c:v>
                </c:pt>
                <c:pt idx="95">
                  <c:v>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BF-46B6-BA43-F7C77E4862D2}"/>
            </c:ext>
          </c:extLst>
        </c:ser>
        <c:ser>
          <c:idx val="3"/>
          <c:order val="3"/>
          <c:tx>
            <c:strRef>
              <c:f>Progress!$B$26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Progress!$C$22:$CT$22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Progress!$C$26:$CT$26</c:f>
              <c:numCache>
                <c:formatCode>General</c:formatCode>
                <c:ptCount val="96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25</c:v>
                </c:pt>
                <c:pt idx="8">
                  <c:v>42</c:v>
                </c:pt>
                <c:pt idx="9">
                  <c:v>46</c:v>
                </c:pt>
                <c:pt idx="10">
                  <c:v>61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67</c:v>
                </c:pt>
                <c:pt idx="34">
                  <c:v>67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67</c:v>
                </c:pt>
                <c:pt idx="39">
                  <c:v>67</c:v>
                </c:pt>
                <c:pt idx="40">
                  <c:v>67</c:v>
                </c:pt>
                <c:pt idx="41">
                  <c:v>67</c:v>
                </c:pt>
                <c:pt idx="42">
                  <c:v>67</c:v>
                </c:pt>
                <c:pt idx="43">
                  <c:v>67</c:v>
                </c:pt>
                <c:pt idx="44">
                  <c:v>67</c:v>
                </c:pt>
                <c:pt idx="45">
                  <c:v>67</c:v>
                </c:pt>
                <c:pt idx="46">
                  <c:v>67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67</c:v>
                </c:pt>
                <c:pt idx="75">
                  <c:v>67</c:v>
                </c:pt>
                <c:pt idx="76">
                  <c:v>67</c:v>
                </c:pt>
                <c:pt idx="77">
                  <c:v>67</c:v>
                </c:pt>
                <c:pt idx="78">
                  <c:v>67</c:v>
                </c:pt>
                <c:pt idx="79">
                  <c:v>67</c:v>
                </c:pt>
                <c:pt idx="80">
                  <c:v>67</c:v>
                </c:pt>
                <c:pt idx="81">
                  <c:v>67</c:v>
                </c:pt>
                <c:pt idx="82">
                  <c:v>67</c:v>
                </c:pt>
                <c:pt idx="83">
                  <c:v>67</c:v>
                </c:pt>
                <c:pt idx="84">
                  <c:v>67</c:v>
                </c:pt>
                <c:pt idx="85">
                  <c:v>67</c:v>
                </c:pt>
                <c:pt idx="86">
                  <c:v>67</c:v>
                </c:pt>
                <c:pt idx="87">
                  <c:v>67</c:v>
                </c:pt>
                <c:pt idx="88">
                  <c:v>67</c:v>
                </c:pt>
                <c:pt idx="89">
                  <c:v>67</c:v>
                </c:pt>
                <c:pt idx="90">
                  <c:v>67</c:v>
                </c:pt>
                <c:pt idx="91">
                  <c:v>67</c:v>
                </c:pt>
                <c:pt idx="92">
                  <c:v>67</c:v>
                </c:pt>
                <c:pt idx="93">
                  <c:v>67</c:v>
                </c:pt>
                <c:pt idx="94">
                  <c:v>67</c:v>
                </c:pt>
                <c:pt idx="95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BF-46B6-BA43-F7C77E486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883361681278401E-2"/>
          <c:y val="5.0925925925925923E-2"/>
          <c:w val="0.96878654846814394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Progress!$B$51</c:f>
              <c:strCache>
                <c:ptCount val="1"/>
                <c:pt idx="0">
                  <c:v>予定着手</c:v>
                </c:pt>
              </c:strCache>
            </c:strRef>
          </c:tx>
          <c:spPr>
            <a:pattFill prst="pct20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altLang="ja-JP" sz="1000" b="0" i="0" u="none" strike="noStrike" kern="1200" baseline="0">
                    <a:solidFill>
                      <a:schemeClr val="tx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Progress!$C$50:$CT$50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Progress!$C$51:$CT$51</c:f>
              <c:numCache>
                <c:formatCode>General</c:formatCode>
                <c:ptCount val="96"/>
                <c:pt idx="0">
                  <c:v>1</c:v>
                </c:pt>
                <c:pt idx="1">
                  <c:v>6</c:v>
                </c:pt>
                <c:pt idx="2">
                  <c:v>26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24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21</c:v>
                </c:pt>
                <c:pt idx="17">
                  <c:v>42</c:v>
                </c:pt>
                <c:pt idx="18">
                  <c:v>22</c:v>
                </c:pt>
                <c:pt idx="19">
                  <c:v>0</c:v>
                </c:pt>
                <c:pt idx="20">
                  <c:v>0</c:v>
                </c:pt>
                <c:pt idx="21">
                  <c:v>24</c:v>
                </c:pt>
                <c:pt idx="22">
                  <c:v>19</c:v>
                </c:pt>
                <c:pt idx="23">
                  <c:v>0</c:v>
                </c:pt>
                <c:pt idx="24">
                  <c:v>21</c:v>
                </c:pt>
                <c:pt idx="25">
                  <c:v>23</c:v>
                </c:pt>
                <c:pt idx="26">
                  <c:v>0</c:v>
                </c:pt>
                <c:pt idx="27">
                  <c:v>0</c:v>
                </c:pt>
                <c:pt idx="28">
                  <c:v>21</c:v>
                </c:pt>
                <c:pt idx="29">
                  <c:v>20</c:v>
                </c:pt>
                <c:pt idx="30">
                  <c:v>0</c:v>
                </c:pt>
                <c:pt idx="31">
                  <c:v>5</c:v>
                </c:pt>
                <c:pt idx="32">
                  <c:v>3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15</c:v>
                </c:pt>
                <c:pt idx="37">
                  <c:v>13</c:v>
                </c:pt>
                <c:pt idx="38">
                  <c:v>7</c:v>
                </c:pt>
                <c:pt idx="39">
                  <c:v>12</c:v>
                </c:pt>
                <c:pt idx="40">
                  <c:v>0</c:v>
                </c:pt>
                <c:pt idx="41">
                  <c:v>0</c:v>
                </c:pt>
                <c:pt idx="42">
                  <c:v>7</c:v>
                </c:pt>
                <c:pt idx="43">
                  <c:v>8</c:v>
                </c:pt>
                <c:pt idx="44">
                  <c:v>6</c:v>
                </c:pt>
                <c:pt idx="45">
                  <c:v>5</c:v>
                </c:pt>
                <c:pt idx="46">
                  <c:v>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15</c:v>
                </c:pt>
                <c:pt idx="52">
                  <c:v>20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5</c:v>
                </c:pt>
                <c:pt idx="57">
                  <c:v>16</c:v>
                </c:pt>
                <c:pt idx="58">
                  <c:v>15</c:v>
                </c:pt>
                <c:pt idx="59">
                  <c:v>5</c:v>
                </c:pt>
                <c:pt idx="60">
                  <c:v>5</c:v>
                </c:pt>
                <c:pt idx="61">
                  <c:v>0</c:v>
                </c:pt>
                <c:pt idx="62">
                  <c:v>0</c:v>
                </c:pt>
                <c:pt idx="63">
                  <c:v>2</c:v>
                </c:pt>
                <c:pt idx="64">
                  <c:v>5</c:v>
                </c:pt>
                <c:pt idx="65">
                  <c:v>17</c:v>
                </c:pt>
                <c:pt idx="66">
                  <c:v>14</c:v>
                </c:pt>
                <c:pt idx="67">
                  <c:v>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5</c:v>
                </c:pt>
                <c:pt idx="72">
                  <c:v>4</c:v>
                </c:pt>
                <c:pt idx="73">
                  <c:v>7</c:v>
                </c:pt>
                <c:pt idx="74">
                  <c:v>8</c:v>
                </c:pt>
                <c:pt idx="75">
                  <c:v>0</c:v>
                </c:pt>
                <c:pt idx="76">
                  <c:v>0</c:v>
                </c:pt>
                <c:pt idx="77">
                  <c:v>8</c:v>
                </c:pt>
                <c:pt idx="78">
                  <c:v>9</c:v>
                </c:pt>
                <c:pt idx="79">
                  <c:v>7</c:v>
                </c:pt>
                <c:pt idx="80">
                  <c:v>4</c:v>
                </c:pt>
                <c:pt idx="81">
                  <c:v>5</c:v>
                </c:pt>
                <c:pt idx="82">
                  <c:v>0</c:v>
                </c:pt>
                <c:pt idx="83">
                  <c:v>0</c:v>
                </c:pt>
                <c:pt idx="84">
                  <c:v>4</c:v>
                </c:pt>
                <c:pt idx="85">
                  <c:v>5</c:v>
                </c:pt>
                <c:pt idx="86">
                  <c:v>10</c:v>
                </c:pt>
                <c:pt idx="87">
                  <c:v>6</c:v>
                </c:pt>
                <c:pt idx="88">
                  <c:v>15</c:v>
                </c:pt>
                <c:pt idx="89">
                  <c:v>0</c:v>
                </c:pt>
                <c:pt idx="90">
                  <c:v>0</c:v>
                </c:pt>
                <c:pt idx="91">
                  <c:v>9</c:v>
                </c:pt>
                <c:pt idx="92">
                  <c:v>5</c:v>
                </c:pt>
                <c:pt idx="93">
                  <c:v>3</c:v>
                </c:pt>
                <c:pt idx="94">
                  <c:v>6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74-4221-9A87-9B152AA7ABCB}"/>
            </c:ext>
          </c:extLst>
        </c:ser>
        <c:ser>
          <c:idx val="2"/>
          <c:order val="2"/>
          <c:tx>
            <c:strRef>
              <c:f>Progress!$B$53</c:f>
              <c:strCache>
                <c:ptCount val="1"/>
                <c:pt idx="0">
                  <c:v>実績着手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altLang="ja-JP" sz="1000" b="0" i="0" u="none" strike="noStrike" kern="1200" baseline="0">
                    <a:solidFill>
                      <a:schemeClr val="tx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Progress!$C$50:$CT$50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Progress!$C$53:$CT$53</c:f>
              <c:numCache>
                <c:formatCode>General</c:formatCode>
                <c:ptCount val="96"/>
                <c:pt idx="0">
                  <c:v>1</c:v>
                </c:pt>
                <c:pt idx="1">
                  <c:v>6</c:v>
                </c:pt>
                <c:pt idx="2">
                  <c:v>25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14</c:v>
                </c:pt>
                <c:pt idx="8">
                  <c:v>23</c:v>
                </c:pt>
                <c:pt idx="9">
                  <c:v>9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74-4221-9A87-9B152AA7A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Progress!$B$52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altLang="ja-JP" sz="1000" b="0" i="0" u="none" strike="noStrike" kern="1200" baseline="0">
                    <a:solidFill>
                      <a:schemeClr val="tx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Progress!$C$50:$CT$50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Progress!$C$52:$CT$52</c:f>
              <c:numCache>
                <c:formatCode>General</c:formatCode>
                <c:ptCount val="96"/>
                <c:pt idx="0">
                  <c:v>1</c:v>
                </c:pt>
                <c:pt idx="1">
                  <c:v>7</c:v>
                </c:pt>
                <c:pt idx="2">
                  <c:v>33</c:v>
                </c:pt>
                <c:pt idx="3">
                  <c:v>33</c:v>
                </c:pt>
                <c:pt idx="4">
                  <c:v>37</c:v>
                </c:pt>
                <c:pt idx="5">
                  <c:v>37</c:v>
                </c:pt>
                <c:pt idx="6">
                  <c:v>37</c:v>
                </c:pt>
                <c:pt idx="7">
                  <c:v>37</c:v>
                </c:pt>
                <c:pt idx="8">
                  <c:v>56</c:v>
                </c:pt>
                <c:pt idx="9">
                  <c:v>80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87</c:v>
                </c:pt>
                <c:pt idx="15">
                  <c:v>87</c:v>
                </c:pt>
                <c:pt idx="16">
                  <c:v>108</c:v>
                </c:pt>
                <c:pt idx="17">
                  <c:v>150</c:v>
                </c:pt>
                <c:pt idx="18">
                  <c:v>172</c:v>
                </c:pt>
                <c:pt idx="19">
                  <c:v>172</c:v>
                </c:pt>
                <c:pt idx="20">
                  <c:v>172</c:v>
                </c:pt>
                <c:pt idx="21">
                  <c:v>196</c:v>
                </c:pt>
                <c:pt idx="22">
                  <c:v>215</c:v>
                </c:pt>
                <c:pt idx="23">
                  <c:v>215</c:v>
                </c:pt>
                <c:pt idx="24">
                  <c:v>236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280</c:v>
                </c:pt>
                <c:pt idx="29">
                  <c:v>300</c:v>
                </c:pt>
                <c:pt idx="30">
                  <c:v>300</c:v>
                </c:pt>
                <c:pt idx="31">
                  <c:v>305</c:v>
                </c:pt>
                <c:pt idx="32">
                  <c:v>308</c:v>
                </c:pt>
                <c:pt idx="33">
                  <c:v>308</c:v>
                </c:pt>
                <c:pt idx="34">
                  <c:v>308</c:v>
                </c:pt>
                <c:pt idx="35">
                  <c:v>310</c:v>
                </c:pt>
                <c:pt idx="36">
                  <c:v>325</c:v>
                </c:pt>
                <c:pt idx="37">
                  <c:v>338</c:v>
                </c:pt>
                <c:pt idx="38">
                  <c:v>345</c:v>
                </c:pt>
                <c:pt idx="39">
                  <c:v>357</c:v>
                </c:pt>
                <c:pt idx="40">
                  <c:v>357</c:v>
                </c:pt>
                <c:pt idx="41">
                  <c:v>357</c:v>
                </c:pt>
                <c:pt idx="42">
                  <c:v>364</c:v>
                </c:pt>
                <c:pt idx="43">
                  <c:v>372</c:v>
                </c:pt>
                <c:pt idx="44">
                  <c:v>378</c:v>
                </c:pt>
                <c:pt idx="45">
                  <c:v>383</c:v>
                </c:pt>
                <c:pt idx="46">
                  <c:v>387</c:v>
                </c:pt>
                <c:pt idx="47">
                  <c:v>387</c:v>
                </c:pt>
                <c:pt idx="48">
                  <c:v>387</c:v>
                </c:pt>
                <c:pt idx="49">
                  <c:v>387</c:v>
                </c:pt>
                <c:pt idx="50">
                  <c:v>391</c:v>
                </c:pt>
                <c:pt idx="51">
                  <c:v>406</c:v>
                </c:pt>
                <c:pt idx="52">
                  <c:v>426</c:v>
                </c:pt>
                <c:pt idx="53">
                  <c:v>432</c:v>
                </c:pt>
                <c:pt idx="54">
                  <c:v>432</c:v>
                </c:pt>
                <c:pt idx="55">
                  <c:v>432</c:v>
                </c:pt>
                <c:pt idx="56">
                  <c:v>437</c:v>
                </c:pt>
                <c:pt idx="57">
                  <c:v>453</c:v>
                </c:pt>
                <c:pt idx="58">
                  <c:v>468</c:v>
                </c:pt>
                <c:pt idx="59">
                  <c:v>473</c:v>
                </c:pt>
                <c:pt idx="60">
                  <c:v>478</c:v>
                </c:pt>
                <c:pt idx="61">
                  <c:v>478</c:v>
                </c:pt>
                <c:pt idx="62">
                  <c:v>478</c:v>
                </c:pt>
                <c:pt idx="63">
                  <c:v>480</c:v>
                </c:pt>
                <c:pt idx="64">
                  <c:v>485</c:v>
                </c:pt>
                <c:pt idx="65">
                  <c:v>502</c:v>
                </c:pt>
                <c:pt idx="66">
                  <c:v>516</c:v>
                </c:pt>
                <c:pt idx="67">
                  <c:v>519</c:v>
                </c:pt>
                <c:pt idx="68">
                  <c:v>519</c:v>
                </c:pt>
                <c:pt idx="69">
                  <c:v>519</c:v>
                </c:pt>
                <c:pt idx="70">
                  <c:v>519</c:v>
                </c:pt>
                <c:pt idx="71">
                  <c:v>524</c:v>
                </c:pt>
                <c:pt idx="72">
                  <c:v>528</c:v>
                </c:pt>
                <c:pt idx="73">
                  <c:v>535</c:v>
                </c:pt>
                <c:pt idx="74">
                  <c:v>543</c:v>
                </c:pt>
                <c:pt idx="75">
                  <c:v>543</c:v>
                </c:pt>
                <c:pt idx="76">
                  <c:v>543</c:v>
                </c:pt>
                <c:pt idx="77">
                  <c:v>551</c:v>
                </c:pt>
                <c:pt idx="78">
                  <c:v>560</c:v>
                </c:pt>
                <c:pt idx="79">
                  <c:v>567</c:v>
                </c:pt>
                <c:pt idx="80">
                  <c:v>571</c:v>
                </c:pt>
                <c:pt idx="81">
                  <c:v>576</c:v>
                </c:pt>
                <c:pt idx="82">
                  <c:v>576</c:v>
                </c:pt>
                <c:pt idx="83">
                  <c:v>576</c:v>
                </c:pt>
                <c:pt idx="84">
                  <c:v>580</c:v>
                </c:pt>
                <c:pt idx="85">
                  <c:v>585</c:v>
                </c:pt>
                <c:pt idx="86">
                  <c:v>595</c:v>
                </c:pt>
                <c:pt idx="87">
                  <c:v>601</c:v>
                </c:pt>
                <c:pt idx="88">
                  <c:v>616</c:v>
                </c:pt>
                <c:pt idx="89">
                  <c:v>616</c:v>
                </c:pt>
                <c:pt idx="90">
                  <c:v>616</c:v>
                </c:pt>
                <c:pt idx="91">
                  <c:v>625</c:v>
                </c:pt>
                <c:pt idx="92">
                  <c:v>630</c:v>
                </c:pt>
                <c:pt idx="93">
                  <c:v>633</c:v>
                </c:pt>
                <c:pt idx="94">
                  <c:v>639</c:v>
                </c:pt>
                <c:pt idx="95">
                  <c:v>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74-4221-9A87-9B152AA7ABCB}"/>
            </c:ext>
          </c:extLst>
        </c:ser>
        <c:ser>
          <c:idx val="3"/>
          <c:order val="3"/>
          <c:tx>
            <c:strRef>
              <c:f>Progress!$B$54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altLang="ja-JP" sz="1000" b="0" i="0" u="none" strike="noStrike" kern="1200" baseline="0">
                    <a:solidFill>
                      <a:schemeClr val="tx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Progress!$C$50:$CT$50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Progress!$C$54:$CT$54</c:f>
              <c:numCache>
                <c:formatCode>General</c:formatCode>
                <c:ptCount val="96"/>
                <c:pt idx="0">
                  <c:v>1</c:v>
                </c:pt>
                <c:pt idx="1">
                  <c:v>7</c:v>
                </c:pt>
                <c:pt idx="2">
                  <c:v>32</c:v>
                </c:pt>
                <c:pt idx="3">
                  <c:v>32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52</c:v>
                </c:pt>
                <c:pt idx="8">
                  <c:v>75</c:v>
                </c:pt>
                <c:pt idx="9">
                  <c:v>84</c:v>
                </c:pt>
                <c:pt idx="10">
                  <c:v>86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74-4221-9A87-9B152AA7A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altLang="ja-JP" sz="1000" b="0" i="0" u="none" strike="noStrike" kern="1200" baseline="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altLang="ja-JP" sz="1000" b="0" i="0" u="none" strike="noStrike" kern="1200" baseline="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altLang="ja-JP" sz="1000" b="0" i="0" u="none" strike="noStrike" kern="1200" baseline="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altLang="ja-JP" sz="1000" b="0" i="0" u="none" strike="noStrike" kern="1200" baseline="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altLang="ja-JP" sz="1000" b="0" i="0" u="none" strike="noStrike" kern="1200" baseline="0">
          <a:solidFill>
            <a:schemeClr val="tx1"/>
          </a:solidFill>
          <a:latin typeface="Meiryo UI" panose="020B0604030504040204" pitchFamily="50" charset="-128"/>
          <a:ea typeface="Meiryo UI" panose="020B0604030504040204" pitchFamily="50" charset="-128"/>
          <a:cs typeface="+mn-cs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64380507069353E-2"/>
          <c:y val="5.0925925925925923E-2"/>
          <c:w val="0.968153822789654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'G(0)'!$B$23</c:f>
              <c:strCache>
                <c:ptCount val="1"/>
                <c:pt idx="0">
                  <c:v>予定完了</c:v>
                </c:pt>
              </c:strCache>
            </c:strRef>
          </c:tx>
          <c:spPr>
            <a:pattFill prst="pct2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'G(0)'!$C$22:$CT$22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'G(0)'!$C$23:$CT$23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</c:v>
                </c:pt>
                <c:pt idx="16">
                  <c:v>6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</c:v>
                </c:pt>
                <c:pt idx="51">
                  <c:v>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</c:v>
                </c:pt>
                <c:pt idx="57">
                  <c:v>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</c:v>
                </c:pt>
                <c:pt idx="65">
                  <c:v>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</c:v>
                </c:pt>
                <c:pt idx="88">
                  <c:v>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6</c:v>
                </c:pt>
                <c:pt idx="94">
                  <c:v>6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D1-4BE9-97E0-A88049211968}"/>
            </c:ext>
          </c:extLst>
        </c:ser>
        <c:ser>
          <c:idx val="2"/>
          <c:order val="2"/>
          <c:tx>
            <c:strRef>
              <c:f>'G(0)'!$B$25</c:f>
              <c:strCache>
                <c:ptCount val="1"/>
                <c:pt idx="0">
                  <c:v>実績完了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'G(0)'!$C$22:$CT$22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'G(0)'!$C$25:$CT$25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7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D1-4BE9-97E0-A88049211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'G(0)'!$B$24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'G(0)'!$C$22:$CT$22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'G(0)'!$C$24:$CT$24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19</c:v>
                </c:pt>
                <c:pt idx="16">
                  <c:v>25</c:v>
                </c:pt>
                <c:pt idx="17">
                  <c:v>37</c:v>
                </c:pt>
                <c:pt idx="18">
                  <c:v>43</c:v>
                </c:pt>
                <c:pt idx="19">
                  <c:v>43</c:v>
                </c:pt>
                <c:pt idx="20">
                  <c:v>43</c:v>
                </c:pt>
                <c:pt idx="21">
                  <c:v>43</c:v>
                </c:pt>
                <c:pt idx="22">
                  <c:v>49</c:v>
                </c:pt>
                <c:pt idx="23">
                  <c:v>55</c:v>
                </c:pt>
                <c:pt idx="24">
                  <c:v>61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79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91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103</c:v>
                </c:pt>
                <c:pt idx="65">
                  <c:v>109</c:v>
                </c:pt>
                <c:pt idx="66">
                  <c:v>109</c:v>
                </c:pt>
                <c:pt idx="67">
                  <c:v>109</c:v>
                </c:pt>
                <c:pt idx="68">
                  <c:v>109</c:v>
                </c:pt>
                <c:pt idx="69">
                  <c:v>109</c:v>
                </c:pt>
                <c:pt idx="70">
                  <c:v>109</c:v>
                </c:pt>
                <c:pt idx="71">
                  <c:v>109</c:v>
                </c:pt>
                <c:pt idx="72">
                  <c:v>109</c:v>
                </c:pt>
                <c:pt idx="73">
                  <c:v>109</c:v>
                </c:pt>
                <c:pt idx="74">
                  <c:v>109</c:v>
                </c:pt>
                <c:pt idx="75">
                  <c:v>109</c:v>
                </c:pt>
                <c:pt idx="76">
                  <c:v>109</c:v>
                </c:pt>
                <c:pt idx="77">
                  <c:v>109</c:v>
                </c:pt>
                <c:pt idx="78">
                  <c:v>109</c:v>
                </c:pt>
                <c:pt idx="79">
                  <c:v>109</c:v>
                </c:pt>
                <c:pt idx="80">
                  <c:v>109</c:v>
                </c:pt>
                <c:pt idx="81">
                  <c:v>109</c:v>
                </c:pt>
                <c:pt idx="82">
                  <c:v>109</c:v>
                </c:pt>
                <c:pt idx="83">
                  <c:v>109</c:v>
                </c:pt>
                <c:pt idx="84">
                  <c:v>109</c:v>
                </c:pt>
                <c:pt idx="85">
                  <c:v>109</c:v>
                </c:pt>
                <c:pt idx="86">
                  <c:v>109</c:v>
                </c:pt>
                <c:pt idx="87">
                  <c:v>115</c:v>
                </c:pt>
                <c:pt idx="88">
                  <c:v>121</c:v>
                </c:pt>
                <c:pt idx="89">
                  <c:v>121</c:v>
                </c:pt>
                <c:pt idx="90">
                  <c:v>121</c:v>
                </c:pt>
                <c:pt idx="91">
                  <c:v>121</c:v>
                </c:pt>
                <c:pt idx="92">
                  <c:v>121</c:v>
                </c:pt>
                <c:pt idx="93">
                  <c:v>127</c:v>
                </c:pt>
                <c:pt idx="94">
                  <c:v>133</c:v>
                </c:pt>
                <c:pt idx="95">
                  <c:v>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D1-4BE9-97E0-A88049211968}"/>
            </c:ext>
          </c:extLst>
        </c:ser>
        <c:ser>
          <c:idx val="3"/>
          <c:order val="3"/>
          <c:tx>
            <c:strRef>
              <c:f>'G(0)'!$B$26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'G(0)'!$C$22:$CT$22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'G(0)'!$C$26:$CT$26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9</c:v>
                </c:pt>
                <c:pt idx="8">
                  <c:v>11</c:v>
                </c:pt>
                <c:pt idx="9">
                  <c:v>11</c:v>
                </c:pt>
                <c:pt idx="10">
                  <c:v>18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</c:v>
                </c:pt>
                <c:pt idx="58">
                  <c:v>21</c:v>
                </c:pt>
                <c:pt idx="59">
                  <c:v>21</c:v>
                </c:pt>
                <c:pt idx="60">
                  <c:v>21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</c:v>
                </c:pt>
                <c:pt idx="87">
                  <c:v>21</c:v>
                </c:pt>
                <c:pt idx="88">
                  <c:v>21</c:v>
                </c:pt>
                <c:pt idx="89">
                  <c:v>21</c:v>
                </c:pt>
                <c:pt idx="90">
                  <c:v>21</c:v>
                </c:pt>
                <c:pt idx="91">
                  <c:v>21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D1-4BE9-97E0-A88049211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800160397461003E-2"/>
          <c:y val="5.0925925925925923E-2"/>
          <c:w val="0.968997457910156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'G(0)'!$B$51</c:f>
              <c:strCache>
                <c:ptCount val="1"/>
                <c:pt idx="0">
                  <c:v>予定着手</c:v>
                </c:pt>
              </c:strCache>
            </c:strRef>
          </c:tx>
          <c:spPr>
            <a:pattFill prst="pct20">
              <a:fgClr>
                <a:schemeClr val="accent1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'G(0)'!$C$50:$CT$50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'G(0)'!$C$51:$CT$51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6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</c:v>
                </c:pt>
                <c:pt idx="52">
                  <c:v>6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</c:v>
                </c:pt>
                <c:pt idx="66">
                  <c:v>6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</c:v>
                </c:pt>
                <c:pt idx="89">
                  <c:v>0</c:v>
                </c:pt>
                <c:pt idx="90">
                  <c:v>0</c:v>
                </c:pt>
                <c:pt idx="91">
                  <c:v>6</c:v>
                </c:pt>
                <c:pt idx="92">
                  <c:v>0</c:v>
                </c:pt>
                <c:pt idx="93">
                  <c:v>0</c:v>
                </c:pt>
                <c:pt idx="94">
                  <c:v>6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B-4DB9-B962-A02EBFAC6111}"/>
            </c:ext>
          </c:extLst>
        </c:ser>
        <c:ser>
          <c:idx val="2"/>
          <c:order val="2"/>
          <c:tx>
            <c:strRef>
              <c:f>'G(0)'!$B$53</c:f>
              <c:strCache>
                <c:ptCount val="1"/>
                <c:pt idx="0">
                  <c:v>実績着手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'G(0)'!$C$50:$CT$50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'G(0)'!$C$53:$CT$53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6B-4DB9-B962-A02EBFAC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'G(0)'!$B$52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'G(0)'!$C$50:$CT$50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'G(0)'!$C$52:$CT$52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12</c:v>
                </c:pt>
                <c:pt idx="9">
                  <c:v>18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25</c:v>
                </c:pt>
                <c:pt idx="17">
                  <c:v>37</c:v>
                </c:pt>
                <c:pt idx="18">
                  <c:v>43</c:v>
                </c:pt>
                <c:pt idx="19">
                  <c:v>43</c:v>
                </c:pt>
                <c:pt idx="20">
                  <c:v>43</c:v>
                </c:pt>
                <c:pt idx="21">
                  <c:v>49</c:v>
                </c:pt>
                <c:pt idx="22">
                  <c:v>55</c:v>
                </c:pt>
                <c:pt idx="23">
                  <c:v>55</c:v>
                </c:pt>
                <c:pt idx="24">
                  <c:v>61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73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85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97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109</c:v>
                </c:pt>
                <c:pt idx="66">
                  <c:v>115</c:v>
                </c:pt>
                <c:pt idx="67">
                  <c:v>115</c:v>
                </c:pt>
                <c:pt idx="68">
                  <c:v>115</c:v>
                </c:pt>
                <c:pt idx="69">
                  <c:v>115</c:v>
                </c:pt>
                <c:pt idx="70">
                  <c:v>115</c:v>
                </c:pt>
                <c:pt idx="71">
                  <c:v>115</c:v>
                </c:pt>
                <c:pt idx="72">
                  <c:v>115</c:v>
                </c:pt>
                <c:pt idx="73">
                  <c:v>115</c:v>
                </c:pt>
                <c:pt idx="74">
                  <c:v>115</c:v>
                </c:pt>
                <c:pt idx="75">
                  <c:v>115</c:v>
                </c:pt>
                <c:pt idx="76">
                  <c:v>115</c:v>
                </c:pt>
                <c:pt idx="77">
                  <c:v>115</c:v>
                </c:pt>
                <c:pt idx="78">
                  <c:v>115</c:v>
                </c:pt>
                <c:pt idx="79">
                  <c:v>115</c:v>
                </c:pt>
                <c:pt idx="80">
                  <c:v>115</c:v>
                </c:pt>
                <c:pt idx="81">
                  <c:v>115</c:v>
                </c:pt>
                <c:pt idx="82">
                  <c:v>115</c:v>
                </c:pt>
                <c:pt idx="83">
                  <c:v>115</c:v>
                </c:pt>
                <c:pt idx="84">
                  <c:v>115</c:v>
                </c:pt>
                <c:pt idx="85">
                  <c:v>115</c:v>
                </c:pt>
                <c:pt idx="86">
                  <c:v>115</c:v>
                </c:pt>
                <c:pt idx="87">
                  <c:v>115</c:v>
                </c:pt>
                <c:pt idx="88">
                  <c:v>121</c:v>
                </c:pt>
                <c:pt idx="89">
                  <c:v>121</c:v>
                </c:pt>
                <c:pt idx="90">
                  <c:v>121</c:v>
                </c:pt>
                <c:pt idx="91">
                  <c:v>127</c:v>
                </c:pt>
                <c:pt idx="92">
                  <c:v>127</c:v>
                </c:pt>
                <c:pt idx="93">
                  <c:v>127</c:v>
                </c:pt>
                <c:pt idx="94">
                  <c:v>133</c:v>
                </c:pt>
                <c:pt idx="95">
                  <c:v>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6B-4DB9-B962-A02EBFAC6111}"/>
            </c:ext>
          </c:extLst>
        </c:ser>
        <c:ser>
          <c:idx val="3"/>
          <c:order val="3"/>
          <c:tx>
            <c:strRef>
              <c:f>'G(0)'!$B$54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'G(0)'!$C$50:$CT$50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'G(0)'!$C$54:$CT$54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14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25</c:v>
                </c:pt>
                <c:pt idx="74">
                  <c:v>25</c:v>
                </c:pt>
                <c:pt idx="75">
                  <c:v>25</c:v>
                </c:pt>
                <c:pt idx="76">
                  <c:v>25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6B-4DB9-B962-A02EBFAC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64380507069353E-2"/>
          <c:y val="5.0925925925925923E-2"/>
          <c:w val="0.968153822789654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'G(1)'!$B$23</c:f>
              <c:strCache>
                <c:ptCount val="1"/>
                <c:pt idx="0">
                  <c:v>予定完了</c:v>
                </c:pt>
              </c:strCache>
            </c:strRef>
          </c:tx>
          <c:spPr>
            <a:pattFill prst="pct2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'G(1)'!$C$22:$CT$22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'G(1)'!$C$23:$CT$23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</c:v>
                </c:pt>
                <c:pt idx="16">
                  <c:v>6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6</c:v>
                </c:pt>
                <c:pt idx="51">
                  <c:v>6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</c:v>
                </c:pt>
                <c:pt idx="57">
                  <c:v>6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6</c:v>
                </c:pt>
                <c:pt idx="65">
                  <c:v>6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</c:v>
                </c:pt>
                <c:pt idx="88">
                  <c:v>6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6</c:v>
                </c:pt>
                <c:pt idx="94">
                  <c:v>6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EC-49FF-A90F-4397623BA52F}"/>
            </c:ext>
          </c:extLst>
        </c:ser>
        <c:ser>
          <c:idx val="2"/>
          <c:order val="2"/>
          <c:tx>
            <c:strRef>
              <c:f>'G(1)'!$B$25</c:f>
              <c:strCache>
                <c:ptCount val="1"/>
                <c:pt idx="0">
                  <c:v>実績完了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'G(1)'!$C$22:$CT$22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'G(1)'!$C$25:$CT$25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7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EC-49FF-A90F-4397623BA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'G(1)'!$B$24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'G(1)'!$C$22:$CT$22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'G(1)'!$C$24:$CT$24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10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19</c:v>
                </c:pt>
                <c:pt idx="16">
                  <c:v>25</c:v>
                </c:pt>
                <c:pt idx="17">
                  <c:v>37</c:v>
                </c:pt>
                <c:pt idx="18">
                  <c:v>43</c:v>
                </c:pt>
                <c:pt idx="19">
                  <c:v>43</c:v>
                </c:pt>
                <c:pt idx="20">
                  <c:v>43</c:v>
                </c:pt>
                <c:pt idx="21">
                  <c:v>43</c:v>
                </c:pt>
                <c:pt idx="22">
                  <c:v>49</c:v>
                </c:pt>
                <c:pt idx="23">
                  <c:v>55</c:v>
                </c:pt>
                <c:pt idx="24">
                  <c:v>61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73</c:v>
                </c:pt>
                <c:pt idx="29">
                  <c:v>73</c:v>
                </c:pt>
                <c:pt idx="30">
                  <c:v>73</c:v>
                </c:pt>
                <c:pt idx="31">
                  <c:v>73</c:v>
                </c:pt>
                <c:pt idx="32">
                  <c:v>73</c:v>
                </c:pt>
                <c:pt idx="33">
                  <c:v>73</c:v>
                </c:pt>
                <c:pt idx="34">
                  <c:v>73</c:v>
                </c:pt>
                <c:pt idx="35">
                  <c:v>73</c:v>
                </c:pt>
                <c:pt idx="36">
                  <c:v>73</c:v>
                </c:pt>
                <c:pt idx="37">
                  <c:v>73</c:v>
                </c:pt>
                <c:pt idx="38">
                  <c:v>73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73</c:v>
                </c:pt>
                <c:pt idx="43">
                  <c:v>73</c:v>
                </c:pt>
                <c:pt idx="44">
                  <c:v>73</c:v>
                </c:pt>
                <c:pt idx="45">
                  <c:v>73</c:v>
                </c:pt>
                <c:pt idx="46">
                  <c:v>73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79</c:v>
                </c:pt>
                <c:pt idx="51">
                  <c:v>85</c:v>
                </c:pt>
                <c:pt idx="52">
                  <c:v>85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91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103</c:v>
                </c:pt>
                <c:pt idx="65">
                  <c:v>109</c:v>
                </c:pt>
                <c:pt idx="66">
                  <c:v>109</c:v>
                </c:pt>
                <c:pt idx="67">
                  <c:v>109</c:v>
                </c:pt>
                <c:pt idx="68">
                  <c:v>109</c:v>
                </c:pt>
                <c:pt idx="69">
                  <c:v>109</c:v>
                </c:pt>
                <c:pt idx="70">
                  <c:v>109</c:v>
                </c:pt>
                <c:pt idx="71">
                  <c:v>109</c:v>
                </c:pt>
                <c:pt idx="72">
                  <c:v>109</c:v>
                </c:pt>
                <c:pt idx="73">
                  <c:v>109</c:v>
                </c:pt>
                <c:pt idx="74">
                  <c:v>109</c:v>
                </c:pt>
                <c:pt idx="75">
                  <c:v>109</c:v>
                </c:pt>
                <c:pt idx="76">
                  <c:v>109</c:v>
                </c:pt>
                <c:pt idx="77">
                  <c:v>109</c:v>
                </c:pt>
                <c:pt idx="78">
                  <c:v>109</c:v>
                </c:pt>
                <c:pt idx="79">
                  <c:v>109</c:v>
                </c:pt>
                <c:pt idx="80">
                  <c:v>109</c:v>
                </c:pt>
                <c:pt idx="81">
                  <c:v>109</c:v>
                </c:pt>
                <c:pt idx="82">
                  <c:v>109</c:v>
                </c:pt>
                <c:pt idx="83">
                  <c:v>109</c:v>
                </c:pt>
                <c:pt idx="84">
                  <c:v>109</c:v>
                </c:pt>
                <c:pt idx="85">
                  <c:v>109</c:v>
                </c:pt>
                <c:pt idx="86">
                  <c:v>109</c:v>
                </c:pt>
                <c:pt idx="87">
                  <c:v>115</c:v>
                </c:pt>
                <c:pt idx="88">
                  <c:v>121</c:v>
                </c:pt>
                <c:pt idx="89">
                  <c:v>121</c:v>
                </c:pt>
                <c:pt idx="90">
                  <c:v>121</c:v>
                </c:pt>
                <c:pt idx="91">
                  <c:v>121</c:v>
                </c:pt>
                <c:pt idx="92">
                  <c:v>121</c:v>
                </c:pt>
                <c:pt idx="93">
                  <c:v>127</c:v>
                </c:pt>
                <c:pt idx="94">
                  <c:v>133</c:v>
                </c:pt>
                <c:pt idx="95">
                  <c:v>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EC-49FF-A90F-4397623BA52F}"/>
            </c:ext>
          </c:extLst>
        </c:ser>
        <c:ser>
          <c:idx val="3"/>
          <c:order val="3"/>
          <c:tx>
            <c:strRef>
              <c:f>'G(1)'!$B$26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'G(1)'!$C$22:$CT$22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'G(1)'!$C$26:$CT$26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9</c:v>
                </c:pt>
                <c:pt idx="8">
                  <c:v>11</c:v>
                </c:pt>
                <c:pt idx="9">
                  <c:v>11</c:v>
                </c:pt>
                <c:pt idx="10">
                  <c:v>18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</c:v>
                </c:pt>
                <c:pt idx="58">
                  <c:v>21</c:v>
                </c:pt>
                <c:pt idx="59">
                  <c:v>21</c:v>
                </c:pt>
                <c:pt idx="60">
                  <c:v>21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</c:v>
                </c:pt>
                <c:pt idx="87">
                  <c:v>21</c:v>
                </c:pt>
                <c:pt idx="88">
                  <c:v>21</c:v>
                </c:pt>
                <c:pt idx="89">
                  <c:v>21</c:v>
                </c:pt>
                <c:pt idx="90">
                  <c:v>21</c:v>
                </c:pt>
                <c:pt idx="91">
                  <c:v>21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EC-49FF-A90F-4397623BA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800160397461003E-2"/>
          <c:y val="5.0925925925925923E-2"/>
          <c:w val="0.968997457910156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'G(1)'!$B$51</c:f>
              <c:strCache>
                <c:ptCount val="1"/>
                <c:pt idx="0">
                  <c:v>予定着手</c:v>
                </c:pt>
              </c:strCache>
            </c:strRef>
          </c:tx>
          <c:spPr>
            <a:pattFill prst="pct20">
              <a:fgClr>
                <a:schemeClr val="accent1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'G(1)'!$C$50:$CT$50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'G(1)'!$C$51:$CT$51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6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</c:v>
                </c:pt>
                <c:pt idx="52">
                  <c:v>6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</c:v>
                </c:pt>
                <c:pt idx="58">
                  <c:v>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6</c:v>
                </c:pt>
                <c:pt idx="66">
                  <c:v>6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</c:v>
                </c:pt>
                <c:pt idx="89">
                  <c:v>0</c:v>
                </c:pt>
                <c:pt idx="90">
                  <c:v>0</c:v>
                </c:pt>
                <c:pt idx="91">
                  <c:v>6</c:v>
                </c:pt>
                <c:pt idx="92">
                  <c:v>0</c:v>
                </c:pt>
                <c:pt idx="93">
                  <c:v>0</c:v>
                </c:pt>
                <c:pt idx="94">
                  <c:v>6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03-40D6-8111-D05BE5D02AE4}"/>
            </c:ext>
          </c:extLst>
        </c:ser>
        <c:ser>
          <c:idx val="2"/>
          <c:order val="2"/>
          <c:tx>
            <c:strRef>
              <c:f>'G(1)'!$B$53</c:f>
              <c:strCache>
                <c:ptCount val="1"/>
                <c:pt idx="0">
                  <c:v>実績着手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'G(1)'!$C$50:$CT$50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'G(1)'!$C$53:$CT$53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03-40D6-8111-D05BE5D02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'G(1)'!$B$52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'G(1)'!$C$50:$CT$50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'G(1)'!$C$52:$CT$52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12</c:v>
                </c:pt>
                <c:pt idx="9">
                  <c:v>18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25</c:v>
                </c:pt>
                <c:pt idx="17">
                  <c:v>37</c:v>
                </c:pt>
                <c:pt idx="18">
                  <c:v>43</c:v>
                </c:pt>
                <c:pt idx="19">
                  <c:v>43</c:v>
                </c:pt>
                <c:pt idx="20">
                  <c:v>43</c:v>
                </c:pt>
                <c:pt idx="21">
                  <c:v>49</c:v>
                </c:pt>
                <c:pt idx="22">
                  <c:v>55</c:v>
                </c:pt>
                <c:pt idx="23">
                  <c:v>55</c:v>
                </c:pt>
                <c:pt idx="24">
                  <c:v>61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73</c:v>
                </c:pt>
                <c:pt idx="29">
                  <c:v>79</c:v>
                </c:pt>
                <c:pt idx="30">
                  <c:v>79</c:v>
                </c:pt>
                <c:pt idx="31">
                  <c:v>79</c:v>
                </c:pt>
                <c:pt idx="32">
                  <c:v>79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85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97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109</c:v>
                </c:pt>
                <c:pt idx="66">
                  <c:v>115</c:v>
                </c:pt>
                <c:pt idx="67">
                  <c:v>115</c:v>
                </c:pt>
                <c:pt idx="68">
                  <c:v>115</c:v>
                </c:pt>
                <c:pt idx="69">
                  <c:v>115</c:v>
                </c:pt>
                <c:pt idx="70">
                  <c:v>115</c:v>
                </c:pt>
                <c:pt idx="71">
                  <c:v>115</c:v>
                </c:pt>
                <c:pt idx="72">
                  <c:v>115</c:v>
                </c:pt>
                <c:pt idx="73">
                  <c:v>115</c:v>
                </c:pt>
                <c:pt idx="74">
                  <c:v>115</c:v>
                </c:pt>
                <c:pt idx="75">
                  <c:v>115</c:v>
                </c:pt>
                <c:pt idx="76">
                  <c:v>115</c:v>
                </c:pt>
                <c:pt idx="77">
                  <c:v>115</c:v>
                </c:pt>
                <c:pt idx="78">
                  <c:v>115</c:v>
                </c:pt>
                <c:pt idx="79">
                  <c:v>115</c:v>
                </c:pt>
                <c:pt idx="80">
                  <c:v>115</c:v>
                </c:pt>
                <c:pt idx="81">
                  <c:v>115</c:v>
                </c:pt>
                <c:pt idx="82">
                  <c:v>115</c:v>
                </c:pt>
                <c:pt idx="83">
                  <c:v>115</c:v>
                </c:pt>
                <c:pt idx="84">
                  <c:v>115</c:v>
                </c:pt>
                <c:pt idx="85">
                  <c:v>115</c:v>
                </c:pt>
                <c:pt idx="86">
                  <c:v>115</c:v>
                </c:pt>
                <c:pt idx="87">
                  <c:v>115</c:v>
                </c:pt>
                <c:pt idx="88">
                  <c:v>121</c:v>
                </c:pt>
                <c:pt idx="89">
                  <c:v>121</c:v>
                </c:pt>
                <c:pt idx="90">
                  <c:v>121</c:v>
                </c:pt>
                <c:pt idx="91">
                  <c:v>127</c:v>
                </c:pt>
                <c:pt idx="92">
                  <c:v>127</c:v>
                </c:pt>
                <c:pt idx="93">
                  <c:v>127</c:v>
                </c:pt>
                <c:pt idx="94">
                  <c:v>133</c:v>
                </c:pt>
                <c:pt idx="95">
                  <c:v>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3-40D6-8111-D05BE5D02AE4}"/>
            </c:ext>
          </c:extLst>
        </c:ser>
        <c:ser>
          <c:idx val="3"/>
          <c:order val="3"/>
          <c:tx>
            <c:strRef>
              <c:f>'G(1)'!$B$54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'G(1)'!$C$50:$CT$50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'G(1)'!$C$54:$CT$54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14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  <c:pt idx="20">
                  <c:v>25</c:v>
                </c:pt>
                <c:pt idx="21">
                  <c:v>25</c:v>
                </c:pt>
                <c:pt idx="22">
                  <c:v>25</c:v>
                </c:pt>
                <c:pt idx="23">
                  <c:v>25</c:v>
                </c:pt>
                <c:pt idx="24">
                  <c:v>25</c:v>
                </c:pt>
                <c:pt idx="25">
                  <c:v>25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25</c:v>
                </c:pt>
                <c:pt idx="30">
                  <c:v>25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25</c:v>
                </c:pt>
                <c:pt idx="74">
                  <c:v>25</c:v>
                </c:pt>
                <c:pt idx="75">
                  <c:v>25</c:v>
                </c:pt>
                <c:pt idx="76">
                  <c:v>25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03-40D6-8111-D05BE5D02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64380507069353E-2"/>
          <c:y val="5.0925925925925923E-2"/>
          <c:w val="0.968153822789654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'G(2)'!$B$23</c:f>
              <c:strCache>
                <c:ptCount val="1"/>
                <c:pt idx="0">
                  <c:v>予定完了</c:v>
                </c:pt>
              </c:strCache>
            </c:strRef>
          </c:tx>
          <c:spPr>
            <a:pattFill prst="pct2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'G(2)'!$C$22:$CT$22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'G(2)'!$C$23:$CT$23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0</c:v>
                </c:pt>
                <c:pt idx="27">
                  <c:v>0</c:v>
                </c:pt>
                <c:pt idx="28">
                  <c:v>3</c:v>
                </c:pt>
                <c:pt idx="29">
                  <c:v>0</c:v>
                </c:pt>
                <c:pt idx="30">
                  <c:v>3</c:v>
                </c:pt>
                <c:pt idx="31">
                  <c:v>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3</c:v>
                </c:pt>
                <c:pt idx="44">
                  <c:v>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3</c:v>
                </c:pt>
                <c:pt idx="52">
                  <c:v>4</c:v>
                </c:pt>
                <c:pt idx="53">
                  <c:v>4</c:v>
                </c:pt>
                <c:pt idx="54">
                  <c:v>0</c:v>
                </c:pt>
                <c:pt idx="55">
                  <c:v>0</c:v>
                </c:pt>
                <c:pt idx="56">
                  <c:v>3</c:v>
                </c:pt>
                <c:pt idx="57">
                  <c:v>3</c:v>
                </c:pt>
                <c:pt idx="58">
                  <c:v>1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1-463C-B7C3-188759AD67E7}"/>
            </c:ext>
          </c:extLst>
        </c:ser>
        <c:ser>
          <c:idx val="2"/>
          <c:order val="2"/>
          <c:tx>
            <c:strRef>
              <c:f>'G(2)'!$B$25</c:f>
              <c:strCache>
                <c:ptCount val="1"/>
                <c:pt idx="0">
                  <c:v>実績完了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'G(2)'!$C$22:$CT$22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'G(2)'!$C$25:$CT$25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1-463C-B7C3-188759AD6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'G(2)'!$B$24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'G(2)'!$C$22:$CT$22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'G(2)'!$C$24:$CT$24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15</c:v>
                </c:pt>
                <c:pt idx="16">
                  <c:v>18</c:v>
                </c:pt>
                <c:pt idx="17">
                  <c:v>24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30</c:v>
                </c:pt>
                <c:pt idx="22">
                  <c:v>30</c:v>
                </c:pt>
                <c:pt idx="23">
                  <c:v>33</c:v>
                </c:pt>
                <c:pt idx="24">
                  <c:v>36</c:v>
                </c:pt>
                <c:pt idx="25">
                  <c:v>39</c:v>
                </c:pt>
                <c:pt idx="26">
                  <c:v>39</c:v>
                </c:pt>
                <c:pt idx="27">
                  <c:v>39</c:v>
                </c:pt>
                <c:pt idx="28">
                  <c:v>42</c:v>
                </c:pt>
                <c:pt idx="29">
                  <c:v>42</c:v>
                </c:pt>
                <c:pt idx="30">
                  <c:v>45</c:v>
                </c:pt>
                <c:pt idx="31">
                  <c:v>48</c:v>
                </c:pt>
                <c:pt idx="32">
                  <c:v>48</c:v>
                </c:pt>
                <c:pt idx="33">
                  <c:v>48</c:v>
                </c:pt>
                <c:pt idx="34">
                  <c:v>48</c:v>
                </c:pt>
                <c:pt idx="35">
                  <c:v>52</c:v>
                </c:pt>
                <c:pt idx="36">
                  <c:v>56</c:v>
                </c:pt>
                <c:pt idx="37">
                  <c:v>60</c:v>
                </c:pt>
                <c:pt idx="38">
                  <c:v>64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66</c:v>
                </c:pt>
                <c:pt idx="43">
                  <c:v>69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74</c:v>
                </c:pt>
                <c:pt idx="51">
                  <c:v>77</c:v>
                </c:pt>
                <c:pt idx="52">
                  <c:v>81</c:v>
                </c:pt>
                <c:pt idx="53">
                  <c:v>85</c:v>
                </c:pt>
                <c:pt idx="54">
                  <c:v>85</c:v>
                </c:pt>
                <c:pt idx="55">
                  <c:v>85</c:v>
                </c:pt>
                <c:pt idx="56">
                  <c:v>88</c:v>
                </c:pt>
                <c:pt idx="57">
                  <c:v>91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94</c:v>
                </c:pt>
                <c:pt idx="65">
                  <c:v>96</c:v>
                </c:pt>
                <c:pt idx="66">
                  <c:v>96</c:v>
                </c:pt>
                <c:pt idx="67">
                  <c:v>96</c:v>
                </c:pt>
                <c:pt idx="68">
                  <c:v>96</c:v>
                </c:pt>
                <c:pt idx="69">
                  <c:v>96</c:v>
                </c:pt>
                <c:pt idx="70">
                  <c:v>96</c:v>
                </c:pt>
                <c:pt idx="71">
                  <c:v>96</c:v>
                </c:pt>
                <c:pt idx="72">
                  <c:v>96</c:v>
                </c:pt>
                <c:pt idx="73">
                  <c:v>96</c:v>
                </c:pt>
                <c:pt idx="74">
                  <c:v>96</c:v>
                </c:pt>
                <c:pt idx="75">
                  <c:v>96</c:v>
                </c:pt>
                <c:pt idx="76">
                  <c:v>96</c:v>
                </c:pt>
                <c:pt idx="77">
                  <c:v>96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96</c:v>
                </c:pt>
                <c:pt idx="82">
                  <c:v>96</c:v>
                </c:pt>
                <c:pt idx="83">
                  <c:v>96</c:v>
                </c:pt>
                <c:pt idx="84">
                  <c:v>96</c:v>
                </c:pt>
                <c:pt idx="85">
                  <c:v>96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E1-463C-B7C3-188759AD67E7}"/>
            </c:ext>
          </c:extLst>
        </c:ser>
        <c:ser>
          <c:idx val="3"/>
          <c:order val="3"/>
          <c:tx>
            <c:strRef>
              <c:f>'G(2)'!$B$26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'G(2)'!$C$22:$CT$22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'G(2)'!$C$26:$CT$26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10</c:v>
                </c:pt>
                <c:pt idx="10">
                  <c:v>12</c:v>
                </c:pt>
                <c:pt idx="11">
                  <c:v>13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13</c:v>
                </c:pt>
                <c:pt idx="27">
                  <c:v>13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13</c:v>
                </c:pt>
                <c:pt idx="41">
                  <c:v>13</c:v>
                </c:pt>
                <c:pt idx="42">
                  <c:v>13</c:v>
                </c:pt>
                <c:pt idx="43">
                  <c:v>13</c:v>
                </c:pt>
                <c:pt idx="44">
                  <c:v>13</c:v>
                </c:pt>
                <c:pt idx="45">
                  <c:v>13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13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13</c:v>
                </c:pt>
                <c:pt idx="63">
                  <c:v>13</c:v>
                </c:pt>
                <c:pt idx="64">
                  <c:v>13</c:v>
                </c:pt>
                <c:pt idx="65">
                  <c:v>13</c:v>
                </c:pt>
                <c:pt idx="66">
                  <c:v>13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13</c:v>
                </c:pt>
                <c:pt idx="72">
                  <c:v>13</c:v>
                </c:pt>
                <c:pt idx="73">
                  <c:v>13</c:v>
                </c:pt>
                <c:pt idx="74">
                  <c:v>13</c:v>
                </c:pt>
                <c:pt idx="75">
                  <c:v>13</c:v>
                </c:pt>
                <c:pt idx="76">
                  <c:v>13</c:v>
                </c:pt>
                <c:pt idx="77">
                  <c:v>13</c:v>
                </c:pt>
                <c:pt idx="78">
                  <c:v>13</c:v>
                </c:pt>
                <c:pt idx="79">
                  <c:v>13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  <c:pt idx="90">
                  <c:v>13</c:v>
                </c:pt>
                <c:pt idx="91">
                  <c:v>13</c:v>
                </c:pt>
                <c:pt idx="92">
                  <c:v>13</c:v>
                </c:pt>
                <c:pt idx="93">
                  <c:v>13</c:v>
                </c:pt>
                <c:pt idx="94">
                  <c:v>13</c:v>
                </c:pt>
                <c:pt idx="95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E1-463C-B7C3-188759AD6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800160397461003E-2"/>
          <c:y val="5.0925925925925923E-2"/>
          <c:w val="0.968997457910156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'G(2)'!$B$51</c:f>
              <c:strCache>
                <c:ptCount val="1"/>
                <c:pt idx="0">
                  <c:v>予定着手</c:v>
                </c:pt>
              </c:strCache>
            </c:strRef>
          </c:tx>
          <c:spPr>
            <a:pattFill prst="pct20">
              <a:fgClr>
                <a:schemeClr val="accent1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'G(2)'!$C$50:$CT$50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'G(2)'!$C$51:$CT$51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3</c:v>
                </c:pt>
                <c:pt idx="23">
                  <c:v>0</c:v>
                </c:pt>
                <c:pt idx="24">
                  <c:v>3</c:v>
                </c:pt>
                <c:pt idx="25">
                  <c:v>3</c:v>
                </c:pt>
                <c:pt idx="26">
                  <c:v>0</c:v>
                </c:pt>
                <c:pt idx="27">
                  <c:v>0</c:v>
                </c:pt>
                <c:pt idx="28">
                  <c:v>3</c:v>
                </c:pt>
                <c:pt idx="29">
                  <c:v>3</c:v>
                </c:pt>
                <c:pt idx="30">
                  <c:v>0</c:v>
                </c:pt>
                <c:pt idx="31">
                  <c:v>3</c:v>
                </c:pt>
                <c:pt idx="32">
                  <c:v>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</c:v>
                </c:pt>
                <c:pt idx="37">
                  <c:v>3</c:v>
                </c:pt>
                <c:pt idx="38">
                  <c:v>5</c:v>
                </c:pt>
                <c:pt idx="39">
                  <c:v>4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3</c:v>
                </c:pt>
                <c:pt idx="45">
                  <c:v>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3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3</c:v>
                </c:pt>
                <c:pt idx="58">
                  <c:v>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9B-4C4C-99FB-A32CFBAC458F}"/>
            </c:ext>
          </c:extLst>
        </c:ser>
        <c:ser>
          <c:idx val="2"/>
          <c:order val="2"/>
          <c:tx>
            <c:strRef>
              <c:f>'G(2)'!$B$53</c:f>
              <c:strCache>
                <c:ptCount val="1"/>
                <c:pt idx="0">
                  <c:v>実績着手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'G(2)'!$C$50:$CT$50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'G(2)'!$C$53:$CT$53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B-4C4C-99FB-A32CFBAC4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'G(2)'!$B$52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'G(2)'!$C$50:$CT$50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'G(2)'!$C$52:$CT$52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9</c:v>
                </c:pt>
                <c:pt idx="9">
                  <c:v>15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21</c:v>
                </c:pt>
                <c:pt idx="17">
                  <c:v>27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33</c:v>
                </c:pt>
                <c:pt idx="22">
                  <c:v>36</c:v>
                </c:pt>
                <c:pt idx="23">
                  <c:v>36</c:v>
                </c:pt>
                <c:pt idx="24">
                  <c:v>39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45</c:v>
                </c:pt>
                <c:pt idx="29">
                  <c:v>48</c:v>
                </c:pt>
                <c:pt idx="30">
                  <c:v>48</c:v>
                </c:pt>
                <c:pt idx="31">
                  <c:v>51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59</c:v>
                </c:pt>
                <c:pt idx="37">
                  <c:v>62</c:v>
                </c:pt>
                <c:pt idx="38">
                  <c:v>67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72</c:v>
                </c:pt>
                <c:pt idx="43">
                  <c:v>72</c:v>
                </c:pt>
                <c:pt idx="44">
                  <c:v>75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80</c:v>
                </c:pt>
                <c:pt idx="52">
                  <c:v>84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88</c:v>
                </c:pt>
                <c:pt idx="57">
                  <c:v>91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96</c:v>
                </c:pt>
                <c:pt idx="66">
                  <c:v>96</c:v>
                </c:pt>
                <c:pt idx="67">
                  <c:v>96</c:v>
                </c:pt>
                <c:pt idx="68">
                  <c:v>96</c:v>
                </c:pt>
                <c:pt idx="69">
                  <c:v>96</c:v>
                </c:pt>
                <c:pt idx="70">
                  <c:v>96</c:v>
                </c:pt>
                <c:pt idx="71">
                  <c:v>96</c:v>
                </c:pt>
                <c:pt idx="72">
                  <c:v>96</c:v>
                </c:pt>
                <c:pt idx="73">
                  <c:v>96</c:v>
                </c:pt>
                <c:pt idx="74">
                  <c:v>96</c:v>
                </c:pt>
                <c:pt idx="75">
                  <c:v>96</c:v>
                </c:pt>
                <c:pt idx="76">
                  <c:v>96</c:v>
                </c:pt>
                <c:pt idx="77">
                  <c:v>96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96</c:v>
                </c:pt>
                <c:pt idx="82">
                  <c:v>96</c:v>
                </c:pt>
                <c:pt idx="83">
                  <c:v>96</c:v>
                </c:pt>
                <c:pt idx="84">
                  <c:v>96</c:v>
                </c:pt>
                <c:pt idx="85">
                  <c:v>96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9B-4C4C-99FB-A32CFBAC458F}"/>
            </c:ext>
          </c:extLst>
        </c:ser>
        <c:ser>
          <c:idx val="3"/>
          <c:order val="3"/>
          <c:tx>
            <c:strRef>
              <c:f>'G(2)'!$B$54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'G(2)'!$C$50:$CT$50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'G(2)'!$C$54:$CT$54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14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9B-4C4C-99FB-A32CFBAC4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64380507069353E-2"/>
          <c:y val="5.0925925925925923E-2"/>
          <c:w val="0.968153822789654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'G(3)'!$B$23</c:f>
              <c:strCache>
                <c:ptCount val="1"/>
                <c:pt idx="0">
                  <c:v>予定完了</c:v>
                </c:pt>
              </c:strCache>
            </c:strRef>
          </c:tx>
          <c:spPr>
            <a:pattFill prst="pct2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'G(3)'!$C$22:$CT$22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'G(3)'!$C$23:$CT$23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</c:v>
                </c:pt>
                <c:pt idx="16">
                  <c:v>6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6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4</c:v>
                </c:pt>
                <c:pt idx="37">
                  <c:v>2</c:v>
                </c:pt>
                <c:pt idx="38">
                  <c:v>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</c:v>
                </c:pt>
                <c:pt idx="51">
                  <c:v>5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3</c:v>
                </c:pt>
                <c:pt idx="57">
                  <c:v>5</c:v>
                </c:pt>
                <c:pt idx="58">
                  <c:v>2</c:v>
                </c:pt>
                <c:pt idx="59">
                  <c:v>4</c:v>
                </c:pt>
                <c:pt idx="60">
                  <c:v>2</c:v>
                </c:pt>
                <c:pt idx="61">
                  <c:v>0</c:v>
                </c:pt>
                <c:pt idx="62">
                  <c:v>0</c:v>
                </c:pt>
                <c:pt idx="63">
                  <c:v>2</c:v>
                </c:pt>
                <c:pt idx="64">
                  <c:v>3</c:v>
                </c:pt>
                <c:pt idx="65">
                  <c:v>3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</c:v>
                </c:pt>
                <c:pt idx="72">
                  <c:v>7</c:v>
                </c:pt>
                <c:pt idx="73">
                  <c:v>5</c:v>
                </c:pt>
                <c:pt idx="74">
                  <c:v>8</c:v>
                </c:pt>
                <c:pt idx="75">
                  <c:v>0</c:v>
                </c:pt>
                <c:pt idx="76">
                  <c:v>0</c:v>
                </c:pt>
                <c:pt idx="77">
                  <c:v>3</c:v>
                </c:pt>
                <c:pt idx="78">
                  <c:v>3</c:v>
                </c:pt>
                <c:pt idx="79">
                  <c:v>0</c:v>
                </c:pt>
                <c:pt idx="80">
                  <c:v>2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7</c:v>
                </c:pt>
                <c:pt idx="85">
                  <c:v>5</c:v>
                </c:pt>
                <c:pt idx="86">
                  <c:v>8</c:v>
                </c:pt>
                <c:pt idx="87">
                  <c:v>3</c:v>
                </c:pt>
                <c:pt idx="88">
                  <c:v>3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6E-4F1A-9BEA-91F8CCCD2FBC}"/>
            </c:ext>
          </c:extLst>
        </c:ser>
        <c:ser>
          <c:idx val="2"/>
          <c:order val="2"/>
          <c:tx>
            <c:strRef>
              <c:f>'G(3)'!$B$25</c:f>
              <c:strCache>
                <c:ptCount val="1"/>
                <c:pt idx="0">
                  <c:v>実績完了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'G(3)'!$C$22:$CT$22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'G(3)'!$C$25:$CT$25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6E-4F1A-9BEA-91F8CCCD2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'G(3)'!$B$24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'G(3)'!$C$22:$CT$22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'G(3)'!$C$24:$CT$24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18</c:v>
                </c:pt>
                <c:pt idx="16">
                  <c:v>24</c:v>
                </c:pt>
                <c:pt idx="17">
                  <c:v>36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50</c:v>
                </c:pt>
                <c:pt idx="22">
                  <c:v>50</c:v>
                </c:pt>
                <c:pt idx="23">
                  <c:v>54</c:v>
                </c:pt>
                <c:pt idx="24">
                  <c:v>60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72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74</c:v>
                </c:pt>
                <c:pt idx="33">
                  <c:v>74</c:v>
                </c:pt>
                <c:pt idx="34">
                  <c:v>74</c:v>
                </c:pt>
                <c:pt idx="35">
                  <c:v>76</c:v>
                </c:pt>
                <c:pt idx="36">
                  <c:v>80</c:v>
                </c:pt>
                <c:pt idx="37">
                  <c:v>82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86</c:v>
                </c:pt>
                <c:pt idx="45">
                  <c:v>88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97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105</c:v>
                </c:pt>
                <c:pt idx="57">
                  <c:v>110</c:v>
                </c:pt>
                <c:pt idx="58">
                  <c:v>112</c:v>
                </c:pt>
                <c:pt idx="59">
                  <c:v>116</c:v>
                </c:pt>
                <c:pt idx="60">
                  <c:v>118</c:v>
                </c:pt>
                <c:pt idx="61">
                  <c:v>118</c:v>
                </c:pt>
                <c:pt idx="62">
                  <c:v>118</c:v>
                </c:pt>
                <c:pt idx="63">
                  <c:v>120</c:v>
                </c:pt>
                <c:pt idx="64">
                  <c:v>123</c:v>
                </c:pt>
                <c:pt idx="65">
                  <c:v>126</c:v>
                </c:pt>
                <c:pt idx="66">
                  <c:v>126</c:v>
                </c:pt>
                <c:pt idx="67">
                  <c:v>128</c:v>
                </c:pt>
                <c:pt idx="68">
                  <c:v>128</c:v>
                </c:pt>
                <c:pt idx="69">
                  <c:v>128</c:v>
                </c:pt>
                <c:pt idx="70">
                  <c:v>128</c:v>
                </c:pt>
                <c:pt idx="71">
                  <c:v>130</c:v>
                </c:pt>
                <c:pt idx="72">
                  <c:v>137</c:v>
                </c:pt>
                <c:pt idx="73">
                  <c:v>142</c:v>
                </c:pt>
                <c:pt idx="74">
                  <c:v>150</c:v>
                </c:pt>
                <c:pt idx="75">
                  <c:v>150</c:v>
                </c:pt>
                <c:pt idx="76">
                  <c:v>150</c:v>
                </c:pt>
                <c:pt idx="77">
                  <c:v>153</c:v>
                </c:pt>
                <c:pt idx="78">
                  <c:v>156</c:v>
                </c:pt>
                <c:pt idx="79">
                  <c:v>156</c:v>
                </c:pt>
                <c:pt idx="80">
                  <c:v>158</c:v>
                </c:pt>
                <c:pt idx="81">
                  <c:v>160</c:v>
                </c:pt>
                <c:pt idx="82">
                  <c:v>160</c:v>
                </c:pt>
                <c:pt idx="83">
                  <c:v>160</c:v>
                </c:pt>
                <c:pt idx="84">
                  <c:v>167</c:v>
                </c:pt>
                <c:pt idx="85">
                  <c:v>172</c:v>
                </c:pt>
                <c:pt idx="86">
                  <c:v>180</c:v>
                </c:pt>
                <c:pt idx="87">
                  <c:v>183</c:v>
                </c:pt>
                <c:pt idx="88">
                  <c:v>186</c:v>
                </c:pt>
                <c:pt idx="89">
                  <c:v>186</c:v>
                </c:pt>
                <c:pt idx="90">
                  <c:v>186</c:v>
                </c:pt>
                <c:pt idx="91">
                  <c:v>186</c:v>
                </c:pt>
                <c:pt idx="92">
                  <c:v>186</c:v>
                </c:pt>
                <c:pt idx="93">
                  <c:v>186</c:v>
                </c:pt>
                <c:pt idx="94">
                  <c:v>186</c:v>
                </c:pt>
                <c:pt idx="95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6E-4F1A-9BEA-91F8CCCD2FBC}"/>
            </c:ext>
          </c:extLst>
        </c:ser>
        <c:ser>
          <c:idx val="3"/>
          <c:order val="3"/>
          <c:tx>
            <c:strRef>
              <c:f>'G(3)'!$B$26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'G(3)'!$C$22:$CT$22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'G(3)'!$C$26:$CT$26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6E-4F1A-9BEA-91F8CCCD2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800160397461003E-2"/>
          <c:y val="5.0925925925925923E-2"/>
          <c:w val="0.968997457910156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'G(3)'!$B$51</c:f>
              <c:strCache>
                <c:ptCount val="1"/>
                <c:pt idx="0">
                  <c:v>予定着手</c:v>
                </c:pt>
              </c:strCache>
            </c:strRef>
          </c:tx>
          <c:spPr>
            <a:pattFill prst="pct20">
              <a:fgClr>
                <a:schemeClr val="accent1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'G(3)'!$C$50:$CT$50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'G(3)'!$C$51:$CT$51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8</c:v>
                </c:pt>
                <c:pt idx="22">
                  <c:v>4</c:v>
                </c:pt>
                <c:pt idx="23">
                  <c:v>0</c:v>
                </c:pt>
                <c:pt idx="24">
                  <c:v>6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4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5</c:v>
                </c:pt>
                <c:pt idx="52">
                  <c:v>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</c:v>
                </c:pt>
                <c:pt idx="58">
                  <c:v>5</c:v>
                </c:pt>
                <c:pt idx="59">
                  <c:v>4</c:v>
                </c:pt>
                <c:pt idx="60">
                  <c:v>2</c:v>
                </c:pt>
                <c:pt idx="61">
                  <c:v>0</c:v>
                </c:pt>
                <c:pt idx="62">
                  <c:v>0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</c:v>
                </c:pt>
                <c:pt idx="72">
                  <c:v>4</c:v>
                </c:pt>
                <c:pt idx="73">
                  <c:v>5</c:v>
                </c:pt>
                <c:pt idx="74">
                  <c:v>8</c:v>
                </c:pt>
                <c:pt idx="75">
                  <c:v>0</c:v>
                </c:pt>
                <c:pt idx="76">
                  <c:v>0</c:v>
                </c:pt>
                <c:pt idx="77">
                  <c:v>5</c:v>
                </c:pt>
                <c:pt idx="78">
                  <c:v>3</c:v>
                </c:pt>
                <c:pt idx="79">
                  <c:v>3</c:v>
                </c:pt>
                <c:pt idx="80">
                  <c:v>0</c:v>
                </c:pt>
                <c:pt idx="81">
                  <c:v>2</c:v>
                </c:pt>
                <c:pt idx="82">
                  <c:v>0</c:v>
                </c:pt>
                <c:pt idx="83">
                  <c:v>0</c:v>
                </c:pt>
                <c:pt idx="84">
                  <c:v>4</c:v>
                </c:pt>
                <c:pt idx="85">
                  <c:v>5</c:v>
                </c:pt>
                <c:pt idx="86">
                  <c:v>8</c:v>
                </c:pt>
                <c:pt idx="87">
                  <c:v>3</c:v>
                </c:pt>
                <c:pt idx="88">
                  <c:v>3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3E-4847-8216-5EA14DCA5AA3}"/>
            </c:ext>
          </c:extLst>
        </c:ser>
        <c:ser>
          <c:idx val="2"/>
          <c:order val="2"/>
          <c:tx>
            <c:strRef>
              <c:f>'G(3)'!$B$53</c:f>
              <c:strCache>
                <c:ptCount val="1"/>
                <c:pt idx="0">
                  <c:v>実績着手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'G(3)'!$C$50:$CT$50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'G(3)'!$C$53:$CT$53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3E-4847-8216-5EA14DCA5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'G(3)'!$B$52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'G(3)'!$C$50:$CT$50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'G(3)'!$C$52:$CT$52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12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24</c:v>
                </c:pt>
                <c:pt idx="17">
                  <c:v>36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50</c:v>
                </c:pt>
                <c:pt idx="22">
                  <c:v>54</c:v>
                </c:pt>
                <c:pt idx="23">
                  <c:v>54</c:v>
                </c:pt>
                <c:pt idx="24">
                  <c:v>60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72</c:v>
                </c:pt>
                <c:pt idx="29">
                  <c:v>77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79</c:v>
                </c:pt>
                <c:pt idx="36">
                  <c:v>83</c:v>
                </c:pt>
                <c:pt idx="37">
                  <c:v>85</c:v>
                </c:pt>
                <c:pt idx="38">
                  <c:v>87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91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97</c:v>
                </c:pt>
                <c:pt idx="51">
                  <c:v>102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110</c:v>
                </c:pt>
                <c:pt idx="58">
                  <c:v>115</c:v>
                </c:pt>
                <c:pt idx="59">
                  <c:v>119</c:v>
                </c:pt>
                <c:pt idx="60">
                  <c:v>121</c:v>
                </c:pt>
                <c:pt idx="61">
                  <c:v>121</c:v>
                </c:pt>
                <c:pt idx="62">
                  <c:v>121</c:v>
                </c:pt>
                <c:pt idx="63">
                  <c:v>123</c:v>
                </c:pt>
                <c:pt idx="64">
                  <c:v>125</c:v>
                </c:pt>
                <c:pt idx="65">
                  <c:v>128</c:v>
                </c:pt>
                <c:pt idx="66">
                  <c:v>131</c:v>
                </c:pt>
                <c:pt idx="67">
                  <c:v>131</c:v>
                </c:pt>
                <c:pt idx="68">
                  <c:v>131</c:v>
                </c:pt>
                <c:pt idx="69">
                  <c:v>131</c:v>
                </c:pt>
                <c:pt idx="70">
                  <c:v>131</c:v>
                </c:pt>
                <c:pt idx="71">
                  <c:v>133</c:v>
                </c:pt>
                <c:pt idx="72">
                  <c:v>137</c:v>
                </c:pt>
                <c:pt idx="73">
                  <c:v>142</c:v>
                </c:pt>
                <c:pt idx="74">
                  <c:v>150</c:v>
                </c:pt>
                <c:pt idx="75">
                  <c:v>150</c:v>
                </c:pt>
                <c:pt idx="76">
                  <c:v>150</c:v>
                </c:pt>
                <c:pt idx="77">
                  <c:v>155</c:v>
                </c:pt>
                <c:pt idx="78">
                  <c:v>158</c:v>
                </c:pt>
                <c:pt idx="79">
                  <c:v>161</c:v>
                </c:pt>
                <c:pt idx="80">
                  <c:v>161</c:v>
                </c:pt>
                <c:pt idx="81">
                  <c:v>163</c:v>
                </c:pt>
                <c:pt idx="82">
                  <c:v>163</c:v>
                </c:pt>
                <c:pt idx="83">
                  <c:v>163</c:v>
                </c:pt>
                <c:pt idx="84">
                  <c:v>167</c:v>
                </c:pt>
                <c:pt idx="85">
                  <c:v>172</c:v>
                </c:pt>
                <c:pt idx="86">
                  <c:v>180</c:v>
                </c:pt>
                <c:pt idx="87">
                  <c:v>183</c:v>
                </c:pt>
                <c:pt idx="88">
                  <c:v>186</c:v>
                </c:pt>
                <c:pt idx="89">
                  <c:v>186</c:v>
                </c:pt>
                <c:pt idx="90">
                  <c:v>186</c:v>
                </c:pt>
                <c:pt idx="91">
                  <c:v>186</c:v>
                </c:pt>
                <c:pt idx="92">
                  <c:v>186</c:v>
                </c:pt>
                <c:pt idx="93">
                  <c:v>186</c:v>
                </c:pt>
                <c:pt idx="94">
                  <c:v>186</c:v>
                </c:pt>
                <c:pt idx="95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3E-4847-8216-5EA14DCA5AA3}"/>
            </c:ext>
          </c:extLst>
        </c:ser>
        <c:ser>
          <c:idx val="3"/>
          <c:order val="3"/>
          <c:tx>
            <c:strRef>
              <c:f>'G(3)'!$B$54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'G(3)'!$C$50:$CT$50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'G(3)'!$C$54:$CT$54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5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9</c:v>
                </c:pt>
                <c:pt idx="8">
                  <c:v>16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3E-4847-8216-5EA14DCA5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64380507069353E-2"/>
          <c:y val="5.0925925925925923E-2"/>
          <c:w val="0.968153822789654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'G(4)'!$B$23</c:f>
              <c:strCache>
                <c:ptCount val="1"/>
                <c:pt idx="0">
                  <c:v>予定完了</c:v>
                </c:pt>
              </c:strCache>
            </c:strRef>
          </c:tx>
          <c:spPr>
            <a:pattFill prst="pct2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'G(4)'!$C$22:$CT$22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'G(4)'!$C$23:$CT$23</c:f>
              <c:numCache>
                <c:formatCode>General</c:formatCode>
                <c:ptCount val="96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5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3</c:v>
                </c:pt>
                <c:pt idx="64">
                  <c:v>3</c:v>
                </c:pt>
                <c:pt idx="65">
                  <c:v>7</c:v>
                </c:pt>
                <c:pt idx="66">
                  <c:v>4</c:v>
                </c:pt>
                <c:pt idx="67">
                  <c:v>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3</c:v>
                </c:pt>
                <c:pt idx="75">
                  <c:v>0</c:v>
                </c:pt>
                <c:pt idx="76">
                  <c:v>0</c:v>
                </c:pt>
                <c:pt idx="77">
                  <c:v>3</c:v>
                </c:pt>
                <c:pt idx="78">
                  <c:v>7</c:v>
                </c:pt>
                <c:pt idx="79">
                  <c:v>4</c:v>
                </c:pt>
                <c:pt idx="80">
                  <c:v>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4</c:v>
                </c:pt>
                <c:pt idx="87">
                  <c:v>3</c:v>
                </c:pt>
                <c:pt idx="88">
                  <c:v>6</c:v>
                </c:pt>
                <c:pt idx="89">
                  <c:v>0</c:v>
                </c:pt>
                <c:pt idx="90">
                  <c:v>0</c:v>
                </c:pt>
                <c:pt idx="91">
                  <c:v>4</c:v>
                </c:pt>
                <c:pt idx="92">
                  <c:v>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9-4878-BA9A-7F05E759580D}"/>
            </c:ext>
          </c:extLst>
        </c:ser>
        <c:ser>
          <c:idx val="2"/>
          <c:order val="2"/>
          <c:tx>
            <c:strRef>
              <c:f>'G(4)'!$B$25</c:f>
              <c:strCache>
                <c:ptCount val="1"/>
                <c:pt idx="0">
                  <c:v>実績完了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'G(4)'!$C$22:$CT$22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'G(4)'!$C$25:$CT$25</c:f>
              <c:numCache>
                <c:formatCode>General</c:formatCode>
                <c:ptCount val="96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29-4878-BA9A-7F05E7595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'G(4)'!$B$24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'G(4)'!$C$22:$CT$22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'G(4)'!$C$24:$CT$24</c:f>
              <c:numCache>
                <c:formatCode>General</c:formatCode>
                <c:ptCount val="96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13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16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17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21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24</c:v>
                </c:pt>
                <c:pt idx="51">
                  <c:v>24</c:v>
                </c:pt>
                <c:pt idx="52">
                  <c:v>24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26</c:v>
                </c:pt>
                <c:pt idx="57">
                  <c:v>26</c:v>
                </c:pt>
                <c:pt idx="58">
                  <c:v>26</c:v>
                </c:pt>
                <c:pt idx="59">
                  <c:v>31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35</c:v>
                </c:pt>
                <c:pt idx="64">
                  <c:v>38</c:v>
                </c:pt>
                <c:pt idx="65">
                  <c:v>45</c:v>
                </c:pt>
                <c:pt idx="66">
                  <c:v>49</c:v>
                </c:pt>
                <c:pt idx="67">
                  <c:v>52</c:v>
                </c:pt>
                <c:pt idx="68">
                  <c:v>52</c:v>
                </c:pt>
                <c:pt idx="69">
                  <c:v>52</c:v>
                </c:pt>
                <c:pt idx="70">
                  <c:v>52</c:v>
                </c:pt>
                <c:pt idx="71">
                  <c:v>52</c:v>
                </c:pt>
                <c:pt idx="72">
                  <c:v>53</c:v>
                </c:pt>
                <c:pt idx="73">
                  <c:v>54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60</c:v>
                </c:pt>
                <c:pt idx="78">
                  <c:v>67</c:v>
                </c:pt>
                <c:pt idx="79">
                  <c:v>71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75</c:v>
                </c:pt>
                <c:pt idx="86">
                  <c:v>79</c:v>
                </c:pt>
                <c:pt idx="87">
                  <c:v>82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92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29-4878-BA9A-7F05E759580D}"/>
            </c:ext>
          </c:extLst>
        </c:ser>
        <c:ser>
          <c:idx val="3"/>
          <c:order val="3"/>
          <c:tx>
            <c:strRef>
              <c:f>'G(4)'!$B$26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'G(4)'!$C$22:$CT$22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'G(4)'!$C$26:$CT$26</c:f>
              <c:numCache>
                <c:formatCode>General</c:formatCode>
                <c:ptCount val="96"/>
                <c:pt idx="0">
                  <c:v>2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29-4878-BA9A-7F05E7595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800160397461003E-2"/>
          <c:y val="5.0925925925925923E-2"/>
          <c:w val="0.968997457910156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'G(4)'!$B$51</c:f>
              <c:strCache>
                <c:ptCount val="1"/>
                <c:pt idx="0">
                  <c:v>予定着手</c:v>
                </c:pt>
              </c:strCache>
            </c:strRef>
          </c:tx>
          <c:spPr>
            <a:pattFill prst="pct20">
              <a:fgClr>
                <a:schemeClr val="accent1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'G(4)'!$C$50:$CT$50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'G(4)'!$C$51:$CT$51</c:f>
              <c:numCache>
                <c:formatCode>General</c:formatCode>
                <c:ptCount val="96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3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3</c:v>
                </c:pt>
                <c:pt idx="65">
                  <c:v>6</c:v>
                </c:pt>
                <c:pt idx="66">
                  <c:v>5</c:v>
                </c:pt>
                <c:pt idx="67">
                  <c:v>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3</c:v>
                </c:pt>
                <c:pt idx="72">
                  <c:v>0</c:v>
                </c:pt>
                <c:pt idx="73">
                  <c:v>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3</c:v>
                </c:pt>
                <c:pt idx="78">
                  <c:v>6</c:v>
                </c:pt>
                <c:pt idx="79">
                  <c:v>4</c:v>
                </c:pt>
                <c:pt idx="80">
                  <c:v>4</c:v>
                </c:pt>
                <c:pt idx="81">
                  <c:v>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</c:v>
                </c:pt>
                <c:pt idx="87">
                  <c:v>3</c:v>
                </c:pt>
                <c:pt idx="88">
                  <c:v>6</c:v>
                </c:pt>
                <c:pt idx="89">
                  <c:v>0</c:v>
                </c:pt>
                <c:pt idx="90">
                  <c:v>0</c:v>
                </c:pt>
                <c:pt idx="91">
                  <c:v>3</c:v>
                </c:pt>
                <c:pt idx="92">
                  <c:v>5</c:v>
                </c:pt>
                <c:pt idx="93">
                  <c:v>3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0-457F-B668-AB8B2FA1D5F5}"/>
            </c:ext>
          </c:extLst>
        </c:ser>
        <c:ser>
          <c:idx val="2"/>
          <c:order val="2"/>
          <c:tx>
            <c:strRef>
              <c:f>'G(4)'!$B$53</c:f>
              <c:strCache>
                <c:ptCount val="1"/>
                <c:pt idx="0">
                  <c:v>実績着手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'G(4)'!$C$50:$CT$50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'G(4)'!$C$53:$CT$53</c:f>
              <c:numCache>
                <c:formatCode>General</c:formatCode>
                <c:ptCount val="96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30-457F-B668-AB8B2FA1D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'G(4)'!$B$52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'G(4)'!$C$50:$CT$50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'G(4)'!$C$52:$CT$52</c:f>
              <c:numCache>
                <c:formatCode>General</c:formatCode>
                <c:ptCount val="96"/>
                <c:pt idx="0">
                  <c:v>1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14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24</c:v>
                </c:pt>
                <c:pt idx="44">
                  <c:v>24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26</c:v>
                </c:pt>
                <c:pt idx="51">
                  <c:v>26</c:v>
                </c:pt>
                <c:pt idx="52">
                  <c:v>26</c:v>
                </c:pt>
                <c:pt idx="53">
                  <c:v>26</c:v>
                </c:pt>
                <c:pt idx="54">
                  <c:v>26</c:v>
                </c:pt>
                <c:pt idx="55">
                  <c:v>26</c:v>
                </c:pt>
                <c:pt idx="56">
                  <c:v>28</c:v>
                </c:pt>
                <c:pt idx="57">
                  <c:v>31</c:v>
                </c:pt>
                <c:pt idx="58">
                  <c:v>31</c:v>
                </c:pt>
                <c:pt idx="59">
                  <c:v>31</c:v>
                </c:pt>
                <c:pt idx="60">
                  <c:v>34</c:v>
                </c:pt>
                <c:pt idx="61">
                  <c:v>34</c:v>
                </c:pt>
                <c:pt idx="62">
                  <c:v>34</c:v>
                </c:pt>
                <c:pt idx="63">
                  <c:v>34</c:v>
                </c:pt>
                <c:pt idx="64">
                  <c:v>37</c:v>
                </c:pt>
                <c:pt idx="65">
                  <c:v>43</c:v>
                </c:pt>
                <c:pt idx="66">
                  <c:v>48</c:v>
                </c:pt>
                <c:pt idx="67">
                  <c:v>51</c:v>
                </c:pt>
                <c:pt idx="68">
                  <c:v>51</c:v>
                </c:pt>
                <c:pt idx="69">
                  <c:v>51</c:v>
                </c:pt>
                <c:pt idx="70">
                  <c:v>51</c:v>
                </c:pt>
                <c:pt idx="71">
                  <c:v>54</c:v>
                </c:pt>
                <c:pt idx="72">
                  <c:v>54</c:v>
                </c:pt>
                <c:pt idx="73">
                  <c:v>56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59</c:v>
                </c:pt>
                <c:pt idx="78">
                  <c:v>65</c:v>
                </c:pt>
                <c:pt idx="79">
                  <c:v>69</c:v>
                </c:pt>
                <c:pt idx="80">
                  <c:v>73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76</c:v>
                </c:pt>
                <c:pt idx="85">
                  <c:v>76</c:v>
                </c:pt>
                <c:pt idx="86">
                  <c:v>78</c:v>
                </c:pt>
                <c:pt idx="87">
                  <c:v>81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90</c:v>
                </c:pt>
                <c:pt idx="92">
                  <c:v>95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30-457F-B668-AB8B2FA1D5F5}"/>
            </c:ext>
          </c:extLst>
        </c:ser>
        <c:ser>
          <c:idx val="3"/>
          <c:order val="3"/>
          <c:tx>
            <c:strRef>
              <c:f>'G(4)'!$B$54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'G(4)'!$C$50:$CT$50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'G(4)'!$C$54:$CT$54</c:f>
              <c:numCache>
                <c:formatCode>General</c:formatCode>
                <c:ptCount val="96"/>
                <c:pt idx="0">
                  <c:v>1</c:v>
                </c:pt>
                <c:pt idx="1">
                  <c:v>7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11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11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11</c:v>
                </c:pt>
                <c:pt idx="32">
                  <c:v>11</c:v>
                </c:pt>
                <c:pt idx="33">
                  <c:v>11</c:v>
                </c:pt>
                <c:pt idx="34">
                  <c:v>11</c:v>
                </c:pt>
                <c:pt idx="35">
                  <c:v>11</c:v>
                </c:pt>
                <c:pt idx="36">
                  <c:v>11</c:v>
                </c:pt>
                <c:pt idx="37">
                  <c:v>11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</c:v>
                </c:pt>
                <c:pt idx="42">
                  <c:v>11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</c:v>
                </c:pt>
                <c:pt idx="57">
                  <c:v>11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11</c:v>
                </c:pt>
                <c:pt idx="62">
                  <c:v>11</c:v>
                </c:pt>
                <c:pt idx="63">
                  <c:v>11</c:v>
                </c:pt>
                <c:pt idx="64">
                  <c:v>11</c:v>
                </c:pt>
                <c:pt idx="65">
                  <c:v>11</c:v>
                </c:pt>
                <c:pt idx="66">
                  <c:v>11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30-457F-B668-AB8B2FA1D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64380507069353E-2"/>
          <c:y val="5.0925925925925923E-2"/>
          <c:w val="0.968153822789654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'G(5)'!$B$23</c:f>
              <c:strCache>
                <c:ptCount val="1"/>
                <c:pt idx="0">
                  <c:v>予定完了</c:v>
                </c:pt>
              </c:strCache>
            </c:strRef>
          </c:tx>
          <c:spPr>
            <a:pattFill prst="pct2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'G(5)'!$C$22:$CT$22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'G(5)'!$C$23:$CT$23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</c:v>
                </c:pt>
                <c:pt idx="16">
                  <c:v>6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6</c:v>
                </c:pt>
                <c:pt idx="22">
                  <c:v>0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6</c:v>
                </c:pt>
                <c:pt idx="36">
                  <c:v>6</c:v>
                </c:pt>
                <c:pt idx="37">
                  <c:v>0</c:v>
                </c:pt>
                <c:pt idx="38">
                  <c:v>6</c:v>
                </c:pt>
                <c:pt idx="39">
                  <c:v>6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6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3</c:v>
                </c:pt>
                <c:pt idx="52">
                  <c:v>5</c:v>
                </c:pt>
                <c:pt idx="53">
                  <c:v>2</c:v>
                </c:pt>
                <c:pt idx="54">
                  <c:v>0</c:v>
                </c:pt>
                <c:pt idx="55">
                  <c:v>0</c:v>
                </c:pt>
                <c:pt idx="56">
                  <c:v>3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2B-404F-BAAC-49EC1CF71146}"/>
            </c:ext>
          </c:extLst>
        </c:ser>
        <c:ser>
          <c:idx val="2"/>
          <c:order val="2"/>
          <c:tx>
            <c:strRef>
              <c:f>'G(5)'!$B$25</c:f>
              <c:strCache>
                <c:ptCount val="1"/>
                <c:pt idx="0">
                  <c:v>実績完了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'G(5)'!$C$22:$CT$22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'G(5)'!$C$25:$CT$25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2B-404F-BAAC-49EC1CF71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'G(5)'!$B$24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'G(5)'!$C$22:$CT$22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'G(5)'!$C$24:$CT$24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18</c:v>
                </c:pt>
                <c:pt idx="16">
                  <c:v>24</c:v>
                </c:pt>
                <c:pt idx="17">
                  <c:v>36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48</c:v>
                </c:pt>
                <c:pt idx="22">
                  <c:v>48</c:v>
                </c:pt>
                <c:pt idx="23">
                  <c:v>54</c:v>
                </c:pt>
                <c:pt idx="24">
                  <c:v>60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72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78</c:v>
                </c:pt>
                <c:pt idx="36">
                  <c:v>84</c:v>
                </c:pt>
                <c:pt idx="37">
                  <c:v>84</c:v>
                </c:pt>
                <c:pt idx="38">
                  <c:v>90</c:v>
                </c:pt>
                <c:pt idx="39">
                  <c:v>96</c:v>
                </c:pt>
                <c:pt idx="40">
                  <c:v>96</c:v>
                </c:pt>
                <c:pt idx="41">
                  <c:v>96</c:v>
                </c:pt>
                <c:pt idx="42">
                  <c:v>102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110</c:v>
                </c:pt>
                <c:pt idx="51">
                  <c:v>113</c:v>
                </c:pt>
                <c:pt idx="52">
                  <c:v>118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123</c:v>
                </c:pt>
                <c:pt idx="57">
                  <c:v>124</c:v>
                </c:pt>
                <c:pt idx="58">
                  <c:v>125</c:v>
                </c:pt>
                <c:pt idx="59">
                  <c:v>126</c:v>
                </c:pt>
                <c:pt idx="60">
                  <c:v>126</c:v>
                </c:pt>
                <c:pt idx="61">
                  <c:v>126</c:v>
                </c:pt>
                <c:pt idx="62">
                  <c:v>126</c:v>
                </c:pt>
                <c:pt idx="63">
                  <c:v>126</c:v>
                </c:pt>
                <c:pt idx="64">
                  <c:v>126</c:v>
                </c:pt>
                <c:pt idx="65">
                  <c:v>126</c:v>
                </c:pt>
                <c:pt idx="66">
                  <c:v>126</c:v>
                </c:pt>
                <c:pt idx="67">
                  <c:v>126</c:v>
                </c:pt>
                <c:pt idx="68">
                  <c:v>126</c:v>
                </c:pt>
                <c:pt idx="69">
                  <c:v>126</c:v>
                </c:pt>
                <c:pt idx="70">
                  <c:v>126</c:v>
                </c:pt>
                <c:pt idx="71">
                  <c:v>126</c:v>
                </c:pt>
                <c:pt idx="72">
                  <c:v>126</c:v>
                </c:pt>
                <c:pt idx="73">
                  <c:v>126</c:v>
                </c:pt>
                <c:pt idx="74">
                  <c:v>126</c:v>
                </c:pt>
                <c:pt idx="75">
                  <c:v>126</c:v>
                </c:pt>
                <c:pt idx="76">
                  <c:v>126</c:v>
                </c:pt>
                <c:pt idx="77">
                  <c:v>126</c:v>
                </c:pt>
                <c:pt idx="78">
                  <c:v>126</c:v>
                </c:pt>
                <c:pt idx="79">
                  <c:v>126</c:v>
                </c:pt>
                <c:pt idx="80">
                  <c:v>126</c:v>
                </c:pt>
                <c:pt idx="81">
                  <c:v>126</c:v>
                </c:pt>
                <c:pt idx="82">
                  <c:v>126</c:v>
                </c:pt>
                <c:pt idx="83">
                  <c:v>126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126</c:v>
                </c:pt>
                <c:pt idx="88">
                  <c:v>126</c:v>
                </c:pt>
                <c:pt idx="89">
                  <c:v>126</c:v>
                </c:pt>
                <c:pt idx="90">
                  <c:v>126</c:v>
                </c:pt>
                <c:pt idx="91">
                  <c:v>126</c:v>
                </c:pt>
                <c:pt idx="92">
                  <c:v>126</c:v>
                </c:pt>
                <c:pt idx="93">
                  <c:v>126</c:v>
                </c:pt>
                <c:pt idx="94">
                  <c:v>126</c:v>
                </c:pt>
                <c:pt idx="95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32B-404F-BAAC-49EC1CF71146}"/>
            </c:ext>
          </c:extLst>
        </c:ser>
        <c:ser>
          <c:idx val="3"/>
          <c:order val="3"/>
          <c:tx>
            <c:strRef>
              <c:f>'G(5)'!$B$26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'G(5)'!$C$22:$CT$22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'G(5)'!$C$26:$CT$26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32B-404F-BAAC-49EC1CF71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800160397461003E-2"/>
          <c:y val="5.0925925925925923E-2"/>
          <c:w val="0.96899745791015612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'G(5)'!$B$51</c:f>
              <c:strCache>
                <c:ptCount val="1"/>
                <c:pt idx="0">
                  <c:v>予定着手</c:v>
                </c:pt>
              </c:strCache>
            </c:strRef>
          </c:tx>
          <c:spPr>
            <a:pattFill prst="pct20">
              <a:fgClr>
                <a:schemeClr val="accent1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rgbClr val="FF0000"/>
              </a:solidFill>
              <a:prstDash val="sysDot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'G(5)'!$C$50:$CT$50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'G(5)'!$C$51:$CT$51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</c:v>
                </c:pt>
                <c:pt idx="17">
                  <c:v>12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6</c:v>
                </c:pt>
                <c:pt idx="22">
                  <c:v>6</c:v>
                </c:pt>
                <c:pt idx="23">
                  <c:v>0</c:v>
                </c:pt>
                <c:pt idx="24">
                  <c:v>6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</c:v>
                </c:pt>
                <c:pt idx="37">
                  <c:v>6</c:v>
                </c:pt>
                <c:pt idx="38">
                  <c:v>0</c:v>
                </c:pt>
                <c:pt idx="39">
                  <c:v>6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6</c:v>
                </c:pt>
                <c:pt idx="44">
                  <c:v>3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5</c:v>
                </c:pt>
                <c:pt idx="53">
                  <c:v>3</c:v>
                </c:pt>
                <c:pt idx="54">
                  <c:v>0</c:v>
                </c:pt>
                <c:pt idx="55">
                  <c:v>0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1-41AB-A743-E6ED3C503112}"/>
            </c:ext>
          </c:extLst>
        </c:ser>
        <c:ser>
          <c:idx val="2"/>
          <c:order val="2"/>
          <c:tx>
            <c:strRef>
              <c:f>'G(5)'!$B$53</c:f>
              <c:strCache>
                <c:ptCount val="1"/>
                <c:pt idx="0">
                  <c:v>実績着手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'G(5)'!$C$50:$CT$50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'G(5)'!$C$53:$CT$53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1-41AB-A743-E6ED3C503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22033328"/>
        <c:axId val="1522033808"/>
      </c:barChart>
      <c:lineChart>
        <c:grouping val="standard"/>
        <c:varyColors val="0"/>
        <c:ser>
          <c:idx val="1"/>
          <c:order val="1"/>
          <c:tx>
            <c:strRef>
              <c:f>'G(5)'!$B$52</c:f>
              <c:strCache>
                <c:ptCount val="1"/>
                <c:pt idx="0">
                  <c:v>予定累計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'G(5)'!$C$50:$CT$50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'G(5)'!$C$52:$CT$52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12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24</c:v>
                </c:pt>
                <c:pt idx="17">
                  <c:v>36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48</c:v>
                </c:pt>
                <c:pt idx="22">
                  <c:v>54</c:v>
                </c:pt>
                <c:pt idx="23">
                  <c:v>54</c:v>
                </c:pt>
                <c:pt idx="24">
                  <c:v>60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72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84</c:v>
                </c:pt>
                <c:pt idx="37">
                  <c:v>90</c:v>
                </c:pt>
                <c:pt idx="38">
                  <c:v>90</c:v>
                </c:pt>
                <c:pt idx="39">
                  <c:v>96</c:v>
                </c:pt>
                <c:pt idx="40">
                  <c:v>96</c:v>
                </c:pt>
                <c:pt idx="41">
                  <c:v>96</c:v>
                </c:pt>
                <c:pt idx="42">
                  <c:v>102</c:v>
                </c:pt>
                <c:pt idx="43">
                  <c:v>108</c:v>
                </c:pt>
                <c:pt idx="44">
                  <c:v>111</c:v>
                </c:pt>
                <c:pt idx="45">
                  <c:v>111</c:v>
                </c:pt>
                <c:pt idx="46">
                  <c:v>111</c:v>
                </c:pt>
                <c:pt idx="47">
                  <c:v>111</c:v>
                </c:pt>
                <c:pt idx="48">
                  <c:v>111</c:v>
                </c:pt>
                <c:pt idx="49">
                  <c:v>111</c:v>
                </c:pt>
                <c:pt idx="50">
                  <c:v>111</c:v>
                </c:pt>
                <c:pt idx="51">
                  <c:v>113</c:v>
                </c:pt>
                <c:pt idx="52">
                  <c:v>118</c:v>
                </c:pt>
                <c:pt idx="53">
                  <c:v>121</c:v>
                </c:pt>
                <c:pt idx="54">
                  <c:v>121</c:v>
                </c:pt>
                <c:pt idx="55">
                  <c:v>121</c:v>
                </c:pt>
                <c:pt idx="56">
                  <c:v>123</c:v>
                </c:pt>
                <c:pt idx="57">
                  <c:v>124</c:v>
                </c:pt>
                <c:pt idx="58">
                  <c:v>125</c:v>
                </c:pt>
                <c:pt idx="59">
                  <c:v>126</c:v>
                </c:pt>
                <c:pt idx="60">
                  <c:v>126</c:v>
                </c:pt>
                <c:pt idx="61">
                  <c:v>126</c:v>
                </c:pt>
                <c:pt idx="62">
                  <c:v>126</c:v>
                </c:pt>
                <c:pt idx="63">
                  <c:v>126</c:v>
                </c:pt>
                <c:pt idx="64">
                  <c:v>126</c:v>
                </c:pt>
                <c:pt idx="65">
                  <c:v>126</c:v>
                </c:pt>
                <c:pt idx="66">
                  <c:v>126</c:v>
                </c:pt>
                <c:pt idx="67">
                  <c:v>126</c:v>
                </c:pt>
                <c:pt idx="68">
                  <c:v>126</c:v>
                </c:pt>
                <c:pt idx="69">
                  <c:v>126</c:v>
                </c:pt>
                <c:pt idx="70">
                  <c:v>126</c:v>
                </c:pt>
                <c:pt idx="71">
                  <c:v>126</c:v>
                </c:pt>
                <c:pt idx="72">
                  <c:v>126</c:v>
                </c:pt>
                <c:pt idx="73">
                  <c:v>126</c:v>
                </c:pt>
                <c:pt idx="74">
                  <c:v>126</c:v>
                </c:pt>
                <c:pt idx="75">
                  <c:v>126</c:v>
                </c:pt>
                <c:pt idx="76">
                  <c:v>126</c:v>
                </c:pt>
                <c:pt idx="77">
                  <c:v>126</c:v>
                </c:pt>
                <c:pt idx="78">
                  <c:v>126</c:v>
                </c:pt>
                <c:pt idx="79">
                  <c:v>126</c:v>
                </c:pt>
                <c:pt idx="80">
                  <c:v>126</c:v>
                </c:pt>
                <c:pt idx="81">
                  <c:v>126</c:v>
                </c:pt>
                <c:pt idx="82">
                  <c:v>126</c:v>
                </c:pt>
                <c:pt idx="83">
                  <c:v>126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126</c:v>
                </c:pt>
                <c:pt idx="88">
                  <c:v>126</c:v>
                </c:pt>
                <c:pt idx="89">
                  <c:v>126</c:v>
                </c:pt>
                <c:pt idx="90">
                  <c:v>126</c:v>
                </c:pt>
                <c:pt idx="91">
                  <c:v>126</c:v>
                </c:pt>
                <c:pt idx="92">
                  <c:v>126</c:v>
                </c:pt>
                <c:pt idx="93">
                  <c:v>126</c:v>
                </c:pt>
                <c:pt idx="94">
                  <c:v>126</c:v>
                </c:pt>
                <c:pt idx="95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1-41AB-A743-E6ED3C503112}"/>
            </c:ext>
          </c:extLst>
        </c:ser>
        <c:ser>
          <c:idx val="3"/>
          <c:order val="3"/>
          <c:tx>
            <c:strRef>
              <c:f>'G(5)'!$B$54</c:f>
              <c:strCache>
                <c:ptCount val="1"/>
                <c:pt idx="0">
                  <c:v>実績累計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'G(5)'!$C$50:$CT$50</c:f>
              <c:numCache>
                <c:formatCode>mm/dd</c:formatCode>
                <c:ptCount val="96"/>
                <c:pt idx="0">
                  <c:v>45810</c:v>
                </c:pt>
                <c:pt idx="1">
                  <c:v>45811</c:v>
                </c:pt>
                <c:pt idx="2">
                  <c:v>45812</c:v>
                </c:pt>
                <c:pt idx="3">
                  <c:v>45813</c:v>
                </c:pt>
                <c:pt idx="4">
                  <c:v>45814</c:v>
                </c:pt>
                <c:pt idx="5">
                  <c:v>45815</c:v>
                </c:pt>
                <c:pt idx="6">
                  <c:v>45816</c:v>
                </c:pt>
                <c:pt idx="7">
                  <c:v>45817</c:v>
                </c:pt>
                <c:pt idx="8">
                  <c:v>45818</c:v>
                </c:pt>
                <c:pt idx="9">
                  <c:v>45819</c:v>
                </c:pt>
                <c:pt idx="10">
                  <c:v>45820</c:v>
                </c:pt>
                <c:pt idx="11">
                  <c:v>45821</c:v>
                </c:pt>
                <c:pt idx="12">
                  <c:v>45822</c:v>
                </c:pt>
                <c:pt idx="13">
                  <c:v>45823</c:v>
                </c:pt>
                <c:pt idx="14">
                  <c:v>45824</c:v>
                </c:pt>
                <c:pt idx="15">
                  <c:v>45825</c:v>
                </c:pt>
                <c:pt idx="16">
                  <c:v>45826</c:v>
                </c:pt>
                <c:pt idx="17">
                  <c:v>45827</c:v>
                </c:pt>
                <c:pt idx="18">
                  <c:v>45828</c:v>
                </c:pt>
                <c:pt idx="19">
                  <c:v>45829</c:v>
                </c:pt>
                <c:pt idx="20">
                  <c:v>45830</c:v>
                </c:pt>
                <c:pt idx="21">
                  <c:v>45831</c:v>
                </c:pt>
                <c:pt idx="22">
                  <c:v>45832</c:v>
                </c:pt>
                <c:pt idx="23">
                  <c:v>45833</c:v>
                </c:pt>
                <c:pt idx="24">
                  <c:v>45834</c:v>
                </c:pt>
                <c:pt idx="25">
                  <c:v>45835</c:v>
                </c:pt>
                <c:pt idx="26">
                  <c:v>45836</c:v>
                </c:pt>
                <c:pt idx="27">
                  <c:v>45837</c:v>
                </c:pt>
                <c:pt idx="28">
                  <c:v>45838</c:v>
                </c:pt>
                <c:pt idx="29">
                  <c:v>45839</c:v>
                </c:pt>
                <c:pt idx="30">
                  <c:v>45840</c:v>
                </c:pt>
                <c:pt idx="31">
                  <c:v>45841</c:v>
                </c:pt>
                <c:pt idx="32">
                  <c:v>45842</c:v>
                </c:pt>
                <c:pt idx="33">
                  <c:v>45843</c:v>
                </c:pt>
                <c:pt idx="34">
                  <c:v>45844</c:v>
                </c:pt>
                <c:pt idx="35">
                  <c:v>45845</c:v>
                </c:pt>
                <c:pt idx="36">
                  <c:v>45846</c:v>
                </c:pt>
                <c:pt idx="37">
                  <c:v>45847</c:v>
                </c:pt>
                <c:pt idx="38">
                  <c:v>45848</c:v>
                </c:pt>
                <c:pt idx="39">
                  <c:v>45849</c:v>
                </c:pt>
                <c:pt idx="40">
                  <c:v>45850</c:v>
                </c:pt>
                <c:pt idx="41">
                  <c:v>45851</c:v>
                </c:pt>
                <c:pt idx="42">
                  <c:v>45852</c:v>
                </c:pt>
                <c:pt idx="43">
                  <c:v>45853</c:v>
                </c:pt>
                <c:pt idx="44">
                  <c:v>45854</c:v>
                </c:pt>
                <c:pt idx="45">
                  <c:v>45855</c:v>
                </c:pt>
                <c:pt idx="46">
                  <c:v>45856</c:v>
                </c:pt>
                <c:pt idx="47">
                  <c:v>45857</c:v>
                </c:pt>
                <c:pt idx="48">
                  <c:v>45858</c:v>
                </c:pt>
                <c:pt idx="49">
                  <c:v>45859</c:v>
                </c:pt>
                <c:pt idx="50">
                  <c:v>45860</c:v>
                </c:pt>
                <c:pt idx="51">
                  <c:v>45861</c:v>
                </c:pt>
                <c:pt idx="52">
                  <c:v>45862</c:v>
                </c:pt>
                <c:pt idx="53">
                  <c:v>45863</c:v>
                </c:pt>
                <c:pt idx="54">
                  <c:v>45864</c:v>
                </c:pt>
                <c:pt idx="55">
                  <c:v>45865</c:v>
                </c:pt>
                <c:pt idx="56">
                  <c:v>45866</c:v>
                </c:pt>
                <c:pt idx="57">
                  <c:v>45867</c:v>
                </c:pt>
                <c:pt idx="58">
                  <c:v>45868</c:v>
                </c:pt>
                <c:pt idx="59">
                  <c:v>45869</c:v>
                </c:pt>
                <c:pt idx="60">
                  <c:v>45870</c:v>
                </c:pt>
                <c:pt idx="61">
                  <c:v>45871</c:v>
                </c:pt>
                <c:pt idx="62">
                  <c:v>45872</c:v>
                </c:pt>
                <c:pt idx="63">
                  <c:v>45873</c:v>
                </c:pt>
                <c:pt idx="64">
                  <c:v>45874</c:v>
                </c:pt>
                <c:pt idx="65">
                  <c:v>45875</c:v>
                </c:pt>
                <c:pt idx="66">
                  <c:v>45876</c:v>
                </c:pt>
                <c:pt idx="67">
                  <c:v>45877</c:v>
                </c:pt>
                <c:pt idx="68">
                  <c:v>45878</c:v>
                </c:pt>
                <c:pt idx="69">
                  <c:v>45879</c:v>
                </c:pt>
                <c:pt idx="70">
                  <c:v>45880</c:v>
                </c:pt>
                <c:pt idx="71">
                  <c:v>45881</c:v>
                </c:pt>
                <c:pt idx="72">
                  <c:v>45882</c:v>
                </c:pt>
                <c:pt idx="73">
                  <c:v>45883</c:v>
                </c:pt>
                <c:pt idx="74">
                  <c:v>45884</c:v>
                </c:pt>
                <c:pt idx="75">
                  <c:v>45885</c:v>
                </c:pt>
                <c:pt idx="76">
                  <c:v>45886</c:v>
                </c:pt>
                <c:pt idx="77">
                  <c:v>45887</c:v>
                </c:pt>
                <c:pt idx="78">
                  <c:v>45888</c:v>
                </c:pt>
                <c:pt idx="79">
                  <c:v>45889</c:v>
                </c:pt>
                <c:pt idx="80">
                  <c:v>45890</c:v>
                </c:pt>
                <c:pt idx="81">
                  <c:v>45891</c:v>
                </c:pt>
                <c:pt idx="82">
                  <c:v>45892</c:v>
                </c:pt>
                <c:pt idx="83">
                  <c:v>45893</c:v>
                </c:pt>
                <c:pt idx="84">
                  <c:v>45894</c:v>
                </c:pt>
                <c:pt idx="85">
                  <c:v>45895</c:v>
                </c:pt>
                <c:pt idx="86">
                  <c:v>45896</c:v>
                </c:pt>
                <c:pt idx="87">
                  <c:v>45897</c:v>
                </c:pt>
                <c:pt idx="88">
                  <c:v>45898</c:v>
                </c:pt>
                <c:pt idx="89">
                  <c:v>45899</c:v>
                </c:pt>
                <c:pt idx="90">
                  <c:v>45900</c:v>
                </c:pt>
                <c:pt idx="91">
                  <c:v>45901</c:v>
                </c:pt>
                <c:pt idx="92">
                  <c:v>45902</c:v>
                </c:pt>
                <c:pt idx="93">
                  <c:v>45903</c:v>
                </c:pt>
                <c:pt idx="94">
                  <c:v>45904</c:v>
                </c:pt>
                <c:pt idx="95">
                  <c:v>45905</c:v>
                </c:pt>
              </c:numCache>
            </c:numRef>
          </c:cat>
          <c:val>
            <c:numRef>
              <c:f>'G(5)'!$C$54:$CT$54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12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1-41AB-A743-E6ED3C503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281488"/>
        <c:axId val="1518282928"/>
      </c:lineChart>
      <c:catAx>
        <c:axId val="15220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808"/>
        <c:crosses val="autoZero"/>
        <c:auto val="0"/>
        <c:lblAlgn val="ctr"/>
        <c:lblOffset val="100"/>
        <c:noMultiLvlLbl val="0"/>
      </c:catAx>
      <c:valAx>
        <c:axId val="152203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22033328"/>
        <c:crosses val="autoZero"/>
        <c:crossBetween val="between"/>
      </c:valAx>
      <c:valAx>
        <c:axId val="1518282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18281488"/>
        <c:crosses val="max"/>
        <c:crossBetween val="between"/>
      </c:valAx>
      <c:dateAx>
        <c:axId val="1518281488"/>
        <c:scaling>
          <c:orientation val="minMax"/>
        </c:scaling>
        <c:delete val="1"/>
        <c:axPos val="b"/>
        <c:numFmt formatCode="mm/dd" sourceLinked="1"/>
        <c:majorTickMark val="out"/>
        <c:minorTickMark val="none"/>
        <c:tickLblPos val="nextTo"/>
        <c:crossAx val="151828292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9</xdr:row>
          <xdr:rowOff>184150</xdr:rowOff>
        </xdr:from>
        <xdr:to>
          <xdr:col>4</xdr:col>
          <xdr:colOff>0</xdr:colOff>
          <xdr:row>11</xdr:row>
          <xdr:rowOff>177800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READ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14</xdr:row>
          <xdr:rowOff>6350</xdr:rowOff>
        </xdr:from>
        <xdr:to>
          <xdr:col>4</xdr:col>
          <xdr:colOff>0</xdr:colOff>
          <xdr:row>15</xdr:row>
          <xdr:rowOff>184150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96157</xdr:colOff>
      <xdr:row>2</xdr:row>
      <xdr:rowOff>0</xdr:rowOff>
    </xdr:from>
    <xdr:to>
      <xdr:col>98</xdr:col>
      <xdr:colOff>385717</xdr:colOff>
      <xdr:row>16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A4A5455-ABA0-4556-9ECF-876F26BDB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82550</xdr:colOff>
          <xdr:row>17</xdr:row>
          <xdr:rowOff>44450</xdr:rowOff>
        </xdr:from>
        <xdr:to>
          <xdr:col>4</xdr:col>
          <xdr:colOff>552450</xdr:colOff>
          <xdr:row>19</xdr:row>
          <xdr:rowOff>184150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96157</xdr:colOff>
      <xdr:row>30</xdr:row>
      <xdr:rowOff>0</xdr:rowOff>
    </xdr:from>
    <xdr:to>
      <xdr:col>98</xdr:col>
      <xdr:colOff>385717</xdr:colOff>
      <xdr:row>44</xdr:row>
      <xdr:rowOff>175260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DC83EDA-38AE-4F2A-9C9C-8ADD2A4B9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63501</xdr:colOff>
          <xdr:row>17</xdr:row>
          <xdr:rowOff>44450</xdr:rowOff>
        </xdr:from>
        <xdr:to>
          <xdr:col>6</xdr:col>
          <xdr:colOff>589644</xdr:colOff>
          <xdr:row>19</xdr:row>
          <xdr:rowOff>184150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完了遅延タスク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9071</xdr:colOff>
          <xdr:row>17</xdr:row>
          <xdr:rowOff>44450</xdr:rowOff>
        </xdr:from>
        <xdr:to>
          <xdr:col>10</xdr:col>
          <xdr:colOff>571500</xdr:colOff>
          <xdr:row>19</xdr:row>
          <xdr:rowOff>184150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全タスク表示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36287</xdr:colOff>
          <xdr:row>17</xdr:row>
          <xdr:rowOff>44450</xdr:rowOff>
        </xdr:from>
        <xdr:to>
          <xdr:col>8</xdr:col>
          <xdr:colOff>562429</xdr:colOff>
          <xdr:row>19</xdr:row>
          <xdr:rowOff>184150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着手遅延タスク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96157</xdr:colOff>
      <xdr:row>2</xdr:row>
      <xdr:rowOff>0</xdr:rowOff>
    </xdr:from>
    <xdr:to>
      <xdr:col>98</xdr:col>
      <xdr:colOff>385717</xdr:colOff>
      <xdr:row>16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5F1ED0A-8480-485C-A49A-9C3A8DFCF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96157</xdr:colOff>
      <xdr:row>30</xdr:row>
      <xdr:rowOff>0</xdr:rowOff>
    </xdr:from>
    <xdr:to>
      <xdr:col>98</xdr:col>
      <xdr:colOff>385717</xdr:colOff>
      <xdr:row>44</xdr:row>
      <xdr:rowOff>175260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00EA78C-0890-497E-8F09-6E7726E9C2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96157</xdr:colOff>
      <xdr:row>2</xdr:row>
      <xdr:rowOff>0</xdr:rowOff>
    </xdr:from>
    <xdr:to>
      <xdr:col>98</xdr:col>
      <xdr:colOff>385717</xdr:colOff>
      <xdr:row>16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D2A0ACF-74CB-49CB-9C7E-BBBA5231AF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96157</xdr:colOff>
      <xdr:row>30</xdr:row>
      <xdr:rowOff>0</xdr:rowOff>
    </xdr:from>
    <xdr:to>
      <xdr:col>98</xdr:col>
      <xdr:colOff>385717</xdr:colOff>
      <xdr:row>44</xdr:row>
      <xdr:rowOff>175260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2115FBB-15FA-4910-BAE8-167761273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96157</xdr:colOff>
      <xdr:row>2</xdr:row>
      <xdr:rowOff>0</xdr:rowOff>
    </xdr:from>
    <xdr:to>
      <xdr:col>98</xdr:col>
      <xdr:colOff>385717</xdr:colOff>
      <xdr:row>16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EEEEB68-0B7D-4F6D-8DA5-F0C688150C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96157</xdr:colOff>
      <xdr:row>30</xdr:row>
      <xdr:rowOff>0</xdr:rowOff>
    </xdr:from>
    <xdr:to>
      <xdr:col>98</xdr:col>
      <xdr:colOff>385717</xdr:colOff>
      <xdr:row>44</xdr:row>
      <xdr:rowOff>175260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94C3E64-B59C-4D77-BF83-65A2C54C73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96157</xdr:colOff>
      <xdr:row>2</xdr:row>
      <xdr:rowOff>0</xdr:rowOff>
    </xdr:from>
    <xdr:to>
      <xdr:col>98</xdr:col>
      <xdr:colOff>385717</xdr:colOff>
      <xdr:row>16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092891E-928A-4D41-9247-85DF7673D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96157</xdr:colOff>
      <xdr:row>30</xdr:row>
      <xdr:rowOff>0</xdr:rowOff>
    </xdr:from>
    <xdr:to>
      <xdr:col>98</xdr:col>
      <xdr:colOff>385717</xdr:colOff>
      <xdr:row>44</xdr:row>
      <xdr:rowOff>175260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A16508E7-30DC-419E-85D7-3738D8B40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96157</xdr:colOff>
      <xdr:row>2</xdr:row>
      <xdr:rowOff>0</xdr:rowOff>
    </xdr:from>
    <xdr:to>
      <xdr:col>98</xdr:col>
      <xdr:colOff>385717</xdr:colOff>
      <xdr:row>16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FCD9C22-9E62-4010-AF00-024A522F1E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96157</xdr:colOff>
      <xdr:row>30</xdr:row>
      <xdr:rowOff>0</xdr:rowOff>
    </xdr:from>
    <xdr:to>
      <xdr:col>98</xdr:col>
      <xdr:colOff>385717</xdr:colOff>
      <xdr:row>44</xdr:row>
      <xdr:rowOff>175260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733BE57A-9AD1-4A80-929B-B8B75B84E9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96157</xdr:colOff>
      <xdr:row>2</xdr:row>
      <xdr:rowOff>0</xdr:rowOff>
    </xdr:from>
    <xdr:to>
      <xdr:col>98</xdr:col>
      <xdr:colOff>385717</xdr:colOff>
      <xdr:row>16</xdr:row>
      <xdr:rowOff>175260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DB898D2-BEE4-4DE6-83A2-5BD5A92F8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96157</xdr:colOff>
      <xdr:row>30</xdr:row>
      <xdr:rowOff>0</xdr:rowOff>
    </xdr:from>
    <xdr:to>
      <xdr:col>98</xdr:col>
      <xdr:colOff>385717</xdr:colOff>
      <xdr:row>44</xdr:row>
      <xdr:rowOff>175260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E6A2491-6C15-44B0-8C1D-C44AD13D2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723900</xdr:colOff>
      <xdr:row>0</xdr:row>
      <xdr:rowOff>0</xdr:rowOff>
    </xdr:from>
    <xdr:ext cx="6667500" cy="5829300"/>
    <xdr:pic>
      <xdr:nvPicPr>
        <xdr:cNvPr id="2" name="image1.png" title="画像">
          <a:extLst>
            <a:ext uri="{FF2B5EF4-FFF2-40B4-BE49-F238E27FC236}">
              <a16:creationId xmlns:a16="http://schemas.microsoft.com/office/drawing/2014/main" id="{11C37786-D577-46DC-82F3-A15B2D1C1F65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182600" y="0"/>
          <a:ext cx="6667500" cy="5829300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7.39.183\sc-manager\20&#12486;&#12540;&#12510;&#21029;\200J2EE&#12501;&#12524;&#12540;&#12512;&#12527;&#12540;&#12463;\Z20-&#38283;&#30330;&#27161;&#28310;\400-&#35373;&#35336;&#26360;&#12501;&#12457;&#12540;&#12512;\213-&#35373;&#35336;&#26360;&#12501;&#12457;&#12540;&#12512;Ver3.0.0&#65288;&#20316;&#26989;&#20013;&#65289;\PH3&#20840;&#20307;&#35373;&#35336;&#26360;\PH3-17-&#20849;&#36890;&#37096;&#21697;&#35373;&#35336;&#26360;-&#12463;&#12521;&#12473;I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67.39.183\sc-manager\Projects\SC-Manager\91_&#32763;&#35379;&#20316;&#26989;\&#32763;&#35379;&#12484;&#12540;&#12523;\GrepTool_Ver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C-MANAGER/Documents/91_&#25903;&#25588;&#12484;&#12540;&#12523;/07_ResourceTool/ResourceTool_ver0.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更新履歴"/>
      <sheetName val="共通部品設計書(クラスID) "/>
      <sheetName val="共通部品設計書 記入要領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epTool(doc)"/>
      <sheetName val="GrepTool (html)"/>
      <sheetName val="GrepTool (txt)"/>
      <sheetName val="ListValue"/>
      <sheetName val="Pattern-List"/>
      <sheetName val="Grep-List"/>
      <sheetName val="Grep-List (backup)"/>
    </sheetNames>
    <sheetDataSet>
      <sheetData sheetId="0" refreshError="1"/>
      <sheetData sheetId="1" refreshError="1"/>
      <sheetData sheetId="2" refreshError="1"/>
      <sheetData sheetId="3"/>
      <sheetData sheetId="4">
        <row r="2">
          <cell r="B2" t="str">
            <v>項目名辞書</v>
          </cell>
        </row>
        <row r="3">
          <cell r="B3" t="str">
            <v>未使用２</v>
          </cell>
        </row>
        <row r="4">
          <cell r="B4" t="str">
            <v>未使用３</v>
          </cell>
        </row>
        <row r="5">
          <cell r="B5" t="str">
            <v>未使用４</v>
          </cell>
        </row>
        <row r="6">
          <cell r="B6" t="str">
            <v>未使用５</v>
          </cell>
        </row>
        <row r="7">
          <cell r="B7" t="str">
            <v>未使用６</v>
          </cell>
        </row>
        <row r="8">
          <cell r="B8" t="str">
            <v>未使用７</v>
          </cell>
        </row>
        <row r="9">
          <cell r="B9" t="str">
            <v>未使用８</v>
          </cell>
        </row>
        <row r="10">
          <cell r="B10" t="str">
            <v>未使用９</v>
          </cell>
        </row>
        <row r="11">
          <cell r="B11" t="str">
            <v>Grep-List</v>
          </cell>
        </row>
      </sheetData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eHistory"/>
      <sheetName val="Menu"/>
      <sheetName val="ListValue"/>
      <sheetName val="Resource"/>
      <sheetName val="Log"/>
    </sheetNames>
    <sheetDataSet>
      <sheetData sheetId="0"/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34A1D4-066C-40CB-83F5-040D6F301896}" name="ReviseHistory" displayName="ReviseHistory" ref="A7:E14" totalsRowShown="0" headerRowDxfId="48" dataDxfId="47">
  <autoFilter ref="A7:E14" xr:uid="{B08060B0-BB9A-4B94-B7D8-041F55E38B74}"/>
  <tableColumns count="5">
    <tableColumn id="1" xr3:uid="{456FCC87-D0DA-4AA1-BFB6-9D2755570EF5}" name="No." dataDxfId="46"/>
    <tableColumn id="2" xr3:uid="{5CC885C9-826C-4345-A2CF-8BAA1F0C1B7F}" name="Name" dataDxfId="45"/>
    <tableColumn id="3" xr3:uid="{E777949C-2A4D-4E6E-9ECE-B0D1B8081F5F}" name="Date" dataDxfId="44"/>
    <tableColumn id="4" xr3:uid="{CCC75707-A89C-4C4C-945C-D7A1CE5EF8DD}" name="Version" dataDxfId="43"/>
    <tableColumn id="5" xr3:uid="{ADCEE5A8-01CE-457A-8627-A1BC7A8D7F1D}" name="Comments" dataDxfId="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76C1C-2C02-4755-A8DC-A6526C5C3C2D}">
  <sheetPr codeName="Sheet3">
    <pageSetUpPr fitToPage="1"/>
  </sheetPr>
  <dimension ref="A2:J19"/>
  <sheetViews>
    <sheetView zoomScaleNormal="100" workbookViewId="0">
      <selection activeCell="G9" sqref="G9"/>
    </sheetView>
  </sheetViews>
  <sheetFormatPr defaultColWidth="8.7109375" defaultRowHeight="17.5"/>
  <cols>
    <col min="1" max="1" width="7.5703125" style="2" bestFit="1" customWidth="1"/>
    <col min="2" max="2" width="9.28515625" style="2" customWidth="1"/>
    <col min="3" max="3" width="13" style="2" customWidth="1"/>
    <col min="4" max="4" width="10.5703125" style="2" customWidth="1"/>
    <col min="5" max="5" width="36.42578125" style="2" bestFit="1" customWidth="1"/>
    <col min="6" max="16384" width="8.7109375" style="2"/>
  </cols>
  <sheetData>
    <row r="2" spans="1:10">
      <c r="A2" s="1" t="s">
        <v>0</v>
      </c>
      <c r="C2" s="3"/>
    </row>
    <row r="3" spans="1:10">
      <c r="A3" s="2">
        <f>MAX(ReviseHistory[No.])</f>
        <v>1</v>
      </c>
      <c r="B3" s="4" t="str">
        <f>VLOOKUP($A3,ReviseHistory[],2,FALSE)</f>
        <v>曾進</v>
      </c>
      <c r="C3" s="5">
        <f>MAX(ReviseHistory[Date])</f>
        <v>45814</v>
      </c>
      <c r="D3" s="4" t="str">
        <f>VLOOKUP($A3,ReviseHistory[],4,FALSE)</f>
        <v>Ver 1.0</v>
      </c>
      <c r="E3" s="2" t="str">
        <f>VLOOKUP($A3,ReviseHistory[],5,FALSE)</f>
        <v>初期作成</v>
      </c>
    </row>
    <row r="4" spans="1:10">
      <c r="C4" s="3"/>
      <c r="J4" s="3"/>
    </row>
    <row r="5" spans="1:10">
      <c r="C5" s="3"/>
      <c r="J5" s="3"/>
    </row>
    <row r="6" spans="1:10">
      <c r="A6" s="1" t="s">
        <v>1</v>
      </c>
      <c r="C6" s="3"/>
    </row>
    <row r="7" spans="1:10">
      <c r="A7" s="4" t="s">
        <v>2</v>
      </c>
      <c r="B7" s="4" t="s">
        <v>3</v>
      </c>
      <c r="C7" s="4" t="s">
        <v>4</v>
      </c>
      <c r="D7" s="4" t="s">
        <v>5</v>
      </c>
      <c r="E7" s="4" t="s">
        <v>6</v>
      </c>
    </row>
    <row r="8" spans="1:10">
      <c r="A8" s="6">
        <v>1</v>
      </c>
      <c r="B8" s="7" t="s">
        <v>7</v>
      </c>
      <c r="C8" s="8">
        <v>45814</v>
      </c>
      <c r="D8" s="7" t="s">
        <v>8</v>
      </c>
      <c r="E8" s="13" t="s">
        <v>9</v>
      </c>
    </row>
    <row r="9" spans="1:10">
      <c r="A9" s="6"/>
      <c r="B9" s="7"/>
      <c r="C9" s="8"/>
      <c r="D9" s="7"/>
      <c r="E9" s="13"/>
    </row>
    <row r="10" spans="1:10">
      <c r="A10" s="6"/>
      <c r="B10" s="7"/>
      <c r="C10" s="8"/>
      <c r="D10" s="7"/>
      <c r="E10" s="9"/>
    </row>
    <row r="11" spans="1:10">
      <c r="A11" s="6"/>
      <c r="B11" s="7"/>
      <c r="C11" s="8"/>
      <c r="D11" s="7"/>
      <c r="E11" s="9"/>
    </row>
    <row r="12" spans="1:10">
      <c r="A12" s="6"/>
      <c r="B12" s="7"/>
      <c r="C12" s="8"/>
      <c r="D12" s="7"/>
      <c r="E12" s="9"/>
    </row>
    <row r="13" spans="1:10">
      <c r="A13" s="6"/>
      <c r="B13" s="7"/>
      <c r="C13" s="8"/>
      <c r="D13" s="7"/>
      <c r="E13" s="6"/>
    </row>
    <row r="14" spans="1:10">
      <c r="A14" s="6"/>
      <c r="B14" s="7"/>
      <c r="C14" s="8"/>
      <c r="D14" s="7"/>
      <c r="E14" s="6"/>
    </row>
    <row r="15" spans="1:10">
      <c r="C15" s="5"/>
    </row>
    <row r="16" spans="1:10">
      <c r="C16" s="5"/>
    </row>
    <row r="17" spans="3:3">
      <c r="C17" s="5"/>
    </row>
    <row r="18" spans="3:3">
      <c r="C18" s="5"/>
    </row>
    <row r="19" spans="3:3">
      <c r="C19" s="5"/>
    </row>
  </sheetData>
  <phoneticPr fontId="1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Header>&amp;L&amp;F&amp;C&amp;A&amp;R&amp;D</oddHeader>
    <oddFooter>&amp;C&amp;P/&amp;N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7CF81-F32D-4DE4-9314-6ADA75D7A471}">
  <sheetPr codeName="Sheet1">
    <pageSetUpPr fitToPage="1"/>
  </sheetPr>
  <dimension ref="A1"/>
  <sheetViews>
    <sheetView zoomScale="85" zoomScaleNormal="85" workbookViewId="0">
      <selection activeCell="G9" sqref="G9"/>
    </sheetView>
  </sheetViews>
  <sheetFormatPr defaultRowHeight="15"/>
  <cols>
    <col min="6" max="6" width="11.0703125" customWidth="1"/>
    <col min="7" max="7" width="44.0703125" customWidth="1"/>
  </cols>
  <sheetData/>
  <phoneticPr fontId="1"/>
  <pageMargins left="0.7" right="0.7" top="0.75" bottom="0.75" header="0.3" footer="0.3"/>
  <pageSetup paperSize="9" orientation="landscape" r:id="rId1"/>
  <headerFooter>
    <oddHeader>&amp;L&amp;"Meiryo UI,標準"&amp;F&amp;C&amp;"Meiryo UI,標準"&amp;A&amp;R&amp;"Meiryo UI,標準"&amp;D</oddHeader>
    <oddFooter>&amp;C&amp;"Meiryo UI,標準"&amp;P/&amp;N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DO_READ_ALL">
                <anchor moveWithCells="1" sizeWithCells="1">
                  <from>
                    <xdr:col>1</xdr:col>
                    <xdr:colOff>6350</xdr:colOff>
                    <xdr:row>9</xdr:row>
                    <xdr:rowOff>184150</xdr:rowOff>
                  </from>
                  <to>
                    <xdr:col>4</xdr:col>
                    <xdr:colOff>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DO_CLEAR_ALL">
                <anchor moveWithCells="1" sizeWithCells="1">
                  <from>
                    <xdr:col>1</xdr:col>
                    <xdr:colOff>12700</xdr:colOff>
                    <xdr:row>14</xdr:row>
                    <xdr:rowOff>6350</xdr:rowOff>
                  </from>
                  <to>
                    <xdr:col>4</xdr:col>
                    <xdr:colOff>0</xdr:colOff>
                    <xdr:row>15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CA4C9-63CC-4CE0-AB85-26C1B81017D7}">
  <sheetPr codeName="Sheet4"/>
  <dimension ref="A1:A6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2.78515625" customWidth="1"/>
  </cols>
  <sheetData>
    <row r="1" spans="1:1">
      <c r="A1" s="10" t="s">
        <v>17</v>
      </c>
    </row>
    <row r="2" spans="1:1">
      <c r="A2" t="s">
        <v>14</v>
      </c>
    </row>
    <row r="3" spans="1:1">
      <c r="A3" t="s">
        <v>15</v>
      </c>
    </row>
    <row r="4" spans="1:1">
      <c r="A4" t="s">
        <v>16</v>
      </c>
    </row>
    <row r="5" spans="1:1">
      <c r="A5" t="s">
        <v>12</v>
      </c>
    </row>
    <row r="6" spans="1:1">
      <c r="A6" t="s">
        <v>13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56787-9164-43FE-A977-1816D70DB974}">
  <sheetPr codeName="Sheet10"/>
  <dimension ref="A1:A21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2.78515625" customWidth="1"/>
  </cols>
  <sheetData>
    <row r="1" spans="1:1">
      <c r="A1" s="12" t="s">
        <v>10</v>
      </c>
    </row>
    <row r="2" spans="1:1">
      <c r="A2" s="11" t="s">
        <v>11</v>
      </c>
    </row>
    <row r="3" spans="1:1">
      <c r="A3" s="11"/>
    </row>
    <row r="4" spans="1:1">
      <c r="A4" s="11"/>
    </row>
    <row r="5" spans="1:1">
      <c r="A5" s="11"/>
    </row>
    <row r="6" spans="1:1">
      <c r="A6" s="11"/>
    </row>
    <row r="7" spans="1:1">
      <c r="A7" s="11"/>
    </row>
    <row r="8" spans="1:1">
      <c r="A8" s="11"/>
    </row>
    <row r="9" spans="1:1">
      <c r="A9" s="11"/>
    </row>
    <row r="10" spans="1:1">
      <c r="A10" s="11"/>
    </row>
    <row r="11" spans="1:1">
      <c r="A11" s="11"/>
    </row>
    <row r="12" spans="1:1">
      <c r="A12" s="11"/>
    </row>
    <row r="13" spans="1:1">
      <c r="A13" s="11"/>
    </row>
    <row r="14" spans="1:1">
      <c r="A14" s="11"/>
    </row>
    <row r="15" spans="1:1">
      <c r="A15" s="11"/>
    </row>
    <row r="16" spans="1:1">
      <c r="A16" s="11"/>
    </row>
    <row r="17" spans="1:1">
      <c r="A17" s="11"/>
    </row>
    <row r="18" spans="1:1">
      <c r="A18" s="11"/>
    </row>
    <row r="19" spans="1:1">
      <c r="A19" s="11"/>
    </row>
    <row r="20" spans="1:1">
      <c r="A20" s="11"/>
    </row>
    <row r="21" spans="1:1">
      <c r="A21" s="1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203A3-3136-4345-98DD-3838DE43A727}">
  <sheetPr codeName="Sheet11"/>
  <dimension ref="A1:A2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22.78515625" customWidth="1"/>
  </cols>
  <sheetData>
    <row r="1" spans="1:1">
      <c r="A1" s="12" t="s">
        <v>10</v>
      </c>
    </row>
    <row r="2" spans="1:1">
      <c r="A2" s="11"/>
    </row>
    <row r="3" spans="1:1">
      <c r="A3" s="11"/>
    </row>
    <row r="4" spans="1:1">
      <c r="A4" s="11"/>
    </row>
    <row r="5" spans="1:1">
      <c r="A5" s="11"/>
    </row>
    <row r="6" spans="1:1">
      <c r="A6" s="11"/>
    </row>
    <row r="7" spans="1:1">
      <c r="A7" s="11"/>
    </row>
    <row r="8" spans="1:1">
      <c r="A8" s="11"/>
    </row>
    <row r="9" spans="1:1">
      <c r="A9" s="11"/>
    </row>
    <row r="10" spans="1:1">
      <c r="A10" s="11"/>
    </row>
    <row r="11" spans="1:1">
      <c r="A11" s="11"/>
    </row>
    <row r="12" spans="1:1">
      <c r="A12" s="11"/>
    </row>
    <row r="13" spans="1:1">
      <c r="A13" s="11"/>
    </row>
    <row r="14" spans="1:1">
      <c r="A14" s="11"/>
    </row>
    <row r="15" spans="1:1">
      <c r="A15" s="11"/>
    </row>
    <row r="16" spans="1:1">
      <c r="A16" s="11"/>
    </row>
    <row r="17" spans="1:1">
      <c r="A17" s="11"/>
    </row>
    <row r="18" spans="1:1">
      <c r="A18" s="11"/>
    </row>
    <row r="19" spans="1:1">
      <c r="A19" s="11"/>
    </row>
    <row r="20" spans="1:1">
      <c r="A20" s="11"/>
    </row>
    <row r="21" spans="1:1">
      <c r="A21" s="11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29B50-B2F1-4CA2-BB76-8C396043A187}">
  <sheetPr codeName="Sheet32">
    <pageSetUpPr fitToPage="1"/>
  </sheetPr>
  <dimension ref="B2:CT55"/>
  <sheetViews>
    <sheetView tabSelected="1" zoomScale="70" zoomScaleNormal="70" workbookViewId="0"/>
  </sheetViews>
  <sheetFormatPr defaultColWidth="6.85546875" defaultRowHeight="15"/>
  <cols>
    <col min="1" max="1" width="1.35546875" style="14" customWidth="1"/>
    <col min="2" max="2" width="16.42578125" style="14" customWidth="1"/>
    <col min="3" max="98" width="6.78515625" style="14" customWidth="1"/>
    <col min="99" max="16384" width="6.85546875" style="14"/>
  </cols>
  <sheetData>
    <row r="2" spans="2:2" ht="19.5">
      <c r="B2" s="25" t="s">
        <v>390</v>
      </c>
    </row>
    <row r="17" spans="2:98" ht="15.5" thickBot="1"/>
    <row r="18" spans="2:98" ht="15.5" thickBot="1">
      <c r="B18" s="15" t="s">
        <v>18</v>
      </c>
      <c r="C18" s="27">
        <v>1</v>
      </c>
    </row>
    <row r="19" spans="2:98" ht="7" customHeight="1" thickBot="1">
      <c r="B19" s="17"/>
    </row>
    <row r="20" spans="2:98" ht="15.5" thickBot="1">
      <c r="B20" s="15" t="s">
        <v>397</v>
      </c>
      <c r="C20" s="26">
        <f ca="1">TODAY()</f>
        <v>45821</v>
      </c>
    </row>
    <row r="21" spans="2:98" ht="8.5" customHeight="1"/>
    <row r="22" spans="2:98">
      <c r="B22" s="18" t="s">
        <v>19</v>
      </c>
      <c r="C22" s="19">
        <v>45810</v>
      </c>
      <c r="D22" s="19">
        <f>C22+$C$18</f>
        <v>45811</v>
      </c>
      <c r="E22" s="19">
        <f t="shared" ref="E22:BP22" si="0">D22+$C$18</f>
        <v>45812</v>
      </c>
      <c r="F22" s="19">
        <f t="shared" si="0"/>
        <v>45813</v>
      </c>
      <c r="G22" s="19">
        <f t="shared" si="0"/>
        <v>45814</v>
      </c>
      <c r="H22" s="19">
        <f t="shared" si="0"/>
        <v>45815</v>
      </c>
      <c r="I22" s="19">
        <f t="shared" si="0"/>
        <v>45816</v>
      </c>
      <c r="J22" s="19">
        <f t="shared" si="0"/>
        <v>45817</v>
      </c>
      <c r="K22" s="19">
        <f t="shared" si="0"/>
        <v>45818</v>
      </c>
      <c r="L22" s="19">
        <f t="shared" si="0"/>
        <v>45819</v>
      </c>
      <c r="M22" s="19">
        <f t="shared" si="0"/>
        <v>45820</v>
      </c>
      <c r="N22" s="19">
        <f t="shared" si="0"/>
        <v>45821</v>
      </c>
      <c r="O22" s="19">
        <f t="shared" si="0"/>
        <v>45822</v>
      </c>
      <c r="P22" s="19">
        <f t="shared" si="0"/>
        <v>45823</v>
      </c>
      <c r="Q22" s="19">
        <f t="shared" si="0"/>
        <v>45824</v>
      </c>
      <c r="R22" s="19">
        <f t="shared" si="0"/>
        <v>45825</v>
      </c>
      <c r="S22" s="19">
        <f t="shared" si="0"/>
        <v>45826</v>
      </c>
      <c r="T22" s="19">
        <f t="shared" si="0"/>
        <v>45827</v>
      </c>
      <c r="U22" s="19">
        <f t="shared" si="0"/>
        <v>45828</v>
      </c>
      <c r="V22" s="19">
        <f t="shared" si="0"/>
        <v>45829</v>
      </c>
      <c r="W22" s="19">
        <f t="shared" si="0"/>
        <v>45830</v>
      </c>
      <c r="X22" s="19">
        <f t="shared" si="0"/>
        <v>45831</v>
      </c>
      <c r="Y22" s="19">
        <f t="shared" si="0"/>
        <v>45832</v>
      </c>
      <c r="Z22" s="19">
        <f t="shared" si="0"/>
        <v>45833</v>
      </c>
      <c r="AA22" s="19">
        <f t="shared" si="0"/>
        <v>45834</v>
      </c>
      <c r="AB22" s="19">
        <f t="shared" si="0"/>
        <v>45835</v>
      </c>
      <c r="AC22" s="19">
        <f t="shared" si="0"/>
        <v>45836</v>
      </c>
      <c r="AD22" s="19">
        <f t="shared" si="0"/>
        <v>45837</v>
      </c>
      <c r="AE22" s="19">
        <f t="shared" si="0"/>
        <v>45838</v>
      </c>
      <c r="AF22" s="19">
        <f t="shared" si="0"/>
        <v>45839</v>
      </c>
      <c r="AG22" s="19">
        <f t="shared" si="0"/>
        <v>45840</v>
      </c>
      <c r="AH22" s="19">
        <f t="shared" si="0"/>
        <v>45841</v>
      </c>
      <c r="AI22" s="19">
        <f t="shared" si="0"/>
        <v>45842</v>
      </c>
      <c r="AJ22" s="19">
        <f t="shared" si="0"/>
        <v>45843</v>
      </c>
      <c r="AK22" s="19">
        <f t="shared" si="0"/>
        <v>45844</v>
      </c>
      <c r="AL22" s="19">
        <f t="shared" si="0"/>
        <v>45845</v>
      </c>
      <c r="AM22" s="19">
        <f t="shared" si="0"/>
        <v>45846</v>
      </c>
      <c r="AN22" s="19">
        <f t="shared" si="0"/>
        <v>45847</v>
      </c>
      <c r="AO22" s="19">
        <f t="shared" si="0"/>
        <v>45848</v>
      </c>
      <c r="AP22" s="19">
        <f t="shared" si="0"/>
        <v>45849</v>
      </c>
      <c r="AQ22" s="19">
        <f t="shared" si="0"/>
        <v>45850</v>
      </c>
      <c r="AR22" s="19">
        <f t="shared" si="0"/>
        <v>45851</v>
      </c>
      <c r="AS22" s="19">
        <f t="shared" si="0"/>
        <v>45852</v>
      </c>
      <c r="AT22" s="19">
        <f t="shared" si="0"/>
        <v>45853</v>
      </c>
      <c r="AU22" s="19">
        <f t="shared" si="0"/>
        <v>45854</v>
      </c>
      <c r="AV22" s="19">
        <f t="shared" si="0"/>
        <v>45855</v>
      </c>
      <c r="AW22" s="19">
        <f t="shared" si="0"/>
        <v>45856</v>
      </c>
      <c r="AX22" s="19">
        <f t="shared" si="0"/>
        <v>45857</v>
      </c>
      <c r="AY22" s="19">
        <f t="shared" si="0"/>
        <v>45858</v>
      </c>
      <c r="AZ22" s="19">
        <f t="shared" si="0"/>
        <v>45859</v>
      </c>
      <c r="BA22" s="19">
        <f t="shared" si="0"/>
        <v>45860</v>
      </c>
      <c r="BB22" s="19">
        <f t="shared" si="0"/>
        <v>45861</v>
      </c>
      <c r="BC22" s="19">
        <f t="shared" si="0"/>
        <v>45862</v>
      </c>
      <c r="BD22" s="19">
        <f t="shared" si="0"/>
        <v>45863</v>
      </c>
      <c r="BE22" s="19">
        <f t="shared" si="0"/>
        <v>45864</v>
      </c>
      <c r="BF22" s="19">
        <f t="shared" si="0"/>
        <v>45865</v>
      </c>
      <c r="BG22" s="19">
        <f t="shared" si="0"/>
        <v>45866</v>
      </c>
      <c r="BH22" s="19">
        <f t="shared" si="0"/>
        <v>45867</v>
      </c>
      <c r="BI22" s="19">
        <f t="shared" si="0"/>
        <v>45868</v>
      </c>
      <c r="BJ22" s="19">
        <f t="shared" si="0"/>
        <v>45869</v>
      </c>
      <c r="BK22" s="19">
        <f t="shared" si="0"/>
        <v>45870</v>
      </c>
      <c r="BL22" s="19">
        <f t="shared" si="0"/>
        <v>45871</v>
      </c>
      <c r="BM22" s="19">
        <f t="shared" si="0"/>
        <v>45872</v>
      </c>
      <c r="BN22" s="19">
        <f t="shared" si="0"/>
        <v>45873</v>
      </c>
      <c r="BO22" s="19">
        <f t="shared" si="0"/>
        <v>45874</v>
      </c>
      <c r="BP22" s="19">
        <f t="shared" si="0"/>
        <v>45875</v>
      </c>
      <c r="BQ22" s="19">
        <f t="shared" ref="BQ22:CT22" si="1">BP22+$C$18</f>
        <v>45876</v>
      </c>
      <c r="BR22" s="19">
        <f t="shared" si="1"/>
        <v>45877</v>
      </c>
      <c r="BS22" s="19">
        <f t="shared" si="1"/>
        <v>45878</v>
      </c>
      <c r="BT22" s="19">
        <f t="shared" si="1"/>
        <v>45879</v>
      </c>
      <c r="BU22" s="19">
        <f t="shared" si="1"/>
        <v>45880</v>
      </c>
      <c r="BV22" s="19">
        <f t="shared" si="1"/>
        <v>45881</v>
      </c>
      <c r="BW22" s="19">
        <f t="shared" si="1"/>
        <v>45882</v>
      </c>
      <c r="BX22" s="19">
        <f t="shared" si="1"/>
        <v>45883</v>
      </c>
      <c r="BY22" s="19">
        <f t="shared" si="1"/>
        <v>45884</v>
      </c>
      <c r="BZ22" s="19">
        <f t="shared" si="1"/>
        <v>45885</v>
      </c>
      <c r="CA22" s="19">
        <f t="shared" si="1"/>
        <v>45886</v>
      </c>
      <c r="CB22" s="19">
        <f t="shared" si="1"/>
        <v>45887</v>
      </c>
      <c r="CC22" s="19">
        <f t="shared" si="1"/>
        <v>45888</v>
      </c>
      <c r="CD22" s="19">
        <f t="shared" si="1"/>
        <v>45889</v>
      </c>
      <c r="CE22" s="19">
        <f t="shared" si="1"/>
        <v>45890</v>
      </c>
      <c r="CF22" s="19">
        <f t="shared" si="1"/>
        <v>45891</v>
      </c>
      <c r="CG22" s="19">
        <f t="shared" si="1"/>
        <v>45892</v>
      </c>
      <c r="CH22" s="19">
        <f t="shared" si="1"/>
        <v>45893</v>
      </c>
      <c r="CI22" s="19">
        <f t="shared" si="1"/>
        <v>45894</v>
      </c>
      <c r="CJ22" s="19">
        <f t="shared" si="1"/>
        <v>45895</v>
      </c>
      <c r="CK22" s="19">
        <f t="shared" si="1"/>
        <v>45896</v>
      </c>
      <c r="CL22" s="19">
        <f t="shared" si="1"/>
        <v>45897</v>
      </c>
      <c r="CM22" s="19">
        <f t="shared" si="1"/>
        <v>45898</v>
      </c>
      <c r="CN22" s="19">
        <f t="shared" si="1"/>
        <v>45899</v>
      </c>
      <c r="CO22" s="19">
        <f t="shared" si="1"/>
        <v>45900</v>
      </c>
      <c r="CP22" s="19">
        <f t="shared" si="1"/>
        <v>45901</v>
      </c>
      <c r="CQ22" s="19">
        <f t="shared" si="1"/>
        <v>45902</v>
      </c>
      <c r="CR22" s="19">
        <f t="shared" si="1"/>
        <v>45903</v>
      </c>
      <c r="CS22" s="19">
        <f t="shared" si="1"/>
        <v>45904</v>
      </c>
      <c r="CT22" s="19">
        <f t="shared" si="1"/>
        <v>45905</v>
      </c>
    </row>
    <row r="23" spans="2:98">
      <c r="B23" s="20" t="s">
        <v>20</v>
      </c>
      <c r="C23" s="21">
        <f ca="1">SUM(Start:End!C23)</f>
        <v>2</v>
      </c>
      <c r="D23" s="21">
        <f ca="1">SUM(Start:End!D23)</f>
        <v>3</v>
      </c>
      <c r="E23" s="21">
        <f ca="1">SUM(Start:End!E23)</f>
        <v>1</v>
      </c>
      <c r="F23" s="21">
        <f ca="1">SUM(Start:End!F23)</f>
        <v>0</v>
      </c>
      <c r="G23" s="21">
        <f ca="1">SUM(Start:End!G23)</f>
        <v>8</v>
      </c>
      <c r="H23" s="21">
        <f ca="1">SUM(Start:End!H23)</f>
        <v>0</v>
      </c>
      <c r="I23" s="21">
        <f ca="1">SUM(Start:End!I23)</f>
        <v>0</v>
      </c>
      <c r="J23" s="21">
        <f ca="1">SUM(Start:End!J23)</f>
        <v>18</v>
      </c>
      <c r="K23" s="21">
        <f ca="1">SUM(Start:End!K23)</f>
        <v>21</v>
      </c>
      <c r="L23" s="21">
        <f ca="1">SUM(Start:End!L23)</f>
        <v>3</v>
      </c>
      <c r="M23" s="21">
        <f ca="1">SUM(Start:End!M23)</f>
        <v>0</v>
      </c>
      <c r="N23" s="21">
        <f ca="1">SUM(Start:End!N23)</f>
        <v>2</v>
      </c>
      <c r="O23" s="21">
        <f ca="1">SUM(Start:End!O23)</f>
        <v>0</v>
      </c>
      <c r="P23" s="21">
        <f ca="1">SUM(Start:End!P23)</f>
        <v>0</v>
      </c>
      <c r="Q23" s="21">
        <f ca="1">SUM(Start:End!Q23)</f>
        <v>1</v>
      </c>
      <c r="R23" s="21">
        <f ca="1">SUM(Start:End!R23)</f>
        <v>22</v>
      </c>
      <c r="S23" s="21">
        <f ca="1">SUM(Start:End!S23)</f>
        <v>21</v>
      </c>
      <c r="T23" s="21">
        <f ca="1">SUM(Start:End!T23)</f>
        <v>43</v>
      </c>
      <c r="U23" s="21">
        <f ca="1">SUM(Start:End!U23)</f>
        <v>22</v>
      </c>
      <c r="V23" s="21">
        <f ca="1">SUM(Start:End!V23)</f>
        <v>0</v>
      </c>
      <c r="W23" s="21">
        <f ca="1">SUM(Start:End!W23)</f>
        <v>0</v>
      </c>
      <c r="X23" s="21">
        <f ca="1">SUM(Start:End!X23)</f>
        <v>17</v>
      </c>
      <c r="Y23" s="21">
        <f ca="1">SUM(Start:End!Y23)</f>
        <v>6</v>
      </c>
      <c r="Z23" s="21">
        <f ca="1">SUM(Start:End!Z23)</f>
        <v>19</v>
      </c>
      <c r="AA23" s="21">
        <f ca="1">SUM(Start:End!AA23)</f>
        <v>23</v>
      </c>
      <c r="AB23" s="21">
        <f ca="1">SUM(Start:End!AB23)</f>
        <v>22</v>
      </c>
      <c r="AC23" s="21">
        <f ca="1">SUM(Start:End!AC23)</f>
        <v>0</v>
      </c>
      <c r="AD23" s="21">
        <f ca="1">SUM(Start:End!AD23)</f>
        <v>0</v>
      </c>
      <c r="AE23" s="21">
        <f ca="1">SUM(Start:End!AE23)</f>
        <v>21</v>
      </c>
      <c r="AF23" s="21">
        <f ca="1">SUM(Start:End!AF23)</f>
        <v>0</v>
      </c>
      <c r="AG23" s="21">
        <f ca="1">SUM(Start:End!AG23)</f>
        <v>4</v>
      </c>
      <c r="AH23" s="21">
        <f ca="1">SUM(Start:End!AH23)</f>
        <v>4</v>
      </c>
      <c r="AI23" s="21">
        <f ca="1">SUM(Start:End!AI23)</f>
        <v>2</v>
      </c>
      <c r="AJ23" s="21">
        <f ca="1">SUM(Start:End!AJ23)</f>
        <v>0</v>
      </c>
      <c r="AK23" s="21">
        <f ca="1">SUM(Start:End!AK23)</f>
        <v>0</v>
      </c>
      <c r="AL23" s="21">
        <f ca="1">SUM(Start:End!AL23)</f>
        <v>12</v>
      </c>
      <c r="AM23" s="21">
        <f ca="1">SUM(Start:End!AM23)</f>
        <v>15</v>
      </c>
      <c r="AN23" s="21">
        <f ca="1">SUM(Start:End!AN23)</f>
        <v>7</v>
      </c>
      <c r="AO23" s="21">
        <f ca="1">SUM(Start:End!AO23)</f>
        <v>12</v>
      </c>
      <c r="AP23" s="21">
        <f ca="1">SUM(Start:End!AP23)</f>
        <v>7</v>
      </c>
      <c r="AQ23" s="21">
        <f ca="1">SUM(Start:End!AQ23)</f>
        <v>0</v>
      </c>
      <c r="AR23" s="21">
        <f ca="1">SUM(Start:End!AR23)</f>
        <v>0</v>
      </c>
      <c r="AS23" s="21">
        <f ca="1">SUM(Start:End!AS23)</f>
        <v>8</v>
      </c>
      <c r="AT23" s="21">
        <f ca="1">SUM(Start:End!AT23)</f>
        <v>10</v>
      </c>
      <c r="AU23" s="21">
        <f ca="1">SUM(Start:End!AU23)</f>
        <v>5</v>
      </c>
      <c r="AV23" s="21">
        <f ca="1">SUM(Start:End!AV23)</f>
        <v>2</v>
      </c>
      <c r="AW23" s="21">
        <f ca="1">SUM(Start:End!AW23)</f>
        <v>5</v>
      </c>
      <c r="AX23" s="21">
        <f ca="1">SUM(Start:End!AX23)</f>
        <v>0</v>
      </c>
      <c r="AY23" s="21">
        <f ca="1">SUM(Start:End!AY23)</f>
        <v>0</v>
      </c>
      <c r="AZ23" s="21">
        <f ca="1">SUM(Start:End!AZ23)</f>
        <v>0</v>
      </c>
      <c r="BA23" s="21">
        <f ca="1">SUM(Start:End!BA23)</f>
        <v>16</v>
      </c>
      <c r="BB23" s="21">
        <f ca="1">SUM(Start:End!BB23)</f>
        <v>17</v>
      </c>
      <c r="BC23" s="21">
        <f ca="1">SUM(Start:End!BC23)</f>
        <v>9</v>
      </c>
      <c r="BD23" s="21">
        <f ca="1">SUM(Start:End!BD23)</f>
        <v>7</v>
      </c>
      <c r="BE23" s="21">
        <f ca="1">SUM(Start:End!BE23)</f>
        <v>0</v>
      </c>
      <c r="BF23" s="21">
        <f ca="1">SUM(Start:End!BF23)</f>
        <v>0</v>
      </c>
      <c r="BG23" s="21">
        <f ca="1">SUM(Start:End!BG23)</f>
        <v>16</v>
      </c>
      <c r="BH23" s="21">
        <f ca="1">SUM(Start:End!BH23)</f>
        <v>15</v>
      </c>
      <c r="BI23" s="21">
        <f ca="1">SUM(Start:End!BI23)</f>
        <v>4</v>
      </c>
      <c r="BJ23" s="21">
        <f ca="1">SUM(Start:End!BJ23)</f>
        <v>10</v>
      </c>
      <c r="BK23" s="21">
        <f ca="1">SUM(Start:End!BK23)</f>
        <v>3</v>
      </c>
      <c r="BL23" s="21">
        <f ca="1">SUM(Start:End!BL23)</f>
        <v>0</v>
      </c>
      <c r="BM23" s="21">
        <f ca="1">SUM(Start:End!BM23)</f>
        <v>0</v>
      </c>
      <c r="BN23" s="21">
        <f ca="1">SUM(Start:End!BN23)</f>
        <v>5</v>
      </c>
      <c r="BO23" s="21">
        <f ca="1">SUM(Start:End!BO23)</f>
        <v>14</v>
      </c>
      <c r="BP23" s="21">
        <f ca="1">SUM(Start:End!BP23)</f>
        <v>18</v>
      </c>
      <c r="BQ23" s="21">
        <f ca="1">SUM(Start:End!BQ23)</f>
        <v>4</v>
      </c>
      <c r="BR23" s="21">
        <f ca="1">SUM(Start:End!BR23)</f>
        <v>5</v>
      </c>
      <c r="BS23" s="21">
        <f ca="1">SUM(Start:End!BS23)</f>
        <v>0</v>
      </c>
      <c r="BT23" s="21">
        <f ca="1">SUM(Start:End!BT23)</f>
        <v>0</v>
      </c>
      <c r="BU23" s="21">
        <f ca="1">SUM(Start:End!BU23)</f>
        <v>0</v>
      </c>
      <c r="BV23" s="21">
        <f ca="1">SUM(Start:End!BV23)</f>
        <v>2</v>
      </c>
      <c r="BW23" s="21">
        <f ca="1">SUM(Start:End!BW23)</f>
        <v>8</v>
      </c>
      <c r="BX23" s="21">
        <f ca="1">SUM(Start:End!BX23)</f>
        <v>6</v>
      </c>
      <c r="BY23" s="21">
        <f ca="1">SUM(Start:End!BY23)</f>
        <v>11</v>
      </c>
      <c r="BZ23" s="21">
        <f ca="1">SUM(Start:End!BZ23)</f>
        <v>0</v>
      </c>
      <c r="CA23" s="21">
        <f ca="1">SUM(Start:End!CA23)</f>
        <v>0</v>
      </c>
      <c r="CB23" s="21">
        <f ca="1">SUM(Start:End!CB23)</f>
        <v>6</v>
      </c>
      <c r="CC23" s="21">
        <f ca="1">SUM(Start:End!CC23)</f>
        <v>10</v>
      </c>
      <c r="CD23" s="21">
        <f ca="1">SUM(Start:End!CD23)</f>
        <v>4</v>
      </c>
      <c r="CE23" s="21">
        <f ca="1">SUM(Start:End!CE23)</f>
        <v>5</v>
      </c>
      <c r="CF23" s="21">
        <f ca="1">SUM(Start:End!CF23)</f>
        <v>2</v>
      </c>
      <c r="CG23" s="21">
        <f ca="1">SUM(Start:End!CG23)</f>
        <v>0</v>
      </c>
      <c r="CH23" s="21">
        <f ca="1">SUM(Start:End!CH23)</f>
        <v>0</v>
      </c>
      <c r="CI23" s="21">
        <f ca="1">SUM(Start:End!CI23)</f>
        <v>7</v>
      </c>
      <c r="CJ23" s="21">
        <f ca="1">SUM(Start:End!CJ23)</f>
        <v>6</v>
      </c>
      <c r="CK23" s="21">
        <f ca="1">SUM(Start:End!CK23)</f>
        <v>12</v>
      </c>
      <c r="CL23" s="21">
        <f ca="1">SUM(Start:End!CL23)</f>
        <v>12</v>
      </c>
      <c r="CM23" s="21">
        <f ca="1">SUM(Start:End!CM23)</f>
        <v>15</v>
      </c>
      <c r="CN23" s="21">
        <f ca="1">SUM(Start:End!CN23)</f>
        <v>0</v>
      </c>
      <c r="CO23" s="21">
        <f ca="1">SUM(Start:End!CO23)</f>
        <v>0</v>
      </c>
      <c r="CP23" s="21">
        <f ca="1">SUM(Start:End!CP23)</f>
        <v>4</v>
      </c>
      <c r="CQ23" s="21">
        <f ca="1">SUM(Start:End!CQ23)</f>
        <v>4</v>
      </c>
      <c r="CR23" s="21">
        <f ca="1">SUM(Start:End!CR23)</f>
        <v>6</v>
      </c>
      <c r="CS23" s="21">
        <f ca="1">SUM(Start:End!CS23)</f>
        <v>6</v>
      </c>
      <c r="CT23" s="21">
        <f ca="1">SUM(Start:End!CT23)</f>
        <v>0</v>
      </c>
    </row>
    <row r="24" spans="2:98">
      <c r="B24" s="20" t="s">
        <v>21</v>
      </c>
      <c r="C24" s="21">
        <f ca="1">SUM(Start:End!C24)</f>
        <v>2</v>
      </c>
      <c r="D24" s="21">
        <f ca="1">SUM(Start:End!D24)</f>
        <v>5</v>
      </c>
      <c r="E24" s="21">
        <f ca="1">SUM(Start:End!E24)</f>
        <v>6</v>
      </c>
      <c r="F24" s="21">
        <f ca="1">SUM(Start:End!F24)</f>
        <v>6</v>
      </c>
      <c r="G24" s="21">
        <f ca="1">SUM(Start:End!G24)</f>
        <v>14</v>
      </c>
      <c r="H24" s="21">
        <f ca="1">SUM(Start:End!H24)</f>
        <v>14</v>
      </c>
      <c r="I24" s="21">
        <f ca="1">SUM(Start:End!I24)</f>
        <v>14</v>
      </c>
      <c r="J24" s="21">
        <f ca="1">SUM(Start:End!J24)</f>
        <v>32</v>
      </c>
      <c r="K24" s="21">
        <f ca="1">SUM(Start:End!K24)</f>
        <v>53</v>
      </c>
      <c r="L24" s="21">
        <f ca="1">SUM(Start:End!L24)</f>
        <v>56</v>
      </c>
      <c r="M24" s="21">
        <f ca="1">SUM(Start:End!M24)</f>
        <v>56</v>
      </c>
      <c r="N24" s="21">
        <f ca="1">SUM(Start:End!N24)</f>
        <v>58</v>
      </c>
      <c r="O24" s="21">
        <f ca="1">SUM(Start:End!O24)</f>
        <v>58</v>
      </c>
      <c r="P24" s="21">
        <f ca="1">SUM(Start:End!P24)</f>
        <v>58</v>
      </c>
      <c r="Q24" s="21">
        <f ca="1">SUM(Start:End!Q24)</f>
        <v>59</v>
      </c>
      <c r="R24" s="21">
        <f ca="1">SUM(Start:End!R24)</f>
        <v>81</v>
      </c>
      <c r="S24" s="21">
        <f ca="1">SUM(Start:End!S24)</f>
        <v>102</v>
      </c>
      <c r="T24" s="21">
        <f ca="1">SUM(Start:End!T24)</f>
        <v>145</v>
      </c>
      <c r="U24" s="21">
        <f ca="1">SUM(Start:End!U24)</f>
        <v>167</v>
      </c>
      <c r="V24" s="21">
        <f ca="1">SUM(Start:End!V24)</f>
        <v>167</v>
      </c>
      <c r="W24" s="21">
        <f ca="1">SUM(Start:End!W24)</f>
        <v>167</v>
      </c>
      <c r="X24" s="21">
        <f ca="1">SUM(Start:End!X24)</f>
        <v>184</v>
      </c>
      <c r="Y24" s="21">
        <f ca="1">SUM(Start:End!Y24)</f>
        <v>190</v>
      </c>
      <c r="Z24" s="21">
        <f ca="1">SUM(Start:End!Z24)</f>
        <v>209</v>
      </c>
      <c r="AA24" s="21">
        <f ca="1">SUM(Start:End!AA24)</f>
        <v>232</v>
      </c>
      <c r="AB24" s="21">
        <f ca="1">SUM(Start:End!AB24)</f>
        <v>254</v>
      </c>
      <c r="AC24" s="21">
        <f ca="1">SUM(Start:End!AC24)</f>
        <v>254</v>
      </c>
      <c r="AD24" s="21">
        <f ca="1">SUM(Start:End!AD24)</f>
        <v>254</v>
      </c>
      <c r="AE24" s="21">
        <f ca="1">SUM(Start:End!AE24)</f>
        <v>275</v>
      </c>
      <c r="AF24" s="21">
        <f ca="1">SUM(Start:End!AF24)</f>
        <v>275</v>
      </c>
      <c r="AG24" s="21">
        <f ca="1">SUM(Start:End!AG24)</f>
        <v>279</v>
      </c>
      <c r="AH24" s="21">
        <f ca="1">SUM(Start:End!AH24)</f>
        <v>283</v>
      </c>
      <c r="AI24" s="21">
        <f ca="1">SUM(Start:End!AI24)</f>
        <v>285</v>
      </c>
      <c r="AJ24" s="21">
        <f ca="1">SUM(Start:End!AJ24)</f>
        <v>285</v>
      </c>
      <c r="AK24" s="21">
        <f ca="1">SUM(Start:End!AK24)</f>
        <v>285</v>
      </c>
      <c r="AL24" s="21">
        <f ca="1">SUM(Start:End!AL24)</f>
        <v>297</v>
      </c>
      <c r="AM24" s="21">
        <f ca="1">SUM(Start:End!AM24)</f>
        <v>312</v>
      </c>
      <c r="AN24" s="21">
        <f ca="1">SUM(Start:End!AN24)</f>
        <v>319</v>
      </c>
      <c r="AO24" s="21">
        <f ca="1">SUM(Start:End!AO24)</f>
        <v>331</v>
      </c>
      <c r="AP24" s="21">
        <f ca="1">SUM(Start:End!AP24)</f>
        <v>338</v>
      </c>
      <c r="AQ24" s="21">
        <f ca="1">SUM(Start:End!AQ24)</f>
        <v>338</v>
      </c>
      <c r="AR24" s="21">
        <f ca="1">SUM(Start:End!AR24)</f>
        <v>338</v>
      </c>
      <c r="AS24" s="21">
        <f ca="1">SUM(Start:End!AS24)</f>
        <v>346</v>
      </c>
      <c r="AT24" s="21">
        <f ca="1">SUM(Start:End!AT24)</f>
        <v>356</v>
      </c>
      <c r="AU24" s="21">
        <f ca="1">SUM(Start:End!AU24)</f>
        <v>361</v>
      </c>
      <c r="AV24" s="21">
        <f ca="1">SUM(Start:End!AV24)</f>
        <v>363</v>
      </c>
      <c r="AW24" s="21">
        <f ca="1">SUM(Start:End!AW24)</f>
        <v>368</v>
      </c>
      <c r="AX24" s="21">
        <f ca="1">SUM(Start:End!AX24)</f>
        <v>368</v>
      </c>
      <c r="AY24" s="21">
        <f ca="1">SUM(Start:End!AY24)</f>
        <v>368</v>
      </c>
      <c r="AZ24" s="21">
        <f ca="1">SUM(Start:End!AZ24)</f>
        <v>368</v>
      </c>
      <c r="BA24" s="21">
        <f ca="1">SUM(Start:End!BA24)</f>
        <v>384</v>
      </c>
      <c r="BB24" s="21">
        <f ca="1">SUM(Start:End!BB24)</f>
        <v>401</v>
      </c>
      <c r="BC24" s="21">
        <f ca="1">SUM(Start:End!BC24)</f>
        <v>410</v>
      </c>
      <c r="BD24" s="21">
        <f ca="1">SUM(Start:End!BD24)</f>
        <v>417</v>
      </c>
      <c r="BE24" s="21">
        <f ca="1">SUM(Start:End!BE24)</f>
        <v>417</v>
      </c>
      <c r="BF24" s="21">
        <f ca="1">SUM(Start:End!BF24)</f>
        <v>417</v>
      </c>
      <c r="BG24" s="21">
        <f ca="1">SUM(Start:End!BG24)</f>
        <v>433</v>
      </c>
      <c r="BH24" s="21">
        <f ca="1">SUM(Start:End!BH24)</f>
        <v>448</v>
      </c>
      <c r="BI24" s="21">
        <f ca="1">SUM(Start:End!BI24)</f>
        <v>452</v>
      </c>
      <c r="BJ24" s="21">
        <f ca="1">SUM(Start:End!BJ24)</f>
        <v>462</v>
      </c>
      <c r="BK24" s="21">
        <f ca="1">SUM(Start:End!BK24)</f>
        <v>465</v>
      </c>
      <c r="BL24" s="21">
        <f ca="1">SUM(Start:End!BL24)</f>
        <v>465</v>
      </c>
      <c r="BM24" s="21">
        <f ca="1">SUM(Start:End!BM24)</f>
        <v>465</v>
      </c>
      <c r="BN24" s="21">
        <f ca="1">SUM(Start:End!BN24)</f>
        <v>470</v>
      </c>
      <c r="BO24" s="21">
        <f ca="1">SUM(Start:End!BO24)</f>
        <v>484</v>
      </c>
      <c r="BP24" s="21">
        <f ca="1">SUM(Start:End!BP24)</f>
        <v>502</v>
      </c>
      <c r="BQ24" s="21">
        <f ca="1">SUM(Start:End!BQ24)</f>
        <v>506</v>
      </c>
      <c r="BR24" s="21">
        <f ca="1">SUM(Start:End!BR24)</f>
        <v>511</v>
      </c>
      <c r="BS24" s="21">
        <f ca="1">SUM(Start:End!BS24)</f>
        <v>511</v>
      </c>
      <c r="BT24" s="21">
        <f ca="1">SUM(Start:End!BT24)</f>
        <v>511</v>
      </c>
      <c r="BU24" s="21">
        <f ca="1">SUM(Start:End!BU24)</f>
        <v>511</v>
      </c>
      <c r="BV24" s="21">
        <f ca="1">SUM(Start:End!BV24)</f>
        <v>513</v>
      </c>
      <c r="BW24" s="21">
        <f ca="1">SUM(Start:End!BW24)</f>
        <v>521</v>
      </c>
      <c r="BX24" s="21">
        <f ca="1">SUM(Start:End!BX24)</f>
        <v>527</v>
      </c>
      <c r="BY24" s="21">
        <f ca="1">SUM(Start:End!BY24)</f>
        <v>538</v>
      </c>
      <c r="BZ24" s="21">
        <f ca="1">SUM(Start:End!BZ24)</f>
        <v>538</v>
      </c>
      <c r="CA24" s="21">
        <f ca="1">SUM(Start:End!CA24)</f>
        <v>538</v>
      </c>
      <c r="CB24" s="21">
        <f ca="1">SUM(Start:End!CB24)</f>
        <v>544</v>
      </c>
      <c r="CC24" s="21">
        <f ca="1">SUM(Start:End!CC24)</f>
        <v>554</v>
      </c>
      <c r="CD24" s="21">
        <f ca="1">SUM(Start:End!CD24)</f>
        <v>558</v>
      </c>
      <c r="CE24" s="21">
        <f ca="1">SUM(Start:End!CE24)</f>
        <v>563</v>
      </c>
      <c r="CF24" s="21">
        <f ca="1">SUM(Start:End!CF24)</f>
        <v>565</v>
      </c>
      <c r="CG24" s="21">
        <f ca="1">SUM(Start:End!CG24)</f>
        <v>565</v>
      </c>
      <c r="CH24" s="21">
        <f ca="1">SUM(Start:End!CH24)</f>
        <v>565</v>
      </c>
      <c r="CI24" s="21">
        <f ca="1">SUM(Start:End!CI24)</f>
        <v>572</v>
      </c>
      <c r="CJ24" s="21">
        <f ca="1">SUM(Start:End!CJ24)</f>
        <v>578</v>
      </c>
      <c r="CK24" s="21">
        <f ca="1">SUM(Start:End!CK24)</f>
        <v>590</v>
      </c>
      <c r="CL24" s="21">
        <f ca="1">SUM(Start:End!CL24)</f>
        <v>602</v>
      </c>
      <c r="CM24" s="21">
        <f ca="1">SUM(Start:End!CM24)</f>
        <v>617</v>
      </c>
      <c r="CN24" s="21">
        <f ca="1">SUM(Start:End!CN24)</f>
        <v>617</v>
      </c>
      <c r="CO24" s="21">
        <f ca="1">SUM(Start:End!CO24)</f>
        <v>617</v>
      </c>
      <c r="CP24" s="21">
        <f ca="1">SUM(Start:End!CP24)</f>
        <v>621</v>
      </c>
      <c r="CQ24" s="21">
        <f ca="1">SUM(Start:End!CQ24)</f>
        <v>625</v>
      </c>
      <c r="CR24" s="21">
        <f ca="1">SUM(Start:End!CR24)</f>
        <v>631</v>
      </c>
      <c r="CS24" s="21">
        <f ca="1">SUM(Start:End!CS24)</f>
        <v>637</v>
      </c>
      <c r="CT24" s="21">
        <f ca="1">SUM(Start:End!CT24)</f>
        <v>637</v>
      </c>
    </row>
    <row r="25" spans="2:98">
      <c r="B25" s="20" t="s">
        <v>22</v>
      </c>
      <c r="C25" s="21">
        <f ca="1">SUM(Start:End!C25)</f>
        <v>2</v>
      </c>
      <c r="D25" s="21">
        <f ca="1">SUM(Start:End!D25)</f>
        <v>3</v>
      </c>
      <c r="E25" s="21">
        <f ca="1">SUM(Start:End!E25)</f>
        <v>1</v>
      </c>
      <c r="F25" s="21">
        <f ca="1">SUM(Start:End!F25)</f>
        <v>1</v>
      </c>
      <c r="G25" s="21">
        <f ca="1">SUM(Start:End!G25)</f>
        <v>5</v>
      </c>
      <c r="H25" s="21">
        <f ca="1">SUM(Start:End!H25)</f>
        <v>0</v>
      </c>
      <c r="I25" s="21">
        <f ca="1">SUM(Start:End!I25)</f>
        <v>0</v>
      </c>
      <c r="J25" s="21">
        <f ca="1">SUM(Start:End!J25)</f>
        <v>13</v>
      </c>
      <c r="K25" s="21">
        <f ca="1">SUM(Start:End!K25)</f>
        <v>17</v>
      </c>
      <c r="L25" s="21">
        <f ca="1">SUM(Start:End!L25)</f>
        <v>4</v>
      </c>
      <c r="M25" s="21">
        <f ca="1">SUM(Start:End!M25)</f>
        <v>15</v>
      </c>
      <c r="N25" s="21">
        <f ca="1">SUM(Start:End!N25)</f>
        <v>6</v>
      </c>
      <c r="O25" s="21">
        <f ca="1">SUM(Start:End!O25)</f>
        <v>0</v>
      </c>
      <c r="P25" s="21">
        <f ca="1">SUM(Start:End!P25)</f>
        <v>0</v>
      </c>
      <c r="Q25" s="21">
        <f ca="1">SUM(Start:End!Q25)</f>
        <v>0</v>
      </c>
      <c r="R25" s="21">
        <f ca="1">SUM(Start:End!R25)</f>
        <v>0</v>
      </c>
      <c r="S25" s="21">
        <f ca="1">SUM(Start:End!S25)</f>
        <v>0</v>
      </c>
      <c r="T25" s="21">
        <f ca="1">SUM(Start:End!T25)</f>
        <v>0</v>
      </c>
      <c r="U25" s="21">
        <f ca="1">SUM(Start:End!U25)</f>
        <v>0</v>
      </c>
      <c r="V25" s="21">
        <f ca="1">SUM(Start:End!V25)</f>
        <v>0</v>
      </c>
      <c r="W25" s="21">
        <f ca="1">SUM(Start:End!W25)</f>
        <v>0</v>
      </c>
      <c r="X25" s="21">
        <f ca="1">SUM(Start:End!X25)</f>
        <v>0</v>
      </c>
      <c r="Y25" s="21">
        <f ca="1">SUM(Start:End!Y25)</f>
        <v>0</v>
      </c>
      <c r="Z25" s="21">
        <f ca="1">SUM(Start:End!Z25)</f>
        <v>0</v>
      </c>
      <c r="AA25" s="21">
        <f ca="1">SUM(Start:End!AA25)</f>
        <v>0</v>
      </c>
      <c r="AB25" s="21">
        <f ca="1">SUM(Start:End!AB25)</f>
        <v>0</v>
      </c>
      <c r="AC25" s="21">
        <f ca="1">SUM(Start:End!AC25)</f>
        <v>0</v>
      </c>
      <c r="AD25" s="21">
        <f ca="1">SUM(Start:End!AD25)</f>
        <v>0</v>
      </c>
      <c r="AE25" s="21">
        <f ca="1">SUM(Start:End!AE25)</f>
        <v>0</v>
      </c>
      <c r="AF25" s="21">
        <f ca="1">SUM(Start:End!AF25)</f>
        <v>0</v>
      </c>
      <c r="AG25" s="21">
        <f ca="1">SUM(Start:End!AG25)</f>
        <v>0</v>
      </c>
      <c r="AH25" s="21">
        <f ca="1">SUM(Start:End!AH25)</f>
        <v>0</v>
      </c>
      <c r="AI25" s="21">
        <f ca="1">SUM(Start:End!AI25)</f>
        <v>0</v>
      </c>
      <c r="AJ25" s="21">
        <f ca="1">SUM(Start:End!AJ25)</f>
        <v>0</v>
      </c>
      <c r="AK25" s="21">
        <f ca="1">SUM(Start:End!AK25)</f>
        <v>0</v>
      </c>
      <c r="AL25" s="21">
        <f ca="1">SUM(Start:End!AL25)</f>
        <v>0</v>
      </c>
      <c r="AM25" s="21">
        <f ca="1">SUM(Start:End!AM25)</f>
        <v>0</v>
      </c>
      <c r="AN25" s="21">
        <f ca="1">SUM(Start:End!AN25)</f>
        <v>0</v>
      </c>
      <c r="AO25" s="21">
        <f ca="1">SUM(Start:End!AO25)</f>
        <v>0</v>
      </c>
      <c r="AP25" s="21">
        <f ca="1">SUM(Start:End!AP25)</f>
        <v>0</v>
      </c>
      <c r="AQ25" s="21">
        <f ca="1">SUM(Start:End!AQ25)</f>
        <v>0</v>
      </c>
      <c r="AR25" s="21">
        <f ca="1">SUM(Start:End!AR25)</f>
        <v>0</v>
      </c>
      <c r="AS25" s="21">
        <f ca="1">SUM(Start:End!AS25)</f>
        <v>0</v>
      </c>
      <c r="AT25" s="21">
        <f ca="1">SUM(Start:End!AT25)</f>
        <v>0</v>
      </c>
      <c r="AU25" s="21">
        <f ca="1">SUM(Start:End!AU25)</f>
        <v>0</v>
      </c>
      <c r="AV25" s="21">
        <f ca="1">SUM(Start:End!AV25)</f>
        <v>0</v>
      </c>
      <c r="AW25" s="21">
        <f ca="1">SUM(Start:End!AW25)</f>
        <v>0</v>
      </c>
      <c r="AX25" s="21">
        <f ca="1">SUM(Start:End!AX25)</f>
        <v>0</v>
      </c>
      <c r="AY25" s="21">
        <f ca="1">SUM(Start:End!AY25)</f>
        <v>0</v>
      </c>
      <c r="AZ25" s="21">
        <f ca="1">SUM(Start:End!AZ25)</f>
        <v>0</v>
      </c>
      <c r="BA25" s="21">
        <f ca="1">SUM(Start:End!BA25)</f>
        <v>0</v>
      </c>
      <c r="BB25" s="21">
        <f ca="1">SUM(Start:End!BB25)</f>
        <v>0</v>
      </c>
      <c r="BC25" s="21">
        <f ca="1">SUM(Start:End!BC25)</f>
        <v>0</v>
      </c>
      <c r="BD25" s="21">
        <f ca="1">SUM(Start:End!BD25)</f>
        <v>0</v>
      </c>
      <c r="BE25" s="21">
        <f ca="1">SUM(Start:End!BE25)</f>
        <v>0</v>
      </c>
      <c r="BF25" s="21">
        <f ca="1">SUM(Start:End!BF25)</f>
        <v>0</v>
      </c>
      <c r="BG25" s="21">
        <f ca="1">SUM(Start:End!BG25)</f>
        <v>0</v>
      </c>
      <c r="BH25" s="21">
        <f ca="1">SUM(Start:End!BH25)</f>
        <v>0</v>
      </c>
      <c r="BI25" s="21">
        <f ca="1">SUM(Start:End!BI25)</f>
        <v>0</v>
      </c>
      <c r="BJ25" s="21">
        <f ca="1">SUM(Start:End!BJ25)</f>
        <v>0</v>
      </c>
      <c r="BK25" s="21">
        <f ca="1">SUM(Start:End!BK25)</f>
        <v>0</v>
      </c>
      <c r="BL25" s="21">
        <f ca="1">SUM(Start:End!BL25)</f>
        <v>0</v>
      </c>
      <c r="BM25" s="21">
        <f ca="1">SUM(Start:End!BM25)</f>
        <v>0</v>
      </c>
      <c r="BN25" s="21">
        <f ca="1">SUM(Start:End!BN25)</f>
        <v>0</v>
      </c>
      <c r="BO25" s="21">
        <f ca="1">SUM(Start:End!BO25)</f>
        <v>0</v>
      </c>
      <c r="BP25" s="21">
        <f ca="1">SUM(Start:End!BP25)</f>
        <v>0</v>
      </c>
      <c r="BQ25" s="21">
        <f ca="1">SUM(Start:End!BQ25)</f>
        <v>0</v>
      </c>
      <c r="BR25" s="21">
        <f ca="1">SUM(Start:End!BR25)</f>
        <v>0</v>
      </c>
      <c r="BS25" s="21">
        <f ca="1">SUM(Start:End!BS25)</f>
        <v>0</v>
      </c>
      <c r="BT25" s="21">
        <f ca="1">SUM(Start:End!BT25)</f>
        <v>0</v>
      </c>
      <c r="BU25" s="21">
        <f ca="1">SUM(Start:End!BU25)</f>
        <v>0</v>
      </c>
      <c r="BV25" s="21">
        <f ca="1">SUM(Start:End!BV25)</f>
        <v>0</v>
      </c>
      <c r="BW25" s="21">
        <f ca="1">SUM(Start:End!BW25)</f>
        <v>0</v>
      </c>
      <c r="BX25" s="21">
        <f ca="1">SUM(Start:End!BX25)</f>
        <v>0</v>
      </c>
      <c r="BY25" s="21">
        <f ca="1">SUM(Start:End!BY25)</f>
        <v>0</v>
      </c>
      <c r="BZ25" s="21">
        <f ca="1">SUM(Start:End!BZ25)</f>
        <v>0</v>
      </c>
      <c r="CA25" s="21">
        <f ca="1">SUM(Start:End!CA25)</f>
        <v>0</v>
      </c>
      <c r="CB25" s="21">
        <f ca="1">SUM(Start:End!CB25)</f>
        <v>0</v>
      </c>
      <c r="CC25" s="21">
        <f ca="1">SUM(Start:End!CC25)</f>
        <v>0</v>
      </c>
      <c r="CD25" s="21">
        <f ca="1">SUM(Start:End!CD25)</f>
        <v>0</v>
      </c>
      <c r="CE25" s="21">
        <f ca="1">SUM(Start:End!CE25)</f>
        <v>0</v>
      </c>
      <c r="CF25" s="21">
        <f ca="1">SUM(Start:End!CF25)</f>
        <v>0</v>
      </c>
      <c r="CG25" s="21">
        <f ca="1">SUM(Start:End!CG25)</f>
        <v>0</v>
      </c>
      <c r="CH25" s="21">
        <f ca="1">SUM(Start:End!CH25)</f>
        <v>0</v>
      </c>
      <c r="CI25" s="21">
        <f ca="1">SUM(Start:End!CI25)</f>
        <v>0</v>
      </c>
      <c r="CJ25" s="21">
        <f ca="1">SUM(Start:End!CJ25)</f>
        <v>0</v>
      </c>
      <c r="CK25" s="21">
        <f ca="1">SUM(Start:End!CK25)</f>
        <v>0</v>
      </c>
      <c r="CL25" s="21">
        <f ca="1">SUM(Start:End!CL25)</f>
        <v>0</v>
      </c>
      <c r="CM25" s="21">
        <f ca="1">SUM(Start:End!CM25)</f>
        <v>0</v>
      </c>
      <c r="CN25" s="21">
        <f ca="1">SUM(Start:End!CN25)</f>
        <v>0</v>
      </c>
      <c r="CO25" s="21">
        <f ca="1">SUM(Start:End!CO25)</f>
        <v>0</v>
      </c>
      <c r="CP25" s="21">
        <f ca="1">SUM(Start:End!CP25)</f>
        <v>0</v>
      </c>
      <c r="CQ25" s="21">
        <f ca="1">SUM(Start:End!CQ25)</f>
        <v>0</v>
      </c>
      <c r="CR25" s="21">
        <f ca="1">SUM(Start:End!CR25)</f>
        <v>0</v>
      </c>
      <c r="CS25" s="21">
        <f ca="1">SUM(Start:End!CS25)</f>
        <v>0</v>
      </c>
      <c r="CT25" s="21">
        <f ca="1">SUM(Start:End!CT25)</f>
        <v>0</v>
      </c>
    </row>
    <row r="26" spans="2:98">
      <c r="B26" s="20" t="s">
        <v>23</v>
      </c>
      <c r="C26" s="21">
        <f ca="1">SUM(Start:End!C26)</f>
        <v>2</v>
      </c>
      <c r="D26" s="21">
        <f ca="1">SUM(Start:End!D26)</f>
        <v>5</v>
      </c>
      <c r="E26" s="21">
        <f ca="1">SUM(Start:End!E26)</f>
        <v>6</v>
      </c>
      <c r="F26" s="21">
        <f ca="1">SUM(Start:End!F26)</f>
        <v>7</v>
      </c>
      <c r="G26" s="21">
        <f ca="1">SUM(Start:End!G26)</f>
        <v>12</v>
      </c>
      <c r="H26" s="21">
        <f ca="1">SUM(Start:End!H26)</f>
        <v>12</v>
      </c>
      <c r="I26" s="21">
        <f ca="1">SUM(Start:End!I26)</f>
        <v>12</v>
      </c>
      <c r="J26" s="21">
        <f ca="1">SUM(Start:End!J26)</f>
        <v>25</v>
      </c>
      <c r="K26" s="21">
        <f ca="1">SUM(Start:End!K26)</f>
        <v>42</v>
      </c>
      <c r="L26" s="21">
        <f ca="1">SUM(Start:End!L26)</f>
        <v>46</v>
      </c>
      <c r="M26" s="21">
        <f ca="1">SUM(Start:End!M26)</f>
        <v>61</v>
      </c>
      <c r="N26" s="21">
        <f ca="1">SUM(Start:End!N26)</f>
        <v>67</v>
      </c>
      <c r="O26" s="21">
        <f ca="1">SUM(Start:End!O26)</f>
        <v>67</v>
      </c>
      <c r="P26" s="21">
        <f ca="1">SUM(Start:End!P26)</f>
        <v>67</v>
      </c>
      <c r="Q26" s="21">
        <f ca="1">SUM(Start:End!Q26)</f>
        <v>67</v>
      </c>
      <c r="R26" s="21">
        <f ca="1">SUM(Start:End!R26)</f>
        <v>67</v>
      </c>
      <c r="S26" s="21">
        <f ca="1">SUM(Start:End!S26)</f>
        <v>67</v>
      </c>
      <c r="T26" s="21">
        <f ca="1">SUM(Start:End!T26)</f>
        <v>67</v>
      </c>
      <c r="U26" s="21">
        <f ca="1">SUM(Start:End!U26)</f>
        <v>67</v>
      </c>
      <c r="V26" s="21">
        <f ca="1">SUM(Start:End!V26)</f>
        <v>67</v>
      </c>
      <c r="W26" s="21">
        <f ca="1">SUM(Start:End!W26)</f>
        <v>67</v>
      </c>
      <c r="X26" s="21">
        <f ca="1">SUM(Start:End!X26)</f>
        <v>67</v>
      </c>
      <c r="Y26" s="21">
        <f ca="1">SUM(Start:End!Y26)</f>
        <v>67</v>
      </c>
      <c r="Z26" s="21">
        <f ca="1">SUM(Start:End!Z26)</f>
        <v>67</v>
      </c>
      <c r="AA26" s="21">
        <f ca="1">SUM(Start:End!AA26)</f>
        <v>67</v>
      </c>
      <c r="AB26" s="21">
        <f ca="1">SUM(Start:End!AB26)</f>
        <v>67</v>
      </c>
      <c r="AC26" s="21">
        <f ca="1">SUM(Start:End!AC26)</f>
        <v>67</v>
      </c>
      <c r="AD26" s="21">
        <f ca="1">SUM(Start:End!AD26)</f>
        <v>67</v>
      </c>
      <c r="AE26" s="21">
        <f ca="1">SUM(Start:End!AE26)</f>
        <v>67</v>
      </c>
      <c r="AF26" s="21">
        <f ca="1">SUM(Start:End!AF26)</f>
        <v>67</v>
      </c>
      <c r="AG26" s="21">
        <f ca="1">SUM(Start:End!AG26)</f>
        <v>67</v>
      </c>
      <c r="AH26" s="21">
        <f ca="1">SUM(Start:End!AH26)</f>
        <v>67</v>
      </c>
      <c r="AI26" s="21">
        <f ca="1">SUM(Start:End!AI26)</f>
        <v>67</v>
      </c>
      <c r="AJ26" s="21">
        <f ca="1">SUM(Start:End!AJ26)</f>
        <v>67</v>
      </c>
      <c r="AK26" s="21">
        <f ca="1">SUM(Start:End!AK26)</f>
        <v>67</v>
      </c>
      <c r="AL26" s="21">
        <f ca="1">SUM(Start:End!AL26)</f>
        <v>67</v>
      </c>
      <c r="AM26" s="21">
        <f ca="1">SUM(Start:End!AM26)</f>
        <v>67</v>
      </c>
      <c r="AN26" s="21">
        <f ca="1">SUM(Start:End!AN26)</f>
        <v>67</v>
      </c>
      <c r="AO26" s="21">
        <f ca="1">SUM(Start:End!AO26)</f>
        <v>67</v>
      </c>
      <c r="AP26" s="21">
        <f ca="1">SUM(Start:End!AP26)</f>
        <v>67</v>
      </c>
      <c r="AQ26" s="21">
        <f ca="1">SUM(Start:End!AQ26)</f>
        <v>67</v>
      </c>
      <c r="AR26" s="21">
        <f ca="1">SUM(Start:End!AR26)</f>
        <v>67</v>
      </c>
      <c r="AS26" s="21">
        <f ca="1">SUM(Start:End!AS26)</f>
        <v>67</v>
      </c>
      <c r="AT26" s="21">
        <f ca="1">SUM(Start:End!AT26)</f>
        <v>67</v>
      </c>
      <c r="AU26" s="21">
        <f ca="1">SUM(Start:End!AU26)</f>
        <v>67</v>
      </c>
      <c r="AV26" s="21">
        <f ca="1">SUM(Start:End!AV26)</f>
        <v>67</v>
      </c>
      <c r="AW26" s="21">
        <f ca="1">SUM(Start:End!AW26)</f>
        <v>67</v>
      </c>
      <c r="AX26" s="21">
        <f ca="1">SUM(Start:End!AX26)</f>
        <v>67</v>
      </c>
      <c r="AY26" s="21">
        <f ca="1">SUM(Start:End!AY26)</f>
        <v>67</v>
      </c>
      <c r="AZ26" s="21">
        <f ca="1">SUM(Start:End!AZ26)</f>
        <v>67</v>
      </c>
      <c r="BA26" s="21">
        <f ca="1">SUM(Start:End!BA26)</f>
        <v>67</v>
      </c>
      <c r="BB26" s="21">
        <f ca="1">SUM(Start:End!BB26)</f>
        <v>67</v>
      </c>
      <c r="BC26" s="21">
        <f ca="1">SUM(Start:End!BC26)</f>
        <v>67</v>
      </c>
      <c r="BD26" s="21">
        <f ca="1">SUM(Start:End!BD26)</f>
        <v>67</v>
      </c>
      <c r="BE26" s="21">
        <f ca="1">SUM(Start:End!BE26)</f>
        <v>67</v>
      </c>
      <c r="BF26" s="21">
        <f ca="1">SUM(Start:End!BF26)</f>
        <v>67</v>
      </c>
      <c r="BG26" s="21">
        <f ca="1">SUM(Start:End!BG26)</f>
        <v>67</v>
      </c>
      <c r="BH26" s="21">
        <f ca="1">SUM(Start:End!BH26)</f>
        <v>67</v>
      </c>
      <c r="BI26" s="21">
        <f ca="1">SUM(Start:End!BI26)</f>
        <v>67</v>
      </c>
      <c r="BJ26" s="21">
        <f ca="1">SUM(Start:End!BJ26)</f>
        <v>67</v>
      </c>
      <c r="BK26" s="21">
        <f ca="1">SUM(Start:End!BK26)</f>
        <v>67</v>
      </c>
      <c r="BL26" s="21">
        <f ca="1">SUM(Start:End!BL26)</f>
        <v>67</v>
      </c>
      <c r="BM26" s="21">
        <f ca="1">SUM(Start:End!BM26)</f>
        <v>67</v>
      </c>
      <c r="BN26" s="21">
        <f ca="1">SUM(Start:End!BN26)</f>
        <v>67</v>
      </c>
      <c r="BO26" s="21">
        <f ca="1">SUM(Start:End!BO26)</f>
        <v>67</v>
      </c>
      <c r="BP26" s="21">
        <f ca="1">SUM(Start:End!BP26)</f>
        <v>67</v>
      </c>
      <c r="BQ26" s="21">
        <f ca="1">SUM(Start:End!BQ26)</f>
        <v>67</v>
      </c>
      <c r="BR26" s="21">
        <f ca="1">SUM(Start:End!BR26)</f>
        <v>67</v>
      </c>
      <c r="BS26" s="21">
        <f ca="1">SUM(Start:End!BS26)</f>
        <v>67</v>
      </c>
      <c r="BT26" s="21">
        <f ca="1">SUM(Start:End!BT26)</f>
        <v>67</v>
      </c>
      <c r="BU26" s="21">
        <f ca="1">SUM(Start:End!BU26)</f>
        <v>67</v>
      </c>
      <c r="BV26" s="21">
        <f ca="1">SUM(Start:End!BV26)</f>
        <v>67</v>
      </c>
      <c r="BW26" s="21">
        <f ca="1">SUM(Start:End!BW26)</f>
        <v>67</v>
      </c>
      <c r="BX26" s="21">
        <f ca="1">SUM(Start:End!BX26)</f>
        <v>67</v>
      </c>
      <c r="BY26" s="21">
        <f ca="1">SUM(Start:End!BY26)</f>
        <v>67</v>
      </c>
      <c r="BZ26" s="21">
        <f ca="1">SUM(Start:End!BZ26)</f>
        <v>67</v>
      </c>
      <c r="CA26" s="21">
        <f ca="1">SUM(Start:End!CA26)</f>
        <v>67</v>
      </c>
      <c r="CB26" s="21">
        <f ca="1">SUM(Start:End!CB26)</f>
        <v>67</v>
      </c>
      <c r="CC26" s="21">
        <f ca="1">SUM(Start:End!CC26)</f>
        <v>67</v>
      </c>
      <c r="CD26" s="21">
        <f ca="1">SUM(Start:End!CD26)</f>
        <v>67</v>
      </c>
      <c r="CE26" s="21">
        <f ca="1">SUM(Start:End!CE26)</f>
        <v>67</v>
      </c>
      <c r="CF26" s="21">
        <f ca="1">SUM(Start:End!CF26)</f>
        <v>67</v>
      </c>
      <c r="CG26" s="21">
        <f ca="1">SUM(Start:End!CG26)</f>
        <v>67</v>
      </c>
      <c r="CH26" s="21">
        <f ca="1">SUM(Start:End!CH26)</f>
        <v>67</v>
      </c>
      <c r="CI26" s="21">
        <f ca="1">SUM(Start:End!CI26)</f>
        <v>67</v>
      </c>
      <c r="CJ26" s="21">
        <f ca="1">SUM(Start:End!CJ26)</f>
        <v>67</v>
      </c>
      <c r="CK26" s="21">
        <f ca="1">SUM(Start:End!CK26)</f>
        <v>67</v>
      </c>
      <c r="CL26" s="21">
        <f ca="1">SUM(Start:End!CL26)</f>
        <v>67</v>
      </c>
      <c r="CM26" s="21">
        <f ca="1">SUM(Start:End!CM26)</f>
        <v>67</v>
      </c>
      <c r="CN26" s="21">
        <f ca="1">SUM(Start:End!CN26)</f>
        <v>67</v>
      </c>
      <c r="CO26" s="21">
        <f ca="1">SUM(Start:End!CO26)</f>
        <v>67</v>
      </c>
      <c r="CP26" s="21">
        <f ca="1">SUM(Start:End!CP26)</f>
        <v>67</v>
      </c>
      <c r="CQ26" s="21">
        <f ca="1">SUM(Start:End!CQ26)</f>
        <v>67</v>
      </c>
      <c r="CR26" s="21">
        <f ca="1">SUM(Start:End!CR26)</f>
        <v>67</v>
      </c>
      <c r="CS26" s="21">
        <f ca="1">SUM(Start:End!CS26)</f>
        <v>67</v>
      </c>
      <c r="CT26" s="21">
        <f ca="1">SUM(Start:End!CT26)</f>
        <v>67</v>
      </c>
    </row>
    <row r="27" spans="2:98">
      <c r="B27" s="20" t="s">
        <v>24</v>
      </c>
      <c r="C27" s="21">
        <f ca="1">C26-C24</f>
        <v>0</v>
      </c>
      <c r="D27" s="21">
        <f t="shared" ref="D27:U27" ca="1" si="2">D26-D24</f>
        <v>0</v>
      </c>
      <c r="E27" s="21">
        <f t="shared" ca="1" si="2"/>
        <v>0</v>
      </c>
      <c r="F27" s="21">
        <f t="shared" ca="1" si="2"/>
        <v>1</v>
      </c>
      <c r="G27" s="21">
        <f t="shared" ca="1" si="2"/>
        <v>-2</v>
      </c>
      <c r="H27" s="21">
        <f t="shared" ca="1" si="2"/>
        <v>-2</v>
      </c>
      <c r="I27" s="21">
        <f t="shared" ca="1" si="2"/>
        <v>-2</v>
      </c>
      <c r="J27" s="21">
        <f t="shared" ca="1" si="2"/>
        <v>-7</v>
      </c>
      <c r="K27" s="21">
        <f t="shared" ca="1" si="2"/>
        <v>-11</v>
      </c>
      <c r="L27" s="21">
        <f t="shared" ca="1" si="2"/>
        <v>-10</v>
      </c>
      <c r="M27" s="21">
        <f t="shared" ca="1" si="2"/>
        <v>5</v>
      </c>
      <c r="N27" s="21">
        <f t="shared" ca="1" si="2"/>
        <v>9</v>
      </c>
      <c r="O27" s="21">
        <f t="shared" ca="1" si="2"/>
        <v>9</v>
      </c>
      <c r="P27" s="21">
        <f t="shared" ca="1" si="2"/>
        <v>9</v>
      </c>
      <c r="Q27" s="21">
        <f t="shared" ca="1" si="2"/>
        <v>8</v>
      </c>
      <c r="R27" s="21">
        <f t="shared" ca="1" si="2"/>
        <v>-14</v>
      </c>
      <c r="S27" s="21">
        <f t="shared" ca="1" si="2"/>
        <v>-35</v>
      </c>
      <c r="T27" s="21">
        <f t="shared" ca="1" si="2"/>
        <v>-78</v>
      </c>
      <c r="U27" s="21">
        <f t="shared" ca="1" si="2"/>
        <v>-100</v>
      </c>
      <c r="V27" s="21">
        <f t="shared" ref="V27:CG27" ca="1" si="3">V26-V24</f>
        <v>-100</v>
      </c>
      <c r="W27" s="21">
        <f t="shared" ca="1" si="3"/>
        <v>-100</v>
      </c>
      <c r="X27" s="21">
        <f t="shared" ca="1" si="3"/>
        <v>-117</v>
      </c>
      <c r="Y27" s="21">
        <f t="shared" ca="1" si="3"/>
        <v>-123</v>
      </c>
      <c r="Z27" s="21">
        <f t="shared" ca="1" si="3"/>
        <v>-142</v>
      </c>
      <c r="AA27" s="21">
        <f t="shared" ca="1" si="3"/>
        <v>-165</v>
      </c>
      <c r="AB27" s="21">
        <f t="shared" ca="1" si="3"/>
        <v>-187</v>
      </c>
      <c r="AC27" s="21">
        <f t="shared" ca="1" si="3"/>
        <v>-187</v>
      </c>
      <c r="AD27" s="21">
        <f t="shared" ca="1" si="3"/>
        <v>-187</v>
      </c>
      <c r="AE27" s="21">
        <f t="shared" ca="1" si="3"/>
        <v>-208</v>
      </c>
      <c r="AF27" s="21">
        <f t="shared" ca="1" si="3"/>
        <v>-208</v>
      </c>
      <c r="AG27" s="21">
        <f t="shared" ca="1" si="3"/>
        <v>-212</v>
      </c>
      <c r="AH27" s="21">
        <f t="shared" ca="1" si="3"/>
        <v>-216</v>
      </c>
      <c r="AI27" s="21">
        <f t="shared" ca="1" si="3"/>
        <v>-218</v>
      </c>
      <c r="AJ27" s="21">
        <f t="shared" ca="1" si="3"/>
        <v>-218</v>
      </c>
      <c r="AK27" s="21">
        <f t="shared" ca="1" si="3"/>
        <v>-218</v>
      </c>
      <c r="AL27" s="21">
        <f t="shared" ca="1" si="3"/>
        <v>-230</v>
      </c>
      <c r="AM27" s="21">
        <f t="shared" ca="1" si="3"/>
        <v>-245</v>
      </c>
      <c r="AN27" s="21">
        <f t="shared" ca="1" si="3"/>
        <v>-252</v>
      </c>
      <c r="AO27" s="21">
        <f t="shared" ca="1" si="3"/>
        <v>-264</v>
      </c>
      <c r="AP27" s="21">
        <f t="shared" ca="1" si="3"/>
        <v>-271</v>
      </c>
      <c r="AQ27" s="21">
        <f t="shared" ca="1" si="3"/>
        <v>-271</v>
      </c>
      <c r="AR27" s="21">
        <f t="shared" ca="1" si="3"/>
        <v>-271</v>
      </c>
      <c r="AS27" s="21">
        <f t="shared" ca="1" si="3"/>
        <v>-279</v>
      </c>
      <c r="AT27" s="21">
        <f t="shared" ca="1" si="3"/>
        <v>-289</v>
      </c>
      <c r="AU27" s="21">
        <f t="shared" ca="1" si="3"/>
        <v>-294</v>
      </c>
      <c r="AV27" s="21">
        <f t="shared" ca="1" si="3"/>
        <v>-296</v>
      </c>
      <c r="AW27" s="21">
        <f t="shared" ca="1" si="3"/>
        <v>-301</v>
      </c>
      <c r="AX27" s="21">
        <f t="shared" ca="1" si="3"/>
        <v>-301</v>
      </c>
      <c r="AY27" s="21">
        <f t="shared" ca="1" si="3"/>
        <v>-301</v>
      </c>
      <c r="AZ27" s="21">
        <f t="shared" ca="1" si="3"/>
        <v>-301</v>
      </c>
      <c r="BA27" s="21">
        <f t="shared" ca="1" si="3"/>
        <v>-317</v>
      </c>
      <c r="BB27" s="21">
        <f t="shared" ca="1" si="3"/>
        <v>-334</v>
      </c>
      <c r="BC27" s="21">
        <f t="shared" ca="1" si="3"/>
        <v>-343</v>
      </c>
      <c r="BD27" s="21">
        <f t="shared" ca="1" si="3"/>
        <v>-350</v>
      </c>
      <c r="BE27" s="21">
        <f t="shared" ca="1" si="3"/>
        <v>-350</v>
      </c>
      <c r="BF27" s="21">
        <f t="shared" ca="1" si="3"/>
        <v>-350</v>
      </c>
      <c r="BG27" s="21">
        <f t="shared" ca="1" si="3"/>
        <v>-366</v>
      </c>
      <c r="BH27" s="21">
        <f t="shared" ca="1" si="3"/>
        <v>-381</v>
      </c>
      <c r="BI27" s="21">
        <f t="shared" ca="1" si="3"/>
        <v>-385</v>
      </c>
      <c r="BJ27" s="21">
        <f t="shared" ca="1" si="3"/>
        <v>-395</v>
      </c>
      <c r="BK27" s="21">
        <f t="shared" ca="1" si="3"/>
        <v>-398</v>
      </c>
      <c r="BL27" s="21">
        <f t="shared" ca="1" si="3"/>
        <v>-398</v>
      </c>
      <c r="BM27" s="21">
        <f t="shared" ca="1" si="3"/>
        <v>-398</v>
      </c>
      <c r="BN27" s="21">
        <f t="shared" ca="1" si="3"/>
        <v>-403</v>
      </c>
      <c r="BO27" s="21">
        <f t="shared" ca="1" si="3"/>
        <v>-417</v>
      </c>
      <c r="BP27" s="21">
        <f t="shared" ca="1" si="3"/>
        <v>-435</v>
      </c>
      <c r="BQ27" s="21">
        <f t="shared" ca="1" si="3"/>
        <v>-439</v>
      </c>
      <c r="BR27" s="21">
        <f t="shared" ca="1" si="3"/>
        <v>-444</v>
      </c>
      <c r="BS27" s="21">
        <f t="shared" ca="1" si="3"/>
        <v>-444</v>
      </c>
      <c r="BT27" s="21">
        <f t="shared" ca="1" si="3"/>
        <v>-444</v>
      </c>
      <c r="BU27" s="21">
        <f t="shared" ca="1" si="3"/>
        <v>-444</v>
      </c>
      <c r="BV27" s="21">
        <f t="shared" ca="1" si="3"/>
        <v>-446</v>
      </c>
      <c r="BW27" s="21">
        <f t="shared" ca="1" si="3"/>
        <v>-454</v>
      </c>
      <c r="BX27" s="21">
        <f t="shared" ca="1" si="3"/>
        <v>-460</v>
      </c>
      <c r="BY27" s="21">
        <f t="shared" ca="1" si="3"/>
        <v>-471</v>
      </c>
      <c r="BZ27" s="21">
        <f t="shared" ca="1" si="3"/>
        <v>-471</v>
      </c>
      <c r="CA27" s="21">
        <f t="shared" ca="1" si="3"/>
        <v>-471</v>
      </c>
      <c r="CB27" s="21">
        <f t="shared" ca="1" si="3"/>
        <v>-477</v>
      </c>
      <c r="CC27" s="21">
        <f t="shared" ca="1" si="3"/>
        <v>-487</v>
      </c>
      <c r="CD27" s="21">
        <f t="shared" ca="1" si="3"/>
        <v>-491</v>
      </c>
      <c r="CE27" s="21">
        <f t="shared" ca="1" si="3"/>
        <v>-496</v>
      </c>
      <c r="CF27" s="21">
        <f t="shared" ca="1" si="3"/>
        <v>-498</v>
      </c>
      <c r="CG27" s="21">
        <f t="shared" ca="1" si="3"/>
        <v>-498</v>
      </c>
      <c r="CH27" s="21">
        <f t="shared" ref="CH27:CT27" ca="1" si="4">CH26-CH24</f>
        <v>-498</v>
      </c>
      <c r="CI27" s="21">
        <f t="shared" ca="1" si="4"/>
        <v>-505</v>
      </c>
      <c r="CJ27" s="21">
        <f t="shared" ca="1" si="4"/>
        <v>-511</v>
      </c>
      <c r="CK27" s="21">
        <f t="shared" ca="1" si="4"/>
        <v>-523</v>
      </c>
      <c r="CL27" s="21">
        <f t="shared" ca="1" si="4"/>
        <v>-535</v>
      </c>
      <c r="CM27" s="21">
        <f t="shared" ca="1" si="4"/>
        <v>-550</v>
      </c>
      <c r="CN27" s="21">
        <f t="shared" ca="1" si="4"/>
        <v>-550</v>
      </c>
      <c r="CO27" s="21">
        <f t="shared" ca="1" si="4"/>
        <v>-550</v>
      </c>
      <c r="CP27" s="21">
        <f t="shared" ca="1" si="4"/>
        <v>-554</v>
      </c>
      <c r="CQ27" s="21">
        <f t="shared" ca="1" si="4"/>
        <v>-558</v>
      </c>
      <c r="CR27" s="21">
        <f t="shared" ca="1" si="4"/>
        <v>-564</v>
      </c>
      <c r="CS27" s="21">
        <f t="shared" ca="1" si="4"/>
        <v>-570</v>
      </c>
      <c r="CT27" s="21">
        <f t="shared" ca="1" si="4"/>
        <v>-570</v>
      </c>
    </row>
    <row r="30" spans="2:98" ht="19.5">
      <c r="B30" s="25" t="s">
        <v>391</v>
      </c>
    </row>
    <row r="45" spans="2:3" ht="15.5" thickBot="1"/>
    <row r="46" spans="2:3" ht="15.5" thickBot="1">
      <c r="B46" s="15" t="s">
        <v>18</v>
      </c>
      <c r="C46" s="16">
        <v>1</v>
      </c>
    </row>
    <row r="47" spans="2:3" ht="7" customHeight="1">
      <c r="B47" s="17"/>
    </row>
    <row r="49" spans="2:98" ht="8.5" customHeight="1"/>
    <row r="50" spans="2:98">
      <c r="B50" s="18" t="s">
        <v>19</v>
      </c>
      <c r="C50" s="19">
        <v>45810</v>
      </c>
      <c r="D50" s="19">
        <f>C50+$C$18</f>
        <v>45811</v>
      </c>
      <c r="E50" s="19">
        <f t="shared" ref="E50" si="5">D50+$C$18</f>
        <v>45812</v>
      </c>
      <c r="F50" s="19">
        <f t="shared" ref="F50" si="6">E50+$C$18</f>
        <v>45813</v>
      </c>
      <c r="G50" s="19">
        <f t="shared" ref="G50" si="7">F50+$C$18</f>
        <v>45814</v>
      </c>
      <c r="H50" s="19">
        <f t="shared" ref="H50" si="8">G50+$C$18</f>
        <v>45815</v>
      </c>
      <c r="I50" s="19">
        <f t="shared" ref="I50" si="9">H50+$C$18</f>
        <v>45816</v>
      </c>
      <c r="J50" s="19">
        <f t="shared" ref="J50" si="10">I50+$C$18</f>
        <v>45817</v>
      </c>
      <c r="K50" s="19">
        <f t="shared" ref="K50" si="11">J50+$C$18</f>
        <v>45818</v>
      </c>
      <c r="L50" s="19">
        <f t="shared" ref="L50" si="12">K50+$C$18</f>
        <v>45819</v>
      </c>
      <c r="M50" s="19">
        <f t="shared" ref="M50" si="13">L50+$C$18</f>
        <v>45820</v>
      </c>
      <c r="N50" s="19">
        <f t="shared" ref="N50" si="14">M50+$C$18</f>
        <v>45821</v>
      </c>
      <c r="O50" s="19">
        <f t="shared" ref="O50" si="15">N50+$C$18</f>
        <v>45822</v>
      </c>
      <c r="P50" s="19">
        <f t="shared" ref="P50" si="16">O50+$C$18</f>
        <v>45823</v>
      </c>
      <c r="Q50" s="19">
        <f t="shared" ref="Q50" si="17">P50+$C$18</f>
        <v>45824</v>
      </c>
      <c r="R50" s="19">
        <f t="shared" ref="R50" si="18">Q50+$C$18</f>
        <v>45825</v>
      </c>
      <c r="S50" s="19">
        <f t="shared" ref="S50" si="19">R50+$C$18</f>
        <v>45826</v>
      </c>
      <c r="T50" s="19">
        <f t="shared" ref="T50" si="20">S50+$C$18</f>
        <v>45827</v>
      </c>
      <c r="U50" s="19">
        <f t="shared" ref="U50" si="21">T50+$C$18</f>
        <v>45828</v>
      </c>
      <c r="V50" s="19">
        <f t="shared" ref="V50" si="22">U50+$C$18</f>
        <v>45829</v>
      </c>
      <c r="W50" s="19">
        <f t="shared" ref="W50" si="23">V50+$C$18</f>
        <v>45830</v>
      </c>
      <c r="X50" s="19">
        <f t="shared" ref="X50" si="24">W50+$C$18</f>
        <v>45831</v>
      </c>
      <c r="Y50" s="19">
        <f t="shared" ref="Y50" si="25">X50+$C$18</f>
        <v>45832</v>
      </c>
      <c r="Z50" s="19">
        <f t="shared" ref="Z50" si="26">Y50+$C$18</f>
        <v>45833</v>
      </c>
      <c r="AA50" s="19">
        <f t="shared" ref="AA50" si="27">Z50+$C$18</f>
        <v>45834</v>
      </c>
      <c r="AB50" s="19">
        <f t="shared" ref="AB50" si="28">AA50+$C$18</f>
        <v>45835</v>
      </c>
      <c r="AC50" s="19">
        <f t="shared" ref="AC50" si="29">AB50+$C$18</f>
        <v>45836</v>
      </c>
      <c r="AD50" s="19">
        <f t="shared" ref="AD50" si="30">AC50+$C$18</f>
        <v>45837</v>
      </c>
      <c r="AE50" s="19">
        <f t="shared" ref="AE50" si="31">AD50+$C$18</f>
        <v>45838</v>
      </c>
      <c r="AF50" s="19">
        <f t="shared" ref="AF50" si="32">AE50+$C$18</f>
        <v>45839</v>
      </c>
      <c r="AG50" s="19">
        <f t="shared" ref="AG50" si="33">AF50+$C$18</f>
        <v>45840</v>
      </c>
      <c r="AH50" s="19">
        <f t="shared" ref="AH50" si="34">AG50+$C$18</f>
        <v>45841</v>
      </c>
      <c r="AI50" s="19">
        <f t="shared" ref="AI50" si="35">AH50+$C$18</f>
        <v>45842</v>
      </c>
      <c r="AJ50" s="19">
        <f t="shared" ref="AJ50" si="36">AI50+$C$18</f>
        <v>45843</v>
      </c>
      <c r="AK50" s="19">
        <f t="shared" ref="AK50" si="37">AJ50+$C$18</f>
        <v>45844</v>
      </c>
      <c r="AL50" s="19">
        <f t="shared" ref="AL50" si="38">AK50+$C$18</f>
        <v>45845</v>
      </c>
      <c r="AM50" s="19">
        <f t="shared" ref="AM50" si="39">AL50+$C$18</f>
        <v>45846</v>
      </c>
      <c r="AN50" s="19">
        <f t="shared" ref="AN50" si="40">AM50+$C$18</f>
        <v>45847</v>
      </c>
      <c r="AO50" s="19">
        <f t="shared" ref="AO50" si="41">AN50+$C$18</f>
        <v>45848</v>
      </c>
      <c r="AP50" s="19">
        <f t="shared" ref="AP50" si="42">AO50+$C$18</f>
        <v>45849</v>
      </c>
      <c r="AQ50" s="19">
        <f t="shared" ref="AQ50" si="43">AP50+$C$18</f>
        <v>45850</v>
      </c>
      <c r="AR50" s="19">
        <f t="shared" ref="AR50" si="44">AQ50+$C$18</f>
        <v>45851</v>
      </c>
      <c r="AS50" s="19">
        <f t="shared" ref="AS50" si="45">AR50+$C$18</f>
        <v>45852</v>
      </c>
      <c r="AT50" s="19">
        <f t="shared" ref="AT50" si="46">AS50+$C$18</f>
        <v>45853</v>
      </c>
      <c r="AU50" s="19">
        <f t="shared" ref="AU50" si="47">AT50+$C$18</f>
        <v>45854</v>
      </c>
      <c r="AV50" s="19">
        <f t="shared" ref="AV50" si="48">AU50+$C$18</f>
        <v>45855</v>
      </c>
      <c r="AW50" s="19">
        <f t="shared" ref="AW50" si="49">AV50+$C$18</f>
        <v>45856</v>
      </c>
      <c r="AX50" s="19">
        <f t="shared" ref="AX50" si="50">AW50+$C$18</f>
        <v>45857</v>
      </c>
      <c r="AY50" s="19">
        <f t="shared" ref="AY50" si="51">AX50+$C$18</f>
        <v>45858</v>
      </c>
      <c r="AZ50" s="19">
        <f t="shared" ref="AZ50" si="52">AY50+$C$18</f>
        <v>45859</v>
      </c>
      <c r="BA50" s="19">
        <f t="shared" ref="BA50" si="53">AZ50+$C$18</f>
        <v>45860</v>
      </c>
      <c r="BB50" s="19">
        <f t="shared" ref="BB50" si="54">BA50+$C$18</f>
        <v>45861</v>
      </c>
      <c r="BC50" s="19">
        <f t="shared" ref="BC50" si="55">BB50+$C$18</f>
        <v>45862</v>
      </c>
      <c r="BD50" s="19">
        <f t="shared" ref="BD50" si="56">BC50+$C$18</f>
        <v>45863</v>
      </c>
      <c r="BE50" s="19">
        <f t="shared" ref="BE50" si="57">BD50+$C$18</f>
        <v>45864</v>
      </c>
      <c r="BF50" s="19">
        <f t="shared" ref="BF50" si="58">BE50+$C$18</f>
        <v>45865</v>
      </c>
      <c r="BG50" s="19">
        <f t="shared" ref="BG50" si="59">BF50+$C$18</f>
        <v>45866</v>
      </c>
      <c r="BH50" s="19">
        <f t="shared" ref="BH50" si="60">BG50+$C$18</f>
        <v>45867</v>
      </c>
      <c r="BI50" s="19">
        <f t="shared" ref="BI50" si="61">BH50+$C$18</f>
        <v>45868</v>
      </c>
      <c r="BJ50" s="19">
        <f t="shared" ref="BJ50" si="62">BI50+$C$18</f>
        <v>45869</v>
      </c>
      <c r="BK50" s="19">
        <f t="shared" ref="BK50" si="63">BJ50+$C$18</f>
        <v>45870</v>
      </c>
      <c r="BL50" s="19">
        <f t="shared" ref="BL50" si="64">BK50+$C$18</f>
        <v>45871</v>
      </c>
      <c r="BM50" s="19">
        <f t="shared" ref="BM50" si="65">BL50+$C$18</f>
        <v>45872</v>
      </c>
      <c r="BN50" s="19">
        <f t="shared" ref="BN50" si="66">BM50+$C$18</f>
        <v>45873</v>
      </c>
      <c r="BO50" s="19">
        <f t="shared" ref="BO50" si="67">BN50+$C$18</f>
        <v>45874</v>
      </c>
      <c r="BP50" s="19">
        <f t="shared" ref="BP50" si="68">BO50+$C$18</f>
        <v>45875</v>
      </c>
      <c r="BQ50" s="19">
        <f t="shared" ref="BQ50" si="69">BP50+$C$18</f>
        <v>45876</v>
      </c>
      <c r="BR50" s="19">
        <f t="shared" ref="BR50" si="70">BQ50+$C$18</f>
        <v>45877</v>
      </c>
      <c r="BS50" s="19">
        <f t="shared" ref="BS50" si="71">BR50+$C$18</f>
        <v>45878</v>
      </c>
      <c r="BT50" s="19">
        <f t="shared" ref="BT50" si="72">BS50+$C$18</f>
        <v>45879</v>
      </c>
      <c r="BU50" s="19">
        <f t="shared" ref="BU50" si="73">BT50+$C$18</f>
        <v>45880</v>
      </c>
      <c r="BV50" s="19">
        <f t="shared" ref="BV50" si="74">BU50+$C$18</f>
        <v>45881</v>
      </c>
      <c r="BW50" s="19">
        <f t="shared" ref="BW50" si="75">BV50+$C$18</f>
        <v>45882</v>
      </c>
      <c r="BX50" s="19">
        <f t="shared" ref="BX50" si="76">BW50+$C$18</f>
        <v>45883</v>
      </c>
      <c r="BY50" s="19">
        <f t="shared" ref="BY50" si="77">BX50+$C$18</f>
        <v>45884</v>
      </c>
      <c r="BZ50" s="19">
        <f t="shared" ref="BZ50" si="78">BY50+$C$18</f>
        <v>45885</v>
      </c>
      <c r="CA50" s="19">
        <f t="shared" ref="CA50" si="79">BZ50+$C$18</f>
        <v>45886</v>
      </c>
      <c r="CB50" s="19">
        <f t="shared" ref="CB50" si="80">CA50+$C$18</f>
        <v>45887</v>
      </c>
      <c r="CC50" s="19">
        <f t="shared" ref="CC50" si="81">CB50+$C$18</f>
        <v>45888</v>
      </c>
      <c r="CD50" s="19">
        <f t="shared" ref="CD50" si="82">CC50+$C$18</f>
        <v>45889</v>
      </c>
      <c r="CE50" s="19">
        <f t="shared" ref="CE50" si="83">CD50+$C$18</f>
        <v>45890</v>
      </c>
      <c r="CF50" s="19">
        <f t="shared" ref="CF50" si="84">CE50+$C$18</f>
        <v>45891</v>
      </c>
      <c r="CG50" s="19">
        <f t="shared" ref="CG50" si="85">CF50+$C$18</f>
        <v>45892</v>
      </c>
      <c r="CH50" s="19">
        <f t="shared" ref="CH50" si="86">CG50+$C$18</f>
        <v>45893</v>
      </c>
      <c r="CI50" s="19">
        <f t="shared" ref="CI50" si="87">CH50+$C$18</f>
        <v>45894</v>
      </c>
      <c r="CJ50" s="19">
        <f t="shared" ref="CJ50" si="88">CI50+$C$18</f>
        <v>45895</v>
      </c>
      <c r="CK50" s="19">
        <f t="shared" ref="CK50" si="89">CJ50+$C$18</f>
        <v>45896</v>
      </c>
      <c r="CL50" s="19">
        <f t="shared" ref="CL50" si="90">CK50+$C$18</f>
        <v>45897</v>
      </c>
      <c r="CM50" s="19">
        <f t="shared" ref="CM50" si="91">CL50+$C$18</f>
        <v>45898</v>
      </c>
      <c r="CN50" s="19">
        <f t="shared" ref="CN50" si="92">CM50+$C$18</f>
        <v>45899</v>
      </c>
      <c r="CO50" s="19">
        <f t="shared" ref="CO50" si="93">CN50+$C$18</f>
        <v>45900</v>
      </c>
      <c r="CP50" s="19">
        <f t="shared" ref="CP50" si="94">CO50+$C$18</f>
        <v>45901</v>
      </c>
      <c r="CQ50" s="19">
        <f t="shared" ref="CQ50" si="95">CP50+$C$18</f>
        <v>45902</v>
      </c>
      <c r="CR50" s="19">
        <f t="shared" ref="CR50" si="96">CQ50+$C$18</f>
        <v>45903</v>
      </c>
      <c r="CS50" s="19">
        <f t="shared" ref="CS50" si="97">CR50+$C$18</f>
        <v>45904</v>
      </c>
      <c r="CT50" s="19">
        <f t="shared" ref="CT50" si="98">CS50+$C$18</f>
        <v>45905</v>
      </c>
    </row>
    <row r="51" spans="2:98">
      <c r="B51" s="20" t="s">
        <v>382</v>
      </c>
      <c r="C51" s="21">
        <f ca="1">SUM(Start:End!C51)</f>
        <v>1</v>
      </c>
      <c r="D51" s="21">
        <f ca="1">SUM(Start:End!D51)</f>
        <v>6</v>
      </c>
      <c r="E51" s="21">
        <f ca="1">SUM(Start:End!E51)</f>
        <v>26</v>
      </c>
      <c r="F51" s="21">
        <f ca="1">SUM(Start:End!F51)</f>
        <v>0</v>
      </c>
      <c r="G51" s="21">
        <f ca="1">SUM(Start:End!G51)</f>
        <v>4</v>
      </c>
      <c r="H51" s="21">
        <f ca="1">SUM(Start:End!H51)</f>
        <v>0</v>
      </c>
      <c r="I51" s="21">
        <f ca="1">SUM(Start:End!I51)</f>
        <v>0</v>
      </c>
      <c r="J51" s="21">
        <f ca="1">SUM(Start:End!J51)</f>
        <v>0</v>
      </c>
      <c r="K51" s="21">
        <f ca="1">SUM(Start:End!K51)</f>
        <v>19</v>
      </c>
      <c r="L51" s="21">
        <f ca="1">SUM(Start:End!L51)</f>
        <v>24</v>
      </c>
      <c r="M51" s="21">
        <f ca="1">SUM(Start:End!M51)</f>
        <v>4</v>
      </c>
      <c r="N51" s="21">
        <f ca="1">SUM(Start:End!N51)</f>
        <v>0</v>
      </c>
      <c r="O51" s="21">
        <f ca="1">SUM(Start:End!O51)</f>
        <v>0</v>
      </c>
      <c r="P51" s="21">
        <f ca="1">SUM(Start:End!P51)</f>
        <v>0</v>
      </c>
      <c r="Q51" s="21">
        <f ca="1">SUM(Start:End!Q51)</f>
        <v>3</v>
      </c>
      <c r="R51" s="21">
        <f ca="1">SUM(Start:End!R51)</f>
        <v>0</v>
      </c>
      <c r="S51" s="21">
        <f ca="1">SUM(Start:End!S51)</f>
        <v>21</v>
      </c>
      <c r="T51" s="21">
        <f ca="1">SUM(Start:End!T51)</f>
        <v>42</v>
      </c>
      <c r="U51" s="21">
        <f ca="1">SUM(Start:End!U51)</f>
        <v>22</v>
      </c>
      <c r="V51" s="21">
        <f ca="1">SUM(Start:End!V51)</f>
        <v>0</v>
      </c>
      <c r="W51" s="21">
        <f ca="1">SUM(Start:End!W51)</f>
        <v>0</v>
      </c>
      <c r="X51" s="21">
        <f ca="1">SUM(Start:End!X51)</f>
        <v>24</v>
      </c>
      <c r="Y51" s="21">
        <f ca="1">SUM(Start:End!Y51)</f>
        <v>19</v>
      </c>
      <c r="Z51" s="21">
        <f ca="1">SUM(Start:End!Z51)</f>
        <v>0</v>
      </c>
      <c r="AA51" s="21">
        <f ca="1">SUM(Start:End!AA51)</f>
        <v>21</v>
      </c>
      <c r="AB51" s="21">
        <f ca="1">SUM(Start:End!AB51)</f>
        <v>23</v>
      </c>
      <c r="AC51" s="21">
        <f ca="1">SUM(Start:End!AC51)</f>
        <v>0</v>
      </c>
      <c r="AD51" s="21">
        <f ca="1">SUM(Start:End!AD51)</f>
        <v>0</v>
      </c>
      <c r="AE51" s="21">
        <f ca="1">SUM(Start:End!AE51)</f>
        <v>21</v>
      </c>
      <c r="AF51" s="21">
        <f ca="1">SUM(Start:End!AF51)</f>
        <v>20</v>
      </c>
      <c r="AG51" s="21">
        <f ca="1">SUM(Start:End!AG51)</f>
        <v>0</v>
      </c>
      <c r="AH51" s="21">
        <f ca="1">SUM(Start:End!AH51)</f>
        <v>5</v>
      </c>
      <c r="AI51" s="21">
        <f ca="1">SUM(Start:End!AI51)</f>
        <v>3</v>
      </c>
      <c r="AJ51" s="21">
        <f ca="1">SUM(Start:End!AJ51)</f>
        <v>0</v>
      </c>
      <c r="AK51" s="21">
        <f ca="1">SUM(Start:End!AK51)</f>
        <v>0</v>
      </c>
      <c r="AL51" s="21">
        <f ca="1">SUM(Start:End!AL51)</f>
        <v>2</v>
      </c>
      <c r="AM51" s="21">
        <f ca="1">SUM(Start:End!AM51)</f>
        <v>15</v>
      </c>
      <c r="AN51" s="21">
        <f ca="1">SUM(Start:End!AN51)</f>
        <v>13</v>
      </c>
      <c r="AO51" s="21">
        <f ca="1">SUM(Start:End!AO51)</f>
        <v>7</v>
      </c>
      <c r="AP51" s="21">
        <f ca="1">SUM(Start:End!AP51)</f>
        <v>12</v>
      </c>
      <c r="AQ51" s="21">
        <f ca="1">SUM(Start:End!AQ51)</f>
        <v>0</v>
      </c>
      <c r="AR51" s="21">
        <f ca="1">SUM(Start:End!AR51)</f>
        <v>0</v>
      </c>
      <c r="AS51" s="21">
        <f ca="1">SUM(Start:End!AS51)</f>
        <v>7</v>
      </c>
      <c r="AT51" s="21">
        <f ca="1">SUM(Start:End!AT51)</f>
        <v>8</v>
      </c>
      <c r="AU51" s="21">
        <f ca="1">SUM(Start:End!AU51)</f>
        <v>6</v>
      </c>
      <c r="AV51" s="21">
        <f ca="1">SUM(Start:End!AV51)</f>
        <v>5</v>
      </c>
      <c r="AW51" s="21">
        <f ca="1">SUM(Start:End!AW51)</f>
        <v>4</v>
      </c>
      <c r="AX51" s="21">
        <f ca="1">SUM(Start:End!AX51)</f>
        <v>0</v>
      </c>
      <c r="AY51" s="21">
        <f ca="1">SUM(Start:End!AY51)</f>
        <v>0</v>
      </c>
      <c r="AZ51" s="21">
        <f ca="1">SUM(Start:End!AZ51)</f>
        <v>0</v>
      </c>
      <c r="BA51" s="21">
        <f ca="1">SUM(Start:End!BA51)</f>
        <v>4</v>
      </c>
      <c r="BB51" s="21">
        <f ca="1">SUM(Start:End!BB51)</f>
        <v>15</v>
      </c>
      <c r="BC51" s="21">
        <f ca="1">SUM(Start:End!BC51)</f>
        <v>20</v>
      </c>
      <c r="BD51" s="21">
        <f ca="1">SUM(Start:End!BD51)</f>
        <v>6</v>
      </c>
      <c r="BE51" s="21">
        <f ca="1">SUM(Start:End!BE51)</f>
        <v>0</v>
      </c>
      <c r="BF51" s="21">
        <f ca="1">SUM(Start:End!BF51)</f>
        <v>0</v>
      </c>
      <c r="BG51" s="21">
        <f ca="1">SUM(Start:End!BG51)</f>
        <v>5</v>
      </c>
      <c r="BH51" s="21">
        <f ca="1">SUM(Start:End!BH51)</f>
        <v>16</v>
      </c>
      <c r="BI51" s="21">
        <f ca="1">SUM(Start:End!BI51)</f>
        <v>15</v>
      </c>
      <c r="BJ51" s="21">
        <f ca="1">SUM(Start:End!BJ51)</f>
        <v>5</v>
      </c>
      <c r="BK51" s="21">
        <f ca="1">SUM(Start:End!BK51)</f>
        <v>5</v>
      </c>
      <c r="BL51" s="21">
        <f ca="1">SUM(Start:End!BL51)</f>
        <v>0</v>
      </c>
      <c r="BM51" s="21">
        <f ca="1">SUM(Start:End!BM51)</f>
        <v>0</v>
      </c>
      <c r="BN51" s="21">
        <f ca="1">SUM(Start:End!BN51)</f>
        <v>2</v>
      </c>
      <c r="BO51" s="21">
        <f ca="1">SUM(Start:End!BO51)</f>
        <v>5</v>
      </c>
      <c r="BP51" s="21">
        <f ca="1">SUM(Start:End!BP51)</f>
        <v>17</v>
      </c>
      <c r="BQ51" s="21">
        <f ca="1">SUM(Start:End!BQ51)</f>
        <v>14</v>
      </c>
      <c r="BR51" s="21">
        <f ca="1">SUM(Start:End!BR51)</f>
        <v>3</v>
      </c>
      <c r="BS51" s="21">
        <f ca="1">SUM(Start:End!BS51)</f>
        <v>0</v>
      </c>
      <c r="BT51" s="21">
        <f ca="1">SUM(Start:End!BT51)</f>
        <v>0</v>
      </c>
      <c r="BU51" s="21">
        <f ca="1">SUM(Start:End!BU51)</f>
        <v>0</v>
      </c>
      <c r="BV51" s="21">
        <f ca="1">SUM(Start:End!BV51)</f>
        <v>5</v>
      </c>
      <c r="BW51" s="21">
        <f ca="1">SUM(Start:End!BW51)</f>
        <v>4</v>
      </c>
      <c r="BX51" s="21">
        <f ca="1">SUM(Start:End!BX51)</f>
        <v>7</v>
      </c>
      <c r="BY51" s="21">
        <f ca="1">SUM(Start:End!BY51)</f>
        <v>8</v>
      </c>
      <c r="BZ51" s="21">
        <f ca="1">SUM(Start:End!BZ51)</f>
        <v>0</v>
      </c>
      <c r="CA51" s="21">
        <f ca="1">SUM(Start:End!CA51)</f>
        <v>0</v>
      </c>
      <c r="CB51" s="21">
        <f ca="1">SUM(Start:End!CB51)</f>
        <v>8</v>
      </c>
      <c r="CC51" s="21">
        <f ca="1">SUM(Start:End!CC51)</f>
        <v>9</v>
      </c>
      <c r="CD51" s="21">
        <f ca="1">SUM(Start:End!CD51)</f>
        <v>7</v>
      </c>
      <c r="CE51" s="21">
        <f ca="1">SUM(Start:End!CE51)</f>
        <v>4</v>
      </c>
      <c r="CF51" s="21">
        <f ca="1">SUM(Start:End!CF51)</f>
        <v>5</v>
      </c>
      <c r="CG51" s="21">
        <f ca="1">SUM(Start:End!CG51)</f>
        <v>0</v>
      </c>
      <c r="CH51" s="21">
        <f ca="1">SUM(Start:End!CH51)</f>
        <v>0</v>
      </c>
      <c r="CI51" s="21">
        <f ca="1">SUM(Start:End!CI51)</f>
        <v>4</v>
      </c>
      <c r="CJ51" s="21">
        <f ca="1">SUM(Start:End!CJ51)</f>
        <v>5</v>
      </c>
      <c r="CK51" s="21">
        <f ca="1">SUM(Start:End!CK51)</f>
        <v>10</v>
      </c>
      <c r="CL51" s="21">
        <f ca="1">SUM(Start:End!CL51)</f>
        <v>6</v>
      </c>
      <c r="CM51" s="21">
        <f ca="1">SUM(Start:End!CM51)</f>
        <v>15</v>
      </c>
      <c r="CN51" s="21">
        <f ca="1">SUM(Start:End!CN51)</f>
        <v>0</v>
      </c>
      <c r="CO51" s="21">
        <f ca="1">SUM(Start:End!CO51)</f>
        <v>0</v>
      </c>
      <c r="CP51" s="21">
        <f ca="1">SUM(Start:End!CP51)</f>
        <v>9</v>
      </c>
      <c r="CQ51" s="21">
        <f ca="1">SUM(Start:End!CQ51)</f>
        <v>5</v>
      </c>
      <c r="CR51" s="21">
        <f ca="1">SUM(Start:End!CR51)</f>
        <v>3</v>
      </c>
      <c r="CS51" s="21">
        <f ca="1">SUM(Start:End!CS51)</f>
        <v>6</v>
      </c>
      <c r="CT51" s="21">
        <f ca="1">SUM(Start:End!CT51)</f>
        <v>0</v>
      </c>
    </row>
    <row r="52" spans="2:98">
      <c r="B52" s="20" t="s">
        <v>21</v>
      </c>
      <c r="C52" s="21">
        <f ca="1">SUM(Start:End!C52)</f>
        <v>1</v>
      </c>
      <c r="D52" s="21">
        <f ca="1">SUM(Start:End!D52)</f>
        <v>7</v>
      </c>
      <c r="E52" s="21">
        <f ca="1">SUM(Start:End!E52)</f>
        <v>33</v>
      </c>
      <c r="F52" s="21">
        <f ca="1">SUM(Start:End!F52)</f>
        <v>33</v>
      </c>
      <c r="G52" s="21">
        <f ca="1">SUM(Start:End!G52)</f>
        <v>37</v>
      </c>
      <c r="H52" s="21">
        <f ca="1">SUM(Start:End!H52)</f>
        <v>37</v>
      </c>
      <c r="I52" s="21">
        <f ca="1">SUM(Start:End!I52)</f>
        <v>37</v>
      </c>
      <c r="J52" s="21">
        <f ca="1">SUM(Start:End!J52)</f>
        <v>37</v>
      </c>
      <c r="K52" s="21">
        <f ca="1">SUM(Start:End!K52)</f>
        <v>56</v>
      </c>
      <c r="L52" s="21">
        <f ca="1">SUM(Start:End!L52)</f>
        <v>80</v>
      </c>
      <c r="M52" s="21">
        <f ca="1">SUM(Start:End!M52)</f>
        <v>84</v>
      </c>
      <c r="N52" s="21">
        <f ca="1">SUM(Start:End!N52)</f>
        <v>84</v>
      </c>
      <c r="O52" s="21">
        <f ca="1">SUM(Start:End!O52)</f>
        <v>84</v>
      </c>
      <c r="P52" s="21">
        <f ca="1">SUM(Start:End!P52)</f>
        <v>84</v>
      </c>
      <c r="Q52" s="21">
        <f ca="1">SUM(Start:End!Q52)</f>
        <v>87</v>
      </c>
      <c r="R52" s="21">
        <f ca="1">SUM(Start:End!R52)</f>
        <v>87</v>
      </c>
      <c r="S52" s="21">
        <f ca="1">SUM(Start:End!S52)</f>
        <v>108</v>
      </c>
      <c r="T52" s="21">
        <f ca="1">SUM(Start:End!T52)</f>
        <v>150</v>
      </c>
      <c r="U52" s="21">
        <f ca="1">SUM(Start:End!U52)</f>
        <v>172</v>
      </c>
      <c r="V52" s="21">
        <f ca="1">SUM(Start:End!V52)</f>
        <v>172</v>
      </c>
      <c r="W52" s="21">
        <f ca="1">SUM(Start:End!W52)</f>
        <v>172</v>
      </c>
      <c r="X52" s="21">
        <f ca="1">SUM(Start:End!X52)</f>
        <v>196</v>
      </c>
      <c r="Y52" s="21">
        <f ca="1">SUM(Start:End!Y52)</f>
        <v>215</v>
      </c>
      <c r="Z52" s="21">
        <f ca="1">SUM(Start:End!Z52)</f>
        <v>215</v>
      </c>
      <c r="AA52" s="21">
        <f ca="1">SUM(Start:End!AA52)</f>
        <v>236</v>
      </c>
      <c r="AB52" s="21">
        <f ca="1">SUM(Start:End!AB52)</f>
        <v>259</v>
      </c>
      <c r="AC52" s="21">
        <f ca="1">SUM(Start:End!AC52)</f>
        <v>259</v>
      </c>
      <c r="AD52" s="21">
        <f ca="1">SUM(Start:End!AD52)</f>
        <v>259</v>
      </c>
      <c r="AE52" s="21">
        <f ca="1">SUM(Start:End!AE52)</f>
        <v>280</v>
      </c>
      <c r="AF52" s="21">
        <f ca="1">SUM(Start:End!AF52)</f>
        <v>300</v>
      </c>
      <c r="AG52" s="21">
        <f ca="1">SUM(Start:End!AG52)</f>
        <v>300</v>
      </c>
      <c r="AH52" s="21">
        <f ca="1">SUM(Start:End!AH52)</f>
        <v>305</v>
      </c>
      <c r="AI52" s="21">
        <f ca="1">SUM(Start:End!AI52)</f>
        <v>308</v>
      </c>
      <c r="AJ52" s="21">
        <f ca="1">SUM(Start:End!AJ52)</f>
        <v>308</v>
      </c>
      <c r="AK52" s="21">
        <f ca="1">SUM(Start:End!AK52)</f>
        <v>308</v>
      </c>
      <c r="AL52" s="21">
        <f ca="1">SUM(Start:End!AL52)</f>
        <v>310</v>
      </c>
      <c r="AM52" s="21">
        <f ca="1">SUM(Start:End!AM52)</f>
        <v>325</v>
      </c>
      <c r="AN52" s="21">
        <f ca="1">SUM(Start:End!AN52)</f>
        <v>338</v>
      </c>
      <c r="AO52" s="21">
        <f ca="1">SUM(Start:End!AO52)</f>
        <v>345</v>
      </c>
      <c r="AP52" s="21">
        <f ca="1">SUM(Start:End!AP52)</f>
        <v>357</v>
      </c>
      <c r="AQ52" s="21">
        <f ca="1">SUM(Start:End!AQ52)</f>
        <v>357</v>
      </c>
      <c r="AR52" s="21">
        <f ca="1">SUM(Start:End!AR52)</f>
        <v>357</v>
      </c>
      <c r="AS52" s="21">
        <f ca="1">SUM(Start:End!AS52)</f>
        <v>364</v>
      </c>
      <c r="AT52" s="21">
        <f ca="1">SUM(Start:End!AT52)</f>
        <v>372</v>
      </c>
      <c r="AU52" s="21">
        <f ca="1">SUM(Start:End!AU52)</f>
        <v>378</v>
      </c>
      <c r="AV52" s="21">
        <f ca="1">SUM(Start:End!AV52)</f>
        <v>383</v>
      </c>
      <c r="AW52" s="21">
        <f ca="1">SUM(Start:End!AW52)</f>
        <v>387</v>
      </c>
      <c r="AX52" s="21">
        <f ca="1">SUM(Start:End!AX52)</f>
        <v>387</v>
      </c>
      <c r="AY52" s="21">
        <f ca="1">SUM(Start:End!AY52)</f>
        <v>387</v>
      </c>
      <c r="AZ52" s="21">
        <f ca="1">SUM(Start:End!AZ52)</f>
        <v>387</v>
      </c>
      <c r="BA52" s="21">
        <f ca="1">SUM(Start:End!BA52)</f>
        <v>391</v>
      </c>
      <c r="BB52" s="21">
        <f ca="1">SUM(Start:End!BB52)</f>
        <v>406</v>
      </c>
      <c r="BC52" s="21">
        <f ca="1">SUM(Start:End!BC52)</f>
        <v>426</v>
      </c>
      <c r="BD52" s="21">
        <f ca="1">SUM(Start:End!BD52)</f>
        <v>432</v>
      </c>
      <c r="BE52" s="21">
        <f ca="1">SUM(Start:End!BE52)</f>
        <v>432</v>
      </c>
      <c r="BF52" s="21">
        <f ca="1">SUM(Start:End!BF52)</f>
        <v>432</v>
      </c>
      <c r="BG52" s="21">
        <f ca="1">SUM(Start:End!BG52)</f>
        <v>437</v>
      </c>
      <c r="BH52" s="21">
        <f ca="1">SUM(Start:End!BH52)</f>
        <v>453</v>
      </c>
      <c r="BI52" s="21">
        <f ca="1">SUM(Start:End!BI52)</f>
        <v>468</v>
      </c>
      <c r="BJ52" s="21">
        <f ca="1">SUM(Start:End!BJ52)</f>
        <v>473</v>
      </c>
      <c r="BK52" s="21">
        <f ca="1">SUM(Start:End!BK52)</f>
        <v>478</v>
      </c>
      <c r="BL52" s="21">
        <f ca="1">SUM(Start:End!BL52)</f>
        <v>478</v>
      </c>
      <c r="BM52" s="21">
        <f ca="1">SUM(Start:End!BM52)</f>
        <v>478</v>
      </c>
      <c r="BN52" s="21">
        <f ca="1">SUM(Start:End!BN52)</f>
        <v>480</v>
      </c>
      <c r="BO52" s="21">
        <f ca="1">SUM(Start:End!BO52)</f>
        <v>485</v>
      </c>
      <c r="BP52" s="21">
        <f ca="1">SUM(Start:End!BP52)</f>
        <v>502</v>
      </c>
      <c r="BQ52" s="21">
        <f ca="1">SUM(Start:End!BQ52)</f>
        <v>516</v>
      </c>
      <c r="BR52" s="21">
        <f ca="1">SUM(Start:End!BR52)</f>
        <v>519</v>
      </c>
      <c r="BS52" s="21">
        <f ca="1">SUM(Start:End!BS52)</f>
        <v>519</v>
      </c>
      <c r="BT52" s="21">
        <f ca="1">SUM(Start:End!BT52)</f>
        <v>519</v>
      </c>
      <c r="BU52" s="21">
        <f ca="1">SUM(Start:End!BU52)</f>
        <v>519</v>
      </c>
      <c r="BV52" s="21">
        <f ca="1">SUM(Start:End!BV52)</f>
        <v>524</v>
      </c>
      <c r="BW52" s="21">
        <f ca="1">SUM(Start:End!BW52)</f>
        <v>528</v>
      </c>
      <c r="BX52" s="21">
        <f ca="1">SUM(Start:End!BX52)</f>
        <v>535</v>
      </c>
      <c r="BY52" s="21">
        <f ca="1">SUM(Start:End!BY52)</f>
        <v>543</v>
      </c>
      <c r="BZ52" s="21">
        <f ca="1">SUM(Start:End!BZ52)</f>
        <v>543</v>
      </c>
      <c r="CA52" s="21">
        <f ca="1">SUM(Start:End!CA52)</f>
        <v>543</v>
      </c>
      <c r="CB52" s="21">
        <f ca="1">SUM(Start:End!CB52)</f>
        <v>551</v>
      </c>
      <c r="CC52" s="21">
        <f ca="1">SUM(Start:End!CC52)</f>
        <v>560</v>
      </c>
      <c r="CD52" s="21">
        <f ca="1">SUM(Start:End!CD52)</f>
        <v>567</v>
      </c>
      <c r="CE52" s="21">
        <f ca="1">SUM(Start:End!CE52)</f>
        <v>571</v>
      </c>
      <c r="CF52" s="21">
        <f ca="1">SUM(Start:End!CF52)</f>
        <v>576</v>
      </c>
      <c r="CG52" s="21">
        <f ca="1">SUM(Start:End!CG52)</f>
        <v>576</v>
      </c>
      <c r="CH52" s="21">
        <f ca="1">SUM(Start:End!CH52)</f>
        <v>576</v>
      </c>
      <c r="CI52" s="21">
        <f ca="1">SUM(Start:End!CI52)</f>
        <v>580</v>
      </c>
      <c r="CJ52" s="21">
        <f ca="1">SUM(Start:End!CJ52)</f>
        <v>585</v>
      </c>
      <c r="CK52" s="21">
        <f ca="1">SUM(Start:End!CK52)</f>
        <v>595</v>
      </c>
      <c r="CL52" s="21">
        <f ca="1">SUM(Start:End!CL52)</f>
        <v>601</v>
      </c>
      <c r="CM52" s="21">
        <f ca="1">SUM(Start:End!CM52)</f>
        <v>616</v>
      </c>
      <c r="CN52" s="21">
        <f ca="1">SUM(Start:End!CN52)</f>
        <v>616</v>
      </c>
      <c r="CO52" s="21">
        <f ca="1">SUM(Start:End!CO52)</f>
        <v>616</v>
      </c>
      <c r="CP52" s="21">
        <f ca="1">SUM(Start:End!CP52)</f>
        <v>625</v>
      </c>
      <c r="CQ52" s="21">
        <f ca="1">SUM(Start:End!CQ52)</f>
        <v>630</v>
      </c>
      <c r="CR52" s="21">
        <f ca="1">SUM(Start:End!CR52)</f>
        <v>633</v>
      </c>
      <c r="CS52" s="21">
        <f ca="1">SUM(Start:End!CS52)</f>
        <v>639</v>
      </c>
      <c r="CT52" s="21">
        <f ca="1">SUM(Start:End!CT52)</f>
        <v>639</v>
      </c>
    </row>
    <row r="53" spans="2:98">
      <c r="B53" s="20" t="s">
        <v>383</v>
      </c>
      <c r="C53" s="21">
        <f ca="1">SUM(Start:End!C53)</f>
        <v>1</v>
      </c>
      <c r="D53" s="21">
        <f ca="1">SUM(Start:End!D53)</f>
        <v>6</v>
      </c>
      <c r="E53" s="21">
        <f ca="1">SUM(Start:End!E53)</f>
        <v>25</v>
      </c>
      <c r="F53" s="21">
        <f ca="1">SUM(Start:End!F53)</f>
        <v>0</v>
      </c>
      <c r="G53" s="21">
        <f ca="1">SUM(Start:End!G53)</f>
        <v>6</v>
      </c>
      <c r="H53" s="21">
        <f ca="1">SUM(Start:End!H53)</f>
        <v>0</v>
      </c>
      <c r="I53" s="21">
        <f ca="1">SUM(Start:End!I53)</f>
        <v>0</v>
      </c>
      <c r="J53" s="21">
        <f ca="1">SUM(Start:End!J53)</f>
        <v>14</v>
      </c>
      <c r="K53" s="21">
        <f ca="1">SUM(Start:End!K53)</f>
        <v>23</v>
      </c>
      <c r="L53" s="21">
        <f ca="1">SUM(Start:End!L53)</f>
        <v>9</v>
      </c>
      <c r="M53" s="21">
        <f ca="1">SUM(Start:End!M53)</f>
        <v>2</v>
      </c>
      <c r="N53" s="21">
        <f ca="1">SUM(Start:End!N53)</f>
        <v>3</v>
      </c>
      <c r="O53" s="21">
        <f ca="1">SUM(Start:End!O53)</f>
        <v>0</v>
      </c>
      <c r="P53" s="21">
        <f ca="1">SUM(Start:End!P53)</f>
        <v>0</v>
      </c>
      <c r="Q53" s="21">
        <f ca="1">SUM(Start:End!Q53)</f>
        <v>0</v>
      </c>
      <c r="R53" s="21">
        <f ca="1">SUM(Start:End!R53)</f>
        <v>0</v>
      </c>
      <c r="S53" s="21">
        <f ca="1">SUM(Start:End!S53)</f>
        <v>0</v>
      </c>
      <c r="T53" s="21">
        <f ca="1">SUM(Start:End!T53)</f>
        <v>0</v>
      </c>
      <c r="U53" s="21">
        <f ca="1">SUM(Start:End!U53)</f>
        <v>0</v>
      </c>
      <c r="V53" s="21">
        <f ca="1">SUM(Start:End!V53)</f>
        <v>0</v>
      </c>
      <c r="W53" s="21">
        <f ca="1">SUM(Start:End!W53)</f>
        <v>0</v>
      </c>
      <c r="X53" s="21">
        <f ca="1">SUM(Start:End!X53)</f>
        <v>0</v>
      </c>
      <c r="Y53" s="21">
        <f ca="1">SUM(Start:End!Y53)</f>
        <v>0</v>
      </c>
      <c r="Z53" s="21">
        <f ca="1">SUM(Start:End!Z53)</f>
        <v>0</v>
      </c>
      <c r="AA53" s="21">
        <f ca="1">SUM(Start:End!AA53)</f>
        <v>0</v>
      </c>
      <c r="AB53" s="21">
        <f ca="1">SUM(Start:End!AB53)</f>
        <v>0</v>
      </c>
      <c r="AC53" s="21">
        <f ca="1">SUM(Start:End!AC53)</f>
        <v>0</v>
      </c>
      <c r="AD53" s="21">
        <f ca="1">SUM(Start:End!AD53)</f>
        <v>0</v>
      </c>
      <c r="AE53" s="21">
        <f ca="1">SUM(Start:End!AE53)</f>
        <v>0</v>
      </c>
      <c r="AF53" s="21">
        <f ca="1">SUM(Start:End!AF53)</f>
        <v>0</v>
      </c>
      <c r="AG53" s="21">
        <f ca="1">SUM(Start:End!AG53)</f>
        <v>0</v>
      </c>
      <c r="AH53" s="21">
        <f ca="1">SUM(Start:End!AH53)</f>
        <v>0</v>
      </c>
      <c r="AI53" s="21">
        <f ca="1">SUM(Start:End!AI53)</f>
        <v>0</v>
      </c>
      <c r="AJ53" s="21">
        <f ca="1">SUM(Start:End!AJ53)</f>
        <v>0</v>
      </c>
      <c r="AK53" s="21">
        <f ca="1">SUM(Start:End!AK53)</f>
        <v>0</v>
      </c>
      <c r="AL53" s="21">
        <f ca="1">SUM(Start:End!AL53)</f>
        <v>0</v>
      </c>
      <c r="AM53" s="21">
        <f ca="1">SUM(Start:End!AM53)</f>
        <v>0</v>
      </c>
      <c r="AN53" s="21">
        <f ca="1">SUM(Start:End!AN53)</f>
        <v>0</v>
      </c>
      <c r="AO53" s="21">
        <f ca="1">SUM(Start:End!AO53)</f>
        <v>0</v>
      </c>
      <c r="AP53" s="21">
        <f ca="1">SUM(Start:End!AP53)</f>
        <v>0</v>
      </c>
      <c r="AQ53" s="21">
        <f ca="1">SUM(Start:End!AQ53)</f>
        <v>0</v>
      </c>
      <c r="AR53" s="21">
        <f ca="1">SUM(Start:End!AR53)</f>
        <v>0</v>
      </c>
      <c r="AS53" s="21">
        <f ca="1">SUM(Start:End!AS53)</f>
        <v>0</v>
      </c>
      <c r="AT53" s="21">
        <f ca="1">SUM(Start:End!AT53)</f>
        <v>0</v>
      </c>
      <c r="AU53" s="21">
        <f ca="1">SUM(Start:End!AU53)</f>
        <v>0</v>
      </c>
      <c r="AV53" s="21">
        <f ca="1">SUM(Start:End!AV53)</f>
        <v>0</v>
      </c>
      <c r="AW53" s="21">
        <f ca="1">SUM(Start:End!AW53)</f>
        <v>0</v>
      </c>
      <c r="AX53" s="21">
        <f ca="1">SUM(Start:End!AX53)</f>
        <v>0</v>
      </c>
      <c r="AY53" s="21">
        <f ca="1">SUM(Start:End!AY53)</f>
        <v>0</v>
      </c>
      <c r="AZ53" s="21">
        <f ca="1">SUM(Start:End!AZ53)</f>
        <v>0</v>
      </c>
      <c r="BA53" s="21">
        <f ca="1">SUM(Start:End!BA53)</f>
        <v>0</v>
      </c>
      <c r="BB53" s="21">
        <f ca="1">SUM(Start:End!BB53)</f>
        <v>0</v>
      </c>
      <c r="BC53" s="21">
        <f ca="1">SUM(Start:End!BC53)</f>
        <v>0</v>
      </c>
      <c r="BD53" s="21">
        <f ca="1">SUM(Start:End!BD53)</f>
        <v>0</v>
      </c>
      <c r="BE53" s="21">
        <f ca="1">SUM(Start:End!BE53)</f>
        <v>0</v>
      </c>
      <c r="BF53" s="21">
        <f ca="1">SUM(Start:End!BF53)</f>
        <v>0</v>
      </c>
      <c r="BG53" s="21">
        <f ca="1">SUM(Start:End!BG53)</f>
        <v>0</v>
      </c>
      <c r="BH53" s="21">
        <f ca="1">SUM(Start:End!BH53)</f>
        <v>0</v>
      </c>
      <c r="BI53" s="21">
        <f ca="1">SUM(Start:End!BI53)</f>
        <v>0</v>
      </c>
      <c r="BJ53" s="21">
        <f ca="1">SUM(Start:End!BJ53)</f>
        <v>0</v>
      </c>
      <c r="BK53" s="21">
        <f ca="1">SUM(Start:End!BK53)</f>
        <v>0</v>
      </c>
      <c r="BL53" s="21">
        <f ca="1">SUM(Start:End!BL53)</f>
        <v>0</v>
      </c>
      <c r="BM53" s="21">
        <f ca="1">SUM(Start:End!BM53)</f>
        <v>0</v>
      </c>
      <c r="BN53" s="21">
        <f ca="1">SUM(Start:End!BN53)</f>
        <v>0</v>
      </c>
      <c r="BO53" s="21">
        <f ca="1">SUM(Start:End!BO53)</f>
        <v>0</v>
      </c>
      <c r="BP53" s="21">
        <f ca="1">SUM(Start:End!BP53)</f>
        <v>0</v>
      </c>
      <c r="BQ53" s="21">
        <f ca="1">SUM(Start:End!BQ53)</f>
        <v>0</v>
      </c>
      <c r="BR53" s="21">
        <f ca="1">SUM(Start:End!BR53)</f>
        <v>0</v>
      </c>
      <c r="BS53" s="21">
        <f ca="1">SUM(Start:End!BS53)</f>
        <v>0</v>
      </c>
      <c r="BT53" s="21">
        <f ca="1">SUM(Start:End!BT53)</f>
        <v>0</v>
      </c>
      <c r="BU53" s="21">
        <f ca="1">SUM(Start:End!BU53)</f>
        <v>0</v>
      </c>
      <c r="BV53" s="21">
        <f ca="1">SUM(Start:End!BV53)</f>
        <v>0</v>
      </c>
      <c r="BW53" s="21">
        <f ca="1">SUM(Start:End!BW53)</f>
        <v>0</v>
      </c>
      <c r="BX53" s="21">
        <f ca="1">SUM(Start:End!BX53)</f>
        <v>0</v>
      </c>
      <c r="BY53" s="21">
        <f ca="1">SUM(Start:End!BY53)</f>
        <v>0</v>
      </c>
      <c r="BZ53" s="21">
        <f ca="1">SUM(Start:End!BZ53)</f>
        <v>0</v>
      </c>
      <c r="CA53" s="21">
        <f ca="1">SUM(Start:End!CA53)</f>
        <v>0</v>
      </c>
      <c r="CB53" s="21">
        <f ca="1">SUM(Start:End!CB53)</f>
        <v>0</v>
      </c>
      <c r="CC53" s="21">
        <f ca="1">SUM(Start:End!CC53)</f>
        <v>0</v>
      </c>
      <c r="CD53" s="21">
        <f ca="1">SUM(Start:End!CD53)</f>
        <v>0</v>
      </c>
      <c r="CE53" s="21">
        <f ca="1">SUM(Start:End!CE53)</f>
        <v>0</v>
      </c>
      <c r="CF53" s="21">
        <f ca="1">SUM(Start:End!CF53)</f>
        <v>0</v>
      </c>
      <c r="CG53" s="21">
        <f ca="1">SUM(Start:End!CG53)</f>
        <v>0</v>
      </c>
      <c r="CH53" s="21">
        <f ca="1">SUM(Start:End!CH53)</f>
        <v>0</v>
      </c>
      <c r="CI53" s="21">
        <f ca="1">SUM(Start:End!CI53)</f>
        <v>0</v>
      </c>
      <c r="CJ53" s="21">
        <f ca="1">SUM(Start:End!CJ53)</f>
        <v>0</v>
      </c>
      <c r="CK53" s="21">
        <f ca="1">SUM(Start:End!CK53)</f>
        <v>0</v>
      </c>
      <c r="CL53" s="21">
        <f ca="1">SUM(Start:End!CL53)</f>
        <v>0</v>
      </c>
      <c r="CM53" s="21">
        <f ca="1">SUM(Start:End!CM53)</f>
        <v>0</v>
      </c>
      <c r="CN53" s="21">
        <f ca="1">SUM(Start:End!CN53)</f>
        <v>0</v>
      </c>
      <c r="CO53" s="21">
        <f ca="1">SUM(Start:End!CO53)</f>
        <v>0</v>
      </c>
      <c r="CP53" s="21">
        <f ca="1">SUM(Start:End!CP53)</f>
        <v>0</v>
      </c>
      <c r="CQ53" s="21">
        <f ca="1">SUM(Start:End!CQ53)</f>
        <v>0</v>
      </c>
      <c r="CR53" s="21">
        <f ca="1">SUM(Start:End!CR53)</f>
        <v>0</v>
      </c>
      <c r="CS53" s="21">
        <f ca="1">SUM(Start:End!CS53)</f>
        <v>0</v>
      </c>
      <c r="CT53" s="21">
        <f ca="1">SUM(Start:End!CT53)</f>
        <v>0</v>
      </c>
    </row>
    <row r="54" spans="2:98">
      <c r="B54" s="20" t="s">
        <v>23</v>
      </c>
      <c r="C54" s="21">
        <f ca="1">SUM(Start:End!C54)</f>
        <v>1</v>
      </c>
      <c r="D54" s="21">
        <f ca="1">SUM(Start:End!D54)</f>
        <v>7</v>
      </c>
      <c r="E54" s="21">
        <f ca="1">SUM(Start:End!E54)</f>
        <v>32</v>
      </c>
      <c r="F54" s="21">
        <f ca="1">SUM(Start:End!F54)</f>
        <v>32</v>
      </c>
      <c r="G54" s="21">
        <f ca="1">SUM(Start:End!G54)</f>
        <v>38</v>
      </c>
      <c r="H54" s="21">
        <f ca="1">SUM(Start:End!H54)</f>
        <v>38</v>
      </c>
      <c r="I54" s="21">
        <f ca="1">SUM(Start:End!I54)</f>
        <v>38</v>
      </c>
      <c r="J54" s="21">
        <f ca="1">SUM(Start:End!J54)</f>
        <v>52</v>
      </c>
      <c r="K54" s="21">
        <f ca="1">SUM(Start:End!K54)</f>
        <v>75</v>
      </c>
      <c r="L54" s="21">
        <f ca="1">SUM(Start:End!L54)</f>
        <v>84</v>
      </c>
      <c r="M54" s="21">
        <f ca="1">SUM(Start:End!M54)</f>
        <v>86</v>
      </c>
      <c r="N54" s="21">
        <f ca="1">SUM(Start:End!N54)</f>
        <v>89</v>
      </c>
      <c r="O54" s="21">
        <f ca="1">SUM(Start:End!O54)</f>
        <v>89</v>
      </c>
      <c r="P54" s="21">
        <f ca="1">SUM(Start:End!P54)</f>
        <v>89</v>
      </c>
      <c r="Q54" s="21">
        <f ca="1">SUM(Start:End!Q54)</f>
        <v>89</v>
      </c>
      <c r="R54" s="21">
        <f ca="1">SUM(Start:End!R54)</f>
        <v>89</v>
      </c>
      <c r="S54" s="21">
        <f ca="1">SUM(Start:End!S54)</f>
        <v>89</v>
      </c>
      <c r="T54" s="21">
        <f ca="1">SUM(Start:End!T54)</f>
        <v>89</v>
      </c>
      <c r="U54" s="21">
        <f ca="1">SUM(Start:End!U54)</f>
        <v>89</v>
      </c>
      <c r="V54" s="21">
        <f ca="1">SUM(Start:End!V54)</f>
        <v>89</v>
      </c>
      <c r="W54" s="21">
        <f ca="1">SUM(Start:End!W54)</f>
        <v>89</v>
      </c>
      <c r="X54" s="21">
        <f ca="1">SUM(Start:End!X54)</f>
        <v>89</v>
      </c>
      <c r="Y54" s="21">
        <f ca="1">SUM(Start:End!Y54)</f>
        <v>89</v>
      </c>
      <c r="Z54" s="21">
        <f ca="1">SUM(Start:End!Z54)</f>
        <v>89</v>
      </c>
      <c r="AA54" s="21">
        <f ca="1">SUM(Start:End!AA54)</f>
        <v>89</v>
      </c>
      <c r="AB54" s="21">
        <f ca="1">SUM(Start:End!AB54)</f>
        <v>89</v>
      </c>
      <c r="AC54" s="21">
        <f ca="1">SUM(Start:End!AC54)</f>
        <v>89</v>
      </c>
      <c r="AD54" s="21">
        <f ca="1">SUM(Start:End!AD54)</f>
        <v>89</v>
      </c>
      <c r="AE54" s="21">
        <f ca="1">SUM(Start:End!AE54)</f>
        <v>89</v>
      </c>
      <c r="AF54" s="21">
        <f ca="1">SUM(Start:End!AF54)</f>
        <v>89</v>
      </c>
      <c r="AG54" s="21">
        <f ca="1">SUM(Start:End!AG54)</f>
        <v>89</v>
      </c>
      <c r="AH54" s="21">
        <f ca="1">SUM(Start:End!AH54)</f>
        <v>89</v>
      </c>
      <c r="AI54" s="21">
        <f ca="1">SUM(Start:End!AI54)</f>
        <v>89</v>
      </c>
      <c r="AJ54" s="21">
        <f ca="1">SUM(Start:End!AJ54)</f>
        <v>89</v>
      </c>
      <c r="AK54" s="21">
        <f ca="1">SUM(Start:End!AK54)</f>
        <v>89</v>
      </c>
      <c r="AL54" s="21">
        <f ca="1">SUM(Start:End!AL54)</f>
        <v>89</v>
      </c>
      <c r="AM54" s="21">
        <f ca="1">SUM(Start:End!AM54)</f>
        <v>89</v>
      </c>
      <c r="AN54" s="21">
        <f ca="1">SUM(Start:End!AN54)</f>
        <v>89</v>
      </c>
      <c r="AO54" s="21">
        <f ca="1">SUM(Start:End!AO54)</f>
        <v>89</v>
      </c>
      <c r="AP54" s="21">
        <f ca="1">SUM(Start:End!AP54)</f>
        <v>89</v>
      </c>
      <c r="AQ54" s="21">
        <f ca="1">SUM(Start:End!AQ54)</f>
        <v>89</v>
      </c>
      <c r="AR54" s="21">
        <f ca="1">SUM(Start:End!AR54)</f>
        <v>89</v>
      </c>
      <c r="AS54" s="21">
        <f ca="1">SUM(Start:End!AS54)</f>
        <v>89</v>
      </c>
      <c r="AT54" s="21">
        <f ca="1">SUM(Start:End!AT54)</f>
        <v>89</v>
      </c>
      <c r="AU54" s="21">
        <f ca="1">SUM(Start:End!AU54)</f>
        <v>89</v>
      </c>
      <c r="AV54" s="21">
        <f ca="1">SUM(Start:End!AV54)</f>
        <v>89</v>
      </c>
      <c r="AW54" s="21">
        <f ca="1">SUM(Start:End!AW54)</f>
        <v>89</v>
      </c>
      <c r="AX54" s="21">
        <f ca="1">SUM(Start:End!AX54)</f>
        <v>89</v>
      </c>
      <c r="AY54" s="21">
        <f ca="1">SUM(Start:End!AY54)</f>
        <v>89</v>
      </c>
      <c r="AZ54" s="21">
        <f ca="1">SUM(Start:End!AZ54)</f>
        <v>89</v>
      </c>
      <c r="BA54" s="21">
        <f ca="1">SUM(Start:End!BA54)</f>
        <v>89</v>
      </c>
      <c r="BB54" s="21">
        <f ca="1">SUM(Start:End!BB54)</f>
        <v>89</v>
      </c>
      <c r="BC54" s="21">
        <f ca="1">SUM(Start:End!BC54)</f>
        <v>89</v>
      </c>
      <c r="BD54" s="21">
        <f ca="1">SUM(Start:End!BD54)</f>
        <v>89</v>
      </c>
      <c r="BE54" s="21">
        <f ca="1">SUM(Start:End!BE54)</f>
        <v>89</v>
      </c>
      <c r="BF54" s="21">
        <f ca="1">SUM(Start:End!BF54)</f>
        <v>89</v>
      </c>
      <c r="BG54" s="21">
        <f ca="1">SUM(Start:End!BG54)</f>
        <v>89</v>
      </c>
      <c r="BH54" s="21">
        <f ca="1">SUM(Start:End!BH54)</f>
        <v>89</v>
      </c>
      <c r="BI54" s="21">
        <f ca="1">SUM(Start:End!BI54)</f>
        <v>89</v>
      </c>
      <c r="BJ54" s="21">
        <f ca="1">SUM(Start:End!BJ54)</f>
        <v>89</v>
      </c>
      <c r="BK54" s="21">
        <f ca="1">SUM(Start:End!BK54)</f>
        <v>89</v>
      </c>
      <c r="BL54" s="21">
        <f ca="1">SUM(Start:End!BL54)</f>
        <v>89</v>
      </c>
      <c r="BM54" s="21">
        <f ca="1">SUM(Start:End!BM54)</f>
        <v>89</v>
      </c>
      <c r="BN54" s="21">
        <f ca="1">SUM(Start:End!BN54)</f>
        <v>89</v>
      </c>
      <c r="BO54" s="21">
        <f ca="1">SUM(Start:End!BO54)</f>
        <v>89</v>
      </c>
      <c r="BP54" s="21">
        <f ca="1">SUM(Start:End!BP54)</f>
        <v>89</v>
      </c>
      <c r="BQ54" s="21">
        <f ca="1">SUM(Start:End!BQ54)</f>
        <v>89</v>
      </c>
      <c r="BR54" s="21">
        <f ca="1">SUM(Start:End!BR54)</f>
        <v>89</v>
      </c>
      <c r="BS54" s="21">
        <f ca="1">SUM(Start:End!BS54)</f>
        <v>89</v>
      </c>
      <c r="BT54" s="21">
        <f ca="1">SUM(Start:End!BT54)</f>
        <v>89</v>
      </c>
      <c r="BU54" s="21">
        <f ca="1">SUM(Start:End!BU54)</f>
        <v>89</v>
      </c>
      <c r="BV54" s="21">
        <f ca="1">SUM(Start:End!BV54)</f>
        <v>89</v>
      </c>
      <c r="BW54" s="21">
        <f ca="1">SUM(Start:End!BW54)</f>
        <v>89</v>
      </c>
      <c r="BX54" s="21">
        <f ca="1">SUM(Start:End!BX54)</f>
        <v>89</v>
      </c>
      <c r="BY54" s="21">
        <f ca="1">SUM(Start:End!BY54)</f>
        <v>89</v>
      </c>
      <c r="BZ54" s="21">
        <f ca="1">SUM(Start:End!BZ54)</f>
        <v>89</v>
      </c>
      <c r="CA54" s="21">
        <f ca="1">SUM(Start:End!CA54)</f>
        <v>89</v>
      </c>
      <c r="CB54" s="21">
        <f ca="1">SUM(Start:End!CB54)</f>
        <v>89</v>
      </c>
      <c r="CC54" s="21">
        <f ca="1">SUM(Start:End!CC54)</f>
        <v>89</v>
      </c>
      <c r="CD54" s="21">
        <f ca="1">SUM(Start:End!CD54)</f>
        <v>89</v>
      </c>
      <c r="CE54" s="21">
        <f ca="1">SUM(Start:End!CE54)</f>
        <v>89</v>
      </c>
      <c r="CF54" s="21">
        <f ca="1">SUM(Start:End!CF54)</f>
        <v>89</v>
      </c>
      <c r="CG54" s="21">
        <f ca="1">SUM(Start:End!CG54)</f>
        <v>89</v>
      </c>
      <c r="CH54" s="21">
        <f ca="1">SUM(Start:End!CH54)</f>
        <v>89</v>
      </c>
      <c r="CI54" s="21">
        <f ca="1">SUM(Start:End!CI54)</f>
        <v>89</v>
      </c>
      <c r="CJ54" s="21">
        <f ca="1">SUM(Start:End!CJ54)</f>
        <v>89</v>
      </c>
      <c r="CK54" s="21">
        <f ca="1">SUM(Start:End!CK54)</f>
        <v>89</v>
      </c>
      <c r="CL54" s="21">
        <f ca="1">SUM(Start:End!CL54)</f>
        <v>89</v>
      </c>
      <c r="CM54" s="21">
        <f ca="1">SUM(Start:End!CM54)</f>
        <v>89</v>
      </c>
      <c r="CN54" s="21">
        <f ca="1">SUM(Start:End!CN54)</f>
        <v>89</v>
      </c>
      <c r="CO54" s="21">
        <f ca="1">SUM(Start:End!CO54)</f>
        <v>89</v>
      </c>
      <c r="CP54" s="21">
        <f ca="1">SUM(Start:End!CP54)</f>
        <v>89</v>
      </c>
      <c r="CQ54" s="21">
        <f ca="1">SUM(Start:End!CQ54)</f>
        <v>89</v>
      </c>
      <c r="CR54" s="21">
        <f ca="1">SUM(Start:End!CR54)</f>
        <v>89</v>
      </c>
      <c r="CS54" s="21">
        <f ca="1">SUM(Start:End!CS54)</f>
        <v>89</v>
      </c>
      <c r="CT54" s="21">
        <f ca="1">SUM(Start:End!CT54)</f>
        <v>89</v>
      </c>
    </row>
    <row r="55" spans="2:98">
      <c r="B55" s="20" t="s">
        <v>24</v>
      </c>
      <c r="C55" s="21">
        <f ca="1">C54-C52</f>
        <v>0</v>
      </c>
      <c r="D55" s="21">
        <f t="shared" ref="D55:BO55" ca="1" si="99">D54-D52</f>
        <v>0</v>
      </c>
      <c r="E55" s="21">
        <f t="shared" ca="1" si="99"/>
        <v>-1</v>
      </c>
      <c r="F55" s="21">
        <f t="shared" ca="1" si="99"/>
        <v>-1</v>
      </c>
      <c r="G55" s="21">
        <f t="shared" ca="1" si="99"/>
        <v>1</v>
      </c>
      <c r="H55" s="21">
        <f t="shared" ca="1" si="99"/>
        <v>1</v>
      </c>
      <c r="I55" s="21">
        <f t="shared" ca="1" si="99"/>
        <v>1</v>
      </c>
      <c r="J55" s="21">
        <f t="shared" ca="1" si="99"/>
        <v>15</v>
      </c>
      <c r="K55" s="21">
        <f t="shared" ca="1" si="99"/>
        <v>19</v>
      </c>
      <c r="L55" s="21">
        <f t="shared" ca="1" si="99"/>
        <v>4</v>
      </c>
      <c r="M55" s="21">
        <f t="shared" ca="1" si="99"/>
        <v>2</v>
      </c>
      <c r="N55" s="21">
        <f t="shared" ca="1" si="99"/>
        <v>5</v>
      </c>
      <c r="O55" s="21">
        <f t="shared" ca="1" si="99"/>
        <v>5</v>
      </c>
      <c r="P55" s="21">
        <f t="shared" ca="1" si="99"/>
        <v>5</v>
      </c>
      <c r="Q55" s="21">
        <f t="shared" ca="1" si="99"/>
        <v>2</v>
      </c>
      <c r="R55" s="21">
        <f t="shared" ca="1" si="99"/>
        <v>2</v>
      </c>
      <c r="S55" s="21">
        <f t="shared" ca="1" si="99"/>
        <v>-19</v>
      </c>
      <c r="T55" s="21">
        <f t="shared" ca="1" si="99"/>
        <v>-61</v>
      </c>
      <c r="U55" s="21">
        <f t="shared" ca="1" si="99"/>
        <v>-83</v>
      </c>
      <c r="V55" s="21">
        <f t="shared" ca="1" si="99"/>
        <v>-83</v>
      </c>
      <c r="W55" s="21">
        <f t="shared" ca="1" si="99"/>
        <v>-83</v>
      </c>
      <c r="X55" s="21">
        <f t="shared" ca="1" si="99"/>
        <v>-107</v>
      </c>
      <c r="Y55" s="21">
        <f t="shared" ca="1" si="99"/>
        <v>-126</v>
      </c>
      <c r="Z55" s="21">
        <f t="shared" ca="1" si="99"/>
        <v>-126</v>
      </c>
      <c r="AA55" s="21">
        <f t="shared" ca="1" si="99"/>
        <v>-147</v>
      </c>
      <c r="AB55" s="21">
        <f t="shared" ca="1" si="99"/>
        <v>-170</v>
      </c>
      <c r="AC55" s="21">
        <f t="shared" ca="1" si="99"/>
        <v>-170</v>
      </c>
      <c r="AD55" s="21">
        <f t="shared" ca="1" si="99"/>
        <v>-170</v>
      </c>
      <c r="AE55" s="21">
        <f t="shared" ca="1" si="99"/>
        <v>-191</v>
      </c>
      <c r="AF55" s="21">
        <f t="shared" ca="1" si="99"/>
        <v>-211</v>
      </c>
      <c r="AG55" s="21">
        <f t="shared" ca="1" si="99"/>
        <v>-211</v>
      </c>
      <c r="AH55" s="21">
        <f t="shared" ca="1" si="99"/>
        <v>-216</v>
      </c>
      <c r="AI55" s="21">
        <f t="shared" ca="1" si="99"/>
        <v>-219</v>
      </c>
      <c r="AJ55" s="21">
        <f t="shared" ca="1" si="99"/>
        <v>-219</v>
      </c>
      <c r="AK55" s="21">
        <f t="shared" ca="1" si="99"/>
        <v>-219</v>
      </c>
      <c r="AL55" s="21">
        <f t="shared" ca="1" si="99"/>
        <v>-221</v>
      </c>
      <c r="AM55" s="21">
        <f t="shared" ca="1" si="99"/>
        <v>-236</v>
      </c>
      <c r="AN55" s="21">
        <f t="shared" ca="1" si="99"/>
        <v>-249</v>
      </c>
      <c r="AO55" s="21">
        <f t="shared" ca="1" si="99"/>
        <v>-256</v>
      </c>
      <c r="AP55" s="21">
        <f t="shared" ca="1" si="99"/>
        <v>-268</v>
      </c>
      <c r="AQ55" s="21">
        <f t="shared" ca="1" si="99"/>
        <v>-268</v>
      </c>
      <c r="AR55" s="21">
        <f t="shared" ca="1" si="99"/>
        <v>-268</v>
      </c>
      <c r="AS55" s="21">
        <f t="shared" ca="1" si="99"/>
        <v>-275</v>
      </c>
      <c r="AT55" s="21">
        <f t="shared" ca="1" si="99"/>
        <v>-283</v>
      </c>
      <c r="AU55" s="21">
        <f t="shared" ca="1" si="99"/>
        <v>-289</v>
      </c>
      <c r="AV55" s="21">
        <f t="shared" ca="1" si="99"/>
        <v>-294</v>
      </c>
      <c r="AW55" s="21">
        <f t="shared" ca="1" si="99"/>
        <v>-298</v>
      </c>
      <c r="AX55" s="21">
        <f t="shared" ca="1" si="99"/>
        <v>-298</v>
      </c>
      <c r="AY55" s="21">
        <f t="shared" ca="1" si="99"/>
        <v>-298</v>
      </c>
      <c r="AZ55" s="21">
        <f t="shared" ca="1" si="99"/>
        <v>-298</v>
      </c>
      <c r="BA55" s="21">
        <f t="shared" ca="1" si="99"/>
        <v>-302</v>
      </c>
      <c r="BB55" s="21">
        <f t="shared" ca="1" si="99"/>
        <v>-317</v>
      </c>
      <c r="BC55" s="21">
        <f t="shared" ca="1" si="99"/>
        <v>-337</v>
      </c>
      <c r="BD55" s="21">
        <f t="shared" ca="1" si="99"/>
        <v>-343</v>
      </c>
      <c r="BE55" s="21">
        <f t="shared" ca="1" si="99"/>
        <v>-343</v>
      </c>
      <c r="BF55" s="21">
        <f t="shared" ca="1" si="99"/>
        <v>-343</v>
      </c>
      <c r="BG55" s="21">
        <f t="shared" ca="1" si="99"/>
        <v>-348</v>
      </c>
      <c r="BH55" s="21">
        <f t="shared" ca="1" si="99"/>
        <v>-364</v>
      </c>
      <c r="BI55" s="21">
        <f t="shared" ca="1" si="99"/>
        <v>-379</v>
      </c>
      <c r="BJ55" s="21">
        <f t="shared" ca="1" si="99"/>
        <v>-384</v>
      </c>
      <c r="BK55" s="21">
        <f t="shared" ca="1" si="99"/>
        <v>-389</v>
      </c>
      <c r="BL55" s="21">
        <f t="shared" ca="1" si="99"/>
        <v>-389</v>
      </c>
      <c r="BM55" s="21">
        <f t="shared" ca="1" si="99"/>
        <v>-389</v>
      </c>
      <c r="BN55" s="21">
        <f t="shared" ca="1" si="99"/>
        <v>-391</v>
      </c>
      <c r="BO55" s="21">
        <f t="shared" ca="1" si="99"/>
        <v>-396</v>
      </c>
      <c r="BP55" s="21">
        <f t="shared" ref="BP55:CT55" ca="1" si="100">BP54-BP52</f>
        <v>-413</v>
      </c>
      <c r="BQ55" s="21">
        <f t="shared" ca="1" si="100"/>
        <v>-427</v>
      </c>
      <c r="BR55" s="21">
        <f t="shared" ca="1" si="100"/>
        <v>-430</v>
      </c>
      <c r="BS55" s="21">
        <f t="shared" ca="1" si="100"/>
        <v>-430</v>
      </c>
      <c r="BT55" s="21">
        <f t="shared" ca="1" si="100"/>
        <v>-430</v>
      </c>
      <c r="BU55" s="21">
        <f t="shared" ca="1" si="100"/>
        <v>-430</v>
      </c>
      <c r="BV55" s="21">
        <f t="shared" ca="1" si="100"/>
        <v>-435</v>
      </c>
      <c r="BW55" s="21">
        <f t="shared" ca="1" si="100"/>
        <v>-439</v>
      </c>
      <c r="BX55" s="21">
        <f t="shared" ca="1" si="100"/>
        <v>-446</v>
      </c>
      <c r="BY55" s="21">
        <f t="shared" ca="1" si="100"/>
        <v>-454</v>
      </c>
      <c r="BZ55" s="21">
        <f t="shared" ca="1" si="100"/>
        <v>-454</v>
      </c>
      <c r="CA55" s="21">
        <f t="shared" ca="1" si="100"/>
        <v>-454</v>
      </c>
      <c r="CB55" s="21">
        <f t="shared" ca="1" si="100"/>
        <v>-462</v>
      </c>
      <c r="CC55" s="21">
        <f t="shared" ca="1" si="100"/>
        <v>-471</v>
      </c>
      <c r="CD55" s="21">
        <f t="shared" ca="1" si="100"/>
        <v>-478</v>
      </c>
      <c r="CE55" s="21">
        <f t="shared" ca="1" si="100"/>
        <v>-482</v>
      </c>
      <c r="CF55" s="21">
        <f t="shared" ca="1" si="100"/>
        <v>-487</v>
      </c>
      <c r="CG55" s="21">
        <f t="shared" ca="1" si="100"/>
        <v>-487</v>
      </c>
      <c r="CH55" s="21">
        <f t="shared" ca="1" si="100"/>
        <v>-487</v>
      </c>
      <c r="CI55" s="21">
        <f t="shared" ca="1" si="100"/>
        <v>-491</v>
      </c>
      <c r="CJ55" s="21">
        <f t="shared" ca="1" si="100"/>
        <v>-496</v>
      </c>
      <c r="CK55" s="21">
        <f t="shared" ca="1" si="100"/>
        <v>-506</v>
      </c>
      <c r="CL55" s="21">
        <f t="shared" ca="1" si="100"/>
        <v>-512</v>
      </c>
      <c r="CM55" s="21">
        <f t="shared" ca="1" si="100"/>
        <v>-527</v>
      </c>
      <c r="CN55" s="21">
        <f t="shared" ca="1" si="100"/>
        <v>-527</v>
      </c>
      <c r="CO55" s="21">
        <f t="shared" ca="1" si="100"/>
        <v>-527</v>
      </c>
      <c r="CP55" s="21">
        <f t="shared" ca="1" si="100"/>
        <v>-536</v>
      </c>
      <c r="CQ55" s="21">
        <f t="shared" ca="1" si="100"/>
        <v>-541</v>
      </c>
      <c r="CR55" s="21">
        <f t="shared" ca="1" si="100"/>
        <v>-544</v>
      </c>
      <c r="CS55" s="21">
        <f t="shared" ca="1" si="100"/>
        <v>-550</v>
      </c>
      <c r="CT55" s="21">
        <f t="shared" ca="1" si="100"/>
        <v>-550</v>
      </c>
    </row>
  </sheetData>
  <phoneticPr fontId="1"/>
  <conditionalFormatting sqref="C22:CT27">
    <cfRule type="expression" dxfId="41" priority="5">
      <formula>C$22=Report_Day</formula>
    </cfRule>
  </conditionalFormatting>
  <conditionalFormatting sqref="L50:L55">
    <cfRule type="expression" dxfId="40" priority="2">
      <formula>L$22=TODAY()</formula>
    </cfRule>
  </conditionalFormatting>
  <conditionalFormatting sqref="C50:CT55">
    <cfRule type="expression" dxfId="39" priority="1">
      <formula>C$22=Report_Day</formula>
    </cfRule>
  </conditionalFormatting>
  <dataValidations count="1">
    <dataValidation type="list" allowBlank="1" showInputMessage="1" showErrorMessage="1" sqref="C18 C46" xr:uid="{82FB51F4-87FF-4CBF-AF41-C426E2528525}">
      <formula1>"1,7,30"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landscape" r:id="rId1"/>
  <headerFooter>
    <oddHeader>&amp;L&amp;"Microsoft YaHei,標準"&amp;F&amp;C&amp;"Microsoft YaHei,標準"&amp;A&amp;R&amp;"Meiryo UI,標準"&amp;D</oddHeader>
    <oddFooter>&amp;C&amp;"Meiryo UI,標準"&amp;P/&amp;N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DO_READ_ALL">
                <anchor moveWithCells="1" sizeWithCells="1">
                  <from>
                    <xdr:col>3</xdr:col>
                    <xdr:colOff>82550</xdr:colOff>
                    <xdr:row>17</xdr:row>
                    <xdr:rowOff>44450</xdr:rowOff>
                  </from>
                  <to>
                    <xdr:col>4</xdr:col>
                    <xdr:colOff>552450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Do_CheckEndDelay">
                <anchor moveWithCells="1" sizeWithCells="1">
                  <from>
                    <xdr:col>5</xdr:col>
                    <xdr:colOff>63500</xdr:colOff>
                    <xdr:row>17</xdr:row>
                    <xdr:rowOff>44450</xdr:rowOff>
                  </from>
                  <to>
                    <xdr:col>6</xdr:col>
                    <xdr:colOff>590550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Do_CheckReset">
                <anchor moveWithCells="1" sizeWithCells="1">
                  <from>
                    <xdr:col>9</xdr:col>
                    <xdr:colOff>6350</xdr:colOff>
                    <xdr:row>17</xdr:row>
                    <xdr:rowOff>44450</xdr:rowOff>
                  </from>
                  <to>
                    <xdr:col>10</xdr:col>
                    <xdr:colOff>571500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Do_CheckStartDelay">
                <anchor moveWithCells="1" sizeWithCells="1">
                  <from>
                    <xdr:col>7</xdr:col>
                    <xdr:colOff>38100</xdr:colOff>
                    <xdr:row>17</xdr:row>
                    <xdr:rowOff>44450</xdr:rowOff>
                  </from>
                  <to>
                    <xdr:col>8</xdr:col>
                    <xdr:colOff>565150</xdr:colOff>
                    <xdr:row>19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B7C4D-301B-4960-AF83-BD222B345189}">
  <sheetPr codeName="Sheet16">
    <pageSetUpPr fitToPage="1"/>
  </sheetPr>
  <dimension ref="B2:CT55"/>
  <sheetViews>
    <sheetView zoomScale="55" zoomScaleNormal="55" workbookViewId="0">
      <selection activeCell="C18" sqref="C18"/>
    </sheetView>
  </sheetViews>
  <sheetFormatPr defaultColWidth="6.85546875" defaultRowHeight="15"/>
  <cols>
    <col min="1" max="1" width="1.35546875" style="14" customWidth="1"/>
    <col min="2" max="2" width="16.42578125" style="14" customWidth="1"/>
    <col min="3" max="98" width="6.78515625" style="14" customWidth="1"/>
    <col min="99" max="16384" width="6.85546875" style="14"/>
  </cols>
  <sheetData>
    <row r="2" spans="2:2" ht="19.5">
      <c r="B2" s="25" t="s">
        <v>390</v>
      </c>
    </row>
    <row r="17" spans="2:98" ht="15.5" thickBot="1"/>
    <row r="18" spans="2:98" ht="15.5" thickBot="1">
      <c r="B18" s="15" t="s">
        <v>18</v>
      </c>
      <c r="C18" s="16">
        <f>Progress!C18</f>
        <v>1</v>
      </c>
    </row>
    <row r="19" spans="2:98" ht="7" customHeight="1">
      <c r="B19" s="17"/>
    </row>
    <row r="20" spans="2:98">
      <c r="B20" s="23" t="s">
        <v>14</v>
      </c>
    </row>
    <row r="21" spans="2:98" ht="8.5" customHeight="1"/>
    <row r="22" spans="2:98">
      <c r="B22" s="18" t="s">
        <v>19</v>
      </c>
      <c r="C22" s="19">
        <v>45810</v>
      </c>
      <c r="D22" s="19">
        <f>C22+$C$18</f>
        <v>45811</v>
      </c>
      <c r="E22" s="19">
        <f t="shared" ref="E22:AG22" si="0">D22+$C$18</f>
        <v>45812</v>
      </c>
      <c r="F22" s="19">
        <f t="shared" si="0"/>
        <v>45813</v>
      </c>
      <c r="G22" s="19">
        <f t="shared" si="0"/>
        <v>45814</v>
      </c>
      <c r="H22" s="19">
        <f t="shared" si="0"/>
        <v>45815</v>
      </c>
      <c r="I22" s="19">
        <f t="shared" ref="I22" si="1">H22+$C$18</f>
        <v>45816</v>
      </c>
      <c r="J22" s="19">
        <f t="shared" ref="J22" si="2">I22+$C$18</f>
        <v>45817</v>
      </c>
      <c r="K22" s="19">
        <f t="shared" ref="K22" si="3">J22+$C$18</f>
        <v>45818</v>
      </c>
      <c r="L22" s="19">
        <f t="shared" ref="L22" si="4">K22+$C$18</f>
        <v>45819</v>
      </c>
      <c r="M22" s="19">
        <f t="shared" ref="M22" si="5">L22+$C$18</f>
        <v>45820</v>
      </c>
      <c r="N22" s="19">
        <f t="shared" ref="N22" si="6">M22+$C$18</f>
        <v>45821</v>
      </c>
      <c r="O22" s="19">
        <f t="shared" ref="O22" si="7">N22+$C$18</f>
        <v>45822</v>
      </c>
      <c r="P22" s="19">
        <f t="shared" ref="P22" si="8">O22+$C$18</f>
        <v>45823</v>
      </c>
      <c r="Q22" s="19">
        <f t="shared" ref="Q22" si="9">P22+$C$18</f>
        <v>45824</v>
      </c>
      <c r="R22" s="19">
        <f t="shared" ref="R22" si="10">Q22+$C$18</f>
        <v>45825</v>
      </c>
      <c r="S22" s="19">
        <f t="shared" ref="S22" si="11">R22+$C$18</f>
        <v>45826</v>
      </c>
      <c r="T22" s="19">
        <f t="shared" ref="T22" si="12">S22+$C$18</f>
        <v>45827</v>
      </c>
      <c r="U22" s="19">
        <f t="shared" ref="U22" si="13">T22+$C$18</f>
        <v>45828</v>
      </c>
      <c r="V22" s="19">
        <f t="shared" ref="V22" si="14">U22+$C$18</f>
        <v>45829</v>
      </c>
      <c r="W22" s="19">
        <f t="shared" ref="W22" si="15">V22+$C$18</f>
        <v>45830</v>
      </c>
      <c r="X22" s="19">
        <f t="shared" ref="X22" si="16">W22+$C$18</f>
        <v>45831</v>
      </c>
      <c r="Y22" s="19">
        <f t="shared" ref="Y22" si="17">X22+$C$18</f>
        <v>45832</v>
      </c>
      <c r="Z22" s="19">
        <f t="shared" ref="Z22" si="18">Y22+$C$18</f>
        <v>45833</v>
      </c>
      <c r="AA22" s="19">
        <f t="shared" ref="AA22" si="19">Z22+$C$18</f>
        <v>45834</v>
      </c>
      <c r="AB22" s="19">
        <f t="shared" ref="AB22" si="20">AA22+$C$18</f>
        <v>45835</v>
      </c>
      <c r="AC22" s="19">
        <f t="shared" ref="AC22" si="21">AB22+$C$18</f>
        <v>45836</v>
      </c>
      <c r="AD22" s="19">
        <f t="shared" ref="AD22" si="22">AC22+$C$18</f>
        <v>45837</v>
      </c>
      <c r="AE22" s="19">
        <f t="shared" ref="AE22" si="23">AD22+$C$18</f>
        <v>45838</v>
      </c>
      <c r="AF22" s="19">
        <f t="shared" ref="AF22" si="24">AE22+$C$18</f>
        <v>45839</v>
      </c>
      <c r="AG22" s="19">
        <f t="shared" si="0"/>
        <v>45840</v>
      </c>
      <c r="AH22" s="19">
        <f t="shared" ref="AH22" si="25">AG22+$C$18</f>
        <v>45841</v>
      </c>
      <c r="AI22" s="19">
        <f t="shared" ref="AI22" si="26">AH22+$C$18</f>
        <v>45842</v>
      </c>
      <c r="AJ22" s="19">
        <f t="shared" ref="AJ22" si="27">AI22+$C$18</f>
        <v>45843</v>
      </c>
      <c r="AK22" s="19">
        <f t="shared" ref="AK22" si="28">AJ22+$C$18</f>
        <v>45844</v>
      </c>
      <c r="AL22" s="19">
        <f t="shared" ref="AL22" si="29">AK22+$C$18</f>
        <v>45845</v>
      </c>
      <c r="AM22" s="19">
        <f t="shared" ref="AM22" si="30">AL22+$C$18</f>
        <v>45846</v>
      </c>
      <c r="AN22" s="19">
        <f t="shared" ref="AN22" si="31">AM22+$C$18</f>
        <v>45847</v>
      </c>
      <c r="AO22" s="19">
        <f t="shared" ref="AO22" si="32">AN22+$C$18</f>
        <v>45848</v>
      </c>
      <c r="AP22" s="19">
        <f t="shared" ref="AP22" si="33">AO22+$C$18</f>
        <v>45849</v>
      </c>
      <c r="AQ22" s="19">
        <f t="shared" ref="AQ22" si="34">AP22+$C$18</f>
        <v>45850</v>
      </c>
      <c r="AR22" s="19">
        <f t="shared" ref="AR22" si="35">AQ22+$C$18</f>
        <v>45851</v>
      </c>
      <c r="AS22" s="19">
        <f t="shared" ref="AS22" si="36">AR22+$C$18</f>
        <v>45852</v>
      </c>
      <c r="AT22" s="19">
        <f t="shared" ref="AT22" si="37">AS22+$C$18</f>
        <v>45853</v>
      </c>
      <c r="AU22" s="19">
        <f t="shared" ref="AU22" si="38">AT22+$C$18</f>
        <v>45854</v>
      </c>
      <c r="AV22" s="19">
        <f t="shared" ref="AV22" si="39">AU22+$C$18</f>
        <v>45855</v>
      </c>
      <c r="AW22" s="19">
        <f t="shared" ref="AW22" si="40">AV22+$C$18</f>
        <v>45856</v>
      </c>
      <c r="AX22" s="19">
        <f t="shared" ref="AX22" si="41">AW22+$C$18</f>
        <v>45857</v>
      </c>
      <c r="AY22" s="19">
        <f t="shared" ref="AY22" si="42">AX22+$C$18</f>
        <v>45858</v>
      </c>
      <c r="AZ22" s="19">
        <f t="shared" ref="AZ22" si="43">AY22+$C$18</f>
        <v>45859</v>
      </c>
      <c r="BA22" s="19">
        <f t="shared" ref="BA22" si="44">AZ22+$C$18</f>
        <v>45860</v>
      </c>
      <c r="BB22" s="19">
        <f t="shared" ref="BB22" si="45">BA22+$C$18</f>
        <v>45861</v>
      </c>
      <c r="BC22" s="19">
        <f t="shared" ref="BC22" si="46">BB22+$C$18</f>
        <v>45862</v>
      </c>
      <c r="BD22" s="19">
        <f t="shared" ref="BD22" si="47">BC22+$C$18</f>
        <v>45863</v>
      </c>
      <c r="BE22" s="19">
        <f t="shared" ref="BE22" si="48">BD22+$C$18</f>
        <v>45864</v>
      </c>
      <c r="BF22" s="19">
        <f t="shared" ref="BF22" si="49">BE22+$C$18</f>
        <v>45865</v>
      </c>
      <c r="BG22" s="19">
        <f t="shared" ref="BG22" si="50">BF22+$C$18</f>
        <v>45866</v>
      </c>
      <c r="BH22" s="19">
        <f t="shared" ref="BH22" si="51">BG22+$C$18</f>
        <v>45867</v>
      </c>
      <c r="BI22" s="19">
        <f t="shared" ref="BI22" si="52">BH22+$C$18</f>
        <v>45868</v>
      </c>
      <c r="BJ22" s="19">
        <f t="shared" ref="BJ22" si="53">BI22+$C$18</f>
        <v>45869</v>
      </c>
      <c r="BK22" s="19">
        <f t="shared" ref="BK22" si="54">BJ22+$C$18</f>
        <v>45870</v>
      </c>
      <c r="BL22" s="19">
        <f t="shared" ref="BL22" si="55">BK22+$C$18</f>
        <v>45871</v>
      </c>
      <c r="BM22" s="19">
        <f t="shared" ref="BM22" si="56">BL22+$C$18</f>
        <v>45872</v>
      </c>
      <c r="BN22" s="19">
        <f t="shared" ref="BN22" si="57">BM22+$C$18</f>
        <v>45873</v>
      </c>
      <c r="BO22" s="19">
        <f t="shared" ref="BO22" si="58">BN22+$C$18</f>
        <v>45874</v>
      </c>
      <c r="BP22" s="19">
        <f t="shared" ref="BP22" si="59">BO22+$C$18</f>
        <v>45875</v>
      </c>
      <c r="BQ22" s="19">
        <f t="shared" ref="BQ22" si="60">BP22+$C$18</f>
        <v>45876</v>
      </c>
      <c r="BR22" s="19">
        <f t="shared" ref="BR22" si="61">BQ22+$C$18</f>
        <v>45877</v>
      </c>
      <c r="BS22" s="19">
        <f t="shared" ref="BS22" si="62">BR22+$C$18</f>
        <v>45878</v>
      </c>
      <c r="BT22" s="19">
        <f t="shared" ref="BT22" si="63">BS22+$C$18</f>
        <v>45879</v>
      </c>
      <c r="BU22" s="19">
        <f t="shared" ref="BU22" si="64">BT22+$C$18</f>
        <v>45880</v>
      </c>
      <c r="BV22" s="19">
        <f t="shared" ref="BV22" si="65">BU22+$C$18</f>
        <v>45881</v>
      </c>
      <c r="BW22" s="19">
        <f t="shared" ref="BW22" si="66">BV22+$C$18</f>
        <v>45882</v>
      </c>
      <c r="BX22" s="19">
        <f t="shared" ref="BX22" si="67">BW22+$C$18</f>
        <v>45883</v>
      </c>
      <c r="BY22" s="19">
        <f t="shared" ref="BY22" si="68">BX22+$C$18</f>
        <v>45884</v>
      </c>
      <c r="BZ22" s="19">
        <f t="shared" ref="BZ22" si="69">BY22+$C$18</f>
        <v>45885</v>
      </c>
      <c r="CA22" s="19">
        <f t="shared" ref="CA22" si="70">BZ22+$C$18</f>
        <v>45886</v>
      </c>
      <c r="CB22" s="19">
        <f t="shared" ref="CB22" si="71">CA22+$C$18</f>
        <v>45887</v>
      </c>
      <c r="CC22" s="19">
        <f t="shared" ref="CC22" si="72">CB22+$C$18</f>
        <v>45888</v>
      </c>
      <c r="CD22" s="19">
        <f t="shared" ref="CD22" si="73">CC22+$C$18</f>
        <v>45889</v>
      </c>
      <c r="CE22" s="19">
        <f t="shared" ref="CE22" si="74">CD22+$C$18</f>
        <v>45890</v>
      </c>
      <c r="CF22" s="19">
        <f t="shared" ref="CF22" si="75">CE22+$C$18</f>
        <v>45891</v>
      </c>
      <c r="CG22" s="19">
        <f t="shared" ref="CG22" si="76">CF22+$C$18</f>
        <v>45892</v>
      </c>
      <c r="CH22" s="19">
        <f t="shared" ref="CH22" si="77">CG22+$C$18</f>
        <v>45893</v>
      </c>
      <c r="CI22" s="19">
        <f t="shared" ref="CI22" si="78">CH22+$C$18</f>
        <v>45894</v>
      </c>
      <c r="CJ22" s="19">
        <f t="shared" ref="CJ22" si="79">CI22+$C$18</f>
        <v>45895</v>
      </c>
      <c r="CK22" s="19">
        <f t="shared" ref="CK22" si="80">CJ22+$C$18</f>
        <v>45896</v>
      </c>
      <c r="CL22" s="19">
        <f t="shared" ref="CL22" si="81">CK22+$C$18</f>
        <v>45897</v>
      </c>
      <c r="CM22" s="19">
        <f t="shared" ref="CM22" si="82">CL22+$C$18</f>
        <v>45898</v>
      </c>
      <c r="CN22" s="19">
        <f t="shared" ref="CN22" si="83">CM22+$C$18</f>
        <v>45899</v>
      </c>
      <c r="CO22" s="19">
        <f t="shared" ref="CO22" si="84">CN22+$C$18</f>
        <v>45900</v>
      </c>
      <c r="CP22" s="19">
        <f t="shared" ref="CP22" si="85">CO22+$C$18</f>
        <v>45901</v>
      </c>
      <c r="CQ22" s="19">
        <f t="shared" ref="CQ22" si="86">CP22+$C$18</f>
        <v>45902</v>
      </c>
      <c r="CR22" s="19">
        <f t="shared" ref="CR22" si="87">CQ22+$C$18</f>
        <v>45903</v>
      </c>
      <c r="CS22" s="19">
        <f t="shared" ref="CS22" si="88">CR22+$C$18</f>
        <v>45904</v>
      </c>
      <c r="CT22" s="19">
        <f t="shared" ref="CT22" si="89">CS22+$C$18</f>
        <v>45905</v>
      </c>
    </row>
    <row r="23" spans="2:98">
      <c r="B23" s="20" t="s">
        <v>20</v>
      </c>
      <c r="C23" s="21">
        <f ca="1">COUNTIFS(INDIRECT("'" &amp; $B$20 &amp; "'!$T:$T"),"&gt;=" &amp; C$22,INDIRECT("'" &amp; $B$20 &amp; "'!$T:$T"), "&lt;" &amp; D$22)</f>
        <v>0</v>
      </c>
      <c r="D23" s="21">
        <f t="shared" ref="D23" ca="1" si="90">COUNTIFS(INDIRECT("'" &amp; $B$20 &amp; "'!$T:$T"),"&gt;=" &amp; D$22,INDIRECT("'" &amp; $B$20 &amp; "'!$T:$T"), "&lt;" &amp; E$22)</f>
        <v>0</v>
      </c>
      <c r="E23" s="21">
        <f t="shared" ref="E23" ca="1" si="91">COUNTIFS(INDIRECT("'" &amp; $B$20 &amp; "'!$T:$T"),"&gt;=" &amp; E$22,INDIRECT("'" &amp; $B$20 &amp; "'!$T:$T"), "&lt;" &amp; F$22)</f>
        <v>0</v>
      </c>
      <c r="F23" s="21">
        <f t="shared" ref="F23" ca="1" si="92">COUNTIFS(INDIRECT("'" &amp; $B$20 &amp; "'!$T:$T"),"&gt;=" &amp; F$22,INDIRECT("'" &amp; $B$20 &amp; "'!$T:$T"), "&lt;" &amp; G$22)</f>
        <v>0</v>
      </c>
      <c r="G23" s="21">
        <f t="shared" ref="G23" ca="1" si="93">COUNTIFS(INDIRECT("'" &amp; $B$20 &amp; "'!$T:$T"),"&gt;=" &amp; G$22,INDIRECT("'" &amp; $B$20 &amp; "'!$T:$T"), "&lt;" &amp; H$22)</f>
        <v>8</v>
      </c>
      <c r="H23" s="21">
        <f t="shared" ref="H23" ca="1" si="94">COUNTIFS(INDIRECT("'" &amp; $B$20 &amp; "'!$T:$T"),"&gt;=" &amp; H$22,INDIRECT("'" &amp; $B$20 &amp; "'!$T:$T"), "&lt;" &amp; I$22)</f>
        <v>0</v>
      </c>
      <c r="I23" s="21">
        <f t="shared" ref="I23" ca="1" si="95">COUNTIFS(INDIRECT("'" &amp; $B$20 &amp; "'!$T:$T"),"&gt;=" &amp; I$22,INDIRECT("'" &amp; $B$20 &amp; "'!$T:$T"), "&lt;" &amp; J$22)</f>
        <v>0</v>
      </c>
      <c r="J23" s="21">
        <f t="shared" ref="J23" ca="1" si="96">COUNTIFS(INDIRECT("'" &amp; $B$20 &amp; "'!$T:$T"),"&gt;=" &amp; J$22,INDIRECT("'" &amp; $B$20 &amp; "'!$T:$T"), "&lt;" &amp; K$22)</f>
        <v>2</v>
      </c>
      <c r="K23" s="21">
        <f t="shared" ref="K23" ca="1" si="97">COUNTIFS(INDIRECT("'" &amp; $B$20 &amp; "'!$T:$T"),"&gt;=" &amp; K$22,INDIRECT("'" &amp; $B$20 &amp; "'!$T:$T"), "&lt;" &amp; L$22)</f>
        <v>2</v>
      </c>
      <c r="L23" s="21">
        <f t="shared" ref="L23" ca="1" si="98">COUNTIFS(INDIRECT("'" &amp; $B$20 &amp; "'!$T:$T"),"&gt;=" &amp; L$22,INDIRECT("'" &amp; $B$20 &amp; "'!$T:$T"), "&lt;" &amp; M$22)</f>
        <v>0</v>
      </c>
      <c r="M23" s="21">
        <f t="shared" ref="M23" ca="1" si="99">COUNTIFS(INDIRECT("'" &amp; $B$20 &amp; "'!$T:$T"),"&gt;=" &amp; M$22,INDIRECT("'" &amp; $B$20 &amp; "'!$T:$T"), "&lt;" &amp; N$22)</f>
        <v>0</v>
      </c>
      <c r="N23" s="21">
        <f t="shared" ref="N23" ca="1" si="100">COUNTIFS(INDIRECT("'" &amp; $B$20 &amp; "'!$T:$T"),"&gt;=" &amp; N$22,INDIRECT("'" &amp; $B$20 &amp; "'!$T:$T"), "&lt;" &amp; O$22)</f>
        <v>0</v>
      </c>
      <c r="O23" s="21">
        <f t="shared" ref="O23" ca="1" si="101">COUNTIFS(INDIRECT("'" &amp; $B$20 &amp; "'!$T:$T"),"&gt;=" &amp; O$22,INDIRECT("'" &amp; $B$20 &amp; "'!$T:$T"), "&lt;" &amp; P$22)</f>
        <v>0</v>
      </c>
      <c r="P23" s="21">
        <f t="shared" ref="P23" ca="1" si="102">COUNTIFS(INDIRECT("'" &amp; $B$20 &amp; "'!$T:$T"),"&gt;=" &amp; P$22,INDIRECT("'" &amp; $B$20 &amp; "'!$T:$T"), "&lt;" &amp; Q$22)</f>
        <v>0</v>
      </c>
      <c r="Q23" s="21">
        <f t="shared" ref="Q23" ca="1" si="103">COUNTIFS(INDIRECT("'" &amp; $B$20 &amp; "'!$T:$T"),"&gt;=" &amp; Q$22,INDIRECT("'" &amp; $B$20 &amp; "'!$T:$T"), "&lt;" &amp; R$22)</f>
        <v>0</v>
      </c>
      <c r="R23" s="21">
        <f t="shared" ref="R23" ca="1" si="104">COUNTIFS(INDIRECT("'" &amp; $B$20 &amp; "'!$T:$T"),"&gt;=" &amp; R$22,INDIRECT("'" &amp; $B$20 &amp; "'!$T:$T"), "&lt;" &amp; S$22)</f>
        <v>7</v>
      </c>
      <c r="S23" s="21">
        <f t="shared" ref="S23" ca="1" si="105">COUNTIFS(INDIRECT("'" &amp; $B$20 &amp; "'!$T:$T"),"&gt;=" &amp; S$22,INDIRECT("'" &amp; $B$20 &amp; "'!$T:$T"), "&lt;" &amp; T$22)</f>
        <v>6</v>
      </c>
      <c r="T23" s="21">
        <f t="shared" ref="T23" ca="1" si="106">COUNTIFS(INDIRECT("'" &amp; $B$20 &amp; "'!$T:$T"),"&gt;=" &amp; T$22,INDIRECT("'" &amp; $B$20 &amp; "'!$T:$T"), "&lt;" &amp; U$22)</f>
        <v>12</v>
      </c>
      <c r="U23" s="21">
        <f t="shared" ref="U23" ca="1" si="107">COUNTIFS(INDIRECT("'" &amp; $B$20 &amp; "'!$T:$T"),"&gt;=" &amp; U$22,INDIRECT("'" &amp; $B$20 &amp; "'!$T:$T"), "&lt;" &amp; V$22)</f>
        <v>6</v>
      </c>
      <c r="V23" s="21">
        <f t="shared" ref="V23" ca="1" si="108">COUNTIFS(INDIRECT("'" &amp; $B$20 &amp; "'!$T:$T"),"&gt;=" &amp; V$22,INDIRECT("'" &amp; $B$20 &amp; "'!$T:$T"), "&lt;" &amp; W$22)</f>
        <v>0</v>
      </c>
      <c r="W23" s="21">
        <f t="shared" ref="W23" ca="1" si="109">COUNTIFS(INDIRECT("'" &amp; $B$20 &amp; "'!$T:$T"),"&gt;=" &amp; W$22,INDIRECT("'" &amp; $B$20 &amp; "'!$T:$T"), "&lt;" &amp; X$22)</f>
        <v>0</v>
      </c>
      <c r="X23" s="21">
        <f t="shared" ref="X23" ca="1" si="110">COUNTIFS(INDIRECT("'" &amp; $B$20 &amp; "'!$T:$T"),"&gt;=" &amp; X$22,INDIRECT("'" &amp; $B$20 &amp; "'!$T:$T"), "&lt;" &amp; Y$22)</f>
        <v>0</v>
      </c>
      <c r="Y23" s="21">
        <f t="shared" ref="Y23" ca="1" si="111">COUNTIFS(INDIRECT("'" &amp; $B$20 &amp; "'!$T:$T"),"&gt;=" &amp; Y$22,INDIRECT("'" &amp; $B$20 &amp; "'!$T:$T"), "&lt;" &amp; Z$22)</f>
        <v>6</v>
      </c>
      <c r="Z23" s="21">
        <f t="shared" ref="Z23" ca="1" si="112">COUNTIFS(INDIRECT("'" &amp; $B$20 &amp; "'!$T:$T"),"&gt;=" &amp; Z$22,INDIRECT("'" &amp; $B$20 &amp; "'!$T:$T"), "&lt;" &amp; AA$22)</f>
        <v>6</v>
      </c>
      <c r="AA23" s="21">
        <f t="shared" ref="AA23" ca="1" si="113">COUNTIFS(INDIRECT("'" &amp; $B$20 &amp; "'!$T:$T"),"&gt;=" &amp; AA$22,INDIRECT("'" &amp; $B$20 &amp; "'!$T:$T"), "&lt;" &amp; AB$22)</f>
        <v>6</v>
      </c>
      <c r="AB23" s="21">
        <f t="shared" ref="AB23" ca="1" si="114">COUNTIFS(INDIRECT("'" &amp; $B$20 &amp; "'!$T:$T"),"&gt;=" &amp; AB$22,INDIRECT("'" &amp; $B$20 &amp; "'!$T:$T"), "&lt;" &amp; AC$22)</f>
        <v>6</v>
      </c>
      <c r="AC23" s="21">
        <f t="shared" ref="AC23" ca="1" si="115">COUNTIFS(INDIRECT("'" &amp; $B$20 &amp; "'!$T:$T"),"&gt;=" &amp; AC$22,INDIRECT("'" &amp; $B$20 &amp; "'!$T:$T"), "&lt;" &amp; AD$22)</f>
        <v>0</v>
      </c>
      <c r="AD23" s="21">
        <f t="shared" ref="AD23" ca="1" si="116">COUNTIFS(INDIRECT("'" &amp; $B$20 &amp; "'!$T:$T"),"&gt;=" &amp; AD$22,INDIRECT("'" &amp; $B$20 &amp; "'!$T:$T"), "&lt;" &amp; AE$22)</f>
        <v>0</v>
      </c>
      <c r="AE23" s="21">
        <f t="shared" ref="AE23" ca="1" si="117">COUNTIFS(INDIRECT("'" &amp; $B$20 &amp; "'!$T:$T"),"&gt;=" &amp; AE$22,INDIRECT("'" &amp; $B$20 &amp; "'!$T:$T"), "&lt;" &amp; AF$22)</f>
        <v>6</v>
      </c>
      <c r="AF23" s="21">
        <f t="shared" ref="AF23" ca="1" si="118">COUNTIFS(INDIRECT("'" &amp; $B$20 &amp; "'!$T:$T"),"&gt;=" &amp; AF$22,INDIRECT("'" &amp; $B$20 &amp; "'!$T:$T"), "&lt;" &amp; AG$22)</f>
        <v>0</v>
      </c>
      <c r="AG23" s="21">
        <f t="shared" ref="AG23" ca="1" si="119">COUNTIFS(INDIRECT("'" &amp; $B$20 &amp; "'!$T:$T"),"&gt;=" &amp; AG$22,INDIRECT("'" &amp; $B$20 &amp; "'!$T:$T"), "&lt;" &amp; AH$22)</f>
        <v>0</v>
      </c>
      <c r="AH23" s="21">
        <f t="shared" ref="AH23" ca="1" si="120">COUNTIFS(INDIRECT("'" &amp; $B$20 &amp; "'!$T:$T"),"&gt;=" &amp; AH$22,INDIRECT("'" &amp; $B$20 &amp; "'!$T:$T"), "&lt;" &amp; AI$22)</f>
        <v>0</v>
      </c>
      <c r="AI23" s="21">
        <f t="shared" ref="AI23" ca="1" si="121">COUNTIFS(INDIRECT("'" &amp; $B$20 &amp; "'!$T:$T"),"&gt;=" &amp; AI$22,INDIRECT("'" &amp; $B$20 &amp; "'!$T:$T"), "&lt;" &amp; AJ$22)</f>
        <v>0</v>
      </c>
      <c r="AJ23" s="21">
        <f t="shared" ref="AJ23" ca="1" si="122">COUNTIFS(INDIRECT("'" &amp; $B$20 &amp; "'!$T:$T"),"&gt;=" &amp; AJ$22,INDIRECT("'" &amp; $B$20 &amp; "'!$T:$T"), "&lt;" &amp; AK$22)</f>
        <v>0</v>
      </c>
      <c r="AK23" s="21">
        <f t="shared" ref="AK23" ca="1" si="123">COUNTIFS(INDIRECT("'" &amp; $B$20 &amp; "'!$T:$T"),"&gt;=" &amp; AK$22,INDIRECT("'" &amp; $B$20 &amp; "'!$T:$T"), "&lt;" &amp; AL$22)</f>
        <v>0</v>
      </c>
      <c r="AL23" s="21">
        <f t="shared" ref="AL23" ca="1" si="124">COUNTIFS(INDIRECT("'" &amp; $B$20 &amp; "'!$T:$T"),"&gt;=" &amp; AL$22,INDIRECT("'" &amp; $B$20 &amp; "'!$T:$T"), "&lt;" &amp; AM$22)</f>
        <v>0</v>
      </c>
      <c r="AM23" s="21">
        <f t="shared" ref="AM23" ca="1" si="125">COUNTIFS(INDIRECT("'" &amp; $B$20 &amp; "'!$T:$T"),"&gt;=" &amp; AM$22,INDIRECT("'" &amp; $B$20 &amp; "'!$T:$T"), "&lt;" &amp; AN$22)</f>
        <v>0</v>
      </c>
      <c r="AN23" s="21">
        <f t="shared" ref="AN23" ca="1" si="126">COUNTIFS(INDIRECT("'" &amp; $B$20 &amp; "'!$T:$T"),"&gt;=" &amp; AN$22,INDIRECT("'" &amp; $B$20 &amp; "'!$T:$T"), "&lt;" &amp; AO$22)</f>
        <v>0</v>
      </c>
      <c r="AO23" s="21">
        <f t="shared" ref="AO23" ca="1" si="127">COUNTIFS(INDIRECT("'" &amp; $B$20 &amp; "'!$T:$T"),"&gt;=" &amp; AO$22,INDIRECT("'" &amp; $B$20 &amp; "'!$T:$T"), "&lt;" &amp; AP$22)</f>
        <v>0</v>
      </c>
      <c r="AP23" s="21">
        <f t="shared" ref="AP23" ca="1" si="128">COUNTIFS(INDIRECT("'" &amp; $B$20 &amp; "'!$T:$T"),"&gt;=" &amp; AP$22,INDIRECT("'" &amp; $B$20 &amp; "'!$T:$T"), "&lt;" &amp; AQ$22)</f>
        <v>0</v>
      </c>
      <c r="AQ23" s="21">
        <f t="shared" ref="AQ23" ca="1" si="129">COUNTIFS(INDIRECT("'" &amp; $B$20 &amp; "'!$T:$T"),"&gt;=" &amp; AQ$22,INDIRECT("'" &amp; $B$20 &amp; "'!$T:$T"), "&lt;" &amp; AR$22)</f>
        <v>0</v>
      </c>
      <c r="AR23" s="21">
        <f t="shared" ref="AR23" ca="1" si="130">COUNTIFS(INDIRECT("'" &amp; $B$20 &amp; "'!$T:$T"),"&gt;=" &amp; AR$22,INDIRECT("'" &amp; $B$20 &amp; "'!$T:$T"), "&lt;" &amp; AS$22)</f>
        <v>0</v>
      </c>
      <c r="AS23" s="21">
        <f t="shared" ref="AS23" ca="1" si="131">COUNTIFS(INDIRECT("'" &amp; $B$20 &amp; "'!$T:$T"),"&gt;=" &amp; AS$22,INDIRECT("'" &amp; $B$20 &amp; "'!$T:$T"), "&lt;" &amp; AT$22)</f>
        <v>0</v>
      </c>
      <c r="AT23" s="21">
        <f t="shared" ref="AT23" ca="1" si="132">COUNTIFS(INDIRECT("'" &amp; $B$20 &amp; "'!$T:$T"),"&gt;=" &amp; AT$22,INDIRECT("'" &amp; $B$20 &amp; "'!$T:$T"), "&lt;" &amp; AU$22)</f>
        <v>0</v>
      </c>
      <c r="AU23" s="21">
        <f t="shared" ref="AU23" ca="1" si="133">COUNTIFS(INDIRECT("'" &amp; $B$20 &amp; "'!$T:$T"),"&gt;=" &amp; AU$22,INDIRECT("'" &amp; $B$20 &amp; "'!$T:$T"), "&lt;" &amp; AV$22)</f>
        <v>0</v>
      </c>
      <c r="AV23" s="21">
        <f t="shared" ref="AV23" ca="1" si="134">COUNTIFS(INDIRECT("'" &amp; $B$20 &amp; "'!$T:$T"),"&gt;=" &amp; AV$22,INDIRECT("'" &amp; $B$20 &amp; "'!$T:$T"), "&lt;" &amp; AW$22)</f>
        <v>0</v>
      </c>
      <c r="AW23" s="21">
        <f t="shared" ref="AW23" ca="1" si="135">COUNTIFS(INDIRECT("'" &amp; $B$20 &amp; "'!$T:$T"),"&gt;=" &amp; AW$22,INDIRECT("'" &amp; $B$20 &amp; "'!$T:$T"), "&lt;" &amp; AX$22)</f>
        <v>0</v>
      </c>
      <c r="AX23" s="21">
        <f t="shared" ref="AX23" ca="1" si="136">COUNTIFS(INDIRECT("'" &amp; $B$20 &amp; "'!$T:$T"),"&gt;=" &amp; AX$22,INDIRECT("'" &amp; $B$20 &amp; "'!$T:$T"), "&lt;" &amp; AY$22)</f>
        <v>0</v>
      </c>
      <c r="AY23" s="21">
        <f t="shared" ref="AY23" ca="1" si="137">COUNTIFS(INDIRECT("'" &amp; $B$20 &amp; "'!$T:$T"),"&gt;=" &amp; AY$22,INDIRECT("'" &amp; $B$20 &amp; "'!$T:$T"), "&lt;" &amp; AZ$22)</f>
        <v>0</v>
      </c>
      <c r="AZ23" s="21">
        <f t="shared" ref="AZ23" ca="1" si="138">COUNTIFS(INDIRECT("'" &amp; $B$20 &amp; "'!$T:$T"),"&gt;=" &amp; AZ$22,INDIRECT("'" &amp; $B$20 &amp; "'!$T:$T"), "&lt;" &amp; BA$22)</f>
        <v>0</v>
      </c>
      <c r="BA23" s="21">
        <f t="shared" ref="BA23" ca="1" si="139">COUNTIFS(INDIRECT("'" &amp; $B$20 &amp; "'!$T:$T"),"&gt;=" &amp; BA$22,INDIRECT("'" &amp; $B$20 &amp; "'!$T:$T"), "&lt;" &amp; BB$22)</f>
        <v>6</v>
      </c>
      <c r="BB23" s="21">
        <f t="shared" ref="BB23" ca="1" si="140">COUNTIFS(INDIRECT("'" &amp; $B$20 &amp; "'!$T:$T"),"&gt;=" &amp; BB$22,INDIRECT("'" &amp; $B$20 &amp; "'!$T:$T"), "&lt;" &amp; BC$22)</f>
        <v>6</v>
      </c>
      <c r="BC23" s="21">
        <f t="shared" ref="BC23" ca="1" si="141">COUNTIFS(INDIRECT("'" &amp; $B$20 &amp; "'!$T:$T"),"&gt;=" &amp; BC$22,INDIRECT("'" &amp; $B$20 &amp; "'!$T:$T"), "&lt;" &amp; BD$22)</f>
        <v>0</v>
      </c>
      <c r="BD23" s="21">
        <f t="shared" ref="BD23" ca="1" si="142">COUNTIFS(INDIRECT("'" &amp; $B$20 &amp; "'!$T:$T"),"&gt;=" &amp; BD$22,INDIRECT("'" &amp; $B$20 &amp; "'!$T:$T"), "&lt;" &amp; BE$22)</f>
        <v>0</v>
      </c>
      <c r="BE23" s="21">
        <f t="shared" ref="BE23" ca="1" si="143">COUNTIFS(INDIRECT("'" &amp; $B$20 &amp; "'!$T:$T"),"&gt;=" &amp; BE$22,INDIRECT("'" &amp; $B$20 &amp; "'!$T:$T"), "&lt;" &amp; BF$22)</f>
        <v>0</v>
      </c>
      <c r="BF23" s="21">
        <f t="shared" ref="BF23" ca="1" si="144">COUNTIFS(INDIRECT("'" &amp; $B$20 &amp; "'!$T:$T"),"&gt;=" &amp; BF$22,INDIRECT("'" &amp; $B$20 &amp; "'!$T:$T"), "&lt;" &amp; BG$22)</f>
        <v>0</v>
      </c>
      <c r="BG23" s="21">
        <f t="shared" ref="BG23" ca="1" si="145">COUNTIFS(INDIRECT("'" &amp; $B$20 &amp; "'!$T:$T"),"&gt;=" &amp; BG$22,INDIRECT("'" &amp; $B$20 &amp; "'!$T:$T"), "&lt;" &amp; BH$22)</f>
        <v>6</v>
      </c>
      <c r="BH23" s="21">
        <f t="shared" ref="BH23" ca="1" si="146">COUNTIFS(INDIRECT("'" &amp; $B$20 &amp; "'!$T:$T"),"&gt;=" &amp; BH$22,INDIRECT("'" &amp; $B$20 &amp; "'!$T:$T"), "&lt;" &amp; BI$22)</f>
        <v>6</v>
      </c>
      <c r="BI23" s="21">
        <f t="shared" ref="BI23" ca="1" si="147">COUNTIFS(INDIRECT("'" &amp; $B$20 &amp; "'!$T:$T"),"&gt;=" &amp; BI$22,INDIRECT("'" &amp; $B$20 &amp; "'!$T:$T"), "&lt;" &amp; BJ$22)</f>
        <v>0</v>
      </c>
      <c r="BJ23" s="21">
        <f t="shared" ref="BJ23" ca="1" si="148">COUNTIFS(INDIRECT("'" &amp; $B$20 &amp; "'!$T:$T"),"&gt;=" &amp; BJ$22,INDIRECT("'" &amp; $B$20 &amp; "'!$T:$T"), "&lt;" &amp; BK$22)</f>
        <v>0</v>
      </c>
      <c r="BK23" s="21">
        <f t="shared" ref="BK23" ca="1" si="149">COUNTIFS(INDIRECT("'" &amp; $B$20 &amp; "'!$T:$T"),"&gt;=" &amp; BK$22,INDIRECT("'" &amp; $B$20 &amp; "'!$T:$T"), "&lt;" &amp; BL$22)</f>
        <v>0</v>
      </c>
      <c r="BL23" s="21">
        <f t="shared" ref="BL23" ca="1" si="150">COUNTIFS(INDIRECT("'" &amp; $B$20 &amp; "'!$T:$T"),"&gt;=" &amp; BL$22,INDIRECT("'" &amp; $B$20 &amp; "'!$T:$T"), "&lt;" &amp; BM$22)</f>
        <v>0</v>
      </c>
      <c r="BM23" s="21">
        <f t="shared" ref="BM23" ca="1" si="151">COUNTIFS(INDIRECT("'" &amp; $B$20 &amp; "'!$T:$T"),"&gt;=" &amp; BM$22,INDIRECT("'" &amp; $B$20 &amp; "'!$T:$T"), "&lt;" &amp; BN$22)</f>
        <v>0</v>
      </c>
      <c r="BN23" s="21">
        <f t="shared" ref="BN23" ca="1" si="152">COUNTIFS(INDIRECT("'" &amp; $B$20 &amp; "'!$T:$T"),"&gt;=" &amp; BN$22,INDIRECT("'" &amp; $B$20 &amp; "'!$T:$T"), "&lt;" &amp; BO$22)</f>
        <v>0</v>
      </c>
      <c r="BO23" s="21">
        <f t="shared" ref="BO23" ca="1" si="153">COUNTIFS(INDIRECT("'" &amp; $B$20 &amp; "'!$T:$T"),"&gt;=" &amp; BO$22,INDIRECT("'" &amp; $B$20 &amp; "'!$T:$T"), "&lt;" &amp; BP$22)</f>
        <v>6</v>
      </c>
      <c r="BP23" s="21">
        <f t="shared" ref="BP23" ca="1" si="154">COUNTIFS(INDIRECT("'" &amp; $B$20 &amp; "'!$T:$T"),"&gt;=" &amp; BP$22,INDIRECT("'" &amp; $B$20 &amp; "'!$T:$T"), "&lt;" &amp; BQ$22)</f>
        <v>6</v>
      </c>
      <c r="BQ23" s="21">
        <f t="shared" ref="BQ23" ca="1" si="155">COUNTIFS(INDIRECT("'" &amp; $B$20 &amp; "'!$T:$T"),"&gt;=" &amp; BQ$22,INDIRECT("'" &amp; $B$20 &amp; "'!$T:$T"), "&lt;" &amp; BR$22)</f>
        <v>0</v>
      </c>
      <c r="BR23" s="21">
        <f t="shared" ref="BR23" ca="1" si="156">COUNTIFS(INDIRECT("'" &amp; $B$20 &amp; "'!$T:$T"),"&gt;=" &amp; BR$22,INDIRECT("'" &amp; $B$20 &amp; "'!$T:$T"), "&lt;" &amp; BS$22)</f>
        <v>0</v>
      </c>
      <c r="BS23" s="21">
        <f t="shared" ref="BS23" ca="1" si="157">COUNTIFS(INDIRECT("'" &amp; $B$20 &amp; "'!$T:$T"),"&gt;=" &amp; BS$22,INDIRECT("'" &amp; $B$20 &amp; "'!$T:$T"), "&lt;" &amp; BT$22)</f>
        <v>0</v>
      </c>
      <c r="BT23" s="21">
        <f t="shared" ref="BT23" ca="1" si="158">COUNTIFS(INDIRECT("'" &amp; $B$20 &amp; "'!$T:$T"),"&gt;=" &amp; BT$22,INDIRECT("'" &amp; $B$20 &amp; "'!$T:$T"), "&lt;" &amp; BU$22)</f>
        <v>0</v>
      </c>
      <c r="BU23" s="21">
        <f t="shared" ref="BU23" ca="1" si="159">COUNTIFS(INDIRECT("'" &amp; $B$20 &amp; "'!$T:$T"),"&gt;=" &amp; BU$22,INDIRECT("'" &amp; $B$20 &amp; "'!$T:$T"), "&lt;" &amp; BV$22)</f>
        <v>0</v>
      </c>
      <c r="BV23" s="21">
        <f t="shared" ref="BV23" ca="1" si="160">COUNTIFS(INDIRECT("'" &amp; $B$20 &amp; "'!$T:$T"),"&gt;=" &amp; BV$22,INDIRECT("'" &amp; $B$20 &amp; "'!$T:$T"), "&lt;" &amp; BW$22)</f>
        <v>0</v>
      </c>
      <c r="BW23" s="21">
        <f t="shared" ref="BW23" ca="1" si="161">COUNTIFS(INDIRECT("'" &amp; $B$20 &amp; "'!$T:$T"),"&gt;=" &amp; BW$22,INDIRECT("'" &amp; $B$20 &amp; "'!$T:$T"), "&lt;" &amp; BX$22)</f>
        <v>0</v>
      </c>
      <c r="BX23" s="21">
        <f t="shared" ref="BX23" ca="1" si="162">COUNTIFS(INDIRECT("'" &amp; $B$20 &amp; "'!$T:$T"),"&gt;=" &amp; BX$22,INDIRECT("'" &amp; $B$20 &amp; "'!$T:$T"), "&lt;" &amp; BY$22)</f>
        <v>0</v>
      </c>
      <c r="BY23" s="21">
        <f t="shared" ref="BY23" ca="1" si="163">COUNTIFS(INDIRECT("'" &amp; $B$20 &amp; "'!$T:$T"),"&gt;=" &amp; BY$22,INDIRECT("'" &amp; $B$20 &amp; "'!$T:$T"), "&lt;" &amp; BZ$22)</f>
        <v>0</v>
      </c>
      <c r="BZ23" s="21">
        <f t="shared" ref="BZ23" ca="1" si="164">COUNTIFS(INDIRECT("'" &amp; $B$20 &amp; "'!$T:$T"),"&gt;=" &amp; BZ$22,INDIRECT("'" &amp; $B$20 &amp; "'!$T:$T"), "&lt;" &amp; CA$22)</f>
        <v>0</v>
      </c>
      <c r="CA23" s="21">
        <f t="shared" ref="CA23" ca="1" si="165">COUNTIFS(INDIRECT("'" &amp; $B$20 &amp; "'!$T:$T"),"&gt;=" &amp; CA$22,INDIRECT("'" &amp; $B$20 &amp; "'!$T:$T"), "&lt;" &amp; CB$22)</f>
        <v>0</v>
      </c>
      <c r="CB23" s="21">
        <f t="shared" ref="CB23" ca="1" si="166">COUNTIFS(INDIRECT("'" &amp; $B$20 &amp; "'!$T:$T"),"&gt;=" &amp; CB$22,INDIRECT("'" &amp; $B$20 &amp; "'!$T:$T"), "&lt;" &amp; CC$22)</f>
        <v>0</v>
      </c>
      <c r="CC23" s="21">
        <f t="shared" ref="CC23" ca="1" si="167">COUNTIFS(INDIRECT("'" &amp; $B$20 &amp; "'!$T:$T"),"&gt;=" &amp; CC$22,INDIRECT("'" &amp; $B$20 &amp; "'!$T:$T"), "&lt;" &amp; CD$22)</f>
        <v>0</v>
      </c>
      <c r="CD23" s="21">
        <f t="shared" ref="CD23" ca="1" si="168">COUNTIFS(INDIRECT("'" &amp; $B$20 &amp; "'!$T:$T"),"&gt;=" &amp; CD$22,INDIRECT("'" &amp; $B$20 &amp; "'!$T:$T"), "&lt;" &amp; CE$22)</f>
        <v>0</v>
      </c>
      <c r="CE23" s="21">
        <f t="shared" ref="CE23" ca="1" si="169">COUNTIFS(INDIRECT("'" &amp; $B$20 &amp; "'!$T:$T"),"&gt;=" &amp; CE$22,INDIRECT("'" &amp; $B$20 &amp; "'!$T:$T"), "&lt;" &amp; CF$22)</f>
        <v>0</v>
      </c>
      <c r="CF23" s="21">
        <f t="shared" ref="CF23" ca="1" si="170">COUNTIFS(INDIRECT("'" &amp; $B$20 &amp; "'!$T:$T"),"&gt;=" &amp; CF$22,INDIRECT("'" &amp; $B$20 &amp; "'!$T:$T"), "&lt;" &amp; CG$22)</f>
        <v>0</v>
      </c>
      <c r="CG23" s="21">
        <f t="shared" ref="CG23" ca="1" si="171">COUNTIFS(INDIRECT("'" &amp; $B$20 &amp; "'!$T:$T"),"&gt;=" &amp; CG$22,INDIRECT("'" &amp; $B$20 &amp; "'!$T:$T"), "&lt;" &amp; CH$22)</f>
        <v>0</v>
      </c>
      <c r="CH23" s="21">
        <f t="shared" ref="CH23" ca="1" si="172">COUNTIFS(INDIRECT("'" &amp; $B$20 &amp; "'!$T:$T"),"&gt;=" &amp; CH$22,INDIRECT("'" &amp; $B$20 &amp; "'!$T:$T"), "&lt;" &amp; CI$22)</f>
        <v>0</v>
      </c>
      <c r="CI23" s="21">
        <f t="shared" ref="CI23" ca="1" si="173">COUNTIFS(INDIRECT("'" &amp; $B$20 &amp; "'!$T:$T"),"&gt;=" &amp; CI$22,INDIRECT("'" &amp; $B$20 &amp; "'!$T:$T"), "&lt;" &amp; CJ$22)</f>
        <v>0</v>
      </c>
      <c r="CJ23" s="21">
        <f t="shared" ref="CJ23" ca="1" si="174">COUNTIFS(INDIRECT("'" &amp; $B$20 &amp; "'!$T:$T"),"&gt;=" &amp; CJ$22,INDIRECT("'" &amp; $B$20 &amp; "'!$T:$T"), "&lt;" &amp; CK$22)</f>
        <v>0</v>
      </c>
      <c r="CK23" s="21">
        <f t="shared" ref="CK23" ca="1" si="175">COUNTIFS(INDIRECT("'" &amp; $B$20 &amp; "'!$T:$T"),"&gt;=" &amp; CK$22,INDIRECT("'" &amp; $B$20 &amp; "'!$T:$T"), "&lt;" &amp; CL$22)</f>
        <v>0</v>
      </c>
      <c r="CL23" s="21">
        <f t="shared" ref="CL23" ca="1" si="176">COUNTIFS(INDIRECT("'" &amp; $B$20 &amp; "'!$T:$T"),"&gt;=" &amp; CL$22,INDIRECT("'" &amp; $B$20 &amp; "'!$T:$T"), "&lt;" &amp; CM$22)</f>
        <v>6</v>
      </c>
      <c r="CM23" s="21">
        <f t="shared" ref="CM23" ca="1" si="177">COUNTIFS(INDIRECT("'" &amp; $B$20 &amp; "'!$T:$T"),"&gt;=" &amp; CM$22,INDIRECT("'" &amp; $B$20 &amp; "'!$T:$T"), "&lt;" &amp; CN$22)</f>
        <v>6</v>
      </c>
      <c r="CN23" s="21">
        <f t="shared" ref="CN23" ca="1" si="178">COUNTIFS(INDIRECT("'" &amp; $B$20 &amp; "'!$T:$T"),"&gt;=" &amp; CN$22,INDIRECT("'" &amp; $B$20 &amp; "'!$T:$T"), "&lt;" &amp; CO$22)</f>
        <v>0</v>
      </c>
      <c r="CO23" s="21">
        <f t="shared" ref="CO23" ca="1" si="179">COUNTIFS(INDIRECT("'" &amp; $B$20 &amp; "'!$T:$T"),"&gt;=" &amp; CO$22,INDIRECT("'" &amp; $B$20 &amp; "'!$T:$T"), "&lt;" &amp; CP$22)</f>
        <v>0</v>
      </c>
      <c r="CP23" s="21">
        <f t="shared" ref="CP23" ca="1" si="180">COUNTIFS(INDIRECT("'" &amp; $B$20 &amp; "'!$T:$T"),"&gt;=" &amp; CP$22,INDIRECT("'" &amp; $B$20 &amp; "'!$T:$T"), "&lt;" &amp; CQ$22)</f>
        <v>0</v>
      </c>
      <c r="CQ23" s="21">
        <f t="shared" ref="CQ23" ca="1" si="181">COUNTIFS(INDIRECT("'" &amp; $B$20 &amp; "'!$T:$T"),"&gt;=" &amp; CQ$22,INDIRECT("'" &amp; $B$20 &amp; "'!$T:$T"), "&lt;" &amp; CR$22)</f>
        <v>0</v>
      </c>
      <c r="CR23" s="21">
        <f t="shared" ref="CR23" ca="1" si="182">COUNTIFS(INDIRECT("'" &amp; $B$20 &amp; "'!$T:$T"),"&gt;=" &amp; CR$22,INDIRECT("'" &amp; $B$20 &amp; "'!$T:$T"), "&lt;" &amp; CS$22)</f>
        <v>6</v>
      </c>
      <c r="CS23" s="21">
        <f t="shared" ref="CS23" ca="1" si="183">COUNTIFS(INDIRECT("'" &amp; $B$20 &amp; "'!$T:$T"),"&gt;=" &amp; CS$22,INDIRECT("'" &amp; $B$20 &amp; "'!$T:$T"), "&lt;" &amp; CT$22)</f>
        <v>6</v>
      </c>
      <c r="CT23" s="21">
        <f t="shared" ref="CT23" ca="1" si="184">COUNTIFS(INDIRECT("'" &amp; $B$20 &amp; "'!$T:$T"),"&gt;=" &amp; CT$22,INDIRECT("'" &amp; $B$20 &amp; "'!$T:$T"), "&lt;" &amp; CU$22)</f>
        <v>0</v>
      </c>
    </row>
    <row r="24" spans="2:98">
      <c r="B24" s="20" t="s">
        <v>21</v>
      </c>
      <c r="C24" s="21">
        <f ca="1">C23</f>
        <v>0</v>
      </c>
      <c r="D24" s="21">
        <f ca="1">C24+D23</f>
        <v>0</v>
      </c>
      <c r="E24" s="21">
        <f t="shared" ref="E24:BP24" ca="1" si="185">D24+E23</f>
        <v>0</v>
      </c>
      <c r="F24" s="21">
        <f t="shared" ca="1" si="185"/>
        <v>0</v>
      </c>
      <c r="G24" s="21">
        <f t="shared" ca="1" si="185"/>
        <v>8</v>
      </c>
      <c r="H24" s="21">
        <f t="shared" ca="1" si="185"/>
        <v>8</v>
      </c>
      <c r="I24" s="21">
        <f t="shared" ca="1" si="185"/>
        <v>8</v>
      </c>
      <c r="J24" s="21">
        <f t="shared" ca="1" si="185"/>
        <v>10</v>
      </c>
      <c r="K24" s="21">
        <f t="shared" ca="1" si="185"/>
        <v>12</v>
      </c>
      <c r="L24" s="21">
        <f t="shared" ca="1" si="185"/>
        <v>12</v>
      </c>
      <c r="M24" s="21">
        <f t="shared" ca="1" si="185"/>
        <v>12</v>
      </c>
      <c r="N24" s="21">
        <f t="shared" ca="1" si="185"/>
        <v>12</v>
      </c>
      <c r="O24" s="21">
        <f t="shared" ca="1" si="185"/>
        <v>12</v>
      </c>
      <c r="P24" s="21">
        <f t="shared" ca="1" si="185"/>
        <v>12</v>
      </c>
      <c r="Q24" s="21">
        <f t="shared" ca="1" si="185"/>
        <v>12</v>
      </c>
      <c r="R24" s="21">
        <f t="shared" ca="1" si="185"/>
        <v>19</v>
      </c>
      <c r="S24" s="21">
        <f t="shared" ca="1" si="185"/>
        <v>25</v>
      </c>
      <c r="T24" s="21">
        <f t="shared" ca="1" si="185"/>
        <v>37</v>
      </c>
      <c r="U24" s="21">
        <f t="shared" ca="1" si="185"/>
        <v>43</v>
      </c>
      <c r="V24" s="21">
        <f t="shared" ca="1" si="185"/>
        <v>43</v>
      </c>
      <c r="W24" s="21">
        <f t="shared" ca="1" si="185"/>
        <v>43</v>
      </c>
      <c r="X24" s="21">
        <f t="shared" ca="1" si="185"/>
        <v>43</v>
      </c>
      <c r="Y24" s="21">
        <f t="shared" ca="1" si="185"/>
        <v>49</v>
      </c>
      <c r="Z24" s="21">
        <f t="shared" ca="1" si="185"/>
        <v>55</v>
      </c>
      <c r="AA24" s="21">
        <f t="shared" ca="1" si="185"/>
        <v>61</v>
      </c>
      <c r="AB24" s="21">
        <f t="shared" ca="1" si="185"/>
        <v>67</v>
      </c>
      <c r="AC24" s="21">
        <f t="shared" ca="1" si="185"/>
        <v>67</v>
      </c>
      <c r="AD24" s="21">
        <f t="shared" ca="1" si="185"/>
        <v>67</v>
      </c>
      <c r="AE24" s="21">
        <f t="shared" ca="1" si="185"/>
        <v>73</v>
      </c>
      <c r="AF24" s="21">
        <f t="shared" ca="1" si="185"/>
        <v>73</v>
      </c>
      <c r="AG24" s="21">
        <f t="shared" ca="1" si="185"/>
        <v>73</v>
      </c>
      <c r="AH24" s="21">
        <f t="shared" ca="1" si="185"/>
        <v>73</v>
      </c>
      <c r="AI24" s="21">
        <f t="shared" ca="1" si="185"/>
        <v>73</v>
      </c>
      <c r="AJ24" s="21">
        <f t="shared" ca="1" si="185"/>
        <v>73</v>
      </c>
      <c r="AK24" s="21">
        <f t="shared" ca="1" si="185"/>
        <v>73</v>
      </c>
      <c r="AL24" s="21">
        <f t="shared" ca="1" si="185"/>
        <v>73</v>
      </c>
      <c r="AM24" s="21">
        <f t="shared" ca="1" si="185"/>
        <v>73</v>
      </c>
      <c r="AN24" s="21">
        <f t="shared" ca="1" si="185"/>
        <v>73</v>
      </c>
      <c r="AO24" s="21">
        <f t="shared" ca="1" si="185"/>
        <v>73</v>
      </c>
      <c r="AP24" s="21">
        <f t="shared" ca="1" si="185"/>
        <v>73</v>
      </c>
      <c r="AQ24" s="21">
        <f t="shared" ca="1" si="185"/>
        <v>73</v>
      </c>
      <c r="AR24" s="21">
        <f t="shared" ca="1" si="185"/>
        <v>73</v>
      </c>
      <c r="AS24" s="21">
        <f t="shared" ca="1" si="185"/>
        <v>73</v>
      </c>
      <c r="AT24" s="21">
        <f t="shared" ca="1" si="185"/>
        <v>73</v>
      </c>
      <c r="AU24" s="21">
        <f t="shared" ca="1" si="185"/>
        <v>73</v>
      </c>
      <c r="AV24" s="21">
        <f t="shared" ca="1" si="185"/>
        <v>73</v>
      </c>
      <c r="AW24" s="21">
        <f t="shared" ca="1" si="185"/>
        <v>73</v>
      </c>
      <c r="AX24" s="21">
        <f t="shared" ca="1" si="185"/>
        <v>73</v>
      </c>
      <c r="AY24" s="21">
        <f t="shared" ca="1" si="185"/>
        <v>73</v>
      </c>
      <c r="AZ24" s="21">
        <f t="shared" ca="1" si="185"/>
        <v>73</v>
      </c>
      <c r="BA24" s="21">
        <f t="shared" ca="1" si="185"/>
        <v>79</v>
      </c>
      <c r="BB24" s="21">
        <f t="shared" ca="1" si="185"/>
        <v>85</v>
      </c>
      <c r="BC24" s="21">
        <f t="shared" ca="1" si="185"/>
        <v>85</v>
      </c>
      <c r="BD24" s="21">
        <f t="shared" ca="1" si="185"/>
        <v>85</v>
      </c>
      <c r="BE24" s="21">
        <f t="shared" ca="1" si="185"/>
        <v>85</v>
      </c>
      <c r="BF24" s="21">
        <f t="shared" ca="1" si="185"/>
        <v>85</v>
      </c>
      <c r="BG24" s="21">
        <f t="shared" ca="1" si="185"/>
        <v>91</v>
      </c>
      <c r="BH24" s="21">
        <f t="shared" ca="1" si="185"/>
        <v>97</v>
      </c>
      <c r="BI24" s="21">
        <f t="shared" ca="1" si="185"/>
        <v>97</v>
      </c>
      <c r="BJ24" s="21">
        <f t="shared" ca="1" si="185"/>
        <v>97</v>
      </c>
      <c r="BK24" s="21">
        <f t="shared" ca="1" si="185"/>
        <v>97</v>
      </c>
      <c r="BL24" s="21">
        <f t="shared" ca="1" si="185"/>
        <v>97</v>
      </c>
      <c r="BM24" s="21">
        <f t="shared" ca="1" si="185"/>
        <v>97</v>
      </c>
      <c r="BN24" s="21">
        <f t="shared" ca="1" si="185"/>
        <v>97</v>
      </c>
      <c r="BO24" s="21">
        <f t="shared" ca="1" si="185"/>
        <v>103</v>
      </c>
      <c r="BP24" s="21">
        <f t="shared" ca="1" si="185"/>
        <v>109</v>
      </c>
      <c r="BQ24" s="21">
        <f t="shared" ref="BQ24:CT24" ca="1" si="186">BP24+BQ23</f>
        <v>109</v>
      </c>
      <c r="BR24" s="21">
        <f t="shared" ca="1" si="186"/>
        <v>109</v>
      </c>
      <c r="BS24" s="21">
        <f t="shared" ca="1" si="186"/>
        <v>109</v>
      </c>
      <c r="BT24" s="21">
        <f t="shared" ca="1" si="186"/>
        <v>109</v>
      </c>
      <c r="BU24" s="21">
        <f t="shared" ca="1" si="186"/>
        <v>109</v>
      </c>
      <c r="BV24" s="21">
        <f t="shared" ca="1" si="186"/>
        <v>109</v>
      </c>
      <c r="BW24" s="21">
        <f t="shared" ca="1" si="186"/>
        <v>109</v>
      </c>
      <c r="BX24" s="21">
        <f t="shared" ca="1" si="186"/>
        <v>109</v>
      </c>
      <c r="BY24" s="21">
        <f t="shared" ca="1" si="186"/>
        <v>109</v>
      </c>
      <c r="BZ24" s="21">
        <f t="shared" ca="1" si="186"/>
        <v>109</v>
      </c>
      <c r="CA24" s="21">
        <f t="shared" ca="1" si="186"/>
        <v>109</v>
      </c>
      <c r="CB24" s="21">
        <f t="shared" ca="1" si="186"/>
        <v>109</v>
      </c>
      <c r="CC24" s="21">
        <f t="shared" ca="1" si="186"/>
        <v>109</v>
      </c>
      <c r="CD24" s="21">
        <f t="shared" ca="1" si="186"/>
        <v>109</v>
      </c>
      <c r="CE24" s="21">
        <f t="shared" ca="1" si="186"/>
        <v>109</v>
      </c>
      <c r="CF24" s="21">
        <f t="shared" ca="1" si="186"/>
        <v>109</v>
      </c>
      <c r="CG24" s="21">
        <f t="shared" ca="1" si="186"/>
        <v>109</v>
      </c>
      <c r="CH24" s="21">
        <f t="shared" ca="1" si="186"/>
        <v>109</v>
      </c>
      <c r="CI24" s="21">
        <f t="shared" ca="1" si="186"/>
        <v>109</v>
      </c>
      <c r="CJ24" s="21">
        <f t="shared" ca="1" si="186"/>
        <v>109</v>
      </c>
      <c r="CK24" s="21">
        <f t="shared" ca="1" si="186"/>
        <v>109</v>
      </c>
      <c r="CL24" s="21">
        <f t="shared" ca="1" si="186"/>
        <v>115</v>
      </c>
      <c r="CM24" s="21">
        <f t="shared" ca="1" si="186"/>
        <v>121</v>
      </c>
      <c r="CN24" s="21">
        <f t="shared" ca="1" si="186"/>
        <v>121</v>
      </c>
      <c r="CO24" s="21">
        <f t="shared" ca="1" si="186"/>
        <v>121</v>
      </c>
      <c r="CP24" s="21">
        <f t="shared" ca="1" si="186"/>
        <v>121</v>
      </c>
      <c r="CQ24" s="21">
        <f t="shared" ca="1" si="186"/>
        <v>121</v>
      </c>
      <c r="CR24" s="21">
        <f t="shared" ca="1" si="186"/>
        <v>127</v>
      </c>
      <c r="CS24" s="21">
        <f t="shared" ca="1" si="186"/>
        <v>133</v>
      </c>
      <c r="CT24" s="21">
        <f t="shared" ca="1" si="186"/>
        <v>133</v>
      </c>
    </row>
    <row r="25" spans="2:98">
      <c r="B25" s="20" t="s">
        <v>22</v>
      </c>
      <c r="C25" s="21">
        <f ca="1">COUNTIFS(INDIRECT("'" &amp; $B$20 &amp; "'!$V:$V"),"&gt;=" &amp; C$22,INDIRECT("'" &amp; $B$20 &amp; "'!$V:$V"), "&lt;" &amp; D$22)</f>
        <v>0</v>
      </c>
      <c r="D25" s="21">
        <f t="shared" ref="D25" ca="1" si="187">COUNTIFS(INDIRECT("'" &amp; $B$20 &amp; "'!$V:$V"),"&gt;=" &amp; D$22,INDIRECT("'" &amp; $B$20 &amp; "'!$V:$V"), "&lt;" &amp; E$22)</f>
        <v>0</v>
      </c>
      <c r="E25" s="21">
        <f t="shared" ref="E25" ca="1" si="188">COUNTIFS(INDIRECT("'" &amp; $B$20 &amp; "'!$V:$V"),"&gt;=" &amp; E$22,INDIRECT("'" &amp; $B$20 &amp; "'!$V:$V"), "&lt;" &amp; F$22)</f>
        <v>0</v>
      </c>
      <c r="F25" s="21">
        <f t="shared" ref="F25" ca="1" si="189">COUNTIFS(INDIRECT("'" &amp; $B$20 &amp; "'!$V:$V"),"&gt;=" &amp; F$22,INDIRECT("'" &amp; $B$20 &amp; "'!$V:$V"), "&lt;" &amp; G$22)</f>
        <v>1</v>
      </c>
      <c r="G25" s="21">
        <f t="shared" ref="G25" ca="1" si="190">COUNTIFS(INDIRECT("'" &amp; $B$20 &amp; "'!$V:$V"),"&gt;=" &amp; G$22,INDIRECT("'" &amp; $B$20 &amp; "'!$V:$V"), "&lt;" &amp; H$22)</f>
        <v>5</v>
      </c>
      <c r="H25" s="21">
        <f t="shared" ref="H25" ca="1" si="191">COUNTIFS(INDIRECT("'" &amp; $B$20 &amp; "'!$V:$V"),"&gt;=" &amp; H$22,INDIRECT("'" &amp; $B$20 &amp; "'!$V:$V"), "&lt;" &amp; I$22)</f>
        <v>0</v>
      </c>
      <c r="I25" s="21">
        <f t="shared" ref="I25" ca="1" si="192">COUNTIFS(INDIRECT("'" &amp; $B$20 &amp; "'!$V:$V"),"&gt;=" &amp; I$22,INDIRECT("'" &amp; $B$20 &amp; "'!$V:$V"), "&lt;" &amp; J$22)</f>
        <v>0</v>
      </c>
      <c r="J25" s="21">
        <f t="shared" ref="J25" ca="1" si="193">COUNTIFS(INDIRECT("'" &amp; $B$20 &amp; "'!$V:$V"),"&gt;=" &amp; J$22,INDIRECT("'" &amp; $B$20 &amp; "'!$V:$V"), "&lt;" &amp; K$22)</f>
        <v>3</v>
      </c>
      <c r="K25" s="21">
        <f t="shared" ref="K25" ca="1" si="194">COUNTIFS(INDIRECT("'" &amp; $B$20 &amp; "'!$V:$V"),"&gt;=" &amp; K$22,INDIRECT("'" &amp; $B$20 &amp; "'!$V:$V"), "&lt;" &amp; L$22)</f>
        <v>2</v>
      </c>
      <c r="L25" s="21">
        <f t="shared" ref="L25" ca="1" si="195">COUNTIFS(INDIRECT("'" &amp; $B$20 &amp; "'!$V:$V"),"&gt;=" &amp; L$22,INDIRECT("'" &amp; $B$20 &amp; "'!$V:$V"), "&lt;" &amp; M$22)</f>
        <v>0</v>
      </c>
      <c r="M25" s="21">
        <f t="shared" ref="M25" ca="1" si="196">COUNTIFS(INDIRECT("'" &amp; $B$20 &amp; "'!$V:$V"),"&gt;=" &amp; M$22,INDIRECT("'" &amp; $B$20 &amp; "'!$V:$V"), "&lt;" &amp; N$22)</f>
        <v>7</v>
      </c>
      <c r="N25" s="21">
        <f t="shared" ref="N25" ca="1" si="197">COUNTIFS(INDIRECT("'" &amp; $B$20 &amp; "'!$V:$V"),"&gt;=" &amp; N$22,INDIRECT("'" &amp; $B$20 &amp; "'!$V:$V"), "&lt;" &amp; O$22)</f>
        <v>3</v>
      </c>
      <c r="O25" s="21">
        <f t="shared" ref="O25" ca="1" si="198">COUNTIFS(INDIRECT("'" &amp; $B$20 &amp; "'!$V:$V"),"&gt;=" &amp; O$22,INDIRECT("'" &amp; $B$20 &amp; "'!$V:$V"), "&lt;" &amp; P$22)</f>
        <v>0</v>
      </c>
      <c r="P25" s="21">
        <f t="shared" ref="P25" ca="1" si="199">COUNTIFS(INDIRECT("'" &amp; $B$20 &amp; "'!$V:$V"),"&gt;=" &amp; P$22,INDIRECT("'" &amp; $B$20 &amp; "'!$V:$V"), "&lt;" &amp; Q$22)</f>
        <v>0</v>
      </c>
      <c r="Q25" s="21">
        <f t="shared" ref="Q25" ca="1" si="200">COUNTIFS(INDIRECT("'" &amp; $B$20 &amp; "'!$V:$V"),"&gt;=" &amp; Q$22,INDIRECT("'" &amp; $B$20 &amp; "'!$V:$V"), "&lt;" &amp; R$22)</f>
        <v>0</v>
      </c>
      <c r="R25" s="21">
        <f t="shared" ref="R25" ca="1" si="201">COUNTIFS(INDIRECT("'" &amp; $B$20 &amp; "'!$V:$V"),"&gt;=" &amp; R$22,INDIRECT("'" &amp; $B$20 &amp; "'!$V:$V"), "&lt;" &amp; S$22)</f>
        <v>0</v>
      </c>
      <c r="S25" s="21">
        <f t="shared" ref="S25" ca="1" si="202">COUNTIFS(INDIRECT("'" &amp; $B$20 &amp; "'!$V:$V"),"&gt;=" &amp; S$22,INDIRECT("'" &amp; $B$20 &amp; "'!$V:$V"), "&lt;" &amp; T$22)</f>
        <v>0</v>
      </c>
      <c r="T25" s="21">
        <f t="shared" ref="T25" ca="1" si="203">COUNTIFS(INDIRECT("'" &amp; $B$20 &amp; "'!$V:$V"),"&gt;=" &amp; T$22,INDIRECT("'" &amp; $B$20 &amp; "'!$V:$V"), "&lt;" &amp; U$22)</f>
        <v>0</v>
      </c>
      <c r="U25" s="21">
        <f t="shared" ref="U25" ca="1" si="204">COUNTIFS(INDIRECT("'" &amp; $B$20 &amp; "'!$V:$V"),"&gt;=" &amp; U$22,INDIRECT("'" &amp; $B$20 &amp; "'!$V:$V"), "&lt;" &amp; V$22)</f>
        <v>0</v>
      </c>
      <c r="V25" s="21">
        <f t="shared" ref="V25" ca="1" si="205">COUNTIFS(INDIRECT("'" &amp; $B$20 &amp; "'!$V:$V"),"&gt;=" &amp; V$22,INDIRECT("'" &amp; $B$20 &amp; "'!$V:$V"), "&lt;" &amp; W$22)</f>
        <v>0</v>
      </c>
      <c r="W25" s="21">
        <f t="shared" ref="W25" ca="1" si="206">COUNTIFS(INDIRECT("'" &amp; $B$20 &amp; "'!$V:$V"),"&gt;=" &amp; W$22,INDIRECT("'" &amp; $B$20 &amp; "'!$V:$V"), "&lt;" &amp; X$22)</f>
        <v>0</v>
      </c>
      <c r="X25" s="21">
        <f t="shared" ref="X25" ca="1" si="207">COUNTIFS(INDIRECT("'" &amp; $B$20 &amp; "'!$V:$V"),"&gt;=" &amp; X$22,INDIRECT("'" &amp; $B$20 &amp; "'!$V:$V"), "&lt;" &amp; Y$22)</f>
        <v>0</v>
      </c>
      <c r="Y25" s="21">
        <f t="shared" ref="Y25" ca="1" si="208">COUNTIFS(INDIRECT("'" &amp; $B$20 &amp; "'!$V:$V"),"&gt;=" &amp; Y$22,INDIRECT("'" &amp; $B$20 &amp; "'!$V:$V"), "&lt;" &amp; Z$22)</f>
        <v>0</v>
      </c>
      <c r="Z25" s="21">
        <f t="shared" ref="Z25" ca="1" si="209">COUNTIFS(INDIRECT("'" &amp; $B$20 &amp; "'!$V:$V"),"&gt;=" &amp; Z$22,INDIRECT("'" &amp; $B$20 &amp; "'!$V:$V"), "&lt;" &amp; AA$22)</f>
        <v>0</v>
      </c>
      <c r="AA25" s="21">
        <f t="shared" ref="AA25" ca="1" si="210">COUNTIFS(INDIRECT("'" &amp; $B$20 &amp; "'!$V:$V"),"&gt;=" &amp; AA$22,INDIRECT("'" &amp; $B$20 &amp; "'!$V:$V"), "&lt;" &amp; AB$22)</f>
        <v>0</v>
      </c>
      <c r="AB25" s="21">
        <f t="shared" ref="AB25" ca="1" si="211">COUNTIFS(INDIRECT("'" &amp; $B$20 &amp; "'!$V:$V"),"&gt;=" &amp; AB$22,INDIRECT("'" &amp; $B$20 &amp; "'!$V:$V"), "&lt;" &amp; AC$22)</f>
        <v>0</v>
      </c>
      <c r="AC25" s="21">
        <f t="shared" ref="AC25" ca="1" si="212">COUNTIFS(INDIRECT("'" &amp; $B$20 &amp; "'!$V:$V"),"&gt;=" &amp; AC$22,INDIRECT("'" &amp; $B$20 &amp; "'!$V:$V"), "&lt;" &amp; AD$22)</f>
        <v>0</v>
      </c>
      <c r="AD25" s="21">
        <f t="shared" ref="AD25" ca="1" si="213">COUNTIFS(INDIRECT("'" &amp; $B$20 &amp; "'!$V:$V"),"&gt;=" &amp; AD$22,INDIRECT("'" &amp; $B$20 &amp; "'!$V:$V"), "&lt;" &amp; AE$22)</f>
        <v>0</v>
      </c>
      <c r="AE25" s="21">
        <f t="shared" ref="AE25" ca="1" si="214">COUNTIFS(INDIRECT("'" &amp; $B$20 &amp; "'!$V:$V"),"&gt;=" &amp; AE$22,INDIRECT("'" &amp; $B$20 &amp; "'!$V:$V"), "&lt;" &amp; AF$22)</f>
        <v>0</v>
      </c>
      <c r="AF25" s="21">
        <f t="shared" ref="AF25" ca="1" si="215">COUNTIFS(INDIRECT("'" &amp; $B$20 &amp; "'!$V:$V"),"&gt;=" &amp; AF$22,INDIRECT("'" &amp; $B$20 &amp; "'!$V:$V"), "&lt;" &amp; AG$22)</f>
        <v>0</v>
      </c>
      <c r="AG25" s="21">
        <f t="shared" ref="AG25" ca="1" si="216">COUNTIFS(INDIRECT("'" &amp; $B$20 &amp; "'!$V:$V"),"&gt;=" &amp; AG$22,INDIRECT("'" &amp; $B$20 &amp; "'!$V:$V"), "&lt;" &amp; AH$22)</f>
        <v>0</v>
      </c>
      <c r="AH25" s="21">
        <f t="shared" ref="AH25" ca="1" si="217">COUNTIFS(INDIRECT("'" &amp; $B$20 &amp; "'!$V:$V"),"&gt;=" &amp; AH$22,INDIRECT("'" &amp; $B$20 &amp; "'!$V:$V"), "&lt;" &amp; AI$22)</f>
        <v>0</v>
      </c>
      <c r="AI25" s="21">
        <f t="shared" ref="AI25" ca="1" si="218">COUNTIFS(INDIRECT("'" &amp; $B$20 &amp; "'!$V:$V"),"&gt;=" &amp; AI$22,INDIRECT("'" &amp; $B$20 &amp; "'!$V:$V"), "&lt;" &amp; AJ$22)</f>
        <v>0</v>
      </c>
      <c r="AJ25" s="21">
        <f t="shared" ref="AJ25" ca="1" si="219">COUNTIFS(INDIRECT("'" &amp; $B$20 &amp; "'!$V:$V"),"&gt;=" &amp; AJ$22,INDIRECT("'" &amp; $B$20 &amp; "'!$V:$V"), "&lt;" &amp; AK$22)</f>
        <v>0</v>
      </c>
      <c r="AK25" s="21">
        <f t="shared" ref="AK25" ca="1" si="220">COUNTIFS(INDIRECT("'" &amp; $B$20 &amp; "'!$V:$V"),"&gt;=" &amp; AK$22,INDIRECT("'" &amp; $B$20 &amp; "'!$V:$V"), "&lt;" &amp; AL$22)</f>
        <v>0</v>
      </c>
      <c r="AL25" s="21">
        <f t="shared" ref="AL25" ca="1" si="221">COUNTIFS(INDIRECT("'" &amp; $B$20 &amp; "'!$V:$V"),"&gt;=" &amp; AL$22,INDIRECT("'" &amp; $B$20 &amp; "'!$V:$V"), "&lt;" &amp; AM$22)</f>
        <v>0</v>
      </c>
      <c r="AM25" s="21">
        <f t="shared" ref="AM25" ca="1" si="222">COUNTIFS(INDIRECT("'" &amp; $B$20 &amp; "'!$V:$V"),"&gt;=" &amp; AM$22,INDIRECT("'" &amp; $B$20 &amp; "'!$V:$V"), "&lt;" &amp; AN$22)</f>
        <v>0</v>
      </c>
      <c r="AN25" s="21">
        <f t="shared" ref="AN25" ca="1" si="223">COUNTIFS(INDIRECT("'" &amp; $B$20 &amp; "'!$V:$V"),"&gt;=" &amp; AN$22,INDIRECT("'" &amp; $B$20 &amp; "'!$V:$V"), "&lt;" &amp; AO$22)</f>
        <v>0</v>
      </c>
      <c r="AO25" s="21">
        <f t="shared" ref="AO25" ca="1" si="224">COUNTIFS(INDIRECT("'" &amp; $B$20 &amp; "'!$V:$V"),"&gt;=" &amp; AO$22,INDIRECT("'" &amp; $B$20 &amp; "'!$V:$V"), "&lt;" &amp; AP$22)</f>
        <v>0</v>
      </c>
      <c r="AP25" s="21">
        <f t="shared" ref="AP25" ca="1" si="225">COUNTIFS(INDIRECT("'" &amp; $B$20 &amp; "'!$V:$V"),"&gt;=" &amp; AP$22,INDIRECT("'" &amp; $B$20 &amp; "'!$V:$V"), "&lt;" &amp; AQ$22)</f>
        <v>0</v>
      </c>
      <c r="AQ25" s="21">
        <f t="shared" ref="AQ25" ca="1" si="226">COUNTIFS(INDIRECT("'" &amp; $B$20 &amp; "'!$V:$V"),"&gt;=" &amp; AQ$22,INDIRECT("'" &amp; $B$20 &amp; "'!$V:$V"), "&lt;" &amp; AR$22)</f>
        <v>0</v>
      </c>
      <c r="AR25" s="21">
        <f t="shared" ref="AR25" ca="1" si="227">COUNTIFS(INDIRECT("'" &amp; $B$20 &amp; "'!$V:$V"),"&gt;=" &amp; AR$22,INDIRECT("'" &amp; $B$20 &amp; "'!$V:$V"), "&lt;" &amp; AS$22)</f>
        <v>0</v>
      </c>
      <c r="AS25" s="21">
        <f t="shared" ref="AS25" ca="1" si="228">COUNTIFS(INDIRECT("'" &amp; $B$20 &amp; "'!$V:$V"),"&gt;=" &amp; AS$22,INDIRECT("'" &amp; $B$20 &amp; "'!$V:$V"), "&lt;" &amp; AT$22)</f>
        <v>0</v>
      </c>
      <c r="AT25" s="21">
        <f t="shared" ref="AT25" ca="1" si="229">COUNTIFS(INDIRECT("'" &amp; $B$20 &amp; "'!$V:$V"),"&gt;=" &amp; AT$22,INDIRECT("'" &amp; $B$20 &amp; "'!$V:$V"), "&lt;" &amp; AU$22)</f>
        <v>0</v>
      </c>
      <c r="AU25" s="21">
        <f t="shared" ref="AU25" ca="1" si="230">COUNTIFS(INDIRECT("'" &amp; $B$20 &amp; "'!$V:$V"),"&gt;=" &amp; AU$22,INDIRECT("'" &amp; $B$20 &amp; "'!$V:$V"), "&lt;" &amp; AV$22)</f>
        <v>0</v>
      </c>
      <c r="AV25" s="21">
        <f t="shared" ref="AV25" ca="1" si="231">COUNTIFS(INDIRECT("'" &amp; $B$20 &amp; "'!$V:$V"),"&gt;=" &amp; AV$22,INDIRECT("'" &amp; $B$20 &amp; "'!$V:$V"), "&lt;" &amp; AW$22)</f>
        <v>0</v>
      </c>
      <c r="AW25" s="21">
        <f t="shared" ref="AW25" ca="1" si="232">COUNTIFS(INDIRECT("'" &amp; $B$20 &amp; "'!$V:$V"),"&gt;=" &amp; AW$22,INDIRECT("'" &amp; $B$20 &amp; "'!$V:$V"), "&lt;" &amp; AX$22)</f>
        <v>0</v>
      </c>
      <c r="AX25" s="21">
        <f t="shared" ref="AX25" ca="1" si="233">COUNTIFS(INDIRECT("'" &amp; $B$20 &amp; "'!$V:$V"),"&gt;=" &amp; AX$22,INDIRECT("'" &amp; $B$20 &amp; "'!$V:$V"), "&lt;" &amp; AY$22)</f>
        <v>0</v>
      </c>
      <c r="AY25" s="21">
        <f t="shared" ref="AY25" ca="1" si="234">COUNTIFS(INDIRECT("'" &amp; $B$20 &amp; "'!$V:$V"),"&gt;=" &amp; AY$22,INDIRECT("'" &amp; $B$20 &amp; "'!$V:$V"), "&lt;" &amp; AZ$22)</f>
        <v>0</v>
      </c>
      <c r="AZ25" s="21">
        <f t="shared" ref="AZ25" ca="1" si="235">COUNTIFS(INDIRECT("'" &amp; $B$20 &amp; "'!$V:$V"),"&gt;=" &amp; AZ$22,INDIRECT("'" &amp; $B$20 &amp; "'!$V:$V"), "&lt;" &amp; BA$22)</f>
        <v>0</v>
      </c>
      <c r="BA25" s="21">
        <f t="shared" ref="BA25" ca="1" si="236">COUNTIFS(INDIRECT("'" &amp; $B$20 &amp; "'!$V:$V"),"&gt;=" &amp; BA$22,INDIRECT("'" &amp; $B$20 &amp; "'!$V:$V"), "&lt;" &amp; BB$22)</f>
        <v>0</v>
      </c>
      <c r="BB25" s="21">
        <f t="shared" ref="BB25" ca="1" si="237">COUNTIFS(INDIRECT("'" &amp; $B$20 &amp; "'!$V:$V"),"&gt;=" &amp; BB$22,INDIRECT("'" &amp; $B$20 &amp; "'!$V:$V"), "&lt;" &amp; BC$22)</f>
        <v>0</v>
      </c>
      <c r="BC25" s="21">
        <f t="shared" ref="BC25" ca="1" si="238">COUNTIFS(INDIRECT("'" &amp; $B$20 &amp; "'!$V:$V"),"&gt;=" &amp; BC$22,INDIRECT("'" &amp; $B$20 &amp; "'!$V:$V"), "&lt;" &amp; BD$22)</f>
        <v>0</v>
      </c>
      <c r="BD25" s="21">
        <f t="shared" ref="BD25" ca="1" si="239">COUNTIFS(INDIRECT("'" &amp; $B$20 &amp; "'!$V:$V"),"&gt;=" &amp; BD$22,INDIRECT("'" &amp; $B$20 &amp; "'!$V:$V"), "&lt;" &amp; BE$22)</f>
        <v>0</v>
      </c>
      <c r="BE25" s="21">
        <f t="shared" ref="BE25" ca="1" si="240">COUNTIFS(INDIRECT("'" &amp; $B$20 &amp; "'!$V:$V"),"&gt;=" &amp; BE$22,INDIRECT("'" &amp; $B$20 &amp; "'!$V:$V"), "&lt;" &amp; BF$22)</f>
        <v>0</v>
      </c>
      <c r="BF25" s="21">
        <f t="shared" ref="BF25" ca="1" si="241">COUNTIFS(INDIRECT("'" &amp; $B$20 &amp; "'!$V:$V"),"&gt;=" &amp; BF$22,INDIRECT("'" &amp; $B$20 &amp; "'!$V:$V"), "&lt;" &amp; BG$22)</f>
        <v>0</v>
      </c>
      <c r="BG25" s="21">
        <f t="shared" ref="BG25" ca="1" si="242">COUNTIFS(INDIRECT("'" &amp; $B$20 &amp; "'!$V:$V"),"&gt;=" &amp; BG$22,INDIRECT("'" &amp; $B$20 &amp; "'!$V:$V"), "&lt;" &amp; BH$22)</f>
        <v>0</v>
      </c>
      <c r="BH25" s="21">
        <f t="shared" ref="BH25" ca="1" si="243">COUNTIFS(INDIRECT("'" &amp; $B$20 &amp; "'!$V:$V"),"&gt;=" &amp; BH$22,INDIRECT("'" &amp; $B$20 &amp; "'!$V:$V"), "&lt;" &amp; BI$22)</f>
        <v>0</v>
      </c>
      <c r="BI25" s="21">
        <f t="shared" ref="BI25" ca="1" si="244">COUNTIFS(INDIRECT("'" &amp; $B$20 &amp; "'!$V:$V"),"&gt;=" &amp; BI$22,INDIRECT("'" &amp; $B$20 &amp; "'!$V:$V"), "&lt;" &amp; BJ$22)</f>
        <v>0</v>
      </c>
      <c r="BJ25" s="21">
        <f t="shared" ref="BJ25" ca="1" si="245">COUNTIFS(INDIRECT("'" &amp; $B$20 &amp; "'!$V:$V"),"&gt;=" &amp; BJ$22,INDIRECT("'" &amp; $B$20 &amp; "'!$V:$V"), "&lt;" &amp; BK$22)</f>
        <v>0</v>
      </c>
      <c r="BK25" s="21">
        <f t="shared" ref="BK25" ca="1" si="246">COUNTIFS(INDIRECT("'" &amp; $B$20 &amp; "'!$V:$V"),"&gt;=" &amp; BK$22,INDIRECT("'" &amp; $B$20 &amp; "'!$V:$V"), "&lt;" &amp; BL$22)</f>
        <v>0</v>
      </c>
      <c r="BL25" s="21">
        <f t="shared" ref="BL25" ca="1" si="247">COUNTIFS(INDIRECT("'" &amp; $B$20 &amp; "'!$V:$V"),"&gt;=" &amp; BL$22,INDIRECT("'" &amp; $B$20 &amp; "'!$V:$V"), "&lt;" &amp; BM$22)</f>
        <v>0</v>
      </c>
      <c r="BM25" s="21">
        <f t="shared" ref="BM25" ca="1" si="248">COUNTIFS(INDIRECT("'" &amp; $B$20 &amp; "'!$V:$V"),"&gt;=" &amp; BM$22,INDIRECT("'" &amp; $B$20 &amp; "'!$V:$V"), "&lt;" &amp; BN$22)</f>
        <v>0</v>
      </c>
      <c r="BN25" s="21">
        <f t="shared" ref="BN25" ca="1" si="249">COUNTIFS(INDIRECT("'" &amp; $B$20 &amp; "'!$V:$V"),"&gt;=" &amp; BN$22,INDIRECT("'" &amp; $B$20 &amp; "'!$V:$V"), "&lt;" &amp; BO$22)</f>
        <v>0</v>
      </c>
      <c r="BO25" s="21">
        <f t="shared" ref="BO25" ca="1" si="250">COUNTIFS(INDIRECT("'" &amp; $B$20 &amp; "'!$V:$V"),"&gt;=" &amp; BO$22,INDIRECT("'" &amp; $B$20 &amp; "'!$V:$V"), "&lt;" &amp; BP$22)</f>
        <v>0</v>
      </c>
      <c r="BP25" s="21">
        <f t="shared" ref="BP25" ca="1" si="251">COUNTIFS(INDIRECT("'" &amp; $B$20 &amp; "'!$V:$V"),"&gt;=" &amp; BP$22,INDIRECT("'" &amp; $B$20 &amp; "'!$V:$V"), "&lt;" &amp; BQ$22)</f>
        <v>0</v>
      </c>
      <c r="BQ25" s="21">
        <f t="shared" ref="BQ25" ca="1" si="252">COUNTIFS(INDIRECT("'" &amp; $B$20 &amp; "'!$V:$V"),"&gt;=" &amp; BQ$22,INDIRECT("'" &amp; $B$20 &amp; "'!$V:$V"), "&lt;" &amp; BR$22)</f>
        <v>0</v>
      </c>
      <c r="BR25" s="21">
        <f t="shared" ref="BR25" ca="1" si="253">COUNTIFS(INDIRECT("'" &amp; $B$20 &amp; "'!$V:$V"),"&gt;=" &amp; BR$22,INDIRECT("'" &amp; $B$20 &amp; "'!$V:$V"), "&lt;" &amp; BS$22)</f>
        <v>0</v>
      </c>
      <c r="BS25" s="21">
        <f t="shared" ref="BS25" ca="1" si="254">COUNTIFS(INDIRECT("'" &amp; $B$20 &amp; "'!$V:$V"),"&gt;=" &amp; BS$22,INDIRECT("'" &amp; $B$20 &amp; "'!$V:$V"), "&lt;" &amp; BT$22)</f>
        <v>0</v>
      </c>
      <c r="BT25" s="21">
        <f t="shared" ref="BT25" ca="1" si="255">COUNTIFS(INDIRECT("'" &amp; $B$20 &amp; "'!$V:$V"),"&gt;=" &amp; BT$22,INDIRECT("'" &amp; $B$20 &amp; "'!$V:$V"), "&lt;" &amp; BU$22)</f>
        <v>0</v>
      </c>
      <c r="BU25" s="21">
        <f t="shared" ref="BU25" ca="1" si="256">COUNTIFS(INDIRECT("'" &amp; $B$20 &amp; "'!$V:$V"),"&gt;=" &amp; BU$22,INDIRECT("'" &amp; $B$20 &amp; "'!$V:$V"), "&lt;" &amp; BV$22)</f>
        <v>0</v>
      </c>
      <c r="BV25" s="21">
        <f t="shared" ref="BV25" ca="1" si="257">COUNTIFS(INDIRECT("'" &amp; $B$20 &amp; "'!$V:$V"),"&gt;=" &amp; BV$22,INDIRECT("'" &amp; $B$20 &amp; "'!$V:$V"), "&lt;" &amp; BW$22)</f>
        <v>0</v>
      </c>
      <c r="BW25" s="21">
        <f t="shared" ref="BW25" ca="1" si="258">COUNTIFS(INDIRECT("'" &amp; $B$20 &amp; "'!$V:$V"),"&gt;=" &amp; BW$22,INDIRECT("'" &amp; $B$20 &amp; "'!$V:$V"), "&lt;" &amp; BX$22)</f>
        <v>0</v>
      </c>
      <c r="BX25" s="21">
        <f t="shared" ref="BX25" ca="1" si="259">COUNTIFS(INDIRECT("'" &amp; $B$20 &amp; "'!$V:$V"),"&gt;=" &amp; BX$22,INDIRECT("'" &amp; $B$20 &amp; "'!$V:$V"), "&lt;" &amp; BY$22)</f>
        <v>0</v>
      </c>
      <c r="BY25" s="21">
        <f t="shared" ref="BY25" ca="1" si="260">COUNTIFS(INDIRECT("'" &amp; $B$20 &amp; "'!$V:$V"),"&gt;=" &amp; BY$22,INDIRECT("'" &amp; $B$20 &amp; "'!$V:$V"), "&lt;" &amp; BZ$22)</f>
        <v>0</v>
      </c>
      <c r="BZ25" s="21">
        <f t="shared" ref="BZ25" ca="1" si="261">COUNTIFS(INDIRECT("'" &amp; $B$20 &amp; "'!$V:$V"),"&gt;=" &amp; BZ$22,INDIRECT("'" &amp; $B$20 &amp; "'!$V:$V"), "&lt;" &amp; CA$22)</f>
        <v>0</v>
      </c>
      <c r="CA25" s="21">
        <f t="shared" ref="CA25" ca="1" si="262">COUNTIFS(INDIRECT("'" &amp; $B$20 &amp; "'!$V:$V"),"&gt;=" &amp; CA$22,INDIRECT("'" &amp; $B$20 &amp; "'!$V:$V"), "&lt;" &amp; CB$22)</f>
        <v>0</v>
      </c>
      <c r="CB25" s="21">
        <f t="shared" ref="CB25" ca="1" si="263">COUNTIFS(INDIRECT("'" &amp; $B$20 &amp; "'!$V:$V"),"&gt;=" &amp; CB$22,INDIRECT("'" &amp; $B$20 &amp; "'!$V:$V"), "&lt;" &amp; CC$22)</f>
        <v>0</v>
      </c>
      <c r="CC25" s="21">
        <f t="shared" ref="CC25" ca="1" si="264">COUNTIFS(INDIRECT("'" &amp; $B$20 &amp; "'!$V:$V"),"&gt;=" &amp; CC$22,INDIRECT("'" &amp; $B$20 &amp; "'!$V:$V"), "&lt;" &amp; CD$22)</f>
        <v>0</v>
      </c>
      <c r="CD25" s="21">
        <f t="shared" ref="CD25" ca="1" si="265">COUNTIFS(INDIRECT("'" &amp; $B$20 &amp; "'!$V:$V"),"&gt;=" &amp; CD$22,INDIRECT("'" &amp; $B$20 &amp; "'!$V:$V"), "&lt;" &amp; CE$22)</f>
        <v>0</v>
      </c>
      <c r="CE25" s="21">
        <f t="shared" ref="CE25" ca="1" si="266">COUNTIFS(INDIRECT("'" &amp; $B$20 &amp; "'!$V:$V"),"&gt;=" &amp; CE$22,INDIRECT("'" &amp; $B$20 &amp; "'!$V:$V"), "&lt;" &amp; CF$22)</f>
        <v>0</v>
      </c>
      <c r="CF25" s="21">
        <f t="shared" ref="CF25" ca="1" si="267">COUNTIFS(INDIRECT("'" &amp; $B$20 &amp; "'!$V:$V"),"&gt;=" &amp; CF$22,INDIRECT("'" &amp; $B$20 &amp; "'!$V:$V"), "&lt;" &amp; CG$22)</f>
        <v>0</v>
      </c>
      <c r="CG25" s="21">
        <f t="shared" ref="CG25" ca="1" si="268">COUNTIFS(INDIRECT("'" &amp; $B$20 &amp; "'!$V:$V"),"&gt;=" &amp; CG$22,INDIRECT("'" &amp; $B$20 &amp; "'!$V:$V"), "&lt;" &amp; CH$22)</f>
        <v>0</v>
      </c>
      <c r="CH25" s="21">
        <f t="shared" ref="CH25" ca="1" si="269">COUNTIFS(INDIRECT("'" &amp; $B$20 &amp; "'!$V:$V"),"&gt;=" &amp; CH$22,INDIRECT("'" &amp; $B$20 &amp; "'!$V:$V"), "&lt;" &amp; CI$22)</f>
        <v>0</v>
      </c>
      <c r="CI25" s="21">
        <f t="shared" ref="CI25" ca="1" si="270">COUNTIFS(INDIRECT("'" &amp; $B$20 &amp; "'!$V:$V"),"&gt;=" &amp; CI$22,INDIRECT("'" &amp; $B$20 &amp; "'!$V:$V"), "&lt;" &amp; CJ$22)</f>
        <v>0</v>
      </c>
      <c r="CJ25" s="21">
        <f t="shared" ref="CJ25" ca="1" si="271">COUNTIFS(INDIRECT("'" &amp; $B$20 &amp; "'!$V:$V"),"&gt;=" &amp; CJ$22,INDIRECT("'" &amp; $B$20 &amp; "'!$V:$V"), "&lt;" &amp; CK$22)</f>
        <v>0</v>
      </c>
      <c r="CK25" s="21">
        <f t="shared" ref="CK25" ca="1" si="272">COUNTIFS(INDIRECT("'" &amp; $B$20 &amp; "'!$V:$V"),"&gt;=" &amp; CK$22,INDIRECT("'" &amp; $B$20 &amp; "'!$V:$V"), "&lt;" &amp; CL$22)</f>
        <v>0</v>
      </c>
      <c r="CL25" s="21">
        <f t="shared" ref="CL25" ca="1" si="273">COUNTIFS(INDIRECT("'" &amp; $B$20 &amp; "'!$V:$V"),"&gt;=" &amp; CL$22,INDIRECT("'" &amp; $B$20 &amp; "'!$V:$V"), "&lt;" &amp; CM$22)</f>
        <v>0</v>
      </c>
      <c r="CM25" s="21">
        <f t="shared" ref="CM25" ca="1" si="274">COUNTIFS(INDIRECT("'" &amp; $B$20 &amp; "'!$V:$V"),"&gt;=" &amp; CM$22,INDIRECT("'" &amp; $B$20 &amp; "'!$V:$V"), "&lt;" &amp; CN$22)</f>
        <v>0</v>
      </c>
      <c r="CN25" s="21">
        <f t="shared" ref="CN25" ca="1" si="275">COUNTIFS(INDIRECT("'" &amp; $B$20 &amp; "'!$V:$V"),"&gt;=" &amp; CN$22,INDIRECT("'" &amp; $B$20 &amp; "'!$V:$V"), "&lt;" &amp; CO$22)</f>
        <v>0</v>
      </c>
      <c r="CO25" s="21">
        <f t="shared" ref="CO25" ca="1" si="276">COUNTIFS(INDIRECT("'" &amp; $B$20 &amp; "'!$V:$V"),"&gt;=" &amp; CO$22,INDIRECT("'" &amp; $B$20 &amp; "'!$V:$V"), "&lt;" &amp; CP$22)</f>
        <v>0</v>
      </c>
      <c r="CP25" s="21">
        <f t="shared" ref="CP25" ca="1" si="277">COUNTIFS(INDIRECT("'" &amp; $B$20 &amp; "'!$V:$V"),"&gt;=" &amp; CP$22,INDIRECT("'" &amp; $B$20 &amp; "'!$V:$V"), "&lt;" &amp; CQ$22)</f>
        <v>0</v>
      </c>
      <c r="CQ25" s="21">
        <f t="shared" ref="CQ25" ca="1" si="278">COUNTIFS(INDIRECT("'" &amp; $B$20 &amp; "'!$V:$V"),"&gt;=" &amp; CQ$22,INDIRECT("'" &amp; $B$20 &amp; "'!$V:$V"), "&lt;" &amp; CR$22)</f>
        <v>0</v>
      </c>
      <c r="CR25" s="21">
        <f t="shared" ref="CR25" ca="1" si="279">COUNTIFS(INDIRECT("'" &amp; $B$20 &amp; "'!$V:$V"),"&gt;=" &amp; CR$22,INDIRECT("'" &amp; $B$20 &amp; "'!$V:$V"), "&lt;" &amp; CS$22)</f>
        <v>0</v>
      </c>
      <c r="CS25" s="21">
        <f t="shared" ref="CS25" ca="1" si="280">COUNTIFS(INDIRECT("'" &amp; $B$20 &amp; "'!$V:$V"),"&gt;=" &amp; CS$22,INDIRECT("'" &amp; $B$20 &amp; "'!$V:$V"), "&lt;" &amp; CT$22)</f>
        <v>0</v>
      </c>
      <c r="CT25" s="21">
        <f t="shared" ref="CT25" ca="1" si="281">COUNTIFS(INDIRECT("'" &amp; $B$20 &amp; "'!$V:$V"),"&gt;=" &amp; CT$22,INDIRECT("'" &amp; $B$20 &amp; "'!$V:$V"), "&lt;" &amp; CU$22)</f>
        <v>0</v>
      </c>
    </row>
    <row r="26" spans="2:98">
      <c r="B26" s="20" t="s">
        <v>23</v>
      </c>
      <c r="C26" s="21">
        <f ca="1">C25</f>
        <v>0</v>
      </c>
      <c r="D26" s="21">
        <f ca="1">C26+D25</f>
        <v>0</v>
      </c>
      <c r="E26" s="21">
        <f t="shared" ref="E26:BP26" ca="1" si="282">D26+E25</f>
        <v>0</v>
      </c>
      <c r="F26" s="21">
        <f t="shared" ca="1" si="282"/>
        <v>1</v>
      </c>
      <c r="G26" s="21">
        <f t="shared" ca="1" si="282"/>
        <v>6</v>
      </c>
      <c r="H26" s="21">
        <f t="shared" ca="1" si="282"/>
        <v>6</v>
      </c>
      <c r="I26" s="21">
        <f t="shared" ca="1" si="282"/>
        <v>6</v>
      </c>
      <c r="J26" s="21">
        <f t="shared" ca="1" si="282"/>
        <v>9</v>
      </c>
      <c r="K26" s="21">
        <f t="shared" ca="1" si="282"/>
        <v>11</v>
      </c>
      <c r="L26" s="21">
        <f t="shared" ca="1" si="282"/>
        <v>11</v>
      </c>
      <c r="M26" s="21">
        <f t="shared" ca="1" si="282"/>
        <v>18</v>
      </c>
      <c r="N26" s="21">
        <f t="shared" ca="1" si="282"/>
        <v>21</v>
      </c>
      <c r="O26" s="21">
        <f t="shared" ca="1" si="282"/>
        <v>21</v>
      </c>
      <c r="P26" s="21">
        <f t="shared" ca="1" si="282"/>
        <v>21</v>
      </c>
      <c r="Q26" s="21">
        <f t="shared" ca="1" si="282"/>
        <v>21</v>
      </c>
      <c r="R26" s="21">
        <f t="shared" ca="1" si="282"/>
        <v>21</v>
      </c>
      <c r="S26" s="21">
        <f t="shared" ca="1" si="282"/>
        <v>21</v>
      </c>
      <c r="T26" s="21">
        <f t="shared" ca="1" si="282"/>
        <v>21</v>
      </c>
      <c r="U26" s="21">
        <f t="shared" ca="1" si="282"/>
        <v>21</v>
      </c>
      <c r="V26" s="21">
        <f t="shared" ca="1" si="282"/>
        <v>21</v>
      </c>
      <c r="W26" s="21">
        <f t="shared" ca="1" si="282"/>
        <v>21</v>
      </c>
      <c r="X26" s="21">
        <f t="shared" ca="1" si="282"/>
        <v>21</v>
      </c>
      <c r="Y26" s="21">
        <f t="shared" ca="1" si="282"/>
        <v>21</v>
      </c>
      <c r="Z26" s="21">
        <f t="shared" ca="1" si="282"/>
        <v>21</v>
      </c>
      <c r="AA26" s="21">
        <f t="shared" ca="1" si="282"/>
        <v>21</v>
      </c>
      <c r="AB26" s="21">
        <f t="shared" ca="1" si="282"/>
        <v>21</v>
      </c>
      <c r="AC26" s="21">
        <f t="shared" ca="1" si="282"/>
        <v>21</v>
      </c>
      <c r="AD26" s="21">
        <f t="shared" ca="1" si="282"/>
        <v>21</v>
      </c>
      <c r="AE26" s="21">
        <f t="shared" ca="1" si="282"/>
        <v>21</v>
      </c>
      <c r="AF26" s="21">
        <f t="shared" ca="1" si="282"/>
        <v>21</v>
      </c>
      <c r="AG26" s="21">
        <f t="shared" ca="1" si="282"/>
        <v>21</v>
      </c>
      <c r="AH26" s="21">
        <f t="shared" ca="1" si="282"/>
        <v>21</v>
      </c>
      <c r="AI26" s="21">
        <f t="shared" ca="1" si="282"/>
        <v>21</v>
      </c>
      <c r="AJ26" s="21">
        <f t="shared" ca="1" si="282"/>
        <v>21</v>
      </c>
      <c r="AK26" s="21">
        <f t="shared" ca="1" si="282"/>
        <v>21</v>
      </c>
      <c r="AL26" s="21">
        <f t="shared" ca="1" si="282"/>
        <v>21</v>
      </c>
      <c r="AM26" s="21">
        <f t="shared" ca="1" si="282"/>
        <v>21</v>
      </c>
      <c r="AN26" s="21">
        <f t="shared" ca="1" si="282"/>
        <v>21</v>
      </c>
      <c r="AO26" s="21">
        <f t="shared" ca="1" si="282"/>
        <v>21</v>
      </c>
      <c r="AP26" s="21">
        <f t="shared" ca="1" si="282"/>
        <v>21</v>
      </c>
      <c r="AQ26" s="21">
        <f t="shared" ca="1" si="282"/>
        <v>21</v>
      </c>
      <c r="AR26" s="21">
        <f t="shared" ca="1" si="282"/>
        <v>21</v>
      </c>
      <c r="AS26" s="21">
        <f t="shared" ca="1" si="282"/>
        <v>21</v>
      </c>
      <c r="AT26" s="21">
        <f t="shared" ca="1" si="282"/>
        <v>21</v>
      </c>
      <c r="AU26" s="21">
        <f t="shared" ca="1" si="282"/>
        <v>21</v>
      </c>
      <c r="AV26" s="21">
        <f t="shared" ca="1" si="282"/>
        <v>21</v>
      </c>
      <c r="AW26" s="21">
        <f t="shared" ca="1" si="282"/>
        <v>21</v>
      </c>
      <c r="AX26" s="21">
        <f t="shared" ca="1" si="282"/>
        <v>21</v>
      </c>
      <c r="AY26" s="21">
        <f t="shared" ca="1" si="282"/>
        <v>21</v>
      </c>
      <c r="AZ26" s="21">
        <f t="shared" ca="1" si="282"/>
        <v>21</v>
      </c>
      <c r="BA26" s="21">
        <f t="shared" ca="1" si="282"/>
        <v>21</v>
      </c>
      <c r="BB26" s="21">
        <f t="shared" ca="1" si="282"/>
        <v>21</v>
      </c>
      <c r="BC26" s="21">
        <f t="shared" ca="1" si="282"/>
        <v>21</v>
      </c>
      <c r="BD26" s="21">
        <f t="shared" ca="1" si="282"/>
        <v>21</v>
      </c>
      <c r="BE26" s="21">
        <f t="shared" ca="1" si="282"/>
        <v>21</v>
      </c>
      <c r="BF26" s="21">
        <f t="shared" ca="1" si="282"/>
        <v>21</v>
      </c>
      <c r="BG26" s="21">
        <f t="shared" ca="1" si="282"/>
        <v>21</v>
      </c>
      <c r="BH26" s="21">
        <f t="shared" ca="1" si="282"/>
        <v>21</v>
      </c>
      <c r="BI26" s="21">
        <f t="shared" ca="1" si="282"/>
        <v>21</v>
      </c>
      <c r="BJ26" s="21">
        <f t="shared" ca="1" si="282"/>
        <v>21</v>
      </c>
      <c r="BK26" s="21">
        <f t="shared" ca="1" si="282"/>
        <v>21</v>
      </c>
      <c r="BL26" s="21">
        <f t="shared" ca="1" si="282"/>
        <v>21</v>
      </c>
      <c r="BM26" s="21">
        <f t="shared" ca="1" si="282"/>
        <v>21</v>
      </c>
      <c r="BN26" s="21">
        <f t="shared" ca="1" si="282"/>
        <v>21</v>
      </c>
      <c r="BO26" s="21">
        <f t="shared" ca="1" si="282"/>
        <v>21</v>
      </c>
      <c r="BP26" s="21">
        <f t="shared" ca="1" si="282"/>
        <v>21</v>
      </c>
      <c r="BQ26" s="21">
        <f t="shared" ref="BQ26:CT26" ca="1" si="283">BP26+BQ25</f>
        <v>21</v>
      </c>
      <c r="BR26" s="21">
        <f t="shared" ca="1" si="283"/>
        <v>21</v>
      </c>
      <c r="BS26" s="21">
        <f t="shared" ca="1" si="283"/>
        <v>21</v>
      </c>
      <c r="BT26" s="21">
        <f t="shared" ca="1" si="283"/>
        <v>21</v>
      </c>
      <c r="BU26" s="21">
        <f t="shared" ca="1" si="283"/>
        <v>21</v>
      </c>
      <c r="BV26" s="21">
        <f t="shared" ca="1" si="283"/>
        <v>21</v>
      </c>
      <c r="BW26" s="21">
        <f t="shared" ca="1" si="283"/>
        <v>21</v>
      </c>
      <c r="BX26" s="21">
        <f t="shared" ca="1" si="283"/>
        <v>21</v>
      </c>
      <c r="BY26" s="21">
        <f t="shared" ca="1" si="283"/>
        <v>21</v>
      </c>
      <c r="BZ26" s="21">
        <f t="shared" ca="1" si="283"/>
        <v>21</v>
      </c>
      <c r="CA26" s="21">
        <f t="shared" ca="1" si="283"/>
        <v>21</v>
      </c>
      <c r="CB26" s="21">
        <f t="shared" ca="1" si="283"/>
        <v>21</v>
      </c>
      <c r="CC26" s="21">
        <f t="shared" ca="1" si="283"/>
        <v>21</v>
      </c>
      <c r="CD26" s="21">
        <f t="shared" ca="1" si="283"/>
        <v>21</v>
      </c>
      <c r="CE26" s="21">
        <f t="shared" ca="1" si="283"/>
        <v>21</v>
      </c>
      <c r="CF26" s="21">
        <f t="shared" ca="1" si="283"/>
        <v>21</v>
      </c>
      <c r="CG26" s="21">
        <f t="shared" ca="1" si="283"/>
        <v>21</v>
      </c>
      <c r="CH26" s="21">
        <f t="shared" ca="1" si="283"/>
        <v>21</v>
      </c>
      <c r="CI26" s="21">
        <f t="shared" ca="1" si="283"/>
        <v>21</v>
      </c>
      <c r="CJ26" s="21">
        <f t="shared" ca="1" si="283"/>
        <v>21</v>
      </c>
      <c r="CK26" s="21">
        <f t="shared" ca="1" si="283"/>
        <v>21</v>
      </c>
      <c r="CL26" s="21">
        <f t="shared" ca="1" si="283"/>
        <v>21</v>
      </c>
      <c r="CM26" s="21">
        <f t="shared" ca="1" si="283"/>
        <v>21</v>
      </c>
      <c r="CN26" s="21">
        <f t="shared" ca="1" si="283"/>
        <v>21</v>
      </c>
      <c r="CO26" s="21">
        <f t="shared" ca="1" si="283"/>
        <v>21</v>
      </c>
      <c r="CP26" s="21">
        <f t="shared" ca="1" si="283"/>
        <v>21</v>
      </c>
      <c r="CQ26" s="21">
        <f t="shared" ca="1" si="283"/>
        <v>21</v>
      </c>
      <c r="CR26" s="21">
        <f t="shared" ca="1" si="283"/>
        <v>21</v>
      </c>
      <c r="CS26" s="21">
        <f t="shared" ca="1" si="283"/>
        <v>21</v>
      </c>
      <c r="CT26" s="21">
        <f t="shared" ca="1" si="283"/>
        <v>21</v>
      </c>
    </row>
    <row r="27" spans="2:98">
      <c r="B27" s="20" t="s">
        <v>24</v>
      </c>
      <c r="C27" s="21">
        <f ca="1">C26-C24</f>
        <v>0</v>
      </c>
      <c r="D27" s="21">
        <f t="shared" ref="D27" ca="1" si="284">D26-D24</f>
        <v>0</v>
      </c>
      <c r="E27" s="21">
        <f t="shared" ref="E27:BP27" ca="1" si="285">E26-E24</f>
        <v>0</v>
      </c>
      <c r="F27" s="21">
        <f t="shared" ca="1" si="285"/>
        <v>1</v>
      </c>
      <c r="G27" s="21">
        <f t="shared" ca="1" si="285"/>
        <v>-2</v>
      </c>
      <c r="H27" s="21">
        <f t="shared" ca="1" si="285"/>
        <v>-2</v>
      </c>
      <c r="I27" s="21">
        <f t="shared" ca="1" si="285"/>
        <v>-2</v>
      </c>
      <c r="J27" s="21">
        <f t="shared" ca="1" si="285"/>
        <v>-1</v>
      </c>
      <c r="K27" s="21">
        <f t="shared" ca="1" si="285"/>
        <v>-1</v>
      </c>
      <c r="L27" s="21">
        <f t="shared" ca="1" si="285"/>
        <v>-1</v>
      </c>
      <c r="M27" s="21">
        <f t="shared" ca="1" si="285"/>
        <v>6</v>
      </c>
      <c r="N27" s="21">
        <f t="shared" ca="1" si="285"/>
        <v>9</v>
      </c>
      <c r="O27" s="21">
        <f t="shared" ca="1" si="285"/>
        <v>9</v>
      </c>
      <c r="P27" s="21">
        <f t="shared" ca="1" si="285"/>
        <v>9</v>
      </c>
      <c r="Q27" s="21">
        <f t="shared" ca="1" si="285"/>
        <v>9</v>
      </c>
      <c r="R27" s="21">
        <f t="shared" ca="1" si="285"/>
        <v>2</v>
      </c>
      <c r="S27" s="21">
        <f t="shared" ca="1" si="285"/>
        <v>-4</v>
      </c>
      <c r="T27" s="21">
        <f t="shared" ca="1" si="285"/>
        <v>-16</v>
      </c>
      <c r="U27" s="21">
        <f t="shared" ca="1" si="285"/>
        <v>-22</v>
      </c>
      <c r="V27" s="21">
        <f t="shared" ca="1" si="285"/>
        <v>-22</v>
      </c>
      <c r="W27" s="21">
        <f t="shared" ca="1" si="285"/>
        <v>-22</v>
      </c>
      <c r="X27" s="21">
        <f t="shared" ca="1" si="285"/>
        <v>-22</v>
      </c>
      <c r="Y27" s="21">
        <f t="shared" ca="1" si="285"/>
        <v>-28</v>
      </c>
      <c r="Z27" s="21">
        <f t="shared" ca="1" si="285"/>
        <v>-34</v>
      </c>
      <c r="AA27" s="21">
        <f t="shared" ca="1" si="285"/>
        <v>-40</v>
      </c>
      <c r="AB27" s="21">
        <f t="shared" ca="1" si="285"/>
        <v>-46</v>
      </c>
      <c r="AC27" s="21">
        <f t="shared" ca="1" si="285"/>
        <v>-46</v>
      </c>
      <c r="AD27" s="21">
        <f t="shared" ca="1" si="285"/>
        <v>-46</v>
      </c>
      <c r="AE27" s="21">
        <f t="shared" ca="1" si="285"/>
        <v>-52</v>
      </c>
      <c r="AF27" s="21">
        <f t="shared" ca="1" si="285"/>
        <v>-52</v>
      </c>
      <c r="AG27" s="21">
        <f t="shared" ca="1" si="285"/>
        <v>-52</v>
      </c>
      <c r="AH27" s="21">
        <f t="shared" ca="1" si="285"/>
        <v>-52</v>
      </c>
      <c r="AI27" s="21">
        <f t="shared" ca="1" si="285"/>
        <v>-52</v>
      </c>
      <c r="AJ27" s="21">
        <f t="shared" ca="1" si="285"/>
        <v>-52</v>
      </c>
      <c r="AK27" s="21">
        <f t="shared" ca="1" si="285"/>
        <v>-52</v>
      </c>
      <c r="AL27" s="21">
        <f t="shared" ca="1" si="285"/>
        <v>-52</v>
      </c>
      <c r="AM27" s="21">
        <f t="shared" ca="1" si="285"/>
        <v>-52</v>
      </c>
      <c r="AN27" s="21">
        <f t="shared" ca="1" si="285"/>
        <v>-52</v>
      </c>
      <c r="AO27" s="21">
        <f t="shared" ca="1" si="285"/>
        <v>-52</v>
      </c>
      <c r="AP27" s="21">
        <f t="shared" ca="1" si="285"/>
        <v>-52</v>
      </c>
      <c r="AQ27" s="21">
        <f t="shared" ca="1" si="285"/>
        <v>-52</v>
      </c>
      <c r="AR27" s="21">
        <f t="shared" ca="1" si="285"/>
        <v>-52</v>
      </c>
      <c r="AS27" s="21">
        <f t="shared" ca="1" si="285"/>
        <v>-52</v>
      </c>
      <c r="AT27" s="21">
        <f t="shared" ca="1" si="285"/>
        <v>-52</v>
      </c>
      <c r="AU27" s="21">
        <f t="shared" ca="1" si="285"/>
        <v>-52</v>
      </c>
      <c r="AV27" s="21">
        <f t="shared" ca="1" si="285"/>
        <v>-52</v>
      </c>
      <c r="AW27" s="21">
        <f t="shared" ca="1" si="285"/>
        <v>-52</v>
      </c>
      <c r="AX27" s="21">
        <f t="shared" ca="1" si="285"/>
        <v>-52</v>
      </c>
      <c r="AY27" s="21">
        <f t="shared" ca="1" si="285"/>
        <v>-52</v>
      </c>
      <c r="AZ27" s="21">
        <f t="shared" ca="1" si="285"/>
        <v>-52</v>
      </c>
      <c r="BA27" s="21">
        <f t="shared" ca="1" si="285"/>
        <v>-58</v>
      </c>
      <c r="BB27" s="21">
        <f t="shared" ca="1" si="285"/>
        <v>-64</v>
      </c>
      <c r="BC27" s="21">
        <f t="shared" ca="1" si="285"/>
        <v>-64</v>
      </c>
      <c r="BD27" s="21">
        <f t="shared" ca="1" si="285"/>
        <v>-64</v>
      </c>
      <c r="BE27" s="21">
        <f t="shared" ca="1" si="285"/>
        <v>-64</v>
      </c>
      <c r="BF27" s="21">
        <f t="shared" ca="1" si="285"/>
        <v>-64</v>
      </c>
      <c r="BG27" s="21">
        <f t="shared" ca="1" si="285"/>
        <v>-70</v>
      </c>
      <c r="BH27" s="21">
        <f t="shared" ca="1" si="285"/>
        <v>-76</v>
      </c>
      <c r="BI27" s="21">
        <f t="shared" ca="1" si="285"/>
        <v>-76</v>
      </c>
      <c r="BJ27" s="21">
        <f t="shared" ca="1" si="285"/>
        <v>-76</v>
      </c>
      <c r="BK27" s="21">
        <f t="shared" ca="1" si="285"/>
        <v>-76</v>
      </c>
      <c r="BL27" s="21">
        <f t="shared" ca="1" si="285"/>
        <v>-76</v>
      </c>
      <c r="BM27" s="21">
        <f t="shared" ca="1" si="285"/>
        <v>-76</v>
      </c>
      <c r="BN27" s="21">
        <f t="shared" ca="1" si="285"/>
        <v>-76</v>
      </c>
      <c r="BO27" s="21">
        <f t="shared" ca="1" si="285"/>
        <v>-82</v>
      </c>
      <c r="BP27" s="21">
        <f t="shared" ca="1" si="285"/>
        <v>-88</v>
      </c>
      <c r="BQ27" s="21">
        <f t="shared" ref="BQ27:CT27" ca="1" si="286">BQ26-BQ24</f>
        <v>-88</v>
      </c>
      <c r="BR27" s="21">
        <f t="shared" ca="1" si="286"/>
        <v>-88</v>
      </c>
      <c r="BS27" s="21">
        <f t="shared" ca="1" si="286"/>
        <v>-88</v>
      </c>
      <c r="BT27" s="21">
        <f t="shared" ca="1" si="286"/>
        <v>-88</v>
      </c>
      <c r="BU27" s="21">
        <f t="shared" ca="1" si="286"/>
        <v>-88</v>
      </c>
      <c r="BV27" s="21">
        <f t="shared" ca="1" si="286"/>
        <v>-88</v>
      </c>
      <c r="BW27" s="21">
        <f t="shared" ca="1" si="286"/>
        <v>-88</v>
      </c>
      <c r="BX27" s="21">
        <f t="shared" ca="1" si="286"/>
        <v>-88</v>
      </c>
      <c r="BY27" s="21">
        <f t="shared" ca="1" si="286"/>
        <v>-88</v>
      </c>
      <c r="BZ27" s="21">
        <f t="shared" ca="1" si="286"/>
        <v>-88</v>
      </c>
      <c r="CA27" s="21">
        <f t="shared" ca="1" si="286"/>
        <v>-88</v>
      </c>
      <c r="CB27" s="21">
        <f t="shared" ca="1" si="286"/>
        <v>-88</v>
      </c>
      <c r="CC27" s="21">
        <f t="shared" ca="1" si="286"/>
        <v>-88</v>
      </c>
      <c r="CD27" s="21">
        <f t="shared" ca="1" si="286"/>
        <v>-88</v>
      </c>
      <c r="CE27" s="21">
        <f t="shared" ca="1" si="286"/>
        <v>-88</v>
      </c>
      <c r="CF27" s="21">
        <f t="shared" ca="1" si="286"/>
        <v>-88</v>
      </c>
      <c r="CG27" s="21">
        <f t="shared" ca="1" si="286"/>
        <v>-88</v>
      </c>
      <c r="CH27" s="21">
        <f t="shared" ca="1" si="286"/>
        <v>-88</v>
      </c>
      <c r="CI27" s="21">
        <f t="shared" ca="1" si="286"/>
        <v>-88</v>
      </c>
      <c r="CJ27" s="21">
        <f t="shared" ca="1" si="286"/>
        <v>-88</v>
      </c>
      <c r="CK27" s="21">
        <f t="shared" ca="1" si="286"/>
        <v>-88</v>
      </c>
      <c r="CL27" s="21">
        <f t="shared" ca="1" si="286"/>
        <v>-94</v>
      </c>
      <c r="CM27" s="21">
        <f t="shared" ca="1" si="286"/>
        <v>-100</v>
      </c>
      <c r="CN27" s="21">
        <f t="shared" ca="1" si="286"/>
        <v>-100</v>
      </c>
      <c r="CO27" s="21">
        <f t="shared" ca="1" si="286"/>
        <v>-100</v>
      </c>
      <c r="CP27" s="21">
        <f t="shared" ca="1" si="286"/>
        <v>-100</v>
      </c>
      <c r="CQ27" s="21">
        <f t="shared" ca="1" si="286"/>
        <v>-100</v>
      </c>
      <c r="CR27" s="21">
        <f t="shared" ca="1" si="286"/>
        <v>-106</v>
      </c>
      <c r="CS27" s="21">
        <f t="shared" ca="1" si="286"/>
        <v>-112</v>
      </c>
      <c r="CT27" s="21">
        <f t="shared" ca="1" si="286"/>
        <v>-112</v>
      </c>
    </row>
    <row r="30" spans="2:98" ht="19.5">
      <c r="B30" s="25" t="s">
        <v>391</v>
      </c>
    </row>
    <row r="45" spans="2:3" ht="15.5" thickBot="1"/>
    <row r="46" spans="2:3" ht="15.5" thickBot="1">
      <c r="B46" s="15" t="s">
        <v>18</v>
      </c>
      <c r="C46" s="16">
        <f>Progress!C46</f>
        <v>1</v>
      </c>
    </row>
    <row r="47" spans="2:3" ht="7" customHeight="1">
      <c r="B47" s="17"/>
    </row>
    <row r="48" spans="2:3">
      <c r="B48" s="23" t="str">
        <f>B20</f>
        <v>WBS(A_取引先管理)</v>
      </c>
    </row>
    <row r="49" spans="2:98" ht="8.5" customHeight="1"/>
    <row r="50" spans="2:98">
      <c r="B50" s="18" t="s">
        <v>19</v>
      </c>
      <c r="C50" s="19">
        <v>45810</v>
      </c>
      <c r="D50" s="19">
        <f>C50+$C$18</f>
        <v>45811</v>
      </c>
      <c r="E50" s="19">
        <f t="shared" ref="E50" si="287">D50+$C$18</f>
        <v>45812</v>
      </c>
      <c r="F50" s="19">
        <f t="shared" ref="F50" si="288">E50+$C$18</f>
        <v>45813</v>
      </c>
      <c r="G50" s="19">
        <f t="shared" ref="G50" si="289">F50+$C$18</f>
        <v>45814</v>
      </c>
      <c r="H50" s="19">
        <f t="shared" ref="H50" si="290">G50+$C$18</f>
        <v>45815</v>
      </c>
      <c r="I50" s="19">
        <f t="shared" ref="I50" si="291">H50+$C$18</f>
        <v>45816</v>
      </c>
      <c r="J50" s="19">
        <f t="shared" ref="J50" si="292">I50+$C$18</f>
        <v>45817</v>
      </c>
      <c r="K50" s="19">
        <f t="shared" ref="K50" si="293">J50+$C$18</f>
        <v>45818</v>
      </c>
      <c r="L50" s="19">
        <f t="shared" ref="L50" si="294">K50+$C$18</f>
        <v>45819</v>
      </c>
      <c r="M50" s="19">
        <f t="shared" ref="M50" si="295">L50+$C$18</f>
        <v>45820</v>
      </c>
      <c r="N50" s="19">
        <f t="shared" ref="N50" si="296">M50+$C$18</f>
        <v>45821</v>
      </c>
      <c r="O50" s="19">
        <f t="shared" ref="O50" si="297">N50+$C$18</f>
        <v>45822</v>
      </c>
      <c r="P50" s="19">
        <f t="shared" ref="P50" si="298">O50+$C$18</f>
        <v>45823</v>
      </c>
      <c r="Q50" s="19">
        <f t="shared" ref="Q50" si="299">P50+$C$18</f>
        <v>45824</v>
      </c>
      <c r="R50" s="19">
        <f t="shared" ref="R50" si="300">Q50+$C$18</f>
        <v>45825</v>
      </c>
      <c r="S50" s="19">
        <f t="shared" ref="S50" si="301">R50+$C$18</f>
        <v>45826</v>
      </c>
      <c r="T50" s="19">
        <f t="shared" ref="T50" si="302">S50+$C$18</f>
        <v>45827</v>
      </c>
      <c r="U50" s="19">
        <f t="shared" ref="U50" si="303">T50+$C$18</f>
        <v>45828</v>
      </c>
      <c r="V50" s="19">
        <f t="shared" ref="V50" si="304">U50+$C$18</f>
        <v>45829</v>
      </c>
      <c r="W50" s="19">
        <f t="shared" ref="W50" si="305">V50+$C$18</f>
        <v>45830</v>
      </c>
      <c r="X50" s="19">
        <f t="shared" ref="X50" si="306">W50+$C$18</f>
        <v>45831</v>
      </c>
      <c r="Y50" s="19">
        <f t="shared" ref="Y50" si="307">X50+$C$18</f>
        <v>45832</v>
      </c>
      <c r="Z50" s="19">
        <f t="shared" ref="Z50" si="308">Y50+$C$18</f>
        <v>45833</v>
      </c>
      <c r="AA50" s="19">
        <f t="shared" ref="AA50" si="309">Z50+$C$18</f>
        <v>45834</v>
      </c>
      <c r="AB50" s="19">
        <f t="shared" ref="AB50" si="310">AA50+$C$18</f>
        <v>45835</v>
      </c>
      <c r="AC50" s="19">
        <f t="shared" ref="AC50" si="311">AB50+$C$18</f>
        <v>45836</v>
      </c>
      <c r="AD50" s="19">
        <f t="shared" ref="AD50" si="312">AC50+$C$18</f>
        <v>45837</v>
      </c>
      <c r="AE50" s="19">
        <f t="shared" ref="AE50" si="313">AD50+$C$18</f>
        <v>45838</v>
      </c>
      <c r="AF50" s="19">
        <f t="shared" ref="AF50" si="314">AE50+$C$18</f>
        <v>45839</v>
      </c>
      <c r="AG50" s="19">
        <f t="shared" ref="AG50" si="315">AF50+$C$18</f>
        <v>45840</v>
      </c>
      <c r="AH50" s="19">
        <f t="shared" ref="AH50" si="316">AG50+$C$18</f>
        <v>45841</v>
      </c>
      <c r="AI50" s="19">
        <f t="shared" ref="AI50" si="317">AH50+$C$18</f>
        <v>45842</v>
      </c>
      <c r="AJ50" s="19">
        <f t="shared" ref="AJ50" si="318">AI50+$C$18</f>
        <v>45843</v>
      </c>
      <c r="AK50" s="19">
        <f t="shared" ref="AK50" si="319">AJ50+$C$18</f>
        <v>45844</v>
      </c>
      <c r="AL50" s="19">
        <f t="shared" ref="AL50" si="320">AK50+$C$18</f>
        <v>45845</v>
      </c>
      <c r="AM50" s="19">
        <f t="shared" ref="AM50" si="321">AL50+$C$18</f>
        <v>45846</v>
      </c>
      <c r="AN50" s="19">
        <f t="shared" ref="AN50" si="322">AM50+$C$18</f>
        <v>45847</v>
      </c>
      <c r="AO50" s="19">
        <f t="shared" ref="AO50" si="323">AN50+$C$18</f>
        <v>45848</v>
      </c>
      <c r="AP50" s="19">
        <f t="shared" ref="AP50" si="324">AO50+$C$18</f>
        <v>45849</v>
      </c>
      <c r="AQ50" s="19">
        <f t="shared" ref="AQ50" si="325">AP50+$C$18</f>
        <v>45850</v>
      </c>
      <c r="AR50" s="19">
        <f t="shared" ref="AR50" si="326">AQ50+$C$18</f>
        <v>45851</v>
      </c>
      <c r="AS50" s="19">
        <f t="shared" ref="AS50" si="327">AR50+$C$18</f>
        <v>45852</v>
      </c>
      <c r="AT50" s="19">
        <f t="shared" ref="AT50" si="328">AS50+$C$18</f>
        <v>45853</v>
      </c>
      <c r="AU50" s="19">
        <f t="shared" ref="AU50" si="329">AT50+$C$18</f>
        <v>45854</v>
      </c>
      <c r="AV50" s="19">
        <f t="shared" ref="AV50" si="330">AU50+$C$18</f>
        <v>45855</v>
      </c>
      <c r="AW50" s="19">
        <f t="shared" ref="AW50" si="331">AV50+$C$18</f>
        <v>45856</v>
      </c>
      <c r="AX50" s="19">
        <f t="shared" ref="AX50" si="332">AW50+$C$18</f>
        <v>45857</v>
      </c>
      <c r="AY50" s="19">
        <f t="shared" ref="AY50" si="333">AX50+$C$18</f>
        <v>45858</v>
      </c>
      <c r="AZ50" s="19">
        <f t="shared" ref="AZ50" si="334">AY50+$C$18</f>
        <v>45859</v>
      </c>
      <c r="BA50" s="19">
        <f t="shared" ref="BA50" si="335">AZ50+$C$18</f>
        <v>45860</v>
      </c>
      <c r="BB50" s="19">
        <f t="shared" ref="BB50" si="336">BA50+$C$18</f>
        <v>45861</v>
      </c>
      <c r="BC50" s="19">
        <f t="shared" ref="BC50" si="337">BB50+$C$18</f>
        <v>45862</v>
      </c>
      <c r="BD50" s="19">
        <f t="shared" ref="BD50" si="338">BC50+$C$18</f>
        <v>45863</v>
      </c>
      <c r="BE50" s="19">
        <f t="shared" ref="BE50" si="339">BD50+$C$18</f>
        <v>45864</v>
      </c>
      <c r="BF50" s="19">
        <f t="shared" ref="BF50" si="340">BE50+$C$18</f>
        <v>45865</v>
      </c>
      <c r="BG50" s="19">
        <f t="shared" ref="BG50" si="341">BF50+$C$18</f>
        <v>45866</v>
      </c>
      <c r="BH50" s="19">
        <f t="shared" ref="BH50" si="342">BG50+$C$18</f>
        <v>45867</v>
      </c>
      <c r="BI50" s="19">
        <f t="shared" ref="BI50" si="343">BH50+$C$18</f>
        <v>45868</v>
      </c>
      <c r="BJ50" s="19">
        <f t="shared" ref="BJ50" si="344">BI50+$C$18</f>
        <v>45869</v>
      </c>
      <c r="BK50" s="19">
        <f t="shared" ref="BK50" si="345">BJ50+$C$18</f>
        <v>45870</v>
      </c>
      <c r="BL50" s="19">
        <f t="shared" ref="BL50" si="346">BK50+$C$18</f>
        <v>45871</v>
      </c>
      <c r="BM50" s="19">
        <f t="shared" ref="BM50" si="347">BL50+$C$18</f>
        <v>45872</v>
      </c>
      <c r="BN50" s="19">
        <f t="shared" ref="BN50" si="348">BM50+$C$18</f>
        <v>45873</v>
      </c>
      <c r="BO50" s="19">
        <f t="shared" ref="BO50" si="349">BN50+$C$18</f>
        <v>45874</v>
      </c>
      <c r="BP50" s="19">
        <f t="shared" ref="BP50" si="350">BO50+$C$18</f>
        <v>45875</v>
      </c>
      <c r="BQ50" s="19">
        <f t="shared" ref="BQ50" si="351">BP50+$C$18</f>
        <v>45876</v>
      </c>
      <c r="BR50" s="19">
        <f t="shared" ref="BR50" si="352">BQ50+$C$18</f>
        <v>45877</v>
      </c>
      <c r="BS50" s="19">
        <f t="shared" ref="BS50" si="353">BR50+$C$18</f>
        <v>45878</v>
      </c>
      <c r="BT50" s="19">
        <f t="shared" ref="BT50" si="354">BS50+$C$18</f>
        <v>45879</v>
      </c>
      <c r="BU50" s="19">
        <f t="shared" ref="BU50" si="355">BT50+$C$18</f>
        <v>45880</v>
      </c>
      <c r="BV50" s="19">
        <f t="shared" ref="BV50" si="356">BU50+$C$18</f>
        <v>45881</v>
      </c>
      <c r="BW50" s="19">
        <f t="shared" ref="BW50" si="357">BV50+$C$18</f>
        <v>45882</v>
      </c>
      <c r="BX50" s="19">
        <f t="shared" ref="BX50" si="358">BW50+$C$18</f>
        <v>45883</v>
      </c>
      <c r="BY50" s="19">
        <f t="shared" ref="BY50" si="359">BX50+$C$18</f>
        <v>45884</v>
      </c>
      <c r="BZ50" s="19">
        <f t="shared" ref="BZ50" si="360">BY50+$C$18</f>
        <v>45885</v>
      </c>
      <c r="CA50" s="19">
        <f t="shared" ref="CA50" si="361">BZ50+$C$18</f>
        <v>45886</v>
      </c>
      <c r="CB50" s="19">
        <f t="shared" ref="CB50" si="362">CA50+$C$18</f>
        <v>45887</v>
      </c>
      <c r="CC50" s="19">
        <f t="shared" ref="CC50" si="363">CB50+$C$18</f>
        <v>45888</v>
      </c>
      <c r="CD50" s="19">
        <f t="shared" ref="CD50" si="364">CC50+$C$18</f>
        <v>45889</v>
      </c>
      <c r="CE50" s="19">
        <f t="shared" ref="CE50" si="365">CD50+$C$18</f>
        <v>45890</v>
      </c>
      <c r="CF50" s="19">
        <f t="shared" ref="CF50" si="366">CE50+$C$18</f>
        <v>45891</v>
      </c>
      <c r="CG50" s="19">
        <f t="shared" ref="CG50" si="367">CF50+$C$18</f>
        <v>45892</v>
      </c>
      <c r="CH50" s="19">
        <f t="shared" ref="CH50" si="368">CG50+$C$18</f>
        <v>45893</v>
      </c>
      <c r="CI50" s="19">
        <f t="shared" ref="CI50" si="369">CH50+$C$18</f>
        <v>45894</v>
      </c>
      <c r="CJ50" s="19">
        <f t="shared" ref="CJ50" si="370">CI50+$C$18</f>
        <v>45895</v>
      </c>
      <c r="CK50" s="19">
        <f t="shared" ref="CK50" si="371">CJ50+$C$18</f>
        <v>45896</v>
      </c>
      <c r="CL50" s="19">
        <f t="shared" ref="CL50" si="372">CK50+$C$18</f>
        <v>45897</v>
      </c>
      <c r="CM50" s="19">
        <f t="shared" ref="CM50" si="373">CL50+$C$18</f>
        <v>45898</v>
      </c>
      <c r="CN50" s="19">
        <f t="shared" ref="CN50" si="374">CM50+$C$18</f>
        <v>45899</v>
      </c>
      <c r="CO50" s="19">
        <f t="shared" ref="CO50" si="375">CN50+$C$18</f>
        <v>45900</v>
      </c>
      <c r="CP50" s="19">
        <f t="shared" ref="CP50" si="376">CO50+$C$18</f>
        <v>45901</v>
      </c>
      <c r="CQ50" s="19">
        <f t="shared" ref="CQ50" si="377">CP50+$C$18</f>
        <v>45902</v>
      </c>
      <c r="CR50" s="19">
        <f t="shared" ref="CR50" si="378">CQ50+$C$18</f>
        <v>45903</v>
      </c>
      <c r="CS50" s="19">
        <f t="shared" ref="CS50" si="379">CR50+$C$18</f>
        <v>45904</v>
      </c>
      <c r="CT50" s="19">
        <f t="shared" ref="CT50" si="380">CS50+$C$18</f>
        <v>45905</v>
      </c>
    </row>
    <row r="51" spans="2:98">
      <c r="B51" s="20" t="s">
        <v>382</v>
      </c>
      <c r="C51" s="21">
        <f ca="1">COUNTIFS(INDIRECT("'" &amp; $B$20 &amp; "'!$S:$S"),"&gt;=" &amp; C$22,INDIRECT("'" &amp; $B$20 &amp; "'!$S:$S"), "&lt;" &amp; D$22)</f>
        <v>0</v>
      </c>
      <c r="D51" s="21">
        <f t="shared" ref="D51:BO51" ca="1" si="381">COUNTIFS(INDIRECT("'" &amp; $B$20 &amp; "'!$S:$S"),"&gt;=" &amp; D$22,INDIRECT("'" &amp; $B$20 &amp; "'!$S:$S"), "&lt;" &amp; E$22)</f>
        <v>0</v>
      </c>
      <c r="E51" s="21">
        <f t="shared" ca="1" si="381"/>
        <v>6</v>
      </c>
      <c r="F51" s="21">
        <f t="shared" ca="1" si="381"/>
        <v>0</v>
      </c>
      <c r="G51" s="21">
        <f t="shared" ca="1" si="381"/>
        <v>4</v>
      </c>
      <c r="H51" s="21">
        <f t="shared" ca="1" si="381"/>
        <v>0</v>
      </c>
      <c r="I51" s="21">
        <f t="shared" ca="1" si="381"/>
        <v>0</v>
      </c>
      <c r="J51" s="21">
        <f t="shared" ca="1" si="381"/>
        <v>0</v>
      </c>
      <c r="K51" s="21">
        <f t="shared" ca="1" si="381"/>
        <v>2</v>
      </c>
      <c r="L51" s="21">
        <f t="shared" ca="1" si="381"/>
        <v>6</v>
      </c>
      <c r="M51" s="21">
        <f t="shared" ca="1" si="381"/>
        <v>1</v>
      </c>
      <c r="N51" s="21">
        <f t="shared" ca="1" si="381"/>
        <v>0</v>
      </c>
      <c r="O51" s="21">
        <f t="shared" ca="1" si="381"/>
        <v>0</v>
      </c>
      <c r="P51" s="21">
        <f t="shared" ca="1" si="381"/>
        <v>0</v>
      </c>
      <c r="Q51" s="21">
        <f t="shared" ca="1" si="381"/>
        <v>0</v>
      </c>
      <c r="R51" s="21">
        <f t="shared" ca="1" si="381"/>
        <v>0</v>
      </c>
      <c r="S51" s="21">
        <f t="shared" ca="1" si="381"/>
        <v>6</v>
      </c>
      <c r="T51" s="21">
        <f t="shared" ca="1" si="381"/>
        <v>12</v>
      </c>
      <c r="U51" s="21">
        <f t="shared" ca="1" si="381"/>
        <v>6</v>
      </c>
      <c r="V51" s="21">
        <f t="shared" ca="1" si="381"/>
        <v>0</v>
      </c>
      <c r="W51" s="21">
        <f t="shared" ca="1" si="381"/>
        <v>0</v>
      </c>
      <c r="X51" s="21">
        <f t="shared" ca="1" si="381"/>
        <v>6</v>
      </c>
      <c r="Y51" s="21">
        <f t="shared" ca="1" si="381"/>
        <v>6</v>
      </c>
      <c r="Z51" s="21">
        <f t="shared" ca="1" si="381"/>
        <v>0</v>
      </c>
      <c r="AA51" s="21">
        <f t="shared" ca="1" si="381"/>
        <v>6</v>
      </c>
      <c r="AB51" s="21">
        <f t="shared" ca="1" si="381"/>
        <v>6</v>
      </c>
      <c r="AC51" s="21">
        <f t="shared" ca="1" si="381"/>
        <v>0</v>
      </c>
      <c r="AD51" s="21">
        <f t="shared" ca="1" si="381"/>
        <v>0</v>
      </c>
      <c r="AE51" s="21">
        <f t="shared" ca="1" si="381"/>
        <v>6</v>
      </c>
      <c r="AF51" s="21">
        <f t="shared" ca="1" si="381"/>
        <v>6</v>
      </c>
      <c r="AG51" s="21">
        <f t="shared" ca="1" si="381"/>
        <v>0</v>
      </c>
      <c r="AH51" s="21">
        <f t="shared" ca="1" si="381"/>
        <v>0</v>
      </c>
      <c r="AI51" s="21">
        <f t="shared" ca="1" si="381"/>
        <v>0</v>
      </c>
      <c r="AJ51" s="21">
        <f t="shared" ca="1" si="381"/>
        <v>0</v>
      </c>
      <c r="AK51" s="21">
        <f t="shared" ca="1" si="381"/>
        <v>0</v>
      </c>
      <c r="AL51" s="21">
        <f t="shared" ca="1" si="381"/>
        <v>0</v>
      </c>
      <c r="AM51" s="21">
        <f t="shared" ca="1" si="381"/>
        <v>0</v>
      </c>
      <c r="AN51" s="21">
        <f t="shared" ca="1" si="381"/>
        <v>0</v>
      </c>
      <c r="AO51" s="21">
        <f t="shared" ca="1" si="381"/>
        <v>0</v>
      </c>
      <c r="AP51" s="21">
        <f t="shared" ca="1" si="381"/>
        <v>0</v>
      </c>
      <c r="AQ51" s="21">
        <f t="shared" ca="1" si="381"/>
        <v>0</v>
      </c>
      <c r="AR51" s="21">
        <f t="shared" ca="1" si="381"/>
        <v>0</v>
      </c>
      <c r="AS51" s="21">
        <f t="shared" ca="1" si="381"/>
        <v>0</v>
      </c>
      <c r="AT51" s="21">
        <f t="shared" ca="1" si="381"/>
        <v>0</v>
      </c>
      <c r="AU51" s="21">
        <f t="shared" ca="1" si="381"/>
        <v>0</v>
      </c>
      <c r="AV51" s="21">
        <f t="shared" ca="1" si="381"/>
        <v>0</v>
      </c>
      <c r="AW51" s="21">
        <f t="shared" ca="1" si="381"/>
        <v>0</v>
      </c>
      <c r="AX51" s="21">
        <f t="shared" ca="1" si="381"/>
        <v>0</v>
      </c>
      <c r="AY51" s="21">
        <f t="shared" ca="1" si="381"/>
        <v>0</v>
      </c>
      <c r="AZ51" s="21">
        <f t="shared" ca="1" si="381"/>
        <v>0</v>
      </c>
      <c r="BA51" s="21">
        <f t="shared" ca="1" si="381"/>
        <v>0</v>
      </c>
      <c r="BB51" s="21">
        <f t="shared" ca="1" si="381"/>
        <v>6</v>
      </c>
      <c r="BC51" s="21">
        <f t="shared" ca="1" si="381"/>
        <v>6</v>
      </c>
      <c r="BD51" s="21">
        <f t="shared" ca="1" si="381"/>
        <v>0</v>
      </c>
      <c r="BE51" s="21">
        <f t="shared" ca="1" si="381"/>
        <v>0</v>
      </c>
      <c r="BF51" s="21">
        <f t="shared" ca="1" si="381"/>
        <v>0</v>
      </c>
      <c r="BG51" s="21">
        <f t="shared" ca="1" si="381"/>
        <v>0</v>
      </c>
      <c r="BH51" s="21">
        <f t="shared" ca="1" si="381"/>
        <v>6</v>
      </c>
      <c r="BI51" s="21">
        <f t="shared" ca="1" si="381"/>
        <v>6</v>
      </c>
      <c r="BJ51" s="21">
        <f t="shared" ca="1" si="381"/>
        <v>0</v>
      </c>
      <c r="BK51" s="21">
        <f t="shared" ca="1" si="381"/>
        <v>0</v>
      </c>
      <c r="BL51" s="21">
        <f t="shared" ca="1" si="381"/>
        <v>0</v>
      </c>
      <c r="BM51" s="21">
        <f t="shared" ca="1" si="381"/>
        <v>0</v>
      </c>
      <c r="BN51" s="21">
        <f t="shared" ca="1" si="381"/>
        <v>0</v>
      </c>
      <c r="BO51" s="21">
        <f t="shared" ca="1" si="381"/>
        <v>0</v>
      </c>
      <c r="BP51" s="21">
        <f t="shared" ref="BP51:CT51" ca="1" si="382">COUNTIFS(INDIRECT("'" &amp; $B$20 &amp; "'!$S:$S"),"&gt;=" &amp; BP$22,INDIRECT("'" &amp; $B$20 &amp; "'!$S:$S"), "&lt;" &amp; BQ$22)</f>
        <v>6</v>
      </c>
      <c r="BQ51" s="21">
        <f t="shared" ca="1" si="382"/>
        <v>6</v>
      </c>
      <c r="BR51" s="21">
        <f t="shared" ca="1" si="382"/>
        <v>0</v>
      </c>
      <c r="BS51" s="21">
        <f t="shared" ca="1" si="382"/>
        <v>0</v>
      </c>
      <c r="BT51" s="21">
        <f t="shared" ca="1" si="382"/>
        <v>0</v>
      </c>
      <c r="BU51" s="21">
        <f t="shared" ca="1" si="382"/>
        <v>0</v>
      </c>
      <c r="BV51" s="21">
        <f t="shared" ca="1" si="382"/>
        <v>0</v>
      </c>
      <c r="BW51" s="21">
        <f t="shared" ca="1" si="382"/>
        <v>0</v>
      </c>
      <c r="BX51" s="21">
        <f t="shared" ca="1" si="382"/>
        <v>0</v>
      </c>
      <c r="BY51" s="21">
        <f t="shared" ca="1" si="382"/>
        <v>0</v>
      </c>
      <c r="BZ51" s="21">
        <f t="shared" ca="1" si="382"/>
        <v>0</v>
      </c>
      <c r="CA51" s="21">
        <f t="shared" ca="1" si="382"/>
        <v>0</v>
      </c>
      <c r="CB51" s="21">
        <f t="shared" ca="1" si="382"/>
        <v>0</v>
      </c>
      <c r="CC51" s="21">
        <f t="shared" ca="1" si="382"/>
        <v>0</v>
      </c>
      <c r="CD51" s="21">
        <f t="shared" ca="1" si="382"/>
        <v>0</v>
      </c>
      <c r="CE51" s="21">
        <f t="shared" ca="1" si="382"/>
        <v>0</v>
      </c>
      <c r="CF51" s="21">
        <f t="shared" ca="1" si="382"/>
        <v>0</v>
      </c>
      <c r="CG51" s="21">
        <f t="shared" ca="1" si="382"/>
        <v>0</v>
      </c>
      <c r="CH51" s="21">
        <f t="shared" ca="1" si="382"/>
        <v>0</v>
      </c>
      <c r="CI51" s="21">
        <f t="shared" ca="1" si="382"/>
        <v>0</v>
      </c>
      <c r="CJ51" s="21">
        <f t="shared" ca="1" si="382"/>
        <v>0</v>
      </c>
      <c r="CK51" s="21">
        <f t="shared" ca="1" si="382"/>
        <v>0</v>
      </c>
      <c r="CL51" s="21">
        <f t="shared" ca="1" si="382"/>
        <v>0</v>
      </c>
      <c r="CM51" s="21">
        <f t="shared" ca="1" si="382"/>
        <v>6</v>
      </c>
      <c r="CN51" s="21">
        <f t="shared" ca="1" si="382"/>
        <v>0</v>
      </c>
      <c r="CO51" s="21">
        <f t="shared" ca="1" si="382"/>
        <v>0</v>
      </c>
      <c r="CP51" s="21">
        <f t="shared" ca="1" si="382"/>
        <v>6</v>
      </c>
      <c r="CQ51" s="21">
        <f t="shared" ca="1" si="382"/>
        <v>0</v>
      </c>
      <c r="CR51" s="21">
        <f t="shared" ca="1" si="382"/>
        <v>0</v>
      </c>
      <c r="CS51" s="21">
        <f t="shared" ca="1" si="382"/>
        <v>6</v>
      </c>
      <c r="CT51" s="21">
        <f t="shared" ca="1" si="382"/>
        <v>0</v>
      </c>
    </row>
    <row r="52" spans="2:98">
      <c r="B52" s="20" t="s">
        <v>21</v>
      </c>
      <c r="C52" s="21">
        <f ca="1">C51</f>
        <v>0</v>
      </c>
      <c r="D52" s="21">
        <f ca="1">C52+D51</f>
        <v>0</v>
      </c>
      <c r="E52" s="21">
        <f t="shared" ref="E52" ca="1" si="383">D52+E51</f>
        <v>6</v>
      </c>
      <c r="F52" s="21">
        <f t="shared" ref="F52" ca="1" si="384">E52+F51</f>
        <v>6</v>
      </c>
      <c r="G52" s="21">
        <f t="shared" ref="G52" ca="1" si="385">F52+G51</f>
        <v>10</v>
      </c>
      <c r="H52" s="21">
        <f t="shared" ref="H52" ca="1" si="386">G52+H51</f>
        <v>10</v>
      </c>
      <c r="I52" s="21">
        <f t="shared" ref="I52" ca="1" si="387">H52+I51</f>
        <v>10</v>
      </c>
      <c r="J52" s="21">
        <f t="shared" ref="J52" ca="1" si="388">I52+J51</f>
        <v>10</v>
      </c>
      <c r="K52" s="21">
        <f t="shared" ref="K52" ca="1" si="389">J52+K51</f>
        <v>12</v>
      </c>
      <c r="L52" s="21">
        <f t="shared" ref="L52" ca="1" si="390">K52+L51</f>
        <v>18</v>
      </c>
      <c r="M52" s="21">
        <f t="shared" ref="M52" ca="1" si="391">L52+M51</f>
        <v>19</v>
      </c>
      <c r="N52" s="21">
        <f t="shared" ref="N52" ca="1" si="392">M52+N51</f>
        <v>19</v>
      </c>
      <c r="O52" s="21">
        <f t="shared" ref="O52" ca="1" si="393">N52+O51</f>
        <v>19</v>
      </c>
      <c r="P52" s="21">
        <f t="shared" ref="P52" ca="1" si="394">O52+P51</f>
        <v>19</v>
      </c>
      <c r="Q52" s="21">
        <f t="shared" ref="Q52" ca="1" si="395">P52+Q51</f>
        <v>19</v>
      </c>
      <c r="R52" s="21">
        <f t="shared" ref="R52" ca="1" si="396">Q52+R51</f>
        <v>19</v>
      </c>
      <c r="S52" s="21">
        <f t="shared" ref="S52" ca="1" si="397">R52+S51</f>
        <v>25</v>
      </c>
      <c r="T52" s="21">
        <f t="shared" ref="T52" ca="1" si="398">S52+T51</f>
        <v>37</v>
      </c>
      <c r="U52" s="21">
        <f t="shared" ref="U52" ca="1" si="399">T52+U51</f>
        <v>43</v>
      </c>
      <c r="V52" s="21">
        <f t="shared" ref="V52" ca="1" si="400">U52+V51</f>
        <v>43</v>
      </c>
      <c r="W52" s="21">
        <f t="shared" ref="W52" ca="1" si="401">V52+W51</f>
        <v>43</v>
      </c>
      <c r="X52" s="21">
        <f t="shared" ref="X52" ca="1" si="402">W52+X51</f>
        <v>49</v>
      </c>
      <c r="Y52" s="21">
        <f t="shared" ref="Y52" ca="1" si="403">X52+Y51</f>
        <v>55</v>
      </c>
      <c r="Z52" s="21">
        <f t="shared" ref="Z52" ca="1" si="404">Y52+Z51</f>
        <v>55</v>
      </c>
      <c r="AA52" s="21">
        <f t="shared" ref="AA52" ca="1" si="405">Z52+AA51</f>
        <v>61</v>
      </c>
      <c r="AB52" s="21">
        <f t="shared" ref="AB52" ca="1" si="406">AA52+AB51</f>
        <v>67</v>
      </c>
      <c r="AC52" s="21">
        <f t="shared" ref="AC52" ca="1" si="407">AB52+AC51</f>
        <v>67</v>
      </c>
      <c r="AD52" s="21">
        <f t="shared" ref="AD52" ca="1" si="408">AC52+AD51</f>
        <v>67</v>
      </c>
      <c r="AE52" s="21">
        <f t="shared" ref="AE52" ca="1" si="409">AD52+AE51</f>
        <v>73</v>
      </c>
      <c r="AF52" s="21">
        <f t="shared" ref="AF52" ca="1" si="410">AE52+AF51</f>
        <v>79</v>
      </c>
      <c r="AG52" s="21">
        <f t="shared" ref="AG52" ca="1" si="411">AF52+AG51</f>
        <v>79</v>
      </c>
      <c r="AH52" s="21">
        <f t="shared" ref="AH52" ca="1" si="412">AG52+AH51</f>
        <v>79</v>
      </c>
      <c r="AI52" s="21">
        <f t="shared" ref="AI52" ca="1" si="413">AH52+AI51</f>
        <v>79</v>
      </c>
      <c r="AJ52" s="21">
        <f t="shared" ref="AJ52" ca="1" si="414">AI52+AJ51</f>
        <v>79</v>
      </c>
      <c r="AK52" s="21">
        <f t="shared" ref="AK52" ca="1" si="415">AJ52+AK51</f>
        <v>79</v>
      </c>
      <c r="AL52" s="21">
        <f t="shared" ref="AL52" ca="1" si="416">AK52+AL51</f>
        <v>79</v>
      </c>
      <c r="AM52" s="21">
        <f t="shared" ref="AM52" ca="1" si="417">AL52+AM51</f>
        <v>79</v>
      </c>
      <c r="AN52" s="21">
        <f t="shared" ref="AN52" ca="1" si="418">AM52+AN51</f>
        <v>79</v>
      </c>
      <c r="AO52" s="21">
        <f t="shared" ref="AO52" ca="1" si="419">AN52+AO51</f>
        <v>79</v>
      </c>
      <c r="AP52" s="21">
        <f t="shared" ref="AP52" ca="1" si="420">AO52+AP51</f>
        <v>79</v>
      </c>
      <c r="AQ52" s="21">
        <f t="shared" ref="AQ52" ca="1" si="421">AP52+AQ51</f>
        <v>79</v>
      </c>
      <c r="AR52" s="21">
        <f t="shared" ref="AR52" ca="1" si="422">AQ52+AR51</f>
        <v>79</v>
      </c>
      <c r="AS52" s="21">
        <f t="shared" ref="AS52" ca="1" si="423">AR52+AS51</f>
        <v>79</v>
      </c>
      <c r="AT52" s="21">
        <f t="shared" ref="AT52" ca="1" si="424">AS52+AT51</f>
        <v>79</v>
      </c>
      <c r="AU52" s="21">
        <f t="shared" ref="AU52" ca="1" si="425">AT52+AU51</f>
        <v>79</v>
      </c>
      <c r="AV52" s="21">
        <f t="shared" ref="AV52" ca="1" si="426">AU52+AV51</f>
        <v>79</v>
      </c>
      <c r="AW52" s="21">
        <f t="shared" ref="AW52" ca="1" si="427">AV52+AW51</f>
        <v>79</v>
      </c>
      <c r="AX52" s="21">
        <f t="shared" ref="AX52" ca="1" si="428">AW52+AX51</f>
        <v>79</v>
      </c>
      <c r="AY52" s="21">
        <f t="shared" ref="AY52" ca="1" si="429">AX52+AY51</f>
        <v>79</v>
      </c>
      <c r="AZ52" s="21">
        <f t="shared" ref="AZ52" ca="1" si="430">AY52+AZ51</f>
        <v>79</v>
      </c>
      <c r="BA52" s="21">
        <f t="shared" ref="BA52" ca="1" si="431">AZ52+BA51</f>
        <v>79</v>
      </c>
      <c r="BB52" s="21">
        <f t="shared" ref="BB52" ca="1" si="432">BA52+BB51</f>
        <v>85</v>
      </c>
      <c r="BC52" s="21">
        <f t="shared" ref="BC52" ca="1" si="433">BB52+BC51</f>
        <v>91</v>
      </c>
      <c r="BD52" s="21">
        <f t="shared" ref="BD52" ca="1" si="434">BC52+BD51</f>
        <v>91</v>
      </c>
      <c r="BE52" s="21">
        <f t="shared" ref="BE52" ca="1" si="435">BD52+BE51</f>
        <v>91</v>
      </c>
      <c r="BF52" s="21">
        <f t="shared" ref="BF52" ca="1" si="436">BE52+BF51</f>
        <v>91</v>
      </c>
      <c r="BG52" s="21">
        <f t="shared" ref="BG52" ca="1" si="437">BF52+BG51</f>
        <v>91</v>
      </c>
      <c r="BH52" s="21">
        <f t="shared" ref="BH52" ca="1" si="438">BG52+BH51</f>
        <v>97</v>
      </c>
      <c r="BI52" s="21">
        <f t="shared" ref="BI52" ca="1" si="439">BH52+BI51</f>
        <v>103</v>
      </c>
      <c r="BJ52" s="21">
        <f t="shared" ref="BJ52" ca="1" si="440">BI52+BJ51</f>
        <v>103</v>
      </c>
      <c r="BK52" s="21">
        <f t="shared" ref="BK52" ca="1" si="441">BJ52+BK51</f>
        <v>103</v>
      </c>
      <c r="BL52" s="21">
        <f t="shared" ref="BL52" ca="1" si="442">BK52+BL51</f>
        <v>103</v>
      </c>
      <c r="BM52" s="21">
        <f t="shared" ref="BM52" ca="1" si="443">BL52+BM51</f>
        <v>103</v>
      </c>
      <c r="BN52" s="21">
        <f t="shared" ref="BN52" ca="1" si="444">BM52+BN51</f>
        <v>103</v>
      </c>
      <c r="BO52" s="21">
        <f t="shared" ref="BO52" ca="1" si="445">BN52+BO51</f>
        <v>103</v>
      </c>
      <c r="BP52" s="21">
        <f t="shared" ref="BP52" ca="1" si="446">BO52+BP51</f>
        <v>109</v>
      </c>
      <c r="BQ52" s="21">
        <f t="shared" ref="BQ52" ca="1" si="447">BP52+BQ51</f>
        <v>115</v>
      </c>
      <c r="BR52" s="21">
        <f t="shared" ref="BR52" ca="1" si="448">BQ52+BR51</f>
        <v>115</v>
      </c>
      <c r="BS52" s="21">
        <f t="shared" ref="BS52" ca="1" si="449">BR52+BS51</f>
        <v>115</v>
      </c>
      <c r="BT52" s="21">
        <f t="shared" ref="BT52" ca="1" si="450">BS52+BT51</f>
        <v>115</v>
      </c>
      <c r="BU52" s="21">
        <f t="shared" ref="BU52" ca="1" si="451">BT52+BU51</f>
        <v>115</v>
      </c>
      <c r="BV52" s="21">
        <f t="shared" ref="BV52" ca="1" si="452">BU52+BV51</f>
        <v>115</v>
      </c>
      <c r="BW52" s="21">
        <f t="shared" ref="BW52" ca="1" si="453">BV52+BW51</f>
        <v>115</v>
      </c>
      <c r="BX52" s="21">
        <f t="shared" ref="BX52" ca="1" si="454">BW52+BX51</f>
        <v>115</v>
      </c>
      <c r="BY52" s="21">
        <f t="shared" ref="BY52" ca="1" si="455">BX52+BY51</f>
        <v>115</v>
      </c>
      <c r="BZ52" s="21">
        <f t="shared" ref="BZ52" ca="1" si="456">BY52+BZ51</f>
        <v>115</v>
      </c>
      <c r="CA52" s="21">
        <f t="shared" ref="CA52" ca="1" si="457">BZ52+CA51</f>
        <v>115</v>
      </c>
      <c r="CB52" s="21">
        <f t="shared" ref="CB52" ca="1" si="458">CA52+CB51</f>
        <v>115</v>
      </c>
      <c r="CC52" s="21">
        <f t="shared" ref="CC52" ca="1" si="459">CB52+CC51</f>
        <v>115</v>
      </c>
      <c r="CD52" s="21">
        <f t="shared" ref="CD52" ca="1" si="460">CC52+CD51</f>
        <v>115</v>
      </c>
      <c r="CE52" s="21">
        <f t="shared" ref="CE52" ca="1" si="461">CD52+CE51</f>
        <v>115</v>
      </c>
      <c r="CF52" s="21">
        <f t="shared" ref="CF52" ca="1" si="462">CE52+CF51</f>
        <v>115</v>
      </c>
      <c r="CG52" s="21">
        <f t="shared" ref="CG52" ca="1" si="463">CF52+CG51</f>
        <v>115</v>
      </c>
      <c r="CH52" s="21">
        <f t="shared" ref="CH52" ca="1" si="464">CG52+CH51</f>
        <v>115</v>
      </c>
      <c r="CI52" s="21">
        <f t="shared" ref="CI52" ca="1" si="465">CH52+CI51</f>
        <v>115</v>
      </c>
      <c r="CJ52" s="21">
        <f t="shared" ref="CJ52" ca="1" si="466">CI52+CJ51</f>
        <v>115</v>
      </c>
      <c r="CK52" s="21">
        <f t="shared" ref="CK52" ca="1" si="467">CJ52+CK51</f>
        <v>115</v>
      </c>
      <c r="CL52" s="21">
        <f t="shared" ref="CL52" ca="1" si="468">CK52+CL51</f>
        <v>115</v>
      </c>
      <c r="CM52" s="21">
        <f t="shared" ref="CM52" ca="1" si="469">CL52+CM51</f>
        <v>121</v>
      </c>
      <c r="CN52" s="21">
        <f t="shared" ref="CN52" ca="1" si="470">CM52+CN51</f>
        <v>121</v>
      </c>
      <c r="CO52" s="21">
        <f t="shared" ref="CO52" ca="1" si="471">CN52+CO51</f>
        <v>121</v>
      </c>
      <c r="CP52" s="21">
        <f t="shared" ref="CP52" ca="1" si="472">CO52+CP51</f>
        <v>127</v>
      </c>
      <c r="CQ52" s="21">
        <f t="shared" ref="CQ52" ca="1" si="473">CP52+CQ51</f>
        <v>127</v>
      </c>
      <c r="CR52" s="21">
        <f t="shared" ref="CR52" ca="1" si="474">CQ52+CR51</f>
        <v>127</v>
      </c>
      <c r="CS52" s="21">
        <f t="shared" ref="CS52" ca="1" si="475">CR52+CS51</f>
        <v>133</v>
      </c>
      <c r="CT52" s="21">
        <f t="shared" ref="CT52" ca="1" si="476">CS52+CT51</f>
        <v>133</v>
      </c>
    </row>
    <row r="53" spans="2:98">
      <c r="B53" s="20" t="s">
        <v>383</v>
      </c>
      <c r="C53" s="21">
        <f ca="1">COUNTIFS(INDIRECT("'" &amp; $B$20 &amp; "'!$U:$U"),"&gt;=" &amp; C$22,INDIRECT("'" &amp; $B$20 &amp; "'!$U:$U"), "&lt;" &amp; D$22)</f>
        <v>0</v>
      </c>
      <c r="D53" s="21">
        <f t="shared" ref="D53:BO53" ca="1" si="477">COUNTIFS(INDIRECT("'" &amp; $B$20 &amp; "'!$U:$U"),"&gt;=" &amp; D$22,INDIRECT("'" &amp; $B$20 &amp; "'!$U:$U"), "&lt;" &amp; E$22)</f>
        <v>0</v>
      </c>
      <c r="E53" s="21">
        <f t="shared" ca="1" si="477"/>
        <v>6</v>
      </c>
      <c r="F53" s="21">
        <f t="shared" ca="1" si="477"/>
        <v>0</v>
      </c>
      <c r="G53" s="21">
        <f t="shared" ca="1" si="477"/>
        <v>3</v>
      </c>
      <c r="H53" s="21">
        <f t="shared" ca="1" si="477"/>
        <v>0</v>
      </c>
      <c r="I53" s="21">
        <f t="shared" ca="1" si="477"/>
        <v>0</v>
      </c>
      <c r="J53" s="21">
        <f t="shared" ca="1" si="477"/>
        <v>5</v>
      </c>
      <c r="K53" s="21">
        <f t="shared" ca="1" si="477"/>
        <v>4</v>
      </c>
      <c r="L53" s="21">
        <f t="shared" ca="1" si="477"/>
        <v>2</v>
      </c>
      <c r="M53" s="21">
        <f t="shared" ca="1" si="477"/>
        <v>2</v>
      </c>
      <c r="N53" s="21">
        <f t="shared" ca="1" si="477"/>
        <v>3</v>
      </c>
      <c r="O53" s="21">
        <f t="shared" ca="1" si="477"/>
        <v>0</v>
      </c>
      <c r="P53" s="21">
        <f t="shared" ca="1" si="477"/>
        <v>0</v>
      </c>
      <c r="Q53" s="21">
        <f t="shared" ca="1" si="477"/>
        <v>0</v>
      </c>
      <c r="R53" s="21">
        <f t="shared" ca="1" si="477"/>
        <v>0</v>
      </c>
      <c r="S53" s="21">
        <f t="shared" ca="1" si="477"/>
        <v>0</v>
      </c>
      <c r="T53" s="21">
        <f t="shared" ca="1" si="477"/>
        <v>0</v>
      </c>
      <c r="U53" s="21">
        <f t="shared" ca="1" si="477"/>
        <v>0</v>
      </c>
      <c r="V53" s="21">
        <f t="shared" ca="1" si="477"/>
        <v>0</v>
      </c>
      <c r="W53" s="21">
        <f t="shared" ca="1" si="477"/>
        <v>0</v>
      </c>
      <c r="X53" s="21">
        <f t="shared" ca="1" si="477"/>
        <v>0</v>
      </c>
      <c r="Y53" s="21">
        <f t="shared" ca="1" si="477"/>
        <v>0</v>
      </c>
      <c r="Z53" s="21">
        <f t="shared" ca="1" si="477"/>
        <v>0</v>
      </c>
      <c r="AA53" s="21">
        <f t="shared" ca="1" si="477"/>
        <v>0</v>
      </c>
      <c r="AB53" s="21">
        <f t="shared" ca="1" si="477"/>
        <v>0</v>
      </c>
      <c r="AC53" s="21">
        <f t="shared" ca="1" si="477"/>
        <v>0</v>
      </c>
      <c r="AD53" s="21">
        <f t="shared" ca="1" si="477"/>
        <v>0</v>
      </c>
      <c r="AE53" s="21">
        <f t="shared" ca="1" si="477"/>
        <v>0</v>
      </c>
      <c r="AF53" s="21">
        <f t="shared" ca="1" si="477"/>
        <v>0</v>
      </c>
      <c r="AG53" s="21">
        <f t="shared" ca="1" si="477"/>
        <v>0</v>
      </c>
      <c r="AH53" s="21">
        <f t="shared" ca="1" si="477"/>
        <v>0</v>
      </c>
      <c r="AI53" s="21">
        <f t="shared" ca="1" si="477"/>
        <v>0</v>
      </c>
      <c r="AJ53" s="21">
        <f t="shared" ca="1" si="477"/>
        <v>0</v>
      </c>
      <c r="AK53" s="21">
        <f t="shared" ca="1" si="477"/>
        <v>0</v>
      </c>
      <c r="AL53" s="21">
        <f t="shared" ca="1" si="477"/>
        <v>0</v>
      </c>
      <c r="AM53" s="21">
        <f t="shared" ca="1" si="477"/>
        <v>0</v>
      </c>
      <c r="AN53" s="21">
        <f t="shared" ca="1" si="477"/>
        <v>0</v>
      </c>
      <c r="AO53" s="21">
        <f t="shared" ca="1" si="477"/>
        <v>0</v>
      </c>
      <c r="AP53" s="21">
        <f t="shared" ca="1" si="477"/>
        <v>0</v>
      </c>
      <c r="AQ53" s="21">
        <f t="shared" ca="1" si="477"/>
        <v>0</v>
      </c>
      <c r="AR53" s="21">
        <f t="shared" ca="1" si="477"/>
        <v>0</v>
      </c>
      <c r="AS53" s="21">
        <f t="shared" ca="1" si="477"/>
        <v>0</v>
      </c>
      <c r="AT53" s="21">
        <f t="shared" ca="1" si="477"/>
        <v>0</v>
      </c>
      <c r="AU53" s="21">
        <f t="shared" ca="1" si="477"/>
        <v>0</v>
      </c>
      <c r="AV53" s="21">
        <f t="shared" ca="1" si="477"/>
        <v>0</v>
      </c>
      <c r="AW53" s="21">
        <f t="shared" ca="1" si="477"/>
        <v>0</v>
      </c>
      <c r="AX53" s="21">
        <f t="shared" ca="1" si="477"/>
        <v>0</v>
      </c>
      <c r="AY53" s="21">
        <f t="shared" ca="1" si="477"/>
        <v>0</v>
      </c>
      <c r="AZ53" s="21">
        <f t="shared" ca="1" si="477"/>
        <v>0</v>
      </c>
      <c r="BA53" s="21">
        <f t="shared" ca="1" si="477"/>
        <v>0</v>
      </c>
      <c r="BB53" s="21">
        <f t="shared" ca="1" si="477"/>
        <v>0</v>
      </c>
      <c r="BC53" s="21">
        <f t="shared" ca="1" si="477"/>
        <v>0</v>
      </c>
      <c r="BD53" s="21">
        <f t="shared" ca="1" si="477"/>
        <v>0</v>
      </c>
      <c r="BE53" s="21">
        <f t="shared" ca="1" si="477"/>
        <v>0</v>
      </c>
      <c r="BF53" s="21">
        <f t="shared" ca="1" si="477"/>
        <v>0</v>
      </c>
      <c r="BG53" s="21">
        <f t="shared" ca="1" si="477"/>
        <v>0</v>
      </c>
      <c r="BH53" s="21">
        <f t="shared" ca="1" si="477"/>
        <v>0</v>
      </c>
      <c r="BI53" s="21">
        <f t="shared" ca="1" si="477"/>
        <v>0</v>
      </c>
      <c r="BJ53" s="21">
        <f t="shared" ca="1" si="477"/>
        <v>0</v>
      </c>
      <c r="BK53" s="21">
        <f t="shared" ca="1" si="477"/>
        <v>0</v>
      </c>
      <c r="BL53" s="21">
        <f t="shared" ca="1" si="477"/>
        <v>0</v>
      </c>
      <c r="BM53" s="21">
        <f t="shared" ca="1" si="477"/>
        <v>0</v>
      </c>
      <c r="BN53" s="21">
        <f t="shared" ca="1" si="477"/>
        <v>0</v>
      </c>
      <c r="BO53" s="21">
        <f t="shared" ca="1" si="477"/>
        <v>0</v>
      </c>
      <c r="BP53" s="21">
        <f t="shared" ref="BP53:CT53" ca="1" si="478">COUNTIFS(INDIRECT("'" &amp; $B$20 &amp; "'!$U:$U"),"&gt;=" &amp; BP$22,INDIRECT("'" &amp; $B$20 &amp; "'!$U:$U"), "&lt;" &amp; BQ$22)</f>
        <v>0</v>
      </c>
      <c r="BQ53" s="21">
        <f t="shared" ca="1" si="478"/>
        <v>0</v>
      </c>
      <c r="BR53" s="21">
        <f t="shared" ca="1" si="478"/>
        <v>0</v>
      </c>
      <c r="BS53" s="21">
        <f t="shared" ca="1" si="478"/>
        <v>0</v>
      </c>
      <c r="BT53" s="21">
        <f t="shared" ca="1" si="478"/>
        <v>0</v>
      </c>
      <c r="BU53" s="21">
        <f t="shared" ca="1" si="478"/>
        <v>0</v>
      </c>
      <c r="BV53" s="21">
        <f t="shared" ca="1" si="478"/>
        <v>0</v>
      </c>
      <c r="BW53" s="21">
        <f t="shared" ca="1" si="478"/>
        <v>0</v>
      </c>
      <c r="BX53" s="21">
        <f t="shared" ca="1" si="478"/>
        <v>0</v>
      </c>
      <c r="BY53" s="21">
        <f t="shared" ca="1" si="478"/>
        <v>0</v>
      </c>
      <c r="BZ53" s="21">
        <f t="shared" ca="1" si="478"/>
        <v>0</v>
      </c>
      <c r="CA53" s="21">
        <f t="shared" ca="1" si="478"/>
        <v>0</v>
      </c>
      <c r="CB53" s="21">
        <f t="shared" ca="1" si="478"/>
        <v>0</v>
      </c>
      <c r="CC53" s="21">
        <f t="shared" ca="1" si="478"/>
        <v>0</v>
      </c>
      <c r="CD53" s="21">
        <f t="shared" ca="1" si="478"/>
        <v>0</v>
      </c>
      <c r="CE53" s="21">
        <f t="shared" ca="1" si="478"/>
        <v>0</v>
      </c>
      <c r="CF53" s="21">
        <f t="shared" ca="1" si="478"/>
        <v>0</v>
      </c>
      <c r="CG53" s="21">
        <f t="shared" ca="1" si="478"/>
        <v>0</v>
      </c>
      <c r="CH53" s="21">
        <f t="shared" ca="1" si="478"/>
        <v>0</v>
      </c>
      <c r="CI53" s="21">
        <f t="shared" ca="1" si="478"/>
        <v>0</v>
      </c>
      <c r="CJ53" s="21">
        <f t="shared" ca="1" si="478"/>
        <v>0</v>
      </c>
      <c r="CK53" s="21">
        <f t="shared" ca="1" si="478"/>
        <v>0</v>
      </c>
      <c r="CL53" s="21">
        <f t="shared" ca="1" si="478"/>
        <v>0</v>
      </c>
      <c r="CM53" s="21">
        <f t="shared" ca="1" si="478"/>
        <v>0</v>
      </c>
      <c r="CN53" s="21">
        <f t="shared" ca="1" si="478"/>
        <v>0</v>
      </c>
      <c r="CO53" s="21">
        <f t="shared" ca="1" si="478"/>
        <v>0</v>
      </c>
      <c r="CP53" s="21">
        <f t="shared" ca="1" si="478"/>
        <v>0</v>
      </c>
      <c r="CQ53" s="21">
        <f t="shared" ca="1" si="478"/>
        <v>0</v>
      </c>
      <c r="CR53" s="21">
        <f t="shared" ca="1" si="478"/>
        <v>0</v>
      </c>
      <c r="CS53" s="21">
        <f t="shared" ca="1" si="478"/>
        <v>0</v>
      </c>
      <c r="CT53" s="21">
        <f t="shared" ca="1" si="478"/>
        <v>0</v>
      </c>
    </row>
    <row r="54" spans="2:98">
      <c r="B54" s="20" t="s">
        <v>23</v>
      </c>
      <c r="C54" s="21">
        <f ca="1">C53</f>
        <v>0</v>
      </c>
      <c r="D54" s="21">
        <f ca="1">C54+D53</f>
        <v>0</v>
      </c>
      <c r="E54" s="21">
        <f t="shared" ref="E54" ca="1" si="479">D54+E53</f>
        <v>6</v>
      </c>
      <c r="F54" s="21">
        <f t="shared" ref="F54" ca="1" si="480">E54+F53</f>
        <v>6</v>
      </c>
      <c r="G54" s="21">
        <f t="shared" ref="G54" ca="1" si="481">F54+G53</f>
        <v>9</v>
      </c>
      <c r="H54" s="21">
        <f t="shared" ref="H54" ca="1" si="482">G54+H53</f>
        <v>9</v>
      </c>
      <c r="I54" s="21">
        <f t="shared" ref="I54" ca="1" si="483">H54+I53</f>
        <v>9</v>
      </c>
      <c r="J54" s="21">
        <f t="shared" ref="J54" ca="1" si="484">I54+J53</f>
        <v>14</v>
      </c>
      <c r="K54" s="21">
        <f t="shared" ref="K54" ca="1" si="485">J54+K53</f>
        <v>18</v>
      </c>
      <c r="L54" s="21">
        <f t="shared" ref="L54" ca="1" si="486">K54+L53</f>
        <v>20</v>
      </c>
      <c r="M54" s="21">
        <f t="shared" ref="M54" ca="1" si="487">L54+M53</f>
        <v>22</v>
      </c>
      <c r="N54" s="21">
        <f t="shared" ref="N54" ca="1" si="488">M54+N53</f>
        <v>25</v>
      </c>
      <c r="O54" s="21">
        <f t="shared" ref="O54" ca="1" si="489">N54+O53</f>
        <v>25</v>
      </c>
      <c r="P54" s="21">
        <f t="shared" ref="P54" ca="1" si="490">O54+P53</f>
        <v>25</v>
      </c>
      <c r="Q54" s="21">
        <f t="shared" ref="Q54" ca="1" si="491">P54+Q53</f>
        <v>25</v>
      </c>
      <c r="R54" s="21">
        <f t="shared" ref="R54" ca="1" si="492">Q54+R53</f>
        <v>25</v>
      </c>
      <c r="S54" s="21">
        <f t="shared" ref="S54" ca="1" si="493">R54+S53</f>
        <v>25</v>
      </c>
      <c r="T54" s="21">
        <f t="shared" ref="T54" ca="1" si="494">S54+T53</f>
        <v>25</v>
      </c>
      <c r="U54" s="21">
        <f t="shared" ref="U54" ca="1" si="495">T54+U53</f>
        <v>25</v>
      </c>
      <c r="V54" s="21">
        <f t="shared" ref="V54" ca="1" si="496">U54+V53</f>
        <v>25</v>
      </c>
      <c r="W54" s="21">
        <f t="shared" ref="W54" ca="1" si="497">V54+W53</f>
        <v>25</v>
      </c>
      <c r="X54" s="21">
        <f t="shared" ref="X54" ca="1" si="498">W54+X53</f>
        <v>25</v>
      </c>
      <c r="Y54" s="21">
        <f t="shared" ref="Y54" ca="1" si="499">X54+Y53</f>
        <v>25</v>
      </c>
      <c r="Z54" s="21">
        <f t="shared" ref="Z54" ca="1" si="500">Y54+Z53</f>
        <v>25</v>
      </c>
      <c r="AA54" s="21">
        <f t="shared" ref="AA54" ca="1" si="501">Z54+AA53</f>
        <v>25</v>
      </c>
      <c r="AB54" s="21">
        <f t="shared" ref="AB54" ca="1" si="502">AA54+AB53</f>
        <v>25</v>
      </c>
      <c r="AC54" s="21">
        <f t="shared" ref="AC54" ca="1" si="503">AB54+AC53</f>
        <v>25</v>
      </c>
      <c r="AD54" s="21">
        <f t="shared" ref="AD54" ca="1" si="504">AC54+AD53</f>
        <v>25</v>
      </c>
      <c r="AE54" s="21">
        <f t="shared" ref="AE54" ca="1" si="505">AD54+AE53</f>
        <v>25</v>
      </c>
      <c r="AF54" s="21">
        <f t="shared" ref="AF54" ca="1" si="506">AE54+AF53</f>
        <v>25</v>
      </c>
      <c r="AG54" s="21">
        <f t="shared" ref="AG54" ca="1" si="507">AF54+AG53</f>
        <v>25</v>
      </c>
      <c r="AH54" s="21">
        <f t="shared" ref="AH54" ca="1" si="508">AG54+AH53</f>
        <v>25</v>
      </c>
      <c r="AI54" s="21">
        <f t="shared" ref="AI54" ca="1" si="509">AH54+AI53</f>
        <v>25</v>
      </c>
      <c r="AJ54" s="21">
        <f t="shared" ref="AJ54" ca="1" si="510">AI54+AJ53</f>
        <v>25</v>
      </c>
      <c r="AK54" s="21">
        <f t="shared" ref="AK54" ca="1" si="511">AJ54+AK53</f>
        <v>25</v>
      </c>
      <c r="AL54" s="21">
        <f t="shared" ref="AL54" ca="1" si="512">AK54+AL53</f>
        <v>25</v>
      </c>
      <c r="AM54" s="21">
        <f t="shared" ref="AM54" ca="1" si="513">AL54+AM53</f>
        <v>25</v>
      </c>
      <c r="AN54" s="21">
        <f t="shared" ref="AN54" ca="1" si="514">AM54+AN53</f>
        <v>25</v>
      </c>
      <c r="AO54" s="21">
        <f t="shared" ref="AO54" ca="1" si="515">AN54+AO53</f>
        <v>25</v>
      </c>
      <c r="AP54" s="21">
        <f t="shared" ref="AP54" ca="1" si="516">AO54+AP53</f>
        <v>25</v>
      </c>
      <c r="AQ54" s="21">
        <f t="shared" ref="AQ54" ca="1" si="517">AP54+AQ53</f>
        <v>25</v>
      </c>
      <c r="AR54" s="21">
        <f t="shared" ref="AR54" ca="1" si="518">AQ54+AR53</f>
        <v>25</v>
      </c>
      <c r="AS54" s="21">
        <f t="shared" ref="AS54" ca="1" si="519">AR54+AS53</f>
        <v>25</v>
      </c>
      <c r="AT54" s="21">
        <f t="shared" ref="AT54" ca="1" si="520">AS54+AT53</f>
        <v>25</v>
      </c>
      <c r="AU54" s="21">
        <f t="shared" ref="AU54" ca="1" si="521">AT54+AU53</f>
        <v>25</v>
      </c>
      <c r="AV54" s="21">
        <f t="shared" ref="AV54" ca="1" si="522">AU54+AV53</f>
        <v>25</v>
      </c>
      <c r="AW54" s="21">
        <f t="shared" ref="AW54" ca="1" si="523">AV54+AW53</f>
        <v>25</v>
      </c>
      <c r="AX54" s="21">
        <f t="shared" ref="AX54" ca="1" si="524">AW54+AX53</f>
        <v>25</v>
      </c>
      <c r="AY54" s="21">
        <f t="shared" ref="AY54" ca="1" si="525">AX54+AY53</f>
        <v>25</v>
      </c>
      <c r="AZ54" s="21">
        <f t="shared" ref="AZ54" ca="1" si="526">AY54+AZ53</f>
        <v>25</v>
      </c>
      <c r="BA54" s="21">
        <f t="shared" ref="BA54" ca="1" si="527">AZ54+BA53</f>
        <v>25</v>
      </c>
      <c r="BB54" s="21">
        <f t="shared" ref="BB54" ca="1" si="528">BA54+BB53</f>
        <v>25</v>
      </c>
      <c r="BC54" s="21">
        <f t="shared" ref="BC54" ca="1" si="529">BB54+BC53</f>
        <v>25</v>
      </c>
      <c r="BD54" s="21">
        <f t="shared" ref="BD54" ca="1" si="530">BC54+BD53</f>
        <v>25</v>
      </c>
      <c r="BE54" s="21">
        <f t="shared" ref="BE54" ca="1" si="531">BD54+BE53</f>
        <v>25</v>
      </c>
      <c r="BF54" s="21">
        <f t="shared" ref="BF54" ca="1" si="532">BE54+BF53</f>
        <v>25</v>
      </c>
      <c r="BG54" s="21">
        <f t="shared" ref="BG54" ca="1" si="533">BF54+BG53</f>
        <v>25</v>
      </c>
      <c r="BH54" s="21">
        <f t="shared" ref="BH54" ca="1" si="534">BG54+BH53</f>
        <v>25</v>
      </c>
      <c r="BI54" s="21">
        <f t="shared" ref="BI54" ca="1" si="535">BH54+BI53</f>
        <v>25</v>
      </c>
      <c r="BJ54" s="21">
        <f t="shared" ref="BJ54" ca="1" si="536">BI54+BJ53</f>
        <v>25</v>
      </c>
      <c r="BK54" s="21">
        <f t="shared" ref="BK54" ca="1" si="537">BJ54+BK53</f>
        <v>25</v>
      </c>
      <c r="BL54" s="21">
        <f t="shared" ref="BL54" ca="1" si="538">BK54+BL53</f>
        <v>25</v>
      </c>
      <c r="BM54" s="21">
        <f t="shared" ref="BM54" ca="1" si="539">BL54+BM53</f>
        <v>25</v>
      </c>
      <c r="BN54" s="21">
        <f t="shared" ref="BN54" ca="1" si="540">BM54+BN53</f>
        <v>25</v>
      </c>
      <c r="BO54" s="21">
        <f t="shared" ref="BO54" ca="1" si="541">BN54+BO53</f>
        <v>25</v>
      </c>
      <c r="BP54" s="21">
        <f t="shared" ref="BP54" ca="1" si="542">BO54+BP53</f>
        <v>25</v>
      </c>
      <c r="BQ54" s="21">
        <f t="shared" ref="BQ54" ca="1" si="543">BP54+BQ53</f>
        <v>25</v>
      </c>
      <c r="BR54" s="21">
        <f t="shared" ref="BR54" ca="1" si="544">BQ54+BR53</f>
        <v>25</v>
      </c>
      <c r="BS54" s="21">
        <f t="shared" ref="BS54" ca="1" si="545">BR54+BS53</f>
        <v>25</v>
      </c>
      <c r="BT54" s="21">
        <f t="shared" ref="BT54" ca="1" si="546">BS54+BT53</f>
        <v>25</v>
      </c>
      <c r="BU54" s="21">
        <f t="shared" ref="BU54" ca="1" si="547">BT54+BU53</f>
        <v>25</v>
      </c>
      <c r="BV54" s="21">
        <f t="shared" ref="BV54" ca="1" si="548">BU54+BV53</f>
        <v>25</v>
      </c>
      <c r="BW54" s="21">
        <f t="shared" ref="BW54" ca="1" si="549">BV54+BW53</f>
        <v>25</v>
      </c>
      <c r="BX54" s="21">
        <f t="shared" ref="BX54" ca="1" si="550">BW54+BX53</f>
        <v>25</v>
      </c>
      <c r="BY54" s="21">
        <f t="shared" ref="BY54" ca="1" si="551">BX54+BY53</f>
        <v>25</v>
      </c>
      <c r="BZ54" s="21">
        <f t="shared" ref="BZ54" ca="1" si="552">BY54+BZ53</f>
        <v>25</v>
      </c>
      <c r="CA54" s="21">
        <f t="shared" ref="CA54" ca="1" si="553">BZ54+CA53</f>
        <v>25</v>
      </c>
      <c r="CB54" s="21">
        <f t="shared" ref="CB54" ca="1" si="554">CA54+CB53</f>
        <v>25</v>
      </c>
      <c r="CC54" s="21">
        <f t="shared" ref="CC54" ca="1" si="555">CB54+CC53</f>
        <v>25</v>
      </c>
      <c r="CD54" s="21">
        <f t="shared" ref="CD54" ca="1" si="556">CC54+CD53</f>
        <v>25</v>
      </c>
      <c r="CE54" s="21">
        <f t="shared" ref="CE54" ca="1" si="557">CD54+CE53</f>
        <v>25</v>
      </c>
      <c r="CF54" s="21">
        <f t="shared" ref="CF54" ca="1" si="558">CE54+CF53</f>
        <v>25</v>
      </c>
      <c r="CG54" s="21">
        <f t="shared" ref="CG54" ca="1" si="559">CF54+CG53</f>
        <v>25</v>
      </c>
      <c r="CH54" s="21">
        <f t="shared" ref="CH54" ca="1" si="560">CG54+CH53</f>
        <v>25</v>
      </c>
      <c r="CI54" s="21">
        <f t="shared" ref="CI54" ca="1" si="561">CH54+CI53</f>
        <v>25</v>
      </c>
      <c r="CJ54" s="21">
        <f t="shared" ref="CJ54" ca="1" si="562">CI54+CJ53</f>
        <v>25</v>
      </c>
      <c r="CK54" s="21">
        <f t="shared" ref="CK54" ca="1" si="563">CJ54+CK53</f>
        <v>25</v>
      </c>
      <c r="CL54" s="21">
        <f t="shared" ref="CL54" ca="1" si="564">CK54+CL53</f>
        <v>25</v>
      </c>
      <c r="CM54" s="21">
        <f t="shared" ref="CM54" ca="1" si="565">CL54+CM53</f>
        <v>25</v>
      </c>
      <c r="CN54" s="21">
        <f t="shared" ref="CN54" ca="1" si="566">CM54+CN53</f>
        <v>25</v>
      </c>
      <c r="CO54" s="21">
        <f t="shared" ref="CO54" ca="1" si="567">CN54+CO53</f>
        <v>25</v>
      </c>
      <c r="CP54" s="21">
        <f t="shared" ref="CP54" ca="1" si="568">CO54+CP53</f>
        <v>25</v>
      </c>
      <c r="CQ54" s="21">
        <f t="shared" ref="CQ54" ca="1" si="569">CP54+CQ53</f>
        <v>25</v>
      </c>
      <c r="CR54" s="21">
        <f t="shared" ref="CR54" ca="1" si="570">CQ54+CR53</f>
        <v>25</v>
      </c>
      <c r="CS54" s="21">
        <f t="shared" ref="CS54" ca="1" si="571">CR54+CS53</f>
        <v>25</v>
      </c>
      <c r="CT54" s="21">
        <f t="shared" ref="CT54" ca="1" si="572">CS54+CT53</f>
        <v>25</v>
      </c>
    </row>
    <row r="55" spans="2:98">
      <c r="B55" s="20" t="s">
        <v>24</v>
      </c>
      <c r="C55" s="21">
        <f ca="1">C54-C52</f>
        <v>0</v>
      </c>
      <c r="D55" s="21">
        <f t="shared" ref="D55:BO55" ca="1" si="573">D54-D52</f>
        <v>0</v>
      </c>
      <c r="E55" s="21">
        <f t="shared" ca="1" si="573"/>
        <v>0</v>
      </c>
      <c r="F55" s="21">
        <f t="shared" ca="1" si="573"/>
        <v>0</v>
      </c>
      <c r="G55" s="21">
        <f t="shared" ca="1" si="573"/>
        <v>-1</v>
      </c>
      <c r="H55" s="21">
        <f t="shared" ca="1" si="573"/>
        <v>-1</v>
      </c>
      <c r="I55" s="21">
        <f t="shared" ca="1" si="573"/>
        <v>-1</v>
      </c>
      <c r="J55" s="21">
        <f t="shared" ca="1" si="573"/>
        <v>4</v>
      </c>
      <c r="K55" s="21">
        <f t="shared" ca="1" si="573"/>
        <v>6</v>
      </c>
      <c r="L55" s="21">
        <f t="shared" ca="1" si="573"/>
        <v>2</v>
      </c>
      <c r="M55" s="21">
        <f t="shared" ca="1" si="573"/>
        <v>3</v>
      </c>
      <c r="N55" s="21">
        <f t="shared" ca="1" si="573"/>
        <v>6</v>
      </c>
      <c r="O55" s="21">
        <f t="shared" ca="1" si="573"/>
        <v>6</v>
      </c>
      <c r="P55" s="21">
        <f t="shared" ca="1" si="573"/>
        <v>6</v>
      </c>
      <c r="Q55" s="21">
        <f t="shared" ca="1" si="573"/>
        <v>6</v>
      </c>
      <c r="R55" s="21">
        <f t="shared" ca="1" si="573"/>
        <v>6</v>
      </c>
      <c r="S55" s="21">
        <f t="shared" ca="1" si="573"/>
        <v>0</v>
      </c>
      <c r="T55" s="21">
        <f t="shared" ca="1" si="573"/>
        <v>-12</v>
      </c>
      <c r="U55" s="21">
        <f t="shared" ca="1" si="573"/>
        <v>-18</v>
      </c>
      <c r="V55" s="21">
        <f t="shared" ca="1" si="573"/>
        <v>-18</v>
      </c>
      <c r="W55" s="21">
        <f t="shared" ca="1" si="573"/>
        <v>-18</v>
      </c>
      <c r="X55" s="21">
        <f t="shared" ca="1" si="573"/>
        <v>-24</v>
      </c>
      <c r="Y55" s="21">
        <f t="shared" ca="1" si="573"/>
        <v>-30</v>
      </c>
      <c r="Z55" s="21">
        <f t="shared" ca="1" si="573"/>
        <v>-30</v>
      </c>
      <c r="AA55" s="21">
        <f t="shared" ca="1" si="573"/>
        <v>-36</v>
      </c>
      <c r="AB55" s="21">
        <f t="shared" ca="1" si="573"/>
        <v>-42</v>
      </c>
      <c r="AC55" s="21">
        <f t="shared" ca="1" si="573"/>
        <v>-42</v>
      </c>
      <c r="AD55" s="21">
        <f t="shared" ca="1" si="573"/>
        <v>-42</v>
      </c>
      <c r="AE55" s="21">
        <f t="shared" ca="1" si="573"/>
        <v>-48</v>
      </c>
      <c r="AF55" s="21">
        <f t="shared" ca="1" si="573"/>
        <v>-54</v>
      </c>
      <c r="AG55" s="21">
        <f t="shared" ca="1" si="573"/>
        <v>-54</v>
      </c>
      <c r="AH55" s="21">
        <f t="shared" ca="1" si="573"/>
        <v>-54</v>
      </c>
      <c r="AI55" s="21">
        <f t="shared" ca="1" si="573"/>
        <v>-54</v>
      </c>
      <c r="AJ55" s="21">
        <f t="shared" ca="1" si="573"/>
        <v>-54</v>
      </c>
      <c r="AK55" s="21">
        <f t="shared" ca="1" si="573"/>
        <v>-54</v>
      </c>
      <c r="AL55" s="21">
        <f t="shared" ca="1" si="573"/>
        <v>-54</v>
      </c>
      <c r="AM55" s="21">
        <f t="shared" ca="1" si="573"/>
        <v>-54</v>
      </c>
      <c r="AN55" s="21">
        <f t="shared" ca="1" si="573"/>
        <v>-54</v>
      </c>
      <c r="AO55" s="21">
        <f t="shared" ca="1" si="573"/>
        <v>-54</v>
      </c>
      <c r="AP55" s="21">
        <f t="shared" ca="1" si="573"/>
        <v>-54</v>
      </c>
      <c r="AQ55" s="21">
        <f t="shared" ca="1" si="573"/>
        <v>-54</v>
      </c>
      <c r="AR55" s="21">
        <f t="shared" ca="1" si="573"/>
        <v>-54</v>
      </c>
      <c r="AS55" s="21">
        <f t="shared" ca="1" si="573"/>
        <v>-54</v>
      </c>
      <c r="AT55" s="21">
        <f t="shared" ca="1" si="573"/>
        <v>-54</v>
      </c>
      <c r="AU55" s="21">
        <f t="shared" ca="1" si="573"/>
        <v>-54</v>
      </c>
      <c r="AV55" s="21">
        <f t="shared" ca="1" si="573"/>
        <v>-54</v>
      </c>
      <c r="AW55" s="21">
        <f t="shared" ca="1" si="573"/>
        <v>-54</v>
      </c>
      <c r="AX55" s="21">
        <f t="shared" ca="1" si="573"/>
        <v>-54</v>
      </c>
      <c r="AY55" s="21">
        <f t="shared" ca="1" si="573"/>
        <v>-54</v>
      </c>
      <c r="AZ55" s="21">
        <f t="shared" ca="1" si="573"/>
        <v>-54</v>
      </c>
      <c r="BA55" s="21">
        <f t="shared" ca="1" si="573"/>
        <v>-54</v>
      </c>
      <c r="BB55" s="21">
        <f t="shared" ca="1" si="573"/>
        <v>-60</v>
      </c>
      <c r="BC55" s="21">
        <f t="shared" ca="1" si="573"/>
        <v>-66</v>
      </c>
      <c r="BD55" s="21">
        <f t="shared" ca="1" si="573"/>
        <v>-66</v>
      </c>
      <c r="BE55" s="21">
        <f t="shared" ca="1" si="573"/>
        <v>-66</v>
      </c>
      <c r="BF55" s="21">
        <f t="shared" ca="1" si="573"/>
        <v>-66</v>
      </c>
      <c r="BG55" s="21">
        <f t="shared" ca="1" si="573"/>
        <v>-66</v>
      </c>
      <c r="BH55" s="21">
        <f t="shared" ca="1" si="573"/>
        <v>-72</v>
      </c>
      <c r="BI55" s="21">
        <f t="shared" ca="1" si="573"/>
        <v>-78</v>
      </c>
      <c r="BJ55" s="21">
        <f t="shared" ca="1" si="573"/>
        <v>-78</v>
      </c>
      <c r="BK55" s="21">
        <f t="shared" ca="1" si="573"/>
        <v>-78</v>
      </c>
      <c r="BL55" s="21">
        <f t="shared" ca="1" si="573"/>
        <v>-78</v>
      </c>
      <c r="BM55" s="21">
        <f t="shared" ca="1" si="573"/>
        <v>-78</v>
      </c>
      <c r="BN55" s="21">
        <f t="shared" ca="1" si="573"/>
        <v>-78</v>
      </c>
      <c r="BO55" s="21">
        <f t="shared" ca="1" si="573"/>
        <v>-78</v>
      </c>
      <c r="BP55" s="21">
        <f t="shared" ref="BP55:CT55" ca="1" si="574">BP54-BP52</f>
        <v>-84</v>
      </c>
      <c r="BQ55" s="21">
        <f t="shared" ca="1" si="574"/>
        <v>-90</v>
      </c>
      <c r="BR55" s="21">
        <f t="shared" ca="1" si="574"/>
        <v>-90</v>
      </c>
      <c r="BS55" s="21">
        <f t="shared" ca="1" si="574"/>
        <v>-90</v>
      </c>
      <c r="BT55" s="21">
        <f t="shared" ca="1" si="574"/>
        <v>-90</v>
      </c>
      <c r="BU55" s="21">
        <f t="shared" ca="1" si="574"/>
        <v>-90</v>
      </c>
      <c r="BV55" s="21">
        <f t="shared" ca="1" si="574"/>
        <v>-90</v>
      </c>
      <c r="BW55" s="21">
        <f t="shared" ca="1" si="574"/>
        <v>-90</v>
      </c>
      <c r="BX55" s="21">
        <f t="shared" ca="1" si="574"/>
        <v>-90</v>
      </c>
      <c r="BY55" s="21">
        <f t="shared" ca="1" si="574"/>
        <v>-90</v>
      </c>
      <c r="BZ55" s="21">
        <f t="shared" ca="1" si="574"/>
        <v>-90</v>
      </c>
      <c r="CA55" s="21">
        <f t="shared" ca="1" si="574"/>
        <v>-90</v>
      </c>
      <c r="CB55" s="21">
        <f t="shared" ca="1" si="574"/>
        <v>-90</v>
      </c>
      <c r="CC55" s="21">
        <f t="shared" ca="1" si="574"/>
        <v>-90</v>
      </c>
      <c r="CD55" s="21">
        <f t="shared" ca="1" si="574"/>
        <v>-90</v>
      </c>
      <c r="CE55" s="21">
        <f t="shared" ca="1" si="574"/>
        <v>-90</v>
      </c>
      <c r="CF55" s="21">
        <f t="shared" ca="1" si="574"/>
        <v>-90</v>
      </c>
      <c r="CG55" s="21">
        <f t="shared" ca="1" si="574"/>
        <v>-90</v>
      </c>
      <c r="CH55" s="21">
        <f t="shared" ca="1" si="574"/>
        <v>-90</v>
      </c>
      <c r="CI55" s="21">
        <f t="shared" ca="1" si="574"/>
        <v>-90</v>
      </c>
      <c r="CJ55" s="21">
        <f t="shared" ca="1" si="574"/>
        <v>-90</v>
      </c>
      <c r="CK55" s="21">
        <f t="shared" ca="1" si="574"/>
        <v>-90</v>
      </c>
      <c r="CL55" s="21">
        <f t="shared" ca="1" si="574"/>
        <v>-90</v>
      </c>
      <c r="CM55" s="21">
        <f t="shared" ca="1" si="574"/>
        <v>-96</v>
      </c>
      <c r="CN55" s="21">
        <f t="shared" ca="1" si="574"/>
        <v>-96</v>
      </c>
      <c r="CO55" s="21">
        <f t="shared" ca="1" si="574"/>
        <v>-96</v>
      </c>
      <c r="CP55" s="21">
        <f t="shared" ca="1" si="574"/>
        <v>-102</v>
      </c>
      <c r="CQ55" s="21">
        <f t="shared" ca="1" si="574"/>
        <v>-102</v>
      </c>
      <c r="CR55" s="21">
        <f t="shared" ca="1" si="574"/>
        <v>-102</v>
      </c>
      <c r="CS55" s="21">
        <f t="shared" ca="1" si="574"/>
        <v>-108</v>
      </c>
      <c r="CT55" s="21">
        <f t="shared" ca="1" si="574"/>
        <v>-108</v>
      </c>
    </row>
  </sheetData>
  <phoneticPr fontId="1"/>
  <conditionalFormatting sqref="L22:L27">
    <cfRule type="expression" dxfId="38" priority="4">
      <formula>L$22=TODAY()</formula>
    </cfRule>
  </conditionalFormatting>
  <conditionalFormatting sqref="C22:CT27">
    <cfRule type="expression" dxfId="37" priority="3">
      <formula>C$22=Report_Day</formula>
    </cfRule>
  </conditionalFormatting>
  <conditionalFormatting sqref="L50:L55">
    <cfRule type="expression" dxfId="36" priority="2">
      <formula>L$22=TODAY()</formula>
    </cfRule>
  </conditionalFormatting>
  <conditionalFormatting sqref="C50:CT55">
    <cfRule type="expression" dxfId="35" priority="1">
      <formula>C$22=Report_Day</formula>
    </cfRule>
  </conditionalFormatting>
  <dataValidations count="1">
    <dataValidation type="list" allowBlank="1" showInputMessage="1" showErrorMessage="1" sqref="C18 C46" xr:uid="{459573F8-0BD9-419B-B65F-2DDE6284887A}">
      <formula1>"1,7,30"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landscape" r:id="rId1"/>
  <headerFooter>
    <oddHeader>&amp;L&amp;"Microsoft YaHei,標準"&amp;F&amp;C&amp;"Microsoft YaHei,標準"&amp;A&amp;R&amp;"Meiryo UI,標準"&amp;D</oddHeader>
    <oddFooter>&amp;C&amp;"Meiryo UI,標準"&amp;P/&amp;N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59C0278-94CF-48E7-B364-FE1480138D60}">
          <x14:formula1>
            <xm:f>'Sub-System'!$A:$A</xm:f>
          </x14:formula1>
          <xm:sqref>B48 B20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B99D-B20B-46BB-A04F-CA2914FBDD24}">
  <sheetPr codeName="Sheet7">
    <tabColor rgb="FF00B0F0"/>
  </sheetPr>
  <dimension ref="A1"/>
  <sheetViews>
    <sheetView zoomScale="55" zoomScaleNormal="55" workbookViewId="0">
      <selection activeCell="C29" sqref="C29"/>
    </sheetView>
  </sheetViews>
  <sheetFormatPr defaultRowHeight="18"/>
  <cols>
    <col min="1" max="16384" width="9.140625" style="22"/>
  </cols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C6DDE-3E3F-4CC0-8120-29935E875795}">
  <sheetPr codeName="Sheet17">
    <pageSetUpPr fitToPage="1"/>
  </sheetPr>
  <dimension ref="B2:CT55"/>
  <sheetViews>
    <sheetView zoomScale="55" zoomScaleNormal="55" workbookViewId="0">
      <selection activeCell="C18" sqref="C18"/>
    </sheetView>
  </sheetViews>
  <sheetFormatPr defaultColWidth="6.85546875" defaultRowHeight="15"/>
  <cols>
    <col min="1" max="1" width="1.35546875" style="14" customWidth="1"/>
    <col min="2" max="2" width="16.42578125" style="14" customWidth="1"/>
    <col min="3" max="98" width="6.78515625" style="14" customWidth="1"/>
    <col min="99" max="16384" width="6.85546875" style="14"/>
  </cols>
  <sheetData>
    <row r="2" spans="2:2" ht="19.5">
      <c r="B2" s="25" t="s">
        <v>390</v>
      </c>
    </row>
    <row r="17" spans="2:98" ht="15.5" thickBot="1"/>
    <row r="18" spans="2:98" ht="15.5" thickBot="1">
      <c r="B18" s="15" t="s">
        <v>18</v>
      </c>
      <c r="C18" s="16">
        <f>Progress!C18</f>
        <v>1</v>
      </c>
    </row>
    <row r="19" spans="2:98" ht="7" customHeight="1">
      <c r="B19" s="17"/>
    </row>
    <row r="20" spans="2:98">
      <c r="B20" s="23" t="s">
        <v>386</v>
      </c>
    </row>
    <row r="21" spans="2:98" ht="8.5" customHeight="1"/>
    <row r="22" spans="2:98">
      <c r="B22" s="18" t="s">
        <v>19</v>
      </c>
      <c r="C22" s="19">
        <v>45810</v>
      </c>
      <c r="D22" s="19">
        <f>C22+$C$18</f>
        <v>45811</v>
      </c>
      <c r="E22" s="19">
        <f t="shared" ref="E22:BP22" si="0">D22+$C$18</f>
        <v>45812</v>
      </c>
      <c r="F22" s="19">
        <f t="shared" si="0"/>
        <v>45813</v>
      </c>
      <c r="G22" s="19">
        <f t="shared" si="0"/>
        <v>45814</v>
      </c>
      <c r="H22" s="19">
        <f t="shared" si="0"/>
        <v>45815</v>
      </c>
      <c r="I22" s="19">
        <f t="shared" si="0"/>
        <v>45816</v>
      </c>
      <c r="J22" s="19">
        <f t="shared" si="0"/>
        <v>45817</v>
      </c>
      <c r="K22" s="19">
        <f t="shared" si="0"/>
        <v>45818</v>
      </c>
      <c r="L22" s="19">
        <f t="shared" si="0"/>
        <v>45819</v>
      </c>
      <c r="M22" s="19">
        <f t="shared" si="0"/>
        <v>45820</v>
      </c>
      <c r="N22" s="19">
        <f t="shared" si="0"/>
        <v>45821</v>
      </c>
      <c r="O22" s="19">
        <f t="shared" si="0"/>
        <v>45822</v>
      </c>
      <c r="P22" s="19">
        <f t="shared" si="0"/>
        <v>45823</v>
      </c>
      <c r="Q22" s="19">
        <f t="shared" si="0"/>
        <v>45824</v>
      </c>
      <c r="R22" s="19">
        <f t="shared" si="0"/>
        <v>45825</v>
      </c>
      <c r="S22" s="19">
        <f t="shared" si="0"/>
        <v>45826</v>
      </c>
      <c r="T22" s="19">
        <f t="shared" si="0"/>
        <v>45827</v>
      </c>
      <c r="U22" s="19">
        <f t="shared" si="0"/>
        <v>45828</v>
      </c>
      <c r="V22" s="19">
        <f t="shared" si="0"/>
        <v>45829</v>
      </c>
      <c r="W22" s="19">
        <f t="shared" si="0"/>
        <v>45830</v>
      </c>
      <c r="X22" s="19">
        <f t="shared" si="0"/>
        <v>45831</v>
      </c>
      <c r="Y22" s="19">
        <f t="shared" si="0"/>
        <v>45832</v>
      </c>
      <c r="Z22" s="19">
        <f t="shared" si="0"/>
        <v>45833</v>
      </c>
      <c r="AA22" s="19">
        <f t="shared" si="0"/>
        <v>45834</v>
      </c>
      <c r="AB22" s="19">
        <f t="shared" si="0"/>
        <v>45835</v>
      </c>
      <c r="AC22" s="19">
        <f t="shared" si="0"/>
        <v>45836</v>
      </c>
      <c r="AD22" s="19">
        <f t="shared" si="0"/>
        <v>45837</v>
      </c>
      <c r="AE22" s="19">
        <f t="shared" si="0"/>
        <v>45838</v>
      </c>
      <c r="AF22" s="19">
        <f t="shared" si="0"/>
        <v>45839</v>
      </c>
      <c r="AG22" s="19">
        <f t="shared" si="0"/>
        <v>45840</v>
      </c>
      <c r="AH22" s="19">
        <f t="shared" si="0"/>
        <v>45841</v>
      </c>
      <c r="AI22" s="19">
        <f t="shared" si="0"/>
        <v>45842</v>
      </c>
      <c r="AJ22" s="19">
        <f t="shared" si="0"/>
        <v>45843</v>
      </c>
      <c r="AK22" s="19">
        <f t="shared" si="0"/>
        <v>45844</v>
      </c>
      <c r="AL22" s="19">
        <f t="shared" si="0"/>
        <v>45845</v>
      </c>
      <c r="AM22" s="19">
        <f t="shared" si="0"/>
        <v>45846</v>
      </c>
      <c r="AN22" s="19">
        <f t="shared" si="0"/>
        <v>45847</v>
      </c>
      <c r="AO22" s="19">
        <f t="shared" si="0"/>
        <v>45848</v>
      </c>
      <c r="AP22" s="19">
        <f t="shared" si="0"/>
        <v>45849</v>
      </c>
      <c r="AQ22" s="19">
        <f t="shared" si="0"/>
        <v>45850</v>
      </c>
      <c r="AR22" s="19">
        <f t="shared" si="0"/>
        <v>45851</v>
      </c>
      <c r="AS22" s="19">
        <f t="shared" si="0"/>
        <v>45852</v>
      </c>
      <c r="AT22" s="19">
        <f t="shared" si="0"/>
        <v>45853</v>
      </c>
      <c r="AU22" s="19">
        <f t="shared" si="0"/>
        <v>45854</v>
      </c>
      <c r="AV22" s="19">
        <f t="shared" si="0"/>
        <v>45855</v>
      </c>
      <c r="AW22" s="19">
        <f t="shared" si="0"/>
        <v>45856</v>
      </c>
      <c r="AX22" s="19">
        <f t="shared" si="0"/>
        <v>45857</v>
      </c>
      <c r="AY22" s="19">
        <f t="shared" si="0"/>
        <v>45858</v>
      </c>
      <c r="AZ22" s="19">
        <f t="shared" si="0"/>
        <v>45859</v>
      </c>
      <c r="BA22" s="19">
        <f t="shared" si="0"/>
        <v>45860</v>
      </c>
      <c r="BB22" s="19">
        <f t="shared" si="0"/>
        <v>45861</v>
      </c>
      <c r="BC22" s="19">
        <f t="shared" si="0"/>
        <v>45862</v>
      </c>
      <c r="BD22" s="19">
        <f t="shared" si="0"/>
        <v>45863</v>
      </c>
      <c r="BE22" s="19">
        <f t="shared" si="0"/>
        <v>45864</v>
      </c>
      <c r="BF22" s="19">
        <f t="shared" si="0"/>
        <v>45865</v>
      </c>
      <c r="BG22" s="19">
        <f t="shared" si="0"/>
        <v>45866</v>
      </c>
      <c r="BH22" s="19">
        <f t="shared" si="0"/>
        <v>45867</v>
      </c>
      <c r="BI22" s="19">
        <f t="shared" si="0"/>
        <v>45868</v>
      </c>
      <c r="BJ22" s="19">
        <f t="shared" si="0"/>
        <v>45869</v>
      </c>
      <c r="BK22" s="19">
        <f t="shared" si="0"/>
        <v>45870</v>
      </c>
      <c r="BL22" s="19">
        <f t="shared" si="0"/>
        <v>45871</v>
      </c>
      <c r="BM22" s="19">
        <f t="shared" si="0"/>
        <v>45872</v>
      </c>
      <c r="BN22" s="19">
        <f t="shared" si="0"/>
        <v>45873</v>
      </c>
      <c r="BO22" s="19">
        <f t="shared" si="0"/>
        <v>45874</v>
      </c>
      <c r="BP22" s="19">
        <f t="shared" si="0"/>
        <v>45875</v>
      </c>
      <c r="BQ22" s="19">
        <f t="shared" ref="BQ22:CT22" si="1">BP22+$C$18</f>
        <v>45876</v>
      </c>
      <c r="BR22" s="19">
        <f t="shared" si="1"/>
        <v>45877</v>
      </c>
      <c r="BS22" s="19">
        <f t="shared" si="1"/>
        <v>45878</v>
      </c>
      <c r="BT22" s="19">
        <f t="shared" si="1"/>
        <v>45879</v>
      </c>
      <c r="BU22" s="19">
        <f t="shared" si="1"/>
        <v>45880</v>
      </c>
      <c r="BV22" s="19">
        <f t="shared" si="1"/>
        <v>45881</v>
      </c>
      <c r="BW22" s="19">
        <f t="shared" si="1"/>
        <v>45882</v>
      </c>
      <c r="BX22" s="19">
        <f t="shared" si="1"/>
        <v>45883</v>
      </c>
      <c r="BY22" s="19">
        <f t="shared" si="1"/>
        <v>45884</v>
      </c>
      <c r="BZ22" s="19">
        <f t="shared" si="1"/>
        <v>45885</v>
      </c>
      <c r="CA22" s="19">
        <f t="shared" si="1"/>
        <v>45886</v>
      </c>
      <c r="CB22" s="19">
        <f t="shared" si="1"/>
        <v>45887</v>
      </c>
      <c r="CC22" s="19">
        <f t="shared" si="1"/>
        <v>45888</v>
      </c>
      <c r="CD22" s="19">
        <f t="shared" si="1"/>
        <v>45889</v>
      </c>
      <c r="CE22" s="19">
        <f t="shared" si="1"/>
        <v>45890</v>
      </c>
      <c r="CF22" s="19">
        <f t="shared" si="1"/>
        <v>45891</v>
      </c>
      <c r="CG22" s="19">
        <f t="shared" si="1"/>
        <v>45892</v>
      </c>
      <c r="CH22" s="19">
        <f t="shared" si="1"/>
        <v>45893</v>
      </c>
      <c r="CI22" s="19">
        <f t="shared" si="1"/>
        <v>45894</v>
      </c>
      <c r="CJ22" s="19">
        <f t="shared" si="1"/>
        <v>45895</v>
      </c>
      <c r="CK22" s="19">
        <f t="shared" si="1"/>
        <v>45896</v>
      </c>
      <c r="CL22" s="19">
        <f t="shared" si="1"/>
        <v>45897</v>
      </c>
      <c r="CM22" s="19">
        <f t="shared" si="1"/>
        <v>45898</v>
      </c>
      <c r="CN22" s="19">
        <f t="shared" si="1"/>
        <v>45899</v>
      </c>
      <c r="CO22" s="19">
        <f t="shared" si="1"/>
        <v>45900</v>
      </c>
      <c r="CP22" s="19">
        <f t="shared" si="1"/>
        <v>45901</v>
      </c>
      <c r="CQ22" s="19">
        <f t="shared" si="1"/>
        <v>45902</v>
      </c>
      <c r="CR22" s="19">
        <f t="shared" si="1"/>
        <v>45903</v>
      </c>
      <c r="CS22" s="19">
        <f t="shared" si="1"/>
        <v>45904</v>
      </c>
      <c r="CT22" s="19">
        <f t="shared" si="1"/>
        <v>45905</v>
      </c>
    </row>
    <row r="23" spans="2:98">
      <c r="B23" s="20" t="s">
        <v>20</v>
      </c>
      <c r="C23" s="21">
        <f ca="1">COUNTIFS(INDIRECT("'" &amp; $B$20 &amp; "'!$T:$T"),"&gt;=" &amp; C$22,INDIRECT("'" &amp; $B$20 &amp; "'!$T:$T"), "&lt;" &amp; D$22)</f>
        <v>0</v>
      </c>
      <c r="D23" s="21">
        <f t="shared" ref="D23:BO23" ca="1" si="2">COUNTIFS(INDIRECT("'" &amp; $B$20 &amp; "'!$T:$T"),"&gt;=" &amp; D$22,INDIRECT("'" &amp; $B$20 &amp; "'!$T:$T"), "&lt;" &amp; E$22)</f>
        <v>0</v>
      </c>
      <c r="E23" s="21">
        <f t="shared" ca="1" si="2"/>
        <v>0</v>
      </c>
      <c r="F23" s="21">
        <f t="shared" ca="1" si="2"/>
        <v>0</v>
      </c>
      <c r="G23" s="21">
        <f t="shared" ca="1" si="2"/>
        <v>8</v>
      </c>
      <c r="H23" s="21">
        <f t="shared" ca="1" si="2"/>
        <v>0</v>
      </c>
      <c r="I23" s="21">
        <f t="shared" ca="1" si="2"/>
        <v>0</v>
      </c>
      <c r="J23" s="21">
        <f t="shared" ca="1" si="2"/>
        <v>2</v>
      </c>
      <c r="K23" s="21">
        <f t="shared" ca="1" si="2"/>
        <v>2</v>
      </c>
      <c r="L23" s="21">
        <f t="shared" ca="1" si="2"/>
        <v>0</v>
      </c>
      <c r="M23" s="21">
        <f t="shared" ca="1" si="2"/>
        <v>0</v>
      </c>
      <c r="N23" s="21">
        <f t="shared" ca="1" si="2"/>
        <v>0</v>
      </c>
      <c r="O23" s="21">
        <f t="shared" ca="1" si="2"/>
        <v>0</v>
      </c>
      <c r="P23" s="21">
        <f t="shared" ca="1" si="2"/>
        <v>0</v>
      </c>
      <c r="Q23" s="21">
        <f t="shared" ca="1" si="2"/>
        <v>0</v>
      </c>
      <c r="R23" s="21">
        <f t="shared" ca="1" si="2"/>
        <v>7</v>
      </c>
      <c r="S23" s="21">
        <f t="shared" ca="1" si="2"/>
        <v>6</v>
      </c>
      <c r="T23" s="21">
        <f t="shared" ca="1" si="2"/>
        <v>12</v>
      </c>
      <c r="U23" s="21">
        <f t="shared" ca="1" si="2"/>
        <v>6</v>
      </c>
      <c r="V23" s="21">
        <f t="shared" ca="1" si="2"/>
        <v>0</v>
      </c>
      <c r="W23" s="21">
        <f t="shared" ca="1" si="2"/>
        <v>0</v>
      </c>
      <c r="X23" s="21">
        <f t="shared" ca="1" si="2"/>
        <v>0</v>
      </c>
      <c r="Y23" s="21">
        <f t="shared" ca="1" si="2"/>
        <v>6</v>
      </c>
      <c r="Z23" s="21">
        <f t="shared" ca="1" si="2"/>
        <v>6</v>
      </c>
      <c r="AA23" s="21">
        <f t="shared" ca="1" si="2"/>
        <v>6</v>
      </c>
      <c r="AB23" s="21">
        <f t="shared" ca="1" si="2"/>
        <v>6</v>
      </c>
      <c r="AC23" s="21">
        <f t="shared" ca="1" si="2"/>
        <v>0</v>
      </c>
      <c r="AD23" s="21">
        <f t="shared" ca="1" si="2"/>
        <v>0</v>
      </c>
      <c r="AE23" s="21">
        <f t="shared" ca="1" si="2"/>
        <v>6</v>
      </c>
      <c r="AF23" s="21">
        <f t="shared" ca="1" si="2"/>
        <v>0</v>
      </c>
      <c r="AG23" s="21">
        <f t="shared" ca="1" si="2"/>
        <v>0</v>
      </c>
      <c r="AH23" s="21">
        <f t="shared" ca="1" si="2"/>
        <v>0</v>
      </c>
      <c r="AI23" s="21">
        <f t="shared" ca="1" si="2"/>
        <v>0</v>
      </c>
      <c r="AJ23" s="21">
        <f t="shared" ca="1" si="2"/>
        <v>0</v>
      </c>
      <c r="AK23" s="21">
        <f t="shared" ca="1" si="2"/>
        <v>0</v>
      </c>
      <c r="AL23" s="21">
        <f t="shared" ca="1" si="2"/>
        <v>0</v>
      </c>
      <c r="AM23" s="21">
        <f t="shared" ca="1" si="2"/>
        <v>0</v>
      </c>
      <c r="AN23" s="21">
        <f t="shared" ca="1" si="2"/>
        <v>0</v>
      </c>
      <c r="AO23" s="21">
        <f t="shared" ca="1" si="2"/>
        <v>0</v>
      </c>
      <c r="AP23" s="21">
        <f t="shared" ca="1" si="2"/>
        <v>0</v>
      </c>
      <c r="AQ23" s="21">
        <f t="shared" ca="1" si="2"/>
        <v>0</v>
      </c>
      <c r="AR23" s="21">
        <f t="shared" ca="1" si="2"/>
        <v>0</v>
      </c>
      <c r="AS23" s="21">
        <f t="shared" ca="1" si="2"/>
        <v>0</v>
      </c>
      <c r="AT23" s="21">
        <f t="shared" ca="1" si="2"/>
        <v>0</v>
      </c>
      <c r="AU23" s="21">
        <f t="shared" ca="1" si="2"/>
        <v>0</v>
      </c>
      <c r="AV23" s="21">
        <f t="shared" ca="1" si="2"/>
        <v>0</v>
      </c>
      <c r="AW23" s="21">
        <f t="shared" ca="1" si="2"/>
        <v>0</v>
      </c>
      <c r="AX23" s="21">
        <f t="shared" ca="1" si="2"/>
        <v>0</v>
      </c>
      <c r="AY23" s="21">
        <f t="shared" ca="1" si="2"/>
        <v>0</v>
      </c>
      <c r="AZ23" s="21">
        <f t="shared" ca="1" si="2"/>
        <v>0</v>
      </c>
      <c r="BA23" s="21">
        <f t="shared" ca="1" si="2"/>
        <v>6</v>
      </c>
      <c r="BB23" s="21">
        <f t="shared" ca="1" si="2"/>
        <v>6</v>
      </c>
      <c r="BC23" s="21">
        <f t="shared" ca="1" si="2"/>
        <v>0</v>
      </c>
      <c r="BD23" s="21">
        <f t="shared" ca="1" si="2"/>
        <v>0</v>
      </c>
      <c r="BE23" s="21">
        <f t="shared" ca="1" si="2"/>
        <v>0</v>
      </c>
      <c r="BF23" s="21">
        <f t="shared" ca="1" si="2"/>
        <v>0</v>
      </c>
      <c r="BG23" s="21">
        <f t="shared" ca="1" si="2"/>
        <v>6</v>
      </c>
      <c r="BH23" s="21">
        <f t="shared" ca="1" si="2"/>
        <v>6</v>
      </c>
      <c r="BI23" s="21">
        <f t="shared" ca="1" si="2"/>
        <v>0</v>
      </c>
      <c r="BJ23" s="21">
        <f t="shared" ca="1" si="2"/>
        <v>0</v>
      </c>
      <c r="BK23" s="21">
        <f t="shared" ca="1" si="2"/>
        <v>0</v>
      </c>
      <c r="BL23" s="21">
        <f t="shared" ca="1" si="2"/>
        <v>0</v>
      </c>
      <c r="BM23" s="21">
        <f t="shared" ca="1" si="2"/>
        <v>0</v>
      </c>
      <c r="BN23" s="21">
        <f t="shared" ca="1" si="2"/>
        <v>0</v>
      </c>
      <c r="BO23" s="21">
        <f t="shared" ca="1" si="2"/>
        <v>6</v>
      </c>
      <c r="BP23" s="21">
        <f t="shared" ref="BP23:CT23" ca="1" si="3">COUNTIFS(INDIRECT("'" &amp; $B$20 &amp; "'!$T:$T"),"&gt;=" &amp; BP$22,INDIRECT("'" &amp; $B$20 &amp; "'!$T:$T"), "&lt;" &amp; BQ$22)</f>
        <v>6</v>
      </c>
      <c r="BQ23" s="21">
        <f t="shared" ca="1" si="3"/>
        <v>0</v>
      </c>
      <c r="BR23" s="21">
        <f t="shared" ca="1" si="3"/>
        <v>0</v>
      </c>
      <c r="BS23" s="21">
        <f t="shared" ca="1" si="3"/>
        <v>0</v>
      </c>
      <c r="BT23" s="21">
        <f t="shared" ca="1" si="3"/>
        <v>0</v>
      </c>
      <c r="BU23" s="21">
        <f t="shared" ca="1" si="3"/>
        <v>0</v>
      </c>
      <c r="BV23" s="21">
        <f t="shared" ca="1" si="3"/>
        <v>0</v>
      </c>
      <c r="BW23" s="21">
        <f t="shared" ca="1" si="3"/>
        <v>0</v>
      </c>
      <c r="BX23" s="21">
        <f t="shared" ca="1" si="3"/>
        <v>0</v>
      </c>
      <c r="BY23" s="21">
        <f t="shared" ca="1" si="3"/>
        <v>0</v>
      </c>
      <c r="BZ23" s="21">
        <f t="shared" ca="1" si="3"/>
        <v>0</v>
      </c>
      <c r="CA23" s="21">
        <f t="shared" ca="1" si="3"/>
        <v>0</v>
      </c>
      <c r="CB23" s="21">
        <f t="shared" ca="1" si="3"/>
        <v>0</v>
      </c>
      <c r="CC23" s="21">
        <f t="shared" ca="1" si="3"/>
        <v>0</v>
      </c>
      <c r="CD23" s="21">
        <f t="shared" ca="1" si="3"/>
        <v>0</v>
      </c>
      <c r="CE23" s="21">
        <f t="shared" ca="1" si="3"/>
        <v>0</v>
      </c>
      <c r="CF23" s="21">
        <f t="shared" ca="1" si="3"/>
        <v>0</v>
      </c>
      <c r="CG23" s="21">
        <f t="shared" ca="1" si="3"/>
        <v>0</v>
      </c>
      <c r="CH23" s="21">
        <f t="shared" ca="1" si="3"/>
        <v>0</v>
      </c>
      <c r="CI23" s="21">
        <f t="shared" ca="1" si="3"/>
        <v>0</v>
      </c>
      <c r="CJ23" s="21">
        <f t="shared" ca="1" si="3"/>
        <v>0</v>
      </c>
      <c r="CK23" s="21">
        <f t="shared" ca="1" si="3"/>
        <v>0</v>
      </c>
      <c r="CL23" s="21">
        <f t="shared" ca="1" si="3"/>
        <v>6</v>
      </c>
      <c r="CM23" s="21">
        <f t="shared" ca="1" si="3"/>
        <v>6</v>
      </c>
      <c r="CN23" s="21">
        <f t="shared" ca="1" si="3"/>
        <v>0</v>
      </c>
      <c r="CO23" s="21">
        <f t="shared" ca="1" si="3"/>
        <v>0</v>
      </c>
      <c r="CP23" s="21">
        <f t="shared" ca="1" si="3"/>
        <v>0</v>
      </c>
      <c r="CQ23" s="21">
        <f t="shared" ca="1" si="3"/>
        <v>0</v>
      </c>
      <c r="CR23" s="21">
        <f t="shared" ca="1" si="3"/>
        <v>6</v>
      </c>
      <c r="CS23" s="21">
        <f t="shared" ca="1" si="3"/>
        <v>6</v>
      </c>
      <c r="CT23" s="21">
        <f t="shared" ca="1" si="3"/>
        <v>0</v>
      </c>
    </row>
    <row r="24" spans="2:98">
      <c r="B24" s="20" t="s">
        <v>21</v>
      </c>
      <c r="C24" s="21">
        <f ca="1">C23</f>
        <v>0</v>
      </c>
      <c r="D24" s="21">
        <f ca="1">C24+D23</f>
        <v>0</v>
      </c>
      <c r="E24" s="21">
        <f t="shared" ref="E24:BP24" ca="1" si="4">D24+E23</f>
        <v>0</v>
      </c>
      <c r="F24" s="21">
        <f t="shared" ca="1" si="4"/>
        <v>0</v>
      </c>
      <c r="G24" s="21">
        <f t="shared" ca="1" si="4"/>
        <v>8</v>
      </c>
      <c r="H24" s="21">
        <f t="shared" ca="1" si="4"/>
        <v>8</v>
      </c>
      <c r="I24" s="21">
        <f t="shared" ca="1" si="4"/>
        <v>8</v>
      </c>
      <c r="J24" s="21">
        <f t="shared" ca="1" si="4"/>
        <v>10</v>
      </c>
      <c r="K24" s="21">
        <f t="shared" ca="1" si="4"/>
        <v>12</v>
      </c>
      <c r="L24" s="21">
        <f t="shared" ca="1" si="4"/>
        <v>12</v>
      </c>
      <c r="M24" s="21">
        <f t="shared" ca="1" si="4"/>
        <v>12</v>
      </c>
      <c r="N24" s="21">
        <f t="shared" ca="1" si="4"/>
        <v>12</v>
      </c>
      <c r="O24" s="21">
        <f t="shared" ca="1" si="4"/>
        <v>12</v>
      </c>
      <c r="P24" s="21">
        <f t="shared" ca="1" si="4"/>
        <v>12</v>
      </c>
      <c r="Q24" s="21">
        <f t="shared" ca="1" si="4"/>
        <v>12</v>
      </c>
      <c r="R24" s="21">
        <f t="shared" ca="1" si="4"/>
        <v>19</v>
      </c>
      <c r="S24" s="21">
        <f t="shared" ca="1" si="4"/>
        <v>25</v>
      </c>
      <c r="T24" s="21">
        <f t="shared" ca="1" si="4"/>
        <v>37</v>
      </c>
      <c r="U24" s="21">
        <f t="shared" ca="1" si="4"/>
        <v>43</v>
      </c>
      <c r="V24" s="21">
        <f t="shared" ca="1" si="4"/>
        <v>43</v>
      </c>
      <c r="W24" s="21">
        <f t="shared" ca="1" si="4"/>
        <v>43</v>
      </c>
      <c r="X24" s="21">
        <f t="shared" ca="1" si="4"/>
        <v>43</v>
      </c>
      <c r="Y24" s="21">
        <f t="shared" ca="1" si="4"/>
        <v>49</v>
      </c>
      <c r="Z24" s="21">
        <f t="shared" ca="1" si="4"/>
        <v>55</v>
      </c>
      <c r="AA24" s="21">
        <f t="shared" ca="1" si="4"/>
        <v>61</v>
      </c>
      <c r="AB24" s="21">
        <f t="shared" ca="1" si="4"/>
        <v>67</v>
      </c>
      <c r="AC24" s="21">
        <f t="shared" ca="1" si="4"/>
        <v>67</v>
      </c>
      <c r="AD24" s="21">
        <f t="shared" ca="1" si="4"/>
        <v>67</v>
      </c>
      <c r="AE24" s="21">
        <f t="shared" ca="1" si="4"/>
        <v>73</v>
      </c>
      <c r="AF24" s="21">
        <f t="shared" ca="1" si="4"/>
        <v>73</v>
      </c>
      <c r="AG24" s="21">
        <f t="shared" ca="1" si="4"/>
        <v>73</v>
      </c>
      <c r="AH24" s="21">
        <f t="shared" ca="1" si="4"/>
        <v>73</v>
      </c>
      <c r="AI24" s="21">
        <f t="shared" ca="1" si="4"/>
        <v>73</v>
      </c>
      <c r="AJ24" s="21">
        <f t="shared" ca="1" si="4"/>
        <v>73</v>
      </c>
      <c r="AK24" s="21">
        <f t="shared" ca="1" si="4"/>
        <v>73</v>
      </c>
      <c r="AL24" s="21">
        <f t="shared" ca="1" si="4"/>
        <v>73</v>
      </c>
      <c r="AM24" s="21">
        <f t="shared" ca="1" si="4"/>
        <v>73</v>
      </c>
      <c r="AN24" s="21">
        <f t="shared" ca="1" si="4"/>
        <v>73</v>
      </c>
      <c r="AO24" s="21">
        <f t="shared" ca="1" si="4"/>
        <v>73</v>
      </c>
      <c r="AP24" s="21">
        <f t="shared" ca="1" si="4"/>
        <v>73</v>
      </c>
      <c r="AQ24" s="21">
        <f t="shared" ca="1" si="4"/>
        <v>73</v>
      </c>
      <c r="AR24" s="21">
        <f t="shared" ca="1" si="4"/>
        <v>73</v>
      </c>
      <c r="AS24" s="21">
        <f t="shared" ca="1" si="4"/>
        <v>73</v>
      </c>
      <c r="AT24" s="21">
        <f t="shared" ca="1" si="4"/>
        <v>73</v>
      </c>
      <c r="AU24" s="21">
        <f t="shared" ca="1" si="4"/>
        <v>73</v>
      </c>
      <c r="AV24" s="21">
        <f t="shared" ca="1" si="4"/>
        <v>73</v>
      </c>
      <c r="AW24" s="21">
        <f t="shared" ca="1" si="4"/>
        <v>73</v>
      </c>
      <c r="AX24" s="21">
        <f t="shared" ca="1" si="4"/>
        <v>73</v>
      </c>
      <c r="AY24" s="21">
        <f t="shared" ca="1" si="4"/>
        <v>73</v>
      </c>
      <c r="AZ24" s="21">
        <f t="shared" ca="1" si="4"/>
        <v>73</v>
      </c>
      <c r="BA24" s="21">
        <f t="shared" ca="1" si="4"/>
        <v>79</v>
      </c>
      <c r="BB24" s="21">
        <f t="shared" ca="1" si="4"/>
        <v>85</v>
      </c>
      <c r="BC24" s="21">
        <f t="shared" ca="1" si="4"/>
        <v>85</v>
      </c>
      <c r="BD24" s="21">
        <f t="shared" ca="1" si="4"/>
        <v>85</v>
      </c>
      <c r="BE24" s="21">
        <f t="shared" ca="1" si="4"/>
        <v>85</v>
      </c>
      <c r="BF24" s="21">
        <f t="shared" ca="1" si="4"/>
        <v>85</v>
      </c>
      <c r="BG24" s="21">
        <f t="shared" ca="1" si="4"/>
        <v>91</v>
      </c>
      <c r="BH24" s="21">
        <f t="shared" ca="1" si="4"/>
        <v>97</v>
      </c>
      <c r="BI24" s="21">
        <f t="shared" ca="1" si="4"/>
        <v>97</v>
      </c>
      <c r="BJ24" s="21">
        <f t="shared" ca="1" si="4"/>
        <v>97</v>
      </c>
      <c r="BK24" s="21">
        <f t="shared" ca="1" si="4"/>
        <v>97</v>
      </c>
      <c r="BL24" s="21">
        <f t="shared" ca="1" si="4"/>
        <v>97</v>
      </c>
      <c r="BM24" s="21">
        <f t="shared" ca="1" si="4"/>
        <v>97</v>
      </c>
      <c r="BN24" s="21">
        <f t="shared" ca="1" si="4"/>
        <v>97</v>
      </c>
      <c r="BO24" s="21">
        <f t="shared" ca="1" si="4"/>
        <v>103</v>
      </c>
      <c r="BP24" s="21">
        <f t="shared" ca="1" si="4"/>
        <v>109</v>
      </c>
      <c r="BQ24" s="21">
        <f t="shared" ref="BQ24:CT24" ca="1" si="5">BP24+BQ23</f>
        <v>109</v>
      </c>
      <c r="BR24" s="21">
        <f t="shared" ca="1" si="5"/>
        <v>109</v>
      </c>
      <c r="BS24" s="21">
        <f t="shared" ca="1" si="5"/>
        <v>109</v>
      </c>
      <c r="BT24" s="21">
        <f t="shared" ca="1" si="5"/>
        <v>109</v>
      </c>
      <c r="BU24" s="21">
        <f t="shared" ca="1" si="5"/>
        <v>109</v>
      </c>
      <c r="BV24" s="21">
        <f t="shared" ca="1" si="5"/>
        <v>109</v>
      </c>
      <c r="BW24" s="21">
        <f t="shared" ca="1" si="5"/>
        <v>109</v>
      </c>
      <c r="BX24" s="21">
        <f t="shared" ca="1" si="5"/>
        <v>109</v>
      </c>
      <c r="BY24" s="21">
        <f t="shared" ca="1" si="5"/>
        <v>109</v>
      </c>
      <c r="BZ24" s="21">
        <f t="shared" ca="1" si="5"/>
        <v>109</v>
      </c>
      <c r="CA24" s="21">
        <f t="shared" ca="1" si="5"/>
        <v>109</v>
      </c>
      <c r="CB24" s="21">
        <f t="shared" ca="1" si="5"/>
        <v>109</v>
      </c>
      <c r="CC24" s="21">
        <f t="shared" ca="1" si="5"/>
        <v>109</v>
      </c>
      <c r="CD24" s="21">
        <f t="shared" ca="1" si="5"/>
        <v>109</v>
      </c>
      <c r="CE24" s="21">
        <f t="shared" ca="1" si="5"/>
        <v>109</v>
      </c>
      <c r="CF24" s="21">
        <f t="shared" ca="1" si="5"/>
        <v>109</v>
      </c>
      <c r="CG24" s="21">
        <f t="shared" ca="1" si="5"/>
        <v>109</v>
      </c>
      <c r="CH24" s="21">
        <f t="shared" ca="1" si="5"/>
        <v>109</v>
      </c>
      <c r="CI24" s="21">
        <f t="shared" ca="1" si="5"/>
        <v>109</v>
      </c>
      <c r="CJ24" s="21">
        <f t="shared" ca="1" si="5"/>
        <v>109</v>
      </c>
      <c r="CK24" s="21">
        <f t="shared" ca="1" si="5"/>
        <v>109</v>
      </c>
      <c r="CL24" s="21">
        <f t="shared" ca="1" si="5"/>
        <v>115</v>
      </c>
      <c r="CM24" s="21">
        <f t="shared" ca="1" si="5"/>
        <v>121</v>
      </c>
      <c r="CN24" s="21">
        <f t="shared" ca="1" si="5"/>
        <v>121</v>
      </c>
      <c r="CO24" s="21">
        <f t="shared" ca="1" si="5"/>
        <v>121</v>
      </c>
      <c r="CP24" s="21">
        <f t="shared" ca="1" si="5"/>
        <v>121</v>
      </c>
      <c r="CQ24" s="21">
        <f t="shared" ca="1" si="5"/>
        <v>121</v>
      </c>
      <c r="CR24" s="21">
        <f t="shared" ca="1" si="5"/>
        <v>127</v>
      </c>
      <c r="CS24" s="21">
        <f t="shared" ca="1" si="5"/>
        <v>133</v>
      </c>
      <c r="CT24" s="21">
        <f t="shared" ca="1" si="5"/>
        <v>133</v>
      </c>
    </row>
    <row r="25" spans="2:98">
      <c r="B25" s="20" t="s">
        <v>22</v>
      </c>
      <c r="C25" s="21">
        <f ca="1">COUNTIFS(INDIRECT("'" &amp; $B$20 &amp; "'!$V:$V"),"&gt;=" &amp; C$22,INDIRECT("'" &amp; $B$20 &amp; "'!$V:$V"), "&lt;" &amp; D$22)</f>
        <v>0</v>
      </c>
      <c r="D25" s="21">
        <f t="shared" ref="D25:BO25" ca="1" si="6">COUNTIFS(INDIRECT("'" &amp; $B$20 &amp; "'!$V:$V"),"&gt;=" &amp; D$22,INDIRECT("'" &amp; $B$20 &amp; "'!$V:$V"), "&lt;" &amp; E$22)</f>
        <v>0</v>
      </c>
      <c r="E25" s="21">
        <f t="shared" ca="1" si="6"/>
        <v>0</v>
      </c>
      <c r="F25" s="21">
        <f t="shared" ca="1" si="6"/>
        <v>1</v>
      </c>
      <c r="G25" s="21">
        <f t="shared" ca="1" si="6"/>
        <v>5</v>
      </c>
      <c r="H25" s="21">
        <f t="shared" ca="1" si="6"/>
        <v>0</v>
      </c>
      <c r="I25" s="21">
        <f t="shared" ca="1" si="6"/>
        <v>0</v>
      </c>
      <c r="J25" s="21">
        <f t="shared" ca="1" si="6"/>
        <v>3</v>
      </c>
      <c r="K25" s="21">
        <f t="shared" ca="1" si="6"/>
        <v>2</v>
      </c>
      <c r="L25" s="21">
        <f t="shared" ca="1" si="6"/>
        <v>0</v>
      </c>
      <c r="M25" s="21">
        <f t="shared" ca="1" si="6"/>
        <v>7</v>
      </c>
      <c r="N25" s="21">
        <f t="shared" ca="1" si="6"/>
        <v>3</v>
      </c>
      <c r="O25" s="21">
        <f t="shared" ca="1" si="6"/>
        <v>0</v>
      </c>
      <c r="P25" s="21">
        <f t="shared" ca="1" si="6"/>
        <v>0</v>
      </c>
      <c r="Q25" s="21">
        <f t="shared" ca="1" si="6"/>
        <v>0</v>
      </c>
      <c r="R25" s="21">
        <f t="shared" ca="1" si="6"/>
        <v>0</v>
      </c>
      <c r="S25" s="21">
        <f t="shared" ca="1" si="6"/>
        <v>0</v>
      </c>
      <c r="T25" s="21">
        <f t="shared" ca="1" si="6"/>
        <v>0</v>
      </c>
      <c r="U25" s="21">
        <f t="shared" ca="1" si="6"/>
        <v>0</v>
      </c>
      <c r="V25" s="21">
        <f t="shared" ca="1" si="6"/>
        <v>0</v>
      </c>
      <c r="W25" s="21">
        <f t="shared" ca="1" si="6"/>
        <v>0</v>
      </c>
      <c r="X25" s="21">
        <f t="shared" ca="1" si="6"/>
        <v>0</v>
      </c>
      <c r="Y25" s="21">
        <f t="shared" ca="1" si="6"/>
        <v>0</v>
      </c>
      <c r="Z25" s="21">
        <f t="shared" ca="1" si="6"/>
        <v>0</v>
      </c>
      <c r="AA25" s="21">
        <f t="shared" ca="1" si="6"/>
        <v>0</v>
      </c>
      <c r="AB25" s="21">
        <f t="shared" ca="1" si="6"/>
        <v>0</v>
      </c>
      <c r="AC25" s="21">
        <f t="shared" ca="1" si="6"/>
        <v>0</v>
      </c>
      <c r="AD25" s="21">
        <f t="shared" ca="1" si="6"/>
        <v>0</v>
      </c>
      <c r="AE25" s="21">
        <f t="shared" ca="1" si="6"/>
        <v>0</v>
      </c>
      <c r="AF25" s="21">
        <f t="shared" ca="1" si="6"/>
        <v>0</v>
      </c>
      <c r="AG25" s="21">
        <f t="shared" ca="1" si="6"/>
        <v>0</v>
      </c>
      <c r="AH25" s="21">
        <f t="shared" ca="1" si="6"/>
        <v>0</v>
      </c>
      <c r="AI25" s="21">
        <f t="shared" ca="1" si="6"/>
        <v>0</v>
      </c>
      <c r="AJ25" s="21">
        <f t="shared" ca="1" si="6"/>
        <v>0</v>
      </c>
      <c r="AK25" s="21">
        <f t="shared" ca="1" si="6"/>
        <v>0</v>
      </c>
      <c r="AL25" s="21">
        <f t="shared" ca="1" si="6"/>
        <v>0</v>
      </c>
      <c r="AM25" s="21">
        <f t="shared" ca="1" si="6"/>
        <v>0</v>
      </c>
      <c r="AN25" s="21">
        <f t="shared" ca="1" si="6"/>
        <v>0</v>
      </c>
      <c r="AO25" s="21">
        <f t="shared" ca="1" si="6"/>
        <v>0</v>
      </c>
      <c r="AP25" s="21">
        <f t="shared" ca="1" si="6"/>
        <v>0</v>
      </c>
      <c r="AQ25" s="21">
        <f t="shared" ca="1" si="6"/>
        <v>0</v>
      </c>
      <c r="AR25" s="21">
        <f t="shared" ca="1" si="6"/>
        <v>0</v>
      </c>
      <c r="AS25" s="21">
        <f t="shared" ca="1" si="6"/>
        <v>0</v>
      </c>
      <c r="AT25" s="21">
        <f t="shared" ca="1" si="6"/>
        <v>0</v>
      </c>
      <c r="AU25" s="21">
        <f t="shared" ca="1" si="6"/>
        <v>0</v>
      </c>
      <c r="AV25" s="21">
        <f t="shared" ca="1" si="6"/>
        <v>0</v>
      </c>
      <c r="AW25" s="21">
        <f t="shared" ca="1" si="6"/>
        <v>0</v>
      </c>
      <c r="AX25" s="21">
        <f t="shared" ca="1" si="6"/>
        <v>0</v>
      </c>
      <c r="AY25" s="21">
        <f t="shared" ca="1" si="6"/>
        <v>0</v>
      </c>
      <c r="AZ25" s="21">
        <f t="shared" ca="1" si="6"/>
        <v>0</v>
      </c>
      <c r="BA25" s="21">
        <f t="shared" ca="1" si="6"/>
        <v>0</v>
      </c>
      <c r="BB25" s="21">
        <f t="shared" ca="1" si="6"/>
        <v>0</v>
      </c>
      <c r="BC25" s="21">
        <f t="shared" ca="1" si="6"/>
        <v>0</v>
      </c>
      <c r="BD25" s="21">
        <f t="shared" ca="1" si="6"/>
        <v>0</v>
      </c>
      <c r="BE25" s="21">
        <f t="shared" ca="1" si="6"/>
        <v>0</v>
      </c>
      <c r="BF25" s="21">
        <f t="shared" ca="1" si="6"/>
        <v>0</v>
      </c>
      <c r="BG25" s="21">
        <f t="shared" ca="1" si="6"/>
        <v>0</v>
      </c>
      <c r="BH25" s="21">
        <f t="shared" ca="1" si="6"/>
        <v>0</v>
      </c>
      <c r="BI25" s="21">
        <f t="shared" ca="1" si="6"/>
        <v>0</v>
      </c>
      <c r="BJ25" s="21">
        <f t="shared" ca="1" si="6"/>
        <v>0</v>
      </c>
      <c r="BK25" s="21">
        <f t="shared" ca="1" si="6"/>
        <v>0</v>
      </c>
      <c r="BL25" s="21">
        <f t="shared" ca="1" si="6"/>
        <v>0</v>
      </c>
      <c r="BM25" s="21">
        <f t="shared" ca="1" si="6"/>
        <v>0</v>
      </c>
      <c r="BN25" s="21">
        <f t="shared" ca="1" si="6"/>
        <v>0</v>
      </c>
      <c r="BO25" s="21">
        <f t="shared" ca="1" si="6"/>
        <v>0</v>
      </c>
      <c r="BP25" s="21">
        <f t="shared" ref="BP25:CT25" ca="1" si="7">COUNTIFS(INDIRECT("'" &amp; $B$20 &amp; "'!$V:$V"),"&gt;=" &amp; BP$22,INDIRECT("'" &amp; $B$20 &amp; "'!$V:$V"), "&lt;" &amp; BQ$22)</f>
        <v>0</v>
      </c>
      <c r="BQ25" s="21">
        <f t="shared" ca="1" si="7"/>
        <v>0</v>
      </c>
      <c r="BR25" s="21">
        <f t="shared" ca="1" si="7"/>
        <v>0</v>
      </c>
      <c r="BS25" s="21">
        <f t="shared" ca="1" si="7"/>
        <v>0</v>
      </c>
      <c r="BT25" s="21">
        <f t="shared" ca="1" si="7"/>
        <v>0</v>
      </c>
      <c r="BU25" s="21">
        <f t="shared" ca="1" si="7"/>
        <v>0</v>
      </c>
      <c r="BV25" s="21">
        <f t="shared" ca="1" si="7"/>
        <v>0</v>
      </c>
      <c r="BW25" s="21">
        <f t="shared" ca="1" si="7"/>
        <v>0</v>
      </c>
      <c r="BX25" s="21">
        <f t="shared" ca="1" si="7"/>
        <v>0</v>
      </c>
      <c r="BY25" s="21">
        <f t="shared" ca="1" si="7"/>
        <v>0</v>
      </c>
      <c r="BZ25" s="21">
        <f t="shared" ca="1" si="7"/>
        <v>0</v>
      </c>
      <c r="CA25" s="21">
        <f t="shared" ca="1" si="7"/>
        <v>0</v>
      </c>
      <c r="CB25" s="21">
        <f t="shared" ca="1" si="7"/>
        <v>0</v>
      </c>
      <c r="CC25" s="21">
        <f t="shared" ca="1" si="7"/>
        <v>0</v>
      </c>
      <c r="CD25" s="21">
        <f t="shared" ca="1" si="7"/>
        <v>0</v>
      </c>
      <c r="CE25" s="21">
        <f t="shared" ca="1" si="7"/>
        <v>0</v>
      </c>
      <c r="CF25" s="21">
        <f t="shared" ca="1" si="7"/>
        <v>0</v>
      </c>
      <c r="CG25" s="21">
        <f t="shared" ca="1" si="7"/>
        <v>0</v>
      </c>
      <c r="CH25" s="21">
        <f t="shared" ca="1" si="7"/>
        <v>0</v>
      </c>
      <c r="CI25" s="21">
        <f t="shared" ca="1" si="7"/>
        <v>0</v>
      </c>
      <c r="CJ25" s="21">
        <f t="shared" ca="1" si="7"/>
        <v>0</v>
      </c>
      <c r="CK25" s="21">
        <f t="shared" ca="1" si="7"/>
        <v>0</v>
      </c>
      <c r="CL25" s="21">
        <f t="shared" ca="1" si="7"/>
        <v>0</v>
      </c>
      <c r="CM25" s="21">
        <f t="shared" ca="1" si="7"/>
        <v>0</v>
      </c>
      <c r="CN25" s="21">
        <f t="shared" ca="1" si="7"/>
        <v>0</v>
      </c>
      <c r="CO25" s="21">
        <f t="shared" ca="1" si="7"/>
        <v>0</v>
      </c>
      <c r="CP25" s="21">
        <f t="shared" ca="1" si="7"/>
        <v>0</v>
      </c>
      <c r="CQ25" s="21">
        <f t="shared" ca="1" si="7"/>
        <v>0</v>
      </c>
      <c r="CR25" s="21">
        <f t="shared" ca="1" si="7"/>
        <v>0</v>
      </c>
      <c r="CS25" s="21">
        <f t="shared" ca="1" si="7"/>
        <v>0</v>
      </c>
      <c r="CT25" s="21">
        <f t="shared" ca="1" si="7"/>
        <v>0</v>
      </c>
    </row>
    <row r="26" spans="2:98">
      <c r="B26" s="20" t="s">
        <v>23</v>
      </c>
      <c r="C26" s="21">
        <f ca="1">C25</f>
        <v>0</v>
      </c>
      <c r="D26" s="21">
        <f ca="1">C26+D25</f>
        <v>0</v>
      </c>
      <c r="E26" s="21">
        <f t="shared" ref="E26:BP26" ca="1" si="8">D26+E25</f>
        <v>0</v>
      </c>
      <c r="F26" s="21">
        <f t="shared" ca="1" si="8"/>
        <v>1</v>
      </c>
      <c r="G26" s="21">
        <f t="shared" ca="1" si="8"/>
        <v>6</v>
      </c>
      <c r="H26" s="21">
        <f t="shared" ca="1" si="8"/>
        <v>6</v>
      </c>
      <c r="I26" s="21">
        <f t="shared" ca="1" si="8"/>
        <v>6</v>
      </c>
      <c r="J26" s="21">
        <f t="shared" ca="1" si="8"/>
        <v>9</v>
      </c>
      <c r="K26" s="21">
        <f t="shared" ca="1" si="8"/>
        <v>11</v>
      </c>
      <c r="L26" s="21">
        <f t="shared" ca="1" si="8"/>
        <v>11</v>
      </c>
      <c r="M26" s="21">
        <f t="shared" ca="1" si="8"/>
        <v>18</v>
      </c>
      <c r="N26" s="21">
        <f t="shared" ca="1" si="8"/>
        <v>21</v>
      </c>
      <c r="O26" s="21">
        <f t="shared" ca="1" si="8"/>
        <v>21</v>
      </c>
      <c r="P26" s="21">
        <f t="shared" ca="1" si="8"/>
        <v>21</v>
      </c>
      <c r="Q26" s="21">
        <f t="shared" ca="1" si="8"/>
        <v>21</v>
      </c>
      <c r="R26" s="21">
        <f t="shared" ca="1" si="8"/>
        <v>21</v>
      </c>
      <c r="S26" s="21">
        <f t="shared" ca="1" si="8"/>
        <v>21</v>
      </c>
      <c r="T26" s="21">
        <f t="shared" ca="1" si="8"/>
        <v>21</v>
      </c>
      <c r="U26" s="21">
        <f t="shared" ca="1" si="8"/>
        <v>21</v>
      </c>
      <c r="V26" s="21">
        <f t="shared" ca="1" si="8"/>
        <v>21</v>
      </c>
      <c r="W26" s="21">
        <f t="shared" ca="1" si="8"/>
        <v>21</v>
      </c>
      <c r="X26" s="21">
        <f t="shared" ca="1" si="8"/>
        <v>21</v>
      </c>
      <c r="Y26" s="21">
        <f t="shared" ca="1" si="8"/>
        <v>21</v>
      </c>
      <c r="Z26" s="21">
        <f t="shared" ca="1" si="8"/>
        <v>21</v>
      </c>
      <c r="AA26" s="21">
        <f t="shared" ca="1" si="8"/>
        <v>21</v>
      </c>
      <c r="AB26" s="21">
        <f t="shared" ca="1" si="8"/>
        <v>21</v>
      </c>
      <c r="AC26" s="21">
        <f t="shared" ca="1" si="8"/>
        <v>21</v>
      </c>
      <c r="AD26" s="21">
        <f t="shared" ca="1" si="8"/>
        <v>21</v>
      </c>
      <c r="AE26" s="21">
        <f t="shared" ca="1" si="8"/>
        <v>21</v>
      </c>
      <c r="AF26" s="21">
        <f t="shared" ca="1" si="8"/>
        <v>21</v>
      </c>
      <c r="AG26" s="21">
        <f t="shared" ca="1" si="8"/>
        <v>21</v>
      </c>
      <c r="AH26" s="21">
        <f t="shared" ca="1" si="8"/>
        <v>21</v>
      </c>
      <c r="AI26" s="21">
        <f t="shared" ca="1" si="8"/>
        <v>21</v>
      </c>
      <c r="AJ26" s="21">
        <f t="shared" ca="1" si="8"/>
        <v>21</v>
      </c>
      <c r="AK26" s="21">
        <f t="shared" ca="1" si="8"/>
        <v>21</v>
      </c>
      <c r="AL26" s="21">
        <f t="shared" ca="1" si="8"/>
        <v>21</v>
      </c>
      <c r="AM26" s="21">
        <f t="shared" ca="1" si="8"/>
        <v>21</v>
      </c>
      <c r="AN26" s="21">
        <f t="shared" ca="1" si="8"/>
        <v>21</v>
      </c>
      <c r="AO26" s="21">
        <f t="shared" ca="1" si="8"/>
        <v>21</v>
      </c>
      <c r="AP26" s="21">
        <f t="shared" ca="1" si="8"/>
        <v>21</v>
      </c>
      <c r="AQ26" s="21">
        <f t="shared" ca="1" si="8"/>
        <v>21</v>
      </c>
      <c r="AR26" s="21">
        <f t="shared" ca="1" si="8"/>
        <v>21</v>
      </c>
      <c r="AS26" s="21">
        <f t="shared" ca="1" si="8"/>
        <v>21</v>
      </c>
      <c r="AT26" s="21">
        <f t="shared" ca="1" si="8"/>
        <v>21</v>
      </c>
      <c r="AU26" s="21">
        <f t="shared" ca="1" si="8"/>
        <v>21</v>
      </c>
      <c r="AV26" s="21">
        <f t="shared" ca="1" si="8"/>
        <v>21</v>
      </c>
      <c r="AW26" s="21">
        <f t="shared" ca="1" si="8"/>
        <v>21</v>
      </c>
      <c r="AX26" s="21">
        <f t="shared" ca="1" si="8"/>
        <v>21</v>
      </c>
      <c r="AY26" s="21">
        <f t="shared" ca="1" si="8"/>
        <v>21</v>
      </c>
      <c r="AZ26" s="21">
        <f t="shared" ca="1" si="8"/>
        <v>21</v>
      </c>
      <c r="BA26" s="21">
        <f t="shared" ca="1" si="8"/>
        <v>21</v>
      </c>
      <c r="BB26" s="21">
        <f t="shared" ca="1" si="8"/>
        <v>21</v>
      </c>
      <c r="BC26" s="21">
        <f t="shared" ca="1" si="8"/>
        <v>21</v>
      </c>
      <c r="BD26" s="21">
        <f t="shared" ca="1" si="8"/>
        <v>21</v>
      </c>
      <c r="BE26" s="21">
        <f t="shared" ca="1" si="8"/>
        <v>21</v>
      </c>
      <c r="BF26" s="21">
        <f t="shared" ca="1" si="8"/>
        <v>21</v>
      </c>
      <c r="BG26" s="21">
        <f t="shared" ca="1" si="8"/>
        <v>21</v>
      </c>
      <c r="BH26" s="21">
        <f t="shared" ca="1" si="8"/>
        <v>21</v>
      </c>
      <c r="BI26" s="21">
        <f t="shared" ca="1" si="8"/>
        <v>21</v>
      </c>
      <c r="BJ26" s="21">
        <f t="shared" ca="1" si="8"/>
        <v>21</v>
      </c>
      <c r="BK26" s="21">
        <f t="shared" ca="1" si="8"/>
        <v>21</v>
      </c>
      <c r="BL26" s="21">
        <f t="shared" ca="1" si="8"/>
        <v>21</v>
      </c>
      <c r="BM26" s="21">
        <f t="shared" ca="1" si="8"/>
        <v>21</v>
      </c>
      <c r="BN26" s="21">
        <f t="shared" ca="1" si="8"/>
        <v>21</v>
      </c>
      <c r="BO26" s="21">
        <f t="shared" ca="1" si="8"/>
        <v>21</v>
      </c>
      <c r="BP26" s="21">
        <f t="shared" ca="1" si="8"/>
        <v>21</v>
      </c>
      <c r="BQ26" s="21">
        <f t="shared" ref="BQ26:CT26" ca="1" si="9">BP26+BQ25</f>
        <v>21</v>
      </c>
      <c r="BR26" s="21">
        <f t="shared" ca="1" si="9"/>
        <v>21</v>
      </c>
      <c r="BS26" s="21">
        <f t="shared" ca="1" si="9"/>
        <v>21</v>
      </c>
      <c r="BT26" s="21">
        <f t="shared" ca="1" si="9"/>
        <v>21</v>
      </c>
      <c r="BU26" s="21">
        <f t="shared" ca="1" si="9"/>
        <v>21</v>
      </c>
      <c r="BV26" s="21">
        <f t="shared" ca="1" si="9"/>
        <v>21</v>
      </c>
      <c r="BW26" s="21">
        <f t="shared" ca="1" si="9"/>
        <v>21</v>
      </c>
      <c r="BX26" s="21">
        <f t="shared" ca="1" si="9"/>
        <v>21</v>
      </c>
      <c r="BY26" s="21">
        <f t="shared" ca="1" si="9"/>
        <v>21</v>
      </c>
      <c r="BZ26" s="21">
        <f t="shared" ca="1" si="9"/>
        <v>21</v>
      </c>
      <c r="CA26" s="21">
        <f t="shared" ca="1" si="9"/>
        <v>21</v>
      </c>
      <c r="CB26" s="21">
        <f t="shared" ca="1" si="9"/>
        <v>21</v>
      </c>
      <c r="CC26" s="21">
        <f t="shared" ca="1" si="9"/>
        <v>21</v>
      </c>
      <c r="CD26" s="21">
        <f t="shared" ca="1" si="9"/>
        <v>21</v>
      </c>
      <c r="CE26" s="21">
        <f t="shared" ca="1" si="9"/>
        <v>21</v>
      </c>
      <c r="CF26" s="21">
        <f t="shared" ca="1" si="9"/>
        <v>21</v>
      </c>
      <c r="CG26" s="21">
        <f t="shared" ca="1" si="9"/>
        <v>21</v>
      </c>
      <c r="CH26" s="21">
        <f t="shared" ca="1" si="9"/>
        <v>21</v>
      </c>
      <c r="CI26" s="21">
        <f t="shared" ca="1" si="9"/>
        <v>21</v>
      </c>
      <c r="CJ26" s="21">
        <f t="shared" ca="1" si="9"/>
        <v>21</v>
      </c>
      <c r="CK26" s="21">
        <f t="shared" ca="1" si="9"/>
        <v>21</v>
      </c>
      <c r="CL26" s="21">
        <f t="shared" ca="1" si="9"/>
        <v>21</v>
      </c>
      <c r="CM26" s="21">
        <f t="shared" ca="1" si="9"/>
        <v>21</v>
      </c>
      <c r="CN26" s="21">
        <f t="shared" ca="1" si="9"/>
        <v>21</v>
      </c>
      <c r="CO26" s="21">
        <f t="shared" ca="1" si="9"/>
        <v>21</v>
      </c>
      <c r="CP26" s="21">
        <f t="shared" ca="1" si="9"/>
        <v>21</v>
      </c>
      <c r="CQ26" s="21">
        <f t="shared" ca="1" si="9"/>
        <v>21</v>
      </c>
      <c r="CR26" s="21">
        <f t="shared" ca="1" si="9"/>
        <v>21</v>
      </c>
      <c r="CS26" s="21">
        <f t="shared" ca="1" si="9"/>
        <v>21</v>
      </c>
      <c r="CT26" s="21">
        <f t="shared" ca="1" si="9"/>
        <v>21</v>
      </c>
    </row>
    <row r="27" spans="2:98">
      <c r="B27" s="20" t="s">
        <v>24</v>
      </c>
      <c r="C27" s="21">
        <f ca="1">C26-C24</f>
        <v>0</v>
      </c>
      <c r="D27" s="21">
        <f t="shared" ref="D27:BO27" ca="1" si="10">D26-D24</f>
        <v>0</v>
      </c>
      <c r="E27" s="21">
        <f t="shared" ca="1" si="10"/>
        <v>0</v>
      </c>
      <c r="F27" s="21">
        <f t="shared" ca="1" si="10"/>
        <v>1</v>
      </c>
      <c r="G27" s="21">
        <f t="shared" ca="1" si="10"/>
        <v>-2</v>
      </c>
      <c r="H27" s="21">
        <f t="shared" ca="1" si="10"/>
        <v>-2</v>
      </c>
      <c r="I27" s="21">
        <f t="shared" ca="1" si="10"/>
        <v>-2</v>
      </c>
      <c r="J27" s="21">
        <f t="shared" ca="1" si="10"/>
        <v>-1</v>
      </c>
      <c r="K27" s="21">
        <f t="shared" ca="1" si="10"/>
        <v>-1</v>
      </c>
      <c r="L27" s="21">
        <f t="shared" ca="1" si="10"/>
        <v>-1</v>
      </c>
      <c r="M27" s="21">
        <f t="shared" ca="1" si="10"/>
        <v>6</v>
      </c>
      <c r="N27" s="21">
        <f t="shared" ca="1" si="10"/>
        <v>9</v>
      </c>
      <c r="O27" s="21">
        <f t="shared" ca="1" si="10"/>
        <v>9</v>
      </c>
      <c r="P27" s="21">
        <f t="shared" ca="1" si="10"/>
        <v>9</v>
      </c>
      <c r="Q27" s="21">
        <f t="shared" ca="1" si="10"/>
        <v>9</v>
      </c>
      <c r="R27" s="21">
        <f t="shared" ca="1" si="10"/>
        <v>2</v>
      </c>
      <c r="S27" s="21">
        <f t="shared" ca="1" si="10"/>
        <v>-4</v>
      </c>
      <c r="T27" s="21">
        <f t="shared" ca="1" si="10"/>
        <v>-16</v>
      </c>
      <c r="U27" s="21">
        <f t="shared" ca="1" si="10"/>
        <v>-22</v>
      </c>
      <c r="V27" s="21">
        <f t="shared" ca="1" si="10"/>
        <v>-22</v>
      </c>
      <c r="W27" s="21">
        <f t="shared" ca="1" si="10"/>
        <v>-22</v>
      </c>
      <c r="X27" s="21">
        <f t="shared" ca="1" si="10"/>
        <v>-22</v>
      </c>
      <c r="Y27" s="21">
        <f t="shared" ca="1" si="10"/>
        <v>-28</v>
      </c>
      <c r="Z27" s="21">
        <f t="shared" ca="1" si="10"/>
        <v>-34</v>
      </c>
      <c r="AA27" s="21">
        <f t="shared" ca="1" si="10"/>
        <v>-40</v>
      </c>
      <c r="AB27" s="21">
        <f t="shared" ca="1" si="10"/>
        <v>-46</v>
      </c>
      <c r="AC27" s="21">
        <f t="shared" ca="1" si="10"/>
        <v>-46</v>
      </c>
      <c r="AD27" s="21">
        <f t="shared" ca="1" si="10"/>
        <v>-46</v>
      </c>
      <c r="AE27" s="21">
        <f t="shared" ca="1" si="10"/>
        <v>-52</v>
      </c>
      <c r="AF27" s="21">
        <f t="shared" ca="1" si="10"/>
        <v>-52</v>
      </c>
      <c r="AG27" s="21">
        <f t="shared" ca="1" si="10"/>
        <v>-52</v>
      </c>
      <c r="AH27" s="21">
        <f t="shared" ca="1" si="10"/>
        <v>-52</v>
      </c>
      <c r="AI27" s="21">
        <f t="shared" ca="1" si="10"/>
        <v>-52</v>
      </c>
      <c r="AJ27" s="21">
        <f t="shared" ca="1" si="10"/>
        <v>-52</v>
      </c>
      <c r="AK27" s="21">
        <f t="shared" ca="1" si="10"/>
        <v>-52</v>
      </c>
      <c r="AL27" s="21">
        <f t="shared" ca="1" si="10"/>
        <v>-52</v>
      </c>
      <c r="AM27" s="21">
        <f t="shared" ca="1" si="10"/>
        <v>-52</v>
      </c>
      <c r="AN27" s="21">
        <f t="shared" ca="1" si="10"/>
        <v>-52</v>
      </c>
      <c r="AO27" s="21">
        <f t="shared" ca="1" si="10"/>
        <v>-52</v>
      </c>
      <c r="AP27" s="21">
        <f t="shared" ca="1" si="10"/>
        <v>-52</v>
      </c>
      <c r="AQ27" s="21">
        <f t="shared" ca="1" si="10"/>
        <v>-52</v>
      </c>
      <c r="AR27" s="21">
        <f t="shared" ca="1" si="10"/>
        <v>-52</v>
      </c>
      <c r="AS27" s="21">
        <f t="shared" ca="1" si="10"/>
        <v>-52</v>
      </c>
      <c r="AT27" s="21">
        <f t="shared" ca="1" si="10"/>
        <v>-52</v>
      </c>
      <c r="AU27" s="21">
        <f t="shared" ca="1" si="10"/>
        <v>-52</v>
      </c>
      <c r="AV27" s="21">
        <f t="shared" ca="1" si="10"/>
        <v>-52</v>
      </c>
      <c r="AW27" s="21">
        <f t="shared" ca="1" si="10"/>
        <v>-52</v>
      </c>
      <c r="AX27" s="21">
        <f t="shared" ca="1" si="10"/>
        <v>-52</v>
      </c>
      <c r="AY27" s="21">
        <f t="shared" ca="1" si="10"/>
        <v>-52</v>
      </c>
      <c r="AZ27" s="21">
        <f t="shared" ca="1" si="10"/>
        <v>-52</v>
      </c>
      <c r="BA27" s="21">
        <f t="shared" ca="1" si="10"/>
        <v>-58</v>
      </c>
      <c r="BB27" s="21">
        <f t="shared" ca="1" si="10"/>
        <v>-64</v>
      </c>
      <c r="BC27" s="21">
        <f t="shared" ca="1" si="10"/>
        <v>-64</v>
      </c>
      <c r="BD27" s="21">
        <f t="shared" ca="1" si="10"/>
        <v>-64</v>
      </c>
      <c r="BE27" s="21">
        <f t="shared" ca="1" si="10"/>
        <v>-64</v>
      </c>
      <c r="BF27" s="21">
        <f t="shared" ca="1" si="10"/>
        <v>-64</v>
      </c>
      <c r="BG27" s="21">
        <f t="shared" ca="1" si="10"/>
        <v>-70</v>
      </c>
      <c r="BH27" s="21">
        <f t="shared" ca="1" si="10"/>
        <v>-76</v>
      </c>
      <c r="BI27" s="21">
        <f t="shared" ca="1" si="10"/>
        <v>-76</v>
      </c>
      <c r="BJ27" s="21">
        <f t="shared" ca="1" si="10"/>
        <v>-76</v>
      </c>
      <c r="BK27" s="21">
        <f t="shared" ca="1" si="10"/>
        <v>-76</v>
      </c>
      <c r="BL27" s="21">
        <f t="shared" ca="1" si="10"/>
        <v>-76</v>
      </c>
      <c r="BM27" s="21">
        <f t="shared" ca="1" si="10"/>
        <v>-76</v>
      </c>
      <c r="BN27" s="21">
        <f t="shared" ca="1" si="10"/>
        <v>-76</v>
      </c>
      <c r="BO27" s="21">
        <f t="shared" ca="1" si="10"/>
        <v>-82</v>
      </c>
      <c r="BP27" s="21">
        <f t="shared" ref="BP27:EA27" ca="1" si="11">BP26-BP24</f>
        <v>-88</v>
      </c>
      <c r="BQ27" s="21">
        <f t="shared" ca="1" si="11"/>
        <v>-88</v>
      </c>
      <c r="BR27" s="21">
        <f t="shared" ca="1" si="11"/>
        <v>-88</v>
      </c>
      <c r="BS27" s="21">
        <f t="shared" ca="1" si="11"/>
        <v>-88</v>
      </c>
      <c r="BT27" s="21">
        <f t="shared" ca="1" si="11"/>
        <v>-88</v>
      </c>
      <c r="BU27" s="21">
        <f t="shared" ca="1" si="11"/>
        <v>-88</v>
      </c>
      <c r="BV27" s="21">
        <f t="shared" ca="1" si="11"/>
        <v>-88</v>
      </c>
      <c r="BW27" s="21">
        <f t="shared" ca="1" si="11"/>
        <v>-88</v>
      </c>
      <c r="BX27" s="21">
        <f t="shared" ca="1" si="11"/>
        <v>-88</v>
      </c>
      <c r="BY27" s="21">
        <f t="shared" ca="1" si="11"/>
        <v>-88</v>
      </c>
      <c r="BZ27" s="21">
        <f t="shared" ca="1" si="11"/>
        <v>-88</v>
      </c>
      <c r="CA27" s="21">
        <f t="shared" ca="1" si="11"/>
        <v>-88</v>
      </c>
      <c r="CB27" s="21">
        <f t="shared" ca="1" si="11"/>
        <v>-88</v>
      </c>
      <c r="CC27" s="21">
        <f t="shared" ca="1" si="11"/>
        <v>-88</v>
      </c>
      <c r="CD27" s="21">
        <f t="shared" ca="1" si="11"/>
        <v>-88</v>
      </c>
      <c r="CE27" s="21">
        <f t="shared" ca="1" si="11"/>
        <v>-88</v>
      </c>
      <c r="CF27" s="21">
        <f t="shared" ca="1" si="11"/>
        <v>-88</v>
      </c>
      <c r="CG27" s="21">
        <f t="shared" ca="1" si="11"/>
        <v>-88</v>
      </c>
      <c r="CH27" s="21">
        <f t="shared" ca="1" si="11"/>
        <v>-88</v>
      </c>
      <c r="CI27" s="21">
        <f t="shared" ca="1" si="11"/>
        <v>-88</v>
      </c>
      <c r="CJ27" s="21">
        <f t="shared" ca="1" si="11"/>
        <v>-88</v>
      </c>
      <c r="CK27" s="21">
        <f t="shared" ca="1" si="11"/>
        <v>-88</v>
      </c>
      <c r="CL27" s="21">
        <f t="shared" ca="1" si="11"/>
        <v>-94</v>
      </c>
      <c r="CM27" s="21">
        <f t="shared" ca="1" si="11"/>
        <v>-100</v>
      </c>
      <c r="CN27" s="21">
        <f t="shared" ca="1" si="11"/>
        <v>-100</v>
      </c>
      <c r="CO27" s="21">
        <f t="shared" ca="1" si="11"/>
        <v>-100</v>
      </c>
      <c r="CP27" s="21">
        <f t="shared" ca="1" si="11"/>
        <v>-100</v>
      </c>
      <c r="CQ27" s="21">
        <f t="shared" ca="1" si="11"/>
        <v>-100</v>
      </c>
      <c r="CR27" s="21">
        <f t="shared" ca="1" si="11"/>
        <v>-106</v>
      </c>
      <c r="CS27" s="21">
        <f t="shared" ca="1" si="11"/>
        <v>-112</v>
      </c>
      <c r="CT27" s="21">
        <f t="shared" ca="1" si="11"/>
        <v>-112</v>
      </c>
    </row>
    <row r="30" spans="2:98" ht="19.5">
      <c r="B30" s="25" t="s">
        <v>391</v>
      </c>
    </row>
    <row r="45" spans="2:3" ht="15.5" thickBot="1"/>
    <row r="46" spans="2:3" ht="15.5" thickBot="1">
      <c r="B46" s="15" t="s">
        <v>18</v>
      </c>
      <c r="C46" s="16">
        <f>Progress!C46</f>
        <v>1</v>
      </c>
    </row>
    <row r="47" spans="2:3" ht="7" customHeight="1">
      <c r="B47" s="17"/>
    </row>
    <row r="48" spans="2:3">
      <c r="B48" s="23" t="str">
        <f>B20</f>
        <v>WBS(A_取引先管理)</v>
      </c>
    </row>
    <row r="49" spans="2:98" ht="8.5" customHeight="1"/>
    <row r="50" spans="2:98">
      <c r="B50" s="18" t="s">
        <v>19</v>
      </c>
      <c r="C50" s="19">
        <v>45810</v>
      </c>
      <c r="D50" s="19">
        <f>C50+$C$18</f>
        <v>45811</v>
      </c>
      <c r="E50" s="19">
        <f t="shared" ref="E50:BP50" si="12">D50+$C$18</f>
        <v>45812</v>
      </c>
      <c r="F50" s="19">
        <f t="shared" si="12"/>
        <v>45813</v>
      </c>
      <c r="G50" s="19">
        <f t="shared" si="12"/>
        <v>45814</v>
      </c>
      <c r="H50" s="19">
        <f t="shared" si="12"/>
        <v>45815</v>
      </c>
      <c r="I50" s="19">
        <f t="shared" si="12"/>
        <v>45816</v>
      </c>
      <c r="J50" s="19">
        <f t="shared" si="12"/>
        <v>45817</v>
      </c>
      <c r="K50" s="19">
        <f t="shared" si="12"/>
        <v>45818</v>
      </c>
      <c r="L50" s="19">
        <f t="shared" si="12"/>
        <v>45819</v>
      </c>
      <c r="M50" s="19">
        <f t="shared" si="12"/>
        <v>45820</v>
      </c>
      <c r="N50" s="19">
        <f t="shared" si="12"/>
        <v>45821</v>
      </c>
      <c r="O50" s="19">
        <f t="shared" si="12"/>
        <v>45822</v>
      </c>
      <c r="P50" s="19">
        <f t="shared" si="12"/>
        <v>45823</v>
      </c>
      <c r="Q50" s="19">
        <f t="shared" si="12"/>
        <v>45824</v>
      </c>
      <c r="R50" s="19">
        <f t="shared" si="12"/>
        <v>45825</v>
      </c>
      <c r="S50" s="19">
        <f t="shared" si="12"/>
        <v>45826</v>
      </c>
      <c r="T50" s="19">
        <f t="shared" si="12"/>
        <v>45827</v>
      </c>
      <c r="U50" s="19">
        <f t="shared" si="12"/>
        <v>45828</v>
      </c>
      <c r="V50" s="19">
        <f t="shared" si="12"/>
        <v>45829</v>
      </c>
      <c r="W50" s="19">
        <f t="shared" si="12"/>
        <v>45830</v>
      </c>
      <c r="X50" s="19">
        <f t="shared" si="12"/>
        <v>45831</v>
      </c>
      <c r="Y50" s="19">
        <f t="shared" si="12"/>
        <v>45832</v>
      </c>
      <c r="Z50" s="19">
        <f t="shared" si="12"/>
        <v>45833</v>
      </c>
      <c r="AA50" s="19">
        <f t="shared" si="12"/>
        <v>45834</v>
      </c>
      <c r="AB50" s="19">
        <f t="shared" si="12"/>
        <v>45835</v>
      </c>
      <c r="AC50" s="19">
        <f t="shared" si="12"/>
        <v>45836</v>
      </c>
      <c r="AD50" s="19">
        <f t="shared" si="12"/>
        <v>45837</v>
      </c>
      <c r="AE50" s="19">
        <f t="shared" si="12"/>
        <v>45838</v>
      </c>
      <c r="AF50" s="19">
        <f t="shared" si="12"/>
        <v>45839</v>
      </c>
      <c r="AG50" s="19">
        <f t="shared" si="12"/>
        <v>45840</v>
      </c>
      <c r="AH50" s="19">
        <f t="shared" si="12"/>
        <v>45841</v>
      </c>
      <c r="AI50" s="19">
        <f t="shared" si="12"/>
        <v>45842</v>
      </c>
      <c r="AJ50" s="19">
        <f t="shared" si="12"/>
        <v>45843</v>
      </c>
      <c r="AK50" s="19">
        <f t="shared" si="12"/>
        <v>45844</v>
      </c>
      <c r="AL50" s="19">
        <f t="shared" si="12"/>
        <v>45845</v>
      </c>
      <c r="AM50" s="19">
        <f t="shared" si="12"/>
        <v>45846</v>
      </c>
      <c r="AN50" s="19">
        <f t="shared" si="12"/>
        <v>45847</v>
      </c>
      <c r="AO50" s="19">
        <f t="shared" si="12"/>
        <v>45848</v>
      </c>
      <c r="AP50" s="19">
        <f t="shared" si="12"/>
        <v>45849</v>
      </c>
      <c r="AQ50" s="19">
        <f t="shared" si="12"/>
        <v>45850</v>
      </c>
      <c r="AR50" s="19">
        <f t="shared" si="12"/>
        <v>45851</v>
      </c>
      <c r="AS50" s="19">
        <f t="shared" si="12"/>
        <v>45852</v>
      </c>
      <c r="AT50" s="19">
        <f t="shared" si="12"/>
        <v>45853</v>
      </c>
      <c r="AU50" s="19">
        <f t="shared" si="12"/>
        <v>45854</v>
      </c>
      <c r="AV50" s="19">
        <f t="shared" si="12"/>
        <v>45855</v>
      </c>
      <c r="AW50" s="19">
        <f t="shared" si="12"/>
        <v>45856</v>
      </c>
      <c r="AX50" s="19">
        <f t="shared" si="12"/>
        <v>45857</v>
      </c>
      <c r="AY50" s="19">
        <f t="shared" si="12"/>
        <v>45858</v>
      </c>
      <c r="AZ50" s="19">
        <f t="shared" si="12"/>
        <v>45859</v>
      </c>
      <c r="BA50" s="19">
        <f t="shared" si="12"/>
        <v>45860</v>
      </c>
      <c r="BB50" s="19">
        <f t="shared" si="12"/>
        <v>45861</v>
      </c>
      <c r="BC50" s="19">
        <f t="shared" si="12"/>
        <v>45862</v>
      </c>
      <c r="BD50" s="19">
        <f t="shared" si="12"/>
        <v>45863</v>
      </c>
      <c r="BE50" s="19">
        <f t="shared" si="12"/>
        <v>45864</v>
      </c>
      <c r="BF50" s="19">
        <f t="shared" si="12"/>
        <v>45865</v>
      </c>
      <c r="BG50" s="19">
        <f t="shared" si="12"/>
        <v>45866</v>
      </c>
      <c r="BH50" s="19">
        <f t="shared" si="12"/>
        <v>45867</v>
      </c>
      <c r="BI50" s="19">
        <f t="shared" si="12"/>
        <v>45868</v>
      </c>
      <c r="BJ50" s="19">
        <f t="shared" si="12"/>
        <v>45869</v>
      </c>
      <c r="BK50" s="19">
        <f t="shared" si="12"/>
        <v>45870</v>
      </c>
      <c r="BL50" s="19">
        <f t="shared" si="12"/>
        <v>45871</v>
      </c>
      <c r="BM50" s="19">
        <f t="shared" si="12"/>
        <v>45872</v>
      </c>
      <c r="BN50" s="19">
        <f t="shared" si="12"/>
        <v>45873</v>
      </c>
      <c r="BO50" s="19">
        <f t="shared" si="12"/>
        <v>45874</v>
      </c>
      <c r="BP50" s="19">
        <f t="shared" si="12"/>
        <v>45875</v>
      </c>
      <c r="BQ50" s="19">
        <f t="shared" ref="BQ50:CT50" si="13">BP50+$C$18</f>
        <v>45876</v>
      </c>
      <c r="BR50" s="19">
        <f t="shared" si="13"/>
        <v>45877</v>
      </c>
      <c r="BS50" s="19">
        <f t="shared" si="13"/>
        <v>45878</v>
      </c>
      <c r="BT50" s="19">
        <f t="shared" si="13"/>
        <v>45879</v>
      </c>
      <c r="BU50" s="19">
        <f t="shared" si="13"/>
        <v>45880</v>
      </c>
      <c r="BV50" s="19">
        <f t="shared" si="13"/>
        <v>45881</v>
      </c>
      <c r="BW50" s="19">
        <f t="shared" si="13"/>
        <v>45882</v>
      </c>
      <c r="BX50" s="19">
        <f t="shared" si="13"/>
        <v>45883</v>
      </c>
      <c r="BY50" s="19">
        <f t="shared" si="13"/>
        <v>45884</v>
      </c>
      <c r="BZ50" s="19">
        <f t="shared" si="13"/>
        <v>45885</v>
      </c>
      <c r="CA50" s="19">
        <f t="shared" si="13"/>
        <v>45886</v>
      </c>
      <c r="CB50" s="19">
        <f t="shared" si="13"/>
        <v>45887</v>
      </c>
      <c r="CC50" s="19">
        <f t="shared" si="13"/>
        <v>45888</v>
      </c>
      <c r="CD50" s="19">
        <f t="shared" si="13"/>
        <v>45889</v>
      </c>
      <c r="CE50" s="19">
        <f t="shared" si="13"/>
        <v>45890</v>
      </c>
      <c r="CF50" s="19">
        <f t="shared" si="13"/>
        <v>45891</v>
      </c>
      <c r="CG50" s="19">
        <f t="shared" si="13"/>
        <v>45892</v>
      </c>
      <c r="CH50" s="19">
        <f t="shared" si="13"/>
        <v>45893</v>
      </c>
      <c r="CI50" s="19">
        <f t="shared" si="13"/>
        <v>45894</v>
      </c>
      <c r="CJ50" s="19">
        <f t="shared" si="13"/>
        <v>45895</v>
      </c>
      <c r="CK50" s="19">
        <f t="shared" si="13"/>
        <v>45896</v>
      </c>
      <c r="CL50" s="19">
        <f t="shared" si="13"/>
        <v>45897</v>
      </c>
      <c r="CM50" s="19">
        <f t="shared" si="13"/>
        <v>45898</v>
      </c>
      <c r="CN50" s="19">
        <f t="shared" si="13"/>
        <v>45899</v>
      </c>
      <c r="CO50" s="19">
        <f t="shared" si="13"/>
        <v>45900</v>
      </c>
      <c r="CP50" s="19">
        <f t="shared" si="13"/>
        <v>45901</v>
      </c>
      <c r="CQ50" s="19">
        <f t="shared" si="13"/>
        <v>45902</v>
      </c>
      <c r="CR50" s="19">
        <f t="shared" si="13"/>
        <v>45903</v>
      </c>
      <c r="CS50" s="19">
        <f t="shared" si="13"/>
        <v>45904</v>
      </c>
      <c r="CT50" s="19">
        <f t="shared" si="13"/>
        <v>45905</v>
      </c>
    </row>
    <row r="51" spans="2:98">
      <c r="B51" s="20" t="s">
        <v>382</v>
      </c>
      <c r="C51" s="21">
        <f ca="1">COUNTIFS(INDIRECT("'" &amp; $B$20 &amp; "'!$S:$S"),"&gt;=" &amp; C$22,INDIRECT("'" &amp; $B$20 &amp; "'!$S:$S"), "&lt;" &amp; D$22)</f>
        <v>0</v>
      </c>
      <c r="D51" s="21">
        <f t="shared" ref="D51:BO51" ca="1" si="14">COUNTIFS(INDIRECT("'" &amp; $B$20 &amp; "'!$S:$S"),"&gt;=" &amp; D$22,INDIRECT("'" &amp; $B$20 &amp; "'!$S:$S"), "&lt;" &amp; E$22)</f>
        <v>0</v>
      </c>
      <c r="E51" s="21">
        <f t="shared" ca="1" si="14"/>
        <v>6</v>
      </c>
      <c r="F51" s="21">
        <f t="shared" ca="1" si="14"/>
        <v>0</v>
      </c>
      <c r="G51" s="21">
        <f t="shared" ca="1" si="14"/>
        <v>4</v>
      </c>
      <c r="H51" s="21">
        <f t="shared" ca="1" si="14"/>
        <v>0</v>
      </c>
      <c r="I51" s="21">
        <f t="shared" ca="1" si="14"/>
        <v>0</v>
      </c>
      <c r="J51" s="21">
        <f t="shared" ca="1" si="14"/>
        <v>0</v>
      </c>
      <c r="K51" s="21">
        <f t="shared" ca="1" si="14"/>
        <v>2</v>
      </c>
      <c r="L51" s="21">
        <f t="shared" ca="1" si="14"/>
        <v>6</v>
      </c>
      <c r="M51" s="21">
        <f t="shared" ca="1" si="14"/>
        <v>1</v>
      </c>
      <c r="N51" s="21">
        <f t="shared" ca="1" si="14"/>
        <v>0</v>
      </c>
      <c r="O51" s="21">
        <f t="shared" ca="1" si="14"/>
        <v>0</v>
      </c>
      <c r="P51" s="21">
        <f t="shared" ca="1" si="14"/>
        <v>0</v>
      </c>
      <c r="Q51" s="21">
        <f t="shared" ca="1" si="14"/>
        <v>0</v>
      </c>
      <c r="R51" s="21">
        <f t="shared" ca="1" si="14"/>
        <v>0</v>
      </c>
      <c r="S51" s="21">
        <f t="shared" ca="1" si="14"/>
        <v>6</v>
      </c>
      <c r="T51" s="21">
        <f t="shared" ca="1" si="14"/>
        <v>12</v>
      </c>
      <c r="U51" s="21">
        <f t="shared" ca="1" si="14"/>
        <v>6</v>
      </c>
      <c r="V51" s="21">
        <f t="shared" ca="1" si="14"/>
        <v>0</v>
      </c>
      <c r="W51" s="21">
        <f t="shared" ca="1" si="14"/>
        <v>0</v>
      </c>
      <c r="X51" s="21">
        <f t="shared" ca="1" si="14"/>
        <v>6</v>
      </c>
      <c r="Y51" s="21">
        <f t="shared" ca="1" si="14"/>
        <v>6</v>
      </c>
      <c r="Z51" s="21">
        <f t="shared" ca="1" si="14"/>
        <v>0</v>
      </c>
      <c r="AA51" s="21">
        <f t="shared" ca="1" si="14"/>
        <v>6</v>
      </c>
      <c r="AB51" s="21">
        <f t="shared" ca="1" si="14"/>
        <v>6</v>
      </c>
      <c r="AC51" s="21">
        <f t="shared" ca="1" si="14"/>
        <v>0</v>
      </c>
      <c r="AD51" s="21">
        <f t="shared" ca="1" si="14"/>
        <v>0</v>
      </c>
      <c r="AE51" s="21">
        <f t="shared" ca="1" si="14"/>
        <v>6</v>
      </c>
      <c r="AF51" s="21">
        <f t="shared" ca="1" si="14"/>
        <v>6</v>
      </c>
      <c r="AG51" s="21">
        <f t="shared" ca="1" si="14"/>
        <v>0</v>
      </c>
      <c r="AH51" s="21">
        <f t="shared" ca="1" si="14"/>
        <v>0</v>
      </c>
      <c r="AI51" s="21">
        <f t="shared" ca="1" si="14"/>
        <v>0</v>
      </c>
      <c r="AJ51" s="21">
        <f t="shared" ca="1" si="14"/>
        <v>0</v>
      </c>
      <c r="AK51" s="21">
        <f t="shared" ca="1" si="14"/>
        <v>0</v>
      </c>
      <c r="AL51" s="21">
        <f t="shared" ca="1" si="14"/>
        <v>0</v>
      </c>
      <c r="AM51" s="21">
        <f t="shared" ca="1" si="14"/>
        <v>0</v>
      </c>
      <c r="AN51" s="21">
        <f t="shared" ca="1" si="14"/>
        <v>0</v>
      </c>
      <c r="AO51" s="21">
        <f t="shared" ca="1" si="14"/>
        <v>0</v>
      </c>
      <c r="AP51" s="21">
        <f t="shared" ca="1" si="14"/>
        <v>0</v>
      </c>
      <c r="AQ51" s="21">
        <f t="shared" ca="1" si="14"/>
        <v>0</v>
      </c>
      <c r="AR51" s="21">
        <f t="shared" ca="1" si="14"/>
        <v>0</v>
      </c>
      <c r="AS51" s="21">
        <f t="shared" ca="1" si="14"/>
        <v>0</v>
      </c>
      <c r="AT51" s="21">
        <f t="shared" ca="1" si="14"/>
        <v>0</v>
      </c>
      <c r="AU51" s="21">
        <f t="shared" ca="1" si="14"/>
        <v>0</v>
      </c>
      <c r="AV51" s="21">
        <f t="shared" ca="1" si="14"/>
        <v>0</v>
      </c>
      <c r="AW51" s="21">
        <f t="shared" ca="1" si="14"/>
        <v>0</v>
      </c>
      <c r="AX51" s="21">
        <f t="shared" ca="1" si="14"/>
        <v>0</v>
      </c>
      <c r="AY51" s="21">
        <f t="shared" ca="1" si="14"/>
        <v>0</v>
      </c>
      <c r="AZ51" s="21">
        <f t="shared" ca="1" si="14"/>
        <v>0</v>
      </c>
      <c r="BA51" s="21">
        <f t="shared" ca="1" si="14"/>
        <v>0</v>
      </c>
      <c r="BB51" s="21">
        <f t="shared" ca="1" si="14"/>
        <v>6</v>
      </c>
      <c r="BC51" s="21">
        <f t="shared" ca="1" si="14"/>
        <v>6</v>
      </c>
      <c r="BD51" s="21">
        <f t="shared" ca="1" si="14"/>
        <v>0</v>
      </c>
      <c r="BE51" s="21">
        <f t="shared" ca="1" si="14"/>
        <v>0</v>
      </c>
      <c r="BF51" s="21">
        <f t="shared" ca="1" si="14"/>
        <v>0</v>
      </c>
      <c r="BG51" s="21">
        <f t="shared" ca="1" si="14"/>
        <v>0</v>
      </c>
      <c r="BH51" s="21">
        <f t="shared" ca="1" si="14"/>
        <v>6</v>
      </c>
      <c r="BI51" s="21">
        <f t="shared" ca="1" si="14"/>
        <v>6</v>
      </c>
      <c r="BJ51" s="21">
        <f t="shared" ca="1" si="14"/>
        <v>0</v>
      </c>
      <c r="BK51" s="21">
        <f t="shared" ca="1" si="14"/>
        <v>0</v>
      </c>
      <c r="BL51" s="21">
        <f t="shared" ca="1" si="14"/>
        <v>0</v>
      </c>
      <c r="BM51" s="21">
        <f t="shared" ca="1" si="14"/>
        <v>0</v>
      </c>
      <c r="BN51" s="21">
        <f t="shared" ca="1" si="14"/>
        <v>0</v>
      </c>
      <c r="BO51" s="21">
        <f t="shared" ca="1" si="14"/>
        <v>0</v>
      </c>
      <c r="BP51" s="21">
        <f t="shared" ref="BP51:CT51" ca="1" si="15">COUNTIFS(INDIRECT("'" &amp; $B$20 &amp; "'!$S:$S"),"&gt;=" &amp; BP$22,INDIRECT("'" &amp; $B$20 &amp; "'!$S:$S"), "&lt;" &amp; BQ$22)</f>
        <v>6</v>
      </c>
      <c r="BQ51" s="21">
        <f t="shared" ca="1" si="15"/>
        <v>6</v>
      </c>
      <c r="BR51" s="21">
        <f t="shared" ca="1" si="15"/>
        <v>0</v>
      </c>
      <c r="BS51" s="21">
        <f t="shared" ca="1" si="15"/>
        <v>0</v>
      </c>
      <c r="BT51" s="21">
        <f t="shared" ca="1" si="15"/>
        <v>0</v>
      </c>
      <c r="BU51" s="21">
        <f t="shared" ca="1" si="15"/>
        <v>0</v>
      </c>
      <c r="BV51" s="21">
        <f t="shared" ca="1" si="15"/>
        <v>0</v>
      </c>
      <c r="BW51" s="21">
        <f t="shared" ca="1" si="15"/>
        <v>0</v>
      </c>
      <c r="BX51" s="21">
        <f t="shared" ca="1" si="15"/>
        <v>0</v>
      </c>
      <c r="BY51" s="21">
        <f t="shared" ca="1" si="15"/>
        <v>0</v>
      </c>
      <c r="BZ51" s="21">
        <f t="shared" ca="1" si="15"/>
        <v>0</v>
      </c>
      <c r="CA51" s="21">
        <f t="shared" ca="1" si="15"/>
        <v>0</v>
      </c>
      <c r="CB51" s="21">
        <f t="shared" ca="1" si="15"/>
        <v>0</v>
      </c>
      <c r="CC51" s="21">
        <f t="shared" ca="1" si="15"/>
        <v>0</v>
      </c>
      <c r="CD51" s="21">
        <f t="shared" ca="1" si="15"/>
        <v>0</v>
      </c>
      <c r="CE51" s="21">
        <f t="shared" ca="1" si="15"/>
        <v>0</v>
      </c>
      <c r="CF51" s="21">
        <f t="shared" ca="1" si="15"/>
        <v>0</v>
      </c>
      <c r="CG51" s="21">
        <f t="shared" ca="1" si="15"/>
        <v>0</v>
      </c>
      <c r="CH51" s="21">
        <f t="shared" ca="1" si="15"/>
        <v>0</v>
      </c>
      <c r="CI51" s="21">
        <f t="shared" ca="1" si="15"/>
        <v>0</v>
      </c>
      <c r="CJ51" s="21">
        <f t="shared" ca="1" si="15"/>
        <v>0</v>
      </c>
      <c r="CK51" s="21">
        <f t="shared" ca="1" si="15"/>
        <v>0</v>
      </c>
      <c r="CL51" s="21">
        <f t="shared" ca="1" si="15"/>
        <v>0</v>
      </c>
      <c r="CM51" s="21">
        <f t="shared" ca="1" si="15"/>
        <v>6</v>
      </c>
      <c r="CN51" s="21">
        <f t="shared" ca="1" si="15"/>
        <v>0</v>
      </c>
      <c r="CO51" s="21">
        <f t="shared" ca="1" si="15"/>
        <v>0</v>
      </c>
      <c r="CP51" s="21">
        <f t="shared" ca="1" si="15"/>
        <v>6</v>
      </c>
      <c r="CQ51" s="21">
        <f t="shared" ca="1" si="15"/>
        <v>0</v>
      </c>
      <c r="CR51" s="21">
        <f t="shared" ca="1" si="15"/>
        <v>0</v>
      </c>
      <c r="CS51" s="21">
        <f t="shared" ca="1" si="15"/>
        <v>6</v>
      </c>
      <c r="CT51" s="21">
        <f t="shared" ca="1" si="15"/>
        <v>0</v>
      </c>
    </row>
    <row r="52" spans="2:98">
      <c r="B52" s="20" t="s">
        <v>21</v>
      </c>
      <c r="C52" s="21">
        <f ca="1">C51</f>
        <v>0</v>
      </c>
      <c r="D52" s="21">
        <f ca="1">C52+D51</f>
        <v>0</v>
      </c>
      <c r="E52" s="21">
        <f t="shared" ref="E52:BP52" ca="1" si="16">D52+E51</f>
        <v>6</v>
      </c>
      <c r="F52" s="21">
        <f t="shared" ca="1" si="16"/>
        <v>6</v>
      </c>
      <c r="G52" s="21">
        <f t="shared" ca="1" si="16"/>
        <v>10</v>
      </c>
      <c r="H52" s="21">
        <f t="shared" ca="1" si="16"/>
        <v>10</v>
      </c>
      <c r="I52" s="21">
        <f t="shared" ca="1" si="16"/>
        <v>10</v>
      </c>
      <c r="J52" s="21">
        <f t="shared" ca="1" si="16"/>
        <v>10</v>
      </c>
      <c r="K52" s="21">
        <f t="shared" ca="1" si="16"/>
        <v>12</v>
      </c>
      <c r="L52" s="21">
        <f t="shared" ca="1" si="16"/>
        <v>18</v>
      </c>
      <c r="M52" s="21">
        <f t="shared" ca="1" si="16"/>
        <v>19</v>
      </c>
      <c r="N52" s="21">
        <f t="shared" ca="1" si="16"/>
        <v>19</v>
      </c>
      <c r="O52" s="21">
        <f t="shared" ca="1" si="16"/>
        <v>19</v>
      </c>
      <c r="P52" s="21">
        <f t="shared" ca="1" si="16"/>
        <v>19</v>
      </c>
      <c r="Q52" s="21">
        <f t="shared" ca="1" si="16"/>
        <v>19</v>
      </c>
      <c r="R52" s="21">
        <f t="shared" ca="1" si="16"/>
        <v>19</v>
      </c>
      <c r="S52" s="21">
        <f t="shared" ca="1" si="16"/>
        <v>25</v>
      </c>
      <c r="T52" s="21">
        <f t="shared" ca="1" si="16"/>
        <v>37</v>
      </c>
      <c r="U52" s="21">
        <f t="shared" ca="1" si="16"/>
        <v>43</v>
      </c>
      <c r="V52" s="21">
        <f t="shared" ca="1" si="16"/>
        <v>43</v>
      </c>
      <c r="W52" s="21">
        <f t="shared" ca="1" si="16"/>
        <v>43</v>
      </c>
      <c r="X52" s="21">
        <f t="shared" ca="1" si="16"/>
        <v>49</v>
      </c>
      <c r="Y52" s="21">
        <f t="shared" ca="1" si="16"/>
        <v>55</v>
      </c>
      <c r="Z52" s="21">
        <f t="shared" ca="1" si="16"/>
        <v>55</v>
      </c>
      <c r="AA52" s="21">
        <f t="shared" ca="1" si="16"/>
        <v>61</v>
      </c>
      <c r="AB52" s="21">
        <f t="shared" ca="1" si="16"/>
        <v>67</v>
      </c>
      <c r="AC52" s="21">
        <f t="shared" ca="1" si="16"/>
        <v>67</v>
      </c>
      <c r="AD52" s="21">
        <f t="shared" ca="1" si="16"/>
        <v>67</v>
      </c>
      <c r="AE52" s="21">
        <f t="shared" ca="1" si="16"/>
        <v>73</v>
      </c>
      <c r="AF52" s="21">
        <f t="shared" ca="1" si="16"/>
        <v>79</v>
      </c>
      <c r="AG52" s="21">
        <f t="shared" ca="1" si="16"/>
        <v>79</v>
      </c>
      <c r="AH52" s="21">
        <f t="shared" ca="1" si="16"/>
        <v>79</v>
      </c>
      <c r="AI52" s="21">
        <f t="shared" ca="1" si="16"/>
        <v>79</v>
      </c>
      <c r="AJ52" s="21">
        <f t="shared" ca="1" si="16"/>
        <v>79</v>
      </c>
      <c r="AK52" s="21">
        <f t="shared" ca="1" si="16"/>
        <v>79</v>
      </c>
      <c r="AL52" s="21">
        <f t="shared" ca="1" si="16"/>
        <v>79</v>
      </c>
      <c r="AM52" s="21">
        <f t="shared" ca="1" si="16"/>
        <v>79</v>
      </c>
      <c r="AN52" s="21">
        <f t="shared" ca="1" si="16"/>
        <v>79</v>
      </c>
      <c r="AO52" s="21">
        <f t="shared" ca="1" si="16"/>
        <v>79</v>
      </c>
      <c r="AP52" s="21">
        <f t="shared" ca="1" si="16"/>
        <v>79</v>
      </c>
      <c r="AQ52" s="21">
        <f t="shared" ca="1" si="16"/>
        <v>79</v>
      </c>
      <c r="AR52" s="21">
        <f t="shared" ca="1" si="16"/>
        <v>79</v>
      </c>
      <c r="AS52" s="21">
        <f t="shared" ca="1" si="16"/>
        <v>79</v>
      </c>
      <c r="AT52" s="21">
        <f t="shared" ca="1" si="16"/>
        <v>79</v>
      </c>
      <c r="AU52" s="21">
        <f t="shared" ca="1" si="16"/>
        <v>79</v>
      </c>
      <c r="AV52" s="21">
        <f t="shared" ca="1" si="16"/>
        <v>79</v>
      </c>
      <c r="AW52" s="21">
        <f t="shared" ca="1" si="16"/>
        <v>79</v>
      </c>
      <c r="AX52" s="21">
        <f t="shared" ca="1" si="16"/>
        <v>79</v>
      </c>
      <c r="AY52" s="21">
        <f t="shared" ca="1" si="16"/>
        <v>79</v>
      </c>
      <c r="AZ52" s="21">
        <f t="shared" ca="1" si="16"/>
        <v>79</v>
      </c>
      <c r="BA52" s="21">
        <f t="shared" ca="1" si="16"/>
        <v>79</v>
      </c>
      <c r="BB52" s="21">
        <f t="shared" ca="1" si="16"/>
        <v>85</v>
      </c>
      <c r="BC52" s="21">
        <f t="shared" ca="1" si="16"/>
        <v>91</v>
      </c>
      <c r="BD52" s="21">
        <f t="shared" ca="1" si="16"/>
        <v>91</v>
      </c>
      <c r="BE52" s="21">
        <f t="shared" ca="1" si="16"/>
        <v>91</v>
      </c>
      <c r="BF52" s="21">
        <f t="shared" ca="1" si="16"/>
        <v>91</v>
      </c>
      <c r="BG52" s="21">
        <f t="shared" ca="1" si="16"/>
        <v>91</v>
      </c>
      <c r="BH52" s="21">
        <f t="shared" ca="1" si="16"/>
        <v>97</v>
      </c>
      <c r="BI52" s="21">
        <f t="shared" ca="1" si="16"/>
        <v>103</v>
      </c>
      <c r="BJ52" s="21">
        <f t="shared" ca="1" si="16"/>
        <v>103</v>
      </c>
      <c r="BK52" s="21">
        <f t="shared" ca="1" si="16"/>
        <v>103</v>
      </c>
      <c r="BL52" s="21">
        <f t="shared" ca="1" si="16"/>
        <v>103</v>
      </c>
      <c r="BM52" s="21">
        <f t="shared" ca="1" si="16"/>
        <v>103</v>
      </c>
      <c r="BN52" s="21">
        <f t="shared" ca="1" si="16"/>
        <v>103</v>
      </c>
      <c r="BO52" s="21">
        <f t="shared" ca="1" si="16"/>
        <v>103</v>
      </c>
      <c r="BP52" s="21">
        <f t="shared" ca="1" si="16"/>
        <v>109</v>
      </c>
      <c r="BQ52" s="21">
        <f t="shared" ref="BQ52:CT52" ca="1" si="17">BP52+BQ51</f>
        <v>115</v>
      </c>
      <c r="BR52" s="21">
        <f t="shared" ca="1" si="17"/>
        <v>115</v>
      </c>
      <c r="BS52" s="21">
        <f t="shared" ca="1" si="17"/>
        <v>115</v>
      </c>
      <c r="BT52" s="21">
        <f t="shared" ca="1" si="17"/>
        <v>115</v>
      </c>
      <c r="BU52" s="21">
        <f t="shared" ca="1" si="17"/>
        <v>115</v>
      </c>
      <c r="BV52" s="21">
        <f t="shared" ca="1" si="17"/>
        <v>115</v>
      </c>
      <c r="BW52" s="21">
        <f t="shared" ca="1" si="17"/>
        <v>115</v>
      </c>
      <c r="BX52" s="21">
        <f t="shared" ca="1" si="17"/>
        <v>115</v>
      </c>
      <c r="BY52" s="21">
        <f t="shared" ca="1" si="17"/>
        <v>115</v>
      </c>
      <c r="BZ52" s="21">
        <f t="shared" ca="1" si="17"/>
        <v>115</v>
      </c>
      <c r="CA52" s="21">
        <f t="shared" ca="1" si="17"/>
        <v>115</v>
      </c>
      <c r="CB52" s="21">
        <f t="shared" ca="1" si="17"/>
        <v>115</v>
      </c>
      <c r="CC52" s="21">
        <f t="shared" ca="1" si="17"/>
        <v>115</v>
      </c>
      <c r="CD52" s="21">
        <f t="shared" ca="1" si="17"/>
        <v>115</v>
      </c>
      <c r="CE52" s="21">
        <f t="shared" ca="1" si="17"/>
        <v>115</v>
      </c>
      <c r="CF52" s="21">
        <f t="shared" ca="1" si="17"/>
        <v>115</v>
      </c>
      <c r="CG52" s="21">
        <f t="shared" ca="1" si="17"/>
        <v>115</v>
      </c>
      <c r="CH52" s="21">
        <f t="shared" ca="1" si="17"/>
        <v>115</v>
      </c>
      <c r="CI52" s="21">
        <f t="shared" ca="1" si="17"/>
        <v>115</v>
      </c>
      <c r="CJ52" s="21">
        <f t="shared" ca="1" si="17"/>
        <v>115</v>
      </c>
      <c r="CK52" s="21">
        <f t="shared" ca="1" si="17"/>
        <v>115</v>
      </c>
      <c r="CL52" s="21">
        <f t="shared" ca="1" si="17"/>
        <v>115</v>
      </c>
      <c r="CM52" s="21">
        <f t="shared" ca="1" si="17"/>
        <v>121</v>
      </c>
      <c r="CN52" s="21">
        <f t="shared" ca="1" si="17"/>
        <v>121</v>
      </c>
      <c r="CO52" s="21">
        <f t="shared" ca="1" si="17"/>
        <v>121</v>
      </c>
      <c r="CP52" s="21">
        <f t="shared" ca="1" si="17"/>
        <v>127</v>
      </c>
      <c r="CQ52" s="21">
        <f t="shared" ca="1" si="17"/>
        <v>127</v>
      </c>
      <c r="CR52" s="21">
        <f t="shared" ca="1" si="17"/>
        <v>127</v>
      </c>
      <c r="CS52" s="21">
        <f t="shared" ca="1" si="17"/>
        <v>133</v>
      </c>
      <c r="CT52" s="21">
        <f t="shared" ca="1" si="17"/>
        <v>133</v>
      </c>
    </row>
    <row r="53" spans="2:98">
      <c r="B53" s="20" t="s">
        <v>383</v>
      </c>
      <c r="C53" s="21">
        <f ca="1">COUNTIFS(INDIRECT("'" &amp; $B$20 &amp; "'!$U:$U"),"&gt;=" &amp; C$22,INDIRECT("'" &amp; $B$20 &amp; "'!$U:$U"), "&lt;" &amp; D$22)</f>
        <v>0</v>
      </c>
      <c r="D53" s="21">
        <f t="shared" ref="D53:BO53" ca="1" si="18">COUNTIFS(INDIRECT("'" &amp; $B$20 &amp; "'!$U:$U"),"&gt;=" &amp; D$22,INDIRECT("'" &amp; $B$20 &amp; "'!$U:$U"), "&lt;" &amp; E$22)</f>
        <v>0</v>
      </c>
      <c r="E53" s="21">
        <f t="shared" ca="1" si="18"/>
        <v>6</v>
      </c>
      <c r="F53" s="21">
        <f t="shared" ca="1" si="18"/>
        <v>0</v>
      </c>
      <c r="G53" s="21">
        <f t="shared" ca="1" si="18"/>
        <v>3</v>
      </c>
      <c r="H53" s="21">
        <f t="shared" ca="1" si="18"/>
        <v>0</v>
      </c>
      <c r="I53" s="21">
        <f t="shared" ca="1" si="18"/>
        <v>0</v>
      </c>
      <c r="J53" s="21">
        <f t="shared" ca="1" si="18"/>
        <v>5</v>
      </c>
      <c r="K53" s="21">
        <f t="shared" ca="1" si="18"/>
        <v>4</v>
      </c>
      <c r="L53" s="21">
        <f t="shared" ca="1" si="18"/>
        <v>2</v>
      </c>
      <c r="M53" s="21">
        <f t="shared" ca="1" si="18"/>
        <v>2</v>
      </c>
      <c r="N53" s="21">
        <f t="shared" ca="1" si="18"/>
        <v>3</v>
      </c>
      <c r="O53" s="21">
        <f t="shared" ca="1" si="18"/>
        <v>0</v>
      </c>
      <c r="P53" s="21">
        <f t="shared" ca="1" si="18"/>
        <v>0</v>
      </c>
      <c r="Q53" s="21">
        <f t="shared" ca="1" si="18"/>
        <v>0</v>
      </c>
      <c r="R53" s="21">
        <f t="shared" ca="1" si="18"/>
        <v>0</v>
      </c>
      <c r="S53" s="21">
        <f t="shared" ca="1" si="18"/>
        <v>0</v>
      </c>
      <c r="T53" s="21">
        <f t="shared" ca="1" si="18"/>
        <v>0</v>
      </c>
      <c r="U53" s="21">
        <f t="shared" ca="1" si="18"/>
        <v>0</v>
      </c>
      <c r="V53" s="21">
        <f t="shared" ca="1" si="18"/>
        <v>0</v>
      </c>
      <c r="W53" s="21">
        <f t="shared" ca="1" si="18"/>
        <v>0</v>
      </c>
      <c r="X53" s="21">
        <f t="shared" ca="1" si="18"/>
        <v>0</v>
      </c>
      <c r="Y53" s="21">
        <f t="shared" ca="1" si="18"/>
        <v>0</v>
      </c>
      <c r="Z53" s="21">
        <f t="shared" ca="1" si="18"/>
        <v>0</v>
      </c>
      <c r="AA53" s="21">
        <f t="shared" ca="1" si="18"/>
        <v>0</v>
      </c>
      <c r="AB53" s="21">
        <f t="shared" ca="1" si="18"/>
        <v>0</v>
      </c>
      <c r="AC53" s="21">
        <f t="shared" ca="1" si="18"/>
        <v>0</v>
      </c>
      <c r="AD53" s="21">
        <f t="shared" ca="1" si="18"/>
        <v>0</v>
      </c>
      <c r="AE53" s="21">
        <f t="shared" ca="1" si="18"/>
        <v>0</v>
      </c>
      <c r="AF53" s="21">
        <f t="shared" ca="1" si="18"/>
        <v>0</v>
      </c>
      <c r="AG53" s="21">
        <f t="shared" ca="1" si="18"/>
        <v>0</v>
      </c>
      <c r="AH53" s="21">
        <f t="shared" ca="1" si="18"/>
        <v>0</v>
      </c>
      <c r="AI53" s="21">
        <f t="shared" ca="1" si="18"/>
        <v>0</v>
      </c>
      <c r="AJ53" s="21">
        <f t="shared" ca="1" si="18"/>
        <v>0</v>
      </c>
      <c r="AK53" s="21">
        <f t="shared" ca="1" si="18"/>
        <v>0</v>
      </c>
      <c r="AL53" s="21">
        <f t="shared" ca="1" si="18"/>
        <v>0</v>
      </c>
      <c r="AM53" s="21">
        <f t="shared" ca="1" si="18"/>
        <v>0</v>
      </c>
      <c r="AN53" s="21">
        <f t="shared" ca="1" si="18"/>
        <v>0</v>
      </c>
      <c r="AO53" s="21">
        <f t="shared" ca="1" si="18"/>
        <v>0</v>
      </c>
      <c r="AP53" s="21">
        <f t="shared" ca="1" si="18"/>
        <v>0</v>
      </c>
      <c r="AQ53" s="21">
        <f t="shared" ca="1" si="18"/>
        <v>0</v>
      </c>
      <c r="AR53" s="21">
        <f t="shared" ca="1" si="18"/>
        <v>0</v>
      </c>
      <c r="AS53" s="21">
        <f t="shared" ca="1" si="18"/>
        <v>0</v>
      </c>
      <c r="AT53" s="21">
        <f t="shared" ca="1" si="18"/>
        <v>0</v>
      </c>
      <c r="AU53" s="21">
        <f t="shared" ca="1" si="18"/>
        <v>0</v>
      </c>
      <c r="AV53" s="21">
        <f t="shared" ca="1" si="18"/>
        <v>0</v>
      </c>
      <c r="AW53" s="21">
        <f t="shared" ca="1" si="18"/>
        <v>0</v>
      </c>
      <c r="AX53" s="21">
        <f t="shared" ca="1" si="18"/>
        <v>0</v>
      </c>
      <c r="AY53" s="21">
        <f t="shared" ca="1" si="18"/>
        <v>0</v>
      </c>
      <c r="AZ53" s="21">
        <f t="shared" ca="1" si="18"/>
        <v>0</v>
      </c>
      <c r="BA53" s="21">
        <f t="shared" ca="1" si="18"/>
        <v>0</v>
      </c>
      <c r="BB53" s="21">
        <f t="shared" ca="1" si="18"/>
        <v>0</v>
      </c>
      <c r="BC53" s="21">
        <f t="shared" ca="1" si="18"/>
        <v>0</v>
      </c>
      <c r="BD53" s="21">
        <f t="shared" ca="1" si="18"/>
        <v>0</v>
      </c>
      <c r="BE53" s="21">
        <f t="shared" ca="1" si="18"/>
        <v>0</v>
      </c>
      <c r="BF53" s="21">
        <f t="shared" ca="1" si="18"/>
        <v>0</v>
      </c>
      <c r="BG53" s="21">
        <f t="shared" ca="1" si="18"/>
        <v>0</v>
      </c>
      <c r="BH53" s="21">
        <f t="shared" ca="1" si="18"/>
        <v>0</v>
      </c>
      <c r="BI53" s="21">
        <f t="shared" ca="1" si="18"/>
        <v>0</v>
      </c>
      <c r="BJ53" s="21">
        <f t="shared" ca="1" si="18"/>
        <v>0</v>
      </c>
      <c r="BK53" s="21">
        <f t="shared" ca="1" si="18"/>
        <v>0</v>
      </c>
      <c r="BL53" s="21">
        <f t="shared" ca="1" si="18"/>
        <v>0</v>
      </c>
      <c r="BM53" s="21">
        <f t="shared" ca="1" si="18"/>
        <v>0</v>
      </c>
      <c r="BN53" s="21">
        <f t="shared" ca="1" si="18"/>
        <v>0</v>
      </c>
      <c r="BO53" s="21">
        <f t="shared" ca="1" si="18"/>
        <v>0</v>
      </c>
      <c r="BP53" s="21">
        <f t="shared" ref="BP53:CT53" ca="1" si="19">COUNTIFS(INDIRECT("'" &amp; $B$20 &amp; "'!$U:$U"),"&gt;=" &amp; BP$22,INDIRECT("'" &amp; $B$20 &amp; "'!$U:$U"), "&lt;" &amp; BQ$22)</f>
        <v>0</v>
      </c>
      <c r="BQ53" s="21">
        <f t="shared" ca="1" si="19"/>
        <v>0</v>
      </c>
      <c r="BR53" s="21">
        <f t="shared" ca="1" si="19"/>
        <v>0</v>
      </c>
      <c r="BS53" s="21">
        <f t="shared" ca="1" si="19"/>
        <v>0</v>
      </c>
      <c r="BT53" s="21">
        <f t="shared" ca="1" si="19"/>
        <v>0</v>
      </c>
      <c r="BU53" s="21">
        <f t="shared" ca="1" si="19"/>
        <v>0</v>
      </c>
      <c r="BV53" s="21">
        <f t="shared" ca="1" si="19"/>
        <v>0</v>
      </c>
      <c r="BW53" s="21">
        <f t="shared" ca="1" si="19"/>
        <v>0</v>
      </c>
      <c r="BX53" s="21">
        <f t="shared" ca="1" si="19"/>
        <v>0</v>
      </c>
      <c r="BY53" s="21">
        <f t="shared" ca="1" si="19"/>
        <v>0</v>
      </c>
      <c r="BZ53" s="21">
        <f t="shared" ca="1" si="19"/>
        <v>0</v>
      </c>
      <c r="CA53" s="21">
        <f t="shared" ca="1" si="19"/>
        <v>0</v>
      </c>
      <c r="CB53" s="21">
        <f t="shared" ca="1" si="19"/>
        <v>0</v>
      </c>
      <c r="CC53" s="21">
        <f t="shared" ca="1" si="19"/>
        <v>0</v>
      </c>
      <c r="CD53" s="21">
        <f t="shared" ca="1" si="19"/>
        <v>0</v>
      </c>
      <c r="CE53" s="21">
        <f t="shared" ca="1" si="19"/>
        <v>0</v>
      </c>
      <c r="CF53" s="21">
        <f t="shared" ca="1" si="19"/>
        <v>0</v>
      </c>
      <c r="CG53" s="21">
        <f t="shared" ca="1" si="19"/>
        <v>0</v>
      </c>
      <c r="CH53" s="21">
        <f t="shared" ca="1" si="19"/>
        <v>0</v>
      </c>
      <c r="CI53" s="21">
        <f t="shared" ca="1" si="19"/>
        <v>0</v>
      </c>
      <c r="CJ53" s="21">
        <f t="shared" ca="1" si="19"/>
        <v>0</v>
      </c>
      <c r="CK53" s="21">
        <f t="shared" ca="1" si="19"/>
        <v>0</v>
      </c>
      <c r="CL53" s="21">
        <f t="shared" ca="1" si="19"/>
        <v>0</v>
      </c>
      <c r="CM53" s="21">
        <f t="shared" ca="1" si="19"/>
        <v>0</v>
      </c>
      <c r="CN53" s="21">
        <f t="shared" ca="1" si="19"/>
        <v>0</v>
      </c>
      <c r="CO53" s="21">
        <f t="shared" ca="1" si="19"/>
        <v>0</v>
      </c>
      <c r="CP53" s="21">
        <f t="shared" ca="1" si="19"/>
        <v>0</v>
      </c>
      <c r="CQ53" s="21">
        <f t="shared" ca="1" si="19"/>
        <v>0</v>
      </c>
      <c r="CR53" s="21">
        <f t="shared" ca="1" si="19"/>
        <v>0</v>
      </c>
      <c r="CS53" s="21">
        <f t="shared" ca="1" si="19"/>
        <v>0</v>
      </c>
      <c r="CT53" s="21">
        <f t="shared" ca="1" si="19"/>
        <v>0</v>
      </c>
    </row>
    <row r="54" spans="2:98">
      <c r="B54" s="20" t="s">
        <v>23</v>
      </c>
      <c r="C54" s="21">
        <f ca="1">C53</f>
        <v>0</v>
      </c>
      <c r="D54" s="21">
        <f ca="1">C54+D53</f>
        <v>0</v>
      </c>
      <c r="E54" s="21">
        <f t="shared" ref="E54:BP54" ca="1" si="20">D54+E53</f>
        <v>6</v>
      </c>
      <c r="F54" s="21">
        <f t="shared" ca="1" si="20"/>
        <v>6</v>
      </c>
      <c r="G54" s="21">
        <f t="shared" ca="1" si="20"/>
        <v>9</v>
      </c>
      <c r="H54" s="21">
        <f t="shared" ca="1" si="20"/>
        <v>9</v>
      </c>
      <c r="I54" s="21">
        <f t="shared" ca="1" si="20"/>
        <v>9</v>
      </c>
      <c r="J54" s="21">
        <f t="shared" ca="1" si="20"/>
        <v>14</v>
      </c>
      <c r="K54" s="21">
        <f t="shared" ca="1" si="20"/>
        <v>18</v>
      </c>
      <c r="L54" s="21">
        <f t="shared" ca="1" si="20"/>
        <v>20</v>
      </c>
      <c r="M54" s="21">
        <f t="shared" ca="1" si="20"/>
        <v>22</v>
      </c>
      <c r="N54" s="21">
        <f t="shared" ca="1" si="20"/>
        <v>25</v>
      </c>
      <c r="O54" s="21">
        <f t="shared" ca="1" si="20"/>
        <v>25</v>
      </c>
      <c r="P54" s="21">
        <f t="shared" ca="1" si="20"/>
        <v>25</v>
      </c>
      <c r="Q54" s="21">
        <f t="shared" ca="1" si="20"/>
        <v>25</v>
      </c>
      <c r="R54" s="21">
        <f t="shared" ca="1" si="20"/>
        <v>25</v>
      </c>
      <c r="S54" s="21">
        <f t="shared" ca="1" si="20"/>
        <v>25</v>
      </c>
      <c r="T54" s="21">
        <f t="shared" ca="1" si="20"/>
        <v>25</v>
      </c>
      <c r="U54" s="21">
        <f t="shared" ca="1" si="20"/>
        <v>25</v>
      </c>
      <c r="V54" s="21">
        <f t="shared" ca="1" si="20"/>
        <v>25</v>
      </c>
      <c r="W54" s="21">
        <f t="shared" ca="1" si="20"/>
        <v>25</v>
      </c>
      <c r="X54" s="21">
        <f t="shared" ca="1" si="20"/>
        <v>25</v>
      </c>
      <c r="Y54" s="21">
        <f t="shared" ca="1" si="20"/>
        <v>25</v>
      </c>
      <c r="Z54" s="21">
        <f t="shared" ca="1" si="20"/>
        <v>25</v>
      </c>
      <c r="AA54" s="21">
        <f t="shared" ca="1" si="20"/>
        <v>25</v>
      </c>
      <c r="AB54" s="21">
        <f t="shared" ca="1" si="20"/>
        <v>25</v>
      </c>
      <c r="AC54" s="21">
        <f t="shared" ca="1" si="20"/>
        <v>25</v>
      </c>
      <c r="AD54" s="21">
        <f t="shared" ca="1" si="20"/>
        <v>25</v>
      </c>
      <c r="AE54" s="21">
        <f t="shared" ca="1" si="20"/>
        <v>25</v>
      </c>
      <c r="AF54" s="21">
        <f t="shared" ca="1" si="20"/>
        <v>25</v>
      </c>
      <c r="AG54" s="21">
        <f t="shared" ca="1" si="20"/>
        <v>25</v>
      </c>
      <c r="AH54" s="21">
        <f t="shared" ca="1" si="20"/>
        <v>25</v>
      </c>
      <c r="AI54" s="21">
        <f t="shared" ca="1" si="20"/>
        <v>25</v>
      </c>
      <c r="AJ54" s="21">
        <f t="shared" ca="1" si="20"/>
        <v>25</v>
      </c>
      <c r="AK54" s="21">
        <f t="shared" ca="1" si="20"/>
        <v>25</v>
      </c>
      <c r="AL54" s="21">
        <f t="shared" ca="1" si="20"/>
        <v>25</v>
      </c>
      <c r="AM54" s="21">
        <f t="shared" ca="1" si="20"/>
        <v>25</v>
      </c>
      <c r="AN54" s="21">
        <f t="shared" ca="1" si="20"/>
        <v>25</v>
      </c>
      <c r="AO54" s="21">
        <f t="shared" ca="1" si="20"/>
        <v>25</v>
      </c>
      <c r="AP54" s="21">
        <f t="shared" ca="1" si="20"/>
        <v>25</v>
      </c>
      <c r="AQ54" s="21">
        <f t="shared" ca="1" si="20"/>
        <v>25</v>
      </c>
      <c r="AR54" s="21">
        <f t="shared" ca="1" si="20"/>
        <v>25</v>
      </c>
      <c r="AS54" s="21">
        <f t="shared" ca="1" si="20"/>
        <v>25</v>
      </c>
      <c r="AT54" s="21">
        <f t="shared" ca="1" si="20"/>
        <v>25</v>
      </c>
      <c r="AU54" s="21">
        <f t="shared" ca="1" si="20"/>
        <v>25</v>
      </c>
      <c r="AV54" s="21">
        <f t="shared" ca="1" si="20"/>
        <v>25</v>
      </c>
      <c r="AW54" s="21">
        <f t="shared" ca="1" si="20"/>
        <v>25</v>
      </c>
      <c r="AX54" s="21">
        <f t="shared" ca="1" si="20"/>
        <v>25</v>
      </c>
      <c r="AY54" s="21">
        <f t="shared" ca="1" si="20"/>
        <v>25</v>
      </c>
      <c r="AZ54" s="21">
        <f t="shared" ca="1" si="20"/>
        <v>25</v>
      </c>
      <c r="BA54" s="21">
        <f t="shared" ca="1" si="20"/>
        <v>25</v>
      </c>
      <c r="BB54" s="21">
        <f t="shared" ca="1" si="20"/>
        <v>25</v>
      </c>
      <c r="BC54" s="21">
        <f t="shared" ca="1" si="20"/>
        <v>25</v>
      </c>
      <c r="BD54" s="21">
        <f t="shared" ca="1" si="20"/>
        <v>25</v>
      </c>
      <c r="BE54" s="21">
        <f t="shared" ca="1" si="20"/>
        <v>25</v>
      </c>
      <c r="BF54" s="21">
        <f t="shared" ca="1" si="20"/>
        <v>25</v>
      </c>
      <c r="BG54" s="21">
        <f t="shared" ca="1" si="20"/>
        <v>25</v>
      </c>
      <c r="BH54" s="21">
        <f t="shared" ca="1" si="20"/>
        <v>25</v>
      </c>
      <c r="BI54" s="21">
        <f t="shared" ca="1" si="20"/>
        <v>25</v>
      </c>
      <c r="BJ54" s="21">
        <f t="shared" ca="1" si="20"/>
        <v>25</v>
      </c>
      <c r="BK54" s="21">
        <f t="shared" ca="1" si="20"/>
        <v>25</v>
      </c>
      <c r="BL54" s="21">
        <f t="shared" ca="1" si="20"/>
        <v>25</v>
      </c>
      <c r="BM54" s="21">
        <f t="shared" ca="1" si="20"/>
        <v>25</v>
      </c>
      <c r="BN54" s="21">
        <f t="shared" ca="1" si="20"/>
        <v>25</v>
      </c>
      <c r="BO54" s="21">
        <f t="shared" ca="1" si="20"/>
        <v>25</v>
      </c>
      <c r="BP54" s="21">
        <f t="shared" ca="1" si="20"/>
        <v>25</v>
      </c>
      <c r="BQ54" s="21">
        <f t="shared" ref="BQ54:CT54" ca="1" si="21">BP54+BQ53</f>
        <v>25</v>
      </c>
      <c r="BR54" s="21">
        <f t="shared" ca="1" si="21"/>
        <v>25</v>
      </c>
      <c r="BS54" s="21">
        <f t="shared" ca="1" si="21"/>
        <v>25</v>
      </c>
      <c r="BT54" s="21">
        <f t="shared" ca="1" si="21"/>
        <v>25</v>
      </c>
      <c r="BU54" s="21">
        <f t="shared" ca="1" si="21"/>
        <v>25</v>
      </c>
      <c r="BV54" s="21">
        <f t="shared" ca="1" si="21"/>
        <v>25</v>
      </c>
      <c r="BW54" s="21">
        <f t="shared" ca="1" si="21"/>
        <v>25</v>
      </c>
      <c r="BX54" s="21">
        <f t="shared" ca="1" si="21"/>
        <v>25</v>
      </c>
      <c r="BY54" s="21">
        <f t="shared" ca="1" si="21"/>
        <v>25</v>
      </c>
      <c r="BZ54" s="21">
        <f t="shared" ca="1" si="21"/>
        <v>25</v>
      </c>
      <c r="CA54" s="21">
        <f t="shared" ca="1" si="21"/>
        <v>25</v>
      </c>
      <c r="CB54" s="21">
        <f t="shared" ca="1" si="21"/>
        <v>25</v>
      </c>
      <c r="CC54" s="21">
        <f t="shared" ca="1" si="21"/>
        <v>25</v>
      </c>
      <c r="CD54" s="21">
        <f t="shared" ca="1" si="21"/>
        <v>25</v>
      </c>
      <c r="CE54" s="21">
        <f t="shared" ca="1" si="21"/>
        <v>25</v>
      </c>
      <c r="CF54" s="21">
        <f t="shared" ca="1" si="21"/>
        <v>25</v>
      </c>
      <c r="CG54" s="21">
        <f t="shared" ca="1" si="21"/>
        <v>25</v>
      </c>
      <c r="CH54" s="21">
        <f t="shared" ca="1" si="21"/>
        <v>25</v>
      </c>
      <c r="CI54" s="21">
        <f t="shared" ca="1" si="21"/>
        <v>25</v>
      </c>
      <c r="CJ54" s="21">
        <f t="shared" ca="1" si="21"/>
        <v>25</v>
      </c>
      <c r="CK54" s="21">
        <f t="shared" ca="1" si="21"/>
        <v>25</v>
      </c>
      <c r="CL54" s="21">
        <f t="shared" ca="1" si="21"/>
        <v>25</v>
      </c>
      <c r="CM54" s="21">
        <f t="shared" ca="1" si="21"/>
        <v>25</v>
      </c>
      <c r="CN54" s="21">
        <f t="shared" ca="1" si="21"/>
        <v>25</v>
      </c>
      <c r="CO54" s="21">
        <f t="shared" ca="1" si="21"/>
        <v>25</v>
      </c>
      <c r="CP54" s="21">
        <f t="shared" ca="1" si="21"/>
        <v>25</v>
      </c>
      <c r="CQ54" s="21">
        <f t="shared" ca="1" si="21"/>
        <v>25</v>
      </c>
      <c r="CR54" s="21">
        <f t="shared" ca="1" si="21"/>
        <v>25</v>
      </c>
      <c r="CS54" s="21">
        <f t="shared" ca="1" si="21"/>
        <v>25</v>
      </c>
      <c r="CT54" s="21">
        <f t="shared" ca="1" si="21"/>
        <v>25</v>
      </c>
    </row>
    <row r="55" spans="2:98">
      <c r="B55" s="20" t="s">
        <v>24</v>
      </c>
      <c r="C55" s="21">
        <f ca="1">C54-C52</f>
        <v>0</v>
      </c>
      <c r="D55" s="21">
        <f t="shared" ref="D55:BO55" ca="1" si="22">D54-D52</f>
        <v>0</v>
      </c>
      <c r="E55" s="21">
        <f t="shared" ca="1" si="22"/>
        <v>0</v>
      </c>
      <c r="F55" s="21">
        <f t="shared" ca="1" si="22"/>
        <v>0</v>
      </c>
      <c r="G55" s="21">
        <f t="shared" ca="1" si="22"/>
        <v>-1</v>
      </c>
      <c r="H55" s="21">
        <f t="shared" ca="1" si="22"/>
        <v>-1</v>
      </c>
      <c r="I55" s="21">
        <f t="shared" ca="1" si="22"/>
        <v>-1</v>
      </c>
      <c r="J55" s="21">
        <f t="shared" ca="1" si="22"/>
        <v>4</v>
      </c>
      <c r="K55" s="21">
        <f t="shared" ca="1" si="22"/>
        <v>6</v>
      </c>
      <c r="L55" s="21">
        <f t="shared" ca="1" si="22"/>
        <v>2</v>
      </c>
      <c r="M55" s="21">
        <f t="shared" ca="1" si="22"/>
        <v>3</v>
      </c>
      <c r="N55" s="21">
        <f t="shared" ca="1" si="22"/>
        <v>6</v>
      </c>
      <c r="O55" s="21">
        <f t="shared" ca="1" si="22"/>
        <v>6</v>
      </c>
      <c r="P55" s="21">
        <f t="shared" ca="1" si="22"/>
        <v>6</v>
      </c>
      <c r="Q55" s="21">
        <f t="shared" ca="1" si="22"/>
        <v>6</v>
      </c>
      <c r="R55" s="21">
        <f t="shared" ca="1" si="22"/>
        <v>6</v>
      </c>
      <c r="S55" s="21">
        <f t="shared" ca="1" si="22"/>
        <v>0</v>
      </c>
      <c r="T55" s="21">
        <f t="shared" ca="1" si="22"/>
        <v>-12</v>
      </c>
      <c r="U55" s="21">
        <f t="shared" ca="1" si="22"/>
        <v>-18</v>
      </c>
      <c r="V55" s="21">
        <f t="shared" ca="1" si="22"/>
        <v>-18</v>
      </c>
      <c r="W55" s="21">
        <f t="shared" ca="1" si="22"/>
        <v>-18</v>
      </c>
      <c r="X55" s="21">
        <f t="shared" ca="1" si="22"/>
        <v>-24</v>
      </c>
      <c r="Y55" s="21">
        <f t="shared" ca="1" si="22"/>
        <v>-30</v>
      </c>
      <c r="Z55" s="21">
        <f t="shared" ca="1" si="22"/>
        <v>-30</v>
      </c>
      <c r="AA55" s="21">
        <f t="shared" ca="1" si="22"/>
        <v>-36</v>
      </c>
      <c r="AB55" s="21">
        <f t="shared" ca="1" si="22"/>
        <v>-42</v>
      </c>
      <c r="AC55" s="21">
        <f t="shared" ca="1" si="22"/>
        <v>-42</v>
      </c>
      <c r="AD55" s="21">
        <f t="shared" ca="1" si="22"/>
        <v>-42</v>
      </c>
      <c r="AE55" s="21">
        <f t="shared" ca="1" si="22"/>
        <v>-48</v>
      </c>
      <c r="AF55" s="21">
        <f t="shared" ca="1" si="22"/>
        <v>-54</v>
      </c>
      <c r="AG55" s="21">
        <f t="shared" ca="1" si="22"/>
        <v>-54</v>
      </c>
      <c r="AH55" s="21">
        <f t="shared" ca="1" si="22"/>
        <v>-54</v>
      </c>
      <c r="AI55" s="21">
        <f t="shared" ca="1" si="22"/>
        <v>-54</v>
      </c>
      <c r="AJ55" s="21">
        <f t="shared" ca="1" si="22"/>
        <v>-54</v>
      </c>
      <c r="AK55" s="21">
        <f t="shared" ca="1" si="22"/>
        <v>-54</v>
      </c>
      <c r="AL55" s="21">
        <f t="shared" ca="1" si="22"/>
        <v>-54</v>
      </c>
      <c r="AM55" s="21">
        <f t="shared" ca="1" si="22"/>
        <v>-54</v>
      </c>
      <c r="AN55" s="21">
        <f t="shared" ca="1" si="22"/>
        <v>-54</v>
      </c>
      <c r="AO55" s="21">
        <f t="shared" ca="1" si="22"/>
        <v>-54</v>
      </c>
      <c r="AP55" s="21">
        <f t="shared" ca="1" si="22"/>
        <v>-54</v>
      </c>
      <c r="AQ55" s="21">
        <f t="shared" ca="1" si="22"/>
        <v>-54</v>
      </c>
      <c r="AR55" s="21">
        <f t="shared" ca="1" si="22"/>
        <v>-54</v>
      </c>
      <c r="AS55" s="21">
        <f t="shared" ca="1" si="22"/>
        <v>-54</v>
      </c>
      <c r="AT55" s="21">
        <f t="shared" ca="1" si="22"/>
        <v>-54</v>
      </c>
      <c r="AU55" s="21">
        <f t="shared" ca="1" si="22"/>
        <v>-54</v>
      </c>
      <c r="AV55" s="21">
        <f t="shared" ca="1" si="22"/>
        <v>-54</v>
      </c>
      <c r="AW55" s="21">
        <f t="shared" ca="1" si="22"/>
        <v>-54</v>
      </c>
      <c r="AX55" s="21">
        <f t="shared" ca="1" si="22"/>
        <v>-54</v>
      </c>
      <c r="AY55" s="21">
        <f t="shared" ca="1" si="22"/>
        <v>-54</v>
      </c>
      <c r="AZ55" s="21">
        <f t="shared" ca="1" si="22"/>
        <v>-54</v>
      </c>
      <c r="BA55" s="21">
        <f t="shared" ca="1" si="22"/>
        <v>-54</v>
      </c>
      <c r="BB55" s="21">
        <f t="shared" ca="1" si="22"/>
        <v>-60</v>
      </c>
      <c r="BC55" s="21">
        <f t="shared" ca="1" si="22"/>
        <v>-66</v>
      </c>
      <c r="BD55" s="21">
        <f t="shared" ca="1" si="22"/>
        <v>-66</v>
      </c>
      <c r="BE55" s="21">
        <f t="shared" ca="1" si="22"/>
        <v>-66</v>
      </c>
      <c r="BF55" s="21">
        <f t="shared" ca="1" si="22"/>
        <v>-66</v>
      </c>
      <c r="BG55" s="21">
        <f t="shared" ca="1" si="22"/>
        <v>-66</v>
      </c>
      <c r="BH55" s="21">
        <f t="shared" ca="1" si="22"/>
        <v>-72</v>
      </c>
      <c r="BI55" s="21">
        <f t="shared" ca="1" si="22"/>
        <v>-78</v>
      </c>
      <c r="BJ55" s="21">
        <f t="shared" ca="1" si="22"/>
        <v>-78</v>
      </c>
      <c r="BK55" s="21">
        <f t="shared" ca="1" si="22"/>
        <v>-78</v>
      </c>
      <c r="BL55" s="21">
        <f t="shared" ca="1" si="22"/>
        <v>-78</v>
      </c>
      <c r="BM55" s="21">
        <f t="shared" ca="1" si="22"/>
        <v>-78</v>
      </c>
      <c r="BN55" s="21">
        <f t="shared" ca="1" si="22"/>
        <v>-78</v>
      </c>
      <c r="BO55" s="21">
        <f t="shared" ca="1" si="22"/>
        <v>-78</v>
      </c>
      <c r="BP55" s="21">
        <f t="shared" ref="BP55:CT55" ca="1" si="23">BP54-BP52</f>
        <v>-84</v>
      </c>
      <c r="BQ55" s="21">
        <f t="shared" ca="1" si="23"/>
        <v>-90</v>
      </c>
      <c r="BR55" s="21">
        <f t="shared" ca="1" si="23"/>
        <v>-90</v>
      </c>
      <c r="BS55" s="21">
        <f t="shared" ca="1" si="23"/>
        <v>-90</v>
      </c>
      <c r="BT55" s="21">
        <f t="shared" ca="1" si="23"/>
        <v>-90</v>
      </c>
      <c r="BU55" s="21">
        <f t="shared" ca="1" si="23"/>
        <v>-90</v>
      </c>
      <c r="BV55" s="21">
        <f t="shared" ca="1" si="23"/>
        <v>-90</v>
      </c>
      <c r="BW55" s="21">
        <f t="shared" ca="1" si="23"/>
        <v>-90</v>
      </c>
      <c r="BX55" s="21">
        <f t="shared" ca="1" si="23"/>
        <v>-90</v>
      </c>
      <c r="BY55" s="21">
        <f t="shared" ca="1" si="23"/>
        <v>-90</v>
      </c>
      <c r="BZ55" s="21">
        <f t="shared" ca="1" si="23"/>
        <v>-90</v>
      </c>
      <c r="CA55" s="21">
        <f t="shared" ca="1" si="23"/>
        <v>-90</v>
      </c>
      <c r="CB55" s="21">
        <f t="shared" ca="1" si="23"/>
        <v>-90</v>
      </c>
      <c r="CC55" s="21">
        <f t="shared" ca="1" si="23"/>
        <v>-90</v>
      </c>
      <c r="CD55" s="21">
        <f t="shared" ca="1" si="23"/>
        <v>-90</v>
      </c>
      <c r="CE55" s="21">
        <f t="shared" ca="1" si="23"/>
        <v>-90</v>
      </c>
      <c r="CF55" s="21">
        <f t="shared" ca="1" si="23"/>
        <v>-90</v>
      </c>
      <c r="CG55" s="21">
        <f t="shared" ca="1" si="23"/>
        <v>-90</v>
      </c>
      <c r="CH55" s="21">
        <f t="shared" ca="1" si="23"/>
        <v>-90</v>
      </c>
      <c r="CI55" s="21">
        <f t="shared" ca="1" si="23"/>
        <v>-90</v>
      </c>
      <c r="CJ55" s="21">
        <f t="shared" ca="1" si="23"/>
        <v>-90</v>
      </c>
      <c r="CK55" s="21">
        <f t="shared" ca="1" si="23"/>
        <v>-90</v>
      </c>
      <c r="CL55" s="21">
        <f t="shared" ca="1" si="23"/>
        <v>-90</v>
      </c>
      <c r="CM55" s="21">
        <f t="shared" ca="1" si="23"/>
        <v>-96</v>
      </c>
      <c r="CN55" s="21">
        <f t="shared" ca="1" si="23"/>
        <v>-96</v>
      </c>
      <c r="CO55" s="21">
        <f t="shared" ca="1" si="23"/>
        <v>-96</v>
      </c>
      <c r="CP55" s="21">
        <f t="shared" ca="1" si="23"/>
        <v>-102</v>
      </c>
      <c r="CQ55" s="21">
        <f t="shared" ca="1" si="23"/>
        <v>-102</v>
      </c>
      <c r="CR55" s="21">
        <f t="shared" ca="1" si="23"/>
        <v>-102</v>
      </c>
      <c r="CS55" s="21">
        <f t="shared" ca="1" si="23"/>
        <v>-108</v>
      </c>
      <c r="CT55" s="21">
        <f t="shared" ca="1" si="23"/>
        <v>-108</v>
      </c>
    </row>
  </sheetData>
  <phoneticPr fontId="1"/>
  <conditionalFormatting sqref="L22:L27">
    <cfRule type="expression" dxfId="32" priority="4">
      <formula>L$22=TODAY()</formula>
    </cfRule>
  </conditionalFormatting>
  <conditionalFormatting sqref="C22:CT27">
    <cfRule type="expression" dxfId="31" priority="3">
      <formula>C$22=Report_Day</formula>
    </cfRule>
  </conditionalFormatting>
  <conditionalFormatting sqref="L50:L55">
    <cfRule type="expression" dxfId="30" priority="2">
      <formula>L$22=TODAY()</formula>
    </cfRule>
  </conditionalFormatting>
  <conditionalFormatting sqref="C50:CT55">
    <cfRule type="expression" dxfId="29" priority="1">
      <formula>C$22=Report_Day</formula>
    </cfRule>
  </conditionalFormatting>
  <dataValidations count="1">
    <dataValidation type="list" allowBlank="1" showInputMessage="1" showErrorMessage="1" sqref="C18 C46" xr:uid="{5D17B8B9-AB7A-485A-9A0E-7A68E3F95CE1}">
      <formula1>"1,7,30"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landscape" r:id="rId1"/>
  <headerFooter>
    <oddHeader>&amp;L&amp;"Microsoft YaHei,標準"&amp;F&amp;C&amp;"Microsoft YaHei,標準"&amp;A&amp;R&amp;"Meiryo UI,標準"&amp;D</oddHeader>
    <oddFooter>&amp;C&amp;"Meiryo UI,標準"&amp;P/&amp;N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8A2CB920-B3B3-4D81-9F86-05153965D171}">
          <x14:formula1>
            <xm:f>'Sub-System'!$A:$A</xm:f>
          </x14:formula1>
          <xm:sqref>B48 B20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5193-F3FA-4C5F-B38D-6107A0DBD446}">
  <sheetPr codeName="Sheet18">
    <pageSetUpPr fitToPage="1"/>
  </sheetPr>
  <dimension ref="B2:CT55"/>
  <sheetViews>
    <sheetView zoomScale="55" zoomScaleNormal="55" workbookViewId="0">
      <selection activeCell="C18" sqref="C18"/>
    </sheetView>
  </sheetViews>
  <sheetFormatPr defaultColWidth="6.85546875" defaultRowHeight="15"/>
  <cols>
    <col min="1" max="1" width="1.35546875" style="14" customWidth="1"/>
    <col min="2" max="2" width="16.42578125" style="14" customWidth="1"/>
    <col min="3" max="98" width="6.78515625" style="14" customWidth="1"/>
    <col min="99" max="16384" width="6.85546875" style="14"/>
  </cols>
  <sheetData>
    <row r="2" spans="2:2" ht="19.5">
      <c r="B2" s="25" t="s">
        <v>390</v>
      </c>
    </row>
    <row r="17" spans="2:98" ht="15.5" thickBot="1"/>
    <row r="18" spans="2:98" ht="15.5" thickBot="1">
      <c r="B18" s="15" t="s">
        <v>18</v>
      </c>
      <c r="C18" s="16">
        <f>Progress!C18</f>
        <v>1</v>
      </c>
    </row>
    <row r="19" spans="2:98" ht="7" customHeight="1">
      <c r="B19" s="17"/>
    </row>
    <row r="20" spans="2:98">
      <c r="B20" s="23" t="s">
        <v>387</v>
      </c>
    </row>
    <row r="21" spans="2:98" ht="8.5" customHeight="1"/>
    <row r="22" spans="2:98">
      <c r="B22" s="18" t="s">
        <v>19</v>
      </c>
      <c r="C22" s="19">
        <v>45810</v>
      </c>
      <c r="D22" s="19">
        <f>C22+$C$18</f>
        <v>45811</v>
      </c>
      <c r="E22" s="19">
        <f t="shared" ref="E22:BP22" si="0">D22+$C$18</f>
        <v>45812</v>
      </c>
      <c r="F22" s="19">
        <f t="shared" si="0"/>
        <v>45813</v>
      </c>
      <c r="G22" s="19">
        <f t="shared" si="0"/>
        <v>45814</v>
      </c>
      <c r="H22" s="19">
        <f t="shared" si="0"/>
        <v>45815</v>
      </c>
      <c r="I22" s="19">
        <f t="shared" si="0"/>
        <v>45816</v>
      </c>
      <c r="J22" s="19">
        <f t="shared" si="0"/>
        <v>45817</v>
      </c>
      <c r="K22" s="19">
        <f t="shared" si="0"/>
        <v>45818</v>
      </c>
      <c r="L22" s="19">
        <f t="shared" si="0"/>
        <v>45819</v>
      </c>
      <c r="M22" s="19">
        <f t="shared" si="0"/>
        <v>45820</v>
      </c>
      <c r="N22" s="19">
        <f t="shared" si="0"/>
        <v>45821</v>
      </c>
      <c r="O22" s="19">
        <f t="shared" si="0"/>
        <v>45822</v>
      </c>
      <c r="P22" s="19">
        <f t="shared" si="0"/>
        <v>45823</v>
      </c>
      <c r="Q22" s="19">
        <f t="shared" si="0"/>
        <v>45824</v>
      </c>
      <c r="R22" s="19">
        <f t="shared" si="0"/>
        <v>45825</v>
      </c>
      <c r="S22" s="19">
        <f t="shared" si="0"/>
        <v>45826</v>
      </c>
      <c r="T22" s="19">
        <f t="shared" si="0"/>
        <v>45827</v>
      </c>
      <c r="U22" s="19">
        <f t="shared" si="0"/>
        <v>45828</v>
      </c>
      <c r="V22" s="19">
        <f t="shared" si="0"/>
        <v>45829</v>
      </c>
      <c r="W22" s="19">
        <f t="shared" si="0"/>
        <v>45830</v>
      </c>
      <c r="X22" s="19">
        <f t="shared" si="0"/>
        <v>45831</v>
      </c>
      <c r="Y22" s="19">
        <f t="shared" si="0"/>
        <v>45832</v>
      </c>
      <c r="Z22" s="19">
        <f t="shared" si="0"/>
        <v>45833</v>
      </c>
      <c r="AA22" s="19">
        <f t="shared" si="0"/>
        <v>45834</v>
      </c>
      <c r="AB22" s="19">
        <f t="shared" si="0"/>
        <v>45835</v>
      </c>
      <c r="AC22" s="19">
        <f t="shared" si="0"/>
        <v>45836</v>
      </c>
      <c r="AD22" s="19">
        <f t="shared" si="0"/>
        <v>45837</v>
      </c>
      <c r="AE22" s="19">
        <f t="shared" si="0"/>
        <v>45838</v>
      </c>
      <c r="AF22" s="19">
        <f t="shared" si="0"/>
        <v>45839</v>
      </c>
      <c r="AG22" s="19">
        <f t="shared" si="0"/>
        <v>45840</v>
      </c>
      <c r="AH22" s="19">
        <f t="shared" si="0"/>
        <v>45841</v>
      </c>
      <c r="AI22" s="19">
        <f t="shared" si="0"/>
        <v>45842</v>
      </c>
      <c r="AJ22" s="19">
        <f t="shared" si="0"/>
        <v>45843</v>
      </c>
      <c r="AK22" s="19">
        <f t="shared" si="0"/>
        <v>45844</v>
      </c>
      <c r="AL22" s="19">
        <f t="shared" si="0"/>
        <v>45845</v>
      </c>
      <c r="AM22" s="19">
        <f t="shared" si="0"/>
        <v>45846</v>
      </c>
      <c r="AN22" s="19">
        <f t="shared" si="0"/>
        <v>45847</v>
      </c>
      <c r="AO22" s="19">
        <f t="shared" si="0"/>
        <v>45848</v>
      </c>
      <c r="AP22" s="19">
        <f t="shared" si="0"/>
        <v>45849</v>
      </c>
      <c r="AQ22" s="19">
        <f t="shared" si="0"/>
        <v>45850</v>
      </c>
      <c r="AR22" s="19">
        <f t="shared" si="0"/>
        <v>45851</v>
      </c>
      <c r="AS22" s="19">
        <f t="shared" si="0"/>
        <v>45852</v>
      </c>
      <c r="AT22" s="19">
        <f t="shared" si="0"/>
        <v>45853</v>
      </c>
      <c r="AU22" s="19">
        <f t="shared" si="0"/>
        <v>45854</v>
      </c>
      <c r="AV22" s="19">
        <f t="shared" si="0"/>
        <v>45855</v>
      </c>
      <c r="AW22" s="19">
        <f t="shared" si="0"/>
        <v>45856</v>
      </c>
      <c r="AX22" s="19">
        <f t="shared" si="0"/>
        <v>45857</v>
      </c>
      <c r="AY22" s="19">
        <f t="shared" si="0"/>
        <v>45858</v>
      </c>
      <c r="AZ22" s="19">
        <f t="shared" si="0"/>
        <v>45859</v>
      </c>
      <c r="BA22" s="19">
        <f t="shared" si="0"/>
        <v>45860</v>
      </c>
      <c r="BB22" s="19">
        <f t="shared" si="0"/>
        <v>45861</v>
      </c>
      <c r="BC22" s="19">
        <f t="shared" si="0"/>
        <v>45862</v>
      </c>
      <c r="BD22" s="19">
        <f t="shared" si="0"/>
        <v>45863</v>
      </c>
      <c r="BE22" s="19">
        <f t="shared" si="0"/>
        <v>45864</v>
      </c>
      <c r="BF22" s="19">
        <f t="shared" si="0"/>
        <v>45865</v>
      </c>
      <c r="BG22" s="19">
        <f t="shared" si="0"/>
        <v>45866</v>
      </c>
      <c r="BH22" s="19">
        <f t="shared" si="0"/>
        <v>45867</v>
      </c>
      <c r="BI22" s="19">
        <f t="shared" si="0"/>
        <v>45868</v>
      </c>
      <c r="BJ22" s="19">
        <f t="shared" si="0"/>
        <v>45869</v>
      </c>
      <c r="BK22" s="19">
        <f t="shared" si="0"/>
        <v>45870</v>
      </c>
      <c r="BL22" s="19">
        <f t="shared" si="0"/>
        <v>45871</v>
      </c>
      <c r="BM22" s="19">
        <f t="shared" si="0"/>
        <v>45872</v>
      </c>
      <c r="BN22" s="19">
        <f t="shared" si="0"/>
        <v>45873</v>
      </c>
      <c r="BO22" s="19">
        <f t="shared" si="0"/>
        <v>45874</v>
      </c>
      <c r="BP22" s="19">
        <f t="shared" si="0"/>
        <v>45875</v>
      </c>
      <c r="BQ22" s="19">
        <f t="shared" ref="BQ22:CT22" si="1">BP22+$C$18</f>
        <v>45876</v>
      </c>
      <c r="BR22" s="19">
        <f t="shared" si="1"/>
        <v>45877</v>
      </c>
      <c r="BS22" s="19">
        <f t="shared" si="1"/>
        <v>45878</v>
      </c>
      <c r="BT22" s="19">
        <f t="shared" si="1"/>
        <v>45879</v>
      </c>
      <c r="BU22" s="19">
        <f t="shared" si="1"/>
        <v>45880</v>
      </c>
      <c r="BV22" s="19">
        <f t="shared" si="1"/>
        <v>45881</v>
      </c>
      <c r="BW22" s="19">
        <f t="shared" si="1"/>
        <v>45882</v>
      </c>
      <c r="BX22" s="19">
        <f t="shared" si="1"/>
        <v>45883</v>
      </c>
      <c r="BY22" s="19">
        <f t="shared" si="1"/>
        <v>45884</v>
      </c>
      <c r="BZ22" s="19">
        <f t="shared" si="1"/>
        <v>45885</v>
      </c>
      <c r="CA22" s="19">
        <f t="shared" si="1"/>
        <v>45886</v>
      </c>
      <c r="CB22" s="19">
        <f t="shared" si="1"/>
        <v>45887</v>
      </c>
      <c r="CC22" s="19">
        <f t="shared" si="1"/>
        <v>45888</v>
      </c>
      <c r="CD22" s="19">
        <f t="shared" si="1"/>
        <v>45889</v>
      </c>
      <c r="CE22" s="19">
        <f t="shared" si="1"/>
        <v>45890</v>
      </c>
      <c r="CF22" s="19">
        <f t="shared" si="1"/>
        <v>45891</v>
      </c>
      <c r="CG22" s="19">
        <f t="shared" si="1"/>
        <v>45892</v>
      </c>
      <c r="CH22" s="19">
        <f t="shared" si="1"/>
        <v>45893</v>
      </c>
      <c r="CI22" s="19">
        <f t="shared" si="1"/>
        <v>45894</v>
      </c>
      <c r="CJ22" s="19">
        <f t="shared" si="1"/>
        <v>45895</v>
      </c>
      <c r="CK22" s="19">
        <f t="shared" si="1"/>
        <v>45896</v>
      </c>
      <c r="CL22" s="19">
        <f t="shared" si="1"/>
        <v>45897</v>
      </c>
      <c r="CM22" s="19">
        <f t="shared" si="1"/>
        <v>45898</v>
      </c>
      <c r="CN22" s="19">
        <f t="shared" si="1"/>
        <v>45899</v>
      </c>
      <c r="CO22" s="19">
        <f t="shared" si="1"/>
        <v>45900</v>
      </c>
      <c r="CP22" s="19">
        <f t="shared" si="1"/>
        <v>45901</v>
      </c>
      <c r="CQ22" s="19">
        <f t="shared" si="1"/>
        <v>45902</v>
      </c>
      <c r="CR22" s="19">
        <f t="shared" si="1"/>
        <v>45903</v>
      </c>
      <c r="CS22" s="19">
        <f t="shared" si="1"/>
        <v>45904</v>
      </c>
      <c r="CT22" s="19">
        <f t="shared" si="1"/>
        <v>45905</v>
      </c>
    </row>
    <row r="23" spans="2:98">
      <c r="B23" s="20" t="s">
        <v>20</v>
      </c>
      <c r="C23" s="21">
        <f ca="1">COUNTIFS(INDIRECT("'" &amp; $B$20 &amp; "'!$T:$T"),"&gt;=" &amp; C$22,INDIRECT("'" &amp; $B$20 &amp; "'!$T:$T"), "&lt;" &amp; D$22)</f>
        <v>0</v>
      </c>
      <c r="D23" s="21">
        <f t="shared" ref="D23:BO23" ca="1" si="2">COUNTIFS(INDIRECT("'" &amp; $B$20 &amp; "'!$T:$T"),"&gt;=" &amp; D$22,INDIRECT("'" &amp; $B$20 &amp; "'!$T:$T"), "&lt;" &amp; E$22)</f>
        <v>0</v>
      </c>
      <c r="E23" s="21">
        <f t="shared" ca="1" si="2"/>
        <v>0</v>
      </c>
      <c r="F23" s="21">
        <f t="shared" ca="1" si="2"/>
        <v>0</v>
      </c>
      <c r="G23" s="21">
        <f t="shared" ca="1" si="2"/>
        <v>0</v>
      </c>
      <c r="H23" s="21">
        <f t="shared" ca="1" si="2"/>
        <v>0</v>
      </c>
      <c r="I23" s="21">
        <f t="shared" ca="1" si="2"/>
        <v>0</v>
      </c>
      <c r="J23" s="21">
        <f t="shared" ca="1" si="2"/>
        <v>3</v>
      </c>
      <c r="K23" s="21">
        <f t="shared" ca="1" si="2"/>
        <v>6</v>
      </c>
      <c r="L23" s="21">
        <f t="shared" ca="1" si="2"/>
        <v>3</v>
      </c>
      <c r="M23" s="21">
        <f t="shared" ca="1" si="2"/>
        <v>0</v>
      </c>
      <c r="N23" s="21">
        <f t="shared" ca="1" si="2"/>
        <v>0</v>
      </c>
      <c r="O23" s="21">
        <f t="shared" ca="1" si="2"/>
        <v>0</v>
      </c>
      <c r="P23" s="21">
        <f t="shared" ca="1" si="2"/>
        <v>0</v>
      </c>
      <c r="Q23" s="21">
        <f t="shared" ca="1" si="2"/>
        <v>0</v>
      </c>
      <c r="R23" s="21">
        <f t="shared" ca="1" si="2"/>
        <v>3</v>
      </c>
      <c r="S23" s="21">
        <f t="shared" ca="1" si="2"/>
        <v>3</v>
      </c>
      <c r="T23" s="21">
        <f t="shared" ca="1" si="2"/>
        <v>6</v>
      </c>
      <c r="U23" s="21">
        <f t="shared" ca="1" si="2"/>
        <v>3</v>
      </c>
      <c r="V23" s="21">
        <f t="shared" ca="1" si="2"/>
        <v>0</v>
      </c>
      <c r="W23" s="21">
        <f t="shared" ca="1" si="2"/>
        <v>0</v>
      </c>
      <c r="X23" s="21">
        <f t="shared" ca="1" si="2"/>
        <v>3</v>
      </c>
      <c r="Y23" s="21">
        <f t="shared" ca="1" si="2"/>
        <v>0</v>
      </c>
      <c r="Z23" s="21">
        <f t="shared" ca="1" si="2"/>
        <v>3</v>
      </c>
      <c r="AA23" s="21">
        <f t="shared" ca="1" si="2"/>
        <v>3</v>
      </c>
      <c r="AB23" s="21">
        <f t="shared" ca="1" si="2"/>
        <v>3</v>
      </c>
      <c r="AC23" s="21">
        <f t="shared" ca="1" si="2"/>
        <v>0</v>
      </c>
      <c r="AD23" s="21">
        <f t="shared" ca="1" si="2"/>
        <v>0</v>
      </c>
      <c r="AE23" s="21">
        <f t="shared" ca="1" si="2"/>
        <v>3</v>
      </c>
      <c r="AF23" s="21">
        <f t="shared" ca="1" si="2"/>
        <v>0</v>
      </c>
      <c r="AG23" s="21">
        <f t="shared" ca="1" si="2"/>
        <v>3</v>
      </c>
      <c r="AH23" s="21">
        <f t="shared" ca="1" si="2"/>
        <v>3</v>
      </c>
      <c r="AI23" s="21">
        <f t="shared" ca="1" si="2"/>
        <v>0</v>
      </c>
      <c r="AJ23" s="21">
        <f t="shared" ca="1" si="2"/>
        <v>0</v>
      </c>
      <c r="AK23" s="21">
        <f t="shared" ca="1" si="2"/>
        <v>0</v>
      </c>
      <c r="AL23" s="21">
        <f t="shared" ca="1" si="2"/>
        <v>4</v>
      </c>
      <c r="AM23" s="21">
        <f t="shared" ca="1" si="2"/>
        <v>4</v>
      </c>
      <c r="AN23" s="21">
        <f t="shared" ca="1" si="2"/>
        <v>4</v>
      </c>
      <c r="AO23" s="21">
        <f t="shared" ca="1" si="2"/>
        <v>4</v>
      </c>
      <c r="AP23" s="21">
        <f t="shared" ca="1" si="2"/>
        <v>1</v>
      </c>
      <c r="AQ23" s="21">
        <f t="shared" ca="1" si="2"/>
        <v>0</v>
      </c>
      <c r="AR23" s="21">
        <f t="shared" ca="1" si="2"/>
        <v>0</v>
      </c>
      <c r="AS23" s="21">
        <f t="shared" ca="1" si="2"/>
        <v>1</v>
      </c>
      <c r="AT23" s="21">
        <f t="shared" ca="1" si="2"/>
        <v>3</v>
      </c>
      <c r="AU23" s="21">
        <f t="shared" ca="1" si="2"/>
        <v>3</v>
      </c>
      <c r="AV23" s="21">
        <f t="shared" ca="1" si="2"/>
        <v>0</v>
      </c>
      <c r="AW23" s="21">
        <f t="shared" ca="1" si="2"/>
        <v>0</v>
      </c>
      <c r="AX23" s="21">
        <f t="shared" ca="1" si="2"/>
        <v>0</v>
      </c>
      <c r="AY23" s="21">
        <f t="shared" ca="1" si="2"/>
        <v>0</v>
      </c>
      <c r="AZ23" s="21">
        <f t="shared" ca="1" si="2"/>
        <v>0</v>
      </c>
      <c r="BA23" s="21">
        <f t="shared" ca="1" si="2"/>
        <v>2</v>
      </c>
      <c r="BB23" s="21">
        <f t="shared" ca="1" si="2"/>
        <v>3</v>
      </c>
      <c r="BC23" s="21">
        <f t="shared" ca="1" si="2"/>
        <v>4</v>
      </c>
      <c r="BD23" s="21">
        <f t="shared" ca="1" si="2"/>
        <v>4</v>
      </c>
      <c r="BE23" s="21">
        <f t="shared" ca="1" si="2"/>
        <v>0</v>
      </c>
      <c r="BF23" s="21">
        <f t="shared" ca="1" si="2"/>
        <v>0</v>
      </c>
      <c r="BG23" s="21">
        <f t="shared" ca="1" si="2"/>
        <v>3</v>
      </c>
      <c r="BH23" s="21">
        <f t="shared" ca="1" si="2"/>
        <v>3</v>
      </c>
      <c r="BI23" s="21">
        <f t="shared" ca="1" si="2"/>
        <v>1</v>
      </c>
      <c r="BJ23" s="21">
        <f t="shared" ca="1" si="2"/>
        <v>0</v>
      </c>
      <c r="BK23" s="21">
        <f t="shared" ca="1" si="2"/>
        <v>0</v>
      </c>
      <c r="BL23" s="21">
        <f t="shared" ca="1" si="2"/>
        <v>0</v>
      </c>
      <c r="BM23" s="21">
        <f t="shared" ca="1" si="2"/>
        <v>0</v>
      </c>
      <c r="BN23" s="21">
        <f t="shared" ca="1" si="2"/>
        <v>0</v>
      </c>
      <c r="BO23" s="21">
        <f t="shared" ca="1" si="2"/>
        <v>2</v>
      </c>
      <c r="BP23" s="21">
        <f t="shared" ref="BP23:CT23" ca="1" si="3">COUNTIFS(INDIRECT("'" &amp; $B$20 &amp; "'!$T:$T"),"&gt;=" &amp; BP$22,INDIRECT("'" &amp; $B$20 &amp; "'!$T:$T"), "&lt;" &amp; BQ$22)</f>
        <v>2</v>
      </c>
      <c r="BQ23" s="21">
        <f t="shared" ca="1" si="3"/>
        <v>0</v>
      </c>
      <c r="BR23" s="21">
        <f t="shared" ca="1" si="3"/>
        <v>0</v>
      </c>
      <c r="BS23" s="21">
        <f t="shared" ca="1" si="3"/>
        <v>0</v>
      </c>
      <c r="BT23" s="21">
        <f t="shared" ca="1" si="3"/>
        <v>0</v>
      </c>
      <c r="BU23" s="21">
        <f t="shared" ca="1" si="3"/>
        <v>0</v>
      </c>
      <c r="BV23" s="21">
        <f t="shared" ca="1" si="3"/>
        <v>0</v>
      </c>
      <c r="BW23" s="21">
        <f t="shared" ca="1" si="3"/>
        <v>0</v>
      </c>
      <c r="BX23" s="21">
        <f t="shared" ca="1" si="3"/>
        <v>0</v>
      </c>
      <c r="BY23" s="21">
        <f t="shared" ca="1" si="3"/>
        <v>0</v>
      </c>
      <c r="BZ23" s="21">
        <f t="shared" ca="1" si="3"/>
        <v>0</v>
      </c>
      <c r="CA23" s="21">
        <f t="shared" ca="1" si="3"/>
        <v>0</v>
      </c>
      <c r="CB23" s="21">
        <f t="shared" ca="1" si="3"/>
        <v>0</v>
      </c>
      <c r="CC23" s="21">
        <f t="shared" ca="1" si="3"/>
        <v>0</v>
      </c>
      <c r="CD23" s="21">
        <f t="shared" ca="1" si="3"/>
        <v>0</v>
      </c>
      <c r="CE23" s="21">
        <f t="shared" ca="1" si="3"/>
        <v>0</v>
      </c>
      <c r="CF23" s="21">
        <f t="shared" ca="1" si="3"/>
        <v>0</v>
      </c>
      <c r="CG23" s="21">
        <f t="shared" ca="1" si="3"/>
        <v>0</v>
      </c>
      <c r="CH23" s="21">
        <f t="shared" ca="1" si="3"/>
        <v>0</v>
      </c>
      <c r="CI23" s="21">
        <f t="shared" ca="1" si="3"/>
        <v>0</v>
      </c>
      <c r="CJ23" s="21">
        <f t="shared" ca="1" si="3"/>
        <v>0</v>
      </c>
      <c r="CK23" s="21">
        <f t="shared" ca="1" si="3"/>
        <v>0</v>
      </c>
      <c r="CL23" s="21">
        <f t="shared" ca="1" si="3"/>
        <v>0</v>
      </c>
      <c r="CM23" s="21">
        <f t="shared" ca="1" si="3"/>
        <v>0</v>
      </c>
      <c r="CN23" s="21">
        <f t="shared" ca="1" si="3"/>
        <v>0</v>
      </c>
      <c r="CO23" s="21">
        <f t="shared" ca="1" si="3"/>
        <v>0</v>
      </c>
      <c r="CP23" s="21">
        <f t="shared" ca="1" si="3"/>
        <v>0</v>
      </c>
      <c r="CQ23" s="21">
        <f t="shared" ca="1" si="3"/>
        <v>0</v>
      </c>
      <c r="CR23" s="21">
        <f t="shared" ca="1" si="3"/>
        <v>0</v>
      </c>
      <c r="CS23" s="21">
        <f t="shared" ca="1" si="3"/>
        <v>0</v>
      </c>
      <c r="CT23" s="21">
        <f t="shared" ca="1" si="3"/>
        <v>0</v>
      </c>
    </row>
    <row r="24" spans="2:98">
      <c r="B24" s="20" t="s">
        <v>21</v>
      </c>
      <c r="C24" s="21">
        <f ca="1">C23</f>
        <v>0</v>
      </c>
      <c r="D24" s="21">
        <f ca="1">C24+D23</f>
        <v>0</v>
      </c>
      <c r="E24" s="21">
        <f t="shared" ref="E24:BP24" ca="1" si="4">D24+E23</f>
        <v>0</v>
      </c>
      <c r="F24" s="21">
        <f t="shared" ca="1" si="4"/>
        <v>0</v>
      </c>
      <c r="G24" s="21">
        <f t="shared" ca="1" si="4"/>
        <v>0</v>
      </c>
      <c r="H24" s="21">
        <f t="shared" ca="1" si="4"/>
        <v>0</v>
      </c>
      <c r="I24" s="21">
        <f t="shared" ca="1" si="4"/>
        <v>0</v>
      </c>
      <c r="J24" s="21">
        <f t="shared" ca="1" si="4"/>
        <v>3</v>
      </c>
      <c r="K24" s="21">
        <f t="shared" ca="1" si="4"/>
        <v>9</v>
      </c>
      <c r="L24" s="21">
        <f t="shared" ca="1" si="4"/>
        <v>12</v>
      </c>
      <c r="M24" s="21">
        <f t="shared" ca="1" si="4"/>
        <v>12</v>
      </c>
      <c r="N24" s="21">
        <f t="shared" ca="1" si="4"/>
        <v>12</v>
      </c>
      <c r="O24" s="21">
        <f t="shared" ca="1" si="4"/>
        <v>12</v>
      </c>
      <c r="P24" s="21">
        <f t="shared" ca="1" si="4"/>
        <v>12</v>
      </c>
      <c r="Q24" s="21">
        <f t="shared" ca="1" si="4"/>
        <v>12</v>
      </c>
      <c r="R24" s="21">
        <f t="shared" ca="1" si="4"/>
        <v>15</v>
      </c>
      <c r="S24" s="21">
        <f t="shared" ca="1" si="4"/>
        <v>18</v>
      </c>
      <c r="T24" s="21">
        <f t="shared" ca="1" si="4"/>
        <v>24</v>
      </c>
      <c r="U24" s="21">
        <f t="shared" ca="1" si="4"/>
        <v>27</v>
      </c>
      <c r="V24" s="21">
        <f t="shared" ca="1" si="4"/>
        <v>27</v>
      </c>
      <c r="W24" s="21">
        <f t="shared" ca="1" si="4"/>
        <v>27</v>
      </c>
      <c r="X24" s="21">
        <f t="shared" ca="1" si="4"/>
        <v>30</v>
      </c>
      <c r="Y24" s="21">
        <f t="shared" ca="1" si="4"/>
        <v>30</v>
      </c>
      <c r="Z24" s="21">
        <f t="shared" ca="1" si="4"/>
        <v>33</v>
      </c>
      <c r="AA24" s="21">
        <f t="shared" ca="1" si="4"/>
        <v>36</v>
      </c>
      <c r="AB24" s="21">
        <f t="shared" ca="1" si="4"/>
        <v>39</v>
      </c>
      <c r="AC24" s="21">
        <f t="shared" ca="1" si="4"/>
        <v>39</v>
      </c>
      <c r="AD24" s="21">
        <f t="shared" ca="1" si="4"/>
        <v>39</v>
      </c>
      <c r="AE24" s="21">
        <f t="shared" ca="1" si="4"/>
        <v>42</v>
      </c>
      <c r="AF24" s="21">
        <f t="shared" ca="1" si="4"/>
        <v>42</v>
      </c>
      <c r="AG24" s="21">
        <f t="shared" ca="1" si="4"/>
        <v>45</v>
      </c>
      <c r="AH24" s="21">
        <f t="shared" ca="1" si="4"/>
        <v>48</v>
      </c>
      <c r="AI24" s="21">
        <f t="shared" ca="1" si="4"/>
        <v>48</v>
      </c>
      <c r="AJ24" s="21">
        <f t="shared" ca="1" si="4"/>
        <v>48</v>
      </c>
      <c r="AK24" s="21">
        <f t="shared" ca="1" si="4"/>
        <v>48</v>
      </c>
      <c r="AL24" s="21">
        <f t="shared" ca="1" si="4"/>
        <v>52</v>
      </c>
      <c r="AM24" s="21">
        <f t="shared" ca="1" si="4"/>
        <v>56</v>
      </c>
      <c r="AN24" s="21">
        <f t="shared" ca="1" si="4"/>
        <v>60</v>
      </c>
      <c r="AO24" s="21">
        <f t="shared" ca="1" si="4"/>
        <v>64</v>
      </c>
      <c r="AP24" s="21">
        <f t="shared" ca="1" si="4"/>
        <v>65</v>
      </c>
      <c r="AQ24" s="21">
        <f t="shared" ca="1" si="4"/>
        <v>65</v>
      </c>
      <c r="AR24" s="21">
        <f t="shared" ca="1" si="4"/>
        <v>65</v>
      </c>
      <c r="AS24" s="21">
        <f t="shared" ca="1" si="4"/>
        <v>66</v>
      </c>
      <c r="AT24" s="21">
        <f t="shared" ca="1" si="4"/>
        <v>69</v>
      </c>
      <c r="AU24" s="21">
        <f t="shared" ca="1" si="4"/>
        <v>72</v>
      </c>
      <c r="AV24" s="21">
        <f t="shared" ca="1" si="4"/>
        <v>72</v>
      </c>
      <c r="AW24" s="21">
        <f t="shared" ca="1" si="4"/>
        <v>72</v>
      </c>
      <c r="AX24" s="21">
        <f t="shared" ca="1" si="4"/>
        <v>72</v>
      </c>
      <c r="AY24" s="21">
        <f t="shared" ca="1" si="4"/>
        <v>72</v>
      </c>
      <c r="AZ24" s="21">
        <f t="shared" ca="1" si="4"/>
        <v>72</v>
      </c>
      <c r="BA24" s="21">
        <f t="shared" ca="1" si="4"/>
        <v>74</v>
      </c>
      <c r="BB24" s="21">
        <f t="shared" ca="1" si="4"/>
        <v>77</v>
      </c>
      <c r="BC24" s="21">
        <f t="shared" ca="1" si="4"/>
        <v>81</v>
      </c>
      <c r="BD24" s="21">
        <f t="shared" ca="1" si="4"/>
        <v>85</v>
      </c>
      <c r="BE24" s="21">
        <f t="shared" ca="1" si="4"/>
        <v>85</v>
      </c>
      <c r="BF24" s="21">
        <f t="shared" ca="1" si="4"/>
        <v>85</v>
      </c>
      <c r="BG24" s="21">
        <f t="shared" ca="1" si="4"/>
        <v>88</v>
      </c>
      <c r="BH24" s="21">
        <f t="shared" ca="1" si="4"/>
        <v>91</v>
      </c>
      <c r="BI24" s="21">
        <f t="shared" ca="1" si="4"/>
        <v>92</v>
      </c>
      <c r="BJ24" s="21">
        <f t="shared" ca="1" si="4"/>
        <v>92</v>
      </c>
      <c r="BK24" s="21">
        <f t="shared" ca="1" si="4"/>
        <v>92</v>
      </c>
      <c r="BL24" s="21">
        <f t="shared" ca="1" si="4"/>
        <v>92</v>
      </c>
      <c r="BM24" s="21">
        <f t="shared" ca="1" si="4"/>
        <v>92</v>
      </c>
      <c r="BN24" s="21">
        <f t="shared" ca="1" si="4"/>
        <v>92</v>
      </c>
      <c r="BO24" s="21">
        <f t="shared" ca="1" si="4"/>
        <v>94</v>
      </c>
      <c r="BP24" s="21">
        <f t="shared" ca="1" si="4"/>
        <v>96</v>
      </c>
      <c r="BQ24" s="21">
        <f t="shared" ref="BQ24:CT24" ca="1" si="5">BP24+BQ23</f>
        <v>96</v>
      </c>
      <c r="BR24" s="21">
        <f t="shared" ca="1" si="5"/>
        <v>96</v>
      </c>
      <c r="BS24" s="21">
        <f t="shared" ca="1" si="5"/>
        <v>96</v>
      </c>
      <c r="BT24" s="21">
        <f t="shared" ca="1" si="5"/>
        <v>96</v>
      </c>
      <c r="BU24" s="21">
        <f t="shared" ca="1" si="5"/>
        <v>96</v>
      </c>
      <c r="BV24" s="21">
        <f t="shared" ca="1" si="5"/>
        <v>96</v>
      </c>
      <c r="BW24" s="21">
        <f t="shared" ca="1" si="5"/>
        <v>96</v>
      </c>
      <c r="BX24" s="21">
        <f t="shared" ca="1" si="5"/>
        <v>96</v>
      </c>
      <c r="BY24" s="21">
        <f t="shared" ca="1" si="5"/>
        <v>96</v>
      </c>
      <c r="BZ24" s="21">
        <f t="shared" ca="1" si="5"/>
        <v>96</v>
      </c>
      <c r="CA24" s="21">
        <f t="shared" ca="1" si="5"/>
        <v>96</v>
      </c>
      <c r="CB24" s="21">
        <f t="shared" ca="1" si="5"/>
        <v>96</v>
      </c>
      <c r="CC24" s="21">
        <f t="shared" ca="1" si="5"/>
        <v>96</v>
      </c>
      <c r="CD24" s="21">
        <f t="shared" ca="1" si="5"/>
        <v>96</v>
      </c>
      <c r="CE24" s="21">
        <f t="shared" ca="1" si="5"/>
        <v>96</v>
      </c>
      <c r="CF24" s="21">
        <f t="shared" ca="1" si="5"/>
        <v>96</v>
      </c>
      <c r="CG24" s="21">
        <f t="shared" ca="1" si="5"/>
        <v>96</v>
      </c>
      <c r="CH24" s="21">
        <f t="shared" ca="1" si="5"/>
        <v>96</v>
      </c>
      <c r="CI24" s="21">
        <f t="shared" ca="1" si="5"/>
        <v>96</v>
      </c>
      <c r="CJ24" s="21">
        <f t="shared" ca="1" si="5"/>
        <v>96</v>
      </c>
      <c r="CK24" s="21">
        <f t="shared" ca="1" si="5"/>
        <v>96</v>
      </c>
      <c r="CL24" s="21">
        <f t="shared" ca="1" si="5"/>
        <v>96</v>
      </c>
      <c r="CM24" s="21">
        <f t="shared" ca="1" si="5"/>
        <v>96</v>
      </c>
      <c r="CN24" s="21">
        <f t="shared" ca="1" si="5"/>
        <v>96</v>
      </c>
      <c r="CO24" s="21">
        <f t="shared" ca="1" si="5"/>
        <v>96</v>
      </c>
      <c r="CP24" s="21">
        <f t="shared" ca="1" si="5"/>
        <v>96</v>
      </c>
      <c r="CQ24" s="21">
        <f t="shared" ca="1" si="5"/>
        <v>96</v>
      </c>
      <c r="CR24" s="21">
        <f t="shared" ca="1" si="5"/>
        <v>96</v>
      </c>
      <c r="CS24" s="21">
        <f t="shared" ca="1" si="5"/>
        <v>96</v>
      </c>
      <c r="CT24" s="21">
        <f t="shared" ca="1" si="5"/>
        <v>96</v>
      </c>
    </row>
    <row r="25" spans="2:98">
      <c r="B25" s="20" t="s">
        <v>22</v>
      </c>
      <c r="C25" s="21">
        <f ca="1">COUNTIFS(INDIRECT("'" &amp; $B$20 &amp; "'!$V:$V"),"&gt;=" &amp; C$22,INDIRECT("'" &amp; $B$20 &amp; "'!$V:$V"), "&lt;" &amp; D$22)</f>
        <v>0</v>
      </c>
      <c r="D25" s="21">
        <f t="shared" ref="D25:BO25" ca="1" si="6">COUNTIFS(INDIRECT("'" &amp; $B$20 &amp; "'!$V:$V"),"&gt;=" &amp; D$22,INDIRECT("'" &amp; $B$20 &amp; "'!$V:$V"), "&lt;" &amp; E$22)</f>
        <v>0</v>
      </c>
      <c r="E25" s="21">
        <f t="shared" ca="1" si="6"/>
        <v>0</v>
      </c>
      <c r="F25" s="21">
        <f t="shared" ca="1" si="6"/>
        <v>0</v>
      </c>
      <c r="G25" s="21">
        <f t="shared" ca="1" si="6"/>
        <v>0</v>
      </c>
      <c r="H25" s="21">
        <f t="shared" ca="1" si="6"/>
        <v>0</v>
      </c>
      <c r="I25" s="21">
        <f t="shared" ca="1" si="6"/>
        <v>0</v>
      </c>
      <c r="J25" s="21">
        <f t="shared" ca="1" si="6"/>
        <v>2</v>
      </c>
      <c r="K25" s="21">
        <f t="shared" ca="1" si="6"/>
        <v>4</v>
      </c>
      <c r="L25" s="21">
        <f t="shared" ca="1" si="6"/>
        <v>4</v>
      </c>
      <c r="M25" s="21">
        <f t="shared" ca="1" si="6"/>
        <v>2</v>
      </c>
      <c r="N25" s="21">
        <f t="shared" ca="1" si="6"/>
        <v>1</v>
      </c>
      <c r="O25" s="21">
        <f t="shared" ca="1" si="6"/>
        <v>0</v>
      </c>
      <c r="P25" s="21">
        <f t="shared" ca="1" si="6"/>
        <v>0</v>
      </c>
      <c r="Q25" s="21">
        <f t="shared" ca="1" si="6"/>
        <v>0</v>
      </c>
      <c r="R25" s="21">
        <f t="shared" ca="1" si="6"/>
        <v>0</v>
      </c>
      <c r="S25" s="21">
        <f t="shared" ca="1" si="6"/>
        <v>0</v>
      </c>
      <c r="T25" s="21">
        <f t="shared" ca="1" si="6"/>
        <v>0</v>
      </c>
      <c r="U25" s="21">
        <f t="shared" ca="1" si="6"/>
        <v>0</v>
      </c>
      <c r="V25" s="21">
        <f t="shared" ca="1" si="6"/>
        <v>0</v>
      </c>
      <c r="W25" s="21">
        <f t="shared" ca="1" si="6"/>
        <v>0</v>
      </c>
      <c r="X25" s="21">
        <f t="shared" ca="1" si="6"/>
        <v>0</v>
      </c>
      <c r="Y25" s="21">
        <f t="shared" ca="1" si="6"/>
        <v>0</v>
      </c>
      <c r="Z25" s="21">
        <f t="shared" ca="1" si="6"/>
        <v>0</v>
      </c>
      <c r="AA25" s="21">
        <f t="shared" ca="1" si="6"/>
        <v>0</v>
      </c>
      <c r="AB25" s="21">
        <f t="shared" ca="1" si="6"/>
        <v>0</v>
      </c>
      <c r="AC25" s="21">
        <f t="shared" ca="1" si="6"/>
        <v>0</v>
      </c>
      <c r="AD25" s="21">
        <f t="shared" ca="1" si="6"/>
        <v>0</v>
      </c>
      <c r="AE25" s="21">
        <f t="shared" ca="1" si="6"/>
        <v>0</v>
      </c>
      <c r="AF25" s="21">
        <f t="shared" ca="1" si="6"/>
        <v>0</v>
      </c>
      <c r="AG25" s="21">
        <f t="shared" ca="1" si="6"/>
        <v>0</v>
      </c>
      <c r="AH25" s="21">
        <f t="shared" ca="1" si="6"/>
        <v>0</v>
      </c>
      <c r="AI25" s="21">
        <f t="shared" ca="1" si="6"/>
        <v>0</v>
      </c>
      <c r="AJ25" s="21">
        <f t="shared" ca="1" si="6"/>
        <v>0</v>
      </c>
      <c r="AK25" s="21">
        <f t="shared" ca="1" si="6"/>
        <v>0</v>
      </c>
      <c r="AL25" s="21">
        <f t="shared" ca="1" si="6"/>
        <v>0</v>
      </c>
      <c r="AM25" s="21">
        <f t="shared" ca="1" si="6"/>
        <v>0</v>
      </c>
      <c r="AN25" s="21">
        <f t="shared" ca="1" si="6"/>
        <v>0</v>
      </c>
      <c r="AO25" s="21">
        <f t="shared" ca="1" si="6"/>
        <v>0</v>
      </c>
      <c r="AP25" s="21">
        <f t="shared" ca="1" si="6"/>
        <v>0</v>
      </c>
      <c r="AQ25" s="21">
        <f t="shared" ca="1" si="6"/>
        <v>0</v>
      </c>
      <c r="AR25" s="21">
        <f t="shared" ca="1" si="6"/>
        <v>0</v>
      </c>
      <c r="AS25" s="21">
        <f t="shared" ca="1" si="6"/>
        <v>0</v>
      </c>
      <c r="AT25" s="21">
        <f t="shared" ca="1" si="6"/>
        <v>0</v>
      </c>
      <c r="AU25" s="21">
        <f t="shared" ca="1" si="6"/>
        <v>0</v>
      </c>
      <c r="AV25" s="21">
        <f t="shared" ca="1" si="6"/>
        <v>0</v>
      </c>
      <c r="AW25" s="21">
        <f t="shared" ca="1" si="6"/>
        <v>0</v>
      </c>
      <c r="AX25" s="21">
        <f t="shared" ca="1" si="6"/>
        <v>0</v>
      </c>
      <c r="AY25" s="21">
        <f t="shared" ca="1" si="6"/>
        <v>0</v>
      </c>
      <c r="AZ25" s="21">
        <f t="shared" ca="1" si="6"/>
        <v>0</v>
      </c>
      <c r="BA25" s="21">
        <f t="shared" ca="1" si="6"/>
        <v>0</v>
      </c>
      <c r="BB25" s="21">
        <f t="shared" ca="1" si="6"/>
        <v>0</v>
      </c>
      <c r="BC25" s="21">
        <f t="shared" ca="1" si="6"/>
        <v>0</v>
      </c>
      <c r="BD25" s="21">
        <f t="shared" ca="1" si="6"/>
        <v>0</v>
      </c>
      <c r="BE25" s="21">
        <f t="shared" ca="1" si="6"/>
        <v>0</v>
      </c>
      <c r="BF25" s="21">
        <f t="shared" ca="1" si="6"/>
        <v>0</v>
      </c>
      <c r="BG25" s="21">
        <f t="shared" ca="1" si="6"/>
        <v>0</v>
      </c>
      <c r="BH25" s="21">
        <f t="shared" ca="1" si="6"/>
        <v>0</v>
      </c>
      <c r="BI25" s="21">
        <f t="shared" ca="1" si="6"/>
        <v>0</v>
      </c>
      <c r="BJ25" s="21">
        <f t="shared" ca="1" si="6"/>
        <v>0</v>
      </c>
      <c r="BK25" s="21">
        <f t="shared" ca="1" si="6"/>
        <v>0</v>
      </c>
      <c r="BL25" s="21">
        <f t="shared" ca="1" si="6"/>
        <v>0</v>
      </c>
      <c r="BM25" s="21">
        <f t="shared" ca="1" si="6"/>
        <v>0</v>
      </c>
      <c r="BN25" s="21">
        <f t="shared" ca="1" si="6"/>
        <v>0</v>
      </c>
      <c r="BO25" s="21">
        <f t="shared" ca="1" si="6"/>
        <v>0</v>
      </c>
      <c r="BP25" s="21">
        <f t="shared" ref="BP25:CT25" ca="1" si="7">COUNTIFS(INDIRECT("'" &amp; $B$20 &amp; "'!$V:$V"),"&gt;=" &amp; BP$22,INDIRECT("'" &amp; $B$20 &amp; "'!$V:$V"), "&lt;" &amp; BQ$22)</f>
        <v>0</v>
      </c>
      <c r="BQ25" s="21">
        <f t="shared" ca="1" si="7"/>
        <v>0</v>
      </c>
      <c r="BR25" s="21">
        <f t="shared" ca="1" si="7"/>
        <v>0</v>
      </c>
      <c r="BS25" s="21">
        <f t="shared" ca="1" si="7"/>
        <v>0</v>
      </c>
      <c r="BT25" s="21">
        <f t="shared" ca="1" si="7"/>
        <v>0</v>
      </c>
      <c r="BU25" s="21">
        <f t="shared" ca="1" si="7"/>
        <v>0</v>
      </c>
      <c r="BV25" s="21">
        <f t="shared" ca="1" si="7"/>
        <v>0</v>
      </c>
      <c r="BW25" s="21">
        <f t="shared" ca="1" si="7"/>
        <v>0</v>
      </c>
      <c r="BX25" s="21">
        <f t="shared" ca="1" si="7"/>
        <v>0</v>
      </c>
      <c r="BY25" s="21">
        <f t="shared" ca="1" si="7"/>
        <v>0</v>
      </c>
      <c r="BZ25" s="21">
        <f t="shared" ca="1" si="7"/>
        <v>0</v>
      </c>
      <c r="CA25" s="21">
        <f t="shared" ca="1" si="7"/>
        <v>0</v>
      </c>
      <c r="CB25" s="21">
        <f t="shared" ca="1" si="7"/>
        <v>0</v>
      </c>
      <c r="CC25" s="21">
        <f t="shared" ca="1" si="7"/>
        <v>0</v>
      </c>
      <c r="CD25" s="21">
        <f t="shared" ca="1" si="7"/>
        <v>0</v>
      </c>
      <c r="CE25" s="21">
        <f t="shared" ca="1" si="7"/>
        <v>0</v>
      </c>
      <c r="CF25" s="21">
        <f t="shared" ca="1" si="7"/>
        <v>0</v>
      </c>
      <c r="CG25" s="21">
        <f t="shared" ca="1" si="7"/>
        <v>0</v>
      </c>
      <c r="CH25" s="21">
        <f t="shared" ca="1" si="7"/>
        <v>0</v>
      </c>
      <c r="CI25" s="21">
        <f t="shared" ca="1" si="7"/>
        <v>0</v>
      </c>
      <c r="CJ25" s="21">
        <f t="shared" ca="1" si="7"/>
        <v>0</v>
      </c>
      <c r="CK25" s="21">
        <f t="shared" ca="1" si="7"/>
        <v>0</v>
      </c>
      <c r="CL25" s="21">
        <f t="shared" ca="1" si="7"/>
        <v>0</v>
      </c>
      <c r="CM25" s="21">
        <f t="shared" ca="1" si="7"/>
        <v>0</v>
      </c>
      <c r="CN25" s="21">
        <f t="shared" ca="1" si="7"/>
        <v>0</v>
      </c>
      <c r="CO25" s="21">
        <f t="shared" ca="1" si="7"/>
        <v>0</v>
      </c>
      <c r="CP25" s="21">
        <f t="shared" ca="1" si="7"/>
        <v>0</v>
      </c>
      <c r="CQ25" s="21">
        <f t="shared" ca="1" si="7"/>
        <v>0</v>
      </c>
      <c r="CR25" s="21">
        <f t="shared" ca="1" si="7"/>
        <v>0</v>
      </c>
      <c r="CS25" s="21">
        <f t="shared" ca="1" si="7"/>
        <v>0</v>
      </c>
      <c r="CT25" s="21">
        <f t="shared" ca="1" si="7"/>
        <v>0</v>
      </c>
    </row>
    <row r="26" spans="2:98">
      <c r="B26" s="20" t="s">
        <v>23</v>
      </c>
      <c r="C26" s="21">
        <f ca="1">C25</f>
        <v>0</v>
      </c>
      <c r="D26" s="21">
        <f ca="1">C26+D25</f>
        <v>0</v>
      </c>
      <c r="E26" s="21">
        <f t="shared" ref="E26:BP26" ca="1" si="8">D26+E25</f>
        <v>0</v>
      </c>
      <c r="F26" s="21">
        <f t="shared" ca="1" si="8"/>
        <v>0</v>
      </c>
      <c r="G26" s="21">
        <f t="shared" ca="1" si="8"/>
        <v>0</v>
      </c>
      <c r="H26" s="21">
        <f t="shared" ca="1" si="8"/>
        <v>0</v>
      </c>
      <c r="I26" s="21">
        <f t="shared" ca="1" si="8"/>
        <v>0</v>
      </c>
      <c r="J26" s="21">
        <f t="shared" ca="1" si="8"/>
        <v>2</v>
      </c>
      <c r="K26" s="21">
        <f t="shared" ca="1" si="8"/>
        <v>6</v>
      </c>
      <c r="L26" s="21">
        <f t="shared" ca="1" si="8"/>
        <v>10</v>
      </c>
      <c r="M26" s="21">
        <f t="shared" ca="1" si="8"/>
        <v>12</v>
      </c>
      <c r="N26" s="21">
        <f t="shared" ca="1" si="8"/>
        <v>13</v>
      </c>
      <c r="O26" s="21">
        <f t="shared" ca="1" si="8"/>
        <v>13</v>
      </c>
      <c r="P26" s="21">
        <f t="shared" ca="1" si="8"/>
        <v>13</v>
      </c>
      <c r="Q26" s="21">
        <f t="shared" ca="1" si="8"/>
        <v>13</v>
      </c>
      <c r="R26" s="21">
        <f t="shared" ca="1" si="8"/>
        <v>13</v>
      </c>
      <c r="S26" s="21">
        <f t="shared" ca="1" si="8"/>
        <v>13</v>
      </c>
      <c r="T26" s="21">
        <f t="shared" ca="1" si="8"/>
        <v>13</v>
      </c>
      <c r="U26" s="21">
        <f t="shared" ca="1" si="8"/>
        <v>13</v>
      </c>
      <c r="V26" s="21">
        <f t="shared" ca="1" si="8"/>
        <v>13</v>
      </c>
      <c r="W26" s="21">
        <f t="shared" ca="1" si="8"/>
        <v>13</v>
      </c>
      <c r="X26" s="21">
        <f t="shared" ca="1" si="8"/>
        <v>13</v>
      </c>
      <c r="Y26" s="21">
        <f t="shared" ca="1" si="8"/>
        <v>13</v>
      </c>
      <c r="Z26" s="21">
        <f t="shared" ca="1" si="8"/>
        <v>13</v>
      </c>
      <c r="AA26" s="21">
        <f t="shared" ca="1" si="8"/>
        <v>13</v>
      </c>
      <c r="AB26" s="21">
        <f t="shared" ca="1" si="8"/>
        <v>13</v>
      </c>
      <c r="AC26" s="21">
        <f t="shared" ca="1" si="8"/>
        <v>13</v>
      </c>
      <c r="AD26" s="21">
        <f t="shared" ca="1" si="8"/>
        <v>13</v>
      </c>
      <c r="AE26" s="21">
        <f t="shared" ca="1" si="8"/>
        <v>13</v>
      </c>
      <c r="AF26" s="21">
        <f t="shared" ca="1" si="8"/>
        <v>13</v>
      </c>
      <c r="AG26" s="21">
        <f t="shared" ca="1" si="8"/>
        <v>13</v>
      </c>
      <c r="AH26" s="21">
        <f t="shared" ca="1" si="8"/>
        <v>13</v>
      </c>
      <c r="AI26" s="21">
        <f t="shared" ca="1" si="8"/>
        <v>13</v>
      </c>
      <c r="AJ26" s="21">
        <f t="shared" ca="1" si="8"/>
        <v>13</v>
      </c>
      <c r="AK26" s="21">
        <f t="shared" ca="1" si="8"/>
        <v>13</v>
      </c>
      <c r="AL26" s="21">
        <f t="shared" ca="1" si="8"/>
        <v>13</v>
      </c>
      <c r="AM26" s="21">
        <f t="shared" ca="1" si="8"/>
        <v>13</v>
      </c>
      <c r="AN26" s="21">
        <f t="shared" ca="1" si="8"/>
        <v>13</v>
      </c>
      <c r="AO26" s="21">
        <f t="shared" ca="1" si="8"/>
        <v>13</v>
      </c>
      <c r="AP26" s="21">
        <f t="shared" ca="1" si="8"/>
        <v>13</v>
      </c>
      <c r="AQ26" s="21">
        <f t="shared" ca="1" si="8"/>
        <v>13</v>
      </c>
      <c r="AR26" s="21">
        <f t="shared" ca="1" si="8"/>
        <v>13</v>
      </c>
      <c r="AS26" s="21">
        <f t="shared" ca="1" si="8"/>
        <v>13</v>
      </c>
      <c r="AT26" s="21">
        <f t="shared" ca="1" si="8"/>
        <v>13</v>
      </c>
      <c r="AU26" s="21">
        <f t="shared" ca="1" si="8"/>
        <v>13</v>
      </c>
      <c r="AV26" s="21">
        <f t="shared" ca="1" si="8"/>
        <v>13</v>
      </c>
      <c r="AW26" s="21">
        <f t="shared" ca="1" si="8"/>
        <v>13</v>
      </c>
      <c r="AX26" s="21">
        <f t="shared" ca="1" si="8"/>
        <v>13</v>
      </c>
      <c r="AY26" s="21">
        <f t="shared" ca="1" si="8"/>
        <v>13</v>
      </c>
      <c r="AZ26" s="21">
        <f t="shared" ca="1" si="8"/>
        <v>13</v>
      </c>
      <c r="BA26" s="21">
        <f t="shared" ca="1" si="8"/>
        <v>13</v>
      </c>
      <c r="BB26" s="21">
        <f t="shared" ca="1" si="8"/>
        <v>13</v>
      </c>
      <c r="BC26" s="21">
        <f t="shared" ca="1" si="8"/>
        <v>13</v>
      </c>
      <c r="BD26" s="21">
        <f t="shared" ca="1" si="8"/>
        <v>13</v>
      </c>
      <c r="BE26" s="21">
        <f t="shared" ca="1" si="8"/>
        <v>13</v>
      </c>
      <c r="BF26" s="21">
        <f t="shared" ca="1" si="8"/>
        <v>13</v>
      </c>
      <c r="BG26" s="21">
        <f t="shared" ca="1" si="8"/>
        <v>13</v>
      </c>
      <c r="BH26" s="21">
        <f t="shared" ca="1" si="8"/>
        <v>13</v>
      </c>
      <c r="BI26" s="21">
        <f t="shared" ca="1" si="8"/>
        <v>13</v>
      </c>
      <c r="BJ26" s="21">
        <f t="shared" ca="1" si="8"/>
        <v>13</v>
      </c>
      <c r="BK26" s="21">
        <f t="shared" ca="1" si="8"/>
        <v>13</v>
      </c>
      <c r="BL26" s="21">
        <f t="shared" ca="1" si="8"/>
        <v>13</v>
      </c>
      <c r="BM26" s="21">
        <f t="shared" ca="1" si="8"/>
        <v>13</v>
      </c>
      <c r="BN26" s="21">
        <f t="shared" ca="1" si="8"/>
        <v>13</v>
      </c>
      <c r="BO26" s="21">
        <f t="shared" ca="1" si="8"/>
        <v>13</v>
      </c>
      <c r="BP26" s="21">
        <f t="shared" ca="1" si="8"/>
        <v>13</v>
      </c>
      <c r="BQ26" s="21">
        <f t="shared" ref="BQ26:CT26" ca="1" si="9">BP26+BQ25</f>
        <v>13</v>
      </c>
      <c r="BR26" s="21">
        <f t="shared" ca="1" si="9"/>
        <v>13</v>
      </c>
      <c r="BS26" s="21">
        <f t="shared" ca="1" si="9"/>
        <v>13</v>
      </c>
      <c r="BT26" s="21">
        <f t="shared" ca="1" si="9"/>
        <v>13</v>
      </c>
      <c r="BU26" s="21">
        <f t="shared" ca="1" si="9"/>
        <v>13</v>
      </c>
      <c r="BV26" s="21">
        <f t="shared" ca="1" si="9"/>
        <v>13</v>
      </c>
      <c r="BW26" s="21">
        <f t="shared" ca="1" si="9"/>
        <v>13</v>
      </c>
      <c r="BX26" s="21">
        <f t="shared" ca="1" si="9"/>
        <v>13</v>
      </c>
      <c r="BY26" s="21">
        <f t="shared" ca="1" si="9"/>
        <v>13</v>
      </c>
      <c r="BZ26" s="21">
        <f t="shared" ca="1" si="9"/>
        <v>13</v>
      </c>
      <c r="CA26" s="21">
        <f t="shared" ca="1" si="9"/>
        <v>13</v>
      </c>
      <c r="CB26" s="21">
        <f t="shared" ca="1" si="9"/>
        <v>13</v>
      </c>
      <c r="CC26" s="21">
        <f t="shared" ca="1" si="9"/>
        <v>13</v>
      </c>
      <c r="CD26" s="21">
        <f t="shared" ca="1" si="9"/>
        <v>13</v>
      </c>
      <c r="CE26" s="21">
        <f t="shared" ca="1" si="9"/>
        <v>13</v>
      </c>
      <c r="CF26" s="21">
        <f t="shared" ca="1" si="9"/>
        <v>13</v>
      </c>
      <c r="CG26" s="21">
        <f t="shared" ca="1" si="9"/>
        <v>13</v>
      </c>
      <c r="CH26" s="21">
        <f t="shared" ca="1" si="9"/>
        <v>13</v>
      </c>
      <c r="CI26" s="21">
        <f t="shared" ca="1" si="9"/>
        <v>13</v>
      </c>
      <c r="CJ26" s="21">
        <f t="shared" ca="1" si="9"/>
        <v>13</v>
      </c>
      <c r="CK26" s="21">
        <f t="shared" ca="1" si="9"/>
        <v>13</v>
      </c>
      <c r="CL26" s="21">
        <f t="shared" ca="1" si="9"/>
        <v>13</v>
      </c>
      <c r="CM26" s="21">
        <f t="shared" ca="1" si="9"/>
        <v>13</v>
      </c>
      <c r="CN26" s="21">
        <f t="shared" ca="1" si="9"/>
        <v>13</v>
      </c>
      <c r="CO26" s="21">
        <f t="shared" ca="1" si="9"/>
        <v>13</v>
      </c>
      <c r="CP26" s="21">
        <f t="shared" ca="1" si="9"/>
        <v>13</v>
      </c>
      <c r="CQ26" s="21">
        <f t="shared" ca="1" si="9"/>
        <v>13</v>
      </c>
      <c r="CR26" s="21">
        <f t="shared" ca="1" si="9"/>
        <v>13</v>
      </c>
      <c r="CS26" s="21">
        <f t="shared" ca="1" si="9"/>
        <v>13</v>
      </c>
      <c r="CT26" s="21">
        <f t="shared" ca="1" si="9"/>
        <v>13</v>
      </c>
    </row>
    <row r="27" spans="2:98">
      <c r="B27" s="20" t="s">
        <v>24</v>
      </c>
      <c r="C27" s="21">
        <f ca="1">C26-C24</f>
        <v>0</v>
      </c>
      <c r="D27" s="21">
        <f t="shared" ref="D27:BO27" ca="1" si="10">D26-D24</f>
        <v>0</v>
      </c>
      <c r="E27" s="21">
        <f t="shared" ca="1" si="10"/>
        <v>0</v>
      </c>
      <c r="F27" s="21">
        <f t="shared" ca="1" si="10"/>
        <v>0</v>
      </c>
      <c r="G27" s="21">
        <f t="shared" ca="1" si="10"/>
        <v>0</v>
      </c>
      <c r="H27" s="21">
        <f t="shared" ca="1" si="10"/>
        <v>0</v>
      </c>
      <c r="I27" s="21">
        <f t="shared" ca="1" si="10"/>
        <v>0</v>
      </c>
      <c r="J27" s="21">
        <f t="shared" ca="1" si="10"/>
        <v>-1</v>
      </c>
      <c r="K27" s="21">
        <f t="shared" ca="1" si="10"/>
        <v>-3</v>
      </c>
      <c r="L27" s="21">
        <f t="shared" ca="1" si="10"/>
        <v>-2</v>
      </c>
      <c r="M27" s="21">
        <f t="shared" ca="1" si="10"/>
        <v>0</v>
      </c>
      <c r="N27" s="21">
        <f t="shared" ca="1" si="10"/>
        <v>1</v>
      </c>
      <c r="O27" s="21">
        <f t="shared" ca="1" si="10"/>
        <v>1</v>
      </c>
      <c r="P27" s="21">
        <f t="shared" ca="1" si="10"/>
        <v>1</v>
      </c>
      <c r="Q27" s="21">
        <f t="shared" ca="1" si="10"/>
        <v>1</v>
      </c>
      <c r="R27" s="21">
        <f t="shared" ca="1" si="10"/>
        <v>-2</v>
      </c>
      <c r="S27" s="21">
        <f t="shared" ca="1" si="10"/>
        <v>-5</v>
      </c>
      <c r="T27" s="21">
        <f t="shared" ca="1" si="10"/>
        <v>-11</v>
      </c>
      <c r="U27" s="21">
        <f t="shared" ca="1" si="10"/>
        <v>-14</v>
      </c>
      <c r="V27" s="21">
        <f t="shared" ca="1" si="10"/>
        <v>-14</v>
      </c>
      <c r="W27" s="21">
        <f t="shared" ca="1" si="10"/>
        <v>-14</v>
      </c>
      <c r="X27" s="21">
        <f t="shared" ca="1" si="10"/>
        <v>-17</v>
      </c>
      <c r="Y27" s="21">
        <f t="shared" ca="1" si="10"/>
        <v>-17</v>
      </c>
      <c r="Z27" s="21">
        <f t="shared" ca="1" si="10"/>
        <v>-20</v>
      </c>
      <c r="AA27" s="21">
        <f t="shared" ca="1" si="10"/>
        <v>-23</v>
      </c>
      <c r="AB27" s="21">
        <f t="shared" ca="1" si="10"/>
        <v>-26</v>
      </c>
      <c r="AC27" s="21">
        <f t="shared" ca="1" si="10"/>
        <v>-26</v>
      </c>
      <c r="AD27" s="21">
        <f t="shared" ca="1" si="10"/>
        <v>-26</v>
      </c>
      <c r="AE27" s="21">
        <f t="shared" ca="1" si="10"/>
        <v>-29</v>
      </c>
      <c r="AF27" s="21">
        <f t="shared" ca="1" si="10"/>
        <v>-29</v>
      </c>
      <c r="AG27" s="21">
        <f t="shared" ca="1" si="10"/>
        <v>-32</v>
      </c>
      <c r="AH27" s="21">
        <f t="shared" ca="1" si="10"/>
        <v>-35</v>
      </c>
      <c r="AI27" s="21">
        <f t="shared" ca="1" si="10"/>
        <v>-35</v>
      </c>
      <c r="AJ27" s="21">
        <f t="shared" ca="1" si="10"/>
        <v>-35</v>
      </c>
      <c r="AK27" s="21">
        <f t="shared" ca="1" si="10"/>
        <v>-35</v>
      </c>
      <c r="AL27" s="21">
        <f t="shared" ca="1" si="10"/>
        <v>-39</v>
      </c>
      <c r="AM27" s="21">
        <f t="shared" ca="1" si="10"/>
        <v>-43</v>
      </c>
      <c r="AN27" s="21">
        <f t="shared" ca="1" si="10"/>
        <v>-47</v>
      </c>
      <c r="AO27" s="21">
        <f t="shared" ca="1" si="10"/>
        <v>-51</v>
      </c>
      <c r="AP27" s="21">
        <f t="shared" ca="1" si="10"/>
        <v>-52</v>
      </c>
      <c r="AQ27" s="21">
        <f t="shared" ca="1" si="10"/>
        <v>-52</v>
      </c>
      <c r="AR27" s="21">
        <f t="shared" ca="1" si="10"/>
        <v>-52</v>
      </c>
      <c r="AS27" s="21">
        <f t="shared" ca="1" si="10"/>
        <v>-53</v>
      </c>
      <c r="AT27" s="21">
        <f t="shared" ca="1" si="10"/>
        <v>-56</v>
      </c>
      <c r="AU27" s="21">
        <f t="shared" ca="1" si="10"/>
        <v>-59</v>
      </c>
      <c r="AV27" s="21">
        <f t="shared" ca="1" si="10"/>
        <v>-59</v>
      </c>
      <c r="AW27" s="21">
        <f t="shared" ca="1" si="10"/>
        <v>-59</v>
      </c>
      <c r="AX27" s="21">
        <f t="shared" ca="1" si="10"/>
        <v>-59</v>
      </c>
      <c r="AY27" s="21">
        <f t="shared" ca="1" si="10"/>
        <v>-59</v>
      </c>
      <c r="AZ27" s="21">
        <f t="shared" ca="1" si="10"/>
        <v>-59</v>
      </c>
      <c r="BA27" s="21">
        <f t="shared" ca="1" si="10"/>
        <v>-61</v>
      </c>
      <c r="BB27" s="21">
        <f t="shared" ca="1" si="10"/>
        <v>-64</v>
      </c>
      <c r="BC27" s="21">
        <f t="shared" ca="1" si="10"/>
        <v>-68</v>
      </c>
      <c r="BD27" s="21">
        <f t="shared" ca="1" si="10"/>
        <v>-72</v>
      </c>
      <c r="BE27" s="21">
        <f t="shared" ca="1" si="10"/>
        <v>-72</v>
      </c>
      <c r="BF27" s="21">
        <f t="shared" ca="1" si="10"/>
        <v>-72</v>
      </c>
      <c r="BG27" s="21">
        <f t="shared" ca="1" si="10"/>
        <v>-75</v>
      </c>
      <c r="BH27" s="21">
        <f t="shared" ca="1" si="10"/>
        <v>-78</v>
      </c>
      <c r="BI27" s="21">
        <f t="shared" ca="1" si="10"/>
        <v>-79</v>
      </c>
      <c r="BJ27" s="21">
        <f t="shared" ca="1" si="10"/>
        <v>-79</v>
      </c>
      <c r="BK27" s="21">
        <f t="shared" ca="1" si="10"/>
        <v>-79</v>
      </c>
      <c r="BL27" s="21">
        <f t="shared" ca="1" si="10"/>
        <v>-79</v>
      </c>
      <c r="BM27" s="21">
        <f t="shared" ca="1" si="10"/>
        <v>-79</v>
      </c>
      <c r="BN27" s="21">
        <f t="shared" ca="1" si="10"/>
        <v>-79</v>
      </c>
      <c r="BO27" s="21">
        <f t="shared" ca="1" si="10"/>
        <v>-81</v>
      </c>
      <c r="BP27" s="21">
        <f t="shared" ref="BP27:EA27" ca="1" si="11">BP26-BP24</f>
        <v>-83</v>
      </c>
      <c r="BQ27" s="21">
        <f t="shared" ca="1" si="11"/>
        <v>-83</v>
      </c>
      <c r="BR27" s="21">
        <f t="shared" ca="1" si="11"/>
        <v>-83</v>
      </c>
      <c r="BS27" s="21">
        <f t="shared" ca="1" si="11"/>
        <v>-83</v>
      </c>
      <c r="BT27" s="21">
        <f t="shared" ca="1" si="11"/>
        <v>-83</v>
      </c>
      <c r="BU27" s="21">
        <f t="shared" ca="1" si="11"/>
        <v>-83</v>
      </c>
      <c r="BV27" s="21">
        <f t="shared" ca="1" si="11"/>
        <v>-83</v>
      </c>
      <c r="BW27" s="21">
        <f t="shared" ca="1" si="11"/>
        <v>-83</v>
      </c>
      <c r="BX27" s="21">
        <f t="shared" ca="1" si="11"/>
        <v>-83</v>
      </c>
      <c r="BY27" s="21">
        <f t="shared" ca="1" si="11"/>
        <v>-83</v>
      </c>
      <c r="BZ27" s="21">
        <f t="shared" ca="1" si="11"/>
        <v>-83</v>
      </c>
      <c r="CA27" s="21">
        <f t="shared" ca="1" si="11"/>
        <v>-83</v>
      </c>
      <c r="CB27" s="21">
        <f t="shared" ca="1" si="11"/>
        <v>-83</v>
      </c>
      <c r="CC27" s="21">
        <f t="shared" ca="1" si="11"/>
        <v>-83</v>
      </c>
      <c r="CD27" s="21">
        <f t="shared" ca="1" si="11"/>
        <v>-83</v>
      </c>
      <c r="CE27" s="21">
        <f t="shared" ca="1" si="11"/>
        <v>-83</v>
      </c>
      <c r="CF27" s="21">
        <f t="shared" ca="1" si="11"/>
        <v>-83</v>
      </c>
      <c r="CG27" s="21">
        <f t="shared" ca="1" si="11"/>
        <v>-83</v>
      </c>
      <c r="CH27" s="21">
        <f t="shared" ca="1" si="11"/>
        <v>-83</v>
      </c>
      <c r="CI27" s="21">
        <f t="shared" ca="1" si="11"/>
        <v>-83</v>
      </c>
      <c r="CJ27" s="21">
        <f t="shared" ca="1" si="11"/>
        <v>-83</v>
      </c>
      <c r="CK27" s="21">
        <f t="shared" ca="1" si="11"/>
        <v>-83</v>
      </c>
      <c r="CL27" s="21">
        <f t="shared" ca="1" si="11"/>
        <v>-83</v>
      </c>
      <c r="CM27" s="21">
        <f t="shared" ca="1" si="11"/>
        <v>-83</v>
      </c>
      <c r="CN27" s="21">
        <f t="shared" ca="1" si="11"/>
        <v>-83</v>
      </c>
      <c r="CO27" s="21">
        <f t="shared" ca="1" si="11"/>
        <v>-83</v>
      </c>
      <c r="CP27" s="21">
        <f t="shared" ca="1" si="11"/>
        <v>-83</v>
      </c>
      <c r="CQ27" s="21">
        <f t="shared" ca="1" si="11"/>
        <v>-83</v>
      </c>
      <c r="CR27" s="21">
        <f t="shared" ca="1" si="11"/>
        <v>-83</v>
      </c>
      <c r="CS27" s="21">
        <f t="shared" ca="1" si="11"/>
        <v>-83</v>
      </c>
      <c r="CT27" s="21">
        <f t="shared" ca="1" si="11"/>
        <v>-83</v>
      </c>
    </row>
    <row r="30" spans="2:98" ht="19.5">
      <c r="B30" s="25" t="s">
        <v>391</v>
      </c>
    </row>
    <row r="45" spans="2:3" ht="15.5" thickBot="1"/>
    <row r="46" spans="2:3" ht="15.5" thickBot="1">
      <c r="B46" s="15" t="s">
        <v>18</v>
      </c>
      <c r="C46" s="16">
        <f>Progress!C46</f>
        <v>1</v>
      </c>
    </row>
    <row r="47" spans="2:3" ht="7" customHeight="1">
      <c r="B47" s="17"/>
    </row>
    <row r="48" spans="2:3">
      <c r="B48" s="23" t="str">
        <f>B20</f>
        <v>WBS(F_支払)</v>
      </c>
    </row>
    <row r="49" spans="2:98" ht="8.5" customHeight="1"/>
    <row r="50" spans="2:98">
      <c r="B50" s="18" t="s">
        <v>19</v>
      </c>
      <c r="C50" s="19">
        <v>45810</v>
      </c>
      <c r="D50" s="19">
        <f>C50+$C$18</f>
        <v>45811</v>
      </c>
      <c r="E50" s="19">
        <f t="shared" ref="E50:BP50" si="12">D50+$C$18</f>
        <v>45812</v>
      </c>
      <c r="F50" s="19">
        <f t="shared" si="12"/>
        <v>45813</v>
      </c>
      <c r="G50" s="19">
        <f t="shared" si="12"/>
        <v>45814</v>
      </c>
      <c r="H50" s="19">
        <f t="shared" si="12"/>
        <v>45815</v>
      </c>
      <c r="I50" s="19">
        <f t="shared" si="12"/>
        <v>45816</v>
      </c>
      <c r="J50" s="19">
        <f t="shared" si="12"/>
        <v>45817</v>
      </c>
      <c r="K50" s="19">
        <f t="shared" si="12"/>
        <v>45818</v>
      </c>
      <c r="L50" s="19">
        <f t="shared" si="12"/>
        <v>45819</v>
      </c>
      <c r="M50" s="19">
        <f t="shared" si="12"/>
        <v>45820</v>
      </c>
      <c r="N50" s="19">
        <f t="shared" si="12"/>
        <v>45821</v>
      </c>
      <c r="O50" s="19">
        <f t="shared" si="12"/>
        <v>45822</v>
      </c>
      <c r="P50" s="19">
        <f t="shared" si="12"/>
        <v>45823</v>
      </c>
      <c r="Q50" s="19">
        <f t="shared" si="12"/>
        <v>45824</v>
      </c>
      <c r="R50" s="19">
        <f t="shared" si="12"/>
        <v>45825</v>
      </c>
      <c r="S50" s="19">
        <f t="shared" si="12"/>
        <v>45826</v>
      </c>
      <c r="T50" s="19">
        <f t="shared" si="12"/>
        <v>45827</v>
      </c>
      <c r="U50" s="19">
        <f t="shared" si="12"/>
        <v>45828</v>
      </c>
      <c r="V50" s="19">
        <f t="shared" si="12"/>
        <v>45829</v>
      </c>
      <c r="W50" s="19">
        <f t="shared" si="12"/>
        <v>45830</v>
      </c>
      <c r="X50" s="19">
        <f t="shared" si="12"/>
        <v>45831</v>
      </c>
      <c r="Y50" s="19">
        <f t="shared" si="12"/>
        <v>45832</v>
      </c>
      <c r="Z50" s="19">
        <f t="shared" si="12"/>
        <v>45833</v>
      </c>
      <c r="AA50" s="19">
        <f t="shared" si="12"/>
        <v>45834</v>
      </c>
      <c r="AB50" s="19">
        <f t="shared" si="12"/>
        <v>45835</v>
      </c>
      <c r="AC50" s="19">
        <f t="shared" si="12"/>
        <v>45836</v>
      </c>
      <c r="AD50" s="19">
        <f t="shared" si="12"/>
        <v>45837</v>
      </c>
      <c r="AE50" s="19">
        <f t="shared" si="12"/>
        <v>45838</v>
      </c>
      <c r="AF50" s="19">
        <f t="shared" si="12"/>
        <v>45839</v>
      </c>
      <c r="AG50" s="19">
        <f t="shared" si="12"/>
        <v>45840</v>
      </c>
      <c r="AH50" s="19">
        <f t="shared" si="12"/>
        <v>45841</v>
      </c>
      <c r="AI50" s="19">
        <f t="shared" si="12"/>
        <v>45842</v>
      </c>
      <c r="AJ50" s="19">
        <f t="shared" si="12"/>
        <v>45843</v>
      </c>
      <c r="AK50" s="19">
        <f t="shared" si="12"/>
        <v>45844</v>
      </c>
      <c r="AL50" s="19">
        <f t="shared" si="12"/>
        <v>45845</v>
      </c>
      <c r="AM50" s="19">
        <f t="shared" si="12"/>
        <v>45846</v>
      </c>
      <c r="AN50" s="19">
        <f t="shared" si="12"/>
        <v>45847</v>
      </c>
      <c r="AO50" s="19">
        <f t="shared" si="12"/>
        <v>45848</v>
      </c>
      <c r="AP50" s="19">
        <f t="shared" si="12"/>
        <v>45849</v>
      </c>
      <c r="AQ50" s="19">
        <f t="shared" si="12"/>
        <v>45850</v>
      </c>
      <c r="AR50" s="19">
        <f t="shared" si="12"/>
        <v>45851</v>
      </c>
      <c r="AS50" s="19">
        <f t="shared" si="12"/>
        <v>45852</v>
      </c>
      <c r="AT50" s="19">
        <f t="shared" si="12"/>
        <v>45853</v>
      </c>
      <c r="AU50" s="19">
        <f t="shared" si="12"/>
        <v>45854</v>
      </c>
      <c r="AV50" s="19">
        <f t="shared" si="12"/>
        <v>45855</v>
      </c>
      <c r="AW50" s="19">
        <f t="shared" si="12"/>
        <v>45856</v>
      </c>
      <c r="AX50" s="19">
        <f t="shared" si="12"/>
        <v>45857</v>
      </c>
      <c r="AY50" s="19">
        <f t="shared" si="12"/>
        <v>45858</v>
      </c>
      <c r="AZ50" s="19">
        <f t="shared" si="12"/>
        <v>45859</v>
      </c>
      <c r="BA50" s="19">
        <f t="shared" si="12"/>
        <v>45860</v>
      </c>
      <c r="BB50" s="19">
        <f t="shared" si="12"/>
        <v>45861</v>
      </c>
      <c r="BC50" s="19">
        <f t="shared" si="12"/>
        <v>45862</v>
      </c>
      <c r="BD50" s="19">
        <f t="shared" si="12"/>
        <v>45863</v>
      </c>
      <c r="BE50" s="19">
        <f t="shared" si="12"/>
        <v>45864</v>
      </c>
      <c r="BF50" s="19">
        <f t="shared" si="12"/>
        <v>45865</v>
      </c>
      <c r="BG50" s="19">
        <f t="shared" si="12"/>
        <v>45866</v>
      </c>
      <c r="BH50" s="19">
        <f t="shared" si="12"/>
        <v>45867</v>
      </c>
      <c r="BI50" s="19">
        <f t="shared" si="12"/>
        <v>45868</v>
      </c>
      <c r="BJ50" s="19">
        <f t="shared" si="12"/>
        <v>45869</v>
      </c>
      <c r="BK50" s="19">
        <f t="shared" si="12"/>
        <v>45870</v>
      </c>
      <c r="BL50" s="19">
        <f t="shared" si="12"/>
        <v>45871</v>
      </c>
      <c r="BM50" s="19">
        <f t="shared" si="12"/>
        <v>45872</v>
      </c>
      <c r="BN50" s="19">
        <f t="shared" si="12"/>
        <v>45873</v>
      </c>
      <c r="BO50" s="19">
        <f t="shared" si="12"/>
        <v>45874</v>
      </c>
      <c r="BP50" s="19">
        <f t="shared" si="12"/>
        <v>45875</v>
      </c>
      <c r="BQ50" s="19">
        <f t="shared" ref="BQ50:CT50" si="13">BP50+$C$18</f>
        <v>45876</v>
      </c>
      <c r="BR50" s="19">
        <f t="shared" si="13"/>
        <v>45877</v>
      </c>
      <c r="BS50" s="19">
        <f t="shared" si="13"/>
        <v>45878</v>
      </c>
      <c r="BT50" s="19">
        <f t="shared" si="13"/>
        <v>45879</v>
      </c>
      <c r="BU50" s="19">
        <f t="shared" si="13"/>
        <v>45880</v>
      </c>
      <c r="BV50" s="19">
        <f t="shared" si="13"/>
        <v>45881</v>
      </c>
      <c r="BW50" s="19">
        <f t="shared" si="13"/>
        <v>45882</v>
      </c>
      <c r="BX50" s="19">
        <f t="shared" si="13"/>
        <v>45883</v>
      </c>
      <c r="BY50" s="19">
        <f t="shared" si="13"/>
        <v>45884</v>
      </c>
      <c r="BZ50" s="19">
        <f t="shared" si="13"/>
        <v>45885</v>
      </c>
      <c r="CA50" s="19">
        <f t="shared" si="13"/>
        <v>45886</v>
      </c>
      <c r="CB50" s="19">
        <f t="shared" si="13"/>
        <v>45887</v>
      </c>
      <c r="CC50" s="19">
        <f t="shared" si="13"/>
        <v>45888</v>
      </c>
      <c r="CD50" s="19">
        <f t="shared" si="13"/>
        <v>45889</v>
      </c>
      <c r="CE50" s="19">
        <f t="shared" si="13"/>
        <v>45890</v>
      </c>
      <c r="CF50" s="19">
        <f t="shared" si="13"/>
        <v>45891</v>
      </c>
      <c r="CG50" s="19">
        <f t="shared" si="13"/>
        <v>45892</v>
      </c>
      <c r="CH50" s="19">
        <f t="shared" si="13"/>
        <v>45893</v>
      </c>
      <c r="CI50" s="19">
        <f t="shared" si="13"/>
        <v>45894</v>
      </c>
      <c r="CJ50" s="19">
        <f t="shared" si="13"/>
        <v>45895</v>
      </c>
      <c r="CK50" s="19">
        <f t="shared" si="13"/>
        <v>45896</v>
      </c>
      <c r="CL50" s="19">
        <f t="shared" si="13"/>
        <v>45897</v>
      </c>
      <c r="CM50" s="19">
        <f t="shared" si="13"/>
        <v>45898</v>
      </c>
      <c r="CN50" s="19">
        <f t="shared" si="13"/>
        <v>45899</v>
      </c>
      <c r="CO50" s="19">
        <f t="shared" si="13"/>
        <v>45900</v>
      </c>
      <c r="CP50" s="19">
        <f t="shared" si="13"/>
        <v>45901</v>
      </c>
      <c r="CQ50" s="19">
        <f t="shared" si="13"/>
        <v>45902</v>
      </c>
      <c r="CR50" s="19">
        <f t="shared" si="13"/>
        <v>45903</v>
      </c>
      <c r="CS50" s="19">
        <f t="shared" si="13"/>
        <v>45904</v>
      </c>
      <c r="CT50" s="19">
        <f t="shared" si="13"/>
        <v>45905</v>
      </c>
    </row>
    <row r="51" spans="2:98">
      <c r="B51" s="20" t="s">
        <v>382</v>
      </c>
      <c r="C51" s="21">
        <f ca="1">COUNTIFS(INDIRECT("'" &amp; $B$20 &amp; "'!$S:$S"),"&gt;=" &amp; C$22,INDIRECT("'" &amp; $B$20 &amp; "'!$S:$S"), "&lt;" &amp; D$22)</f>
        <v>0</v>
      </c>
      <c r="D51" s="21">
        <f t="shared" ref="D51:BO51" ca="1" si="14">COUNTIFS(INDIRECT("'" &amp; $B$20 &amp; "'!$S:$S"),"&gt;=" &amp; D$22,INDIRECT("'" &amp; $B$20 &amp; "'!$S:$S"), "&lt;" &amp; E$22)</f>
        <v>0</v>
      </c>
      <c r="E51" s="21">
        <f t="shared" ca="1" si="14"/>
        <v>6</v>
      </c>
      <c r="F51" s="21">
        <f t="shared" ca="1" si="14"/>
        <v>0</v>
      </c>
      <c r="G51" s="21">
        <f t="shared" ca="1" si="14"/>
        <v>0</v>
      </c>
      <c r="H51" s="21">
        <f t="shared" ca="1" si="14"/>
        <v>0</v>
      </c>
      <c r="I51" s="21">
        <f t="shared" ca="1" si="14"/>
        <v>0</v>
      </c>
      <c r="J51" s="21">
        <f t="shared" ca="1" si="14"/>
        <v>0</v>
      </c>
      <c r="K51" s="21">
        <f t="shared" ca="1" si="14"/>
        <v>3</v>
      </c>
      <c r="L51" s="21">
        <f t="shared" ca="1" si="14"/>
        <v>6</v>
      </c>
      <c r="M51" s="21">
        <f t="shared" ca="1" si="14"/>
        <v>3</v>
      </c>
      <c r="N51" s="21">
        <f t="shared" ca="1" si="14"/>
        <v>0</v>
      </c>
      <c r="O51" s="21">
        <f t="shared" ca="1" si="14"/>
        <v>0</v>
      </c>
      <c r="P51" s="21">
        <f t="shared" ca="1" si="14"/>
        <v>0</v>
      </c>
      <c r="Q51" s="21">
        <f t="shared" ca="1" si="14"/>
        <v>0</v>
      </c>
      <c r="R51" s="21">
        <f t="shared" ca="1" si="14"/>
        <v>0</v>
      </c>
      <c r="S51" s="21">
        <f t="shared" ca="1" si="14"/>
        <v>3</v>
      </c>
      <c r="T51" s="21">
        <f t="shared" ca="1" si="14"/>
        <v>6</v>
      </c>
      <c r="U51" s="21">
        <f t="shared" ca="1" si="14"/>
        <v>3</v>
      </c>
      <c r="V51" s="21">
        <f t="shared" ca="1" si="14"/>
        <v>0</v>
      </c>
      <c r="W51" s="21">
        <f t="shared" ca="1" si="14"/>
        <v>0</v>
      </c>
      <c r="X51" s="21">
        <f t="shared" ca="1" si="14"/>
        <v>3</v>
      </c>
      <c r="Y51" s="21">
        <f t="shared" ca="1" si="14"/>
        <v>3</v>
      </c>
      <c r="Z51" s="21">
        <f t="shared" ca="1" si="14"/>
        <v>0</v>
      </c>
      <c r="AA51" s="21">
        <f t="shared" ca="1" si="14"/>
        <v>3</v>
      </c>
      <c r="AB51" s="21">
        <f t="shared" ca="1" si="14"/>
        <v>3</v>
      </c>
      <c r="AC51" s="21">
        <f t="shared" ca="1" si="14"/>
        <v>0</v>
      </c>
      <c r="AD51" s="21">
        <f t="shared" ca="1" si="14"/>
        <v>0</v>
      </c>
      <c r="AE51" s="21">
        <f t="shared" ca="1" si="14"/>
        <v>3</v>
      </c>
      <c r="AF51" s="21">
        <f t="shared" ca="1" si="14"/>
        <v>3</v>
      </c>
      <c r="AG51" s="21">
        <f t="shared" ca="1" si="14"/>
        <v>0</v>
      </c>
      <c r="AH51" s="21">
        <f t="shared" ca="1" si="14"/>
        <v>3</v>
      </c>
      <c r="AI51" s="21">
        <f t="shared" ca="1" si="14"/>
        <v>3</v>
      </c>
      <c r="AJ51" s="21">
        <f t="shared" ca="1" si="14"/>
        <v>0</v>
      </c>
      <c r="AK51" s="21">
        <f t="shared" ca="1" si="14"/>
        <v>0</v>
      </c>
      <c r="AL51" s="21">
        <f t="shared" ca="1" si="14"/>
        <v>0</v>
      </c>
      <c r="AM51" s="21">
        <f t="shared" ca="1" si="14"/>
        <v>5</v>
      </c>
      <c r="AN51" s="21">
        <f t="shared" ca="1" si="14"/>
        <v>3</v>
      </c>
      <c r="AO51" s="21">
        <f t="shared" ca="1" si="14"/>
        <v>5</v>
      </c>
      <c r="AP51" s="21">
        <f t="shared" ca="1" si="14"/>
        <v>4</v>
      </c>
      <c r="AQ51" s="21">
        <f t="shared" ca="1" si="14"/>
        <v>0</v>
      </c>
      <c r="AR51" s="21">
        <f t="shared" ca="1" si="14"/>
        <v>0</v>
      </c>
      <c r="AS51" s="21">
        <f t="shared" ca="1" si="14"/>
        <v>1</v>
      </c>
      <c r="AT51" s="21">
        <f t="shared" ca="1" si="14"/>
        <v>0</v>
      </c>
      <c r="AU51" s="21">
        <f t="shared" ca="1" si="14"/>
        <v>3</v>
      </c>
      <c r="AV51" s="21">
        <f t="shared" ca="1" si="14"/>
        <v>3</v>
      </c>
      <c r="AW51" s="21">
        <f t="shared" ca="1" si="14"/>
        <v>0</v>
      </c>
      <c r="AX51" s="21">
        <f t="shared" ca="1" si="14"/>
        <v>0</v>
      </c>
      <c r="AY51" s="21">
        <f t="shared" ca="1" si="14"/>
        <v>0</v>
      </c>
      <c r="AZ51" s="21">
        <f t="shared" ca="1" si="14"/>
        <v>0</v>
      </c>
      <c r="BA51" s="21">
        <f t="shared" ca="1" si="14"/>
        <v>0</v>
      </c>
      <c r="BB51" s="21">
        <f t="shared" ca="1" si="14"/>
        <v>2</v>
      </c>
      <c r="BC51" s="21">
        <f t="shared" ca="1" si="14"/>
        <v>4</v>
      </c>
      <c r="BD51" s="21">
        <f t="shared" ca="1" si="14"/>
        <v>3</v>
      </c>
      <c r="BE51" s="21">
        <f t="shared" ca="1" si="14"/>
        <v>0</v>
      </c>
      <c r="BF51" s="21">
        <f t="shared" ca="1" si="14"/>
        <v>0</v>
      </c>
      <c r="BG51" s="21">
        <f t="shared" ca="1" si="14"/>
        <v>1</v>
      </c>
      <c r="BH51" s="21">
        <f t="shared" ca="1" si="14"/>
        <v>3</v>
      </c>
      <c r="BI51" s="21">
        <f t="shared" ca="1" si="14"/>
        <v>3</v>
      </c>
      <c r="BJ51" s="21">
        <f t="shared" ca="1" si="14"/>
        <v>0</v>
      </c>
      <c r="BK51" s="21">
        <f t="shared" ca="1" si="14"/>
        <v>0</v>
      </c>
      <c r="BL51" s="21">
        <f t="shared" ca="1" si="14"/>
        <v>0</v>
      </c>
      <c r="BM51" s="21">
        <f t="shared" ca="1" si="14"/>
        <v>0</v>
      </c>
      <c r="BN51" s="21">
        <f t="shared" ca="1" si="14"/>
        <v>0</v>
      </c>
      <c r="BO51" s="21">
        <f t="shared" ca="1" si="14"/>
        <v>0</v>
      </c>
      <c r="BP51" s="21">
        <f t="shared" ref="BP51:CT51" ca="1" si="15">COUNTIFS(INDIRECT("'" &amp; $B$20 &amp; "'!$S:$S"),"&gt;=" &amp; BP$22,INDIRECT("'" &amp; $B$20 &amp; "'!$S:$S"), "&lt;" &amp; BQ$22)</f>
        <v>2</v>
      </c>
      <c r="BQ51" s="21">
        <f t="shared" ca="1" si="15"/>
        <v>0</v>
      </c>
      <c r="BR51" s="21">
        <f t="shared" ca="1" si="15"/>
        <v>0</v>
      </c>
      <c r="BS51" s="21">
        <f t="shared" ca="1" si="15"/>
        <v>0</v>
      </c>
      <c r="BT51" s="21">
        <f t="shared" ca="1" si="15"/>
        <v>0</v>
      </c>
      <c r="BU51" s="21">
        <f t="shared" ca="1" si="15"/>
        <v>0</v>
      </c>
      <c r="BV51" s="21">
        <f t="shared" ca="1" si="15"/>
        <v>0</v>
      </c>
      <c r="BW51" s="21">
        <f t="shared" ca="1" si="15"/>
        <v>0</v>
      </c>
      <c r="BX51" s="21">
        <f t="shared" ca="1" si="15"/>
        <v>0</v>
      </c>
      <c r="BY51" s="21">
        <f t="shared" ca="1" si="15"/>
        <v>0</v>
      </c>
      <c r="BZ51" s="21">
        <f t="shared" ca="1" si="15"/>
        <v>0</v>
      </c>
      <c r="CA51" s="21">
        <f t="shared" ca="1" si="15"/>
        <v>0</v>
      </c>
      <c r="CB51" s="21">
        <f t="shared" ca="1" si="15"/>
        <v>0</v>
      </c>
      <c r="CC51" s="21">
        <f t="shared" ca="1" si="15"/>
        <v>0</v>
      </c>
      <c r="CD51" s="21">
        <f t="shared" ca="1" si="15"/>
        <v>0</v>
      </c>
      <c r="CE51" s="21">
        <f t="shared" ca="1" si="15"/>
        <v>0</v>
      </c>
      <c r="CF51" s="21">
        <f t="shared" ca="1" si="15"/>
        <v>0</v>
      </c>
      <c r="CG51" s="21">
        <f t="shared" ca="1" si="15"/>
        <v>0</v>
      </c>
      <c r="CH51" s="21">
        <f t="shared" ca="1" si="15"/>
        <v>0</v>
      </c>
      <c r="CI51" s="21">
        <f t="shared" ca="1" si="15"/>
        <v>0</v>
      </c>
      <c r="CJ51" s="21">
        <f t="shared" ca="1" si="15"/>
        <v>0</v>
      </c>
      <c r="CK51" s="21">
        <f t="shared" ca="1" si="15"/>
        <v>0</v>
      </c>
      <c r="CL51" s="21">
        <f t="shared" ca="1" si="15"/>
        <v>0</v>
      </c>
      <c r="CM51" s="21">
        <f t="shared" ca="1" si="15"/>
        <v>0</v>
      </c>
      <c r="CN51" s="21">
        <f t="shared" ca="1" si="15"/>
        <v>0</v>
      </c>
      <c r="CO51" s="21">
        <f t="shared" ca="1" si="15"/>
        <v>0</v>
      </c>
      <c r="CP51" s="21">
        <f t="shared" ca="1" si="15"/>
        <v>0</v>
      </c>
      <c r="CQ51" s="21">
        <f t="shared" ca="1" si="15"/>
        <v>0</v>
      </c>
      <c r="CR51" s="21">
        <f t="shared" ca="1" si="15"/>
        <v>0</v>
      </c>
      <c r="CS51" s="21">
        <f t="shared" ca="1" si="15"/>
        <v>0</v>
      </c>
      <c r="CT51" s="21">
        <f t="shared" ca="1" si="15"/>
        <v>0</v>
      </c>
    </row>
    <row r="52" spans="2:98">
      <c r="B52" s="20" t="s">
        <v>21</v>
      </c>
      <c r="C52" s="21">
        <f ca="1">C51</f>
        <v>0</v>
      </c>
      <c r="D52" s="21">
        <f ca="1">C52+D51</f>
        <v>0</v>
      </c>
      <c r="E52" s="21">
        <f t="shared" ref="E52:BP52" ca="1" si="16">D52+E51</f>
        <v>6</v>
      </c>
      <c r="F52" s="21">
        <f t="shared" ca="1" si="16"/>
        <v>6</v>
      </c>
      <c r="G52" s="21">
        <f t="shared" ca="1" si="16"/>
        <v>6</v>
      </c>
      <c r="H52" s="21">
        <f t="shared" ca="1" si="16"/>
        <v>6</v>
      </c>
      <c r="I52" s="21">
        <f t="shared" ca="1" si="16"/>
        <v>6</v>
      </c>
      <c r="J52" s="21">
        <f t="shared" ca="1" si="16"/>
        <v>6</v>
      </c>
      <c r="K52" s="21">
        <f t="shared" ca="1" si="16"/>
        <v>9</v>
      </c>
      <c r="L52" s="21">
        <f t="shared" ca="1" si="16"/>
        <v>15</v>
      </c>
      <c r="M52" s="21">
        <f t="shared" ca="1" si="16"/>
        <v>18</v>
      </c>
      <c r="N52" s="21">
        <f t="shared" ca="1" si="16"/>
        <v>18</v>
      </c>
      <c r="O52" s="21">
        <f t="shared" ca="1" si="16"/>
        <v>18</v>
      </c>
      <c r="P52" s="21">
        <f t="shared" ca="1" si="16"/>
        <v>18</v>
      </c>
      <c r="Q52" s="21">
        <f t="shared" ca="1" si="16"/>
        <v>18</v>
      </c>
      <c r="R52" s="21">
        <f t="shared" ca="1" si="16"/>
        <v>18</v>
      </c>
      <c r="S52" s="21">
        <f t="shared" ca="1" si="16"/>
        <v>21</v>
      </c>
      <c r="T52" s="21">
        <f t="shared" ca="1" si="16"/>
        <v>27</v>
      </c>
      <c r="U52" s="21">
        <f t="shared" ca="1" si="16"/>
        <v>30</v>
      </c>
      <c r="V52" s="21">
        <f t="shared" ca="1" si="16"/>
        <v>30</v>
      </c>
      <c r="W52" s="21">
        <f t="shared" ca="1" si="16"/>
        <v>30</v>
      </c>
      <c r="X52" s="21">
        <f t="shared" ca="1" si="16"/>
        <v>33</v>
      </c>
      <c r="Y52" s="21">
        <f t="shared" ca="1" si="16"/>
        <v>36</v>
      </c>
      <c r="Z52" s="21">
        <f t="shared" ca="1" si="16"/>
        <v>36</v>
      </c>
      <c r="AA52" s="21">
        <f t="shared" ca="1" si="16"/>
        <v>39</v>
      </c>
      <c r="AB52" s="21">
        <f t="shared" ca="1" si="16"/>
        <v>42</v>
      </c>
      <c r="AC52" s="21">
        <f t="shared" ca="1" si="16"/>
        <v>42</v>
      </c>
      <c r="AD52" s="21">
        <f t="shared" ca="1" si="16"/>
        <v>42</v>
      </c>
      <c r="AE52" s="21">
        <f t="shared" ca="1" si="16"/>
        <v>45</v>
      </c>
      <c r="AF52" s="21">
        <f t="shared" ca="1" si="16"/>
        <v>48</v>
      </c>
      <c r="AG52" s="21">
        <f t="shared" ca="1" si="16"/>
        <v>48</v>
      </c>
      <c r="AH52" s="21">
        <f t="shared" ca="1" si="16"/>
        <v>51</v>
      </c>
      <c r="AI52" s="21">
        <f t="shared" ca="1" si="16"/>
        <v>54</v>
      </c>
      <c r="AJ52" s="21">
        <f t="shared" ca="1" si="16"/>
        <v>54</v>
      </c>
      <c r="AK52" s="21">
        <f t="shared" ca="1" si="16"/>
        <v>54</v>
      </c>
      <c r="AL52" s="21">
        <f t="shared" ca="1" si="16"/>
        <v>54</v>
      </c>
      <c r="AM52" s="21">
        <f t="shared" ca="1" si="16"/>
        <v>59</v>
      </c>
      <c r="AN52" s="21">
        <f t="shared" ca="1" si="16"/>
        <v>62</v>
      </c>
      <c r="AO52" s="21">
        <f t="shared" ca="1" si="16"/>
        <v>67</v>
      </c>
      <c r="AP52" s="21">
        <f t="shared" ca="1" si="16"/>
        <v>71</v>
      </c>
      <c r="AQ52" s="21">
        <f t="shared" ca="1" si="16"/>
        <v>71</v>
      </c>
      <c r="AR52" s="21">
        <f t="shared" ca="1" si="16"/>
        <v>71</v>
      </c>
      <c r="AS52" s="21">
        <f t="shared" ca="1" si="16"/>
        <v>72</v>
      </c>
      <c r="AT52" s="21">
        <f t="shared" ca="1" si="16"/>
        <v>72</v>
      </c>
      <c r="AU52" s="21">
        <f t="shared" ca="1" si="16"/>
        <v>75</v>
      </c>
      <c r="AV52" s="21">
        <f t="shared" ca="1" si="16"/>
        <v>78</v>
      </c>
      <c r="AW52" s="21">
        <f t="shared" ca="1" si="16"/>
        <v>78</v>
      </c>
      <c r="AX52" s="21">
        <f t="shared" ca="1" si="16"/>
        <v>78</v>
      </c>
      <c r="AY52" s="21">
        <f t="shared" ca="1" si="16"/>
        <v>78</v>
      </c>
      <c r="AZ52" s="21">
        <f t="shared" ca="1" si="16"/>
        <v>78</v>
      </c>
      <c r="BA52" s="21">
        <f t="shared" ca="1" si="16"/>
        <v>78</v>
      </c>
      <c r="BB52" s="21">
        <f t="shared" ca="1" si="16"/>
        <v>80</v>
      </c>
      <c r="BC52" s="21">
        <f t="shared" ca="1" si="16"/>
        <v>84</v>
      </c>
      <c r="BD52" s="21">
        <f t="shared" ca="1" si="16"/>
        <v>87</v>
      </c>
      <c r="BE52" s="21">
        <f t="shared" ca="1" si="16"/>
        <v>87</v>
      </c>
      <c r="BF52" s="21">
        <f t="shared" ca="1" si="16"/>
        <v>87</v>
      </c>
      <c r="BG52" s="21">
        <f t="shared" ca="1" si="16"/>
        <v>88</v>
      </c>
      <c r="BH52" s="21">
        <f t="shared" ca="1" si="16"/>
        <v>91</v>
      </c>
      <c r="BI52" s="21">
        <f t="shared" ca="1" si="16"/>
        <v>94</v>
      </c>
      <c r="BJ52" s="21">
        <f t="shared" ca="1" si="16"/>
        <v>94</v>
      </c>
      <c r="BK52" s="21">
        <f t="shared" ca="1" si="16"/>
        <v>94</v>
      </c>
      <c r="BL52" s="21">
        <f t="shared" ca="1" si="16"/>
        <v>94</v>
      </c>
      <c r="BM52" s="21">
        <f t="shared" ca="1" si="16"/>
        <v>94</v>
      </c>
      <c r="BN52" s="21">
        <f t="shared" ca="1" si="16"/>
        <v>94</v>
      </c>
      <c r="BO52" s="21">
        <f t="shared" ca="1" si="16"/>
        <v>94</v>
      </c>
      <c r="BP52" s="21">
        <f t="shared" ca="1" si="16"/>
        <v>96</v>
      </c>
      <c r="BQ52" s="21">
        <f t="shared" ref="BQ52:CT52" ca="1" si="17">BP52+BQ51</f>
        <v>96</v>
      </c>
      <c r="BR52" s="21">
        <f t="shared" ca="1" si="17"/>
        <v>96</v>
      </c>
      <c r="BS52" s="21">
        <f t="shared" ca="1" si="17"/>
        <v>96</v>
      </c>
      <c r="BT52" s="21">
        <f t="shared" ca="1" si="17"/>
        <v>96</v>
      </c>
      <c r="BU52" s="21">
        <f t="shared" ca="1" si="17"/>
        <v>96</v>
      </c>
      <c r="BV52" s="21">
        <f t="shared" ca="1" si="17"/>
        <v>96</v>
      </c>
      <c r="BW52" s="21">
        <f t="shared" ca="1" si="17"/>
        <v>96</v>
      </c>
      <c r="BX52" s="21">
        <f t="shared" ca="1" si="17"/>
        <v>96</v>
      </c>
      <c r="BY52" s="21">
        <f t="shared" ca="1" si="17"/>
        <v>96</v>
      </c>
      <c r="BZ52" s="21">
        <f t="shared" ca="1" si="17"/>
        <v>96</v>
      </c>
      <c r="CA52" s="21">
        <f t="shared" ca="1" si="17"/>
        <v>96</v>
      </c>
      <c r="CB52" s="21">
        <f t="shared" ca="1" si="17"/>
        <v>96</v>
      </c>
      <c r="CC52" s="21">
        <f t="shared" ca="1" si="17"/>
        <v>96</v>
      </c>
      <c r="CD52" s="21">
        <f t="shared" ca="1" si="17"/>
        <v>96</v>
      </c>
      <c r="CE52" s="21">
        <f t="shared" ca="1" si="17"/>
        <v>96</v>
      </c>
      <c r="CF52" s="21">
        <f t="shared" ca="1" si="17"/>
        <v>96</v>
      </c>
      <c r="CG52" s="21">
        <f t="shared" ca="1" si="17"/>
        <v>96</v>
      </c>
      <c r="CH52" s="21">
        <f t="shared" ca="1" si="17"/>
        <v>96</v>
      </c>
      <c r="CI52" s="21">
        <f t="shared" ca="1" si="17"/>
        <v>96</v>
      </c>
      <c r="CJ52" s="21">
        <f t="shared" ca="1" si="17"/>
        <v>96</v>
      </c>
      <c r="CK52" s="21">
        <f t="shared" ca="1" si="17"/>
        <v>96</v>
      </c>
      <c r="CL52" s="21">
        <f t="shared" ca="1" si="17"/>
        <v>96</v>
      </c>
      <c r="CM52" s="21">
        <f t="shared" ca="1" si="17"/>
        <v>96</v>
      </c>
      <c r="CN52" s="21">
        <f t="shared" ca="1" si="17"/>
        <v>96</v>
      </c>
      <c r="CO52" s="21">
        <f t="shared" ca="1" si="17"/>
        <v>96</v>
      </c>
      <c r="CP52" s="21">
        <f t="shared" ca="1" si="17"/>
        <v>96</v>
      </c>
      <c r="CQ52" s="21">
        <f t="shared" ca="1" si="17"/>
        <v>96</v>
      </c>
      <c r="CR52" s="21">
        <f t="shared" ca="1" si="17"/>
        <v>96</v>
      </c>
      <c r="CS52" s="21">
        <f t="shared" ca="1" si="17"/>
        <v>96</v>
      </c>
      <c r="CT52" s="21">
        <f t="shared" ca="1" si="17"/>
        <v>96</v>
      </c>
    </row>
    <row r="53" spans="2:98">
      <c r="B53" s="20" t="s">
        <v>383</v>
      </c>
      <c r="C53" s="21">
        <f ca="1">COUNTIFS(INDIRECT("'" &amp; $B$20 &amp; "'!$U:$U"),"&gt;=" &amp; C$22,INDIRECT("'" &amp; $B$20 &amp; "'!$U:$U"), "&lt;" &amp; D$22)</f>
        <v>0</v>
      </c>
      <c r="D53" s="21">
        <f t="shared" ref="D53:BO53" ca="1" si="18">COUNTIFS(INDIRECT("'" &amp; $B$20 &amp; "'!$U:$U"),"&gt;=" &amp; D$22,INDIRECT("'" &amp; $B$20 &amp; "'!$U:$U"), "&lt;" &amp; E$22)</f>
        <v>0</v>
      </c>
      <c r="E53" s="21">
        <f t="shared" ca="1" si="18"/>
        <v>6</v>
      </c>
      <c r="F53" s="21">
        <f t="shared" ca="1" si="18"/>
        <v>0</v>
      </c>
      <c r="G53" s="21">
        <f t="shared" ca="1" si="18"/>
        <v>1</v>
      </c>
      <c r="H53" s="21">
        <f t="shared" ca="1" si="18"/>
        <v>0</v>
      </c>
      <c r="I53" s="21">
        <f t="shared" ca="1" si="18"/>
        <v>0</v>
      </c>
      <c r="J53" s="21">
        <f t="shared" ca="1" si="18"/>
        <v>7</v>
      </c>
      <c r="K53" s="21">
        <f t="shared" ca="1" si="18"/>
        <v>4</v>
      </c>
      <c r="L53" s="21">
        <f t="shared" ca="1" si="18"/>
        <v>0</v>
      </c>
      <c r="M53" s="21">
        <f t="shared" ca="1" si="18"/>
        <v>0</v>
      </c>
      <c r="N53" s="21">
        <f t="shared" ca="1" si="18"/>
        <v>0</v>
      </c>
      <c r="O53" s="21">
        <f t="shared" ca="1" si="18"/>
        <v>0</v>
      </c>
      <c r="P53" s="21">
        <f t="shared" ca="1" si="18"/>
        <v>0</v>
      </c>
      <c r="Q53" s="21">
        <f t="shared" ca="1" si="18"/>
        <v>0</v>
      </c>
      <c r="R53" s="21">
        <f t="shared" ca="1" si="18"/>
        <v>0</v>
      </c>
      <c r="S53" s="21">
        <f t="shared" ca="1" si="18"/>
        <v>0</v>
      </c>
      <c r="T53" s="21">
        <f t="shared" ca="1" si="18"/>
        <v>0</v>
      </c>
      <c r="U53" s="21">
        <f t="shared" ca="1" si="18"/>
        <v>0</v>
      </c>
      <c r="V53" s="21">
        <f t="shared" ca="1" si="18"/>
        <v>0</v>
      </c>
      <c r="W53" s="21">
        <f t="shared" ca="1" si="18"/>
        <v>0</v>
      </c>
      <c r="X53" s="21">
        <f t="shared" ca="1" si="18"/>
        <v>0</v>
      </c>
      <c r="Y53" s="21">
        <f t="shared" ca="1" si="18"/>
        <v>0</v>
      </c>
      <c r="Z53" s="21">
        <f t="shared" ca="1" si="18"/>
        <v>0</v>
      </c>
      <c r="AA53" s="21">
        <f t="shared" ca="1" si="18"/>
        <v>0</v>
      </c>
      <c r="AB53" s="21">
        <f t="shared" ca="1" si="18"/>
        <v>0</v>
      </c>
      <c r="AC53" s="21">
        <f t="shared" ca="1" si="18"/>
        <v>0</v>
      </c>
      <c r="AD53" s="21">
        <f t="shared" ca="1" si="18"/>
        <v>0</v>
      </c>
      <c r="AE53" s="21">
        <f t="shared" ca="1" si="18"/>
        <v>0</v>
      </c>
      <c r="AF53" s="21">
        <f t="shared" ca="1" si="18"/>
        <v>0</v>
      </c>
      <c r="AG53" s="21">
        <f t="shared" ca="1" si="18"/>
        <v>0</v>
      </c>
      <c r="AH53" s="21">
        <f t="shared" ca="1" si="18"/>
        <v>0</v>
      </c>
      <c r="AI53" s="21">
        <f t="shared" ca="1" si="18"/>
        <v>0</v>
      </c>
      <c r="AJ53" s="21">
        <f t="shared" ca="1" si="18"/>
        <v>0</v>
      </c>
      <c r="AK53" s="21">
        <f t="shared" ca="1" si="18"/>
        <v>0</v>
      </c>
      <c r="AL53" s="21">
        <f t="shared" ca="1" si="18"/>
        <v>0</v>
      </c>
      <c r="AM53" s="21">
        <f t="shared" ca="1" si="18"/>
        <v>0</v>
      </c>
      <c r="AN53" s="21">
        <f t="shared" ca="1" si="18"/>
        <v>0</v>
      </c>
      <c r="AO53" s="21">
        <f t="shared" ca="1" si="18"/>
        <v>0</v>
      </c>
      <c r="AP53" s="21">
        <f t="shared" ca="1" si="18"/>
        <v>0</v>
      </c>
      <c r="AQ53" s="21">
        <f t="shared" ca="1" si="18"/>
        <v>0</v>
      </c>
      <c r="AR53" s="21">
        <f t="shared" ca="1" si="18"/>
        <v>0</v>
      </c>
      <c r="AS53" s="21">
        <f t="shared" ca="1" si="18"/>
        <v>0</v>
      </c>
      <c r="AT53" s="21">
        <f t="shared" ca="1" si="18"/>
        <v>0</v>
      </c>
      <c r="AU53" s="21">
        <f t="shared" ca="1" si="18"/>
        <v>0</v>
      </c>
      <c r="AV53" s="21">
        <f t="shared" ca="1" si="18"/>
        <v>0</v>
      </c>
      <c r="AW53" s="21">
        <f t="shared" ca="1" si="18"/>
        <v>0</v>
      </c>
      <c r="AX53" s="21">
        <f t="shared" ca="1" si="18"/>
        <v>0</v>
      </c>
      <c r="AY53" s="21">
        <f t="shared" ca="1" si="18"/>
        <v>0</v>
      </c>
      <c r="AZ53" s="21">
        <f t="shared" ca="1" si="18"/>
        <v>0</v>
      </c>
      <c r="BA53" s="21">
        <f t="shared" ca="1" si="18"/>
        <v>0</v>
      </c>
      <c r="BB53" s="21">
        <f t="shared" ca="1" si="18"/>
        <v>0</v>
      </c>
      <c r="BC53" s="21">
        <f t="shared" ca="1" si="18"/>
        <v>0</v>
      </c>
      <c r="BD53" s="21">
        <f t="shared" ca="1" si="18"/>
        <v>0</v>
      </c>
      <c r="BE53" s="21">
        <f t="shared" ca="1" si="18"/>
        <v>0</v>
      </c>
      <c r="BF53" s="21">
        <f t="shared" ca="1" si="18"/>
        <v>0</v>
      </c>
      <c r="BG53" s="21">
        <f t="shared" ca="1" si="18"/>
        <v>0</v>
      </c>
      <c r="BH53" s="21">
        <f t="shared" ca="1" si="18"/>
        <v>0</v>
      </c>
      <c r="BI53" s="21">
        <f t="shared" ca="1" si="18"/>
        <v>0</v>
      </c>
      <c r="BJ53" s="21">
        <f t="shared" ca="1" si="18"/>
        <v>0</v>
      </c>
      <c r="BK53" s="21">
        <f t="shared" ca="1" si="18"/>
        <v>0</v>
      </c>
      <c r="BL53" s="21">
        <f t="shared" ca="1" si="18"/>
        <v>0</v>
      </c>
      <c r="BM53" s="21">
        <f t="shared" ca="1" si="18"/>
        <v>0</v>
      </c>
      <c r="BN53" s="21">
        <f t="shared" ca="1" si="18"/>
        <v>0</v>
      </c>
      <c r="BO53" s="21">
        <f t="shared" ca="1" si="18"/>
        <v>0</v>
      </c>
      <c r="BP53" s="21">
        <f t="shared" ref="BP53:CT53" ca="1" si="19">COUNTIFS(INDIRECT("'" &amp; $B$20 &amp; "'!$U:$U"),"&gt;=" &amp; BP$22,INDIRECT("'" &amp; $B$20 &amp; "'!$U:$U"), "&lt;" &amp; BQ$22)</f>
        <v>0</v>
      </c>
      <c r="BQ53" s="21">
        <f t="shared" ca="1" si="19"/>
        <v>0</v>
      </c>
      <c r="BR53" s="21">
        <f t="shared" ca="1" si="19"/>
        <v>0</v>
      </c>
      <c r="BS53" s="21">
        <f t="shared" ca="1" si="19"/>
        <v>0</v>
      </c>
      <c r="BT53" s="21">
        <f t="shared" ca="1" si="19"/>
        <v>0</v>
      </c>
      <c r="BU53" s="21">
        <f t="shared" ca="1" si="19"/>
        <v>0</v>
      </c>
      <c r="BV53" s="21">
        <f t="shared" ca="1" si="19"/>
        <v>0</v>
      </c>
      <c r="BW53" s="21">
        <f t="shared" ca="1" si="19"/>
        <v>0</v>
      </c>
      <c r="BX53" s="21">
        <f t="shared" ca="1" si="19"/>
        <v>0</v>
      </c>
      <c r="BY53" s="21">
        <f t="shared" ca="1" si="19"/>
        <v>0</v>
      </c>
      <c r="BZ53" s="21">
        <f t="shared" ca="1" si="19"/>
        <v>0</v>
      </c>
      <c r="CA53" s="21">
        <f t="shared" ca="1" si="19"/>
        <v>0</v>
      </c>
      <c r="CB53" s="21">
        <f t="shared" ca="1" si="19"/>
        <v>0</v>
      </c>
      <c r="CC53" s="21">
        <f t="shared" ca="1" si="19"/>
        <v>0</v>
      </c>
      <c r="CD53" s="21">
        <f t="shared" ca="1" si="19"/>
        <v>0</v>
      </c>
      <c r="CE53" s="21">
        <f t="shared" ca="1" si="19"/>
        <v>0</v>
      </c>
      <c r="CF53" s="21">
        <f t="shared" ca="1" si="19"/>
        <v>0</v>
      </c>
      <c r="CG53" s="21">
        <f t="shared" ca="1" si="19"/>
        <v>0</v>
      </c>
      <c r="CH53" s="21">
        <f t="shared" ca="1" si="19"/>
        <v>0</v>
      </c>
      <c r="CI53" s="21">
        <f t="shared" ca="1" si="19"/>
        <v>0</v>
      </c>
      <c r="CJ53" s="21">
        <f t="shared" ca="1" si="19"/>
        <v>0</v>
      </c>
      <c r="CK53" s="21">
        <f t="shared" ca="1" si="19"/>
        <v>0</v>
      </c>
      <c r="CL53" s="21">
        <f t="shared" ca="1" si="19"/>
        <v>0</v>
      </c>
      <c r="CM53" s="21">
        <f t="shared" ca="1" si="19"/>
        <v>0</v>
      </c>
      <c r="CN53" s="21">
        <f t="shared" ca="1" si="19"/>
        <v>0</v>
      </c>
      <c r="CO53" s="21">
        <f t="shared" ca="1" si="19"/>
        <v>0</v>
      </c>
      <c r="CP53" s="21">
        <f t="shared" ca="1" si="19"/>
        <v>0</v>
      </c>
      <c r="CQ53" s="21">
        <f t="shared" ca="1" si="19"/>
        <v>0</v>
      </c>
      <c r="CR53" s="21">
        <f t="shared" ca="1" si="19"/>
        <v>0</v>
      </c>
      <c r="CS53" s="21">
        <f t="shared" ca="1" si="19"/>
        <v>0</v>
      </c>
      <c r="CT53" s="21">
        <f t="shared" ca="1" si="19"/>
        <v>0</v>
      </c>
    </row>
    <row r="54" spans="2:98">
      <c r="B54" s="20" t="s">
        <v>23</v>
      </c>
      <c r="C54" s="21">
        <f ca="1">C53</f>
        <v>0</v>
      </c>
      <c r="D54" s="21">
        <f ca="1">C54+D53</f>
        <v>0</v>
      </c>
      <c r="E54" s="21">
        <f t="shared" ref="E54:BP54" ca="1" si="20">D54+E53</f>
        <v>6</v>
      </c>
      <c r="F54" s="21">
        <f t="shared" ca="1" si="20"/>
        <v>6</v>
      </c>
      <c r="G54" s="21">
        <f t="shared" ca="1" si="20"/>
        <v>7</v>
      </c>
      <c r="H54" s="21">
        <f t="shared" ca="1" si="20"/>
        <v>7</v>
      </c>
      <c r="I54" s="21">
        <f t="shared" ca="1" si="20"/>
        <v>7</v>
      </c>
      <c r="J54" s="21">
        <f t="shared" ca="1" si="20"/>
        <v>14</v>
      </c>
      <c r="K54" s="21">
        <f t="shared" ca="1" si="20"/>
        <v>18</v>
      </c>
      <c r="L54" s="21">
        <f t="shared" ca="1" si="20"/>
        <v>18</v>
      </c>
      <c r="M54" s="21">
        <f t="shared" ca="1" si="20"/>
        <v>18</v>
      </c>
      <c r="N54" s="21">
        <f t="shared" ca="1" si="20"/>
        <v>18</v>
      </c>
      <c r="O54" s="21">
        <f t="shared" ca="1" si="20"/>
        <v>18</v>
      </c>
      <c r="P54" s="21">
        <f t="shared" ca="1" si="20"/>
        <v>18</v>
      </c>
      <c r="Q54" s="21">
        <f t="shared" ca="1" si="20"/>
        <v>18</v>
      </c>
      <c r="R54" s="21">
        <f t="shared" ca="1" si="20"/>
        <v>18</v>
      </c>
      <c r="S54" s="21">
        <f t="shared" ca="1" si="20"/>
        <v>18</v>
      </c>
      <c r="T54" s="21">
        <f t="shared" ca="1" si="20"/>
        <v>18</v>
      </c>
      <c r="U54" s="21">
        <f t="shared" ca="1" si="20"/>
        <v>18</v>
      </c>
      <c r="V54" s="21">
        <f t="shared" ca="1" si="20"/>
        <v>18</v>
      </c>
      <c r="W54" s="21">
        <f t="shared" ca="1" si="20"/>
        <v>18</v>
      </c>
      <c r="X54" s="21">
        <f t="shared" ca="1" si="20"/>
        <v>18</v>
      </c>
      <c r="Y54" s="21">
        <f t="shared" ca="1" si="20"/>
        <v>18</v>
      </c>
      <c r="Z54" s="21">
        <f t="shared" ca="1" si="20"/>
        <v>18</v>
      </c>
      <c r="AA54" s="21">
        <f t="shared" ca="1" si="20"/>
        <v>18</v>
      </c>
      <c r="AB54" s="21">
        <f t="shared" ca="1" si="20"/>
        <v>18</v>
      </c>
      <c r="AC54" s="21">
        <f t="shared" ca="1" si="20"/>
        <v>18</v>
      </c>
      <c r="AD54" s="21">
        <f t="shared" ca="1" si="20"/>
        <v>18</v>
      </c>
      <c r="AE54" s="21">
        <f t="shared" ca="1" si="20"/>
        <v>18</v>
      </c>
      <c r="AF54" s="21">
        <f t="shared" ca="1" si="20"/>
        <v>18</v>
      </c>
      <c r="AG54" s="21">
        <f t="shared" ca="1" si="20"/>
        <v>18</v>
      </c>
      <c r="AH54" s="21">
        <f t="shared" ca="1" si="20"/>
        <v>18</v>
      </c>
      <c r="AI54" s="21">
        <f t="shared" ca="1" si="20"/>
        <v>18</v>
      </c>
      <c r="AJ54" s="21">
        <f t="shared" ca="1" si="20"/>
        <v>18</v>
      </c>
      <c r="AK54" s="21">
        <f t="shared" ca="1" si="20"/>
        <v>18</v>
      </c>
      <c r="AL54" s="21">
        <f t="shared" ca="1" si="20"/>
        <v>18</v>
      </c>
      <c r="AM54" s="21">
        <f t="shared" ca="1" si="20"/>
        <v>18</v>
      </c>
      <c r="AN54" s="21">
        <f t="shared" ca="1" si="20"/>
        <v>18</v>
      </c>
      <c r="AO54" s="21">
        <f t="shared" ca="1" si="20"/>
        <v>18</v>
      </c>
      <c r="AP54" s="21">
        <f t="shared" ca="1" si="20"/>
        <v>18</v>
      </c>
      <c r="AQ54" s="21">
        <f t="shared" ca="1" si="20"/>
        <v>18</v>
      </c>
      <c r="AR54" s="21">
        <f t="shared" ca="1" si="20"/>
        <v>18</v>
      </c>
      <c r="AS54" s="21">
        <f t="shared" ca="1" si="20"/>
        <v>18</v>
      </c>
      <c r="AT54" s="21">
        <f t="shared" ca="1" si="20"/>
        <v>18</v>
      </c>
      <c r="AU54" s="21">
        <f t="shared" ca="1" si="20"/>
        <v>18</v>
      </c>
      <c r="AV54" s="21">
        <f t="shared" ca="1" si="20"/>
        <v>18</v>
      </c>
      <c r="AW54" s="21">
        <f t="shared" ca="1" si="20"/>
        <v>18</v>
      </c>
      <c r="AX54" s="21">
        <f t="shared" ca="1" si="20"/>
        <v>18</v>
      </c>
      <c r="AY54" s="21">
        <f t="shared" ca="1" si="20"/>
        <v>18</v>
      </c>
      <c r="AZ54" s="21">
        <f t="shared" ca="1" si="20"/>
        <v>18</v>
      </c>
      <c r="BA54" s="21">
        <f t="shared" ca="1" si="20"/>
        <v>18</v>
      </c>
      <c r="BB54" s="21">
        <f t="shared" ca="1" si="20"/>
        <v>18</v>
      </c>
      <c r="BC54" s="21">
        <f t="shared" ca="1" si="20"/>
        <v>18</v>
      </c>
      <c r="BD54" s="21">
        <f t="shared" ca="1" si="20"/>
        <v>18</v>
      </c>
      <c r="BE54" s="21">
        <f t="shared" ca="1" si="20"/>
        <v>18</v>
      </c>
      <c r="BF54" s="21">
        <f t="shared" ca="1" si="20"/>
        <v>18</v>
      </c>
      <c r="BG54" s="21">
        <f t="shared" ca="1" si="20"/>
        <v>18</v>
      </c>
      <c r="BH54" s="21">
        <f t="shared" ca="1" si="20"/>
        <v>18</v>
      </c>
      <c r="BI54" s="21">
        <f t="shared" ca="1" si="20"/>
        <v>18</v>
      </c>
      <c r="BJ54" s="21">
        <f t="shared" ca="1" si="20"/>
        <v>18</v>
      </c>
      <c r="BK54" s="21">
        <f t="shared" ca="1" si="20"/>
        <v>18</v>
      </c>
      <c r="BL54" s="21">
        <f t="shared" ca="1" si="20"/>
        <v>18</v>
      </c>
      <c r="BM54" s="21">
        <f t="shared" ca="1" si="20"/>
        <v>18</v>
      </c>
      <c r="BN54" s="21">
        <f t="shared" ca="1" si="20"/>
        <v>18</v>
      </c>
      <c r="BO54" s="21">
        <f t="shared" ca="1" si="20"/>
        <v>18</v>
      </c>
      <c r="BP54" s="21">
        <f t="shared" ca="1" si="20"/>
        <v>18</v>
      </c>
      <c r="BQ54" s="21">
        <f t="shared" ref="BQ54:CT54" ca="1" si="21">BP54+BQ53</f>
        <v>18</v>
      </c>
      <c r="BR54" s="21">
        <f t="shared" ca="1" si="21"/>
        <v>18</v>
      </c>
      <c r="BS54" s="21">
        <f t="shared" ca="1" si="21"/>
        <v>18</v>
      </c>
      <c r="BT54" s="21">
        <f t="shared" ca="1" si="21"/>
        <v>18</v>
      </c>
      <c r="BU54" s="21">
        <f t="shared" ca="1" si="21"/>
        <v>18</v>
      </c>
      <c r="BV54" s="21">
        <f t="shared" ca="1" si="21"/>
        <v>18</v>
      </c>
      <c r="BW54" s="21">
        <f t="shared" ca="1" si="21"/>
        <v>18</v>
      </c>
      <c r="BX54" s="21">
        <f t="shared" ca="1" si="21"/>
        <v>18</v>
      </c>
      <c r="BY54" s="21">
        <f t="shared" ca="1" si="21"/>
        <v>18</v>
      </c>
      <c r="BZ54" s="21">
        <f t="shared" ca="1" si="21"/>
        <v>18</v>
      </c>
      <c r="CA54" s="21">
        <f t="shared" ca="1" si="21"/>
        <v>18</v>
      </c>
      <c r="CB54" s="21">
        <f t="shared" ca="1" si="21"/>
        <v>18</v>
      </c>
      <c r="CC54" s="21">
        <f t="shared" ca="1" si="21"/>
        <v>18</v>
      </c>
      <c r="CD54" s="21">
        <f t="shared" ca="1" si="21"/>
        <v>18</v>
      </c>
      <c r="CE54" s="21">
        <f t="shared" ca="1" si="21"/>
        <v>18</v>
      </c>
      <c r="CF54" s="21">
        <f t="shared" ca="1" si="21"/>
        <v>18</v>
      </c>
      <c r="CG54" s="21">
        <f t="shared" ca="1" si="21"/>
        <v>18</v>
      </c>
      <c r="CH54" s="21">
        <f t="shared" ca="1" si="21"/>
        <v>18</v>
      </c>
      <c r="CI54" s="21">
        <f t="shared" ca="1" si="21"/>
        <v>18</v>
      </c>
      <c r="CJ54" s="21">
        <f t="shared" ca="1" si="21"/>
        <v>18</v>
      </c>
      <c r="CK54" s="21">
        <f t="shared" ca="1" si="21"/>
        <v>18</v>
      </c>
      <c r="CL54" s="21">
        <f t="shared" ca="1" si="21"/>
        <v>18</v>
      </c>
      <c r="CM54" s="21">
        <f t="shared" ca="1" si="21"/>
        <v>18</v>
      </c>
      <c r="CN54" s="21">
        <f t="shared" ca="1" si="21"/>
        <v>18</v>
      </c>
      <c r="CO54" s="21">
        <f t="shared" ca="1" si="21"/>
        <v>18</v>
      </c>
      <c r="CP54" s="21">
        <f t="shared" ca="1" si="21"/>
        <v>18</v>
      </c>
      <c r="CQ54" s="21">
        <f t="shared" ca="1" si="21"/>
        <v>18</v>
      </c>
      <c r="CR54" s="21">
        <f t="shared" ca="1" si="21"/>
        <v>18</v>
      </c>
      <c r="CS54" s="21">
        <f t="shared" ca="1" si="21"/>
        <v>18</v>
      </c>
      <c r="CT54" s="21">
        <f t="shared" ca="1" si="21"/>
        <v>18</v>
      </c>
    </row>
    <row r="55" spans="2:98">
      <c r="B55" s="20" t="s">
        <v>24</v>
      </c>
      <c r="C55" s="21">
        <f ca="1">C54-C52</f>
        <v>0</v>
      </c>
      <c r="D55" s="21">
        <f t="shared" ref="D55:BO55" ca="1" si="22">D54-D52</f>
        <v>0</v>
      </c>
      <c r="E55" s="21">
        <f t="shared" ca="1" si="22"/>
        <v>0</v>
      </c>
      <c r="F55" s="21">
        <f t="shared" ca="1" si="22"/>
        <v>0</v>
      </c>
      <c r="G55" s="21">
        <f t="shared" ca="1" si="22"/>
        <v>1</v>
      </c>
      <c r="H55" s="21">
        <f t="shared" ca="1" si="22"/>
        <v>1</v>
      </c>
      <c r="I55" s="21">
        <f t="shared" ca="1" si="22"/>
        <v>1</v>
      </c>
      <c r="J55" s="21">
        <f t="shared" ca="1" si="22"/>
        <v>8</v>
      </c>
      <c r="K55" s="21">
        <f t="shared" ca="1" si="22"/>
        <v>9</v>
      </c>
      <c r="L55" s="21">
        <f t="shared" ca="1" si="22"/>
        <v>3</v>
      </c>
      <c r="M55" s="21">
        <f t="shared" ca="1" si="22"/>
        <v>0</v>
      </c>
      <c r="N55" s="21">
        <f t="shared" ca="1" si="22"/>
        <v>0</v>
      </c>
      <c r="O55" s="21">
        <f t="shared" ca="1" si="22"/>
        <v>0</v>
      </c>
      <c r="P55" s="21">
        <f t="shared" ca="1" si="22"/>
        <v>0</v>
      </c>
      <c r="Q55" s="21">
        <f t="shared" ca="1" si="22"/>
        <v>0</v>
      </c>
      <c r="R55" s="21">
        <f t="shared" ca="1" si="22"/>
        <v>0</v>
      </c>
      <c r="S55" s="21">
        <f t="shared" ca="1" si="22"/>
        <v>-3</v>
      </c>
      <c r="T55" s="21">
        <f t="shared" ca="1" si="22"/>
        <v>-9</v>
      </c>
      <c r="U55" s="21">
        <f t="shared" ca="1" si="22"/>
        <v>-12</v>
      </c>
      <c r="V55" s="21">
        <f t="shared" ca="1" si="22"/>
        <v>-12</v>
      </c>
      <c r="W55" s="21">
        <f t="shared" ca="1" si="22"/>
        <v>-12</v>
      </c>
      <c r="X55" s="21">
        <f t="shared" ca="1" si="22"/>
        <v>-15</v>
      </c>
      <c r="Y55" s="21">
        <f t="shared" ca="1" si="22"/>
        <v>-18</v>
      </c>
      <c r="Z55" s="21">
        <f t="shared" ca="1" si="22"/>
        <v>-18</v>
      </c>
      <c r="AA55" s="21">
        <f t="shared" ca="1" si="22"/>
        <v>-21</v>
      </c>
      <c r="AB55" s="21">
        <f t="shared" ca="1" si="22"/>
        <v>-24</v>
      </c>
      <c r="AC55" s="21">
        <f t="shared" ca="1" si="22"/>
        <v>-24</v>
      </c>
      <c r="AD55" s="21">
        <f t="shared" ca="1" si="22"/>
        <v>-24</v>
      </c>
      <c r="AE55" s="21">
        <f t="shared" ca="1" si="22"/>
        <v>-27</v>
      </c>
      <c r="AF55" s="21">
        <f t="shared" ca="1" si="22"/>
        <v>-30</v>
      </c>
      <c r="AG55" s="21">
        <f t="shared" ca="1" si="22"/>
        <v>-30</v>
      </c>
      <c r="AH55" s="21">
        <f t="shared" ca="1" si="22"/>
        <v>-33</v>
      </c>
      <c r="AI55" s="21">
        <f t="shared" ca="1" si="22"/>
        <v>-36</v>
      </c>
      <c r="AJ55" s="21">
        <f t="shared" ca="1" si="22"/>
        <v>-36</v>
      </c>
      <c r="AK55" s="21">
        <f t="shared" ca="1" si="22"/>
        <v>-36</v>
      </c>
      <c r="AL55" s="21">
        <f t="shared" ca="1" si="22"/>
        <v>-36</v>
      </c>
      <c r="AM55" s="21">
        <f t="shared" ca="1" si="22"/>
        <v>-41</v>
      </c>
      <c r="AN55" s="21">
        <f t="shared" ca="1" si="22"/>
        <v>-44</v>
      </c>
      <c r="AO55" s="21">
        <f t="shared" ca="1" si="22"/>
        <v>-49</v>
      </c>
      <c r="AP55" s="21">
        <f t="shared" ca="1" si="22"/>
        <v>-53</v>
      </c>
      <c r="AQ55" s="21">
        <f t="shared" ca="1" si="22"/>
        <v>-53</v>
      </c>
      <c r="AR55" s="21">
        <f t="shared" ca="1" si="22"/>
        <v>-53</v>
      </c>
      <c r="AS55" s="21">
        <f t="shared" ca="1" si="22"/>
        <v>-54</v>
      </c>
      <c r="AT55" s="21">
        <f t="shared" ca="1" si="22"/>
        <v>-54</v>
      </c>
      <c r="AU55" s="21">
        <f t="shared" ca="1" si="22"/>
        <v>-57</v>
      </c>
      <c r="AV55" s="21">
        <f t="shared" ca="1" si="22"/>
        <v>-60</v>
      </c>
      <c r="AW55" s="21">
        <f t="shared" ca="1" si="22"/>
        <v>-60</v>
      </c>
      <c r="AX55" s="21">
        <f t="shared" ca="1" si="22"/>
        <v>-60</v>
      </c>
      <c r="AY55" s="21">
        <f t="shared" ca="1" si="22"/>
        <v>-60</v>
      </c>
      <c r="AZ55" s="21">
        <f t="shared" ca="1" si="22"/>
        <v>-60</v>
      </c>
      <c r="BA55" s="21">
        <f t="shared" ca="1" si="22"/>
        <v>-60</v>
      </c>
      <c r="BB55" s="21">
        <f t="shared" ca="1" si="22"/>
        <v>-62</v>
      </c>
      <c r="BC55" s="21">
        <f t="shared" ca="1" si="22"/>
        <v>-66</v>
      </c>
      <c r="BD55" s="21">
        <f t="shared" ca="1" si="22"/>
        <v>-69</v>
      </c>
      <c r="BE55" s="21">
        <f t="shared" ca="1" si="22"/>
        <v>-69</v>
      </c>
      <c r="BF55" s="21">
        <f t="shared" ca="1" si="22"/>
        <v>-69</v>
      </c>
      <c r="BG55" s="21">
        <f t="shared" ca="1" si="22"/>
        <v>-70</v>
      </c>
      <c r="BH55" s="21">
        <f t="shared" ca="1" si="22"/>
        <v>-73</v>
      </c>
      <c r="BI55" s="21">
        <f t="shared" ca="1" si="22"/>
        <v>-76</v>
      </c>
      <c r="BJ55" s="21">
        <f t="shared" ca="1" si="22"/>
        <v>-76</v>
      </c>
      <c r="BK55" s="21">
        <f t="shared" ca="1" si="22"/>
        <v>-76</v>
      </c>
      <c r="BL55" s="21">
        <f t="shared" ca="1" si="22"/>
        <v>-76</v>
      </c>
      <c r="BM55" s="21">
        <f t="shared" ca="1" si="22"/>
        <v>-76</v>
      </c>
      <c r="BN55" s="21">
        <f t="shared" ca="1" si="22"/>
        <v>-76</v>
      </c>
      <c r="BO55" s="21">
        <f t="shared" ca="1" si="22"/>
        <v>-76</v>
      </c>
      <c r="BP55" s="21">
        <f t="shared" ref="BP55:CT55" ca="1" si="23">BP54-BP52</f>
        <v>-78</v>
      </c>
      <c r="BQ55" s="21">
        <f t="shared" ca="1" si="23"/>
        <v>-78</v>
      </c>
      <c r="BR55" s="21">
        <f t="shared" ca="1" si="23"/>
        <v>-78</v>
      </c>
      <c r="BS55" s="21">
        <f t="shared" ca="1" si="23"/>
        <v>-78</v>
      </c>
      <c r="BT55" s="21">
        <f t="shared" ca="1" si="23"/>
        <v>-78</v>
      </c>
      <c r="BU55" s="21">
        <f t="shared" ca="1" si="23"/>
        <v>-78</v>
      </c>
      <c r="BV55" s="21">
        <f t="shared" ca="1" si="23"/>
        <v>-78</v>
      </c>
      <c r="BW55" s="21">
        <f t="shared" ca="1" si="23"/>
        <v>-78</v>
      </c>
      <c r="BX55" s="21">
        <f t="shared" ca="1" si="23"/>
        <v>-78</v>
      </c>
      <c r="BY55" s="21">
        <f t="shared" ca="1" si="23"/>
        <v>-78</v>
      </c>
      <c r="BZ55" s="21">
        <f t="shared" ca="1" si="23"/>
        <v>-78</v>
      </c>
      <c r="CA55" s="21">
        <f t="shared" ca="1" si="23"/>
        <v>-78</v>
      </c>
      <c r="CB55" s="21">
        <f t="shared" ca="1" si="23"/>
        <v>-78</v>
      </c>
      <c r="CC55" s="21">
        <f t="shared" ca="1" si="23"/>
        <v>-78</v>
      </c>
      <c r="CD55" s="21">
        <f t="shared" ca="1" si="23"/>
        <v>-78</v>
      </c>
      <c r="CE55" s="21">
        <f t="shared" ca="1" si="23"/>
        <v>-78</v>
      </c>
      <c r="CF55" s="21">
        <f t="shared" ca="1" si="23"/>
        <v>-78</v>
      </c>
      <c r="CG55" s="21">
        <f t="shared" ca="1" si="23"/>
        <v>-78</v>
      </c>
      <c r="CH55" s="21">
        <f t="shared" ca="1" si="23"/>
        <v>-78</v>
      </c>
      <c r="CI55" s="21">
        <f t="shared" ca="1" si="23"/>
        <v>-78</v>
      </c>
      <c r="CJ55" s="21">
        <f t="shared" ca="1" si="23"/>
        <v>-78</v>
      </c>
      <c r="CK55" s="21">
        <f t="shared" ca="1" si="23"/>
        <v>-78</v>
      </c>
      <c r="CL55" s="21">
        <f t="shared" ca="1" si="23"/>
        <v>-78</v>
      </c>
      <c r="CM55" s="21">
        <f t="shared" ca="1" si="23"/>
        <v>-78</v>
      </c>
      <c r="CN55" s="21">
        <f t="shared" ca="1" si="23"/>
        <v>-78</v>
      </c>
      <c r="CO55" s="21">
        <f t="shared" ca="1" si="23"/>
        <v>-78</v>
      </c>
      <c r="CP55" s="21">
        <f t="shared" ca="1" si="23"/>
        <v>-78</v>
      </c>
      <c r="CQ55" s="21">
        <f t="shared" ca="1" si="23"/>
        <v>-78</v>
      </c>
      <c r="CR55" s="21">
        <f t="shared" ca="1" si="23"/>
        <v>-78</v>
      </c>
      <c r="CS55" s="21">
        <f t="shared" ca="1" si="23"/>
        <v>-78</v>
      </c>
      <c r="CT55" s="21">
        <f t="shared" ca="1" si="23"/>
        <v>-78</v>
      </c>
    </row>
  </sheetData>
  <phoneticPr fontId="1"/>
  <conditionalFormatting sqref="L22:L27">
    <cfRule type="expression" dxfId="26" priority="4">
      <formula>L$22=TODAY()</formula>
    </cfRule>
  </conditionalFormatting>
  <conditionalFormatting sqref="C22:CT27">
    <cfRule type="expression" dxfId="25" priority="3">
      <formula>C$22=Report_Day</formula>
    </cfRule>
  </conditionalFormatting>
  <conditionalFormatting sqref="L50:L55">
    <cfRule type="expression" dxfId="24" priority="2">
      <formula>L$22=TODAY()</formula>
    </cfRule>
  </conditionalFormatting>
  <conditionalFormatting sqref="C50:CT55">
    <cfRule type="expression" dxfId="23" priority="1">
      <formula>C$22=Report_Day</formula>
    </cfRule>
  </conditionalFormatting>
  <dataValidations count="1">
    <dataValidation type="list" allowBlank="1" showInputMessage="1" showErrorMessage="1" sqref="C18 C46" xr:uid="{6B8A3A1A-0FD8-4DE2-B24A-1C5F2597546D}">
      <formula1>"1,7,30"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landscape" r:id="rId1"/>
  <headerFooter>
    <oddHeader>&amp;L&amp;"Microsoft YaHei,標準"&amp;F&amp;C&amp;"Microsoft YaHei,標準"&amp;A&amp;R&amp;"Meiryo UI,標準"&amp;D</oddHeader>
    <oddFooter>&amp;C&amp;"Meiryo UI,標準"&amp;P/&amp;N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3C247406-9FFD-4110-90ED-390CFF87CF9C}">
          <x14:formula1>
            <xm:f>'Sub-System'!$A:$A</xm:f>
          </x14:formula1>
          <xm:sqref>B48 B20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BDCAF-6147-44C4-9FAB-BA56865D012B}">
  <sheetPr codeName="Sheet19">
    <pageSetUpPr fitToPage="1"/>
  </sheetPr>
  <dimension ref="B2:CT55"/>
  <sheetViews>
    <sheetView zoomScale="55" zoomScaleNormal="55" workbookViewId="0">
      <selection activeCell="C18" sqref="C18"/>
    </sheetView>
  </sheetViews>
  <sheetFormatPr defaultColWidth="6.85546875" defaultRowHeight="15"/>
  <cols>
    <col min="1" max="1" width="1.35546875" style="14" customWidth="1"/>
    <col min="2" max="2" width="16.42578125" style="14" customWidth="1"/>
    <col min="3" max="98" width="6.78515625" style="14" customWidth="1"/>
    <col min="99" max="16384" width="6.85546875" style="14"/>
  </cols>
  <sheetData>
    <row r="2" spans="2:2" ht="19.5">
      <c r="B2" s="25" t="s">
        <v>390</v>
      </c>
    </row>
    <row r="17" spans="2:98" ht="15.5" thickBot="1"/>
    <row r="18" spans="2:98" ht="15.5" thickBot="1">
      <c r="B18" s="15" t="s">
        <v>18</v>
      </c>
      <c r="C18" s="16">
        <f>Progress!C18</f>
        <v>1</v>
      </c>
    </row>
    <row r="19" spans="2:98" ht="7" customHeight="1">
      <c r="B19" s="17"/>
    </row>
    <row r="20" spans="2:98">
      <c r="B20" s="23" t="s">
        <v>388</v>
      </c>
    </row>
    <row r="21" spans="2:98" ht="8.5" customHeight="1"/>
    <row r="22" spans="2:98">
      <c r="B22" s="18" t="s">
        <v>19</v>
      </c>
      <c r="C22" s="19">
        <v>45810</v>
      </c>
      <c r="D22" s="19">
        <f>C22+$C$18</f>
        <v>45811</v>
      </c>
      <c r="E22" s="19">
        <f t="shared" ref="E22:BP22" si="0">D22+$C$18</f>
        <v>45812</v>
      </c>
      <c r="F22" s="19">
        <f t="shared" si="0"/>
        <v>45813</v>
      </c>
      <c r="G22" s="19">
        <f t="shared" si="0"/>
        <v>45814</v>
      </c>
      <c r="H22" s="19">
        <f t="shared" si="0"/>
        <v>45815</v>
      </c>
      <c r="I22" s="19">
        <f t="shared" si="0"/>
        <v>45816</v>
      </c>
      <c r="J22" s="19">
        <f t="shared" si="0"/>
        <v>45817</v>
      </c>
      <c r="K22" s="19">
        <f t="shared" si="0"/>
        <v>45818</v>
      </c>
      <c r="L22" s="19">
        <f t="shared" si="0"/>
        <v>45819</v>
      </c>
      <c r="M22" s="19">
        <f t="shared" si="0"/>
        <v>45820</v>
      </c>
      <c r="N22" s="19">
        <f t="shared" si="0"/>
        <v>45821</v>
      </c>
      <c r="O22" s="19">
        <f t="shared" si="0"/>
        <v>45822</v>
      </c>
      <c r="P22" s="19">
        <f t="shared" si="0"/>
        <v>45823</v>
      </c>
      <c r="Q22" s="19">
        <f t="shared" si="0"/>
        <v>45824</v>
      </c>
      <c r="R22" s="19">
        <f t="shared" si="0"/>
        <v>45825</v>
      </c>
      <c r="S22" s="19">
        <f t="shared" si="0"/>
        <v>45826</v>
      </c>
      <c r="T22" s="19">
        <f t="shared" si="0"/>
        <v>45827</v>
      </c>
      <c r="U22" s="19">
        <f t="shared" si="0"/>
        <v>45828</v>
      </c>
      <c r="V22" s="19">
        <f t="shared" si="0"/>
        <v>45829</v>
      </c>
      <c r="W22" s="19">
        <f t="shared" si="0"/>
        <v>45830</v>
      </c>
      <c r="X22" s="19">
        <f t="shared" si="0"/>
        <v>45831</v>
      </c>
      <c r="Y22" s="19">
        <f t="shared" si="0"/>
        <v>45832</v>
      </c>
      <c r="Z22" s="19">
        <f t="shared" si="0"/>
        <v>45833</v>
      </c>
      <c r="AA22" s="19">
        <f t="shared" si="0"/>
        <v>45834</v>
      </c>
      <c r="AB22" s="19">
        <f t="shared" si="0"/>
        <v>45835</v>
      </c>
      <c r="AC22" s="19">
        <f t="shared" si="0"/>
        <v>45836</v>
      </c>
      <c r="AD22" s="19">
        <f t="shared" si="0"/>
        <v>45837</v>
      </c>
      <c r="AE22" s="19">
        <f t="shared" si="0"/>
        <v>45838</v>
      </c>
      <c r="AF22" s="19">
        <f t="shared" si="0"/>
        <v>45839</v>
      </c>
      <c r="AG22" s="19">
        <f t="shared" si="0"/>
        <v>45840</v>
      </c>
      <c r="AH22" s="19">
        <f t="shared" si="0"/>
        <v>45841</v>
      </c>
      <c r="AI22" s="19">
        <f t="shared" si="0"/>
        <v>45842</v>
      </c>
      <c r="AJ22" s="19">
        <f t="shared" si="0"/>
        <v>45843</v>
      </c>
      <c r="AK22" s="19">
        <f t="shared" si="0"/>
        <v>45844</v>
      </c>
      <c r="AL22" s="19">
        <f t="shared" si="0"/>
        <v>45845</v>
      </c>
      <c r="AM22" s="19">
        <f t="shared" si="0"/>
        <v>45846</v>
      </c>
      <c r="AN22" s="19">
        <f t="shared" si="0"/>
        <v>45847</v>
      </c>
      <c r="AO22" s="19">
        <f t="shared" si="0"/>
        <v>45848</v>
      </c>
      <c r="AP22" s="19">
        <f t="shared" si="0"/>
        <v>45849</v>
      </c>
      <c r="AQ22" s="19">
        <f t="shared" si="0"/>
        <v>45850</v>
      </c>
      <c r="AR22" s="19">
        <f t="shared" si="0"/>
        <v>45851</v>
      </c>
      <c r="AS22" s="19">
        <f t="shared" si="0"/>
        <v>45852</v>
      </c>
      <c r="AT22" s="19">
        <f t="shared" si="0"/>
        <v>45853</v>
      </c>
      <c r="AU22" s="19">
        <f t="shared" si="0"/>
        <v>45854</v>
      </c>
      <c r="AV22" s="19">
        <f t="shared" si="0"/>
        <v>45855</v>
      </c>
      <c r="AW22" s="19">
        <f t="shared" si="0"/>
        <v>45856</v>
      </c>
      <c r="AX22" s="19">
        <f t="shared" si="0"/>
        <v>45857</v>
      </c>
      <c r="AY22" s="19">
        <f t="shared" si="0"/>
        <v>45858</v>
      </c>
      <c r="AZ22" s="19">
        <f t="shared" si="0"/>
        <v>45859</v>
      </c>
      <c r="BA22" s="19">
        <f t="shared" si="0"/>
        <v>45860</v>
      </c>
      <c r="BB22" s="19">
        <f t="shared" si="0"/>
        <v>45861</v>
      </c>
      <c r="BC22" s="19">
        <f t="shared" si="0"/>
        <v>45862</v>
      </c>
      <c r="BD22" s="19">
        <f t="shared" si="0"/>
        <v>45863</v>
      </c>
      <c r="BE22" s="19">
        <f t="shared" si="0"/>
        <v>45864</v>
      </c>
      <c r="BF22" s="19">
        <f t="shared" si="0"/>
        <v>45865</v>
      </c>
      <c r="BG22" s="19">
        <f t="shared" si="0"/>
        <v>45866</v>
      </c>
      <c r="BH22" s="19">
        <f t="shared" si="0"/>
        <v>45867</v>
      </c>
      <c r="BI22" s="19">
        <f t="shared" si="0"/>
        <v>45868</v>
      </c>
      <c r="BJ22" s="19">
        <f t="shared" si="0"/>
        <v>45869</v>
      </c>
      <c r="BK22" s="19">
        <f t="shared" si="0"/>
        <v>45870</v>
      </c>
      <c r="BL22" s="19">
        <f t="shared" si="0"/>
        <v>45871</v>
      </c>
      <c r="BM22" s="19">
        <f t="shared" si="0"/>
        <v>45872</v>
      </c>
      <c r="BN22" s="19">
        <f t="shared" si="0"/>
        <v>45873</v>
      </c>
      <c r="BO22" s="19">
        <f t="shared" si="0"/>
        <v>45874</v>
      </c>
      <c r="BP22" s="19">
        <f t="shared" si="0"/>
        <v>45875</v>
      </c>
      <c r="BQ22" s="19">
        <f t="shared" ref="BQ22:CT22" si="1">BP22+$C$18</f>
        <v>45876</v>
      </c>
      <c r="BR22" s="19">
        <f t="shared" si="1"/>
        <v>45877</v>
      </c>
      <c r="BS22" s="19">
        <f t="shared" si="1"/>
        <v>45878</v>
      </c>
      <c r="BT22" s="19">
        <f t="shared" si="1"/>
        <v>45879</v>
      </c>
      <c r="BU22" s="19">
        <f t="shared" si="1"/>
        <v>45880</v>
      </c>
      <c r="BV22" s="19">
        <f t="shared" si="1"/>
        <v>45881</v>
      </c>
      <c r="BW22" s="19">
        <f t="shared" si="1"/>
        <v>45882</v>
      </c>
      <c r="BX22" s="19">
        <f t="shared" si="1"/>
        <v>45883</v>
      </c>
      <c r="BY22" s="19">
        <f t="shared" si="1"/>
        <v>45884</v>
      </c>
      <c r="BZ22" s="19">
        <f t="shared" si="1"/>
        <v>45885</v>
      </c>
      <c r="CA22" s="19">
        <f t="shared" si="1"/>
        <v>45886</v>
      </c>
      <c r="CB22" s="19">
        <f t="shared" si="1"/>
        <v>45887</v>
      </c>
      <c r="CC22" s="19">
        <f t="shared" si="1"/>
        <v>45888</v>
      </c>
      <c r="CD22" s="19">
        <f t="shared" si="1"/>
        <v>45889</v>
      </c>
      <c r="CE22" s="19">
        <f t="shared" si="1"/>
        <v>45890</v>
      </c>
      <c r="CF22" s="19">
        <f t="shared" si="1"/>
        <v>45891</v>
      </c>
      <c r="CG22" s="19">
        <f t="shared" si="1"/>
        <v>45892</v>
      </c>
      <c r="CH22" s="19">
        <f t="shared" si="1"/>
        <v>45893</v>
      </c>
      <c r="CI22" s="19">
        <f t="shared" si="1"/>
        <v>45894</v>
      </c>
      <c r="CJ22" s="19">
        <f t="shared" si="1"/>
        <v>45895</v>
      </c>
      <c r="CK22" s="19">
        <f t="shared" si="1"/>
        <v>45896</v>
      </c>
      <c r="CL22" s="19">
        <f t="shared" si="1"/>
        <v>45897</v>
      </c>
      <c r="CM22" s="19">
        <f t="shared" si="1"/>
        <v>45898</v>
      </c>
      <c r="CN22" s="19">
        <f t="shared" si="1"/>
        <v>45899</v>
      </c>
      <c r="CO22" s="19">
        <f t="shared" si="1"/>
        <v>45900</v>
      </c>
      <c r="CP22" s="19">
        <f t="shared" si="1"/>
        <v>45901</v>
      </c>
      <c r="CQ22" s="19">
        <f t="shared" si="1"/>
        <v>45902</v>
      </c>
      <c r="CR22" s="19">
        <f t="shared" si="1"/>
        <v>45903</v>
      </c>
      <c r="CS22" s="19">
        <f t="shared" si="1"/>
        <v>45904</v>
      </c>
      <c r="CT22" s="19">
        <f t="shared" si="1"/>
        <v>45905</v>
      </c>
    </row>
    <row r="23" spans="2:98">
      <c r="B23" s="20" t="s">
        <v>20</v>
      </c>
      <c r="C23" s="21">
        <f ca="1">COUNTIFS(INDIRECT("'" &amp; $B$20 &amp; "'!$T:$T"),"&gt;=" &amp; C$22,INDIRECT("'" &amp; $B$20 &amp; "'!$T:$T"), "&lt;" &amp; D$22)</f>
        <v>0</v>
      </c>
      <c r="D23" s="21">
        <f t="shared" ref="D23:BO23" ca="1" si="2">COUNTIFS(INDIRECT("'" &amp; $B$20 &amp; "'!$T:$T"),"&gt;=" &amp; D$22,INDIRECT("'" &amp; $B$20 &amp; "'!$T:$T"), "&lt;" &amp; E$22)</f>
        <v>0</v>
      </c>
      <c r="E23" s="21">
        <f t="shared" ca="1" si="2"/>
        <v>0</v>
      </c>
      <c r="F23" s="21">
        <f t="shared" ca="1" si="2"/>
        <v>0</v>
      </c>
      <c r="G23" s="21">
        <f t="shared" ca="1" si="2"/>
        <v>0</v>
      </c>
      <c r="H23" s="21">
        <f t="shared" ca="1" si="2"/>
        <v>0</v>
      </c>
      <c r="I23" s="21">
        <f t="shared" ca="1" si="2"/>
        <v>0</v>
      </c>
      <c r="J23" s="21">
        <f t="shared" ca="1" si="2"/>
        <v>6</v>
      </c>
      <c r="K23" s="21">
        <f t="shared" ca="1" si="2"/>
        <v>6</v>
      </c>
      <c r="L23" s="21">
        <f t="shared" ca="1" si="2"/>
        <v>0</v>
      </c>
      <c r="M23" s="21">
        <f t="shared" ca="1" si="2"/>
        <v>0</v>
      </c>
      <c r="N23" s="21">
        <f t="shared" ca="1" si="2"/>
        <v>0</v>
      </c>
      <c r="O23" s="21">
        <f t="shared" ca="1" si="2"/>
        <v>0</v>
      </c>
      <c r="P23" s="21">
        <f t="shared" ca="1" si="2"/>
        <v>0</v>
      </c>
      <c r="Q23" s="21">
        <f t="shared" ca="1" si="2"/>
        <v>0</v>
      </c>
      <c r="R23" s="21">
        <f t="shared" ca="1" si="2"/>
        <v>6</v>
      </c>
      <c r="S23" s="21">
        <f t="shared" ca="1" si="2"/>
        <v>6</v>
      </c>
      <c r="T23" s="21">
        <f t="shared" ca="1" si="2"/>
        <v>12</v>
      </c>
      <c r="U23" s="21">
        <f t="shared" ca="1" si="2"/>
        <v>6</v>
      </c>
      <c r="V23" s="21">
        <f t="shared" ca="1" si="2"/>
        <v>0</v>
      </c>
      <c r="W23" s="21">
        <f t="shared" ca="1" si="2"/>
        <v>0</v>
      </c>
      <c r="X23" s="21">
        <f t="shared" ca="1" si="2"/>
        <v>8</v>
      </c>
      <c r="Y23" s="21">
        <f t="shared" ca="1" si="2"/>
        <v>0</v>
      </c>
      <c r="Z23" s="21">
        <f t="shared" ca="1" si="2"/>
        <v>4</v>
      </c>
      <c r="AA23" s="21">
        <f t="shared" ca="1" si="2"/>
        <v>6</v>
      </c>
      <c r="AB23" s="21">
        <f t="shared" ca="1" si="2"/>
        <v>6</v>
      </c>
      <c r="AC23" s="21">
        <f t="shared" ca="1" si="2"/>
        <v>0</v>
      </c>
      <c r="AD23" s="21">
        <f t="shared" ca="1" si="2"/>
        <v>0</v>
      </c>
      <c r="AE23" s="21">
        <f t="shared" ca="1" si="2"/>
        <v>6</v>
      </c>
      <c r="AF23" s="21">
        <f t="shared" ca="1" si="2"/>
        <v>0</v>
      </c>
      <c r="AG23" s="21">
        <f t="shared" ca="1" si="2"/>
        <v>0</v>
      </c>
      <c r="AH23" s="21">
        <f t="shared" ca="1" si="2"/>
        <v>0</v>
      </c>
      <c r="AI23" s="21">
        <f t="shared" ca="1" si="2"/>
        <v>2</v>
      </c>
      <c r="AJ23" s="21">
        <f t="shared" ca="1" si="2"/>
        <v>0</v>
      </c>
      <c r="AK23" s="21">
        <f t="shared" ca="1" si="2"/>
        <v>0</v>
      </c>
      <c r="AL23" s="21">
        <f t="shared" ca="1" si="2"/>
        <v>2</v>
      </c>
      <c r="AM23" s="21">
        <f t="shared" ca="1" si="2"/>
        <v>4</v>
      </c>
      <c r="AN23" s="21">
        <f t="shared" ca="1" si="2"/>
        <v>2</v>
      </c>
      <c r="AO23" s="21">
        <f t="shared" ca="1" si="2"/>
        <v>2</v>
      </c>
      <c r="AP23" s="21">
        <f t="shared" ca="1" si="2"/>
        <v>0</v>
      </c>
      <c r="AQ23" s="21">
        <f t="shared" ca="1" si="2"/>
        <v>0</v>
      </c>
      <c r="AR23" s="21">
        <f t="shared" ca="1" si="2"/>
        <v>0</v>
      </c>
      <c r="AS23" s="21">
        <f t="shared" ca="1" si="2"/>
        <v>0</v>
      </c>
      <c r="AT23" s="21">
        <f t="shared" ca="1" si="2"/>
        <v>0</v>
      </c>
      <c r="AU23" s="21">
        <f t="shared" ca="1" si="2"/>
        <v>2</v>
      </c>
      <c r="AV23" s="21">
        <f t="shared" ca="1" si="2"/>
        <v>2</v>
      </c>
      <c r="AW23" s="21">
        <f t="shared" ca="1" si="2"/>
        <v>4</v>
      </c>
      <c r="AX23" s="21">
        <f t="shared" ca="1" si="2"/>
        <v>0</v>
      </c>
      <c r="AY23" s="21">
        <f t="shared" ca="1" si="2"/>
        <v>0</v>
      </c>
      <c r="AZ23" s="21">
        <f t="shared" ca="1" si="2"/>
        <v>0</v>
      </c>
      <c r="BA23" s="21">
        <f t="shared" ca="1" si="2"/>
        <v>5</v>
      </c>
      <c r="BB23" s="21">
        <f t="shared" ca="1" si="2"/>
        <v>5</v>
      </c>
      <c r="BC23" s="21">
        <f t="shared" ca="1" si="2"/>
        <v>0</v>
      </c>
      <c r="BD23" s="21">
        <f t="shared" ca="1" si="2"/>
        <v>0</v>
      </c>
      <c r="BE23" s="21">
        <f t="shared" ca="1" si="2"/>
        <v>0</v>
      </c>
      <c r="BF23" s="21">
        <f t="shared" ca="1" si="2"/>
        <v>0</v>
      </c>
      <c r="BG23" s="21">
        <f t="shared" ca="1" si="2"/>
        <v>3</v>
      </c>
      <c r="BH23" s="21">
        <f t="shared" ca="1" si="2"/>
        <v>5</v>
      </c>
      <c r="BI23" s="21">
        <f t="shared" ca="1" si="2"/>
        <v>2</v>
      </c>
      <c r="BJ23" s="21">
        <f t="shared" ca="1" si="2"/>
        <v>4</v>
      </c>
      <c r="BK23" s="21">
        <f t="shared" ca="1" si="2"/>
        <v>2</v>
      </c>
      <c r="BL23" s="21">
        <f t="shared" ca="1" si="2"/>
        <v>0</v>
      </c>
      <c r="BM23" s="21">
        <f t="shared" ca="1" si="2"/>
        <v>0</v>
      </c>
      <c r="BN23" s="21">
        <f t="shared" ca="1" si="2"/>
        <v>2</v>
      </c>
      <c r="BO23" s="21">
        <f t="shared" ca="1" si="2"/>
        <v>3</v>
      </c>
      <c r="BP23" s="21">
        <f t="shared" ref="BP23:CT23" ca="1" si="3">COUNTIFS(INDIRECT("'" &amp; $B$20 &amp; "'!$T:$T"),"&gt;=" &amp; BP$22,INDIRECT("'" &amp; $B$20 &amp; "'!$T:$T"), "&lt;" &amp; BQ$22)</f>
        <v>3</v>
      </c>
      <c r="BQ23" s="21">
        <f t="shared" ca="1" si="3"/>
        <v>0</v>
      </c>
      <c r="BR23" s="21">
        <f t="shared" ca="1" si="3"/>
        <v>2</v>
      </c>
      <c r="BS23" s="21">
        <f t="shared" ca="1" si="3"/>
        <v>0</v>
      </c>
      <c r="BT23" s="21">
        <f t="shared" ca="1" si="3"/>
        <v>0</v>
      </c>
      <c r="BU23" s="21">
        <f t="shared" ca="1" si="3"/>
        <v>0</v>
      </c>
      <c r="BV23" s="21">
        <f t="shared" ca="1" si="3"/>
        <v>2</v>
      </c>
      <c r="BW23" s="21">
        <f t="shared" ca="1" si="3"/>
        <v>7</v>
      </c>
      <c r="BX23" s="21">
        <f t="shared" ca="1" si="3"/>
        <v>5</v>
      </c>
      <c r="BY23" s="21">
        <f t="shared" ca="1" si="3"/>
        <v>8</v>
      </c>
      <c r="BZ23" s="21">
        <f t="shared" ca="1" si="3"/>
        <v>0</v>
      </c>
      <c r="CA23" s="21">
        <f t="shared" ca="1" si="3"/>
        <v>0</v>
      </c>
      <c r="CB23" s="21">
        <f t="shared" ca="1" si="3"/>
        <v>3</v>
      </c>
      <c r="CC23" s="21">
        <f t="shared" ca="1" si="3"/>
        <v>3</v>
      </c>
      <c r="CD23" s="21">
        <f t="shared" ca="1" si="3"/>
        <v>0</v>
      </c>
      <c r="CE23" s="21">
        <f t="shared" ca="1" si="3"/>
        <v>2</v>
      </c>
      <c r="CF23" s="21">
        <f t="shared" ca="1" si="3"/>
        <v>2</v>
      </c>
      <c r="CG23" s="21">
        <f t="shared" ca="1" si="3"/>
        <v>0</v>
      </c>
      <c r="CH23" s="21">
        <f t="shared" ca="1" si="3"/>
        <v>0</v>
      </c>
      <c r="CI23" s="21">
        <f t="shared" ca="1" si="3"/>
        <v>7</v>
      </c>
      <c r="CJ23" s="21">
        <f t="shared" ca="1" si="3"/>
        <v>5</v>
      </c>
      <c r="CK23" s="21">
        <f t="shared" ca="1" si="3"/>
        <v>8</v>
      </c>
      <c r="CL23" s="21">
        <f t="shared" ca="1" si="3"/>
        <v>3</v>
      </c>
      <c r="CM23" s="21">
        <f t="shared" ca="1" si="3"/>
        <v>3</v>
      </c>
      <c r="CN23" s="21">
        <f t="shared" ca="1" si="3"/>
        <v>0</v>
      </c>
      <c r="CO23" s="21">
        <f t="shared" ca="1" si="3"/>
        <v>0</v>
      </c>
      <c r="CP23" s="21">
        <f t="shared" ca="1" si="3"/>
        <v>0</v>
      </c>
      <c r="CQ23" s="21">
        <f t="shared" ca="1" si="3"/>
        <v>0</v>
      </c>
      <c r="CR23" s="21">
        <f t="shared" ca="1" si="3"/>
        <v>0</v>
      </c>
      <c r="CS23" s="21">
        <f t="shared" ca="1" si="3"/>
        <v>0</v>
      </c>
      <c r="CT23" s="21">
        <f t="shared" ca="1" si="3"/>
        <v>0</v>
      </c>
    </row>
    <row r="24" spans="2:98">
      <c r="B24" s="20" t="s">
        <v>21</v>
      </c>
      <c r="C24" s="21">
        <f ca="1">C23</f>
        <v>0</v>
      </c>
      <c r="D24" s="21">
        <f ca="1">C24+D23</f>
        <v>0</v>
      </c>
      <c r="E24" s="21">
        <f t="shared" ref="E24:BP24" ca="1" si="4">D24+E23</f>
        <v>0</v>
      </c>
      <c r="F24" s="21">
        <f t="shared" ca="1" si="4"/>
        <v>0</v>
      </c>
      <c r="G24" s="21">
        <f t="shared" ca="1" si="4"/>
        <v>0</v>
      </c>
      <c r="H24" s="21">
        <f t="shared" ca="1" si="4"/>
        <v>0</v>
      </c>
      <c r="I24" s="21">
        <f t="shared" ca="1" si="4"/>
        <v>0</v>
      </c>
      <c r="J24" s="21">
        <f t="shared" ca="1" si="4"/>
        <v>6</v>
      </c>
      <c r="K24" s="21">
        <f t="shared" ca="1" si="4"/>
        <v>12</v>
      </c>
      <c r="L24" s="21">
        <f t="shared" ca="1" si="4"/>
        <v>12</v>
      </c>
      <c r="M24" s="21">
        <f t="shared" ca="1" si="4"/>
        <v>12</v>
      </c>
      <c r="N24" s="21">
        <f t="shared" ca="1" si="4"/>
        <v>12</v>
      </c>
      <c r="O24" s="21">
        <f t="shared" ca="1" si="4"/>
        <v>12</v>
      </c>
      <c r="P24" s="21">
        <f t="shared" ca="1" si="4"/>
        <v>12</v>
      </c>
      <c r="Q24" s="21">
        <f t="shared" ca="1" si="4"/>
        <v>12</v>
      </c>
      <c r="R24" s="21">
        <f t="shared" ca="1" si="4"/>
        <v>18</v>
      </c>
      <c r="S24" s="21">
        <f t="shared" ca="1" si="4"/>
        <v>24</v>
      </c>
      <c r="T24" s="21">
        <f t="shared" ca="1" si="4"/>
        <v>36</v>
      </c>
      <c r="U24" s="21">
        <f t="shared" ca="1" si="4"/>
        <v>42</v>
      </c>
      <c r="V24" s="21">
        <f t="shared" ca="1" si="4"/>
        <v>42</v>
      </c>
      <c r="W24" s="21">
        <f t="shared" ca="1" si="4"/>
        <v>42</v>
      </c>
      <c r="X24" s="21">
        <f t="shared" ca="1" si="4"/>
        <v>50</v>
      </c>
      <c r="Y24" s="21">
        <f t="shared" ca="1" si="4"/>
        <v>50</v>
      </c>
      <c r="Z24" s="21">
        <f t="shared" ca="1" si="4"/>
        <v>54</v>
      </c>
      <c r="AA24" s="21">
        <f t="shared" ca="1" si="4"/>
        <v>60</v>
      </c>
      <c r="AB24" s="21">
        <f t="shared" ca="1" si="4"/>
        <v>66</v>
      </c>
      <c r="AC24" s="21">
        <f t="shared" ca="1" si="4"/>
        <v>66</v>
      </c>
      <c r="AD24" s="21">
        <f t="shared" ca="1" si="4"/>
        <v>66</v>
      </c>
      <c r="AE24" s="21">
        <f t="shared" ca="1" si="4"/>
        <v>72</v>
      </c>
      <c r="AF24" s="21">
        <f t="shared" ca="1" si="4"/>
        <v>72</v>
      </c>
      <c r="AG24" s="21">
        <f t="shared" ca="1" si="4"/>
        <v>72</v>
      </c>
      <c r="AH24" s="21">
        <f t="shared" ca="1" si="4"/>
        <v>72</v>
      </c>
      <c r="AI24" s="21">
        <f t="shared" ca="1" si="4"/>
        <v>74</v>
      </c>
      <c r="AJ24" s="21">
        <f t="shared" ca="1" si="4"/>
        <v>74</v>
      </c>
      <c r="AK24" s="21">
        <f t="shared" ca="1" si="4"/>
        <v>74</v>
      </c>
      <c r="AL24" s="21">
        <f t="shared" ca="1" si="4"/>
        <v>76</v>
      </c>
      <c r="AM24" s="21">
        <f t="shared" ca="1" si="4"/>
        <v>80</v>
      </c>
      <c r="AN24" s="21">
        <f t="shared" ca="1" si="4"/>
        <v>82</v>
      </c>
      <c r="AO24" s="21">
        <f t="shared" ca="1" si="4"/>
        <v>84</v>
      </c>
      <c r="AP24" s="21">
        <f t="shared" ca="1" si="4"/>
        <v>84</v>
      </c>
      <c r="AQ24" s="21">
        <f t="shared" ca="1" si="4"/>
        <v>84</v>
      </c>
      <c r="AR24" s="21">
        <f t="shared" ca="1" si="4"/>
        <v>84</v>
      </c>
      <c r="AS24" s="21">
        <f t="shared" ca="1" si="4"/>
        <v>84</v>
      </c>
      <c r="AT24" s="21">
        <f t="shared" ca="1" si="4"/>
        <v>84</v>
      </c>
      <c r="AU24" s="21">
        <f t="shared" ca="1" si="4"/>
        <v>86</v>
      </c>
      <c r="AV24" s="21">
        <f t="shared" ca="1" si="4"/>
        <v>88</v>
      </c>
      <c r="AW24" s="21">
        <f t="shared" ca="1" si="4"/>
        <v>92</v>
      </c>
      <c r="AX24" s="21">
        <f t="shared" ca="1" si="4"/>
        <v>92</v>
      </c>
      <c r="AY24" s="21">
        <f t="shared" ca="1" si="4"/>
        <v>92</v>
      </c>
      <c r="AZ24" s="21">
        <f t="shared" ca="1" si="4"/>
        <v>92</v>
      </c>
      <c r="BA24" s="21">
        <f t="shared" ca="1" si="4"/>
        <v>97</v>
      </c>
      <c r="BB24" s="21">
        <f t="shared" ca="1" si="4"/>
        <v>102</v>
      </c>
      <c r="BC24" s="21">
        <f t="shared" ca="1" si="4"/>
        <v>102</v>
      </c>
      <c r="BD24" s="21">
        <f t="shared" ca="1" si="4"/>
        <v>102</v>
      </c>
      <c r="BE24" s="21">
        <f t="shared" ca="1" si="4"/>
        <v>102</v>
      </c>
      <c r="BF24" s="21">
        <f t="shared" ca="1" si="4"/>
        <v>102</v>
      </c>
      <c r="BG24" s="21">
        <f t="shared" ca="1" si="4"/>
        <v>105</v>
      </c>
      <c r="BH24" s="21">
        <f t="shared" ca="1" si="4"/>
        <v>110</v>
      </c>
      <c r="BI24" s="21">
        <f t="shared" ca="1" si="4"/>
        <v>112</v>
      </c>
      <c r="BJ24" s="21">
        <f t="shared" ca="1" si="4"/>
        <v>116</v>
      </c>
      <c r="BK24" s="21">
        <f t="shared" ca="1" si="4"/>
        <v>118</v>
      </c>
      <c r="BL24" s="21">
        <f t="shared" ca="1" si="4"/>
        <v>118</v>
      </c>
      <c r="BM24" s="21">
        <f t="shared" ca="1" si="4"/>
        <v>118</v>
      </c>
      <c r="BN24" s="21">
        <f t="shared" ca="1" si="4"/>
        <v>120</v>
      </c>
      <c r="BO24" s="21">
        <f t="shared" ca="1" si="4"/>
        <v>123</v>
      </c>
      <c r="BP24" s="21">
        <f t="shared" ca="1" si="4"/>
        <v>126</v>
      </c>
      <c r="BQ24" s="21">
        <f t="shared" ref="BQ24:CT24" ca="1" si="5">BP24+BQ23</f>
        <v>126</v>
      </c>
      <c r="BR24" s="21">
        <f t="shared" ca="1" si="5"/>
        <v>128</v>
      </c>
      <c r="BS24" s="21">
        <f t="shared" ca="1" si="5"/>
        <v>128</v>
      </c>
      <c r="BT24" s="21">
        <f t="shared" ca="1" si="5"/>
        <v>128</v>
      </c>
      <c r="BU24" s="21">
        <f t="shared" ca="1" si="5"/>
        <v>128</v>
      </c>
      <c r="BV24" s="21">
        <f t="shared" ca="1" si="5"/>
        <v>130</v>
      </c>
      <c r="BW24" s="21">
        <f t="shared" ca="1" si="5"/>
        <v>137</v>
      </c>
      <c r="BX24" s="21">
        <f t="shared" ca="1" si="5"/>
        <v>142</v>
      </c>
      <c r="BY24" s="21">
        <f t="shared" ca="1" si="5"/>
        <v>150</v>
      </c>
      <c r="BZ24" s="21">
        <f t="shared" ca="1" si="5"/>
        <v>150</v>
      </c>
      <c r="CA24" s="21">
        <f t="shared" ca="1" si="5"/>
        <v>150</v>
      </c>
      <c r="CB24" s="21">
        <f t="shared" ca="1" si="5"/>
        <v>153</v>
      </c>
      <c r="CC24" s="21">
        <f t="shared" ca="1" si="5"/>
        <v>156</v>
      </c>
      <c r="CD24" s="21">
        <f t="shared" ca="1" si="5"/>
        <v>156</v>
      </c>
      <c r="CE24" s="21">
        <f t="shared" ca="1" si="5"/>
        <v>158</v>
      </c>
      <c r="CF24" s="21">
        <f t="shared" ca="1" si="5"/>
        <v>160</v>
      </c>
      <c r="CG24" s="21">
        <f t="shared" ca="1" si="5"/>
        <v>160</v>
      </c>
      <c r="CH24" s="21">
        <f t="shared" ca="1" si="5"/>
        <v>160</v>
      </c>
      <c r="CI24" s="21">
        <f t="shared" ca="1" si="5"/>
        <v>167</v>
      </c>
      <c r="CJ24" s="21">
        <f t="shared" ca="1" si="5"/>
        <v>172</v>
      </c>
      <c r="CK24" s="21">
        <f t="shared" ca="1" si="5"/>
        <v>180</v>
      </c>
      <c r="CL24" s="21">
        <f t="shared" ca="1" si="5"/>
        <v>183</v>
      </c>
      <c r="CM24" s="21">
        <f t="shared" ca="1" si="5"/>
        <v>186</v>
      </c>
      <c r="CN24" s="21">
        <f t="shared" ca="1" si="5"/>
        <v>186</v>
      </c>
      <c r="CO24" s="21">
        <f t="shared" ca="1" si="5"/>
        <v>186</v>
      </c>
      <c r="CP24" s="21">
        <f t="shared" ca="1" si="5"/>
        <v>186</v>
      </c>
      <c r="CQ24" s="21">
        <f t="shared" ca="1" si="5"/>
        <v>186</v>
      </c>
      <c r="CR24" s="21">
        <f t="shared" ca="1" si="5"/>
        <v>186</v>
      </c>
      <c r="CS24" s="21">
        <f t="shared" ca="1" si="5"/>
        <v>186</v>
      </c>
      <c r="CT24" s="21">
        <f t="shared" ca="1" si="5"/>
        <v>186</v>
      </c>
    </row>
    <row r="25" spans="2:98">
      <c r="B25" s="20" t="s">
        <v>22</v>
      </c>
      <c r="C25" s="21">
        <f ca="1">COUNTIFS(INDIRECT("'" &amp; $B$20 &amp; "'!$V:$V"),"&gt;=" &amp; C$22,INDIRECT("'" &amp; $B$20 &amp; "'!$V:$V"), "&lt;" &amp; D$22)</f>
        <v>0</v>
      </c>
      <c r="D25" s="21">
        <f t="shared" ref="D25:BO25" ca="1" si="6">COUNTIFS(INDIRECT("'" &amp; $B$20 &amp; "'!$V:$V"),"&gt;=" &amp; D$22,INDIRECT("'" &amp; $B$20 &amp; "'!$V:$V"), "&lt;" &amp; E$22)</f>
        <v>0</v>
      </c>
      <c r="E25" s="21">
        <f t="shared" ca="1" si="6"/>
        <v>0</v>
      </c>
      <c r="F25" s="21">
        <f t="shared" ca="1" si="6"/>
        <v>0</v>
      </c>
      <c r="G25" s="21">
        <f t="shared" ca="1" si="6"/>
        <v>0</v>
      </c>
      <c r="H25" s="21">
        <f t="shared" ca="1" si="6"/>
        <v>0</v>
      </c>
      <c r="I25" s="21">
        <f t="shared" ca="1" si="6"/>
        <v>0</v>
      </c>
      <c r="J25" s="21">
        <f t="shared" ca="1" si="6"/>
        <v>1</v>
      </c>
      <c r="K25" s="21">
        <f t="shared" ca="1" si="6"/>
        <v>4</v>
      </c>
      <c r="L25" s="21">
        <f t="shared" ca="1" si="6"/>
        <v>0</v>
      </c>
      <c r="M25" s="21">
        <f t="shared" ca="1" si="6"/>
        <v>6</v>
      </c>
      <c r="N25" s="21">
        <f t="shared" ca="1" si="6"/>
        <v>0</v>
      </c>
      <c r="O25" s="21">
        <f t="shared" ca="1" si="6"/>
        <v>0</v>
      </c>
      <c r="P25" s="21">
        <f t="shared" ca="1" si="6"/>
        <v>0</v>
      </c>
      <c r="Q25" s="21">
        <f t="shared" ca="1" si="6"/>
        <v>0</v>
      </c>
      <c r="R25" s="21">
        <f t="shared" ca="1" si="6"/>
        <v>0</v>
      </c>
      <c r="S25" s="21">
        <f t="shared" ca="1" si="6"/>
        <v>0</v>
      </c>
      <c r="T25" s="21">
        <f t="shared" ca="1" si="6"/>
        <v>0</v>
      </c>
      <c r="U25" s="21">
        <f t="shared" ca="1" si="6"/>
        <v>0</v>
      </c>
      <c r="V25" s="21">
        <f t="shared" ca="1" si="6"/>
        <v>0</v>
      </c>
      <c r="W25" s="21">
        <f t="shared" ca="1" si="6"/>
        <v>0</v>
      </c>
      <c r="X25" s="21">
        <f t="shared" ca="1" si="6"/>
        <v>0</v>
      </c>
      <c r="Y25" s="21">
        <f t="shared" ca="1" si="6"/>
        <v>0</v>
      </c>
      <c r="Z25" s="21">
        <f t="shared" ca="1" si="6"/>
        <v>0</v>
      </c>
      <c r="AA25" s="21">
        <f t="shared" ca="1" si="6"/>
        <v>0</v>
      </c>
      <c r="AB25" s="21">
        <f t="shared" ca="1" si="6"/>
        <v>0</v>
      </c>
      <c r="AC25" s="21">
        <f t="shared" ca="1" si="6"/>
        <v>0</v>
      </c>
      <c r="AD25" s="21">
        <f t="shared" ca="1" si="6"/>
        <v>0</v>
      </c>
      <c r="AE25" s="21">
        <f t="shared" ca="1" si="6"/>
        <v>0</v>
      </c>
      <c r="AF25" s="21">
        <f t="shared" ca="1" si="6"/>
        <v>0</v>
      </c>
      <c r="AG25" s="21">
        <f t="shared" ca="1" si="6"/>
        <v>0</v>
      </c>
      <c r="AH25" s="21">
        <f t="shared" ca="1" si="6"/>
        <v>0</v>
      </c>
      <c r="AI25" s="21">
        <f t="shared" ca="1" si="6"/>
        <v>0</v>
      </c>
      <c r="AJ25" s="21">
        <f t="shared" ca="1" si="6"/>
        <v>0</v>
      </c>
      <c r="AK25" s="21">
        <f t="shared" ca="1" si="6"/>
        <v>0</v>
      </c>
      <c r="AL25" s="21">
        <f t="shared" ca="1" si="6"/>
        <v>0</v>
      </c>
      <c r="AM25" s="21">
        <f t="shared" ca="1" si="6"/>
        <v>0</v>
      </c>
      <c r="AN25" s="21">
        <f t="shared" ca="1" si="6"/>
        <v>0</v>
      </c>
      <c r="AO25" s="21">
        <f t="shared" ca="1" si="6"/>
        <v>0</v>
      </c>
      <c r="AP25" s="21">
        <f t="shared" ca="1" si="6"/>
        <v>0</v>
      </c>
      <c r="AQ25" s="21">
        <f t="shared" ca="1" si="6"/>
        <v>0</v>
      </c>
      <c r="AR25" s="21">
        <f t="shared" ca="1" si="6"/>
        <v>0</v>
      </c>
      <c r="AS25" s="21">
        <f t="shared" ca="1" si="6"/>
        <v>0</v>
      </c>
      <c r="AT25" s="21">
        <f t="shared" ca="1" si="6"/>
        <v>0</v>
      </c>
      <c r="AU25" s="21">
        <f t="shared" ca="1" si="6"/>
        <v>0</v>
      </c>
      <c r="AV25" s="21">
        <f t="shared" ca="1" si="6"/>
        <v>0</v>
      </c>
      <c r="AW25" s="21">
        <f t="shared" ca="1" si="6"/>
        <v>0</v>
      </c>
      <c r="AX25" s="21">
        <f t="shared" ca="1" si="6"/>
        <v>0</v>
      </c>
      <c r="AY25" s="21">
        <f t="shared" ca="1" si="6"/>
        <v>0</v>
      </c>
      <c r="AZ25" s="21">
        <f t="shared" ca="1" si="6"/>
        <v>0</v>
      </c>
      <c r="BA25" s="21">
        <f t="shared" ca="1" si="6"/>
        <v>0</v>
      </c>
      <c r="BB25" s="21">
        <f t="shared" ca="1" si="6"/>
        <v>0</v>
      </c>
      <c r="BC25" s="21">
        <f t="shared" ca="1" si="6"/>
        <v>0</v>
      </c>
      <c r="BD25" s="21">
        <f t="shared" ca="1" si="6"/>
        <v>0</v>
      </c>
      <c r="BE25" s="21">
        <f t="shared" ca="1" si="6"/>
        <v>0</v>
      </c>
      <c r="BF25" s="21">
        <f t="shared" ca="1" si="6"/>
        <v>0</v>
      </c>
      <c r="BG25" s="21">
        <f t="shared" ca="1" si="6"/>
        <v>0</v>
      </c>
      <c r="BH25" s="21">
        <f t="shared" ca="1" si="6"/>
        <v>0</v>
      </c>
      <c r="BI25" s="21">
        <f t="shared" ca="1" si="6"/>
        <v>0</v>
      </c>
      <c r="BJ25" s="21">
        <f t="shared" ca="1" si="6"/>
        <v>0</v>
      </c>
      <c r="BK25" s="21">
        <f t="shared" ca="1" si="6"/>
        <v>0</v>
      </c>
      <c r="BL25" s="21">
        <f t="shared" ca="1" si="6"/>
        <v>0</v>
      </c>
      <c r="BM25" s="21">
        <f t="shared" ca="1" si="6"/>
        <v>0</v>
      </c>
      <c r="BN25" s="21">
        <f t="shared" ca="1" si="6"/>
        <v>0</v>
      </c>
      <c r="BO25" s="21">
        <f t="shared" ca="1" si="6"/>
        <v>0</v>
      </c>
      <c r="BP25" s="21">
        <f t="shared" ref="BP25:CT25" ca="1" si="7">COUNTIFS(INDIRECT("'" &amp; $B$20 &amp; "'!$V:$V"),"&gt;=" &amp; BP$22,INDIRECT("'" &amp; $B$20 &amp; "'!$V:$V"), "&lt;" &amp; BQ$22)</f>
        <v>0</v>
      </c>
      <c r="BQ25" s="21">
        <f t="shared" ca="1" si="7"/>
        <v>0</v>
      </c>
      <c r="BR25" s="21">
        <f t="shared" ca="1" si="7"/>
        <v>0</v>
      </c>
      <c r="BS25" s="21">
        <f t="shared" ca="1" si="7"/>
        <v>0</v>
      </c>
      <c r="BT25" s="21">
        <f t="shared" ca="1" si="7"/>
        <v>0</v>
      </c>
      <c r="BU25" s="21">
        <f t="shared" ca="1" si="7"/>
        <v>0</v>
      </c>
      <c r="BV25" s="21">
        <f t="shared" ca="1" si="7"/>
        <v>0</v>
      </c>
      <c r="BW25" s="21">
        <f t="shared" ca="1" si="7"/>
        <v>0</v>
      </c>
      <c r="BX25" s="21">
        <f t="shared" ca="1" si="7"/>
        <v>0</v>
      </c>
      <c r="BY25" s="21">
        <f t="shared" ca="1" si="7"/>
        <v>0</v>
      </c>
      <c r="BZ25" s="21">
        <f t="shared" ca="1" si="7"/>
        <v>0</v>
      </c>
      <c r="CA25" s="21">
        <f t="shared" ca="1" si="7"/>
        <v>0</v>
      </c>
      <c r="CB25" s="21">
        <f t="shared" ca="1" si="7"/>
        <v>0</v>
      </c>
      <c r="CC25" s="21">
        <f t="shared" ca="1" si="7"/>
        <v>0</v>
      </c>
      <c r="CD25" s="21">
        <f t="shared" ca="1" si="7"/>
        <v>0</v>
      </c>
      <c r="CE25" s="21">
        <f t="shared" ca="1" si="7"/>
        <v>0</v>
      </c>
      <c r="CF25" s="21">
        <f t="shared" ca="1" si="7"/>
        <v>0</v>
      </c>
      <c r="CG25" s="21">
        <f t="shared" ca="1" si="7"/>
        <v>0</v>
      </c>
      <c r="CH25" s="21">
        <f t="shared" ca="1" si="7"/>
        <v>0</v>
      </c>
      <c r="CI25" s="21">
        <f t="shared" ca="1" si="7"/>
        <v>0</v>
      </c>
      <c r="CJ25" s="21">
        <f t="shared" ca="1" si="7"/>
        <v>0</v>
      </c>
      <c r="CK25" s="21">
        <f t="shared" ca="1" si="7"/>
        <v>0</v>
      </c>
      <c r="CL25" s="21">
        <f t="shared" ca="1" si="7"/>
        <v>0</v>
      </c>
      <c r="CM25" s="21">
        <f t="shared" ca="1" si="7"/>
        <v>0</v>
      </c>
      <c r="CN25" s="21">
        <f t="shared" ca="1" si="7"/>
        <v>0</v>
      </c>
      <c r="CO25" s="21">
        <f t="shared" ca="1" si="7"/>
        <v>0</v>
      </c>
      <c r="CP25" s="21">
        <f t="shared" ca="1" si="7"/>
        <v>0</v>
      </c>
      <c r="CQ25" s="21">
        <f t="shared" ca="1" si="7"/>
        <v>0</v>
      </c>
      <c r="CR25" s="21">
        <f t="shared" ca="1" si="7"/>
        <v>0</v>
      </c>
      <c r="CS25" s="21">
        <f t="shared" ca="1" si="7"/>
        <v>0</v>
      </c>
      <c r="CT25" s="21">
        <f t="shared" ca="1" si="7"/>
        <v>0</v>
      </c>
    </row>
    <row r="26" spans="2:98">
      <c r="B26" s="20" t="s">
        <v>23</v>
      </c>
      <c r="C26" s="21">
        <f ca="1">C25</f>
        <v>0</v>
      </c>
      <c r="D26" s="21">
        <f ca="1">C26+D25</f>
        <v>0</v>
      </c>
      <c r="E26" s="21">
        <f t="shared" ref="E26:BP26" ca="1" si="8">D26+E25</f>
        <v>0</v>
      </c>
      <c r="F26" s="21">
        <f t="shared" ca="1" si="8"/>
        <v>0</v>
      </c>
      <c r="G26" s="21">
        <f t="shared" ca="1" si="8"/>
        <v>0</v>
      </c>
      <c r="H26" s="21">
        <f t="shared" ca="1" si="8"/>
        <v>0</v>
      </c>
      <c r="I26" s="21">
        <f t="shared" ca="1" si="8"/>
        <v>0</v>
      </c>
      <c r="J26" s="21">
        <f t="shared" ca="1" si="8"/>
        <v>1</v>
      </c>
      <c r="K26" s="21">
        <f t="shared" ca="1" si="8"/>
        <v>5</v>
      </c>
      <c r="L26" s="21">
        <f t="shared" ca="1" si="8"/>
        <v>5</v>
      </c>
      <c r="M26" s="21">
        <f t="shared" ca="1" si="8"/>
        <v>11</v>
      </c>
      <c r="N26" s="21">
        <f t="shared" ca="1" si="8"/>
        <v>11</v>
      </c>
      <c r="O26" s="21">
        <f t="shared" ca="1" si="8"/>
        <v>11</v>
      </c>
      <c r="P26" s="21">
        <f t="shared" ca="1" si="8"/>
        <v>11</v>
      </c>
      <c r="Q26" s="21">
        <f t="shared" ca="1" si="8"/>
        <v>11</v>
      </c>
      <c r="R26" s="21">
        <f t="shared" ca="1" si="8"/>
        <v>11</v>
      </c>
      <c r="S26" s="21">
        <f t="shared" ca="1" si="8"/>
        <v>11</v>
      </c>
      <c r="T26" s="21">
        <f t="shared" ca="1" si="8"/>
        <v>11</v>
      </c>
      <c r="U26" s="21">
        <f t="shared" ca="1" si="8"/>
        <v>11</v>
      </c>
      <c r="V26" s="21">
        <f t="shared" ca="1" si="8"/>
        <v>11</v>
      </c>
      <c r="W26" s="21">
        <f t="shared" ca="1" si="8"/>
        <v>11</v>
      </c>
      <c r="X26" s="21">
        <f t="shared" ca="1" si="8"/>
        <v>11</v>
      </c>
      <c r="Y26" s="21">
        <f t="shared" ca="1" si="8"/>
        <v>11</v>
      </c>
      <c r="Z26" s="21">
        <f t="shared" ca="1" si="8"/>
        <v>11</v>
      </c>
      <c r="AA26" s="21">
        <f t="shared" ca="1" si="8"/>
        <v>11</v>
      </c>
      <c r="AB26" s="21">
        <f t="shared" ca="1" si="8"/>
        <v>11</v>
      </c>
      <c r="AC26" s="21">
        <f t="shared" ca="1" si="8"/>
        <v>11</v>
      </c>
      <c r="AD26" s="21">
        <f t="shared" ca="1" si="8"/>
        <v>11</v>
      </c>
      <c r="AE26" s="21">
        <f t="shared" ca="1" si="8"/>
        <v>11</v>
      </c>
      <c r="AF26" s="21">
        <f t="shared" ca="1" si="8"/>
        <v>11</v>
      </c>
      <c r="AG26" s="21">
        <f t="shared" ca="1" si="8"/>
        <v>11</v>
      </c>
      <c r="AH26" s="21">
        <f t="shared" ca="1" si="8"/>
        <v>11</v>
      </c>
      <c r="AI26" s="21">
        <f t="shared" ca="1" si="8"/>
        <v>11</v>
      </c>
      <c r="AJ26" s="21">
        <f t="shared" ca="1" si="8"/>
        <v>11</v>
      </c>
      <c r="AK26" s="21">
        <f t="shared" ca="1" si="8"/>
        <v>11</v>
      </c>
      <c r="AL26" s="21">
        <f t="shared" ca="1" si="8"/>
        <v>11</v>
      </c>
      <c r="AM26" s="21">
        <f t="shared" ca="1" si="8"/>
        <v>11</v>
      </c>
      <c r="AN26" s="21">
        <f t="shared" ca="1" si="8"/>
        <v>11</v>
      </c>
      <c r="AO26" s="21">
        <f t="shared" ca="1" si="8"/>
        <v>11</v>
      </c>
      <c r="AP26" s="21">
        <f t="shared" ca="1" si="8"/>
        <v>11</v>
      </c>
      <c r="AQ26" s="21">
        <f t="shared" ca="1" si="8"/>
        <v>11</v>
      </c>
      <c r="AR26" s="21">
        <f t="shared" ca="1" si="8"/>
        <v>11</v>
      </c>
      <c r="AS26" s="21">
        <f t="shared" ca="1" si="8"/>
        <v>11</v>
      </c>
      <c r="AT26" s="21">
        <f t="shared" ca="1" si="8"/>
        <v>11</v>
      </c>
      <c r="AU26" s="21">
        <f t="shared" ca="1" si="8"/>
        <v>11</v>
      </c>
      <c r="AV26" s="21">
        <f t="shared" ca="1" si="8"/>
        <v>11</v>
      </c>
      <c r="AW26" s="21">
        <f t="shared" ca="1" si="8"/>
        <v>11</v>
      </c>
      <c r="AX26" s="21">
        <f t="shared" ca="1" si="8"/>
        <v>11</v>
      </c>
      <c r="AY26" s="21">
        <f t="shared" ca="1" si="8"/>
        <v>11</v>
      </c>
      <c r="AZ26" s="21">
        <f t="shared" ca="1" si="8"/>
        <v>11</v>
      </c>
      <c r="BA26" s="21">
        <f t="shared" ca="1" si="8"/>
        <v>11</v>
      </c>
      <c r="BB26" s="21">
        <f t="shared" ca="1" si="8"/>
        <v>11</v>
      </c>
      <c r="BC26" s="21">
        <f t="shared" ca="1" si="8"/>
        <v>11</v>
      </c>
      <c r="BD26" s="21">
        <f t="shared" ca="1" si="8"/>
        <v>11</v>
      </c>
      <c r="BE26" s="21">
        <f t="shared" ca="1" si="8"/>
        <v>11</v>
      </c>
      <c r="BF26" s="21">
        <f t="shared" ca="1" si="8"/>
        <v>11</v>
      </c>
      <c r="BG26" s="21">
        <f t="shared" ca="1" si="8"/>
        <v>11</v>
      </c>
      <c r="BH26" s="21">
        <f t="shared" ca="1" si="8"/>
        <v>11</v>
      </c>
      <c r="BI26" s="21">
        <f t="shared" ca="1" si="8"/>
        <v>11</v>
      </c>
      <c r="BJ26" s="21">
        <f t="shared" ca="1" si="8"/>
        <v>11</v>
      </c>
      <c r="BK26" s="21">
        <f t="shared" ca="1" si="8"/>
        <v>11</v>
      </c>
      <c r="BL26" s="21">
        <f t="shared" ca="1" si="8"/>
        <v>11</v>
      </c>
      <c r="BM26" s="21">
        <f t="shared" ca="1" si="8"/>
        <v>11</v>
      </c>
      <c r="BN26" s="21">
        <f t="shared" ca="1" si="8"/>
        <v>11</v>
      </c>
      <c r="BO26" s="21">
        <f t="shared" ca="1" si="8"/>
        <v>11</v>
      </c>
      <c r="BP26" s="21">
        <f t="shared" ca="1" si="8"/>
        <v>11</v>
      </c>
      <c r="BQ26" s="21">
        <f t="shared" ref="BQ26:CT26" ca="1" si="9">BP26+BQ25</f>
        <v>11</v>
      </c>
      <c r="BR26" s="21">
        <f t="shared" ca="1" si="9"/>
        <v>11</v>
      </c>
      <c r="BS26" s="21">
        <f t="shared" ca="1" si="9"/>
        <v>11</v>
      </c>
      <c r="BT26" s="21">
        <f t="shared" ca="1" si="9"/>
        <v>11</v>
      </c>
      <c r="BU26" s="21">
        <f t="shared" ca="1" si="9"/>
        <v>11</v>
      </c>
      <c r="BV26" s="21">
        <f t="shared" ca="1" si="9"/>
        <v>11</v>
      </c>
      <c r="BW26" s="21">
        <f t="shared" ca="1" si="9"/>
        <v>11</v>
      </c>
      <c r="BX26" s="21">
        <f t="shared" ca="1" si="9"/>
        <v>11</v>
      </c>
      <c r="BY26" s="21">
        <f t="shared" ca="1" si="9"/>
        <v>11</v>
      </c>
      <c r="BZ26" s="21">
        <f t="shared" ca="1" si="9"/>
        <v>11</v>
      </c>
      <c r="CA26" s="21">
        <f t="shared" ca="1" si="9"/>
        <v>11</v>
      </c>
      <c r="CB26" s="21">
        <f t="shared" ca="1" si="9"/>
        <v>11</v>
      </c>
      <c r="CC26" s="21">
        <f t="shared" ca="1" si="9"/>
        <v>11</v>
      </c>
      <c r="CD26" s="21">
        <f t="shared" ca="1" si="9"/>
        <v>11</v>
      </c>
      <c r="CE26" s="21">
        <f t="shared" ca="1" si="9"/>
        <v>11</v>
      </c>
      <c r="CF26" s="21">
        <f t="shared" ca="1" si="9"/>
        <v>11</v>
      </c>
      <c r="CG26" s="21">
        <f t="shared" ca="1" si="9"/>
        <v>11</v>
      </c>
      <c r="CH26" s="21">
        <f t="shared" ca="1" si="9"/>
        <v>11</v>
      </c>
      <c r="CI26" s="21">
        <f t="shared" ca="1" si="9"/>
        <v>11</v>
      </c>
      <c r="CJ26" s="21">
        <f t="shared" ca="1" si="9"/>
        <v>11</v>
      </c>
      <c r="CK26" s="21">
        <f t="shared" ca="1" si="9"/>
        <v>11</v>
      </c>
      <c r="CL26" s="21">
        <f t="shared" ca="1" si="9"/>
        <v>11</v>
      </c>
      <c r="CM26" s="21">
        <f t="shared" ca="1" si="9"/>
        <v>11</v>
      </c>
      <c r="CN26" s="21">
        <f t="shared" ca="1" si="9"/>
        <v>11</v>
      </c>
      <c r="CO26" s="21">
        <f t="shared" ca="1" si="9"/>
        <v>11</v>
      </c>
      <c r="CP26" s="21">
        <f t="shared" ca="1" si="9"/>
        <v>11</v>
      </c>
      <c r="CQ26" s="21">
        <f t="shared" ca="1" si="9"/>
        <v>11</v>
      </c>
      <c r="CR26" s="21">
        <f t="shared" ca="1" si="9"/>
        <v>11</v>
      </c>
      <c r="CS26" s="21">
        <f t="shared" ca="1" si="9"/>
        <v>11</v>
      </c>
      <c r="CT26" s="21">
        <f t="shared" ca="1" si="9"/>
        <v>11</v>
      </c>
    </row>
    <row r="27" spans="2:98">
      <c r="B27" s="20" t="s">
        <v>24</v>
      </c>
      <c r="C27" s="21">
        <f ca="1">C26-C24</f>
        <v>0</v>
      </c>
      <c r="D27" s="21">
        <f t="shared" ref="D27:BO27" ca="1" si="10">D26-D24</f>
        <v>0</v>
      </c>
      <c r="E27" s="21">
        <f t="shared" ca="1" si="10"/>
        <v>0</v>
      </c>
      <c r="F27" s="21">
        <f t="shared" ca="1" si="10"/>
        <v>0</v>
      </c>
      <c r="G27" s="21">
        <f t="shared" ca="1" si="10"/>
        <v>0</v>
      </c>
      <c r="H27" s="21">
        <f t="shared" ca="1" si="10"/>
        <v>0</v>
      </c>
      <c r="I27" s="21">
        <f t="shared" ca="1" si="10"/>
        <v>0</v>
      </c>
      <c r="J27" s="21">
        <f t="shared" ca="1" si="10"/>
        <v>-5</v>
      </c>
      <c r="K27" s="21">
        <f t="shared" ca="1" si="10"/>
        <v>-7</v>
      </c>
      <c r="L27" s="21">
        <f t="shared" ca="1" si="10"/>
        <v>-7</v>
      </c>
      <c r="M27" s="21">
        <f t="shared" ca="1" si="10"/>
        <v>-1</v>
      </c>
      <c r="N27" s="21">
        <f t="shared" ca="1" si="10"/>
        <v>-1</v>
      </c>
      <c r="O27" s="21">
        <f t="shared" ca="1" si="10"/>
        <v>-1</v>
      </c>
      <c r="P27" s="21">
        <f t="shared" ca="1" si="10"/>
        <v>-1</v>
      </c>
      <c r="Q27" s="21">
        <f t="shared" ca="1" si="10"/>
        <v>-1</v>
      </c>
      <c r="R27" s="21">
        <f t="shared" ca="1" si="10"/>
        <v>-7</v>
      </c>
      <c r="S27" s="21">
        <f t="shared" ca="1" si="10"/>
        <v>-13</v>
      </c>
      <c r="T27" s="21">
        <f t="shared" ca="1" si="10"/>
        <v>-25</v>
      </c>
      <c r="U27" s="21">
        <f t="shared" ca="1" si="10"/>
        <v>-31</v>
      </c>
      <c r="V27" s="21">
        <f t="shared" ca="1" si="10"/>
        <v>-31</v>
      </c>
      <c r="W27" s="21">
        <f t="shared" ca="1" si="10"/>
        <v>-31</v>
      </c>
      <c r="X27" s="21">
        <f t="shared" ca="1" si="10"/>
        <v>-39</v>
      </c>
      <c r="Y27" s="21">
        <f t="shared" ca="1" si="10"/>
        <v>-39</v>
      </c>
      <c r="Z27" s="21">
        <f t="shared" ca="1" si="10"/>
        <v>-43</v>
      </c>
      <c r="AA27" s="21">
        <f t="shared" ca="1" si="10"/>
        <v>-49</v>
      </c>
      <c r="AB27" s="21">
        <f t="shared" ca="1" si="10"/>
        <v>-55</v>
      </c>
      <c r="AC27" s="21">
        <f t="shared" ca="1" si="10"/>
        <v>-55</v>
      </c>
      <c r="AD27" s="21">
        <f t="shared" ca="1" si="10"/>
        <v>-55</v>
      </c>
      <c r="AE27" s="21">
        <f t="shared" ca="1" si="10"/>
        <v>-61</v>
      </c>
      <c r="AF27" s="21">
        <f t="shared" ca="1" si="10"/>
        <v>-61</v>
      </c>
      <c r="AG27" s="21">
        <f t="shared" ca="1" si="10"/>
        <v>-61</v>
      </c>
      <c r="AH27" s="21">
        <f t="shared" ca="1" si="10"/>
        <v>-61</v>
      </c>
      <c r="AI27" s="21">
        <f t="shared" ca="1" si="10"/>
        <v>-63</v>
      </c>
      <c r="AJ27" s="21">
        <f t="shared" ca="1" si="10"/>
        <v>-63</v>
      </c>
      <c r="AK27" s="21">
        <f t="shared" ca="1" si="10"/>
        <v>-63</v>
      </c>
      <c r="AL27" s="21">
        <f t="shared" ca="1" si="10"/>
        <v>-65</v>
      </c>
      <c r="AM27" s="21">
        <f t="shared" ca="1" si="10"/>
        <v>-69</v>
      </c>
      <c r="AN27" s="21">
        <f t="shared" ca="1" si="10"/>
        <v>-71</v>
      </c>
      <c r="AO27" s="21">
        <f t="shared" ca="1" si="10"/>
        <v>-73</v>
      </c>
      <c r="AP27" s="21">
        <f t="shared" ca="1" si="10"/>
        <v>-73</v>
      </c>
      <c r="AQ27" s="21">
        <f t="shared" ca="1" si="10"/>
        <v>-73</v>
      </c>
      <c r="AR27" s="21">
        <f t="shared" ca="1" si="10"/>
        <v>-73</v>
      </c>
      <c r="AS27" s="21">
        <f t="shared" ca="1" si="10"/>
        <v>-73</v>
      </c>
      <c r="AT27" s="21">
        <f t="shared" ca="1" si="10"/>
        <v>-73</v>
      </c>
      <c r="AU27" s="21">
        <f t="shared" ca="1" si="10"/>
        <v>-75</v>
      </c>
      <c r="AV27" s="21">
        <f t="shared" ca="1" si="10"/>
        <v>-77</v>
      </c>
      <c r="AW27" s="21">
        <f t="shared" ca="1" si="10"/>
        <v>-81</v>
      </c>
      <c r="AX27" s="21">
        <f t="shared" ca="1" si="10"/>
        <v>-81</v>
      </c>
      <c r="AY27" s="21">
        <f t="shared" ca="1" si="10"/>
        <v>-81</v>
      </c>
      <c r="AZ27" s="21">
        <f t="shared" ca="1" si="10"/>
        <v>-81</v>
      </c>
      <c r="BA27" s="21">
        <f t="shared" ca="1" si="10"/>
        <v>-86</v>
      </c>
      <c r="BB27" s="21">
        <f t="shared" ca="1" si="10"/>
        <v>-91</v>
      </c>
      <c r="BC27" s="21">
        <f t="shared" ca="1" si="10"/>
        <v>-91</v>
      </c>
      <c r="BD27" s="21">
        <f t="shared" ca="1" si="10"/>
        <v>-91</v>
      </c>
      <c r="BE27" s="21">
        <f t="shared" ca="1" si="10"/>
        <v>-91</v>
      </c>
      <c r="BF27" s="21">
        <f t="shared" ca="1" si="10"/>
        <v>-91</v>
      </c>
      <c r="BG27" s="21">
        <f t="shared" ca="1" si="10"/>
        <v>-94</v>
      </c>
      <c r="BH27" s="21">
        <f t="shared" ca="1" si="10"/>
        <v>-99</v>
      </c>
      <c r="BI27" s="21">
        <f t="shared" ca="1" si="10"/>
        <v>-101</v>
      </c>
      <c r="BJ27" s="21">
        <f t="shared" ca="1" si="10"/>
        <v>-105</v>
      </c>
      <c r="BK27" s="21">
        <f t="shared" ca="1" si="10"/>
        <v>-107</v>
      </c>
      <c r="BL27" s="21">
        <f t="shared" ca="1" si="10"/>
        <v>-107</v>
      </c>
      <c r="BM27" s="21">
        <f t="shared" ca="1" si="10"/>
        <v>-107</v>
      </c>
      <c r="BN27" s="21">
        <f t="shared" ca="1" si="10"/>
        <v>-109</v>
      </c>
      <c r="BO27" s="21">
        <f t="shared" ca="1" si="10"/>
        <v>-112</v>
      </c>
      <c r="BP27" s="21">
        <f t="shared" ref="BP27:EA27" ca="1" si="11">BP26-BP24</f>
        <v>-115</v>
      </c>
      <c r="BQ27" s="21">
        <f t="shared" ca="1" si="11"/>
        <v>-115</v>
      </c>
      <c r="BR27" s="21">
        <f t="shared" ca="1" si="11"/>
        <v>-117</v>
      </c>
      <c r="BS27" s="21">
        <f t="shared" ca="1" si="11"/>
        <v>-117</v>
      </c>
      <c r="BT27" s="21">
        <f t="shared" ca="1" si="11"/>
        <v>-117</v>
      </c>
      <c r="BU27" s="21">
        <f t="shared" ca="1" si="11"/>
        <v>-117</v>
      </c>
      <c r="BV27" s="21">
        <f t="shared" ca="1" si="11"/>
        <v>-119</v>
      </c>
      <c r="BW27" s="21">
        <f t="shared" ca="1" si="11"/>
        <v>-126</v>
      </c>
      <c r="BX27" s="21">
        <f t="shared" ca="1" si="11"/>
        <v>-131</v>
      </c>
      <c r="BY27" s="21">
        <f t="shared" ca="1" si="11"/>
        <v>-139</v>
      </c>
      <c r="BZ27" s="21">
        <f t="shared" ca="1" si="11"/>
        <v>-139</v>
      </c>
      <c r="CA27" s="21">
        <f t="shared" ca="1" si="11"/>
        <v>-139</v>
      </c>
      <c r="CB27" s="21">
        <f t="shared" ca="1" si="11"/>
        <v>-142</v>
      </c>
      <c r="CC27" s="21">
        <f t="shared" ca="1" si="11"/>
        <v>-145</v>
      </c>
      <c r="CD27" s="21">
        <f t="shared" ca="1" si="11"/>
        <v>-145</v>
      </c>
      <c r="CE27" s="21">
        <f t="shared" ca="1" si="11"/>
        <v>-147</v>
      </c>
      <c r="CF27" s="21">
        <f t="shared" ca="1" si="11"/>
        <v>-149</v>
      </c>
      <c r="CG27" s="21">
        <f t="shared" ca="1" si="11"/>
        <v>-149</v>
      </c>
      <c r="CH27" s="21">
        <f t="shared" ca="1" si="11"/>
        <v>-149</v>
      </c>
      <c r="CI27" s="21">
        <f t="shared" ca="1" si="11"/>
        <v>-156</v>
      </c>
      <c r="CJ27" s="21">
        <f t="shared" ca="1" si="11"/>
        <v>-161</v>
      </c>
      <c r="CK27" s="21">
        <f t="shared" ca="1" si="11"/>
        <v>-169</v>
      </c>
      <c r="CL27" s="21">
        <f t="shared" ca="1" si="11"/>
        <v>-172</v>
      </c>
      <c r="CM27" s="21">
        <f t="shared" ca="1" si="11"/>
        <v>-175</v>
      </c>
      <c r="CN27" s="21">
        <f t="shared" ca="1" si="11"/>
        <v>-175</v>
      </c>
      <c r="CO27" s="21">
        <f t="shared" ca="1" si="11"/>
        <v>-175</v>
      </c>
      <c r="CP27" s="21">
        <f t="shared" ca="1" si="11"/>
        <v>-175</v>
      </c>
      <c r="CQ27" s="21">
        <f t="shared" ca="1" si="11"/>
        <v>-175</v>
      </c>
      <c r="CR27" s="21">
        <f t="shared" ca="1" si="11"/>
        <v>-175</v>
      </c>
      <c r="CS27" s="21">
        <f t="shared" ca="1" si="11"/>
        <v>-175</v>
      </c>
      <c r="CT27" s="21">
        <f t="shared" ca="1" si="11"/>
        <v>-175</v>
      </c>
    </row>
    <row r="30" spans="2:98" ht="19.5">
      <c r="B30" s="25" t="s">
        <v>391</v>
      </c>
    </row>
    <row r="45" spans="2:3" ht="15.5" thickBot="1"/>
    <row r="46" spans="2:3" ht="15.5" thickBot="1">
      <c r="B46" s="15" t="s">
        <v>18</v>
      </c>
      <c r="C46" s="16">
        <f>Progress!C46</f>
        <v>1</v>
      </c>
    </row>
    <row r="47" spans="2:3" ht="7" customHeight="1">
      <c r="B47" s="17"/>
    </row>
    <row r="48" spans="2:3">
      <c r="B48" s="23" t="str">
        <f>B20</f>
        <v>WBS(X_システム共通)</v>
      </c>
    </row>
    <row r="49" spans="2:98" ht="8.5" customHeight="1"/>
    <row r="50" spans="2:98">
      <c r="B50" s="18" t="s">
        <v>19</v>
      </c>
      <c r="C50" s="19">
        <v>45810</v>
      </c>
      <c r="D50" s="19">
        <f>C50+$C$18</f>
        <v>45811</v>
      </c>
      <c r="E50" s="19">
        <f t="shared" ref="E50:BP50" si="12">D50+$C$18</f>
        <v>45812</v>
      </c>
      <c r="F50" s="19">
        <f t="shared" si="12"/>
        <v>45813</v>
      </c>
      <c r="G50" s="19">
        <f t="shared" si="12"/>
        <v>45814</v>
      </c>
      <c r="H50" s="19">
        <f t="shared" si="12"/>
        <v>45815</v>
      </c>
      <c r="I50" s="19">
        <f t="shared" si="12"/>
        <v>45816</v>
      </c>
      <c r="J50" s="19">
        <f t="shared" si="12"/>
        <v>45817</v>
      </c>
      <c r="K50" s="19">
        <f t="shared" si="12"/>
        <v>45818</v>
      </c>
      <c r="L50" s="19">
        <f t="shared" si="12"/>
        <v>45819</v>
      </c>
      <c r="M50" s="19">
        <f t="shared" si="12"/>
        <v>45820</v>
      </c>
      <c r="N50" s="19">
        <f t="shared" si="12"/>
        <v>45821</v>
      </c>
      <c r="O50" s="19">
        <f t="shared" si="12"/>
        <v>45822</v>
      </c>
      <c r="P50" s="19">
        <f t="shared" si="12"/>
        <v>45823</v>
      </c>
      <c r="Q50" s="19">
        <f t="shared" si="12"/>
        <v>45824</v>
      </c>
      <c r="R50" s="19">
        <f t="shared" si="12"/>
        <v>45825</v>
      </c>
      <c r="S50" s="19">
        <f t="shared" si="12"/>
        <v>45826</v>
      </c>
      <c r="T50" s="19">
        <f t="shared" si="12"/>
        <v>45827</v>
      </c>
      <c r="U50" s="19">
        <f t="shared" si="12"/>
        <v>45828</v>
      </c>
      <c r="V50" s="19">
        <f t="shared" si="12"/>
        <v>45829</v>
      </c>
      <c r="W50" s="19">
        <f t="shared" si="12"/>
        <v>45830</v>
      </c>
      <c r="X50" s="19">
        <f t="shared" si="12"/>
        <v>45831</v>
      </c>
      <c r="Y50" s="19">
        <f t="shared" si="12"/>
        <v>45832</v>
      </c>
      <c r="Z50" s="19">
        <f t="shared" si="12"/>
        <v>45833</v>
      </c>
      <c r="AA50" s="19">
        <f t="shared" si="12"/>
        <v>45834</v>
      </c>
      <c r="AB50" s="19">
        <f t="shared" si="12"/>
        <v>45835</v>
      </c>
      <c r="AC50" s="19">
        <f t="shared" si="12"/>
        <v>45836</v>
      </c>
      <c r="AD50" s="19">
        <f t="shared" si="12"/>
        <v>45837</v>
      </c>
      <c r="AE50" s="19">
        <f t="shared" si="12"/>
        <v>45838</v>
      </c>
      <c r="AF50" s="19">
        <f t="shared" si="12"/>
        <v>45839</v>
      </c>
      <c r="AG50" s="19">
        <f t="shared" si="12"/>
        <v>45840</v>
      </c>
      <c r="AH50" s="19">
        <f t="shared" si="12"/>
        <v>45841</v>
      </c>
      <c r="AI50" s="19">
        <f t="shared" si="12"/>
        <v>45842</v>
      </c>
      <c r="AJ50" s="19">
        <f t="shared" si="12"/>
        <v>45843</v>
      </c>
      <c r="AK50" s="19">
        <f t="shared" si="12"/>
        <v>45844</v>
      </c>
      <c r="AL50" s="19">
        <f t="shared" si="12"/>
        <v>45845</v>
      </c>
      <c r="AM50" s="19">
        <f t="shared" si="12"/>
        <v>45846</v>
      </c>
      <c r="AN50" s="19">
        <f t="shared" si="12"/>
        <v>45847</v>
      </c>
      <c r="AO50" s="19">
        <f t="shared" si="12"/>
        <v>45848</v>
      </c>
      <c r="AP50" s="19">
        <f t="shared" si="12"/>
        <v>45849</v>
      </c>
      <c r="AQ50" s="19">
        <f t="shared" si="12"/>
        <v>45850</v>
      </c>
      <c r="AR50" s="19">
        <f t="shared" si="12"/>
        <v>45851</v>
      </c>
      <c r="AS50" s="19">
        <f t="shared" si="12"/>
        <v>45852</v>
      </c>
      <c r="AT50" s="19">
        <f t="shared" si="12"/>
        <v>45853</v>
      </c>
      <c r="AU50" s="19">
        <f t="shared" si="12"/>
        <v>45854</v>
      </c>
      <c r="AV50" s="19">
        <f t="shared" si="12"/>
        <v>45855</v>
      </c>
      <c r="AW50" s="19">
        <f t="shared" si="12"/>
        <v>45856</v>
      </c>
      <c r="AX50" s="19">
        <f t="shared" si="12"/>
        <v>45857</v>
      </c>
      <c r="AY50" s="19">
        <f t="shared" si="12"/>
        <v>45858</v>
      </c>
      <c r="AZ50" s="19">
        <f t="shared" si="12"/>
        <v>45859</v>
      </c>
      <c r="BA50" s="19">
        <f t="shared" si="12"/>
        <v>45860</v>
      </c>
      <c r="BB50" s="19">
        <f t="shared" si="12"/>
        <v>45861</v>
      </c>
      <c r="BC50" s="19">
        <f t="shared" si="12"/>
        <v>45862</v>
      </c>
      <c r="BD50" s="19">
        <f t="shared" si="12"/>
        <v>45863</v>
      </c>
      <c r="BE50" s="19">
        <f t="shared" si="12"/>
        <v>45864</v>
      </c>
      <c r="BF50" s="19">
        <f t="shared" si="12"/>
        <v>45865</v>
      </c>
      <c r="BG50" s="19">
        <f t="shared" si="12"/>
        <v>45866</v>
      </c>
      <c r="BH50" s="19">
        <f t="shared" si="12"/>
        <v>45867</v>
      </c>
      <c r="BI50" s="19">
        <f t="shared" si="12"/>
        <v>45868</v>
      </c>
      <c r="BJ50" s="19">
        <f t="shared" si="12"/>
        <v>45869</v>
      </c>
      <c r="BK50" s="19">
        <f t="shared" si="12"/>
        <v>45870</v>
      </c>
      <c r="BL50" s="19">
        <f t="shared" si="12"/>
        <v>45871</v>
      </c>
      <c r="BM50" s="19">
        <f t="shared" si="12"/>
        <v>45872</v>
      </c>
      <c r="BN50" s="19">
        <f t="shared" si="12"/>
        <v>45873</v>
      </c>
      <c r="BO50" s="19">
        <f t="shared" si="12"/>
        <v>45874</v>
      </c>
      <c r="BP50" s="19">
        <f t="shared" si="12"/>
        <v>45875</v>
      </c>
      <c r="BQ50" s="19">
        <f t="shared" ref="BQ50:CT50" si="13">BP50+$C$18</f>
        <v>45876</v>
      </c>
      <c r="BR50" s="19">
        <f t="shared" si="13"/>
        <v>45877</v>
      </c>
      <c r="BS50" s="19">
        <f t="shared" si="13"/>
        <v>45878</v>
      </c>
      <c r="BT50" s="19">
        <f t="shared" si="13"/>
        <v>45879</v>
      </c>
      <c r="BU50" s="19">
        <f t="shared" si="13"/>
        <v>45880</v>
      </c>
      <c r="BV50" s="19">
        <f t="shared" si="13"/>
        <v>45881</v>
      </c>
      <c r="BW50" s="19">
        <f t="shared" si="13"/>
        <v>45882</v>
      </c>
      <c r="BX50" s="19">
        <f t="shared" si="13"/>
        <v>45883</v>
      </c>
      <c r="BY50" s="19">
        <f t="shared" si="13"/>
        <v>45884</v>
      </c>
      <c r="BZ50" s="19">
        <f t="shared" si="13"/>
        <v>45885</v>
      </c>
      <c r="CA50" s="19">
        <f t="shared" si="13"/>
        <v>45886</v>
      </c>
      <c r="CB50" s="19">
        <f t="shared" si="13"/>
        <v>45887</v>
      </c>
      <c r="CC50" s="19">
        <f t="shared" si="13"/>
        <v>45888</v>
      </c>
      <c r="CD50" s="19">
        <f t="shared" si="13"/>
        <v>45889</v>
      </c>
      <c r="CE50" s="19">
        <f t="shared" si="13"/>
        <v>45890</v>
      </c>
      <c r="CF50" s="19">
        <f t="shared" si="13"/>
        <v>45891</v>
      </c>
      <c r="CG50" s="19">
        <f t="shared" si="13"/>
        <v>45892</v>
      </c>
      <c r="CH50" s="19">
        <f t="shared" si="13"/>
        <v>45893</v>
      </c>
      <c r="CI50" s="19">
        <f t="shared" si="13"/>
        <v>45894</v>
      </c>
      <c r="CJ50" s="19">
        <f t="shared" si="13"/>
        <v>45895</v>
      </c>
      <c r="CK50" s="19">
        <f t="shared" si="13"/>
        <v>45896</v>
      </c>
      <c r="CL50" s="19">
        <f t="shared" si="13"/>
        <v>45897</v>
      </c>
      <c r="CM50" s="19">
        <f t="shared" si="13"/>
        <v>45898</v>
      </c>
      <c r="CN50" s="19">
        <f t="shared" si="13"/>
        <v>45899</v>
      </c>
      <c r="CO50" s="19">
        <f t="shared" si="13"/>
        <v>45900</v>
      </c>
      <c r="CP50" s="19">
        <f t="shared" si="13"/>
        <v>45901</v>
      </c>
      <c r="CQ50" s="19">
        <f t="shared" si="13"/>
        <v>45902</v>
      </c>
      <c r="CR50" s="19">
        <f t="shared" si="13"/>
        <v>45903</v>
      </c>
      <c r="CS50" s="19">
        <f t="shared" si="13"/>
        <v>45904</v>
      </c>
      <c r="CT50" s="19">
        <f t="shared" si="13"/>
        <v>45905</v>
      </c>
    </row>
    <row r="51" spans="2:98">
      <c r="B51" s="20" t="s">
        <v>382</v>
      </c>
      <c r="C51" s="21">
        <f ca="1">COUNTIFS(INDIRECT("'" &amp; $B$20 &amp; "'!$S:$S"),"&gt;=" &amp; C$22,INDIRECT("'" &amp; $B$20 &amp; "'!$S:$S"), "&lt;" &amp; D$22)</f>
        <v>0</v>
      </c>
      <c r="D51" s="21">
        <f t="shared" ref="D51:BO51" ca="1" si="14">COUNTIFS(INDIRECT("'" &amp; $B$20 &amp; "'!$S:$S"),"&gt;=" &amp; D$22,INDIRECT("'" &amp; $B$20 &amp; "'!$S:$S"), "&lt;" &amp; E$22)</f>
        <v>0</v>
      </c>
      <c r="E51" s="21">
        <f t="shared" ca="1" si="14"/>
        <v>6</v>
      </c>
      <c r="F51" s="21">
        <f t="shared" ca="1" si="14"/>
        <v>0</v>
      </c>
      <c r="G51" s="21">
        <f t="shared" ca="1" si="14"/>
        <v>0</v>
      </c>
      <c r="H51" s="21">
        <f t="shared" ca="1" si="14"/>
        <v>0</v>
      </c>
      <c r="I51" s="21">
        <f t="shared" ca="1" si="14"/>
        <v>0</v>
      </c>
      <c r="J51" s="21">
        <f t="shared" ca="1" si="14"/>
        <v>0</v>
      </c>
      <c r="K51" s="21">
        <f t="shared" ca="1" si="14"/>
        <v>6</v>
      </c>
      <c r="L51" s="21">
        <f t="shared" ca="1" si="14"/>
        <v>6</v>
      </c>
      <c r="M51" s="21">
        <f t="shared" ca="1" si="14"/>
        <v>0</v>
      </c>
      <c r="N51" s="21">
        <f t="shared" ca="1" si="14"/>
        <v>0</v>
      </c>
      <c r="O51" s="21">
        <f t="shared" ca="1" si="14"/>
        <v>0</v>
      </c>
      <c r="P51" s="21">
        <f t="shared" ca="1" si="14"/>
        <v>0</v>
      </c>
      <c r="Q51" s="21">
        <f t="shared" ca="1" si="14"/>
        <v>0</v>
      </c>
      <c r="R51" s="21">
        <f t="shared" ca="1" si="14"/>
        <v>0</v>
      </c>
      <c r="S51" s="21">
        <f t="shared" ca="1" si="14"/>
        <v>6</v>
      </c>
      <c r="T51" s="21">
        <f t="shared" ca="1" si="14"/>
        <v>12</v>
      </c>
      <c r="U51" s="21">
        <f t="shared" ca="1" si="14"/>
        <v>6</v>
      </c>
      <c r="V51" s="21">
        <f t="shared" ca="1" si="14"/>
        <v>0</v>
      </c>
      <c r="W51" s="21">
        <f t="shared" ca="1" si="14"/>
        <v>0</v>
      </c>
      <c r="X51" s="21">
        <f t="shared" ca="1" si="14"/>
        <v>8</v>
      </c>
      <c r="Y51" s="21">
        <f t="shared" ca="1" si="14"/>
        <v>4</v>
      </c>
      <c r="Z51" s="21">
        <f t="shared" ca="1" si="14"/>
        <v>0</v>
      </c>
      <c r="AA51" s="21">
        <f t="shared" ca="1" si="14"/>
        <v>6</v>
      </c>
      <c r="AB51" s="21">
        <f t="shared" ca="1" si="14"/>
        <v>6</v>
      </c>
      <c r="AC51" s="21">
        <f t="shared" ca="1" si="14"/>
        <v>0</v>
      </c>
      <c r="AD51" s="21">
        <f t="shared" ca="1" si="14"/>
        <v>0</v>
      </c>
      <c r="AE51" s="21">
        <f t="shared" ca="1" si="14"/>
        <v>6</v>
      </c>
      <c r="AF51" s="21">
        <f t="shared" ca="1" si="14"/>
        <v>5</v>
      </c>
      <c r="AG51" s="21">
        <f t="shared" ca="1" si="14"/>
        <v>0</v>
      </c>
      <c r="AH51" s="21">
        <f t="shared" ca="1" si="14"/>
        <v>0</v>
      </c>
      <c r="AI51" s="21">
        <f t="shared" ca="1" si="14"/>
        <v>0</v>
      </c>
      <c r="AJ51" s="21">
        <f t="shared" ca="1" si="14"/>
        <v>0</v>
      </c>
      <c r="AK51" s="21">
        <f t="shared" ca="1" si="14"/>
        <v>0</v>
      </c>
      <c r="AL51" s="21">
        <f t="shared" ca="1" si="14"/>
        <v>2</v>
      </c>
      <c r="AM51" s="21">
        <f t="shared" ca="1" si="14"/>
        <v>4</v>
      </c>
      <c r="AN51" s="21">
        <f t="shared" ca="1" si="14"/>
        <v>2</v>
      </c>
      <c r="AO51" s="21">
        <f t="shared" ca="1" si="14"/>
        <v>2</v>
      </c>
      <c r="AP51" s="21">
        <f t="shared" ca="1" si="14"/>
        <v>2</v>
      </c>
      <c r="AQ51" s="21">
        <f t="shared" ca="1" si="14"/>
        <v>0</v>
      </c>
      <c r="AR51" s="21">
        <f t="shared" ca="1" si="14"/>
        <v>0</v>
      </c>
      <c r="AS51" s="21">
        <f t="shared" ca="1" si="14"/>
        <v>0</v>
      </c>
      <c r="AT51" s="21">
        <f t="shared" ca="1" si="14"/>
        <v>0</v>
      </c>
      <c r="AU51" s="21">
        <f t="shared" ca="1" si="14"/>
        <v>0</v>
      </c>
      <c r="AV51" s="21">
        <f t="shared" ca="1" si="14"/>
        <v>2</v>
      </c>
      <c r="AW51" s="21">
        <f t="shared" ca="1" si="14"/>
        <v>4</v>
      </c>
      <c r="AX51" s="21">
        <f t="shared" ca="1" si="14"/>
        <v>0</v>
      </c>
      <c r="AY51" s="21">
        <f t="shared" ca="1" si="14"/>
        <v>0</v>
      </c>
      <c r="AZ51" s="21">
        <f t="shared" ca="1" si="14"/>
        <v>0</v>
      </c>
      <c r="BA51" s="21">
        <f t="shared" ca="1" si="14"/>
        <v>2</v>
      </c>
      <c r="BB51" s="21">
        <f t="shared" ca="1" si="14"/>
        <v>5</v>
      </c>
      <c r="BC51" s="21">
        <f t="shared" ca="1" si="14"/>
        <v>5</v>
      </c>
      <c r="BD51" s="21">
        <f t="shared" ca="1" si="14"/>
        <v>0</v>
      </c>
      <c r="BE51" s="21">
        <f t="shared" ca="1" si="14"/>
        <v>0</v>
      </c>
      <c r="BF51" s="21">
        <f t="shared" ca="1" si="14"/>
        <v>0</v>
      </c>
      <c r="BG51" s="21">
        <f t="shared" ca="1" si="14"/>
        <v>0</v>
      </c>
      <c r="BH51" s="21">
        <f t="shared" ca="1" si="14"/>
        <v>3</v>
      </c>
      <c r="BI51" s="21">
        <f t="shared" ca="1" si="14"/>
        <v>5</v>
      </c>
      <c r="BJ51" s="21">
        <f t="shared" ca="1" si="14"/>
        <v>4</v>
      </c>
      <c r="BK51" s="21">
        <f t="shared" ca="1" si="14"/>
        <v>2</v>
      </c>
      <c r="BL51" s="21">
        <f t="shared" ca="1" si="14"/>
        <v>0</v>
      </c>
      <c r="BM51" s="21">
        <f t="shared" ca="1" si="14"/>
        <v>0</v>
      </c>
      <c r="BN51" s="21">
        <f t="shared" ca="1" si="14"/>
        <v>2</v>
      </c>
      <c r="BO51" s="21">
        <f t="shared" ca="1" si="14"/>
        <v>2</v>
      </c>
      <c r="BP51" s="21">
        <f t="shared" ref="BP51:CT51" ca="1" si="15">COUNTIFS(INDIRECT("'" &amp; $B$20 &amp; "'!$S:$S"),"&gt;=" &amp; BP$22,INDIRECT("'" &amp; $B$20 &amp; "'!$S:$S"), "&lt;" &amp; BQ$22)</f>
        <v>3</v>
      </c>
      <c r="BQ51" s="21">
        <f t="shared" ca="1" si="15"/>
        <v>3</v>
      </c>
      <c r="BR51" s="21">
        <f t="shared" ca="1" si="15"/>
        <v>0</v>
      </c>
      <c r="BS51" s="21">
        <f t="shared" ca="1" si="15"/>
        <v>0</v>
      </c>
      <c r="BT51" s="21">
        <f t="shared" ca="1" si="15"/>
        <v>0</v>
      </c>
      <c r="BU51" s="21">
        <f t="shared" ca="1" si="15"/>
        <v>0</v>
      </c>
      <c r="BV51" s="21">
        <f t="shared" ca="1" si="15"/>
        <v>2</v>
      </c>
      <c r="BW51" s="21">
        <f t="shared" ca="1" si="15"/>
        <v>4</v>
      </c>
      <c r="BX51" s="21">
        <f t="shared" ca="1" si="15"/>
        <v>5</v>
      </c>
      <c r="BY51" s="21">
        <f t="shared" ca="1" si="15"/>
        <v>8</v>
      </c>
      <c r="BZ51" s="21">
        <f t="shared" ca="1" si="15"/>
        <v>0</v>
      </c>
      <c r="CA51" s="21">
        <f t="shared" ca="1" si="15"/>
        <v>0</v>
      </c>
      <c r="CB51" s="21">
        <f t="shared" ca="1" si="15"/>
        <v>5</v>
      </c>
      <c r="CC51" s="21">
        <f t="shared" ca="1" si="15"/>
        <v>3</v>
      </c>
      <c r="CD51" s="21">
        <f t="shared" ca="1" si="15"/>
        <v>3</v>
      </c>
      <c r="CE51" s="21">
        <f t="shared" ca="1" si="15"/>
        <v>0</v>
      </c>
      <c r="CF51" s="21">
        <f t="shared" ca="1" si="15"/>
        <v>2</v>
      </c>
      <c r="CG51" s="21">
        <f t="shared" ca="1" si="15"/>
        <v>0</v>
      </c>
      <c r="CH51" s="21">
        <f t="shared" ca="1" si="15"/>
        <v>0</v>
      </c>
      <c r="CI51" s="21">
        <f t="shared" ca="1" si="15"/>
        <v>4</v>
      </c>
      <c r="CJ51" s="21">
        <f t="shared" ca="1" si="15"/>
        <v>5</v>
      </c>
      <c r="CK51" s="21">
        <f t="shared" ca="1" si="15"/>
        <v>8</v>
      </c>
      <c r="CL51" s="21">
        <f t="shared" ca="1" si="15"/>
        <v>3</v>
      </c>
      <c r="CM51" s="21">
        <f t="shared" ca="1" si="15"/>
        <v>3</v>
      </c>
      <c r="CN51" s="21">
        <f t="shared" ca="1" si="15"/>
        <v>0</v>
      </c>
      <c r="CO51" s="21">
        <f t="shared" ca="1" si="15"/>
        <v>0</v>
      </c>
      <c r="CP51" s="21">
        <f t="shared" ca="1" si="15"/>
        <v>0</v>
      </c>
      <c r="CQ51" s="21">
        <f t="shared" ca="1" si="15"/>
        <v>0</v>
      </c>
      <c r="CR51" s="21">
        <f t="shared" ca="1" si="15"/>
        <v>0</v>
      </c>
      <c r="CS51" s="21">
        <f t="shared" ca="1" si="15"/>
        <v>0</v>
      </c>
      <c r="CT51" s="21">
        <f t="shared" ca="1" si="15"/>
        <v>0</v>
      </c>
    </row>
    <row r="52" spans="2:98">
      <c r="B52" s="20" t="s">
        <v>21</v>
      </c>
      <c r="C52" s="21">
        <f ca="1">C51</f>
        <v>0</v>
      </c>
      <c r="D52" s="21">
        <f ca="1">C52+D51</f>
        <v>0</v>
      </c>
      <c r="E52" s="21">
        <f t="shared" ref="E52:BP52" ca="1" si="16">D52+E51</f>
        <v>6</v>
      </c>
      <c r="F52" s="21">
        <f t="shared" ca="1" si="16"/>
        <v>6</v>
      </c>
      <c r="G52" s="21">
        <f t="shared" ca="1" si="16"/>
        <v>6</v>
      </c>
      <c r="H52" s="21">
        <f t="shared" ca="1" si="16"/>
        <v>6</v>
      </c>
      <c r="I52" s="21">
        <f t="shared" ca="1" si="16"/>
        <v>6</v>
      </c>
      <c r="J52" s="21">
        <f t="shared" ca="1" si="16"/>
        <v>6</v>
      </c>
      <c r="K52" s="21">
        <f t="shared" ca="1" si="16"/>
        <v>12</v>
      </c>
      <c r="L52" s="21">
        <f t="shared" ca="1" si="16"/>
        <v>18</v>
      </c>
      <c r="M52" s="21">
        <f t="shared" ca="1" si="16"/>
        <v>18</v>
      </c>
      <c r="N52" s="21">
        <f t="shared" ca="1" si="16"/>
        <v>18</v>
      </c>
      <c r="O52" s="21">
        <f t="shared" ca="1" si="16"/>
        <v>18</v>
      </c>
      <c r="P52" s="21">
        <f t="shared" ca="1" si="16"/>
        <v>18</v>
      </c>
      <c r="Q52" s="21">
        <f t="shared" ca="1" si="16"/>
        <v>18</v>
      </c>
      <c r="R52" s="21">
        <f t="shared" ca="1" si="16"/>
        <v>18</v>
      </c>
      <c r="S52" s="21">
        <f t="shared" ca="1" si="16"/>
        <v>24</v>
      </c>
      <c r="T52" s="21">
        <f t="shared" ca="1" si="16"/>
        <v>36</v>
      </c>
      <c r="U52" s="21">
        <f t="shared" ca="1" si="16"/>
        <v>42</v>
      </c>
      <c r="V52" s="21">
        <f t="shared" ca="1" si="16"/>
        <v>42</v>
      </c>
      <c r="W52" s="21">
        <f t="shared" ca="1" si="16"/>
        <v>42</v>
      </c>
      <c r="X52" s="21">
        <f t="shared" ca="1" si="16"/>
        <v>50</v>
      </c>
      <c r="Y52" s="21">
        <f t="shared" ca="1" si="16"/>
        <v>54</v>
      </c>
      <c r="Z52" s="21">
        <f t="shared" ca="1" si="16"/>
        <v>54</v>
      </c>
      <c r="AA52" s="21">
        <f t="shared" ca="1" si="16"/>
        <v>60</v>
      </c>
      <c r="AB52" s="21">
        <f t="shared" ca="1" si="16"/>
        <v>66</v>
      </c>
      <c r="AC52" s="21">
        <f t="shared" ca="1" si="16"/>
        <v>66</v>
      </c>
      <c r="AD52" s="21">
        <f t="shared" ca="1" si="16"/>
        <v>66</v>
      </c>
      <c r="AE52" s="21">
        <f t="shared" ca="1" si="16"/>
        <v>72</v>
      </c>
      <c r="AF52" s="21">
        <f t="shared" ca="1" si="16"/>
        <v>77</v>
      </c>
      <c r="AG52" s="21">
        <f t="shared" ca="1" si="16"/>
        <v>77</v>
      </c>
      <c r="AH52" s="21">
        <f t="shared" ca="1" si="16"/>
        <v>77</v>
      </c>
      <c r="AI52" s="21">
        <f t="shared" ca="1" si="16"/>
        <v>77</v>
      </c>
      <c r="AJ52" s="21">
        <f t="shared" ca="1" si="16"/>
        <v>77</v>
      </c>
      <c r="AK52" s="21">
        <f t="shared" ca="1" si="16"/>
        <v>77</v>
      </c>
      <c r="AL52" s="21">
        <f t="shared" ca="1" si="16"/>
        <v>79</v>
      </c>
      <c r="AM52" s="21">
        <f t="shared" ca="1" si="16"/>
        <v>83</v>
      </c>
      <c r="AN52" s="21">
        <f t="shared" ca="1" si="16"/>
        <v>85</v>
      </c>
      <c r="AO52" s="21">
        <f t="shared" ca="1" si="16"/>
        <v>87</v>
      </c>
      <c r="AP52" s="21">
        <f t="shared" ca="1" si="16"/>
        <v>89</v>
      </c>
      <c r="AQ52" s="21">
        <f t="shared" ca="1" si="16"/>
        <v>89</v>
      </c>
      <c r="AR52" s="21">
        <f t="shared" ca="1" si="16"/>
        <v>89</v>
      </c>
      <c r="AS52" s="21">
        <f t="shared" ca="1" si="16"/>
        <v>89</v>
      </c>
      <c r="AT52" s="21">
        <f t="shared" ca="1" si="16"/>
        <v>89</v>
      </c>
      <c r="AU52" s="21">
        <f t="shared" ca="1" si="16"/>
        <v>89</v>
      </c>
      <c r="AV52" s="21">
        <f t="shared" ca="1" si="16"/>
        <v>91</v>
      </c>
      <c r="AW52" s="21">
        <f t="shared" ca="1" si="16"/>
        <v>95</v>
      </c>
      <c r="AX52" s="21">
        <f t="shared" ca="1" si="16"/>
        <v>95</v>
      </c>
      <c r="AY52" s="21">
        <f t="shared" ca="1" si="16"/>
        <v>95</v>
      </c>
      <c r="AZ52" s="21">
        <f t="shared" ca="1" si="16"/>
        <v>95</v>
      </c>
      <c r="BA52" s="21">
        <f t="shared" ca="1" si="16"/>
        <v>97</v>
      </c>
      <c r="BB52" s="21">
        <f t="shared" ca="1" si="16"/>
        <v>102</v>
      </c>
      <c r="BC52" s="21">
        <f t="shared" ca="1" si="16"/>
        <v>107</v>
      </c>
      <c r="BD52" s="21">
        <f t="shared" ca="1" si="16"/>
        <v>107</v>
      </c>
      <c r="BE52" s="21">
        <f t="shared" ca="1" si="16"/>
        <v>107</v>
      </c>
      <c r="BF52" s="21">
        <f t="shared" ca="1" si="16"/>
        <v>107</v>
      </c>
      <c r="BG52" s="21">
        <f t="shared" ca="1" si="16"/>
        <v>107</v>
      </c>
      <c r="BH52" s="21">
        <f t="shared" ca="1" si="16"/>
        <v>110</v>
      </c>
      <c r="BI52" s="21">
        <f t="shared" ca="1" si="16"/>
        <v>115</v>
      </c>
      <c r="BJ52" s="21">
        <f t="shared" ca="1" si="16"/>
        <v>119</v>
      </c>
      <c r="BK52" s="21">
        <f t="shared" ca="1" si="16"/>
        <v>121</v>
      </c>
      <c r="BL52" s="21">
        <f t="shared" ca="1" si="16"/>
        <v>121</v>
      </c>
      <c r="BM52" s="21">
        <f t="shared" ca="1" si="16"/>
        <v>121</v>
      </c>
      <c r="BN52" s="21">
        <f t="shared" ca="1" si="16"/>
        <v>123</v>
      </c>
      <c r="BO52" s="21">
        <f t="shared" ca="1" si="16"/>
        <v>125</v>
      </c>
      <c r="BP52" s="21">
        <f t="shared" ca="1" si="16"/>
        <v>128</v>
      </c>
      <c r="BQ52" s="21">
        <f t="shared" ref="BQ52:CT52" ca="1" si="17">BP52+BQ51</f>
        <v>131</v>
      </c>
      <c r="BR52" s="21">
        <f t="shared" ca="1" si="17"/>
        <v>131</v>
      </c>
      <c r="BS52" s="21">
        <f t="shared" ca="1" si="17"/>
        <v>131</v>
      </c>
      <c r="BT52" s="21">
        <f t="shared" ca="1" si="17"/>
        <v>131</v>
      </c>
      <c r="BU52" s="21">
        <f t="shared" ca="1" si="17"/>
        <v>131</v>
      </c>
      <c r="BV52" s="21">
        <f t="shared" ca="1" si="17"/>
        <v>133</v>
      </c>
      <c r="BW52" s="21">
        <f t="shared" ca="1" si="17"/>
        <v>137</v>
      </c>
      <c r="BX52" s="21">
        <f t="shared" ca="1" si="17"/>
        <v>142</v>
      </c>
      <c r="BY52" s="21">
        <f t="shared" ca="1" si="17"/>
        <v>150</v>
      </c>
      <c r="BZ52" s="21">
        <f t="shared" ca="1" si="17"/>
        <v>150</v>
      </c>
      <c r="CA52" s="21">
        <f t="shared" ca="1" si="17"/>
        <v>150</v>
      </c>
      <c r="CB52" s="21">
        <f t="shared" ca="1" si="17"/>
        <v>155</v>
      </c>
      <c r="CC52" s="21">
        <f t="shared" ca="1" si="17"/>
        <v>158</v>
      </c>
      <c r="CD52" s="21">
        <f t="shared" ca="1" si="17"/>
        <v>161</v>
      </c>
      <c r="CE52" s="21">
        <f t="shared" ca="1" si="17"/>
        <v>161</v>
      </c>
      <c r="CF52" s="21">
        <f t="shared" ca="1" si="17"/>
        <v>163</v>
      </c>
      <c r="CG52" s="21">
        <f t="shared" ca="1" si="17"/>
        <v>163</v>
      </c>
      <c r="CH52" s="21">
        <f t="shared" ca="1" si="17"/>
        <v>163</v>
      </c>
      <c r="CI52" s="21">
        <f t="shared" ca="1" si="17"/>
        <v>167</v>
      </c>
      <c r="CJ52" s="21">
        <f t="shared" ca="1" si="17"/>
        <v>172</v>
      </c>
      <c r="CK52" s="21">
        <f t="shared" ca="1" si="17"/>
        <v>180</v>
      </c>
      <c r="CL52" s="21">
        <f t="shared" ca="1" si="17"/>
        <v>183</v>
      </c>
      <c r="CM52" s="21">
        <f t="shared" ca="1" si="17"/>
        <v>186</v>
      </c>
      <c r="CN52" s="21">
        <f t="shared" ca="1" si="17"/>
        <v>186</v>
      </c>
      <c r="CO52" s="21">
        <f t="shared" ca="1" si="17"/>
        <v>186</v>
      </c>
      <c r="CP52" s="21">
        <f t="shared" ca="1" si="17"/>
        <v>186</v>
      </c>
      <c r="CQ52" s="21">
        <f t="shared" ca="1" si="17"/>
        <v>186</v>
      </c>
      <c r="CR52" s="21">
        <f t="shared" ca="1" si="17"/>
        <v>186</v>
      </c>
      <c r="CS52" s="21">
        <f t="shared" ca="1" si="17"/>
        <v>186</v>
      </c>
      <c r="CT52" s="21">
        <f t="shared" ca="1" si="17"/>
        <v>186</v>
      </c>
    </row>
    <row r="53" spans="2:98">
      <c r="B53" s="20" t="s">
        <v>383</v>
      </c>
      <c r="C53" s="21">
        <f ca="1">COUNTIFS(INDIRECT("'" &amp; $B$20 &amp; "'!$U:$U"),"&gt;=" &amp; C$22,INDIRECT("'" &amp; $B$20 &amp; "'!$U:$U"), "&lt;" &amp; D$22)</f>
        <v>0</v>
      </c>
      <c r="D53" s="21">
        <f t="shared" ref="D53:BO53" ca="1" si="18">COUNTIFS(INDIRECT("'" &amp; $B$20 &amp; "'!$U:$U"),"&gt;=" &amp; D$22,INDIRECT("'" &amp; $B$20 &amp; "'!$U:$U"), "&lt;" &amp; E$22)</f>
        <v>0</v>
      </c>
      <c r="E53" s="21">
        <f t="shared" ca="1" si="18"/>
        <v>5</v>
      </c>
      <c r="F53" s="21">
        <f t="shared" ca="1" si="18"/>
        <v>0</v>
      </c>
      <c r="G53" s="21">
        <f t="shared" ca="1" si="18"/>
        <v>2</v>
      </c>
      <c r="H53" s="21">
        <f t="shared" ca="1" si="18"/>
        <v>0</v>
      </c>
      <c r="I53" s="21">
        <f t="shared" ca="1" si="18"/>
        <v>0</v>
      </c>
      <c r="J53" s="21">
        <f t="shared" ca="1" si="18"/>
        <v>2</v>
      </c>
      <c r="K53" s="21">
        <f t="shared" ca="1" si="18"/>
        <v>7</v>
      </c>
      <c r="L53" s="21">
        <f t="shared" ca="1" si="18"/>
        <v>1</v>
      </c>
      <c r="M53" s="21">
        <f t="shared" ca="1" si="18"/>
        <v>0</v>
      </c>
      <c r="N53" s="21">
        <f t="shared" ca="1" si="18"/>
        <v>0</v>
      </c>
      <c r="O53" s="21">
        <f t="shared" ca="1" si="18"/>
        <v>0</v>
      </c>
      <c r="P53" s="21">
        <f t="shared" ca="1" si="18"/>
        <v>0</v>
      </c>
      <c r="Q53" s="21">
        <f t="shared" ca="1" si="18"/>
        <v>0</v>
      </c>
      <c r="R53" s="21">
        <f t="shared" ca="1" si="18"/>
        <v>0</v>
      </c>
      <c r="S53" s="21">
        <f t="shared" ca="1" si="18"/>
        <v>0</v>
      </c>
      <c r="T53" s="21">
        <f t="shared" ca="1" si="18"/>
        <v>0</v>
      </c>
      <c r="U53" s="21">
        <f t="shared" ca="1" si="18"/>
        <v>0</v>
      </c>
      <c r="V53" s="21">
        <f t="shared" ca="1" si="18"/>
        <v>0</v>
      </c>
      <c r="W53" s="21">
        <f t="shared" ca="1" si="18"/>
        <v>0</v>
      </c>
      <c r="X53" s="21">
        <f t="shared" ca="1" si="18"/>
        <v>0</v>
      </c>
      <c r="Y53" s="21">
        <f t="shared" ca="1" si="18"/>
        <v>0</v>
      </c>
      <c r="Z53" s="21">
        <f t="shared" ca="1" si="18"/>
        <v>0</v>
      </c>
      <c r="AA53" s="21">
        <f t="shared" ca="1" si="18"/>
        <v>0</v>
      </c>
      <c r="AB53" s="21">
        <f t="shared" ca="1" si="18"/>
        <v>0</v>
      </c>
      <c r="AC53" s="21">
        <f t="shared" ca="1" si="18"/>
        <v>0</v>
      </c>
      <c r="AD53" s="21">
        <f t="shared" ca="1" si="18"/>
        <v>0</v>
      </c>
      <c r="AE53" s="21">
        <f t="shared" ca="1" si="18"/>
        <v>0</v>
      </c>
      <c r="AF53" s="21">
        <f t="shared" ca="1" si="18"/>
        <v>0</v>
      </c>
      <c r="AG53" s="21">
        <f t="shared" ca="1" si="18"/>
        <v>0</v>
      </c>
      <c r="AH53" s="21">
        <f t="shared" ca="1" si="18"/>
        <v>0</v>
      </c>
      <c r="AI53" s="21">
        <f t="shared" ca="1" si="18"/>
        <v>0</v>
      </c>
      <c r="AJ53" s="21">
        <f t="shared" ca="1" si="18"/>
        <v>0</v>
      </c>
      <c r="AK53" s="21">
        <f t="shared" ca="1" si="18"/>
        <v>0</v>
      </c>
      <c r="AL53" s="21">
        <f t="shared" ca="1" si="18"/>
        <v>0</v>
      </c>
      <c r="AM53" s="21">
        <f t="shared" ca="1" si="18"/>
        <v>0</v>
      </c>
      <c r="AN53" s="21">
        <f t="shared" ca="1" si="18"/>
        <v>0</v>
      </c>
      <c r="AO53" s="21">
        <f t="shared" ca="1" si="18"/>
        <v>0</v>
      </c>
      <c r="AP53" s="21">
        <f t="shared" ca="1" si="18"/>
        <v>0</v>
      </c>
      <c r="AQ53" s="21">
        <f t="shared" ca="1" si="18"/>
        <v>0</v>
      </c>
      <c r="AR53" s="21">
        <f t="shared" ca="1" si="18"/>
        <v>0</v>
      </c>
      <c r="AS53" s="21">
        <f t="shared" ca="1" si="18"/>
        <v>0</v>
      </c>
      <c r="AT53" s="21">
        <f t="shared" ca="1" si="18"/>
        <v>0</v>
      </c>
      <c r="AU53" s="21">
        <f t="shared" ca="1" si="18"/>
        <v>0</v>
      </c>
      <c r="AV53" s="21">
        <f t="shared" ca="1" si="18"/>
        <v>0</v>
      </c>
      <c r="AW53" s="21">
        <f t="shared" ca="1" si="18"/>
        <v>0</v>
      </c>
      <c r="AX53" s="21">
        <f t="shared" ca="1" si="18"/>
        <v>0</v>
      </c>
      <c r="AY53" s="21">
        <f t="shared" ca="1" si="18"/>
        <v>0</v>
      </c>
      <c r="AZ53" s="21">
        <f t="shared" ca="1" si="18"/>
        <v>0</v>
      </c>
      <c r="BA53" s="21">
        <f t="shared" ca="1" si="18"/>
        <v>0</v>
      </c>
      <c r="BB53" s="21">
        <f t="shared" ca="1" si="18"/>
        <v>0</v>
      </c>
      <c r="BC53" s="21">
        <f t="shared" ca="1" si="18"/>
        <v>0</v>
      </c>
      <c r="BD53" s="21">
        <f t="shared" ca="1" si="18"/>
        <v>0</v>
      </c>
      <c r="BE53" s="21">
        <f t="shared" ca="1" si="18"/>
        <v>0</v>
      </c>
      <c r="BF53" s="21">
        <f t="shared" ca="1" si="18"/>
        <v>0</v>
      </c>
      <c r="BG53" s="21">
        <f t="shared" ca="1" si="18"/>
        <v>0</v>
      </c>
      <c r="BH53" s="21">
        <f t="shared" ca="1" si="18"/>
        <v>0</v>
      </c>
      <c r="BI53" s="21">
        <f t="shared" ca="1" si="18"/>
        <v>0</v>
      </c>
      <c r="BJ53" s="21">
        <f t="shared" ca="1" si="18"/>
        <v>0</v>
      </c>
      <c r="BK53" s="21">
        <f t="shared" ca="1" si="18"/>
        <v>0</v>
      </c>
      <c r="BL53" s="21">
        <f t="shared" ca="1" si="18"/>
        <v>0</v>
      </c>
      <c r="BM53" s="21">
        <f t="shared" ca="1" si="18"/>
        <v>0</v>
      </c>
      <c r="BN53" s="21">
        <f t="shared" ca="1" si="18"/>
        <v>0</v>
      </c>
      <c r="BO53" s="21">
        <f t="shared" ca="1" si="18"/>
        <v>0</v>
      </c>
      <c r="BP53" s="21">
        <f t="shared" ref="BP53:CT53" ca="1" si="19">COUNTIFS(INDIRECT("'" &amp; $B$20 &amp; "'!$U:$U"),"&gt;=" &amp; BP$22,INDIRECT("'" &amp; $B$20 &amp; "'!$U:$U"), "&lt;" &amp; BQ$22)</f>
        <v>0</v>
      </c>
      <c r="BQ53" s="21">
        <f t="shared" ca="1" si="19"/>
        <v>0</v>
      </c>
      <c r="BR53" s="21">
        <f t="shared" ca="1" si="19"/>
        <v>0</v>
      </c>
      <c r="BS53" s="21">
        <f t="shared" ca="1" si="19"/>
        <v>0</v>
      </c>
      <c r="BT53" s="21">
        <f t="shared" ca="1" si="19"/>
        <v>0</v>
      </c>
      <c r="BU53" s="21">
        <f t="shared" ca="1" si="19"/>
        <v>0</v>
      </c>
      <c r="BV53" s="21">
        <f t="shared" ca="1" si="19"/>
        <v>0</v>
      </c>
      <c r="BW53" s="21">
        <f t="shared" ca="1" si="19"/>
        <v>0</v>
      </c>
      <c r="BX53" s="21">
        <f t="shared" ca="1" si="19"/>
        <v>0</v>
      </c>
      <c r="BY53" s="21">
        <f t="shared" ca="1" si="19"/>
        <v>0</v>
      </c>
      <c r="BZ53" s="21">
        <f t="shared" ca="1" si="19"/>
        <v>0</v>
      </c>
      <c r="CA53" s="21">
        <f t="shared" ca="1" si="19"/>
        <v>0</v>
      </c>
      <c r="CB53" s="21">
        <f t="shared" ca="1" si="19"/>
        <v>0</v>
      </c>
      <c r="CC53" s="21">
        <f t="shared" ca="1" si="19"/>
        <v>0</v>
      </c>
      <c r="CD53" s="21">
        <f t="shared" ca="1" si="19"/>
        <v>0</v>
      </c>
      <c r="CE53" s="21">
        <f t="shared" ca="1" si="19"/>
        <v>0</v>
      </c>
      <c r="CF53" s="21">
        <f t="shared" ca="1" si="19"/>
        <v>0</v>
      </c>
      <c r="CG53" s="21">
        <f t="shared" ca="1" si="19"/>
        <v>0</v>
      </c>
      <c r="CH53" s="21">
        <f t="shared" ca="1" si="19"/>
        <v>0</v>
      </c>
      <c r="CI53" s="21">
        <f t="shared" ca="1" si="19"/>
        <v>0</v>
      </c>
      <c r="CJ53" s="21">
        <f t="shared" ca="1" si="19"/>
        <v>0</v>
      </c>
      <c r="CK53" s="21">
        <f t="shared" ca="1" si="19"/>
        <v>0</v>
      </c>
      <c r="CL53" s="21">
        <f t="shared" ca="1" si="19"/>
        <v>0</v>
      </c>
      <c r="CM53" s="21">
        <f t="shared" ca="1" si="19"/>
        <v>0</v>
      </c>
      <c r="CN53" s="21">
        <f t="shared" ca="1" si="19"/>
        <v>0</v>
      </c>
      <c r="CO53" s="21">
        <f t="shared" ca="1" si="19"/>
        <v>0</v>
      </c>
      <c r="CP53" s="21">
        <f t="shared" ca="1" si="19"/>
        <v>0</v>
      </c>
      <c r="CQ53" s="21">
        <f t="shared" ca="1" si="19"/>
        <v>0</v>
      </c>
      <c r="CR53" s="21">
        <f t="shared" ca="1" si="19"/>
        <v>0</v>
      </c>
      <c r="CS53" s="21">
        <f t="shared" ca="1" si="19"/>
        <v>0</v>
      </c>
      <c r="CT53" s="21">
        <f t="shared" ca="1" si="19"/>
        <v>0</v>
      </c>
    </row>
    <row r="54" spans="2:98">
      <c r="B54" s="20" t="s">
        <v>23</v>
      </c>
      <c r="C54" s="21">
        <f ca="1">C53</f>
        <v>0</v>
      </c>
      <c r="D54" s="21">
        <f ca="1">C54+D53</f>
        <v>0</v>
      </c>
      <c r="E54" s="21">
        <f t="shared" ref="E54:BP54" ca="1" si="20">D54+E53</f>
        <v>5</v>
      </c>
      <c r="F54" s="21">
        <f t="shared" ca="1" si="20"/>
        <v>5</v>
      </c>
      <c r="G54" s="21">
        <f t="shared" ca="1" si="20"/>
        <v>7</v>
      </c>
      <c r="H54" s="21">
        <f t="shared" ca="1" si="20"/>
        <v>7</v>
      </c>
      <c r="I54" s="21">
        <f t="shared" ca="1" si="20"/>
        <v>7</v>
      </c>
      <c r="J54" s="21">
        <f t="shared" ca="1" si="20"/>
        <v>9</v>
      </c>
      <c r="K54" s="21">
        <f t="shared" ca="1" si="20"/>
        <v>16</v>
      </c>
      <c r="L54" s="21">
        <f t="shared" ca="1" si="20"/>
        <v>17</v>
      </c>
      <c r="M54" s="21">
        <f t="shared" ca="1" si="20"/>
        <v>17</v>
      </c>
      <c r="N54" s="21">
        <f t="shared" ca="1" si="20"/>
        <v>17</v>
      </c>
      <c r="O54" s="21">
        <f t="shared" ca="1" si="20"/>
        <v>17</v>
      </c>
      <c r="P54" s="21">
        <f t="shared" ca="1" si="20"/>
        <v>17</v>
      </c>
      <c r="Q54" s="21">
        <f t="shared" ca="1" si="20"/>
        <v>17</v>
      </c>
      <c r="R54" s="21">
        <f t="shared" ca="1" si="20"/>
        <v>17</v>
      </c>
      <c r="S54" s="21">
        <f t="shared" ca="1" si="20"/>
        <v>17</v>
      </c>
      <c r="T54" s="21">
        <f t="shared" ca="1" si="20"/>
        <v>17</v>
      </c>
      <c r="U54" s="21">
        <f t="shared" ca="1" si="20"/>
        <v>17</v>
      </c>
      <c r="V54" s="21">
        <f t="shared" ca="1" si="20"/>
        <v>17</v>
      </c>
      <c r="W54" s="21">
        <f t="shared" ca="1" si="20"/>
        <v>17</v>
      </c>
      <c r="X54" s="21">
        <f t="shared" ca="1" si="20"/>
        <v>17</v>
      </c>
      <c r="Y54" s="21">
        <f t="shared" ca="1" si="20"/>
        <v>17</v>
      </c>
      <c r="Z54" s="21">
        <f t="shared" ca="1" si="20"/>
        <v>17</v>
      </c>
      <c r="AA54" s="21">
        <f t="shared" ca="1" si="20"/>
        <v>17</v>
      </c>
      <c r="AB54" s="21">
        <f t="shared" ca="1" si="20"/>
        <v>17</v>
      </c>
      <c r="AC54" s="21">
        <f t="shared" ca="1" si="20"/>
        <v>17</v>
      </c>
      <c r="AD54" s="21">
        <f t="shared" ca="1" si="20"/>
        <v>17</v>
      </c>
      <c r="AE54" s="21">
        <f t="shared" ca="1" si="20"/>
        <v>17</v>
      </c>
      <c r="AF54" s="21">
        <f t="shared" ca="1" si="20"/>
        <v>17</v>
      </c>
      <c r="AG54" s="21">
        <f t="shared" ca="1" si="20"/>
        <v>17</v>
      </c>
      <c r="AH54" s="21">
        <f t="shared" ca="1" si="20"/>
        <v>17</v>
      </c>
      <c r="AI54" s="21">
        <f t="shared" ca="1" si="20"/>
        <v>17</v>
      </c>
      <c r="AJ54" s="21">
        <f t="shared" ca="1" si="20"/>
        <v>17</v>
      </c>
      <c r="AK54" s="21">
        <f t="shared" ca="1" si="20"/>
        <v>17</v>
      </c>
      <c r="AL54" s="21">
        <f t="shared" ca="1" si="20"/>
        <v>17</v>
      </c>
      <c r="AM54" s="21">
        <f t="shared" ca="1" si="20"/>
        <v>17</v>
      </c>
      <c r="AN54" s="21">
        <f t="shared" ca="1" si="20"/>
        <v>17</v>
      </c>
      <c r="AO54" s="21">
        <f t="shared" ca="1" si="20"/>
        <v>17</v>
      </c>
      <c r="AP54" s="21">
        <f t="shared" ca="1" si="20"/>
        <v>17</v>
      </c>
      <c r="AQ54" s="21">
        <f t="shared" ca="1" si="20"/>
        <v>17</v>
      </c>
      <c r="AR54" s="21">
        <f t="shared" ca="1" si="20"/>
        <v>17</v>
      </c>
      <c r="AS54" s="21">
        <f t="shared" ca="1" si="20"/>
        <v>17</v>
      </c>
      <c r="AT54" s="21">
        <f t="shared" ca="1" si="20"/>
        <v>17</v>
      </c>
      <c r="AU54" s="21">
        <f t="shared" ca="1" si="20"/>
        <v>17</v>
      </c>
      <c r="AV54" s="21">
        <f t="shared" ca="1" si="20"/>
        <v>17</v>
      </c>
      <c r="AW54" s="21">
        <f t="shared" ca="1" si="20"/>
        <v>17</v>
      </c>
      <c r="AX54" s="21">
        <f t="shared" ca="1" si="20"/>
        <v>17</v>
      </c>
      <c r="AY54" s="21">
        <f t="shared" ca="1" si="20"/>
        <v>17</v>
      </c>
      <c r="AZ54" s="21">
        <f t="shared" ca="1" si="20"/>
        <v>17</v>
      </c>
      <c r="BA54" s="21">
        <f t="shared" ca="1" si="20"/>
        <v>17</v>
      </c>
      <c r="BB54" s="21">
        <f t="shared" ca="1" si="20"/>
        <v>17</v>
      </c>
      <c r="BC54" s="21">
        <f t="shared" ca="1" si="20"/>
        <v>17</v>
      </c>
      <c r="BD54" s="21">
        <f t="shared" ca="1" si="20"/>
        <v>17</v>
      </c>
      <c r="BE54" s="21">
        <f t="shared" ca="1" si="20"/>
        <v>17</v>
      </c>
      <c r="BF54" s="21">
        <f t="shared" ca="1" si="20"/>
        <v>17</v>
      </c>
      <c r="BG54" s="21">
        <f t="shared" ca="1" si="20"/>
        <v>17</v>
      </c>
      <c r="BH54" s="21">
        <f t="shared" ca="1" si="20"/>
        <v>17</v>
      </c>
      <c r="BI54" s="21">
        <f t="shared" ca="1" si="20"/>
        <v>17</v>
      </c>
      <c r="BJ54" s="21">
        <f t="shared" ca="1" si="20"/>
        <v>17</v>
      </c>
      <c r="BK54" s="21">
        <f t="shared" ca="1" si="20"/>
        <v>17</v>
      </c>
      <c r="BL54" s="21">
        <f t="shared" ca="1" si="20"/>
        <v>17</v>
      </c>
      <c r="BM54" s="21">
        <f t="shared" ca="1" si="20"/>
        <v>17</v>
      </c>
      <c r="BN54" s="21">
        <f t="shared" ca="1" si="20"/>
        <v>17</v>
      </c>
      <c r="BO54" s="21">
        <f t="shared" ca="1" si="20"/>
        <v>17</v>
      </c>
      <c r="BP54" s="21">
        <f t="shared" ca="1" si="20"/>
        <v>17</v>
      </c>
      <c r="BQ54" s="21">
        <f t="shared" ref="BQ54:CT54" ca="1" si="21">BP54+BQ53</f>
        <v>17</v>
      </c>
      <c r="BR54" s="21">
        <f t="shared" ca="1" si="21"/>
        <v>17</v>
      </c>
      <c r="BS54" s="21">
        <f t="shared" ca="1" si="21"/>
        <v>17</v>
      </c>
      <c r="BT54" s="21">
        <f t="shared" ca="1" si="21"/>
        <v>17</v>
      </c>
      <c r="BU54" s="21">
        <f t="shared" ca="1" si="21"/>
        <v>17</v>
      </c>
      <c r="BV54" s="21">
        <f t="shared" ca="1" si="21"/>
        <v>17</v>
      </c>
      <c r="BW54" s="21">
        <f t="shared" ca="1" si="21"/>
        <v>17</v>
      </c>
      <c r="BX54" s="21">
        <f t="shared" ca="1" si="21"/>
        <v>17</v>
      </c>
      <c r="BY54" s="21">
        <f t="shared" ca="1" si="21"/>
        <v>17</v>
      </c>
      <c r="BZ54" s="21">
        <f t="shared" ca="1" si="21"/>
        <v>17</v>
      </c>
      <c r="CA54" s="21">
        <f t="shared" ca="1" si="21"/>
        <v>17</v>
      </c>
      <c r="CB54" s="21">
        <f t="shared" ca="1" si="21"/>
        <v>17</v>
      </c>
      <c r="CC54" s="21">
        <f t="shared" ca="1" si="21"/>
        <v>17</v>
      </c>
      <c r="CD54" s="21">
        <f t="shared" ca="1" si="21"/>
        <v>17</v>
      </c>
      <c r="CE54" s="21">
        <f t="shared" ca="1" si="21"/>
        <v>17</v>
      </c>
      <c r="CF54" s="21">
        <f t="shared" ca="1" si="21"/>
        <v>17</v>
      </c>
      <c r="CG54" s="21">
        <f t="shared" ca="1" si="21"/>
        <v>17</v>
      </c>
      <c r="CH54" s="21">
        <f t="shared" ca="1" si="21"/>
        <v>17</v>
      </c>
      <c r="CI54" s="21">
        <f t="shared" ca="1" si="21"/>
        <v>17</v>
      </c>
      <c r="CJ54" s="21">
        <f t="shared" ca="1" si="21"/>
        <v>17</v>
      </c>
      <c r="CK54" s="21">
        <f t="shared" ca="1" si="21"/>
        <v>17</v>
      </c>
      <c r="CL54" s="21">
        <f t="shared" ca="1" si="21"/>
        <v>17</v>
      </c>
      <c r="CM54" s="21">
        <f t="shared" ca="1" si="21"/>
        <v>17</v>
      </c>
      <c r="CN54" s="21">
        <f t="shared" ca="1" si="21"/>
        <v>17</v>
      </c>
      <c r="CO54" s="21">
        <f t="shared" ca="1" si="21"/>
        <v>17</v>
      </c>
      <c r="CP54" s="21">
        <f t="shared" ca="1" si="21"/>
        <v>17</v>
      </c>
      <c r="CQ54" s="21">
        <f t="shared" ca="1" si="21"/>
        <v>17</v>
      </c>
      <c r="CR54" s="21">
        <f t="shared" ca="1" si="21"/>
        <v>17</v>
      </c>
      <c r="CS54" s="21">
        <f t="shared" ca="1" si="21"/>
        <v>17</v>
      </c>
      <c r="CT54" s="21">
        <f t="shared" ca="1" si="21"/>
        <v>17</v>
      </c>
    </row>
    <row r="55" spans="2:98">
      <c r="B55" s="20" t="s">
        <v>24</v>
      </c>
      <c r="C55" s="21">
        <f ca="1">C54-C52</f>
        <v>0</v>
      </c>
      <c r="D55" s="21">
        <f t="shared" ref="D55:BO55" ca="1" si="22">D54-D52</f>
        <v>0</v>
      </c>
      <c r="E55" s="21">
        <f t="shared" ca="1" si="22"/>
        <v>-1</v>
      </c>
      <c r="F55" s="21">
        <f t="shared" ca="1" si="22"/>
        <v>-1</v>
      </c>
      <c r="G55" s="21">
        <f t="shared" ca="1" si="22"/>
        <v>1</v>
      </c>
      <c r="H55" s="21">
        <f t="shared" ca="1" si="22"/>
        <v>1</v>
      </c>
      <c r="I55" s="21">
        <f t="shared" ca="1" si="22"/>
        <v>1</v>
      </c>
      <c r="J55" s="21">
        <f t="shared" ca="1" si="22"/>
        <v>3</v>
      </c>
      <c r="K55" s="21">
        <f t="shared" ca="1" si="22"/>
        <v>4</v>
      </c>
      <c r="L55" s="21">
        <f t="shared" ca="1" si="22"/>
        <v>-1</v>
      </c>
      <c r="M55" s="21">
        <f t="shared" ca="1" si="22"/>
        <v>-1</v>
      </c>
      <c r="N55" s="21">
        <f t="shared" ca="1" si="22"/>
        <v>-1</v>
      </c>
      <c r="O55" s="21">
        <f t="shared" ca="1" si="22"/>
        <v>-1</v>
      </c>
      <c r="P55" s="21">
        <f t="shared" ca="1" si="22"/>
        <v>-1</v>
      </c>
      <c r="Q55" s="21">
        <f t="shared" ca="1" si="22"/>
        <v>-1</v>
      </c>
      <c r="R55" s="21">
        <f t="shared" ca="1" si="22"/>
        <v>-1</v>
      </c>
      <c r="S55" s="21">
        <f t="shared" ca="1" si="22"/>
        <v>-7</v>
      </c>
      <c r="T55" s="21">
        <f t="shared" ca="1" si="22"/>
        <v>-19</v>
      </c>
      <c r="U55" s="21">
        <f t="shared" ca="1" si="22"/>
        <v>-25</v>
      </c>
      <c r="V55" s="21">
        <f t="shared" ca="1" si="22"/>
        <v>-25</v>
      </c>
      <c r="W55" s="21">
        <f t="shared" ca="1" si="22"/>
        <v>-25</v>
      </c>
      <c r="X55" s="21">
        <f t="shared" ca="1" si="22"/>
        <v>-33</v>
      </c>
      <c r="Y55" s="21">
        <f t="shared" ca="1" si="22"/>
        <v>-37</v>
      </c>
      <c r="Z55" s="21">
        <f t="shared" ca="1" si="22"/>
        <v>-37</v>
      </c>
      <c r="AA55" s="21">
        <f t="shared" ca="1" si="22"/>
        <v>-43</v>
      </c>
      <c r="AB55" s="21">
        <f t="shared" ca="1" si="22"/>
        <v>-49</v>
      </c>
      <c r="AC55" s="21">
        <f t="shared" ca="1" si="22"/>
        <v>-49</v>
      </c>
      <c r="AD55" s="21">
        <f t="shared" ca="1" si="22"/>
        <v>-49</v>
      </c>
      <c r="AE55" s="21">
        <f t="shared" ca="1" si="22"/>
        <v>-55</v>
      </c>
      <c r="AF55" s="21">
        <f t="shared" ca="1" si="22"/>
        <v>-60</v>
      </c>
      <c r="AG55" s="21">
        <f t="shared" ca="1" si="22"/>
        <v>-60</v>
      </c>
      <c r="AH55" s="21">
        <f t="shared" ca="1" si="22"/>
        <v>-60</v>
      </c>
      <c r="AI55" s="21">
        <f t="shared" ca="1" si="22"/>
        <v>-60</v>
      </c>
      <c r="AJ55" s="21">
        <f t="shared" ca="1" si="22"/>
        <v>-60</v>
      </c>
      <c r="AK55" s="21">
        <f t="shared" ca="1" si="22"/>
        <v>-60</v>
      </c>
      <c r="AL55" s="21">
        <f t="shared" ca="1" si="22"/>
        <v>-62</v>
      </c>
      <c r="AM55" s="21">
        <f t="shared" ca="1" si="22"/>
        <v>-66</v>
      </c>
      <c r="AN55" s="21">
        <f t="shared" ca="1" si="22"/>
        <v>-68</v>
      </c>
      <c r="AO55" s="21">
        <f t="shared" ca="1" si="22"/>
        <v>-70</v>
      </c>
      <c r="AP55" s="21">
        <f t="shared" ca="1" si="22"/>
        <v>-72</v>
      </c>
      <c r="AQ55" s="21">
        <f t="shared" ca="1" si="22"/>
        <v>-72</v>
      </c>
      <c r="AR55" s="21">
        <f t="shared" ca="1" si="22"/>
        <v>-72</v>
      </c>
      <c r="AS55" s="21">
        <f t="shared" ca="1" si="22"/>
        <v>-72</v>
      </c>
      <c r="AT55" s="21">
        <f t="shared" ca="1" si="22"/>
        <v>-72</v>
      </c>
      <c r="AU55" s="21">
        <f t="shared" ca="1" si="22"/>
        <v>-72</v>
      </c>
      <c r="AV55" s="21">
        <f t="shared" ca="1" si="22"/>
        <v>-74</v>
      </c>
      <c r="AW55" s="21">
        <f t="shared" ca="1" si="22"/>
        <v>-78</v>
      </c>
      <c r="AX55" s="21">
        <f t="shared" ca="1" si="22"/>
        <v>-78</v>
      </c>
      <c r="AY55" s="21">
        <f t="shared" ca="1" si="22"/>
        <v>-78</v>
      </c>
      <c r="AZ55" s="21">
        <f t="shared" ca="1" si="22"/>
        <v>-78</v>
      </c>
      <c r="BA55" s="21">
        <f t="shared" ca="1" si="22"/>
        <v>-80</v>
      </c>
      <c r="BB55" s="21">
        <f t="shared" ca="1" si="22"/>
        <v>-85</v>
      </c>
      <c r="BC55" s="21">
        <f t="shared" ca="1" si="22"/>
        <v>-90</v>
      </c>
      <c r="BD55" s="21">
        <f t="shared" ca="1" si="22"/>
        <v>-90</v>
      </c>
      <c r="BE55" s="21">
        <f t="shared" ca="1" si="22"/>
        <v>-90</v>
      </c>
      <c r="BF55" s="21">
        <f t="shared" ca="1" si="22"/>
        <v>-90</v>
      </c>
      <c r="BG55" s="21">
        <f t="shared" ca="1" si="22"/>
        <v>-90</v>
      </c>
      <c r="BH55" s="21">
        <f t="shared" ca="1" si="22"/>
        <v>-93</v>
      </c>
      <c r="BI55" s="21">
        <f t="shared" ca="1" si="22"/>
        <v>-98</v>
      </c>
      <c r="BJ55" s="21">
        <f t="shared" ca="1" si="22"/>
        <v>-102</v>
      </c>
      <c r="BK55" s="21">
        <f t="shared" ca="1" si="22"/>
        <v>-104</v>
      </c>
      <c r="BL55" s="21">
        <f t="shared" ca="1" si="22"/>
        <v>-104</v>
      </c>
      <c r="BM55" s="21">
        <f t="shared" ca="1" si="22"/>
        <v>-104</v>
      </c>
      <c r="BN55" s="21">
        <f t="shared" ca="1" si="22"/>
        <v>-106</v>
      </c>
      <c r="BO55" s="21">
        <f t="shared" ca="1" si="22"/>
        <v>-108</v>
      </c>
      <c r="BP55" s="21">
        <f t="shared" ref="BP55:CT55" ca="1" si="23">BP54-BP52</f>
        <v>-111</v>
      </c>
      <c r="BQ55" s="21">
        <f t="shared" ca="1" si="23"/>
        <v>-114</v>
      </c>
      <c r="BR55" s="21">
        <f t="shared" ca="1" si="23"/>
        <v>-114</v>
      </c>
      <c r="BS55" s="21">
        <f t="shared" ca="1" si="23"/>
        <v>-114</v>
      </c>
      <c r="BT55" s="21">
        <f t="shared" ca="1" si="23"/>
        <v>-114</v>
      </c>
      <c r="BU55" s="21">
        <f t="shared" ca="1" si="23"/>
        <v>-114</v>
      </c>
      <c r="BV55" s="21">
        <f t="shared" ca="1" si="23"/>
        <v>-116</v>
      </c>
      <c r="BW55" s="21">
        <f t="shared" ca="1" si="23"/>
        <v>-120</v>
      </c>
      <c r="BX55" s="21">
        <f t="shared" ca="1" si="23"/>
        <v>-125</v>
      </c>
      <c r="BY55" s="21">
        <f t="shared" ca="1" si="23"/>
        <v>-133</v>
      </c>
      <c r="BZ55" s="21">
        <f t="shared" ca="1" si="23"/>
        <v>-133</v>
      </c>
      <c r="CA55" s="21">
        <f t="shared" ca="1" si="23"/>
        <v>-133</v>
      </c>
      <c r="CB55" s="21">
        <f t="shared" ca="1" si="23"/>
        <v>-138</v>
      </c>
      <c r="CC55" s="21">
        <f t="shared" ca="1" si="23"/>
        <v>-141</v>
      </c>
      <c r="CD55" s="21">
        <f t="shared" ca="1" si="23"/>
        <v>-144</v>
      </c>
      <c r="CE55" s="21">
        <f t="shared" ca="1" si="23"/>
        <v>-144</v>
      </c>
      <c r="CF55" s="21">
        <f t="shared" ca="1" si="23"/>
        <v>-146</v>
      </c>
      <c r="CG55" s="21">
        <f t="shared" ca="1" si="23"/>
        <v>-146</v>
      </c>
      <c r="CH55" s="21">
        <f t="shared" ca="1" si="23"/>
        <v>-146</v>
      </c>
      <c r="CI55" s="21">
        <f t="shared" ca="1" si="23"/>
        <v>-150</v>
      </c>
      <c r="CJ55" s="21">
        <f t="shared" ca="1" si="23"/>
        <v>-155</v>
      </c>
      <c r="CK55" s="21">
        <f t="shared" ca="1" si="23"/>
        <v>-163</v>
      </c>
      <c r="CL55" s="21">
        <f t="shared" ca="1" si="23"/>
        <v>-166</v>
      </c>
      <c r="CM55" s="21">
        <f t="shared" ca="1" si="23"/>
        <v>-169</v>
      </c>
      <c r="CN55" s="21">
        <f t="shared" ca="1" si="23"/>
        <v>-169</v>
      </c>
      <c r="CO55" s="21">
        <f t="shared" ca="1" si="23"/>
        <v>-169</v>
      </c>
      <c r="CP55" s="21">
        <f t="shared" ca="1" si="23"/>
        <v>-169</v>
      </c>
      <c r="CQ55" s="21">
        <f t="shared" ca="1" si="23"/>
        <v>-169</v>
      </c>
      <c r="CR55" s="21">
        <f t="shared" ca="1" si="23"/>
        <v>-169</v>
      </c>
      <c r="CS55" s="21">
        <f t="shared" ca="1" si="23"/>
        <v>-169</v>
      </c>
      <c r="CT55" s="21">
        <f t="shared" ca="1" si="23"/>
        <v>-169</v>
      </c>
    </row>
  </sheetData>
  <phoneticPr fontId="1"/>
  <conditionalFormatting sqref="L22:L27">
    <cfRule type="expression" dxfId="20" priority="4">
      <formula>L$22=TODAY()</formula>
    </cfRule>
  </conditionalFormatting>
  <conditionalFormatting sqref="C22:CT27">
    <cfRule type="expression" dxfId="19" priority="3">
      <formula>C$22=Report_Day</formula>
    </cfRule>
  </conditionalFormatting>
  <conditionalFormatting sqref="L50:L55">
    <cfRule type="expression" dxfId="18" priority="2">
      <formula>L$22=TODAY()</formula>
    </cfRule>
  </conditionalFormatting>
  <conditionalFormatting sqref="C50:CT55">
    <cfRule type="expression" dxfId="17" priority="1">
      <formula>C$22=Report_Day</formula>
    </cfRule>
  </conditionalFormatting>
  <dataValidations count="1">
    <dataValidation type="list" allowBlank="1" showInputMessage="1" showErrorMessage="1" sqref="C18 C46" xr:uid="{571DCAA4-FCDD-4166-AD30-3E6E7897779D}">
      <formula1>"1,7,30"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landscape" r:id="rId1"/>
  <headerFooter>
    <oddHeader>&amp;L&amp;"Microsoft YaHei,標準"&amp;F&amp;C&amp;"Microsoft YaHei,標準"&amp;A&amp;R&amp;"Meiryo UI,標準"&amp;D</oddHeader>
    <oddFooter>&amp;C&amp;"Meiryo UI,標準"&amp;P/&amp;N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D2113683-BC6F-4E47-AEDB-29C03EE4D06E}">
          <x14:formula1>
            <xm:f>'Sub-System'!$A:$A</xm:f>
          </x14:formula1>
          <xm:sqref>B48 B20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0E4F5-1ED5-41C1-B08B-F5CDE86FECF0}">
  <sheetPr codeName="Sheet20">
    <pageSetUpPr fitToPage="1"/>
  </sheetPr>
  <dimension ref="B2:CT55"/>
  <sheetViews>
    <sheetView zoomScale="55" zoomScaleNormal="55" workbookViewId="0">
      <selection activeCell="C18" sqref="C18"/>
    </sheetView>
  </sheetViews>
  <sheetFormatPr defaultColWidth="6.85546875" defaultRowHeight="15"/>
  <cols>
    <col min="1" max="1" width="1.35546875" style="14" customWidth="1"/>
    <col min="2" max="2" width="16.42578125" style="14" customWidth="1"/>
    <col min="3" max="98" width="6.78515625" style="14" customWidth="1"/>
    <col min="99" max="16384" width="6.85546875" style="14"/>
  </cols>
  <sheetData>
    <row r="2" spans="2:2" ht="19.5">
      <c r="B2" s="25" t="s">
        <v>390</v>
      </c>
    </row>
    <row r="17" spans="2:98" ht="15.5" thickBot="1"/>
    <row r="18" spans="2:98" ht="15.5" thickBot="1">
      <c r="B18" s="15" t="s">
        <v>18</v>
      </c>
      <c r="C18" s="16">
        <f>Progress!C18</f>
        <v>1</v>
      </c>
    </row>
    <row r="19" spans="2:98" ht="7" customHeight="1">
      <c r="B19" s="17"/>
    </row>
    <row r="20" spans="2:98">
      <c r="B20" s="23" t="s">
        <v>384</v>
      </c>
    </row>
    <row r="21" spans="2:98" ht="8.5" customHeight="1"/>
    <row r="22" spans="2:98">
      <c r="B22" s="18" t="s">
        <v>19</v>
      </c>
      <c r="C22" s="19">
        <v>45810</v>
      </c>
      <c r="D22" s="19">
        <f>C22+$C$18</f>
        <v>45811</v>
      </c>
      <c r="E22" s="19">
        <f t="shared" ref="E22:BP22" si="0">D22+$C$18</f>
        <v>45812</v>
      </c>
      <c r="F22" s="19">
        <f t="shared" si="0"/>
        <v>45813</v>
      </c>
      <c r="G22" s="19">
        <f t="shared" si="0"/>
        <v>45814</v>
      </c>
      <c r="H22" s="19">
        <f t="shared" si="0"/>
        <v>45815</v>
      </c>
      <c r="I22" s="19">
        <f t="shared" si="0"/>
        <v>45816</v>
      </c>
      <c r="J22" s="19">
        <f t="shared" si="0"/>
        <v>45817</v>
      </c>
      <c r="K22" s="19">
        <f t="shared" si="0"/>
        <v>45818</v>
      </c>
      <c r="L22" s="19">
        <f t="shared" si="0"/>
        <v>45819</v>
      </c>
      <c r="M22" s="19">
        <f t="shared" si="0"/>
        <v>45820</v>
      </c>
      <c r="N22" s="19">
        <f t="shared" si="0"/>
        <v>45821</v>
      </c>
      <c r="O22" s="19">
        <f t="shared" si="0"/>
        <v>45822</v>
      </c>
      <c r="P22" s="19">
        <f t="shared" si="0"/>
        <v>45823</v>
      </c>
      <c r="Q22" s="19">
        <f t="shared" si="0"/>
        <v>45824</v>
      </c>
      <c r="R22" s="19">
        <f t="shared" si="0"/>
        <v>45825</v>
      </c>
      <c r="S22" s="19">
        <f t="shared" si="0"/>
        <v>45826</v>
      </c>
      <c r="T22" s="19">
        <f t="shared" si="0"/>
        <v>45827</v>
      </c>
      <c r="U22" s="19">
        <f t="shared" si="0"/>
        <v>45828</v>
      </c>
      <c r="V22" s="19">
        <f t="shared" si="0"/>
        <v>45829</v>
      </c>
      <c r="W22" s="19">
        <f t="shared" si="0"/>
        <v>45830</v>
      </c>
      <c r="X22" s="19">
        <f t="shared" si="0"/>
        <v>45831</v>
      </c>
      <c r="Y22" s="19">
        <f t="shared" si="0"/>
        <v>45832</v>
      </c>
      <c r="Z22" s="19">
        <f t="shared" si="0"/>
        <v>45833</v>
      </c>
      <c r="AA22" s="19">
        <f t="shared" si="0"/>
        <v>45834</v>
      </c>
      <c r="AB22" s="19">
        <f t="shared" si="0"/>
        <v>45835</v>
      </c>
      <c r="AC22" s="19">
        <f t="shared" si="0"/>
        <v>45836</v>
      </c>
      <c r="AD22" s="19">
        <f t="shared" si="0"/>
        <v>45837</v>
      </c>
      <c r="AE22" s="19">
        <f t="shared" si="0"/>
        <v>45838</v>
      </c>
      <c r="AF22" s="19">
        <f t="shared" si="0"/>
        <v>45839</v>
      </c>
      <c r="AG22" s="19">
        <f t="shared" si="0"/>
        <v>45840</v>
      </c>
      <c r="AH22" s="19">
        <f t="shared" si="0"/>
        <v>45841</v>
      </c>
      <c r="AI22" s="19">
        <f t="shared" si="0"/>
        <v>45842</v>
      </c>
      <c r="AJ22" s="19">
        <f t="shared" si="0"/>
        <v>45843</v>
      </c>
      <c r="AK22" s="19">
        <f t="shared" si="0"/>
        <v>45844</v>
      </c>
      <c r="AL22" s="19">
        <f t="shared" si="0"/>
        <v>45845</v>
      </c>
      <c r="AM22" s="19">
        <f t="shared" si="0"/>
        <v>45846</v>
      </c>
      <c r="AN22" s="19">
        <f t="shared" si="0"/>
        <v>45847</v>
      </c>
      <c r="AO22" s="19">
        <f t="shared" si="0"/>
        <v>45848</v>
      </c>
      <c r="AP22" s="19">
        <f t="shared" si="0"/>
        <v>45849</v>
      </c>
      <c r="AQ22" s="19">
        <f t="shared" si="0"/>
        <v>45850</v>
      </c>
      <c r="AR22" s="19">
        <f t="shared" si="0"/>
        <v>45851</v>
      </c>
      <c r="AS22" s="19">
        <f t="shared" si="0"/>
        <v>45852</v>
      </c>
      <c r="AT22" s="19">
        <f t="shared" si="0"/>
        <v>45853</v>
      </c>
      <c r="AU22" s="19">
        <f t="shared" si="0"/>
        <v>45854</v>
      </c>
      <c r="AV22" s="19">
        <f t="shared" si="0"/>
        <v>45855</v>
      </c>
      <c r="AW22" s="19">
        <f t="shared" si="0"/>
        <v>45856</v>
      </c>
      <c r="AX22" s="19">
        <f t="shared" si="0"/>
        <v>45857</v>
      </c>
      <c r="AY22" s="19">
        <f t="shared" si="0"/>
        <v>45858</v>
      </c>
      <c r="AZ22" s="19">
        <f t="shared" si="0"/>
        <v>45859</v>
      </c>
      <c r="BA22" s="19">
        <f t="shared" si="0"/>
        <v>45860</v>
      </c>
      <c r="BB22" s="19">
        <f t="shared" si="0"/>
        <v>45861</v>
      </c>
      <c r="BC22" s="19">
        <f t="shared" si="0"/>
        <v>45862</v>
      </c>
      <c r="BD22" s="19">
        <f t="shared" si="0"/>
        <v>45863</v>
      </c>
      <c r="BE22" s="19">
        <f t="shared" si="0"/>
        <v>45864</v>
      </c>
      <c r="BF22" s="19">
        <f t="shared" si="0"/>
        <v>45865</v>
      </c>
      <c r="BG22" s="19">
        <f t="shared" si="0"/>
        <v>45866</v>
      </c>
      <c r="BH22" s="19">
        <f t="shared" si="0"/>
        <v>45867</v>
      </c>
      <c r="BI22" s="19">
        <f t="shared" si="0"/>
        <v>45868</v>
      </c>
      <c r="BJ22" s="19">
        <f t="shared" si="0"/>
        <v>45869</v>
      </c>
      <c r="BK22" s="19">
        <f t="shared" si="0"/>
        <v>45870</v>
      </c>
      <c r="BL22" s="19">
        <f t="shared" si="0"/>
        <v>45871</v>
      </c>
      <c r="BM22" s="19">
        <f t="shared" si="0"/>
        <v>45872</v>
      </c>
      <c r="BN22" s="19">
        <f t="shared" si="0"/>
        <v>45873</v>
      </c>
      <c r="BO22" s="19">
        <f t="shared" si="0"/>
        <v>45874</v>
      </c>
      <c r="BP22" s="19">
        <f t="shared" si="0"/>
        <v>45875</v>
      </c>
      <c r="BQ22" s="19">
        <f t="shared" ref="BQ22:CT22" si="1">BP22+$C$18</f>
        <v>45876</v>
      </c>
      <c r="BR22" s="19">
        <f t="shared" si="1"/>
        <v>45877</v>
      </c>
      <c r="BS22" s="19">
        <f t="shared" si="1"/>
        <v>45878</v>
      </c>
      <c r="BT22" s="19">
        <f t="shared" si="1"/>
        <v>45879</v>
      </c>
      <c r="BU22" s="19">
        <f t="shared" si="1"/>
        <v>45880</v>
      </c>
      <c r="BV22" s="19">
        <f t="shared" si="1"/>
        <v>45881</v>
      </c>
      <c r="BW22" s="19">
        <f t="shared" si="1"/>
        <v>45882</v>
      </c>
      <c r="BX22" s="19">
        <f t="shared" si="1"/>
        <v>45883</v>
      </c>
      <c r="BY22" s="19">
        <f t="shared" si="1"/>
        <v>45884</v>
      </c>
      <c r="BZ22" s="19">
        <f t="shared" si="1"/>
        <v>45885</v>
      </c>
      <c r="CA22" s="19">
        <f t="shared" si="1"/>
        <v>45886</v>
      </c>
      <c r="CB22" s="19">
        <f t="shared" si="1"/>
        <v>45887</v>
      </c>
      <c r="CC22" s="19">
        <f t="shared" si="1"/>
        <v>45888</v>
      </c>
      <c r="CD22" s="19">
        <f t="shared" si="1"/>
        <v>45889</v>
      </c>
      <c r="CE22" s="19">
        <f t="shared" si="1"/>
        <v>45890</v>
      </c>
      <c r="CF22" s="19">
        <f t="shared" si="1"/>
        <v>45891</v>
      </c>
      <c r="CG22" s="19">
        <f t="shared" si="1"/>
        <v>45892</v>
      </c>
      <c r="CH22" s="19">
        <f t="shared" si="1"/>
        <v>45893</v>
      </c>
      <c r="CI22" s="19">
        <f t="shared" si="1"/>
        <v>45894</v>
      </c>
      <c r="CJ22" s="19">
        <f t="shared" si="1"/>
        <v>45895</v>
      </c>
      <c r="CK22" s="19">
        <f t="shared" si="1"/>
        <v>45896</v>
      </c>
      <c r="CL22" s="19">
        <f t="shared" si="1"/>
        <v>45897</v>
      </c>
      <c r="CM22" s="19">
        <f t="shared" si="1"/>
        <v>45898</v>
      </c>
      <c r="CN22" s="19">
        <f t="shared" si="1"/>
        <v>45899</v>
      </c>
      <c r="CO22" s="19">
        <f t="shared" si="1"/>
        <v>45900</v>
      </c>
      <c r="CP22" s="19">
        <f t="shared" si="1"/>
        <v>45901</v>
      </c>
      <c r="CQ22" s="19">
        <f t="shared" si="1"/>
        <v>45902</v>
      </c>
      <c r="CR22" s="19">
        <f t="shared" si="1"/>
        <v>45903</v>
      </c>
      <c r="CS22" s="19">
        <f t="shared" si="1"/>
        <v>45904</v>
      </c>
      <c r="CT22" s="19">
        <f t="shared" si="1"/>
        <v>45905</v>
      </c>
    </row>
    <row r="23" spans="2:98">
      <c r="B23" s="20" t="s">
        <v>20</v>
      </c>
      <c r="C23" s="21">
        <f ca="1">COUNTIFS(INDIRECT("'" &amp; $B$20 &amp; "'!$T:$T"),"&gt;=" &amp; C$22,INDIRECT("'" &amp; $B$20 &amp; "'!$T:$T"), "&lt;" &amp; D$22)</f>
        <v>2</v>
      </c>
      <c r="D23" s="21">
        <f t="shared" ref="D23:BO23" ca="1" si="2">COUNTIFS(INDIRECT("'" &amp; $B$20 &amp; "'!$T:$T"),"&gt;=" &amp; D$22,INDIRECT("'" &amp; $B$20 &amp; "'!$T:$T"), "&lt;" &amp; E$22)</f>
        <v>3</v>
      </c>
      <c r="E23" s="21">
        <f t="shared" ca="1" si="2"/>
        <v>1</v>
      </c>
      <c r="F23" s="21">
        <f t="shared" ca="1" si="2"/>
        <v>0</v>
      </c>
      <c r="G23" s="21">
        <f t="shared" ca="1" si="2"/>
        <v>0</v>
      </c>
      <c r="H23" s="21">
        <f t="shared" ca="1" si="2"/>
        <v>0</v>
      </c>
      <c r="I23" s="21">
        <f t="shared" ca="1" si="2"/>
        <v>0</v>
      </c>
      <c r="J23" s="21">
        <f t="shared" ca="1" si="2"/>
        <v>1</v>
      </c>
      <c r="K23" s="21">
        <f t="shared" ca="1" si="2"/>
        <v>1</v>
      </c>
      <c r="L23" s="21">
        <f t="shared" ca="1" si="2"/>
        <v>0</v>
      </c>
      <c r="M23" s="21">
        <f t="shared" ca="1" si="2"/>
        <v>0</v>
      </c>
      <c r="N23" s="21">
        <f t="shared" ca="1" si="2"/>
        <v>2</v>
      </c>
      <c r="O23" s="21">
        <f t="shared" ca="1" si="2"/>
        <v>0</v>
      </c>
      <c r="P23" s="21">
        <f t="shared" ca="1" si="2"/>
        <v>0</v>
      </c>
      <c r="Q23" s="21">
        <f t="shared" ca="1" si="2"/>
        <v>1</v>
      </c>
      <c r="R23" s="21">
        <f t="shared" ca="1" si="2"/>
        <v>0</v>
      </c>
      <c r="S23" s="21">
        <f t="shared" ca="1" si="2"/>
        <v>0</v>
      </c>
      <c r="T23" s="21">
        <f t="shared" ca="1" si="2"/>
        <v>1</v>
      </c>
      <c r="U23" s="21">
        <f t="shared" ca="1" si="2"/>
        <v>1</v>
      </c>
      <c r="V23" s="21">
        <f t="shared" ca="1" si="2"/>
        <v>0</v>
      </c>
      <c r="W23" s="21">
        <f t="shared" ca="1" si="2"/>
        <v>0</v>
      </c>
      <c r="X23" s="21">
        <f t="shared" ca="1" si="2"/>
        <v>0</v>
      </c>
      <c r="Y23" s="21">
        <f t="shared" ca="1" si="2"/>
        <v>0</v>
      </c>
      <c r="Z23" s="21">
        <f t="shared" ca="1" si="2"/>
        <v>0</v>
      </c>
      <c r="AA23" s="21">
        <f t="shared" ca="1" si="2"/>
        <v>2</v>
      </c>
      <c r="AB23" s="21">
        <f t="shared" ca="1" si="2"/>
        <v>1</v>
      </c>
      <c r="AC23" s="21">
        <f t="shared" ca="1" si="2"/>
        <v>0</v>
      </c>
      <c r="AD23" s="21">
        <f t="shared" ca="1" si="2"/>
        <v>0</v>
      </c>
      <c r="AE23" s="21">
        <f t="shared" ca="1" si="2"/>
        <v>0</v>
      </c>
      <c r="AF23" s="21">
        <f t="shared" ca="1" si="2"/>
        <v>0</v>
      </c>
      <c r="AG23" s="21">
        <f t="shared" ca="1" si="2"/>
        <v>1</v>
      </c>
      <c r="AH23" s="21">
        <f t="shared" ca="1" si="2"/>
        <v>1</v>
      </c>
      <c r="AI23" s="21">
        <f t="shared" ca="1" si="2"/>
        <v>0</v>
      </c>
      <c r="AJ23" s="21">
        <f t="shared" ca="1" si="2"/>
        <v>0</v>
      </c>
      <c r="AK23" s="21">
        <f t="shared" ca="1" si="2"/>
        <v>0</v>
      </c>
      <c r="AL23" s="21">
        <f t="shared" ca="1" si="2"/>
        <v>0</v>
      </c>
      <c r="AM23" s="21">
        <f t="shared" ca="1" si="2"/>
        <v>1</v>
      </c>
      <c r="AN23" s="21">
        <f t="shared" ca="1" si="2"/>
        <v>1</v>
      </c>
      <c r="AO23" s="21">
        <f t="shared" ca="1" si="2"/>
        <v>0</v>
      </c>
      <c r="AP23" s="21">
        <f t="shared" ca="1" si="2"/>
        <v>0</v>
      </c>
      <c r="AQ23" s="21">
        <f t="shared" ca="1" si="2"/>
        <v>0</v>
      </c>
      <c r="AR23" s="21">
        <f t="shared" ca="1" si="2"/>
        <v>0</v>
      </c>
      <c r="AS23" s="21">
        <f t="shared" ca="1" si="2"/>
        <v>1</v>
      </c>
      <c r="AT23" s="21">
        <f t="shared" ca="1" si="2"/>
        <v>1</v>
      </c>
      <c r="AU23" s="21">
        <f t="shared" ca="1" si="2"/>
        <v>0</v>
      </c>
      <c r="AV23" s="21">
        <f t="shared" ca="1" si="2"/>
        <v>0</v>
      </c>
      <c r="AW23" s="21">
        <f t="shared" ca="1" si="2"/>
        <v>1</v>
      </c>
      <c r="AX23" s="21">
        <f t="shared" ca="1" si="2"/>
        <v>0</v>
      </c>
      <c r="AY23" s="21">
        <f t="shared" ca="1" si="2"/>
        <v>0</v>
      </c>
      <c r="AZ23" s="21">
        <f t="shared" ca="1" si="2"/>
        <v>0</v>
      </c>
      <c r="BA23" s="21">
        <f t="shared" ca="1" si="2"/>
        <v>1</v>
      </c>
      <c r="BB23" s="21">
        <f t="shared" ca="1" si="2"/>
        <v>0</v>
      </c>
      <c r="BC23" s="21">
        <f t="shared" ca="1" si="2"/>
        <v>0</v>
      </c>
      <c r="BD23" s="21">
        <f t="shared" ca="1" si="2"/>
        <v>1</v>
      </c>
      <c r="BE23" s="21">
        <f t="shared" ca="1" si="2"/>
        <v>0</v>
      </c>
      <c r="BF23" s="21">
        <f t="shared" ca="1" si="2"/>
        <v>0</v>
      </c>
      <c r="BG23" s="21">
        <f t="shared" ca="1" si="2"/>
        <v>1</v>
      </c>
      <c r="BH23" s="21">
        <f t="shared" ca="1" si="2"/>
        <v>0</v>
      </c>
      <c r="BI23" s="21">
        <f t="shared" ca="1" si="2"/>
        <v>0</v>
      </c>
      <c r="BJ23" s="21">
        <f t="shared" ca="1" si="2"/>
        <v>5</v>
      </c>
      <c r="BK23" s="21">
        <f t="shared" ca="1" si="2"/>
        <v>1</v>
      </c>
      <c r="BL23" s="21">
        <f t="shared" ca="1" si="2"/>
        <v>0</v>
      </c>
      <c r="BM23" s="21">
        <f t="shared" ca="1" si="2"/>
        <v>0</v>
      </c>
      <c r="BN23" s="21">
        <f t="shared" ca="1" si="2"/>
        <v>3</v>
      </c>
      <c r="BO23" s="21">
        <f t="shared" ca="1" si="2"/>
        <v>3</v>
      </c>
      <c r="BP23" s="21">
        <f t="shared" ref="BP23:CT23" ca="1" si="3">COUNTIFS(INDIRECT("'" &amp; $B$20 &amp; "'!$T:$T"),"&gt;=" &amp; BP$22,INDIRECT("'" &amp; $B$20 &amp; "'!$T:$T"), "&lt;" &amp; BQ$22)</f>
        <v>7</v>
      </c>
      <c r="BQ23" s="21">
        <f t="shared" ca="1" si="3"/>
        <v>4</v>
      </c>
      <c r="BR23" s="21">
        <f t="shared" ca="1" si="3"/>
        <v>3</v>
      </c>
      <c r="BS23" s="21">
        <f t="shared" ca="1" si="3"/>
        <v>0</v>
      </c>
      <c r="BT23" s="21">
        <f t="shared" ca="1" si="3"/>
        <v>0</v>
      </c>
      <c r="BU23" s="21">
        <f t="shared" ca="1" si="3"/>
        <v>0</v>
      </c>
      <c r="BV23" s="21">
        <f t="shared" ca="1" si="3"/>
        <v>0</v>
      </c>
      <c r="BW23" s="21">
        <f t="shared" ca="1" si="3"/>
        <v>1</v>
      </c>
      <c r="BX23" s="21">
        <f t="shared" ca="1" si="3"/>
        <v>1</v>
      </c>
      <c r="BY23" s="21">
        <f t="shared" ca="1" si="3"/>
        <v>3</v>
      </c>
      <c r="BZ23" s="21">
        <f t="shared" ca="1" si="3"/>
        <v>0</v>
      </c>
      <c r="CA23" s="21">
        <f t="shared" ca="1" si="3"/>
        <v>0</v>
      </c>
      <c r="CB23" s="21">
        <f t="shared" ca="1" si="3"/>
        <v>3</v>
      </c>
      <c r="CC23" s="21">
        <f t="shared" ca="1" si="3"/>
        <v>7</v>
      </c>
      <c r="CD23" s="21">
        <f t="shared" ca="1" si="3"/>
        <v>4</v>
      </c>
      <c r="CE23" s="21">
        <f t="shared" ca="1" si="3"/>
        <v>3</v>
      </c>
      <c r="CF23" s="21">
        <f t="shared" ca="1" si="3"/>
        <v>0</v>
      </c>
      <c r="CG23" s="21">
        <f t="shared" ca="1" si="3"/>
        <v>0</v>
      </c>
      <c r="CH23" s="21">
        <f t="shared" ca="1" si="3"/>
        <v>0</v>
      </c>
      <c r="CI23" s="21">
        <f t="shared" ca="1" si="3"/>
        <v>0</v>
      </c>
      <c r="CJ23" s="21">
        <f t="shared" ca="1" si="3"/>
        <v>1</v>
      </c>
      <c r="CK23" s="21">
        <f t="shared" ca="1" si="3"/>
        <v>4</v>
      </c>
      <c r="CL23" s="21">
        <f t="shared" ca="1" si="3"/>
        <v>3</v>
      </c>
      <c r="CM23" s="21">
        <f t="shared" ca="1" si="3"/>
        <v>6</v>
      </c>
      <c r="CN23" s="21">
        <f t="shared" ca="1" si="3"/>
        <v>0</v>
      </c>
      <c r="CO23" s="21">
        <f t="shared" ca="1" si="3"/>
        <v>0</v>
      </c>
      <c r="CP23" s="21">
        <f t="shared" ca="1" si="3"/>
        <v>4</v>
      </c>
      <c r="CQ23" s="21">
        <f t="shared" ca="1" si="3"/>
        <v>4</v>
      </c>
      <c r="CR23" s="21">
        <f t="shared" ca="1" si="3"/>
        <v>0</v>
      </c>
      <c r="CS23" s="21">
        <f t="shared" ca="1" si="3"/>
        <v>0</v>
      </c>
      <c r="CT23" s="21">
        <f t="shared" ca="1" si="3"/>
        <v>0</v>
      </c>
    </row>
    <row r="24" spans="2:98">
      <c r="B24" s="20" t="s">
        <v>21</v>
      </c>
      <c r="C24" s="21">
        <f ca="1">C23</f>
        <v>2</v>
      </c>
      <c r="D24" s="21">
        <f ca="1">C24+D23</f>
        <v>5</v>
      </c>
      <c r="E24" s="21">
        <f t="shared" ref="E24:BP24" ca="1" si="4">D24+E23</f>
        <v>6</v>
      </c>
      <c r="F24" s="21">
        <f t="shared" ca="1" si="4"/>
        <v>6</v>
      </c>
      <c r="G24" s="21">
        <f t="shared" ca="1" si="4"/>
        <v>6</v>
      </c>
      <c r="H24" s="21">
        <f t="shared" ca="1" si="4"/>
        <v>6</v>
      </c>
      <c r="I24" s="21">
        <f t="shared" ca="1" si="4"/>
        <v>6</v>
      </c>
      <c r="J24" s="21">
        <f t="shared" ca="1" si="4"/>
        <v>7</v>
      </c>
      <c r="K24" s="21">
        <f t="shared" ca="1" si="4"/>
        <v>8</v>
      </c>
      <c r="L24" s="21">
        <f t="shared" ca="1" si="4"/>
        <v>8</v>
      </c>
      <c r="M24" s="21">
        <f t="shared" ca="1" si="4"/>
        <v>8</v>
      </c>
      <c r="N24" s="21">
        <f t="shared" ca="1" si="4"/>
        <v>10</v>
      </c>
      <c r="O24" s="21">
        <f t="shared" ca="1" si="4"/>
        <v>10</v>
      </c>
      <c r="P24" s="21">
        <f t="shared" ca="1" si="4"/>
        <v>10</v>
      </c>
      <c r="Q24" s="21">
        <f t="shared" ca="1" si="4"/>
        <v>11</v>
      </c>
      <c r="R24" s="21">
        <f t="shared" ca="1" si="4"/>
        <v>11</v>
      </c>
      <c r="S24" s="21">
        <f t="shared" ca="1" si="4"/>
        <v>11</v>
      </c>
      <c r="T24" s="21">
        <f t="shared" ca="1" si="4"/>
        <v>12</v>
      </c>
      <c r="U24" s="21">
        <f t="shared" ca="1" si="4"/>
        <v>13</v>
      </c>
      <c r="V24" s="21">
        <f t="shared" ca="1" si="4"/>
        <v>13</v>
      </c>
      <c r="W24" s="21">
        <f t="shared" ca="1" si="4"/>
        <v>13</v>
      </c>
      <c r="X24" s="21">
        <f t="shared" ca="1" si="4"/>
        <v>13</v>
      </c>
      <c r="Y24" s="21">
        <f t="shared" ca="1" si="4"/>
        <v>13</v>
      </c>
      <c r="Z24" s="21">
        <f t="shared" ca="1" si="4"/>
        <v>13</v>
      </c>
      <c r="AA24" s="21">
        <f t="shared" ca="1" si="4"/>
        <v>15</v>
      </c>
      <c r="AB24" s="21">
        <f t="shared" ca="1" si="4"/>
        <v>16</v>
      </c>
      <c r="AC24" s="21">
        <f t="shared" ca="1" si="4"/>
        <v>16</v>
      </c>
      <c r="AD24" s="21">
        <f t="shared" ca="1" si="4"/>
        <v>16</v>
      </c>
      <c r="AE24" s="21">
        <f t="shared" ca="1" si="4"/>
        <v>16</v>
      </c>
      <c r="AF24" s="21">
        <f t="shared" ca="1" si="4"/>
        <v>16</v>
      </c>
      <c r="AG24" s="21">
        <f t="shared" ca="1" si="4"/>
        <v>17</v>
      </c>
      <c r="AH24" s="21">
        <f t="shared" ca="1" si="4"/>
        <v>18</v>
      </c>
      <c r="AI24" s="21">
        <f t="shared" ca="1" si="4"/>
        <v>18</v>
      </c>
      <c r="AJ24" s="21">
        <f t="shared" ca="1" si="4"/>
        <v>18</v>
      </c>
      <c r="AK24" s="21">
        <f t="shared" ca="1" si="4"/>
        <v>18</v>
      </c>
      <c r="AL24" s="21">
        <f t="shared" ca="1" si="4"/>
        <v>18</v>
      </c>
      <c r="AM24" s="21">
        <f t="shared" ca="1" si="4"/>
        <v>19</v>
      </c>
      <c r="AN24" s="21">
        <f t="shared" ca="1" si="4"/>
        <v>20</v>
      </c>
      <c r="AO24" s="21">
        <f t="shared" ca="1" si="4"/>
        <v>20</v>
      </c>
      <c r="AP24" s="21">
        <f t="shared" ca="1" si="4"/>
        <v>20</v>
      </c>
      <c r="AQ24" s="21">
        <f t="shared" ca="1" si="4"/>
        <v>20</v>
      </c>
      <c r="AR24" s="21">
        <f t="shared" ca="1" si="4"/>
        <v>20</v>
      </c>
      <c r="AS24" s="21">
        <f t="shared" ca="1" si="4"/>
        <v>21</v>
      </c>
      <c r="AT24" s="21">
        <f t="shared" ca="1" si="4"/>
        <v>22</v>
      </c>
      <c r="AU24" s="21">
        <f t="shared" ca="1" si="4"/>
        <v>22</v>
      </c>
      <c r="AV24" s="21">
        <f t="shared" ca="1" si="4"/>
        <v>22</v>
      </c>
      <c r="AW24" s="21">
        <f t="shared" ca="1" si="4"/>
        <v>23</v>
      </c>
      <c r="AX24" s="21">
        <f t="shared" ca="1" si="4"/>
        <v>23</v>
      </c>
      <c r="AY24" s="21">
        <f t="shared" ca="1" si="4"/>
        <v>23</v>
      </c>
      <c r="AZ24" s="21">
        <f t="shared" ca="1" si="4"/>
        <v>23</v>
      </c>
      <c r="BA24" s="21">
        <f t="shared" ca="1" si="4"/>
        <v>24</v>
      </c>
      <c r="BB24" s="21">
        <f t="shared" ca="1" si="4"/>
        <v>24</v>
      </c>
      <c r="BC24" s="21">
        <f t="shared" ca="1" si="4"/>
        <v>24</v>
      </c>
      <c r="BD24" s="21">
        <f t="shared" ca="1" si="4"/>
        <v>25</v>
      </c>
      <c r="BE24" s="21">
        <f t="shared" ca="1" si="4"/>
        <v>25</v>
      </c>
      <c r="BF24" s="21">
        <f t="shared" ca="1" si="4"/>
        <v>25</v>
      </c>
      <c r="BG24" s="21">
        <f t="shared" ca="1" si="4"/>
        <v>26</v>
      </c>
      <c r="BH24" s="21">
        <f t="shared" ca="1" si="4"/>
        <v>26</v>
      </c>
      <c r="BI24" s="21">
        <f t="shared" ca="1" si="4"/>
        <v>26</v>
      </c>
      <c r="BJ24" s="21">
        <f t="shared" ca="1" si="4"/>
        <v>31</v>
      </c>
      <c r="BK24" s="21">
        <f t="shared" ca="1" si="4"/>
        <v>32</v>
      </c>
      <c r="BL24" s="21">
        <f t="shared" ca="1" si="4"/>
        <v>32</v>
      </c>
      <c r="BM24" s="21">
        <f t="shared" ca="1" si="4"/>
        <v>32</v>
      </c>
      <c r="BN24" s="21">
        <f t="shared" ca="1" si="4"/>
        <v>35</v>
      </c>
      <c r="BO24" s="21">
        <f t="shared" ca="1" si="4"/>
        <v>38</v>
      </c>
      <c r="BP24" s="21">
        <f t="shared" ca="1" si="4"/>
        <v>45</v>
      </c>
      <c r="BQ24" s="21">
        <f t="shared" ref="BQ24:CT24" ca="1" si="5">BP24+BQ23</f>
        <v>49</v>
      </c>
      <c r="BR24" s="21">
        <f t="shared" ca="1" si="5"/>
        <v>52</v>
      </c>
      <c r="BS24" s="21">
        <f t="shared" ca="1" si="5"/>
        <v>52</v>
      </c>
      <c r="BT24" s="21">
        <f t="shared" ca="1" si="5"/>
        <v>52</v>
      </c>
      <c r="BU24" s="21">
        <f t="shared" ca="1" si="5"/>
        <v>52</v>
      </c>
      <c r="BV24" s="21">
        <f t="shared" ca="1" si="5"/>
        <v>52</v>
      </c>
      <c r="BW24" s="21">
        <f t="shared" ca="1" si="5"/>
        <v>53</v>
      </c>
      <c r="BX24" s="21">
        <f t="shared" ca="1" si="5"/>
        <v>54</v>
      </c>
      <c r="BY24" s="21">
        <f t="shared" ca="1" si="5"/>
        <v>57</v>
      </c>
      <c r="BZ24" s="21">
        <f t="shared" ca="1" si="5"/>
        <v>57</v>
      </c>
      <c r="CA24" s="21">
        <f t="shared" ca="1" si="5"/>
        <v>57</v>
      </c>
      <c r="CB24" s="21">
        <f t="shared" ca="1" si="5"/>
        <v>60</v>
      </c>
      <c r="CC24" s="21">
        <f t="shared" ca="1" si="5"/>
        <v>67</v>
      </c>
      <c r="CD24" s="21">
        <f t="shared" ca="1" si="5"/>
        <v>71</v>
      </c>
      <c r="CE24" s="21">
        <f t="shared" ca="1" si="5"/>
        <v>74</v>
      </c>
      <c r="CF24" s="21">
        <f t="shared" ca="1" si="5"/>
        <v>74</v>
      </c>
      <c r="CG24" s="21">
        <f t="shared" ca="1" si="5"/>
        <v>74</v>
      </c>
      <c r="CH24" s="21">
        <f t="shared" ca="1" si="5"/>
        <v>74</v>
      </c>
      <c r="CI24" s="21">
        <f t="shared" ca="1" si="5"/>
        <v>74</v>
      </c>
      <c r="CJ24" s="21">
        <f t="shared" ca="1" si="5"/>
        <v>75</v>
      </c>
      <c r="CK24" s="21">
        <f t="shared" ca="1" si="5"/>
        <v>79</v>
      </c>
      <c r="CL24" s="21">
        <f t="shared" ca="1" si="5"/>
        <v>82</v>
      </c>
      <c r="CM24" s="21">
        <f t="shared" ca="1" si="5"/>
        <v>88</v>
      </c>
      <c r="CN24" s="21">
        <f t="shared" ca="1" si="5"/>
        <v>88</v>
      </c>
      <c r="CO24" s="21">
        <f t="shared" ca="1" si="5"/>
        <v>88</v>
      </c>
      <c r="CP24" s="21">
        <f t="shared" ca="1" si="5"/>
        <v>92</v>
      </c>
      <c r="CQ24" s="21">
        <f t="shared" ca="1" si="5"/>
        <v>96</v>
      </c>
      <c r="CR24" s="21">
        <f t="shared" ca="1" si="5"/>
        <v>96</v>
      </c>
      <c r="CS24" s="21">
        <f t="shared" ca="1" si="5"/>
        <v>96</v>
      </c>
      <c r="CT24" s="21">
        <f t="shared" ca="1" si="5"/>
        <v>96</v>
      </c>
    </row>
    <row r="25" spans="2:98">
      <c r="B25" s="20" t="s">
        <v>22</v>
      </c>
      <c r="C25" s="21">
        <f ca="1">COUNTIFS(INDIRECT("'" &amp; $B$20 &amp; "'!$V:$V"),"&gt;=" &amp; C$22,INDIRECT("'" &amp; $B$20 &amp; "'!$V:$V"), "&lt;" &amp; D$22)</f>
        <v>2</v>
      </c>
      <c r="D25" s="21">
        <f t="shared" ref="D25:BO25" ca="1" si="6">COUNTIFS(INDIRECT("'" &amp; $B$20 &amp; "'!$V:$V"),"&gt;=" &amp; D$22,INDIRECT("'" &amp; $B$20 &amp; "'!$V:$V"), "&lt;" &amp; E$22)</f>
        <v>3</v>
      </c>
      <c r="E25" s="21">
        <f t="shared" ca="1" si="6"/>
        <v>1</v>
      </c>
      <c r="F25" s="21">
        <f t="shared" ca="1" si="6"/>
        <v>0</v>
      </c>
      <c r="G25" s="21">
        <f t="shared" ca="1" si="6"/>
        <v>0</v>
      </c>
      <c r="H25" s="21">
        <f t="shared" ca="1" si="6"/>
        <v>0</v>
      </c>
      <c r="I25" s="21">
        <f t="shared" ca="1" si="6"/>
        <v>0</v>
      </c>
      <c r="J25" s="21">
        <f t="shared" ca="1" si="6"/>
        <v>1</v>
      </c>
      <c r="K25" s="21">
        <f t="shared" ca="1" si="6"/>
        <v>1</v>
      </c>
      <c r="L25" s="21">
        <f t="shared" ca="1" si="6"/>
        <v>0</v>
      </c>
      <c r="M25" s="21">
        <f t="shared" ca="1" si="6"/>
        <v>0</v>
      </c>
      <c r="N25" s="21">
        <f t="shared" ca="1" si="6"/>
        <v>2</v>
      </c>
      <c r="O25" s="21">
        <f t="shared" ca="1" si="6"/>
        <v>0</v>
      </c>
      <c r="P25" s="21">
        <f t="shared" ca="1" si="6"/>
        <v>0</v>
      </c>
      <c r="Q25" s="21">
        <f t="shared" ca="1" si="6"/>
        <v>0</v>
      </c>
      <c r="R25" s="21">
        <f t="shared" ca="1" si="6"/>
        <v>0</v>
      </c>
      <c r="S25" s="21">
        <f t="shared" ca="1" si="6"/>
        <v>0</v>
      </c>
      <c r="T25" s="21">
        <f t="shared" ca="1" si="6"/>
        <v>0</v>
      </c>
      <c r="U25" s="21">
        <f t="shared" ca="1" si="6"/>
        <v>0</v>
      </c>
      <c r="V25" s="21">
        <f t="shared" ca="1" si="6"/>
        <v>0</v>
      </c>
      <c r="W25" s="21">
        <f t="shared" ca="1" si="6"/>
        <v>0</v>
      </c>
      <c r="X25" s="21">
        <f t="shared" ca="1" si="6"/>
        <v>0</v>
      </c>
      <c r="Y25" s="21">
        <f t="shared" ca="1" si="6"/>
        <v>0</v>
      </c>
      <c r="Z25" s="21">
        <f t="shared" ca="1" si="6"/>
        <v>0</v>
      </c>
      <c r="AA25" s="21">
        <f t="shared" ca="1" si="6"/>
        <v>0</v>
      </c>
      <c r="AB25" s="21">
        <f t="shared" ca="1" si="6"/>
        <v>0</v>
      </c>
      <c r="AC25" s="21">
        <f t="shared" ca="1" si="6"/>
        <v>0</v>
      </c>
      <c r="AD25" s="21">
        <f t="shared" ca="1" si="6"/>
        <v>0</v>
      </c>
      <c r="AE25" s="21">
        <f t="shared" ca="1" si="6"/>
        <v>0</v>
      </c>
      <c r="AF25" s="21">
        <f t="shared" ca="1" si="6"/>
        <v>0</v>
      </c>
      <c r="AG25" s="21">
        <f t="shared" ca="1" si="6"/>
        <v>0</v>
      </c>
      <c r="AH25" s="21">
        <f t="shared" ca="1" si="6"/>
        <v>0</v>
      </c>
      <c r="AI25" s="21">
        <f t="shared" ca="1" si="6"/>
        <v>0</v>
      </c>
      <c r="AJ25" s="21">
        <f t="shared" ca="1" si="6"/>
        <v>0</v>
      </c>
      <c r="AK25" s="21">
        <f t="shared" ca="1" si="6"/>
        <v>0</v>
      </c>
      <c r="AL25" s="21">
        <f t="shared" ca="1" si="6"/>
        <v>0</v>
      </c>
      <c r="AM25" s="21">
        <f t="shared" ca="1" si="6"/>
        <v>0</v>
      </c>
      <c r="AN25" s="21">
        <f t="shared" ca="1" si="6"/>
        <v>0</v>
      </c>
      <c r="AO25" s="21">
        <f t="shared" ca="1" si="6"/>
        <v>0</v>
      </c>
      <c r="AP25" s="21">
        <f t="shared" ca="1" si="6"/>
        <v>0</v>
      </c>
      <c r="AQ25" s="21">
        <f t="shared" ca="1" si="6"/>
        <v>0</v>
      </c>
      <c r="AR25" s="21">
        <f t="shared" ca="1" si="6"/>
        <v>0</v>
      </c>
      <c r="AS25" s="21">
        <f t="shared" ca="1" si="6"/>
        <v>0</v>
      </c>
      <c r="AT25" s="21">
        <f t="shared" ca="1" si="6"/>
        <v>0</v>
      </c>
      <c r="AU25" s="21">
        <f t="shared" ca="1" si="6"/>
        <v>0</v>
      </c>
      <c r="AV25" s="21">
        <f t="shared" ca="1" si="6"/>
        <v>0</v>
      </c>
      <c r="AW25" s="21">
        <f t="shared" ca="1" si="6"/>
        <v>0</v>
      </c>
      <c r="AX25" s="21">
        <f t="shared" ca="1" si="6"/>
        <v>0</v>
      </c>
      <c r="AY25" s="21">
        <f t="shared" ca="1" si="6"/>
        <v>0</v>
      </c>
      <c r="AZ25" s="21">
        <f t="shared" ca="1" si="6"/>
        <v>0</v>
      </c>
      <c r="BA25" s="21">
        <f t="shared" ca="1" si="6"/>
        <v>0</v>
      </c>
      <c r="BB25" s="21">
        <f t="shared" ca="1" si="6"/>
        <v>0</v>
      </c>
      <c r="BC25" s="21">
        <f t="shared" ca="1" si="6"/>
        <v>0</v>
      </c>
      <c r="BD25" s="21">
        <f t="shared" ca="1" si="6"/>
        <v>0</v>
      </c>
      <c r="BE25" s="21">
        <f t="shared" ca="1" si="6"/>
        <v>0</v>
      </c>
      <c r="BF25" s="21">
        <f t="shared" ca="1" si="6"/>
        <v>0</v>
      </c>
      <c r="BG25" s="21">
        <f t="shared" ca="1" si="6"/>
        <v>0</v>
      </c>
      <c r="BH25" s="21">
        <f t="shared" ca="1" si="6"/>
        <v>0</v>
      </c>
      <c r="BI25" s="21">
        <f t="shared" ca="1" si="6"/>
        <v>0</v>
      </c>
      <c r="BJ25" s="21">
        <f t="shared" ca="1" si="6"/>
        <v>0</v>
      </c>
      <c r="BK25" s="21">
        <f t="shared" ca="1" si="6"/>
        <v>0</v>
      </c>
      <c r="BL25" s="21">
        <f t="shared" ca="1" si="6"/>
        <v>0</v>
      </c>
      <c r="BM25" s="21">
        <f t="shared" ca="1" si="6"/>
        <v>0</v>
      </c>
      <c r="BN25" s="21">
        <f t="shared" ca="1" si="6"/>
        <v>0</v>
      </c>
      <c r="BO25" s="21">
        <f t="shared" ca="1" si="6"/>
        <v>0</v>
      </c>
      <c r="BP25" s="21">
        <f t="shared" ref="BP25:CT25" ca="1" si="7">COUNTIFS(INDIRECT("'" &amp; $B$20 &amp; "'!$V:$V"),"&gt;=" &amp; BP$22,INDIRECT("'" &amp; $B$20 &amp; "'!$V:$V"), "&lt;" &amp; BQ$22)</f>
        <v>0</v>
      </c>
      <c r="BQ25" s="21">
        <f t="shared" ca="1" si="7"/>
        <v>0</v>
      </c>
      <c r="BR25" s="21">
        <f t="shared" ca="1" si="7"/>
        <v>0</v>
      </c>
      <c r="BS25" s="21">
        <f t="shared" ca="1" si="7"/>
        <v>0</v>
      </c>
      <c r="BT25" s="21">
        <f t="shared" ca="1" si="7"/>
        <v>0</v>
      </c>
      <c r="BU25" s="21">
        <f t="shared" ca="1" si="7"/>
        <v>0</v>
      </c>
      <c r="BV25" s="21">
        <f t="shared" ca="1" si="7"/>
        <v>0</v>
      </c>
      <c r="BW25" s="21">
        <f t="shared" ca="1" si="7"/>
        <v>0</v>
      </c>
      <c r="BX25" s="21">
        <f t="shared" ca="1" si="7"/>
        <v>0</v>
      </c>
      <c r="BY25" s="21">
        <f t="shared" ca="1" si="7"/>
        <v>0</v>
      </c>
      <c r="BZ25" s="21">
        <f t="shared" ca="1" si="7"/>
        <v>0</v>
      </c>
      <c r="CA25" s="21">
        <f t="shared" ca="1" si="7"/>
        <v>0</v>
      </c>
      <c r="CB25" s="21">
        <f t="shared" ca="1" si="7"/>
        <v>0</v>
      </c>
      <c r="CC25" s="21">
        <f t="shared" ca="1" si="7"/>
        <v>0</v>
      </c>
      <c r="CD25" s="21">
        <f t="shared" ca="1" si="7"/>
        <v>0</v>
      </c>
      <c r="CE25" s="21">
        <f t="shared" ca="1" si="7"/>
        <v>0</v>
      </c>
      <c r="CF25" s="21">
        <f t="shared" ca="1" si="7"/>
        <v>0</v>
      </c>
      <c r="CG25" s="21">
        <f t="shared" ca="1" si="7"/>
        <v>0</v>
      </c>
      <c r="CH25" s="21">
        <f t="shared" ca="1" si="7"/>
        <v>0</v>
      </c>
      <c r="CI25" s="21">
        <f t="shared" ca="1" si="7"/>
        <v>0</v>
      </c>
      <c r="CJ25" s="21">
        <f t="shared" ca="1" si="7"/>
        <v>0</v>
      </c>
      <c r="CK25" s="21">
        <f t="shared" ca="1" si="7"/>
        <v>0</v>
      </c>
      <c r="CL25" s="21">
        <f t="shared" ca="1" si="7"/>
        <v>0</v>
      </c>
      <c r="CM25" s="21">
        <f t="shared" ca="1" si="7"/>
        <v>0</v>
      </c>
      <c r="CN25" s="21">
        <f t="shared" ca="1" si="7"/>
        <v>0</v>
      </c>
      <c r="CO25" s="21">
        <f t="shared" ca="1" si="7"/>
        <v>0</v>
      </c>
      <c r="CP25" s="21">
        <f t="shared" ca="1" si="7"/>
        <v>0</v>
      </c>
      <c r="CQ25" s="21">
        <f t="shared" ca="1" si="7"/>
        <v>0</v>
      </c>
      <c r="CR25" s="21">
        <f t="shared" ca="1" si="7"/>
        <v>0</v>
      </c>
      <c r="CS25" s="21">
        <f t="shared" ca="1" si="7"/>
        <v>0</v>
      </c>
      <c r="CT25" s="21">
        <f t="shared" ca="1" si="7"/>
        <v>0</v>
      </c>
    </row>
    <row r="26" spans="2:98">
      <c r="B26" s="20" t="s">
        <v>23</v>
      </c>
      <c r="C26" s="21">
        <f ca="1">C25</f>
        <v>2</v>
      </c>
      <c r="D26" s="21">
        <f ca="1">C26+D25</f>
        <v>5</v>
      </c>
      <c r="E26" s="21">
        <f t="shared" ref="E26:BP26" ca="1" si="8">D26+E25</f>
        <v>6</v>
      </c>
      <c r="F26" s="21">
        <f t="shared" ca="1" si="8"/>
        <v>6</v>
      </c>
      <c r="G26" s="21">
        <f t="shared" ca="1" si="8"/>
        <v>6</v>
      </c>
      <c r="H26" s="21">
        <f t="shared" ca="1" si="8"/>
        <v>6</v>
      </c>
      <c r="I26" s="21">
        <f t="shared" ca="1" si="8"/>
        <v>6</v>
      </c>
      <c r="J26" s="21">
        <f t="shared" ca="1" si="8"/>
        <v>7</v>
      </c>
      <c r="K26" s="21">
        <f t="shared" ca="1" si="8"/>
        <v>8</v>
      </c>
      <c r="L26" s="21">
        <f t="shared" ca="1" si="8"/>
        <v>8</v>
      </c>
      <c r="M26" s="21">
        <f t="shared" ca="1" si="8"/>
        <v>8</v>
      </c>
      <c r="N26" s="21">
        <f t="shared" ca="1" si="8"/>
        <v>10</v>
      </c>
      <c r="O26" s="21">
        <f t="shared" ca="1" si="8"/>
        <v>10</v>
      </c>
      <c r="P26" s="21">
        <f t="shared" ca="1" si="8"/>
        <v>10</v>
      </c>
      <c r="Q26" s="21">
        <f t="shared" ca="1" si="8"/>
        <v>10</v>
      </c>
      <c r="R26" s="21">
        <f t="shared" ca="1" si="8"/>
        <v>10</v>
      </c>
      <c r="S26" s="21">
        <f t="shared" ca="1" si="8"/>
        <v>10</v>
      </c>
      <c r="T26" s="21">
        <f t="shared" ca="1" si="8"/>
        <v>10</v>
      </c>
      <c r="U26" s="21">
        <f t="shared" ca="1" si="8"/>
        <v>10</v>
      </c>
      <c r="V26" s="21">
        <f t="shared" ca="1" si="8"/>
        <v>10</v>
      </c>
      <c r="W26" s="21">
        <f t="shared" ca="1" si="8"/>
        <v>10</v>
      </c>
      <c r="X26" s="21">
        <f t="shared" ca="1" si="8"/>
        <v>10</v>
      </c>
      <c r="Y26" s="21">
        <f t="shared" ca="1" si="8"/>
        <v>10</v>
      </c>
      <c r="Z26" s="21">
        <f t="shared" ca="1" si="8"/>
        <v>10</v>
      </c>
      <c r="AA26" s="21">
        <f t="shared" ca="1" si="8"/>
        <v>10</v>
      </c>
      <c r="AB26" s="21">
        <f t="shared" ca="1" si="8"/>
        <v>10</v>
      </c>
      <c r="AC26" s="21">
        <f t="shared" ca="1" si="8"/>
        <v>10</v>
      </c>
      <c r="AD26" s="21">
        <f t="shared" ca="1" si="8"/>
        <v>10</v>
      </c>
      <c r="AE26" s="21">
        <f t="shared" ca="1" si="8"/>
        <v>10</v>
      </c>
      <c r="AF26" s="21">
        <f t="shared" ca="1" si="8"/>
        <v>10</v>
      </c>
      <c r="AG26" s="21">
        <f t="shared" ca="1" si="8"/>
        <v>10</v>
      </c>
      <c r="AH26" s="21">
        <f t="shared" ca="1" si="8"/>
        <v>10</v>
      </c>
      <c r="AI26" s="21">
        <f t="shared" ca="1" si="8"/>
        <v>10</v>
      </c>
      <c r="AJ26" s="21">
        <f t="shared" ca="1" si="8"/>
        <v>10</v>
      </c>
      <c r="AK26" s="21">
        <f t="shared" ca="1" si="8"/>
        <v>10</v>
      </c>
      <c r="AL26" s="21">
        <f t="shared" ca="1" si="8"/>
        <v>10</v>
      </c>
      <c r="AM26" s="21">
        <f t="shared" ca="1" si="8"/>
        <v>10</v>
      </c>
      <c r="AN26" s="21">
        <f t="shared" ca="1" si="8"/>
        <v>10</v>
      </c>
      <c r="AO26" s="21">
        <f t="shared" ca="1" si="8"/>
        <v>10</v>
      </c>
      <c r="AP26" s="21">
        <f t="shared" ca="1" si="8"/>
        <v>10</v>
      </c>
      <c r="AQ26" s="21">
        <f t="shared" ca="1" si="8"/>
        <v>10</v>
      </c>
      <c r="AR26" s="21">
        <f t="shared" ca="1" si="8"/>
        <v>10</v>
      </c>
      <c r="AS26" s="21">
        <f t="shared" ca="1" si="8"/>
        <v>10</v>
      </c>
      <c r="AT26" s="21">
        <f t="shared" ca="1" si="8"/>
        <v>10</v>
      </c>
      <c r="AU26" s="21">
        <f t="shared" ca="1" si="8"/>
        <v>10</v>
      </c>
      <c r="AV26" s="21">
        <f t="shared" ca="1" si="8"/>
        <v>10</v>
      </c>
      <c r="AW26" s="21">
        <f t="shared" ca="1" si="8"/>
        <v>10</v>
      </c>
      <c r="AX26" s="21">
        <f t="shared" ca="1" si="8"/>
        <v>10</v>
      </c>
      <c r="AY26" s="21">
        <f t="shared" ca="1" si="8"/>
        <v>10</v>
      </c>
      <c r="AZ26" s="21">
        <f t="shared" ca="1" si="8"/>
        <v>10</v>
      </c>
      <c r="BA26" s="21">
        <f t="shared" ca="1" si="8"/>
        <v>10</v>
      </c>
      <c r="BB26" s="21">
        <f t="shared" ca="1" si="8"/>
        <v>10</v>
      </c>
      <c r="BC26" s="21">
        <f t="shared" ca="1" si="8"/>
        <v>10</v>
      </c>
      <c r="BD26" s="21">
        <f t="shared" ca="1" si="8"/>
        <v>10</v>
      </c>
      <c r="BE26" s="21">
        <f t="shared" ca="1" si="8"/>
        <v>10</v>
      </c>
      <c r="BF26" s="21">
        <f t="shared" ca="1" si="8"/>
        <v>10</v>
      </c>
      <c r="BG26" s="21">
        <f t="shared" ca="1" si="8"/>
        <v>10</v>
      </c>
      <c r="BH26" s="21">
        <f t="shared" ca="1" si="8"/>
        <v>10</v>
      </c>
      <c r="BI26" s="21">
        <f t="shared" ca="1" si="8"/>
        <v>10</v>
      </c>
      <c r="BJ26" s="21">
        <f t="shared" ca="1" si="8"/>
        <v>10</v>
      </c>
      <c r="BK26" s="21">
        <f t="shared" ca="1" si="8"/>
        <v>10</v>
      </c>
      <c r="BL26" s="21">
        <f t="shared" ca="1" si="8"/>
        <v>10</v>
      </c>
      <c r="BM26" s="21">
        <f t="shared" ca="1" si="8"/>
        <v>10</v>
      </c>
      <c r="BN26" s="21">
        <f t="shared" ca="1" si="8"/>
        <v>10</v>
      </c>
      <c r="BO26" s="21">
        <f t="shared" ca="1" si="8"/>
        <v>10</v>
      </c>
      <c r="BP26" s="21">
        <f t="shared" ca="1" si="8"/>
        <v>10</v>
      </c>
      <c r="BQ26" s="21">
        <f t="shared" ref="BQ26:CT26" ca="1" si="9">BP26+BQ25</f>
        <v>10</v>
      </c>
      <c r="BR26" s="21">
        <f t="shared" ca="1" si="9"/>
        <v>10</v>
      </c>
      <c r="BS26" s="21">
        <f t="shared" ca="1" si="9"/>
        <v>10</v>
      </c>
      <c r="BT26" s="21">
        <f t="shared" ca="1" si="9"/>
        <v>10</v>
      </c>
      <c r="BU26" s="21">
        <f t="shared" ca="1" si="9"/>
        <v>10</v>
      </c>
      <c r="BV26" s="21">
        <f t="shared" ca="1" si="9"/>
        <v>10</v>
      </c>
      <c r="BW26" s="21">
        <f t="shared" ca="1" si="9"/>
        <v>10</v>
      </c>
      <c r="BX26" s="21">
        <f t="shared" ca="1" si="9"/>
        <v>10</v>
      </c>
      <c r="BY26" s="21">
        <f t="shared" ca="1" si="9"/>
        <v>10</v>
      </c>
      <c r="BZ26" s="21">
        <f t="shared" ca="1" si="9"/>
        <v>10</v>
      </c>
      <c r="CA26" s="21">
        <f t="shared" ca="1" si="9"/>
        <v>10</v>
      </c>
      <c r="CB26" s="21">
        <f t="shared" ca="1" si="9"/>
        <v>10</v>
      </c>
      <c r="CC26" s="21">
        <f t="shared" ca="1" si="9"/>
        <v>10</v>
      </c>
      <c r="CD26" s="21">
        <f t="shared" ca="1" si="9"/>
        <v>10</v>
      </c>
      <c r="CE26" s="21">
        <f t="shared" ca="1" si="9"/>
        <v>10</v>
      </c>
      <c r="CF26" s="21">
        <f t="shared" ca="1" si="9"/>
        <v>10</v>
      </c>
      <c r="CG26" s="21">
        <f t="shared" ca="1" si="9"/>
        <v>10</v>
      </c>
      <c r="CH26" s="21">
        <f t="shared" ca="1" si="9"/>
        <v>10</v>
      </c>
      <c r="CI26" s="21">
        <f t="shared" ca="1" si="9"/>
        <v>10</v>
      </c>
      <c r="CJ26" s="21">
        <f t="shared" ca="1" si="9"/>
        <v>10</v>
      </c>
      <c r="CK26" s="21">
        <f t="shared" ca="1" si="9"/>
        <v>10</v>
      </c>
      <c r="CL26" s="21">
        <f t="shared" ca="1" si="9"/>
        <v>10</v>
      </c>
      <c r="CM26" s="21">
        <f t="shared" ca="1" si="9"/>
        <v>10</v>
      </c>
      <c r="CN26" s="21">
        <f t="shared" ca="1" si="9"/>
        <v>10</v>
      </c>
      <c r="CO26" s="21">
        <f t="shared" ca="1" si="9"/>
        <v>10</v>
      </c>
      <c r="CP26" s="21">
        <f t="shared" ca="1" si="9"/>
        <v>10</v>
      </c>
      <c r="CQ26" s="21">
        <f t="shared" ca="1" si="9"/>
        <v>10</v>
      </c>
      <c r="CR26" s="21">
        <f t="shared" ca="1" si="9"/>
        <v>10</v>
      </c>
      <c r="CS26" s="21">
        <f t="shared" ca="1" si="9"/>
        <v>10</v>
      </c>
      <c r="CT26" s="21">
        <f t="shared" ca="1" si="9"/>
        <v>10</v>
      </c>
    </row>
    <row r="27" spans="2:98">
      <c r="B27" s="20" t="s">
        <v>24</v>
      </c>
      <c r="C27" s="21">
        <f ca="1">C26-C24</f>
        <v>0</v>
      </c>
      <c r="D27" s="21">
        <f t="shared" ref="D27:BO27" ca="1" si="10">D26-D24</f>
        <v>0</v>
      </c>
      <c r="E27" s="21">
        <f t="shared" ca="1" si="10"/>
        <v>0</v>
      </c>
      <c r="F27" s="21">
        <f t="shared" ca="1" si="10"/>
        <v>0</v>
      </c>
      <c r="G27" s="21">
        <f t="shared" ca="1" si="10"/>
        <v>0</v>
      </c>
      <c r="H27" s="21">
        <f t="shared" ca="1" si="10"/>
        <v>0</v>
      </c>
      <c r="I27" s="21">
        <f t="shared" ca="1" si="10"/>
        <v>0</v>
      </c>
      <c r="J27" s="21">
        <f t="shared" ca="1" si="10"/>
        <v>0</v>
      </c>
      <c r="K27" s="21">
        <f t="shared" ca="1" si="10"/>
        <v>0</v>
      </c>
      <c r="L27" s="21">
        <f t="shared" ca="1" si="10"/>
        <v>0</v>
      </c>
      <c r="M27" s="21">
        <f t="shared" ca="1" si="10"/>
        <v>0</v>
      </c>
      <c r="N27" s="21">
        <f t="shared" ca="1" si="10"/>
        <v>0</v>
      </c>
      <c r="O27" s="21">
        <f t="shared" ca="1" si="10"/>
        <v>0</v>
      </c>
      <c r="P27" s="21">
        <f t="shared" ca="1" si="10"/>
        <v>0</v>
      </c>
      <c r="Q27" s="21">
        <f t="shared" ca="1" si="10"/>
        <v>-1</v>
      </c>
      <c r="R27" s="21">
        <f t="shared" ca="1" si="10"/>
        <v>-1</v>
      </c>
      <c r="S27" s="21">
        <f t="shared" ca="1" si="10"/>
        <v>-1</v>
      </c>
      <c r="T27" s="21">
        <f t="shared" ca="1" si="10"/>
        <v>-2</v>
      </c>
      <c r="U27" s="21">
        <f t="shared" ca="1" si="10"/>
        <v>-3</v>
      </c>
      <c r="V27" s="21">
        <f t="shared" ca="1" si="10"/>
        <v>-3</v>
      </c>
      <c r="W27" s="21">
        <f t="shared" ca="1" si="10"/>
        <v>-3</v>
      </c>
      <c r="X27" s="21">
        <f t="shared" ca="1" si="10"/>
        <v>-3</v>
      </c>
      <c r="Y27" s="21">
        <f t="shared" ca="1" si="10"/>
        <v>-3</v>
      </c>
      <c r="Z27" s="21">
        <f t="shared" ca="1" si="10"/>
        <v>-3</v>
      </c>
      <c r="AA27" s="21">
        <f t="shared" ca="1" si="10"/>
        <v>-5</v>
      </c>
      <c r="AB27" s="21">
        <f t="shared" ca="1" si="10"/>
        <v>-6</v>
      </c>
      <c r="AC27" s="21">
        <f t="shared" ca="1" si="10"/>
        <v>-6</v>
      </c>
      <c r="AD27" s="21">
        <f t="shared" ca="1" si="10"/>
        <v>-6</v>
      </c>
      <c r="AE27" s="21">
        <f t="shared" ca="1" si="10"/>
        <v>-6</v>
      </c>
      <c r="AF27" s="21">
        <f t="shared" ca="1" si="10"/>
        <v>-6</v>
      </c>
      <c r="AG27" s="21">
        <f t="shared" ca="1" si="10"/>
        <v>-7</v>
      </c>
      <c r="AH27" s="21">
        <f t="shared" ca="1" si="10"/>
        <v>-8</v>
      </c>
      <c r="AI27" s="21">
        <f t="shared" ca="1" si="10"/>
        <v>-8</v>
      </c>
      <c r="AJ27" s="21">
        <f t="shared" ca="1" si="10"/>
        <v>-8</v>
      </c>
      <c r="AK27" s="21">
        <f t="shared" ca="1" si="10"/>
        <v>-8</v>
      </c>
      <c r="AL27" s="21">
        <f t="shared" ca="1" si="10"/>
        <v>-8</v>
      </c>
      <c r="AM27" s="21">
        <f t="shared" ca="1" si="10"/>
        <v>-9</v>
      </c>
      <c r="AN27" s="21">
        <f t="shared" ca="1" si="10"/>
        <v>-10</v>
      </c>
      <c r="AO27" s="21">
        <f t="shared" ca="1" si="10"/>
        <v>-10</v>
      </c>
      <c r="AP27" s="21">
        <f t="shared" ca="1" si="10"/>
        <v>-10</v>
      </c>
      <c r="AQ27" s="21">
        <f t="shared" ca="1" si="10"/>
        <v>-10</v>
      </c>
      <c r="AR27" s="21">
        <f t="shared" ca="1" si="10"/>
        <v>-10</v>
      </c>
      <c r="AS27" s="21">
        <f t="shared" ca="1" si="10"/>
        <v>-11</v>
      </c>
      <c r="AT27" s="21">
        <f t="shared" ca="1" si="10"/>
        <v>-12</v>
      </c>
      <c r="AU27" s="21">
        <f t="shared" ca="1" si="10"/>
        <v>-12</v>
      </c>
      <c r="AV27" s="21">
        <f t="shared" ca="1" si="10"/>
        <v>-12</v>
      </c>
      <c r="AW27" s="21">
        <f t="shared" ca="1" si="10"/>
        <v>-13</v>
      </c>
      <c r="AX27" s="21">
        <f t="shared" ca="1" si="10"/>
        <v>-13</v>
      </c>
      <c r="AY27" s="21">
        <f t="shared" ca="1" si="10"/>
        <v>-13</v>
      </c>
      <c r="AZ27" s="21">
        <f t="shared" ca="1" si="10"/>
        <v>-13</v>
      </c>
      <c r="BA27" s="21">
        <f t="shared" ca="1" si="10"/>
        <v>-14</v>
      </c>
      <c r="BB27" s="21">
        <f t="shared" ca="1" si="10"/>
        <v>-14</v>
      </c>
      <c r="BC27" s="21">
        <f t="shared" ca="1" si="10"/>
        <v>-14</v>
      </c>
      <c r="BD27" s="21">
        <f t="shared" ca="1" si="10"/>
        <v>-15</v>
      </c>
      <c r="BE27" s="21">
        <f t="shared" ca="1" si="10"/>
        <v>-15</v>
      </c>
      <c r="BF27" s="21">
        <f t="shared" ca="1" si="10"/>
        <v>-15</v>
      </c>
      <c r="BG27" s="21">
        <f t="shared" ca="1" si="10"/>
        <v>-16</v>
      </c>
      <c r="BH27" s="21">
        <f t="shared" ca="1" si="10"/>
        <v>-16</v>
      </c>
      <c r="BI27" s="21">
        <f t="shared" ca="1" si="10"/>
        <v>-16</v>
      </c>
      <c r="BJ27" s="21">
        <f t="shared" ca="1" si="10"/>
        <v>-21</v>
      </c>
      <c r="BK27" s="21">
        <f t="shared" ca="1" si="10"/>
        <v>-22</v>
      </c>
      <c r="BL27" s="21">
        <f t="shared" ca="1" si="10"/>
        <v>-22</v>
      </c>
      <c r="BM27" s="21">
        <f t="shared" ca="1" si="10"/>
        <v>-22</v>
      </c>
      <c r="BN27" s="21">
        <f t="shared" ca="1" si="10"/>
        <v>-25</v>
      </c>
      <c r="BO27" s="21">
        <f t="shared" ca="1" si="10"/>
        <v>-28</v>
      </c>
      <c r="BP27" s="21">
        <f t="shared" ref="BP27:EA27" ca="1" si="11">BP26-BP24</f>
        <v>-35</v>
      </c>
      <c r="BQ27" s="21">
        <f t="shared" ca="1" si="11"/>
        <v>-39</v>
      </c>
      <c r="BR27" s="21">
        <f t="shared" ca="1" si="11"/>
        <v>-42</v>
      </c>
      <c r="BS27" s="21">
        <f t="shared" ca="1" si="11"/>
        <v>-42</v>
      </c>
      <c r="BT27" s="21">
        <f t="shared" ca="1" si="11"/>
        <v>-42</v>
      </c>
      <c r="BU27" s="21">
        <f t="shared" ca="1" si="11"/>
        <v>-42</v>
      </c>
      <c r="BV27" s="21">
        <f t="shared" ca="1" si="11"/>
        <v>-42</v>
      </c>
      <c r="BW27" s="21">
        <f t="shared" ca="1" si="11"/>
        <v>-43</v>
      </c>
      <c r="BX27" s="21">
        <f t="shared" ca="1" si="11"/>
        <v>-44</v>
      </c>
      <c r="BY27" s="21">
        <f t="shared" ca="1" si="11"/>
        <v>-47</v>
      </c>
      <c r="BZ27" s="21">
        <f t="shared" ca="1" si="11"/>
        <v>-47</v>
      </c>
      <c r="CA27" s="21">
        <f t="shared" ca="1" si="11"/>
        <v>-47</v>
      </c>
      <c r="CB27" s="21">
        <f t="shared" ca="1" si="11"/>
        <v>-50</v>
      </c>
      <c r="CC27" s="21">
        <f t="shared" ca="1" si="11"/>
        <v>-57</v>
      </c>
      <c r="CD27" s="21">
        <f t="shared" ca="1" si="11"/>
        <v>-61</v>
      </c>
      <c r="CE27" s="21">
        <f t="shared" ca="1" si="11"/>
        <v>-64</v>
      </c>
      <c r="CF27" s="21">
        <f t="shared" ca="1" si="11"/>
        <v>-64</v>
      </c>
      <c r="CG27" s="21">
        <f t="shared" ca="1" si="11"/>
        <v>-64</v>
      </c>
      <c r="CH27" s="21">
        <f t="shared" ca="1" si="11"/>
        <v>-64</v>
      </c>
      <c r="CI27" s="21">
        <f t="shared" ca="1" si="11"/>
        <v>-64</v>
      </c>
      <c r="CJ27" s="21">
        <f t="shared" ca="1" si="11"/>
        <v>-65</v>
      </c>
      <c r="CK27" s="21">
        <f t="shared" ca="1" si="11"/>
        <v>-69</v>
      </c>
      <c r="CL27" s="21">
        <f t="shared" ca="1" si="11"/>
        <v>-72</v>
      </c>
      <c r="CM27" s="21">
        <f t="shared" ca="1" si="11"/>
        <v>-78</v>
      </c>
      <c r="CN27" s="21">
        <f t="shared" ca="1" si="11"/>
        <v>-78</v>
      </c>
      <c r="CO27" s="21">
        <f t="shared" ca="1" si="11"/>
        <v>-78</v>
      </c>
      <c r="CP27" s="21">
        <f t="shared" ca="1" si="11"/>
        <v>-82</v>
      </c>
      <c r="CQ27" s="21">
        <f t="shared" ca="1" si="11"/>
        <v>-86</v>
      </c>
      <c r="CR27" s="21">
        <f t="shared" ca="1" si="11"/>
        <v>-86</v>
      </c>
      <c r="CS27" s="21">
        <f t="shared" ca="1" si="11"/>
        <v>-86</v>
      </c>
      <c r="CT27" s="21">
        <f t="shared" ca="1" si="11"/>
        <v>-86</v>
      </c>
    </row>
    <row r="30" spans="2:98" ht="19.5">
      <c r="B30" s="25" t="s">
        <v>391</v>
      </c>
    </row>
    <row r="45" spans="2:3" ht="15.5" thickBot="1"/>
    <row r="46" spans="2:3" ht="15.5" thickBot="1">
      <c r="B46" s="15" t="s">
        <v>18</v>
      </c>
      <c r="C46" s="16">
        <f>Progress!C46</f>
        <v>1</v>
      </c>
    </row>
    <row r="47" spans="2:3" ht="7" customHeight="1">
      <c r="B47" s="17"/>
    </row>
    <row r="48" spans="2:3">
      <c r="B48" s="23" t="str">
        <f>B20</f>
        <v>WBS(共通)</v>
      </c>
    </row>
    <row r="49" spans="2:98" ht="8.5" customHeight="1"/>
    <row r="50" spans="2:98">
      <c r="B50" s="18" t="s">
        <v>19</v>
      </c>
      <c r="C50" s="19">
        <v>45810</v>
      </c>
      <c r="D50" s="19">
        <f>C50+$C$18</f>
        <v>45811</v>
      </c>
      <c r="E50" s="19">
        <f t="shared" ref="E50:BP50" si="12">D50+$C$18</f>
        <v>45812</v>
      </c>
      <c r="F50" s="19">
        <f t="shared" si="12"/>
        <v>45813</v>
      </c>
      <c r="G50" s="19">
        <f t="shared" si="12"/>
        <v>45814</v>
      </c>
      <c r="H50" s="19">
        <f t="shared" si="12"/>
        <v>45815</v>
      </c>
      <c r="I50" s="19">
        <f t="shared" si="12"/>
        <v>45816</v>
      </c>
      <c r="J50" s="19">
        <f t="shared" si="12"/>
        <v>45817</v>
      </c>
      <c r="K50" s="19">
        <f t="shared" si="12"/>
        <v>45818</v>
      </c>
      <c r="L50" s="19">
        <f t="shared" si="12"/>
        <v>45819</v>
      </c>
      <c r="M50" s="19">
        <f t="shared" si="12"/>
        <v>45820</v>
      </c>
      <c r="N50" s="19">
        <f t="shared" si="12"/>
        <v>45821</v>
      </c>
      <c r="O50" s="19">
        <f t="shared" si="12"/>
        <v>45822</v>
      </c>
      <c r="P50" s="19">
        <f t="shared" si="12"/>
        <v>45823</v>
      </c>
      <c r="Q50" s="19">
        <f t="shared" si="12"/>
        <v>45824</v>
      </c>
      <c r="R50" s="19">
        <f t="shared" si="12"/>
        <v>45825</v>
      </c>
      <c r="S50" s="19">
        <f t="shared" si="12"/>
        <v>45826</v>
      </c>
      <c r="T50" s="19">
        <f t="shared" si="12"/>
        <v>45827</v>
      </c>
      <c r="U50" s="19">
        <f t="shared" si="12"/>
        <v>45828</v>
      </c>
      <c r="V50" s="19">
        <f t="shared" si="12"/>
        <v>45829</v>
      </c>
      <c r="W50" s="19">
        <f t="shared" si="12"/>
        <v>45830</v>
      </c>
      <c r="X50" s="19">
        <f t="shared" si="12"/>
        <v>45831</v>
      </c>
      <c r="Y50" s="19">
        <f t="shared" si="12"/>
        <v>45832</v>
      </c>
      <c r="Z50" s="19">
        <f t="shared" si="12"/>
        <v>45833</v>
      </c>
      <c r="AA50" s="19">
        <f t="shared" si="12"/>
        <v>45834</v>
      </c>
      <c r="AB50" s="19">
        <f t="shared" si="12"/>
        <v>45835</v>
      </c>
      <c r="AC50" s="19">
        <f t="shared" si="12"/>
        <v>45836</v>
      </c>
      <c r="AD50" s="19">
        <f t="shared" si="12"/>
        <v>45837</v>
      </c>
      <c r="AE50" s="19">
        <f t="shared" si="12"/>
        <v>45838</v>
      </c>
      <c r="AF50" s="19">
        <f t="shared" si="12"/>
        <v>45839</v>
      </c>
      <c r="AG50" s="19">
        <f t="shared" si="12"/>
        <v>45840</v>
      </c>
      <c r="AH50" s="19">
        <f t="shared" si="12"/>
        <v>45841</v>
      </c>
      <c r="AI50" s="19">
        <f t="shared" si="12"/>
        <v>45842</v>
      </c>
      <c r="AJ50" s="19">
        <f t="shared" si="12"/>
        <v>45843</v>
      </c>
      <c r="AK50" s="19">
        <f t="shared" si="12"/>
        <v>45844</v>
      </c>
      <c r="AL50" s="19">
        <f t="shared" si="12"/>
        <v>45845</v>
      </c>
      <c r="AM50" s="19">
        <f t="shared" si="12"/>
        <v>45846</v>
      </c>
      <c r="AN50" s="19">
        <f t="shared" si="12"/>
        <v>45847</v>
      </c>
      <c r="AO50" s="19">
        <f t="shared" si="12"/>
        <v>45848</v>
      </c>
      <c r="AP50" s="19">
        <f t="shared" si="12"/>
        <v>45849</v>
      </c>
      <c r="AQ50" s="19">
        <f t="shared" si="12"/>
        <v>45850</v>
      </c>
      <c r="AR50" s="19">
        <f t="shared" si="12"/>
        <v>45851</v>
      </c>
      <c r="AS50" s="19">
        <f t="shared" si="12"/>
        <v>45852</v>
      </c>
      <c r="AT50" s="19">
        <f t="shared" si="12"/>
        <v>45853</v>
      </c>
      <c r="AU50" s="19">
        <f t="shared" si="12"/>
        <v>45854</v>
      </c>
      <c r="AV50" s="19">
        <f t="shared" si="12"/>
        <v>45855</v>
      </c>
      <c r="AW50" s="19">
        <f t="shared" si="12"/>
        <v>45856</v>
      </c>
      <c r="AX50" s="19">
        <f t="shared" si="12"/>
        <v>45857</v>
      </c>
      <c r="AY50" s="19">
        <f t="shared" si="12"/>
        <v>45858</v>
      </c>
      <c r="AZ50" s="19">
        <f t="shared" si="12"/>
        <v>45859</v>
      </c>
      <c r="BA50" s="19">
        <f t="shared" si="12"/>
        <v>45860</v>
      </c>
      <c r="BB50" s="19">
        <f t="shared" si="12"/>
        <v>45861</v>
      </c>
      <c r="BC50" s="19">
        <f t="shared" si="12"/>
        <v>45862</v>
      </c>
      <c r="BD50" s="19">
        <f t="shared" si="12"/>
        <v>45863</v>
      </c>
      <c r="BE50" s="19">
        <f t="shared" si="12"/>
        <v>45864</v>
      </c>
      <c r="BF50" s="19">
        <f t="shared" si="12"/>
        <v>45865</v>
      </c>
      <c r="BG50" s="19">
        <f t="shared" si="12"/>
        <v>45866</v>
      </c>
      <c r="BH50" s="19">
        <f t="shared" si="12"/>
        <v>45867</v>
      </c>
      <c r="BI50" s="19">
        <f t="shared" si="12"/>
        <v>45868</v>
      </c>
      <c r="BJ50" s="19">
        <f t="shared" si="12"/>
        <v>45869</v>
      </c>
      <c r="BK50" s="19">
        <f t="shared" si="12"/>
        <v>45870</v>
      </c>
      <c r="BL50" s="19">
        <f t="shared" si="12"/>
        <v>45871</v>
      </c>
      <c r="BM50" s="19">
        <f t="shared" si="12"/>
        <v>45872</v>
      </c>
      <c r="BN50" s="19">
        <f t="shared" si="12"/>
        <v>45873</v>
      </c>
      <c r="BO50" s="19">
        <f t="shared" si="12"/>
        <v>45874</v>
      </c>
      <c r="BP50" s="19">
        <f t="shared" si="12"/>
        <v>45875</v>
      </c>
      <c r="BQ50" s="19">
        <f t="shared" ref="BQ50:CT50" si="13">BP50+$C$18</f>
        <v>45876</v>
      </c>
      <c r="BR50" s="19">
        <f t="shared" si="13"/>
        <v>45877</v>
      </c>
      <c r="BS50" s="19">
        <f t="shared" si="13"/>
        <v>45878</v>
      </c>
      <c r="BT50" s="19">
        <f t="shared" si="13"/>
        <v>45879</v>
      </c>
      <c r="BU50" s="19">
        <f t="shared" si="13"/>
        <v>45880</v>
      </c>
      <c r="BV50" s="19">
        <f t="shared" si="13"/>
        <v>45881</v>
      </c>
      <c r="BW50" s="19">
        <f t="shared" si="13"/>
        <v>45882</v>
      </c>
      <c r="BX50" s="19">
        <f t="shared" si="13"/>
        <v>45883</v>
      </c>
      <c r="BY50" s="19">
        <f t="shared" si="13"/>
        <v>45884</v>
      </c>
      <c r="BZ50" s="19">
        <f t="shared" si="13"/>
        <v>45885</v>
      </c>
      <c r="CA50" s="19">
        <f t="shared" si="13"/>
        <v>45886</v>
      </c>
      <c r="CB50" s="19">
        <f t="shared" si="13"/>
        <v>45887</v>
      </c>
      <c r="CC50" s="19">
        <f t="shared" si="13"/>
        <v>45888</v>
      </c>
      <c r="CD50" s="19">
        <f t="shared" si="13"/>
        <v>45889</v>
      </c>
      <c r="CE50" s="19">
        <f t="shared" si="13"/>
        <v>45890</v>
      </c>
      <c r="CF50" s="19">
        <f t="shared" si="13"/>
        <v>45891</v>
      </c>
      <c r="CG50" s="19">
        <f t="shared" si="13"/>
        <v>45892</v>
      </c>
      <c r="CH50" s="19">
        <f t="shared" si="13"/>
        <v>45893</v>
      </c>
      <c r="CI50" s="19">
        <f t="shared" si="13"/>
        <v>45894</v>
      </c>
      <c r="CJ50" s="19">
        <f t="shared" si="13"/>
        <v>45895</v>
      </c>
      <c r="CK50" s="19">
        <f t="shared" si="13"/>
        <v>45896</v>
      </c>
      <c r="CL50" s="19">
        <f t="shared" si="13"/>
        <v>45897</v>
      </c>
      <c r="CM50" s="19">
        <f t="shared" si="13"/>
        <v>45898</v>
      </c>
      <c r="CN50" s="19">
        <f t="shared" si="13"/>
        <v>45899</v>
      </c>
      <c r="CO50" s="19">
        <f t="shared" si="13"/>
        <v>45900</v>
      </c>
      <c r="CP50" s="19">
        <f t="shared" si="13"/>
        <v>45901</v>
      </c>
      <c r="CQ50" s="19">
        <f t="shared" si="13"/>
        <v>45902</v>
      </c>
      <c r="CR50" s="19">
        <f t="shared" si="13"/>
        <v>45903</v>
      </c>
      <c r="CS50" s="19">
        <f t="shared" si="13"/>
        <v>45904</v>
      </c>
      <c r="CT50" s="19">
        <f t="shared" si="13"/>
        <v>45905</v>
      </c>
    </row>
    <row r="51" spans="2:98">
      <c r="B51" s="20" t="s">
        <v>382</v>
      </c>
      <c r="C51" s="21">
        <f ca="1">COUNTIFS(INDIRECT("'" &amp; $B$20 &amp; "'!$S:$S"),"&gt;=" &amp; C$22,INDIRECT("'" &amp; $B$20 &amp; "'!$S:$S"), "&lt;" &amp; D$22)</f>
        <v>1</v>
      </c>
      <c r="D51" s="21">
        <f t="shared" ref="D51:BO51" ca="1" si="14">COUNTIFS(INDIRECT("'" &amp; $B$20 &amp; "'!$S:$S"),"&gt;=" &amp; D$22,INDIRECT("'" &amp; $B$20 &amp; "'!$S:$S"), "&lt;" &amp; E$22)</f>
        <v>6</v>
      </c>
      <c r="E51" s="21">
        <f t="shared" ca="1" si="14"/>
        <v>2</v>
      </c>
      <c r="F51" s="21">
        <f t="shared" ca="1" si="14"/>
        <v>0</v>
      </c>
      <c r="G51" s="21">
        <f t="shared" ca="1" si="14"/>
        <v>0</v>
      </c>
      <c r="H51" s="21">
        <f t="shared" ca="1" si="14"/>
        <v>0</v>
      </c>
      <c r="I51" s="21">
        <f t="shared" ca="1" si="14"/>
        <v>0</v>
      </c>
      <c r="J51" s="21">
        <f t="shared" ca="1" si="14"/>
        <v>0</v>
      </c>
      <c r="K51" s="21">
        <f t="shared" ca="1" si="14"/>
        <v>2</v>
      </c>
      <c r="L51" s="21">
        <f t="shared" ca="1" si="14"/>
        <v>0</v>
      </c>
      <c r="M51" s="21">
        <f t="shared" ca="1" si="14"/>
        <v>0</v>
      </c>
      <c r="N51" s="21">
        <f t="shared" ca="1" si="14"/>
        <v>0</v>
      </c>
      <c r="O51" s="21">
        <f t="shared" ca="1" si="14"/>
        <v>0</v>
      </c>
      <c r="P51" s="21">
        <f t="shared" ca="1" si="14"/>
        <v>0</v>
      </c>
      <c r="Q51" s="21">
        <f t="shared" ca="1" si="14"/>
        <v>3</v>
      </c>
      <c r="R51" s="21">
        <f t="shared" ca="1" si="14"/>
        <v>0</v>
      </c>
      <c r="S51" s="21">
        <f t="shared" ca="1" si="14"/>
        <v>0</v>
      </c>
      <c r="T51" s="21">
        <f t="shared" ca="1" si="14"/>
        <v>0</v>
      </c>
      <c r="U51" s="21">
        <f t="shared" ca="1" si="14"/>
        <v>1</v>
      </c>
      <c r="V51" s="21">
        <f t="shared" ca="1" si="14"/>
        <v>0</v>
      </c>
      <c r="W51" s="21">
        <f t="shared" ca="1" si="14"/>
        <v>0</v>
      </c>
      <c r="X51" s="21">
        <f t="shared" ca="1" si="14"/>
        <v>1</v>
      </c>
      <c r="Y51" s="21">
        <f t="shared" ca="1" si="14"/>
        <v>0</v>
      </c>
      <c r="Z51" s="21">
        <f t="shared" ca="1" si="14"/>
        <v>0</v>
      </c>
      <c r="AA51" s="21">
        <f t="shared" ca="1" si="14"/>
        <v>0</v>
      </c>
      <c r="AB51" s="21">
        <f t="shared" ca="1" si="14"/>
        <v>2</v>
      </c>
      <c r="AC51" s="21">
        <f t="shared" ca="1" si="14"/>
        <v>0</v>
      </c>
      <c r="AD51" s="21">
        <f t="shared" ca="1" si="14"/>
        <v>0</v>
      </c>
      <c r="AE51" s="21">
        <f t="shared" ca="1" si="14"/>
        <v>0</v>
      </c>
      <c r="AF51" s="21">
        <f t="shared" ca="1" si="14"/>
        <v>0</v>
      </c>
      <c r="AG51" s="21">
        <f t="shared" ca="1" si="14"/>
        <v>0</v>
      </c>
      <c r="AH51" s="21">
        <f t="shared" ca="1" si="14"/>
        <v>2</v>
      </c>
      <c r="AI51" s="21">
        <f t="shared" ca="1" si="14"/>
        <v>0</v>
      </c>
      <c r="AJ51" s="21">
        <f t="shared" ca="1" si="14"/>
        <v>0</v>
      </c>
      <c r="AK51" s="21">
        <f t="shared" ca="1" si="14"/>
        <v>0</v>
      </c>
      <c r="AL51" s="21">
        <f t="shared" ca="1" si="14"/>
        <v>0</v>
      </c>
      <c r="AM51" s="21">
        <f t="shared" ca="1" si="14"/>
        <v>0</v>
      </c>
      <c r="AN51" s="21">
        <f t="shared" ca="1" si="14"/>
        <v>2</v>
      </c>
      <c r="AO51" s="21">
        <f t="shared" ca="1" si="14"/>
        <v>0</v>
      </c>
      <c r="AP51" s="21">
        <f t="shared" ca="1" si="14"/>
        <v>0</v>
      </c>
      <c r="AQ51" s="21">
        <f t="shared" ca="1" si="14"/>
        <v>0</v>
      </c>
      <c r="AR51" s="21">
        <f t="shared" ca="1" si="14"/>
        <v>0</v>
      </c>
      <c r="AS51" s="21">
        <f t="shared" ca="1" si="14"/>
        <v>0</v>
      </c>
      <c r="AT51" s="21">
        <f t="shared" ca="1" si="14"/>
        <v>2</v>
      </c>
      <c r="AU51" s="21">
        <f t="shared" ca="1" si="14"/>
        <v>0</v>
      </c>
      <c r="AV51" s="21">
        <f t="shared" ca="1" si="14"/>
        <v>0</v>
      </c>
      <c r="AW51" s="21">
        <f t="shared" ca="1" si="14"/>
        <v>0</v>
      </c>
      <c r="AX51" s="21">
        <f t="shared" ca="1" si="14"/>
        <v>0</v>
      </c>
      <c r="AY51" s="21">
        <f t="shared" ca="1" si="14"/>
        <v>0</v>
      </c>
      <c r="AZ51" s="21">
        <f t="shared" ca="1" si="14"/>
        <v>0</v>
      </c>
      <c r="BA51" s="21">
        <f t="shared" ca="1" si="14"/>
        <v>2</v>
      </c>
      <c r="BB51" s="21">
        <f t="shared" ca="1" si="14"/>
        <v>0</v>
      </c>
      <c r="BC51" s="21">
        <f t="shared" ca="1" si="14"/>
        <v>0</v>
      </c>
      <c r="BD51" s="21">
        <f t="shared" ca="1" si="14"/>
        <v>0</v>
      </c>
      <c r="BE51" s="21">
        <f t="shared" ca="1" si="14"/>
        <v>0</v>
      </c>
      <c r="BF51" s="21">
        <f t="shared" ca="1" si="14"/>
        <v>0</v>
      </c>
      <c r="BG51" s="21">
        <f t="shared" ca="1" si="14"/>
        <v>2</v>
      </c>
      <c r="BH51" s="21">
        <f t="shared" ca="1" si="14"/>
        <v>3</v>
      </c>
      <c r="BI51" s="21">
        <f t="shared" ca="1" si="14"/>
        <v>0</v>
      </c>
      <c r="BJ51" s="21">
        <f t="shared" ca="1" si="14"/>
        <v>0</v>
      </c>
      <c r="BK51" s="21">
        <f t="shared" ca="1" si="14"/>
        <v>3</v>
      </c>
      <c r="BL51" s="21">
        <f t="shared" ca="1" si="14"/>
        <v>0</v>
      </c>
      <c r="BM51" s="21">
        <f t="shared" ca="1" si="14"/>
        <v>0</v>
      </c>
      <c r="BN51" s="21">
        <f t="shared" ca="1" si="14"/>
        <v>0</v>
      </c>
      <c r="BO51" s="21">
        <f t="shared" ca="1" si="14"/>
        <v>3</v>
      </c>
      <c r="BP51" s="21">
        <f t="shared" ref="BP51:CT51" ca="1" si="15">COUNTIFS(INDIRECT("'" &amp; $B$20 &amp; "'!$S:$S"),"&gt;=" &amp; BP$22,INDIRECT("'" &amp; $B$20 &amp; "'!$S:$S"), "&lt;" &amp; BQ$22)</f>
        <v>6</v>
      </c>
      <c r="BQ51" s="21">
        <f t="shared" ca="1" si="15"/>
        <v>5</v>
      </c>
      <c r="BR51" s="21">
        <f t="shared" ca="1" si="15"/>
        <v>3</v>
      </c>
      <c r="BS51" s="21">
        <f t="shared" ca="1" si="15"/>
        <v>0</v>
      </c>
      <c r="BT51" s="21">
        <f t="shared" ca="1" si="15"/>
        <v>0</v>
      </c>
      <c r="BU51" s="21">
        <f t="shared" ca="1" si="15"/>
        <v>0</v>
      </c>
      <c r="BV51" s="21">
        <f t="shared" ca="1" si="15"/>
        <v>3</v>
      </c>
      <c r="BW51" s="21">
        <f t="shared" ca="1" si="15"/>
        <v>0</v>
      </c>
      <c r="BX51" s="21">
        <f t="shared" ca="1" si="15"/>
        <v>2</v>
      </c>
      <c r="BY51" s="21">
        <f t="shared" ca="1" si="15"/>
        <v>0</v>
      </c>
      <c r="BZ51" s="21">
        <f t="shared" ca="1" si="15"/>
        <v>0</v>
      </c>
      <c r="CA51" s="21">
        <f t="shared" ca="1" si="15"/>
        <v>0</v>
      </c>
      <c r="CB51" s="21">
        <f t="shared" ca="1" si="15"/>
        <v>3</v>
      </c>
      <c r="CC51" s="21">
        <f t="shared" ca="1" si="15"/>
        <v>6</v>
      </c>
      <c r="CD51" s="21">
        <f t="shared" ca="1" si="15"/>
        <v>4</v>
      </c>
      <c r="CE51" s="21">
        <f t="shared" ca="1" si="15"/>
        <v>4</v>
      </c>
      <c r="CF51" s="21">
        <f t="shared" ca="1" si="15"/>
        <v>3</v>
      </c>
      <c r="CG51" s="21">
        <f t="shared" ca="1" si="15"/>
        <v>0</v>
      </c>
      <c r="CH51" s="21">
        <f t="shared" ca="1" si="15"/>
        <v>0</v>
      </c>
      <c r="CI51" s="21">
        <f t="shared" ca="1" si="15"/>
        <v>0</v>
      </c>
      <c r="CJ51" s="21">
        <f t="shared" ca="1" si="15"/>
        <v>0</v>
      </c>
      <c r="CK51" s="21">
        <f t="shared" ca="1" si="15"/>
        <v>2</v>
      </c>
      <c r="CL51" s="21">
        <f t="shared" ca="1" si="15"/>
        <v>3</v>
      </c>
      <c r="CM51" s="21">
        <f t="shared" ca="1" si="15"/>
        <v>6</v>
      </c>
      <c r="CN51" s="21">
        <f t="shared" ca="1" si="15"/>
        <v>0</v>
      </c>
      <c r="CO51" s="21">
        <f t="shared" ca="1" si="15"/>
        <v>0</v>
      </c>
      <c r="CP51" s="21">
        <f t="shared" ca="1" si="15"/>
        <v>3</v>
      </c>
      <c r="CQ51" s="21">
        <f t="shared" ca="1" si="15"/>
        <v>5</v>
      </c>
      <c r="CR51" s="21">
        <f t="shared" ca="1" si="15"/>
        <v>3</v>
      </c>
      <c r="CS51" s="21">
        <f t="shared" ca="1" si="15"/>
        <v>0</v>
      </c>
      <c r="CT51" s="21">
        <f t="shared" ca="1" si="15"/>
        <v>0</v>
      </c>
    </row>
    <row r="52" spans="2:98">
      <c r="B52" s="20" t="s">
        <v>21</v>
      </c>
      <c r="C52" s="21">
        <f ca="1">C51</f>
        <v>1</v>
      </c>
      <c r="D52" s="21">
        <f ca="1">C52+D51</f>
        <v>7</v>
      </c>
      <c r="E52" s="21">
        <f t="shared" ref="E52:BP52" ca="1" si="16">D52+E51</f>
        <v>9</v>
      </c>
      <c r="F52" s="21">
        <f t="shared" ca="1" si="16"/>
        <v>9</v>
      </c>
      <c r="G52" s="21">
        <f t="shared" ca="1" si="16"/>
        <v>9</v>
      </c>
      <c r="H52" s="21">
        <f t="shared" ca="1" si="16"/>
        <v>9</v>
      </c>
      <c r="I52" s="21">
        <f t="shared" ca="1" si="16"/>
        <v>9</v>
      </c>
      <c r="J52" s="21">
        <f t="shared" ca="1" si="16"/>
        <v>9</v>
      </c>
      <c r="K52" s="21">
        <f t="shared" ca="1" si="16"/>
        <v>11</v>
      </c>
      <c r="L52" s="21">
        <f t="shared" ca="1" si="16"/>
        <v>11</v>
      </c>
      <c r="M52" s="21">
        <f t="shared" ca="1" si="16"/>
        <v>11</v>
      </c>
      <c r="N52" s="21">
        <f t="shared" ca="1" si="16"/>
        <v>11</v>
      </c>
      <c r="O52" s="21">
        <f t="shared" ca="1" si="16"/>
        <v>11</v>
      </c>
      <c r="P52" s="21">
        <f t="shared" ca="1" si="16"/>
        <v>11</v>
      </c>
      <c r="Q52" s="21">
        <f t="shared" ca="1" si="16"/>
        <v>14</v>
      </c>
      <c r="R52" s="21">
        <f t="shared" ca="1" si="16"/>
        <v>14</v>
      </c>
      <c r="S52" s="21">
        <f t="shared" ca="1" si="16"/>
        <v>14</v>
      </c>
      <c r="T52" s="21">
        <f t="shared" ca="1" si="16"/>
        <v>14</v>
      </c>
      <c r="U52" s="21">
        <f t="shared" ca="1" si="16"/>
        <v>15</v>
      </c>
      <c r="V52" s="21">
        <f t="shared" ca="1" si="16"/>
        <v>15</v>
      </c>
      <c r="W52" s="21">
        <f t="shared" ca="1" si="16"/>
        <v>15</v>
      </c>
      <c r="X52" s="21">
        <f t="shared" ca="1" si="16"/>
        <v>16</v>
      </c>
      <c r="Y52" s="21">
        <f t="shared" ca="1" si="16"/>
        <v>16</v>
      </c>
      <c r="Z52" s="21">
        <f t="shared" ca="1" si="16"/>
        <v>16</v>
      </c>
      <c r="AA52" s="21">
        <f t="shared" ca="1" si="16"/>
        <v>16</v>
      </c>
      <c r="AB52" s="21">
        <f t="shared" ca="1" si="16"/>
        <v>18</v>
      </c>
      <c r="AC52" s="21">
        <f t="shared" ca="1" si="16"/>
        <v>18</v>
      </c>
      <c r="AD52" s="21">
        <f t="shared" ca="1" si="16"/>
        <v>18</v>
      </c>
      <c r="AE52" s="21">
        <f t="shared" ca="1" si="16"/>
        <v>18</v>
      </c>
      <c r="AF52" s="21">
        <f t="shared" ca="1" si="16"/>
        <v>18</v>
      </c>
      <c r="AG52" s="21">
        <f t="shared" ca="1" si="16"/>
        <v>18</v>
      </c>
      <c r="AH52" s="21">
        <f t="shared" ca="1" si="16"/>
        <v>20</v>
      </c>
      <c r="AI52" s="21">
        <f t="shared" ca="1" si="16"/>
        <v>20</v>
      </c>
      <c r="AJ52" s="21">
        <f t="shared" ca="1" si="16"/>
        <v>20</v>
      </c>
      <c r="AK52" s="21">
        <f t="shared" ca="1" si="16"/>
        <v>20</v>
      </c>
      <c r="AL52" s="21">
        <f t="shared" ca="1" si="16"/>
        <v>20</v>
      </c>
      <c r="AM52" s="21">
        <f t="shared" ca="1" si="16"/>
        <v>20</v>
      </c>
      <c r="AN52" s="21">
        <f t="shared" ca="1" si="16"/>
        <v>22</v>
      </c>
      <c r="AO52" s="21">
        <f t="shared" ca="1" si="16"/>
        <v>22</v>
      </c>
      <c r="AP52" s="21">
        <f t="shared" ca="1" si="16"/>
        <v>22</v>
      </c>
      <c r="AQ52" s="21">
        <f t="shared" ca="1" si="16"/>
        <v>22</v>
      </c>
      <c r="AR52" s="21">
        <f t="shared" ca="1" si="16"/>
        <v>22</v>
      </c>
      <c r="AS52" s="21">
        <f t="shared" ca="1" si="16"/>
        <v>22</v>
      </c>
      <c r="AT52" s="21">
        <f t="shared" ca="1" si="16"/>
        <v>24</v>
      </c>
      <c r="AU52" s="21">
        <f t="shared" ca="1" si="16"/>
        <v>24</v>
      </c>
      <c r="AV52" s="21">
        <f t="shared" ca="1" si="16"/>
        <v>24</v>
      </c>
      <c r="AW52" s="21">
        <f t="shared" ca="1" si="16"/>
        <v>24</v>
      </c>
      <c r="AX52" s="21">
        <f t="shared" ca="1" si="16"/>
        <v>24</v>
      </c>
      <c r="AY52" s="21">
        <f t="shared" ca="1" si="16"/>
        <v>24</v>
      </c>
      <c r="AZ52" s="21">
        <f t="shared" ca="1" si="16"/>
        <v>24</v>
      </c>
      <c r="BA52" s="21">
        <f t="shared" ca="1" si="16"/>
        <v>26</v>
      </c>
      <c r="BB52" s="21">
        <f t="shared" ca="1" si="16"/>
        <v>26</v>
      </c>
      <c r="BC52" s="21">
        <f t="shared" ca="1" si="16"/>
        <v>26</v>
      </c>
      <c r="BD52" s="21">
        <f t="shared" ca="1" si="16"/>
        <v>26</v>
      </c>
      <c r="BE52" s="21">
        <f t="shared" ca="1" si="16"/>
        <v>26</v>
      </c>
      <c r="BF52" s="21">
        <f t="shared" ca="1" si="16"/>
        <v>26</v>
      </c>
      <c r="BG52" s="21">
        <f t="shared" ca="1" si="16"/>
        <v>28</v>
      </c>
      <c r="BH52" s="21">
        <f t="shared" ca="1" si="16"/>
        <v>31</v>
      </c>
      <c r="BI52" s="21">
        <f t="shared" ca="1" si="16"/>
        <v>31</v>
      </c>
      <c r="BJ52" s="21">
        <f t="shared" ca="1" si="16"/>
        <v>31</v>
      </c>
      <c r="BK52" s="21">
        <f t="shared" ca="1" si="16"/>
        <v>34</v>
      </c>
      <c r="BL52" s="21">
        <f t="shared" ca="1" si="16"/>
        <v>34</v>
      </c>
      <c r="BM52" s="21">
        <f t="shared" ca="1" si="16"/>
        <v>34</v>
      </c>
      <c r="BN52" s="21">
        <f t="shared" ca="1" si="16"/>
        <v>34</v>
      </c>
      <c r="BO52" s="21">
        <f t="shared" ca="1" si="16"/>
        <v>37</v>
      </c>
      <c r="BP52" s="21">
        <f t="shared" ca="1" si="16"/>
        <v>43</v>
      </c>
      <c r="BQ52" s="21">
        <f t="shared" ref="BQ52:CT52" ca="1" si="17">BP52+BQ51</f>
        <v>48</v>
      </c>
      <c r="BR52" s="21">
        <f t="shared" ca="1" si="17"/>
        <v>51</v>
      </c>
      <c r="BS52" s="21">
        <f t="shared" ca="1" si="17"/>
        <v>51</v>
      </c>
      <c r="BT52" s="21">
        <f t="shared" ca="1" si="17"/>
        <v>51</v>
      </c>
      <c r="BU52" s="21">
        <f t="shared" ca="1" si="17"/>
        <v>51</v>
      </c>
      <c r="BV52" s="21">
        <f t="shared" ca="1" si="17"/>
        <v>54</v>
      </c>
      <c r="BW52" s="21">
        <f t="shared" ca="1" si="17"/>
        <v>54</v>
      </c>
      <c r="BX52" s="21">
        <f t="shared" ca="1" si="17"/>
        <v>56</v>
      </c>
      <c r="BY52" s="21">
        <f t="shared" ca="1" si="17"/>
        <v>56</v>
      </c>
      <c r="BZ52" s="21">
        <f t="shared" ca="1" si="17"/>
        <v>56</v>
      </c>
      <c r="CA52" s="21">
        <f t="shared" ca="1" si="17"/>
        <v>56</v>
      </c>
      <c r="CB52" s="21">
        <f t="shared" ca="1" si="17"/>
        <v>59</v>
      </c>
      <c r="CC52" s="21">
        <f t="shared" ca="1" si="17"/>
        <v>65</v>
      </c>
      <c r="CD52" s="21">
        <f t="shared" ca="1" si="17"/>
        <v>69</v>
      </c>
      <c r="CE52" s="21">
        <f t="shared" ca="1" si="17"/>
        <v>73</v>
      </c>
      <c r="CF52" s="21">
        <f t="shared" ca="1" si="17"/>
        <v>76</v>
      </c>
      <c r="CG52" s="21">
        <f t="shared" ca="1" si="17"/>
        <v>76</v>
      </c>
      <c r="CH52" s="21">
        <f t="shared" ca="1" si="17"/>
        <v>76</v>
      </c>
      <c r="CI52" s="21">
        <f t="shared" ca="1" si="17"/>
        <v>76</v>
      </c>
      <c r="CJ52" s="21">
        <f t="shared" ca="1" si="17"/>
        <v>76</v>
      </c>
      <c r="CK52" s="21">
        <f t="shared" ca="1" si="17"/>
        <v>78</v>
      </c>
      <c r="CL52" s="21">
        <f t="shared" ca="1" si="17"/>
        <v>81</v>
      </c>
      <c r="CM52" s="21">
        <f t="shared" ca="1" si="17"/>
        <v>87</v>
      </c>
      <c r="CN52" s="21">
        <f t="shared" ca="1" si="17"/>
        <v>87</v>
      </c>
      <c r="CO52" s="21">
        <f t="shared" ca="1" si="17"/>
        <v>87</v>
      </c>
      <c r="CP52" s="21">
        <f t="shared" ca="1" si="17"/>
        <v>90</v>
      </c>
      <c r="CQ52" s="21">
        <f t="shared" ca="1" si="17"/>
        <v>95</v>
      </c>
      <c r="CR52" s="21">
        <f t="shared" ca="1" si="17"/>
        <v>98</v>
      </c>
      <c r="CS52" s="21">
        <f t="shared" ca="1" si="17"/>
        <v>98</v>
      </c>
      <c r="CT52" s="21">
        <f t="shared" ca="1" si="17"/>
        <v>98</v>
      </c>
    </row>
    <row r="53" spans="2:98">
      <c r="B53" s="20" t="s">
        <v>383</v>
      </c>
      <c r="C53" s="21">
        <f ca="1">COUNTIFS(INDIRECT("'" &amp; $B$20 &amp; "'!$U:$U"),"&gt;=" &amp; C$22,INDIRECT("'" &amp; $B$20 &amp; "'!$U:$U"), "&lt;" &amp; D$22)</f>
        <v>1</v>
      </c>
      <c r="D53" s="21">
        <f t="shared" ref="D53:BO53" ca="1" si="18">COUNTIFS(INDIRECT("'" &amp; $B$20 &amp; "'!$U:$U"),"&gt;=" &amp; D$22,INDIRECT("'" &amp; $B$20 &amp; "'!$U:$U"), "&lt;" &amp; E$22)</f>
        <v>6</v>
      </c>
      <c r="E53" s="21">
        <f t="shared" ca="1" si="18"/>
        <v>2</v>
      </c>
      <c r="F53" s="21">
        <f t="shared" ca="1" si="18"/>
        <v>0</v>
      </c>
      <c r="G53" s="21">
        <f t="shared" ca="1" si="18"/>
        <v>0</v>
      </c>
      <c r="H53" s="21">
        <f t="shared" ca="1" si="18"/>
        <v>0</v>
      </c>
      <c r="I53" s="21">
        <f t="shared" ca="1" si="18"/>
        <v>0</v>
      </c>
      <c r="J53" s="21">
        <f t="shared" ca="1" si="18"/>
        <v>0</v>
      </c>
      <c r="K53" s="21">
        <f t="shared" ca="1" si="18"/>
        <v>2</v>
      </c>
      <c r="L53" s="21">
        <f t="shared" ca="1" si="18"/>
        <v>0</v>
      </c>
      <c r="M53" s="21">
        <f t="shared" ca="1" si="18"/>
        <v>0</v>
      </c>
      <c r="N53" s="21">
        <f t="shared" ca="1" si="18"/>
        <v>0</v>
      </c>
      <c r="O53" s="21">
        <f t="shared" ca="1" si="18"/>
        <v>0</v>
      </c>
      <c r="P53" s="21">
        <f t="shared" ca="1" si="18"/>
        <v>0</v>
      </c>
      <c r="Q53" s="21">
        <f t="shared" ca="1" si="18"/>
        <v>0</v>
      </c>
      <c r="R53" s="21">
        <f t="shared" ca="1" si="18"/>
        <v>0</v>
      </c>
      <c r="S53" s="21">
        <f t="shared" ca="1" si="18"/>
        <v>0</v>
      </c>
      <c r="T53" s="21">
        <f t="shared" ca="1" si="18"/>
        <v>0</v>
      </c>
      <c r="U53" s="21">
        <f t="shared" ca="1" si="18"/>
        <v>0</v>
      </c>
      <c r="V53" s="21">
        <f t="shared" ca="1" si="18"/>
        <v>0</v>
      </c>
      <c r="W53" s="21">
        <f t="shared" ca="1" si="18"/>
        <v>0</v>
      </c>
      <c r="X53" s="21">
        <f t="shared" ca="1" si="18"/>
        <v>0</v>
      </c>
      <c r="Y53" s="21">
        <f t="shared" ca="1" si="18"/>
        <v>0</v>
      </c>
      <c r="Z53" s="21">
        <f t="shared" ca="1" si="18"/>
        <v>0</v>
      </c>
      <c r="AA53" s="21">
        <f t="shared" ca="1" si="18"/>
        <v>0</v>
      </c>
      <c r="AB53" s="21">
        <f t="shared" ca="1" si="18"/>
        <v>0</v>
      </c>
      <c r="AC53" s="21">
        <f t="shared" ca="1" si="18"/>
        <v>0</v>
      </c>
      <c r="AD53" s="21">
        <f t="shared" ca="1" si="18"/>
        <v>0</v>
      </c>
      <c r="AE53" s="21">
        <f t="shared" ca="1" si="18"/>
        <v>0</v>
      </c>
      <c r="AF53" s="21">
        <f t="shared" ca="1" si="18"/>
        <v>0</v>
      </c>
      <c r="AG53" s="21">
        <f t="shared" ca="1" si="18"/>
        <v>0</v>
      </c>
      <c r="AH53" s="21">
        <f t="shared" ca="1" si="18"/>
        <v>0</v>
      </c>
      <c r="AI53" s="21">
        <f t="shared" ca="1" si="18"/>
        <v>0</v>
      </c>
      <c r="AJ53" s="21">
        <f t="shared" ca="1" si="18"/>
        <v>0</v>
      </c>
      <c r="AK53" s="21">
        <f t="shared" ca="1" si="18"/>
        <v>0</v>
      </c>
      <c r="AL53" s="21">
        <f t="shared" ca="1" si="18"/>
        <v>0</v>
      </c>
      <c r="AM53" s="21">
        <f t="shared" ca="1" si="18"/>
        <v>0</v>
      </c>
      <c r="AN53" s="21">
        <f t="shared" ca="1" si="18"/>
        <v>0</v>
      </c>
      <c r="AO53" s="21">
        <f t="shared" ca="1" si="18"/>
        <v>0</v>
      </c>
      <c r="AP53" s="21">
        <f t="shared" ca="1" si="18"/>
        <v>0</v>
      </c>
      <c r="AQ53" s="21">
        <f t="shared" ca="1" si="18"/>
        <v>0</v>
      </c>
      <c r="AR53" s="21">
        <f t="shared" ca="1" si="18"/>
        <v>0</v>
      </c>
      <c r="AS53" s="21">
        <f t="shared" ca="1" si="18"/>
        <v>0</v>
      </c>
      <c r="AT53" s="21">
        <f t="shared" ca="1" si="18"/>
        <v>0</v>
      </c>
      <c r="AU53" s="21">
        <f t="shared" ca="1" si="18"/>
        <v>0</v>
      </c>
      <c r="AV53" s="21">
        <f t="shared" ca="1" si="18"/>
        <v>0</v>
      </c>
      <c r="AW53" s="21">
        <f t="shared" ca="1" si="18"/>
        <v>0</v>
      </c>
      <c r="AX53" s="21">
        <f t="shared" ca="1" si="18"/>
        <v>0</v>
      </c>
      <c r="AY53" s="21">
        <f t="shared" ca="1" si="18"/>
        <v>0</v>
      </c>
      <c r="AZ53" s="21">
        <f t="shared" ca="1" si="18"/>
        <v>0</v>
      </c>
      <c r="BA53" s="21">
        <f t="shared" ca="1" si="18"/>
        <v>0</v>
      </c>
      <c r="BB53" s="21">
        <f t="shared" ca="1" si="18"/>
        <v>0</v>
      </c>
      <c r="BC53" s="21">
        <f t="shared" ca="1" si="18"/>
        <v>0</v>
      </c>
      <c r="BD53" s="21">
        <f t="shared" ca="1" si="18"/>
        <v>0</v>
      </c>
      <c r="BE53" s="21">
        <f t="shared" ca="1" si="18"/>
        <v>0</v>
      </c>
      <c r="BF53" s="21">
        <f t="shared" ca="1" si="18"/>
        <v>0</v>
      </c>
      <c r="BG53" s="21">
        <f t="shared" ca="1" si="18"/>
        <v>0</v>
      </c>
      <c r="BH53" s="21">
        <f t="shared" ca="1" si="18"/>
        <v>0</v>
      </c>
      <c r="BI53" s="21">
        <f t="shared" ca="1" si="18"/>
        <v>0</v>
      </c>
      <c r="BJ53" s="21">
        <f t="shared" ca="1" si="18"/>
        <v>0</v>
      </c>
      <c r="BK53" s="21">
        <f t="shared" ca="1" si="18"/>
        <v>0</v>
      </c>
      <c r="BL53" s="21">
        <f t="shared" ca="1" si="18"/>
        <v>0</v>
      </c>
      <c r="BM53" s="21">
        <f t="shared" ca="1" si="18"/>
        <v>0</v>
      </c>
      <c r="BN53" s="21">
        <f t="shared" ca="1" si="18"/>
        <v>0</v>
      </c>
      <c r="BO53" s="21">
        <f t="shared" ca="1" si="18"/>
        <v>0</v>
      </c>
      <c r="BP53" s="21">
        <f t="shared" ref="BP53:CT53" ca="1" si="19">COUNTIFS(INDIRECT("'" &amp; $B$20 &amp; "'!$U:$U"),"&gt;=" &amp; BP$22,INDIRECT("'" &amp; $B$20 &amp; "'!$U:$U"), "&lt;" &amp; BQ$22)</f>
        <v>0</v>
      </c>
      <c r="BQ53" s="21">
        <f t="shared" ca="1" si="19"/>
        <v>0</v>
      </c>
      <c r="BR53" s="21">
        <f t="shared" ca="1" si="19"/>
        <v>0</v>
      </c>
      <c r="BS53" s="21">
        <f t="shared" ca="1" si="19"/>
        <v>0</v>
      </c>
      <c r="BT53" s="21">
        <f t="shared" ca="1" si="19"/>
        <v>0</v>
      </c>
      <c r="BU53" s="21">
        <f t="shared" ca="1" si="19"/>
        <v>0</v>
      </c>
      <c r="BV53" s="21">
        <f t="shared" ca="1" si="19"/>
        <v>0</v>
      </c>
      <c r="BW53" s="21">
        <f t="shared" ca="1" si="19"/>
        <v>0</v>
      </c>
      <c r="BX53" s="21">
        <f t="shared" ca="1" si="19"/>
        <v>0</v>
      </c>
      <c r="BY53" s="21">
        <f t="shared" ca="1" si="19"/>
        <v>0</v>
      </c>
      <c r="BZ53" s="21">
        <f t="shared" ca="1" si="19"/>
        <v>0</v>
      </c>
      <c r="CA53" s="21">
        <f t="shared" ca="1" si="19"/>
        <v>0</v>
      </c>
      <c r="CB53" s="21">
        <f t="shared" ca="1" si="19"/>
        <v>0</v>
      </c>
      <c r="CC53" s="21">
        <f t="shared" ca="1" si="19"/>
        <v>0</v>
      </c>
      <c r="CD53" s="21">
        <f t="shared" ca="1" si="19"/>
        <v>0</v>
      </c>
      <c r="CE53" s="21">
        <f t="shared" ca="1" si="19"/>
        <v>0</v>
      </c>
      <c r="CF53" s="21">
        <f t="shared" ca="1" si="19"/>
        <v>0</v>
      </c>
      <c r="CG53" s="21">
        <f t="shared" ca="1" si="19"/>
        <v>0</v>
      </c>
      <c r="CH53" s="21">
        <f t="shared" ca="1" si="19"/>
        <v>0</v>
      </c>
      <c r="CI53" s="21">
        <f t="shared" ca="1" si="19"/>
        <v>0</v>
      </c>
      <c r="CJ53" s="21">
        <f t="shared" ca="1" si="19"/>
        <v>0</v>
      </c>
      <c r="CK53" s="21">
        <f t="shared" ca="1" si="19"/>
        <v>0</v>
      </c>
      <c r="CL53" s="21">
        <f t="shared" ca="1" si="19"/>
        <v>0</v>
      </c>
      <c r="CM53" s="21">
        <f t="shared" ca="1" si="19"/>
        <v>0</v>
      </c>
      <c r="CN53" s="21">
        <f t="shared" ca="1" si="19"/>
        <v>0</v>
      </c>
      <c r="CO53" s="21">
        <f t="shared" ca="1" si="19"/>
        <v>0</v>
      </c>
      <c r="CP53" s="21">
        <f t="shared" ca="1" si="19"/>
        <v>0</v>
      </c>
      <c r="CQ53" s="21">
        <f t="shared" ca="1" si="19"/>
        <v>0</v>
      </c>
      <c r="CR53" s="21">
        <f t="shared" ca="1" si="19"/>
        <v>0</v>
      </c>
      <c r="CS53" s="21">
        <f t="shared" ca="1" si="19"/>
        <v>0</v>
      </c>
      <c r="CT53" s="21">
        <f t="shared" ca="1" si="19"/>
        <v>0</v>
      </c>
    </row>
    <row r="54" spans="2:98">
      <c r="B54" s="20" t="s">
        <v>23</v>
      </c>
      <c r="C54" s="21">
        <f ca="1">C53</f>
        <v>1</v>
      </c>
      <c r="D54" s="21">
        <f ca="1">C54+D53</f>
        <v>7</v>
      </c>
      <c r="E54" s="21">
        <f t="shared" ref="E54:BP54" ca="1" si="20">D54+E53</f>
        <v>9</v>
      </c>
      <c r="F54" s="21">
        <f t="shared" ca="1" si="20"/>
        <v>9</v>
      </c>
      <c r="G54" s="21">
        <f t="shared" ca="1" si="20"/>
        <v>9</v>
      </c>
      <c r="H54" s="21">
        <f t="shared" ca="1" si="20"/>
        <v>9</v>
      </c>
      <c r="I54" s="21">
        <f t="shared" ca="1" si="20"/>
        <v>9</v>
      </c>
      <c r="J54" s="21">
        <f t="shared" ca="1" si="20"/>
        <v>9</v>
      </c>
      <c r="K54" s="21">
        <f t="shared" ca="1" si="20"/>
        <v>11</v>
      </c>
      <c r="L54" s="21">
        <f t="shared" ca="1" si="20"/>
        <v>11</v>
      </c>
      <c r="M54" s="21">
        <f t="shared" ca="1" si="20"/>
        <v>11</v>
      </c>
      <c r="N54" s="21">
        <f t="shared" ca="1" si="20"/>
        <v>11</v>
      </c>
      <c r="O54" s="21">
        <f t="shared" ca="1" si="20"/>
        <v>11</v>
      </c>
      <c r="P54" s="21">
        <f t="shared" ca="1" si="20"/>
        <v>11</v>
      </c>
      <c r="Q54" s="21">
        <f t="shared" ca="1" si="20"/>
        <v>11</v>
      </c>
      <c r="R54" s="21">
        <f t="shared" ca="1" si="20"/>
        <v>11</v>
      </c>
      <c r="S54" s="21">
        <f t="shared" ca="1" si="20"/>
        <v>11</v>
      </c>
      <c r="T54" s="21">
        <f t="shared" ca="1" si="20"/>
        <v>11</v>
      </c>
      <c r="U54" s="21">
        <f t="shared" ca="1" si="20"/>
        <v>11</v>
      </c>
      <c r="V54" s="21">
        <f t="shared" ca="1" si="20"/>
        <v>11</v>
      </c>
      <c r="W54" s="21">
        <f t="shared" ca="1" si="20"/>
        <v>11</v>
      </c>
      <c r="X54" s="21">
        <f t="shared" ca="1" si="20"/>
        <v>11</v>
      </c>
      <c r="Y54" s="21">
        <f t="shared" ca="1" si="20"/>
        <v>11</v>
      </c>
      <c r="Z54" s="21">
        <f t="shared" ca="1" si="20"/>
        <v>11</v>
      </c>
      <c r="AA54" s="21">
        <f t="shared" ca="1" si="20"/>
        <v>11</v>
      </c>
      <c r="AB54" s="21">
        <f t="shared" ca="1" si="20"/>
        <v>11</v>
      </c>
      <c r="AC54" s="21">
        <f t="shared" ca="1" si="20"/>
        <v>11</v>
      </c>
      <c r="AD54" s="21">
        <f t="shared" ca="1" si="20"/>
        <v>11</v>
      </c>
      <c r="AE54" s="21">
        <f t="shared" ca="1" si="20"/>
        <v>11</v>
      </c>
      <c r="AF54" s="21">
        <f t="shared" ca="1" si="20"/>
        <v>11</v>
      </c>
      <c r="AG54" s="21">
        <f t="shared" ca="1" si="20"/>
        <v>11</v>
      </c>
      <c r="AH54" s="21">
        <f t="shared" ca="1" si="20"/>
        <v>11</v>
      </c>
      <c r="AI54" s="21">
        <f t="shared" ca="1" si="20"/>
        <v>11</v>
      </c>
      <c r="AJ54" s="21">
        <f t="shared" ca="1" si="20"/>
        <v>11</v>
      </c>
      <c r="AK54" s="21">
        <f t="shared" ca="1" si="20"/>
        <v>11</v>
      </c>
      <c r="AL54" s="21">
        <f t="shared" ca="1" si="20"/>
        <v>11</v>
      </c>
      <c r="AM54" s="21">
        <f t="shared" ca="1" si="20"/>
        <v>11</v>
      </c>
      <c r="AN54" s="21">
        <f t="shared" ca="1" si="20"/>
        <v>11</v>
      </c>
      <c r="AO54" s="21">
        <f t="shared" ca="1" si="20"/>
        <v>11</v>
      </c>
      <c r="AP54" s="21">
        <f t="shared" ca="1" si="20"/>
        <v>11</v>
      </c>
      <c r="AQ54" s="21">
        <f t="shared" ca="1" si="20"/>
        <v>11</v>
      </c>
      <c r="AR54" s="21">
        <f t="shared" ca="1" si="20"/>
        <v>11</v>
      </c>
      <c r="AS54" s="21">
        <f t="shared" ca="1" si="20"/>
        <v>11</v>
      </c>
      <c r="AT54" s="21">
        <f t="shared" ca="1" si="20"/>
        <v>11</v>
      </c>
      <c r="AU54" s="21">
        <f t="shared" ca="1" si="20"/>
        <v>11</v>
      </c>
      <c r="AV54" s="21">
        <f t="shared" ca="1" si="20"/>
        <v>11</v>
      </c>
      <c r="AW54" s="21">
        <f t="shared" ca="1" si="20"/>
        <v>11</v>
      </c>
      <c r="AX54" s="21">
        <f t="shared" ca="1" si="20"/>
        <v>11</v>
      </c>
      <c r="AY54" s="21">
        <f t="shared" ca="1" si="20"/>
        <v>11</v>
      </c>
      <c r="AZ54" s="21">
        <f t="shared" ca="1" si="20"/>
        <v>11</v>
      </c>
      <c r="BA54" s="21">
        <f t="shared" ca="1" si="20"/>
        <v>11</v>
      </c>
      <c r="BB54" s="21">
        <f t="shared" ca="1" si="20"/>
        <v>11</v>
      </c>
      <c r="BC54" s="21">
        <f t="shared" ca="1" si="20"/>
        <v>11</v>
      </c>
      <c r="BD54" s="21">
        <f t="shared" ca="1" si="20"/>
        <v>11</v>
      </c>
      <c r="BE54" s="21">
        <f t="shared" ca="1" si="20"/>
        <v>11</v>
      </c>
      <c r="BF54" s="21">
        <f t="shared" ca="1" si="20"/>
        <v>11</v>
      </c>
      <c r="BG54" s="21">
        <f t="shared" ca="1" si="20"/>
        <v>11</v>
      </c>
      <c r="BH54" s="21">
        <f t="shared" ca="1" si="20"/>
        <v>11</v>
      </c>
      <c r="BI54" s="21">
        <f t="shared" ca="1" si="20"/>
        <v>11</v>
      </c>
      <c r="BJ54" s="21">
        <f t="shared" ca="1" si="20"/>
        <v>11</v>
      </c>
      <c r="BK54" s="21">
        <f t="shared" ca="1" si="20"/>
        <v>11</v>
      </c>
      <c r="BL54" s="21">
        <f t="shared" ca="1" si="20"/>
        <v>11</v>
      </c>
      <c r="BM54" s="21">
        <f t="shared" ca="1" si="20"/>
        <v>11</v>
      </c>
      <c r="BN54" s="21">
        <f t="shared" ca="1" si="20"/>
        <v>11</v>
      </c>
      <c r="BO54" s="21">
        <f t="shared" ca="1" si="20"/>
        <v>11</v>
      </c>
      <c r="BP54" s="21">
        <f t="shared" ca="1" si="20"/>
        <v>11</v>
      </c>
      <c r="BQ54" s="21">
        <f t="shared" ref="BQ54:CT54" ca="1" si="21">BP54+BQ53</f>
        <v>11</v>
      </c>
      <c r="BR54" s="21">
        <f t="shared" ca="1" si="21"/>
        <v>11</v>
      </c>
      <c r="BS54" s="21">
        <f t="shared" ca="1" si="21"/>
        <v>11</v>
      </c>
      <c r="BT54" s="21">
        <f t="shared" ca="1" si="21"/>
        <v>11</v>
      </c>
      <c r="BU54" s="21">
        <f t="shared" ca="1" si="21"/>
        <v>11</v>
      </c>
      <c r="BV54" s="21">
        <f t="shared" ca="1" si="21"/>
        <v>11</v>
      </c>
      <c r="BW54" s="21">
        <f t="shared" ca="1" si="21"/>
        <v>11</v>
      </c>
      <c r="BX54" s="21">
        <f t="shared" ca="1" si="21"/>
        <v>11</v>
      </c>
      <c r="BY54" s="21">
        <f t="shared" ca="1" si="21"/>
        <v>11</v>
      </c>
      <c r="BZ54" s="21">
        <f t="shared" ca="1" si="21"/>
        <v>11</v>
      </c>
      <c r="CA54" s="21">
        <f t="shared" ca="1" si="21"/>
        <v>11</v>
      </c>
      <c r="CB54" s="21">
        <f t="shared" ca="1" si="21"/>
        <v>11</v>
      </c>
      <c r="CC54" s="21">
        <f t="shared" ca="1" si="21"/>
        <v>11</v>
      </c>
      <c r="CD54" s="21">
        <f t="shared" ca="1" si="21"/>
        <v>11</v>
      </c>
      <c r="CE54" s="21">
        <f t="shared" ca="1" si="21"/>
        <v>11</v>
      </c>
      <c r="CF54" s="21">
        <f t="shared" ca="1" si="21"/>
        <v>11</v>
      </c>
      <c r="CG54" s="21">
        <f t="shared" ca="1" si="21"/>
        <v>11</v>
      </c>
      <c r="CH54" s="21">
        <f t="shared" ca="1" si="21"/>
        <v>11</v>
      </c>
      <c r="CI54" s="21">
        <f t="shared" ca="1" si="21"/>
        <v>11</v>
      </c>
      <c r="CJ54" s="21">
        <f t="shared" ca="1" si="21"/>
        <v>11</v>
      </c>
      <c r="CK54" s="21">
        <f t="shared" ca="1" si="21"/>
        <v>11</v>
      </c>
      <c r="CL54" s="21">
        <f t="shared" ca="1" si="21"/>
        <v>11</v>
      </c>
      <c r="CM54" s="21">
        <f t="shared" ca="1" si="21"/>
        <v>11</v>
      </c>
      <c r="CN54" s="21">
        <f t="shared" ca="1" si="21"/>
        <v>11</v>
      </c>
      <c r="CO54" s="21">
        <f t="shared" ca="1" si="21"/>
        <v>11</v>
      </c>
      <c r="CP54" s="21">
        <f t="shared" ca="1" si="21"/>
        <v>11</v>
      </c>
      <c r="CQ54" s="21">
        <f t="shared" ca="1" si="21"/>
        <v>11</v>
      </c>
      <c r="CR54" s="21">
        <f t="shared" ca="1" si="21"/>
        <v>11</v>
      </c>
      <c r="CS54" s="21">
        <f t="shared" ca="1" si="21"/>
        <v>11</v>
      </c>
      <c r="CT54" s="21">
        <f t="shared" ca="1" si="21"/>
        <v>11</v>
      </c>
    </row>
    <row r="55" spans="2:98">
      <c r="B55" s="20" t="s">
        <v>24</v>
      </c>
      <c r="C55" s="21">
        <f ca="1">C54-C52</f>
        <v>0</v>
      </c>
      <c r="D55" s="21">
        <f t="shared" ref="D55:BO55" ca="1" si="22">D54-D52</f>
        <v>0</v>
      </c>
      <c r="E55" s="21">
        <f t="shared" ca="1" si="22"/>
        <v>0</v>
      </c>
      <c r="F55" s="21">
        <f t="shared" ca="1" si="22"/>
        <v>0</v>
      </c>
      <c r="G55" s="21">
        <f t="shared" ca="1" si="22"/>
        <v>0</v>
      </c>
      <c r="H55" s="21">
        <f t="shared" ca="1" si="22"/>
        <v>0</v>
      </c>
      <c r="I55" s="21">
        <f t="shared" ca="1" si="22"/>
        <v>0</v>
      </c>
      <c r="J55" s="21">
        <f t="shared" ca="1" si="22"/>
        <v>0</v>
      </c>
      <c r="K55" s="21">
        <f t="shared" ca="1" si="22"/>
        <v>0</v>
      </c>
      <c r="L55" s="21">
        <f t="shared" ca="1" si="22"/>
        <v>0</v>
      </c>
      <c r="M55" s="21">
        <f t="shared" ca="1" si="22"/>
        <v>0</v>
      </c>
      <c r="N55" s="21">
        <f t="shared" ca="1" si="22"/>
        <v>0</v>
      </c>
      <c r="O55" s="21">
        <f t="shared" ca="1" si="22"/>
        <v>0</v>
      </c>
      <c r="P55" s="21">
        <f t="shared" ca="1" si="22"/>
        <v>0</v>
      </c>
      <c r="Q55" s="21">
        <f t="shared" ca="1" si="22"/>
        <v>-3</v>
      </c>
      <c r="R55" s="21">
        <f t="shared" ca="1" si="22"/>
        <v>-3</v>
      </c>
      <c r="S55" s="21">
        <f t="shared" ca="1" si="22"/>
        <v>-3</v>
      </c>
      <c r="T55" s="21">
        <f t="shared" ca="1" si="22"/>
        <v>-3</v>
      </c>
      <c r="U55" s="21">
        <f t="shared" ca="1" si="22"/>
        <v>-4</v>
      </c>
      <c r="V55" s="21">
        <f t="shared" ca="1" si="22"/>
        <v>-4</v>
      </c>
      <c r="W55" s="21">
        <f t="shared" ca="1" si="22"/>
        <v>-4</v>
      </c>
      <c r="X55" s="21">
        <f t="shared" ca="1" si="22"/>
        <v>-5</v>
      </c>
      <c r="Y55" s="21">
        <f t="shared" ca="1" si="22"/>
        <v>-5</v>
      </c>
      <c r="Z55" s="21">
        <f t="shared" ca="1" si="22"/>
        <v>-5</v>
      </c>
      <c r="AA55" s="21">
        <f t="shared" ca="1" si="22"/>
        <v>-5</v>
      </c>
      <c r="AB55" s="21">
        <f t="shared" ca="1" si="22"/>
        <v>-7</v>
      </c>
      <c r="AC55" s="21">
        <f t="shared" ca="1" si="22"/>
        <v>-7</v>
      </c>
      <c r="AD55" s="21">
        <f t="shared" ca="1" si="22"/>
        <v>-7</v>
      </c>
      <c r="AE55" s="21">
        <f t="shared" ca="1" si="22"/>
        <v>-7</v>
      </c>
      <c r="AF55" s="21">
        <f t="shared" ca="1" si="22"/>
        <v>-7</v>
      </c>
      <c r="AG55" s="21">
        <f t="shared" ca="1" si="22"/>
        <v>-7</v>
      </c>
      <c r="AH55" s="21">
        <f t="shared" ca="1" si="22"/>
        <v>-9</v>
      </c>
      <c r="AI55" s="21">
        <f t="shared" ca="1" si="22"/>
        <v>-9</v>
      </c>
      <c r="AJ55" s="21">
        <f t="shared" ca="1" si="22"/>
        <v>-9</v>
      </c>
      <c r="AK55" s="21">
        <f t="shared" ca="1" si="22"/>
        <v>-9</v>
      </c>
      <c r="AL55" s="21">
        <f t="shared" ca="1" si="22"/>
        <v>-9</v>
      </c>
      <c r="AM55" s="21">
        <f t="shared" ca="1" si="22"/>
        <v>-9</v>
      </c>
      <c r="AN55" s="21">
        <f t="shared" ca="1" si="22"/>
        <v>-11</v>
      </c>
      <c r="AO55" s="21">
        <f t="shared" ca="1" si="22"/>
        <v>-11</v>
      </c>
      <c r="AP55" s="21">
        <f t="shared" ca="1" si="22"/>
        <v>-11</v>
      </c>
      <c r="AQ55" s="21">
        <f t="shared" ca="1" si="22"/>
        <v>-11</v>
      </c>
      <c r="AR55" s="21">
        <f t="shared" ca="1" si="22"/>
        <v>-11</v>
      </c>
      <c r="AS55" s="21">
        <f t="shared" ca="1" si="22"/>
        <v>-11</v>
      </c>
      <c r="AT55" s="21">
        <f t="shared" ca="1" si="22"/>
        <v>-13</v>
      </c>
      <c r="AU55" s="21">
        <f t="shared" ca="1" si="22"/>
        <v>-13</v>
      </c>
      <c r="AV55" s="21">
        <f t="shared" ca="1" si="22"/>
        <v>-13</v>
      </c>
      <c r="AW55" s="21">
        <f t="shared" ca="1" si="22"/>
        <v>-13</v>
      </c>
      <c r="AX55" s="21">
        <f t="shared" ca="1" si="22"/>
        <v>-13</v>
      </c>
      <c r="AY55" s="21">
        <f t="shared" ca="1" si="22"/>
        <v>-13</v>
      </c>
      <c r="AZ55" s="21">
        <f t="shared" ca="1" si="22"/>
        <v>-13</v>
      </c>
      <c r="BA55" s="21">
        <f t="shared" ca="1" si="22"/>
        <v>-15</v>
      </c>
      <c r="BB55" s="21">
        <f t="shared" ca="1" si="22"/>
        <v>-15</v>
      </c>
      <c r="BC55" s="21">
        <f t="shared" ca="1" si="22"/>
        <v>-15</v>
      </c>
      <c r="BD55" s="21">
        <f t="shared" ca="1" si="22"/>
        <v>-15</v>
      </c>
      <c r="BE55" s="21">
        <f t="shared" ca="1" si="22"/>
        <v>-15</v>
      </c>
      <c r="BF55" s="21">
        <f t="shared" ca="1" si="22"/>
        <v>-15</v>
      </c>
      <c r="BG55" s="21">
        <f t="shared" ca="1" si="22"/>
        <v>-17</v>
      </c>
      <c r="BH55" s="21">
        <f t="shared" ca="1" si="22"/>
        <v>-20</v>
      </c>
      <c r="BI55" s="21">
        <f t="shared" ca="1" si="22"/>
        <v>-20</v>
      </c>
      <c r="BJ55" s="21">
        <f t="shared" ca="1" si="22"/>
        <v>-20</v>
      </c>
      <c r="BK55" s="21">
        <f t="shared" ca="1" si="22"/>
        <v>-23</v>
      </c>
      <c r="BL55" s="21">
        <f t="shared" ca="1" si="22"/>
        <v>-23</v>
      </c>
      <c r="BM55" s="21">
        <f t="shared" ca="1" si="22"/>
        <v>-23</v>
      </c>
      <c r="BN55" s="21">
        <f t="shared" ca="1" si="22"/>
        <v>-23</v>
      </c>
      <c r="BO55" s="21">
        <f t="shared" ca="1" si="22"/>
        <v>-26</v>
      </c>
      <c r="BP55" s="21">
        <f t="shared" ref="BP55:CT55" ca="1" si="23">BP54-BP52</f>
        <v>-32</v>
      </c>
      <c r="BQ55" s="21">
        <f t="shared" ca="1" si="23"/>
        <v>-37</v>
      </c>
      <c r="BR55" s="21">
        <f t="shared" ca="1" si="23"/>
        <v>-40</v>
      </c>
      <c r="BS55" s="21">
        <f t="shared" ca="1" si="23"/>
        <v>-40</v>
      </c>
      <c r="BT55" s="21">
        <f t="shared" ca="1" si="23"/>
        <v>-40</v>
      </c>
      <c r="BU55" s="21">
        <f t="shared" ca="1" si="23"/>
        <v>-40</v>
      </c>
      <c r="BV55" s="21">
        <f t="shared" ca="1" si="23"/>
        <v>-43</v>
      </c>
      <c r="BW55" s="21">
        <f t="shared" ca="1" si="23"/>
        <v>-43</v>
      </c>
      <c r="BX55" s="21">
        <f t="shared" ca="1" si="23"/>
        <v>-45</v>
      </c>
      <c r="BY55" s="21">
        <f t="shared" ca="1" si="23"/>
        <v>-45</v>
      </c>
      <c r="BZ55" s="21">
        <f t="shared" ca="1" si="23"/>
        <v>-45</v>
      </c>
      <c r="CA55" s="21">
        <f t="shared" ca="1" si="23"/>
        <v>-45</v>
      </c>
      <c r="CB55" s="21">
        <f t="shared" ca="1" si="23"/>
        <v>-48</v>
      </c>
      <c r="CC55" s="21">
        <f t="shared" ca="1" si="23"/>
        <v>-54</v>
      </c>
      <c r="CD55" s="21">
        <f t="shared" ca="1" si="23"/>
        <v>-58</v>
      </c>
      <c r="CE55" s="21">
        <f t="shared" ca="1" si="23"/>
        <v>-62</v>
      </c>
      <c r="CF55" s="21">
        <f t="shared" ca="1" si="23"/>
        <v>-65</v>
      </c>
      <c r="CG55" s="21">
        <f t="shared" ca="1" si="23"/>
        <v>-65</v>
      </c>
      <c r="CH55" s="21">
        <f t="shared" ca="1" si="23"/>
        <v>-65</v>
      </c>
      <c r="CI55" s="21">
        <f t="shared" ca="1" si="23"/>
        <v>-65</v>
      </c>
      <c r="CJ55" s="21">
        <f t="shared" ca="1" si="23"/>
        <v>-65</v>
      </c>
      <c r="CK55" s="21">
        <f t="shared" ca="1" si="23"/>
        <v>-67</v>
      </c>
      <c r="CL55" s="21">
        <f t="shared" ca="1" si="23"/>
        <v>-70</v>
      </c>
      <c r="CM55" s="21">
        <f t="shared" ca="1" si="23"/>
        <v>-76</v>
      </c>
      <c r="CN55" s="21">
        <f t="shared" ca="1" si="23"/>
        <v>-76</v>
      </c>
      <c r="CO55" s="21">
        <f t="shared" ca="1" si="23"/>
        <v>-76</v>
      </c>
      <c r="CP55" s="21">
        <f t="shared" ca="1" si="23"/>
        <v>-79</v>
      </c>
      <c r="CQ55" s="21">
        <f t="shared" ca="1" si="23"/>
        <v>-84</v>
      </c>
      <c r="CR55" s="21">
        <f t="shared" ca="1" si="23"/>
        <v>-87</v>
      </c>
      <c r="CS55" s="21">
        <f t="shared" ca="1" si="23"/>
        <v>-87</v>
      </c>
      <c r="CT55" s="21">
        <f t="shared" ca="1" si="23"/>
        <v>-87</v>
      </c>
    </row>
  </sheetData>
  <phoneticPr fontId="1"/>
  <conditionalFormatting sqref="L22:L27">
    <cfRule type="expression" dxfId="9" priority="4">
      <formula>L$22=TODAY()</formula>
    </cfRule>
  </conditionalFormatting>
  <conditionalFormatting sqref="C22:CT27">
    <cfRule type="expression" dxfId="8" priority="3">
      <formula>C$22=Report_Day</formula>
    </cfRule>
  </conditionalFormatting>
  <conditionalFormatting sqref="L50:L55">
    <cfRule type="expression" dxfId="7" priority="2">
      <formula>L$22=TODAY()</formula>
    </cfRule>
  </conditionalFormatting>
  <conditionalFormatting sqref="C50:CT55">
    <cfRule type="expression" dxfId="6" priority="1">
      <formula>C$22=Report_Day</formula>
    </cfRule>
  </conditionalFormatting>
  <dataValidations count="1">
    <dataValidation type="list" allowBlank="1" showInputMessage="1" showErrorMessage="1" sqref="C18 C46" xr:uid="{109042AC-216F-4B4D-99B9-658AA2A04115}">
      <formula1>"1,7,30"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landscape" r:id="rId1"/>
  <headerFooter>
    <oddHeader>&amp;L&amp;"Microsoft YaHei,標準"&amp;F&amp;C&amp;"Microsoft YaHei,標準"&amp;A&amp;R&amp;"Meiryo UI,標準"&amp;D</oddHeader>
    <oddFooter>&amp;C&amp;"Meiryo UI,標準"&amp;P/&amp;N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42C06477-C6BB-4DCD-B8D8-8F21BF4500EB}">
          <x14:formula1>
            <xm:f>'Sub-System'!$A:$A</xm:f>
          </x14:formula1>
          <xm:sqref>B48 B20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A53DF-5272-4F24-9F95-CDDC498D8328}">
  <sheetPr codeName="Sheet21">
    <pageSetUpPr fitToPage="1"/>
  </sheetPr>
  <dimension ref="B2:CT55"/>
  <sheetViews>
    <sheetView zoomScale="55" zoomScaleNormal="55" workbookViewId="0">
      <selection activeCell="C18" sqref="C18"/>
    </sheetView>
  </sheetViews>
  <sheetFormatPr defaultColWidth="6.85546875" defaultRowHeight="15"/>
  <cols>
    <col min="1" max="1" width="1.35546875" style="14" customWidth="1"/>
    <col min="2" max="2" width="16.42578125" style="14" customWidth="1"/>
    <col min="3" max="98" width="6.78515625" style="14" customWidth="1"/>
    <col min="99" max="16384" width="6.85546875" style="14"/>
  </cols>
  <sheetData>
    <row r="2" spans="2:2" ht="19.5">
      <c r="B2" s="25" t="s">
        <v>390</v>
      </c>
    </row>
    <row r="17" spans="2:98" ht="15.5" thickBot="1"/>
    <row r="18" spans="2:98" ht="15.5" thickBot="1">
      <c r="B18" s="15" t="s">
        <v>18</v>
      </c>
      <c r="C18" s="16">
        <f>Progress!C18</f>
        <v>1</v>
      </c>
    </row>
    <row r="19" spans="2:98" ht="7" customHeight="1">
      <c r="B19" s="17"/>
    </row>
    <row r="20" spans="2:98">
      <c r="B20" s="23" t="s">
        <v>385</v>
      </c>
    </row>
    <row r="21" spans="2:98" ht="8.5" customHeight="1"/>
    <row r="22" spans="2:98">
      <c r="B22" s="18" t="s">
        <v>19</v>
      </c>
      <c r="C22" s="19">
        <v>45810</v>
      </c>
      <c r="D22" s="19">
        <f>C22+$C$18</f>
        <v>45811</v>
      </c>
      <c r="E22" s="19">
        <f t="shared" ref="E22:BP22" si="0">D22+$C$18</f>
        <v>45812</v>
      </c>
      <c r="F22" s="19">
        <f t="shared" si="0"/>
        <v>45813</v>
      </c>
      <c r="G22" s="19">
        <f t="shared" si="0"/>
        <v>45814</v>
      </c>
      <c r="H22" s="19">
        <f t="shared" si="0"/>
        <v>45815</v>
      </c>
      <c r="I22" s="19">
        <f t="shared" si="0"/>
        <v>45816</v>
      </c>
      <c r="J22" s="19">
        <f t="shared" si="0"/>
        <v>45817</v>
      </c>
      <c r="K22" s="19">
        <f t="shared" si="0"/>
        <v>45818</v>
      </c>
      <c r="L22" s="19">
        <f t="shared" si="0"/>
        <v>45819</v>
      </c>
      <c r="M22" s="19">
        <f t="shared" si="0"/>
        <v>45820</v>
      </c>
      <c r="N22" s="19">
        <f t="shared" si="0"/>
        <v>45821</v>
      </c>
      <c r="O22" s="19">
        <f t="shared" si="0"/>
        <v>45822</v>
      </c>
      <c r="P22" s="19">
        <f t="shared" si="0"/>
        <v>45823</v>
      </c>
      <c r="Q22" s="19">
        <f t="shared" si="0"/>
        <v>45824</v>
      </c>
      <c r="R22" s="19">
        <f t="shared" si="0"/>
        <v>45825</v>
      </c>
      <c r="S22" s="19">
        <f t="shared" si="0"/>
        <v>45826</v>
      </c>
      <c r="T22" s="19">
        <f t="shared" si="0"/>
        <v>45827</v>
      </c>
      <c r="U22" s="19">
        <f t="shared" si="0"/>
        <v>45828</v>
      </c>
      <c r="V22" s="19">
        <f t="shared" si="0"/>
        <v>45829</v>
      </c>
      <c r="W22" s="19">
        <f t="shared" si="0"/>
        <v>45830</v>
      </c>
      <c r="X22" s="19">
        <f t="shared" si="0"/>
        <v>45831</v>
      </c>
      <c r="Y22" s="19">
        <f t="shared" si="0"/>
        <v>45832</v>
      </c>
      <c r="Z22" s="19">
        <f t="shared" si="0"/>
        <v>45833</v>
      </c>
      <c r="AA22" s="19">
        <f t="shared" si="0"/>
        <v>45834</v>
      </c>
      <c r="AB22" s="19">
        <f t="shared" si="0"/>
        <v>45835</v>
      </c>
      <c r="AC22" s="19">
        <f t="shared" si="0"/>
        <v>45836</v>
      </c>
      <c r="AD22" s="19">
        <f t="shared" si="0"/>
        <v>45837</v>
      </c>
      <c r="AE22" s="19">
        <f t="shared" si="0"/>
        <v>45838</v>
      </c>
      <c r="AF22" s="19">
        <f t="shared" si="0"/>
        <v>45839</v>
      </c>
      <c r="AG22" s="19">
        <f t="shared" si="0"/>
        <v>45840</v>
      </c>
      <c r="AH22" s="19">
        <f t="shared" si="0"/>
        <v>45841</v>
      </c>
      <c r="AI22" s="19">
        <f t="shared" si="0"/>
        <v>45842</v>
      </c>
      <c r="AJ22" s="19">
        <f t="shared" si="0"/>
        <v>45843</v>
      </c>
      <c r="AK22" s="19">
        <f t="shared" si="0"/>
        <v>45844</v>
      </c>
      <c r="AL22" s="19">
        <f t="shared" si="0"/>
        <v>45845</v>
      </c>
      <c r="AM22" s="19">
        <f t="shared" si="0"/>
        <v>45846</v>
      </c>
      <c r="AN22" s="19">
        <f t="shared" si="0"/>
        <v>45847</v>
      </c>
      <c r="AO22" s="19">
        <f t="shared" si="0"/>
        <v>45848</v>
      </c>
      <c r="AP22" s="19">
        <f t="shared" si="0"/>
        <v>45849</v>
      </c>
      <c r="AQ22" s="19">
        <f t="shared" si="0"/>
        <v>45850</v>
      </c>
      <c r="AR22" s="19">
        <f t="shared" si="0"/>
        <v>45851</v>
      </c>
      <c r="AS22" s="19">
        <f t="shared" si="0"/>
        <v>45852</v>
      </c>
      <c r="AT22" s="19">
        <f t="shared" si="0"/>
        <v>45853</v>
      </c>
      <c r="AU22" s="19">
        <f t="shared" si="0"/>
        <v>45854</v>
      </c>
      <c r="AV22" s="19">
        <f t="shared" si="0"/>
        <v>45855</v>
      </c>
      <c r="AW22" s="19">
        <f t="shared" si="0"/>
        <v>45856</v>
      </c>
      <c r="AX22" s="19">
        <f t="shared" si="0"/>
        <v>45857</v>
      </c>
      <c r="AY22" s="19">
        <f t="shared" si="0"/>
        <v>45858</v>
      </c>
      <c r="AZ22" s="19">
        <f t="shared" si="0"/>
        <v>45859</v>
      </c>
      <c r="BA22" s="19">
        <f t="shared" si="0"/>
        <v>45860</v>
      </c>
      <c r="BB22" s="19">
        <f t="shared" si="0"/>
        <v>45861</v>
      </c>
      <c r="BC22" s="19">
        <f t="shared" si="0"/>
        <v>45862</v>
      </c>
      <c r="BD22" s="19">
        <f t="shared" si="0"/>
        <v>45863</v>
      </c>
      <c r="BE22" s="19">
        <f t="shared" si="0"/>
        <v>45864</v>
      </c>
      <c r="BF22" s="19">
        <f t="shared" si="0"/>
        <v>45865</v>
      </c>
      <c r="BG22" s="19">
        <f t="shared" si="0"/>
        <v>45866</v>
      </c>
      <c r="BH22" s="19">
        <f t="shared" si="0"/>
        <v>45867</v>
      </c>
      <c r="BI22" s="19">
        <f t="shared" si="0"/>
        <v>45868</v>
      </c>
      <c r="BJ22" s="19">
        <f t="shared" si="0"/>
        <v>45869</v>
      </c>
      <c r="BK22" s="19">
        <f t="shared" si="0"/>
        <v>45870</v>
      </c>
      <c r="BL22" s="19">
        <f t="shared" si="0"/>
        <v>45871</v>
      </c>
      <c r="BM22" s="19">
        <f t="shared" si="0"/>
        <v>45872</v>
      </c>
      <c r="BN22" s="19">
        <f t="shared" si="0"/>
        <v>45873</v>
      </c>
      <c r="BO22" s="19">
        <f t="shared" si="0"/>
        <v>45874</v>
      </c>
      <c r="BP22" s="19">
        <f t="shared" si="0"/>
        <v>45875</v>
      </c>
      <c r="BQ22" s="19">
        <f t="shared" ref="BQ22:CT22" si="1">BP22+$C$18</f>
        <v>45876</v>
      </c>
      <c r="BR22" s="19">
        <f t="shared" si="1"/>
        <v>45877</v>
      </c>
      <c r="BS22" s="19">
        <f t="shared" si="1"/>
        <v>45878</v>
      </c>
      <c r="BT22" s="19">
        <f t="shared" si="1"/>
        <v>45879</v>
      </c>
      <c r="BU22" s="19">
        <f t="shared" si="1"/>
        <v>45880</v>
      </c>
      <c r="BV22" s="19">
        <f t="shared" si="1"/>
        <v>45881</v>
      </c>
      <c r="BW22" s="19">
        <f t="shared" si="1"/>
        <v>45882</v>
      </c>
      <c r="BX22" s="19">
        <f t="shared" si="1"/>
        <v>45883</v>
      </c>
      <c r="BY22" s="19">
        <f t="shared" si="1"/>
        <v>45884</v>
      </c>
      <c r="BZ22" s="19">
        <f t="shared" si="1"/>
        <v>45885</v>
      </c>
      <c r="CA22" s="19">
        <f t="shared" si="1"/>
        <v>45886</v>
      </c>
      <c r="CB22" s="19">
        <f t="shared" si="1"/>
        <v>45887</v>
      </c>
      <c r="CC22" s="19">
        <f t="shared" si="1"/>
        <v>45888</v>
      </c>
      <c r="CD22" s="19">
        <f t="shared" si="1"/>
        <v>45889</v>
      </c>
      <c r="CE22" s="19">
        <f t="shared" si="1"/>
        <v>45890</v>
      </c>
      <c r="CF22" s="19">
        <f t="shared" si="1"/>
        <v>45891</v>
      </c>
      <c r="CG22" s="19">
        <f t="shared" si="1"/>
        <v>45892</v>
      </c>
      <c r="CH22" s="19">
        <f t="shared" si="1"/>
        <v>45893</v>
      </c>
      <c r="CI22" s="19">
        <f t="shared" si="1"/>
        <v>45894</v>
      </c>
      <c r="CJ22" s="19">
        <f t="shared" si="1"/>
        <v>45895</v>
      </c>
      <c r="CK22" s="19">
        <f t="shared" si="1"/>
        <v>45896</v>
      </c>
      <c r="CL22" s="19">
        <f t="shared" si="1"/>
        <v>45897</v>
      </c>
      <c r="CM22" s="19">
        <f t="shared" si="1"/>
        <v>45898</v>
      </c>
      <c r="CN22" s="19">
        <f t="shared" si="1"/>
        <v>45899</v>
      </c>
      <c r="CO22" s="19">
        <f t="shared" si="1"/>
        <v>45900</v>
      </c>
      <c r="CP22" s="19">
        <f t="shared" si="1"/>
        <v>45901</v>
      </c>
      <c r="CQ22" s="19">
        <f t="shared" si="1"/>
        <v>45902</v>
      </c>
      <c r="CR22" s="19">
        <f t="shared" si="1"/>
        <v>45903</v>
      </c>
      <c r="CS22" s="19">
        <f t="shared" si="1"/>
        <v>45904</v>
      </c>
      <c r="CT22" s="19">
        <f t="shared" si="1"/>
        <v>45905</v>
      </c>
    </row>
    <row r="23" spans="2:98">
      <c r="B23" s="20" t="s">
        <v>20</v>
      </c>
      <c r="C23" s="21">
        <f ca="1">COUNTIFS(INDIRECT("'" &amp; $B$20 &amp; "'!$T:$T"),"&gt;=" &amp; C$22,INDIRECT("'" &amp; $B$20 &amp; "'!$T:$T"), "&lt;" &amp; D$22)</f>
        <v>0</v>
      </c>
      <c r="D23" s="21">
        <f t="shared" ref="D23:BO23" ca="1" si="2">COUNTIFS(INDIRECT("'" &amp; $B$20 &amp; "'!$T:$T"),"&gt;=" &amp; D$22,INDIRECT("'" &amp; $B$20 &amp; "'!$T:$T"), "&lt;" &amp; E$22)</f>
        <v>0</v>
      </c>
      <c r="E23" s="21">
        <f t="shared" ca="1" si="2"/>
        <v>0</v>
      </c>
      <c r="F23" s="21">
        <f t="shared" ca="1" si="2"/>
        <v>0</v>
      </c>
      <c r="G23" s="21">
        <f t="shared" ca="1" si="2"/>
        <v>0</v>
      </c>
      <c r="H23" s="21">
        <f t="shared" ca="1" si="2"/>
        <v>0</v>
      </c>
      <c r="I23" s="21">
        <f t="shared" ca="1" si="2"/>
        <v>0</v>
      </c>
      <c r="J23" s="21">
        <f t="shared" ca="1" si="2"/>
        <v>6</v>
      </c>
      <c r="K23" s="21">
        <f t="shared" ca="1" si="2"/>
        <v>6</v>
      </c>
      <c r="L23" s="21">
        <f t="shared" ca="1" si="2"/>
        <v>0</v>
      </c>
      <c r="M23" s="21">
        <f t="shared" ca="1" si="2"/>
        <v>0</v>
      </c>
      <c r="N23" s="21">
        <f t="shared" ca="1" si="2"/>
        <v>0</v>
      </c>
      <c r="O23" s="21">
        <f t="shared" ca="1" si="2"/>
        <v>0</v>
      </c>
      <c r="P23" s="21">
        <f t="shared" ca="1" si="2"/>
        <v>0</v>
      </c>
      <c r="Q23" s="21">
        <f t="shared" ca="1" si="2"/>
        <v>0</v>
      </c>
      <c r="R23" s="21">
        <f t="shared" ca="1" si="2"/>
        <v>6</v>
      </c>
      <c r="S23" s="21">
        <f t="shared" ca="1" si="2"/>
        <v>6</v>
      </c>
      <c r="T23" s="21">
        <f t="shared" ca="1" si="2"/>
        <v>12</v>
      </c>
      <c r="U23" s="21">
        <f t="shared" ca="1" si="2"/>
        <v>6</v>
      </c>
      <c r="V23" s="21">
        <f t="shared" ca="1" si="2"/>
        <v>0</v>
      </c>
      <c r="W23" s="21">
        <f t="shared" ca="1" si="2"/>
        <v>0</v>
      </c>
      <c r="X23" s="21">
        <f t="shared" ca="1" si="2"/>
        <v>6</v>
      </c>
      <c r="Y23" s="21">
        <f t="shared" ca="1" si="2"/>
        <v>0</v>
      </c>
      <c r="Z23" s="21">
        <f t="shared" ca="1" si="2"/>
        <v>6</v>
      </c>
      <c r="AA23" s="21">
        <f t="shared" ca="1" si="2"/>
        <v>6</v>
      </c>
      <c r="AB23" s="21">
        <f t="shared" ca="1" si="2"/>
        <v>6</v>
      </c>
      <c r="AC23" s="21">
        <f t="shared" ca="1" si="2"/>
        <v>0</v>
      </c>
      <c r="AD23" s="21">
        <f t="shared" ca="1" si="2"/>
        <v>0</v>
      </c>
      <c r="AE23" s="21">
        <f t="shared" ca="1" si="2"/>
        <v>6</v>
      </c>
      <c r="AF23" s="21">
        <f t="shared" ca="1" si="2"/>
        <v>0</v>
      </c>
      <c r="AG23" s="21">
        <f t="shared" ca="1" si="2"/>
        <v>0</v>
      </c>
      <c r="AH23" s="21">
        <f t="shared" ca="1" si="2"/>
        <v>0</v>
      </c>
      <c r="AI23" s="21">
        <f t="shared" ca="1" si="2"/>
        <v>0</v>
      </c>
      <c r="AJ23" s="21">
        <f t="shared" ca="1" si="2"/>
        <v>0</v>
      </c>
      <c r="AK23" s="21">
        <f t="shared" ca="1" si="2"/>
        <v>0</v>
      </c>
      <c r="AL23" s="21">
        <f t="shared" ca="1" si="2"/>
        <v>6</v>
      </c>
      <c r="AM23" s="21">
        <f t="shared" ca="1" si="2"/>
        <v>6</v>
      </c>
      <c r="AN23" s="21">
        <f t="shared" ca="1" si="2"/>
        <v>0</v>
      </c>
      <c r="AO23" s="21">
        <f t="shared" ca="1" si="2"/>
        <v>6</v>
      </c>
      <c r="AP23" s="21">
        <f t="shared" ca="1" si="2"/>
        <v>6</v>
      </c>
      <c r="AQ23" s="21">
        <f t="shared" ca="1" si="2"/>
        <v>0</v>
      </c>
      <c r="AR23" s="21">
        <f t="shared" ca="1" si="2"/>
        <v>0</v>
      </c>
      <c r="AS23" s="21">
        <f t="shared" ca="1" si="2"/>
        <v>6</v>
      </c>
      <c r="AT23" s="21">
        <f t="shared" ca="1" si="2"/>
        <v>6</v>
      </c>
      <c r="AU23" s="21">
        <f t="shared" ca="1" si="2"/>
        <v>0</v>
      </c>
      <c r="AV23" s="21">
        <f t="shared" ca="1" si="2"/>
        <v>0</v>
      </c>
      <c r="AW23" s="21">
        <f t="shared" ca="1" si="2"/>
        <v>0</v>
      </c>
      <c r="AX23" s="21">
        <f t="shared" ca="1" si="2"/>
        <v>0</v>
      </c>
      <c r="AY23" s="21">
        <f t="shared" ca="1" si="2"/>
        <v>0</v>
      </c>
      <c r="AZ23" s="21">
        <f t="shared" ca="1" si="2"/>
        <v>0</v>
      </c>
      <c r="BA23" s="21">
        <f t="shared" ca="1" si="2"/>
        <v>2</v>
      </c>
      <c r="BB23" s="21">
        <f t="shared" ca="1" si="2"/>
        <v>3</v>
      </c>
      <c r="BC23" s="21">
        <f t="shared" ca="1" si="2"/>
        <v>5</v>
      </c>
      <c r="BD23" s="21">
        <f t="shared" ca="1" si="2"/>
        <v>2</v>
      </c>
      <c r="BE23" s="21">
        <f t="shared" ca="1" si="2"/>
        <v>0</v>
      </c>
      <c r="BF23" s="21">
        <f t="shared" ca="1" si="2"/>
        <v>0</v>
      </c>
      <c r="BG23" s="21">
        <f t="shared" ca="1" si="2"/>
        <v>3</v>
      </c>
      <c r="BH23" s="21">
        <f t="shared" ca="1" si="2"/>
        <v>1</v>
      </c>
      <c r="BI23" s="21">
        <f t="shared" ca="1" si="2"/>
        <v>1</v>
      </c>
      <c r="BJ23" s="21">
        <f t="shared" ca="1" si="2"/>
        <v>1</v>
      </c>
      <c r="BK23" s="21">
        <f t="shared" ca="1" si="2"/>
        <v>0</v>
      </c>
      <c r="BL23" s="21">
        <f t="shared" ca="1" si="2"/>
        <v>0</v>
      </c>
      <c r="BM23" s="21">
        <f t="shared" ca="1" si="2"/>
        <v>0</v>
      </c>
      <c r="BN23" s="21">
        <f t="shared" ca="1" si="2"/>
        <v>0</v>
      </c>
      <c r="BO23" s="21">
        <f t="shared" ca="1" si="2"/>
        <v>0</v>
      </c>
      <c r="BP23" s="21">
        <f t="shared" ref="BP23:CT23" ca="1" si="3">COUNTIFS(INDIRECT("'" &amp; $B$20 &amp; "'!$T:$T"),"&gt;=" &amp; BP$22,INDIRECT("'" &amp; $B$20 &amp; "'!$T:$T"), "&lt;" &amp; BQ$22)</f>
        <v>0</v>
      </c>
      <c r="BQ23" s="21">
        <f t="shared" ca="1" si="3"/>
        <v>0</v>
      </c>
      <c r="BR23" s="21">
        <f t="shared" ca="1" si="3"/>
        <v>0</v>
      </c>
      <c r="BS23" s="21">
        <f t="shared" ca="1" si="3"/>
        <v>0</v>
      </c>
      <c r="BT23" s="21">
        <f t="shared" ca="1" si="3"/>
        <v>0</v>
      </c>
      <c r="BU23" s="21">
        <f t="shared" ca="1" si="3"/>
        <v>0</v>
      </c>
      <c r="BV23" s="21">
        <f t="shared" ca="1" si="3"/>
        <v>0</v>
      </c>
      <c r="BW23" s="21">
        <f t="shared" ca="1" si="3"/>
        <v>0</v>
      </c>
      <c r="BX23" s="21">
        <f t="shared" ca="1" si="3"/>
        <v>0</v>
      </c>
      <c r="BY23" s="21">
        <f t="shared" ca="1" si="3"/>
        <v>0</v>
      </c>
      <c r="BZ23" s="21">
        <f t="shared" ca="1" si="3"/>
        <v>0</v>
      </c>
      <c r="CA23" s="21">
        <f t="shared" ca="1" si="3"/>
        <v>0</v>
      </c>
      <c r="CB23" s="21">
        <f t="shared" ca="1" si="3"/>
        <v>0</v>
      </c>
      <c r="CC23" s="21">
        <f t="shared" ca="1" si="3"/>
        <v>0</v>
      </c>
      <c r="CD23" s="21">
        <f t="shared" ca="1" si="3"/>
        <v>0</v>
      </c>
      <c r="CE23" s="21">
        <f t="shared" ca="1" si="3"/>
        <v>0</v>
      </c>
      <c r="CF23" s="21">
        <f t="shared" ca="1" si="3"/>
        <v>0</v>
      </c>
      <c r="CG23" s="21">
        <f t="shared" ca="1" si="3"/>
        <v>0</v>
      </c>
      <c r="CH23" s="21">
        <f t="shared" ca="1" si="3"/>
        <v>0</v>
      </c>
      <c r="CI23" s="21">
        <f t="shared" ca="1" si="3"/>
        <v>0</v>
      </c>
      <c r="CJ23" s="21">
        <f t="shared" ca="1" si="3"/>
        <v>0</v>
      </c>
      <c r="CK23" s="21">
        <f t="shared" ca="1" si="3"/>
        <v>0</v>
      </c>
      <c r="CL23" s="21">
        <f t="shared" ca="1" si="3"/>
        <v>0</v>
      </c>
      <c r="CM23" s="21">
        <f t="shared" ca="1" si="3"/>
        <v>0</v>
      </c>
      <c r="CN23" s="21">
        <f t="shared" ca="1" si="3"/>
        <v>0</v>
      </c>
      <c r="CO23" s="21">
        <f t="shared" ca="1" si="3"/>
        <v>0</v>
      </c>
      <c r="CP23" s="21">
        <f t="shared" ca="1" si="3"/>
        <v>0</v>
      </c>
      <c r="CQ23" s="21">
        <f t="shared" ca="1" si="3"/>
        <v>0</v>
      </c>
      <c r="CR23" s="21">
        <f t="shared" ca="1" si="3"/>
        <v>0</v>
      </c>
      <c r="CS23" s="21">
        <f t="shared" ca="1" si="3"/>
        <v>0</v>
      </c>
      <c r="CT23" s="21">
        <f t="shared" ca="1" si="3"/>
        <v>0</v>
      </c>
    </row>
    <row r="24" spans="2:98">
      <c r="B24" s="20" t="s">
        <v>21</v>
      </c>
      <c r="C24" s="21">
        <f ca="1">C23</f>
        <v>0</v>
      </c>
      <c r="D24" s="21">
        <f ca="1">C24+D23</f>
        <v>0</v>
      </c>
      <c r="E24" s="21">
        <f t="shared" ref="E24:BP24" ca="1" si="4">D24+E23</f>
        <v>0</v>
      </c>
      <c r="F24" s="21">
        <f t="shared" ca="1" si="4"/>
        <v>0</v>
      </c>
      <c r="G24" s="21">
        <f t="shared" ca="1" si="4"/>
        <v>0</v>
      </c>
      <c r="H24" s="21">
        <f t="shared" ca="1" si="4"/>
        <v>0</v>
      </c>
      <c r="I24" s="21">
        <f t="shared" ca="1" si="4"/>
        <v>0</v>
      </c>
      <c r="J24" s="21">
        <f t="shared" ca="1" si="4"/>
        <v>6</v>
      </c>
      <c r="K24" s="21">
        <f t="shared" ca="1" si="4"/>
        <v>12</v>
      </c>
      <c r="L24" s="21">
        <f t="shared" ca="1" si="4"/>
        <v>12</v>
      </c>
      <c r="M24" s="21">
        <f t="shared" ca="1" si="4"/>
        <v>12</v>
      </c>
      <c r="N24" s="21">
        <f t="shared" ca="1" si="4"/>
        <v>12</v>
      </c>
      <c r="O24" s="21">
        <f t="shared" ca="1" si="4"/>
        <v>12</v>
      </c>
      <c r="P24" s="21">
        <f t="shared" ca="1" si="4"/>
        <v>12</v>
      </c>
      <c r="Q24" s="21">
        <f t="shared" ca="1" si="4"/>
        <v>12</v>
      </c>
      <c r="R24" s="21">
        <f t="shared" ca="1" si="4"/>
        <v>18</v>
      </c>
      <c r="S24" s="21">
        <f t="shared" ca="1" si="4"/>
        <v>24</v>
      </c>
      <c r="T24" s="21">
        <f t="shared" ca="1" si="4"/>
        <v>36</v>
      </c>
      <c r="U24" s="21">
        <f t="shared" ca="1" si="4"/>
        <v>42</v>
      </c>
      <c r="V24" s="21">
        <f t="shared" ca="1" si="4"/>
        <v>42</v>
      </c>
      <c r="W24" s="21">
        <f t="shared" ca="1" si="4"/>
        <v>42</v>
      </c>
      <c r="X24" s="21">
        <f t="shared" ca="1" si="4"/>
        <v>48</v>
      </c>
      <c r="Y24" s="21">
        <f t="shared" ca="1" si="4"/>
        <v>48</v>
      </c>
      <c r="Z24" s="21">
        <f t="shared" ca="1" si="4"/>
        <v>54</v>
      </c>
      <c r="AA24" s="21">
        <f t="shared" ca="1" si="4"/>
        <v>60</v>
      </c>
      <c r="AB24" s="21">
        <f t="shared" ca="1" si="4"/>
        <v>66</v>
      </c>
      <c r="AC24" s="21">
        <f t="shared" ca="1" si="4"/>
        <v>66</v>
      </c>
      <c r="AD24" s="21">
        <f t="shared" ca="1" si="4"/>
        <v>66</v>
      </c>
      <c r="AE24" s="21">
        <f t="shared" ca="1" si="4"/>
        <v>72</v>
      </c>
      <c r="AF24" s="21">
        <f t="shared" ca="1" si="4"/>
        <v>72</v>
      </c>
      <c r="AG24" s="21">
        <f t="shared" ca="1" si="4"/>
        <v>72</v>
      </c>
      <c r="AH24" s="21">
        <f t="shared" ca="1" si="4"/>
        <v>72</v>
      </c>
      <c r="AI24" s="21">
        <f t="shared" ca="1" si="4"/>
        <v>72</v>
      </c>
      <c r="AJ24" s="21">
        <f t="shared" ca="1" si="4"/>
        <v>72</v>
      </c>
      <c r="AK24" s="21">
        <f t="shared" ca="1" si="4"/>
        <v>72</v>
      </c>
      <c r="AL24" s="21">
        <f t="shared" ca="1" si="4"/>
        <v>78</v>
      </c>
      <c r="AM24" s="21">
        <f t="shared" ca="1" si="4"/>
        <v>84</v>
      </c>
      <c r="AN24" s="21">
        <f t="shared" ca="1" si="4"/>
        <v>84</v>
      </c>
      <c r="AO24" s="21">
        <f t="shared" ca="1" si="4"/>
        <v>90</v>
      </c>
      <c r="AP24" s="21">
        <f t="shared" ca="1" si="4"/>
        <v>96</v>
      </c>
      <c r="AQ24" s="21">
        <f t="shared" ca="1" si="4"/>
        <v>96</v>
      </c>
      <c r="AR24" s="21">
        <f t="shared" ca="1" si="4"/>
        <v>96</v>
      </c>
      <c r="AS24" s="21">
        <f t="shared" ca="1" si="4"/>
        <v>102</v>
      </c>
      <c r="AT24" s="21">
        <f t="shared" ca="1" si="4"/>
        <v>108</v>
      </c>
      <c r="AU24" s="21">
        <f t="shared" ca="1" si="4"/>
        <v>108</v>
      </c>
      <c r="AV24" s="21">
        <f t="shared" ca="1" si="4"/>
        <v>108</v>
      </c>
      <c r="AW24" s="21">
        <f t="shared" ca="1" si="4"/>
        <v>108</v>
      </c>
      <c r="AX24" s="21">
        <f t="shared" ca="1" si="4"/>
        <v>108</v>
      </c>
      <c r="AY24" s="21">
        <f t="shared" ca="1" si="4"/>
        <v>108</v>
      </c>
      <c r="AZ24" s="21">
        <f t="shared" ca="1" si="4"/>
        <v>108</v>
      </c>
      <c r="BA24" s="21">
        <f t="shared" ca="1" si="4"/>
        <v>110</v>
      </c>
      <c r="BB24" s="21">
        <f t="shared" ca="1" si="4"/>
        <v>113</v>
      </c>
      <c r="BC24" s="21">
        <f t="shared" ca="1" si="4"/>
        <v>118</v>
      </c>
      <c r="BD24" s="21">
        <f t="shared" ca="1" si="4"/>
        <v>120</v>
      </c>
      <c r="BE24" s="21">
        <f t="shared" ca="1" si="4"/>
        <v>120</v>
      </c>
      <c r="BF24" s="21">
        <f t="shared" ca="1" si="4"/>
        <v>120</v>
      </c>
      <c r="BG24" s="21">
        <f t="shared" ca="1" si="4"/>
        <v>123</v>
      </c>
      <c r="BH24" s="21">
        <f t="shared" ca="1" si="4"/>
        <v>124</v>
      </c>
      <c r="BI24" s="21">
        <f t="shared" ca="1" si="4"/>
        <v>125</v>
      </c>
      <c r="BJ24" s="21">
        <f t="shared" ca="1" si="4"/>
        <v>126</v>
      </c>
      <c r="BK24" s="21">
        <f t="shared" ca="1" si="4"/>
        <v>126</v>
      </c>
      <c r="BL24" s="21">
        <f t="shared" ca="1" si="4"/>
        <v>126</v>
      </c>
      <c r="BM24" s="21">
        <f t="shared" ca="1" si="4"/>
        <v>126</v>
      </c>
      <c r="BN24" s="21">
        <f t="shared" ca="1" si="4"/>
        <v>126</v>
      </c>
      <c r="BO24" s="21">
        <f t="shared" ca="1" si="4"/>
        <v>126</v>
      </c>
      <c r="BP24" s="21">
        <f t="shared" ca="1" si="4"/>
        <v>126</v>
      </c>
      <c r="BQ24" s="21">
        <f t="shared" ref="BQ24:CT24" ca="1" si="5">BP24+BQ23</f>
        <v>126</v>
      </c>
      <c r="BR24" s="21">
        <f t="shared" ca="1" si="5"/>
        <v>126</v>
      </c>
      <c r="BS24" s="21">
        <f t="shared" ca="1" si="5"/>
        <v>126</v>
      </c>
      <c r="BT24" s="21">
        <f t="shared" ca="1" si="5"/>
        <v>126</v>
      </c>
      <c r="BU24" s="21">
        <f t="shared" ca="1" si="5"/>
        <v>126</v>
      </c>
      <c r="BV24" s="21">
        <f t="shared" ca="1" si="5"/>
        <v>126</v>
      </c>
      <c r="BW24" s="21">
        <f t="shared" ca="1" si="5"/>
        <v>126</v>
      </c>
      <c r="BX24" s="21">
        <f t="shared" ca="1" si="5"/>
        <v>126</v>
      </c>
      <c r="BY24" s="21">
        <f t="shared" ca="1" si="5"/>
        <v>126</v>
      </c>
      <c r="BZ24" s="21">
        <f t="shared" ca="1" si="5"/>
        <v>126</v>
      </c>
      <c r="CA24" s="21">
        <f t="shared" ca="1" si="5"/>
        <v>126</v>
      </c>
      <c r="CB24" s="21">
        <f t="shared" ca="1" si="5"/>
        <v>126</v>
      </c>
      <c r="CC24" s="21">
        <f t="shared" ca="1" si="5"/>
        <v>126</v>
      </c>
      <c r="CD24" s="21">
        <f t="shared" ca="1" si="5"/>
        <v>126</v>
      </c>
      <c r="CE24" s="21">
        <f t="shared" ca="1" si="5"/>
        <v>126</v>
      </c>
      <c r="CF24" s="21">
        <f t="shared" ca="1" si="5"/>
        <v>126</v>
      </c>
      <c r="CG24" s="21">
        <f t="shared" ca="1" si="5"/>
        <v>126</v>
      </c>
      <c r="CH24" s="21">
        <f t="shared" ca="1" si="5"/>
        <v>126</v>
      </c>
      <c r="CI24" s="21">
        <f t="shared" ca="1" si="5"/>
        <v>126</v>
      </c>
      <c r="CJ24" s="21">
        <f t="shared" ca="1" si="5"/>
        <v>126</v>
      </c>
      <c r="CK24" s="21">
        <f t="shared" ca="1" si="5"/>
        <v>126</v>
      </c>
      <c r="CL24" s="21">
        <f t="shared" ca="1" si="5"/>
        <v>126</v>
      </c>
      <c r="CM24" s="21">
        <f t="shared" ca="1" si="5"/>
        <v>126</v>
      </c>
      <c r="CN24" s="21">
        <f t="shared" ca="1" si="5"/>
        <v>126</v>
      </c>
      <c r="CO24" s="21">
        <f t="shared" ca="1" si="5"/>
        <v>126</v>
      </c>
      <c r="CP24" s="21">
        <f t="shared" ca="1" si="5"/>
        <v>126</v>
      </c>
      <c r="CQ24" s="21">
        <f t="shared" ca="1" si="5"/>
        <v>126</v>
      </c>
      <c r="CR24" s="21">
        <f t="shared" ca="1" si="5"/>
        <v>126</v>
      </c>
      <c r="CS24" s="21">
        <f t="shared" ca="1" si="5"/>
        <v>126</v>
      </c>
      <c r="CT24" s="21">
        <f t="shared" ca="1" si="5"/>
        <v>126</v>
      </c>
    </row>
    <row r="25" spans="2:98">
      <c r="B25" s="20" t="s">
        <v>22</v>
      </c>
      <c r="C25" s="21">
        <f ca="1">COUNTIFS(INDIRECT("'" &amp; $B$20 &amp; "'!$V:$V"),"&gt;=" &amp; C$22,INDIRECT("'" &amp; $B$20 &amp; "'!$V:$V"), "&lt;" &amp; D$22)</f>
        <v>0</v>
      </c>
      <c r="D25" s="21">
        <f t="shared" ref="D25:BO25" ca="1" si="6">COUNTIFS(INDIRECT("'" &amp; $B$20 &amp; "'!$V:$V"),"&gt;=" &amp; D$22,INDIRECT("'" &amp; $B$20 &amp; "'!$V:$V"), "&lt;" &amp; E$22)</f>
        <v>0</v>
      </c>
      <c r="E25" s="21">
        <f t="shared" ca="1" si="6"/>
        <v>0</v>
      </c>
      <c r="F25" s="21">
        <f t="shared" ca="1" si="6"/>
        <v>0</v>
      </c>
      <c r="G25" s="21">
        <f t="shared" ca="1" si="6"/>
        <v>0</v>
      </c>
      <c r="H25" s="21">
        <f t="shared" ca="1" si="6"/>
        <v>0</v>
      </c>
      <c r="I25" s="21">
        <f t="shared" ca="1" si="6"/>
        <v>0</v>
      </c>
      <c r="J25" s="21">
        <f t="shared" ca="1" si="6"/>
        <v>6</v>
      </c>
      <c r="K25" s="21">
        <f t="shared" ca="1" si="6"/>
        <v>6</v>
      </c>
      <c r="L25" s="21">
        <f t="shared" ca="1" si="6"/>
        <v>0</v>
      </c>
      <c r="M25" s="21">
        <f t="shared" ca="1" si="6"/>
        <v>0</v>
      </c>
      <c r="N25" s="21">
        <f t="shared" ca="1" si="6"/>
        <v>0</v>
      </c>
      <c r="O25" s="21">
        <f t="shared" ca="1" si="6"/>
        <v>0</v>
      </c>
      <c r="P25" s="21">
        <f t="shared" ca="1" si="6"/>
        <v>0</v>
      </c>
      <c r="Q25" s="21">
        <f t="shared" ca="1" si="6"/>
        <v>0</v>
      </c>
      <c r="R25" s="21">
        <f t="shared" ca="1" si="6"/>
        <v>0</v>
      </c>
      <c r="S25" s="21">
        <f t="shared" ca="1" si="6"/>
        <v>0</v>
      </c>
      <c r="T25" s="21">
        <f t="shared" ca="1" si="6"/>
        <v>0</v>
      </c>
      <c r="U25" s="21">
        <f t="shared" ca="1" si="6"/>
        <v>0</v>
      </c>
      <c r="V25" s="21">
        <f t="shared" ca="1" si="6"/>
        <v>0</v>
      </c>
      <c r="W25" s="21">
        <f t="shared" ca="1" si="6"/>
        <v>0</v>
      </c>
      <c r="X25" s="21">
        <f t="shared" ca="1" si="6"/>
        <v>0</v>
      </c>
      <c r="Y25" s="21">
        <f t="shared" ca="1" si="6"/>
        <v>0</v>
      </c>
      <c r="Z25" s="21">
        <f t="shared" ca="1" si="6"/>
        <v>0</v>
      </c>
      <c r="AA25" s="21">
        <f t="shared" ca="1" si="6"/>
        <v>0</v>
      </c>
      <c r="AB25" s="21">
        <f t="shared" ca="1" si="6"/>
        <v>0</v>
      </c>
      <c r="AC25" s="21">
        <f t="shared" ca="1" si="6"/>
        <v>0</v>
      </c>
      <c r="AD25" s="21">
        <f t="shared" ca="1" si="6"/>
        <v>0</v>
      </c>
      <c r="AE25" s="21">
        <f t="shared" ca="1" si="6"/>
        <v>0</v>
      </c>
      <c r="AF25" s="21">
        <f t="shared" ca="1" si="6"/>
        <v>0</v>
      </c>
      <c r="AG25" s="21">
        <f t="shared" ca="1" si="6"/>
        <v>0</v>
      </c>
      <c r="AH25" s="21">
        <f t="shared" ca="1" si="6"/>
        <v>0</v>
      </c>
      <c r="AI25" s="21">
        <f t="shared" ca="1" si="6"/>
        <v>0</v>
      </c>
      <c r="AJ25" s="21">
        <f t="shared" ca="1" si="6"/>
        <v>0</v>
      </c>
      <c r="AK25" s="21">
        <f t="shared" ca="1" si="6"/>
        <v>0</v>
      </c>
      <c r="AL25" s="21">
        <f t="shared" ca="1" si="6"/>
        <v>0</v>
      </c>
      <c r="AM25" s="21">
        <f t="shared" ca="1" si="6"/>
        <v>0</v>
      </c>
      <c r="AN25" s="21">
        <f t="shared" ca="1" si="6"/>
        <v>0</v>
      </c>
      <c r="AO25" s="21">
        <f t="shared" ca="1" si="6"/>
        <v>0</v>
      </c>
      <c r="AP25" s="21">
        <f t="shared" ca="1" si="6"/>
        <v>0</v>
      </c>
      <c r="AQ25" s="21">
        <f t="shared" ca="1" si="6"/>
        <v>0</v>
      </c>
      <c r="AR25" s="21">
        <f t="shared" ca="1" si="6"/>
        <v>0</v>
      </c>
      <c r="AS25" s="21">
        <f t="shared" ca="1" si="6"/>
        <v>0</v>
      </c>
      <c r="AT25" s="21">
        <f t="shared" ca="1" si="6"/>
        <v>0</v>
      </c>
      <c r="AU25" s="21">
        <f t="shared" ca="1" si="6"/>
        <v>0</v>
      </c>
      <c r="AV25" s="21">
        <f t="shared" ca="1" si="6"/>
        <v>0</v>
      </c>
      <c r="AW25" s="21">
        <f t="shared" ca="1" si="6"/>
        <v>0</v>
      </c>
      <c r="AX25" s="21">
        <f t="shared" ca="1" si="6"/>
        <v>0</v>
      </c>
      <c r="AY25" s="21">
        <f t="shared" ca="1" si="6"/>
        <v>0</v>
      </c>
      <c r="AZ25" s="21">
        <f t="shared" ca="1" si="6"/>
        <v>0</v>
      </c>
      <c r="BA25" s="21">
        <f t="shared" ca="1" si="6"/>
        <v>0</v>
      </c>
      <c r="BB25" s="21">
        <f t="shared" ca="1" si="6"/>
        <v>0</v>
      </c>
      <c r="BC25" s="21">
        <f t="shared" ca="1" si="6"/>
        <v>0</v>
      </c>
      <c r="BD25" s="21">
        <f t="shared" ca="1" si="6"/>
        <v>0</v>
      </c>
      <c r="BE25" s="21">
        <f t="shared" ca="1" si="6"/>
        <v>0</v>
      </c>
      <c r="BF25" s="21">
        <f t="shared" ca="1" si="6"/>
        <v>0</v>
      </c>
      <c r="BG25" s="21">
        <f t="shared" ca="1" si="6"/>
        <v>0</v>
      </c>
      <c r="BH25" s="21">
        <f t="shared" ca="1" si="6"/>
        <v>0</v>
      </c>
      <c r="BI25" s="21">
        <f t="shared" ca="1" si="6"/>
        <v>0</v>
      </c>
      <c r="BJ25" s="21">
        <f t="shared" ca="1" si="6"/>
        <v>0</v>
      </c>
      <c r="BK25" s="21">
        <f t="shared" ca="1" si="6"/>
        <v>0</v>
      </c>
      <c r="BL25" s="21">
        <f t="shared" ca="1" si="6"/>
        <v>0</v>
      </c>
      <c r="BM25" s="21">
        <f t="shared" ca="1" si="6"/>
        <v>0</v>
      </c>
      <c r="BN25" s="21">
        <f t="shared" ca="1" si="6"/>
        <v>0</v>
      </c>
      <c r="BO25" s="21">
        <f t="shared" ca="1" si="6"/>
        <v>0</v>
      </c>
      <c r="BP25" s="21">
        <f t="shared" ref="BP25:CT25" ca="1" si="7">COUNTIFS(INDIRECT("'" &amp; $B$20 &amp; "'!$V:$V"),"&gt;=" &amp; BP$22,INDIRECT("'" &amp; $B$20 &amp; "'!$V:$V"), "&lt;" &amp; BQ$22)</f>
        <v>0</v>
      </c>
      <c r="BQ25" s="21">
        <f t="shared" ca="1" si="7"/>
        <v>0</v>
      </c>
      <c r="BR25" s="21">
        <f t="shared" ca="1" si="7"/>
        <v>0</v>
      </c>
      <c r="BS25" s="21">
        <f t="shared" ca="1" si="7"/>
        <v>0</v>
      </c>
      <c r="BT25" s="21">
        <f t="shared" ca="1" si="7"/>
        <v>0</v>
      </c>
      <c r="BU25" s="21">
        <f t="shared" ca="1" si="7"/>
        <v>0</v>
      </c>
      <c r="BV25" s="21">
        <f t="shared" ca="1" si="7"/>
        <v>0</v>
      </c>
      <c r="BW25" s="21">
        <f t="shared" ca="1" si="7"/>
        <v>0</v>
      </c>
      <c r="BX25" s="21">
        <f t="shared" ca="1" si="7"/>
        <v>0</v>
      </c>
      <c r="BY25" s="21">
        <f t="shared" ca="1" si="7"/>
        <v>0</v>
      </c>
      <c r="BZ25" s="21">
        <f t="shared" ca="1" si="7"/>
        <v>0</v>
      </c>
      <c r="CA25" s="21">
        <f t="shared" ca="1" si="7"/>
        <v>0</v>
      </c>
      <c r="CB25" s="21">
        <f t="shared" ca="1" si="7"/>
        <v>0</v>
      </c>
      <c r="CC25" s="21">
        <f t="shared" ca="1" si="7"/>
        <v>0</v>
      </c>
      <c r="CD25" s="21">
        <f t="shared" ca="1" si="7"/>
        <v>0</v>
      </c>
      <c r="CE25" s="21">
        <f t="shared" ca="1" si="7"/>
        <v>0</v>
      </c>
      <c r="CF25" s="21">
        <f t="shared" ca="1" si="7"/>
        <v>0</v>
      </c>
      <c r="CG25" s="21">
        <f t="shared" ca="1" si="7"/>
        <v>0</v>
      </c>
      <c r="CH25" s="21">
        <f t="shared" ca="1" si="7"/>
        <v>0</v>
      </c>
      <c r="CI25" s="21">
        <f t="shared" ca="1" si="7"/>
        <v>0</v>
      </c>
      <c r="CJ25" s="21">
        <f t="shared" ca="1" si="7"/>
        <v>0</v>
      </c>
      <c r="CK25" s="21">
        <f t="shared" ca="1" si="7"/>
        <v>0</v>
      </c>
      <c r="CL25" s="21">
        <f t="shared" ca="1" si="7"/>
        <v>0</v>
      </c>
      <c r="CM25" s="21">
        <f t="shared" ca="1" si="7"/>
        <v>0</v>
      </c>
      <c r="CN25" s="21">
        <f t="shared" ca="1" si="7"/>
        <v>0</v>
      </c>
      <c r="CO25" s="21">
        <f t="shared" ca="1" si="7"/>
        <v>0</v>
      </c>
      <c r="CP25" s="21">
        <f t="shared" ca="1" si="7"/>
        <v>0</v>
      </c>
      <c r="CQ25" s="21">
        <f t="shared" ca="1" si="7"/>
        <v>0</v>
      </c>
      <c r="CR25" s="21">
        <f t="shared" ca="1" si="7"/>
        <v>0</v>
      </c>
      <c r="CS25" s="21">
        <f t="shared" ca="1" si="7"/>
        <v>0</v>
      </c>
      <c r="CT25" s="21">
        <f t="shared" ca="1" si="7"/>
        <v>0</v>
      </c>
    </row>
    <row r="26" spans="2:98">
      <c r="B26" s="20" t="s">
        <v>23</v>
      </c>
      <c r="C26" s="21">
        <f ca="1">C25</f>
        <v>0</v>
      </c>
      <c r="D26" s="21">
        <f ca="1">C26+D25</f>
        <v>0</v>
      </c>
      <c r="E26" s="21">
        <f t="shared" ref="E26:BP26" ca="1" si="8">D26+E25</f>
        <v>0</v>
      </c>
      <c r="F26" s="21">
        <f t="shared" ca="1" si="8"/>
        <v>0</v>
      </c>
      <c r="G26" s="21">
        <f t="shared" ca="1" si="8"/>
        <v>0</v>
      </c>
      <c r="H26" s="21">
        <f t="shared" ca="1" si="8"/>
        <v>0</v>
      </c>
      <c r="I26" s="21">
        <f t="shared" ca="1" si="8"/>
        <v>0</v>
      </c>
      <c r="J26" s="21">
        <f t="shared" ca="1" si="8"/>
        <v>6</v>
      </c>
      <c r="K26" s="21">
        <f t="shared" ca="1" si="8"/>
        <v>12</v>
      </c>
      <c r="L26" s="21">
        <f t="shared" ca="1" si="8"/>
        <v>12</v>
      </c>
      <c r="M26" s="21">
        <f t="shared" ca="1" si="8"/>
        <v>12</v>
      </c>
      <c r="N26" s="21">
        <f t="shared" ca="1" si="8"/>
        <v>12</v>
      </c>
      <c r="O26" s="21">
        <f t="shared" ca="1" si="8"/>
        <v>12</v>
      </c>
      <c r="P26" s="21">
        <f t="shared" ca="1" si="8"/>
        <v>12</v>
      </c>
      <c r="Q26" s="21">
        <f t="shared" ca="1" si="8"/>
        <v>12</v>
      </c>
      <c r="R26" s="21">
        <f t="shared" ca="1" si="8"/>
        <v>12</v>
      </c>
      <c r="S26" s="21">
        <f t="shared" ca="1" si="8"/>
        <v>12</v>
      </c>
      <c r="T26" s="21">
        <f t="shared" ca="1" si="8"/>
        <v>12</v>
      </c>
      <c r="U26" s="21">
        <f t="shared" ca="1" si="8"/>
        <v>12</v>
      </c>
      <c r="V26" s="21">
        <f t="shared" ca="1" si="8"/>
        <v>12</v>
      </c>
      <c r="W26" s="21">
        <f t="shared" ca="1" si="8"/>
        <v>12</v>
      </c>
      <c r="X26" s="21">
        <f t="shared" ca="1" si="8"/>
        <v>12</v>
      </c>
      <c r="Y26" s="21">
        <f t="shared" ca="1" si="8"/>
        <v>12</v>
      </c>
      <c r="Z26" s="21">
        <f t="shared" ca="1" si="8"/>
        <v>12</v>
      </c>
      <c r="AA26" s="21">
        <f t="shared" ca="1" si="8"/>
        <v>12</v>
      </c>
      <c r="AB26" s="21">
        <f t="shared" ca="1" si="8"/>
        <v>12</v>
      </c>
      <c r="AC26" s="21">
        <f t="shared" ca="1" si="8"/>
        <v>12</v>
      </c>
      <c r="AD26" s="21">
        <f t="shared" ca="1" si="8"/>
        <v>12</v>
      </c>
      <c r="AE26" s="21">
        <f t="shared" ca="1" si="8"/>
        <v>12</v>
      </c>
      <c r="AF26" s="21">
        <f t="shared" ca="1" si="8"/>
        <v>12</v>
      </c>
      <c r="AG26" s="21">
        <f t="shared" ca="1" si="8"/>
        <v>12</v>
      </c>
      <c r="AH26" s="21">
        <f t="shared" ca="1" si="8"/>
        <v>12</v>
      </c>
      <c r="AI26" s="21">
        <f t="shared" ca="1" si="8"/>
        <v>12</v>
      </c>
      <c r="AJ26" s="21">
        <f t="shared" ca="1" si="8"/>
        <v>12</v>
      </c>
      <c r="AK26" s="21">
        <f t="shared" ca="1" si="8"/>
        <v>12</v>
      </c>
      <c r="AL26" s="21">
        <f t="shared" ca="1" si="8"/>
        <v>12</v>
      </c>
      <c r="AM26" s="21">
        <f t="shared" ca="1" si="8"/>
        <v>12</v>
      </c>
      <c r="AN26" s="21">
        <f t="shared" ca="1" si="8"/>
        <v>12</v>
      </c>
      <c r="AO26" s="21">
        <f t="shared" ca="1" si="8"/>
        <v>12</v>
      </c>
      <c r="AP26" s="21">
        <f t="shared" ca="1" si="8"/>
        <v>12</v>
      </c>
      <c r="AQ26" s="21">
        <f t="shared" ca="1" si="8"/>
        <v>12</v>
      </c>
      <c r="AR26" s="21">
        <f t="shared" ca="1" si="8"/>
        <v>12</v>
      </c>
      <c r="AS26" s="21">
        <f t="shared" ca="1" si="8"/>
        <v>12</v>
      </c>
      <c r="AT26" s="21">
        <f t="shared" ca="1" si="8"/>
        <v>12</v>
      </c>
      <c r="AU26" s="21">
        <f t="shared" ca="1" si="8"/>
        <v>12</v>
      </c>
      <c r="AV26" s="21">
        <f t="shared" ca="1" si="8"/>
        <v>12</v>
      </c>
      <c r="AW26" s="21">
        <f t="shared" ca="1" si="8"/>
        <v>12</v>
      </c>
      <c r="AX26" s="21">
        <f t="shared" ca="1" si="8"/>
        <v>12</v>
      </c>
      <c r="AY26" s="21">
        <f t="shared" ca="1" si="8"/>
        <v>12</v>
      </c>
      <c r="AZ26" s="21">
        <f t="shared" ca="1" si="8"/>
        <v>12</v>
      </c>
      <c r="BA26" s="21">
        <f t="shared" ca="1" si="8"/>
        <v>12</v>
      </c>
      <c r="BB26" s="21">
        <f t="shared" ca="1" si="8"/>
        <v>12</v>
      </c>
      <c r="BC26" s="21">
        <f t="shared" ca="1" si="8"/>
        <v>12</v>
      </c>
      <c r="BD26" s="21">
        <f t="shared" ca="1" si="8"/>
        <v>12</v>
      </c>
      <c r="BE26" s="21">
        <f t="shared" ca="1" si="8"/>
        <v>12</v>
      </c>
      <c r="BF26" s="21">
        <f t="shared" ca="1" si="8"/>
        <v>12</v>
      </c>
      <c r="BG26" s="21">
        <f t="shared" ca="1" si="8"/>
        <v>12</v>
      </c>
      <c r="BH26" s="21">
        <f t="shared" ca="1" si="8"/>
        <v>12</v>
      </c>
      <c r="BI26" s="21">
        <f t="shared" ca="1" si="8"/>
        <v>12</v>
      </c>
      <c r="BJ26" s="21">
        <f t="shared" ca="1" si="8"/>
        <v>12</v>
      </c>
      <c r="BK26" s="21">
        <f t="shared" ca="1" si="8"/>
        <v>12</v>
      </c>
      <c r="BL26" s="21">
        <f t="shared" ca="1" si="8"/>
        <v>12</v>
      </c>
      <c r="BM26" s="21">
        <f t="shared" ca="1" si="8"/>
        <v>12</v>
      </c>
      <c r="BN26" s="21">
        <f t="shared" ca="1" si="8"/>
        <v>12</v>
      </c>
      <c r="BO26" s="21">
        <f t="shared" ca="1" si="8"/>
        <v>12</v>
      </c>
      <c r="BP26" s="21">
        <f t="shared" ca="1" si="8"/>
        <v>12</v>
      </c>
      <c r="BQ26" s="21">
        <f t="shared" ref="BQ26:CT26" ca="1" si="9">BP26+BQ25</f>
        <v>12</v>
      </c>
      <c r="BR26" s="21">
        <f t="shared" ca="1" si="9"/>
        <v>12</v>
      </c>
      <c r="BS26" s="21">
        <f t="shared" ca="1" si="9"/>
        <v>12</v>
      </c>
      <c r="BT26" s="21">
        <f t="shared" ca="1" si="9"/>
        <v>12</v>
      </c>
      <c r="BU26" s="21">
        <f t="shared" ca="1" si="9"/>
        <v>12</v>
      </c>
      <c r="BV26" s="21">
        <f t="shared" ca="1" si="9"/>
        <v>12</v>
      </c>
      <c r="BW26" s="21">
        <f t="shared" ca="1" si="9"/>
        <v>12</v>
      </c>
      <c r="BX26" s="21">
        <f t="shared" ca="1" si="9"/>
        <v>12</v>
      </c>
      <c r="BY26" s="21">
        <f t="shared" ca="1" si="9"/>
        <v>12</v>
      </c>
      <c r="BZ26" s="21">
        <f t="shared" ca="1" si="9"/>
        <v>12</v>
      </c>
      <c r="CA26" s="21">
        <f t="shared" ca="1" si="9"/>
        <v>12</v>
      </c>
      <c r="CB26" s="21">
        <f t="shared" ca="1" si="9"/>
        <v>12</v>
      </c>
      <c r="CC26" s="21">
        <f t="shared" ca="1" si="9"/>
        <v>12</v>
      </c>
      <c r="CD26" s="21">
        <f t="shared" ca="1" si="9"/>
        <v>12</v>
      </c>
      <c r="CE26" s="21">
        <f t="shared" ca="1" si="9"/>
        <v>12</v>
      </c>
      <c r="CF26" s="21">
        <f t="shared" ca="1" si="9"/>
        <v>12</v>
      </c>
      <c r="CG26" s="21">
        <f t="shared" ca="1" si="9"/>
        <v>12</v>
      </c>
      <c r="CH26" s="21">
        <f t="shared" ca="1" si="9"/>
        <v>12</v>
      </c>
      <c r="CI26" s="21">
        <f t="shared" ca="1" si="9"/>
        <v>12</v>
      </c>
      <c r="CJ26" s="21">
        <f t="shared" ca="1" si="9"/>
        <v>12</v>
      </c>
      <c r="CK26" s="21">
        <f t="shared" ca="1" si="9"/>
        <v>12</v>
      </c>
      <c r="CL26" s="21">
        <f t="shared" ca="1" si="9"/>
        <v>12</v>
      </c>
      <c r="CM26" s="21">
        <f t="shared" ca="1" si="9"/>
        <v>12</v>
      </c>
      <c r="CN26" s="21">
        <f t="shared" ca="1" si="9"/>
        <v>12</v>
      </c>
      <c r="CO26" s="21">
        <f t="shared" ca="1" si="9"/>
        <v>12</v>
      </c>
      <c r="CP26" s="21">
        <f t="shared" ca="1" si="9"/>
        <v>12</v>
      </c>
      <c r="CQ26" s="21">
        <f t="shared" ca="1" si="9"/>
        <v>12</v>
      </c>
      <c r="CR26" s="21">
        <f t="shared" ca="1" si="9"/>
        <v>12</v>
      </c>
      <c r="CS26" s="21">
        <f t="shared" ca="1" si="9"/>
        <v>12</v>
      </c>
      <c r="CT26" s="21">
        <f t="shared" ca="1" si="9"/>
        <v>12</v>
      </c>
    </row>
    <row r="27" spans="2:98">
      <c r="B27" s="20" t="s">
        <v>24</v>
      </c>
      <c r="C27" s="21">
        <f ca="1">C26-C24</f>
        <v>0</v>
      </c>
      <c r="D27" s="21">
        <f t="shared" ref="D27:BO27" ca="1" si="10">D26-D24</f>
        <v>0</v>
      </c>
      <c r="E27" s="21">
        <f t="shared" ca="1" si="10"/>
        <v>0</v>
      </c>
      <c r="F27" s="21">
        <f t="shared" ca="1" si="10"/>
        <v>0</v>
      </c>
      <c r="G27" s="21">
        <f t="shared" ca="1" si="10"/>
        <v>0</v>
      </c>
      <c r="H27" s="21">
        <f t="shared" ca="1" si="10"/>
        <v>0</v>
      </c>
      <c r="I27" s="21">
        <f t="shared" ca="1" si="10"/>
        <v>0</v>
      </c>
      <c r="J27" s="21">
        <f t="shared" ca="1" si="10"/>
        <v>0</v>
      </c>
      <c r="K27" s="21">
        <f t="shared" ca="1" si="10"/>
        <v>0</v>
      </c>
      <c r="L27" s="21">
        <f t="shared" ca="1" si="10"/>
        <v>0</v>
      </c>
      <c r="M27" s="21">
        <f t="shared" ca="1" si="10"/>
        <v>0</v>
      </c>
      <c r="N27" s="21">
        <f t="shared" ca="1" si="10"/>
        <v>0</v>
      </c>
      <c r="O27" s="21">
        <f t="shared" ca="1" si="10"/>
        <v>0</v>
      </c>
      <c r="P27" s="21">
        <f t="shared" ca="1" si="10"/>
        <v>0</v>
      </c>
      <c r="Q27" s="21">
        <f t="shared" ca="1" si="10"/>
        <v>0</v>
      </c>
      <c r="R27" s="21">
        <f t="shared" ca="1" si="10"/>
        <v>-6</v>
      </c>
      <c r="S27" s="21">
        <f t="shared" ca="1" si="10"/>
        <v>-12</v>
      </c>
      <c r="T27" s="21">
        <f t="shared" ca="1" si="10"/>
        <v>-24</v>
      </c>
      <c r="U27" s="21">
        <f t="shared" ca="1" si="10"/>
        <v>-30</v>
      </c>
      <c r="V27" s="21">
        <f t="shared" ca="1" si="10"/>
        <v>-30</v>
      </c>
      <c r="W27" s="21">
        <f t="shared" ca="1" si="10"/>
        <v>-30</v>
      </c>
      <c r="X27" s="21">
        <f t="shared" ca="1" si="10"/>
        <v>-36</v>
      </c>
      <c r="Y27" s="21">
        <f t="shared" ca="1" si="10"/>
        <v>-36</v>
      </c>
      <c r="Z27" s="21">
        <f t="shared" ca="1" si="10"/>
        <v>-42</v>
      </c>
      <c r="AA27" s="21">
        <f t="shared" ca="1" si="10"/>
        <v>-48</v>
      </c>
      <c r="AB27" s="21">
        <f t="shared" ca="1" si="10"/>
        <v>-54</v>
      </c>
      <c r="AC27" s="21">
        <f t="shared" ca="1" si="10"/>
        <v>-54</v>
      </c>
      <c r="AD27" s="21">
        <f t="shared" ca="1" si="10"/>
        <v>-54</v>
      </c>
      <c r="AE27" s="21">
        <f t="shared" ca="1" si="10"/>
        <v>-60</v>
      </c>
      <c r="AF27" s="21">
        <f t="shared" ca="1" si="10"/>
        <v>-60</v>
      </c>
      <c r="AG27" s="21">
        <f t="shared" ca="1" si="10"/>
        <v>-60</v>
      </c>
      <c r="AH27" s="21">
        <f t="shared" ca="1" si="10"/>
        <v>-60</v>
      </c>
      <c r="AI27" s="21">
        <f t="shared" ca="1" si="10"/>
        <v>-60</v>
      </c>
      <c r="AJ27" s="21">
        <f t="shared" ca="1" si="10"/>
        <v>-60</v>
      </c>
      <c r="AK27" s="21">
        <f t="shared" ca="1" si="10"/>
        <v>-60</v>
      </c>
      <c r="AL27" s="21">
        <f t="shared" ca="1" si="10"/>
        <v>-66</v>
      </c>
      <c r="AM27" s="21">
        <f t="shared" ca="1" si="10"/>
        <v>-72</v>
      </c>
      <c r="AN27" s="21">
        <f t="shared" ca="1" si="10"/>
        <v>-72</v>
      </c>
      <c r="AO27" s="21">
        <f t="shared" ca="1" si="10"/>
        <v>-78</v>
      </c>
      <c r="AP27" s="21">
        <f t="shared" ca="1" si="10"/>
        <v>-84</v>
      </c>
      <c r="AQ27" s="21">
        <f t="shared" ca="1" si="10"/>
        <v>-84</v>
      </c>
      <c r="AR27" s="21">
        <f t="shared" ca="1" si="10"/>
        <v>-84</v>
      </c>
      <c r="AS27" s="21">
        <f t="shared" ca="1" si="10"/>
        <v>-90</v>
      </c>
      <c r="AT27" s="21">
        <f t="shared" ca="1" si="10"/>
        <v>-96</v>
      </c>
      <c r="AU27" s="21">
        <f t="shared" ca="1" si="10"/>
        <v>-96</v>
      </c>
      <c r="AV27" s="21">
        <f t="shared" ca="1" si="10"/>
        <v>-96</v>
      </c>
      <c r="AW27" s="21">
        <f t="shared" ca="1" si="10"/>
        <v>-96</v>
      </c>
      <c r="AX27" s="21">
        <f t="shared" ca="1" si="10"/>
        <v>-96</v>
      </c>
      <c r="AY27" s="21">
        <f t="shared" ca="1" si="10"/>
        <v>-96</v>
      </c>
      <c r="AZ27" s="21">
        <f t="shared" ca="1" si="10"/>
        <v>-96</v>
      </c>
      <c r="BA27" s="21">
        <f t="shared" ca="1" si="10"/>
        <v>-98</v>
      </c>
      <c r="BB27" s="21">
        <f t="shared" ca="1" si="10"/>
        <v>-101</v>
      </c>
      <c r="BC27" s="21">
        <f t="shared" ca="1" si="10"/>
        <v>-106</v>
      </c>
      <c r="BD27" s="21">
        <f t="shared" ca="1" si="10"/>
        <v>-108</v>
      </c>
      <c r="BE27" s="21">
        <f t="shared" ca="1" si="10"/>
        <v>-108</v>
      </c>
      <c r="BF27" s="21">
        <f t="shared" ca="1" si="10"/>
        <v>-108</v>
      </c>
      <c r="BG27" s="21">
        <f t="shared" ca="1" si="10"/>
        <v>-111</v>
      </c>
      <c r="BH27" s="21">
        <f t="shared" ca="1" si="10"/>
        <v>-112</v>
      </c>
      <c r="BI27" s="21">
        <f t="shared" ca="1" si="10"/>
        <v>-113</v>
      </c>
      <c r="BJ27" s="21">
        <f t="shared" ca="1" si="10"/>
        <v>-114</v>
      </c>
      <c r="BK27" s="21">
        <f t="shared" ca="1" si="10"/>
        <v>-114</v>
      </c>
      <c r="BL27" s="21">
        <f t="shared" ca="1" si="10"/>
        <v>-114</v>
      </c>
      <c r="BM27" s="21">
        <f t="shared" ca="1" si="10"/>
        <v>-114</v>
      </c>
      <c r="BN27" s="21">
        <f t="shared" ca="1" si="10"/>
        <v>-114</v>
      </c>
      <c r="BO27" s="21">
        <f t="shared" ca="1" si="10"/>
        <v>-114</v>
      </c>
      <c r="BP27" s="21">
        <f t="shared" ref="BP27:EA27" ca="1" si="11">BP26-BP24</f>
        <v>-114</v>
      </c>
      <c r="BQ27" s="21">
        <f t="shared" ca="1" si="11"/>
        <v>-114</v>
      </c>
      <c r="BR27" s="21">
        <f t="shared" ca="1" si="11"/>
        <v>-114</v>
      </c>
      <c r="BS27" s="21">
        <f t="shared" ca="1" si="11"/>
        <v>-114</v>
      </c>
      <c r="BT27" s="21">
        <f t="shared" ca="1" si="11"/>
        <v>-114</v>
      </c>
      <c r="BU27" s="21">
        <f t="shared" ca="1" si="11"/>
        <v>-114</v>
      </c>
      <c r="BV27" s="21">
        <f t="shared" ca="1" si="11"/>
        <v>-114</v>
      </c>
      <c r="BW27" s="21">
        <f t="shared" ca="1" si="11"/>
        <v>-114</v>
      </c>
      <c r="BX27" s="21">
        <f t="shared" ca="1" si="11"/>
        <v>-114</v>
      </c>
      <c r="BY27" s="21">
        <f t="shared" ca="1" si="11"/>
        <v>-114</v>
      </c>
      <c r="BZ27" s="21">
        <f t="shared" ca="1" si="11"/>
        <v>-114</v>
      </c>
      <c r="CA27" s="21">
        <f t="shared" ca="1" si="11"/>
        <v>-114</v>
      </c>
      <c r="CB27" s="21">
        <f t="shared" ca="1" si="11"/>
        <v>-114</v>
      </c>
      <c r="CC27" s="21">
        <f t="shared" ca="1" si="11"/>
        <v>-114</v>
      </c>
      <c r="CD27" s="21">
        <f t="shared" ca="1" si="11"/>
        <v>-114</v>
      </c>
      <c r="CE27" s="21">
        <f t="shared" ca="1" si="11"/>
        <v>-114</v>
      </c>
      <c r="CF27" s="21">
        <f t="shared" ca="1" si="11"/>
        <v>-114</v>
      </c>
      <c r="CG27" s="21">
        <f t="shared" ca="1" si="11"/>
        <v>-114</v>
      </c>
      <c r="CH27" s="21">
        <f t="shared" ca="1" si="11"/>
        <v>-114</v>
      </c>
      <c r="CI27" s="21">
        <f t="shared" ca="1" si="11"/>
        <v>-114</v>
      </c>
      <c r="CJ27" s="21">
        <f t="shared" ca="1" si="11"/>
        <v>-114</v>
      </c>
      <c r="CK27" s="21">
        <f t="shared" ca="1" si="11"/>
        <v>-114</v>
      </c>
      <c r="CL27" s="21">
        <f t="shared" ca="1" si="11"/>
        <v>-114</v>
      </c>
      <c r="CM27" s="21">
        <f t="shared" ca="1" si="11"/>
        <v>-114</v>
      </c>
      <c r="CN27" s="21">
        <f t="shared" ca="1" si="11"/>
        <v>-114</v>
      </c>
      <c r="CO27" s="21">
        <f t="shared" ca="1" si="11"/>
        <v>-114</v>
      </c>
      <c r="CP27" s="21">
        <f t="shared" ca="1" si="11"/>
        <v>-114</v>
      </c>
      <c r="CQ27" s="21">
        <f t="shared" ca="1" si="11"/>
        <v>-114</v>
      </c>
      <c r="CR27" s="21">
        <f t="shared" ca="1" si="11"/>
        <v>-114</v>
      </c>
      <c r="CS27" s="21">
        <f t="shared" ca="1" si="11"/>
        <v>-114</v>
      </c>
      <c r="CT27" s="21">
        <f t="shared" ca="1" si="11"/>
        <v>-114</v>
      </c>
    </row>
    <row r="30" spans="2:98" ht="19.5">
      <c r="B30" s="25" t="s">
        <v>391</v>
      </c>
    </row>
    <row r="45" spans="2:3" ht="15.5" thickBot="1"/>
    <row r="46" spans="2:3" ht="15.5" thickBot="1">
      <c r="B46" s="15" t="s">
        <v>18</v>
      </c>
      <c r="C46" s="16">
        <f>Progress!C46</f>
        <v>1</v>
      </c>
    </row>
    <row r="47" spans="2:3" ht="7" customHeight="1">
      <c r="B47" s="17"/>
    </row>
    <row r="48" spans="2:3">
      <c r="B48" s="23" t="str">
        <f>B20</f>
        <v>WBS(インフラ)</v>
      </c>
    </row>
    <row r="49" spans="2:98" ht="8.5" customHeight="1"/>
    <row r="50" spans="2:98">
      <c r="B50" s="18" t="s">
        <v>19</v>
      </c>
      <c r="C50" s="19">
        <v>45810</v>
      </c>
      <c r="D50" s="19">
        <f>C50+$C$18</f>
        <v>45811</v>
      </c>
      <c r="E50" s="19">
        <f t="shared" ref="E50:BP50" si="12">D50+$C$18</f>
        <v>45812</v>
      </c>
      <c r="F50" s="19">
        <f t="shared" si="12"/>
        <v>45813</v>
      </c>
      <c r="G50" s="19">
        <f t="shared" si="12"/>
        <v>45814</v>
      </c>
      <c r="H50" s="19">
        <f t="shared" si="12"/>
        <v>45815</v>
      </c>
      <c r="I50" s="19">
        <f t="shared" si="12"/>
        <v>45816</v>
      </c>
      <c r="J50" s="19">
        <f t="shared" si="12"/>
        <v>45817</v>
      </c>
      <c r="K50" s="19">
        <f t="shared" si="12"/>
        <v>45818</v>
      </c>
      <c r="L50" s="19">
        <f t="shared" si="12"/>
        <v>45819</v>
      </c>
      <c r="M50" s="19">
        <f t="shared" si="12"/>
        <v>45820</v>
      </c>
      <c r="N50" s="19">
        <f t="shared" si="12"/>
        <v>45821</v>
      </c>
      <c r="O50" s="19">
        <f t="shared" si="12"/>
        <v>45822</v>
      </c>
      <c r="P50" s="19">
        <f t="shared" si="12"/>
        <v>45823</v>
      </c>
      <c r="Q50" s="19">
        <f t="shared" si="12"/>
        <v>45824</v>
      </c>
      <c r="R50" s="19">
        <f t="shared" si="12"/>
        <v>45825</v>
      </c>
      <c r="S50" s="19">
        <f t="shared" si="12"/>
        <v>45826</v>
      </c>
      <c r="T50" s="19">
        <f t="shared" si="12"/>
        <v>45827</v>
      </c>
      <c r="U50" s="19">
        <f t="shared" si="12"/>
        <v>45828</v>
      </c>
      <c r="V50" s="19">
        <f t="shared" si="12"/>
        <v>45829</v>
      </c>
      <c r="W50" s="19">
        <f t="shared" si="12"/>
        <v>45830</v>
      </c>
      <c r="X50" s="19">
        <f t="shared" si="12"/>
        <v>45831</v>
      </c>
      <c r="Y50" s="19">
        <f t="shared" si="12"/>
        <v>45832</v>
      </c>
      <c r="Z50" s="19">
        <f t="shared" si="12"/>
        <v>45833</v>
      </c>
      <c r="AA50" s="19">
        <f t="shared" si="12"/>
        <v>45834</v>
      </c>
      <c r="AB50" s="19">
        <f t="shared" si="12"/>
        <v>45835</v>
      </c>
      <c r="AC50" s="19">
        <f t="shared" si="12"/>
        <v>45836</v>
      </c>
      <c r="AD50" s="19">
        <f t="shared" si="12"/>
        <v>45837</v>
      </c>
      <c r="AE50" s="19">
        <f t="shared" si="12"/>
        <v>45838</v>
      </c>
      <c r="AF50" s="19">
        <f t="shared" si="12"/>
        <v>45839</v>
      </c>
      <c r="AG50" s="19">
        <f t="shared" si="12"/>
        <v>45840</v>
      </c>
      <c r="AH50" s="19">
        <f t="shared" si="12"/>
        <v>45841</v>
      </c>
      <c r="AI50" s="19">
        <f t="shared" si="12"/>
        <v>45842</v>
      </c>
      <c r="AJ50" s="19">
        <f t="shared" si="12"/>
        <v>45843</v>
      </c>
      <c r="AK50" s="19">
        <f t="shared" si="12"/>
        <v>45844</v>
      </c>
      <c r="AL50" s="19">
        <f t="shared" si="12"/>
        <v>45845</v>
      </c>
      <c r="AM50" s="19">
        <f t="shared" si="12"/>
        <v>45846</v>
      </c>
      <c r="AN50" s="19">
        <f t="shared" si="12"/>
        <v>45847</v>
      </c>
      <c r="AO50" s="19">
        <f t="shared" si="12"/>
        <v>45848</v>
      </c>
      <c r="AP50" s="19">
        <f t="shared" si="12"/>
        <v>45849</v>
      </c>
      <c r="AQ50" s="19">
        <f t="shared" si="12"/>
        <v>45850</v>
      </c>
      <c r="AR50" s="19">
        <f t="shared" si="12"/>
        <v>45851</v>
      </c>
      <c r="AS50" s="19">
        <f t="shared" si="12"/>
        <v>45852</v>
      </c>
      <c r="AT50" s="19">
        <f t="shared" si="12"/>
        <v>45853</v>
      </c>
      <c r="AU50" s="19">
        <f t="shared" si="12"/>
        <v>45854</v>
      </c>
      <c r="AV50" s="19">
        <f t="shared" si="12"/>
        <v>45855</v>
      </c>
      <c r="AW50" s="19">
        <f t="shared" si="12"/>
        <v>45856</v>
      </c>
      <c r="AX50" s="19">
        <f t="shared" si="12"/>
        <v>45857</v>
      </c>
      <c r="AY50" s="19">
        <f t="shared" si="12"/>
        <v>45858</v>
      </c>
      <c r="AZ50" s="19">
        <f t="shared" si="12"/>
        <v>45859</v>
      </c>
      <c r="BA50" s="19">
        <f t="shared" si="12"/>
        <v>45860</v>
      </c>
      <c r="BB50" s="19">
        <f t="shared" si="12"/>
        <v>45861</v>
      </c>
      <c r="BC50" s="19">
        <f t="shared" si="12"/>
        <v>45862</v>
      </c>
      <c r="BD50" s="19">
        <f t="shared" si="12"/>
        <v>45863</v>
      </c>
      <c r="BE50" s="19">
        <f t="shared" si="12"/>
        <v>45864</v>
      </c>
      <c r="BF50" s="19">
        <f t="shared" si="12"/>
        <v>45865</v>
      </c>
      <c r="BG50" s="19">
        <f t="shared" si="12"/>
        <v>45866</v>
      </c>
      <c r="BH50" s="19">
        <f t="shared" si="12"/>
        <v>45867</v>
      </c>
      <c r="BI50" s="19">
        <f t="shared" si="12"/>
        <v>45868</v>
      </c>
      <c r="BJ50" s="19">
        <f t="shared" si="12"/>
        <v>45869</v>
      </c>
      <c r="BK50" s="19">
        <f t="shared" si="12"/>
        <v>45870</v>
      </c>
      <c r="BL50" s="19">
        <f t="shared" si="12"/>
        <v>45871</v>
      </c>
      <c r="BM50" s="19">
        <f t="shared" si="12"/>
        <v>45872</v>
      </c>
      <c r="BN50" s="19">
        <f t="shared" si="12"/>
        <v>45873</v>
      </c>
      <c r="BO50" s="19">
        <f t="shared" si="12"/>
        <v>45874</v>
      </c>
      <c r="BP50" s="19">
        <f t="shared" si="12"/>
        <v>45875</v>
      </c>
      <c r="BQ50" s="19">
        <f t="shared" ref="BQ50:CT50" si="13">BP50+$C$18</f>
        <v>45876</v>
      </c>
      <c r="BR50" s="19">
        <f t="shared" si="13"/>
        <v>45877</v>
      </c>
      <c r="BS50" s="19">
        <f t="shared" si="13"/>
        <v>45878</v>
      </c>
      <c r="BT50" s="19">
        <f t="shared" si="13"/>
        <v>45879</v>
      </c>
      <c r="BU50" s="19">
        <f t="shared" si="13"/>
        <v>45880</v>
      </c>
      <c r="BV50" s="19">
        <f t="shared" si="13"/>
        <v>45881</v>
      </c>
      <c r="BW50" s="19">
        <f t="shared" si="13"/>
        <v>45882</v>
      </c>
      <c r="BX50" s="19">
        <f t="shared" si="13"/>
        <v>45883</v>
      </c>
      <c r="BY50" s="19">
        <f t="shared" si="13"/>
        <v>45884</v>
      </c>
      <c r="BZ50" s="19">
        <f t="shared" si="13"/>
        <v>45885</v>
      </c>
      <c r="CA50" s="19">
        <f t="shared" si="13"/>
        <v>45886</v>
      </c>
      <c r="CB50" s="19">
        <f t="shared" si="13"/>
        <v>45887</v>
      </c>
      <c r="CC50" s="19">
        <f t="shared" si="13"/>
        <v>45888</v>
      </c>
      <c r="CD50" s="19">
        <f t="shared" si="13"/>
        <v>45889</v>
      </c>
      <c r="CE50" s="19">
        <f t="shared" si="13"/>
        <v>45890</v>
      </c>
      <c r="CF50" s="19">
        <f t="shared" si="13"/>
        <v>45891</v>
      </c>
      <c r="CG50" s="19">
        <f t="shared" si="13"/>
        <v>45892</v>
      </c>
      <c r="CH50" s="19">
        <f t="shared" si="13"/>
        <v>45893</v>
      </c>
      <c r="CI50" s="19">
        <f t="shared" si="13"/>
        <v>45894</v>
      </c>
      <c r="CJ50" s="19">
        <f t="shared" si="13"/>
        <v>45895</v>
      </c>
      <c r="CK50" s="19">
        <f t="shared" si="13"/>
        <v>45896</v>
      </c>
      <c r="CL50" s="19">
        <f t="shared" si="13"/>
        <v>45897</v>
      </c>
      <c r="CM50" s="19">
        <f t="shared" si="13"/>
        <v>45898</v>
      </c>
      <c r="CN50" s="19">
        <f t="shared" si="13"/>
        <v>45899</v>
      </c>
      <c r="CO50" s="19">
        <f t="shared" si="13"/>
        <v>45900</v>
      </c>
      <c r="CP50" s="19">
        <f t="shared" si="13"/>
        <v>45901</v>
      </c>
      <c r="CQ50" s="19">
        <f t="shared" si="13"/>
        <v>45902</v>
      </c>
      <c r="CR50" s="19">
        <f t="shared" si="13"/>
        <v>45903</v>
      </c>
      <c r="CS50" s="19">
        <f t="shared" si="13"/>
        <v>45904</v>
      </c>
      <c r="CT50" s="19">
        <f t="shared" si="13"/>
        <v>45905</v>
      </c>
    </row>
    <row r="51" spans="2:98">
      <c r="B51" s="20" t="s">
        <v>382</v>
      </c>
      <c r="C51" s="21">
        <f ca="1">COUNTIFS(INDIRECT("'" &amp; $B$20 &amp; "'!$S:$S"),"&gt;=" &amp; C$22,INDIRECT("'" &amp; $B$20 &amp; "'!$S:$S"), "&lt;" &amp; D$22)</f>
        <v>0</v>
      </c>
      <c r="D51" s="21">
        <f t="shared" ref="D51:BO51" ca="1" si="14">COUNTIFS(INDIRECT("'" &amp; $B$20 &amp; "'!$S:$S"),"&gt;=" &amp; D$22,INDIRECT("'" &amp; $B$20 &amp; "'!$S:$S"), "&lt;" &amp; E$22)</f>
        <v>0</v>
      </c>
      <c r="E51" s="21">
        <f t="shared" ca="1" si="14"/>
        <v>6</v>
      </c>
      <c r="F51" s="21">
        <f t="shared" ca="1" si="14"/>
        <v>0</v>
      </c>
      <c r="G51" s="21">
        <f t="shared" ca="1" si="14"/>
        <v>0</v>
      </c>
      <c r="H51" s="21">
        <f t="shared" ca="1" si="14"/>
        <v>0</v>
      </c>
      <c r="I51" s="21">
        <f t="shared" ca="1" si="14"/>
        <v>0</v>
      </c>
      <c r="J51" s="21">
        <f t="shared" ca="1" si="14"/>
        <v>0</v>
      </c>
      <c r="K51" s="21">
        <f t="shared" ca="1" si="14"/>
        <v>6</v>
      </c>
      <c r="L51" s="21">
        <f t="shared" ca="1" si="14"/>
        <v>6</v>
      </c>
      <c r="M51" s="21">
        <f t="shared" ca="1" si="14"/>
        <v>0</v>
      </c>
      <c r="N51" s="21">
        <f t="shared" ca="1" si="14"/>
        <v>0</v>
      </c>
      <c r="O51" s="21">
        <f t="shared" ca="1" si="14"/>
        <v>0</v>
      </c>
      <c r="P51" s="21">
        <f t="shared" ca="1" si="14"/>
        <v>0</v>
      </c>
      <c r="Q51" s="21">
        <f t="shared" ca="1" si="14"/>
        <v>0</v>
      </c>
      <c r="R51" s="21">
        <f t="shared" ca="1" si="14"/>
        <v>0</v>
      </c>
      <c r="S51" s="21">
        <f t="shared" ca="1" si="14"/>
        <v>6</v>
      </c>
      <c r="T51" s="21">
        <f t="shared" ca="1" si="14"/>
        <v>12</v>
      </c>
      <c r="U51" s="21">
        <f t="shared" ca="1" si="14"/>
        <v>6</v>
      </c>
      <c r="V51" s="21">
        <f t="shared" ca="1" si="14"/>
        <v>0</v>
      </c>
      <c r="W51" s="21">
        <f t="shared" ca="1" si="14"/>
        <v>0</v>
      </c>
      <c r="X51" s="21">
        <f t="shared" ca="1" si="14"/>
        <v>6</v>
      </c>
      <c r="Y51" s="21">
        <f t="shared" ca="1" si="14"/>
        <v>6</v>
      </c>
      <c r="Z51" s="21">
        <f t="shared" ca="1" si="14"/>
        <v>0</v>
      </c>
      <c r="AA51" s="21">
        <f t="shared" ca="1" si="14"/>
        <v>6</v>
      </c>
      <c r="AB51" s="21">
        <f t="shared" ca="1" si="14"/>
        <v>6</v>
      </c>
      <c r="AC51" s="21">
        <f t="shared" ca="1" si="14"/>
        <v>0</v>
      </c>
      <c r="AD51" s="21">
        <f t="shared" ca="1" si="14"/>
        <v>0</v>
      </c>
      <c r="AE51" s="21">
        <f t="shared" ca="1" si="14"/>
        <v>6</v>
      </c>
      <c r="AF51" s="21">
        <f t="shared" ca="1" si="14"/>
        <v>6</v>
      </c>
      <c r="AG51" s="21">
        <f t="shared" ca="1" si="14"/>
        <v>0</v>
      </c>
      <c r="AH51" s="21">
        <f t="shared" ca="1" si="14"/>
        <v>0</v>
      </c>
      <c r="AI51" s="21">
        <f t="shared" ca="1" si="14"/>
        <v>0</v>
      </c>
      <c r="AJ51" s="21">
        <f t="shared" ca="1" si="14"/>
        <v>0</v>
      </c>
      <c r="AK51" s="21">
        <f t="shared" ca="1" si="14"/>
        <v>0</v>
      </c>
      <c r="AL51" s="21">
        <f t="shared" ca="1" si="14"/>
        <v>0</v>
      </c>
      <c r="AM51" s="21">
        <f t="shared" ca="1" si="14"/>
        <v>6</v>
      </c>
      <c r="AN51" s="21">
        <f t="shared" ca="1" si="14"/>
        <v>6</v>
      </c>
      <c r="AO51" s="21">
        <f t="shared" ca="1" si="14"/>
        <v>0</v>
      </c>
      <c r="AP51" s="21">
        <f t="shared" ca="1" si="14"/>
        <v>6</v>
      </c>
      <c r="AQ51" s="21">
        <f t="shared" ca="1" si="14"/>
        <v>0</v>
      </c>
      <c r="AR51" s="21">
        <f t="shared" ca="1" si="14"/>
        <v>0</v>
      </c>
      <c r="AS51" s="21">
        <f t="shared" ca="1" si="14"/>
        <v>6</v>
      </c>
      <c r="AT51" s="21">
        <f t="shared" ca="1" si="14"/>
        <v>6</v>
      </c>
      <c r="AU51" s="21">
        <f t="shared" ca="1" si="14"/>
        <v>3</v>
      </c>
      <c r="AV51" s="21">
        <f t="shared" ca="1" si="14"/>
        <v>0</v>
      </c>
      <c r="AW51" s="21">
        <f t="shared" ca="1" si="14"/>
        <v>0</v>
      </c>
      <c r="AX51" s="21">
        <f t="shared" ca="1" si="14"/>
        <v>0</v>
      </c>
      <c r="AY51" s="21">
        <f t="shared" ca="1" si="14"/>
        <v>0</v>
      </c>
      <c r="AZ51" s="21">
        <f t="shared" ca="1" si="14"/>
        <v>0</v>
      </c>
      <c r="BA51" s="21">
        <f t="shared" ca="1" si="14"/>
        <v>0</v>
      </c>
      <c r="BB51" s="21">
        <f t="shared" ca="1" si="14"/>
        <v>2</v>
      </c>
      <c r="BC51" s="21">
        <f t="shared" ca="1" si="14"/>
        <v>5</v>
      </c>
      <c r="BD51" s="21">
        <f t="shared" ca="1" si="14"/>
        <v>3</v>
      </c>
      <c r="BE51" s="21">
        <f t="shared" ca="1" si="14"/>
        <v>0</v>
      </c>
      <c r="BF51" s="21">
        <f t="shared" ca="1" si="14"/>
        <v>0</v>
      </c>
      <c r="BG51" s="21">
        <f t="shared" ca="1" si="14"/>
        <v>2</v>
      </c>
      <c r="BH51" s="21">
        <f t="shared" ca="1" si="14"/>
        <v>1</v>
      </c>
      <c r="BI51" s="21">
        <f t="shared" ca="1" si="14"/>
        <v>1</v>
      </c>
      <c r="BJ51" s="21">
        <f t="shared" ca="1" si="14"/>
        <v>1</v>
      </c>
      <c r="BK51" s="21">
        <f t="shared" ca="1" si="14"/>
        <v>0</v>
      </c>
      <c r="BL51" s="21">
        <f t="shared" ca="1" si="14"/>
        <v>0</v>
      </c>
      <c r="BM51" s="21">
        <f t="shared" ca="1" si="14"/>
        <v>0</v>
      </c>
      <c r="BN51" s="21">
        <f t="shared" ca="1" si="14"/>
        <v>0</v>
      </c>
      <c r="BO51" s="21">
        <f t="shared" ca="1" si="14"/>
        <v>0</v>
      </c>
      <c r="BP51" s="21">
        <f t="shared" ref="BP51:CT51" ca="1" si="15">COUNTIFS(INDIRECT("'" &amp; $B$20 &amp; "'!$S:$S"),"&gt;=" &amp; BP$22,INDIRECT("'" &amp; $B$20 &amp; "'!$S:$S"), "&lt;" &amp; BQ$22)</f>
        <v>0</v>
      </c>
      <c r="BQ51" s="21">
        <f t="shared" ca="1" si="15"/>
        <v>0</v>
      </c>
      <c r="BR51" s="21">
        <f t="shared" ca="1" si="15"/>
        <v>0</v>
      </c>
      <c r="BS51" s="21">
        <f t="shared" ca="1" si="15"/>
        <v>0</v>
      </c>
      <c r="BT51" s="21">
        <f t="shared" ca="1" si="15"/>
        <v>0</v>
      </c>
      <c r="BU51" s="21">
        <f t="shared" ca="1" si="15"/>
        <v>0</v>
      </c>
      <c r="BV51" s="21">
        <f t="shared" ca="1" si="15"/>
        <v>0</v>
      </c>
      <c r="BW51" s="21">
        <f t="shared" ca="1" si="15"/>
        <v>0</v>
      </c>
      <c r="BX51" s="21">
        <f t="shared" ca="1" si="15"/>
        <v>0</v>
      </c>
      <c r="BY51" s="21">
        <f t="shared" ca="1" si="15"/>
        <v>0</v>
      </c>
      <c r="BZ51" s="21">
        <f t="shared" ca="1" si="15"/>
        <v>0</v>
      </c>
      <c r="CA51" s="21">
        <f t="shared" ca="1" si="15"/>
        <v>0</v>
      </c>
      <c r="CB51" s="21">
        <f t="shared" ca="1" si="15"/>
        <v>0</v>
      </c>
      <c r="CC51" s="21">
        <f t="shared" ca="1" si="15"/>
        <v>0</v>
      </c>
      <c r="CD51" s="21">
        <f t="shared" ca="1" si="15"/>
        <v>0</v>
      </c>
      <c r="CE51" s="21">
        <f t="shared" ca="1" si="15"/>
        <v>0</v>
      </c>
      <c r="CF51" s="21">
        <f t="shared" ca="1" si="15"/>
        <v>0</v>
      </c>
      <c r="CG51" s="21">
        <f t="shared" ca="1" si="15"/>
        <v>0</v>
      </c>
      <c r="CH51" s="21">
        <f t="shared" ca="1" si="15"/>
        <v>0</v>
      </c>
      <c r="CI51" s="21">
        <f t="shared" ca="1" si="15"/>
        <v>0</v>
      </c>
      <c r="CJ51" s="21">
        <f t="shared" ca="1" si="15"/>
        <v>0</v>
      </c>
      <c r="CK51" s="21">
        <f t="shared" ca="1" si="15"/>
        <v>0</v>
      </c>
      <c r="CL51" s="21">
        <f t="shared" ca="1" si="15"/>
        <v>0</v>
      </c>
      <c r="CM51" s="21">
        <f t="shared" ca="1" si="15"/>
        <v>0</v>
      </c>
      <c r="CN51" s="21">
        <f t="shared" ca="1" si="15"/>
        <v>0</v>
      </c>
      <c r="CO51" s="21">
        <f t="shared" ca="1" si="15"/>
        <v>0</v>
      </c>
      <c r="CP51" s="21">
        <f t="shared" ca="1" si="15"/>
        <v>0</v>
      </c>
      <c r="CQ51" s="21">
        <f t="shared" ca="1" si="15"/>
        <v>0</v>
      </c>
      <c r="CR51" s="21">
        <f t="shared" ca="1" si="15"/>
        <v>0</v>
      </c>
      <c r="CS51" s="21">
        <f t="shared" ca="1" si="15"/>
        <v>0</v>
      </c>
      <c r="CT51" s="21">
        <f t="shared" ca="1" si="15"/>
        <v>0</v>
      </c>
    </row>
    <row r="52" spans="2:98">
      <c r="B52" s="20" t="s">
        <v>21</v>
      </c>
      <c r="C52" s="21">
        <f ca="1">C51</f>
        <v>0</v>
      </c>
      <c r="D52" s="21">
        <f ca="1">C52+D51</f>
        <v>0</v>
      </c>
      <c r="E52" s="21">
        <f t="shared" ref="E52:BP52" ca="1" si="16">D52+E51</f>
        <v>6</v>
      </c>
      <c r="F52" s="21">
        <f t="shared" ca="1" si="16"/>
        <v>6</v>
      </c>
      <c r="G52" s="21">
        <f t="shared" ca="1" si="16"/>
        <v>6</v>
      </c>
      <c r="H52" s="21">
        <f t="shared" ca="1" si="16"/>
        <v>6</v>
      </c>
      <c r="I52" s="21">
        <f t="shared" ca="1" si="16"/>
        <v>6</v>
      </c>
      <c r="J52" s="21">
        <f t="shared" ca="1" si="16"/>
        <v>6</v>
      </c>
      <c r="K52" s="21">
        <f t="shared" ca="1" si="16"/>
        <v>12</v>
      </c>
      <c r="L52" s="21">
        <f t="shared" ca="1" si="16"/>
        <v>18</v>
      </c>
      <c r="M52" s="21">
        <f t="shared" ca="1" si="16"/>
        <v>18</v>
      </c>
      <c r="N52" s="21">
        <f t="shared" ca="1" si="16"/>
        <v>18</v>
      </c>
      <c r="O52" s="21">
        <f t="shared" ca="1" si="16"/>
        <v>18</v>
      </c>
      <c r="P52" s="21">
        <f t="shared" ca="1" si="16"/>
        <v>18</v>
      </c>
      <c r="Q52" s="21">
        <f t="shared" ca="1" si="16"/>
        <v>18</v>
      </c>
      <c r="R52" s="21">
        <f t="shared" ca="1" si="16"/>
        <v>18</v>
      </c>
      <c r="S52" s="21">
        <f t="shared" ca="1" si="16"/>
        <v>24</v>
      </c>
      <c r="T52" s="21">
        <f t="shared" ca="1" si="16"/>
        <v>36</v>
      </c>
      <c r="U52" s="21">
        <f t="shared" ca="1" si="16"/>
        <v>42</v>
      </c>
      <c r="V52" s="21">
        <f t="shared" ca="1" si="16"/>
        <v>42</v>
      </c>
      <c r="W52" s="21">
        <f t="shared" ca="1" si="16"/>
        <v>42</v>
      </c>
      <c r="X52" s="21">
        <f t="shared" ca="1" si="16"/>
        <v>48</v>
      </c>
      <c r="Y52" s="21">
        <f t="shared" ca="1" si="16"/>
        <v>54</v>
      </c>
      <c r="Z52" s="21">
        <f t="shared" ca="1" si="16"/>
        <v>54</v>
      </c>
      <c r="AA52" s="21">
        <f t="shared" ca="1" si="16"/>
        <v>60</v>
      </c>
      <c r="AB52" s="21">
        <f t="shared" ca="1" si="16"/>
        <v>66</v>
      </c>
      <c r="AC52" s="21">
        <f t="shared" ca="1" si="16"/>
        <v>66</v>
      </c>
      <c r="AD52" s="21">
        <f t="shared" ca="1" si="16"/>
        <v>66</v>
      </c>
      <c r="AE52" s="21">
        <f t="shared" ca="1" si="16"/>
        <v>72</v>
      </c>
      <c r="AF52" s="21">
        <f t="shared" ca="1" si="16"/>
        <v>78</v>
      </c>
      <c r="AG52" s="21">
        <f t="shared" ca="1" si="16"/>
        <v>78</v>
      </c>
      <c r="AH52" s="21">
        <f t="shared" ca="1" si="16"/>
        <v>78</v>
      </c>
      <c r="AI52" s="21">
        <f t="shared" ca="1" si="16"/>
        <v>78</v>
      </c>
      <c r="AJ52" s="21">
        <f t="shared" ca="1" si="16"/>
        <v>78</v>
      </c>
      <c r="AK52" s="21">
        <f t="shared" ca="1" si="16"/>
        <v>78</v>
      </c>
      <c r="AL52" s="21">
        <f t="shared" ca="1" si="16"/>
        <v>78</v>
      </c>
      <c r="AM52" s="21">
        <f t="shared" ca="1" si="16"/>
        <v>84</v>
      </c>
      <c r="AN52" s="21">
        <f t="shared" ca="1" si="16"/>
        <v>90</v>
      </c>
      <c r="AO52" s="21">
        <f t="shared" ca="1" si="16"/>
        <v>90</v>
      </c>
      <c r="AP52" s="21">
        <f t="shared" ca="1" si="16"/>
        <v>96</v>
      </c>
      <c r="AQ52" s="21">
        <f t="shared" ca="1" si="16"/>
        <v>96</v>
      </c>
      <c r="AR52" s="21">
        <f t="shared" ca="1" si="16"/>
        <v>96</v>
      </c>
      <c r="AS52" s="21">
        <f t="shared" ca="1" si="16"/>
        <v>102</v>
      </c>
      <c r="AT52" s="21">
        <f t="shared" ca="1" si="16"/>
        <v>108</v>
      </c>
      <c r="AU52" s="21">
        <f t="shared" ca="1" si="16"/>
        <v>111</v>
      </c>
      <c r="AV52" s="21">
        <f t="shared" ca="1" si="16"/>
        <v>111</v>
      </c>
      <c r="AW52" s="21">
        <f t="shared" ca="1" si="16"/>
        <v>111</v>
      </c>
      <c r="AX52" s="21">
        <f t="shared" ca="1" si="16"/>
        <v>111</v>
      </c>
      <c r="AY52" s="21">
        <f t="shared" ca="1" si="16"/>
        <v>111</v>
      </c>
      <c r="AZ52" s="21">
        <f t="shared" ca="1" si="16"/>
        <v>111</v>
      </c>
      <c r="BA52" s="21">
        <f t="shared" ca="1" si="16"/>
        <v>111</v>
      </c>
      <c r="BB52" s="21">
        <f t="shared" ca="1" si="16"/>
        <v>113</v>
      </c>
      <c r="BC52" s="21">
        <f t="shared" ca="1" si="16"/>
        <v>118</v>
      </c>
      <c r="BD52" s="21">
        <f t="shared" ca="1" si="16"/>
        <v>121</v>
      </c>
      <c r="BE52" s="21">
        <f t="shared" ca="1" si="16"/>
        <v>121</v>
      </c>
      <c r="BF52" s="21">
        <f t="shared" ca="1" si="16"/>
        <v>121</v>
      </c>
      <c r="BG52" s="21">
        <f t="shared" ca="1" si="16"/>
        <v>123</v>
      </c>
      <c r="BH52" s="21">
        <f t="shared" ca="1" si="16"/>
        <v>124</v>
      </c>
      <c r="BI52" s="21">
        <f t="shared" ca="1" si="16"/>
        <v>125</v>
      </c>
      <c r="BJ52" s="21">
        <f t="shared" ca="1" si="16"/>
        <v>126</v>
      </c>
      <c r="BK52" s="21">
        <f t="shared" ca="1" si="16"/>
        <v>126</v>
      </c>
      <c r="BL52" s="21">
        <f t="shared" ca="1" si="16"/>
        <v>126</v>
      </c>
      <c r="BM52" s="21">
        <f t="shared" ca="1" si="16"/>
        <v>126</v>
      </c>
      <c r="BN52" s="21">
        <f t="shared" ca="1" si="16"/>
        <v>126</v>
      </c>
      <c r="BO52" s="21">
        <f t="shared" ca="1" si="16"/>
        <v>126</v>
      </c>
      <c r="BP52" s="21">
        <f t="shared" ca="1" si="16"/>
        <v>126</v>
      </c>
      <c r="BQ52" s="21">
        <f t="shared" ref="BQ52:CT52" ca="1" si="17">BP52+BQ51</f>
        <v>126</v>
      </c>
      <c r="BR52" s="21">
        <f t="shared" ca="1" si="17"/>
        <v>126</v>
      </c>
      <c r="BS52" s="21">
        <f t="shared" ca="1" si="17"/>
        <v>126</v>
      </c>
      <c r="BT52" s="21">
        <f t="shared" ca="1" si="17"/>
        <v>126</v>
      </c>
      <c r="BU52" s="21">
        <f t="shared" ca="1" si="17"/>
        <v>126</v>
      </c>
      <c r="BV52" s="21">
        <f t="shared" ca="1" si="17"/>
        <v>126</v>
      </c>
      <c r="BW52" s="21">
        <f t="shared" ca="1" si="17"/>
        <v>126</v>
      </c>
      <c r="BX52" s="21">
        <f t="shared" ca="1" si="17"/>
        <v>126</v>
      </c>
      <c r="BY52" s="21">
        <f t="shared" ca="1" si="17"/>
        <v>126</v>
      </c>
      <c r="BZ52" s="21">
        <f t="shared" ca="1" si="17"/>
        <v>126</v>
      </c>
      <c r="CA52" s="21">
        <f t="shared" ca="1" si="17"/>
        <v>126</v>
      </c>
      <c r="CB52" s="21">
        <f t="shared" ca="1" si="17"/>
        <v>126</v>
      </c>
      <c r="CC52" s="21">
        <f t="shared" ca="1" si="17"/>
        <v>126</v>
      </c>
      <c r="CD52" s="21">
        <f t="shared" ca="1" si="17"/>
        <v>126</v>
      </c>
      <c r="CE52" s="21">
        <f t="shared" ca="1" si="17"/>
        <v>126</v>
      </c>
      <c r="CF52" s="21">
        <f t="shared" ca="1" si="17"/>
        <v>126</v>
      </c>
      <c r="CG52" s="21">
        <f t="shared" ca="1" si="17"/>
        <v>126</v>
      </c>
      <c r="CH52" s="21">
        <f t="shared" ca="1" si="17"/>
        <v>126</v>
      </c>
      <c r="CI52" s="21">
        <f t="shared" ca="1" si="17"/>
        <v>126</v>
      </c>
      <c r="CJ52" s="21">
        <f t="shared" ca="1" si="17"/>
        <v>126</v>
      </c>
      <c r="CK52" s="21">
        <f t="shared" ca="1" si="17"/>
        <v>126</v>
      </c>
      <c r="CL52" s="21">
        <f t="shared" ca="1" si="17"/>
        <v>126</v>
      </c>
      <c r="CM52" s="21">
        <f t="shared" ca="1" si="17"/>
        <v>126</v>
      </c>
      <c r="CN52" s="21">
        <f t="shared" ca="1" si="17"/>
        <v>126</v>
      </c>
      <c r="CO52" s="21">
        <f t="shared" ca="1" si="17"/>
        <v>126</v>
      </c>
      <c r="CP52" s="21">
        <f t="shared" ca="1" si="17"/>
        <v>126</v>
      </c>
      <c r="CQ52" s="21">
        <f t="shared" ca="1" si="17"/>
        <v>126</v>
      </c>
      <c r="CR52" s="21">
        <f t="shared" ca="1" si="17"/>
        <v>126</v>
      </c>
      <c r="CS52" s="21">
        <f t="shared" ca="1" si="17"/>
        <v>126</v>
      </c>
      <c r="CT52" s="21">
        <f t="shared" ca="1" si="17"/>
        <v>126</v>
      </c>
    </row>
    <row r="53" spans="2:98">
      <c r="B53" s="20" t="s">
        <v>383</v>
      </c>
      <c r="C53" s="21">
        <f ca="1">COUNTIFS(INDIRECT("'" &amp; $B$20 &amp; "'!$U:$U"),"&gt;=" &amp; C$22,INDIRECT("'" &amp; $B$20 &amp; "'!$U:$U"), "&lt;" &amp; D$22)</f>
        <v>0</v>
      </c>
      <c r="D53" s="21">
        <f t="shared" ref="D53:BO53" ca="1" si="18">COUNTIFS(INDIRECT("'" &amp; $B$20 &amp; "'!$U:$U"),"&gt;=" &amp; D$22,INDIRECT("'" &amp; $B$20 &amp; "'!$U:$U"), "&lt;" &amp; E$22)</f>
        <v>0</v>
      </c>
      <c r="E53" s="21">
        <f t="shared" ca="1" si="18"/>
        <v>6</v>
      </c>
      <c r="F53" s="21">
        <f t="shared" ca="1" si="18"/>
        <v>0</v>
      </c>
      <c r="G53" s="21">
        <f t="shared" ca="1" si="18"/>
        <v>0</v>
      </c>
      <c r="H53" s="21">
        <f t="shared" ca="1" si="18"/>
        <v>0</v>
      </c>
      <c r="I53" s="21">
        <f t="shared" ca="1" si="18"/>
        <v>0</v>
      </c>
      <c r="J53" s="21">
        <f t="shared" ca="1" si="18"/>
        <v>0</v>
      </c>
      <c r="K53" s="21">
        <f t="shared" ca="1" si="18"/>
        <v>6</v>
      </c>
      <c r="L53" s="21">
        <f t="shared" ca="1" si="18"/>
        <v>6</v>
      </c>
      <c r="M53" s="21">
        <f t="shared" ca="1" si="18"/>
        <v>0</v>
      </c>
      <c r="N53" s="21">
        <f t="shared" ca="1" si="18"/>
        <v>0</v>
      </c>
      <c r="O53" s="21">
        <f t="shared" ca="1" si="18"/>
        <v>0</v>
      </c>
      <c r="P53" s="21">
        <f t="shared" ca="1" si="18"/>
        <v>0</v>
      </c>
      <c r="Q53" s="21">
        <f t="shared" ca="1" si="18"/>
        <v>0</v>
      </c>
      <c r="R53" s="21">
        <f t="shared" ca="1" si="18"/>
        <v>0</v>
      </c>
      <c r="S53" s="21">
        <f t="shared" ca="1" si="18"/>
        <v>0</v>
      </c>
      <c r="T53" s="21">
        <f t="shared" ca="1" si="18"/>
        <v>0</v>
      </c>
      <c r="U53" s="21">
        <f t="shared" ca="1" si="18"/>
        <v>0</v>
      </c>
      <c r="V53" s="21">
        <f t="shared" ca="1" si="18"/>
        <v>0</v>
      </c>
      <c r="W53" s="21">
        <f t="shared" ca="1" si="18"/>
        <v>0</v>
      </c>
      <c r="X53" s="21">
        <f t="shared" ca="1" si="18"/>
        <v>0</v>
      </c>
      <c r="Y53" s="21">
        <f t="shared" ca="1" si="18"/>
        <v>0</v>
      </c>
      <c r="Z53" s="21">
        <f t="shared" ca="1" si="18"/>
        <v>0</v>
      </c>
      <c r="AA53" s="21">
        <f t="shared" ca="1" si="18"/>
        <v>0</v>
      </c>
      <c r="AB53" s="21">
        <f t="shared" ca="1" si="18"/>
        <v>0</v>
      </c>
      <c r="AC53" s="21">
        <f t="shared" ca="1" si="18"/>
        <v>0</v>
      </c>
      <c r="AD53" s="21">
        <f t="shared" ca="1" si="18"/>
        <v>0</v>
      </c>
      <c r="AE53" s="21">
        <f t="shared" ca="1" si="18"/>
        <v>0</v>
      </c>
      <c r="AF53" s="21">
        <f t="shared" ca="1" si="18"/>
        <v>0</v>
      </c>
      <c r="AG53" s="21">
        <f t="shared" ca="1" si="18"/>
        <v>0</v>
      </c>
      <c r="AH53" s="21">
        <f t="shared" ca="1" si="18"/>
        <v>0</v>
      </c>
      <c r="AI53" s="21">
        <f t="shared" ca="1" si="18"/>
        <v>0</v>
      </c>
      <c r="AJ53" s="21">
        <f t="shared" ca="1" si="18"/>
        <v>0</v>
      </c>
      <c r="AK53" s="21">
        <f t="shared" ca="1" si="18"/>
        <v>0</v>
      </c>
      <c r="AL53" s="21">
        <f t="shared" ca="1" si="18"/>
        <v>0</v>
      </c>
      <c r="AM53" s="21">
        <f t="shared" ca="1" si="18"/>
        <v>0</v>
      </c>
      <c r="AN53" s="21">
        <f t="shared" ca="1" si="18"/>
        <v>0</v>
      </c>
      <c r="AO53" s="21">
        <f t="shared" ca="1" si="18"/>
        <v>0</v>
      </c>
      <c r="AP53" s="21">
        <f t="shared" ca="1" si="18"/>
        <v>0</v>
      </c>
      <c r="AQ53" s="21">
        <f t="shared" ca="1" si="18"/>
        <v>0</v>
      </c>
      <c r="AR53" s="21">
        <f t="shared" ca="1" si="18"/>
        <v>0</v>
      </c>
      <c r="AS53" s="21">
        <f t="shared" ca="1" si="18"/>
        <v>0</v>
      </c>
      <c r="AT53" s="21">
        <f t="shared" ca="1" si="18"/>
        <v>0</v>
      </c>
      <c r="AU53" s="21">
        <f t="shared" ca="1" si="18"/>
        <v>0</v>
      </c>
      <c r="AV53" s="21">
        <f t="shared" ca="1" si="18"/>
        <v>0</v>
      </c>
      <c r="AW53" s="21">
        <f t="shared" ca="1" si="18"/>
        <v>0</v>
      </c>
      <c r="AX53" s="21">
        <f t="shared" ca="1" si="18"/>
        <v>0</v>
      </c>
      <c r="AY53" s="21">
        <f t="shared" ca="1" si="18"/>
        <v>0</v>
      </c>
      <c r="AZ53" s="21">
        <f t="shared" ca="1" si="18"/>
        <v>0</v>
      </c>
      <c r="BA53" s="21">
        <f t="shared" ca="1" si="18"/>
        <v>0</v>
      </c>
      <c r="BB53" s="21">
        <f t="shared" ca="1" si="18"/>
        <v>0</v>
      </c>
      <c r="BC53" s="21">
        <f t="shared" ca="1" si="18"/>
        <v>0</v>
      </c>
      <c r="BD53" s="21">
        <f t="shared" ca="1" si="18"/>
        <v>0</v>
      </c>
      <c r="BE53" s="21">
        <f t="shared" ca="1" si="18"/>
        <v>0</v>
      </c>
      <c r="BF53" s="21">
        <f t="shared" ca="1" si="18"/>
        <v>0</v>
      </c>
      <c r="BG53" s="21">
        <f t="shared" ca="1" si="18"/>
        <v>0</v>
      </c>
      <c r="BH53" s="21">
        <f t="shared" ca="1" si="18"/>
        <v>0</v>
      </c>
      <c r="BI53" s="21">
        <f t="shared" ca="1" si="18"/>
        <v>0</v>
      </c>
      <c r="BJ53" s="21">
        <f t="shared" ca="1" si="18"/>
        <v>0</v>
      </c>
      <c r="BK53" s="21">
        <f t="shared" ca="1" si="18"/>
        <v>0</v>
      </c>
      <c r="BL53" s="21">
        <f t="shared" ca="1" si="18"/>
        <v>0</v>
      </c>
      <c r="BM53" s="21">
        <f t="shared" ca="1" si="18"/>
        <v>0</v>
      </c>
      <c r="BN53" s="21">
        <f t="shared" ca="1" si="18"/>
        <v>0</v>
      </c>
      <c r="BO53" s="21">
        <f t="shared" ca="1" si="18"/>
        <v>0</v>
      </c>
      <c r="BP53" s="21">
        <f t="shared" ref="BP53:CT53" ca="1" si="19">COUNTIFS(INDIRECT("'" &amp; $B$20 &amp; "'!$U:$U"),"&gt;=" &amp; BP$22,INDIRECT("'" &amp; $B$20 &amp; "'!$U:$U"), "&lt;" &amp; BQ$22)</f>
        <v>0</v>
      </c>
      <c r="BQ53" s="21">
        <f t="shared" ca="1" si="19"/>
        <v>0</v>
      </c>
      <c r="BR53" s="21">
        <f t="shared" ca="1" si="19"/>
        <v>0</v>
      </c>
      <c r="BS53" s="21">
        <f t="shared" ca="1" si="19"/>
        <v>0</v>
      </c>
      <c r="BT53" s="21">
        <f t="shared" ca="1" si="19"/>
        <v>0</v>
      </c>
      <c r="BU53" s="21">
        <f t="shared" ca="1" si="19"/>
        <v>0</v>
      </c>
      <c r="BV53" s="21">
        <f t="shared" ca="1" si="19"/>
        <v>0</v>
      </c>
      <c r="BW53" s="21">
        <f t="shared" ca="1" si="19"/>
        <v>0</v>
      </c>
      <c r="BX53" s="21">
        <f t="shared" ca="1" si="19"/>
        <v>0</v>
      </c>
      <c r="BY53" s="21">
        <f t="shared" ca="1" si="19"/>
        <v>0</v>
      </c>
      <c r="BZ53" s="21">
        <f t="shared" ca="1" si="19"/>
        <v>0</v>
      </c>
      <c r="CA53" s="21">
        <f t="shared" ca="1" si="19"/>
        <v>0</v>
      </c>
      <c r="CB53" s="21">
        <f t="shared" ca="1" si="19"/>
        <v>0</v>
      </c>
      <c r="CC53" s="21">
        <f t="shared" ca="1" si="19"/>
        <v>0</v>
      </c>
      <c r="CD53" s="21">
        <f t="shared" ca="1" si="19"/>
        <v>0</v>
      </c>
      <c r="CE53" s="21">
        <f t="shared" ca="1" si="19"/>
        <v>0</v>
      </c>
      <c r="CF53" s="21">
        <f t="shared" ca="1" si="19"/>
        <v>0</v>
      </c>
      <c r="CG53" s="21">
        <f t="shared" ca="1" si="19"/>
        <v>0</v>
      </c>
      <c r="CH53" s="21">
        <f t="shared" ca="1" si="19"/>
        <v>0</v>
      </c>
      <c r="CI53" s="21">
        <f t="shared" ca="1" si="19"/>
        <v>0</v>
      </c>
      <c r="CJ53" s="21">
        <f t="shared" ca="1" si="19"/>
        <v>0</v>
      </c>
      <c r="CK53" s="21">
        <f t="shared" ca="1" si="19"/>
        <v>0</v>
      </c>
      <c r="CL53" s="21">
        <f t="shared" ca="1" si="19"/>
        <v>0</v>
      </c>
      <c r="CM53" s="21">
        <f t="shared" ca="1" si="19"/>
        <v>0</v>
      </c>
      <c r="CN53" s="21">
        <f t="shared" ca="1" si="19"/>
        <v>0</v>
      </c>
      <c r="CO53" s="21">
        <f t="shared" ca="1" si="19"/>
        <v>0</v>
      </c>
      <c r="CP53" s="21">
        <f t="shared" ca="1" si="19"/>
        <v>0</v>
      </c>
      <c r="CQ53" s="21">
        <f t="shared" ca="1" si="19"/>
        <v>0</v>
      </c>
      <c r="CR53" s="21">
        <f t="shared" ca="1" si="19"/>
        <v>0</v>
      </c>
      <c r="CS53" s="21">
        <f t="shared" ca="1" si="19"/>
        <v>0</v>
      </c>
      <c r="CT53" s="21">
        <f t="shared" ca="1" si="19"/>
        <v>0</v>
      </c>
    </row>
    <row r="54" spans="2:98">
      <c r="B54" s="20" t="s">
        <v>23</v>
      </c>
      <c r="C54" s="21">
        <f ca="1">C53</f>
        <v>0</v>
      </c>
      <c r="D54" s="21">
        <f ca="1">C54+D53</f>
        <v>0</v>
      </c>
      <c r="E54" s="21">
        <f t="shared" ref="E54:BP54" ca="1" si="20">D54+E53</f>
        <v>6</v>
      </c>
      <c r="F54" s="21">
        <f t="shared" ca="1" si="20"/>
        <v>6</v>
      </c>
      <c r="G54" s="21">
        <f t="shared" ca="1" si="20"/>
        <v>6</v>
      </c>
      <c r="H54" s="21">
        <f t="shared" ca="1" si="20"/>
        <v>6</v>
      </c>
      <c r="I54" s="21">
        <f t="shared" ca="1" si="20"/>
        <v>6</v>
      </c>
      <c r="J54" s="21">
        <f t="shared" ca="1" si="20"/>
        <v>6</v>
      </c>
      <c r="K54" s="21">
        <f t="shared" ca="1" si="20"/>
        <v>12</v>
      </c>
      <c r="L54" s="21">
        <f t="shared" ca="1" si="20"/>
        <v>18</v>
      </c>
      <c r="M54" s="21">
        <f t="shared" ca="1" si="20"/>
        <v>18</v>
      </c>
      <c r="N54" s="21">
        <f t="shared" ca="1" si="20"/>
        <v>18</v>
      </c>
      <c r="O54" s="21">
        <f t="shared" ca="1" si="20"/>
        <v>18</v>
      </c>
      <c r="P54" s="21">
        <f t="shared" ca="1" si="20"/>
        <v>18</v>
      </c>
      <c r="Q54" s="21">
        <f t="shared" ca="1" si="20"/>
        <v>18</v>
      </c>
      <c r="R54" s="21">
        <f t="shared" ca="1" si="20"/>
        <v>18</v>
      </c>
      <c r="S54" s="21">
        <f t="shared" ca="1" si="20"/>
        <v>18</v>
      </c>
      <c r="T54" s="21">
        <f t="shared" ca="1" si="20"/>
        <v>18</v>
      </c>
      <c r="U54" s="21">
        <f t="shared" ca="1" si="20"/>
        <v>18</v>
      </c>
      <c r="V54" s="21">
        <f t="shared" ca="1" si="20"/>
        <v>18</v>
      </c>
      <c r="W54" s="21">
        <f t="shared" ca="1" si="20"/>
        <v>18</v>
      </c>
      <c r="X54" s="21">
        <f t="shared" ca="1" si="20"/>
        <v>18</v>
      </c>
      <c r="Y54" s="21">
        <f t="shared" ca="1" si="20"/>
        <v>18</v>
      </c>
      <c r="Z54" s="21">
        <f t="shared" ca="1" si="20"/>
        <v>18</v>
      </c>
      <c r="AA54" s="21">
        <f t="shared" ca="1" si="20"/>
        <v>18</v>
      </c>
      <c r="AB54" s="21">
        <f t="shared" ca="1" si="20"/>
        <v>18</v>
      </c>
      <c r="AC54" s="21">
        <f t="shared" ca="1" si="20"/>
        <v>18</v>
      </c>
      <c r="AD54" s="21">
        <f t="shared" ca="1" si="20"/>
        <v>18</v>
      </c>
      <c r="AE54" s="21">
        <f t="shared" ca="1" si="20"/>
        <v>18</v>
      </c>
      <c r="AF54" s="21">
        <f t="shared" ca="1" si="20"/>
        <v>18</v>
      </c>
      <c r="AG54" s="21">
        <f t="shared" ca="1" si="20"/>
        <v>18</v>
      </c>
      <c r="AH54" s="21">
        <f t="shared" ca="1" si="20"/>
        <v>18</v>
      </c>
      <c r="AI54" s="21">
        <f t="shared" ca="1" si="20"/>
        <v>18</v>
      </c>
      <c r="AJ54" s="21">
        <f t="shared" ca="1" si="20"/>
        <v>18</v>
      </c>
      <c r="AK54" s="21">
        <f t="shared" ca="1" si="20"/>
        <v>18</v>
      </c>
      <c r="AL54" s="21">
        <f t="shared" ca="1" si="20"/>
        <v>18</v>
      </c>
      <c r="AM54" s="21">
        <f t="shared" ca="1" si="20"/>
        <v>18</v>
      </c>
      <c r="AN54" s="21">
        <f t="shared" ca="1" si="20"/>
        <v>18</v>
      </c>
      <c r="AO54" s="21">
        <f t="shared" ca="1" si="20"/>
        <v>18</v>
      </c>
      <c r="AP54" s="21">
        <f t="shared" ca="1" si="20"/>
        <v>18</v>
      </c>
      <c r="AQ54" s="21">
        <f t="shared" ca="1" si="20"/>
        <v>18</v>
      </c>
      <c r="AR54" s="21">
        <f t="shared" ca="1" si="20"/>
        <v>18</v>
      </c>
      <c r="AS54" s="21">
        <f t="shared" ca="1" si="20"/>
        <v>18</v>
      </c>
      <c r="AT54" s="21">
        <f t="shared" ca="1" si="20"/>
        <v>18</v>
      </c>
      <c r="AU54" s="21">
        <f t="shared" ca="1" si="20"/>
        <v>18</v>
      </c>
      <c r="AV54" s="21">
        <f t="shared" ca="1" si="20"/>
        <v>18</v>
      </c>
      <c r="AW54" s="21">
        <f t="shared" ca="1" si="20"/>
        <v>18</v>
      </c>
      <c r="AX54" s="21">
        <f t="shared" ca="1" si="20"/>
        <v>18</v>
      </c>
      <c r="AY54" s="21">
        <f t="shared" ca="1" si="20"/>
        <v>18</v>
      </c>
      <c r="AZ54" s="21">
        <f t="shared" ca="1" si="20"/>
        <v>18</v>
      </c>
      <c r="BA54" s="21">
        <f t="shared" ca="1" si="20"/>
        <v>18</v>
      </c>
      <c r="BB54" s="21">
        <f t="shared" ca="1" si="20"/>
        <v>18</v>
      </c>
      <c r="BC54" s="21">
        <f t="shared" ca="1" si="20"/>
        <v>18</v>
      </c>
      <c r="BD54" s="21">
        <f t="shared" ca="1" si="20"/>
        <v>18</v>
      </c>
      <c r="BE54" s="21">
        <f t="shared" ca="1" si="20"/>
        <v>18</v>
      </c>
      <c r="BF54" s="21">
        <f t="shared" ca="1" si="20"/>
        <v>18</v>
      </c>
      <c r="BG54" s="21">
        <f t="shared" ca="1" si="20"/>
        <v>18</v>
      </c>
      <c r="BH54" s="21">
        <f t="shared" ca="1" si="20"/>
        <v>18</v>
      </c>
      <c r="BI54" s="21">
        <f t="shared" ca="1" si="20"/>
        <v>18</v>
      </c>
      <c r="BJ54" s="21">
        <f t="shared" ca="1" si="20"/>
        <v>18</v>
      </c>
      <c r="BK54" s="21">
        <f t="shared" ca="1" si="20"/>
        <v>18</v>
      </c>
      <c r="BL54" s="21">
        <f t="shared" ca="1" si="20"/>
        <v>18</v>
      </c>
      <c r="BM54" s="21">
        <f t="shared" ca="1" si="20"/>
        <v>18</v>
      </c>
      <c r="BN54" s="21">
        <f t="shared" ca="1" si="20"/>
        <v>18</v>
      </c>
      <c r="BO54" s="21">
        <f t="shared" ca="1" si="20"/>
        <v>18</v>
      </c>
      <c r="BP54" s="21">
        <f t="shared" ca="1" si="20"/>
        <v>18</v>
      </c>
      <c r="BQ54" s="21">
        <f t="shared" ref="BQ54:CT54" ca="1" si="21">BP54+BQ53</f>
        <v>18</v>
      </c>
      <c r="BR54" s="21">
        <f t="shared" ca="1" si="21"/>
        <v>18</v>
      </c>
      <c r="BS54" s="21">
        <f t="shared" ca="1" si="21"/>
        <v>18</v>
      </c>
      <c r="BT54" s="21">
        <f t="shared" ca="1" si="21"/>
        <v>18</v>
      </c>
      <c r="BU54" s="21">
        <f t="shared" ca="1" si="21"/>
        <v>18</v>
      </c>
      <c r="BV54" s="21">
        <f t="shared" ca="1" si="21"/>
        <v>18</v>
      </c>
      <c r="BW54" s="21">
        <f t="shared" ca="1" si="21"/>
        <v>18</v>
      </c>
      <c r="BX54" s="21">
        <f t="shared" ca="1" si="21"/>
        <v>18</v>
      </c>
      <c r="BY54" s="21">
        <f t="shared" ca="1" si="21"/>
        <v>18</v>
      </c>
      <c r="BZ54" s="21">
        <f t="shared" ca="1" si="21"/>
        <v>18</v>
      </c>
      <c r="CA54" s="21">
        <f t="shared" ca="1" si="21"/>
        <v>18</v>
      </c>
      <c r="CB54" s="21">
        <f t="shared" ca="1" si="21"/>
        <v>18</v>
      </c>
      <c r="CC54" s="21">
        <f t="shared" ca="1" si="21"/>
        <v>18</v>
      </c>
      <c r="CD54" s="21">
        <f t="shared" ca="1" si="21"/>
        <v>18</v>
      </c>
      <c r="CE54" s="21">
        <f t="shared" ca="1" si="21"/>
        <v>18</v>
      </c>
      <c r="CF54" s="21">
        <f t="shared" ca="1" si="21"/>
        <v>18</v>
      </c>
      <c r="CG54" s="21">
        <f t="shared" ca="1" si="21"/>
        <v>18</v>
      </c>
      <c r="CH54" s="21">
        <f t="shared" ca="1" si="21"/>
        <v>18</v>
      </c>
      <c r="CI54" s="21">
        <f t="shared" ca="1" si="21"/>
        <v>18</v>
      </c>
      <c r="CJ54" s="21">
        <f t="shared" ca="1" si="21"/>
        <v>18</v>
      </c>
      <c r="CK54" s="21">
        <f t="shared" ca="1" si="21"/>
        <v>18</v>
      </c>
      <c r="CL54" s="21">
        <f t="shared" ca="1" si="21"/>
        <v>18</v>
      </c>
      <c r="CM54" s="21">
        <f t="shared" ca="1" si="21"/>
        <v>18</v>
      </c>
      <c r="CN54" s="21">
        <f t="shared" ca="1" si="21"/>
        <v>18</v>
      </c>
      <c r="CO54" s="21">
        <f t="shared" ca="1" si="21"/>
        <v>18</v>
      </c>
      <c r="CP54" s="21">
        <f t="shared" ca="1" si="21"/>
        <v>18</v>
      </c>
      <c r="CQ54" s="21">
        <f t="shared" ca="1" si="21"/>
        <v>18</v>
      </c>
      <c r="CR54" s="21">
        <f t="shared" ca="1" si="21"/>
        <v>18</v>
      </c>
      <c r="CS54" s="21">
        <f t="shared" ca="1" si="21"/>
        <v>18</v>
      </c>
      <c r="CT54" s="21">
        <f t="shared" ca="1" si="21"/>
        <v>18</v>
      </c>
    </row>
    <row r="55" spans="2:98">
      <c r="B55" s="20" t="s">
        <v>24</v>
      </c>
      <c r="C55" s="21">
        <f ca="1">C54-C52</f>
        <v>0</v>
      </c>
      <c r="D55" s="21">
        <f t="shared" ref="D55:BO55" ca="1" si="22">D54-D52</f>
        <v>0</v>
      </c>
      <c r="E55" s="21">
        <f t="shared" ca="1" si="22"/>
        <v>0</v>
      </c>
      <c r="F55" s="21">
        <f t="shared" ca="1" si="22"/>
        <v>0</v>
      </c>
      <c r="G55" s="21">
        <f t="shared" ca="1" si="22"/>
        <v>0</v>
      </c>
      <c r="H55" s="21">
        <f t="shared" ca="1" si="22"/>
        <v>0</v>
      </c>
      <c r="I55" s="21">
        <f t="shared" ca="1" si="22"/>
        <v>0</v>
      </c>
      <c r="J55" s="21">
        <f t="shared" ca="1" si="22"/>
        <v>0</v>
      </c>
      <c r="K55" s="21">
        <f t="shared" ca="1" si="22"/>
        <v>0</v>
      </c>
      <c r="L55" s="21">
        <f t="shared" ca="1" si="22"/>
        <v>0</v>
      </c>
      <c r="M55" s="21">
        <f t="shared" ca="1" si="22"/>
        <v>0</v>
      </c>
      <c r="N55" s="21">
        <f t="shared" ca="1" si="22"/>
        <v>0</v>
      </c>
      <c r="O55" s="21">
        <f t="shared" ca="1" si="22"/>
        <v>0</v>
      </c>
      <c r="P55" s="21">
        <f t="shared" ca="1" si="22"/>
        <v>0</v>
      </c>
      <c r="Q55" s="21">
        <f t="shared" ca="1" si="22"/>
        <v>0</v>
      </c>
      <c r="R55" s="21">
        <f t="shared" ca="1" si="22"/>
        <v>0</v>
      </c>
      <c r="S55" s="21">
        <f t="shared" ca="1" si="22"/>
        <v>-6</v>
      </c>
      <c r="T55" s="21">
        <f t="shared" ca="1" si="22"/>
        <v>-18</v>
      </c>
      <c r="U55" s="21">
        <f t="shared" ca="1" si="22"/>
        <v>-24</v>
      </c>
      <c r="V55" s="21">
        <f t="shared" ca="1" si="22"/>
        <v>-24</v>
      </c>
      <c r="W55" s="21">
        <f t="shared" ca="1" si="22"/>
        <v>-24</v>
      </c>
      <c r="X55" s="21">
        <f t="shared" ca="1" si="22"/>
        <v>-30</v>
      </c>
      <c r="Y55" s="21">
        <f t="shared" ca="1" si="22"/>
        <v>-36</v>
      </c>
      <c r="Z55" s="21">
        <f t="shared" ca="1" si="22"/>
        <v>-36</v>
      </c>
      <c r="AA55" s="21">
        <f t="shared" ca="1" si="22"/>
        <v>-42</v>
      </c>
      <c r="AB55" s="21">
        <f t="shared" ca="1" si="22"/>
        <v>-48</v>
      </c>
      <c r="AC55" s="21">
        <f t="shared" ca="1" si="22"/>
        <v>-48</v>
      </c>
      <c r="AD55" s="21">
        <f t="shared" ca="1" si="22"/>
        <v>-48</v>
      </c>
      <c r="AE55" s="21">
        <f t="shared" ca="1" si="22"/>
        <v>-54</v>
      </c>
      <c r="AF55" s="21">
        <f t="shared" ca="1" si="22"/>
        <v>-60</v>
      </c>
      <c r="AG55" s="21">
        <f t="shared" ca="1" si="22"/>
        <v>-60</v>
      </c>
      <c r="AH55" s="21">
        <f t="shared" ca="1" si="22"/>
        <v>-60</v>
      </c>
      <c r="AI55" s="21">
        <f t="shared" ca="1" si="22"/>
        <v>-60</v>
      </c>
      <c r="AJ55" s="21">
        <f t="shared" ca="1" si="22"/>
        <v>-60</v>
      </c>
      <c r="AK55" s="21">
        <f t="shared" ca="1" si="22"/>
        <v>-60</v>
      </c>
      <c r="AL55" s="21">
        <f t="shared" ca="1" si="22"/>
        <v>-60</v>
      </c>
      <c r="AM55" s="21">
        <f t="shared" ca="1" si="22"/>
        <v>-66</v>
      </c>
      <c r="AN55" s="21">
        <f t="shared" ca="1" si="22"/>
        <v>-72</v>
      </c>
      <c r="AO55" s="21">
        <f t="shared" ca="1" si="22"/>
        <v>-72</v>
      </c>
      <c r="AP55" s="21">
        <f t="shared" ca="1" si="22"/>
        <v>-78</v>
      </c>
      <c r="AQ55" s="21">
        <f t="shared" ca="1" si="22"/>
        <v>-78</v>
      </c>
      <c r="AR55" s="21">
        <f t="shared" ca="1" si="22"/>
        <v>-78</v>
      </c>
      <c r="AS55" s="21">
        <f t="shared" ca="1" si="22"/>
        <v>-84</v>
      </c>
      <c r="AT55" s="21">
        <f t="shared" ca="1" si="22"/>
        <v>-90</v>
      </c>
      <c r="AU55" s="21">
        <f t="shared" ca="1" si="22"/>
        <v>-93</v>
      </c>
      <c r="AV55" s="21">
        <f t="shared" ca="1" si="22"/>
        <v>-93</v>
      </c>
      <c r="AW55" s="21">
        <f t="shared" ca="1" si="22"/>
        <v>-93</v>
      </c>
      <c r="AX55" s="21">
        <f t="shared" ca="1" si="22"/>
        <v>-93</v>
      </c>
      <c r="AY55" s="21">
        <f t="shared" ca="1" si="22"/>
        <v>-93</v>
      </c>
      <c r="AZ55" s="21">
        <f t="shared" ca="1" si="22"/>
        <v>-93</v>
      </c>
      <c r="BA55" s="21">
        <f t="shared" ca="1" si="22"/>
        <v>-93</v>
      </c>
      <c r="BB55" s="21">
        <f t="shared" ca="1" si="22"/>
        <v>-95</v>
      </c>
      <c r="BC55" s="21">
        <f t="shared" ca="1" si="22"/>
        <v>-100</v>
      </c>
      <c r="BD55" s="21">
        <f t="shared" ca="1" si="22"/>
        <v>-103</v>
      </c>
      <c r="BE55" s="21">
        <f t="shared" ca="1" si="22"/>
        <v>-103</v>
      </c>
      <c r="BF55" s="21">
        <f t="shared" ca="1" si="22"/>
        <v>-103</v>
      </c>
      <c r="BG55" s="21">
        <f t="shared" ca="1" si="22"/>
        <v>-105</v>
      </c>
      <c r="BH55" s="21">
        <f t="shared" ca="1" si="22"/>
        <v>-106</v>
      </c>
      <c r="BI55" s="21">
        <f t="shared" ca="1" si="22"/>
        <v>-107</v>
      </c>
      <c r="BJ55" s="21">
        <f t="shared" ca="1" si="22"/>
        <v>-108</v>
      </c>
      <c r="BK55" s="21">
        <f t="shared" ca="1" si="22"/>
        <v>-108</v>
      </c>
      <c r="BL55" s="21">
        <f t="shared" ca="1" si="22"/>
        <v>-108</v>
      </c>
      <c r="BM55" s="21">
        <f t="shared" ca="1" si="22"/>
        <v>-108</v>
      </c>
      <c r="BN55" s="21">
        <f t="shared" ca="1" si="22"/>
        <v>-108</v>
      </c>
      <c r="BO55" s="21">
        <f t="shared" ca="1" si="22"/>
        <v>-108</v>
      </c>
      <c r="BP55" s="21">
        <f t="shared" ref="BP55:CT55" ca="1" si="23">BP54-BP52</f>
        <v>-108</v>
      </c>
      <c r="BQ55" s="21">
        <f t="shared" ca="1" si="23"/>
        <v>-108</v>
      </c>
      <c r="BR55" s="21">
        <f t="shared" ca="1" si="23"/>
        <v>-108</v>
      </c>
      <c r="BS55" s="21">
        <f t="shared" ca="1" si="23"/>
        <v>-108</v>
      </c>
      <c r="BT55" s="21">
        <f t="shared" ca="1" si="23"/>
        <v>-108</v>
      </c>
      <c r="BU55" s="21">
        <f t="shared" ca="1" si="23"/>
        <v>-108</v>
      </c>
      <c r="BV55" s="21">
        <f t="shared" ca="1" si="23"/>
        <v>-108</v>
      </c>
      <c r="BW55" s="21">
        <f t="shared" ca="1" si="23"/>
        <v>-108</v>
      </c>
      <c r="BX55" s="21">
        <f t="shared" ca="1" si="23"/>
        <v>-108</v>
      </c>
      <c r="BY55" s="21">
        <f t="shared" ca="1" si="23"/>
        <v>-108</v>
      </c>
      <c r="BZ55" s="21">
        <f t="shared" ca="1" si="23"/>
        <v>-108</v>
      </c>
      <c r="CA55" s="21">
        <f t="shared" ca="1" si="23"/>
        <v>-108</v>
      </c>
      <c r="CB55" s="21">
        <f t="shared" ca="1" si="23"/>
        <v>-108</v>
      </c>
      <c r="CC55" s="21">
        <f t="shared" ca="1" si="23"/>
        <v>-108</v>
      </c>
      <c r="CD55" s="21">
        <f t="shared" ca="1" si="23"/>
        <v>-108</v>
      </c>
      <c r="CE55" s="21">
        <f t="shared" ca="1" si="23"/>
        <v>-108</v>
      </c>
      <c r="CF55" s="21">
        <f t="shared" ca="1" si="23"/>
        <v>-108</v>
      </c>
      <c r="CG55" s="21">
        <f t="shared" ca="1" si="23"/>
        <v>-108</v>
      </c>
      <c r="CH55" s="21">
        <f t="shared" ca="1" si="23"/>
        <v>-108</v>
      </c>
      <c r="CI55" s="21">
        <f t="shared" ca="1" si="23"/>
        <v>-108</v>
      </c>
      <c r="CJ55" s="21">
        <f t="shared" ca="1" si="23"/>
        <v>-108</v>
      </c>
      <c r="CK55" s="21">
        <f t="shared" ca="1" si="23"/>
        <v>-108</v>
      </c>
      <c r="CL55" s="21">
        <f t="shared" ca="1" si="23"/>
        <v>-108</v>
      </c>
      <c r="CM55" s="21">
        <f t="shared" ca="1" si="23"/>
        <v>-108</v>
      </c>
      <c r="CN55" s="21">
        <f t="shared" ca="1" si="23"/>
        <v>-108</v>
      </c>
      <c r="CO55" s="21">
        <f t="shared" ca="1" si="23"/>
        <v>-108</v>
      </c>
      <c r="CP55" s="21">
        <f t="shared" ca="1" si="23"/>
        <v>-108</v>
      </c>
      <c r="CQ55" s="21">
        <f t="shared" ca="1" si="23"/>
        <v>-108</v>
      </c>
      <c r="CR55" s="21">
        <f t="shared" ca="1" si="23"/>
        <v>-108</v>
      </c>
      <c r="CS55" s="21">
        <f t="shared" ca="1" si="23"/>
        <v>-108</v>
      </c>
      <c r="CT55" s="21">
        <f t="shared" ca="1" si="23"/>
        <v>-108</v>
      </c>
    </row>
  </sheetData>
  <phoneticPr fontId="1"/>
  <conditionalFormatting sqref="L22:L27">
    <cfRule type="expression" dxfId="3" priority="4">
      <formula>L$22=TODAY()</formula>
    </cfRule>
  </conditionalFormatting>
  <conditionalFormatting sqref="C22:CT27">
    <cfRule type="expression" dxfId="2" priority="3">
      <formula>C$22=Report_Day</formula>
    </cfRule>
  </conditionalFormatting>
  <conditionalFormatting sqref="L50:L55">
    <cfRule type="expression" dxfId="1" priority="2">
      <formula>L$22=TODAY()</formula>
    </cfRule>
  </conditionalFormatting>
  <conditionalFormatting sqref="C50:CT55">
    <cfRule type="expression" dxfId="0" priority="1">
      <formula>C$22=Report_Day</formula>
    </cfRule>
  </conditionalFormatting>
  <dataValidations count="1">
    <dataValidation type="list" allowBlank="1" showInputMessage="1" showErrorMessage="1" sqref="C18 C46" xr:uid="{1D07E1DF-5754-4B2C-8669-8363AC78B160}">
      <formula1>"1,7,30"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landscape" r:id="rId1"/>
  <headerFooter>
    <oddHeader>&amp;L&amp;"Microsoft YaHei,標準"&amp;F&amp;C&amp;"Microsoft YaHei,標準"&amp;A&amp;R&amp;"Meiryo UI,標準"&amp;D</oddHeader>
    <oddFooter>&amp;C&amp;"Meiryo UI,標準"&amp;P/&amp;N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EF7522CC-D2A7-45FF-8842-5DCAE311E729}">
          <x14:formula1>
            <xm:f>'Sub-System'!$A:$A</xm:f>
          </x14:formula1>
          <xm:sqref>B48 B20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32283-73CA-47E4-929F-E76A92163C4A}">
  <sheetPr codeName="Sheet15">
    <tabColor rgb="FF0070C0"/>
  </sheetPr>
  <dimension ref="A1"/>
  <sheetViews>
    <sheetView zoomScale="55" zoomScaleNormal="55" workbookViewId="0">
      <selection activeCell="C29" sqref="C29"/>
    </sheetView>
  </sheetViews>
  <sheetFormatPr defaultRowHeight="18"/>
  <cols>
    <col min="1" max="16384" width="9.140625" style="24"/>
  </cols>
  <sheetData/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F9EC6-B40F-4605-BFD7-7D7413E5EDC9}">
  <sheetPr codeName="Sheet5">
    <tabColor rgb="FFFFFF00"/>
  </sheetPr>
  <dimension ref="A1"/>
  <sheetViews>
    <sheetView zoomScale="55" zoomScaleNormal="55" workbookViewId="0">
      <selection activeCell="G35" sqref="G35"/>
    </sheetView>
  </sheetViews>
  <sheetFormatPr defaultRowHeight="15"/>
  <sheetData/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12D47-364D-49A0-A3E9-63E8A2E0D0FD}">
  <sheetPr codeName="Sheet8">
    <pageSetUpPr fitToPage="1"/>
  </sheetPr>
  <dimension ref="A1:AT626"/>
  <sheetViews>
    <sheetView showGridLines="0" workbookViewId="0">
      <pane ySplit="5" topLeftCell="A12" activePane="bottomLeft" state="frozen"/>
      <selection pane="bottomLeft" activeCell="L12" sqref="L12"/>
    </sheetView>
  </sheetViews>
  <sheetFormatPr defaultColWidth="11.35546875" defaultRowHeight="15" customHeight="1"/>
  <cols>
    <col min="1" max="1" width="2.35546875" style="35" customWidth="1"/>
    <col min="2" max="2" width="3.140625" style="35" customWidth="1"/>
    <col min="3" max="3" width="3.5" style="35" customWidth="1"/>
    <col min="4" max="5" width="2.2109375" style="35" customWidth="1"/>
    <col min="6" max="8" width="2" style="35" customWidth="1"/>
    <col min="9" max="12" width="2.42578125" style="35" customWidth="1"/>
    <col min="13" max="15" width="2.35546875" style="35" customWidth="1"/>
    <col min="16" max="16" width="31" style="35" customWidth="1"/>
    <col min="17" max="17" width="6.92578125" style="35" customWidth="1"/>
    <col min="18" max="18" width="9.85546875" style="35" customWidth="1"/>
    <col min="19" max="22" width="10.0703125" style="35" customWidth="1"/>
    <col min="23" max="24" width="7.92578125" style="35" customWidth="1"/>
    <col min="25" max="25" width="15.28515625" style="35" customWidth="1"/>
    <col min="26" max="26" width="24.7109375" style="35" customWidth="1"/>
    <col min="27" max="27" width="20.85546875" style="35" customWidth="1"/>
    <col min="28" max="29" width="6.92578125" style="35" customWidth="1"/>
    <col min="30" max="30" width="13.78515625" style="35" customWidth="1"/>
    <col min="31" max="31" width="4.35546875" style="35" customWidth="1"/>
    <col min="32" max="34" width="7.7109375" style="35" customWidth="1"/>
    <col min="35" max="37" width="8.5" style="35" customWidth="1"/>
    <col min="38" max="46" width="7.0703125" style="35" customWidth="1"/>
    <col min="47" max="16384" width="11.35546875" style="35"/>
  </cols>
  <sheetData>
    <row r="1" spans="1:46" ht="25.5">
      <c r="A1" s="557" t="s">
        <v>25</v>
      </c>
      <c r="B1" s="558"/>
      <c r="C1" s="558"/>
      <c r="D1" s="558"/>
      <c r="E1" s="558"/>
      <c r="F1" s="558"/>
      <c r="G1" s="558"/>
      <c r="H1" s="558"/>
      <c r="I1" s="558"/>
      <c r="J1" s="558"/>
      <c r="K1" s="558"/>
      <c r="L1" s="558"/>
      <c r="M1" s="558"/>
      <c r="N1" s="558"/>
      <c r="O1" s="558"/>
      <c r="P1" s="558"/>
      <c r="Q1" s="558"/>
      <c r="R1" s="558"/>
      <c r="S1" s="558"/>
      <c r="T1" s="558"/>
      <c r="U1" s="558"/>
      <c r="V1" s="559"/>
      <c r="W1" s="28" t="s">
        <v>26</v>
      </c>
      <c r="X1" s="29"/>
      <c r="Y1" s="30" t="s">
        <v>27</v>
      </c>
      <c r="Z1" s="31">
        <f ca="1">Report_Day</f>
        <v>45821</v>
      </c>
      <c r="AA1" s="32">
        <f ca="1">Z1+7</f>
        <v>45828</v>
      </c>
      <c r="AB1" s="33"/>
      <c r="AC1" s="33"/>
      <c r="AD1" s="33"/>
      <c r="AE1" s="33"/>
      <c r="AF1" s="33"/>
      <c r="AG1" s="34"/>
      <c r="AH1" s="34"/>
      <c r="AI1" s="34"/>
      <c r="AJ1" s="34"/>
      <c r="AK1" s="34"/>
      <c r="AL1" s="33"/>
      <c r="AM1" s="33"/>
      <c r="AN1" s="33"/>
      <c r="AO1" s="33"/>
      <c r="AP1" s="33"/>
      <c r="AQ1" s="33"/>
      <c r="AR1" s="33"/>
      <c r="AS1" s="33"/>
      <c r="AT1" s="33"/>
    </row>
    <row r="2" spans="1:46" ht="26" thickBot="1">
      <c r="A2" s="560"/>
      <c r="B2" s="561"/>
      <c r="C2" s="561"/>
      <c r="D2" s="561"/>
      <c r="E2" s="561"/>
      <c r="F2" s="561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  <c r="U2" s="561"/>
      <c r="V2" s="562"/>
      <c r="W2" s="36" t="s">
        <v>28</v>
      </c>
      <c r="X2" s="37" t="s">
        <v>29</v>
      </c>
      <c r="Y2" s="38" t="s">
        <v>30</v>
      </c>
      <c r="Z2" s="39">
        <f ca="1">Report_Day</f>
        <v>45821</v>
      </c>
      <c r="AA2" s="34"/>
      <c r="AB2" s="40"/>
      <c r="AC2" s="40"/>
      <c r="AD2" s="40"/>
      <c r="AE2" s="40"/>
      <c r="AF2" s="34"/>
      <c r="AG2" s="34"/>
      <c r="AH2" s="34"/>
      <c r="AI2" s="34"/>
      <c r="AJ2" s="34"/>
      <c r="AK2" s="34"/>
      <c r="AL2" s="40"/>
      <c r="AM2" s="40"/>
      <c r="AN2" s="40"/>
      <c r="AO2" s="40"/>
      <c r="AP2" s="40"/>
      <c r="AQ2" s="40"/>
      <c r="AR2" s="40"/>
      <c r="AS2" s="40"/>
      <c r="AT2" s="40"/>
    </row>
    <row r="3" spans="1:46" ht="18.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2"/>
      <c r="M3" s="42"/>
      <c r="N3" s="42"/>
      <c r="O3" s="42"/>
      <c r="P3" s="40"/>
      <c r="Q3" s="40"/>
      <c r="R3" s="43"/>
      <c r="S3" s="40"/>
      <c r="T3" s="40"/>
      <c r="U3" s="40"/>
      <c r="V3" s="40"/>
      <c r="W3" s="40"/>
      <c r="X3" s="44"/>
      <c r="Y3" s="44"/>
      <c r="Z3" s="45"/>
      <c r="AA3" s="46"/>
      <c r="AB3" s="47"/>
      <c r="AC3" s="47"/>
      <c r="AD3" s="40"/>
      <c r="AE3" s="40"/>
      <c r="AF3" s="46"/>
      <c r="AG3" s="46"/>
      <c r="AH3" s="46"/>
      <c r="AI3" s="46"/>
      <c r="AJ3" s="46"/>
      <c r="AK3" s="46"/>
      <c r="AL3" s="40"/>
      <c r="AM3" s="40"/>
      <c r="AN3" s="40"/>
      <c r="AO3" s="40"/>
      <c r="AP3" s="40"/>
      <c r="AQ3" s="40"/>
      <c r="AR3" s="40"/>
      <c r="AS3" s="40"/>
      <c r="AT3" s="40"/>
    </row>
    <row r="4" spans="1:46" ht="18">
      <c r="A4" s="48"/>
      <c r="B4" s="563" t="s">
        <v>31</v>
      </c>
      <c r="C4" s="564"/>
      <c r="D4" s="564"/>
      <c r="E4" s="564"/>
      <c r="F4" s="564"/>
      <c r="G4" s="564"/>
      <c r="H4" s="564"/>
      <c r="I4" s="563" t="s">
        <v>32</v>
      </c>
      <c r="J4" s="564"/>
      <c r="K4" s="564"/>
      <c r="L4" s="564"/>
      <c r="M4" s="564"/>
      <c r="N4" s="564"/>
      <c r="O4" s="564"/>
      <c r="P4" s="49"/>
      <c r="Q4" s="50" t="s">
        <v>33</v>
      </c>
      <c r="R4" s="51" t="s">
        <v>34</v>
      </c>
      <c r="S4" s="565" t="s">
        <v>35</v>
      </c>
      <c r="T4" s="566"/>
      <c r="U4" s="565" t="s">
        <v>36</v>
      </c>
      <c r="V4" s="566"/>
      <c r="W4" s="553" t="s">
        <v>37</v>
      </c>
      <c r="X4" s="554"/>
      <c r="Y4" s="52" t="s">
        <v>38</v>
      </c>
      <c r="Z4" s="53"/>
      <c r="AA4" s="54" t="s">
        <v>39</v>
      </c>
      <c r="AB4" s="553" t="s">
        <v>37</v>
      </c>
      <c r="AC4" s="554"/>
      <c r="AD4" s="55" t="s">
        <v>40</v>
      </c>
      <c r="AE4" s="55" t="s">
        <v>41</v>
      </c>
      <c r="AF4" s="555" t="s">
        <v>42</v>
      </c>
      <c r="AG4" s="556"/>
      <c r="AH4" s="554"/>
      <c r="AI4" s="56" t="s">
        <v>43</v>
      </c>
      <c r="AJ4" s="56" t="s">
        <v>44</v>
      </c>
      <c r="AK4" s="56" t="s">
        <v>45</v>
      </c>
      <c r="AL4" s="57"/>
      <c r="AM4" s="57"/>
      <c r="AN4" s="57"/>
      <c r="AO4" s="57"/>
      <c r="AP4" s="57"/>
      <c r="AQ4" s="57"/>
      <c r="AR4" s="57"/>
      <c r="AS4" s="57"/>
      <c r="AT4" s="57"/>
    </row>
    <row r="5" spans="1:46" ht="18">
      <c r="A5" s="58"/>
      <c r="B5" s="59"/>
      <c r="C5" s="60"/>
      <c r="D5" s="60"/>
      <c r="E5" s="60"/>
      <c r="F5" s="60"/>
      <c r="G5" s="60"/>
      <c r="H5" s="60"/>
      <c r="I5" s="59"/>
      <c r="J5" s="60"/>
      <c r="K5" s="60"/>
      <c r="L5" s="60"/>
      <c r="M5" s="60"/>
      <c r="N5" s="60"/>
      <c r="O5" s="60"/>
      <c r="P5" s="61" t="s">
        <v>46</v>
      </c>
      <c r="Q5" s="62" t="s">
        <v>47</v>
      </c>
      <c r="R5" s="63"/>
      <c r="S5" s="64" t="s">
        <v>48</v>
      </c>
      <c r="T5" s="65" t="s">
        <v>49</v>
      </c>
      <c r="U5" s="64" t="s">
        <v>48</v>
      </c>
      <c r="V5" s="65" t="s">
        <v>49</v>
      </c>
      <c r="W5" s="66" t="s">
        <v>50</v>
      </c>
      <c r="X5" s="67" t="s">
        <v>36</v>
      </c>
      <c r="Y5" s="68" t="s">
        <v>51</v>
      </c>
      <c r="Z5" s="69"/>
      <c r="AA5" s="70"/>
      <c r="AB5" s="71" t="s">
        <v>52</v>
      </c>
      <c r="AC5" s="72" t="s">
        <v>53</v>
      </c>
      <c r="AD5" s="73"/>
      <c r="AE5" s="73"/>
      <c r="AF5" s="74" t="s">
        <v>33</v>
      </c>
      <c r="AG5" s="75" t="s">
        <v>54</v>
      </c>
      <c r="AH5" s="75" t="s">
        <v>55</v>
      </c>
      <c r="AI5" s="73"/>
      <c r="AJ5" s="73"/>
      <c r="AK5" s="73"/>
      <c r="AL5" s="57"/>
      <c r="AM5" s="57"/>
      <c r="AN5" s="57"/>
      <c r="AO5" s="57"/>
      <c r="AP5" s="57"/>
      <c r="AQ5" s="57"/>
      <c r="AR5" s="57"/>
      <c r="AS5" s="57"/>
      <c r="AT5" s="57"/>
    </row>
    <row r="6" spans="1:46" ht="18">
      <c r="A6" s="76"/>
      <c r="B6" s="77">
        <f t="shared" ref="B6:B260" ca="1" si="0">IF(AND(I6="",J6="",K6="",L6="",M6="",N6="",O6=""),"",IF(AL6=0,"",AL6))</f>
        <v>1</v>
      </c>
      <c r="C6" s="78" t="str">
        <f t="shared" ref="C6:C260" ca="1" si="1">IF(AND(I6="",J6="",K6="",L6="",M6="",N6="",O6=""),"",IF(AM6=0,"",AM6))</f>
        <v/>
      </c>
      <c r="D6" s="78" t="str">
        <f t="shared" ref="D6:D260" ca="1" si="2">IF(AND(I6="",J6="",K6="",L6="",M6="",N6="",O6=""),"",IF(AN6=0,"",AN6))</f>
        <v/>
      </c>
      <c r="E6" s="78" t="str">
        <f t="shared" ref="E6:E260" ca="1" si="3">IF(AND(I6="",J6="",K6="",L6="",M6="",N6="",O6=""),"",IF(AO6=0,"",AO6))</f>
        <v/>
      </c>
      <c r="F6" s="78" t="str">
        <f t="shared" ref="F6:F260" ca="1" si="4">IF(AND(I6="",J6="",K6="",L6="",M6="",N6="",O6=""),"",IF(AP6=0,"",AP6))</f>
        <v/>
      </c>
      <c r="G6" s="79" t="str">
        <f t="shared" ref="G6:G260" ca="1" si="5">IF(AND(I6="",J6="",K6="",L6="",M6="",N6="",O6=""),"",IF(AQ6=0,"",AQ6))</f>
        <v/>
      </c>
      <c r="H6" s="80" t="str">
        <f t="shared" ref="H6:H260" ca="1" si="6">IF(AND(I6="",J6="",K6="",L6="",M6="",N6="",O6=""),"",IF(AR6=0,"",AR6))</f>
        <v/>
      </c>
      <c r="I6" s="81" t="s">
        <v>56</v>
      </c>
      <c r="J6" s="82"/>
      <c r="K6" s="82"/>
      <c r="L6" s="83"/>
      <c r="M6" s="82"/>
      <c r="N6" s="82"/>
      <c r="O6" s="82"/>
      <c r="P6" s="82"/>
      <c r="Q6" s="84"/>
      <c r="R6" s="85"/>
      <c r="S6" s="86"/>
      <c r="T6" s="87"/>
      <c r="U6" s="86"/>
      <c r="V6" s="87"/>
      <c r="W6" s="88"/>
      <c r="X6" s="89"/>
      <c r="Y6" s="90"/>
      <c r="Z6" s="91"/>
      <c r="AA6" s="92"/>
      <c r="AB6" s="93"/>
      <c r="AC6" s="94"/>
      <c r="AD6" s="95"/>
      <c r="AE6" s="96"/>
      <c r="AF6" s="97"/>
      <c r="AG6" s="97">
        <f t="shared" ref="AG6:AG260" si="7">IF(T6&lt;&gt;"",IF(Z$1&gt;=T6,IF(S6&lt;&gt;"",IF(T6&gt;=S6,AF6,0),0),IF(S6&lt;&gt;"",IF(Z$1&gt;=S6,AF6*0.25,0),0)),IF(S6&lt;&gt;"",IF(Z$1&gt;=S6,AF6*0.25,0),0))</f>
        <v>0</v>
      </c>
      <c r="AH6" s="97">
        <f t="shared" ref="AH6:AH260" si="8">IF(T6&lt;&gt;"",IF(AA$1&gt;=T6,IF(S6&lt;&gt;"",IF(T6&gt;=S6,AF6,0),0),IF(S6&lt;&gt;"",IF(AA$1&gt;=S6,AF6*0.25,0),0)),IF(S6&lt;&gt;"",IF(AA$1&gt;=S6,AF6*0.25,0),0))</f>
        <v>0</v>
      </c>
      <c r="AI6" s="97">
        <f t="shared" ref="AI6:AI260" si="9">IF(V6&lt;&gt;"",AF6,IF(U6&lt;&gt;"",AF6*0.25,0))</f>
        <v>0</v>
      </c>
      <c r="AJ6" s="97">
        <f t="shared" ref="AJ6:AJ260" si="10">AI6-AG6</f>
        <v>0</v>
      </c>
      <c r="AK6" s="97" t="str">
        <f t="shared" ref="AK6:AK260" si="11">IF(ISERROR(AI6/AG6),"",AI6/AG6)</f>
        <v/>
      </c>
      <c r="AL6" s="98">
        <f t="shared" ref="AL6:AL260" ca="1" si="12">IF(I6="",OFFSET(AL6,-1,0),OFFSET(AL6,-1,0)+1)</f>
        <v>1</v>
      </c>
      <c r="AM6" s="98">
        <f t="shared" ref="AM6:AM260" ca="1" si="13">IF(I6&lt;&gt;"",0,IF(J6="",OFFSET(AM6,-1,0),OFFSET(AM6,-1,0)+1))</f>
        <v>0</v>
      </c>
      <c r="AN6" s="98">
        <f t="shared" ref="AN6:AN260" ca="1" si="14">IF(I6&lt;&gt;"",0,IF(J6&lt;&gt;"",0,IF(K6="",OFFSET(AN6,-1,0),OFFSET(AN6,-1,0)+1)))</f>
        <v>0</v>
      </c>
      <c r="AO6" s="98">
        <f t="shared" ref="AO6:AO260" ca="1" si="15">IF(I6&lt;&gt;"",0,IF(J6&lt;&gt;"",0,IF(K6&lt;&gt;"",0,IF(L6="",OFFSET(AO6,-1,0),OFFSET(AO6,-1,0)+1))))</f>
        <v>0</v>
      </c>
      <c r="AP6" s="98">
        <f t="shared" ref="AP6:AP260" ca="1" si="16">IF(I6&lt;&gt;"",0,IF(J6&lt;&gt;"",0,IF(K6&lt;&gt;"",0,IF(L6&lt;&gt;"",0,IF(M6="",OFFSET(AP6,-1,0),OFFSET(AP6,-1,0)+1)))))</f>
        <v>0</v>
      </c>
      <c r="AQ6" s="98">
        <f t="shared" ref="AQ6:AQ260" ca="1" si="17">IF(I6&lt;&gt;"",0,IF(J6&lt;&gt;"",0,IF(K6&lt;&gt;"",0,IF(L6&lt;&gt;"",0,IF(M6&lt;&gt;"",0,IF(N6="",OFFSET(AQ6,-1,0),OFFSET(AQ6,-1,0)+1))))))</f>
        <v>0</v>
      </c>
      <c r="AR6" s="98">
        <f t="shared" ref="AR6:AR260" ca="1" si="18">IF(I6&lt;&gt;"",0,IF(J6&lt;&gt;"",0,IF(K6&lt;&gt;"",0,IF(L6&lt;&gt;"",0,IF(M6&lt;&gt;"",0,IF(N6&lt;&gt;"",0,IF(O6="",OFFSET(AR6,-1,0),OFFSET(AR6,-1,0)+1)))))))</f>
        <v>0</v>
      </c>
      <c r="AS6" s="99"/>
      <c r="AT6" s="98">
        <f t="shared" ref="AT6:AT260" si="19">IF(((T6-S6)+1)&lt;0,0,((T6-S6)+1))</f>
        <v>1</v>
      </c>
    </row>
    <row r="7" spans="1:46" ht="18">
      <c r="A7" s="76"/>
      <c r="B7" s="77">
        <f t="shared" ca="1" si="0"/>
        <v>1</v>
      </c>
      <c r="C7" s="78">
        <f t="shared" ca="1" si="1"/>
        <v>1</v>
      </c>
      <c r="D7" s="78" t="str">
        <f t="shared" ca="1" si="2"/>
        <v/>
      </c>
      <c r="E7" s="78" t="str">
        <f t="shared" ca="1" si="3"/>
        <v/>
      </c>
      <c r="F7" s="78" t="str">
        <f t="shared" ca="1" si="4"/>
        <v/>
      </c>
      <c r="G7" s="79" t="str">
        <f t="shared" ca="1" si="5"/>
        <v/>
      </c>
      <c r="H7" s="80" t="str">
        <f t="shared" ca="1" si="6"/>
        <v/>
      </c>
      <c r="I7" s="100"/>
      <c r="J7" s="101" t="s">
        <v>57</v>
      </c>
      <c r="K7" s="102"/>
      <c r="L7" s="102"/>
      <c r="M7" s="102"/>
      <c r="N7" s="102"/>
      <c r="O7" s="102"/>
      <c r="P7" s="102"/>
      <c r="Q7" s="103" t="s">
        <v>58</v>
      </c>
      <c r="R7" s="104"/>
      <c r="S7" s="104"/>
      <c r="T7" s="105"/>
      <c r="U7" s="106"/>
      <c r="V7" s="105"/>
      <c r="W7" s="107"/>
      <c r="X7" s="108"/>
      <c r="Y7" s="109"/>
      <c r="Z7" s="110"/>
      <c r="AA7" s="92"/>
      <c r="AB7" s="93"/>
      <c r="AC7" s="94"/>
      <c r="AD7" s="95"/>
      <c r="AE7" s="96"/>
      <c r="AF7" s="97"/>
      <c r="AG7" s="97">
        <f t="shared" si="7"/>
        <v>0</v>
      </c>
      <c r="AH7" s="97">
        <f t="shared" si="8"/>
        <v>0</v>
      </c>
      <c r="AI7" s="97">
        <f t="shared" si="9"/>
        <v>0</v>
      </c>
      <c r="AJ7" s="97">
        <f t="shared" si="10"/>
        <v>0</v>
      </c>
      <c r="AK7" s="97" t="str">
        <f t="shared" si="11"/>
        <v/>
      </c>
      <c r="AL7" s="98">
        <f t="shared" ca="1" si="12"/>
        <v>1</v>
      </c>
      <c r="AM7" s="98">
        <f t="shared" ca="1" si="13"/>
        <v>1</v>
      </c>
      <c r="AN7" s="98">
        <f t="shared" ca="1" si="14"/>
        <v>0</v>
      </c>
      <c r="AO7" s="98">
        <f t="shared" ca="1" si="15"/>
        <v>0</v>
      </c>
      <c r="AP7" s="98">
        <f t="shared" ca="1" si="16"/>
        <v>0</v>
      </c>
      <c r="AQ7" s="98">
        <f t="shared" ca="1" si="17"/>
        <v>0</v>
      </c>
      <c r="AR7" s="98">
        <f t="shared" ca="1" si="18"/>
        <v>0</v>
      </c>
      <c r="AS7" s="99"/>
      <c r="AT7" s="98">
        <f t="shared" si="19"/>
        <v>1</v>
      </c>
    </row>
    <row r="8" spans="1:46" ht="18">
      <c r="A8" s="76"/>
      <c r="B8" s="77">
        <f t="shared" ca="1" si="0"/>
        <v>1</v>
      </c>
      <c r="C8" s="78">
        <f t="shared" ca="1" si="1"/>
        <v>1</v>
      </c>
      <c r="D8" s="78">
        <f t="shared" ca="1" si="2"/>
        <v>1</v>
      </c>
      <c r="E8" s="78" t="str">
        <f t="shared" ca="1" si="3"/>
        <v/>
      </c>
      <c r="F8" s="78" t="str">
        <f t="shared" ca="1" si="4"/>
        <v/>
      </c>
      <c r="G8" s="79" t="str">
        <f t="shared" ca="1" si="5"/>
        <v/>
      </c>
      <c r="H8" s="80" t="str">
        <f t="shared" ca="1" si="6"/>
        <v/>
      </c>
      <c r="I8" s="100"/>
      <c r="J8" s="111"/>
      <c r="K8" s="111" t="s">
        <v>59</v>
      </c>
      <c r="L8" s="111"/>
      <c r="M8" s="111"/>
      <c r="N8" s="111"/>
      <c r="O8" s="111"/>
      <c r="P8" s="111"/>
      <c r="Q8" s="112"/>
      <c r="R8" s="113" t="s">
        <v>60</v>
      </c>
      <c r="S8" s="114">
        <v>45839</v>
      </c>
      <c r="T8" s="115">
        <v>45860</v>
      </c>
      <c r="U8" s="114">
        <v>45821</v>
      </c>
      <c r="V8" s="115"/>
      <c r="W8" s="116">
        <v>0.05</v>
      </c>
      <c r="X8" s="117"/>
      <c r="Y8" s="118"/>
      <c r="Z8" s="119"/>
      <c r="AA8" s="92"/>
      <c r="AB8" s="93"/>
      <c r="AC8" s="94"/>
      <c r="AD8" s="95"/>
      <c r="AE8" s="96"/>
      <c r="AF8" s="97"/>
      <c r="AG8" s="97">
        <f t="shared" ca="1" si="7"/>
        <v>0</v>
      </c>
      <c r="AH8" s="97">
        <f t="shared" ca="1" si="8"/>
        <v>0</v>
      </c>
      <c r="AI8" s="97">
        <f t="shared" si="9"/>
        <v>0</v>
      </c>
      <c r="AJ8" s="97">
        <f t="shared" ca="1" si="10"/>
        <v>0</v>
      </c>
      <c r="AK8" s="97" t="str">
        <f t="shared" ca="1" si="11"/>
        <v/>
      </c>
      <c r="AL8" s="98">
        <f t="shared" ca="1" si="12"/>
        <v>1</v>
      </c>
      <c r="AM8" s="98">
        <f t="shared" ca="1" si="13"/>
        <v>1</v>
      </c>
      <c r="AN8" s="98">
        <f t="shared" ca="1" si="14"/>
        <v>1</v>
      </c>
      <c r="AO8" s="98">
        <f t="shared" ca="1" si="15"/>
        <v>0</v>
      </c>
      <c r="AP8" s="98">
        <f t="shared" ca="1" si="16"/>
        <v>0</v>
      </c>
      <c r="AQ8" s="98">
        <f t="shared" ca="1" si="17"/>
        <v>0</v>
      </c>
      <c r="AR8" s="98">
        <f t="shared" ca="1" si="18"/>
        <v>0</v>
      </c>
      <c r="AS8" s="99"/>
      <c r="AT8" s="98">
        <f t="shared" si="19"/>
        <v>22</v>
      </c>
    </row>
    <row r="9" spans="1:46" ht="18">
      <c r="A9" s="76"/>
      <c r="B9" s="77">
        <f t="shared" ca="1" si="0"/>
        <v>1</v>
      </c>
      <c r="C9" s="78">
        <f t="shared" ca="1" si="1"/>
        <v>1</v>
      </c>
      <c r="D9" s="78">
        <f t="shared" ca="1" si="2"/>
        <v>2</v>
      </c>
      <c r="E9" s="78" t="str">
        <f t="shared" ca="1" si="3"/>
        <v/>
      </c>
      <c r="F9" s="78" t="str">
        <f t="shared" ca="1" si="4"/>
        <v/>
      </c>
      <c r="G9" s="79" t="str">
        <f t="shared" ca="1" si="5"/>
        <v/>
      </c>
      <c r="H9" s="80" t="str">
        <f t="shared" ca="1" si="6"/>
        <v/>
      </c>
      <c r="I9" s="100"/>
      <c r="J9" s="111"/>
      <c r="K9" s="111" t="s">
        <v>61</v>
      </c>
      <c r="L9" s="111"/>
      <c r="M9" s="111"/>
      <c r="N9" s="111"/>
      <c r="O9" s="111"/>
      <c r="P9" s="111"/>
      <c r="Q9" s="112"/>
      <c r="R9" s="113" t="s">
        <v>62</v>
      </c>
      <c r="S9" s="114">
        <v>45861</v>
      </c>
      <c r="T9" s="115">
        <v>45861</v>
      </c>
      <c r="U9" s="114"/>
      <c r="V9" s="115"/>
      <c r="W9" s="116"/>
      <c r="X9" s="117"/>
      <c r="Y9" s="118"/>
      <c r="Z9" s="119"/>
      <c r="AA9" s="92"/>
      <c r="AB9" s="93"/>
      <c r="AC9" s="94"/>
      <c r="AD9" s="95"/>
      <c r="AE9" s="96"/>
      <c r="AF9" s="97"/>
      <c r="AG9" s="97">
        <f t="shared" ca="1" si="7"/>
        <v>0</v>
      </c>
      <c r="AH9" s="97">
        <f t="shared" ca="1" si="8"/>
        <v>0</v>
      </c>
      <c r="AI9" s="97">
        <f t="shared" si="9"/>
        <v>0</v>
      </c>
      <c r="AJ9" s="97">
        <f t="shared" ca="1" si="10"/>
        <v>0</v>
      </c>
      <c r="AK9" s="97" t="str">
        <f t="shared" ca="1" si="11"/>
        <v/>
      </c>
      <c r="AL9" s="98">
        <f t="shared" ca="1" si="12"/>
        <v>1</v>
      </c>
      <c r="AM9" s="98">
        <f t="shared" ca="1" si="13"/>
        <v>1</v>
      </c>
      <c r="AN9" s="98">
        <f t="shared" ca="1" si="14"/>
        <v>2</v>
      </c>
      <c r="AO9" s="98">
        <f t="shared" ca="1" si="15"/>
        <v>0</v>
      </c>
      <c r="AP9" s="98">
        <f t="shared" ca="1" si="16"/>
        <v>0</v>
      </c>
      <c r="AQ9" s="98">
        <f t="shared" ca="1" si="17"/>
        <v>0</v>
      </c>
      <c r="AR9" s="98">
        <f t="shared" ca="1" si="18"/>
        <v>0</v>
      </c>
      <c r="AS9" s="99"/>
      <c r="AT9" s="98">
        <f t="shared" si="19"/>
        <v>1</v>
      </c>
    </row>
    <row r="10" spans="1:46" ht="18">
      <c r="A10" s="76"/>
      <c r="B10" s="77">
        <f t="shared" ca="1" si="0"/>
        <v>1</v>
      </c>
      <c r="C10" s="78">
        <f t="shared" ca="1" si="1"/>
        <v>1</v>
      </c>
      <c r="D10" s="78">
        <f t="shared" ca="1" si="2"/>
        <v>3</v>
      </c>
      <c r="E10" s="78" t="str">
        <f t="shared" ca="1" si="3"/>
        <v/>
      </c>
      <c r="F10" s="78" t="str">
        <f t="shared" ca="1" si="4"/>
        <v/>
      </c>
      <c r="G10" s="79" t="str">
        <f t="shared" ca="1" si="5"/>
        <v/>
      </c>
      <c r="H10" s="80" t="str">
        <f t="shared" ca="1" si="6"/>
        <v/>
      </c>
      <c r="I10" s="100"/>
      <c r="J10" s="111"/>
      <c r="K10" s="111" t="s">
        <v>63</v>
      </c>
      <c r="L10" s="111"/>
      <c r="M10" s="111"/>
      <c r="N10" s="111"/>
      <c r="O10" s="111"/>
      <c r="P10" s="111"/>
      <c r="Q10" s="112"/>
      <c r="R10" s="113" t="s">
        <v>60</v>
      </c>
      <c r="S10" s="114">
        <v>45862</v>
      </c>
      <c r="T10" s="115">
        <v>45866</v>
      </c>
      <c r="U10" s="114"/>
      <c r="V10" s="115"/>
      <c r="W10" s="116"/>
      <c r="X10" s="117"/>
      <c r="Y10" s="118"/>
      <c r="Z10" s="119"/>
      <c r="AA10" s="92"/>
      <c r="AB10" s="93"/>
      <c r="AC10" s="94"/>
      <c r="AD10" s="95"/>
      <c r="AE10" s="96"/>
      <c r="AF10" s="97"/>
      <c r="AG10" s="97">
        <f t="shared" ca="1" si="7"/>
        <v>0</v>
      </c>
      <c r="AH10" s="97">
        <f t="shared" ca="1" si="8"/>
        <v>0</v>
      </c>
      <c r="AI10" s="97">
        <f t="shared" si="9"/>
        <v>0</v>
      </c>
      <c r="AJ10" s="97">
        <f t="shared" ca="1" si="10"/>
        <v>0</v>
      </c>
      <c r="AK10" s="97" t="str">
        <f t="shared" ca="1" si="11"/>
        <v/>
      </c>
      <c r="AL10" s="98">
        <f t="shared" ca="1" si="12"/>
        <v>1</v>
      </c>
      <c r="AM10" s="98">
        <f t="shared" ca="1" si="13"/>
        <v>1</v>
      </c>
      <c r="AN10" s="98">
        <f t="shared" ca="1" si="14"/>
        <v>3</v>
      </c>
      <c r="AO10" s="98">
        <f t="shared" ca="1" si="15"/>
        <v>0</v>
      </c>
      <c r="AP10" s="98">
        <f t="shared" ca="1" si="16"/>
        <v>0</v>
      </c>
      <c r="AQ10" s="98">
        <f t="shared" ca="1" si="17"/>
        <v>0</v>
      </c>
      <c r="AR10" s="98">
        <f t="shared" ca="1" si="18"/>
        <v>0</v>
      </c>
      <c r="AS10" s="99"/>
      <c r="AT10" s="98">
        <f t="shared" si="19"/>
        <v>5</v>
      </c>
    </row>
    <row r="11" spans="1:46" ht="18">
      <c r="A11" s="76"/>
      <c r="B11" s="77">
        <f t="shared" ca="1" si="0"/>
        <v>1</v>
      </c>
      <c r="C11" s="78">
        <f t="shared" ca="1" si="1"/>
        <v>1</v>
      </c>
      <c r="D11" s="78">
        <f t="shared" ca="1" si="2"/>
        <v>4</v>
      </c>
      <c r="E11" s="78" t="str">
        <f t="shared" ca="1" si="3"/>
        <v/>
      </c>
      <c r="F11" s="78" t="str">
        <f t="shared" ca="1" si="4"/>
        <v/>
      </c>
      <c r="G11" s="79" t="str">
        <f t="shared" ca="1" si="5"/>
        <v/>
      </c>
      <c r="H11" s="80" t="str">
        <f t="shared" ca="1" si="6"/>
        <v/>
      </c>
      <c r="I11" s="100"/>
      <c r="J11" s="111"/>
      <c r="K11" s="111" t="s">
        <v>64</v>
      </c>
      <c r="L11" s="111"/>
      <c r="M11" s="111"/>
      <c r="N11" s="111"/>
      <c r="O11" s="111"/>
      <c r="P11" s="111"/>
      <c r="Q11" s="112"/>
      <c r="R11" s="113" t="s">
        <v>62</v>
      </c>
      <c r="S11" s="114">
        <v>45867</v>
      </c>
      <c r="T11" s="115">
        <v>45867</v>
      </c>
      <c r="U11" s="114"/>
      <c r="V11" s="115"/>
      <c r="W11" s="116"/>
      <c r="X11" s="117"/>
      <c r="Y11" s="118"/>
      <c r="Z11" s="119"/>
      <c r="AA11" s="92"/>
      <c r="AB11" s="93"/>
      <c r="AC11" s="94"/>
      <c r="AD11" s="95"/>
      <c r="AE11" s="96"/>
      <c r="AF11" s="97"/>
      <c r="AG11" s="97">
        <f t="shared" ca="1" si="7"/>
        <v>0</v>
      </c>
      <c r="AH11" s="97">
        <f t="shared" ca="1" si="8"/>
        <v>0</v>
      </c>
      <c r="AI11" s="97">
        <f t="shared" si="9"/>
        <v>0</v>
      </c>
      <c r="AJ11" s="97">
        <f t="shared" ca="1" si="10"/>
        <v>0</v>
      </c>
      <c r="AK11" s="97" t="str">
        <f t="shared" ca="1" si="11"/>
        <v/>
      </c>
      <c r="AL11" s="98">
        <f t="shared" ca="1" si="12"/>
        <v>1</v>
      </c>
      <c r="AM11" s="98">
        <f t="shared" ca="1" si="13"/>
        <v>1</v>
      </c>
      <c r="AN11" s="98">
        <f t="shared" ca="1" si="14"/>
        <v>4</v>
      </c>
      <c r="AO11" s="98">
        <f t="shared" ca="1" si="15"/>
        <v>0</v>
      </c>
      <c r="AP11" s="98">
        <f t="shared" ca="1" si="16"/>
        <v>0</v>
      </c>
      <c r="AQ11" s="98">
        <f t="shared" ca="1" si="17"/>
        <v>0</v>
      </c>
      <c r="AR11" s="98">
        <f t="shared" ca="1" si="18"/>
        <v>0</v>
      </c>
      <c r="AS11" s="99"/>
      <c r="AT11" s="98">
        <f t="shared" si="19"/>
        <v>1</v>
      </c>
    </row>
    <row r="12" spans="1:46" ht="18">
      <c r="A12" s="76"/>
      <c r="B12" s="77">
        <f t="shared" ca="1" si="0"/>
        <v>1</v>
      </c>
      <c r="C12" s="78">
        <f t="shared" ca="1" si="1"/>
        <v>1</v>
      </c>
      <c r="D12" s="78">
        <f t="shared" ca="1" si="2"/>
        <v>5</v>
      </c>
      <c r="E12" s="78" t="str">
        <f t="shared" ca="1" si="3"/>
        <v/>
      </c>
      <c r="F12" s="78" t="str">
        <f t="shared" ca="1" si="4"/>
        <v/>
      </c>
      <c r="G12" s="79" t="str">
        <f t="shared" ca="1" si="5"/>
        <v/>
      </c>
      <c r="H12" s="80" t="str">
        <f t="shared" ca="1" si="6"/>
        <v/>
      </c>
      <c r="I12" s="100"/>
      <c r="J12" s="111"/>
      <c r="K12" s="111" t="s">
        <v>65</v>
      </c>
      <c r="L12" s="111"/>
      <c r="M12" s="111"/>
      <c r="N12" s="111"/>
      <c r="O12" s="111"/>
      <c r="P12" s="111"/>
      <c r="Q12" s="112"/>
      <c r="R12" s="113" t="s">
        <v>60</v>
      </c>
      <c r="S12" s="114">
        <v>45868</v>
      </c>
      <c r="T12" s="115">
        <v>45874</v>
      </c>
      <c r="U12" s="114"/>
      <c r="V12" s="115"/>
      <c r="W12" s="116"/>
      <c r="X12" s="117"/>
      <c r="Y12" s="118"/>
      <c r="Z12" s="119"/>
      <c r="AA12" s="92"/>
      <c r="AB12" s="93"/>
      <c r="AC12" s="94"/>
      <c r="AD12" s="95"/>
      <c r="AE12" s="96"/>
      <c r="AF12" s="97"/>
      <c r="AG12" s="97">
        <f t="shared" ca="1" si="7"/>
        <v>0</v>
      </c>
      <c r="AH12" s="97">
        <f t="shared" ca="1" si="8"/>
        <v>0</v>
      </c>
      <c r="AI12" s="97">
        <f t="shared" si="9"/>
        <v>0</v>
      </c>
      <c r="AJ12" s="97">
        <f t="shared" ca="1" si="10"/>
        <v>0</v>
      </c>
      <c r="AK12" s="97" t="str">
        <f t="shared" ca="1" si="11"/>
        <v/>
      </c>
      <c r="AL12" s="98">
        <f t="shared" ca="1" si="12"/>
        <v>1</v>
      </c>
      <c r="AM12" s="98">
        <f t="shared" ca="1" si="13"/>
        <v>1</v>
      </c>
      <c r="AN12" s="98">
        <f t="shared" ca="1" si="14"/>
        <v>5</v>
      </c>
      <c r="AO12" s="98">
        <f t="shared" ca="1" si="15"/>
        <v>0</v>
      </c>
      <c r="AP12" s="98">
        <f t="shared" ca="1" si="16"/>
        <v>0</v>
      </c>
      <c r="AQ12" s="98">
        <f t="shared" ca="1" si="17"/>
        <v>0</v>
      </c>
      <c r="AR12" s="98">
        <f t="shared" ca="1" si="18"/>
        <v>0</v>
      </c>
      <c r="AS12" s="99"/>
      <c r="AT12" s="98">
        <f t="shared" si="19"/>
        <v>7</v>
      </c>
    </row>
    <row r="13" spans="1:46" ht="18">
      <c r="A13" s="76"/>
      <c r="B13" s="77">
        <f t="shared" ca="1" si="0"/>
        <v>1</v>
      </c>
      <c r="C13" s="78">
        <f t="shared" ca="1" si="1"/>
        <v>1</v>
      </c>
      <c r="D13" s="78">
        <f t="shared" ca="1" si="2"/>
        <v>6</v>
      </c>
      <c r="E13" s="78" t="str">
        <f t="shared" ca="1" si="3"/>
        <v/>
      </c>
      <c r="F13" s="78" t="str">
        <f t="shared" ca="1" si="4"/>
        <v/>
      </c>
      <c r="G13" s="79" t="str">
        <f t="shared" ca="1" si="5"/>
        <v/>
      </c>
      <c r="H13" s="80" t="str">
        <f t="shared" ca="1" si="6"/>
        <v/>
      </c>
      <c r="I13" s="100"/>
      <c r="J13" s="111"/>
      <c r="K13" s="111" t="s">
        <v>66</v>
      </c>
      <c r="L13" s="111"/>
      <c r="M13" s="111"/>
      <c r="N13" s="111"/>
      <c r="O13" s="111"/>
      <c r="P13" s="111"/>
      <c r="Q13" s="112"/>
      <c r="R13" s="113" t="s">
        <v>62</v>
      </c>
      <c r="S13" s="114">
        <v>45875</v>
      </c>
      <c r="T13" s="115">
        <v>45875</v>
      </c>
      <c r="U13" s="114"/>
      <c r="V13" s="115"/>
      <c r="W13" s="116"/>
      <c r="X13" s="117"/>
      <c r="Y13" s="118"/>
      <c r="Z13" s="119"/>
      <c r="AA13" s="92"/>
      <c r="AB13" s="93"/>
      <c r="AC13" s="94"/>
      <c r="AD13" s="95"/>
      <c r="AE13" s="96"/>
      <c r="AF13" s="97"/>
      <c r="AG13" s="97">
        <f t="shared" ca="1" si="7"/>
        <v>0</v>
      </c>
      <c r="AH13" s="97">
        <f t="shared" ca="1" si="8"/>
        <v>0</v>
      </c>
      <c r="AI13" s="97">
        <f t="shared" si="9"/>
        <v>0</v>
      </c>
      <c r="AJ13" s="97">
        <f t="shared" ca="1" si="10"/>
        <v>0</v>
      </c>
      <c r="AK13" s="97" t="str">
        <f t="shared" ca="1" si="11"/>
        <v/>
      </c>
      <c r="AL13" s="98">
        <f t="shared" ca="1" si="12"/>
        <v>1</v>
      </c>
      <c r="AM13" s="98">
        <f t="shared" ca="1" si="13"/>
        <v>1</v>
      </c>
      <c r="AN13" s="98">
        <f t="shared" ca="1" si="14"/>
        <v>6</v>
      </c>
      <c r="AO13" s="98">
        <f t="shared" ca="1" si="15"/>
        <v>0</v>
      </c>
      <c r="AP13" s="98">
        <f t="shared" ca="1" si="16"/>
        <v>0</v>
      </c>
      <c r="AQ13" s="98">
        <f t="shared" ca="1" si="17"/>
        <v>0</v>
      </c>
      <c r="AR13" s="98">
        <f t="shared" ca="1" si="18"/>
        <v>0</v>
      </c>
      <c r="AS13" s="99"/>
      <c r="AT13" s="98">
        <f t="shared" si="19"/>
        <v>1</v>
      </c>
    </row>
    <row r="14" spans="1:46" ht="18">
      <c r="A14" s="76"/>
      <c r="B14" s="77">
        <f t="shared" ca="1" si="0"/>
        <v>1</v>
      </c>
      <c r="C14" s="78">
        <f t="shared" ca="1" si="1"/>
        <v>2</v>
      </c>
      <c r="D14" s="78" t="str">
        <f t="shared" ca="1" si="2"/>
        <v/>
      </c>
      <c r="E14" s="78" t="str">
        <f t="shared" ca="1" si="3"/>
        <v/>
      </c>
      <c r="F14" s="78" t="str">
        <f t="shared" ca="1" si="4"/>
        <v/>
      </c>
      <c r="G14" s="79" t="str">
        <f t="shared" ca="1" si="5"/>
        <v/>
      </c>
      <c r="H14" s="80" t="str">
        <f t="shared" ca="1" si="6"/>
        <v/>
      </c>
      <c r="I14" s="100"/>
      <c r="J14" s="101" t="s">
        <v>67</v>
      </c>
      <c r="K14" s="102"/>
      <c r="L14" s="102"/>
      <c r="M14" s="102"/>
      <c r="N14" s="102"/>
      <c r="O14" s="102"/>
      <c r="P14" s="102"/>
      <c r="Q14" s="103" t="s">
        <v>58</v>
      </c>
      <c r="R14" s="104"/>
      <c r="S14" s="104"/>
      <c r="T14" s="105"/>
      <c r="U14" s="106"/>
      <c r="V14" s="105"/>
      <c r="W14" s="107"/>
      <c r="X14" s="108"/>
      <c r="Y14" s="109"/>
      <c r="Z14" s="110"/>
      <c r="AA14" s="92"/>
      <c r="AB14" s="93"/>
      <c r="AC14" s="94"/>
      <c r="AD14" s="95"/>
      <c r="AE14" s="96"/>
      <c r="AF14" s="97"/>
      <c r="AG14" s="97">
        <f t="shared" si="7"/>
        <v>0</v>
      </c>
      <c r="AH14" s="97">
        <f t="shared" si="8"/>
        <v>0</v>
      </c>
      <c r="AI14" s="97">
        <f t="shared" si="9"/>
        <v>0</v>
      </c>
      <c r="AJ14" s="97">
        <f t="shared" si="10"/>
        <v>0</v>
      </c>
      <c r="AK14" s="97" t="str">
        <f t="shared" si="11"/>
        <v/>
      </c>
      <c r="AL14" s="98">
        <f t="shared" ca="1" si="12"/>
        <v>1</v>
      </c>
      <c r="AM14" s="98">
        <f t="shared" ca="1" si="13"/>
        <v>2</v>
      </c>
      <c r="AN14" s="98">
        <f t="shared" ca="1" si="14"/>
        <v>0</v>
      </c>
      <c r="AO14" s="98">
        <f t="shared" ca="1" si="15"/>
        <v>0</v>
      </c>
      <c r="AP14" s="98">
        <f t="shared" ca="1" si="16"/>
        <v>0</v>
      </c>
      <c r="AQ14" s="98">
        <f t="shared" ca="1" si="17"/>
        <v>0</v>
      </c>
      <c r="AR14" s="98">
        <f t="shared" ca="1" si="18"/>
        <v>0</v>
      </c>
      <c r="AS14" s="99"/>
      <c r="AT14" s="98">
        <f t="shared" si="19"/>
        <v>1</v>
      </c>
    </row>
    <row r="15" spans="1:46" ht="18">
      <c r="A15" s="76"/>
      <c r="B15" s="77">
        <f t="shared" ca="1" si="0"/>
        <v>1</v>
      </c>
      <c r="C15" s="78">
        <f t="shared" ca="1" si="1"/>
        <v>2</v>
      </c>
      <c r="D15" s="78">
        <f t="shared" ca="1" si="2"/>
        <v>1</v>
      </c>
      <c r="E15" s="78" t="str">
        <f t="shared" ca="1" si="3"/>
        <v/>
      </c>
      <c r="F15" s="78" t="str">
        <f t="shared" ca="1" si="4"/>
        <v/>
      </c>
      <c r="G15" s="79" t="str">
        <f t="shared" ca="1" si="5"/>
        <v/>
      </c>
      <c r="H15" s="80" t="str">
        <f t="shared" ca="1" si="6"/>
        <v/>
      </c>
      <c r="I15" s="100"/>
      <c r="J15" s="111"/>
      <c r="K15" s="111" t="s">
        <v>59</v>
      </c>
      <c r="L15" s="111"/>
      <c r="M15" s="111"/>
      <c r="N15" s="111"/>
      <c r="O15" s="111"/>
      <c r="P15" s="111"/>
      <c r="Q15" s="112"/>
      <c r="R15" s="113" t="s">
        <v>62</v>
      </c>
      <c r="S15" s="114">
        <v>45839</v>
      </c>
      <c r="T15" s="115">
        <v>45860</v>
      </c>
      <c r="U15" s="114"/>
      <c r="V15" s="115"/>
      <c r="W15" s="116"/>
      <c r="X15" s="117"/>
      <c r="Y15" s="118"/>
      <c r="Z15" s="119"/>
      <c r="AA15" s="92"/>
      <c r="AB15" s="93"/>
      <c r="AC15" s="94"/>
      <c r="AD15" s="95"/>
      <c r="AE15" s="96"/>
      <c r="AF15" s="97"/>
      <c r="AG15" s="97">
        <f t="shared" ca="1" si="7"/>
        <v>0</v>
      </c>
      <c r="AH15" s="97">
        <f t="shared" ca="1" si="8"/>
        <v>0</v>
      </c>
      <c r="AI15" s="97">
        <f t="shared" si="9"/>
        <v>0</v>
      </c>
      <c r="AJ15" s="97">
        <f t="shared" ca="1" si="10"/>
        <v>0</v>
      </c>
      <c r="AK15" s="97" t="str">
        <f t="shared" ca="1" si="11"/>
        <v/>
      </c>
      <c r="AL15" s="98">
        <f t="shared" ca="1" si="12"/>
        <v>1</v>
      </c>
      <c r="AM15" s="98">
        <f t="shared" ca="1" si="13"/>
        <v>2</v>
      </c>
      <c r="AN15" s="98">
        <f t="shared" ca="1" si="14"/>
        <v>1</v>
      </c>
      <c r="AO15" s="98">
        <f t="shared" ca="1" si="15"/>
        <v>0</v>
      </c>
      <c r="AP15" s="98">
        <f t="shared" ca="1" si="16"/>
        <v>0</v>
      </c>
      <c r="AQ15" s="98">
        <f t="shared" ca="1" si="17"/>
        <v>0</v>
      </c>
      <c r="AR15" s="98">
        <f t="shared" ca="1" si="18"/>
        <v>0</v>
      </c>
      <c r="AS15" s="99"/>
      <c r="AT15" s="98">
        <f t="shared" si="19"/>
        <v>22</v>
      </c>
    </row>
    <row r="16" spans="1:46" ht="18">
      <c r="A16" s="76"/>
      <c r="B16" s="77">
        <f t="shared" ca="1" si="0"/>
        <v>1</v>
      </c>
      <c r="C16" s="78">
        <f t="shared" ca="1" si="1"/>
        <v>2</v>
      </c>
      <c r="D16" s="78">
        <f t="shared" ca="1" si="2"/>
        <v>2</v>
      </c>
      <c r="E16" s="78" t="str">
        <f t="shared" ca="1" si="3"/>
        <v/>
      </c>
      <c r="F16" s="78" t="str">
        <f t="shared" ca="1" si="4"/>
        <v/>
      </c>
      <c r="G16" s="79" t="str">
        <f t="shared" ca="1" si="5"/>
        <v/>
      </c>
      <c r="H16" s="80" t="str">
        <f t="shared" ca="1" si="6"/>
        <v/>
      </c>
      <c r="I16" s="100"/>
      <c r="J16" s="111"/>
      <c r="K16" s="111" t="s">
        <v>61</v>
      </c>
      <c r="L16" s="111"/>
      <c r="M16" s="111"/>
      <c r="N16" s="111"/>
      <c r="O16" s="111"/>
      <c r="P16" s="111"/>
      <c r="Q16" s="112"/>
      <c r="R16" s="113" t="s">
        <v>60</v>
      </c>
      <c r="S16" s="114">
        <v>45861</v>
      </c>
      <c r="T16" s="115">
        <v>45861</v>
      </c>
      <c r="U16" s="114"/>
      <c r="V16" s="115"/>
      <c r="W16" s="116"/>
      <c r="X16" s="117"/>
      <c r="Y16" s="118"/>
      <c r="Z16" s="119"/>
      <c r="AA16" s="92"/>
      <c r="AB16" s="93"/>
      <c r="AC16" s="94"/>
      <c r="AD16" s="95"/>
      <c r="AE16" s="96"/>
      <c r="AF16" s="97"/>
      <c r="AG16" s="97">
        <f t="shared" ca="1" si="7"/>
        <v>0</v>
      </c>
      <c r="AH16" s="97">
        <f t="shared" ca="1" si="8"/>
        <v>0</v>
      </c>
      <c r="AI16" s="97">
        <f t="shared" si="9"/>
        <v>0</v>
      </c>
      <c r="AJ16" s="97">
        <f t="shared" ca="1" si="10"/>
        <v>0</v>
      </c>
      <c r="AK16" s="97" t="str">
        <f t="shared" ca="1" si="11"/>
        <v/>
      </c>
      <c r="AL16" s="98">
        <f t="shared" ca="1" si="12"/>
        <v>1</v>
      </c>
      <c r="AM16" s="98">
        <f t="shared" ca="1" si="13"/>
        <v>2</v>
      </c>
      <c r="AN16" s="98">
        <f t="shared" ca="1" si="14"/>
        <v>2</v>
      </c>
      <c r="AO16" s="98">
        <f t="shared" ca="1" si="15"/>
        <v>0</v>
      </c>
      <c r="AP16" s="98">
        <f t="shared" ca="1" si="16"/>
        <v>0</v>
      </c>
      <c r="AQ16" s="98">
        <f t="shared" ca="1" si="17"/>
        <v>0</v>
      </c>
      <c r="AR16" s="98">
        <f t="shared" ca="1" si="18"/>
        <v>0</v>
      </c>
      <c r="AS16" s="99"/>
      <c r="AT16" s="98">
        <f t="shared" si="19"/>
        <v>1</v>
      </c>
    </row>
    <row r="17" spans="1:46" ht="18">
      <c r="A17" s="76"/>
      <c r="B17" s="77">
        <f t="shared" ca="1" si="0"/>
        <v>1</v>
      </c>
      <c r="C17" s="78">
        <f t="shared" ca="1" si="1"/>
        <v>2</v>
      </c>
      <c r="D17" s="78">
        <f t="shared" ca="1" si="2"/>
        <v>3</v>
      </c>
      <c r="E17" s="78" t="str">
        <f t="shared" ca="1" si="3"/>
        <v/>
      </c>
      <c r="F17" s="78" t="str">
        <f t="shared" ca="1" si="4"/>
        <v/>
      </c>
      <c r="G17" s="79" t="str">
        <f t="shared" ca="1" si="5"/>
        <v/>
      </c>
      <c r="H17" s="80" t="str">
        <f t="shared" ca="1" si="6"/>
        <v/>
      </c>
      <c r="I17" s="100"/>
      <c r="J17" s="111"/>
      <c r="K17" s="111" t="s">
        <v>63</v>
      </c>
      <c r="L17" s="111"/>
      <c r="M17" s="111"/>
      <c r="N17" s="111"/>
      <c r="O17" s="111"/>
      <c r="P17" s="111"/>
      <c r="Q17" s="112"/>
      <c r="R17" s="113" t="s">
        <v>62</v>
      </c>
      <c r="S17" s="114">
        <v>45862</v>
      </c>
      <c r="T17" s="115">
        <v>45866</v>
      </c>
      <c r="U17" s="114"/>
      <c r="V17" s="115"/>
      <c r="W17" s="116"/>
      <c r="X17" s="117"/>
      <c r="Y17" s="118"/>
      <c r="Z17" s="119"/>
      <c r="AA17" s="92"/>
      <c r="AB17" s="93"/>
      <c r="AC17" s="94"/>
      <c r="AD17" s="95"/>
      <c r="AE17" s="96"/>
      <c r="AF17" s="97"/>
      <c r="AG17" s="97">
        <f t="shared" ca="1" si="7"/>
        <v>0</v>
      </c>
      <c r="AH17" s="97">
        <f t="shared" ca="1" si="8"/>
        <v>0</v>
      </c>
      <c r="AI17" s="97">
        <f t="shared" si="9"/>
        <v>0</v>
      </c>
      <c r="AJ17" s="97">
        <f t="shared" ca="1" si="10"/>
        <v>0</v>
      </c>
      <c r="AK17" s="97" t="str">
        <f t="shared" ca="1" si="11"/>
        <v/>
      </c>
      <c r="AL17" s="98">
        <f t="shared" ca="1" si="12"/>
        <v>1</v>
      </c>
      <c r="AM17" s="98">
        <f t="shared" ca="1" si="13"/>
        <v>2</v>
      </c>
      <c r="AN17" s="98">
        <f t="shared" ca="1" si="14"/>
        <v>3</v>
      </c>
      <c r="AO17" s="98">
        <f t="shared" ca="1" si="15"/>
        <v>0</v>
      </c>
      <c r="AP17" s="98">
        <f t="shared" ca="1" si="16"/>
        <v>0</v>
      </c>
      <c r="AQ17" s="98">
        <f t="shared" ca="1" si="17"/>
        <v>0</v>
      </c>
      <c r="AR17" s="98">
        <f t="shared" ca="1" si="18"/>
        <v>0</v>
      </c>
      <c r="AS17" s="99"/>
      <c r="AT17" s="98">
        <f t="shared" si="19"/>
        <v>5</v>
      </c>
    </row>
    <row r="18" spans="1:46" ht="18">
      <c r="A18" s="76"/>
      <c r="B18" s="77">
        <f t="shared" ca="1" si="0"/>
        <v>1</v>
      </c>
      <c r="C18" s="78">
        <f t="shared" ca="1" si="1"/>
        <v>2</v>
      </c>
      <c r="D18" s="78">
        <f t="shared" ca="1" si="2"/>
        <v>4</v>
      </c>
      <c r="E18" s="78" t="str">
        <f t="shared" ca="1" si="3"/>
        <v/>
      </c>
      <c r="F18" s="78" t="str">
        <f t="shared" ca="1" si="4"/>
        <v/>
      </c>
      <c r="G18" s="79" t="str">
        <f t="shared" ca="1" si="5"/>
        <v/>
      </c>
      <c r="H18" s="80" t="str">
        <f t="shared" ca="1" si="6"/>
        <v/>
      </c>
      <c r="I18" s="100"/>
      <c r="J18" s="111"/>
      <c r="K18" s="111" t="s">
        <v>64</v>
      </c>
      <c r="L18" s="111"/>
      <c r="M18" s="111"/>
      <c r="N18" s="111"/>
      <c r="O18" s="111"/>
      <c r="P18" s="111"/>
      <c r="Q18" s="112"/>
      <c r="R18" s="113" t="s">
        <v>60</v>
      </c>
      <c r="S18" s="114">
        <v>45867</v>
      </c>
      <c r="T18" s="115">
        <v>45867</v>
      </c>
      <c r="U18" s="114"/>
      <c r="V18" s="115"/>
      <c r="W18" s="116"/>
      <c r="X18" s="117"/>
      <c r="Y18" s="118"/>
      <c r="Z18" s="119"/>
      <c r="AA18" s="92"/>
      <c r="AB18" s="93"/>
      <c r="AC18" s="94"/>
      <c r="AD18" s="95"/>
      <c r="AE18" s="96"/>
      <c r="AF18" s="97"/>
      <c r="AG18" s="97">
        <f t="shared" ca="1" si="7"/>
        <v>0</v>
      </c>
      <c r="AH18" s="97">
        <f t="shared" ca="1" si="8"/>
        <v>0</v>
      </c>
      <c r="AI18" s="97">
        <f t="shared" si="9"/>
        <v>0</v>
      </c>
      <c r="AJ18" s="97">
        <f t="shared" ca="1" si="10"/>
        <v>0</v>
      </c>
      <c r="AK18" s="97" t="str">
        <f t="shared" ca="1" si="11"/>
        <v/>
      </c>
      <c r="AL18" s="98">
        <f t="shared" ca="1" si="12"/>
        <v>1</v>
      </c>
      <c r="AM18" s="98">
        <f t="shared" ca="1" si="13"/>
        <v>2</v>
      </c>
      <c r="AN18" s="98">
        <f t="shared" ca="1" si="14"/>
        <v>4</v>
      </c>
      <c r="AO18" s="98">
        <f t="shared" ca="1" si="15"/>
        <v>0</v>
      </c>
      <c r="AP18" s="98">
        <f t="shared" ca="1" si="16"/>
        <v>0</v>
      </c>
      <c r="AQ18" s="98">
        <f t="shared" ca="1" si="17"/>
        <v>0</v>
      </c>
      <c r="AR18" s="98">
        <f t="shared" ca="1" si="18"/>
        <v>0</v>
      </c>
      <c r="AS18" s="99"/>
      <c r="AT18" s="98">
        <f t="shared" si="19"/>
        <v>1</v>
      </c>
    </row>
    <row r="19" spans="1:46" ht="18">
      <c r="A19" s="76"/>
      <c r="B19" s="77">
        <f t="shared" ca="1" si="0"/>
        <v>1</v>
      </c>
      <c r="C19" s="78">
        <f t="shared" ca="1" si="1"/>
        <v>2</v>
      </c>
      <c r="D19" s="78">
        <f t="shared" ca="1" si="2"/>
        <v>5</v>
      </c>
      <c r="E19" s="78" t="str">
        <f t="shared" ca="1" si="3"/>
        <v/>
      </c>
      <c r="F19" s="78" t="str">
        <f t="shared" ca="1" si="4"/>
        <v/>
      </c>
      <c r="G19" s="79" t="str">
        <f t="shared" ca="1" si="5"/>
        <v/>
      </c>
      <c r="H19" s="80" t="str">
        <f t="shared" ca="1" si="6"/>
        <v/>
      </c>
      <c r="I19" s="100"/>
      <c r="J19" s="111"/>
      <c r="K19" s="111" t="s">
        <v>65</v>
      </c>
      <c r="L19" s="111"/>
      <c r="M19" s="111"/>
      <c r="N19" s="111"/>
      <c r="O19" s="111"/>
      <c r="P19" s="111"/>
      <c r="Q19" s="112"/>
      <c r="R19" s="113" t="s">
        <v>62</v>
      </c>
      <c r="S19" s="114">
        <v>45868</v>
      </c>
      <c r="T19" s="115">
        <v>45874</v>
      </c>
      <c r="U19" s="114"/>
      <c r="V19" s="115"/>
      <c r="W19" s="116"/>
      <c r="X19" s="117"/>
      <c r="Y19" s="118"/>
      <c r="Z19" s="119"/>
      <c r="AA19" s="92"/>
      <c r="AB19" s="93"/>
      <c r="AC19" s="94"/>
      <c r="AD19" s="95"/>
      <c r="AE19" s="96"/>
      <c r="AF19" s="97"/>
      <c r="AG19" s="97">
        <f t="shared" ca="1" si="7"/>
        <v>0</v>
      </c>
      <c r="AH19" s="97">
        <f t="shared" ca="1" si="8"/>
        <v>0</v>
      </c>
      <c r="AI19" s="97">
        <f t="shared" si="9"/>
        <v>0</v>
      </c>
      <c r="AJ19" s="97">
        <f t="shared" ca="1" si="10"/>
        <v>0</v>
      </c>
      <c r="AK19" s="97" t="str">
        <f t="shared" ca="1" si="11"/>
        <v/>
      </c>
      <c r="AL19" s="98">
        <f t="shared" ca="1" si="12"/>
        <v>1</v>
      </c>
      <c r="AM19" s="98">
        <f t="shared" ca="1" si="13"/>
        <v>2</v>
      </c>
      <c r="AN19" s="98">
        <f t="shared" ca="1" si="14"/>
        <v>5</v>
      </c>
      <c r="AO19" s="98">
        <f t="shared" ca="1" si="15"/>
        <v>0</v>
      </c>
      <c r="AP19" s="98">
        <f t="shared" ca="1" si="16"/>
        <v>0</v>
      </c>
      <c r="AQ19" s="98">
        <f t="shared" ca="1" si="17"/>
        <v>0</v>
      </c>
      <c r="AR19" s="98">
        <f t="shared" ca="1" si="18"/>
        <v>0</v>
      </c>
      <c r="AS19" s="99"/>
      <c r="AT19" s="98">
        <f t="shared" si="19"/>
        <v>7</v>
      </c>
    </row>
    <row r="20" spans="1:46" ht="18">
      <c r="A20" s="76"/>
      <c r="B20" s="77">
        <f t="shared" ca="1" si="0"/>
        <v>1</v>
      </c>
      <c r="C20" s="78">
        <f t="shared" ca="1" si="1"/>
        <v>2</v>
      </c>
      <c r="D20" s="78">
        <f t="shared" ca="1" si="2"/>
        <v>6</v>
      </c>
      <c r="E20" s="78" t="str">
        <f t="shared" ca="1" si="3"/>
        <v/>
      </c>
      <c r="F20" s="78" t="str">
        <f t="shared" ca="1" si="4"/>
        <v/>
      </c>
      <c r="G20" s="79" t="str">
        <f t="shared" ca="1" si="5"/>
        <v/>
      </c>
      <c r="H20" s="80" t="str">
        <f t="shared" ca="1" si="6"/>
        <v/>
      </c>
      <c r="I20" s="100"/>
      <c r="J20" s="111"/>
      <c r="K20" s="111" t="s">
        <v>66</v>
      </c>
      <c r="L20" s="111"/>
      <c r="M20" s="111"/>
      <c r="N20" s="111"/>
      <c r="O20" s="111"/>
      <c r="P20" s="111"/>
      <c r="Q20" s="112"/>
      <c r="R20" s="113" t="s">
        <v>60</v>
      </c>
      <c r="S20" s="114">
        <v>45875</v>
      </c>
      <c r="T20" s="115">
        <v>45875</v>
      </c>
      <c r="U20" s="114"/>
      <c r="V20" s="115"/>
      <c r="W20" s="116"/>
      <c r="X20" s="117"/>
      <c r="Y20" s="118"/>
      <c r="Z20" s="119"/>
      <c r="AA20" s="92"/>
      <c r="AB20" s="93"/>
      <c r="AC20" s="94"/>
      <c r="AD20" s="95"/>
      <c r="AE20" s="96"/>
      <c r="AF20" s="97"/>
      <c r="AG20" s="97">
        <f t="shared" ca="1" si="7"/>
        <v>0</v>
      </c>
      <c r="AH20" s="97">
        <f t="shared" ca="1" si="8"/>
        <v>0</v>
      </c>
      <c r="AI20" s="97">
        <f t="shared" si="9"/>
        <v>0</v>
      </c>
      <c r="AJ20" s="97">
        <f t="shared" ca="1" si="10"/>
        <v>0</v>
      </c>
      <c r="AK20" s="97" t="str">
        <f t="shared" ca="1" si="11"/>
        <v/>
      </c>
      <c r="AL20" s="98">
        <f t="shared" ca="1" si="12"/>
        <v>1</v>
      </c>
      <c r="AM20" s="98">
        <f t="shared" ca="1" si="13"/>
        <v>2</v>
      </c>
      <c r="AN20" s="98">
        <f t="shared" ca="1" si="14"/>
        <v>6</v>
      </c>
      <c r="AO20" s="98">
        <f t="shared" ca="1" si="15"/>
        <v>0</v>
      </c>
      <c r="AP20" s="98">
        <f t="shared" ca="1" si="16"/>
        <v>0</v>
      </c>
      <c r="AQ20" s="98">
        <f t="shared" ca="1" si="17"/>
        <v>0</v>
      </c>
      <c r="AR20" s="98">
        <f t="shared" ca="1" si="18"/>
        <v>0</v>
      </c>
      <c r="AS20" s="99"/>
      <c r="AT20" s="98">
        <f t="shared" si="19"/>
        <v>1</v>
      </c>
    </row>
    <row r="21" spans="1:46" ht="15.75" customHeight="1">
      <c r="A21" s="76"/>
      <c r="B21" s="77">
        <f t="shared" ca="1" si="0"/>
        <v>1</v>
      </c>
      <c r="C21" s="78">
        <f t="shared" ca="1" si="1"/>
        <v>3</v>
      </c>
      <c r="D21" s="78" t="str">
        <f t="shared" ca="1" si="2"/>
        <v/>
      </c>
      <c r="E21" s="78" t="str">
        <f t="shared" ca="1" si="3"/>
        <v/>
      </c>
      <c r="F21" s="78" t="str">
        <f t="shared" ca="1" si="4"/>
        <v/>
      </c>
      <c r="G21" s="79" t="str">
        <f t="shared" ca="1" si="5"/>
        <v/>
      </c>
      <c r="H21" s="80" t="str">
        <f t="shared" ca="1" si="6"/>
        <v/>
      </c>
      <c r="I21" s="100"/>
      <c r="J21" s="101" t="s">
        <v>68</v>
      </c>
      <c r="K21" s="102"/>
      <c r="L21" s="102"/>
      <c r="M21" s="102"/>
      <c r="N21" s="102"/>
      <c r="O21" s="102"/>
      <c r="P21" s="102"/>
      <c r="Q21" s="103" t="s">
        <v>58</v>
      </c>
      <c r="R21" s="104"/>
      <c r="S21" s="104"/>
      <c r="T21" s="105"/>
      <c r="U21" s="106"/>
      <c r="V21" s="105"/>
      <c r="W21" s="107"/>
      <c r="X21" s="108"/>
      <c r="Y21" s="109"/>
      <c r="Z21" s="110"/>
      <c r="AA21" s="92"/>
      <c r="AB21" s="93"/>
      <c r="AC21" s="94"/>
      <c r="AD21" s="95"/>
      <c r="AE21" s="96"/>
      <c r="AF21" s="97"/>
      <c r="AG21" s="97">
        <f t="shared" si="7"/>
        <v>0</v>
      </c>
      <c r="AH21" s="97">
        <f t="shared" si="8"/>
        <v>0</v>
      </c>
      <c r="AI21" s="97">
        <f t="shared" si="9"/>
        <v>0</v>
      </c>
      <c r="AJ21" s="97">
        <f t="shared" si="10"/>
        <v>0</v>
      </c>
      <c r="AK21" s="97" t="str">
        <f t="shared" si="11"/>
        <v/>
      </c>
      <c r="AL21" s="98">
        <f t="shared" ca="1" si="12"/>
        <v>1</v>
      </c>
      <c r="AM21" s="98">
        <f t="shared" ca="1" si="13"/>
        <v>3</v>
      </c>
      <c r="AN21" s="98">
        <f t="shared" ca="1" si="14"/>
        <v>0</v>
      </c>
      <c r="AO21" s="98">
        <f t="shared" ca="1" si="15"/>
        <v>0</v>
      </c>
      <c r="AP21" s="98">
        <f t="shared" ca="1" si="16"/>
        <v>0</v>
      </c>
      <c r="AQ21" s="98">
        <f t="shared" ca="1" si="17"/>
        <v>0</v>
      </c>
      <c r="AR21" s="98">
        <f t="shared" ca="1" si="18"/>
        <v>0</v>
      </c>
      <c r="AS21" s="99"/>
      <c r="AT21" s="98">
        <f t="shared" si="19"/>
        <v>1</v>
      </c>
    </row>
    <row r="22" spans="1:46" ht="15.75" customHeight="1">
      <c r="A22" s="76"/>
      <c r="B22" s="77">
        <f t="shared" ca="1" si="0"/>
        <v>1</v>
      </c>
      <c r="C22" s="78">
        <f t="shared" ca="1" si="1"/>
        <v>3</v>
      </c>
      <c r="D22" s="78">
        <f t="shared" ca="1" si="2"/>
        <v>1</v>
      </c>
      <c r="E22" s="78" t="str">
        <f t="shared" ca="1" si="3"/>
        <v/>
      </c>
      <c r="F22" s="78" t="str">
        <f t="shared" ca="1" si="4"/>
        <v/>
      </c>
      <c r="G22" s="79" t="str">
        <f t="shared" ca="1" si="5"/>
        <v/>
      </c>
      <c r="H22" s="80" t="str">
        <f t="shared" ca="1" si="6"/>
        <v/>
      </c>
      <c r="I22" s="100"/>
      <c r="J22" s="111"/>
      <c r="K22" s="111" t="s">
        <v>59</v>
      </c>
      <c r="L22" s="111"/>
      <c r="M22" s="111"/>
      <c r="N22" s="111"/>
      <c r="O22" s="111"/>
      <c r="P22" s="111"/>
      <c r="Q22" s="112"/>
      <c r="R22" s="113" t="s">
        <v>69</v>
      </c>
      <c r="S22" s="114">
        <v>45839</v>
      </c>
      <c r="T22" s="115">
        <v>45860</v>
      </c>
      <c r="U22" s="114"/>
      <c r="V22" s="115"/>
      <c r="W22" s="116"/>
      <c r="X22" s="117"/>
      <c r="Y22" s="118"/>
      <c r="Z22" s="119"/>
      <c r="AA22" s="92"/>
      <c r="AB22" s="93"/>
      <c r="AC22" s="94"/>
      <c r="AD22" s="95"/>
      <c r="AE22" s="96"/>
      <c r="AF22" s="97"/>
      <c r="AG22" s="97">
        <f t="shared" ca="1" si="7"/>
        <v>0</v>
      </c>
      <c r="AH22" s="97">
        <f t="shared" ca="1" si="8"/>
        <v>0</v>
      </c>
      <c r="AI22" s="97">
        <f t="shared" si="9"/>
        <v>0</v>
      </c>
      <c r="AJ22" s="97">
        <f t="shared" ca="1" si="10"/>
        <v>0</v>
      </c>
      <c r="AK22" s="97" t="str">
        <f t="shared" ca="1" si="11"/>
        <v/>
      </c>
      <c r="AL22" s="98">
        <f t="shared" ca="1" si="12"/>
        <v>1</v>
      </c>
      <c r="AM22" s="98">
        <f t="shared" ca="1" si="13"/>
        <v>3</v>
      </c>
      <c r="AN22" s="98">
        <f t="shared" ca="1" si="14"/>
        <v>1</v>
      </c>
      <c r="AO22" s="98">
        <f t="shared" ca="1" si="15"/>
        <v>0</v>
      </c>
      <c r="AP22" s="98">
        <f t="shared" ca="1" si="16"/>
        <v>0</v>
      </c>
      <c r="AQ22" s="98">
        <f t="shared" ca="1" si="17"/>
        <v>0</v>
      </c>
      <c r="AR22" s="98">
        <f t="shared" ca="1" si="18"/>
        <v>0</v>
      </c>
      <c r="AS22" s="99"/>
      <c r="AT22" s="98">
        <f t="shared" si="19"/>
        <v>22</v>
      </c>
    </row>
    <row r="23" spans="1:46" ht="15.75" customHeight="1">
      <c r="A23" s="76"/>
      <c r="B23" s="77">
        <f t="shared" ca="1" si="0"/>
        <v>1</v>
      </c>
      <c r="C23" s="78">
        <f t="shared" ca="1" si="1"/>
        <v>3</v>
      </c>
      <c r="D23" s="78">
        <f t="shared" ca="1" si="2"/>
        <v>2</v>
      </c>
      <c r="E23" s="78" t="str">
        <f t="shared" ca="1" si="3"/>
        <v/>
      </c>
      <c r="F23" s="78" t="str">
        <f t="shared" ca="1" si="4"/>
        <v/>
      </c>
      <c r="G23" s="79" t="str">
        <f t="shared" ca="1" si="5"/>
        <v/>
      </c>
      <c r="H23" s="80" t="str">
        <f t="shared" ca="1" si="6"/>
        <v/>
      </c>
      <c r="I23" s="100"/>
      <c r="J23" s="111"/>
      <c r="K23" s="111" t="s">
        <v>61</v>
      </c>
      <c r="L23" s="111"/>
      <c r="M23" s="111"/>
      <c r="N23" s="111"/>
      <c r="O23" s="111"/>
      <c r="P23" s="111"/>
      <c r="Q23" s="112"/>
      <c r="R23" s="113" t="s">
        <v>70</v>
      </c>
      <c r="S23" s="114">
        <v>45861</v>
      </c>
      <c r="T23" s="115">
        <v>45861</v>
      </c>
      <c r="U23" s="114"/>
      <c r="V23" s="115"/>
      <c r="W23" s="116"/>
      <c r="X23" s="117"/>
      <c r="Y23" s="118"/>
      <c r="Z23" s="119"/>
      <c r="AA23" s="92"/>
      <c r="AB23" s="93"/>
      <c r="AC23" s="94"/>
      <c r="AD23" s="95"/>
      <c r="AE23" s="96"/>
      <c r="AF23" s="97"/>
      <c r="AG23" s="97">
        <f t="shared" ca="1" si="7"/>
        <v>0</v>
      </c>
      <c r="AH23" s="97">
        <f t="shared" ca="1" si="8"/>
        <v>0</v>
      </c>
      <c r="AI23" s="97">
        <f t="shared" si="9"/>
        <v>0</v>
      </c>
      <c r="AJ23" s="97">
        <f t="shared" ca="1" si="10"/>
        <v>0</v>
      </c>
      <c r="AK23" s="97" t="str">
        <f t="shared" ca="1" si="11"/>
        <v/>
      </c>
      <c r="AL23" s="98">
        <f t="shared" ca="1" si="12"/>
        <v>1</v>
      </c>
      <c r="AM23" s="98">
        <f t="shared" ca="1" si="13"/>
        <v>3</v>
      </c>
      <c r="AN23" s="98">
        <f t="shared" ca="1" si="14"/>
        <v>2</v>
      </c>
      <c r="AO23" s="98">
        <f t="shared" ca="1" si="15"/>
        <v>0</v>
      </c>
      <c r="AP23" s="98">
        <f t="shared" ca="1" si="16"/>
        <v>0</v>
      </c>
      <c r="AQ23" s="98">
        <f t="shared" ca="1" si="17"/>
        <v>0</v>
      </c>
      <c r="AR23" s="98">
        <f t="shared" ca="1" si="18"/>
        <v>0</v>
      </c>
      <c r="AS23" s="99"/>
      <c r="AT23" s="98">
        <f t="shared" si="19"/>
        <v>1</v>
      </c>
    </row>
    <row r="24" spans="1:46" ht="15.75" customHeight="1">
      <c r="A24" s="76"/>
      <c r="B24" s="77">
        <f t="shared" ca="1" si="0"/>
        <v>1</v>
      </c>
      <c r="C24" s="78">
        <f t="shared" ca="1" si="1"/>
        <v>3</v>
      </c>
      <c r="D24" s="78">
        <f t="shared" ca="1" si="2"/>
        <v>3</v>
      </c>
      <c r="E24" s="78" t="str">
        <f t="shared" ca="1" si="3"/>
        <v/>
      </c>
      <c r="F24" s="78" t="str">
        <f t="shared" ca="1" si="4"/>
        <v/>
      </c>
      <c r="G24" s="79" t="str">
        <f t="shared" ca="1" si="5"/>
        <v/>
      </c>
      <c r="H24" s="80" t="str">
        <f t="shared" ca="1" si="6"/>
        <v/>
      </c>
      <c r="I24" s="100"/>
      <c r="J24" s="111"/>
      <c r="K24" s="111" t="s">
        <v>63</v>
      </c>
      <c r="L24" s="111"/>
      <c r="M24" s="111"/>
      <c r="N24" s="111"/>
      <c r="O24" s="111"/>
      <c r="P24" s="111"/>
      <c r="Q24" s="112"/>
      <c r="R24" s="113" t="s">
        <v>69</v>
      </c>
      <c r="S24" s="114">
        <v>45862</v>
      </c>
      <c r="T24" s="115">
        <v>45866</v>
      </c>
      <c r="U24" s="114"/>
      <c r="V24" s="115"/>
      <c r="W24" s="116"/>
      <c r="X24" s="117"/>
      <c r="Y24" s="118"/>
      <c r="Z24" s="119"/>
      <c r="AA24" s="92"/>
      <c r="AB24" s="93"/>
      <c r="AC24" s="94"/>
      <c r="AD24" s="95"/>
      <c r="AE24" s="96"/>
      <c r="AF24" s="97"/>
      <c r="AG24" s="97">
        <f t="shared" ca="1" si="7"/>
        <v>0</v>
      </c>
      <c r="AH24" s="97">
        <f t="shared" ca="1" si="8"/>
        <v>0</v>
      </c>
      <c r="AI24" s="97">
        <f t="shared" si="9"/>
        <v>0</v>
      </c>
      <c r="AJ24" s="97">
        <f t="shared" ca="1" si="10"/>
        <v>0</v>
      </c>
      <c r="AK24" s="97" t="str">
        <f t="shared" ca="1" si="11"/>
        <v/>
      </c>
      <c r="AL24" s="98">
        <f t="shared" ca="1" si="12"/>
        <v>1</v>
      </c>
      <c r="AM24" s="98">
        <f t="shared" ca="1" si="13"/>
        <v>3</v>
      </c>
      <c r="AN24" s="98">
        <f t="shared" ca="1" si="14"/>
        <v>3</v>
      </c>
      <c r="AO24" s="98">
        <f t="shared" ca="1" si="15"/>
        <v>0</v>
      </c>
      <c r="AP24" s="98">
        <f t="shared" ca="1" si="16"/>
        <v>0</v>
      </c>
      <c r="AQ24" s="98">
        <f t="shared" ca="1" si="17"/>
        <v>0</v>
      </c>
      <c r="AR24" s="98">
        <f t="shared" ca="1" si="18"/>
        <v>0</v>
      </c>
      <c r="AS24" s="99"/>
      <c r="AT24" s="98">
        <f t="shared" si="19"/>
        <v>5</v>
      </c>
    </row>
    <row r="25" spans="1:46" ht="15.75" customHeight="1">
      <c r="A25" s="76"/>
      <c r="B25" s="77">
        <f t="shared" ca="1" si="0"/>
        <v>1</v>
      </c>
      <c r="C25" s="78">
        <f t="shared" ca="1" si="1"/>
        <v>3</v>
      </c>
      <c r="D25" s="78">
        <f t="shared" ca="1" si="2"/>
        <v>4</v>
      </c>
      <c r="E25" s="78" t="str">
        <f t="shared" ca="1" si="3"/>
        <v/>
      </c>
      <c r="F25" s="78" t="str">
        <f t="shared" ca="1" si="4"/>
        <v/>
      </c>
      <c r="G25" s="79" t="str">
        <f t="shared" ca="1" si="5"/>
        <v/>
      </c>
      <c r="H25" s="80" t="str">
        <f t="shared" ca="1" si="6"/>
        <v/>
      </c>
      <c r="I25" s="100"/>
      <c r="J25" s="111"/>
      <c r="K25" s="111" t="s">
        <v>64</v>
      </c>
      <c r="L25" s="111"/>
      <c r="M25" s="111"/>
      <c r="N25" s="111"/>
      <c r="O25" s="111"/>
      <c r="P25" s="111"/>
      <c r="Q25" s="112"/>
      <c r="R25" s="113" t="s">
        <v>70</v>
      </c>
      <c r="S25" s="114">
        <v>45867</v>
      </c>
      <c r="T25" s="115">
        <v>45867</v>
      </c>
      <c r="U25" s="114"/>
      <c r="V25" s="115"/>
      <c r="W25" s="116"/>
      <c r="X25" s="117"/>
      <c r="Y25" s="118"/>
      <c r="Z25" s="119"/>
      <c r="AA25" s="92"/>
      <c r="AB25" s="93"/>
      <c r="AC25" s="94"/>
      <c r="AD25" s="95"/>
      <c r="AE25" s="96"/>
      <c r="AF25" s="97"/>
      <c r="AG25" s="97">
        <f t="shared" ca="1" si="7"/>
        <v>0</v>
      </c>
      <c r="AH25" s="97">
        <f t="shared" ca="1" si="8"/>
        <v>0</v>
      </c>
      <c r="AI25" s="97">
        <f t="shared" si="9"/>
        <v>0</v>
      </c>
      <c r="AJ25" s="97">
        <f t="shared" ca="1" si="10"/>
        <v>0</v>
      </c>
      <c r="AK25" s="97" t="str">
        <f t="shared" ca="1" si="11"/>
        <v/>
      </c>
      <c r="AL25" s="98">
        <f t="shared" ca="1" si="12"/>
        <v>1</v>
      </c>
      <c r="AM25" s="98">
        <f t="shared" ca="1" si="13"/>
        <v>3</v>
      </c>
      <c r="AN25" s="98">
        <f t="shared" ca="1" si="14"/>
        <v>4</v>
      </c>
      <c r="AO25" s="98">
        <f t="shared" ca="1" si="15"/>
        <v>0</v>
      </c>
      <c r="AP25" s="98">
        <f t="shared" ca="1" si="16"/>
        <v>0</v>
      </c>
      <c r="AQ25" s="98">
        <f t="shared" ca="1" si="17"/>
        <v>0</v>
      </c>
      <c r="AR25" s="98">
        <f t="shared" ca="1" si="18"/>
        <v>0</v>
      </c>
      <c r="AS25" s="99"/>
      <c r="AT25" s="98">
        <f t="shared" si="19"/>
        <v>1</v>
      </c>
    </row>
    <row r="26" spans="1:46" ht="15.75" customHeight="1">
      <c r="A26" s="76"/>
      <c r="B26" s="77">
        <f t="shared" ca="1" si="0"/>
        <v>1</v>
      </c>
      <c r="C26" s="78">
        <f t="shared" ca="1" si="1"/>
        <v>3</v>
      </c>
      <c r="D26" s="78">
        <f t="shared" ca="1" si="2"/>
        <v>5</v>
      </c>
      <c r="E26" s="78" t="str">
        <f t="shared" ca="1" si="3"/>
        <v/>
      </c>
      <c r="F26" s="78" t="str">
        <f t="shared" ca="1" si="4"/>
        <v/>
      </c>
      <c r="G26" s="79" t="str">
        <f t="shared" ca="1" si="5"/>
        <v/>
      </c>
      <c r="H26" s="80" t="str">
        <f t="shared" ca="1" si="6"/>
        <v/>
      </c>
      <c r="I26" s="100"/>
      <c r="J26" s="111"/>
      <c r="K26" s="111" t="s">
        <v>65</v>
      </c>
      <c r="L26" s="111"/>
      <c r="M26" s="111"/>
      <c r="N26" s="111"/>
      <c r="O26" s="111"/>
      <c r="P26" s="111"/>
      <c r="Q26" s="112"/>
      <c r="R26" s="113" t="s">
        <v>69</v>
      </c>
      <c r="S26" s="114">
        <v>45868</v>
      </c>
      <c r="T26" s="115">
        <v>45874</v>
      </c>
      <c r="U26" s="114"/>
      <c r="V26" s="115"/>
      <c r="W26" s="116"/>
      <c r="X26" s="117"/>
      <c r="Y26" s="118"/>
      <c r="Z26" s="119"/>
      <c r="AA26" s="92"/>
      <c r="AB26" s="93"/>
      <c r="AC26" s="94"/>
      <c r="AD26" s="95"/>
      <c r="AE26" s="96"/>
      <c r="AF26" s="97"/>
      <c r="AG26" s="97">
        <f t="shared" ca="1" si="7"/>
        <v>0</v>
      </c>
      <c r="AH26" s="97">
        <f t="shared" ca="1" si="8"/>
        <v>0</v>
      </c>
      <c r="AI26" s="97">
        <f t="shared" si="9"/>
        <v>0</v>
      </c>
      <c r="AJ26" s="97">
        <f t="shared" ca="1" si="10"/>
        <v>0</v>
      </c>
      <c r="AK26" s="97" t="str">
        <f t="shared" ca="1" si="11"/>
        <v/>
      </c>
      <c r="AL26" s="98">
        <f t="shared" ca="1" si="12"/>
        <v>1</v>
      </c>
      <c r="AM26" s="98">
        <f t="shared" ca="1" si="13"/>
        <v>3</v>
      </c>
      <c r="AN26" s="98">
        <f t="shared" ca="1" si="14"/>
        <v>5</v>
      </c>
      <c r="AO26" s="98">
        <f t="shared" ca="1" si="15"/>
        <v>0</v>
      </c>
      <c r="AP26" s="98">
        <f t="shared" ca="1" si="16"/>
        <v>0</v>
      </c>
      <c r="AQ26" s="98">
        <f t="shared" ca="1" si="17"/>
        <v>0</v>
      </c>
      <c r="AR26" s="98">
        <f t="shared" ca="1" si="18"/>
        <v>0</v>
      </c>
      <c r="AS26" s="99"/>
      <c r="AT26" s="98">
        <f t="shared" si="19"/>
        <v>7</v>
      </c>
    </row>
    <row r="27" spans="1:46" ht="15.75" customHeight="1">
      <c r="A27" s="76"/>
      <c r="B27" s="77">
        <f t="shared" ca="1" si="0"/>
        <v>1</v>
      </c>
      <c r="C27" s="78">
        <f t="shared" ca="1" si="1"/>
        <v>3</v>
      </c>
      <c r="D27" s="78">
        <f t="shared" ca="1" si="2"/>
        <v>6</v>
      </c>
      <c r="E27" s="78" t="str">
        <f t="shared" ca="1" si="3"/>
        <v/>
      </c>
      <c r="F27" s="78" t="str">
        <f t="shared" ca="1" si="4"/>
        <v/>
      </c>
      <c r="G27" s="79" t="str">
        <f t="shared" ca="1" si="5"/>
        <v/>
      </c>
      <c r="H27" s="80" t="str">
        <f t="shared" ca="1" si="6"/>
        <v/>
      </c>
      <c r="I27" s="100"/>
      <c r="J27" s="111"/>
      <c r="K27" s="111" t="s">
        <v>66</v>
      </c>
      <c r="L27" s="111"/>
      <c r="M27" s="111"/>
      <c r="N27" s="111"/>
      <c r="O27" s="111"/>
      <c r="P27" s="111"/>
      <c r="Q27" s="112"/>
      <c r="R27" s="113" t="s">
        <v>70</v>
      </c>
      <c r="S27" s="114">
        <v>45875</v>
      </c>
      <c r="T27" s="115">
        <v>45875</v>
      </c>
      <c r="U27" s="114"/>
      <c r="V27" s="115"/>
      <c r="W27" s="116"/>
      <c r="X27" s="117"/>
      <c r="Y27" s="118"/>
      <c r="Z27" s="119"/>
      <c r="AA27" s="92"/>
      <c r="AB27" s="93"/>
      <c r="AC27" s="94"/>
      <c r="AD27" s="95"/>
      <c r="AE27" s="96"/>
      <c r="AF27" s="97"/>
      <c r="AG27" s="97">
        <f t="shared" ca="1" si="7"/>
        <v>0</v>
      </c>
      <c r="AH27" s="97">
        <f t="shared" ca="1" si="8"/>
        <v>0</v>
      </c>
      <c r="AI27" s="97">
        <f t="shared" si="9"/>
        <v>0</v>
      </c>
      <c r="AJ27" s="97">
        <f t="shared" ca="1" si="10"/>
        <v>0</v>
      </c>
      <c r="AK27" s="97" t="str">
        <f t="shared" ca="1" si="11"/>
        <v/>
      </c>
      <c r="AL27" s="98">
        <f t="shared" ca="1" si="12"/>
        <v>1</v>
      </c>
      <c r="AM27" s="98">
        <f t="shared" ca="1" si="13"/>
        <v>3</v>
      </c>
      <c r="AN27" s="98">
        <f t="shared" ca="1" si="14"/>
        <v>6</v>
      </c>
      <c r="AO27" s="98">
        <f t="shared" ca="1" si="15"/>
        <v>0</v>
      </c>
      <c r="AP27" s="98">
        <f t="shared" ca="1" si="16"/>
        <v>0</v>
      </c>
      <c r="AQ27" s="98">
        <f t="shared" ca="1" si="17"/>
        <v>0</v>
      </c>
      <c r="AR27" s="98">
        <f t="shared" ca="1" si="18"/>
        <v>0</v>
      </c>
      <c r="AS27" s="99"/>
      <c r="AT27" s="98">
        <f t="shared" si="19"/>
        <v>1</v>
      </c>
    </row>
    <row r="28" spans="1:46" ht="15.75" customHeight="1">
      <c r="A28" s="76"/>
      <c r="B28" s="77">
        <f t="shared" ca="1" si="0"/>
        <v>1</v>
      </c>
      <c r="C28" s="78">
        <f t="shared" ca="1" si="1"/>
        <v>4</v>
      </c>
      <c r="D28" s="78" t="str">
        <f t="shared" ca="1" si="2"/>
        <v/>
      </c>
      <c r="E28" s="78" t="str">
        <f t="shared" ca="1" si="3"/>
        <v/>
      </c>
      <c r="F28" s="78" t="str">
        <f t="shared" ca="1" si="4"/>
        <v/>
      </c>
      <c r="G28" s="79" t="str">
        <f t="shared" ca="1" si="5"/>
        <v/>
      </c>
      <c r="H28" s="80" t="str">
        <f t="shared" ca="1" si="6"/>
        <v/>
      </c>
      <c r="I28" s="100"/>
      <c r="J28" s="101" t="s">
        <v>71</v>
      </c>
      <c r="K28" s="102"/>
      <c r="L28" s="102"/>
      <c r="M28" s="102"/>
      <c r="N28" s="102"/>
      <c r="O28" s="102"/>
      <c r="P28" s="102"/>
      <c r="Q28" s="103" t="s">
        <v>58</v>
      </c>
      <c r="R28" s="103"/>
      <c r="S28" s="104"/>
      <c r="T28" s="105"/>
      <c r="U28" s="106"/>
      <c r="V28" s="105"/>
      <c r="W28" s="107"/>
      <c r="X28" s="108"/>
      <c r="Y28" s="109"/>
      <c r="Z28" s="110"/>
      <c r="AA28" s="92"/>
      <c r="AB28" s="93"/>
      <c r="AC28" s="94"/>
      <c r="AD28" s="95"/>
      <c r="AE28" s="96"/>
      <c r="AF28" s="97"/>
      <c r="AG28" s="97">
        <f t="shared" si="7"/>
        <v>0</v>
      </c>
      <c r="AH28" s="97">
        <f t="shared" si="8"/>
        <v>0</v>
      </c>
      <c r="AI28" s="97">
        <f t="shared" si="9"/>
        <v>0</v>
      </c>
      <c r="AJ28" s="97">
        <f t="shared" si="10"/>
        <v>0</v>
      </c>
      <c r="AK28" s="97" t="str">
        <f t="shared" si="11"/>
        <v/>
      </c>
      <c r="AL28" s="98">
        <f t="shared" ca="1" si="12"/>
        <v>1</v>
      </c>
      <c r="AM28" s="98">
        <f t="shared" ca="1" si="13"/>
        <v>4</v>
      </c>
      <c r="AN28" s="98">
        <f t="shared" ca="1" si="14"/>
        <v>0</v>
      </c>
      <c r="AO28" s="98">
        <f t="shared" ca="1" si="15"/>
        <v>0</v>
      </c>
      <c r="AP28" s="98">
        <f t="shared" ca="1" si="16"/>
        <v>0</v>
      </c>
      <c r="AQ28" s="98">
        <f t="shared" ca="1" si="17"/>
        <v>0</v>
      </c>
      <c r="AR28" s="98">
        <f t="shared" ca="1" si="18"/>
        <v>0</v>
      </c>
      <c r="AS28" s="99"/>
      <c r="AT28" s="98">
        <f t="shared" si="19"/>
        <v>1</v>
      </c>
    </row>
    <row r="29" spans="1:46" ht="15.75" customHeight="1">
      <c r="A29" s="76"/>
      <c r="B29" s="77">
        <f t="shared" ca="1" si="0"/>
        <v>1</v>
      </c>
      <c r="C29" s="78">
        <f t="shared" ca="1" si="1"/>
        <v>4</v>
      </c>
      <c r="D29" s="78">
        <f t="shared" ca="1" si="2"/>
        <v>1</v>
      </c>
      <c r="E29" s="78" t="str">
        <f t="shared" ca="1" si="3"/>
        <v/>
      </c>
      <c r="F29" s="78" t="str">
        <f t="shared" ca="1" si="4"/>
        <v/>
      </c>
      <c r="G29" s="79" t="str">
        <f t="shared" ca="1" si="5"/>
        <v/>
      </c>
      <c r="H29" s="80" t="str">
        <f t="shared" ca="1" si="6"/>
        <v/>
      </c>
      <c r="I29" s="100"/>
      <c r="J29" s="111"/>
      <c r="K29" s="111" t="s">
        <v>59</v>
      </c>
      <c r="L29" s="111"/>
      <c r="M29" s="111"/>
      <c r="N29" s="111"/>
      <c r="O29" s="111"/>
      <c r="P29" s="111"/>
      <c r="Q29" s="112"/>
      <c r="R29" s="113" t="s">
        <v>70</v>
      </c>
      <c r="S29" s="114">
        <v>45839</v>
      </c>
      <c r="T29" s="115">
        <v>45860</v>
      </c>
      <c r="U29" s="114">
        <v>45820</v>
      </c>
      <c r="V29" s="115"/>
      <c r="W29" s="116">
        <v>0.2</v>
      </c>
      <c r="X29" s="117">
        <v>0.2</v>
      </c>
      <c r="Y29" s="118"/>
      <c r="Z29" s="119"/>
      <c r="AA29" s="92"/>
      <c r="AB29" s="93"/>
      <c r="AC29" s="94"/>
      <c r="AD29" s="95"/>
      <c r="AE29" s="96"/>
      <c r="AF29" s="97"/>
      <c r="AG29" s="97">
        <f t="shared" ca="1" si="7"/>
        <v>0</v>
      </c>
      <c r="AH29" s="97">
        <f t="shared" ca="1" si="8"/>
        <v>0</v>
      </c>
      <c r="AI29" s="97">
        <f t="shared" si="9"/>
        <v>0</v>
      </c>
      <c r="AJ29" s="97">
        <f t="shared" ca="1" si="10"/>
        <v>0</v>
      </c>
      <c r="AK29" s="97" t="str">
        <f t="shared" ca="1" si="11"/>
        <v/>
      </c>
      <c r="AL29" s="98">
        <f t="shared" ca="1" si="12"/>
        <v>1</v>
      </c>
      <c r="AM29" s="98">
        <f t="shared" ca="1" si="13"/>
        <v>4</v>
      </c>
      <c r="AN29" s="98">
        <f t="shared" ca="1" si="14"/>
        <v>1</v>
      </c>
      <c r="AO29" s="98">
        <f t="shared" ca="1" si="15"/>
        <v>0</v>
      </c>
      <c r="AP29" s="98">
        <f t="shared" ca="1" si="16"/>
        <v>0</v>
      </c>
      <c r="AQ29" s="98">
        <f t="shared" ca="1" si="17"/>
        <v>0</v>
      </c>
      <c r="AR29" s="98">
        <f t="shared" ca="1" si="18"/>
        <v>0</v>
      </c>
      <c r="AS29" s="99"/>
      <c r="AT29" s="98">
        <f t="shared" si="19"/>
        <v>22</v>
      </c>
    </row>
    <row r="30" spans="1:46" ht="15.75" customHeight="1">
      <c r="A30" s="76"/>
      <c r="B30" s="77">
        <f t="shared" ca="1" si="0"/>
        <v>1</v>
      </c>
      <c r="C30" s="78">
        <f t="shared" ca="1" si="1"/>
        <v>4</v>
      </c>
      <c r="D30" s="78">
        <f t="shared" ca="1" si="2"/>
        <v>2</v>
      </c>
      <c r="E30" s="78" t="str">
        <f t="shared" ca="1" si="3"/>
        <v/>
      </c>
      <c r="F30" s="78" t="str">
        <f t="shared" ca="1" si="4"/>
        <v/>
      </c>
      <c r="G30" s="79" t="str">
        <f t="shared" ca="1" si="5"/>
        <v/>
      </c>
      <c r="H30" s="80" t="str">
        <f t="shared" ca="1" si="6"/>
        <v/>
      </c>
      <c r="I30" s="100"/>
      <c r="J30" s="111"/>
      <c r="K30" s="111" t="s">
        <v>61</v>
      </c>
      <c r="L30" s="111"/>
      <c r="M30" s="111"/>
      <c r="N30" s="111"/>
      <c r="O30" s="111"/>
      <c r="P30" s="111"/>
      <c r="Q30" s="112"/>
      <c r="R30" s="113" t="s">
        <v>69</v>
      </c>
      <c r="S30" s="114">
        <v>45861</v>
      </c>
      <c r="T30" s="115">
        <v>45861</v>
      </c>
      <c r="U30" s="114"/>
      <c r="V30" s="115"/>
      <c r="W30" s="116"/>
      <c r="X30" s="117"/>
      <c r="Y30" s="118"/>
      <c r="Z30" s="119"/>
      <c r="AA30" s="92"/>
      <c r="AB30" s="93"/>
      <c r="AC30" s="94"/>
      <c r="AD30" s="95"/>
      <c r="AE30" s="96"/>
      <c r="AF30" s="97"/>
      <c r="AG30" s="97">
        <f t="shared" ca="1" si="7"/>
        <v>0</v>
      </c>
      <c r="AH30" s="97">
        <f t="shared" ca="1" si="8"/>
        <v>0</v>
      </c>
      <c r="AI30" s="97">
        <f t="shared" si="9"/>
        <v>0</v>
      </c>
      <c r="AJ30" s="97">
        <f t="shared" ca="1" si="10"/>
        <v>0</v>
      </c>
      <c r="AK30" s="97" t="str">
        <f t="shared" ca="1" si="11"/>
        <v/>
      </c>
      <c r="AL30" s="98">
        <f t="shared" ca="1" si="12"/>
        <v>1</v>
      </c>
      <c r="AM30" s="98">
        <f t="shared" ca="1" si="13"/>
        <v>4</v>
      </c>
      <c r="AN30" s="98">
        <f t="shared" ca="1" si="14"/>
        <v>2</v>
      </c>
      <c r="AO30" s="98">
        <f t="shared" ca="1" si="15"/>
        <v>0</v>
      </c>
      <c r="AP30" s="98">
        <f t="shared" ca="1" si="16"/>
        <v>0</v>
      </c>
      <c r="AQ30" s="98">
        <f t="shared" ca="1" si="17"/>
        <v>0</v>
      </c>
      <c r="AR30" s="98">
        <f t="shared" ca="1" si="18"/>
        <v>0</v>
      </c>
      <c r="AS30" s="99"/>
      <c r="AT30" s="98">
        <f t="shared" si="19"/>
        <v>1</v>
      </c>
    </row>
    <row r="31" spans="1:46" ht="15.75" customHeight="1">
      <c r="A31" s="76"/>
      <c r="B31" s="77">
        <f t="shared" ca="1" si="0"/>
        <v>1</v>
      </c>
      <c r="C31" s="78">
        <f t="shared" ca="1" si="1"/>
        <v>4</v>
      </c>
      <c r="D31" s="78">
        <f t="shared" ca="1" si="2"/>
        <v>3</v>
      </c>
      <c r="E31" s="78" t="str">
        <f t="shared" ca="1" si="3"/>
        <v/>
      </c>
      <c r="F31" s="78" t="str">
        <f t="shared" ca="1" si="4"/>
        <v/>
      </c>
      <c r="G31" s="79" t="str">
        <f t="shared" ca="1" si="5"/>
        <v/>
      </c>
      <c r="H31" s="80" t="str">
        <f t="shared" ca="1" si="6"/>
        <v/>
      </c>
      <c r="I31" s="100"/>
      <c r="J31" s="111"/>
      <c r="K31" s="111" t="s">
        <v>63</v>
      </c>
      <c r="L31" s="111"/>
      <c r="M31" s="111"/>
      <c r="N31" s="111"/>
      <c r="O31" s="111"/>
      <c r="P31" s="111"/>
      <c r="Q31" s="112"/>
      <c r="R31" s="113" t="s">
        <v>70</v>
      </c>
      <c r="S31" s="114">
        <v>45862</v>
      </c>
      <c r="T31" s="115">
        <v>45866</v>
      </c>
      <c r="U31" s="114"/>
      <c r="V31" s="115"/>
      <c r="W31" s="116"/>
      <c r="X31" s="117"/>
      <c r="Y31" s="118"/>
      <c r="Z31" s="119"/>
      <c r="AA31" s="92"/>
      <c r="AB31" s="93"/>
      <c r="AC31" s="94"/>
      <c r="AD31" s="95"/>
      <c r="AE31" s="96"/>
      <c r="AF31" s="97"/>
      <c r="AG31" s="97">
        <f t="shared" ca="1" si="7"/>
        <v>0</v>
      </c>
      <c r="AH31" s="97">
        <f t="shared" ca="1" si="8"/>
        <v>0</v>
      </c>
      <c r="AI31" s="97">
        <f t="shared" si="9"/>
        <v>0</v>
      </c>
      <c r="AJ31" s="97">
        <f t="shared" ca="1" si="10"/>
        <v>0</v>
      </c>
      <c r="AK31" s="97" t="str">
        <f t="shared" ca="1" si="11"/>
        <v/>
      </c>
      <c r="AL31" s="98">
        <f t="shared" ca="1" si="12"/>
        <v>1</v>
      </c>
      <c r="AM31" s="98">
        <f t="shared" ca="1" si="13"/>
        <v>4</v>
      </c>
      <c r="AN31" s="98">
        <f t="shared" ca="1" si="14"/>
        <v>3</v>
      </c>
      <c r="AO31" s="98">
        <f t="shared" ca="1" si="15"/>
        <v>0</v>
      </c>
      <c r="AP31" s="98">
        <f t="shared" ca="1" si="16"/>
        <v>0</v>
      </c>
      <c r="AQ31" s="98">
        <f t="shared" ca="1" si="17"/>
        <v>0</v>
      </c>
      <c r="AR31" s="98">
        <f t="shared" ca="1" si="18"/>
        <v>0</v>
      </c>
      <c r="AS31" s="99"/>
      <c r="AT31" s="98">
        <f t="shared" si="19"/>
        <v>5</v>
      </c>
    </row>
    <row r="32" spans="1:46" ht="15.75" customHeight="1">
      <c r="A32" s="76"/>
      <c r="B32" s="77">
        <f t="shared" ca="1" si="0"/>
        <v>1</v>
      </c>
      <c r="C32" s="78">
        <f t="shared" ca="1" si="1"/>
        <v>4</v>
      </c>
      <c r="D32" s="78">
        <f t="shared" ca="1" si="2"/>
        <v>4</v>
      </c>
      <c r="E32" s="78" t="str">
        <f t="shared" ca="1" si="3"/>
        <v/>
      </c>
      <c r="F32" s="78" t="str">
        <f t="shared" ca="1" si="4"/>
        <v/>
      </c>
      <c r="G32" s="79" t="str">
        <f t="shared" ca="1" si="5"/>
        <v/>
      </c>
      <c r="H32" s="80" t="str">
        <f t="shared" ca="1" si="6"/>
        <v/>
      </c>
      <c r="I32" s="100"/>
      <c r="J32" s="111"/>
      <c r="K32" s="111" t="s">
        <v>64</v>
      </c>
      <c r="L32" s="111"/>
      <c r="M32" s="111"/>
      <c r="N32" s="111"/>
      <c r="O32" s="111"/>
      <c r="P32" s="111"/>
      <c r="Q32" s="112"/>
      <c r="R32" s="113" t="s">
        <v>69</v>
      </c>
      <c r="S32" s="114">
        <v>45867</v>
      </c>
      <c r="T32" s="115">
        <v>45867</v>
      </c>
      <c r="U32" s="114"/>
      <c r="V32" s="115"/>
      <c r="W32" s="116"/>
      <c r="X32" s="117"/>
      <c r="Y32" s="118"/>
      <c r="Z32" s="119"/>
      <c r="AA32" s="92"/>
      <c r="AB32" s="93"/>
      <c r="AC32" s="94"/>
      <c r="AD32" s="95"/>
      <c r="AE32" s="96"/>
      <c r="AF32" s="97"/>
      <c r="AG32" s="97">
        <f t="shared" ca="1" si="7"/>
        <v>0</v>
      </c>
      <c r="AH32" s="97">
        <f t="shared" ca="1" si="8"/>
        <v>0</v>
      </c>
      <c r="AI32" s="97">
        <f t="shared" si="9"/>
        <v>0</v>
      </c>
      <c r="AJ32" s="97">
        <f t="shared" ca="1" si="10"/>
        <v>0</v>
      </c>
      <c r="AK32" s="97" t="str">
        <f t="shared" ca="1" si="11"/>
        <v/>
      </c>
      <c r="AL32" s="98">
        <f t="shared" ca="1" si="12"/>
        <v>1</v>
      </c>
      <c r="AM32" s="98">
        <f t="shared" ca="1" si="13"/>
        <v>4</v>
      </c>
      <c r="AN32" s="98">
        <f t="shared" ca="1" si="14"/>
        <v>4</v>
      </c>
      <c r="AO32" s="98">
        <f t="shared" ca="1" si="15"/>
        <v>0</v>
      </c>
      <c r="AP32" s="98">
        <f t="shared" ca="1" si="16"/>
        <v>0</v>
      </c>
      <c r="AQ32" s="98">
        <f t="shared" ca="1" si="17"/>
        <v>0</v>
      </c>
      <c r="AR32" s="98">
        <f t="shared" ca="1" si="18"/>
        <v>0</v>
      </c>
      <c r="AS32" s="99"/>
      <c r="AT32" s="98">
        <f t="shared" si="19"/>
        <v>1</v>
      </c>
    </row>
    <row r="33" spans="1:46" ht="15.75" customHeight="1">
      <c r="A33" s="76"/>
      <c r="B33" s="77">
        <f t="shared" ca="1" si="0"/>
        <v>1</v>
      </c>
      <c r="C33" s="78">
        <f t="shared" ca="1" si="1"/>
        <v>4</v>
      </c>
      <c r="D33" s="78">
        <f t="shared" ca="1" si="2"/>
        <v>5</v>
      </c>
      <c r="E33" s="78" t="str">
        <f t="shared" ca="1" si="3"/>
        <v/>
      </c>
      <c r="F33" s="78" t="str">
        <f t="shared" ca="1" si="4"/>
        <v/>
      </c>
      <c r="G33" s="79" t="str">
        <f t="shared" ca="1" si="5"/>
        <v/>
      </c>
      <c r="H33" s="80" t="str">
        <f t="shared" ca="1" si="6"/>
        <v/>
      </c>
      <c r="I33" s="100"/>
      <c r="J33" s="111"/>
      <c r="K33" s="111" t="s">
        <v>65</v>
      </c>
      <c r="L33" s="111"/>
      <c r="M33" s="111"/>
      <c r="N33" s="111"/>
      <c r="O33" s="111"/>
      <c r="P33" s="111"/>
      <c r="Q33" s="112"/>
      <c r="R33" s="113" t="s">
        <v>70</v>
      </c>
      <c r="S33" s="114">
        <v>45868</v>
      </c>
      <c r="T33" s="115">
        <v>45874</v>
      </c>
      <c r="U33" s="114"/>
      <c r="V33" s="115"/>
      <c r="W33" s="116"/>
      <c r="X33" s="117"/>
      <c r="Y33" s="118"/>
      <c r="Z33" s="119"/>
      <c r="AA33" s="92"/>
      <c r="AB33" s="93"/>
      <c r="AC33" s="94"/>
      <c r="AD33" s="95"/>
      <c r="AE33" s="96"/>
      <c r="AF33" s="97"/>
      <c r="AG33" s="97">
        <f t="shared" ca="1" si="7"/>
        <v>0</v>
      </c>
      <c r="AH33" s="97">
        <f t="shared" ca="1" si="8"/>
        <v>0</v>
      </c>
      <c r="AI33" s="97">
        <f t="shared" si="9"/>
        <v>0</v>
      </c>
      <c r="AJ33" s="97">
        <f t="shared" ca="1" si="10"/>
        <v>0</v>
      </c>
      <c r="AK33" s="97" t="str">
        <f t="shared" ca="1" si="11"/>
        <v/>
      </c>
      <c r="AL33" s="98">
        <f t="shared" ca="1" si="12"/>
        <v>1</v>
      </c>
      <c r="AM33" s="98">
        <f t="shared" ca="1" si="13"/>
        <v>4</v>
      </c>
      <c r="AN33" s="98">
        <f t="shared" ca="1" si="14"/>
        <v>5</v>
      </c>
      <c r="AO33" s="98">
        <f t="shared" ca="1" si="15"/>
        <v>0</v>
      </c>
      <c r="AP33" s="98">
        <f t="shared" ca="1" si="16"/>
        <v>0</v>
      </c>
      <c r="AQ33" s="98">
        <f t="shared" ca="1" si="17"/>
        <v>0</v>
      </c>
      <c r="AR33" s="98">
        <f t="shared" ca="1" si="18"/>
        <v>0</v>
      </c>
      <c r="AS33" s="99"/>
      <c r="AT33" s="98">
        <f t="shared" si="19"/>
        <v>7</v>
      </c>
    </row>
    <row r="34" spans="1:46" ht="15.75" customHeight="1">
      <c r="A34" s="76"/>
      <c r="B34" s="77">
        <f t="shared" ca="1" si="0"/>
        <v>1</v>
      </c>
      <c r="C34" s="78">
        <f t="shared" ca="1" si="1"/>
        <v>4</v>
      </c>
      <c r="D34" s="78">
        <f t="shared" ca="1" si="2"/>
        <v>6</v>
      </c>
      <c r="E34" s="78" t="str">
        <f t="shared" ca="1" si="3"/>
        <v/>
      </c>
      <c r="F34" s="78" t="str">
        <f t="shared" ca="1" si="4"/>
        <v/>
      </c>
      <c r="G34" s="79" t="str">
        <f t="shared" ca="1" si="5"/>
        <v/>
      </c>
      <c r="H34" s="80" t="str">
        <f t="shared" ca="1" si="6"/>
        <v/>
      </c>
      <c r="I34" s="100"/>
      <c r="J34" s="111"/>
      <c r="K34" s="111" t="s">
        <v>66</v>
      </c>
      <c r="L34" s="111"/>
      <c r="M34" s="111"/>
      <c r="N34" s="111"/>
      <c r="O34" s="111"/>
      <c r="P34" s="111"/>
      <c r="Q34" s="112"/>
      <c r="R34" s="113" t="s">
        <v>69</v>
      </c>
      <c r="S34" s="114">
        <v>45875</v>
      </c>
      <c r="T34" s="115">
        <v>45875</v>
      </c>
      <c r="U34" s="114"/>
      <c r="V34" s="115"/>
      <c r="W34" s="116"/>
      <c r="X34" s="117"/>
      <c r="Y34" s="118"/>
      <c r="Z34" s="119"/>
      <c r="AA34" s="92"/>
      <c r="AB34" s="93"/>
      <c r="AC34" s="94"/>
      <c r="AD34" s="95"/>
      <c r="AE34" s="96"/>
      <c r="AF34" s="97"/>
      <c r="AG34" s="97">
        <f t="shared" ca="1" si="7"/>
        <v>0</v>
      </c>
      <c r="AH34" s="97">
        <f t="shared" ca="1" si="8"/>
        <v>0</v>
      </c>
      <c r="AI34" s="97">
        <f t="shared" si="9"/>
        <v>0</v>
      </c>
      <c r="AJ34" s="97">
        <f t="shared" ca="1" si="10"/>
        <v>0</v>
      </c>
      <c r="AK34" s="97" t="str">
        <f t="shared" ca="1" si="11"/>
        <v/>
      </c>
      <c r="AL34" s="98">
        <f t="shared" ca="1" si="12"/>
        <v>1</v>
      </c>
      <c r="AM34" s="98">
        <f t="shared" ca="1" si="13"/>
        <v>4</v>
      </c>
      <c r="AN34" s="98">
        <f t="shared" ca="1" si="14"/>
        <v>6</v>
      </c>
      <c r="AO34" s="98">
        <f t="shared" ca="1" si="15"/>
        <v>0</v>
      </c>
      <c r="AP34" s="98">
        <f t="shared" ca="1" si="16"/>
        <v>0</v>
      </c>
      <c r="AQ34" s="98">
        <f t="shared" ca="1" si="17"/>
        <v>0</v>
      </c>
      <c r="AR34" s="98">
        <f t="shared" ca="1" si="18"/>
        <v>0</v>
      </c>
      <c r="AS34" s="99"/>
      <c r="AT34" s="98">
        <f t="shared" si="19"/>
        <v>1</v>
      </c>
    </row>
    <row r="35" spans="1:46" ht="15.75" customHeight="1">
      <c r="A35" s="76"/>
      <c r="B35" s="77">
        <f t="shared" ca="1" si="0"/>
        <v>1</v>
      </c>
      <c r="C35" s="78">
        <f t="shared" ca="1" si="1"/>
        <v>5</v>
      </c>
      <c r="D35" s="78" t="str">
        <f t="shared" ca="1" si="2"/>
        <v/>
      </c>
      <c r="E35" s="78" t="str">
        <f t="shared" ca="1" si="3"/>
        <v/>
      </c>
      <c r="F35" s="78" t="str">
        <f t="shared" ca="1" si="4"/>
        <v/>
      </c>
      <c r="G35" s="79" t="str">
        <f t="shared" ca="1" si="5"/>
        <v/>
      </c>
      <c r="H35" s="80" t="str">
        <f t="shared" ca="1" si="6"/>
        <v/>
      </c>
      <c r="I35" s="100"/>
      <c r="J35" s="101" t="s">
        <v>72</v>
      </c>
      <c r="K35" s="102"/>
      <c r="L35" s="102"/>
      <c r="M35" s="102"/>
      <c r="N35" s="102"/>
      <c r="O35" s="102"/>
      <c r="P35" s="102"/>
      <c r="Q35" s="103" t="s">
        <v>73</v>
      </c>
      <c r="R35" s="104"/>
      <c r="S35" s="104"/>
      <c r="T35" s="105"/>
      <c r="U35" s="106"/>
      <c r="V35" s="105"/>
      <c r="W35" s="107"/>
      <c r="X35" s="108"/>
      <c r="Y35" s="109"/>
      <c r="Z35" s="110"/>
      <c r="AA35" s="92"/>
      <c r="AB35" s="93"/>
      <c r="AC35" s="94"/>
      <c r="AD35" s="95"/>
      <c r="AE35" s="96"/>
      <c r="AF35" s="97"/>
      <c r="AG35" s="97">
        <f t="shared" si="7"/>
        <v>0</v>
      </c>
      <c r="AH35" s="97">
        <f t="shared" si="8"/>
        <v>0</v>
      </c>
      <c r="AI35" s="97">
        <f t="shared" si="9"/>
        <v>0</v>
      </c>
      <c r="AJ35" s="97">
        <f t="shared" si="10"/>
        <v>0</v>
      </c>
      <c r="AK35" s="97" t="str">
        <f t="shared" si="11"/>
        <v/>
      </c>
      <c r="AL35" s="98">
        <f t="shared" ca="1" si="12"/>
        <v>1</v>
      </c>
      <c r="AM35" s="98">
        <f t="shared" ca="1" si="13"/>
        <v>5</v>
      </c>
      <c r="AN35" s="98">
        <f t="shared" ca="1" si="14"/>
        <v>0</v>
      </c>
      <c r="AO35" s="98">
        <f t="shared" ca="1" si="15"/>
        <v>0</v>
      </c>
      <c r="AP35" s="98">
        <f t="shared" ca="1" si="16"/>
        <v>0</v>
      </c>
      <c r="AQ35" s="98">
        <f t="shared" ca="1" si="17"/>
        <v>0</v>
      </c>
      <c r="AR35" s="98">
        <f t="shared" ca="1" si="18"/>
        <v>0</v>
      </c>
      <c r="AS35" s="99"/>
      <c r="AT35" s="98">
        <f t="shared" si="19"/>
        <v>1</v>
      </c>
    </row>
    <row r="36" spans="1:46" ht="15.75" customHeight="1">
      <c r="A36" s="76"/>
      <c r="B36" s="77">
        <f t="shared" ca="1" si="0"/>
        <v>1</v>
      </c>
      <c r="C36" s="78">
        <f t="shared" ca="1" si="1"/>
        <v>5</v>
      </c>
      <c r="D36" s="78">
        <f t="shared" ca="1" si="2"/>
        <v>1</v>
      </c>
      <c r="E36" s="78" t="str">
        <f t="shared" ca="1" si="3"/>
        <v/>
      </c>
      <c r="F36" s="78" t="str">
        <f t="shared" ca="1" si="4"/>
        <v/>
      </c>
      <c r="G36" s="79" t="str">
        <f t="shared" ca="1" si="5"/>
        <v/>
      </c>
      <c r="H36" s="80" t="str">
        <f t="shared" ca="1" si="6"/>
        <v/>
      </c>
      <c r="I36" s="100"/>
      <c r="J36" s="111"/>
      <c r="K36" s="111" t="s">
        <v>59</v>
      </c>
      <c r="L36" s="111"/>
      <c r="M36" s="111"/>
      <c r="N36" s="111"/>
      <c r="O36" s="111"/>
      <c r="P36" s="111"/>
      <c r="Q36" s="112"/>
      <c r="R36" s="120" t="s">
        <v>60</v>
      </c>
      <c r="S36" s="114">
        <v>45819</v>
      </c>
      <c r="T36" s="115">
        <v>45825</v>
      </c>
      <c r="U36" s="114">
        <v>45818</v>
      </c>
      <c r="V36" s="115">
        <v>45820</v>
      </c>
      <c r="W36" s="116">
        <v>1</v>
      </c>
      <c r="X36" s="117">
        <v>1</v>
      </c>
      <c r="Y36" s="121"/>
      <c r="Z36" s="119"/>
      <c r="AA36" s="92"/>
      <c r="AB36" s="93"/>
      <c r="AC36" s="94"/>
      <c r="AD36" s="95"/>
      <c r="AE36" s="96"/>
      <c r="AF36" s="97"/>
      <c r="AG36" s="97">
        <f t="shared" ca="1" si="7"/>
        <v>0</v>
      </c>
      <c r="AH36" s="97">
        <f t="shared" ca="1" si="8"/>
        <v>0</v>
      </c>
      <c r="AI36" s="97">
        <f t="shared" si="9"/>
        <v>0</v>
      </c>
      <c r="AJ36" s="97">
        <f t="shared" ca="1" si="10"/>
        <v>0</v>
      </c>
      <c r="AK36" s="97" t="str">
        <f t="shared" ca="1" si="11"/>
        <v/>
      </c>
      <c r="AL36" s="98">
        <f t="shared" ca="1" si="12"/>
        <v>1</v>
      </c>
      <c r="AM36" s="98">
        <f t="shared" ca="1" si="13"/>
        <v>5</v>
      </c>
      <c r="AN36" s="98">
        <f t="shared" ca="1" si="14"/>
        <v>1</v>
      </c>
      <c r="AO36" s="98">
        <f t="shared" ca="1" si="15"/>
        <v>0</v>
      </c>
      <c r="AP36" s="98">
        <f t="shared" ca="1" si="16"/>
        <v>0</v>
      </c>
      <c r="AQ36" s="98">
        <f t="shared" ca="1" si="17"/>
        <v>0</v>
      </c>
      <c r="AR36" s="98">
        <f t="shared" ca="1" si="18"/>
        <v>0</v>
      </c>
      <c r="AS36" s="99"/>
      <c r="AT36" s="98">
        <f t="shared" si="19"/>
        <v>7</v>
      </c>
    </row>
    <row r="37" spans="1:46" ht="15.75" customHeight="1">
      <c r="A37" s="76"/>
      <c r="B37" s="77">
        <f t="shared" ca="1" si="0"/>
        <v>1</v>
      </c>
      <c r="C37" s="78">
        <f t="shared" ca="1" si="1"/>
        <v>5</v>
      </c>
      <c r="D37" s="78">
        <f t="shared" ca="1" si="2"/>
        <v>2</v>
      </c>
      <c r="E37" s="78" t="str">
        <f t="shared" ca="1" si="3"/>
        <v/>
      </c>
      <c r="F37" s="78" t="str">
        <f t="shared" ca="1" si="4"/>
        <v/>
      </c>
      <c r="G37" s="79" t="str">
        <f t="shared" ca="1" si="5"/>
        <v/>
      </c>
      <c r="H37" s="80" t="str">
        <f t="shared" ca="1" si="6"/>
        <v/>
      </c>
      <c r="I37" s="100"/>
      <c r="J37" s="111"/>
      <c r="K37" s="111" t="s">
        <v>61</v>
      </c>
      <c r="L37" s="111"/>
      <c r="M37" s="111"/>
      <c r="N37" s="111"/>
      <c r="O37" s="111"/>
      <c r="P37" s="111"/>
      <c r="Q37" s="112"/>
      <c r="R37" s="120" t="s">
        <v>62</v>
      </c>
      <c r="S37" s="114">
        <v>45826</v>
      </c>
      <c r="T37" s="115">
        <v>45826</v>
      </c>
      <c r="U37" s="114"/>
      <c r="V37" s="115"/>
      <c r="W37" s="116"/>
      <c r="X37" s="117"/>
      <c r="Y37" s="121"/>
      <c r="Z37" s="119"/>
      <c r="AA37" s="92"/>
      <c r="AB37" s="93"/>
      <c r="AC37" s="94"/>
      <c r="AD37" s="95"/>
      <c r="AE37" s="96"/>
      <c r="AF37" s="97"/>
      <c r="AG37" s="97">
        <f t="shared" ca="1" si="7"/>
        <v>0</v>
      </c>
      <c r="AH37" s="97">
        <f t="shared" ca="1" si="8"/>
        <v>0</v>
      </c>
      <c r="AI37" s="97">
        <f t="shared" si="9"/>
        <v>0</v>
      </c>
      <c r="AJ37" s="97">
        <f t="shared" ca="1" si="10"/>
        <v>0</v>
      </c>
      <c r="AK37" s="97" t="str">
        <f t="shared" ca="1" si="11"/>
        <v/>
      </c>
      <c r="AL37" s="98">
        <f t="shared" ca="1" si="12"/>
        <v>1</v>
      </c>
      <c r="AM37" s="98">
        <f t="shared" ca="1" si="13"/>
        <v>5</v>
      </c>
      <c r="AN37" s="98">
        <f t="shared" ca="1" si="14"/>
        <v>2</v>
      </c>
      <c r="AO37" s="98">
        <f t="shared" ca="1" si="15"/>
        <v>0</v>
      </c>
      <c r="AP37" s="98">
        <f t="shared" ca="1" si="16"/>
        <v>0</v>
      </c>
      <c r="AQ37" s="98">
        <f t="shared" ca="1" si="17"/>
        <v>0</v>
      </c>
      <c r="AR37" s="98">
        <f t="shared" ca="1" si="18"/>
        <v>0</v>
      </c>
      <c r="AS37" s="99"/>
      <c r="AT37" s="98">
        <f t="shared" si="19"/>
        <v>1</v>
      </c>
    </row>
    <row r="38" spans="1:46" ht="15.75" customHeight="1">
      <c r="A38" s="76"/>
      <c r="B38" s="77">
        <f t="shared" ca="1" si="0"/>
        <v>1</v>
      </c>
      <c r="C38" s="78">
        <f t="shared" ca="1" si="1"/>
        <v>5</v>
      </c>
      <c r="D38" s="78">
        <f t="shared" ca="1" si="2"/>
        <v>3</v>
      </c>
      <c r="E38" s="78" t="str">
        <f t="shared" ca="1" si="3"/>
        <v/>
      </c>
      <c r="F38" s="78" t="str">
        <f t="shared" ca="1" si="4"/>
        <v/>
      </c>
      <c r="G38" s="79" t="str">
        <f t="shared" ca="1" si="5"/>
        <v/>
      </c>
      <c r="H38" s="80" t="str">
        <f t="shared" ca="1" si="6"/>
        <v/>
      </c>
      <c r="I38" s="100"/>
      <c r="J38" s="111"/>
      <c r="K38" s="111" t="s">
        <v>63</v>
      </c>
      <c r="L38" s="111"/>
      <c r="M38" s="111"/>
      <c r="N38" s="111"/>
      <c r="O38" s="111"/>
      <c r="P38" s="111"/>
      <c r="Q38" s="112"/>
      <c r="R38" s="120" t="s">
        <v>60</v>
      </c>
      <c r="S38" s="113">
        <v>45832</v>
      </c>
      <c r="T38" s="115">
        <v>45833</v>
      </c>
      <c r="U38" s="113"/>
      <c r="V38" s="115"/>
      <c r="W38" s="116"/>
      <c r="X38" s="117"/>
      <c r="Y38" s="121"/>
      <c r="Z38" s="119"/>
      <c r="AA38" s="92"/>
      <c r="AB38" s="93"/>
      <c r="AC38" s="94"/>
      <c r="AD38" s="95"/>
      <c r="AE38" s="96"/>
      <c r="AF38" s="97"/>
      <c r="AG38" s="97">
        <f t="shared" ca="1" si="7"/>
        <v>0</v>
      </c>
      <c r="AH38" s="97">
        <f t="shared" ca="1" si="8"/>
        <v>0</v>
      </c>
      <c r="AI38" s="97">
        <f t="shared" si="9"/>
        <v>0</v>
      </c>
      <c r="AJ38" s="97">
        <f t="shared" ca="1" si="10"/>
        <v>0</v>
      </c>
      <c r="AK38" s="97" t="str">
        <f t="shared" ca="1" si="11"/>
        <v/>
      </c>
      <c r="AL38" s="98">
        <f t="shared" ca="1" si="12"/>
        <v>1</v>
      </c>
      <c r="AM38" s="98">
        <f t="shared" ca="1" si="13"/>
        <v>5</v>
      </c>
      <c r="AN38" s="98">
        <f t="shared" ca="1" si="14"/>
        <v>3</v>
      </c>
      <c r="AO38" s="98">
        <f t="shared" ca="1" si="15"/>
        <v>0</v>
      </c>
      <c r="AP38" s="98">
        <f t="shared" ca="1" si="16"/>
        <v>0</v>
      </c>
      <c r="AQ38" s="98">
        <f t="shared" ca="1" si="17"/>
        <v>0</v>
      </c>
      <c r="AR38" s="98">
        <f t="shared" ca="1" si="18"/>
        <v>0</v>
      </c>
      <c r="AS38" s="99"/>
      <c r="AT38" s="98">
        <f t="shared" si="19"/>
        <v>2</v>
      </c>
    </row>
    <row r="39" spans="1:46" ht="15.75" customHeight="1">
      <c r="A39" s="76"/>
      <c r="B39" s="77">
        <f t="shared" ca="1" si="0"/>
        <v>1</v>
      </c>
      <c r="C39" s="78">
        <f t="shared" ca="1" si="1"/>
        <v>5</v>
      </c>
      <c r="D39" s="78">
        <f t="shared" ca="1" si="2"/>
        <v>4</v>
      </c>
      <c r="E39" s="78" t="str">
        <f t="shared" ca="1" si="3"/>
        <v/>
      </c>
      <c r="F39" s="78" t="str">
        <f t="shared" ca="1" si="4"/>
        <v/>
      </c>
      <c r="G39" s="79" t="str">
        <f t="shared" ca="1" si="5"/>
        <v/>
      </c>
      <c r="H39" s="80" t="str">
        <f t="shared" ca="1" si="6"/>
        <v/>
      </c>
      <c r="I39" s="100"/>
      <c r="J39" s="111"/>
      <c r="K39" s="111" t="s">
        <v>64</v>
      </c>
      <c r="L39" s="111"/>
      <c r="M39" s="111"/>
      <c r="N39" s="111"/>
      <c r="O39" s="111"/>
      <c r="P39" s="111"/>
      <c r="Q39" s="112"/>
      <c r="R39" s="120" t="s">
        <v>62</v>
      </c>
      <c r="S39" s="113">
        <v>45834</v>
      </c>
      <c r="T39" s="115">
        <v>45834</v>
      </c>
      <c r="U39" s="113"/>
      <c r="V39" s="115"/>
      <c r="W39" s="116"/>
      <c r="X39" s="117"/>
      <c r="Y39" s="121"/>
      <c r="Z39" s="119"/>
      <c r="AA39" s="92"/>
      <c r="AB39" s="93"/>
      <c r="AC39" s="94"/>
      <c r="AD39" s="95"/>
      <c r="AE39" s="96"/>
      <c r="AF39" s="97"/>
      <c r="AG39" s="97">
        <f t="shared" ca="1" si="7"/>
        <v>0</v>
      </c>
      <c r="AH39" s="97">
        <f t="shared" ca="1" si="8"/>
        <v>0</v>
      </c>
      <c r="AI39" s="97">
        <f t="shared" si="9"/>
        <v>0</v>
      </c>
      <c r="AJ39" s="97">
        <f t="shared" ca="1" si="10"/>
        <v>0</v>
      </c>
      <c r="AK39" s="97" t="str">
        <f t="shared" ca="1" si="11"/>
        <v/>
      </c>
      <c r="AL39" s="98">
        <f t="shared" ca="1" si="12"/>
        <v>1</v>
      </c>
      <c r="AM39" s="98">
        <f t="shared" ca="1" si="13"/>
        <v>5</v>
      </c>
      <c r="AN39" s="98">
        <f t="shared" ca="1" si="14"/>
        <v>4</v>
      </c>
      <c r="AO39" s="98">
        <f t="shared" ca="1" si="15"/>
        <v>0</v>
      </c>
      <c r="AP39" s="98">
        <f t="shared" ca="1" si="16"/>
        <v>0</v>
      </c>
      <c r="AQ39" s="98">
        <f t="shared" ca="1" si="17"/>
        <v>0</v>
      </c>
      <c r="AR39" s="98">
        <f t="shared" ca="1" si="18"/>
        <v>0</v>
      </c>
      <c r="AS39" s="99"/>
      <c r="AT39" s="98">
        <f t="shared" si="19"/>
        <v>1</v>
      </c>
    </row>
    <row r="40" spans="1:46" ht="15.75" customHeight="1">
      <c r="A40" s="76"/>
      <c r="B40" s="77">
        <f t="shared" ca="1" si="0"/>
        <v>1</v>
      </c>
      <c r="C40" s="78">
        <f t="shared" ca="1" si="1"/>
        <v>5</v>
      </c>
      <c r="D40" s="78">
        <f t="shared" ca="1" si="2"/>
        <v>5</v>
      </c>
      <c r="E40" s="78" t="str">
        <f t="shared" ca="1" si="3"/>
        <v/>
      </c>
      <c r="F40" s="78" t="str">
        <f t="shared" ca="1" si="4"/>
        <v/>
      </c>
      <c r="G40" s="79" t="str">
        <f t="shared" ca="1" si="5"/>
        <v/>
      </c>
      <c r="H40" s="80" t="str">
        <f t="shared" ca="1" si="6"/>
        <v/>
      </c>
      <c r="I40" s="100"/>
      <c r="J40" s="111"/>
      <c r="K40" s="111" t="s">
        <v>65</v>
      </c>
      <c r="L40" s="111"/>
      <c r="M40" s="111"/>
      <c r="N40" s="111"/>
      <c r="O40" s="111"/>
      <c r="P40" s="111"/>
      <c r="Q40" s="112"/>
      <c r="R40" s="120" t="s">
        <v>60</v>
      </c>
      <c r="S40" s="113">
        <v>45835</v>
      </c>
      <c r="T40" s="115">
        <v>45835</v>
      </c>
      <c r="U40" s="113"/>
      <c r="V40" s="115"/>
      <c r="W40" s="116"/>
      <c r="X40" s="117"/>
      <c r="Y40" s="121"/>
      <c r="Z40" s="119"/>
      <c r="AA40" s="92"/>
      <c r="AB40" s="93"/>
      <c r="AC40" s="94"/>
      <c r="AD40" s="95"/>
      <c r="AE40" s="96"/>
      <c r="AF40" s="97"/>
      <c r="AG40" s="97">
        <f t="shared" ca="1" si="7"/>
        <v>0</v>
      </c>
      <c r="AH40" s="97">
        <f t="shared" ca="1" si="8"/>
        <v>0</v>
      </c>
      <c r="AI40" s="97">
        <f t="shared" si="9"/>
        <v>0</v>
      </c>
      <c r="AJ40" s="97">
        <f t="shared" ca="1" si="10"/>
        <v>0</v>
      </c>
      <c r="AK40" s="97" t="str">
        <f t="shared" ca="1" si="11"/>
        <v/>
      </c>
      <c r="AL40" s="98">
        <f t="shared" ca="1" si="12"/>
        <v>1</v>
      </c>
      <c r="AM40" s="98">
        <f t="shared" ca="1" si="13"/>
        <v>5</v>
      </c>
      <c r="AN40" s="98">
        <f t="shared" ca="1" si="14"/>
        <v>5</v>
      </c>
      <c r="AO40" s="98">
        <f t="shared" ca="1" si="15"/>
        <v>0</v>
      </c>
      <c r="AP40" s="98">
        <f t="shared" ca="1" si="16"/>
        <v>0</v>
      </c>
      <c r="AQ40" s="98">
        <f t="shared" ca="1" si="17"/>
        <v>0</v>
      </c>
      <c r="AR40" s="98">
        <f t="shared" ca="1" si="18"/>
        <v>0</v>
      </c>
      <c r="AS40" s="99"/>
      <c r="AT40" s="98">
        <f t="shared" si="19"/>
        <v>1</v>
      </c>
    </row>
    <row r="41" spans="1:46" ht="15.75" customHeight="1">
      <c r="A41" s="76"/>
      <c r="B41" s="77">
        <f t="shared" ca="1" si="0"/>
        <v>1</v>
      </c>
      <c r="C41" s="78">
        <f t="shared" ca="1" si="1"/>
        <v>5</v>
      </c>
      <c r="D41" s="78">
        <f t="shared" ca="1" si="2"/>
        <v>6</v>
      </c>
      <c r="E41" s="78" t="str">
        <f t="shared" ca="1" si="3"/>
        <v/>
      </c>
      <c r="F41" s="78" t="str">
        <f t="shared" ca="1" si="4"/>
        <v/>
      </c>
      <c r="G41" s="79" t="str">
        <f t="shared" ca="1" si="5"/>
        <v/>
      </c>
      <c r="H41" s="80" t="str">
        <f t="shared" ca="1" si="6"/>
        <v/>
      </c>
      <c r="I41" s="100"/>
      <c r="J41" s="111"/>
      <c r="K41" s="111" t="s">
        <v>66</v>
      </c>
      <c r="L41" s="111"/>
      <c r="M41" s="111"/>
      <c r="N41" s="111"/>
      <c r="O41" s="111"/>
      <c r="P41" s="111"/>
      <c r="Q41" s="112"/>
      <c r="R41" s="120" t="s">
        <v>62</v>
      </c>
      <c r="S41" s="113">
        <v>45838</v>
      </c>
      <c r="T41" s="115">
        <v>45838</v>
      </c>
      <c r="U41" s="113"/>
      <c r="V41" s="115"/>
      <c r="W41" s="116"/>
      <c r="X41" s="117"/>
      <c r="Y41" s="121"/>
      <c r="Z41" s="119"/>
      <c r="AA41" s="92"/>
      <c r="AB41" s="93"/>
      <c r="AC41" s="94"/>
      <c r="AD41" s="95"/>
      <c r="AE41" s="96"/>
      <c r="AF41" s="97"/>
      <c r="AG41" s="97">
        <f t="shared" ca="1" si="7"/>
        <v>0</v>
      </c>
      <c r="AH41" s="97">
        <f t="shared" ca="1" si="8"/>
        <v>0</v>
      </c>
      <c r="AI41" s="97">
        <f t="shared" si="9"/>
        <v>0</v>
      </c>
      <c r="AJ41" s="97">
        <f t="shared" ca="1" si="10"/>
        <v>0</v>
      </c>
      <c r="AK41" s="97" t="str">
        <f t="shared" ca="1" si="11"/>
        <v/>
      </c>
      <c r="AL41" s="98">
        <f t="shared" ca="1" si="12"/>
        <v>1</v>
      </c>
      <c r="AM41" s="98">
        <f t="shared" ca="1" si="13"/>
        <v>5</v>
      </c>
      <c r="AN41" s="98">
        <f t="shared" ca="1" si="14"/>
        <v>6</v>
      </c>
      <c r="AO41" s="98">
        <f t="shared" ca="1" si="15"/>
        <v>0</v>
      </c>
      <c r="AP41" s="98">
        <f t="shared" ca="1" si="16"/>
        <v>0</v>
      </c>
      <c r="AQ41" s="98">
        <f t="shared" ca="1" si="17"/>
        <v>0</v>
      </c>
      <c r="AR41" s="98">
        <f t="shared" ca="1" si="18"/>
        <v>0</v>
      </c>
      <c r="AS41" s="99"/>
      <c r="AT41" s="98">
        <f t="shared" si="19"/>
        <v>1</v>
      </c>
    </row>
    <row r="42" spans="1:46" ht="15.75" customHeight="1">
      <c r="A42" s="76"/>
      <c r="B42" s="77">
        <f t="shared" ca="1" si="0"/>
        <v>1</v>
      </c>
      <c r="C42" s="78">
        <f t="shared" ca="1" si="1"/>
        <v>6</v>
      </c>
      <c r="D42" s="78" t="str">
        <f t="shared" ca="1" si="2"/>
        <v/>
      </c>
      <c r="E42" s="78" t="str">
        <f t="shared" ca="1" si="3"/>
        <v/>
      </c>
      <c r="F42" s="78" t="str">
        <f t="shared" ca="1" si="4"/>
        <v/>
      </c>
      <c r="G42" s="79" t="str">
        <f t="shared" ca="1" si="5"/>
        <v/>
      </c>
      <c r="H42" s="80" t="str">
        <f t="shared" ca="1" si="6"/>
        <v/>
      </c>
      <c r="I42" s="100"/>
      <c r="J42" s="101" t="s">
        <v>74</v>
      </c>
      <c r="K42" s="102"/>
      <c r="L42" s="102"/>
      <c r="M42" s="102"/>
      <c r="N42" s="102"/>
      <c r="O42" s="102"/>
      <c r="P42" s="102"/>
      <c r="Q42" s="103" t="s">
        <v>73</v>
      </c>
      <c r="R42" s="104"/>
      <c r="S42" s="104"/>
      <c r="T42" s="105"/>
      <c r="U42" s="106"/>
      <c r="V42" s="105"/>
      <c r="W42" s="107"/>
      <c r="X42" s="108"/>
      <c r="Y42" s="122"/>
      <c r="Z42" s="110"/>
      <c r="AA42" s="92"/>
      <c r="AB42" s="93"/>
      <c r="AC42" s="94"/>
      <c r="AD42" s="95"/>
      <c r="AE42" s="96"/>
      <c r="AF42" s="97"/>
      <c r="AG42" s="97">
        <f t="shared" si="7"/>
        <v>0</v>
      </c>
      <c r="AH42" s="97">
        <f t="shared" si="8"/>
        <v>0</v>
      </c>
      <c r="AI42" s="97">
        <f t="shared" si="9"/>
        <v>0</v>
      </c>
      <c r="AJ42" s="97">
        <f t="shared" si="10"/>
        <v>0</v>
      </c>
      <c r="AK42" s="97" t="str">
        <f t="shared" si="11"/>
        <v/>
      </c>
      <c r="AL42" s="98">
        <f t="shared" ca="1" si="12"/>
        <v>1</v>
      </c>
      <c r="AM42" s="98">
        <f t="shared" ca="1" si="13"/>
        <v>6</v>
      </c>
      <c r="AN42" s="98">
        <f t="shared" ca="1" si="14"/>
        <v>0</v>
      </c>
      <c r="AO42" s="98">
        <f t="shared" ca="1" si="15"/>
        <v>0</v>
      </c>
      <c r="AP42" s="98">
        <f t="shared" ca="1" si="16"/>
        <v>0</v>
      </c>
      <c r="AQ42" s="98">
        <f t="shared" ca="1" si="17"/>
        <v>0</v>
      </c>
      <c r="AR42" s="98">
        <f t="shared" ca="1" si="18"/>
        <v>0</v>
      </c>
      <c r="AS42" s="99"/>
      <c r="AT42" s="98">
        <f t="shared" si="19"/>
        <v>1</v>
      </c>
    </row>
    <row r="43" spans="1:46" ht="15.75" customHeight="1">
      <c r="A43" s="76"/>
      <c r="B43" s="77">
        <f t="shared" ca="1" si="0"/>
        <v>1</v>
      </c>
      <c r="C43" s="78">
        <f t="shared" ca="1" si="1"/>
        <v>6</v>
      </c>
      <c r="D43" s="78">
        <f t="shared" ca="1" si="2"/>
        <v>1</v>
      </c>
      <c r="E43" s="78" t="str">
        <f t="shared" ca="1" si="3"/>
        <v/>
      </c>
      <c r="F43" s="78" t="str">
        <f t="shared" ca="1" si="4"/>
        <v/>
      </c>
      <c r="G43" s="79" t="str">
        <f t="shared" ca="1" si="5"/>
        <v/>
      </c>
      <c r="H43" s="80" t="str">
        <f t="shared" ca="1" si="6"/>
        <v/>
      </c>
      <c r="I43" s="100"/>
      <c r="J43" s="111"/>
      <c r="K43" s="111" t="s">
        <v>59</v>
      </c>
      <c r="L43" s="111"/>
      <c r="M43" s="111"/>
      <c r="N43" s="111"/>
      <c r="O43" s="111"/>
      <c r="P43" s="111"/>
      <c r="Q43" s="112"/>
      <c r="R43" s="120" t="s">
        <v>62</v>
      </c>
      <c r="S43" s="114">
        <v>45819</v>
      </c>
      <c r="T43" s="115">
        <v>45825</v>
      </c>
      <c r="U43" s="114">
        <v>45818</v>
      </c>
      <c r="V43" s="115">
        <v>45821</v>
      </c>
      <c r="W43" s="116">
        <v>1</v>
      </c>
      <c r="X43" s="117">
        <v>1</v>
      </c>
      <c r="Y43" s="121" t="s">
        <v>392</v>
      </c>
      <c r="Z43" s="119"/>
      <c r="AA43" s="92"/>
      <c r="AB43" s="93"/>
      <c r="AC43" s="94"/>
      <c r="AD43" s="95"/>
      <c r="AE43" s="96"/>
      <c r="AF43" s="97"/>
      <c r="AG43" s="97">
        <f t="shared" ca="1" si="7"/>
        <v>0</v>
      </c>
      <c r="AH43" s="97">
        <f t="shared" ca="1" si="8"/>
        <v>0</v>
      </c>
      <c r="AI43" s="97">
        <f t="shared" si="9"/>
        <v>0</v>
      </c>
      <c r="AJ43" s="97">
        <f t="shared" ca="1" si="10"/>
        <v>0</v>
      </c>
      <c r="AK43" s="97" t="str">
        <f t="shared" ca="1" si="11"/>
        <v/>
      </c>
      <c r="AL43" s="98">
        <f t="shared" ca="1" si="12"/>
        <v>1</v>
      </c>
      <c r="AM43" s="98">
        <f t="shared" ca="1" si="13"/>
        <v>6</v>
      </c>
      <c r="AN43" s="98">
        <f t="shared" ca="1" si="14"/>
        <v>1</v>
      </c>
      <c r="AO43" s="98">
        <f t="shared" ca="1" si="15"/>
        <v>0</v>
      </c>
      <c r="AP43" s="98">
        <f t="shared" ca="1" si="16"/>
        <v>0</v>
      </c>
      <c r="AQ43" s="98">
        <f t="shared" ca="1" si="17"/>
        <v>0</v>
      </c>
      <c r="AR43" s="98">
        <f t="shared" ca="1" si="18"/>
        <v>0</v>
      </c>
      <c r="AS43" s="99"/>
      <c r="AT43" s="98">
        <f t="shared" si="19"/>
        <v>7</v>
      </c>
    </row>
    <row r="44" spans="1:46" ht="15.75" customHeight="1">
      <c r="A44" s="76"/>
      <c r="B44" s="77">
        <f t="shared" ca="1" si="0"/>
        <v>1</v>
      </c>
      <c r="C44" s="78">
        <f t="shared" ca="1" si="1"/>
        <v>6</v>
      </c>
      <c r="D44" s="78">
        <f t="shared" ca="1" si="2"/>
        <v>2</v>
      </c>
      <c r="E44" s="78" t="str">
        <f t="shared" ca="1" si="3"/>
        <v/>
      </c>
      <c r="F44" s="78" t="str">
        <f t="shared" ca="1" si="4"/>
        <v/>
      </c>
      <c r="G44" s="79" t="str">
        <f t="shared" ca="1" si="5"/>
        <v/>
      </c>
      <c r="H44" s="80" t="str">
        <f t="shared" ca="1" si="6"/>
        <v/>
      </c>
      <c r="I44" s="100"/>
      <c r="J44" s="111"/>
      <c r="K44" s="111" t="s">
        <v>61</v>
      </c>
      <c r="L44" s="111"/>
      <c r="M44" s="111"/>
      <c r="N44" s="111"/>
      <c r="O44" s="111"/>
      <c r="P44" s="111"/>
      <c r="Q44" s="112"/>
      <c r="R44" s="120" t="s">
        <v>60</v>
      </c>
      <c r="S44" s="114">
        <v>45826</v>
      </c>
      <c r="T44" s="115">
        <v>45826</v>
      </c>
      <c r="U44" s="114"/>
      <c r="V44" s="115"/>
      <c r="W44" s="116"/>
      <c r="X44" s="117"/>
      <c r="Y44" s="121"/>
      <c r="Z44" s="119"/>
      <c r="AA44" s="92"/>
      <c r="AB44" s="93"/>
      <c r="AC44" s="94"/>
      <c r="AD44" s="95"/>
      <c r="AE44" s="96"/>
      <c r="AF44" s="97"/>
      <c r="AG44" s="97">
        <f t="shared" ca="1" si="7"/>
        <v>0</v>
      </c>
      <c r="AH44" s="97">
        <f t="shared" ca="1" si="8"/>
        <v>0</v>
      </c>
      <c r="AI44" s="97">
        <f t="shared" si="9"/>
        <v>0</v>
      </c>
      <c r="AJ44" s="97">
        <f t="shared" ca="1" si="10"/>
        <v>0</v>
      </c>
      <c r="AK44" s="97" t="str">
        <f t="shared" ca="1" si="11"/>
        <v/>
      </c>
      <c r="AL44" s="98">
        <f t="shared" ca="1" si="12"/>
        <v>1</v>
      </c>
      <c r="AM44" s="98">
        <f t="shared" ca="1" si="13"/>
        <v>6</v>
      </c>
      <c r="AN44" s="98">
        <f t="shared" ca="1" si="14"/>
        <v>2</v>
      </c>
      <c r="AO44" s="98">
        <f t="shared" ca="1" si="15"/>
        <v>0</v>
      </c>
      <c r="AP44" s="98">
        <f t="shared" ca="1" si="16"/>
        <v>0</v>
      </c>
      <c r="AQ44" s="98">
        <f t="shared" ca="1" si="17"/>
        <v>0</v>
      </c>
      <c r="AR44" s="98">
        <f t="shared" ca="1" si="18"/>
        <v>0</v>
      </c>
      <c r="AS44" s="99"/>
      <c r="AT44" s="98">
        <f t="shared" si="19"/>
        <v>1</v>
      </c>
    </row>
    <row r="45" spans="1:46" ht="15.75" customHeight="1">
      <c r="A45" s="76"/>
      <c r="B45" s="77">
        <f t="shared" ca="1" si="0"/>
        <v>1</v>
      </c>
      <c r="C45" s="78">
        <f t="shared" ca="1" si="1"/>
        <v>6</v>
      </c>
      <c r="D45" s="78">
        <f t="shared" ca="1" si="2"/>
        <v>3</v>
      </c>
      <c r="E45" s="78" t="str">
        <f t="shared" ca="1" si="3"/>
        <v/>
      </c>
      <c r="F45" s="78" t="str">
        <f t="shared" ca="1" si="4"/>
        <v/>
      </c>
      <c r="G45" s="79" t="str">
        <f t="shared" ca="1" si="5"/>
        <v/>
      </c>
      <c r="H45" s="80" t="str">
        <f t="shared" ca="1" si="6"/>
        <v/>
      </c>
      <c r="I45" s="100"/>
      <c r="J45" s="111"/>
      <c r="K45" s="111" t="s">
        <v>63</v>
      </c>
      <c r="L45" s="111"/>
      <c r="M45" s="111"/>
      <c r="N45" s="111"/>
      <c r="O45" s="111"/>
      <c r="P45" s="111"/>
      <c r="Q45" s="112"/>
      <c r="R45" s="120" t="s">
        <v>62</v>
      </c>
      <c r="S45" s="113">
        <v>45832</v>
      </c>
      <c r="T45" s="115">
        <v>45833</v>
      </c>
      <c r="U45" s="114"/>
      <c r="V45" s="115"/>
      <c r="W45" s="116"/>
      <c r="X45" s="117"/>
      <c r="Y45" s="121"/>
      <c r="Z45" s="119"/>
      <c r="AA45" s="92"/>
      <c r="AB45" s="93"/>
      <c r="AC45" s="94"/>
      <c r="AD45" s="95"/>
      <c r="AE45" s="96"/>
      <c r="AF45" s="97"/>
      <c r="AG45" s="97">
        <f t="shared" ca="1" si="7"/>
        <v>0</v>
      </c>
      <c r="AH45" s="97">
        <f t="shared" ca="1" si="8"/>
        <v>0</v>
      </c>
      <c r="AI45" s="97">
        <f t="shared" si="9"/>
        <v>0</v>
      </c>
      <c r="AJ45" s="97">
        <f t="shared" ca="1" si="10"/>
        <v>0</v>
      </c>
      <c r="AK45" s="97" t="str">
        <f t="shared" ca="1" si="11"/>
        <v/>
      </c>
      <c r="AL45" s="98">
        <f t="shared" ca="1" si="12"/>
        <v>1</v>
      </c>
      <c r="AM45" s="98">
        <f t="shared" ca="1" si="13"/>
        <v>6</v>
      </c>
      <c r="AN45" s="98">
        <f t="shared" ca="1" si="14"/>
        <v>3</v>
      </c>
      <c r="AO45" s="98">
        <f t="shared" ca="1" si="15"/>
        <v>0</v>
      </c>
      <c r="AP45" s="98">
        <f t="shared" ca="1" si="16"/>
        <v>0</v>
      </c>
      <c r="AQ45" s="98">
        <f t="shared" ca="1" si="17"/>
        <v>0</v>
      </c>
      <c r="AR45" s="98">
        <f t="shared" ca="1" si="18"/>
        <v>0</v>
      </c>
      <c r="AS45" s="99"/>
      <c r="AT45" s="98">
        <f t="shared" si="19"/>
        <v>2</v>
      </c>
    </row>
    <row r="46" spans="1:46" ht="15.75" customHeight="1">
      <c r="A46" s="76"/>
      <c r="B46" s="77">
        <f t="shared" ca="1" si="0"/>
        <v>1</v>
      </c>
      <c r="C46" s="78">
        <f t="shared" ca="1" si="1"/>
        <v>6</v>
      </c>
      <c r="D46" s="78">
        <f t="shared" ca="1" si="2"/>
        <v>4</v>
      </c>
      <c r="E46" s="78" t="str">
        <f t="shared" ca="1" si="3"/>
        <v/>
      </c>
      <c r="F46" s="78" t="str">
        <f t="shared" ca="1" si="4"/>
        <v/>
      </c>
      <c r="G46" s="79" t="str">
        <f t="shared" ca="1" si="5"/>
        <v/>
      </c>
      <c r="H46" s="80" t="str">
        <f t="shared" ca="1" si="6"/>
        <v/>
      </c>
      <c r="I46" s="100"/>
      <c r="J46" s="111"/>
      <c r="K46" s="111" t="s">
        <v>64</v>
      </c>
      <c r="L46" s="111"/>
      <c r="M46" s="111"/>
      <c r="N46" s="111"/>
      <c r="O46" s="111"/>
      <c r="P46" s="111"/>
      <c r="Q46" s="112"/>
      <c r="R46" s="120" t="s">
        <v>60</v>
      </c>
      <c r="S46" s="113">
        <v>45834</v>
      </c>
      <c r="T46" s="115">
        <v>45834</v>
      </c>
      <c r="U46" s="114"/>
      <c r="V46" s="115"/>
      <c r="W46" s="116"/>
      <c r="X46" s="117"/>
      <c r="Y46" s="121"/>
      <c r="Z46" s="119"/>
      <c r="AA46" s="92"/>
      <c r="AB46" s="93"/>
      <c r="AC46" s="94"/>
      <c r="AD46" s="95"/>
      <c r="AE46" s="96"/>
      <c r="AF46" s="97"/>
      <c r="AG46" s="97">
        <f t="shared" ca="1" si="7"/>
        <v>0</v>
      </c>
      <c r="AH46" s="97">
        <f t="shared" ca="1" si="8"/>
        <v>0</v>
      </c>
      <c r="AI46" s="97">
        <f t="shared" si="9"/>
        <v>0</v>
      </c>
      <c r="AJ46" s="97">
        <f t="shared" ca="1" si="10"/>
        <v>0</v>
      </c>
      <c r="AK46" s="97" t="str">
        <f t="shared" ca="1" si="11"/>
        <v/>
      </c>
      <c r="AL46" s="98">
        <f t="shared" ca="1" si="12"/>
        <v>1</v>
      </c>
      <c r="AM46" s="98">
        <f t="shared" ca="1" si="13"/>
        <v>6</v>
      </c>
      <c r="AN46" s="98">
        <f t="shared" ca="1" si="14"/>
        <v>4</v>
      </c>
      <c r="AO46" s="98">
        <f t="shared" ca="1" si="15"/>
        <v>0</v>
      </c>
      <c r="AP46" s="98">
        <f t="shared" ca="1" si="16"/>
        <v>0</v>
      </c>
      <c r="AQ46" s="98">
        <f t="shared" ca="1" si="17"/>
        <v>0</v>
      </c>
      <c r="AR46" s="98">
        <f t="shared" ca="1" si="18"/>
        <v>0</v>
      </c>
      <c r="AS46" s="99"/>
      <c r="AT46" s="98">
        <f t="shared" si="19"/>
        <v>1</v>
      </c>
    </row>
    <row r="47" spans="1:46" ht="15.75" customHeight="1">
      <c r="A47" s="76"/>
      <c r="B47" s="77">
        <f t="shared" ca="1" si="0"/>
        <v>1</v>
      </c>
      <c r="C47" s="78">
        <f t="shared" ca="1" si="1"/>
        <v>6</v>
      </c>
      <c r="D47" s="78">
        <f t="shared" ca="1" si="2"/>
        <v>5</v>
      </c>
      <c r="E47" s="78" t="str">
        <f t="shared" ca="1" si="3"/>
        <v/>
      </c>
      <c r="F47" s="78" t="str">
        <f t="shared" ca="1" si="4"/>
        <v/>
      </c>
      <c r="G47" s="79" t="str">
        <f t="shared" ca="1" si="5"/>
        <v/>
      </c>
      <c r="H47" s="80" t="str">
        <f t="shared" ca="1" si="6"/>
        <v/>
      </c>
      <c r="I47" s="100"/>
      <c r="J47" s="111"/>
      <c r="K47" s="111" t="s">
        <v>65</v>
      </c>
      <c r="L47" s="111"/>
      <c r="M47" s="111"/>
      <c r="N47" s="111"/>
      <c r="O47" s="111"/>
      <c r="P47" s="111"/>
      <c r="Q47" s="112"/>
      <c r="R47" s="120" t="s">
        <v>62</v>
      </c>
      <c r="S47" s="113">
        <v>45835</v>
      </c>
      <c r="T47" s="115">
        <v>45835</v>
      </c>
      <c r="U47" s="114"/>
      <c r="V47" s="115"/>
      <c r="W47" s="116"/>
      <c r="X47" s="117"/>
      <c r="Y47" s="121"/>
      <c r="Z47" s="119"/>
      <c r="AA47" s="92"/>
      <c r="AB47" s="93"/>
      <c r="AC47" s="94"/>
      <c r="AD47" s="95"/>
      <c r="AE47" s="96"/>
      <c r="AF47" s="97"/>
      <c r="AG47" s="97">
        <f t="shared" ca="1" si="7"/>
        <v>0</v>
      </c>
      <c r="AH47" s="97">
        <f t="shared" ca="1" si="8"/>
        <v>0</v>
      </c>
      <c r="AI47" s="97">
        <f t="shared" si="9"/>
        <v>0</v>
      </c>
      <c r="AJ47" s="97">
        <f t="shared" ca="1" si="10"/>
        <v>0</v>
      </c>
      <c r="AK47" s="97" t="str">
        <f t="shared" ca="1" si="11"/>
        <v/>
      </c>
      <c r="AL47" s="98">
        <f t="shared" ca="1" si="12"/>
        <v>1</v>
      </c>
      <c r="AM47" s="98">
        <f t="shared" ca="1" si="13"/>
        <v>6</v>
      </c>
      <c r="AN47" s="98">
        <f t="shared" ca="1" si="14"/>
        <v>5</v>
      </c>
      <c r="AO47" s="98">
        <f t="shared" ca="1" si="15"/>
        <v>0</v>
      </c>
      <c r="AP47" s="98">
        <f t="shared" ca="1" si="16"/>
        <v>0</v>
      </c>
      <c r="AQ47" s="98">
        <f t="shared" ca="1" si="17"/>
        <v>0</v>
      </c>
      <c r="AR47" s="98">
        <f t="shared" ca="1" si="18"/>
        <v>0</v>
      </c>
      <c r="AS47" s="99"/>
      <c r="AT47" s="98">
        <f t="shared" si="19"/>
        <v>1</v>
      </c>
    </row>
    <row r="48" spans="1:46" ht="15.75" customHeight="1">
      <c r="A48" s="76"/>
      <c r="B48" s="77">
        <f t="shared" ca="1" si="0"/>
        <v>1</v>
      </c>
      <c r="C48" s="78">
        <f t="shared" ca="1" si="1"/>
        <v>6</v>
      </c>
      <c r="D48" s="78">
        <f t="shared" ca="1" si="2"/>
        <v>6</v>
      </c>
      <c r="E48" s="78" t="str">
        <f t="shared" ca="1" si="3"/>
        <v/>
      </c>
      <c r="F48" s="78" t="str">
        <f t="shared" ca="1" si="4"/>
        <v/>
      </c>
      <c r="G48" s="79" t="str">
        <f t="shared" ca="1" si="5"/>
        <v/>
      </c>
      <c r="H48" s="80" t="str">
        <f t="shared" ca="1" si="6"/>
        <v/>
      </c>
      <c r="I48" s="100"/>
      <c r="J48" s="111"/>
      <c r="K48" s="111" t="s">
        <v>66</v>
      </c>
      <c r="L48" s="111"/>
      <c r="M48" s="111"/>
      <c r="N48" s="111"/>
      <c r="O48" s="111"/>
      <c r="P48" s="111"/>
      <c r="Q48" s="112"/>
      <c r="R48" s="120" t="s">
        <v>60</v>
      </c>
      <c r="S48" s="113">
        <v>45838</v>
      </c>
      <c r="T48" s="115">
        <v>45838</v>
      </c>
      <c r="U48" s="114"/>
      <c r="V48" s="115"/>
      <c r="W48" s="116"/>
      <c r="X48" s="117"/>
      <c r="Y48" s="121"/>
      <c r="Z48" s="119"/>
      <c r="AA48" s="92"/>
      <c r="AB48" s="93"/>
      <c r="AC48" s="94"/>
      <c r="AD48" s="95"/>
      <c r="AE48" s="96"/>
      <c r="AF48" s="97"/>
      <c r="AG48" s="97">
        <f t="shared" ca="1" si="7"/>
        <v>0</v>
      </c>
      <c r="AH48" s="97">
        <f t="shared" ca="1" si="8"/>
        <v>0</v>
      </c>
      <c r="AI48" s="97">
        <f t="shared" si="9"/>
        <v>0</v>
      </c>
      <c r="AJ48" s="97">
        <f t="shared" ca="1" si="10"/>
        <v>0</v>
      </c>
      <c r="AK48" s="97" t="str">
        <f t="shared" ca="1" si="11"/>
        <v/>
      </c>
      <c r="AL48" s="98">
        <f t="shared" ca="1" si="12"/>
        <v>1</v>
      </c>
      <c r="AM48" s="98">
        <f t="shared" ca="1" si="13"/>
        <v>6</v>
      </c>
      <c r="AN48" s="98">
        <f t="shared" ca="1" si="14"/>
        <v>6</v>
      </c>
      <c r="AO48" s="98">
        <f t="shared" ca="1" si="15"/>
        <v>0</v>
      </c>
      <c r="AP48" s="98">
        <f t="shared" ca="1" si="16"/>
        <v>0</v>
      </c>
      <c r="AQ48" s="98">
        <f t="shared" ca="1" si="17"/>
        <v>0</v>
      </c>
      <c r="AR48" s="98">
        <f t="shared" ca="1" si="18"/>
        <v>0</v>
      </c>
      <c r="AS48" s="99"/>
      <c r="AT48" s="98">
        <f t="shared" si="19"/>
        <v>1</v>
      </c>
    </row>
    <row r="49" spans="1:46" ht="15.75" customHeight="1">
      <c r="A49" s="76"/>
      <c r="B49" s="77">
        <f t="shared" ca="1" si="0"/>
        <v>1</v>
      </c>
      <c r="C49" s="78">
        <f t="shared" ca="1" si="1"/>
        <v>7</v>
      </c>
      <c r="D49" s="78" t="str">
        <f t="shared" ca="1" si="2"/>
        <v/>
      </c>
      <c r="E49" s="78" t="str">
        <f t="shared" ca="1" si="3"/>
        <v/>
      </c>
      <c r="F49" s="78" t="str">
        <f t="shared" ca="1" si="4"/>
        <v/>
      </c>
      <c r="G49" s="79" t="str">
        <f t="shared" ca="1" si="5"/>
        <v/>
      </c>
      <c r="H49" s="80" t="str">
        <f t="shared" ca="1" si="6"/>
        <v/>
      </c>
      <c r="I49" s="100"/>
      <c r="J49" s="101" t="s">
        <v>75</v>
      </c>
      <c r="K49" s="102"/>
      <c r="L49" s="102"/>
      <c r="M49" s="102"/>
      <c r="N49" s="102"/>
      <c r="O49" s="102"/>
      <c r="P49" s="102"/>
      <c r="Q49" s="103" t="s">
        <v>73</v>
      </c>
      <c r="R49" s="104"/>
      <c r="S49" s="104"/>
      <c r="T49" s="105"/>
      <c r="U49" s="106"/>
      <c r="V49" s="105"/>
      <c r="W49" s="107"/>
      <c r="X49" s="108"/>
      <c r="Y49" s="122"/>
      <c r="Z49" s="110"/>
      <c r="AA49" s="92"/>
      <c r="AB49" s="93"/>
      <c r="AC49" s="94"/>
      <c r="AD49" s="95"/>
      <c r="AE49" s="96"/>
      <c r="AF49" s="97"/>
      <c r="AG49" s="97">
        <f t="shared" si="7"/>
        <v>0</v>
      </c>
      <c r="AH49" s="97">
        <f t="shared" si="8"/>
        <v>0</v>
      </c>
      <c r="AI49" s="97">
        <f t="shared" si="9"/>
        <v>0</v>
      </c>
      <c r="AJ49" s="97">
        <f t="shared" si="10"/>
        <v>0</v>
      </c>
      <c r="AK49" s="97" t="str">
        <f t="shared" si="11"/>
        <v/>
      </c>
      <c r="AL49" s="98">
        <f t="shared" ca="1" si="12"/>
        <v>1</v>
      </c>
      <c r="AM49" s="98">
        <f t="shared" ca="1" si="13"/>
        <v>7</v>
      </c>
      <c r="AN49" s="98">
        <f t="shared" ca="1" si="14"/>
        <v>0</v>
      </c>
      <c r="AO49" s="98">
        <f t="shared" ca="1" si="15"/>
        <v>0</v>
      </c>
      <c r="AP49" s="98">
        <f t="shared" ca="1" si="16"/>
        <v>0</v>
      </c>
      <c r="AQ49" s="98">
        <f t="shared" ca="1" si="17"/>
        <v>0</v>
      </c>
      <c r="AR49" s="98">
        <f t="shared" ca="1" si="18"/>
        <v>0</v>
      </c>
      <c r="AS49" s="99"/>
      <c r="AT49" s="98">
        <f t="shared" si="19"/>
        <v>1</v>
      </c>
    </row>
    <row r="50" spans="1:46" ht="15.75" customHeight="1">
      <c r="A50" s="76"/>
      <c r="B50" s="77">
        <f t="shared" ca="1" si="0"/>
        <v>1</v>
      </c>
      <c r="C50" s="78">
        <f t="shared" ca="1" si="1"/>
        <v>7</v>
      </c>
      <c r="D50" s="78">
        <f t="shared" ca="1" si="2"/>
        <v>1</v>
      </c>
      <c r="E50" s="78" t="str">
        <f t="shared" ca="1" si="3"/>
        <v/>
      </c>
      <c r="F50" s="78" t="str">
        <f t="shared" ca="1" si="4"/>
        <v/>
      </c>
      <c r="G50" s="79" t="str">
        <f t="shared" ca="1" si="5"/>
        <v/>
      </c>
      <c r="H50" s="80" t="str">
        <f t="shared" ca="1" si="6"/>
        <v/>
      </c>
      <c r="I50" s="100"/>
      <c r="J50" s="111"/>
      <c r="K50" s="111" t="s">
        <v>59</v>
      </c>
      <c r="L50" s="111"/>
      <c r="M50" s="111"/>
      <c r="N50" s="111"/>
      <c r="O50" s="111"/>
      <c r="P50" s="111"/>
      <c r="Q50" s="112"/>
      <c r="R50" s="120" t="s">
        <v>69</v>
      </c>
      <c r="S50" s="114">
        <v>45819</v>
      </c>
      <c r="T50" s="115">
        <v>45825</v>
      </c>
      <c r="U50" s="114">
        <v>45818</v>
      </c>
      <c r="V50" s="115">
        <v>45820</v>
      </c>
      <c r="W50" s="116">
        <v>1</v>
      </c>
      <c r="X50" s="117">
        <v>1</v>
      </c>
      <c r="Y50" s="121"/>
      <c r="Z50" s="119"/>
      <c r="AA50" s="92"/>
      <c r="AB50" s="93"/>
      <c r="AC50" s="94"/>
      <c r="AD50" s="95"/>
      <c r="AE50" s="96"/>
      <c r="AF50" s="97"/>
      <c r="AG50" s="97">
        <f t="shared" ca="1" si="7"/>
        <v>0</v>
      </c>
      <c r="AH50" s="97">
        <f t="shared" ca="1" si="8"/>
        <v>0</v>
      </c>
      <c r="AI50" s="97">
        <f t="shared" si="9"/>
        <v>0</v>
      </c>
      <c r="AJ50" s="97">
        <f t="shared" ca="1" si="10"/>
        <v>0</v>
      </c>
      <c r="AK50" s="97" t="str">
        <f t="shared" ca="1" si="11"/>
        <v/>
      </c>
      <c r="AL50" s="98">
        <f t="shared" ca="1" si="12"/>
        <v>1</v>
      </c>
      <c r="AM50" s="98">
        <f t="shared" ca="1" si="13"/>
        <v>7</v>
      </c>
      <c r="AN50" s="98">
        <f t="shared" ca="1" si="14"/>
        <v>1</v>
      </c>
      <c r="AO50" s="98">
        <f t="shared" ca="1" si="15"/>
        <v>0</v>
      </c>
      <c r="AP50" s="98">
        <f t="shared" ca="1" si="16"/>
        <v>0</v>
      </c>
      <c r="AQ50" s="98">
        <f t="shared" ca="1" si="17"/>
        <v>0</v>
      </c>
      <c r="AR50" s="98">
        <f t="shared" ca="1" si="18"/>
        <v>0</v>
      </c>
      <c r="AS50" s="99"/>
      <c r="AT50" s="98">
        <f t="shared" si="19"/>
        <v>7</v>
      </c>
    </row>
    <row r="51" spans="1:46" ht="15.75" customHeight="1">
      <c r="A51" s="76"/>
      <c r="B51" s="77">
        <f t="shared" ca="1" si="0"/>
        <v>1</v>
      </c>
      <c r="C51" s="78">
        <f t="shared" ca="1" si="1"/>
        <v>7</v>
      </c>
      <c r="D51" s="78">
        <f t="shared" ca="1" si="2"/>
        <v>2</v>
      </c>
      <c r="E51" s="78" t="str">
        <f t="shared" ca="1" si="3"/>
        <v/>
      </c>
      <c r="F51" s="78" t="str">
        <f t="shared" ca="1" si="4"/>
        <v/>
      </c>
      <c r="G51" s="79" t="str">
        <f t="shared" ca="1" si="5"/>
        <v/>
      </c>
      <c r="H51" s="80" t="str">
        <f t="shared" ca="1" si="6"/>
        <v/>
      </c>
      <c r="I51" s="100"/>
      <c r="J51" s="111"/>
      <c r="K51" s="111" t="s">
        <v>61</v>
      </c>
      <c r="L51" s="111"/>
      <c r="M51" s="111"/>
      <c r="N51" s="111"/>
      <c r="O51" s="111"/>
      <c r="P51" s="111"/>
      <c r="Q51" s="112"/>
      <c r="R51" s="123" t="s">
        <v>78</v>
      </c>
      <c r="S51" s="114">
        <v>45826</v>
      </c>
      <c r="T51" s="115">
        <v>45826</v>
      </c>
      <c r="U51" s="114">
        <v>45821</v>
      </c>
      <c r="V51" s="115">
        <v>45821</v>
      </c>
      <c r="W51" s="116">
        <v>1</v>
      </c>
      <c r="X51" s="117">
        <v>1</v>
      </c>
      <c r="Y51" s="121"/>
      <c r="Z51" s="119"/>
      <c r="AA51" s="92"/>
      <c r="AB51" s="93"/>
      <c r="AC51" s="94"/>
      <c r="AD51" s="95"/>
      <c r="AE51" s="96"/>
      <c r="AF51" s="97"/>
      <c r="AG51" s="97">
        <f t="shared" ca="1" si="7"/>
        <v>0</v>
      </c>
      <c r="AH51" s="97">
        <f t="shared" ca="1" si="8"/>
        <v>0</v>
      </c>
      <c r="AI51" s="97">
        <f t="shared" si="9"/>
        <v>0</v>
      </c>
      <c r="AJ51" s="97">
        <f t="shared" ca="1" si="10"/>
        <v>0</v>
      </c>
      <c r="AK51" s="97" t="str">
        <f t="shared" ca="1" si="11"/>
        <v/>
      </c>
      <c r="AL51" s="98">
        <f t="shared" ca="1" si="12"/>
        <v>1</v>
      </c>
      <c r="AM51" s="98">
        <f t="shared" ca="1" si="13"/>
        <v>7</v>
      </c>
      <c r="AN51" s="98">
        <f t="shared" ca="1" si="14"/>
        <v>2</v>
      </c>
      <c r="AO51" s="98">
        <f t="shared" ca="1" si="15"/>
        <v>0</v>
      </c>
      <c r="AP51" s="98">
        <f t="shared" ca="1" si="16"/>
        <v>0</v>
      </c>
      <c r="AQ51" s="98">
        <f t="shared" ca="1" si="17"/>
        <v>0</v>
      </c>
      <c r="AR51" s="98">
        <f t="shared" ca="1" si="18"/>
        <v>0</v>
      </c>
      <c r="AS51" s="99"/>
      <c r="AT51" s="98">
        <f t="shared" si="19"/>
        <v>1</v>
      </c>
    </row>
    <row r="52" spans="1:46" ht="15.75" customHeight="1">
      <c r="A52" s="76"/>
      <c r="B52" s="77">
        <f t="shared" ca="1" si="0"/>
        <v>1</v>
      </c>
      <c r="C52" s="78">
        <f t="shared" ca="1" si="1"/>
        <v>7</v>
      </c>
      <c r="D52" s="78">
        <f t="shared" ca="1" si="2"/>
        <v>3</v>
      </c>
      <c r="E52" s="78" t="str">
        <f t="shared" ca="1" si="3"/>
        <v/>
      </c>
      <c r="F52" s="78" t="str">
        <f t="shared" ca="1" si="4"/>
        <v/>
      </c>
      <c r="G52" s="79" t="str">
        <f t="shared" ca="1" si="5"/>
        <v/>
      </c>
      <c r="H52" s="80" t="str">
        <f t="shared" ca="1" si="6"/>
        <v/>
      </c>
      <c r="I52" s="100"/>
      <c r="J52" s="111"/>
      <c r="K52" s="111" t="s">
        <v>63</v>
      </c>
      <c r="L52" s="111"/>
      <c r="M52" s="111"/>
      <c r="N52" s="111"/>
      <c r="O52" s="111"/>
      <c r="P52" s="111"/>
      <c r="Q52" s="112"/>
      <c r="R52" s="120" t="s">
        <v>69</v>
      </c>
      <c r="S52" s="113">
        <v>45832</v>
      </c>
      <c r="T52" s="115">
        <v>45833</v>
      </c>
      <c r="U52" s="114"/>
      <c r="V52" s="115"/>
      <c r="W52" s="116"/>
      <c r="X52" s="117"/>
      <c r="Y52" s="121"/>
      <c r="Z52" s="119"/>
      <c r="AA52" s="92"/>
      <c r="AB52" s="93"/>
      <c r="AC52" s="94"/>
      <c r="AD52" s="95"/>
      <c r="AE52" s="96"/>
      <c r="AF52" s="97"/>
      <c r="AG52" s="97">
        <f t="shared" ca="1" si="7"/>
        <v>0</v>
      </c>
      <c r="AH52" s="97">
        <f t="shared" ca="1" si="8"/>
        <v>0</v>
      </c>
      <c r="AI52" s="97">
        <f t="shared" si="9"/>
        <v>0</v>
      </c>
      <c r="AJ52" s="97">
        <f t="shared" ca="1" si="10"/>
        <v>0</v>
      </c>
      <c r="AK52" s="97" t="str">
        <f t="shared" ca="1" si="11"/>
        <v/>
      </c>
      <c r="AL52" s="98">
        <f t="shared" ca="1" si="12"/>
        <v>1</v>
      </c>
      <c r="AM52" s="98">
        <f t="shared" ca="1" si="13"/>
        <v>7</v>
      </c>
      <c r="AN52" s="98">
        <f t="shared" ca="1" si="14"/>
        <v>3</v>
      </c>
      <c r="AO52" s="98">
        <f t="shared" ca="1" si="15"/>
        <v>0</v>
      </c>
      <c r="AP52" s="98">
        <f t="shared" ca="1" si="16"/>
        <v>0</v>
      </c>
      <c r="AQ52" s="98">
        <f t="shared" ca="1" si="17"/>
        <v>0</v>
      </c>
      <c r="AR52" s="98">
        <f t="shared" ca="1" si="18"/>
        <v>0</v>
      </c>
      <c r="AS52" s="99"/>
      <c r="AT52" s="98">
        <f t="shared" si="19"/>
        <v>2</v>
      </c>
    </row>
    <row r="53" spans="1:46" ht="15.75" customHeight="1">
      <c r="A53" s="76"/>
      <c r="B53" s="77">
        <f t="shared" ca="1" si="0"/>
        <v>1</v>
      </c>
      <c r="C53" s="78">
        <f t="shared" ca="1" si="1"/>
        <v>7</v>
      </c>
      <c r="D53" s="78">
        <f t="shared" ca="1" si="2"/>
        <v>4</v>
      </c>
      <c r="E53" s="78" t="str">
        <f t="shared" ca="1" si="3"/>
        <v/>
      </c>
      <c r="F53" s="78" t="str">
        <f t="shared" ca="1" si="4"/>
        <v/>
      </c>
      <c r="G53" s="79" t="str">
        <f t="shared" ca="1" si="5"/>
        <v/>
      </c>
      <c r="H53" s="80" t="str">
        <f t="shared" ca="1" si="6"/>
        <v/>
      </c>
      <c r="I53" s="100"/>
      <c r="J53" s="111"/>
      <c r="K53" s="111" t="s">
        <v>64</v>
      </c>
      <c r="L53" s="111"/>
      <c r="M53" s="111"/>
      <c r="N53" s="111"/>
      <c r="O53" s="111"/>
      <c r="P53" s="111"/>
      <c r="Q53" s="112"/>
      <c r="R53" s="123" t="s">
        <v>78</v>
      </c>
      <c r="S53" s="113">
        <v>45834</v>
      </c>
      <c r="T53" s="115">
        <v>45834</v>
      </c>
      <c r="U53" s="114"/>
      <c r="V53" s="115"/>
      <c r="W53" s="116"/>
      <c r="X53" s="117"/>
      <c r="Y53" s="121"/>
      <c r="Z53" s="119"/>
      <c r="AA53" s="92"/>
      <c r="AB53" s="93"/>
      <c r="AC53" s="94"/>
      <c r="AD53" s="95"/>
      <c r="AE53" s="96"/>
      <c r="AF53" s="97"/>
      <c r="AG53" s="97">
        <f t="shared" ca="1" si="7"/>
        <v>0</v>
      </c>
      <c r="AH53" s="97">
        <f t="shared" ca="1" si="8"/>
        <v>0</v>
      </c>
      <c r="AI53" s="97">
        <f t="shared" si="9"/>
        <v>0</v>
      </c>
      <c r="AJ53" s="97">
        <f t="shared" ca="1" si="10"/>
        <v>0</v>
      </c>
      <c r="AK53" s="97" t="str">
        <f t="shared" ca="1" si="11"/>
        <v/>
      </c>
      <c r="AL53" s="98">
        <f t="shared" ca="1" si="12"/>
        <v>1</v>
      </c>
      <c r="AM53" s="98">
        <f t="shared" ca="1" si="13"/>
        <v>7</v>
      </c>
      <c r="AN53" s="98">
        <f t="shared" ca="1" si="14"/>
        <v>4</v>
      </c>
      <c r="AO53" s="98">
        <f t="shared" ca="1" si="15"/>
        <v>0</v>
      </c>
      <c r="AP53" s="98">
        <f t="shared" ca="1" si="16"/>
        <v>0</v>
      </c>
      <c r="AQ53" s="98">
        <f t="shared" ca="1" si="17"/>
        <v>0</v>
      </c>
      <c r="AR53" s="98">
        <f t="shared" ca="1" si="18"/>
        <v>0</v>
      </c>
      <c r="AS53" s="99"/>
      <c r="AT53" s="98">
        <f t="shared" si="19"/>
        <v>1</v>
      </c>
    </row>
    <row r="54" spans="1:46" ht="15.75" customHeight="1">
      <c r="A54" s="76"/>
      <c r="B54" s="77">
        <f t="shared" ca="1" si="0"/>
        <v>1</v>
      </c>
      <c r="C54" s="78">
        <f t="shared" ca="1" si="1"/>
        <v>7</v>
      </c>
      <c r="D54" s="78">
        <f t="shared" ca="1" si="2"/>
        <v>5</v>
      </c>
      <c r="E54" s="78" t="str">
        <f t="shared" ca="1" si="3"/>
        <v/>
      </c>
      <c r="F54" s="78" t="str">
        <f t="shared" ca="1" si="4"/>
        <v/>
      </c>
      <c r="G54" s="79" t="str">
        <f t="shared" ca="1" si="5"/>
        <v/>
      </c>
      <c r="H54" s="80" t="str">
        <f t="shared" ca="1" si="6"/>
        <v/>
      </c>
      <c r="I54" s="100"/>
      <c r="J54" s="111"/>
      <c r="K54" s="111" t="s">
        <v>65</v>
      </c>
      <c r="L54" s="111"/>
      <c r="M54" s="111"/>
      <c r="N54" s="111"/>
      <c r="O54" s="111"/>
      <c r="P54" s="111"/>
      <c r="Q54" s="112"/>
      <c r="R54" s="120" t="s">
        <v>69</v>
      </c>
      <c r="S54" s="113">
        <v>45835</v>
      </c>
      <c r="T54" s="115">
        <v>45835</v>
      </c>
      <c r="U54" s="114"/>
      <c r="V54" s="115"/>
      <c r="W54" s="116"/>
      <c r="X54" s="117"/>
      <c r="Y54" s="121"/>
      <c r="Z54" s="119"/>
      <c r="AA54" s="92"/>
      <c r="AB54" s="93"/>
      <c r="AC54" s="94"/>
      <c r="AD54" s="95"/>
      <c r="AE54" s="96"/>
      <c r="AF54" s="97"/>
      <c r="AG54" s="97">
        <f t="shared" ca="1" si="7"/>
        <v>0</v>
      </c>
      <c r="AH54" s="97">
        <f t="shared" ca="1" si="8"/>
        <v>0</v>
      </c>
      <c r="AI54" s="97">
        <f t="shared" si="9"/>
        <v>0</v>
      </c>
      <c r="AJ54" s="97">
        <f t="shared" ca="1" si="10"/>
        <v>0</v>
      </c>
      <c r="AK54" s="97" t="str">
        <f t="shared" ca="1" si="11"/>
        <v/>
      </c>
      <c r="AL54" s="98">
        <f t="shared" ca="1" si="12"/>
        <v>1</v>
      </c>
      <c r="AM54" s="98">
        <f t="shared" ca="1" si="13"/>
        <v>7</v>
      </c>
      <c r="AN54" s="98">
        <f t="shared" ca="1" si="14"/>
        <v>5</v>
      </c>
      <c r="AO54" s="98">
        <f t="shared" ca="1" si="15"/>
        <v>0</v>
      </c>
      <c r="AP54" s="98">
        <f t="shared" ca="1" si="16"/>
        <v>0</v>
      </c>
      <c r="AQ54" s="98">
        <f t="shared" ca="1" si="17"/>
        <v>0</v>
      </c>
      <c r="AR54" s="98">
        <f t="shared" ca="1" si="18"/>
        <v>0</v>
      </c>
      <c r="AS54" s="99"/>
      <c r="AT54" s="98">
        <f t="shared" si="19"/>
        <v>1</v>
      </c>
    </row>
    <row r="55" spans="1:46" ht="15.75" customHeight="1">
      <c r="A55" s="76"/>
      <c r="B55" s="77">
        <f t="shared" ca="1" si="0"/>
        <v>1</v>
      </c>
      <c r="C55" s="78">
        <f t="shared" ca="1" si="1"/>
        <v>7</v>
      </c>
      <c r="D55" s="78">
        <f t="shared" ca="1" si="2"/>
        <v>6</v>
      </c>
      <c r="E55" s="78" t="str">
        <f t="shared" ca="1" si="3"/>
        <v/>
      </c>
      <c r="F55" s="78" t="str">
        <f t="shared" ca="1" si="4"/>
        <v/>
      </c>
      <c r="G55" s="79" t="str">
        <f t="shared" ca="1" si="5"/>
        <v/>
      </c>
      <c r="H55" s="80" t="str">
        <f t="shared" ca="1" si="6"/>
        <v/>
      </c>
      <c r="I55" s="100"/>
      <c r="J55" s="111"/>
      <c r="K55" s="111" t="s">
        <v>66</v>
      </c>
      <c r="L55" s="111"/>
      <c r="M55" s="111"/>
      <c r="N55" s="111"/>
      <c r="O55" s="111"/>
      <c r="P55" s="111"/>
      <c r="Q55" s="112"/>
      <c r="R55" s="123" t="s">
        <v>78</v>
      </c>
      <c r="S55" s="113">
        <v>45838</v>
      </c>
      <c r="T55" s="115">
        <v>45838</v>
      </c>
      <c r="U55" s="114"/>
      <c r="V55" s="115"/>
      <c r="W55" s="116"/>
      <c r="X55" s="117"/>
      <c r="Y55" s="121"/>
      <c r="Z55" s="119"/>
      <c r="AA55" s="92"/>
      <c r="AB55" s="93"/>
      <c r="AC55" s="94"/>
      <c r="AD55" s="95"/>
      <c r="AE55" s="96"/>
      <c r="AF55" s="97"/>
      <c r="AG55" s="97">
        <f t="shared" ca="1" si="7"/>
        <v>0</v>
      </c>
      <c r="AH55" s="97">
        <f t="shared" ca="1" si="8"/>
        <v>0</v>
      </c>
      <c r="AI55" s="97">
        <f t="shared" si="9"/>
        <v>0</v>
      </c>
      <c r="AJ55" s="97">
        <f t="shared" ca="1" si="10"/>
        <v>0</v>
      </c>
      <c r="AK55" s="97" t="str">
        <f t="shared" ca="1" si="11"/>
        <v/>
      </c>
      <c r="AL55" s="98">
        <f t="shared" ca="1" si="12"/>
        <v>1</v>
      </c>
      <c r="AM55" s="98">
        <f t="shared" ca="1" si="13"/>
        <v>7</v>
      </c>
      <c r="AN55" s="98">
        <f t="shared" ca="1" si="14"/>
        <v>6</v>
      </c>
      <c r="AO55" s="98">
        <f t="shared" ca="1" si="15"/>
        <v>0</v>
      </c>
      <c r="AP55" s="98">
        <f t="shared" ca="1" si="16"/>
        <v>0</v>
      </c>
      <c r="AQ55" s="98">
        <f t="shared" ca="1" si="17"/>
        <v>0</v>
      </c>
      <c r="AR55" s="98">
        <f t="shared" ca="1" si="18"/>
        <v>0</v>
      </c>
      <c r="AS55" s="99"/>
      <c r="AT55" s="98">
        <f t="shared" si="19"/>
        <v>1</v>
      </c>
    </row>
    <row r="56" spans="1:46" ht="15.75" customHeight="1">
      <c r="A56" s="76"/>
      <c r="B56" s="77">
        <f t="shared" ca="1" si="0"/>
        <v>1</v>
      </c>
      <c r="C56" s="78">
        <f t="shared" ca="1" si="1"/>
        <v>8</v>
      </c>
      <c r="D56" s="78" t="str">
        <f t="shared" ca="1" si="2"/>
        <v/>
      </c>
      <c r="E56" s="78" t="str">
        <f t="shared" ca="1" si="3"/>
        <v/>
      </c>
      <c r="F56" s="78" t="str">
        <f t="shared" ca="1" si="4"/>
        <v/>
      </c>
      <c r="G56" s="79" t="str">
        <f t="shared" ca="1" si="5"/>
        <v/>
      </c>
      <c r="H56" s="80" t="str">
        <f t="shared" ca="1" si="6"/>
        <v/>
      </c>
      <c r="I56" s="100"/>
      <c r="J56" s="101" t="s">
        <v>76</v>
      </c>
      <c r="K56" s="102"/>
      <c r="L56" s="102"/>
      <c r="M56" s="102"/>
      <c r="N56" s="102"/>
      <c r="O56" s="102"/>
      <c r="P56" s="102"/>
      <c r="Q56" s="103" t="s">
        <v>58</v>
      </c>
      <c r="R56" s="104"/>
      <c r="S56" s="104"/>
      <c r="T56" s="105"/>
      <c r="U56" s="106"/>
      <c r="V56" s="105"/>
      <c r="W56" s="107"/>
      <c r="X56" s="108"/>
      <c r="Y56" s="122"/>
      <c r="Z56" s="110"/>
      <c r="AA56" s="92"/>
      <c r="AB56" s="93"/>
      <c r="AC56" s="94"/>
      <c r="AD56" s="95"/>
      <c r="AE56" s="96"/>
      <c r="AF56" s="97"/>
      <c r="AG56" s="97">
        <f t="shared" si="7"/>
        <v>0</v>
      </c>
      <c r="AH56" s="97">
        <f t="shared" si="8"/>
        <v>0</v>
      </c>
      <c r="AI56" s="97">
        <f t="shared" si="9"/>
        <v>0</v>
      </c>
      <c r="AJ56" s="97">
        <f t="shared" si="10"/>
        <v>0</v>
      </c>
      <c r="AK56" s="97" t="str">
        <f t="shared" si="11"/>
        <v/>
      </c>
      <c r="AL56" s="98">
        <f t="shared" ca="1" si="12"/>
        <v>1</v>
      </c>
      <c r="AM56" s="98">
        <f t="shared" ca="1" si="13"/>
        <v>8</v>
      </c>
      <c r="AN56" s="98">
        <f t="shared" ca="1" si="14"/>
        <v>0</v>
      </c>
      <c r="AO56" s="98">
        <f t="shared" ca="1" si="15"/>
        <v>0</v>
      </c>
      <c r="AP56" s="98">
        <f t="shared" ca="1" si="16"/>
        <v>0</v>
      </c>
      <c r="AQ56" s="98">
        <f t="shared" ca="1" si="17"/>
        <v>0</v>
      </c>
      <c r="AR56" s="98">
        <f t="shared" ca="1" si="18"/>
        <v>0</v>
      </c>
      <c r="AS56" s="99"/>
      <c r="AT56" s="98">
        <f t="shared" si="19"/>
        <v>1</v>
      </c>
    </row>
    <row r="57" spans="1:46" ht="15.75" customHeight="1">
      <c r="A57" s="76"/>
      <c r="B57" s="77">
        <f t="shared" ca="1" si="0"/>
        <v>1</v>
      </c>
      <c r="C57" s="78">
        <f t="shared" ca="1" si="1"/>
        <v>8</v>
      </c>
      <c r="D57" s="78">
        <f t="shared" ca="1" si="2"/>
        <v>1</v>
      </c>
      <c r="E57" s="78" t="str">
        <f t="shared" ca="1" si="3"/>
        <v/>
      </c>
      <c r="F57" s="78" t="str">
        <f t="shared" ca="1" si="4"/>
        <v/>
      </c>
      <c r="G57" s="79" t="str">
        <f t="shared" ca="1" si="5"/>
        <v/>
      </c>
      <c r="H57" s="80" t="str">
        <f t="shared" ca="1" si="6"/>
        <v/>
      </c>
      <c r="I57" s="100"/>
      <c r="J57" s="111"/>
      <c r="K57" s="111" t="s">
        <v>59</v>
      </c>
      <c r="L57" s="111"/>
      <c r="M57" s="111"/>
      <c r="N57" s="111"/>
      <c r="O57" s="111"/>
      <c r="P57" s="111"/>
      <c r="Q57" s="112"/>
      <c r="R57" s="113" t="s">
        <v>77</v>
      </c>
      <c r="S57" s="114">
        <v>45839</v>
      </c>
      <c r="T57" s="115">
        <v>45860</v>
      </c>
      <c r="U57" s="114"/>
      <c r="V57" s="115"/>
      <c r="W57" s="116"/>
      <c r="X57" s="117"/>
      <c r="Y57" s="121"/>
      <c r="Z57" s="119"/>
      <c r="AA57" s="92"/>
      <c r="AB57" s="93"/>
      <c r="AC57" s="94"/>
      <c r="AD57" s="95"/>
      <c r="AE57" s="96"/>
      <c r="AF57" s="97"/>
      <c r="AG57" s="97">
        <f t="shared" ca="1" si="7"/>
        <v>0</v>
      </c>
      <c r="AH57" s="97">
        <f t="shared" ca="1" si="8"/>
        <v>0</v>
      </c>
      <c r="AI57" s="97">
        <f t="shared" si="9"/>
        <v>0</v>
      </c>
      <c r="AJ57" s="97">
        <f t="shared" ca="1" si="10"/>
        <v>0</v>
      </c>
      <c r="AK57" s="97" t="str">
        <f t="shared" ca="1" si="11"/>
        <v/>
      </c>
      <c r="AL57" s="98">
        <f t="shared" ca="1" si="12"/>
        <v>1</v>
      </c>
      <c r="AM57" s="98">
        <f t="shared" ca="1" si="13"/>
        <v>8</v>
      </c>
      <c r="AN57" s="98">
        <f t="shared" ca="1" si="14"/>
        <v>1</v>
      </c>
      <c r="AO57" s="98">
        <f t="shared" ca="1" si="15"/>
        <v>0</v>
      </c>
      <c r="AP57" s="98">
        <f t="shared" ca="1" si="16"/>
        <v>0</v>
      </c>
      <c r="AQ57" s="98">
        <f t="shared" ca="1" si="17"/>
        <v>0</v>
      </c>
      <c r="AR57" s="98">
        <f t="shared" ca="1" si="18"/>
        <v>0</v>
      </c>
      <c r="AS57" s="99"/>
      <c r="AT57" s="98">
        <f t="shared" si="19"/>
        <v>22</v>
      </c>
    </row>
    <row r="58" spans="1:46" ht="15.75" customHeight="1">
      <c r="A58" s="76"/>
      <c r="B58" s="77">
        <f t="shared" ca="1" si="0"/>
        <v>1</v>
      </c>
      <c r="C58" s="78">
        <f t="shared" ca="1" si="1"/>
        <v>8</v>
      </c>
      <c r="D58" s="78">
        <f t="shared" ca="1" si="2"/>
        <v>2</v>
      </c>
      <c r="E58" s="78" t="str">
        <f t="shared" ca="1" si="3"/>
        <v/>
      </c>
      <c r="F58" s="78" t="str">
        <f t="shared" ca="1" si="4"/>
        <v/>
      </c>
      <c r="G58" s="79" t="str">
        <f t="shared" ca="1" si="5"/>
        <v/>
      </c>
      <c r="H58" s="80" t="str">
        <f t="shared" ca="1" si="6"/>
        <v/>
      </c>
      <c r="I58" s="100"/>
      <c r="J58" s="111"/>
      <c r="K58" s="111" t="s">
        <v>61</v>
      </c>
      <c r="L58" s="111"/>
      <c r="M58" s="111"/>
      <c r="N58" s="111"/>
      <c r="O58" s="111"/>
      <c r="P58" s="111"/>
      <c r="Q58" s="112"/>
      <c r="R58" s="113" t="s">
        <v>78</v>
      </c>
      <c r="S58" s="114">
        <v>45861</v>
      </c>
      <c r="T58" s="115">
        <v>45861</v>
      </c>
      <c r="U58" s="114"/>
      <c r="V58" s="115"/>
      <c r="W58" s="116"/>
      <c r="X58" s="117"/>
      <c r="Y58" s="121"/>
      <c r="Z58" s="119"/>
      <c r="AA58" s="92"/>
      <c r="AB58" s="93"/>
      <c r="AC58" s="94"/>
      <c r="AD58" s="95"/>
      <c r="AE58" s="96"/>
      <c r="AF58" s="97"/>
      <c r="AG58" s="97">
        <f t="shared" ca="1" si="7"/>
        <v>0</v>
      </c>
      <c r="AH58" s="97">
        <f t="shared" ca="1" si="8"/>
        <v>0</v>
      </c>
      <c r="AI58" s="97">
        <f t="shared" si="9"/>
        <v>0</v>
      </c>
      <c r="AJ58" s="97">
        <f t="shared" ca="1" si="10"/>
        <v>0</v>
      </c>
      <c r="AK58" s="97" t="str">
        <f t="shared" ca="1" si="11"/>
        <v/>
      </c>
      <c r="AL58" s="98">
        <f t="shared" ca="1" si="12"/>
        <v>1</v>
      </c>
      <c r="AM58" s="98">
        <f t="shared" ca="1" si="13"/>
        <v>8</v>
      </c>
      <c r="AN58" s="98">
        <f t="shared" ca="1" si="14"/>
        <v>2</v>
      </c>
      <c r="AO58" s="98">
        <f t="shared" ca="1" si="15"/>
        <v>0</v>
      </c>
      <c r="AP58" s="98">
        <f t="shared" ca="1" si="16"/>
        <v>0</v>
      </c>
      <c r="AQ58" s="98">
        <f t="shared" ca="1" si="17"/>
        <v>0</v>
      </c>
      <c r="AR58" s="98">
        <f t="shared" ca="1" si="18"/>
        <v>0</v>
      </c>
      <c r="AS58" s="99"/>
      <c r="AT58" s="98">
        <f t="shared" si="19"/>
        <v>1</v>
      </c>
    </row>
    <row r="59" spans="1:46" ht="15.75" customHeight="1">
      <c r="A59" s="76"/>
      <c r="B59" s="77">
        <f t="shared" ca="1" si="0"/>
        <v>1</v>
      </c>
      <c r="C59" s="78">
        <f t="shared" ca="1" si="1"/>
        <v>8</v>
      </c>
      <c r="D59" s="78">
        <f t="shared" ca="1" si="2"/>
        <v>3</v>
      </c>
      <c r="E59" s="78" t="str">
        <f t="shared" ca="1" si="3"/>
        <v/>
      </c>
      <c r="F59" s="78" t="str">
        <f t="shared" ca="1" si="4"/>
        <v/>
      </c>
      <c r="G59" s="79" t="str">
        <f t="shared" ca="1" si="5"/>
        <v/>
      </c>
      <c r="H59" s="80" t="str">
        <f t="shared" ca="1" si="6"/>
        <v/>
      </c>
      <c r="I59" s="100"/>
      <c r="J59" s="111"/>
      <c r="K59" s="111" t="s">
        <v>63</v>
      </c>
      <c r="L59" s="111"/>
      <c r="M59" s="111"/>
      <c r="N59" s="111"/>
      <c r="O59" s="111"/>
      <c r="P59" s="111"/>
      <c r="Q59" s="112"/>
      <c r="R59" s="113" t="s">
        <v>77</v>
      </c>
      <c r="S59" s="114">
        <v>45862</v>
      </c>
      <c r="T59" s="115">
        <v>45866</v>
      </c>
      <c r="U59" s="114"/>
      <c r="V59" s="115"/>
      <c r="W59" s="116"/>
      <c r="X59" s="117"/>
      <c r="Y59" s="121"/>
      <c r="Z59" s="119"/>
      <c r="AA59" s="92"/>
      <c r="AB59" s="93"/>
      <c r="AC59" s="94"/>
      <c r="AD59" s="95"/>
      <c r="AE59" s="96"/>
      <c r="AF59" s="97"/>
      <c r="AG59" s="97">
        <f t="shared" ca="1" si="7"/>
        <v>0</v>
      </c>
      <c r="AH59" s="97">
        <f t="shared" ca="1" si="8"/>
        <v>0</v>
      </c>
      <c r="AI59" s="97">
        <f t="shared" si="9"/>
        <v>0</v>
      </c>
      <c r="AJ59" s="97">
        <f t="shared" ca="1" si="10"/>
        <v>0</v>
      </c>
      <c r="AK59" s="97" t="str">
        <f t="shared" ca="1" si="11"/>
        <v/>
      </c>
      <c r="AL59" s="98">
        <f t="shared" ca="1" si="12"/>
        <v>1</v>
      </c>
      <c r="AM59" s="98">
        <f t="shared" ca="1" si="13"/>
        <v>8</v>
      </c>
      <c r="AN59" s="98">
        <f t="shared" ca="1" si="14"/>
        <v>3</v>
      </c>
      <c r="AO59" s="98">
        <f t="shared" ca="1" si="15"/>
        <v>0</v>
      </c>
      <c r="AP59" s="98">
        <f t="shared" ca="1" si="16"/>
        <v>0</v>
      </c>
      <c r="AQ59" s="98">
        <f t="shared" ca="1" si="17"/>
        <v>0</v>
      </c>
      <c r="AR59" s="98">
        <f t="shared" ca="1" si="18"/>
        <v>0</v>
      </c>
      <c r="AS59" s="99"/>
      <c r="AT59" s="98">
        <f t="shared" si="19"/>
        <v>5</v>
      </c>
    </row>
    <row r="60" spans="1:46" ht="15.75" customHeight="1">
      <c r="A60" s="76"/>
      <c r="B60" s="77">
        <f t="shared" ca="1" si="0"/>
        <v>1</v>
      </c>
      <c r="C60" s="78">
        <f t="shared" ca="1" si="1"/>
        <v>8</v>
      </c>
      <c r="D60" s="78">
        <f t="shared" ca="1" si="2"/>
        <v>4</v>
      </c>
      <c r="E60" s="78" t="str">
        <f t="shared" ca="1" si="3"/>
        <v/>
      </c>
      <c r="F60" s="78" t="str">
        <f t="shared" ca="1" si="4"/>
        <v/>
      </c>
      <c r="G60" s="79" t="str">
        <f t="shared" ca="1" si="5"/>
        <v/>
      </c>
      <c r="H60" s="80" t="str">
        <f t="shared" ca="1" si="6"/>
        <v/>
      </c>
      <c r="I60" s="100"/>
      <c r="J60" s="111"/>
      <c r="K60" s="111" t="s">
        <v>64</v>
      </c>
      <c r="L60" s="111"/>
      <c r="M60" s="111"/>
      <c r="N60" s="111"/>
      <c r="O60" s="111"/>
      <c r="P60" s="111"/>
      <c r="Q60" s="112"/>
      <c r="R60" s="113" t="s">
        <v>78</v>
      </c>
      <c r="S60" s="114">
        <v>45867</v>
      </c>
      <c r="T60" s="115">
        <v>45867</v>
      </c>
      <c r="U60" s="114"/>
      <c r="V60" s="115"/>
      <c r="W60" s="116"/>
      <c r="X60" s="117"/>
      <c r="Y60" s="121"/>
      <c r="Z60" s="119"/>
      <c r="AA60" s="92"/>
      <c r="AB60" s="93"/>
      <c r="AC60" s="94"/>
      <c r="AD60" s="95"/>
      <c r="AE60" s="96"/>
      <c r="AF60" s="97"/>
      <c r="AG60" s="97">
        <f t="shared" ca="1" si="7"/>
        <v>0</v>
      </c>
      <c r="AH60" s="97">
        <f t="shared" ca="1" si="8"/>
        <v>0</v>
      </c>
      <c r="AI60" s="97">
        <f t="shared" si="9"/>
        <v>0</v>
      </c>
      <c r="AJ60" s="97">
        <f t="shared" ca="1" si="10"/>
        <v>0</v>
      </c>
      <c r="AK60" s="97" t="str">
        <f t="shared" ca="1" si="11"/>
        <v/>
      </c>
      <c r="AL60" s="98">
        <f t="shared" ca="1" si="12"/>
        <v>1</v>
      </c>
      <c r="AM60" s="98">
        <f t="shared" ca="1" si="13"/>
        <v>8</v>
      </c>
      <c r="AN60" s="98">
        <f t="shared" ca="1" si="14"/>
        <v>4</v>
      </c>
      <c r="AO60" s="98">
        <f t="shared" ca="1" si="15"/>
        <v>0</v>
      </c>
      <c r="AP60" s="98">
        <f t="shared" ca="1" si="16"/>
        <v>0</v>
      </c>
      <c r="AQ60" s="98">
        <f t="shared" ca="1" si="17"/>
        <v>0</v>
      </c>
      <c r="AR60" s="98">
        <f t="shared" ca="1" si="18"/>
        <v>0</v>
      </c>
      <c r="AS60" s="99"/>
      <c r="AT60" s="98">
        <f t="shared" si="19"/>
        <v>1</v>
      </c>
    </row>
    <row r="61" spans="1:46" ht="15.75" customHeight="1">
      <c r="A61" s="76"/>
      <c r="B61" s="77">
        <f t="shared" ca="1" si="0"/>
        <v>1</v>
      </c>
      <c r="C61" s="78">
        <f t="shared" ca="1" si="1"/>
        <v>8</v>
      </c>
      <c r="D61" s="78">
        <f t="shared" ca="1" si="2"/>
        <v>5</v>
      </c>
      <c r="E61" s="78" t="str">
        <f t="shared" ca="1" si="3"/>
        <v/>
      </c>
      <c r="F61" s="78" t="str">
        <f t="shared" ca="1" si="4"/>
        <v/>
      </c>
      <c r="G61" s="79" t="str">
        <f t="shared" ca="1" si="5"/>
        <v/>
      </c>
      <c r="H61" s="80" t="str">
        <f t="shared" ca="1" si="6"/>
        <v/>
      </c>
      <c r="I61" s="100"/>
      <c r="J61" s="111"/>
      <c r="K61" s="111" t="s">
        <v>65</v>
      </c>
      <c r="L61" s="111"/>
      <c r="M61" s="111"/>
      <c r="N61" s="111"/>
      <c r="O61" s="111"/>
      <c r="P61" s="111"/>
      <c r="Q61" s="112"/>
      <c r="R61" s="113" t="s">
        <v>77</v>
      </c>
      <c r="S61" s="114">
        <v>45868</v>
      </c>
      <c r="T61" s="115">
        <v>45874</v>
      </c>
      <c r="U61" s="114"/>
      <c r="V61" s="115"/>
      <c r="W61" s="116"/>
      <c r="X61" s="117"/>
      <c r="Y61" s="121"/>
      <c r="Z61" s="119"/>
      <c r="AA61" s="92"/>
      <c r="AB61" s="93"/>
      <c r="AC61" s="94"/>
      <c r="AD61" s="95"/>
      <c r="AE61" s="96"/>
      <c r="AF61" s="97"/>
      <c r="AG61" s="97">
        <f t="shared" ca="1" si="7"/>
        <v>0</v>
      </c>
      <c r="AH61" s="97">
        <f t="shared" ca="1" si="8"/>
        <v>0</v>
      </c>
      <c r="AI61" s="97">
        <f t="shared" si="9"/>
        <v>0</v>
      </c>
      <c r="AJ61" s="97">
        <f t="shared" ca="1" si="10"/>
        <v>0</v>
      </c>
      <c r="AK61" s="97" t="str">
        <f t="shared" ca="1" si="11"/>
        <v/>
      </c>
      <c r="AL61" s="98">
        <f t="shared" ca="1" si="12"/>
        <v>1</v>
      </c>
      <c r="AM61" s="98">
        <f t="shared" ca="1" si="13"/>
        <v>8</v>
      </c>
      <c r="AN61" s="98">
        <f t="shared" ca="1" si="14"/>
        <v>5</v>
      </c>
      <c r="AO61" s="98">
        <f t="shared" ca="1" si="15"/>
        <v>0</v>
      </c>
      <c r="AP61" s="98">
        <f t="shared" ca="1" si="16"/>
        <v>0</v>
      </c>
      <c r="AQ61" s="98">
        <f t="shared" ca="1" si="17"/>
        <v>0</v>
      </c>
      <c r="AR61" s="98">
        <f t="shared" ca="1" si="18"/>
        <v>0</v>
      </c>
      <c r="AS61" s="99"/>
      <c r="AT61" s="98">
        <f t="shared" si="19"/>
        <v>7</v>
      </c>
    </row>
    <row r="62" spans="1:46" ht="15.75" customHeight="1">
      <c r="A62" s="76"/>
      <c r="B62" s="77">
        <f t="shared" ca="1" si="0"/>
        <v>1</v>
      </c>
      <c r="C62" s="78">
        <f t="shared" ca="1" si="1"/>
        <v>8</v>
      </c>
      <c r="D62" s="78">
        <f t="shared" ca="1" si="2"/>
        <v>6</v>
      </c>
      <c r="E62" s="78" t="str">
        <f t="shared" ca="1" si="3"/>
        <v/>
      </c>
      <c r="F62" s="78" t="str">
        <f t="shared" ca="1" si="4"/>
        <v/>
      </c>
      <c r="G62" s="79" t="str">
        <f t="shared" ca="1" si="5"/>
        <v/>
      </c>
      <c r="H62" s="80" t="str">
        <f t="shared" ca="1" si="6"/>
        <v/>
      </c>
      <c r="I62" s="100"/>
      <c r="J62" s="111"/>
      <c r="K62" s="111" t="s">
        <v>66</v>
      </c>
      <c r="L62" s="111"/>
      <c r="M62" s="111"/>
      <c r="N62" s="111"/>
      <c r="O62" s="111"/>
      <c r="P62" s="111"/>
      <c r="Q62" s="112"/>
      <c r="R62" s="113" t="s">
        <v>78</v>
      </c>
      <c r="S62" s="114">
        <v>45875</v>
      </c>
      <c r="T62" s="115">
        <v>45875</v>
      </c>
      <c r="U62" s="114"/>
      <c r="V62" s="115"/>
      <c r="W62" s="116"/>
      <c r="X62" s="117"/>
      <c r="Y62" s="121"/>
      <c r="Z62" s="119"/>
      <c r="AA62" s="92"/>
      <c r="AB62" s="93"/>
      <c r="AC62" s="94"/>
      <c r="AD62" s="95"/>
      <c r="AE62" s="96"/>
      <c r="AF62" s="97"/>
      <c r="AG62" s="97">
        <f t="shared" ca="1" si="7"/>
        <v>0</v>
      </c>
      <c r="AH62" s="97">
        <f t="shared" ca="1" si="8"/>
        <v>0</v>
      </c>
      <c r="AI62" s="97">
        <f t="shared" si="9"/>
        <v>0</v>
      </c>
      <c r="AJ62" s="97">
        <f t="shared" ca="1" si="10"/>
        <v>0</v>
      </c>
      <c r="AK62" s="97" t="str">
        <f t="shared" ca="1" si="11"/>
        <v/>
      </c>
      <c r="AL62" s="98">
        <f t="shared" ca="1" si="12"/>
        <v>1</v>
      </c>
      <c r="AM62" s="98">
        <f t="shared" ca="1" si="13"/>
        <v>8</v>
      </c>
      <c r="AN62" s="98">
        <f t="shared" ca="1" si="14"/>
        <v>6</v>
      </c>
      <c r="AO62" s="98">
        <f t="shared" ca="1" si="15"/>
        <v>0</v>
      </c>
      <c r="AP62" s="98">
        <f t="shared" ca="1" si="16"/>
        <v>0</v>
      </c>
      <c r="AQ62" s="98">
        <f t="shared" ca="1" si="17"/>
        <v>0</v>
      </c>
      <c r="AR62" s="98">
        <f t="shared" ca="1" si="18"/>
        <v>0</v>
      </c>
      <c r="AS62" s="99"/>
      <c r="AT62" s="98">
        <f t="shared" si="19"/>
        <v>1</v>
      </c>
    </row>
    <row r="63" spans="1:46" ht="15.75" customHeight="1">
      <c r="A63" s="76"/>
      <c r="B63" s="77">
        <f t="shared" ca="1" si="0"/>
        <v>1</v>
      </c>
      <c r="C63" s="78">
        <f t="shared" ca="1" si="1"/>
        <v>9</v>
      </c>
      <c r="D63" s="78" t="str">
        <f t="shared" ca="1" si="2"/>
        <v/>
      </c>
      <c r="E63" s="78" t="str">
        <f t="shared" ca="1" si="3"/>
        <v/>
      </c>
      <c r="F63" s="78" t="str">
        <f t="shared" ca="1" si="4"/>
        <v/>
      </c>
      <c r="G63" s="79" t="str">
        <f t="shared" ca="1" si="5"/>
        <v/>
      </c>
      <c r="H63" s="80" t="str">
        <f t="shared" ca="1" si="6"/>
        <v/>
      </c>
      <c r="I63" s="100"/>
      <c r="J63" s="101" t="s">
        <v>79</v>
      </c>
      <c r="K63" s="102"/>
      <c r="L63" s="102"/>
      <c r="M63" s="102"/>
      <c r="N63" s="102"/>
      <c r="O63" s="102"/>
      <c r="P63" s="102"/>
      <c r="Q63" s="103" t="s">
        <v>58</v>
      </c>
      <c r="R63" s="104"/>
      <c r="S63" s="104"/>
      <c r="T63" s="105"/>
      <c r="U63" s="106"/>
      <c r="V63" s="105"/>
      <c r="W63" s="107"/>
      <c r="X63" s="108"/>
      <c r="Y63" s="122"/>
      <c r="Z63" s="110"/>
      <c r="AA63" s="92"/>
      <c r="AB63" s="93"/>
      <c r="AC63" s="94"/>
      <c r="AD63" s="95"/>
      <c r="AE63" s="96"/>
      <c r="AF63" s="97"/>
      <c r="AG63" s="97">
        <f t="shared" si="7"/>
        <v>0</v>
      </c>
      <c r="AH63" s="97">
        <f t="shared" si="8"/>
        <v>0</v>
      </c>
      <c r="AI63" s="97">
        <f t="shared" si="9"/>
        <v>0</v>
      </c>
      <c r="AJ63" s="97">
        <f t="shared" si="10"/>
        <v>0</v>
      </c>
      <c r="AK63" s="97" t="str">
        <f t="shared" si="11"/>
        <v/>
      </c>
      <c r="AL63" s="98">
        <f t="shared" ca="1" si="12"/>
        <v>1</v>
      </c>
      <c r="AM63" s="98">
        <f t="shared" ca="1" si="13"/>
        <v>9</v>
      </c>
      <c r="AN63" s="98">
        <f t="shared" ca="1" si="14"/>
        <v>0</v>
      </c>
      <c r="AO63" s="98">
        <f t="shared" ca="1" si="15"/>
        <v>0</v>
      </c>
      <c r="AP63" s="98">
        <f t="shared" ca="1" si="16"/>
        <v>0</v>
      </c>
      <c r="AQ63" s="98">
        <f t="shared" ca="1" si="17"/>
        <v>0</v>
      </c>
      <c r="AR63" s="98">
        <f t="shared" ca="1" si="18"/>
        <v>0</v>
      </c>
      <c r="AS63" s="99"/>
      <c r="AT63" s="98">
        <f t="shared" si="19"/>
        <v>1</v>
      </c>
    </row>
    <row r="64" spans="1:46" ht="15.75" customHeight="1">
      <c r="A64" s="76"/>
      <c r="B64" s="77">
        <f t="shared" ca="1" si="0"/>
        <v>1</v>
      </c>
      <c r="C64" s="78">
        <f t="shared" ca="1" si="1"/>
        <v>9</v>
      </c>
      <c r="D64" s="78">
        <f t="shared" ca="1" si="2"/>
        <v>1</v>
      </c>
      <c r="E64" s="78" t="str">
        <f t="shared" ca="1" si="3"/>
        <v/>
      </c>
      <c r="F64" s="78" t="str">
        <f t="shared" ca="1" si="4"/>
        <v/>
      </c>
      <c r="G64" s="79" t="str">
        <f t="shared" ca="1" si="5"/>
        <v/>
      </c>
      <c r="H64" s="80" t="str">
        <f t="shared" ca="1" si="6"/>
        <v/>
      </c>
      <c r="I64" s="100"/>
      <c r="J64" s="111"/>
      <c r="K64" s="111" t="s">
        <v>59</v>
      </c>
      <c r="L64" s="111"/>
      <c r="M64" s="111"/>
      <c r="N64" s="111"/>
      <c r="O64" s="111"/>
      <c r="P64" s="111"/>
      <c r="Q64" s="112"/>
      <c r="R64" s="113" t="s">
        <v>78</v>
      </c>
      <c r="S64" s="114">
        <v>45839</v>
      </c>
      <c r="T64" s="115">
        <v>45860</v>
      </c>
      <c r="U64" s="114"/>
      <c r="V64" s="115"/>
      <c r="W64" s="116"/>
      <c r="X64" s="117"/>
      <c r="Y64" s="121"/>
      <c r="Z64" s="119"/>
      <c r="AA64" s="92"/>
      <c r="AB64" s="93"/>
      <c r="AC64" s="94"/>
      <c r="AD64" s="95"/>
      <c r="AE64" s="96"/>
      <c r="AF64" s="97"/>
      <c r="AG64" s="97">
        <f t="shared" ca="1" si="7"/>
        <v>0</v>
      </c>
      <c r="AH64" s="97">
        <f t="shared" ca="1" si="8"/>
        <v>0</v>
      </c>
      <c r="AI64" s="97">
        <f t="shared" si="9"/>
        <v>0</v>
      </c>
      <c r="AJ64" s="97">
        <f t="shared" ca="1" si="10"/>
        <v>0</v>
      </c>
      <c r="AK64" s="97" t="str">
        <f t="shared" ca="1" si="11"/>
        <v/>
      </c>
      <c r="AL64" s="98">
        <f t="shared" ca="1" si="12"/>
        <v>1</v>
      </c>
      <c r="AM64" s="98">
        <f t="shared" ca="1" si="13"/>
        <v>9</v>
      </c>
      <c r="AN64" s="98">
        <f t="shared" ca="1" si="14"/>
        <v>1</v>
      </c>
      <c r="AO64" s="98">
        <f t="shared" ca="1" si="15"/>
        <v>0</v>
      </c>
      <c r="AP64" s="98">
        <f t="shared" ca="1" si="16"/>
        <v>0</v>
      </c>
      <c r="AQ64" s="98">
        <f t="shared" ca="1" si="17"/>
        <v>0</v>
      </c>
      <c r="AR64" s="98">
        <f t="shared" ca="1" si="18"/>
        <v>0</v>
      </c>
      <c r="AS64" s="99"/>
      <c r="AT64" s="98">
        <f t="shared" si="19"/>
        <v>22</v>
      </c>
    </row>
    <row r="65" spans="1:46" ht="15.75" customHeight="1">
      <c r="A65" s="76"/>
      <c r="B65" s="77">
        <f t="shared" ca="1" si="0"/>
        <v>1</v>
      </c>
      <c r="C65" s="78">
        <f t="shared" ca="1" si="1"/>
        <v>9</v>
      </c>
      <c r="D65" s="78">
        <f t="shared" ca="1" si="2"/>
        <v>2</v>
      </c>
      <c r="E65" s="78" t="str">
        <f t="shared" ca="1" si="3"/>
        <v/>
      </c>
      <c r="F65" s="78" t="str">
        <f t="shared" ca="1" si="4"/>
        <v/>
      </c>
      <c r="G65" s="79" t="str">
        <f t="shared" ca="1" si="5"/>
        <v/>
      </c>
      <c r="H65" s="80" t="str">
        <f t="shared" ca="1" si="6"/>
        <v/>
      </c>
      <c r="I65" s="100"/>
      <c r="J65" s="111"/>
      <c r="K65" s="111" t="s">
        <v>61</v>
      </c>
      <c r="L65" s="111"/>
      <c r="M65" s="111"/>
      <c r="N65" s="111"/>
      <c r="O65" s="111"/>
      <c r="P65" s="111"/>
      <c r="Q65" s="112"/>
      <c r="R65" s="113" t="s">
        <v>77</v>
      </c>
      <c r="S65" s="114">
        <v>45861</v>
      </c>
      <c r="T65" s="115">
        <v>45861</v>
      </c>
      <c r="U65" s="114"/>
      <c r="V65" s="115"/>
      <c r="W65" s="116"/>
      <c r="X65" s="117"/>
      <c r="Y65" s="121"/>
      <c r="Z65" s="119"/>
      <c r="AA65" s="92"/>
      <c r="AB65" s="93"/>
      <c r="AC65" s="94"/>
      <c r="AD65" s="95"/>
      <c r="AE65" s="96"/>
      <c r="AF65" s="97"/>
      <c r="AG65" s="97">
        <f t="shared" ca="1" si="7"/>
        <v>0</v>
      </c>
      <c r="AH65" s="97">
        <f t="shared" ca="1" si="8"/>
        <v>0</v>
      </c>
      <c r="AI65" s="97">
        <f t="shared" si="9"/>
        <v>0</v>
      </c>
      <c r="AJ65" s="97">
        <f t="shared" ca="1" si="10"/>
        <v>0</v>
      </c>
      <c r="AK65" s="97" t="str">
        <f t="shared" ca="1" si="11"/>
        <v/>
      </c>
      <c r="AL65" s="98">
        <f t="shared" ca="1" si="12"/>
        <v>1</v>
      </c>
      <c r="AM65" s="98">
        <f t="shared" ca="1" si="13"/>
        <v>9</v>
      </c>
      <c r="AN65" s="98">
        <f t="shared" ca="1" si="14"/>
        <v>2</v>
      </c>
      <c r="AO65" s="98">
        <f t="shared" ca="1" si="15"/>
        <v>0</v>
      </c>
      <c r="AP65" s="98">
        <f t="shared" ca="1" si="16"/>
        <v>0</v>
      </c>
      <c r="AQ65" s="98">
        <f t="shared" ca="1" si="17"/>
        <v>0</v>
      </c>
      <c r="AR65" s="98">
        <f t="shared" ca="1" si="18"/>
        <v>0</v>
      </c>
      <c r="AS65" s="99"/>
      <c r="AT65" s="98">
        <f t="shared" si="19"/>
        <v>1</v>
      </c>
    </row>
    <row r="66" spans="1:46" ht="15.75" customHeight="1">
      <c r="A66" s="76"/>
      <c r="B66" s="77">
        <f t="shared" ca="1" si="0"/>
        <v>1</v>
      </c>
      <c r="C66" s="78">
        <f t="shared" ca="1" si="1"/>
        <v>9</v>
      </c>
      <c r="D66" s="78">
        <f t="shared" ca="1" si="2"/>
        <v>3</v>
      </c>
      <c r="E66" s="78" t="str">
        <f t="shared" ca="1" si="3"/>
        <v/>
      </c>
      <c r="F66" s="78" t="str">
        <f t="shared" ca="1" si="4"/>
        <v/>
      </c>
      <c r="G66" s="79" t="str">
        <f t="shared" ca="1" si="5"/>
        <v/>
      </c>
      <c r="H66" s="80" t="str">
        <f t="shared" ca="1" si="6"/>
        <v/>
      </c>
      <c r="I66" s="100"/>
      <c r="J66" s="111"/>
      <c r="K66" s="111" t="s">
        <v>63</v>
      </c>
      <c r="L66" s="111"/>
      <c r="M66" s="111"/>
      <c r="N66" s="111"/>
      <c r="O66" s="111"/>
      <c r="P66" s="111"/>
      <c r="Q66" s="112"/>
      <c r="R66" s="113" t="s">
        <v>78</v>
      </c>
      <c r="S66" s="114">
        <v>45862</v>
      </c>
      <c r="T66" s="115">
        <v>45866</v>
      </c>
      <c r="U66" s="114"/>
      <c r="V66" s="115"/>
      <c r="W66" s="116"/>
      <c r="X66" s="117"/>
      <c r="Y66" s="121"/>
      <c r="Z66" s="119"/>
      <c r="AA66" s="92"/>
      <c r="AB66" s="93"/>
      <c r="AC66" s="94"/>
      <c r="AD66" s="95"/>
      <c r="AE66" s="96"/>
      <c r="AF66" s="97"/>
      <c r="AG66" s="97">
        <f t="shared" ca="1" si="7"/>
        <v>0</v>
      </c>
      <c r="AH66" s="97">
        <f t="shared" ca="1" si="8"/>
        <v>0</v>
      </c>
      <c r="AI66" s="97">
        <f t="shared" si="9"/>
        <v>0</v>
      </c>
      <c r="AJ66" s="97">
        <f t="shared" ca="1" si="10"/>
        <v>0</v>
      </c>
      <c r="AK66" s="97" t="str">
        <f t="shared" ca="1" si="11"/>
        <v/>
      </c>
      <c r="AL66" s="98">
        <f t="shared" ca="1" si="12"/>
        <v>1</v>
      </c>
      <c r="AM66" s="98">
        <f t="shared" ca="1" si="13"/>
        <v>9</v>
      </c>
      <c r="AN66" s="98">
        <f t="shared" ca="1" si="14"/>
        <v>3</v>
      </c>
      <c r="AO66" s="98">
        <f t="shared" ca="1" si="15"/>
        <v>0</v>
      </c>
      <c r="AP66" s="98">
        <f t="shared" ca="1" si="16"/>
        <v>0</v>
      </c>
      <c r="AQ66" s="98">
        <f t="shared" ca="1" si="17"/>
        <v>0</v>
      </c>
      <c r="AR66" s="98">
        <f t="shared" ca="1" si="18"/>
        <v>0</v>
      </c>
      <c r="AS66" s="99"/>
      <c r="AT66" s="98">
        <f t="shared" si="19"/>
        <v>5</v>
      </c>
    </row>
    <row r="67" spans="1:46" ht="15.75" customHeight="1">
      <c r="A67" s="76"/>
      <c r="B67" s="77">
        <f t="shared" ca="1" si="0"/>
        <v>1</v>
      </c>
      <c r="C67" s="78">
        <f t="shared" ca="1" si="1"/>
        <v>9</v>
      </c>
      <c r="D67" s="78">
        <f t="shared" ca="1" si="2"/>
        <v>4</v>
      </c>
      <c r="E67" s="78" t="str">
        <f t="shared" ca="1" si="3"/>
        <v/>
      </c>
      <c r="F67" s="78" t="str">
        <f t="shared" ca="1" si="4"/>
        <v/>
      </c>
      <c r="G67" s="79" t="str">
        <f t="shared" ca="1" si="5"/>
        <v/>
      </c>
      <c r="H67" s="80" t="str">
        <f t="shared" ca="1" si="6"/>
        <v/>
      </c>
      <c r="I67" s="100"/>
      <c r="J67" s="111"/>
      <c r="K67" s="111" t="s">
        <v>64</v>
      </c>
      <c r="L67" s="111"/>
      <c r="M67" s="111"/>
      <c r="N67" s="111"/>
      <c r="O67" s="111"/>
      <c r="P67" s="111"/>
      <c r="Q67" s="112"/>
      <c r="R67" s="113" t="s">
        <v>77</v>
      </c>
      <c r="S67" s="114">
        <v>45867</v>
      </c>
      <c r="T67" s="115">
        <v>45867</v>
      </c>
      <c r="U67" s="114"/>
      <c r="V67" s="115"/>
      <c r="W67" s="116"/>
      <c r="X67" s="117"/>
      <c r="Y67" s="121"/>
      <c r="Z67" s="119"/>
      <c r="AA67" s="92"/>
      <c r="AB67" s="93"/>
      <c r="AC67" s="94"/>
      <c r="AD67" s="95"/>
      <c r="AE67" s="96"/>
      <c r="AF67" s="97"/>
      <c r="AG67" s="97">
        <f t="shared" ca="1" si="7"/>
        <v>0</v>
      </c>
      <c r="AH67" s="97">
        <f t="shared" ca="1" si="8"/>
        <v>0</v>
      </c>
      <c r="AI67" s="97">
        <f t="shared" si="9"/>
        <v>0</v>
      </c>
      <c r="AJ67" s="97">
        <f t="shared" ca="1" si="10"/>
        <v>0</v>
      </c>
      <c r="AK67" s="97" t="str">
        <f t="shared" ca="1" si="11"/>
        <v/>
      </c>
      <c r="AL67" s="98">
        <f t="shared" ca="1" si="12"/>
        <v>1</v>
      </c>
      <c r="AM67" s="98">
        <f t="shared" ca="1" si="13"/>
        <v>9</v>
      </c>
      <c r="AN67" s="98">
        <f t="shared" ca="1" si="14"/>
        <v>4</v>
      </c>
      <c r="AO67" s="98">
        <f t="shared" ca="1" si="15"/>
        <v>0</v>
      </c>
      <c r="AP67" s="98">
        <f t="shared" ca="1" si="16"/>
        <v>0</v>
      </c>
      <c r="AQ67" s="98">
        <f t="shared" ca="1" si="17"/>
        <v>0</v>
      </c>
      <c r="AR67" s="98">
        <f t="shared" ca="1" si="18"/>
        <v>0</v>
      </c>
      <c r="AS67" s="99"/>
      <c r="AT67" s="98">
        <f t="shared" si="19"/>
        <v>1</v>
      </c>
    </row>
    <row r="68" spans="1:46" ht="15.75" customHeight="1">
      <c r="A68" s="76"/>
      <c r="B68" s="77">
        <f t="shared" ca="1" si="0"/>
        <v>1</v>
      </c>
      <c r="C68" s="78">
        <f t="shared" ca="1" si="1"/>
        <v>9</v>
      </c>
      <c r="D68" s="78">
        <f t="shared" ca="1" si="2"/>
        <v>5</v>
      </c>
      <c r="E68" s="78" t="str">
        <f t="shared" ca="1" si="3"/>
        <v/>
      </c>
      <c r="F68" s="78" t="str">
        <f t="shared" ca="1" si="4"/>
        <v/>
      </c>
      <c r="G68" s="79" t="str">
        <f t="shared" ca="1" si="5"/>
        <v/>
      </c>
      <c r="H68" s="80" t="str">
        <f t="shared" ca="1" si="6"/>
        <v/>
      </c>
      <c r="I68" s="100"/>
      <c r="J68" s="111"/>
      <c r="K68" s="111" t="s">
        <v>65</v>
      </c>
      <c r="L68" s="111"/>
      <c r="M68" s="111"/>
      <c r="N68" s="111"/>
      <c r="O68" s="111"/>
      <c r="P68" s="111"/>
      <c r="Q68" s="112"/>
      <c r="R68" s="113" t="s">
        <v>78</v>
      </c>
      <c r="S68" s="114">
        <v>45868</v>
      </c>
      <c r="T68" s="115">
        <v>45874</v>
      </c>
      <c r="U68" s="114"/>
      <c r="V68" s="115"/>
      <c r="W68" s="116"/>
      <c r="X68" s="117"/>
      <c r="Y68" s="121"/>
      <c r="Z68" s="119"/>
      <c r="AA68" s="92"/>
      <c r="AB68" s="93"/>
      <c r="AC68" s="94"/>
      <c r="AD68" s="95"/>
      <c r="AE68" s="96"/>
      <c r="AF68" s="97"/>
      <c r="AG68" s="97">
        <f t="shared" ca="1" si="7"/>
        <v>0</v>
      </c>
      <c r="AH68" s="97">
        <f t="shared" ca="1" si="8"/>
        <v>0</v>
      </c>
      <c r="AI68" s="97">
        <f t="shared" si="9"/>
        <v>0</v>
      </c>
      <c r="AJ68" s="97">
        <f t="shared" ca="1" si="10"/>
        <v>0</v>
      </c>
      <c r="AK68" s="97" t="str">
        <f t="shared" ca="1" si="11"/>
        <v/>
      </c>
      <c r="AL68" s="98">
        <f t="shared" ca="1" si="12"/>
        <v>1</v>
      </c>
      <c r="AM68" s="98">
        <f t="shared" ca="1" si="13"/>
        <v>9</v>
      </c>
      <c r="AN68" s="98">
        <f t="shared" ca="1" si="14"/>
        <v>5</v>
      </c>
      <c r="AO68" s="98">
        <f t="shared" ca="1" si="15"/>
        <v>0</v>
      </c>
      <c r="AP68" s="98">
        <f t="shared" ca="1" si="16"/>
        <v>0</v>
      </c>
      <c r="AQ68" s="98">
        <f t="shared" ca="1" si="17"/>
        <v>0</v>
      </c>
      <c r="AR68" s="98">
        <f t="shared" ca="1" si="18"/>
        <v>0</v>
      </c>
      <c r="AS68" s="99"/>
      <c r="AT68" s="98">
        <f t="shared" si="19"/>
        <v>7</v>
      </c>
    </row>
    <row r="69" spans="1:46" ht="15.75" customHeight="1">
      <c r="A69" s="76"/>
      <c r="B69" s="77">
        <f t="shared" ca="1" si="0"/>
        <v>1</v>
      </c>
      <c r="C69" s="78">
        <f t="shared" ca="1" si="1"/>
        <v>9</v>
      </c>
      <c r="D69" s="78">
        <f t="shared" ca="1" si="2"/>
        <v>6</v>
      </c>
      <c r="E69" s="78" t="str">
        <f t="shared" ca="1" si="3"/>
        <v/>
      </c>
      <c r="F69" s="78" t="str">
        <f t="shared" ca="1" si="4"/>
        <v/>
      </c>
      <c r="G69" s="79" t="str">
        <f t="shared" ca="1" si="5"/>
        <v/>
      </c>
      <c r="H69" s="80" t="str">
        <f t="shared" ca="1" si="6"/>
        <v/>
      </c>
      <c r="I69" s="100"/>
      <c r="J69" s="111"/>
      <c r="K69" s="111" t="s">
        <v>66</v>
      </c>
      <c r="L69" s="111"/>
      <c r="M69" s="111"/>
      <c r="N69" s="111"/>
      <c r="O69" s="111"/>
      <c r="P69" s="111"/>
      <c r="Q69" s="112"/>
      <c r="R69" s="113" t="s">
        <v>77</v>
      </c>
      <c r="S69" s="114">
        <v>45875</v>
      </c>
      <c r="T69" s="115">
        <v>45875</v>
      </c>
      <c r="U69" s="114"/>
      <c r="V69" s="115"/>
      <c r="W69" s="116"/>
      <c r="X69" s="117"/>
      <c r="Y69" s="121"/>
      <c r="Z69" s="119"/>
      <c r="AA69" s="92"/>
      <c r="AB69" s="93"/>
      <c r="AC69" s="94"/>
      <c r="AD69" s="95"/>
      <c r="AE69" s="96"/>
      <c r="AF69" s="97"/>
      <c r="AG69" s="97">
        <f t="shared" ca="1" si="7"/>
        <v>0</v>
      </c>
      <c r="AH69" s="97">
        <f t="shared" ca="1" si="8"/>
        <v>0</v>
      </c>
      <c r="AI69" s="97">
        <f t="shared" si="9"/>
        <v>0</v>
      </c>
      <c r="AJ69" s="97">
        <f t="shared" ca="1" si="10"/>
        <v>0</v>
      </c>
      <c r="AK69" s="97" t="str">
        <f t="shared" ca="1" si="11"/>
        <v/>
      </c>
      <c r="AL69" s="98">
        <f t="shared" ca="1" si="12"/>
        <v>1</v>
      </c>
      <c r="AM69" s="98">
        <f t="shared" ca="1" si="13"/>
        <v>9</v>
      </c>
      <c r="AN69" s="98">
        <f t="shared" ca="1" si="14"/>
        <v>6</v>
      </c>
      <c r="AO69" s="98">
        <f t="shared" ca="1" si="15"/>
        <v>0</v>
      </c>
      <c r="AP69" s="98">
        <f t="shared" ca="1" si="16"/>
        <v>0</v>
      </c>
      <c r="AQ69" s="98">
        <f t="shared" ca="1" si="17"/>
        <v>0</v>
      </c>
      <c r="AR69" s="98">
        <f t="shared" ca="1" si="18"/>
        <v>0</v>
      </c>
      <c r="AS69" s="99"/>
      <c r="AT69" s="98">
        <f t="shared" si="19"/>
        <v>1</v>
      </c>
    </row>
    <row r="70" spans="1:46" ht="15.75" customHeight="1">
      <c r="A70" s="76"/>
      <c r="B70" s="77">
        <f t="shared" ca="1" si="0"/>
        <v>1</v>
      </c>
      <c r="C70" s="78">
        <f t="shared" ca="1" si="1"/>
        <v>10</v>
      </c>
      <c r="D70" s="78" t="str">
        <f t="shared" ca="1" si="2"/>
        <v/>
      </c>
      <c r="E70" s="78" t="str">
        <f t="shared" ca="1" si="3"/>
        <v/>
      </c>
      <c r="F70" s="78" t="str">
        <f t="shared" ca="1" si="4"/>
        <v/>
      </c>
      <c r="G70" s="79" t="str">
        <f t="shared" ca="1" si="5"/>
        <v/>
      </c>
      <c r="H70" s="80" t="str">
        <f t="shared" ca="1" si="6"/>
        <v/>
      </c>
      <c r="I70" s="100"/>
      <c r="J70" s="101" t="s">
        <v>80</v>
      </c>
      <c r="K70" s="102"/>
      <c r="L70" s="102"/>
      <c r="M70" s="102"/>
      <c r="N70" s="102"/>
      <c r="O70" s="102"/>
      <c r="P70" s="102"/>
      <c r="Q70" s="103" t="s">
        <v>81</v>
      </c>
      <c r="R70" s="104"/>
      <c r="S70" s="104"/>
      <c r="T70" s="105"/>
      <c r="U70" s="106"/>
      <c r="V70" s="105"/>
      <c r="W70" s="107"/>
      <c r="X70" s="108"/>
      <c r="Y70" s="122"/>
      <c r="Z70" s="110"/>
      <c r="AA70" s="92"/>
      <c r="AB70" s="93"/>
      <c r="AC70" s="94"/>
      <c r="AD70" s="95"/>
      <c r="AE70" s="96"/>
      <c r="AF70" s="97"/>
      <c r="AG70" s="97">
        <f t="shared" si="7"/>
        <v>0</v>
      </c>
      <c r="AH70" s="97">
        <f t="shared" si="8"/>
        <v>0</v>
      </c>
      <c r="AI70" s="97">
        <f t="shared" si="9"/>
        <v>0</v>
      </c>
      <c r="AJ70" s="97">
        <f t="shared" si="10"/>
        <v>0</v>
      </c>
      <c r="AK70" s="97" t="str">
        <f t="shared" si="11"/>
        <v/>
      </c>
      <c r="AL70" s="98">
        <f t="shared" ca="1" si="12"/>
        <v>1</v>
      </c>
      <c r="AM70" s="98">
        <f t="shared" ca="1" si="13"/>
        <v>10</v>
      </c>
      <c r="AN70" s="98">
        <f t="shared" ca="1" si="14"/>
        <v>0</v>
      </c>
      <c r="AO70" s="98">
        <f t="shared" ca="1" si="15"/>
        <v>0</v>
      </c>
      <c r="AP70" s="98">
        <f t="shared" ca="1" si="16"/>
        <v>0</v>
      </c>
      <c r="AQ70" s="98">
        <f t="shared" ca="1" si="17"/>
        <v>0</v>
      </c>
      <c r="AR70" s="98">
        <f t="shared" ca="1" si="18"/>
        <v>0</v>
      </c>
      <c r="AS70" s="99"/>
      <c r="AT70" s="98">
        <f t="shared" si="19"/>
        <v>1</v>
      </c>
    </row>
    <row r="71" spans="1:46" ht="15.75" customHeight="1">
      <c r="A71" s="76"/>
      <c r="B71" s="77">
        <f t="shared" ca="1" si="0"/>
        <v>1</v>
      </c>
      <c r="C71" s="78">
        <f t="shared" ca="1" si="1"/>
        <v>10</v>
      </c>
      <c r="D71" s="78">
        <f t="shared" ca="1" si="2"/>
        <v>1</v>
      </c>
      <c r="E71" s="78" t="str">
        <f t="shared" ca="1" si="3"/>
        <v/>
      </c>
      <c r="F71" s="78" t="str">
        <f t="shared" ca="1" si="4"/>
        <v/>
      </c>
      <c r="G71" s="79" t="str">
        <f t="shared" ca="1" si="5"/>
        <v/>
      </c>
      <c r="H71" s="80" t="str">
        <f t="shared" ca="1" si="6"/>
        <v/>
      </c>
      <c r="I71" s="100"/>
      <c r="J71" s="111"/>
      <c r="K71" s="111" t="s">
        <v>59</v>
      </c>
      <c r="L71" s="111"/>
      <c r="M71" s="111"/>
      <c r="N71" s="111"/>
      <c r="O71" s="111"/>
      <c r="P71" s="111"/>
      <c r="Q71" s="112"/>
      <c r="R71" s="113"/>
      <c r="S71" s="113"/>
      <c r="T71" s="115"/>
      <c r="U71" s="114"/>
      <c r="V71" s="115"/>
      <c r="W71" s="116"/>
      <c r="X71" s="117"/>
      <c r="Y71" s="121"/>
      <c r="Z71" s="119"/>
      <c r="AA71" s="92"/>
      <c r="AB71" s="93"/>
      <c r="AC71" s="94"/>
      <c r="AD71" s="95"/>
      <c r="AE71" s="96"/>
      <c r="AF71" s="97"/>
      <c r="AG71" s="97">
        <f t="shared" si="7"/>
        <v>0</v>
      </c>
      <c r="AH71" s="97">
        <f t="shared" si="8"/>
        <v>0</v>
      </c>
      <c r="AI71" s="97">
        <f t="shared" si="9"/>
        <v>0</v>
      </c>
      <c r="AJ71" s="97">
        <f t="shared" si="10"/>
        <v>0</v>
      </c>
      <c r="AK71" s="97" t="str">
        <f t="shared" si="11"/>
        <v/>
      </c>
      <c r="AL71" s="98">
        <f t="shared" ca="1" si="12"/>
        <v>1</v>
      </c>
      <c r="AM71" s="98">
        <f t="shared" ca="1" si="13"/>
        <v>10</v>
      </c>
      <c r="AN71" s="98">
        <f t="shared" ca="1" si="14"/>
        <v>1</v>
      </c>
      <c r="AO71" s="98">
        <f t="shared" ca="1" si="15"/>
        <v>0</v>
      </c>
      <c r="AP71" s="98">
        <f t="shared" ca="1" si="16"/>
        <v>0</v>
      </c>
      <c r="AQ71" s="98">
        <f t="shared" ca="1" si="17"/>
        <v>0</v>
      </c>
      <c r="AR71" s="98">
        <f t="shared" ca="1" si="18"/>
        <v>0</v>
      </c>
      <c r="AS71" s="99"/>
      <c r="AT71" s="98">
        <f t="shared" si="19"/>
        <v>1</v>
      </c>
    </row>
    <row r="72" spans="1:46" ht="15.75" customHeight="1">
      <c r="A72" s="76"/>
      <c r="B72" s="77">
        <f t="shared" ca="1" si="0"/>
        <v>1</v>
      </c>
      <c r="C72" s="78">
        <f t="shared" ca="1" si="1"/>
        <v>10</v>
      </c>
      <c r="D72" s="78">
        <f t="shared" ca="1" si="2"/>
        <v>2</v>
      </c>
      <c r="E72" s="78" t="str">
        <f t="shared" ca="1" si="3"/>
        <v/>
      </c>
      <c r="F72" s="78" t="str">
        <f t="shared" ca="1" si="4"/>
        <v/>
      </c>
      <c r="G72" s="79" t="str">
        <f t="shared" ca="1" si="5"/>
        <v/>
      </c>
      <c r="H72" s="80" t="str">
        <f t="shared" ca="1" si="6"/>
        <v/>
      </c>
      <c r="I72" s="100"/>
      <c r="J72" s="111"/>
      <c r="K72" s="111" t="s">
        <v>61</v>
      </c>
      <c r="L72" s="111"/>
      <c r="M72" s="111"/>
      <c r="N72" s="111"/>
      <c r="O72" s="111"/>
      <c r="P72" s="111"/>
      <c r="Q72" s="112"/>
      <c r="R72" s="113"/>
      <c r="S72" s="113"/>
      <c r="T72" s="115"/>
      <c r="U72" s="114"/>
      <c r="V72" s="115"/>
      <c r="W72" s="116"/>
      <c r="X72" s="117"/>
      <c r="Y72" s="121"/>
      <c r="Z72" s="119"/>
      <c r="AA72" s="92"/>
      <c r="AB72" s="93"/>
      <c r="AC72" s="94"/>
      <c r="AD72" s="95"/>
      <c r="AE72" s="96"/>
      <c r="AF72" s="97"/>
      <c r="AG72" s="97">
        <f t="shared" si="7"/>
        <v>0</v>
      </c>
      <c r="AH72" s="97">
        <f t="shared" si="8"/>
        <v>0</v>
      </c>
      <c r="AI72" s="97">
        <f t="shared" si="9"/>
        <v>0</v>
      </c>
      <c r="AJ72" s="97">
        <f t="shared" si="10"/>
        <v>0</v>
      </c>
      <c r="AK72" s="97" t="str">
        <f t="shared" si="11"/>
        <v/>
      </c>
      <c r="AL72" s="98">
        <f t="shared" ca="1" si="12"/>
        <v>1</v>
      </c>
      <c r="AM72" s="98">
        <f t="shared" ca="1" si="13"/>
        <v>10</v>
      </c>
      <c r="AN72" s="98">
        <f t="shared" ca="1" si="14"/>
        <v>2</v>
      </c>
      <c r="AO72" s="98">
        <f t="shared" ca="1" si="15"/>
        <v>0</v>
      </c>
      <c r="AP72" s="98">
        <f t="shared" ca="1" si="16"/>
        <v>0</v>
      </c>
      <c r="AQ72" s="98">
        <f t="shared" ca="1" si="17"/>
        <v>0</v>
      </c>
      <c r="AR72" s="98">
        <f t="shared" ca="1" si="18"/>
        <v>0</v>
      </c>
      <c r="AS72" s="99"/>
      <c r="AT72" s="98">
        <f t="shared" si="19"/>
        <v>1</v>
      </c>
    </row>
    <row r="73" spans="1:46" ht="15.75" customHeight="1">
      <c r="A73" s="76"/>
      <c r="B73" s="77">
        <f t="shared" ca="1" si="0"/>
        <v>1</v>
      </c>
      <c r="C73" s="78">
        <f t="shared" ca="1" si="1"/>
        <v>10</v>
      </c>
      <c r="D73" s="78">
        <f t="shared" ca="1" si="2"/>
        <v>3</v>
      </c>
      <c r="E73" s="78" t="str">
        <f t="shared" ca="1" si="3"/>
        <v/>
      </c>
      <c r="F73" s="78" t="str">
        <f t="shared" ca="1" si="4"/>
        <v/>
      </c>
      <c r="G73" s="79" t="str">
        <f t="shared" ca="1" si="5"/>
        <v/>
      </c>
      <c r="H73" s="80" t="str">
        <f t="shared" ca="1" si="6"/>
        <v/>
      </c>
      <c r="I73" s="100"/>
      <c r="J73" s="111"/>
      <c r="K73" s="111" t="s">
        <v>63</v>
      </c>
      <c r="L73" s="111"/>
      <c r="M73" s="111"/>
      <c r="N73" s="111"/>
      <c r="O73" s="111"/>
      <c r="P73" s="111"/>
      <c r="Q73" s="112"/>
      <c r="R73" s="113"/>
      <c r="S73" s="113"/>
      <c r="T73" s="115"/>
      <c r="U73" s="114"/>
      <c r="V73" s="115"/>
      <c r="W73" s="116"/>
      <c r="X73" s="117"/>
      <c r="Y73" s="121"/>
      <c r="Z73" s="119"/>
      <c r="AA73" s="92"/>
      <c r="AB73" s="93"/>
      <c r="AC73" s="94"/>
      <c r="AD73" s="95"/>
      <c r="AE73" s="96"/>
      <c r="AF73" s="97"/>
      <c r="AG73" s="97">
        <f t="shared" si="7"/>
        <v>0</v>
      </c>
      <c r="AH73" s="97">
        <f t="shared" si="8"/>
        <v>0</v>
      </c>
      <c r="AI73" s="97">
        <f t="shared" si="9"/>
        <v>0</v>
      </c>
      <c r="AJ73" s="97">
        <f t="shared" si="10"/>
        <v>0</v>
      </c>
      <c r="AK73" s="97" t="str">
        <f t="shared" si="11"/>
        <v/>
      </c>
      <c r="AL73" s="98">
        <f t="shared" ca="1" si="12"/>
        <v>1</v>
      </c>
      <c r="AM73" s="98">
        <f t="shared" ca="1" si="13"/>
        <v>10</v>
      </c>
      <c r="AN73" s="98">
        <f t="shared" ca="1" si="14"/>
        <v>3</v>
      </c>
      <c r="AO73" s="98">
        <f t="shared" ca="1" si="15"/>
        <v>0</v>
      </c>
      <c r="AP73" s="98">
        <f t="shared" ca="1" si="16"/>
        <v>0</v>
      </c>
      <c r="AQ73" s="98">
        <f t="shared" ca="1" si="17"/>
        <v>0</v>
      </c>
      <c r="AR73" s="98">
        <f t="shared" ca="1" si="18"/>
        <v>0</v>
      </c>
      <c r="AS73" s="99"/>
      <c r="AT73" s="98">
        <f t="shared" si="19"/>
        <v>1</v>
      </c>
    </row>
    <row r="74" spans="1:46" ht="15.75" customHeight="1">
      <c r="A74" s="76"/>
      <c r="B74" s="77">
        <f t="shared" ca="1" si="0"/>
        <v>1</v>
      </c>
      <c r="C74" s="78">
        <f t="shared" ca="1" si="1"/>
        <v>10</v>
      </c>
      <c r="D74" s="78">
        <f t="shared" ca="1" si="2"/>
        <v>4</v>
      </c>
      <c r="E74" s="78" t="str">
        <f t="shared" ca="1" si="3"/>
        <v/>
      </c>
      <c r="F74" s="78" t="str">
        <f t="shared" ca="1" si="4"/>
        <v/>
      </c>
      <c r="G74" s="79" t="str">
        <f t="shared" ca="1" si="5"/>
        <v/>
      </c>
      <c r="H74" s="80" t="str">
        <f t="shared" ca="1" si="6"/>
        <v/>
      </c>
      <c r="I74" s="100"/>
      <c r="J74" s="111"/>
      <c r="K74" s="111" t="s">
        <v>64</v>
      </c>
      <c r="L74" s="111"/>
      <c r="M74" s="111"/>
      <c r="N74" s="111"/>
      <c r="O74" s="111"/>
      <c r="P74" s="111"/>
      <c r="Q74" s="112"/>
      <c r="R74" s="113"/>
      <c r="S74" s="113"/>
      <c r="T74" s="115"/>
      <c r="U74" s="114"/>
      <c r="V74" s="115"/>
      <c r="W74" s="116"/>
      <c r="X74" s="117"/>
      <c r="Y74" s="121"/>
      <c r="Z74" s="119"/>
      <c r="AA74" s="92"/>
      <c r="AB74" s="93"/>
      <c r="AC74" s="94"/>
      <c r="AD74" s="95"/>
      <c r="AE74" s="96"/>
      <c r="AF74" s="97"/>
      <c r="AG74" s="97">
        <f t="shared" si="7"/>
        <v>0</v>
      </c>
      <c r="AH74" s="97">
        <f t="shared" si="8"/>
        <v>0</v>
      </c>
      <c r="AI74" s="97">
        <f t="shared" si="9"/>
        <v>0</v>
      </c>
      <c r="AJ74" s="97">
        <f t="shared" si="10"/>
        <v>0</v>
      </c>
      <c r="AK74" s="97" t="str">
        <f t="shared" si="11"/>
        <v/>
      </c>
      <c r="AL74" s="98">
        <f t="shared" ca="1" si="12"/>
        <v>1</v>
      </c>
      <c r="AM74" s="98">
        <f t="shared" ca="1" si="13"/>
        <v>10</v>
      </c>
      <c r="AN74" s="98">
        <f t="shared" ca="1" si="14"/>
        <v>4</v>
      </c>
      <c r="AO74" s="98">
        <f t="shared" ca="1" si="15"/>
        <v>0</v>
      </c>
      <c r="AP74" s="98">
        <f t="shared" ca="1" si="16"/>
        <v>0</v>
      </c>
      <c r="AQ74" s="98">
        <f t="shared" ca="1" si="17"/>
        <v>0</v>
      </c>
      <c r="AR74" s="98">
        <f t="shared" ca="1" si="18"/>
        <v>0</v>
      </c>
      <c r="AS74" s="99"/>
      <c r="AT74" s="98">
        <f t="shared" si="19"/>
        <v>1</v>
      </c>
    </row>
    <row r="75" spans="1:46" ht="15.75" customHeight="1">
      <c r="A75" s="76"/>
      <c r="B75" s="77">
        <f t="shared" ca="1" si="0"/>
        <v>1</v>
      </c>
      <c r="C75" s="78">
        <f t="shared" ca="1" si="1"/>
        <v>10</v>
      </c>
      <c r="D75" s="78">
        <f t="shared" ca="1" si="2"/>
        <v>5</v>
      </c>
      <c r="E75" s="78" t="str">
        <f t="shared" ca="1" si="3"/>
        <v/>
      </c>
      <c r="F75" s="78" t="str">
        <f t="shared" ca="1" si="4"/>
        <v/>
      </c>
      <c r="G75" s="79" t="str">
        <f t="shared" ca="1" si="5"/>
        <v/>
      </c>
      <c r="H75" s="80" t="str">
        <f t="shared" ca="1" si="6"/>
        <v/>
      </c>
      <c r="I75" s="100"/>
      <c r="J75" s="111"/>
      <c r="K75" s="111" t="s">
        <v>65</v>
      </c>
      <c r="L75" s="111"/>
      <c r="M75" s="111"/>
      <c r="N75" s="111"/>
      <c r="O75" s="111"/>
      <c r="P75" s="111"/>
      <c r="Q75" s="112"/>
      <c r="R75" s="113"/>
      <c r="S75" s="113"/>
      <c r="T75" s="115"/>
      <c r="U75" s="114"/>
      <c r="V75" s="115"/>
      <c r="W75" s="116"/>
      <c r="X75" s="117"/>
      <c r="Y75" s="121"/>
      <c r="Z75" s="119"/>
      <c r="AA75" s="92"/>
      <c r="AB75" s="93"/>
      <c r="AC75" s="94"/>
      <c r="AD75" s="95"/>
      <c r="AE75" s="96"/>
      <c r="AF75" s="97"/>
      <c r="AG75" s="97">
        <f t="shared" si="7"/>
        <v>0</v>
      </c>
      <c r="AH75" s="97">
        <f t="shared" si="8"/>
        <v>0</v>
      </c>
      <c r="AI75" s="97">
        <f t="shared" si="9"/>
        <v>0</v>
      </c>
      <c r="AJ75" s="97">
        <f t="shared" si="10"/>
        <v>0</v>
      </c>
      <c r="AK75" s="97" t="str">
        <f t="shared" si="11"/>
        <v/>
      </c>
      <c r="AL75" s="98">
        <f t="shared" ca="1" si="12"/>
        <v>1</v>
      </c>
      <c r="AM75" s="98">
        <f t="shared" ca="1" si="13"/>
        <v>10</v>
      </c>
      <c r="AN75" s="98">
        <f t="shared" ca="1" si="14"/>
        <v>5</v>
      </c>
      <c r="AO75" s="98">
        <f t="shared" ca="1" si="15"/>
        <v>0</v>
      </c>
      <c r="AP75" s="98">
        <f t="shared" ca="1" si="16"/>
        <v>0</v>
      </c>
      <c r="AQ75" s="98">
        <f t="shared" ca="1" si="17"/>
        <v>0</v>
      </c>
      <c r="AR75" s="98">
        <f t="shared" ca="1" si="18"/>
        <v>0</v>
      </c>
      <c r="AS75" s="99"/>
      <c r="AT75" s="98">
        <f t="shared" si="19"/>
        <v>1</v>
      </c>
    </row>
    <row r="76" spans="1:46" ht="15.75" customHeight="1">
      <c r="A76" s="76"/>
      <c r="B76" s="77">
        <f t="shared" ca="1" si="0"/>
        <v>1</v>
      </c>
      <c r="C76" s="78">
        <f t="shared" ca="1" si="1"/>
        <v>10</v>
      </c>
      <c r="D76" s="78">
        <f t="shared" ca="1" si="2"/>
        <v>6</v>
      </c>
      <c r="E76" s="78" t="str">
        <f t="shared" ca="1" si="3"/>
        <v/>
      </c>
      <c r="F76" s="78" t="str">
        <f t="shared" ca="1" si="4"/>
        <v/>
      </c>
      <c r="G76" s="79" t="str">
        <f t="shared" ca="1" si="5"/>
        <v/>
      </c>
      <c r="H76" s="80" t="str">
        <f t="shared" ca="1" si="6"/>
        <v/>
      </c>
      <c r="I76" s="100"/>
      <c r="J76" s="111"/>
      <c r="K76" s="111" t="s">
        <v>66</v>
      </c>
      <c r="L76" s="111"/>
      <c r="M76" s="111"/>
      <c r="N76" s="111"/>
      <c r="O76" s="111"/>
      <c r="P76" s="111"/>
      <c r="Q76" s="112"/>
      <c r="R76" s="113"/>
      <c r="S76" s="113"/>
      <c r="T76" s="115"/>
      <c r="U76" s="114"/>
      <c r="V76" s="115"/>
      <c r="W76" s="116"/>
      <c r="X76" s="117"/>
      <c r="Y76" s="121"/>
      <c r="Z76" s="119"/>
      <c r="AA76" s="92"/>
      <c r="AB76" s="93"/>
      <c r="AC76" s="94"/>
      <c r="AD76" s="95"/>
      <c r="AE76" s="96"/>
      <c r="AF76" s="97"/>
      <c r="AG76" s="97">
        <f t="shared" si="7"/>
        <v>0</v>
      </c>
      <c r="AH76" s="97">
        <f t="shared" si="8"/>
        <v>0</v>
      </c>
      <c r="AI76" s="97">
        <f t="shared" si="9"/>
        <v>0</v>
      </c>
      <c r="AJ76" s="97">
        <f t="shared" si="10"/>
        <v>0</v>
      </c>
      <c r="AK76" s="97" t="str">
        <f t="shared" si="11"/>
        <v/>
      </c>
      <c r="AL76" s="98">
        <f t="shared" ca="1" si="12"/>
        <v>1</v>
      </c>
      <c r="AM76" s="98">
        <f t="shared" ca="1" si="13"/>
        <v>10</v>
      </c>
      <c r="AN76" s="98">
        <f t="shared" ca="1" si="14"/>
        <v>6</v>
      </c>
      <c r="AO76" s="98">
        <f t="shared" ca="1" si="15"/>
        <v>0</v>
      </c>
      <c r="AP76" s="98">
        <f t="shared" ca="1" si="16"/>
        <v>0</v>
      </c>
      <c r="AQ76" s="98">
        <f t="shared" ca="1" si="17"/>
        <v>0</v>
      </c>
      <c r="AR76" s="98">
        <f t="shared" ca="1" si="18"/>
        <v>0</v>
      </c>
      <c r="AS76" s="99"/>
      <c r="AT76" s="98">
        <f t="shared" si="19"/>
        <v>1</v>
      </c>
    </row>
    <row r="77" spans="1:46" ht="15.75" customHeight="1">
      <c r="A77" s="76"/>
      <c r="B77" s="77">
        <f t="shared" ca="1" si="0"/>
        <v>1</v>
      </c>
      <c r="C77" s="78">
        <f t="shared" ca="1" si="1"/>
        <v>11</v>
      </c>
      <c r="D77" s="78" t="str">
        <f t="shared" ca="1" si="2"/>
        <v/>
      </c>
      <c r="E77" s="78" t="str">
        <f t="shared" ca="1" si="3"/>
        <v/>
      </c>
      <c r="F77" s="78" t="str">
        <f t="shared" ca="1" si="4"/>
        <v/>
      </c>
      <c r="G77" s="79" t="str">
        <f t="shared" ca="1" si="5"/>
        <v/>
      </c>
      <c r="H77" s="80" t="str">
        <f t="shared" ca="1" si="6"/>
        <v/>
      </c>
      <c r="I77" s="100"/>
      <c r="J77" s="101" t="s">
        <v>82</v>
      </c>
      <c r="K77" s="102"/>
      <c r="L77" s="102"/>
      <c r="M77" s="102"/>
      <c r="N77" s="102"/>
      <c r="O77" s="102"/>
      <c r="P77" s="102"/>
      <c r="Q77" s="103" t="s">
        <v>58</v>
      </c>
      <c r="R77" s="104"/>
      <c r="S77" s="104"/>
      <c r="T77" s="105"/>
      <c r="U77" s="106"/>
      <c r="V77" s="105"/>
      <c r="W77" s="107"/>
      <c r="X77" s="108"/>
      <c r="Y77" s="122"/>
      <c r="Z77" s="110"/>
      <c r="AA77" s="92"/>
      <c r="AB77" s="93"/>
      <c r="AC77" s="94"/>
      <c r="AD77" s="95"/>
      <c r="AE77" s="96"/>
      <c r="AF77" s="97"/>
      <c r="AG77" s="97">
        <f t="shared" si="7"/>
        <v>0</v>
      </c>
      <c r="AH77" s="97">
        <f t="shared" si="8"/>
        <v>0</v>
      </c>
      <c r="AI77" s="97">
        <f t="shared" si="9"/>
        <v>0</v>
      </c>
      <c r="AJ77" s="97">
        <f t="shared" si="10"/>
        <v>0</v>
      </c>
      <c r="AK77" s="97" t="str">
        <f t="shared" si="11"/>
        <v/>
      </c>
      <c r="AL77" s="98">
        <f t="shared" ca="1" si="12"/>
        <v>1</v>
      </c>
      <c r="AM77" s="98">
        <f t="shared" ca="1" si="13"/>
        <v>11</v>
      </c>
      <c r="AN77" s="98">
        <f t="shared" ca="1" si="14"/>
        <v>0</v>
      </c>
      <c r="AO77" s="98">
        <f t="shared" ca="1" si="15"/>
        <v>0</v>
      </c>
      <c r="AP77" s="98">
        <f t="shared" ca="1" si="16"/>
        <v>0</v>
      </c>
      <c r="AQ77" s="98">
        <f t="shared" ca="1" si="17"/>
        <v>0</v>
      </c>
      <c r="AR77" s="98">
        <f t="shared" ca="1" si="18"/>
        <v>0</v>
      </c>
      <c r="AS77" s="99"/>
      <c r="AT77" s="98">
        <f t="shared" si="19"/>
        <v>1</v>
      </c>
    </row>
    <row r="78" spans="1:46" ht="15.75" customHeight="1">
      <c r="A78" s="76"/>
      <c r="B78" s="77">
        <f t="shared" ca="1" si="0"/>
        <v>1</v>
      </c>
      <c r="C78" s="78">
        <f t="shared" ca="1" si="1"/>
        <v>11</v>
      </c>
      <c r="D78" s="78">
        <f t="shared" ca="1" si="2"/>
        <v>1</v>
      </c>
      <c r="E78" s="78" t="str">
        <f t="shared" ca="1" si="3"/>
        <v/>
      </c>
      <c r="F78" s="78" t="str">
        <f t="shared" ca="1" si="4"/>
        <v/>
      </c>
      <c r="G78" s="79" t="str">
        <f t="shared" ca="1" si="5"/>
        <v/>
      </c>
      <c r="H78" s="80" t="str">
        <f t="shared" ca="1" si="6"/>
        <v/>
      </c>
      <c r="I78" s="100"/>
      <c r="J78" s="111"/>
      <c r="K78" s="111" t="s">
        <v>59</v>
      </c>
      <c r="L78" s="111"/>
      <c r="M78" s="111"/>
      <c r="N78" s="111"/>
      <c r="O78" s="111"/>
      <c r="P78" s="111"/>
      <c r="Q78" s="112"/>
      <c r="R78" s="113" t="s">
        <v>60</v>
      </c>
      <c r="S78" s="113">
        <v>45876</v>
      </c>
      <c r="T78" s="115">
        <v>45897</v>
      </c>
      <c r="U78" s="114"/>
      <c r="V78" s="115"/>
      <c r="W78" s="116"/>
      <c r="X78" s="117"/>
      <c r="Y78" s="121"/>
      <c r="Z78" s="119"/>
      <c r="AA78" s="92"/>
      <c r="AB78" s="93"/>
      <c r="AC78" s="94"/>
      <c r="AD78" s="95"/>
      <c r="AE78" s="96"/>
      <c r="AF78" s="97"/>
      <c r="AG78" s="97">
        <f t="shared" ca="1" si="7"/>
        <v>0</v>
      </c>
      <c r="AH78" s="97">
        <f t="shared" ca="1" si="8"/>
        <v>0</v>
      </c>
      <c r="AI78" s="97">
        <f t="shared" si="9"/>
        <v>0</v>
      </c>
      <c r="AJ78" s="97">
        <f t="shared" ca="1" si="10"/>
        <v>0</v>
      </c>
      <c r="AK78" s="97" t="str">
        <f t="shared" ca="1" si="11"/>
        <v/>
      </c>
      <c r="AL78" s="98">
        <f t="shared" ca="1" si="12"/>
        <v>1</v>
      </c>
      <c r="AM78" s="98">
        <f t="shared" ca="1" si="13"/>
        <v>11</v>
      </c>
      <c r="AN78" s="98">
        <f t="shared" ca="1" si="14"/>
        <v>1</v>
      </c>
      <c r="AO78" s="98">
        <f t="shared" ca="1" si="15"/>
        <v>0</v>
      </c>
      <c r="AP78" s="98">
        <f t="shared" ca="1" si="16"/>
        <v>0</v>
      </c>
      <c r="AQ78" s="98">
        <f t="shared" ca="1" si="17"/>
        <v>0</v>
      </c>
      <c r="AR78" s="98">
        <f t="shared" ca="1" si="18"/>
        <v>0</v>
      </c>
      <c r="AS78" s="99"/>
      <c r="AT78" s="98">
        <f t="shared" si="19"/>
        <v>22</v>
      </c>
    </row>
    <row r="79" spans="1:46" ht="15.75" customHeight="1">
      <c r="A79" s="76"/>
      <c r="B79" s="77">
        <f t="shared" ca="1" si="0"/>
        <v>1</v>
      </c>
      <c r="C79" s="78">
        <f t="shared" ca="1" si="1"/>
        <v>11</v>
      </c>
      <c r="D79" s="78">
        <f t="shared" ca="1" si="2"/>
        <v>2</v>
      </c>
      <c r="E79" s="78" t="str">
        <f t="shared" ca="1" si="3"/>
        <v/>
      </c>
      <c r="F79" s="78" t="str">
        <f t="shared" ca="1" si="4"/>
        <v/>
      </c>
      <c r="G79" s="79" t="str">
        <f t="shared" ca="1" si="5"/>
        <v/>
      </c>
      <c r="H79" s="80" t="str">
        <f t="shared" ca="1" si="6"/>
        <v/>
      </c>
      <c r="I79" s="100"/>
      <c r="J79" s="111"/>
      <c r="K79" s="111" t="s">
        <v>61</v>
      </c>
      <c r="L79" s="111"/>
      <c r="M79" s="111"/>
      <c r="N79" s="111"/>
      <c r="O79" s="111"/>
      <c r="P79" s="111"/>
      <c r="Q79" s="112"/>
      <c r="R79" s="113" t="s">
        <v>62</v>
      </c>
      <c r="S79" s="113">
        <v>45898</v>
      </c>
      <c r="T79" s="115">
        <v>45898</v>
      </c>
      <c r="U79" s="114"/>
      <c r="V79" s="115"/>
      <c r="W79" s="116"/>
      <c r="X79" s="117"/>
      <c r="Y79" s="121"/>
      <c r="Z79" s="119"/>
      <c r="AA79" s="92"/>
      <c r="AB79" s="93"/>
      <c r="AC79" s="94"/>
      <c r="AD79" s="95"/>
      <c r="AE79" s="96"/>
      <c r="AF79" s="97"/>
      <c r="AG79" s="97">
        <f t="shared" ca="1" si="7"/>
        <v>0</v>
      </c>
      <c r="AH79" s="97">
        <f t="shared" ca="1" si="8"/>
        <v>0</v>
      </c>
      <c r="AI79" s="97">
        <f t="shared" si="9"/>
        <v>0</v>
      </c>
      <c r="AJ79" s="97">
        <f t="shared" ca="1" si="10"/>
        <v>0</v>
      </c>
      <c r="AK79" s="97" t="str">
        <f t="shared" ca="1" si="11"/>
        <v/>
      </c>
      <c r="AL79" s="98">
        <f t="shared" ca="1" si="12"/>
        <v>1</v>
      </c>
      <c r="AM79" s="98">
        <f t="shared" ca="1" si="13"/>
        <v>11</v>
      </c>
      <c r="AN79" s="98">
        <f t="shared" ca="1" si="14"/>
        <v>2</v>
      </c>
      <c r="AO79" s="98">
        <f t="shared" ca="1" si="15"/>
        <v>0</v>
      </c>
      <c r="AP79" s="98">
        <f t="shared" ca="1" si="16"/>
        <v>0</v>
      </c>
      <c r="AQ79" s="98">
        <f t="shared" ca="1" si="17"/>
        <v>0</v>
      </c>
      <c r="AR79" s="98">
        <f t="shared" ca="1" si="18"/>
        <v>0</v>
      </c>
      <c r="AS79" s="99"/>
      <c r="AT79" s="98">
        <f t="shared" si="19"/>
        <v>1</v>
      </c>
    </row>
    <row r="80" spans="1:46" ht="15.75" customHeight="1">
      <c r="A80" s="76"/>
      <c r="B80" s="77">
        <f t="shared" ca="1" si="0"/>
        <v>1</v>
      </c>
      <c r="C80" s="78">
        <f t="shared" ca="1" si="1"/>
        <v>11</v>
      </c>
      <c r="D80" s="78">
        <f t="shared" ca="1" si="2"/>
        <v>3</v>
      </c>
      <c r="E80" s="78" t="str">
        <f t="shared" ca="1" si="3"/>
        <v/>
      </c>
      <c r="F80" s="78" t="str">
        <f t="shared" ca="1" si="4"/>
        <v/>
      </c>
      <c r="G80" s="79" t="str">
        <f t="shared" ca="1" si="5"/>
        <v/>
      </c>
      <c r="H80" s="80" t="str">
        <f t="shared" ca="1" si="6"/>
        <v/>
      </c>
      <c r="I80" s="100"/>
      <c r="J80" s="111"/>
      <c r="K80" s="111" t="s">
        <v>63</v>
      </c>
      <c r="L80" s="111"/>
      <c r="M80" s="111"/>
      <c r="N80" s="111"/>
      <c r="O80" s="111"/>
      <c r="P80" s="111"/>
      <c r="Q80" s="112"/>
      <c r="R80" s="113" t="s">
        <v>60</v>
      </c>
      <c r="S80" s="113">
        <v>45901</v>
      </c>
      <c r="T80" s="115">
        <v>45903</v>
      </c>
      <c r="U80" s="114"/>
      <c r="V80" s="115"/>
      <c r="W80" s="116"/>
      <c r="X80" s="117"/>
      <c r="Y80" s="121"/>
      <c r="Z80" s="119"/>
      <c r="AA80" s="92"/>
      <c r="AB80" s="93"/>
      <c r="AC80" s="94"/>
      <c r="AD80" s="95"/>
      <c r="AE80" s="96"/>
      <c r="AF80" s="97"/>
      <c r="AG80" s="97">
        <f t="shared" ca="1" si="7"/>
        <v>0</v>
      </c>
      <c r="AH80" s="97">
        <f t="shared" ca="1" si="8"/>
        <v>0</v>
      </c>
      <c r="AI80" s="97">
        <f t="shared" si="9"/>
        <v>0</v>
      </c>
      <c r="AJ80" s="97">
        <f t="shared" ca="1" si="10"/>
        <v>0</v>
      </c>
      <c r="AK80" s="97" t="str">
        <f t="shared" ca="1" si="11"/>
        <v/>
      </c>
      <c r="AL80" s="98">
        <f t="shared" ca="1" si="12"/>
        <v>1</v>
      </c>
      <c r="AM80" s="98">
        <f t="shared" ca="1" si="13"/>
        <v>11</v>
      </c>
      <c r="AN80" s="98">
        <f t="shared" ca="1" si="14"/>
        <v>3</v>
      </c>
      <c r="AO80" s="98">
        <f t="shared" ca="1" si="15"/>
        <v>0</v>
      </c>
      <c r="AP80" s="98">
        <f t="shared" ca="1" si="16"/>
        <v>0</v>
      </c>
      <c r="AQ80" s="98">
        <f t="shared" ca="1" si="17"/>
        <v>0</v>
      </c>
      <c r="AR80" s="98">
        <f t="shared" ca="1" si="18"/>
        <v>0</v>
      </c>
      <c r="AS80" s="99"/>
      <c r="AT80" s="98">
        <f t="shared" si="19"/>
        <v>3</v>
      </c>
    </row>
    <row r="81" spans="1:46" ht="15.75" customHeight="1">
      <c r="A81" s="76"/>
      <c r="B81" s="77">
        <f t="shared" ca="1" si="0"/>
        <v>1</v>
      </c>
      <c r="C81" s="78">
        <f t="shared" ca="1" si="1"/>
        <v>11</v>
      </c>
      <c r="D81" s="78">
        <f t="shared" ca="1" si="2"/>
        <v>4</v>
      </c>
      <c r="E81" s="78" t="str">
        <f t="shared" ca="1" si="3"/>
        <v/>
      </c>
      <c r="F81" s="78" t="str">
        <f t="shared" ca="1" si="4"/>
        <v/>
      </c>
      <c r="G81" s="79" t="str">
        <f t="shared" ca="1" si="5"/>
        <v/>
      </c>
      <c r="H81" s="80" t="str">
        <f t="shared" ca="1" si="6"/>
        <v/>
      </c>
      <c r="I81" s="100"/>
      <c r="J81" s="111"/>
      <c r="K81" s="111" t="s">
        <v>64</v>
      </c>
      <c r="L81" s="111"/>
      <c r="M81" s="111"/>
      <c r="N81" s="111"/>
      <c r="O81" s="111"/>
      <c r="P81" s="111"/>
      <c r="Q81" s="112"/>
      <c r="R81" s="113" t="s">
        <v>62</v>
      </c>
      <c r="S81" s="113">
        <v>45904</v>
      </c>
      <c r="T81" s="115">
        <v>45904</v>
      </c>
      <c r="U81" s="114"/>
      <c r="V81" s="115"/>
      <c r="W81" s="116"/>
      <c r="X81" s="117"/>
      <c r="Y81" s="121"/>
      <c r="Z81" s="119"/>
      <c r="AA81" s="92"/>
      <c r="AB81" s="93"/>
      <c r="AC81" s="94"/>
      <c r="AD81" s="95"/>
      <c r="AE81" s="96"/>
      <c r="AF81" s="97"/>
      <c r="AG81" s="97">
        <f t="shared" ca="1" si="7"/>
        <v>0</v>
      </c>
      <c r="AH81" s="97">
        <f t="shared" ca="1" si="8"/>
        <v>0</v>
      </c>
      <c r="AI81" s="97">
        <f t="shared" si="9"/>
        <v>0</v>
      </c>
      <c r="AJ81" s="97">
        <f t="shared" ca="1" si="10"/>
        <v>0</v>
      </c>
      <c r="AK81" s="97" t="str">
        <f t="shared" ca="1" si="11"/>
        <v/>
      </c>
      <c r="AL81" s="98">
        <f t="shared" ca="1" si="12"/>
        <v>1</v>
      </c>
      <c r="AM81" s="98">
        <f t="shared" ca="1" si="13"/>
        <v>11</v>
      </c>
      <c r="AN81" s="98">
        <f t="shared" ca="1" si="14"/>
        <v>4</v>
      </c>
      <c r="AO81" s="98">
        <f t="shared" ca="1" si="15"/>
        <v>0</v>
      </c>
      <c r="AP81" s="98">
        <f t="shared" ca="1" si="16"/>
        <v>0</v>
      </c>
      <c r="AQ81" s="98">
        <f t="shared" ca="1" si="17"/>
        <v>0</v>
      </c>
      <c r="AR81" s="98">
        <f t="shared" ca="1" si="18"/>
        <v>0</v>
      </c>
      <c r="AS81" s="99"/>
      <c r="AT81" s="98">
        <f t="shared" si="19"/>
        <v>1</v>
      </c>
    </row>
    <row r="82" spans="1:46" ht="15.75" customHeight="1">
      <c r="A82" s="76"/>
      <c r="B82" s="77">
        <f t="shared" ca="1" si="0"/>
        <v>1</v>
      </c>
      <c r="C82" s="78">
        <f t="shared" ca="1" si="1"/>
        <v>11</v>
      </c>
      <c r="D82" s="78">
        <f t="shared" ca="1" si="2"/>
        <v>5</v>
      </c>
      <c r="E82" s="78" t="str">
        <f t="shared" ca="1" si="3"/>
        <v/>
      </c>
      <c r="F82" s="78" t="str">
        <f t="shared" ca="1" si="4"/>
        <v/>
      </c>
      <c r="G82" s="79" t="str">
        <f t="shared" ca="1" si="5"/>
        <v/>
      </c>
      <c r="H82" s="80" t="str">
        <f t="shared" ca="1" si="6"/>
        <v/>
      </c>
      <c r="I82" s="100"/>
      <c r="J82" s="111"/>
      <c r="K82" s="111" t="s">
        <v>65</v>
      </c>
      <c r="L82" s="111"/>
      <c r="M82" s="111"/>
      <c r="N82" s="111"/>
      <c r="O82" s="111"/>
      <c r="P82" s="111"/>
      <c r="Q82" s="112"/>
      <c r="R82" s="113" t="s">
        <v>60</v>
      </c>
      <c r="S82" s="113">
        <v>45905</v>
      </c>
      <c r="T82" s="115">
        <v>45911</v>
      </c>
      <c r="U82" s="114"/>
      <c r="V82" s="115"/>
      <c r="W82" s="116"/>
      <c r="X82" s="117"/>
      <c r="Y82" s="121"/>
      <c r="Z82" s="119"/>
      <c r="AA82" s="92"/>
      <c r="AB82" s="93"/>
      <c r="AC82" s="94"/>
      <c r="AD82" s="95"/>
      <c r="AE82" s="96"/>
      <c r="AF82" s="97"/>
      <c r="AG82" s="97">
        <f t="shared" ca="1" si="7"/>
        <v>0</v>
      </c>
      <c r="AH82" s="97">
        <f t="shared" ca="1" si="8"/>
        <v>0</v>
      </c>
      <c r="AI82" s="97">
        <f t="shared" si="9"/>
        <v>0</v>
      </c>
      <c r="AJ82" s="97">
        <f t="shared" ca="1" si="10"/>
        <v>0</v>
      </c>
      <c r="AK82" s="97" t="str">
        <f t="shared" ca="1" si="11"/>
        <v/>
      </c>
      <c r="AL82" s="98">
        <f t="shared" ca="1" si="12"/>
        <v>1</v>
      </c>
      <c r="AM82" s="98">
        <f t="shared" ca="1" si="13"/>
        <v>11</v>
      </c>
      <c r="AN82" s="98">
        <f t="shared" ca="1" si="14"/>
        <v>5</v>
      </c>
      <c r="AO82" s="98">
        <f t="shared" ca="1" si="15"/>
        <v>0</v>
      </c>
      <c r="AP82" s="98">
        <f t="shared" ca="1" si="16"/>
        <v>0</v>
      </c>
      <c r="AQ82" s="98">
        <f t="shared" ca="1" si="17"/>
        <v>0</v>
      </c>
      <c r="AR82" s="98">
        <f t="shared" ca="1" si="18"/>
        <v>0</v>
      </c>
      <c r="AS82" s="99"/>
      <c r="AT82" s="98">
        <f t="shared" si="19"/>
        <v>7</v>
      </c>
    </row>
    <row r="83" spans="1:46" ht="15.75" customHeight="1">
      <c r="A83" s="76"/>
      <c r="B83" s="77">
        <f t="shared" ca="1" si="0"/>
        <v>1</v>
      </c>
      <c r="C83" s="78">
        <f t="shared" ca="1" si="1"/>
        <v>11</v>
      </c>
      <c r="D83" s="78">
        <f t="shared" ca="1" si="2"/>
        <v>6</v>
      </c>
      <c r="E83" s="78" t="str">
        <f t="shared" ca="1" si="3"/>
        <v/>
      </c>
      <c r="F83" s="78" t="str">
        <f t="shared" ca="1" si="4"/>
        <v/>
      </c>
      <c r="G83" s="79" t="str">
        <f t="shared" ca="1" si="5"/>
        <v/>
      </c>
      <c r="H83" s="80" t="str">
        <f t="shared" ca="1" si="6"/>
        <v/>
      </c>
      <c r="I83" s="100"/>
      <c r="J83" s="111"/>
      <c r="K83" s="111" t="s">
        <v>66</v>
      </c>
      <c r="L83" s="111"/>
      <c r="M83" s="111"/>
      <c r="N83" s="111"/>
      <c r="O83" s="111"/>
      <c r="P83" s="111"/>
      <c r="Q83" s="112"/>
      <c r="R83" s="113" t="s">
        <v>62</v>
      </c>
      <c r="S83" s="113">
        <v>45912</v>
      </c>
      <c r="T83" s="115">
        <v>45912</v>
      </c>
      <c r="U83" s="114"/>
      <c r="V83" s="115"/>
      <c r="W83" s="116"/>
      <c r="X83" s="117"/>
      <c r="Y83" s="121"/>
      <c r="Z83" s="119"/>
      <c r="AA83" s="92"/>
      <c r="AB83" s="93"/>
      <c r="AC83" s="94"/>
      <c r="AD83" s="95"/>
      <c r="AE83" s="96"/>
      <c r="AF83" s="97"/>
      <c r="AG83" s="97">
        <f t="shared" ca="1" si="7"/>
        <v>0</v>
      </c>
      <c r="AH83" s="97">
        <f t="shared" ca="1" si="8"/>
        <v>0</v>
      </c>
      <c r="AI83" s="97">
        <f t="shared" si="9"/>
        <v>0</v>
      </c>
      <c r="AJ83" s="97">
        <f t="shared" ca="1" si="10"/>
        <v>0</v>
      </c>
      <c r="AK83" s="97" t="str">
        <f t="shared" ca="1" si="11"/>
        <v/>
      </c>
      <c r="AL83" s="98">
        <f t="shared" ca="1" si="12"/>
        <v>1</v>
      </c>
      <c r="AM83" s="98">
        <f t="shared" ca="1" si="13"/>
        <v>11</v>
      </c>
      <c r="AN83" s="98">
        <f t="shared" ca="1" si="14"/>
        <v>6</v>
      </c>
      <c r="AO83" s="98">
        <f t="shared" ca="1" si="15"/>
        <v>0</v>
      </c>
      <c r="AP83" s="98">
        <f t="shared" ca="1" si="16"/>
        <v>0</v>
      </c>
      <c r="AQ83" s="98">
        <f t="shared" ca="1" si="17"/>
        <v>0</v>
      </c>
      <c r="AR83" s="98">
        <f t="shared" ca="1" si="18"/>
        <v>0</v>
      </c>
      <c r="AS83" s="99"/>
      <c r="AT83" s="98">
        <f t="shared" si="19"/>
        <v>1</v>
      </c>
    </row>
    <row r="84" spans="1:46" ht="15.75" customHeight="1">
      <c r="A84" s="76"/>
      <c r="B84" s="77">
        <f t="shared" ca="1" si="0"/>
        <v>1</v>
      </c>
      <c r="C84" s="78">
        <f t="shared" ca="1" si="1"/>
        <v>12</v>
      </c>
      <c r="D84" s="78" t="str">
        <f t="shared" ca="1" si="2"/>
        <v/>
      </c>
      <c r="E84" s="78" t="str">
        <f t="shared" ca="1" si="3"/>
        <v/>
      </c>
      <c r="F84" s="78" t="str">
        <f t="shared" ca="1" si="4"/>
        <v/>
      </c>
      <c r="G84" s="79" t="str">
        <f t="shared" ca="1" si="5"/>
        <v/>
      </c>
      <c r="H84" s="80" t="str">
        <f t="shared" ca="1" si="6"/>
        <v/>
      </c>
      <c r="I84" s="100"/>
      <c r="J84" s="101" t="s">
        <v>83</v>
      </c>
      <c r="K84" s="102"/>
      <c r="L84" s="102"/>
      <c r="M84" s="102"/>
      <c r="N84" s="102"/>
      <c r="O84" s="102"/>
      <c r="P84" s="102"/>
      <c r="Q84" s="103" t="s">
        <v>58</v>
      </c>
      <c r="R84" s="104"/>
      <c r="S84" s="104"/>
      <c r="T84" s="105"/>
      <c r="U84" s="106"/>
      <c r="V84" s="105"/>
      <c r="W84" s="107"/>
      <c r="X84" s="108"/>
      <c r="Y84" s="122"/>
      <c r="Z84" s="110"/>
      <c r="AA84" s="92"/>
      <c r="AB84" s="93"/>
      <c r="AC84" s="94"/>
      <c r="AD84" s="95"/>
      <c r="AE84" s="96"/>
      <c r="AF84" s="97"/>
      <c r="AG84" s="97">
        <f t="shared" si="7"/>
        <v>0</v>
      </c>
      <c r="AH84" s="97">
        <f t="shared" si="8"/>
        <v>0</v>
      </c>
      <c r="AI84" s="97">
        <f t="shared" si="9"/>
        <v>0</v>
      </c>
      <c r="AJ84" s="97">
        <f t="shared" si="10"/>
        <v>0</v>
      </c>
      <c r="AK84" s="97" t="str">
        <f t="shared" si="11"/>
        <v/>
      </c>
      <c r="AL84" s="98">
        <f t="shared" ca="1" si="12"/>
        <v>1</v>
      </c>
      <c r="AM84" s="98">
        <f t="shared" ca="1" si="13"/>
        <v>12</v>
      </c>
      <c r="AN84" s="98">
        <f t="shared" ca="1" si="14"/>
        <v>0</v>
      </c>
      <c r="AO84" s="98">
        <f t="shared" ca="1" si="15"/>
        <v>0</v>
      </c>
      <c r="AP84" s="98">
        <f t="shared" ca="1" si="16"/>
        <v>0</v>
      </c>
      <c r="AQ84" s="98">
        <f t="shared" ca="1" si="17"/>
        <v>0</v>
      </c>
      <c r="AR84" s="98">
        <f t="shared" ca="1" si="18"/>
        <v>0</v>
      </c>
      <c r="AS84" s="99"/>
      <c r="AT84" s="98">
        <f t="shared" si="19"/>
        <v>1</v>
      </c>
    </row>
    <row r="85" spans="1:46" ht="15.75" customHeight="1">
      <c r="A85" s="76"/>
      <c r="B85" s="77">
        <f t="shared" ca="1" si="0"/>
        <v>1</v>
      </c>
      <c r="C85" s="78">
        <f t="shared" ca="1" si="1"/>
        <v>12</v>
      </c>
      <c r="D85" s="78">
        <f t="shared" ca="1" si="2"/>
        <v>1</v>
      </c>
      <c r="E85" s="78" t="str">
        <f t="shared" ca="1" si="3"/>
        <v/>
      </c>
      <c r="F85" s="78" t="str">
        <f t="shared" ca="1" si="4"/>
        <v/>
      </c>
      <c r="G85" s="79" t="str">
        <f t="shared" ca="1" si="5"/>
        <v/>
      </c>
      <c r="H85" s="80" t="str">
        <f t="shared" ca="1" si="6"/>
        <v/>
      </c>
      <c r="I85" s="100"/>
      <c r="J85" s="111"/>
      <c r="K85" s="111" t="s">
        <v>59</v>
      </c>
      <c r="L85" s="111"/>
      <c r="M85" s="111"/>
      <c r="N85" s="111"/>
      <c r="O85" s="111"/>
      <c r="P85" s="111"/>
      <c r="Q85" s="112"/>
      <c r="R85" s="113" t="s">
        <v>62</v>
      </c>
      <c r="S85" s="113">
        <v>45876</v>
      </c>
      <c r="T85" s="115">
        <v>45897</v>
      </c>
      <c r="U85" s="114"/>
      <c r="V85" s="115"/>
      <c r="W85" s="116"/>
      <c r="X85" s="117"/>
      <c r="Y85" s="121"/>
      <c r="Z85" s="119"/>
      <c r="AA85" s="92"/>
      <c r="AB85" s="93"/>
      <c r="AC85" s="94"/>
      <c r="AD85" s="95"/>
      <c r="AE85" s="96"/>
      <c r="AF85" s="97"/>
      <c r="AG85" s="97">
        <f t="shared" ca="1" si="7"/>
        <v>0</v>
      </c>
      <c r="AH85" s="97">
        <f t="shared" ca="1" si="8"/>
        <v>0</v>
      </c>
      <c r="AI85" s="97">
        <f t="shared" si="9"/>
        <v>0</v>
      </c>
      <c r="AJ85" s="97">
        <f t="shared" ca="1" si="10"/>
        <v>0</v>
      </c>
      <c r="AK85" s="97" t="str">
        <f t="shared" ca="1" si="11"/>
        <v/>
      </c>
      <c r="AL85" s="98">
        <f t="shared" ca="1" si="12"/>
        <v>1</v>
      </c>
      <c r="AM85" s="98">
        <f t="shared" ca="1" si="13"/>
        <v>12</v>
      </c>
      <c r="AN85" s="98">
        <f t="shared" ca="1" si="14"/>
        <v>1</v>
      </c>
      <c r="AO85" s="98">
        <f t="shared" ca="1" si="15"/>
        <v>0</v>
      </c>
      <c r="AP85" s="98">
        <f t="shared" ca="1" si="16"/>
        <v>0</v>
      </c>
      <c r="AQ85" s="98">
        <f t="shared" ca="1" si="17"/>
        <v>0</v>
      </c>
      <c r="AR85" s="98">
        <f t="shared" ca="1" si="18"/>
        <v>0</v>
      </c>
      <c r="AS85" s="99"/>
      <c r="AT85" s="98">
        <f t="shared" si="19"/>
        <v>22</v>
      </c>
    </row>
    <row r="86" spans="1:46" ht="15.75" customHeight="1">
      <c r="A86" s="76"/>
      <c r="B86" s="77">
        <f t="shared" ca="1" si="0"/>
        <v>1</v>
      </c>
      <c r="C86" s="78">
        <f t="shared" ca="1" si="1"/>
        <v>12</v>
      </c>
      <c r="D86" s="78">
        <f t="shared" ca="1" si="2"/>
        <v>2</v>
      </c>
      <c r="E86" s="78" t="str">
        <f t="shared" ca="1" si="3"/>
        <v/>
      </c>
      <c r="F86" s="78" t="str">
        <f t="shared" ca="1" si="4"/>
        <v/>
      </c>
      <c r="G86" s="79" t="str">
        <f t="shared" ca="1" si="5"/>
        <v/>
      </c>
      <c r="H86" s="80" t="str">
        <f t="shared" ca="1" si="6"/>
        <v/>
      </c>
      <c r="I86" s="100"/>
      <c r="J86" s="111"/>
      <c r="K86" s="111" t="s">
        <v>61</v>
      </c>
      <c r="L86" s="111"/>
      <c r="M86" s="111"/>
      <c r="N86" s="111"/>
      <c r="O86" s="111"/>
      <c r="P86" s="111"/>
      <c r="Q86" s="112"/>
      <c r="R86" s="113" t="s">
        <v>60</v>
      </c>
      <c r="S86" s="113">
        <v>45898</v>
      </c>
      <c r="T86" s="115">
        <v>45898</v>
      </c>
      <c r="U86" s="114"/>
      <c r="V86" s="115"/>
      <c r="W86" s="116"/>
      <c r="X86" s="117"/>
      <c r="Y86" s="121"/>
      <c r="Z86" s="119"/>
      <c r="AA86" s="92"/>
      <c r="AB86" s="93"/>
      <c r="AC86" s="94"/>
      <c r="AD86" s="95"/>
      <c r="AE86" s="96"/>
      <c r="AF86" s="97"/>
      <c r="AG86" s="97">
        <f t="shared" ca="1" si="7"/>
        <v>0</v>
      </c>
      <c r="AH86" s="97">
        <f t="shared" ca="1" si="8"/>
        <v>0</v>
      </c>
      <c r="AI86" s="97">
        <f t="shared" si="9"/>
        <v>0</v>
      </c>
      <c r="AJ86" s="97">
        <f t="shared" ca="1" si="10"/>
        <v>0</v>
      </c>
      <c r="AK86" s="97" t="str">
        <f t="shared" ca="1" si="11"/>
        <v/>
      </c>
      <c r="AL86" s="98">
        <f t="shared" ca="1" si="12"/>
        <v>1</v>
      </c>
      <c r="AM86" s="98">
        <f t="shared" ca="1" si="13"/>
        <v>12</v>
      </c>
      <c r="AN86" s="98">
        <f t="shared" ca="1" si="14"/>
        <v>2</v>
      </c>
      <c r="AO86" s="98">
        <f t="shared" ca="1" si="15"/>
        <v>0</v>
      </c>
      <c r="AP86" s="98">
        <f t="shared" ca="1" si="16"/>
        <v>0</v>
      </c>
      <c r="AQ86" s="98">
        <f t="shared" ca="1" si="17"/>
        <v>0</v>
      </c>
      <c r="AR86" s="98">
        <f t="shared" ca="1" si="18"/>
        <v>0</v>
      </c>
      <c r="AS86" s="99"/>
      <c r="AT86" s="98">
        <f t="shared" si="19"/>
        <v>1</v>
      </c>
    </row>
    <row r="87" spans="1:46" ht="15.75" customHeight="1">
      <c r="A87" s="76"/>
      <c r="B87" s="77">
        <f t="shared" ca="1" si="0"/>
        <v>1</v>
      </c>
      <c r="C87" s="78">
        <f t="shared" ca="1" si="1"/>
        <v>12</v>
      </c>
      <c r="D87" s="78">
        <f t="shared" ca="1" si="2"/>
        <v>3</v>
      </c>
      <c r="E87" s="78" t="str">
        <f t="shared" ca="1" si="3"/>
        <v/>
      </c>
      <c r="F87" s="78" t="str">
        <f t="shared" ca="1" si="4"/>
        <v/>
      </c>
      <c r="G87" s="79" t="str">
        <f t="shared" ca="1" si="5"/>
        <v/>
      </c>
      <c r="H87" s="80" t="str">
        <f t="shared" ca="1" si="6"/>
        <v/>
      </c>
      <c r="I87" s="100"/>
      <c r="J87" s="111"/>
      <c r="K87" s="111" t="s">
        <v>63</v>
      </c>
      <c r="L87" s="111"/>
      <c r="M87" s="111"/>
      <c r="N87" s="111"/>
      <c r="O87" s="111"/>
      <c r="P87" s="111"/>
      <c r="Q87" s="112"/>
      <c r="R87" s="113" t="s">
        <v>62</v>
      </c>
      <c r="S87" s="113">
        <v>45901</v>
      </c>
      <c r="T87" s="115">
        <v>45903</v>
      </c>
      <c r="U87" s="114"/>
      <c r="V87" s="115"/>
      <c r="W87" s="116"/>
      <c r="X87" s="117"/>
      <c r="Y87" s="121"/>
      <c r="Z87" s="119"/>
      <c r="AA87" s="92"/>
      <c r="AB87" s="93"/>
      <c r="AC87" s="94"/>
      <c r="AD87" s="95"/>
      <c r="AE87" s="96"/>
      <c r="AF87" s="97"/>
      <c r="AG87" s="97">
        <f t="shared" ca="1" si="7"/>
        <v>0</v>
      </c>
      <c r="AH87" s="97">
        <f t="shared" ca="1" si="8"/>
        <v>0</v>
      </c>
      <c r="AI87" s="97">
        <f t="shared" si="9"/>
        <v>0</v>
      </c>
      <c r="AJ87" s="97">
        <f t="shared" ca="1" si="10"/>
        <v>0</v>
      </c>
      <c r="AK87" s="97" t="str">
        <f t="shared" ca="1" si="11"/>
        <v/>
      </c>
      <c r="AL87" s="98">
        <f t="shared" ca="1" si="12"/>
        <v>1</v>
      </c>
      <c r="AM87" s="98">
        <f t="shared" ca="1" si="13"/>
        <v>12</v>
      </c>
      <c r="AN87" s="98">
        <f t="shared" ca="1" si="14"/>
        <v>3</v>
      </c>
      <c r="AO87" s="98">
        <f t="shared" ca="1" si="15"/>
        <v>0</v>
      </c>
      <c r="AP87" s="98">
        <f t="shared" ca="1" si="16"/>
        <v>0</v>
      </c>
      <c r="AQ87" s="98">
        <f t="shared" ca="1" si="17"/>
        <v>0</v>
      </c>
      <c r="AR87" s="98">
        <f t="shared" ca="1" si="18"/>
        <v>0</v>
      </c>
      <c r="AS87" s="99"/>
      <c r="AT87" s="98">
        <f t="shared" si="19"/>
        <v>3</v>
      </c>
    </row>
    <row r="88" spans="1:46" ht="15.75" customHeight="1">
      <c r="A88" s="76"/>
      <c r="B88" s="77">
        <f t="shared" ca="1" si="0"/>
        <v>1</v>
      </c>
      <c r="C88" s="78">
        <f t="shared" ca="1" si="1"/>
        <v>12</v>
      </c>
      <c r="D88" s="78">
        <f t="shared" ca="1" si="2"/>
        <v>4</v>
      </c>
      <c r="E88" s="78" t="str">
        <f t="shared" ca="1" si="3"/>
        <v/>
      </c>
      <c r="F88" s="78" t="str">
        <f t="shared" ca="1" si="4"/>
        <v/>
      </c>
      <c r="G88" s="79" t="str">
        <f t="shared" ca="1" si="5"/>
        <v/>
      </c>
      <c r="H88" s="80" t="str">
        <f t="shared" ca="1" si="6"/>
        <v/>
      </c>
      <c r="I88" s="100"/>
      <c r="J88" s="111"/>
      <c r="K88" s="111" t="s">
        <v>64</v>
      </c>
      <c r="L88" s="111"/>
      <c r="M88" s="111"/>
      <c r="N88" s="111"/>
      <c r="O88" s="111"/>
      <c r="P88" s="111"/>
      <c r="Q88" s="112"/>
      <c r="R88" s="113" t="s">
        <v>60</v>
      </c>
      <c r="S88" s="113">
        <v>45904</v>
      </c>
      <c r="T88" s="115">
        <v>45904</v>
      </c>
      <c r="U88" s="114"/>
      <c r="V88" s="115"/>
      <c r="W88" s="116"/>
      <c r="X88" s="117"/>
      <c r="Y88" s="121"/>
      <c r="Z88" s="119"/>
      <c r="AA88" s="92"/>
      <c r="AB88" s="93"/>
      <c r="AC88" s="94"/>
      <c r="AD88" s="95"/>
      <c r="AE88" s="96"/>
      <c r="AF88" s="97"/>
      <c r="AG88" s="97">
        <f t="shared" ca="1" si="7"/>
        <v>0</v>
      </c>
      <c r="AH88" s="97">
        <f t="shared" ca="1" si="8"/>
        <v>0</v>
      </c>
      <c r="AI88" s="97">
        <f t="shared" si="9"/>
        <v>0</v>
      </c>
      <c r="AJ88" s="97">
        <f t="shared" ca="1" si="10"/>
        <v>0</v>
      </c>
      <c r="AK88" s="97" t="str">
        <f t="shared" ca="1" si="11"/>
        <v/>
      </c>
      <c r="AL88" s="98">
        <f t="shared" ca="1" si="12"/>
        <v>1</v>
      </c>
      <c r="AM88" s="98">
        <f t="shared" ca="1" si="13"/>
        <v>12</v>
      </c>
      <c r="AN88" s="98">
        <f t="shared" ca="1" si="14"/>
        <v>4</v>
      </c>
      <c r="AO88" s="98">
        <f t="shared" ca="1" si="15"/>
        <v>0</v>
      </c>
      <c r="AP88" s="98">
        <f t="shared" ca="1" si="16"/>
        <v>0</v>
      </c>
      <c r="AQ88" s="98">
        <f t="shared" ca="1" si="17"/>
        <v>0</v>
      </c>
      <c r="AR88" s="98">
        <f t="shared" ca="1" si="18"/>
        <v>0</v>
      </c>
      <c r="AS88" s="99"/>
      <c r="AT88" s="98">
        <f t="shared" si="19"/>
        <v>1</v>
      </c>
    </row>
    <row r="89" spans="1:46" ht="15.75" customHeight="1">
      <c r="A89" s="76"/>
      <c r="B89" s="77">
        <f t="shared" ca="1" si="0"/>
        <v>1</v>
      </c>
      <c r="C89" s="78">
        <f t="shared" ca="1" si="1"/>
        <v>12</v>
      </c>
      <c r="D89" s="78">
        <f t="shared" ca="1" si="2"/>
        <v>5</v>
      </c>
      <c r="E89" s="78" t="str">
        <f t="shared" ca="1" si="3"/>
        <v/>
      </c>
      <c r="F89" s="78" t="str">
        <f t="shared" ca="1" si="4"/>
        <v/>
      </c>
      <c r="G89" s="79" t="str">
        <f t="shared" ca="1" si="5"/>
        <v/>
      </c>
      <c r="H89" s="80" t="str">
        <f t="shared" ca="1" si="6"/>
        <v/>
      </c>
      <c r="I89" s="100"/>
      <c r="J89" s="111"/>
      <c r="K89" s="111" t="s">
        <v>65</v>
      </c>
      <c r="L89" s="111"/>
      <c r="M89" s="111"/>
      <c r="N89" s="111"/>
      <c r="O89" s="111"/>
      <c r="P89" s="111"/>
      <c r="Q89" s="112"/>
      <c r="R89" s="113" t="s">
        <v>62</v>
      </c>
      <c r="S89" s="113">
        <v>45905</v>
      </c>
      <c r="T89" s="115">
        <v>45911</v>
      </c>
      <c r="U89" s="114"/>
      <c r="V89" s="115"/>
      <c r="W89" s="116"/>
      <c r="X89" s="117"/>
      <c r="Y89" s="121"/>
      <c r="Z89" s="119"/>
      <c r="AA89" s="92"/>
      <c r="AB89" s="93"/>
      <c r="AC89" s="94"/>
      <c r="AD89" s="95"/>
      <c r="AE89" s="96"/>
      <c r="AF89" s="97"/>
      <c r="AG89" s="97">
        <f t="shared" ca="1" si="7"/>
        <v>0</v>
      </c>
      <c r="AH89" s="97">
        <f t="shared" ca="1" si="8"/>
        <v>0</v>
      </c>
      <c r="AI89" s="97">
        <f t="shared" si="9"/>
        <v>0</v>
      </c>
      <c r="AJ89" s="97">
        <f t="shared" ca="1" si="10"/>
        <v>0</v>
      </c>
      <c r="AK89" s="97" t="str">
        <f t="shared" ca="1" si="11"/>
        <v/>
      </c>
      <c r="AL89" s="98">
        <f t="shared" ca="1" si="12"/>
        <v>1</v>
      </c>
      <c r="AM89" s="98">
        <f t="shared" ca="1" si="13"/>
        <v>12</v>
      </c>
      <c r="AN89" s="98">
        <f t="shared" ca="1" si="14"/>
        <v>5</v>
      </c>
      <c r="AO89" s="98">
        <f t="shared" ca="1" si="15"/>
        <v>0</v>
      </c>
      <c r="AP89" s="98">
        <f t="shared" ca="1" si="16"/>
        <v>0</v>
      </c>
      <c r="AQ89" s="98">
        <f t="shared" ca="1" si="17"/>
        <v>0</v>
      </c>
      <c r="AR89" s="98">
        <f t="shared" ca="1" si="18"/>
        <v>0</v>
      </c>
      <c r="AS89" s="99"/>
      <c r="AT89" s="98">
        <f t="shared" si="19"/>
        <v>7</v>
      </c>
    </row>
    <row r="90" spans="1:46" ht="15.75" customHeight="1">
      <c r="A90" s="76"/>
      <c r="B90" s="77">
        <f t="shared" ca="1" si="0"/>
        <v>1</v>
      </c>
      <c r="C90" s="78">
        <f t="shared" ca="1" si="1"/>
        <v>12</v>
      </c>
      <c r="D90" s="78">
        <f t="shared" ca="1" si="2"/>
        <v>6</v>
      </c>
      <c r="E90" s="78" t="str">
        <f t="shared" ca="1" si="3"/>
        <v/>
      </c>
      <c r="F90" s="78" t="str">
        <f t="shared" ca="1" si="4"/>
        <v/>
      </c>
      <c r="G90" s="79" t="str">
        <f t="shared" ca="1" si="5"/>
        <v/>
      </c>
      <c r="H90" s="80" t="str">
        <f t="shared" ca="1" si="6"/>
        <v/>
      </c>
      <c r="I90" s="100"/>
      <c r="J90" s="111"/>
      <c r="K90" s="111" t="s">
        <v>66</v>
      </c>
      <c r="L90" s="111"/>
      <c r="M90" s="111"/>
      <c r="N90" s="111"/>
      <c r="O90" s="111"/>
      <c r="P90" s="111"/>
      <c r="Q90" s="112"/>
      <c r="R90" s="113" t="s">
        <v>60</v>
      </c>
      <c r="S90" s="113">
        <v>45912</v>
      </c>
      <c r="T90" s="115">
        <v>45912</v>
      </c>
      <c r="U90" s="114"/>
      <c r="V90" s="115"/>
      <c r="W90" s="116"/>
      <c r="X90" s="117"/>
      <c r="Y90" s="121"/>
      <c r="Z90" s="119"/>
      <c r="AA90" s="92"/>
      <c r="AB90" s="93"/>
      <c r="AC90" s="94"/>
      <c r="AD90" s="95"/>
      <c r="AE90" s="96"/>
      <c r="AF90" s="97"/>
      <c r="AG90" s="97">
        <f t="shared" ca="1" si="7"/>
        <v>0</v>
      </c>
      <c r="AH90" s="97">
        <f t="shared" ca="1" si="8"/>
        <v>0</v>
      </c>
      <c r="AI90" s="97">
        <f t="shared" si="9"/>
        <v>0</v>
      </c>
      <c r="AJ90" s="97">
        <f t="shared" ca="1" si="10"/>
        <v>0</v>
      </c>
      <c r="AK90" s="97" t="str">
        <f t="shared" ca="1" si="11"/>
        <v/>
      </c>
      <c r="AL90" s="98">
        <f t="shared" ca="1" si="12"/>
        <v>1</v>
      </c>
      <c r="AM90" s="98">
        <f t="shared" ca="1" si="13"/>
        <v>12</v>
      </c>
      <c r="AN90" s="98">
        <f t="shared" ca="1" si="14"/>
        <v>6</v>
      </c>
      <c r="AO90" s="98">
        <f t="shared" ca="1" si="15"/>
        <v>0</v>
      </c>
      <c r="AP90" s="98">
        <f t="shared" ca="1" si="16"/>
        <v>0</v>
      </c>
      <c r="AQ90" s="98">
        <f t="shared" ca="1" si="17"/>
        <v>0</v>
      </c>
      <c r="AR90" s="98">
        <f t="shared" ca="1" si="18"/>
        <v>0</v>
      </c>
      <c r="AS90" s="99"/>
      <c r="AT90" s="98">
        <f t="shared" si="19"/>
        <v>1</v>
      </c>
    </row>
    <row r="91" spans="1:46" ht="15.75" customHeight="1">
      <c r="A91" s="76"/>
      <c r="B91" s="77">
        <f t="shared" ca="1" si="0"/>
        <v>1</v>
      </c>
      <c r="C91" s="78">
        <f t="shared" ca="1" si="1"/>
        <v>13</v>
      </c>
      <c r="D91" s="78" t="str">
        <f t="shared" ca="1" si="2"/>
        <v/>
      </c>
      <c r="E91" s="78" t="str">
        <f t="shared" ca="1" si="3"/>
        <v/>
      </c>
      <c r="F91" s="78" t="str">
        <f t="shared" ca="1" si="4"/>
        <v/>
      </c>
      <c r="G91" s="79" t="str">
        <f t="shared" ca="1" si="5"/>
        <v/>
      </c>
      <c r="H91" s="80" t="str">
        <f t="shared" ca="1" si="6"/>
        <v/>
      </c>
      <c r="I91" s="100"/>
      <c r="J91" s="101" t="s">
        <v>84</v>
      </c>
      <c r="K91" s="102"/>
      <c r="L91" s="102"/>
      <c r="M91" s="102"/>
      <c r="N91" s="102"/>
      <c r="O91" s="102"/>
      <c r="P91" s="102"/>
      <c r="Q91" s="103" t="s">
        <v>58</v>
      </c>
      <c r="R91" s="104"/>
      <c r="S91" s="104"/>
      <c r="T91" s="105"/>
      <c r="U91" s="106"/>
      <c r="V91" s="105"/>
      <c r="W91" s="107"/>
      <c r="X91" s="108"/>
      <c r="Y91" s="122"/>
      <c r="Z91" s="110"/>
      <c r="AA91" s="92"/>
      <c r="AB91" s="93"/>
      <c r="AC91" s="94"/>
      <c r="AD91" s="95"/>
      <c r="AE91" s="96"/>
      <c r="AF91" s="97"/>
      <c r="AG91" s="97">
        <f t="shared" si="7"/>
        <v>0</v>
      </c>
      <c r="AH91" s="97">
        <f t="shared" si="8"/>
        <v>0</v>
      </c>
      <c r="AI91" s="97">
        <f t="shared" si="9"/>
        <v>0</v>
      </c>
      <c r="AJ91" s="97">
        <f t="shared" si="10"/>
        <v>0</v>
      </c>
      <c r="AK91" s="97" t="str">
        <f t="shared" si="11"/>
        <v/>
      </c>
      <c r="AL91" s="98">
        <f t="shared" ca="1" si="12"/>
        <v>1</v>
      </c>
      <c r="AM91" s="98">
        <f t="shared" ca="1" si="13"/>
        <v>13</v>
      </c>
      <c r="AN91" s="98">
        <f t="shared" ca="1" si="14"/>
        <v>0</v>
      </c>
      <c r="AO91" s="98">
        <f t="shared" ca="1" si="15"/>
        <v>0</v>
      </c>
      <c r="AP91" s="98">
        <f t="shared" ca="1" si="16"/>
        <v>0</v>
      </c>
      <c r="AQ91" s="98">
        <f t="shared" ca="1" si="17"/>
        <v>0</v>
      </c>
      <c r="AR91" s="98">
        <f t="shared" ca="1" si="18"/>
        <v>0</v>
      </c>
      <c r="AS91" s="99"/>
      <c r="AT91" s="98">
        <f t="shared" si="19"/>
        <v>1</v>
      </c>
    </row>
    <row r="92" spans="1:46" ht="15.75" customHeight="1">
      <c r="A92" s="76"/>
      <c r="B92" s="77">
        <f t="shared" ca="1" si="0"/>
        <v>1</v>
      </c>
      <c r="C92" s="78">
        <f t="shared" ca="1" si="1"/>
        <v>13</v>
      </c>
      <c r="D92" s="78">
        <f t="shared" ca="1" si="2"/>
        <v>1</v>
      </c>
      <c r="E92" s="78" t="str">
        <f t="shared" ca="1" si="3"/>
        <v/>
      </c>
      <c r="F92" s="78" t="str">
        <f t="shared" ca="1" si="4"/>
        <v/>
      </c>
      <c r="G92" s="79" t="str">
        <f t="shared" ca="1" si="5"/>
        <v/>
      </c>
      <c r="H92" s="80" t="str">
        <f t="shared" ca="1" si="6"/>
        <v/>
      </c>
      <c r="I92" s="100"/>
      <c r="J92" s="111"/>
      <c r="K92" s="111" t="s">
        <v>59</v>
      </c>
      <c r="L92" s="111"/>
      <c r="M92" s="111"/>
      <c r="N92" s="111"/>
      <c r="O92" s="111"/>
      <c r="P92" s="111"/>
      <c r="Q92" s="112"/>
      <c r="R92" s="113" t="s">
        <v>69</v>
      </c>
      <c r="S92" s="113">
        <v>45876</v>
      </c>
      <c r="T92" s="115">
        <v>45897</v>
      </c>
      <c r="U92" s="114"/>
      <c r="V92" s="115"/>
      <c r="W92" s="116"/>
      <c r="X92" s="117"/>
      <c r="Y92" s="121"/>
      <c r="Z92" s="119"/>
      <c r="AA92" s="92"/>
      <c r="AB92" s="93"/>
      <c r="AC92" s="94"/>
      <c r="AD92" s="95"/>
      <c r="AE92" s="96"/>
      <c r="AF92" s="97"/>
      <c r="AG92" s="97">
        <f t="shared" ca="1" si="7"/>
        <v>0</v>
      </c>
      <c r="AH92" s="97">
        <f t="shared" ca="1" si="8"/>
        <v>0</v>
      </c>
      <c r="AI92" s="97">
        <f t="shared" si="9"/>
        <v>0</v>
      </c>
      <c r="AJ92" s="97">
        <f t="shared" ca="1" si="10"/>
        <v>0</v>
      </c>
      <c r="AK92" s="97" t="str">
        <f t="shared" ca="1" si="11"/>
        <v/>
      </c>
      <c r="AL92" s="98">
        <f t="shared" ca="1" si="12"/>
        <v>1</v>
      </c>
      <c r="AM92" s="98">
        <f t="shared" ca="1" si="13"/>
        <v>13</v>
      </c>
      <c r="AN92" s="98">
        <f t="shared" ca="1" si="14"/>
        <v>1</v>
      </c>
      <c r="AO92" s="98">
        <f t="shared" ca="1" si="15"/>
        <v>0</v>
      </c>
      <c r="AP92" s="98">
        <f t="shared" ca="1" si="16"/>
        <v>0</v>
      </c>
      <c r="AQ92" s="98">
        <f t="shared" ca="1" si="17"/>
        <v>0</v>
      </c>
      <c r="AR92" s="98">
        <f t="shared" ca="1" si="18"/>
        <v>0</v>
      </c>
      <c r="AS92" s="99"/>
      <c r="AT92" s="98">
        <f t="shared" si="19"/>
        <v>22</v>
      </c>
    </row>
    <row r="93" spans="1:46" ht="15.75" customHeight="1">
      <c r="A93" s="76"/>
      <c r="B93" s="77">
        <f t="shared" ca="1" si="0"/>
        <v>1</v>
      </c>
      <c r="C93" s="78">
        <f t="shared" ca="1" si="1"/>
        <v>13</v>
      </c>
      <c r="D93" s="78">
        <f t="shared" ca="1" si="2"/>
        <v>2</v>
      </c>
      <c r="E93" s="78" t="str">
        <f t="shared" ca="1" si="3"/>
        <v/>
      </c>
      <c r="F93" s="78" t="str">
        <f t="shared" ca="1" si="4"/>
        <v/>
      </c>
      <c r="G93" s="79" t="str">
        <f t="shared" ca="1" si="5"/>
        <v/>
      </c>
      <c r="H93" s="80" t="str">
        <f t="shared" ca="1" si="6"/>
        <v/>
      </c>
      <c r="I93" s="100"/>
      <c r="J93" s="111"/>
      <c r="K93" s="111" t="s">
        <v>61</v>
      </c>
      <c r="L93" s="111"/>
      <c r="M93" s="111"/>
      <c r="N93" s="111"/>
      <c r="O93" s="111"/>
      <c r="P93" s="111"/>
      <c r="Q93" s="112"/>
      <c r="R93" s="113" t="s">
        <v>70</v>
      </c>
      <c r="S93" s="113">
        <v>45898</v>
      </c>
      <c r="T93" s="115">
        <v>45898</v>
      </c>
      <c r="U93" s="114"/>
      <c r="V93" s="115"/>
      <c r="W93" s="116"/>
      <c r="X93" s="117"/>
      <c r="Y93" s="121"/>
      <c r="Z93" s="119"/>
      <c r="AA93" s="92"/>
      <c r="AB93" s="93"/>
      <c r="AC93" s="94"/>
      <c r="AD93" s="95"/>
      <c r="AE93" s="96"/>
      <c r="AF93" s="97"/>
      <c r="AG93" s="97">
        <f t="shared" ca="1" si="7"/>
        <v>0</v>
      </c>
      <c r="AH93" s="97">
        <f t="shared" ca="1" si="8"/>
        <v>0</v>
      </c>
      <c r="AI93" s="97">
        <f t="shared" si="9"/>
        <v>0</v>
      </c>
      <c r="AJ93" s="97">
        <f t="shared" ca="1" si="10"/>
        <v>0</v>
      </c>
      <c r="AK93" s="97" t="str">
        <f t="shared" ca="1" si="11"/>
        <v/>
      </c>
      <c r="AL93" s="98">
        <f t="shared" ca="1" si="12"/>
        <v>1</v>
      </c>
      <c r="AM93" s="98">
        <f t="shared" ca="1" si="13"/>
        <v>13</v>
      </c>
      <c r="AN93" s="98">
        <f t="shared" ca="1" si="14"/>
        <v>2</v>
      </c>
      <c r="AO93" s="98">
        <f t="shared" ca="1" si="15"/>
        <v>0</v>
      </c>
      <c r="AP93" s="98">
        <f t="shared" ca="1" si="16"/>
        <v>0</v>
      </c>
      <c r="AQ93" s="98">
        <f t="shared" ca="1" si="17"/>
        <v>0</v>
      </c>
      <c r="AR93" s="98">
        <f t="shared" ca="1" si="18"/>
        <v>0</v>
      </c>
      <c r="AS93" s="99"/>
      <c r="AT93" s="98">
        <f t="shared" si="19"/>
        <v>1</v>
      </c>
    </row>
    <row r="94" spans="1:46" ht="15.75" customHeight="1">
      <c r="A94" s="76"/>
      <c r="B94" s="77">
        <f t="shared" ca="1" si="0"/>
        <v>1</v>
      </c>
      <c r="C94" s="78">
        <f t="shared" ca="1" si="1"/>
        <v>13</v>
      </c>
      <c r="D94" s="78">
        <f t="shared" ca="1" si="2"/>
        <v>3</v>
      </c>
      <c r="E94" s="78" t="str">
        <f t="shared" ca="1" si="3"/>
        <v/>
      </c>
      <c r="F94" s="78" t="str">
        <f t="shared" ca="1" si="4"/>
        <v/>
      </c>
      <c r="G94" s="79" t="str">
        <f t="shared" ca="1" si="5"/>
        <v/>
      </c>
      <c r="H94" s="80" t="str">
        <f t="shared" ca="1" si="6"/>
        <v/>
      </c>
      <c r="I94" s="100"/>
      <c r="J94" s="111"/>
      <c r="K94" s="111" t="s">
        <v>63</v>
      </c>
      <c r="L94" s="111"/>
      <c r="M94" s="111"/>
      <c r="N94" s="111"/>
      <c r="O94" s="111"/>
      <c r="P94" s="111"/>
      <c r="Q94" s="112"/>
      <c r="R94" s="113" t="s">
        <v>69</v>
      </c>
      <c r="S94" s="113">
        <v>45901</v>
      </c>
      <c r="T94" s="115">
        <v>45903</v>
      </c>
      <c r="U94" s="114"/>
      <c r="V94" s="115"/>
      <c r="W94" s="116"/>
      <c r="X94" s="117"/>
      <c r="Y94" s="121"/>
      <c r="Z94" s="119"/>
      <c r="AA94" s="92"/>
      <c r="AB94" s="93"/>
      <c r="AC94" s="94"/>
      <c r="AD94" s="95"/>
      <c r="AE94" s="96"/>
      <c r="AF94" s="97"/>
      <c r="AG94" s="97">
        <f t="shared" ca="1" si="7"/>
        <v>0</v>
      </c>
      <c r="AH94" s="97">
        <f t="shared" ca="1" si="8"/>
        <v>0</v>
      </c>
      <c r="AI94" s="97">
        <f t="shared" si="9"/>
        <v>0</v>
      </c>
      <c r="AJ94" s="97">
        <f t="shared" ca="1" si="10"/>
        <v>0</v>
      </c>
      <c r="AK94" s="97" t="str">
        <f t="shared" ca="1" si="11"/>
        <v/>
      </c>
      <c r="AL94" s="98">
        <f t="shared" ca="1" si="12"/>
        <v>1</v>
      </c>
      <c r="AM94" s="98">
        <f t="shared" ca="1" si="13"/>
        <v>13</v>
      </c>
      <c r="AN94" s="98">
        <f t="shared" ca="1" si="14"/>
        <v>3</v>
      </c>
      <c r="AO94" s="98">
        <f t="shared" ca="1" si="15"/>
        <v>0</v>
      </c>
      <c r="AP94" s="98">
        <f t="shared" ca="1" si="16"/>
        <v>0</v>
      </c>
      <c r="AQ94" s="98">
        <f t="shared" ca="1" si="17"/>
        <v>0</v>
      </c>
      <c r="AR94" s="98">
        <f t="shared" ca="1" si="18"/>
        <v>0</v>
      </c>
      <c r="AS94" s="99"/>
      <c r="AT94" s="98">
        <f t="shared" si="19"/>
        <v>3</v>
      </c>
    </row>
    <row r="95" spans="1:46" ht="15.75" customHeight="1">
      <c r="A95" s="76"/>
      <c r="B95" s="77">
        <f t="shared" ca="1" si="0"/>
        <v>1</v>
      </c>
      <c r="C95" s="78">
        <f t="shared" ca="1" si="1"/>
        <v>13</v>
      </c>
      <c r="D95" s="78">
        <f t="shared" ca="1" si="2"/>
        <v>4</v>
      </c>
      <c r="E95" s="78" t="str">
        <f t="shared" ca="1" si="3"/>
        <v/>
      </c>
      <c r="F95" s="78" t="str">
        <f t="shared" ca="1" si="4"/>
        <v/>
      </c>
      <c r="G95" s="79" t="str">
        <f t="shared" ca="1" si="5"/>
        <v/>
      </c>
      <c r="H95" s="80" t="str">
        <f t="shared" ca="1" si="6"/>
        <v/>
      </c>
      <c r="I95" s="100"/>
      <c r="J95" s="111"/>
      <c r="K95" s="111" t="s">
        <v>64</v>
      </c>
      <c r="L95" s="111"/>
      <c r="M95" s="111"/>
      <c r="N95" s="111"/>
      <c r="O95" s="111"/>
      <c r="P95" s="111"/>
      <c r="Q95" s="112"/>
      <c r="R95" s="113" t="s">
        <v>70</v>
      </c>
      <c r="S95" s="113">
        <v>45904</v>
      </c>
      <c r="T95" s="115">
        <v>45904</v>
      </c>
      <c r="U95" s="114"/>
      <c r="V95" s="115"/>
      <c r="W95" s="116"/>
      <c r="X95" s="117"/>
      <c r="Y95" s="121"/>
      <c r="Z95" s="119"/>
      <c r="AA95" s="92"/>
      <c r="AB95" s="93"/>
      <c r="AC95" s="94"/>
      <c r="AD95" s="95"/>
      <c r="AE95" s="96"/>
      <c r="AF95" s="97"/>
      <c r="AG95" s="97">
        <f t="shared" ca="1" si="7"/>
        <v>0</v>
      </c>
      <c r="AH95" s="97">
        <f t="shared" ca="1" si="8"/>
        <v>0</v>
      </c>
      <c r="AI95" s="97">
        <f t="shared" si="9"/>
        <v>0</v>
      </c>
      <c r="AJ95" s="97">
        <f t="shared" ca="1" si="10"/>
        <v>0</v>
      </c>
      <c r="AK95" s="97" t="str">
        <f t="shared" ca="1" si="11"/>
        <v/>
      </c>
      <c r="AL95" s="98">
        <f t="shared" ca="1" si="12"/>
        <v>1</v>
      </c>
      <c r="AM95" s="98">
        <f t="shared" ca="1" si="13"/>
        <v>13</v>
      </c>
      <c r="AN95" s="98">
        <f t="shared" ca="1" si="14"/>
        <v>4</v>
      </c>
      <c r="AO95" s="98">
        <f t="shared" ca="1" si="15"/>
        <v>0</v>
      </c>
      <c r="AP95" s="98">
        <f t="shared" ca="1" si="16"/>
        <v>0</v>
      </c>
      <c r="AQ95" s="98">
        <f t="shared" ca="1" si="17"/>
        <v>0</v>
      </c>
      <c r="AR95" s="98">
        <f t="shared" ca="1" si="18"/>
        <v>0</v>
      </c>
      <c r="AS95" s="99"/>
      <c r="AT95" s="98">
        <f t="shared" si="19"/>
        <v>1</v>
      </c>
    </row>
    <row r="96" spans="1:46" ht="15.75" customHeight="1">
      <c r="A96" s="76"/>
      <c r="B96" s="77">
        <f t="shared" ca="1" si="0"/>
        <v>1</v>
      </c>
      <c r="C96" s="78">
        <f t="shared" ca="1" si="1"/>
        <v>13</v>
      </c>
      <c r="D96" s="78">
        <f t="shared" ca="1" si="2"/>
        <v>5</v>
      </c>
      <c r="E96" s="78" t="str">
        <f t="shared" ca="1" si="3"/>
        <v/>
      </c>
      <c r="F96" s="78" t="str">
        <f t="shared" ca="1" si="4"/>
        <v/>
      </c>
      <c r="G96" s="79" t="str">
        <f t="shared" ca="1" si="5"/>
        <v/>
      </c>
      <c r="H96" s="80" t="str">
        <f t="shared" ca="1" si="6"/>
        <v/>
      </c>
      <c r="I96" s="100"/>
      <c r="J96" s="111"/>
      <c r="K96" s="111" t="s">
        <v>65</v>
      </c>
      <c r="L96" s="111"/>
      <c r="M96" s="111"/>
      <c r="N96" s="111"/>
      <c r="O96" s="111"/>
      <c r="P96" s="111"/>
      <c r="Q96" s="112"/>
      <c r="R96" s="113" t="s">
        <v>69</v>
      </c>
      <c r="S96" s="113">
        <v>45905</v>
      </c>
      <c r="T96" s="115">
        <v>45911</v>
      </c>
      <c r="U96" s="114"/>
      <c r="V96" s="115"/>
      <c r="W96" s="116"/>
      <c r="X96" s="117"/>
      <c r="Y96" s="121"/>
      <c r="Z96" s="119"/>
      <c r="AA96" s="92"/>
      <c r="AB96" s="93"/>
      <c r="AC96" s="94"/>
      <c r="AD96" s="95"/>
      <c r="AE96" s="96"/>
      <c r="AF96" s="97"/>
      <c r="AG96" s="97">
        <f t="shared" ca="1" si="7"/>
        <v>0</v>
      </c>
      <c r="AH96" s="97">
        <f t="shared" ca="1" si="8"/>
        <v>0</v>
      </c>
      <c r="AI96" s="97">
        <f t="shared" si="9"/>
        <v>0</v>
      </c>
      <c r="AJ96" s="97">
        <f t="shared" ca="1" si="10"/>
        <v>0</v>
      </c>
      <c r="AK96" s="97" t="str">
        <f t="shared" ca="1" si="11"/>
        <v/>
      </c>
      <c r="AL96" s="98">
        <f t="shared" ca="1" si="12"/>
        <v>1</v>
      </c>
      <c r="AM96" s="98">
        <f t="shared" ca="1" si="13"/>
        <v>13</v>
      </c>
      <c r="AN96" s="98">
        <f t="shared" ca="1" si="14"/>
        <v>5</v>
      </c>
      <c r="AO96" s="98">
        <f t="shared" ca="1" si="15"/>
        <v>0</v>
      </c>
      <c r="AP96" s="98">
        <f t="shared" ca="1" si="16"/>
        <v>0</v>
      </c>
      <c r="AQ96" s="98">
        <f t="shared" ca="1" si="17"/>
        <v>0</v>
      </c>
      <c r="AR96" s="98">
        <f t="shared" ca="1" si="18"/>
        <v>0</v>
      </c>
      <c r="AS96" s="99"/>
      <c r="AT96" s="98">
        <f t="shared" si="19"/>
        <v>7</v>
      </c>
    </row>
    <row r="97" spans="1:46" ht="15.75" customHeight="1">
      <c r="A97" s="76"/>
      <c r="B97" s="77">
        <f t="shared" ca="1" si="0"/>
        <v>1</v>
      </c>
      <c r="C97" s="78">
        <f t="shared" ca="1" si="1"/>
        <v>13</v>
      </c>
      <c r="D97" s="78">
        <f t="shared" ca="1" si="2"/>
        <v>6</v>
      </c>
      <c r="E97" s="78" t="str">
        <f t="shared" ca="1" si="3"/>
        <v/>
      </c>
      <c r="F97" s="78" t="str">
        <f t="shared" ca="1" si="4"/>
        <v/>
      </c>
      <c r="G97" s="79" t="str">
        <f t="shared" ca="1" si="5"/>
        <v/>
      </c>
      <c r="H97" s="80" t="str">
        <f t="shared" ca="1" si="6"/>
        <v/>
      </c>
      <c r="I97" s="100"/>
      <c r="J97" s="111"/>
      <c r="K97" s="111" t="s">
        <v>66</v>
      </c>
      <c r="L97" s="111"/>
      <c r="M97" s="111"/>
      <c r="N97" s="111"/>
      <c r="O97" s="111"/>
      <c r="P97" s="111"/>
      <c r="Q97" s="112"/>
      <c r="R97" s="113" t="s">
        <v>70</v>
      </c>
      <c r="S97" s="113">
        <v>45912</v>
      </c>
      <c r="T97" s="115">
        <v>45912</v>
      </c>
      <c r="U97" s="114"/>
      <c r="V97" s="115"/>
      <c r="W97" s="116"/>
      <c r="X97" s="117"/>
      <c r="Y97" s="121"/>
      <c r="Z97" s="119"/>
      <c r="AA97" s="92"/>
      <c r="AB97" s="93"/>
      <c r="AC97" s="94"/>
      <c r="AD97" s="95"/>
      <c r="AE97" s="96"/>
      <c r="AF97" s="97"/>
      <c r="AG97" s="97">
        <f t="shared" ca="1" si="7"/>
        <v>0</v>
      </c>
      <c r="AH97" s="97">
        <f t="shared" ca="1" si="8"/>
        <v>0</v>
      </c>
      <c r="AI97" s="97">
        <f t="shared" si="9"/>
        <v>0</v>
      </c>
      <c r="AJ97" s="97">
        <f t="shared" ca="1" si="10"/>
        <v>0</v>
      </c>
      <c r="AK97" s="97" t="str">
        <f t="shared" ca="1" si="11"/>
        <v/>
      </c>
      <c r="AL97" s="98">
        <f t="shared" ca="1" si="12"/>
        <v>1</v>
      </c>
      <c r="AM97" s="98">
        <f t="shared" ca="1" si="13"/>
        <v>13</v>
      </c>
      <c r="AN97" s="98">
        <f t="shared" ca="1" si="14"/>
        <v>6</v>
      </c>
      <c r="AO97" s="98">
        <f t="shared" ca="1" si="15"/>
        <v>0</v>
      </c>
      <c r="AP97" s="98">
        <f t="shared" ca="1" si="16"/>
        <v>0</v>
      </c>
      <c r="AQ97" s="98">
        <f t="shared" ca="1" si="17"/>
        <v>0</v>
      </c>
      <c r="AR97" s="98">
        <f t="shared" ca="1" si="18"/>
        <v>0</v>
      </c>
      <c r="AS97" s="99"/>
      <c r="AT97" s="98">
        <f t="shared" si="19"/>
        <v>1</v>
      </c>
    </row>
    <row r="98" spans="1:46" ht="15.75" customHeight="1">
      <c r="A98" s="76"/>
      <c r="B98" s="77">
        <f t="shared" ca="1" si="0"/>
        <v>1</v>
      </c>
      <c r="C98" s="78">
        <f t="shared" ca="1" si="1"/>
        <v>14</v>
      </c>
      <c r="D98" s="78" t="str">
        <f t="shared" ca="1" si="2"/>
        <v/>
      </c>
      <c r="E98" s="78" t="str">
        <f t="shared" ca="1" si="3"/>
        <v/>
      </c>
      <c r="F98" s="78" t="str">
        <f t="shared" ca="1" si="4"/>
        <v/>
      </c>
      <c r="G98" s="79" t="str">
        <f t="shared" ca="1" si="5"/>
        <v/>
      </c>
      <c r="H98" s="80" t="str">
        <f t="shared" ca="1" si="6"/>
        <v/>
      </c>
      <c r="I98" s="100"/>
      <c r="J98" s="101" t="s">
        <v>85</v>
      </c>
      <c r="K98" s="102"/>
      <c r="L98" s="102"/>
      <c r="M98" s="102"/>
      <c r="N98" s="102"/>
      <c r="O98" s="102"/>
      <c r="P98" s="102"/>
      <c r="Q98" s="103" t="s">
        <v>58</v>
      </c>
      <c r="R98" s="103"/>
      <c r="S98" s="104"/>
      <c r="T98" s="105"/>
      <c r="U98" s="106"/>
      <c r="V98" s="105"/>
      <c r="W98" s="107"/>
      <c r="X98" s="108"/>
      <c r="Y98" s="122"/>
      <c r="Z98" s="110"/>
      <c r="AA98" s="92"/>
      <c r="AB98" s="93"/>
      <c r="AC98" s="94"/>
      <c r="AD98" s="95"/>
      <c r="AE98" s="96"/>
      <c r="AF98" s="97"/>
      <c r="AG98" s="97">
        <f t="shared" si="7"/>
        <v>0</v>
      </c>
      <c r="AH98" s="97">
        <f t="shared" si="8"/>
        <v>0</v>
      </c>
      <c r="AI98" s="97">
        <f t="shared" si="9"/>
        <v>0</v>
      </c>
      <c r="AJ98" s="97">
        <f t="shared" si="10"/>
        <v>0</v>
      </c>
      <c r="AK98" s="97" t="str">
        <f t="shared" si="11"/>
        <v/>
      </c>
      <c r="AL98" s="98">
        <f t="shared" ca="1" si="12"/>
        <v>1</v>
      </c>
      <c r="AM98" s="98">
        <f t="shared" ca="1" si="13"/>
        <v>14</v>
      </c>
      <c r="AN98" s="98">
        <f t="shared" ca="1" si="14"/>
        <v>0</v>
      </c>
      <c r="AO98" s="98">
        <f t="shared" ca="1" si="15"/>
        <v>0</v>
      </c>
      <c r="AP98" s="98">
        <f t="shared" ca="1" si="16"/>
        <v>0</v>
      </c>
      <c r="AQ98" s="98">
        <f t="shared" ca="1" si="17"/>
        <v>0</v>
      </c>
      <c r="AR98" s="98">
        <f t="shared" ca="1" si="18"/>
        <v>0</v>
      </c>
      <c r="AS98" s="99"/>
      <c r="AT98" s="98">
        <f t="shared" si="19"/>
        <v>1</v>
      </c>
    </row>
    <row r="99" spans="1:46" ht="15.75" customHeight="1">
      <c r="A99" s="76"/>
      <c r="B99" s="77">
        <f t="shared" ca="1" si="0"/>
        <v>1</v>
      </c>
      <c r="C99" s="78">
        <f t="shared" ca="1" si="1"/>
        <v>14</v>
      </c>
      <c r="D99" s="78">
        <f t="shared" ca="1" si="2"/>
        <v>1</v>
      </c>
      <c r="E99" s="78" t="str">
        <f t="shared" ca="1" si="3"/>
        <v/>
      </c>
      <c r="F99" s="78" t="str">
        <f t="shared" ca="1" si="4"/>
        <v/>
      </c>
      <c r="G99" s="79" t="str">
        <f t="shared" ca="1" si="5"/>
        <v/>
      </c>
      <c r="H99" s="80" t="str">
        <f t="shared" ca="1" si="6"/>
        <v/>
      </c>
      <c r="I99" s="100"/>
      <c r="J99" s="111"/>
      <c r="K99" s="111" t="s">
        <v>59</v>
      </c>
      <c r="L99" s="111"/>
      <c r="M99" s="111"/>
      <c r="N99" s="111"/>
      <c r="O99" s="111"/>
      <c r="P99" s="111"/>
      <c r="Q99" s="112"/>
      <c r="R99" s="113" t="s">
        <v>70</v>
      </c>
      <c r="S99" s="113">
        <v>45876</v>
      </c>
      <c r="T99" s="115">
        <v>45897</v>
      </c>
      <c r="U99" s="114"/>
      <c r="V99" s="115"/>
      <c r="W99" s="116"/>
      <c r="X99" s="117"/>
      <c r="Y99" s="121"/>
      <c r="Z99" s="119"/>
      <c r="AA99" s="92"/>
      <c r="AB99" s="93"/>
      <c r="AC99" s="94"/>
      <c r="AD99" s="95"/>
      <c r="AE99" s="96"/>
      <c r="AF99" s="97"/>
      <c r="AG99" s="97">
        <f t="shared" ca="1" si="7"/>
        <v>0</v>
      </c>
      <c r="AH99" s="97">
        <f t="shared" ca="1" si="8"/>
        <v>0</v>
      </c>
      <c r="AI99" s="97">
        <f t="shared" si="9"/>
        <v>0</v>
      </c>
      <c r="AJ99" s="97">
        <f t="shared" ca="1" si="10"/>
        <v>0</v>
      </c>
      <c r="AK99" s="97" t="str">
        <f t="shared" ca="1" si="11"/>
        <v/>
      </c>
      <c r="AL99" s="98">
        <f t="shared" ca="1" si="12"/>
        <v>1</v>
      </c>
      <c r="AM99" s="98">
        <f t="shared" ca="1" si="13"/>
        <v>14</v>
      </c>
      <c r="AN99" s="98">
        <f t="shared" ca="1" si="14"/>
        <v>1</v>
      </c>
      <c r="AO99" s="98">
        <f t="shared" ca="1" si="15"/>
        <v>0</v>
      </c>
      <c r="AP99" s="98">
        <f t="shared" ca="1" si="16"/>
        <v>0</v>
      </c>
      <c r="AQ99" s="98">
        <f t="shared" ca="1" si="17"/>
        <v>0</v>
      </c>
      <c r="AR99" s="98">
        <f t="shared" ca="1" si="18"/>
        <v>0</v>
      </c>
      <c r="AS99" s="99"/>
      <c r="AT99" s="98">
        <f t="shared" si="19"/>
        <v>22</v>
      </c>
    </row>
    <row r="100" spans="1:46" ht="15.75" customHeight="1">
      <c r="A100" s="76"/>
      <c r="B100" s="77">
        <f t="shared" ca="1" si="0"/>
        <v>1</v>
      </c>
      <c r="C100" s="78">
        <f t="shared" ca="1" si="1"/>
        <v>14</v>
      </c>
      <c r="D100" s="78">
        <f t="shared" ca="1" si="2"/>
        <v>2</v>
      </c>
      <c r="E100" s="78" t="str">
        <f t="shared" ca="1" si="3"/>
        <v/>
      </c>
      <c r="F100" s="78" t="str">
        <f t="shared" ca="1" si="4"/>
        <v/>
      </c>
      <c r="G100" s="79" t="str">
        <f t="shared" ca="1" si="5"/>
        <v/>
      </c>
      <c r="H100" s="80" t="str">
        <f t="shared" ca="1" si="6"/>
        <v/>
      </c>
      <c r="I100" s="100"/>
      <c r="J100" s="111"/>
      <c r="K100" s="111" t="s">
        <v>61</v>
      </c>
      <c r="L100" s="111"/>
      <c r="M100" s="111"/>
      <c r="N100" s="111"/>
      <c r="O100" s="111"/>
      <c r="P100" s="111"/>
      <c r="Q100" s="112"/>
      <c r="R100" s="113" t="s">
        <v>69</v>
      </c>
      <c r="S100" s="113">
        <v>45898</v>
      </c>
      <c r="T100" s="115">
        <v>45898</v>
      </c>
      <c r="U100" s="114"/>
      <c r="V100" s="115"/>
      <c r="W100" s="116"/>
      <c r="X100" s="117"/>
      <c r="Y100" s="121"/>
      <c r="Z100" s="119"/>
      <c r="AA100" s="92"/>
      <c r="AB100" s="93"/>
      <c r="AC100" s="94"/>
      <c r="AD100" s="95"/>
      <c r="AE100" s="96"/>
      <c r="AF100" s="97"/>
      <c r="AG100" s="97">
        <f t="shared" ca="1" si="7"/>
        <v>0</v>
      </c>
      <c r="AH100" s="97">
        <f t="shared" ca="1" si="8"/>
        <v>0</v>
      </c>
      <c r="AI100" s="97">
        <f t="shared" si="9"/>
        <v>0</v>
      </c>
      <c r="AJ100" s="97">
        <f t="shared" ca="1" si="10"/>
        <v>0</v>
      </c>
      <c r="AK100" s="97" t="str">
        <f t="shared" ca="1" si="11"/>
        <v/>
      </c>
      <c r="AL100" s="98">
        <f t="shared" ca="1" si="12"/>
        <v>1</v>
      </c>
      <c r="AM100" s="98">
        <f t="shared" ca="1" si="13"/>
        <v>14</v>
      </c>
      <c r="AN100" s="98">
        <f t="shared" ca="1" si="14"/>
        <v>2</v>
      </c>
      <c r="AO100" s="98">
        <f t="shared" ca="1" si="15"/>
        <v>0</v>
      </c>
      <c r="AP100" s="98">
        <f t="shared" ca="1" si="16"/>
        <v>0</v>
      </c>
      <c r="AQ100" s="98">
        <f t="shared" ca="1" si="17"/>
        <v>0</v>
      </c>
      <c r="AR100" s="98">
        <f t="shared" ca="1" si="18"/>
        <v>0</v>
      </c>
      <c r="AS100" s="99"/>
      <c r="AT100" s="98">
        <f t="shared" si="19"/>
        <v>1</v>
      </c>
    </row>
    <row r="101" spans="1:46" ht="15.75" customHeight="1">
      <c r="A101" s="76"/>
      <c r="B101" s="77">
        <f t="shared" ca="1" si="0"/>
        <v>1</v>
      </c>
      <c r="C101" s="78">
        <f t="shared" ca="1" si="1"/>
        <v>14</v>
      </c>
      <c r="D101" s="78">
        <f t="shared" ca="1" si="2"/>
        <v>3</v>
      </c>
      <c r="E101" s="78" t="str">
        <f t="shared" ca="1" si="3"/>
        <v/>
      </c>
      <c r="F101" s="78" t="str">
        <f t="shared" ca="1" si="4"/>
        <v/>
      </c>
      <c r="G101" s="79" t="str">
        <f t="shared" ca="1" si="5"/>
        <v/>
      </c>
      <c r="H101" s="80" t="str">
        <f t="shared" ca="1" si="6"/>
        <v/>
      </c>
      <c r="I101" s="100"/>
      <c r="J101" s="111"/>
      <c r="K101" s="111" t="s">
        <v>63</v>
      </c>
      <c r="L101" s="111"/>
      <c r="M101" s="111"/>
      <c r="N101" s="111"/>
      <c r="O101" s="111"/>
      <c r="P101" s="111"/>
      <c r="Q101" s="112"/>
      <c r="R101" s="113" t="s">
        <v>70</v>
      </c>
      <c r="S101" s="113">
        <v>45901</v>
      </c>
      <c r="T101" s="115">
        <v>45903</v>
      </c>
      <c r="U101" s="114"/>
      <c r="V101" s="115"/>
      <c r="W101" s="116"/>
      <c r="X101" s="117"/>
      <c r="Y101" s="121"/>
      <c r="Z101" s="119"/>
      <c r="AA101" s="92"/>
      <c r="AB101" s="93"/>
      <c r="AC101" s="94"/>
      <c r="AD101" s="95"/>
      <c r="AE101" s="96"/>
      <c r="AF101" s="97"/>
      <c r="AG101" s="97">
        <f t="shared" ca="1" si="7"/>
        <v>0</v>
      </c>
      <c r="AH101" s="97">
        <f t="shared" ca="1" si="8"/>
        <v>0</v>
      </c>
      <c r="AI101" s="97">
        <f t="shared" si="9"/>
        <v>0</v>
      </c>
      <c r="AJ101" s="97">
        <f t="shared" ca="1" si="10"/>
        <v>0</v>
      </c>
      <c r="AK101" s="97" t="str">
        <f t="shared" ca="1" si="11"/>
        <v/>
      </c>
      <c r="AL101" s="98">
        <f t="shared" ca="1" si="12"/>
        <v>1</v>
      </c>
      <c r="AM101" s="98">
        <f t="shared" ca="1" si="13"/>
        <v>14</v>
      </c>
      <c r="AN101" s="98">
        <f t="shared" ca="1" si="14"/>
        <v>3</v>
      </c>
      <c r="AO101" s="98">
        <f t="shared" ca="1" si="15"/>
        <v>0</v>
      </c>
      <c r="AP101" s="98">
        <f t="shared" ca="1" si="16"/>
        <v>0</v>
      </c>
      <c r="AQ101" s="98">
        <f t="shared" ca="1" si="17"/>
        <v>0</v>
      </c>
      <c r="AR101" s="98">
        <f t="shared" ca="1" si="18"/>
        <v>0</v>
      </c>
      <c r="AS101" s="99"/>
      <c r="AT101" s="98">
        <f t="shared" si="19"/>
        <v>3</v>
      </c>
    </row>
    <row r="102" spans="1:46" ht="15.75" customHeight="1">
      <c r="A102" s="76"/>
      <c r="B102" s="77">
        <f t="shared" ca="1" si="0"/>
        <v>1</v>
      </c>
      <c r="C102" s="78">
        <f t="shared" ca="1" si="1"/>
        <v>14</v>
      </c>
      <c r="D102" s="78">
        <f t="shared" ca="1" si="2"/>
        <v>4</v>
      </c>
      <c r="E102" s="78" t="str">
        <f t="shared" ca="1" si="3"/>
        <v/>
      </c>
      <c r="F102" s="78" t="str">
        <f t="shared" ca="1" si="4"/>
        <v/>
      </c>
      <c r="G102" s="79" t="str">
        <f t="shared" ca="1" si="5"/>
        <v/>
      </c>
      <c r="H102" s="80" t="str">
        <f t="shared" ca="1" si="6"/>
        <v/>
      </c>
      <c r="I102" s="100"/>
      <c r="J102" s="111"/>
      <c r="K102" s="111" t="s">
        <v>64</v>
      </c>
      <c r="L102" s="111"/>
      <c r="M102" s="111"/>
      <c r="N102" s="111"/>
      <c r="O102" s="111"/>
      <c r="P102" s="111"/>
      <c r="Q102" s="112"/>
      <c r="R102" s="113" t="s">
        <v>69</v>
      </c>
      <c r="S102" s="113">
        <v>45904</v>
      </c>
      <c r="T102" s="115">
        <v>45904</v>
      </c>
      <c r="U102" s="114"/>
      <c r="V102" s="115"/>
      <c r="W102" s="116"/>
      <c r="X102" s="117"/>
      <c r="Y102" s="121"/>
      <c r="Z102" s="119"/>
      <c r="AA102" s="92"/>
      <c r="AB102" s="93"/>
      <c r="AC102" s="94"/>
      <c r="AD102" s="95"/>
      <c r="AE102" s="96"/>
      <c r="AF102" s="97"/>
      <c r="AG102" s="97">
        <f t="shared" ca="1" si="7"/>
        <v>0</v>
      </c>
      <c r="AH102" s="97">
        <f t="shared" ca="1" si="8"/>
        <v>0</v>
      </c>
      <c r="AI102" s="97">
        <f t="shared" si="9"/>
        <v>0</v>
      </c>
      <c r="AJ102" s="97">
        <f t="shared" ca="1" si="10"/>
        <v>0</v>
      </c>
      <c r="AK102" s="97" t="str">
        <f t="shared" ca="1" si="11"/>
        <v/>
      </c>
      <c r="AL102" s="98">
        <f t="shared" ca="1" si="12"/>
        <v>1</v>
      </c>
      <c r="AM102" s="98">
        <f t="shared" ca="1" si="13"/>
        <v>14</v>
      </c>
      <c r="AN102" s="98">
        <f t="shared" ca="1" si="14"/>
        <v>4</v>
      </c>
      <c r="AO102" s="98">
        <f t="shared" ca="1" si="15"/>
        <v>0</v>
      </c>
      <c r="AP102" s="98">
        <f t="shared" ca="1" si="16"/>
        <v>0</v>
      </c>
      <c r="AQ102" s="98">
        <f t="shared" ca="1" si="17"/>
        <v>0</v>
      </c>
      <c r="AR102" s="98">
        <f t="shared" ca="1" si="18"/>
        <v>0</v>
      </c>
      <c r="AS102" s="99"/>
      <c r="AT102" s="98">
        <f t="shared" si="19"/>
        <v>1</v>
      </c>
    </row>
    <row r="103" spans="1:46" ht="15.75" customHeight="1">
      <c r="A103" s="76"/>
      <c r="B103" s="77">
        <f t="shared" ca="1" si="0"/>
        <v>1</v>
      </c>
      <c r="C103" s="78">
        <f t="shared" ca="1" si="1"/>
        <v>14</v>
      </c>
      <c r="D103" s="78">
        <f t="shared" ca="1" si="2"/>
        <v>5</v>
      </c>
      <c r="E103" s="78" t="str">
        <f t="shared" ca="1" si="3"/>
        <v/>
      </c>
      <c r="F103" s="78" t="str">
        <f t="shared" ca="1" si="4"/>
        <v/>
      </c>
      <c r="G103" s="79" t="str">
        <f t="shared" ca="1" si="5"/>
        <v/>
      </c>
      <c r="H103" s="80" t="str">
        <f t="shared" ca="1" si="6"/>
        <v/>
      </c>
      <c r="I103" s="100"/>
      <c r="J103" s="111"/>
      <c r="K103" s="111" t="s">
        <v>65</v>
      </c>
      <c r="L103" s="111"/>
      <c r="M103" s="111"/>
      <c r="N103" s="111"/>
      <c r="O103" s="111"/>
      <c r="P103" s="111"/>
      <c r="Q103" s="112"/>
      <c r="R103" s="113" t="s">
        <v>70</v>
      </c>
      <c r="S103" s="113">
        <v>45905</v>
      </c>
      <c r="T103" s="115">
        <v>45911</v>
      </c>
      <c r="U103" s="114"/>
      <c r="V103" s="115"/>
      <c r="W103" s="116"/>
      <c r="X103" s="117"/>
      <c r="Y103" s="121"/>
      <c r="Z103" s="119"/>
      <c r="AA103" s="92"/>
      <c r="AB103" s="93"/>
      <c r="AC103" s="94"/>
      <c r="AD103" s="95"/>
      <c r="AE103" s="96"/>
      <c r="AF103" s="97"/>
      <c r="AG103" s="97">
        <f t="shared" ca="1" si="7"/>
        <v>0</v>
      </c>
      <c r="AH103" s="97">
        <f t="shared" ca="1" si="8"/>
        <v>0</v>
      </c>
      <c r="AI103" s="97">
        <f t="shared" si="9"/>
        <v>0</v>
      </c>
      <c r="AJ103" s="97">
        <f t="shared" ca="1" si="10"/>
        <v>0</v>
      </c>
      <c r="AK103" s="97" t="str">
        <f t="shared" ca="1" si="11"/>
        <v/>
      </c>
      <c r="AL103" s="98">
        <f t="shared" ca="1" si="12"/>
        <v>1</v>
      </c>
      <c r="AM103" s="98">
        <f t="shared" ca="1" si="13"/>
        <v>14</v>
      </c>
      <c r="AN103" s="98">
        <f t="shared" ca="1" si="14"/>
        <v>5</v>
      </c>
      <c r="AO103" s="98">
        <f t="shared" ca="1" si="15"/>
        <v>0</v>
      </c>
      <c r="AP103" s="98">
        <f t="shared" ca="1" si="16"/>
        <v>0</v>
      </c>
      <c r="AQ103" s="98">
        <f t="shared" ca="1" si="17"/>
        <v>0</v>
      </c>
      <c r="AR103" s="98">
        <f t="shared" ca="1" si="18"/>
        <v>0</v>
      </c>
      <c r="AS103" s="99"/>
      <c r="AT103" s="98">
        <f t="shared" si="19"/>
        <v>7</v>
      </c>
    </row>
    <row r="104" spans="1:46" ht="15.75" customHeight="1">
      <c r="A104" s="76"/>
      <c r="B104" s="77">
        <f t="shared" ca="1" si="0"/>
        <v>1</v>
      </c>
      <c r="C104" s="78">
        <f t="shared" ca="1" si="1"/>
        <v>14</v>
      </c>
      <c r="D104" s="78">
        <f t="shared" ca="1" si="2"/>
        <v>6</v>
      </c>
      <c r="E104" s="78" t="str">
        <f t="shared" ca="1" si="3"/>
        <v/>
      </c>
      <c r="F104" s="78" t="str">
        <f t="shared" ca="1" si="4"/>
        <v/>
      </c>
      <c r="G104" s="79" t="str">
        <f t="shared" ca="1" si="5"/>
        <v/>
      </c>
      <c r="H104" s="80" t="str">
        <f t="shared" ca="1" si="6"/>
        <v/>
      </c>
      <c r="I104" s="100"/>
      <c r="J104" s="111"/>
      <c r="K104" s="111" t="s">
        <v>66</v>
      </c>
      <c r="L104" s="111"/>
      <c r="M104" s="111"/>
      <c r="N104" s="111"/>
      <c r="O104" s="111"/>
      <c r="P104" s="111"/>
      <c r="Q104" s="112"/>
      <c r="R104" s="113" t="s">
        <v>69</v>
      </c>
      <c r="S104" s="113">
        <v>45912</v>
      </c>
      <c r="T104" s="115">
        <v>45912</v>
      </c>
      <c r="U104" s="114"/>
      <c r="V104" s="115"/>
      <c r="W104" s="116"/>
      <c r="X104" s="117"/>
      <c r="Y104" s="121"/>
      <c r="Z104" s="119"/>
      <c r="AA104" s="92"/>
      <c r="AB104" s="93"/>
      <c r="AC104" s="94"/>
      <c r="AD104" s="95"/>
      <c r="AE104" s="96"/>
      <c r="AF104" s="97"/>
      <c r="AG104" s="97">
        <f t="shared" ca="1" si="7"/>
        <v>0</v>
      </c>
      <c r="AH104" s="97">
        <f t="shared" ca="1" si="8"/>
        <v>0</v>
      </c>
      <c r="AI104" s="97">
        <f t="shared" si="9"/>
        <v>0</v>
      </c>
      <c r="AJ104" s="97">
        <f t="shared" ca="1" si="10"/>
        <v>0</v>
      </c>
      <c r="AK104" s="97" t="str">
        <f t="shared" ca="1" si="11"/>
        <v/>
      </c>
      <c r="AL104" s="98">
        <f t="shared" ca="1" si="12"/>
        <v>1</v>
      </c>
      <c r="AM104" s="98">
        <f t="shared" ca="1" si="13"/>
        <v>14</v>
      </c>
      <c r="AN104" s="98">
        <f t="shared" ca="1" si="14"/>
        <v>6</v>
      </c>
      <c r="AO104" s="98">
        <f t="shared" ca="1" si="15"/>
        <v>0</v>
      </c>
      <c r="AP104" s="98">
        <f t="shared" ca="1" si="16"/>
        <v>0</v>
      </c>
      <c r="AQ104" s="98">
        <f t="shared" ca="1" si="17"/>
        <v>0</v>
      </c>
      <c r="AR104" s="98">
        <f t="shared" ca="1" si="18"/>
        <v>0</v>
      </c>
      <c r="AS104" s="99"/>
      <c r="AT104" s="98">
        <f t="shared" si="19"/>
        <v>1</v>
      </c>
    </row>
    <row r="105" spans="1:46" ht="15.75" customHeight="1">
      <c r="A105" s="76"/>
      <c r="B105" s="77">
        <f t="shared" ca="1" si="0"/>
        <v>1</v>
      </c>
      <c r="C105" s="78">
        <f t="shared" ca="1" si="1"/>
        <v>15</v>
      </c>
      <c r="D105" s="78" t="str">
        <f t="shared" ca="1" si="2"/>
        <v/>
      </c>
      <c r="E105" s="78" t="str">
        <f t="shared" ca="1" si="3"/>
        <v/>
      </c>
      <c r="F105" s="78" t="str">
        <f t="shared" ca="1" si="4"/>
        <v/>
      </c>
      <c r="G105" s="79" t="str">
        <f t="shared" ca="1" si="5"/>
        <v/>
      </c>
      <c r="H105" s="80" t="str">
        <f t="shared" ca="1" si="6"/>
        <v/>
      </c>
      <c r="I105" s="100"/>
      <c r="J105" s="101" t="s">
        <v>393</v>
      </c>
      <c r="K105" s="102"/>
      <c r="L105" s="102"/>
      <c r="M105" s="102"/>
      <c r="N105" s="102"/>
      <c r="O105" s="102"/>
      <c r="P105" s="102"/>
      <c r="Q105" s="103" t="s">
        <v>73</v>
      </c>
      <c r="R105" s="104"/>
      <c r="S105" s="104"/>
      <c r="T105" s="105"/>
      <c r="U105" s="106"/>
      <c r="V105" s="105"/>
      <c r="W105" s="107"/>
      <c r="X105" s="108"/>
      <c r="Y105" s="122"/>
      <c r="Z105" s="110"/>
      <c r="AA105" s="92"/>
      <c r="AB105" s="93"/>
      <c r="AC105" s="94"/>
      <c r="AD105" s="95"/>
      <c r="AE105" s="96"/>
      <c r="AF105" s="97"/>
      <c r="AG105" s="97">
        <f t="shared" si="7"/>
        <v>0</v>
      </c>
      <c r="AH105" s="97">
        <f t="shared" si="8"/>
        <v>0</v>
      </c>
      <c r="AI105" s="97">
        <f t="shared" si="9"/>
        <v>0</v>
      </c>
      <c r="AJ105" s="97">
        <f t="shared" si="10"/>
        <v>0</v>
      </c>
      <c r="AK105" s="97" t="str">
        <f t="shared" si="11"/>
        <v/>
      </c>
      <c r="AL105" s="98">
        <f t="shared" ca="1" si="12"/>
        <v>1</v>
      </c>
      <c r="AM105" s="98">
        <f t="shared" ca="1" si="13"/>
        <v>15</v>
      </c>
      <c r="AN105" s="98">
        <f t="shared" ca="1" si="14"/>
        <v>0</v>
      </c>
      <c r="AO105" s="98">
        <f t="shared" ca="1" si="15"/>
        <v>0</v>
      </c>
      <c r="AP105" s="98">
        <f t="shared" ca="1" si="16"/>
        <v>0</v>
      </c>
      <c r="AQ105" s="98">
        <f t="shared" ca="1" si="17"/>
        <v>0</v>
      </c>
      <c r="AR105" s="98">
        <f t="shared" ca="1" si="18"/>
        <v>0</v>
      </c>
      <c r="AS105" s="99"/>
      <c r="AT105" s="98">
        <f t="shared" si="19"/>
        <v>1</v>
      </c>
    </row>
    <row r="106" spans="1:46" ht="15.75" customHeight="1">
      <c r="A106" s="76"/>
      <c r="B106" s="77">
        <f t="shared" ca="1" si="0"/>
        <v>1</v>
      </c>
      <c r="C106" s="78">
        <f t="shared" ca="1" si="1"/>
        <v>15</v>
      </c>
      <c r="D106" s="78">
        <f t="shared" ca="1" si="2"/>
        <v>1</v>
      </c>
      <c r="E106" s="78" t="str">
        <f t="shared" ca="1" si="3"/>
        <v/>
      </c>
      <c r="F106" s="78" t="str">
        <f t="shared" ca="1" si="4"/>
        <v/>
      </c>
      <c r="G106" s="79" t="str">
        <f t="shared" ca="1" si="5"/>
        <v/>
      </c>
      <c r="H106" s="80" t="str">
        <f t="shared" ca="1" si="6"/>
        <v/>
      </c>
      <c r="I106" s="100"/>
      <c r="J106" s="111"/>
      <c r="K106" s="111" t="s">
        <v>59</v>
      </c>
      <c r="L106" s="111"/>
      <c r="M106" s="111"/>
      <c r="N106" s="111"/>
      <c r="O106" s="111"/>
      <c r="P106" s="111"/>
      <c r="Q106" s="112"/>
      <c r="R106" s="120" t="s">
        <v>70</v>
      </c>
      <c r="S106" s="114">
        <v>45819</v>
      </c>
      <c r="T106" s="115">
        <v>45825</v>
      </c>
      <c r="U106" s="114">
        <v>45818</v>
      </c>
      <c r="V106" s="115">
        <v>45820</v>
      </c>
      <c r="W106" s="116">
        <v>1</v>
      </c>
      <c r="X106" s="117">
        <v>1</v>
      </c>
      <c r="Y106" s="121"/>
      <c r="Z106" s="119"/>
      <c r="AA106" s="92"/>
      <c r="AB106" s="93"/>
      <c r="AC106" s="94"/>
      <c r="AD106" s="95"/>
      <c r="AE106" s="96"/>
      <c r="AF106" s="97"/>
      <c r="AG106" s="97">
        <f t="shared" ca="1" si="7"/>
        <v>0</v>
      </c>
      <c r="AH106" s="97">
        <f t="shared" ca="1" si="8"/>
        <v>0</v>
      </c>
      <c r="AI106" s="97">
        <f t="shared" si="9"/>
        <v>0</v>
      </c>
      <c r="AJ106" s="97">
        <f t="shared" ca="1" si="10"/>
        <v>0</v>
      </c>
      <c r="AK106" s="97" t="str">
        <f t="shared" ca="1" si="11"/>
        <v/>
      </c>
      <c r="AL106" s="98">
        <f t="shared" ca="1" si="12"/>
        <v>1</v>
      </c>
      <c r="AM106" s="98">
        <f t="shared" ca="1" si="13"/>
        <v>15</v>
      </c>
      <c r="AN106" s="98">
        <f t="shared" ca="1" si="14"/>
        <v>1</v>
      </c>
      <c r="AO106" s="98">
        <f t="shared" ca="1" si="15"/>
        <v>0</v>
      </c>
      <c r="AP106" s="98">
        <f t="shared" ca="1" si="16"/>
        <v>0</v>
      </c>
      <c r="AQ106" s="98">
        <f t="shared" ca="1" si="17"/>
        <v>0</v>
      </c>
      <c r="AR106" s="98">
        <f t="shared" ca="1" si="18"/>
        <v>0</v>
      </c>
      <c r="AS106" s="99"/>
      <c r="AT106" s="98">
        <f t="shared" si="19"/>
        <v>7</v>
      </c>
    </row>
    <row r="107" spans="1:46" ht="15.75" customHeight="1">
      <c r="A107" s="76"/>
      <c r="B107" s="77">
        <f t="shared" ca="1" si="0"/>
        <v>1</v>
      </c>
      <c r="C107" s="78">
        <f t="shared" ca="1" si="1"/>
        <v>15</v>
      </c>
      <c r="D107" s="78">
        <f t="shared" ca="1" si="2"/>
        <v>2</v>
      </c>
      <c r="E107" s="78" t="str">
        <f t="shared" ca="1" si="3"/>
        <v/>
      </c>
      <c r="F107" s="78" t="str">
        <f t="shared" ca="1" si="4"/>
        <v/>
      </c>
      <c r="G107" s="79" t="str">
        <f t="shared" ca="1" si="5"/>
        <v/>
      </c>
      <c r="H107" s="80" t="str">
        <f t="shared" ca="1" si="6"/>
        <v/>
      </c>
      <c r="I107" s="100"/>
      <c r="J107" s="111"/>
      <c r="K107" s="111" t="s">
        <v>61</v>
      </c>
      <c r="L107" s="111"/>
      <c r="M107" s="111"/>
      <c r="N107" s="111"/>
      <c r="O107" s="111"/>
      <c r="P107" s="111"/>
      <c r="Q107" s="112"/>
      <c r="R107" s="123" t="s">
        <v>77</v>
      </c>
      <c r="S107" s="114">
        <v>45826</v>
      </c>
      <c r="T107" s="115">
        <v>45826</v>
      </c>
      <c r="U107" s="114">
        <v>45819</v>
      </c>
      <c r="V107" s="114">
        <v>45820</v>
      </c>
      <c r="W107" s="116">
        <v>1</v>
      </c>
      <c r="X107" s="116">
        <v>1</v>
      </c>
      <c r="Y107" s="121"/>
      <c r="Z107" s="119"/>
      <c r="AA107" s="92"/>
      <c r="AB107" s="93"/>
      <c r="AC107" s="94"/>
      <c r="AD107" s="95"/>
      <c r="AE107" s="96"/>
      <c r="AF107" s="97"/>
      <c r="AG107" s="97">
        <f t="shared" ca="1" si="7"/>
        <v>0</v>
      </c>
      <c r="AH107" s="97">
        <f t="shared" ca="1" si="8"/>
        <v>0</v>
      </c>
      <c r="AI107" s="97">
        <f t="shared" si="9"/>
        <v>0</v>
      </c>
      <c r="AJ107" s="97">
        <f t="shared" ca="1" si="10"/>
        <v>0</v>
      </c>
      <c r="AK107" s="97" t="str">
        <f t="shared" ca="1" si="11"/>
        <v/>
      </c>
      <c r="AL107" s="98">
        <f t="shared" ca="1" si="12"/>
        <v>1</v>
      </c>
      <c r="AM107" s="98">
        <f t="shared" ca="1" si="13"/>
        <v>15</v>
      </c>
      <c r="AN107" s="98">
        <f t="shared" ca="1" si="14"/>
        <v>2</v>
      </c>
      <c r="AO107" s="98">
        <f t="shared" ca="1" si="15"/>
        <v>0</v>
      </c>
      <c r="AP107" s="98">
        <f t="shared" ca="1" si="16"/>
        <v>0</v>
      </c>
      <c r="AQ107" s="98">
        <f t="shared" ca="1" si="17"/>
        <v>0</v>
      </c>
      <c r="AR107" s="98">
        <f t="shared" ca="1" si="18"/>
        <v>0</v>
      </c>
      <c r="AS107" s="99"/>
      <c r="AT107" s="98">
        <f t="shared" si="19"/>
        <v>1</v>
      </c>
    </row>
    <row r="108" spans="1:46" ht="15.75" customHeight="1">
      <c r="A108" s="76"/>
      <c r="B108" s="77">
        <f t="shared" ca="1" si="0"/>
        <v>1</v>
      </c>
      <c r="C108" s="78">
        <f t="shared" ca="1" si="1"/>
        <v>15</v>
      </c>
      <c r="D108" s="78">
        <f t="shared" ca="1" si="2"/>
        <v>3</v>
      </c>
      <c r="E108" s="78" t="str">
        <f t="shared" ca="1" si="3"/>
        <v/>
      </c>
      <c r="F108" s="78" t="str">
        <f t="shared" ca="1" si="4"/>
        <v/>
      </c>
      <c r="G108" s="79" t="str">
        <f t="shared" ca="1" si="5"/>
        <v/>
      </c>
      <c r="H108" s="80" t="str">
        <f t="shared" ca="1" si="6"/>
        <v/>
      </c>
      <c r="I108" s="100"/>
      <c r="J108" s="111"/>
      <c r="K108" s="111" t="s">
        <v>63</v>
      </c>
      <c r="L108" s="111"/>
      <c r="M108" s="111"/>
      <c r="N108" s="111"/>
      <c r="O108" s="111"/>
      <c r="P108" s="111"/>
      <c r="Q108" s="112"/>
      <c r="R108" s="120" t="s">
        <v>70</v>
      </c>
      <c r="S108" s="113">
        <v>45832</v>
      </c>
      <c r="T108" s="115">
        <v>45833</v>
      </c>
      <c r="U108" s="114"/>
      <c r="V108" s="115"/>
      <c r="W108" s="116"/>
      <c r="X108" s="117"/>
      <c r="Y108" s="121"/>
      <c r="Z108" s="119"/>
      <c r="AA108" s="92"/>
      <c r="AB108" s="93"/>
      <c r="AC108" s="94"/>
      <c r="AD108" s="95"/>
      <c r="AE108" s="96"/>
      <c r="AF108" s="97"/>
      <c r="AG108" s="97">
        <f t="shared" ca="1" si="7"/>
        <v>0</v>
      </c>
      <c r="AH108" s="97">
        <f t="shared" ca="1" si="8"/>
        <v>0</v>
      </c>
      <c r="AI108" s="97">
        <f t="shared" si="9"/>
        <v>0</v>
      </c>
      <c r="AJ108" s="97">
        <f t="shared" ca="1" si="10"/>
        <v>0</v>
      </c>
      <c r="AK108" s="97" t="str">
        <f t="shared" ca="1" si="11"/>
        <v/>
      </c>
      <c r="AL108" s="98">
        <f t="shared" ca="1" si="12"/>
        <v>1</v>
      </c>
      <c r="AM108" s="98">
        <f t="shared" ca="1" si="13"/>
        <v>15</v>
      </c>
      <c r="AN108" s="98">
        <f t="shared" ca="1" si="14"/>
        <v>3</v>
      </c>
      <c r="AO108" s="98">
        <f t="shared" ca="1" si="15"/>
        <v>0</v>
      </c>
      <c r="AP108" s="98">
        <f t="shared" ca="1" si="16"/>
        <v>0</v>
      </c>
      <c r="AQ108" s="98">
        <f t="shared" ca="1" si="17"/>
        <v>0</v>
      </c>
      <c r="AR108" s="98">
        <f t="shared" ca="1" si="18"/>
        <v>0</v>
      </c>
      <c r="AS108" s="99"/>
      <c r="AT108" s="98">
        <f t="shared" si="19"/>
        <v>2</v>
      </c>
    </row>
    <row r="109" spans="1:46" ht="15.75" customHeight="1">
      <c r="A109" s="76"/>
      <c r="B109" s="77">
        <f t="shared" ca="1" si="0"/>
        <v>1</v>
      </c>
      <c r="C109" s="78">
        <f t="shared" ca="1" si="1"/>
        <v>15</v>
      </c>
      <c r="D109" s="78">
        <f t="shared" ca="1" si="2"/>
        <v>4</v>
      </c>
      <c r="E109" s="78" t="str">
        <f t="shared" ca="1" si="3"/>
        <v/>
      </c>
      <c r="F109" s="78" t="str">
        <f t="shared" ca="1" si="4"/>
        <v/>
      </c>
      <c r="G109" s="79" t="str">
        <f t="shared" ca="1" si="5"/>
        <v/>
      </c>
      <c r="H109" s="80" t="str">
        <f t="shared" ca="1" si="6"/>
        <v/>
      </c>
      <c r="I109" s="100"/>
      <c r="J109" s="111"/>
      <c r="K109" s="111" t="s">
        <v>64</v>
      </c>
      <c r="L109" s="111"/>
      <c r="M109" s="111"/>
      <c r="N109" s="111"/>
      <c r="O109" s="111"/>
      <c r="P109" s="111"/>
      <c r="Q109" s="112"/>
      <c r="R109" s="123" t="s">
        <v>77</v>
      </c>
      <c r="S109" s="113">
        <v>45834</v>
      </c>
      <c r="T109" s="115">
        <v>45834</v>
      </c>
      <c r="U109" s="114"/>
      <c r="V109" s="115"/>
      <c r="W109" s="116"/>
      <c r="X109" s="117"/>
      <c r="Y109" s="121"/>
      <c r="Z109" s="119"/>
      <c r="AA109" s="92"/>
      <c r="AB109" s="93"/>
      <c r="AC109" s="94"/>
      <c r="AD109" s="95"/>
      <c r="AE109" s="96"/>
      <c r="AF109" s="97"/>
      <c r="AG109" s="97">
        <f t="shared" ca="1" si="7"/>
        <v>0</v>
      </c>
      <c r="AH109" s="97">
        <f t="shared" ca="1" si="8"/>
        <v>0</v>
      </c>
      <c r="AI109" s="97">
        <f t="shared" si="9"/>
        <v>0</v>
      </c>
      <c r="AJ109" s="97">
        <f t="shared" ca="1" si="10"/>
        <v>0</v>
      </c>
      <c r="AK109" s="97" t="str">
        <f t="shared" ca="1" si="11"/>
        <v/>
      </c>
      <c r="AL109" s="98">
        <f t="shared" ca="1" si="12"/>
        <v>1</v>
      </c>
      <c r="AM109" s="98">
        <f t="shared" ca="1" si="13"/>
        <v>15</v>
      </c>
      <c r="AN109" s="98">
        <f t="shared" ca="1" si="14"/>
        <v>4</v>
      </c>
      <c r="AO109" s="98">
        <f t="shared" ca="1" si="15"/>
        <v>0</v>
      </c>
      <c r="AP109" s="98">
        <f t="shared" ca="1" si="16"/>
        <v>0</v>
      </c>
      <c r="AQ109" s="98">
        <f t="shared" ca="1" si="17"/>
        <v>0</v>
      </c>
      <c r="AR109" s="98">
        <f t="shared" ca="1" si="18"/>
        <v>0</v>
      </c>
      <c r="AS109" s="99"/>
      <c r="AT109" s="98">
        <f t="shared" si="19"/>
        <v>1</v>
      </c>
    </row>
    <row r="110" spans="1:46" ht="15.75" customHeight="1">
      <c r="A110" s="76"/>
      <c r="B110" s="77">
        <f t="shared" ca="1" si="0"/>
        <v>1</v>
      </c>
      <c r="C110" s="78">
        <f t="shared" ca="1" si="1"/>
        <v>15</v>
      </c>
      <c r="D110" s="78">
        <f t="shared" ca="1" si="2"/>
        <v>5</v>
      </c>
      <c r="E110" s="78" t="str">
        <f t="shared" ca="1" si="3"/>
        <v/>
      </c>
      <c r="F110" s="78" t="str">
        <f t="shared" ca="1" si="4"/>
        <v/>
      </c>
      <c r="G110" s="79" t="str">
        <f t="shared" ca="1" si="5"/>
        <v/>
      </c>
      <c r="H110" s="80" t="str">
        <f t="shared" ca="1" si="6"/>
        <v/>
      </c>
      <c r="I110" s="100"/>
      <c r="J110" s="111"/>
      <c r="K110" s="111" t="s">
        <v>65</v>
      </c>
      <c r="L110" s="111"/>
      <c r="M110" s="111"/>
      <c r="N110" s="111"/>
      <c r="O110" s="111"/>
      <c r="P110" s="111"/>
      <c r="Q110" s="112"/>
      <c r="R110" s="120" t="s">
        <v>70</v>
      </c>
      <c r="S110" s="113">
        <v>45835</v>
      </c>
      <c r="T110" s="115">
        <v>45835</v>
      </c>
      <c r="U110" s="114"/>
      <c r="V110" s="115"/>
      <c r="W110" s="116"/>
      <c r="X110" s="117"/>
      <c r="Y110" s="121"/>
      <c r="Z110" s="119"/>
      <c r="AA110" s="92"/>
      <c r="AB110" s="93"/>
      <c r="AC110" s="94"/>
      <c r="AD110" s="95"/>
      <c r="AE110" s="96"/>
      <c r="AF110" s="97"/>
      <c r="AG110" s="97">
        <f t="shared" ca="1" si="7"/>
        <v>0</v>
      </c>
      <c r="AH110" s="97">
        <f t="shared" ca="1" si="8"/>
        <v>0</v>
      </c>
      <c r="AI110" s="97">
        <f t="shared" si="9"/>
        <v>0</v>
      </c>
      <c r="AJ110" s="97">
        <f t="shared" ca="1" si="10"/>
        <v>0</v>
      </c>
      <c r="AK110" s="97" t="str">
        <f t="shared" ca="1" si="11"/>
        <v/>
      </c>
      <c r="AL110" s="98">
        <f t="shared" ca="1" si="12"/>
        <v>1</v>
      </c>
      <c r="AM110" s="98">
        <f t="shared" ca="1" si="13"/>
        <v>15</v>
      </c>
      <c r="AN110" s="98">
        <f t="shared" ca="1" si="14"/>
        <v>5</v>
      </c>
      <c r="AO110" s="98">
        <f t="shared" ca="1" si="15"/>
        <v>0</v>
      </c>
      <c r="AP110" s="98">
        <f t="shared" ca="1" si="16"/>
        <v>0</v>
      </c>
      <c r="AQ110" s="98">
        <f t="shared" ca="1" si="17"/>
        <v>0</v>
      </c>
      <c r="AR110" s="98">
        <f t="shared" ca="1" si="18"/>
        <v>0</v>
      </c>
      <c r="AS110" s="99"/>
      <c r="AT110" s="98">
        <f t="shared" si="19"/>
        <v>1</v>
      </c>
    </row>
    <row r="111" spans="1:46" ht="15.75" customHeight="1">
      <c r="A111" s="76"/>
      <c r="B111" s="77">
        <f t="shared" ca="1" si="0"/>
        <v>1</v>
      </c>
      <c r="C111" s="78">
        <f t="shared" ca="1" si="1"/>
        <v>15</v>
      </c>
      <c r="D111" s="78">
        <f t="shared" ca="1" si="2"/>
        <v>6</v>
      </c>
      <c r="E111" s="78" t="str">
        <f t="shared" ca="1" si="3"/>
        <v/>
      </c>
      <c r="F111" s="78" t="str">
        <f t="shared" ca="1" si="4"/>
        <v/>
      </c>
      <c r="G111" s="79" t="str">
        <f t="shared" ca="1" si="5"/>
        <v/>
      </c>
      <c r="H111" s="80" t="str">
        <f t="shared" ca="1" si="6"/>
        <v/>
      </c>
      <c r="I111" s="100"/>
      <c r="J111" s="111"/>
      <c r="K111" s="111" t="s">
        <v>66</v>
      </c>
      <c r="L111" s="111"/>
      <c r="M111" s="111"/>
      <c r="N111" s="111"/>
      <c r="O111" s="111"/>
      <c r="P111" s="111"/>
      <c r="Q111" s="112"/>
      <c r="R111" s="123" t="s">
        <v>77</v>
      </c>
      <c r="S111" s="113">
        <v>45838</v>
      </c>
      <c r="T111" s="115">
        <v>45838</v>
      </c>
      <c r="U111" s="114"/>
      <c r="V111" s="115"/>
      <c r="W111" s="116"/>
      <c r="X111" s="117"/>
      <c r="Y111" s="121"/>
      <c r="Z111" s="119"/>
      <c r="AA111" s="92"/>
      <c r="AB111" s="93"/>
      <c r="AC111" s="94"/>
      <c r="AD111" s="95"/>
      <c r="AE111" s="96"/>
      <c r="AF111" s="97"/>
      <c r="AG111" s="97">
        <f t="shared" ca="1" si="7"/>
        <v>0</v>
      </c>
      <c r="AH111" s="97">
        <f t="shared" ca="1" si="8"/>
        <v>0</v>
      </c>
      <c r="AI111" s="97">
        <f t="shared" si="9"/>
        <v>0</v>
      </c>
      <c r="AJ111" s="97">
        <f t="shared" ca="1" si="10"/>
        <v>0</v>
      </c>
      <c r="AK111" s="97" t="str">
        <f t="shared" ca="1" si="11"/>
        <v/>
      </c>
      <c r="AL111" s="98">
        <f t="shared" ca="1" si="12"/>
        <v>1</v>
      </c>
      <c r="AM111" s="98">
        <f t="shared" ca="1" si="13"/>
        <v>15</v>
      </c>
      <c r="AN111" s="98">
        <f t="shared" ca="1" si="14"/>
        <v>6</v>
      </c>
      <c r="AO111" s="98">
        <f t="shared" ca="1" si="15"/>
        <v>0</v>
      </c>
      <c r="AP111" s="98">
        <f t="shared" ca="1" si="16"/>
        <v>0</v>
      </c>
      <c r="AQ111" s="98">
        <f t="shared" ca="1" si="17"/>
        <v>0</v>
      </c>
      <c r="AR111" s="98">
        <f t="shared" ca="1" si="18"/>
        <v>0</v>
      </c>
      <c r="AS111" s="99"/>
      <c r="AT111" s="98">
        <f t="shared" si="19"/>
        <v>1</v>
      </c>
    </row>
    <row r="112" spans="1:46" ht="15.75" customHeight="1">
      <c r="A112" s="76"/>
      <c r="B112" s="77">
        <f t="shared" ca="1" si="0"/>
        <v>1</v>
      </c>
      <c r="C112" s="78">
        <f t="shared" ca="1" si="1"/>
        <v>16</v>
      </c>
      <c r="D112" s="78" t="str">
        <f t="shared" ca="1" si="2"/>
        <v/>
      </c>
      <c r="E112" s="78" t="str">
        <f t="shared" ca="1" si="3"/>
        <v/>
      </c>
      <c r="F112" s="78" t="str">
        <f t="shared" ca="1" si="4"/>
        <v/>
      </c>
      <c r="G112" s="79" t="str">
        <f t="shared" ca="1" si="5"/>
        <v/>
      </c>
      <c r="H112" s="80" t="str">
        <f t="shared" ca="1" si="6"/>
        <v/>
      </c>
      <c r="I112" s="100"/>
      <c r="J112" s="101" t="s">
        <v>86</v>
      </c>
      <c r="K112" s="102"/>
      <c r="L112" s="102"/>
      <c r="M112" s="102"/>
      <c r="N112" s="102"/>
      <c r="O112" s="102"/>
      <c r="P112" s="102"/>
      <c r="Q112" s="103" t="s">
        <v>58</v>
      </c>
      <c r="R112" s="104"/>
      <c r="S112" s="104"/>
      <c r="T112" s="105"/>
      <c r="U112" s="106"/>
      <c r="V112" s="105"/>
      <c r="W112" s="107"/>
      <c r="X112" s="108"/>
      <c r="Y112" s="122"/>
      <c r="Z112" s="110"/>
      <c r="AA112" s="92"/>
      <c r="AB112" s="93"/>
      <c r="AC112" s="94"/>
      <c r="AD112" s="95"/>
      <c r="AE112" s="96"/>
      <c r="AF112" s="97"/>
      <c r="AG112" s="97">
        <f t="shared" si="7"/>
        <v>0</v>
      </c>
      <c r="AH112" s="97">
        <f t="shared" si="8"/>
        <v>0</v>
      </c>
      <c r="AI112" s="97">
        <f t="shared" si="9"/>
        <v>0</v>
      </c>
      <c r="AJ112" s="97">
        <f t="shared" si="10"/>
        <v>0</v>
      </c>
      <c r="AK112" s="97" t="str">
        <f t="shared" si="11"/>
        <v/>
      </c>
      <c r="AL112" s="98">
        <f t="shared" ca="1" si="12"/>
        <v>1</v>
      </c>
      <c r="AM112" s="98">
        <f t="shared" ca="1" si="13"/>
        <v>16</v>
      </c>
      <c r="AN112" s="98">
        <f t="shared" ca="1" si="14"/>
        <v>0</v>
      </c>
      <c r="AO112" s="98">
        <f t="shared" ca="1" si="15"/>
        <v>0</v>
      </c>
      <c r="AP112" s="98">
        <f t="shared" ca="1" si="16"/>
        <v>0</v>
      </c>
      <c r="AQ112" s="98">
        <f t="shared" ca="1" si="17"/>
        <v>0</v>
      </c>
      <c r="AR112" s="98">
        <f t="shared" ca="1" si="18"/>
        <v>0</v>
      </c>
      <c r="AS112" s="99"/>
      <c r="AT112" s="98">
        <f t="shared" si="19"/>
        <v>1</v>
      </c>
    </row>
    <row r="113" spans="1:46" ht="15.75" customHeight="1">
      <c r="A113" s="76"/>
      <c r="B113" s="77">
        <f t="shared" ca="1" si="0"/>
        <v>1</v>
      </c>
      <c r="C113" s="78">
        <f t="shared" ca="1" si="1"/>
        <v>16</v>
      </c>
      <c r="D113" s="78">
        <f t="shared" ca="1" si="2"/>
        <v>1</v>
      </c>
      <c r="E113" s="78" t="str">
        <f t="shared" ca="1" si="3"/>
        <v/>
      </c>
      <c r="F113" s="78" t="str">
        <f t="shared" ca="1" si="4"/>
        <v/>
      </c>
      <c r="G113" s="79" t="str">
        <f t="shared" ca="1" si="5"/>
        <v/>
      </c>
      <c r="H113" s="80" t="str">
        <f t="shared" ca="1" si="6"/>
        <v/>
      </c>
      <c r="I113" s="100"/>
      <c r="J113" s="111"/>
      <c r="K113" s="111" t="s">
        <v>59</v>
      </c>
      <c r="L113" s="111"/>
      <c r="M113" s="111"/>
      <c r="N113" s="111"/>
      <c r="O113" s="111"/>
      <c r="P113" s="111"/>
      <c r="Q113" s="112"/>
      <c r="R113" s="113" t="s">
        <v>77</v>
      </c>
      <c r="S113" s="113">
        <v>45876</v>
      </c>
      <c r="T113" s="115">
        <v>45897</v>
      </c>
      <c r="U113" s="114"/>
      <c r="V113" s="115"/>
      <c r="W113" s="116"/>
      <c r="X113" s="117"/>
      <c r="Y113" s="121"/>
      <c r="Z113" s="119"/>
      <c r="AA113" s="92"/>
      <c r="AB113" s="93"/>
      <c r="AC113" s="94"/>
      <c r="AD113" s="95"/>
      <c r="AE113" s="96"/>
      <c r="AF113" s="97"/>
      <c r="AG113" s="97">
        <f t="shared" ca="1" si="7"/>
        <v>0</v>
      </c>
      <c r="AH113" s="97">
        <f t="shared" ca="1" si="8"/>
        <v>0</v>
      </c>
      <c r="AI113" s="97">
        <f t="shared" si="9"/>
        <v>0</v>
      </c>
      <c r="AJ113" s="97">
        <f t="shared" ca="1" si="10"/>
        <v>0</v>
      </c>
      <c r="AK113" s="97" t="str">
        <f t="shared" ca="1" si="11"/>
        <v/>
      </c>
      <c r="AL113" s="98">
        <f t="shared" ca="1" si="12"/>
        <v>1</v>
      </c>
      <c r="AM113" s="98">
        <f t="shared" ca="1" si="13"/>
        <v>16</v>
      </c>
      <c r="AN113" s="98">
        <f t="shared" ca="1" si="14"/>
        <v>1</v>
      </c>
      <c r="AO113" s="98">
        <f t="shared" ca="1" si="15"/>
        <v>0</v>
      </c>
      <c r="AP113" s="98">
        <f t="shared" ca="1" si="16"/>
        <v>0</v>
      </c>
      <c r="AQ113" s="98">
        <f t="shared" ca="1" si="17"/>
        <v>0</v>
      </c>
      <c r="AR113" s="98">
        <f t="shared" ca="1" si="18"/>
        <v>0</v>
      </c>
      <c r="AS113" s="99"/>
      <c r="AT113" s="98">
        <f t="shared" si="19"/>
        <v>22</v>
      </c>
    </row>
    <row r="114" spans="1:46" ht="15.75" customHeight="1">
      <c r="A114" s="76"/>
      <c r="B114" s="77">
        <f t="shared" ca="1" si="0"/>
        <v>1</v>
      </c>
      <c r="C114" s="78">
        <f t="shared" ca="1" si="1"/>
        <v>16</v>
      </c>
      <c r="D114" s="78">
        <f t="shared" ca="1" si="2"/>
        <v>2</v>
      </c>
      <c r="E114" s="78" t="str">
        <f t="shared" ca="1" si="3"/>
        <v/>
      </c>
      <c r="F114" s="78" t="str">
        <f t="shared" ca="1" si="4"/>
        <v/>
      </c>
      <c r="G114" s="79" t="str">
        <f t="shared" ca="1" si="5"/>
        <v/>
      </c>
      <c r="H114" s="80" t="str">
        <f t="shared" ca="1" si="6"/>
        <v/>
      </c>
      <c r="I114" s="100"/>
      <c r="J114" s="111"/>
      <c r="K114" s="111" t="s">
        <v>61</v>
      </c>
      <c r="L114" s="111"/>
      <c r="M114" s="111"/>
      <c r="N114" s="111"/>
      <c r="O114" s="111"/>
      <c r="P114" s="111"/>
      <c r="Q114" s="112"/>
      <c r="R114" s="113" t="s">
        <v>78</v>
      </c>
      <c r="S114" s="113">
        <v>45898</v>
      </c>
      <c r="T114" s="115">
        <v>45898</v>
      </c>
      <c r="U114" s="114"/>
      <c r="V114" s="115"/>
      <c r="W114" s="116"/>
      <c r="X114" s="117"/>
      <c r="Y114" s="121"/>
      <c r="Z114" s="119"/>
      <c r="AA114" s="92"/>
      <c r="AB114" s="93"/>
      <c r="AC114" s="94"/>
      <c r="AD114" s="95"/>
      <c r="AE114" s="96"/>
      <c r="AF114" s="97"/>
      <c r="AG114" s="97">
        <f t="shared" ca="1" si="7"/>
        <v>0</v>
      </c>
      <c r="AH114" s="97">
        <f t="shared" ca="1" si="8"/>
        <v>0</v>
      </c>
      <c r="AI114" s="97">
        <f t="shared" si="9"/>
        <v>0</v>
      </c>
      <c r="AJ114" s="97">
        <f t="shared" ca="1" si="10"/>
        <v>0</v>
      </c>
      <c r="AK114" s="97" t="str">
        <f t="shared" ca="1" si="11"/>
        <v/>
      </c>
      <c r="AL114" s="98">
        <f t="shared" ca="1" si="12"/>
        <v>1</v>
      </c>
      <c r="AM114" s="98">
        <f t="shared" ca="1" si="13"/>
        <v>16</v>
      </c>
      <c r="AN114" s="98">
        <f t="shared" ca="1" si="14"/>
        <v>2</v>
      </c>
      <c r="AO114" s="98">
        <f t="shared" ca="1" si="15"/>
        <v>0</v>
      </c>
      <c r="AP114" s="98">
        <f t="shared" ca="1" si="16"/>
        <v>0</v>
      </c>
      <c r="AQ114" s="98">
        <f t="shared" ca="1" si="17"/>
        <v>0</v>
      </c>
      <c r="AR114" s="98">
        <f t="shared" ca="1" si="18"/>
        <v>0</v>
      </c>
      <c r="AS114" s="99"/>
      <c r="AT114" s="98">
        <f t="shared" si="19"/>
        <v>1</v>
      </c>
    </row>
    <row r="115" spans="1:46" ht="15.75" customHeight="1">
      <c r="A115" s="76"/>
      <c r="B115" s="77">
        <f t="shared" ca="1" si="0"/>
        <v>1</v>
      </c>
      <c r="C115" s="78">
        <f t="shared" ca="1" si="1"/>
        <v>16</v>
      </c>
      <c r="D115" s="78">
        <f t="shared" ca="1" si="2"/>
        <v>3</v>
      </c>
      <c r="E115" s="78" t="str">
        <f t="shared" ca="1" si="3"/>
        <v/>
      </c>
      <c r="F115" s="78" t="str">
        <f t="shared" ca="1" si="4"/>
        <v/>
      </c>
      <c r="G115" s="79" t="str">
        <f t="shared" ca="1" si="5"/>
        <v/>
      </c>
      <c r="H115" s="80" t="str">
        <f t="shared" ca="1" si="6"/>
        <v/>
      </c>
      <c r="I115" s="100"/>
      <c r="J115" s="111"/>
      <c r="K115" s="111" t="s">
        <v>63</v>
      </c>
      <c r="L115" s="111"/>
      <c r="M115" s="111"/>
      <c r="N115" s="111"/>
      <c r="O115" s="111"/>
      <c r="P115" s="111"/>
      <c r="Q115" s="112"/>
      <c r="R115" s="113" t="s">
        <v>77</v>
      </c>
      <c r="S115" s="113">
        <v>45901</v>
      </c>
      <c r="T115" s="115">
        <v>45903</v>
      </c>
      <c r="U115" s="114"/>
      <c r="V115" s="115"/>
      <c r="W115" s="116"/>
      <c r="X115" s="117"/>
      <c r="Y115" s="121"/>
      <c r="Z115" s="119"/>
      <c r="AA115" s="92"/>
      <c r="AB115" s="93"/>
      <c r="AC115" s="94"/>
      <c r="AD115" s="95"/>
      <c r="AE115" s="96"/>
      <c r="AF115" s="97"/>
      <c r="AG115" s="97">
        <f t="shared" ca="1" si="7"/>
        <v>0</v>
      </c>
      <c r="AH115" s="97">
        <f t="shared" ca="1" si="8"/>
        <v>0</v>
      </c>
      <c r="AI115" s="97">
        <f t="shared" si="9"/>
        <v>0</v>
      </c>
      <c r="AJ115" s="97">
        <f t="shared" ca="1" si="10"/>
        <v>0</v>
      </c>
      <c r="AK115" s="97" t="str">
        <f t="shared" ca="1" si="11"/>
        <v/>
      </c>
      <c r="AL115" s="98">
        <f t="shared" ca="1" si="12"/>
        <v>1</v>
      </c>
      <c r="AM115" s="98">
        <f t="shared" ca="1" si="13"/>
        <v>16</v>
      </c>
      <c r="AN115" s="98">
        <f t="shared" ca="1" si="14"/>
        <v>3</v>
      </c>
      <c r="AO115" s="98">
        <f t="shared" ca="1" si="15"/>
        <v>0</v>
      </c>
      <c r="AP115" s="98">
        <f t="shared" ca="1" si="16"/>
        <v>0</v>
      </c>
      <c r="AQ115" s="98">
        <f t="shared" ca="1" si="17"/>
        <v>0</v>
      </c>
      <c r="AR115" s="98">
        <f t="shared" ca="1" si="18"/>
        <v>0</v>
      </c>
      <c r="AS115" s="99"/>
      <c r="AT115" s="98">
        <f t="shared" si="19"/>
        <v>3</v>
      </c>
    </row>
    <row r="116" spans="1:46" ht="15.75" customHeight="1">
      <c r="A116" s="76"/>
      <c r="B116" s="77">
        <f t="shared" ca="1" si="0"/>
        <v>1</v>
      </c>
      <c r="C116" s="78">
        <f t="shared" ca="1" si="1"/>
        <v>16</v>
      </c>
      <c r="D116" s="78">
        <f t="shared" ca="1" si="2"/>
        <v>4</v>
      </c>
      <c r="E116" s="78" t="str">
        <f t="shared" ca="1" si="3"/>
        <v/>
      </c>
      <c r="F116" s="78" t="str">
        <f t="shared" ca="1" si="4"/>
        <v/>
      </c>
      <c r="G116" s="79" t="str">
        <f t="shared" ca="1" si="5"/>
        <v/>
      </c>
      <c r="H116" s="80" t="str">
        <f t="shared" ca="1" si="6"/>
        <v/>
      </c>
      <c r="I116" s="100"/>
      <c r="J116" s="111"/>
      <c r="K116" s="111" t="s">
        <v>64</v>
      </c>
      <c r="L116" s="111"/>
      <c r="M116" s="111"/>
      <c r="N116" s="111"/>
      <c r="O116" s="111"/>
      <c r="P116" s="111"/>
      <c r="Q116" s="112"/>
      <c r="R116" s="113" t="s">
        <v>78</v>
      </c>
      <c r="S116" s="113">
        <v>45904</v>
      </c>
      <c r="T116" s="115">
        <v>45904</v>
      </c>
      <c r="U116" s="114"/>
      <c r="V116" s="115"/>
      <c r="W116" s="116"/>
      <c r="X116" s="117"/>
      <c r="Y116" s="121"/>
      <c r="Z116" s="119"/>
      <c r="AA116" s="92"/>
      <c r="AB116" s="93"/>
      <c r="AC116" s="94"/>
      <c r="AD116" s="95"/>
      <c r="AE116" s="96"/>
      <c r="AF116" s="97"/>
      <c r="AG116" s="97">
        <f t="shared" ca="1" si="7"/>
        <v>0</v>
      </c>
      <c r="AH116" s="97">
        <f t="shared" ca="1" si="8"/>
        <v>0</v>
      </c>
      <c r="AI116" s="97">
        <f t="shared" si="9"/>
        <v>0</v>
      </c>
      <c r="AJ116" s="97">
        <f t="shared" ca="1" si="10"/>
        <v>0</v>
      </c>
      <c r="AK116" s="97" t="str">
        <f t="shared" ca="1" si="11"/>
        <v/>
      </c>
      <c r="AL116" s="98">
        <f t="shared" ca="1" si="12"/>
        <v>1</v>
      </c>
      <c r="AM116" s="98">
        <f t="shared" ca="1" si="13"/>
        <v>16</v>
      </c>
      <c r="AN116" s="98">
        <f t="shared" ca="1" si="14"/>
        <v>4</v>
      </c>
      <c r="AO116" s="98">
        <f t="shared" ca="1" si="15"/>
        <v>0</v>
      </c>
      <c r="AP116" s="98">
        <f t="shared" ca="1" si="16"/>
        <v>0</v>
      </c>
      <c r="AQ116" s="98">
        <f t="shared" ca="1" si="17"/>
        <v>0</v>
      </c>
      <c r="AR116" s="98">
        <f t="shared" ca="1" si="18"/>
        <v>0</v>
      </c>
      <c r="AS116" s="99"/>
      <c r="AT116" s="98">
        <f t="shared" si="19"/>
        <v>1</v>
      </c>
    </row>
    <row r="117" spans="1:46" ht="15.75" customHeight="1">
      <c r="A117" s="76"/>
      <c r="B117" s="77">
        <f t="shared" ca="1" si="0"/>
        <v>1</v>
      </c>
      <c r="C117" s="78">
        <f t="shared" ca="1" si="1"/>
        <v>16</v>
      </c>
      <c r="D117" s="78">
        <f t="shared" ca="1" si="2"/>
        <v>5</v>
      </c>
      <c r="E117" s="78" t="str">
        <f t="shared" ca="1" si="3"/>
        <v/>
      </c>
      <c r="F117" s="78" t="str">
        <f t="shared" ca="1" si="4"/>
        <v/>
      </c>
      <c r="G117" s="79" t="str">
        <f t="shared" ca="1" si="5"/>
        <v/>
      </c>
      <c r="H117" s="80" t="str">
        <f t="shared" ca="1" si="6"/>
        <v/>
      </c>
      <c r="I117" s="100"/>
      <c r="J117" s="111"/>
      <c r="K117" s="111" t="s">
        <v>65</v>
      </c>
      <c r="L117" s="111"/>
      <c r="M117" s="111"/>
      <c r="N117" s="111"/>
      <c r="O117" s="111"/>
      <c r="P117" s="111"/>
      <c r="Q117" s="112"/>
      <c r="R117" s="113" t="s">
        <v>77</v>
      </c>
      <c r="S117" s="113">
        <v>45905</v>
      </c>
      <c r="T117" s="115">
        <v>45911</v>
      </c>
      <c r="U117" s="114"/>
      <c r="V117" s="115"/>
      <c r="W117" s="116"/>
      <c r="X117" s="117"/>
      <c r="Y117" s="121"/>
      <c r="Z117" s="119"/>
      <c r="AA117" s="92"/>
      <c r="AB117" s="93"/>
      <c r="AC117" s="94"/>
      <c r="AD117" s="95"/>
      <c r="AE117" s="96"/>
      <c r="AF117" s="97"/>
      <c r="AG117" s="97">
        <f t="shared" ca="1" si="7"/>
        <v>0</v>
      </c>
      <c r="AH117" s="97">
        <f t="shared" ca="1" si="8"/>
        <v>0</v>
      </c>
      <c r="AI117" s="97">
        <f t="shared" si="9"/>
        <v>0</v>
      </c>
      <c r="AJ117" s="97">
        <f t="shared" ca="1" si="10"/>
        <v>0</v>
      </c>
      <c r="AK117" s="97" t="str">
        <f t="shared" ca="1" si="11"/>
        <v/>
      </c>
      <c r="AL117" s="98">
        <f t="shared" ca="1" si="12"/>
        <v>1</v>
      </c>
      <c r="AM117" s="98">
        <f t="shared" ca="1" si="13"/>
        <v>16</v>
      </c>
      <c r="AN117" s="98">
        <f t="shared" ca="1" si="14"/>
        <v>5</v>
      </c>
      <c r="AO117" s="98">
        <f t="shared" ca="1" si="15"/>
        <v>0</v>
      </c>
      <c r="AP117" s="98">
        <f t="shared" ca="1" si="16"/>
        <v>0</v>
      </c>
      <c r="AQ117" s="98">
        <f t="shared" ca="1" si="17"/>
        <v>0</v>
      </c>
      <c r="AR117" s="98">
        <f t="shared" ca="1" si="18"/>
        <v>0</v>
      </c>
      <c r="AS117" s="99"/>
      <c r="AT117" s="98">
        <f t="shared" si="19"/>
        <v>7</v>
      </c>
    </row>
    <row r="118" spans="1:46" ht="15.75" customHeight="1">
      <c r="A118" s="76"/>
      <c r="B118" s="77">
        <f t="shared" ca="1" si="0"/>
        <v>1</v>
      </c>
      <c r="C118" s="78">
        <f t="shared" ca="1" si="1"/>
        <v>16</v>
      </c>
      <c r="D118" s="78">
        <f t="shared" ca="1" si="2"/>
        <v>6</v>
      </c>
      <c r="E118" s="78" t="str">
        <f t="shared" ca="1" si="3"/>
        <v/>
      </c>
      <c r="F118" s="78" t="str">
        <f t="shared" ca="1" si="4"/>
        <v/>
      </c>
      <c r="G118" s="79" t="str">
        <f t="shared" ca="1" si="5"/>
        <v/>
      </c>
      <c r="H118" s="80" t="str">
        <f t="shared" ca="1" si="6"/>
        <v/>
      </c>
      <c r="I118" s="100"/>
      <c r="J118" s="111"/>
      <c r="K118" s="111" t="s">
        <v>66</v>
      </c>
      <c r="L118" s="111"/>
      <c r="M118" s="111"/>
      <c r="N118" s="111"/>
      <c r="O118" s="111"/>
      <c r="P118" s="111"/>
      <c r="Q118" s="112"/>
      <c r="R118" s="113" t="s">
        <v>78</v>
      </c>
      <c r="S118" s="113">
        <v>45912</v>
      </c>
      <c r="T118" s="115">
        <v>45912</v>
      </c>
      <c r="U118" s="114"/>
      <c r="V118" s="115"/>
      <c r="W118" s="116"/>
      <c r="X118" s="117"/>
      <c r="Y118" s="121"/>
      <c r="Z118" s="119"/>
      <c r="AA118" s="92"/>
      <c r="AB118" s="93"/>
      <c r="AC118" s="94"/>
      <c r="AD118" s="95"/>
      <c r="AE118" s="96"/>
      <c r="AF118" s="97"/>
      <c r="AG118" s="97">
        <f t="shared" ca="1" si="7"/>
        <v>0</v>
      </c>
      <c r="AH118" s="97">
        <f t="shared" ca="1" si="8"/>
        <v>0</v>
      </c>
      <c r="AI118" s="97">
        <f t="shared" si="9"/>
        <v>0</v>
      </c>
      <c r="AJ118" s="97">
        <f t="shared" ca="1" si="10"/>
        <v>0</v>
      </c>
      <c r="AK118" s="97" t="str">
        <f t="shared" ca="1" si="11"/>
        <v/>
      </c>
      <c r="AL118" s="98">
        <f t="shared" ca="1" si="12"/>
        <v>1</v>
      </c>
      <c r="AM118" s="98">
        <f t="shared" ca="1" si="13"/>
        <v>16</v>
      </c>
      <c r="AN118" s="98">
        <f t="shared" ca="1" si="14"/>
        <v>6</v>
      </c>
      <c r="AO118" s="98">
        <f t="shared" ca="1" si="15"/>
        <v>0</v>
      </c>
      <c r="AP118" s="98">
        <f t="shared" ca="1" si="16"/>
        <v>0</v>
      </c>
      <c r="AQ118" s="98">
        <f t="shared" ca="1" si="17"/>
        <v>0</v>
      </c>
      <c r="AR118" s="98">
        <f t="shared" ca="1" si="18"/>
        <v>0</v>
      </c>
      <c r="AS118" s="99"/>
      <c r="AT118" s="98">
        <f t="shared" si="19"/>
        <v>1</v>
      </c>
    </row>
    <row r="119" spans="1:46" ht="15.75" customHeight="1">
      <c r="A119" s="76"/>
      <c r="B119" s="77">
        <f t="shared" ca="1" si="0"/>
        <v>1</v>
      </c>
      <c r="C119" s="78">
        <f t="shared" ca="1" si="1"/>
        <v>17</v>
      </c>
      <c r="D119" s="78" t="str">
        <f t="shared" ca="1" si="2"/>
        <v/>
      </c>
      <c r="E119" s="78" t="str">
        <f t="shared" ca="1" si="3"/>
        <v/>
      </c>
      <c r="F119" s="78" t="str">
        <f t="shared" ca="1" si="4"/>
        <v/>
      </c>
      <c r="G119" s="79" t="str">
        <f t="shared" ca="1" si="5"/>
        <v/>
      </c>
      <c r="H119" s="80" t="str">
        <f t="shared" ca="1" si="6"/>
        <v/>
      </c>
      <c r="I119" s="100"/>
      <c r="J119" s="101" t="s">
        <v>87</v>
      </c>
      <c r="K119" s="102"/>
      <c r="L119" s="102"/>
      <c r="M119" s="102"/>
      <c r="N119" s="102"/>
      <c r="O119" s="102"/>
      <c r="P119" s="102"/>
      <c r="Q119" s="103" t="s">
        <v>58</v>
      </c>
      <c r="R119" s="104"/>
      <c r="S119" s="104"/>
      <c r="T119" s="105"/>
      <c r="U119" s="106"/>
      <c r="V119" s="105"/>
      <c r="W119" s="107"/>
      <c r="X119" s="108"/>
      <c r="Y119" s="122"/>
      <c r="Z119" s="110"/>
      <c r="AA119" s="92"/>
      <c r="AB119" s="93"/>
      <c r="AC119" s="94"/>
      <c r="AD119" s="95"/>
      <c r="AE119" s="96"/>
      <c r="AF119" s="97"/>
      <c r="AG119" s="97">
        <f t="shared" si="7"/>
        <v>0</v>
      </c>
      <c r="AH119" s="97">
        <f t="shared" si="8"/>
        <v>0</v>
      </c>
      <c r="AI119" s="97">
        <f t="shared" si="9"/>
        <v>0</v>
      </c>
      <c r="AJ119" s="97">
        <f t="shared" si="10"/>
        <v>0</v>
      </c>
      <c r="AK119" s="97" t="str">
        <f t="shared" si="11"/>
        <v/>
      </c>
      <c r="AL119" s="98">
        <f t="shared" ca="1" si="12"/>
        <v>1</v>
      </c>
      <c r="AM119" s="98">
        <f t="shared" ca="1" si="13"/>
        <v>17</v>
      </c>
      <c r="AN119" s="98">
        <f t="shared" ca="1" si="14"/>
        <v>0</v>
      </c>
      <c r="AO119" s="98">
        <f t="shared" ca="1" si="15"/>
        <v>0</v>
      </c>
      <c r="AP119" s="98">
        <f t="shared" ca="1" si="16"/>
        <v>0</v>
      </c>
      <c r="AQ119" s="98">
        <f t="shared" ca="1" si="17"/>
        <v>0</v>
      </c>
      <c r="AR119" s="98">
        <f t="shared" ca="1" si="18"/>
        <v>0</v>
      </c>
      <c r="AS119" s="99"/>
      <c r="AT119" s="98">
        <f t="shared" si="19"/>
        <v>1</v>
      </c>
    </row>
    <row r="120" spans="1:46" ht="15.75" customHeight="1">
      <c r="A120" s="76"/>
      <c r="B120" s="77">
        <f t="shared" ca="1" si="0"/>
        <v>1</v>
      </c>
      <c r="C120" s="78">
        <f t="shared" ca="1" si="1"/>
        <v>17</v>
      </c>
      <c r="D120" s="78">
        <f t="shared" ca="1" si="2"/>
        <v>1</v>
      </c>
      <c r="E120" s="78" t="str">
        <f t="shared" ca="1" si="3"/>
        <v/>
      </c>
      <c r="F120" s="78" t="str">
        <f t="shared" ca="1" si="4"/>
        <v/>
      </c>
      <c r="G120" s="79" t="str">
        <f t="shared" ca="1" si="5"/>
        <v/>
      </c>
      <c r="H120" s="80" t="str">
        <f t="shared" ca="1" si="6"/>
        <v/>
      </c>
      <c r="I120" s="100"/>
      <c r="J120" s="111"/>
      <c r="K120" s="111" t="s">
        <v>59</v>
      </c>
      <c r="L120" s="111"/>
      <c r="M120" s="111"/>
      <c r="N120" s="111"/>
      <c r="O120" s="111"/>
      <c r="P120" s="111"/>
      <c r="Q120" s="112"/>
      <c r="R120" s="113" t="s">
        <v>78</v>
      </c>
      <c r="S120" s="113">
        <v>45876</v>
      </c>
      <c r="T120" s="115">
        <v>45897</v>
      </c>
      <c r="U120" s="114"/>
      <c r="V120" s="115"/>
      <c r="W120" s="116"/>
      <c r="X120" s="117"/>
      <c r="Y120" s="121"/>
      <c r="Z120" s="119"/>
      <c r="AA120" s="92"/>
      <c r="AB120" s="93"/>
      <c r="AC120" s="94"/>
      <c r="AD120" s="95"/>
      <c r="AE120" s="96"/>
      <c r="AF120" s="97"/>
      <c r="AG120" s="97">
        <f t="shared" ca="1" si="7"/>
        <v>0</v>
      </c>
      <c r="AH120" s="97">
        <f t="shared" ca="1" si="8"/>
        <v>0</v>
      </c>
      <c r="AI120" s="97">
        <f t="shared" si="9"/>
        <v>0</v>
      </c>
      <c r="AJ120" s="97">
        <f t="shared" ca="1" si="10"/>
        <v>0</v>
      </c>
      <c r="AK120" s="97" t="str">
        <f t="shared" ca="1" si="11"/>
        <v/>
      </c>
      <c r="AL120" s="98">
        <f t="shared" ca="1" si="12"/>
        <v>1</v>
      </c>
      <c r="AM120" s="98">
        <f t="shared" ca="1" si="13"/>
        <v>17</v>
      </c>
      <c r="AN120" s="98">
        <f t="shared" ca="1" si="14"/>
        <v>1</v>
      </c>
      <c r="AO120" s="98">
        <f t="shared" ca="1" si="15"/>
        <v>0</v>
      </c>
      <c r="AP120" s="98">
        <f t="shared" ca="1" si="16"/>
        <v>0</v>
      </c>
      <c r="AQ120" s="98">
        <f t="shared" ca="1" si="17"/>
        <v>0</v>
      </c>
      <c r="AR120" s="98">
        <f t="shared" ca="1" si="18"/>
        <v>0</v>
      </c>
      <c r="AS120" s="99"/>
      <c r="AT120" s="98">
        <f t="shared" si="19"/>
        <v>22</v>
      </c>
    </row>
    <row r="121" spans="1:46" ht="15.75" customHeight="1">
      <c r="A121" s="76"/>
      <c r="B121" s="77">
        <f t="shared" ca="1" si="0"/>
        <v>1</v>
      </c>
      <c r="C121" s="78">
        <f t="shared" ca="1" si="1"/>
        <v>17</v>
      </c>
      <c r="D121" s="78">
        <f t="shared" ca="1" si="2"/>
        <v>2</v>
      </c>
      <c r="E121" s="78" t="str">
        <f t="shared" ca="1" si="3"/>
        <v/>
      </c>
      <c r="F121" s="78" t="str">
        <f t="shared" ca="1" si="4"/>
        <v/>
      </c>
      <c r="G121" s="79" t="str">
        <f t="shared" ca="1" si="5"/>
        <v/>
      </c>
      <c r="H121" s="80" t="str">
        <f t="shared" ca="1" si="6"/>
        <v/>
      </c>
      <c r="I121" s="100"/>
      <c r="J121" s="111"/>
      <c r="K121" s="111" t="s">
        <v>61</v>
      </c>
      <c r="L121" s="111"/>
      <c r="M121" s="111"/>
      <c r="N121" s="111"/>
      <c r="O121" s="111"/>
      <c r="P121" s="111"/>
      <c r="Q121" s="112"/>
      <c r="R121" s="113" t="s">
        <v>77</v>
      </c>
      <c r="S121" s="113">
        <v>45898</v>
      </c>
      <c r="T121" s="115">
        <v>45898</v>
      </c>
      <c r="U121" s="114"/>
      <c r="V121" s="115"/>
      <c r="W121" s="116"/>
      <c r="X121" s="117"/>
      <c r="Y121" s="121"/>
      <c r="Z121" s="119"/>
      <c r="AA121" s="92"/>
      <c r="AB121" s="93"/>
      <c r="AC121" s="94"/>
      <c r="AD121" s="95"/>
      <c r="AE121" s="96"/>
      <c r="AF121" s="97"/>
      <c r="AG121" s="97">
        <f t="shared" ca="1" si="7"/>
        <v>0</v>
      </c>
      <c r="AH121" s="97">
        <f t="shared" ca="1" si="8"/>
        <v>0</v>
      </c>
      <c r="AI121" s="97">
        <f t="shared" si="9"/>
        <v>0</v>
      </c>
      <c r="AJ121" s="97">
        <f t="shared" ca="1" si="10"/>
        <v>0</v>
      </c>
      <c r="AK121" s="97" t="str">
        <f t="shared" ca="1" si="11"/>
        <v/>
      </c>
      <c r="AL121" s="98">
        <f t="shared" ca="1" si="12"/>
        <v>1</v>
      </c>
      <c r="AM121" s="98">
        <f t="shared" ca="1" si="13"/>
        <v>17</v>
      </c>
      <c r="AN121" s="98">
        <f t="shared" ca="1" si="14"/>
        <v>2</v>
      </c>
      <c r="AO121" s="98">
        <f t="shared" ca="1" si="15"/>
        <v>0</v>
      </c>
      <c r="AP121" s="98">
        <f t="shared" ca="1" si="16"/>
        <v>0</v>
      </c>
      <c r="AQ121" s="98">
        <f t="shared" ca="1" si="17"/>
        <v>0</v>
      </c>
      <c r="AR121" s="98">
        <f t="shared" ca="1" si="18"/>
        <v>0</v>
      </c>
      <c r="AS121" s="99"/>
      <c r="AT121" s="98">
        <f t="shared" si="19"/>
        <v>1</v>
      </c>
    </row>
    <row r="122" spans="1:46" ht="15.75" customHeight="1">
      <c r="A122" s="76"/>
      <c r="B122" s="77">
        <f t="shared" ca="1" si="0"/>
        <v>1</v>
      </c>
      <c r="C122" s="78">
        <f t="shared" ca="1" si="1"/>
        <v>17</v>
      </c>
      <c r="D122" s="78">
        <f t="shared" ca="1" si="2"/>
        <v>3</v>
      </c>
      <c r="E122" s="78" t="str">
        <f t="shared" ca="1" si="3"/>
        <v/>
      </c>
      <c r="F122" s="78" t="str">
        <f t="shared" ca="1" si="4"/>
        <v/>
      </c>
      <c r="G122" s="79" t="str">
        <f t="shared" ca="1" si="5"/>
        <v/>
      </c>
      <c r="H122" s="80" t="str">
        <f t="shared" ca="1" si="6"/>
        <v/>
      </c>
      <c r="I122" s="100"/>
      <c r="J122" s="111"/>
      <c r="K122" s="111" t="s">
        <v>63</v>
      </c>
      <c r="L122" s="111"/>
      <c r="M122" s="111"/>
      <c r="N122" s="111"/>
      <c r="O122" s="111"/>
      <c r="P122" s="111"/>
      <c r="Q122" s="112"/>
      <c r="R122" s="113" t="s">
        <v>78</v>
      </c>
      <c r="S122" s="113">
        <v>45901</v>
      </c>
      <c r="T122" s="115">
        <v>45903</v>
      </c>
      <c r="U122" s="114"/>
      <c r="V122" s="115"/>
      <c r="W122" s="116"/>
      <c r="X122" s="117"/>
      <c r="Y122" s="121"/>
      <c r="Z122" s="119"/>
      <c r="AA122" s="92"/>
      <c r="AB122" s="93"/>
      <c r="AC122" s="94"/>
      <c r="AD122" s="95"/>
      <c r="AE122" s="96"/>
      <c r="AF122" s="97"/>
      <c r="AG122" s="97">
        <f t="shared" ca="1" si="7"/>
        <v>0</v>
      </c>
      <c r="AH122" s="97">
        <f t="shared" ca="1" si="8"/>
        <v>0</v>
      </c>
      <c r="AI122" s="97">
        <f t="shared" si="9"/>
        <v>0</v>
      </c>
      <c r="AJ122" s="97">
        <f t="shared" ca="1" si="10"/>
        <v>0</v>
      </c>
      <c r="AK122" s="97" t="str">
        <f t="shared" ca="1" si="11"/>
        <v/>
      </c>
      <c r="AL122" s="98">
        <f t="shared" ca="1" si="12"/>
        <v>1</v>
      </c>
      <c r="AM122" s="98">
        <f t="shared" ca="1" si="13"/>
        <v>17</v>
      </c>
      <c r="AN122" s="98">
        <f t="shared" ca="1" si="14"/>
        <v>3</v>
      </c>
      <c r="AO122" s="98">
        <f t="shared" ca="1" si="15"/>
        <v>0</v>
      </c>
      <c r="AP122" s="98">
        <f t="shared" ca="1" si="16"/>
        <v>0</v>
      </c>
      <c r="AQ122" s="98">
        <f t="shared" ca="1" si="17"/>
        <v>0</v>
      </c>
      <c r="AR122" s="98">
        <f t="shared" ca="1" si="18"/>
        <v>0</v>
      </c>
      <c r="AS122" s="99"/>
      <c r="AT122" s="98">
        <f t="shared" si="19"/>
        <v>3</v>
      </c>
    </row>
    <row r="123" spans="1:46" ht="15.75" customHeight="1">
      <c r="A123" s="76"/>
      <c r="B123" s="77">
        <f t="shared" ca="1" si="0"/>
        <v>1</v>
      </c>
      <c r="C123" s="78">
        <f t="shared" ca="1" si="1"/>
        <v>17</v>
      </c>
      <c r="D123" s="78">
        <f t="shared" ca="1" si="2"/>
        <v>4</v>
      </c>
      <c r="E123" s="78" t="str">
        <f t="shared" ca="1" si="3"/>
        <v/>
      </c>
      <c r="F123" s="78" t="str">
        <f t="shared" ca="1" si="4"/>
        <v/>
      </c>
      <c r="G123" s="79" t="str">
        <f t="shared" ca="1" si="5"/>
        <v/>
      </c>
      <c r="H123" s="80" t="str">
        <f t="shared" ca="1" si="6"/>
        <v/>
      </c>
      <c r="I123" s="100"/>
      <c r="J123" s="111"/>
      <c r="K123" s="111" t="s">
        <v>64</v>
      </c>
      <c r="L123" s="111"/>
      <c r="M123" s="111"/>
      <c r="N123" s="111"/>
      <c r="O123" s="111"/>
      <c r="P123" s="111"/>
      <c r="Q123" s="112"/>
      <c r="R123" s="113" t="s">
        <v>77</v>
      </c>
      <c r="S123" s="113">
        <v>45904</v>
      </c>
      <c r="T123" s="115">
        <v>45904</v>
      </c>
      <c r="U123" s="114"/>
      <c r="V123" s="115"/>
      <c r="W123" s="116"/>
      <c r="X123" s="117"/>
      <c r="Y123" s="121"/>
      <c r="Z123" s="119"/>
      <c r="AA123" s="92"/>
      <c r="AB123" s="93"/>
      <c r="AC123" s="94"/>
      <c r="AD123" s="95"/>
      <c r="AE123" s="96"/>
      <c r="AF123" s="97"/>
      <c r="AG123" s="97">
        <f t="shared" ca="1" si="7"/>
        <v>0</v>
      </c>
      <c r="AH123" s="97">
        <f t="shared" ca="1" si="8"/>
        <v>0</v>
      </c>
      <c r="AI123" s="97">
        <f t="shared" si="9"/>
        <v>0</v>
      </c>
      <c r="AJ123" s="97">
        <f t="shared" ca="1" si="10"/>
        <v>0</v>
      </c>
      <c r="AK123" s="97" t="str">
        <f t="shared" ca="1" si="11"/>
        <v/>
      </c>
      <c r="AL123" s="98">
        <f t="shared" ca="1" si="12"/>
        <v>1</v>
      </c>
      <c r="AM123" s="98">
        <f t="shared" ca="1" si="13"/>
        <v>17</v>
      </c>
      <c r="AN123" s="98">
        <f t="shared" ca="1" si="14"/>
        <v>4</v>
      </c>
      <c r="AO123" s="98">
        <f t="shared" ca="1" si="15"/>
        <v>0</v>
      </c>
      <c r="AP123" s="98">
        <f t="shared" ca="1" si="16"/>
        <v>0</v>
      </c>
      <c r="AQ123" s="98">
        <f t="shared" ca="1" si="17"/>
        <v>0</v>
      </c>
      <c r="AR123" s="98">
        <f t="shared" ca="1" si="18"/>
        <v>0</v>
      </c>
      <c r="AS123" s="99"/>
      <c r="AT123" s="98">
        <f t="shared" si="19"/>
        <v>1</v>
      </c>
    </row>
    <row r="124" spans="1:46" ht="15.75" customHeight="1">
      <c r="A124" s="76"/>
      <c r="B124" s="77">
        <f t="shared" ca="1" si="0"/>
        <v>1</v>
      </c>
      <c r="C124" s="78">
        <f t="shared" ca="1" si="1"/>
        <v>17</v>
      </c>
      <c r="D124" s="78">
        <f t="shared" ca="1" si="2"/>
        <v>5</v>
      </c>
      <c r="E124" s="78" t="str">
        <f t="shared" ca="1" si="3"/>
        <v/>
      </c>
      <c r="F124" s="78" t="str">
        <f t="shared" ca="1" si="4"/>
        <v/>
      </c>
      <c r="G124" s="79" t="str">
        <f t="shared" ca="1" si="5"/>
        <v/>
      </c>
      <c r="H124" s="80" t="str">
        <f t="shared" ca="1" si="6"/>
        <v/>
      </c>
      <c r="I124" s="100"/>
      <c r="J124" s="111"/>
      <c r="K124" s="111" t="s">
        <v>65</v>
      </c>
      <c r="L124" s="111"/>
      <c r="M124" s="111"/>
      <c r="N124" s="111"/>
      <c r="O124" s="111"/>
      <c r="P124" s="111"/>
      <c r="Q124" s="112"/>
      <c r="R124" s="113" t="s">
        <v>78</v>
      </c>
      <c r="S124" s="113">
        <v>45905</v>
      </c>
      <c r="T124" s="115">
        <v>45911</v>
      </c>
      <c r="U124" s="114"/>
      <c r="V124" s="115"/>
      <c r="W124" s="116"/>
      <c r="X124" s="117"/>
      <c r="Y124" s="121"/>
      <c r="Z124" s="119"/>
      <c r="AA124" s="92"/>
      <c r="AB124" s="93"/>
      <c r="AC124" s="94"/>
      <c r="AD124" s="95"/>
      <c r="AE124" s="96"/>
      <c r="AF124" s="97"/>
      <c r="AG124" s="97">
        <f t="shared" ca="1" si="7"/>
        <v>0</v>
      </c>
      <c r="AH124" s="97">
        <f t="shared" ca="1" si="8"/>
        <v>0</v>
      </c>
      <c r="AI124" s="97">
        <f t="shared" si="9"/>
        <v>0</v>
      </c>
      <c r="AJ124" s="97">
        <f t="shared" ca="1" si="10"/>
        <v>0</v>
      </c>
      <c r="AK124" s="97" t="str">
        <f t="shared" ca="1" si="11"/>
        <v/>
      </c>
      <c r="AL124" s="98">
        <f t="shared" ca="1" si="12"/>
        <v>1</v>
      </c>
      <c r="AM124" s="98">
        <f t="shared" ca="1" si="13"/>
        <v>17</v>
      </c>
      <c r="AN124" s="98">
        <f t="shared" ca="1" si="14"/>
        <v>5</v>
      </c>
      <c r="AO124" s="98">
        <f t="shared" ca="1" si="15"/>
        <v>0</v>
      </c>
      <c r="AP124" s="98">
        <f t="shared" ca="1" si="16"/>
        <v>0</v>
      </c>
      <c r="AQ124" s="98">
        <f t="shared" ca="1" si="17"/>
        <v>0</v>
      </c>
      <c r="AR124" s="98">
        <f t="shared" ca="1" si="18"/>
        <v>0</v>
      </c>
      <c r="AS124" s="99"/>
      <c r="AT124" s="98">
        <f t="shared" si="19"/>
        <v>7</v>
      </c>
    </row>
    <row r="125" spans="1:46" ht="15.75" customHeight="1">
      <c r="A125" s="76"/>
      <c r="B125" s="77">
        <f t="shared" ca="1" si="0"/>
        <v>1</v>
      </c>
      <c r="C125" s="78">
        <f t="shared" ca="1" si="1"/>
        <v>17</v>
      </c>
      <c r="D125" s="78">
        <f t="shared" ca="1" si="2"/>
        <v>6</v>
      </c>
      <c r="E125" s="78" t="str">
        <f t="shared" ca="1" si="3"/>
        <v/>
      </c>
      <c r="F125" s="78" t="str">
        <f t="shared" ca="1" si="4"/>
        <v/>
      </c>
      <c r="G125" s="79" t="str">
        <f t="shared" ca="1" si="5"/>
        <v/>
      </c>
      <c r="H125" s="80" t="str">
        <f t="shared" ca="1" si="6"/>
        <v/>
      </c>
      <c r="I125" s="100"/>
      <c r="J125" s="111"/>
      <c r="K125" s="111" t="s">
        <v>66</v>
      </c>
      <c r="L125" s="111"/>
      <c r="M125" s="111"/>
      <c r="N125" s="111"/>
      <c r="O125" s="111"/>
      <c r="P125" s="111"/>
      <c r="Q125" s="112"/>
      <c r="R125" s="113" t="s">
        <v>77</v>
      </c>
      <c r="S125" s="113">
        <v>45912</v>
      </c>
      <c r="T125" s="115">
        <v>45912</v>
      </c>
      <c r="U125" s="114"/>
      <c r="V125" s="115"/>
      <c r="W125" s="116"/>
      <c r="X125" s="117"/>
      <c r="Y125" s="121"/>
      <c r="Z125" s="119"/>
      <c r="AA125" s="92"/>
      <c r="AB125" s="93"/>
      <c r="AC125" s="94"/>
      <c r="AD125" s="95"/>
      <c r="AE125" s="96"/>
      <c r="AF125" s="97"/>
      <c r="AG125" s="97">
        <f t="shared" ca="1" si="7"/>
        <v>0</v>
      </c>
      <c r="AH125" s="97">
        <f t="shared" ca="1" si="8"/>
        <v>0</v>
      </c>
      <c r="AI125" s="97">
        <f t="shared" si="9"/>
        <v>0</v>
      </c>
      <c r="AJ125" s="97">
        <f t="shared" ca="1" si="10"/>
        <v>0</v>
      </c>
      <c r="AK125" s="97" t="str">
        <f t="shared" ca="1" si="11"/>
        <v/>
      </c>
      <c r="AL125" s="98">
        <f t="shared" ca="1" si="12"/>
        <v>1</v>
      </c>
      <c r="AM125" s="98">
        <f t="shared" ca="1" si="13"/>
        <v>17</v>
      </c>
      <c r="AN125" s="98">
        <f t="shared" ca="1" si="14"/>
        <v>6</v>
      </c>
      <c r="AO125" s="98">
        <f t="shared" ca="1" si="15"/>
        <v>0</v>
      </c>
      <c r="AP125" s="98">
        <f t="shared" ca="1" si="16"/>
        <v>0</v>
      </c>
      <c r="AQ125" s="98">
        <f t="shared" ca="1" si="17"/>
        <v>0</v>
      </c>
      <c r="AR125" s="98">
        <f t="shared" ca="1" si="18"/>
        <v>0</v>
      </c>
      <c r="AS125" s="99"/>
      <c r="AT125" s="98">
        <f t="shared" si="19"/>
        <v>1</v>
      </c>
    </row>
    <row r="126" spans="1:46" ht="15.75" customHeight="1">
      <c r="A126" s="76"/>
      <c r="B126" s="77">
        <f t="shared" ca="1" si="0"/>
        <v>1</v>
      </c>
      <c r="C126" s="78">
        <f t="shared" ca="1" si="1"/>
        <v>18</v>
      </c>
      <c r="D126" s="78" t="str">
        <f t="shared" ca="1" si="2"/>
        <v/>
      </c>
      <c r="E126" s="78" t="str">
        <f t="shared" ca="1" si="3"/>
        <v/>
      </c>
      <c r="F126" s="78" t="str">
        <f t="shared" ca="1" si="4"/>
        <v/>
      </c>
      <c r="G126" s="79" t="str">
        <f t="shared" ca="1" si="5"/>
        <v/>
      </c>
      <c r="H126" s="80" t="str">
        <f t="shared" ca="1" si="6"/>
        <v/>
      </c>
      <c r="I126" s="100"/>
      <c r="J126" s="101" t="s">
        <v>88</v>
      </c>
      <c r="K126" s="102"/>
      <c r="L126" s="102"/>
      <c r="M126" s="102"/>
      <c r="N126" s="102"/>
      <c r="O126" s="102"/>
      <c r="P126" s="102"/>
      <c r="Q126" s="103" t="s">
        <v>58</v>
      </c>
      <c r="R126" s="104"/>
      <c r="S126" s="104"/>
      <c r="T126" s="105"/>
      <c r="U126" s="106"/>
      <c r="V126" s="105"/>
      <c r="W126" s="107"/>
      <c r="X126" s="108"/>
      <c r="Y126" s="122"/>
      <c r="Z126" s="110"/>
      <c r="AA126" s="92"/>
      <c r="AB126" s="93"/>
      <c r="AC126" s="94"/>
      <c r="AD126" s="95"/>
      <c r="AE126" s="96"/>
      <c r="AF126" s="97"/>
      <c r="AG126" s="97">
        <f t="shared" si="7"/>
        <v>0</v>
      </c>
      <c r="AH126" s="97">
        <f t="shared" si="8"/>
        <v>0</v>
      </c>
      <c r="AI126" s="97">
        <f t="shared" si="9"/>
        <v>0</v>
      </c>
      <c r="AJ126" s="97">
        <f t="shared" si="10"/>
        <v>0</v>
      </c>
      <c r="AK126" s="97" t="str">
        <f t="shared" si="11"/>
        <v/>
      </c>
      <c r="AL126" s="98">
        <f t="shared" ca="1" si="12"/>
        <v>1</v>
      </c>
      <c r="AM126" s="98">
        <f t="shared" ca="1" si="13"/>
        <v>18</v>
      </c>
      <c r="AN126" s="98">
        <f t="shared" ca="1" si="14"/>
        <v>0</v>
      </c>
      <c r="AO126" s="98">
        <f t="shared" ca="1" si="15"/>
        <v>0</v>
      </c>
      <c r="AP126" s="98">
        <f t="shared" ca="1" si="16"/>
        <v>0</v>
      </c>
      <c r="AQ126" s="98">
        <f t="shared" ca="1" si="17"/>
        <v>0</v>
      </c>
      <c r="AR126" s="98">
        <f t="shared" ca="1" si="18"/>
        <v>0</v>
      </c>
      <c r="AS126" s="99"/>
      <c r="AT126" s="98">
        <f t="shared" si="19"/>
        <v>1</v>
      </c>
    </row>
    <row r="127" spans="1:46" ht="15.75" customHeight="1">
      <c r="A127" s="76"/>
      <c r="B127" s="77">
        <f t="shared" ca="1" si="0"/>
        <v>1</v>
      </c>
      <c r="C127" s="78">
        <f t="shared" ca="1" si="1"/>
        <v>18</v>
      </c>
      <c r="D127" s="78">
        <f t="shared" ca="1" si="2"/>
        <v>1</v>
      </c>
      <c r="E127" s="78" t="str">
        <f t="shared" ca="1" si="3"/>
        <v/>
      </c>
      <c r="F127" s="78" t="str">
        <f t="shared" ca="1" si="4"/>
        <v/>
      </c>
      <c r="G127" s="79" t="str">
        <f t="shared" ca="1" si="5"/>
        <v/>
      </c>
      <c r="H127" s="80" t="str">
        <f t="shared" ca="1" si="6"/>
        <v/>
      </c>
      <c r="I127" s="100"/>
      <c r="J127" s="111"/>
      <c r="K127" s="111" t="s">
        <v>59</v>
      </c>
      <c r="L127" s="111"/>
      <c r="M127" s="111"/>
      <c r="N127" s="111"/>
      <c r="O127" s="111"/>
      <c r="P127" s="111"/>
      <c r="Q127" s="112"/>
      <c r="R127" s="113"/>
      <c r="S127" s="113"/>
      <c r="T127" s="115"/>
      <c r="U127" s="114"/>
      <c r="V127" s="115"/>
      <c r="W127" s="116"/>
      <c r="X127" s="117"/>
      <c r="Y127" s="121"/>
      <c r="Z127" s="119"/>
      <c r="AA127" s="92"/>
      <c r="AB127" s="93"/>
      <c r="AC127" s="94"/>
      <c r="AD127" s="95"/>
      <c r="AE127" s="96"/>
      <c r="AF127" s="97"/>
      <c r="AG127" s="97">
        <f t="shared" si="7"/>
        <v>0</v>
      </c>
      <c r="AH127" s="97">
        <f t="shared" si="8"/>
        <v>0</v>
      </c>
      <c r="AI127" s="97">
        <f t="shared" si="9"/>
        <v>0</v>
      </c>
      <c r="AJ127" s="97">
        <f t="shared" si="10"/>
        <v>0</v>
      </c>
      <c r="AK127" s="97" t="str">
        <f t="shared" si="11"/>
        <v/>
      </c>
      <c r="AL127" s="98">
        <f t="shared" ca="1" si="12"/>
        <v>1</v>
      </c>
      <c r="AM127" s="98">
        <f t="shared" ca="1" si="13"/>
        <v>18</v>
      </c>
      <c r="AN127" s="98">
        <f t="shared" ca="1" si="14"/>
        <v>1</v>
      </c>
      <c r="AO127" s="98">
        <f t="shared" ca="1" si="15"/>
        <v>0</v>
      </c>
      <c r="AP127" s="98">
        <f t="shared" ca="1" si="16"/>
        <v>0</v>
      </c>
      <c r="AQ127" s="98">
        <f t="shared" ca="1" si="17"/>
        <v>0</v>
      </c>
      <c r="AR127" s="98">
        <f t="shared" ca="1" si="18"/>
        <v>0</v>
      </c>
      <c r="AS127" s="99"/>
      <c r="AT127" s="98">
        <f t="shared" si="19"/>
        <v>1</v>
      </c>
    </row>
    <row r="128" spans="1:46" ht="15.75" customHeight="1">
      <c r="A128" s="76"/>
      <c r="B128" s="77">
        <f t="shared" ca="1" si="0"/>
        <v>1</v>
      </c>
      <c r="C128" s="78">
        <f t="shared" ca="1" si="1"/>
        <v>18</v>
      </c>
      <c r="D128" s="78">
        <f t="shared" ca="1" si="2"/>
        <v>2</v>
      </c>
      <c r="E128" s="78" t="str">
        <f t="shared" ca="1" si="3"/>
        <v/>
      </c>
      <c r="F128" s="78" t="str">
        <f t="shared" ca="1" si="4"/>
        <v/>
      </c>
      <c r="G128" s="79" t="str">
        <f t="shared" ca="1" si="5"/>
        <v/>
      </c>
      <c r="H128" s="80" t="str">
        <f t="shared" ca="1" si="6"/>
        <v/>
      </c>
      <c r="I128" s="100"/>
      <c r="J128" s="111"/>
      <c r="K128" s="111" t="s">
        <v>61</v>
      </c>
      <c r="L128" s="111"/>
      <c r="M128" s="111"/>
      <c r="N128" s="111"/>
      <c r="O128" s="111"/>
      <c r="P128" s="111"/>
      <c r="Q128" s="112"/>
      <c r="R128" s="113"/>
      <c r="S128" s="113"/>
      <c r="T128" s="115"/>
      <c r="U128" s="114"/>
      <c r="V128" s="115"/>
      <c r="W128" s="116"/>
      <c r="X128" s="117"/>
      <c r="Y128" s="121"/>
      <c r="Z128" s="119"/>
      <c r="AA128" s="92"/>
      <c r="AB128" s="93"/>
      <c r="AC128" s="94"/>
      <c r="AD128" s="95"/>
      <c r="AE128" s="96"/>
      <c r="AF128" s="97"/>
      <c r="AG128" s="97">
        <f t="shared" si="7"/>
        <v>0</v>
      </c>
      <c r="AH128" s="97">
        <f t="shared" si="8"/>
        <v>0</v>
      </c>
      <c r="AI128" s="97">
        <f t="shared" si="9"/>
        <v>0</v>
      </c>
      <c r="AJ128" s="97">
        <f t="shared" si="10"/>
        <v>0</v>
      </c>
      <c r="AK128" s="97" t="str">
        <f t="shared" si="11"/>
        <v/>
      </c>
      <c r="AL128" s="98">
        <f t="shared" ca="1" si="12"/>
        <v>1</v>
      </c>
      <c r="AM128" s="98">
        <f t="shared" ca="1" si="13"/>
        <v>18</v>
      </c>
      <c r="AN128" s="98">
        <f t="shared" ca="1" si="14"/>
        <v>2</v>
      </c>
      <c r="AO128" s="98">
        <f t="shared" ca="1" si="15"/>
        <v>0</v>
      </c>
      <c r="AP128" s="98">
        <f t="shared" ca="1" si="16"/>
        <v>0</v>
      </c>
      <c r="AQ128" s="98">
        <f t="shared" ca="1" si="17"/>
        <v>0</v>
      </c>
      <c r="AR128" s="98">
        <f t="shared" ca="1" si="18"/>
        <v>0</v>
      </c>
      <c r="AS128" s="99"/>
      <c r="AT128" s="98">
        <f t="shared" si="19"/>
        <v>1</v>
      </c>
    </row>
    <row r="129" spans="1:46" ht="15.75" customHeight="1">
      <c r="A129" s="76"/>
      <c r="B129" s="77">
        <f t="shared" ca="1" si="0"/>
        <v>1</v>
      </c>
      <c r="C129" s="78">
        <f t="shared" ca="1" si="1"/>
        <v>18</v>
      </c>
      <c r="D129" s="78">
        <f t="shared" ca="1" si="2"/>
        <v>3</v>
      </c>
      <c r="E129" s="78" t="str">
        <f t="shared" ca="1" si="3"/>
        <v/>
      </c>
      <c r="F129" s="78" t="str">
        <f t="shared" ca="1" si="4"/>
        <v/>
      </c>
      <c r="G129" s="79" t="str">
        <f t="shared" ca="1" si="5"/>
        <v/>
      </c>
      <c r="H129" s="80" t="str">
        <f t="shared" ca="1" si="6"/>
        <v/>
      </c>
      <c r="I129" s="100"/>
      <c r="J129" s="111"/>
      <c r="K129" s="111" t="s">
        <v>63</v>
      </c>
      <c r="L129" s="111"/>
      <c r="M129" s="111"/>
      <c r="N129" s="111"/>
      <c r="O129" s="111"/>
      <c r="P129" s="111"/>
      <c r="Q129" s="112"/>
      <c r="R129" s="113"/>
      <c r="S129" s="113"/>
      <c r="T129" s="115"/>
      <c r="U129" s="114"/>
      <c r="V129" s="115"/>
      <c r="W129" s="116"/>
      <c r="X129" s="117"/>
      <c r="Y129" s="121"/>
      <c r="Z129" s="119"/>
      <c r="AA129" s="92"/>
      <c r="AB129" s="93"/>
      <c r="AC129" s="94"/>
      <c r="AD129" s="95"/>
      <c r="AE129" s="96"/>
      <c r="AF129" s="97"/>
      <c r="AG129" s="97">
        <f t="shared" si="7"/>
        <v>0</v>
      </c>
      <c r="AH129" s="97">
        <f t="shared" si="8"/>
        <v>0</v>
      </c>
      <c r="AI129" s="97">
        <f t="shared" si="9"/>
        <v>0</v>
      </c>
      <c r="AJ129" s="97">
        <f t="shared" si="10"/>
        <v>0</v>
      </c>
      <c r="AK129" s="97" t="str">
        <f t="shared" si="11"/>
        <v/>
      </c>
      <c r="AL129" s="98">
        <f t="shared" ca="1" si="12"/>
        <v>1</v>
      </c>
      <c r="AM129" s="98">
        <f t="shared" ca="1" si="13"/>
        <v>18</v>
      </c>
      <c r="AN129" s="98">
        <f t="shared" ca="1" si="14"/>
        <v>3</v>
      </c>
      <c r="AO129" s="98">
        <f t="shared" ca="1" si="15"/>
        <v>0</v>
      </c>
      <c r="AP129" s="98">
        <f t="shared" ca="1" si="16"/>
        <v>0</v>
      </c>
      <c r="AQ129" s="98">
        <f t="shared" ca="1" si="17"/>
        <v>0</v>
      </c>
      <c r="AR129" s="98">
        <f t="shared" ca="1" si="18"/>
        <v>0</v>
      </c>
      <c r="AS129" s="99"/>
      <c r="AT129" s="98">
        <f t="shared" si="19"/>
        <v>1</v>
      </c>
    </row>
    <row r="130" spans="1:46" ht="15.75" customHeight="1">
      <c r="A130" s="76"/>
      <c r="B130" s="77">
        <f t="shared" ca="1" si="0"/>
        <v>1</v>
      </c>
      <c r="C130" s="78">
        <f t="shared" ca="1" si="1"/>
        <v>18</v>
      </c>
      <c r="D130" s="78">
        <f t="shared" ca="1" si="2"/>
        <v>4</v>
      </c>
      <c r="E130" s="78" t="str">
        <f t="shared" ca="1" si="3"/>
        <v/>
      </c>
      <c r="F130" s="78" t="str">
        <f t="shared" ca="1" si="4"/>
        <v/>
      </c>
      <c r="G130" s="79" t="str">
        <f t="shared" ca="1" si="5"/>
        <v/>
      </c>
      <c r="H130" s="80" t="str">
        <f t="shared" ca="1" si="6"/>
        <v/>
      </c>
      <c r="I130" s="100"/>
      <c r="J130" s="111"/>
      <c r="K130" s="111" t="s">
        <v>64</v>
      </c>
      <c r="L130" s="111"/>
      <c r="M130" s="111"/>
      <c r="N130" s="111"/>
      <c r="O130" s="111"/>
      <c r="P130" s="111"/>
      <c r="Q130" s="112"/>
      <c r="R130" s="113"/>
      <c r="S130" s="113"/>
      <c r="T130" s="115"/>
      <c r="U130" s="114"/>
      <c r="V130" s="115"/>
      <c r="W130" s="116"/>
      <c r="X130" s="117"/>
      <c r="Y130" s="121"/>
      <c r="Z130" s="119"/>
      <c r="AA130" s="92"/>
      <c r="AB130" s="93"/>
      <c r="AC130" s="94"/>
      <c r="AD130" s="95"/>
      <c r="AE130" s="96"/>
      <c r="AF130" s="97"/>
      <c r="AG130" s="97">
        <f t="shared" si="7"/>
        <v>0</v>
      </c>
      <c r="AH130" s="97">
        <f t="shared" si="8"/>
        <v>0</v>
      </c>
      <c r="AI130" s="97">
        <f t="shared" si="9"/>
        <v>0</v>
      </c>
      <c r="AJ130" s="97">
        <f t="shared" si="10"/>
        <v>0</v>
      </c>
      <c r="AK130" s="97" t="str">
        <f t="shared" si="11"/>
        <v/>
      </c>
      <c r="AL130" s="98">
        <f t="shared" ca="1" si="12"/>
        <v>1</v>
      </c>
      <c r="AM130" s="98">
        <f t="shared" ca="1" si="13"/>
        <v>18</v>
      </c>
      <c r="AN130" s="98">
        <f t="shared" ca="1" si="14"/>
        <v>4</v>
      </c>
      <c r="AO130" s="98">
        <f t="shared" ca="1" si="15"/>
        <v>0</v>
      </c>
      <c r="AP130" s="98">
        <f t="shared" ca="1" si="16"/>
        <v>0</v>
      </c>
      <c r="AQ130" s="98">
        <f t="shared" ca="1" si="17"/>
        <v>0</v>
      </c>
      <c r="AR130" s="98">
        <f t="shared" ca="1" si="18"/>
        <v>0</v>
      </c>
      <c r="AS130" s="99"/>
      <c r="AT130" s="98">
        <f t="shared" si="19"/>
        <v>1</v>
      </c>
    </row>
    <row r="131" spans="1:46" ht="15.75" customHeight="1">
      <c r="A131" s="76"/>
      <c r="B131" s="77">
        <f t="shared" ca="1" si="0"/>
        <v>1</v>
      </c>
      <c r="C131" s="78">
        <f t="shared" ca="1" si="1"/>
        <v>18</v>
      </c>
      <c r="D131" s="78">
        <f t="shared" ca="1" si="2"/>
        <v>5</v>
      </c>
      <c r="E131" s="78" t="str">
        <f t="shared" ca="1" si="3"/>
        <v/>
      </c>
      <c r="F131" s="78" t="str">
        <f t="shared" ca="1" si="4"/>
        <v/>
      </c>
      <c r="G131" s="79" t="str">
        <f t="shared" ca="1" si="5"/>
        <v/>
      </c>
      <c r="H131" s="80" t="str">
        <f t="shared" ca="1" si="6"/>
        <v/>
      </c>
      <c r="I131" s="100"/>
      <c r="J131" s="111"/>
      <c r="K131" s="111" t="s">
        <v>65</v>
      </c>
      <c r="L131" s="111"/>
      <c r="M131" s="111"/>
      <c r="N131" s="111"/>
      <c r="O131" s="111"/>
      <c r="P131" s="111"/>
      <c r="Q131" s="112"/>
      <c r="R131" s="113"/>
      <c r="S131" s="113"/>
      <c r="T131" s="115"/>
      <c r="U131" s="114"/>
      <c r="V131" s="115"/>
      <c r="W131" s="116"/>
      <c r="X131" s="117"/>
      <c r="Y131" s="121"/>
      <c r="Z131" s="119"/>
      <c r="AA131" s="92"/>
      <c r="AB131" s="93"/>
      <c r="AC131" s="94"/>
      <c r="AD131" s="95"/>
      <c r="AE131" s="96"/>
      <c r="AF131" s="97"/>
      <c r="AG131" s="97">
        <f t="shared" si="7"/>
        <v>0</v>
      </c>
      <c r="AH131" s="97">
        <f t="shared" si="8"/>
        <v>0</v>
      </c>
      <c r="AI131" s="97">
        <f t="shared" si="9"/>
        <v>0</v>
      </c>
      <c r="AJ131" s="97">
        <f t="shared" si="10"/>
        <v>0</v>
      </c>
      <c r="AK131" s="97" t="str">
        <f t="shared" si="11"/>
        <v/>
      </c>
      <c r="AL131" s="98">
        <f t="shared" ca="1" si="12"/>
        <v>1</v>
      </c>
      <c r="AM131" s="98">
        <f t="shared" ca="1" si="13"/>
        <v>18</v>
      </c>
      <c r="AN131" s="98">
        <f t="shared" ca="1" si="14"/>
        <v>5</v>
      </c>
      <c r="AO131" s="98">
        <f t="shared" ca="1" si="15"/>
        <v>0</v>
      </c>
      <c r="AP131" s="98">
        <f t="shared" ca="1" si="16"/>
        <v>0</v>
      </c>
      <c r="AQ131" s="98">
        <f t="shared" ca="1" si="17"/>
        <v>0</v>
      </c>
      <c r="AR131" s="98">
        <f t="shared" ca="1" si="18"/>
        <v>0</v>
      </c>
      <c r="AS131" s="99"/>
      <c r="AT131" s="98">
        <f t="shared" si="19"/>
        <v>1</v>
      </c>
    </row>
    <row r="132" spans="1:46" ht="15.75" customHeight="1">
      <c r="A132" s="76"/>
      <c r="B132" s="77">
        <f t="shared" ca="1" si="0"/>
        <v>1</v>
      </c>
      <c r="C132" s="78">
        <f t="shared" ca="1" si="1"/>
        <v>18</v>
      </c>
      <c r="D132" s="78">
        <f t="shared" ca="1" si="2"/>
        <v>6</v>
      </c>
      <c r="E132" s="78" t="str">
        <f t="shared" ca="1" si="3"/>
        <v/>
      </c>
      <c r="F132" s="78" t="str">
        <f t="shared" ca="1" si="4"/>
        <v/>
      </c>
      <c r="G132" s="79" t="str">
        <f t="shared" ca="1" si="5"/>
        <v/>
      </c>
      <c r="H132" s="80" t="str">
        <f t="shared" ca="1" si="6"/>
        <v/>
      </c>
      <c r="I132" s="100"/>
      <c r="J132" s="111"/>
      <c r="K132" s="111" t="s">
        <v>66</v>
      </c>
      <c r="L132" s="111"/>
      <c r="M132" s="111"/>
      <c r="N132" s="111"/>
      <c r="O132" s="111"/>
      <c r="P132" s="111"/>
      <c r="Q132" s="112"/>
      <c r="R132" s="113"/>
      <c r="S132" s="113"/>
      <c r="T132" s="115"/>
      <c r="U132" s="114"/>
      <c r="V132" s="115"/>
      <c r="W132" s="116"/>
      <c r="X132" s="117"/>
      <c r="Y132" s="121"/>
      <c r="Z132" s="119"/>
      <c r="AA132" s="92"/>
      <c r="AB132" s="93"/>
      <c r="AC132" s="94"/>
      <c r="AD132" s="95"/>
      <c r="AE132" s="96"/>
      <c r="AF132" s="97"/>
      <c r="AG132" s="97">
        <f t="shared" si="7"/>
        <v>0</v>
      </c>
      <c r="AH132" s="97">
        <f t="shared" si="8"/>
        <v>0</v>
      </c>
      <c r="AI132" s="97">
        <f t="shared" si="9"/>
        <v>0</v>
      </c>
      <c r="AJ132" s="97">
        <f t="shared" si="10"/>
        <v>0</v>
      </c>
      <c r="AK132" s="97" t="str">
        <f t="shared" si="11"/>
        <v/>
      </c>
      <c r="AL132" s="98">
        <f t="shared" ca="1" si="12"/>
        <v>1</v>
      </c>
      <c r="AM132" s="98">
        <f t="shared" ca="1" si="13"/>
        <v>18</v>
      </c>
      <c r="AN132" s="98">
        <f t="shared" ca="1" si="14"/>
        <v>6</v>
      </c>
      <c r="AO132" s="98">
        <f t="shared" ca="1" si="15"/>
        <v>0</v>
      </c>
      <c r="AP132" s="98">
        <f t="shared" ca="1" si="16"/>
        <v>0</v>
      </c>
      <c r="AQ132" s="98">
        <f t="shared" ca="1" si="17"/>
        <v>0</v>
      </c>
      <c r="AR132" s="98">
        <f t="shared" ca="1" si="18"/>
        <v>0</v>
      </c>
      <c r="AS132" s="99"/>
      <c r="AT132" s="98">
        <f t="shared" si="19"/>
        <v>1</v>
      </c>
    </row>
    <row r="133" spans="1:46" ht="15.75" customHeight="1">
      <c r="A133" s="76"/>
      <c r="B133" s="77">
        <f t="shared" ca="1" si="0"/>
        <v>1</v>
      </c>
      <c r="C133" s="78">
        <f t="shared" ca="1" si="1"/>
        <v>19</v>
      </c>
      <c r="D133" s="78" t="str">
        <f t="shared" ca="1" si="2"/>
        <v/>
      </c>
      <c r="E133" s="78" t="str">
        <f t="shared" ca="1" si="3"/>
        <v/>
      </c>
      <c r="F133" s="78" t="str">
        <f t="shared" ca="1" si="4"/>
        <v/>
      </c>
      <c r="G133" s="79" t="str">
        <f t="shared" ca="1" si="5"/>
        <v/>
      </c>
      <c r="H133" s="80" t="str">
        <f t="shared" ca="1" si="6"/>
        <v/>
      </c>
      <c r="I133" s="100"/>
      <c r="J133" s="101" t="s">
        <v>89</v>
      </c>
      <c r="K133" s="102"/>
      <c r="L133" s="102"/>
      <c r="M133" s="102"/>
      <c r="N133" s="102"/>
      <c r="O133" s="102"/>
      <c r="P133" s="102"/>
      <c r="Q133" s="103" t="s">
        <v>81</v>
      </c>
      <c r="R133" s="104"/>
      <c r="S133" s="104"/>
      <c r="T133" s="105"/>
      <c r="U133" s="106"/>
      <c r="V133" s="105"/>
      <c r="W133" s="107"/>
      <c r="X133" s="108"/>
      <c r="Y133" s="122"/>
      <c r="Z133" s="110"/>
      <c r="AA133" s="92"/>
      <c r="AB133" s="93"/>
      <c r="AC133" s="94"/>
      <c r="AD133" s="95"/>
      <c r="AE133" s="96"/>
      <c r="AF133" s="97"/>
      <c r="AG133" s="97">
        <f t="shared" si="7"/>
        <v>0</v>
      </c>
      <c r="AH133" s="97">
        <f t="shared" si="8"/>
        <v>0</v>
      </c>
      <c r="AI133" s="97">
        <f t="shared" si="9"/>
        <v>0</v>
      </c>
      <c r="AJ133" s="97">
        <f t="shared" si="10"/>
        <v>0</v>
      </c>
      <c r="AK133" s="97" t="str">
        <f t="shared" si="11"/>
        <v/>
      </c>
      <c r="AL133" s="98">
        <f t="shared" ca="1" si="12"/>
        <v>1</v>
      </c>
      <c r="AM133" s="98">
        <f t="shared" ca="1" si="13"/>
        <v>19</v>
      </c>
      <c r="AN133" s="98">
        <f t="shared" ca="1" si="14"/>
        <v>0</v>
      </c>
      <c r="AO133" s="98">
        <f t="shared" ca="1" si="15"/>
        <v>0</v>
      </c>
      <c r="AP133" s="98">
        <f t="shared" ca="1" si="16"/>
        <v>0</v>
      </c>
      <c r="AQ133" s="98">
        <f t="shared" ca="1" si="17"/>
        <v>0</v>
      </c>
      <c r="AR133" s="98">
        <f t="shared" ca="1" si="18"/>
        <v>0</v>
      </c>
      <c r="AS133" s="99"/>
      <c r="AT133" s="98">
        <f t="shared" si="19"/>
        <v>1</v>
      </c>
    </row>
    <row r="134" spans="1:46" ht="15.75" customHeight="1">
      <c r="A134" s="76"/>
      <c r="B134" s="77">
        <f t="shared" ca="1" si="0"/>
        <v>1</v>
      </c>
      <c r="C134" s="78">
        <f t="shared" ca="1" si="1"/>
        <v>19</v>
      </c>
      <c r="D134" s="78">
        <f t="shared" ca="1" si="2"/>
        <v>1</v>
      </c>
      <c r="E134" s="78" t="str">
        <f t="shared" ca="1" si="3"/>
        <v/>
      </c>
      <c r="F134" s="78" t="str">
        <f t="shared" ca="1" si="4"/>
        <v/>
      </c>
      <c r="G134" s="79" t="str">
        <f t="shared" ca="1" si="5"/>
        <v/>
      </c>
      <c r="H134" s="80" t="str">
        <f t="shared" ca="1" si="6"/>
        <v/>
      </c>
      <c r="I134" s="100"/>
      <c r="J134" s="111"/>
      <c r="K134" s="111" t="s">
        <v>59</v>
      </c>
      <c r="L134" s="111"/>
      <c r="M134" s="111"/>
      <c r="N134" s="111"/>
      <c r="O134" s="111"/>
      <c r="P134" s="111"/>
      <c r="Q134" s="112"/>
      <c r="R134" s="124" t="s">
        <v>60</v>
      </c>
      <c r="S134" s="113">
        <v>45812</v>
      </c>
      <c r="T134" s="115">
        <v>45817</v>
      </c>
      <c r="U134" s="114">
        <v>45812</v>
      </c>
      <c r="V134" s="114">
        <v>45814</v>
      </c>
      <c r="W134" s="116">
        <v>1</v>
      </c>
      <c r="X134" s="117">
        <v>1</v>
      </c>
      <c r="Y134" s="121"/>
      <c r="Z134" s="119"/>
      <c r="AA134" s="92"/>
      <c r="AB134" s="93"/>
      <c r="AC134" s="94"/>
      <c r="AD134" s="95"/>
      <c r="AE134" s="96"/>
      <c r="AF134" s="97"/>
      <c r="AG134" s="97">
        <f t="shared" ca="1" si="7"/>
        <v>0</v>
      </c>
      <c r="AH134" s="97">
        <f t="shared" ca="1" si="8"/>
        <v>0</v>
      </c>
      <c r="AI134" s="97">
        <f t="shared" si="9"/>
        <v>0</v>
      </c>
      <c r="AJ134" s="97">
        <f t="shared" ca="1" si="10"/>
        <v>0</v>
      </c>
      <c r="AK134" s="97" t="str">
        <f t="shared" ca="1" si="11"/>
        <v/>
      </c>
      <c r="AL134" s="98">
        <f t="shared" ca="1" si="12"/>
        <v>1</v>
      </c>
      <c r="AM134" s="98">
        <f t="shared" ca="1" si="13"/>
        <v>19</v>
      </c>
      <c r="AN134" s="98">
        <f t="shared" ca="1" si="14"/>
        <v>1</v>
      </c>
      <c r="AO134" s="98">
        <f t="shared" ca="1" si="15"/>
        <v>0</v>
      </c>
      <c r="AP134" s="98">
        <f t="shared" ca="1" si="16"/>
        <v>0</v>
      </c>
      <c r="AQ134" s="98">
        <f t="shared" ca="1" si="17"/>
        <v>0</v>
      </c>
      <c r="AR134" s="98">
        <f t="shared" ca="1" si="18"/>
        <v>0</v>
      </c>
      <c r="AS134" s="99"/>
      <c r="AT134" s="98">
        <f t="shared" si="19"/>
        <v>6</v>
      </c>
    </row>
    <row r="135" spans="1:46" ht="15.75" customHeight="1">
      <c r="A135" s="76"/>
      <c r="B135" s="77">
        <f t="shared" ca="1" si="0"/>
        <v>1</v>
      </c>
      <c r="C135" s="78">
        <f t="shared" ca="1" si="1"/>
        <v>19</v>
      </c>
      <c r="D135" s="78">
        <f t="shared" ca="1" si="2"/>
        <v>2</v>
      </c>
      <c r="E135" s="78" t="str">
        <f t="shared" ca="1" si="3"/>
        <v/>
      </c>
      <c r="F135" s="78" t="str">
        <f t="shared" ca="1" si="4"/>
        <v/>
      </c>
      <c r="G135" s="79" t="str">
        <f t="shared" ca="1" si="5"/>
        <v/>
      </c>
      <c r="H135" s="80" t="str">
        <f t="shared" ca="1" si="6"/>
        <v/>
      </c>
      <c r="I135" s="100"/>
      <c r="J135" s="111"/>
      <c r="K135" s="111" t="s">
        <v>61</v>
      </c>
      <c r="L135" s="111"/>
      <c r="M135" s="111"/>
      <c r="N135" s="111"/>
      <c r="O135" s="111"/>
      <c r="P135" s="111"/>
      <c r="Q135" s="112"/>
      <c r="R135" s="124" t="s">
        <v>380</v>
      </c>
      <c r="S135" s="113">
        <v>45818</v>
      </c>
      <c r="T135" s="115">
        <v>45818</v>
      </c>
      <c r="U135" s="114">
        <v>45814</v>
      </c>
      <c r="V135" s="114">
        <v>45814</v>
      </c>
      <c r="W135" s="116">
        <v>1</v>
      </c>
      <c r="X135" s="117">
        <v>1</v>
      </c>
      <c r="Y135" s="121"/>
      <c r="Z135" s="119"/>
      <c r="AA135" s="92"/>
      <c r="AB135" s="93"/>
      <c r="AC135" s="94"/>
      <c r="AD135" s="95"/>
      <c r="AE135" s="96"/>
      <c r="AF135" s="97"/>
      <c r="AG135" s="97">
        <f t="shared" ca="1" si="7"/>
        <v>0</v>
      </c>
      <c r="AH135" s="97">
        <f t="shared" ca="1" si="8"/>
        <v>0</v>
      </c>
      <c r="AI135" s="97">
        <f t="shared" si="9"/>
        <v>0</v>
      </c>
      <c r="AJ135" s="97">
        <f t="shared" ca="1" si="10"/>
        <v>0</v>
      </c>
      <c r="AK135" s="97" t="str">
        <f t="shared" ca="1" si="11"/>
        <v/>
      </c>
      <c r="AL135" s="98">
        <f t="shared" ca="1" si="12"/>
        <v>1</v>
      </c>
      <c r="AM135" s="98">
        <f t="shared" ca="1" si="13"/>
        <v>19</v>
      </c>
      <c r="AN135" s="98">
        <f t="shared" ca="1" si="14"/>
        <v>2</v>
      </c>
      <c r="AO135" s="98">
        <f t="shared" ca="1" si="15"/>
        <v>0</v>
      </c>
      <c r="AP135" s="98">
        <f t="shared" ca="1" si="16"/>
        <v>0</v>
      </c>
      <c r="AQ135" s="98">
        <f t="shared" ca="1" si="17"/>
        <v>0</v>
      </c>
      <c r="AR135" s="98">
        <f t="shared" ca="1" si="18"/>
        <v>0</v>
      </c>
      <c r="AS135" s="99"/>
      <c r="AT135" s="98">
        <f t="shared" si="19"/>
        <v>1</v>
      </c>
    </row>
    <row r="136" spans="1:46" ht="15.75" customHeight="1">
      <c r="A136" s="76"/>
      <c r="B136" s="77">
        <f t="shared" ca="1" si="0"/>
        <v>1</v>
      </c>
      <c r="C136" s="78">
        <f t="shared" ca="1" si="1"/>
        <v>19</v>
      </c>
      <c r="D136" s="78">
        <f t="shared" ca="1" si="2"/>
        <v>3</v>
      </c>
      <c r="E136" s="78" t="str">
        <f t="shared" ca="1" si="3"/>
        <v/>
      </c>
      <c r="F136" s="78" t="str">
        <f t="shared" ca="1" si="4"/>
        <v/>
      </c>
      <c r="G136" s="79" t="str">
        <f t="shared" ca="1" si="5"/>
        <v/>
      </c>
      <c r="H136" s="80" t="str">
        <f t="shared" ca="1" si="6"/>
        <v/>
      </c>
      <c r="I136" s="100"/>
      <c r="J136" s="111"/>
      <c r="K136" s="111" t="s">
        <v>63</v>
      </c>
      <c r="L136" s="111"/>
      <c r="M136" s="111"/>
      <c r="N136" s="111"/>
      <c r="O136" s="111"/>
      <c r="P136" s="111"/>
      <c r="Q136" s="112"/>
      <c r="R136" s="124" t="s">
        <v>60</v>
      </c>
      <c r="S136" s="114">
        <v>45827</v>
      </c>
      <c r="T136" s="115">
        <v>45827</v>
      </c>
      <c r="U136" s="114"/>
      <c r="V136" s="115"/>
      <c r="W136" s="116"/>
      <c r="X136" s="117"/>
      <c r="Y136" s="121"/>
      <c r="Z136" s="119"/>
      <c r="AA136" s="92"/>
      <c r="AB136" s="93"/>
      <c r="AC136" s="94"/>
      <c r="AD136" s="95"/>
      <c r="AE136" s="96"/>
      <c r="AF136" s="97"/>
      <c r="AG136" s="97">
        <f t="shared" ca="1" si="7"/>
        <v>0</v>
      </c>
      <c r="AH136" s="97">
        <f t="shared" ca="1" si="8"/>
        <v>0</v>
      </c>
      <c r="AI136" s="97">
        <f t="shared" si="9"/>
        <v>0</v>
      </c>
      <c r="AJ136" s="97">
        <f t="shared" ca="1" si="10"/>
        <v>0</v>
      </c>
      <c r="AK136" s="97" t="str">
        <f t="shared" ca="1" si="11"/>
        <v/>
      </c>
      <c r="AL136" s="98">
        <f t="shared" ca="1" si="12"/>
        <v>1</v>
      </c>
      <c r="AM136" s="98">
        <f t="shared" ca="1" si="13"/>
        <v>19</v>
      </c>
      <c r="AN136" s="98">
        <f t="shared" ca="1" si="14"/>
        <v>3</v>
      </c>
      <c r="AO136" s="98">
        <f t="shared" ca="1" si="15"/>
        <v>0</v>
      </c>
      <c r="AP136" s="98">
        <f t="shared" ca="1" si="16"/>
        <v>0</v>
      </c>
      <c r="AQ136" s="98">
        <f t="shared" ca="1" si="17"/>
        <v>0</v>
      </c>
      <c r="AR136" s="98">
        <f t="shared" ca="1" si="18"/>
        <v>0</v>
      </c>
      <c r="AS136" s="99"/>
      <c r="AT136" s="98">
        <f t="shared" si="19"/>
        <v>1</v>
      </c>
    </row>
    <row r="137" spans="1:46" ht="15.75" customHeight="1">
      <c r="A137" s="76"/>
      <c r="B137" s="77">
        <f t="shared" ca="1" si="0"/>
        <v>1</v>
      </c>
      <c r="C137" s="78">
        <f t="shared" ca="1" si="1"/>
        <v>19</v>
      </c>
      <c r="D137" s="78">
        <f t="shared" ca="1" si="2"/>
        <v>4</v>
      </c>
      <c r="E137" s="78" t="str">
        <f t="shared" ca="1" si="3"/>
        <v/>
      </c>
      <c r="F137" s="78" t="str">
        <f t="shared" ca="1" si="4"/>
        <v/>
      </c>
      <c r="G137" s="79" t="str">
        <f t="shared" ca="1" si="5"/>
        <v/>
      </c>
      <c r="H137" s="80" t="str">
        <f t="shared" ca="1" si="6"/>
        <v/>
      </c>
      <c r="I137" s="100"/>
      <c r="J137" s="111"/>
      <c r="K137" s="111" t="s">
        <v>64</v>
      </c>
      <c r="L137" s="111"/>
      <c r="M137" s="111"/>
      <c r="N137" s="111"/>
      <c r="O137" s="111"/>
      <c r="P137" s="111"/>
      <c r="Q137" s="112"/>
      <c r="R137" s="124" t="s">
        <v>62</v>
      </c>
      <c r="S137" s="114">
        <v>45827</v>
      </c>
      <c r="T137" s="115">
        <v>45827</v>
      </c>
      <c r="U137" s="114"/>
      <c r="V137" s="115"/>
      <c r="W137" s="116"/>
      <c r="X137" s="117"/>
      <c r="Y137" s="121"/>
      <c r="Z137" s="119"/>
      <c r="AA137" s="92"/>
      <c r="AB137" s="93"/>
      <c r="AC137" s="94"/>
      <c r="AD137" s="95"/>
      <c r="AE137" s="96"/>
      <c r="AF137" s="97"/>
      <c r="AG137" s="97">
        <f t="shared" ca="1" si="7"/>
        <v>0</v>
      </c>
      <c r="AH137" s="97">
        <f t="shared" ca="1" si="8"/>
        <v>0</v>
      </c>
      <c r="AI137" s="97">
        <f t="shared" si="9"/>
        <v>0</v>
      </c>
      <c r="AJ137" s="97">
        <f t="shared" ca="1" si="10"/>
        <v>0</v>
      </c>
      <c r="AK137" s="97" t="str">
        <f t="shared" ca="1" si="11"/>
        <v/>
      </c>
      <c r="AL137" s="98">
        <f t="shared" ca="1" si="12"/>
        <v>1</v>
      </c>
      <c r="AM137" s="98">
        <f t="shared" ca="1" si="13"/>
        <v>19</v>
      </c>
      <c r="AN137" s="98">
        <f t="shared" ca="1" si="14"/>
        <v>4</v>
      </c>
      <c r="AO137" s="98">
        <f t="shared" ca="1" si="15"/>
        <v>0</v>
      </c>
      <c r="AP137" s="98">
        <f t="shared" ca="1" si="16"/>
        <v>0</v>
      </c>
      <c r="AQ137" s="98">
        <f t="shared" ca="1" si="17"/>
        <v>0</v>
      </c>
      <c r="AR137" s="98">
        <f t="shared" ca="1" si="18"/>
        <v>0</v>
      </c>
      <c r="AS137" s="99"/>
      <c r="AT137" s="98">
        <f t="shared" si="19"/>
        <v>1</v>
      </c>
    </row>
    <row r="138" spans="1:46" ht="15.75" customHeight="1">
      <c r="A138" s="76"/>
      <c r="B138" s="77">
        <f t="shared" ca="1" si="0"/>
        <v>1</v>
      </c>
      <c r="C138" s="78">
        <f t="shared" ca="1" si="1"/>
        <v>19</v>
      </c>
      <c r="D138" s="78">
        <f t="shared" ca="1" si="2"/>
        <v>5</v>
      </c>
      <c r="E138" s="78" t="str">
        <f t="shared" ca="1" si="3"/>
        <v/>
      </c>
      <c r="F138" s="78" t="str">
        <f t="shared" ca="1" si="4"/>
        <v/>
      </c>
      <c r="G138" s="79" t="str">
        <f t="shared" ca="1" si="5"/>
        <v/>
      </c>
      <c r="H138" s="80" t="str">
        <f t="shared" ca="1" si="6"/>
        <v/>
      </c>
      <c r="I138" s="100"/>
      <c r="J138" s="111"/>
      <c r="K138" s="111" t="s">
        <v>65</v>
      </c>
      <c r="L138" s="111"/>
      <c r="M138" s="111"/>
      <c r="N138" s="111"/>
      <c r="O138" s="111"/>
      <c r="P138" s="111"/>
      <c r="Q138" s="112"/>
      <c r="R138" s="124" t="s">
        <v>60</v>
      </c>
      <c r="S138" s="114">
        <v>45828</v>
      </c>
      <c r="T138" s="115">
        <v>45828</v>
      </c>
      <c r="U138" s="114"/>
      <c r="V138" s="115"/>
      <c r="W138" s="116"/>
      <c r="X138" s="117"/>
      <c r="Y138" s="118"/>
      <c r="Z138" s="119"/>
      <c r="AA138" s="92"/>
      <c r="AB138" s="93"/>
      <c r="AC138" s="94"/>
      <c r="AD138" s="95"/>
      <c r="AE138" s="96"/>
      <c r="AF138" s="97"/>
      <c r="AG138" s="97">
        <f t="shared" ca="1" si="7"/>
        <v>0</v>
      </c>
      <c r="AH138" s="97">
        <f t="shared" ca="1" si="8"/>
        <v>0</v>
      </c>
      <c r="AI138" s="97">
        <f t="shared" si="9"/>
        <v>0</v>
      </c>
      <c r="AJ138" s="97">
        <f t="shared" ca="1" si="10"/>
        <v>0</v>
      </c>
      <c r="AK138" s="97" t="str">
        <f t="shared" ca="1" si="11"/>
        <v/>
      </c>
      <c r="AL138" s="98">
        <f t="shared" ca="1" si="12"/>
        <v>1</v>
      </c>
      <c r="AM138" s="98">
        <f t="shared" ca="1" si="13"/>
        <v>19</v>
      </c>
      <c r="AN138" s="98">
        <f t="shared" ca="1" si="14"/>
        <v>5</v>
      </c>
      <c r="AO138" s="98">
        <f t="shared" ca="1" si="15"/>
        <v>0</v>
      </c>
      <c r="AP138" s="98">
        <f t="shared" ca="1" si="16"/>
        <v>0</v>
      </c>
      <c r="AQ138" s="98">
        <f t="shared" ca="1" si="17"/>
        <v>0</v>
      </c>
      <c r="AR138" s="98">
        <f t="shared" ca="1" si="18"/>
        <v>0</v>
      </c>
      <c r="AS138" s="99"/>
      <c r="AT138" s="98">
        <f t="shared" si="19"/>
        <v>1</v>
      </c>
    </row>
    <row r="139" spans="1:46" ht="15.75" customHeight="1">
      <c r="A139" s="76"/>
      <c r="B139" s="77">
        <f t="shared" ca="1" si="0"/>
        <v>1</v>
      </c>
      <c r="C139" s="78">
        <f t="shared" ca="1" si="1"/>
        <v>19</v>
      </c>
      <c r="D139" s="78">
        <f t="shared" ca="1" si="2"/>
        <v>6</v>
      </c>
      <c r="E139" s="78" t="str">
        <f t="shared" ca="1" si="3"/>
        <v/>
      </c>
      <c r="F139" s="78" t="str">
        <f t="shared" ca="1" si="4"/>
        <v/>
      </c>
      <c r="G139" s="79" t="str">
        <f t="shared" ca="1" si="5"/>
        <v/>
      </c>
      <c r="H139" s="80" t="str">
        <f t="shared" ca="1" si="6"/>
        <v/>
      </c>
      <c r="I139" s="100"/>
      <c r="J139" s="111"/>
      <c r="K139" s="111" t="s">
        <v>66</v>
      </c>
      <c r="L139" s="111"/>
      <c r="M139" s="111"/>
      <c r="N139" s="111"/>
      <c r="O139" s="111"/>
      <c r="P139" s="111"/>
      <c r="Q139" s="112"/>
      <c r="R139" s="124" t="s">
        <v>62</v>
      </c>
      <c r="S139" s="114">
        <v>45831</v>
      </c>
      <c r="T139" s="115">
        <v>45832</v>
      </c>
      <c r="U139" s="114"/>
      <c r="V139" s="115"/>
      <c r="W139" s="116"/>
      <c r="X139" s="117"/>
      <c r="Y139" s="118"/>
      <c r="Z139" s="119"/>
      <c r="AA139" s="92"/>
      <c r="AB139" s="93"/>
      <c r="AC139" s="94"/>
      <c r="AD139" s="95"/>
      <c r="AE139" s="96"/>
      <c r="AF139" s="97"/>
      <c r="AG139" s="97">
        <f t="shared" ca="1" si="7"/>
        <v>0</v>
      </c>
      <c r="AH139" s="97">
        <f t="shared" ca="1" si="8"/>
        <v>0</v>
      </c>
      <c r="AI139" s="97">
        <f t="shared" si="9"/>
        <v>0</v>
      </c>
      <c r="AJ139" s="97">
        <f t="shared" ca="1" si="10"/>
        <v>0</v>
      </c>
      <c r="AK139" s="97" t="str">
        <f t="shared" ca="1" si="11"/>
        <v/>
      </c>
      <c r="AL139" s="98">
        <f t="shared" ca="1" si="12"/>
        <v>1</v>
      </c>
      <c r="AM139" s="98">
        <f t="shared" ca="1" si="13"/>
        <v>19</v>
      </c>
      <c r="AN139" s="98">
        <f t="shared" ca="1" si="14"/>
        <v>6</v>
      </c>
      <c r="AO139" s="98">
        <f t="shared" ca="1" si="15"/>
        <v>0</v>
      </c>
      <c r="AP139" s="98">
        <f t="shared" ca="1" si="16"/>
        <v>0</v>
      </c>
      <c r="AQ139" s="98">
        <f t="shared" ca="1" si="17"/>
        <v>0</v>
      </c>
      <c r="AR139" s="98">
        <f t="shared" ca="1" si="18"/>
        <v>0</v>
      </c>
      <c r="AS139" s="99"/>
      <c r="AT139" s="98">
        <f t="shared" si="19"/>
        <v>2</v>
      </c>
    </row>
    <row r="140" spans="1:46" ht="15.75" customHeight="1">
      <c r="A140" s="76"/>
      <c r="B140" s="77">
        <f t="shared" ca="1" si="0"/>
        <v>1</v>
      </c>
      <c r="C140" s="78">
        <f t="shared" ca="1" si="1"/>
        <v>20</v>
      </c>
      <c r="D140" s="78" t="str">
        <f t="shared" ca="1" si="2"/>
        <v/>
      </c>
      <c r="E140" s="78" t="str">
        <f t="shared" ca="1" si="3"/>
        <v/>
      </c>
      <c r="F140" s="78" t="str">
        <f t="shared" ca="1" si="4"/>
        <v/>
      </c>
      <c r="G140" s="79" t="str">
        <f t="shared" ca="1" si="5"/>
        <v/>
      </c>
      <c r="H140" s="80" t="str">
        <f t="shared" ca="1" si="6"/>
        <v/>
      </c>
      <c r="I140" s="100"/>
      <c r="J140" s="101" t="s">
        <v>90</v>
      </c>
      <c r="K140" s="102"/>
      <c r="L140" s="102"/>
      <c r="M140" s="102"/>
      <c r="N140" s="102"/>
      <c r="O140" s="102"/>
      <c r="P140" s="102"/>
      <c r="Q140" s="103" t="s">
        <v>58</v>
      </c>
      <c r="R140" s="104"/>
      <c r="S140" s="104"/>
      <c r="T140" s="105"/>
      <c r="U140" s="106"/>
      <c r="V140" s="105"/>
      <c r="W140" s="107"/>
      <c r="X140" s="108"/>
      <c r="Y140" s="109"/>
      <c r="Z140" s="110"/>
      <c r="AA140" s="92"/>
      <c r="AB140" s="93"/>
      <c r="AC140" s="94"/>
      <c r="AD140" s="95"/>
      <c r="AE140" s="96"/>
      <c r="AF140" s="97"/>
      <c r="AG140" s="97">
        <f t="shared" si="7"/>
        <v>0</v>
      </c>
      <c r="AH140" s="97">
        <f t="shared" si="8"/>
        <v>0</v>
      </c>
      <c r="AI140" s="97">
        <f t="shared" si="9"/>
        <v>0</v>
      </c>
      <c r="AJ140" s="97">
        <f t="shared" si="10"/>
        <v>0</v>
      </c>
      <c r="AK140" s="97" t="str">
        <f t="shared" si="11"/>
        <v/>
      </c>
      <c r="AL140" s="98">
        <f t="shared" ca="1" si="12"/>
        <v>1</v>
      </c>
      <c r="AM140" s="98">
        <f t="shared" ca="1" si="13"/>
        <v>20</v>
      </c>
      <c r="AN140" s="98">
        <f t="shared" ca="1" si="14"/>
        <v>0</v>
      </c>
      <c r="AO140" s="98">
        <f t="shared" ca="1" si="15"/>
        <v>0</v>
      </c>
      <c r="AP140" s="98">
        <f t="shared" ca="1" si="16"/>
        <v>0</v>
      </c>
      <c r="AQ140" s="98">
        <f t="shared" ca="1" si="17"/>
        <v>0</v>
      </c>
      <c r="AR140" s="98">
        <f t="shared" ca="1" si="18"/>
        <v>0</v>
      </c>
      <c r="AS140" s="99"/>
      <c r="AT140" s="98">
        <f t="shared" si="19"/>
        <v>1</v>
      </c>
    </row>
    <row r="141" spans="1:46" ht="15.75" customHeight="1">
      <c r="A141" s="76"/>
      <c r="B141" s="77">
        <f t="shared" ca="1" si="0"/>
        <v>1</v>
      </c>
      <c r="C141" s="78">
        <f t="shared" ca="1" si="1"/>
        <v>20</v>
      </c>
      <c r="D141" s="78">
        <f t="shared" ca="1" si="2"/>
        <v>1</v>
      </c>
      <c r="E141" s="78" t="str">
        <f t="shared" ca="1" si="3"/>
        <v/>
      </c>
      <c r="F141" s="78" t="str">
        <f t="shared" ca="1" si="4"/>
        <v/>
      </c>
      <c r="G141" s="79" t="str">
        <f t="shared" ca="1" si="5"/>
        <v/>
      </c>
      <c r="H141" s="80" t="str">
        <f t="shared" ca="1" si="6"/>
        <v/>
      </c>
      <c r="I141" s="100"/>
      <c r="J141" s="111"/>
      <c r="K141" s="111" t="s">
        <v>59</v>
      </c>
      <c r="L141" s="111"/>
      <c r="M141" s="111"/>
      <c r="N141" s="111"/>
      <c r="O141" s="111"/>
      <c r="P141" s="111"/>
      <c r="Q141" s="112"/>
      <c r="R141" s="113"/>
      <c r="S141" s="113"/>
      <c r="T141" s="115"/>
      <c r="U141" s="114"/>
      <c r="V141" s="115"/>
      <c r="W141" s="116"/>
      <c r="X141" s="117"/>
      <c r="Y141" s="118"/>
      <c r="Z141" s="119"/>
      <c r="AA141" s="92"/>
      <c r="AB141" s="93"/>
      <c r="AC141" s="94"/>
      <c r="AD141" s="95"/>
      <c r="AE141" s="96"/>
      <c r="AF141" s="97"/>
      <c r="AG141" s="97">
        <f t="shared" si="7"/>
        <v>0</v>
      </c>
      <c r="AH141" s="97">
        <f t="shared" si="8"/>
        <v>0</v>
      </c>
      <c r="AI141" s="97">
        <f t="shared" si="9"/>
        <v>0</v>
      </c>
      <c r="AJ141" s="97">
        <f t="shared" si="10"/>
        <v>0</v>
      </c>
      <c r="AK141" s="97" t="str">
        <f t="shared" si="11"/>
        <v/>
      </c>
      <c r="AL141" s="98">
        <f t="shared" ca="1" si="12"/>
        <v>1</v>
      </c>
      <c r="AM141" s="98">
        <f t="shared" ca="1" si="13"/>
        <v>20</v>
      </c>
      <c r="AN141" s="98">
        <f t="shared" ca="1" si="14"/>
        <v>1</v>
      </c>
      <c r="AO141" s="98">
        <f t="shared" ca="1" si="15"/>
        <v>0</v>
      </c>
      <c r="AP141" s="98">
        <f t="shared" ca="1" si="16"/>
        <v>0</v>
      </c>
      <c r="AQ141" s="98">
        <f t="shared" ca="1" si="17"/>
        <v>0</v>
      </c>
      <c r="AR141" s="98">
        <f t="shared" ca="1" si="18"/>
        <v>0</v>
      </c>
      <c r="AS141" s="99"/>
      <c r="AT141" s="98">
        <f t="shared" si="19"/>
        <v>1</v>
      </c>
    </row>
    <row r="142" spans="1:46" ht="15.75" customHeight="1">
      <c r="A142" s="76"/>
      <c r="B142" s="77">
        <f t="shared" ca="1" si="0"/>
        <v>1</v>
      </c>
      <c r="C142" s="78">
        <f t="shared" ca="1" si="1"/>
        <v>20</v>
      </c>
      <c r="D142" s="78">
        <f t="shared" ca="1" si="2"/>
        <v>2</v>
      </c>
      <c r="E142" s="78" t="str">
        <f t="shared" ca="1" si="3"/>
        <v/>
      </c>
      <c r="F142" s="78" t="str">
        <f t="shared" ca="1" si="4"/>
        <v/>
      </c>
      <c r="G142" s="79" t="str">
        <f t="shared" ca="1" si="5"/>
        <v/>
      </c>
      <c r="H142" s="80" t="str">
        <f t="shared" ca="1" si="6"/>
        <v/>
      </c>
      <c r="I142" s="100"/>
      <c r="J142" s="111"/>
      <c r="K142" s="111" t="s">
        <v>61</v>
      </c>
      <c r="L142" s="111"/>
      <c r="M142" s="111"/>
      <c r="N142" s="111"/>
      <c r="O142" s="111"/>
      <c r="P142" s="111"/>
      <c r="Q142" s="112"/>
      <c r="R142" s="113"/>
      <c r="S142" s="113"/>
      <c r="T142" s="115"/>
      <c r="U142" s="114"/>
      <c r="V142" s="115"/>
      <c r="W142" s="116"/>
      <c r="X142" s="117"/>
      <c r="Y142" s="118"/>
      <c r="Z142" s="119"/>
      <c r="AA142" s="92"/>
      <c r="AB142" s="93"/>
      <c r="AC142" s="94"/>
      <c r="AD142" s="95"/>
      <c r="AE142" s="96"/>
      <c r="AF142" s="97"/>
      <c r="AG142" s="97">
        <f t="shared" si="7"/>
        <v>0</v>
      </c>
      <c r="AH142" s="97">
        <f t="shared" si="8"/>
        <v>0</v>
      </c>
      <c r="AI142" s="97">
        <f t="shared" si="9"/>
        <v>0</v>
      </c>
      <c r="AJ142" s="97">
        <f t="shared" si="10"/>
        <v>0</v>
      </c>
      <c r="AK142" s="97" t="str">
        <f t="shared" si="11"/>
        <v/>
      </c>
      <c r="AL142" s="98">
        <f t="shared" ca="1" si="12"/>
        <v>1</v>
      </c>
      <c r="AM142" s="98">
        <f t="shared" ca="1" si="13"/>
        <v>20</v>
      </c>
      <c r="AN142" s="98">
        <f t="shared" ca="1" si="14"/>
        <v>2</v>
      </c>
      <c r="AO142" s="98">
        <f t="shared" ca="1" si="15"/>
        <v>0</v>
      </c>
      <c r="AP142" s="98">
        <f t="shared" ca="1" si="16"/>
        <v>0</v>
      </c>
      <c r="AQ142" s="98">
        <f t="shared" ca="1" si="17"/>
        <v>0</v>
      </c>
      <c r="AR142" s="98">
        <f t="shared" ca="1" si="18"/>
        <v>0</v>
      </c>
      <c r="AS142" s="99"/>
      <c r="AT142" s="98">
        <f t="shared" si="19"/>
        <v>1</v>
      </c>
    </row>
    <row r="143" spans="1:46" ht="15.75" customHeight="1">
      <c r="A143" s="76"/>
      <c r="B143" s="77">
        <f t="shared" ca="1" si="0"/>
        <v>1</v>
      </c>
      <c r="C143" s="78">
        <f t="shared" ca="1" si="1"/>
        <v>20</v>
      </c>
      <c r="D143" s="78">
        <f t="shared" ca="1" si="2"/>
        <v>3</v>
      </c>
      <c r="E143" s="78" t="str">
        <f t="shared" ca="1" si="3"/>
        <v/>
      </c>
      <c r="F143" s="78" t="str">
        <f t="shared" ca="1" si="4"/>
        <v/>
      </c>
      <c r="G143" s="79" t="str">
        <f t="shared" ca="1" si="5"/>
        <v/>
      </c>
      <c r="H143" s="80" t="str">
        <f t="shared" ca="1" si="6"/>
        <v/>
      </c>
      <c r="I143" s="100"/>
      <c r="J143" s="111"/>
      <c r="K143" s="111" t="s">
        <v>63</v>
      </c>
      <c r="L143" s="111"/>
      <c r="M143" s="111"/>
      <c r="N143" s="111"/>
      <c r="O143" s="111"/>
      <c r="P143" s="111"/>
      <c r="Q143" s="112"/>
      <c r="R143" s="113"/>
      <c r="S143" s="113"/>
      <c r="T143" s="115"/>
      <c r="U143" s="114"/>
      <c r="V143" s="115"/>
      <c r="W143" s="116"/>
      <c r="X143" s="117"/>
      <c r="Y143" s="118"/>
      <c r="Z143" s="119"/>
      <c r="AA143" s="92"/>
      <c r="AB143" s="93"/>
      <c r="AC143" s="94"/>
      <c r="AD143" s="95"/>
      <c r="AE143" s="96"/>
      <c r="AF143" s="97"/>
      <c r="AG143" s="97">
        <f t="shared" si="7"/>
        <v>0</v>
      </c>
      <c r="AH143" s="97">
        <f t="shared" si="8"/>
        <v>0</v>
      </c>
      <c r="AI143" s="97">
        <f t="shared" si="9"/>
        <v>0</v>
      </c>
      <c r="AJ143" s="97">
        <f t="shared" si="10"/>
        <v>0</v>
      </c>
      <c r="AK143" s="97" t="str">
        <f t="shared" si="11"/>
        <v/>
      </c>
      <c r="AL143" s="98">
        <f t="shared" ca="1" si="12"/>
        <v>1</v>
      </c>
      <c r="AM143" s="98">
        <f t="shared" ca="1" si="13"/>
        <v>20</v>
      </c>
      <c r="AN143" s="98">
        <f t="shared" ca="1" si="14"/>
        <v>3</v>
      </c>
      <c r="AO143" s="98">
        <f t="shared" ca="1" si="15"/>
        <v>0</v>
      </c>
      <c r="AP143" s="98">
        <f t="shared" ca="1" si="16"/>
        <v>0</v>
      </c>
      <c r="AQ143" s="98">
        <f t="shared" ca="1" si="17"/>
        <v>0</v>
      </c>
      <c r="AR143" s="98">
        <f t="shared" ca="1" si="18"/>
        <v>0</v>
      </c>
      <c r="AS143" s="99"/>
      <c r="AT143" s="98">
        <f t="shared" si="19"/>
        <v>1</v>
      </c>
    </row>
    <row r="144" spans="1:46" ht="15.75" customHeight="1">
      <c r="A144" s="76"/>
      <c r="B144" s="77">
        <f t="shared" ca="1" si="0"/>
        <v>1</v>
      </c>
      <c r="C144" s="78">
        <f t="shared" ca="1" si="1"/>
        <v>20</v>
      </c>
      <c r="D144" s="78">
        <f t="shared" ca="1" si="2"/>
        <v>4</v>
      </c>
      <c r="E144" s="78" t="str">
        <f t="shared" ca="1" si="3"/>
        <v/>
      </c>
      <c r="F144" s="78" t="str">
        <f t="shared" ca="1" si="4"/>
        <v/>
      </c>
      <c r="G144" s="79" t="str">
        <f t="shared" ca="1" si="5"/>
        <v/>
      </c>
      <c r="H144" s="80" t="str">
        <f t="shared" ca="1" si="6"/>
        <v/>
      </c>
      <c r="I144" s="100"/>
      <c r="J144" s="111"/>
      <c r="K144" s="111" t="s">
        <v>64</v>
      </c>
      <c r="L144" s="111"/>
      <c r="M144" s="111"/>
      <c r="N144" s="111"/>
      <c r="O144" s="111"/>
      <c r="P144" s="111"/>
      <c r="Q144" s="112"/>
      <c r="R144" s="113"/>
      <c r="S144" s="113"/>
      <c r="T144" s="115"/>
      <c r="U144" s="114"/>
      <c r="V144" s="115"/>
      <c r="W144" s="116"/>
      <c r="X144" s="117"/>
      <c r="Y144" s="118"/>
      <c r="Z144" s="119"/>
      <c r="AA144" s="92"/>
      <c r="AB144" s="93"/>
      <c r="AC144" s="94"/>
      <c r="AD144" s="95"/>
      <c r="AE144" s="96"/>
      <c r="AF144" s="97"/>
      <c r="AG144" s="97">
        <f t="shared" si="7"/>
        <v>0</v>
      </c>
      <c r="AH144" s="97">
        <f t="shared" si="8"/>
        <v>0</v>
      </c>
      <c r="AI144" s="97">
        <f t="shared" si="9"/>
        <v>0</v>
      </c>
      <c r="AJ144" s="97">
        <f t="shared" si="10"/>
        <v>0</v>
      </c>
      <c r="AK144" s="97" t="str">
        <f t="shared" si="11"/>
        <v/>
      </c>
      <c r="AL144" s="98">
        <f t="shared" ca="1" si="12"/>
        <v>1</v>
      </c>
      <c r="AM144" s="98">
        <f t="shared" ca="1" si="13"/>
        <v>20</v>
      </c>
      <c r="AN144" s="98">
        <f t="shared" ca="1" si="14"/>
        <v>4</v>
      </c>
      <c r="AO144" s="98">
        <f t="shared" ca="1" si="15"/>
        <v>0</v>
      </c>
      <c r="AP144" s="98">
        <f t="shared" ca="1" si="16"/>
        <v>0</v>
      </c>
      <c r="AQ144" s="98">
        <f t="shared" ca="1" si="17"/>
        <v>0</v>
      </c>
      <c r="AR144" s="98">
        <f t="shared" ca="1" si="18"/>
        <v>0</v>
      </c>
      <c r="AS144" s="99"/>
      <c r="AT144" s="98">
        <f t="shared" si="19"/>
        <v>1</v>
      </c>
    </row>
    <row r="145" spans="1:46" ht="15.75" customHeight="1">
      <c r="A145" s="76"/>
      <c r="B145" s="77">
        <f t="shared" ca="1" si="0"/>
        <v>1</v>
      </c>
      <c r="C145" s="78">
        <f t="shared" ca="1" si="1"/>
        <v>20</v>
      </c>
      <c r="D145" s="78">
        <f t="shared" ca="1" si="2"/>
        <v>5</v>
      </c>
      <c r="E145" s="78" t="str">
        <f t="shared" ca="1" si="3"/>
        <v/>
      </c>
      <c r="F145" s="78" t="str">
        <f t="shared" ca="1" si="4"/>
        <v/>
      </c>
      <c r="G145" s="79" t="str">
        <f t="shared" ca="1" si="5"/>
        <v/>
      </c>
      <c r="H145" s="80" t="str">
        <f t="shared" ca="1" si="6"/>
        <v/>
      </c>
      <c r="I145" s="100"/>
      <c r="J145" s="111"/>
      <c r="K145" s="111" t="s">
        <v>65</v>
      </c>
      <c r="L145" s="111"/>
      <c r="M145" s="111"/>
      <c r="N145" s="111"/>
      <c r="O145" s="111"/>
      <c r="P145" s="111"/>
      <c r="Q145" s="112"/>
      <c r="R145" s="113"/>
      <c r="S145" s="113"/>
      <c r="T145" s="115"/>
      <c r="U145" s="114"/>
      <c r="V145" s="115"/>
      <c r="W145" s="116"/>
      <c r="X145" s="117"/>
      <c r="Y145" s="118"/>
      <c r="Z145" s="119"/>
      <c r="AA145" s="92"/>
      <c r="AB145" s="93"/>
      <c r="AC145" s="94"/>
      <c r="AD145" s="95"/>
      <c r="AE145" s="96"/>
      <c r="AF145" s="97"/>
      <c r="AG145" s="97">
        <f t="shared" si="7"/>
        <v>0</v>
      </c>
      <c r="AH145" s="97">
        <f t="shared" si="8"/>
        <v>0</v>
      </c>
      <c r="AI145" s="97">
        <f t="shared" si="9"/>
        <v>0</v>
      </c>
      <c r="AJ145" s="97">
        <f t="shared" si="10"/>
        <v>0</v>
      </c>
      <c r="AK145" s="97" t="str">
        <f t="shared" si="11"/>
        <v/>
      </c>
      <c r="AL145" s="98">
        <f t="shared" ca="1" si="12"/>
        <v>1</v>
      </c>
      <c r="AM145" s="98">
        <f t="shared" ca="1" si="13"/>
        <v>20</v>
      </c>
      <c r="AN145" s="98">
        <f t="shared" ca="1" si="14"/>
        <v>5</v>
      </c>
      <c r="AO145" s="98">
        <f t="shared" ca="1" si="15"/>
        <v>0</v>
      </c>
      <c r="AP145" s="98">
        <f t="shared" ca="1" si="16"/>
        <v>0</v>
      </c>
      <c r="AQ145" s="98">
        <f t="shared" ca="1" si="17"/>
        <v>0</v>
      </c>
      <c r="AR145" s="98">
        <f t="shared" ca="1" si="18"/>
        <v>0</v>
      </c>
      <c r="AS145" s="99"/>
      <c r="AT145" s="98">
        <f t="shared" si="19"/>
        <v>1</v>
      </c>
    </row>
    <row r="146" spans="1:46" ht="15.75" customHeight="1">
      <c r="A146" s="76"/>
      <c r="B146" s="77">
        <f t="shared" ca="1" si="0"/>
        <v>1</v>
      </c>
      <c r="C146" s="78">
        <f t="shared" ca="1" si="1"/>
        <v>20</v>
      </c>
      <c r="D146" s="78">
        <f t="shared" ca="1" si="2"/>
        <v>6</v>
      </c>
      <c r="E146" s="78" t="str">
        <f t="shared" ca="1" si="3"/>
        <v/>
      </c>
      <c r="F146" s="78" t="str">
        <f t="shared" ca="1" si="4"/>
        <v/>
      </c>
      <c r="G146" s="79" t="str">
        <f t="shared" ca="1" si="5"/>
        <v/>
      </c>
      <c r="H146" s="80" t="str">
        <f t="shared" ca="1" si="6"/>
        <v/>
      </c>
      <c r="I146" s="100"/>
      <c r="J146" s="111"/>
      <c r="K146" s="111" t="s">
        <v>66</v>
      </c>
      <c r="L146" s="111"/>
      <c r="M146" s="111"/>
      <c r="N146" s="111"/>
      <c r="O146" s="111"/>
      <c r="P146" s="111"/>
      <c r="Q146" s="112"/>
      <c r="R146" s="113"/>
      <c r="S146" s="113"/>
      <c r="T146" s="115"/>
      <c r="U146" s="114"/>
      <c r="V146" s="115"/>
      <c r="W146" s="116"/>
      <c r="X146" s="117"/>
      <c r="Y146" s="118"/>
      <c r="Z146" s="119"/>
      <c r="AA146" s="92"/>
      <c r="AB146" s="93"/>
      <c r="AC146" s="94"/>
      <c r="AD146" s="95"/>
      <c r="AE146" s="96"/>
      <c r="AF146" s="97"/>
      <c r="AG146" s="97">
        <f t="shared" si="7"/>
        <v>0</v>
      </c>
      <c r="AH146" s="97">
        <f t="shared" si="8"/>
        <v>0</v>
      </c>
      <c r="AI146" s="97">
        <f t="shared" si="9"/>
        <v>0</v>
      </c>
      <c r="AJ146" s="97">
        <f t="shared" si="10"/>
        <v>0</v>
      </c>
      <c r="AK146" s="97" t="str">
        <f t="shared" si="11"/>
        <v/>
      </c>
      <c r="AL146" s="98">
        <f t="shared" ca="1" si="12"/>
        <v>1</v>
      </c>
      <c r="AM146" s="98">
        <f t="shared" ca="1" si="13"/>
        <v>20</v>
      </c>
      <c r="AN146" s="98">
        <f t="shared" ca="1" si="14"/>
        <v>6</v>
      </c>
      <c r="AO146" s="98">
        <f t="shared" ca="1" si="15"/>
        <v>0</v>
      </c>
      <c r="AP146" s="98">
        <f t="shared" ca="1" si="16"/>
        <v>0</v>
      </c>
      <c r="AQ146" s="98">
        <f t="shared" ca="1" si="17"/>
        <v>0</v>
      </c>
      <c r="AR146" s="98">
        <f t="shared" ca="1" si="18"/>
        <v>0</v>
      </c>
      <c r="AS146" s="99"/>
      <c r="AT146" s="98">
        <f t="shared" si="19"/>
        <v>1</v>
      </c>
    </row>
    <row r="147" spans="1:46" ht="15.75" customHeight="1">
      <c r="A147" s="76"/>
      <c r="B147" s="77">
        <f t="shared" ca="1" si="0"/>
        <v>1</v>
      </c>
      <c r="C147" s="78">
        <f t="shared" ca="1" si="1"/>
        <v>21</v>
      </c>
      <c r="D147" s="78" t="str">
        <f t="shared" ca="1" si="2"/>
        <v/>
      </c>
      <c r="E147" s="78" t="str">
        <f t="shared" ca="1" si="3"/>
        <v/>
      </c>
      <c r="F147" s="78" t="str">
        <f t="shared" ca="1" si="4"/>
        <v/>
      </c>
      <c r="G147" s="79" t="str">
        <f t="shared" ca="1" si="5"/>
        <v/>
      </c>
      <c r="H147" s="80" t="str">
        <f t="shared" ca="1" si="6"/>
        <v/>
      </c>
      <c r="I147" s="100"/>
      <c r="J147" s="101" t="s">
        <v>91</v>
      </c>
      <c r="K147" s="102"/>
      <c r="L147" s="102"/>
      <c r="M147" s="102"/>
      <c r="N147" s="102"/>
      <c r="O147" s="102"/>
      <c r="P147" s="102"/>
      <c r="Q147" s="103" t="s">
        <v>58</v>
      </c>
      <c r="R147" s="104"/>
      <c r="S147" s="104"/>
      <c r="T147" s="105"/>
      <c r="U147" s="106"/>
      <c r="V147" s="105"/>
      <c r="W147" s="107"/>
      <c r="X147" s="108"/>
      <c r="Y147" s="109"/>
      <c r="Z147" s="110"/>
      <c r="AA147" s="92"/>
      <c r="AB147" s="93"/>
      <c r="AC147" s="94"/>
      <c r="AD147" s="95"/>
      <c r="AE147" s="96"/>
      <c r="AF147" s="97"/>
      <c r="AG147" s="97">
        <f t="shared" si="7"/>
        <v>0</v>
      </c>
      <c r="AH147" s="97">
        <f t="shared" si="8"/>
        <v>0</v>
      </c>
      <c r="AI147" s="97">
        <f t="shared" si="9"/>
        <v>0</v>
      </c>
      <c r="AJ147" s="97">
        <f t="shared" si="10"/>
        <v>0</v>
      </c>
      <c r="AK147" s="97" t="str">
        <f t="shared" si="11"/>
        <v/>
      </c>
      <c r="AL147" s="98">
        <f t="shared" ca="1" si="12"/>
        <v>1</v>
      </c>
      <c r="AM147" s="98">
        <f t="shared" ca="1" si="13"/>
        <v>21</v>
      </c>
      <c r="AN147" s="98">
        <f t="shared" ca="1" si="14"/>
        <v>0</v>
      </c>
      <c r="AO147" s="98">
        <f t="shared" ca="1" si="15"/>
        <v>0</v>
      </c>
      <c r="AP147" s="98">
        <f t="shared" ca="1" si="16"/>
        <v>0</v>
      </c>
      <c r="AQ147" s="98">
        <f t="shared" ca="1" si="17"/>
        <v>0</v>
      </c>
      <c r="AR147" s="98">
        <f t="shared" ca="1" si="18"/>
        <v>0</v>
      </c>
      <c r="AS147" s="99"/>
      <c r="AT147" s="98">
        <f t="shared" si="19"/>
        <v>1</v>
      </c>
    </row>
    <row r="148" spans="1:46" ht="15.75" customHeight="1">
      <c r="A148" s="76"/>
      <c r="B148" s="77">
        <f t="shared" ca="1" si="0"/>
        <v>1</v>
      </c>
      <c r="C148" s="78">
        <f t="shared" ca="1" si="1"/>
        <v>21</v>
      </c>
      <c r="D148" s="78">
        <f t="shared" ca="1" si="2"/>
        <v>1</v>
      </c>
      <c r="E148" s="78" t="str">
        <f t="shared" ca="1" si="3"/>
        <v/>
      </c>
      <c r="F148" s="78" t="str">
        <f t="shared" ca="1" si="4"/>
        <v/>
      </c>
      <c r="G148" s="79" t="str">
        <f t="shared" ca="1" si="5"/>
        <v/>
      </c>
      <c r="H148" s="80" t="str">
        <f t="shared" ca="1" si="6"/>
        <v/>
      </c>
      <c r="I148" s="100"/>
      <c r="J148" s="111"/>
      <c r="K148" s="111" t="s">
        <v>59</v>
      </c>
      <c r="L148" s="111"/>
      <c r="M148" s="111"/>
      <c r="N148" s="111"/>
      <c r="O148" s="111"/>
      <c r="P148" s="111"/>
      <c r="Q148" s="112"/>
      <c r="R148" s="113"/>
      <c r="S148" s="113"/>
      <c r="T148" s="115"/>
      <c r="U148" s="114"/>
      <c r="V148" s="115"/>
      <c r="W148" s="116"/>
      <c r="X148" s="117"/>
      <c r="Y148" s="118"/>
      <c r="Z148" s="119"/>
      <c r="AA148" s="92"/>
      <c r="AB148" s="93"/>
      <c r="AC148" s="94"/>
      <c r="AD148" s="95"/>
      <c r="AE148" s="96"/>
      <c r="AF148" s="97"/>
      <c r="AG148" s="97">
        <f t="shared" si="7"/>
        <v>0</v>
      </c>
      <c r="AH148" s="97">
        <f t="shared" si="8"/>
        <v>0</v>
      </c>
      <c r="AI148" s="97">
        <f t="shared" si="9"/>
        <v>0</v>
      </c>
      <c r="AJ148" s="97">
        <f t="shared" si="10"/>
        <v>0</v>
      </c>
      <c r="AK148" s="97" t="str">
        <f t="shared" si="11"/>
        <v/>
      </c>
      <c r="AL148" s="98">
        <f t="shared" ca="1" si="12"/>
        <v>1</v>
      </c>
      <c r="AM148" s="98">
        <f t="shared" ca="1" si="13"/>
        <v>21</v>
      </c>
      <c r="AN148" s="98">
        <f t="shared" ca="1" si="14"/>
        <v>1</v>
      </c>
      <c r="AO148" s="98">
        <f t="shared" ca="1" si="15"/>
        <v>0</v>
      </c>
      <c r="AP148" s="98">
        <f t="shared" ca="1" si="16"/>
        <v>0</v>
      </c>
      <c r="AQ148" s="98">
        <f t="shared" ca="1" si="17"/>
        <v>0</v>
      </c>
      <c r="AR148" s="98">
        <f t="shared" ca="1" si="18"/>
        <v>0</v>
      </c>
      <c r="AS148" s="99"/>
      <c r="AT148" s="98">
        <f t="shared" si="19"/>
        <v>1</v>
      </c>
    </row>
    <row r="149" spans="1:46" ht="15.75" customHeight="1">
      <c r="A149" s="76"/>
      <c r="B149" s="77">
        <f t="shared" ca="1" si="0"/>
        <v>1</v>
      </c>
      <c r="C149" s="78">
        <f t="shared" ca="1" si="1"/>
        <v>21</v>
      </c>
      <c r="D149" s="78">
        <f t="shared" ca="1" si="2"/>
        <v>2</v>
      </c>
      <c r="E149" s="78" t="str">
        <f t="shared" ca="1" si="3"/>
        <v/>
      </c>
      <c r="F149" s="78" t="str">
        <f t="shared" ca="1" si="4"/>
        <v/>
      </c>
      <c r="G149" s="79" t="str">
        <f t="shared" ca="1" si="5"/>
        <v/>
      </c>
      <c r="H149" s="80" t="str">
        <f t="shared" ca="1" si="6"/>
        <v/>
      </c>
      <c r="I149" s="100"/>
      <c r="J149" s="111"/>
      <c r="K149" s="111" t="s">
        <v>61</v>
      </c>
      <c r="L149" s="111"/>
      <c r="M149" s="111"/>
      <c r="N149" s="111"/>
      <c r="O149" s="111"/>
      <c r="P149" s="111"/>
      <c r="Q149" s="112"/>
      <c r="R149" s="113"/>
      <c r="S149" s="113"/>
      <c r="T149" s="115"/>
      <c r="U149" s="114"/>
      <c r="V149" s="115"/>
      <c r="W149" s="116"/>
      <c r="X149" s="117"/>
      <c r="Y149" s="118"/>
      <c r="Z149" s="119"/>
      <c r="AA149" s="92"/>
      <c r="AB149" s="93"/>
      <c r="AC149" s="94"/>
      <c r="AD149" s="95"/>
      <c r="AE149" s="96"/>
      <c r="AF149" s="97"/>
      <c r="AG149" s="97">
        <f t="shared" si="7"/>
        <v>0</v>
      </c>
      <c r="AH149" s="97">
        <f t="shared" si="8"/>
        <v>0</v>
      </c>
      <c r="AI149" s="97">
        <f t="shared" si="9"/>
        <v>0</v>
      </c>
      <c r="AJ149" s="97">
        <f t="shared" si="10"/>
        <v>0</v>
      </c>
      <c r="AK149" s="97" t="str">
        <f t="shared" si="11"/>
        <v/>
      </c>
      <c r="AL149" s="98">
        <f t="shared" ca="1" si="12"/>
        <v>1</v>
      </c>
      <c r="AM149" s="98">
        <f t="shared" ca="1" si="13"/>
        <v>21</v>
      </c>
      <c r="AN149" s="98">
        <f t="shared" ca="1" si="14"/>
        <v>2</v>
      </c>
      <c r="AO149" s="98">
        <f t="shared" ca="1" si="15"/>
        <v>0</v>
      </c>
      <c r="AP149" s="98">
        <f t="shared" ca="1" si="16"/>
        <v>0</v>
      </c>
      <c r="AQ149" s="98">
        <f t="shared" ca="1" si="17"/>
        <v>0</v>
      </c>
      <c r="AR149" s="98">
        <f t="shared" ca="1" si="18"/>
        <v>0</v>
      </c>
      <c r="AS149" s="99"/>
      <c r="AT149" s="98">
        <f t="shared" si="19"/>
        <v>1</v>
      </c>
    </row>
    <row r="150" spans="1:46" ht="15.75" customHeight="1">
      <c r="A150" s="76"/>
      <c r="B150" s="77">
        <f t="shared" ca="1" si="0"/>
        <v>1</v>
      </c>
      <c r="C150" s="78">
        <f t="shared" ca="1" si="1"/>
        <v>21</v>
      </c>
      <c r="D150" s="78">
        <f t="shared" ca="1" si="2"/>
        <v>3</v>
      </c>
      <c r="E150" s="78" t="str">
        <f t="shared" ca="1" si="3"/>
        <v/>
      </c>
      <c r="F150" s="78" t="str">
        <f t="shared" ca="1" si="4"/>
        <v/>
      </c>
      <c r="G150" s="79" t="str">
        <f t="shared" ca="1" si="5"/>
        <v/>
      </c>
      <c r="H150" s="80" t="str">
        <f t="shared" ca="1" si="6"/>
        <v/>
      </c>
      <c r="I150" s="100"/>
      <c r="J150" s="111"/>
      <c r="K150" s="111" t="s">
        <v>63</v>
      </c>
      <c r="L150" s="111"/>
      <c r="M150" s="111"/>
      <c r="N150" s="111"/>
      <c r="O150" s="111"/>
      <c r="P150" s="111"/>
      <c r="Q150" s="112"/>
      <c r="R150" s="113"/>
      <c r="S150" s="113"/>
      <c r="T150" s="115"/>
      <c r="U150" s="114"/>
      <c r="V150" s="115"/>
      <c r="W150" s="116"/>
      <c r="X150" s="117"/>
      <c r="Y150" s="118"/>
      <c r="Z150" s="119"/>
      <c r="AA150" s="92"/>
      <c r="AB150" s="93"/>
      <c r="AC150" s="94"/>
      <c r="AD150" s="95"/>
      <c r="AE150" s="96"/>
      <c r="AF150" s="97"/>
      <c r="AG150" s="97">
        <f t="shared" si="7"/>
        <v>0</v>
      </c>
      <c r="AH150" s="97">
        <f t="shared" si="8"/>
        <v>0</v>
      </c>
      <c r="AI150" s="97">
        <f t="shared" si="9"/>
        <v>0</v>
      </c>
      <c r="AJ150" s="97">
        <f t="shared" si="10"/>
        <v>0</v>
      </c>
      <c r="AK150" s="97" t="str">
        <f t="shared" si="11"/>
        <v/>
      </c>
      <c r="AL150" s="98">
        <f t="shared" ca="1" si="12"/>
        <v>1</v>
      </c>
      <c r="AM150" s="98">
        <f t="shared" ca="1" si="13"/>
        <v>21</v>
      </c>
      <c r="AN150" s="98">
        <f t="shared" ca="1" si="14"/>
        <v>3</v>
      </c>
      <c r="AO150" s="98">
        <f t="shared" ca="1" si="15"/>
        <v>0</v>
      </c>
      <c r="AP150" s="98">
        <f t="shared" ca="1" si="16"/>
        <v>0</v>
      </c>
      <c r="AQ150" s="98">
        <f t="shared" ca="1" si="17"/>
        <v>0</v>
      </c>
      <c r="AR150" s="98">
        <f t="shared" ca="1" si="18"/>
        <v>0</v>
      </c>
      <c r="AS150" s="99"/>
      <c r="AT150" s="98">
        <f t="shared" si="19"/>
        <v>1</v>
      </c>
    </row>
    <row r="151" spans="1:46" ht="15.75" customHeight="1">
      <c r="A151" s="76"/>
      <c r="B151" s="77">
        <f t="shared" ca="1" si="0"/>
        <v>1</v>
      </c>
      <c r="C151" s="78">
        <f t="shared" ca="1" si="1"/>
        <v>21</v>
      </c>
      <c r="D151" s="78">
        <f t="shared" ca="1" si="2"/>
        <v>4</v>
      </c>
      <c r="E151" s="78" t="str">
        <f t="shared" ca="1" si="3"/>
        <v/>
      </c>
      <c r="F151" s="78" t="str">
        <f t="shared" ca="1" si="4"/>
        <v/>
      </c>
      <c r="G151" s="79" t="str">
        <f t="shared" ca="1" si="5"/>
        <v/>
      </c>
      <c r="H151" s="80" t="str">
        <f t="shared" ca="1" si="6"/>
        <v/>
      </c>
      <c r="I151" s="100"/>
      <c r="J151" s="111"/>
      <c r="K151" s="111" t="s">
        <v>64</v>
      </c>
      <c r="L151" s="111"/>
      <c r="M151" s="111"/>
      <c r="N151" s="111"/>
      <c r="O151" s="111"/>
      <c r="P151" s="111"/>
      <c r="Q151" s="112"/>
      <c r="R151" s="113"/>
      <c r="S151" s="113"/>
      <c r="T151" s="115"/>
      <c r="U151" s="114"/>
      <c r="V151" s="115"/>
      <c r="W151" s="116"/>
      <c r="X151" s="117"/>
      <c r="Y151" s="118"/>
      <c r="Z151" s="119"/>
      <c r="AA151" s="92"/>
      <c r="AB151" s="93"/>
      <c r="AC151" s="94"/>
      <c r="AD151" s="95"/>
      <c r="AE151" s="96"/>
      <c r="AF151" s="97"/>
      <c r="AG151" s="97">
        <f t="shared" si="7"/>
        <v>0</v>
      </c>
      <c r="AH151" s="97">
        <f t="shared" si="8"/>
        <v>0</v>
      </c>
      <c r="AI151" s="97">
        <f t="shared" si="9"/>
        <v>0</v>
      </c>
      <c r="AJ151" s="97">
        <f t="shared" si="10"/>
        <v>0</v>
      </c>
      <c r="AK151" s="97" t="str">
        <f t="shared" si="11"/>
        <v/>
      </c>
      <c r="AL151" s="98">
        <f t="shared" ca="1" si="12"/>
        <v>1</v>
      </c>
      <c r="AM151" s="98">
        <f t="shared" ca="1" si="13"/>
        <v>21</v>
      </c>
      <c r="AN151" s="98">
        <f t="shared" ca="1" si="14"/>
        <v>4</v>
      </c>
      <c r="AO151" s="98">
        <f t="shared" ca="1" si="15"/>
        <v>0</v>
      </c>
      <c r="AP151" s="98">
        <f t="shared" ca="1" si="16"/>
        <v>0</v>
      </c>
      <c r="AQ151" s="98">
        <f t="shared" ca="1" si="17"/>
        <v>0</v>
      </c>
      <c r="AR151" s="98">
        <f t="shared" ca="1" si="18"/>
        <v>0</v>
      </c>
      <c r="AS151" s="99"/>
      <c r="AT151" s="98">
        <f t="shared" si="19"/>
        <v>1</v>
      </c>
    </row>
    <row r="152" spans="1:46" ht="15.75" customHeight="1">
      <c r="A152" s="76"/>
      <c r="B152" s="77">
        <f t="shared" ca="1" si="0"/>
        <v>1</v>
      </c>
      <c r="C152" s="78">
        <f t="shared" ca="1" si="1"/>
        <v>21</v>
      </c>
      <c r="D152" s="78">
        <f t="shared" ca="1" si="2"/>
        <v>5</v>
      </c>
      <c r="E152" s="78" t="str">
        <f t="shared" ca="1" si="3"/>
        <v/>
      </c>
      <c r="F152" s="78" t="str">
        <f t="shared" ca="1" si="4"/>
        <v/>
      </c>
      <c r="G152" s="79" t="str">
        <f t="shared" ca="1" si="5"/>
        <v/>
      </c>
      <c r="H152" s="80" t="str">
        <f t="shared" ca="1" si="6"/>
        <v/>
      </c>
      <c r="I152" s="100"/>
      <c r="J152" s="111"/>
      <c r="K152" s="111" t="s">
        <v>65</v>
      </c>
      <c r="L152" s="111"/>
      <c r="M152" s="111"/>
      <c r="N152" s="111"/>
      <c r="O152" s="111"/>
      <c r="P152" s="111"/>
      <c r="Q152" s="112"/>
      <c r="R152" s="113"/>
      <c r="S152" s="113"/>
      <c r="T152" s="115"/>
      <c r="U152" s="114"/>
      <c r="V152" s="115"/>
      <c r="W152" s="116"/>
      <c r="X152" s="117"/>
      <c r="Y152" s="118"/>
      <c r="Z152" s="119"/>
      <c r="AA152" s="92"/>
      <c r="AB152" s="93"/>
      <c r="AC152" s="94"/>
      <c r="AD152" s="95"/>
      <c r="AE152" s="96"/>
      <c r="AF152" s="97"/>
      <c r="AG152" s="97">
        <f t="shared" si="7"/>
        <v>0</v>
      </c>
      <c r="AH152" s="97">
        <f t="shared" si="8"/>
        <v>0</v>
      </c>
      <c r="AI152" s="97">
        <f t="shared" si="9"/>
        <v>0</v>
      </c>
      <c r="AJ152" s="97">
        <f t="shared" si="10"/>
        <v>0</v>
      </c>
      <c r="AK152" s="97" t="str">
        <f t="shared" si="11"/>
        <v/>
      </c>
      <c r="AL152" s="98">
        <f t="shared" ca="1" si="12"/>
        <v>1</v>
      </c>
      <c r="AM152" s="98">
        <f t="shared" ca="1" si="13"/>
        <v>21</v>
      </c>
      <c r="AN152" s="98">
        <f t="shared" ca="1" si="14"/>
        <v>5</v>
      </c>
      <c r="AO152" s="98">
        <f t="shared" ca="1" si="15"/>
        <v>0</v>
      </c>
      <c r="AP152" s="98">
        <f t="shared" ca="1" si="16"/>
        <v>0</v>
      </c>
      <c r="AQ152" s="98">
        <f t="shared" ca="1" si="17"/>
        <v>0</v>
      </c>
      <c r="AR152" s="98">
        <f t="shared" ca="1" si="18"/>
        <v>0</v>
      </c>
      <c r="AS152" s="99"/>
      <c r="AT152" s="98">
        <f t="shared" si="19"/>
        <v>1</v>
      </c>
    </row>
    <row r="153" spans="1:46" ht="15.75" customHeight="1">
      <c r="A153" s="76"/>
      <c r="B153" s="77">
        <f t="shared" ca="1" si="0"/>
        <v>1</v>
      </c>
      <c r="C153" s="78">
        <f t="shared" ca="1" si="1"/>
        <v>21</v>
      </c>
      <c r="D153" s="78">
        <f t="shared" ca="1" si="2"/>
        <v>6</v>
      </c>
      <c r="E153" s="78" t="str">
        <f t="shared" ca="1" si="3"/>
        <v/>
      </c>
      <c r="F153" s="78" t="str">
        <f t="shared" ca="1" si="4"/>
        <v/>
      </c>
      <c r="G153" s="79" t="str">
        <f t="shared" ca="1" si="5"/>
        <v/>
      </c>
      <c r="H153" s="80" t="str">
        <f t="shared" ca="1" si="6"/>
        <v/>
      </c>
      <c r="I153" s="100"/>
      <c r="J153" s="111"/>
      <c r="K153" s="111" t="s">
        <v>66</v>
      </c>
      <c r="L153" s="111"/>
      <c r="M153" s="111"/>
      <c r="N153" s="111"/>
      <c r="O153" s="111"/>
      <c r="P153" s="111"/>
      <c r="Q153" s="112"/>
      <c r="R153" s="113"/>
      <c r="S153" s="113"/>
      <c r="T153" s="115"/>
      <c r="U153" s="114"/>
      <c r="V153" s="115"/>
      <c r="W153" s="116"/>
      <c r="X153" s="117"/>
      <c r="Y153" s="118"/>
      <c r="Z153" s="119"/>
      <c r="AA153" s="92"/>
      <c r="AB153" s="93"/>
      <c r="AC153" s="94"/>
      <c r="AD153" s="95"/>
      <c r="AE153" s="96"/>
      <c r="AF153" s="97"/>
      <c r="AG153" s="97">
        <f t="shared" si="7"/>
        <v>0</v>
      </c>
      <c r="AH153" s="97">
        <f t="shared" si="8"/>
        <v>0</v>
      </c>
      <c r="AI153" s="97">
        <f t="shared" si="9"/>
        <v>0</v>
      </c>
      <c r="AJ153" s="97">
        <f t="shared" si="10"/>
        <v>0</v>
      </c>
      <c r="AK153" s="97" t="str">
        <f t="shared" si="11"/>
        <v/>
      </c>
      <c r="AL153" s="98">
        <f t="shared" ca="1" si="12"/>
        <v>1</v>
      </c>
      <c r="AM153" s="98">
        <f t="shared" ca="1" si="13"/>
        <v>21</v>
      </c>
      <c r="AN153" s="98">
        <f t="shared" ca="1" si="14"/>
        <v>6</v>
      </c>
      <c r="AO153" s="98">
        <f t="shared" ca="1" si="15"/>
        <v>0</v>
      </c>
      <c r="AP153" s="98">
        <f t="shared" ca="1" si="16"/>
        <v>0</v>
      </c>
      <c r="AQ153" s="98">
        <f t="shared" ca="1" si="17"/>
        <v>0</v>
      </c>
      <c r="AR153" s="98">
        <f t="shared" ca="1" si="18"/>
        <v>0</v>
      </c>
      <c r="AS153" s="99"/>
      <c r="AT153" s="98">
        <f t="shared" si="19"/>
        <v>1</v>
      </c>
    </row>
    <row r="154" spans="1:46" ht="15.75" customHeight="1">
      <c r="A154" s="76"/>
      <c r="B154" s="77">
        <f t="shared" ca="1" si="0"/>
        <v>1</v>
      </c>
      <c r="C154" s="78">
        <f t="shared" ca="1" si="1"/>
        <v>22</v>
      </c>
      <c r="D154" s="78" t="str">
        <f t="shared" ca="1" si="2"/>
        <v/>
      </c>
      <c r="E154" s="78" t="str">
        <f t="shared" ca="1" si="3"/>
        <v/>
      </c>
      <c r="F154" s="78" t="str">
        <f t="shared" ca="1" si="4"/>
        <v/>
      </c>
      <c r="G154" s="79" t="str">
        <f t="shared" ca="1" si="5"/>
        <v/>
      </c>
      <c r="H154" s="80" t="str">
        <f t="shared" ca="1" si="6"/>
        <v/>
      </c>
      <c r="I154" s="100"/>
      <c r="J154" s="101" t="s">
        <v>92</v>
      </c>
      <c r="K154" s="102"/>
      <c r="L154" s="102"/>
      <c r="M154" s="102"/>
      <c r="N154" s="102"/>
      <c r="O154" s="102"/>
      <c r="P154" s="102"/>
      <c r="Q154" s="103" t="s">
        <v>73</v>
      </c>
      <c r="R154" s="104"/>
      <c r="S154" s="104"/>
      <c r="T154" s="105"/>
      <c r="U154" s="106"/>
      <c r="V154" s="105"/>
      <c r="W154" s="107"/>
      <c r="X154" s="108"/>
      <c r="Y154" s="109"/>
      <c r="Z154" s="110"/>
      <c r="AA154" s="92"/>
      <c r="AB154" s="93"/>
      <c r="AC154" s="94"/>
      <c r="AD154" s="95"/>
      <c r="AE154" s="96"/>
      <c r="AF154" s="97"/>
      <c r="AG154" s="97">
        <f t="shared" si="7"/>
        <v>0</v>
      </c>
      <c r="AH154" s="97">
        <f t="shared" si="8"/>
        <v>0</v>
      </c>
      <c r="AI154" s="97">
        <f t="shared" si="9"/>
        <v>0</v>
      </c>
      <c r="AJ154" s="97">
        <f t="shared" si="10"/>
        <v>0</v>
      </c>
      <c r="AK154" s="97" t="str">
        <f t="shared" si="11"/>
        <v/>
      </c>
      <c r="AL154" s="98">
        <f t="shared" ca="1" si="12"/>
        <v>1</v>
      </c>
      <c r="AM154" s="98">
        <f t="shared" ca="1" si="13"/>
        <v>22</v>
      </c>
      <c r="AN154" s="98">
        <f t="shared" ca="1" si="14"/>
        <v>0</v>
      </c>
      <c r="AO154" s="98">
        <f t="shared" ca="1" si="15"/>
        <v>0</v>
      </c>
      <c r="AP154" s="98">
        <f t="shared" ca="1" si="16"/>
        <v>0</v>
      </c>
      <c r="AQ154" s="98">
        <f t="shared" ca="1" si="17"/>
        <v>0</v>
      </c>
      <c r="AR154" s="98">
        <f t="shared" ca="1" si="18"/>
        <v>0</v>
      </c>
      <c r="AS154" s="99"/>
      <c r="AT154" s="98">
        <f t="shared" si="19"/>
        <v>1</v>
      </c>
    </row>
    <row r="155" spans="1:46" ht="15.75" customHeight="1">
      <c r="A155" s="76"/>
      <c r="B155" s="77">
        <f t="shared" ca="1" si="0"/>
        <v>1</v>
      </c>
      <c r="C155" s="78">
        <f t="shared" ca="1" si="1"/>
        <v>22</v>
      </c>
      <c r="D155" s="78">
        <f t="shared" ca="1" si="2"/>
        <v>1</v>
      </c>
      <c r="E155" s="78" t="str">
        <f t="shared" ca="1" si="3"/>
        <v/>
      </c>
      <c r="F155" s="78" t="str">
        <f t="shared" ca="1" si="4"/>
        <v/>
      </c>
      <c r="G155" s="79" t="str">
        <f t="shared" ca="1" si="5"/>
        <v/>
      </c>
      <c r="H155" s="80" t="str">
        <f t="shared" ca="1" si="6"/>
        <v/>
      </c>
      <c r="I155" s="100"/>
      <c r="J155" s="111"/>
      <c r="K155" s="111" t="s">
        <v>59</v>
      </c>
      <c r="L155" s="111"/>
      <c r="M155" s="111"/>
      <c r="N155" s="111"/>
      <c r="O155" s="111"/>
      <c r="P155" s="111"/>
      <c r="Q155" s="112"/>
      <c r="R155" s="120" t="s">
        <v>77</v>
      </c>
      <c r="S155" s="114">
        <v>45819</v>
      </c>
      <c r="T155" s="115">
        <v>45825</v>
      </c>
      <c r="U155" s="114">
        <v>45817</v>
      </c>
      <c r="V155" s="115">
        <v>45818</v>
      </c>
      <c r="W155" s="116">
        <v>1</v>
      </c>
      <c r="X155" s="117">
        <v>1</v>
      </c>
      <c r="Y155" s="118"/>
      <c r="Z155" s="119"/>
      <c r="AA155" s="92"/>
      <c r="AB155" s="93"/>
      <c r="AC155" s="94"/>
      <c r="AD155" s="95"/>
      <c r="AE155" s="96"/>
      <c r="AF155" s="97"/>
      <c r="AG155" s="97">
        <f t="shared" ca="1" si="7"/>
        <v>0</v>
      </c>
      <c r="AH155" s="97">
        <f t="shared" ca="1" si="8"/>
        <v>0</v>
      </c>
      <c r="AI155" s="97">
        <f t="shared" si="9"/>
        <v>0</v>
      </c>
      <c r="AJ155" s="97">
        <f t="shared" ca="1" si="10"/>
        <v>0</v>
      </c>
      <c r="AK155" s="97" t="str">
        <f t="shared" ca="1" si="11"/>
        <v/>
      </c>
      <c r="AL155" s="98">
        <f t="shared" ca="1" si="12"/>
        <v>1</v>
      </c>
      <c r="AM155" s="98">
        <f t="shared" ca="1" si="13"/>
        <v>22</v>
      </c>
      <c r="AN155" s="98">
        <f t="shared" ca="1" si="14"/>
        <v>1</v>
      </c>
      <c r="AO155" s="98">
        <f t="shared" ca="1" si="15"/>
        <v>0</v>
      </c>
      <c r="AP155" s="98">
        <f t="shared" ca="1" si="16"/>
        <v>0</v>
      </c>
      <c r="AQ155" s="98">
        <f t="shared" ca="1" si="17"/>
        <v>0</v>
      </c>
      <c r="AR155" s="98">
        <f t="shared" ca="1" si="18"/>
        <v>0</v>
      </c>
      <c r="AS155" s="99"/>
      <c r="AT155" s="98">
        <f t="shared" si="19"/>
        <v>7</v>
      </c>
    </row>
    <row r="156" spans="1:46" ht="15.75" customHeight="1">
      <c r="A156" s="76"/>
      <c r="B156" s="77">
        <f t="shared" ca="1" si="0"/>
        <v>1</v>
      </c>
      <c r="C156" s="78">
        <f t="shared" ca="1" si="1"/>
        <v>22</v>
      </c>
      <c r="D156" s="78">
        <f t="shared" ca="1" si="2"/>
        <v>2</v>
      </c>
      <c r="E156" s="78" t="str">
        <f t="shared" ca="1" si="3"/>
        <v/>
      </c>
      <c r="F156" s="78" t="str">
        <f t="shared" ca="1" si="4"/>
        <v/>
      </c>
      <c r="G156" s="79" t="str">
        <f t="shared" ca="1" si="5"/>
        <v/>
      </c>
      <c r="H156" s="80" t="str">
        <f t="shared" ca="1" si="6"/>
        <v/>
      </c>
      <c r="I156" s="100"/>
      <c r="J156" s="111"/>
      <c r="K156" s="111" t="s">
        <v>61</v>
      </c>
      <c r="L156" s="111"/>
      <c r="M156" s="111"/>
      <c r="N156" s="111"/>
      <c r="O156" s="111"/>
      <c r="P156" s="111"/>
      <c r="Q156" s="112"/>
      <c r="R156" s="123" t="s">
        <v>70</v>
      </c>
      <c r="S156" s="114">
        <v>45826</v>
      </c>
      <c r="T156" s="115">
        <v>45826</v>
      </c>
      <c r="U156" s="114">
        <v>45819</v>
      </c>
      <c r="V156" s="115">
        <v>45820</v>
      </c>
      <c r="W156" s="116">
        <v>1</v>
      </c>
      <c r="X156" s="117">
        <v>1</v>
      </c>
      <c r="Y156" s="118"/>
      <c r="Z156" s="119"/>
      <c r="AA156" s="92"/>
      <c r="AB156" s="93"/>
      <c r="AC156" s="94"/>
      <c r="AD156" s="95"/>
      <c r="AE156" s="96"/>
      <c r="AF156" s="97"/>
      <c r="AG156" s="97">
        <f t="shared" ca="1" si="7"/>
        <v>0</v>
      </c>
      <c r="AH156" s="97">
        <f t="shared" ca="1" si="8"/>
        <v>0</v>
      </c>
      <c r="AI156" s="97">
        <f t="shared" si="9"/>
        <v>0</v>
      </c>
      <c r="AJ156" s="97">
        <f t="shared" ca="1" si="10"/>
        <v>0</v>
      </c>
      <c r="AK156" s="97" t="str">
        <f t="shared" ca="1" si="11"/>
        <v/>
      </c>
      <c r="AL156" s="98">
        <f t="shared" ca="1" si="12"/>
        <v>1</v>
      </c>
      <c r="AM156" s="98">
        <f t="shared" ca="1" si="13"/>
        <v>22</v>
      </c>
      <c r="AN156" s="98">
        <f t="shared" ca="1" si="14"/>
        <v>2</v>
      </c>
      <c r="AO156" s="98">
        <f t="shared" ca="1" si="15"/>
        <v>0</v>
      </c>
      <c r="AP156" s="98">
        <f t="shared" ca="1" si="16"/>
        <v>0</v>
      </c>
      <c r="AQ156" s="98">
        <f t="shared" ca="1" si="17"/>
        <v>0</v>
      </c>
      <c r="AR156" s="98">
        <f t="shared" ca="1" si="18"/>
        <v>0</v>
      </c>
      <c r="AS156" s="99"/>
      <c r="AT156" s="98">
        <f t="shared" si="19"/>
        <v>1</v>
      </c>
    </row>
    <row r="157" spans="1:46" ht="15.75" customHeight="1">
      <c r="A157" s="76"/>
      <c r="B157" s="77">
        <f t="shared" ca="1" si="0"/>
        <v>1</v>
      </c>
      <c r="C157" s="78">
        <f t="shared" ca="1" si="1"/>
        <v>22</v>
      </c>
      <c r="D157" s="78">
        <f t="shared" ca="1" si="2"/>
        <v>3</v>
      </c>
      <c r="E157" s="78" t="str">
        <f t="shared" ca="1" si="3"/>
        <v/>
      </c>
      <c r="F157" s="78" t="str">
        <f t="shared" ca="1" si="4"/>
        <v/>
      </c>
      <c r="G157" s="79" t="str">
        <f t="shared" ca="1" si="5"/>
        <v/>
      </c>
      <c r="H157" s="80" t="str">
        <f t="shared" ca="1" si="6"/>
        <v/>
      </c>
      <c r="I157" s="100"/>
      <c r="J157" s="111"/>
      <c r="K157" s="111" t="s">
        <v>63</v>
      </c>
      <c r="L157" s="111"/>
      <c r="M157" s="111"/>
      <c r="N157" s="111"/>
      <c r="O157" s="111"/>
      <c r="P157" s="111"/>
      <c r="Q157" s="112"/>
      <c r="R157" s="120" t="s">
        <v>77</v>
      </c>
      <c r="S157" s="113">
        <v>45832</v>
      </c>
      <c r="T157" s="115">
        <v>45833</v>
      </c>
      <c r="U157" s="114"/>
      <c r="V157" s="115"/>
      <c r="W157" s="116"/>
      <c r="X157" s="117"/>
      <c r="Y157" s="118"/>
      <c r="Z157" s="119"/>
      <c r="AA157" s="92"/>
      <c r="AB157" s="93"/>
      <c r="AC157" s="94"/>
      <c r="AD157" s="95"/>
      <c r="AE157" s="96"/>
      <c r="AF157" s="97"/>
      <c r="AG157" s="97">
        <f t="shared" ca="1" si="7"/>
        <v>0</v>
      </c>
      <c r="AH157" s="97">
        <f t="shared" ca="1" si="8"/>
        <v>0</v>
      </c>
      <c r="AI157" s="97">
        <f t="shared" si="9"/>
        <v>0</v>
      </c>
      <c r="AJ157" s="97">
        <f t="shared" ca="1" si="10"/>
        <v>0</v>
      </c>
      <c r="AK157" s="97" t="str">
        <f t="shared" ca="1" si="11"/>
        <v/>
      </c>
      <c r="AL157" s="98">
        <f t="shared" ca="1" si="12"/>
        <v>1</v>
      </c>
      <c r="AM157" s="98">
        <f t="shared" ca="1" si="13"/>
        <v>22</v>
      </c>
      <c r="AN157" s="98">
        <f t="shared" ca="1" si="14"/>
        <v>3</v>
      </c>
      <c r="AO157" s="98">
        <f t="shared" ca="1" si="15"/>
        <v>0</v>
      </c>
      <c r="AP157" s="98">
        <f t="shared" ca="1" si="16"/>
        <v>0</v>
      </c>
      <c r="AQ157" s="98">
        <f t="shared" ca="1" si="17"/>
        <v>0</v>
      </c>
      <c r="AR157" s="98">
        <f t="shared" ca="1" si="18"/>
        <v>0</v>
      </c>
      <c r="AS157" s="99"/>
      <c r="AT157" s="98">
        <f t="shared" si="19"/>
        <v>2</v>
      </c>
    </row>
    <row r="158" spans="1:46" ht="15.75" customHeight="1">
      <c r="A158" s="76"/>
      <c r="B158" s="77">
        <f t="shared" ca="1" si="0"/>
        <v>1</v>
      </c>
      <c r="C158" s="78">
        <f t="shared" ca="1" si="1"/>
        <v>22</v>
      </c>
      <c r="D158" s="78">
        <f t="shared" ca="1" si="2"/>
        <v>4</v>
      </c>
      <c r="E158" s="78" t="str">
        <f t="shared" ca="1" si="3"/>
        <v/>
      </c>
      <c r="F158" s="78" t="str">
        <f t="shared" ca="1" si="4"/>
        <v/>
      </c>
      <c r="G158" s="79" t="str">
        <f t="shared" ca="1" si="5"/>
        <v/>
      </c>
      <c r="H158" s="80" t="str">
        <f t="shared" ca="1" si="6"/>
        <v/>
      </c>
      <c r="I158" s="100"/>
      <c r="J158" s="111"/>
      <c r="K158" s="111" t="s">
        <v>64</v>
      </c>
      <c r="L158" s="111"/>
      <c r="M158" s="111"/>
      <c r="N158" s="111"/>
      <c r="O158" s="111"/>
      <c r="P158" s="111"/>
      <c r="Q158" s="112"/>
      <c r="R158" s="123" t="s">
        <v>70</v>
      </c>
      <c r="S158" s="113">
        <v>45834</v>
      </c>
      <c r="T158" s="115">
        <v>45834</v>
      </c>
      <c r="U158" s="114"/>
      <c r="V158" s="115"/>
      <c r="W158" s="116"/>
      <c r="X158" s="117"/>
      <c r="Y158" s="118"/>
      <c r="Z158" s="119"/>
      <c r="AA158" s="92"/>
      <c r="AB158" s="93"/>
      <c r="AC158" s="94"/>
      <c r="AD158" s="95"/>
      <c r="AE158" s="96"/>
      <c r="AF158" s="97"/>
      <c r="AG158" s="97">
        <f t="shared" ca="1" si="7"/>
        <v>0</v>
      </c>
      <c r="AH158" s="97">
        <f t="shared" ca="1" si="8"/>
        <v>0</v>
      </c>
      <c r="AI158" s="97">
        <f t="shared" si="9"/>
        <v>0</v>
      </c>
      <c r="AJ158" s="97">
        <f t="shared" ca="1" si="10"/>
        <v>0</v>
      </c>
      <c r="AK158" s="97" t="str">
        <f t="shared" ca="1" si="11"/>
        <v/>
      </c>
      <c r="AL158" s="98">
        <f t="shared" ca="1" si="12"/>
        <v>1</v>
      </c>
      <c r="AM158" s="98">
        <f t="shared" ca="1" si="13"/>
        <v>22</v>
      </c>
      <c r="AN158" s="98">
        <f t="shared" ca="1" si="14"/>
        <v>4</v>
      </c>
      <c r="AO158" s="98">
        <f t="shared" ca="1" si="15"/>
        <v>0</v>
      </c>
      <c r="AP158" s="98">
        <f t="shared" ca="1" si="16"/>
        <v>0</v>
      </c>
      <c r="AQ158" s="98">
        <f t="shared" ca="1" si="17"/>
        <v>0</v>
      </c>
      <c r="AR158" s="98">
        <f t="shared" ca="1" si="18"/>
        <v>0</v>
      </c>
      <c r="AS158" s="99"/>
      <c r="AT158" s="98">
        <f t="shared" si="19"/>
        <v>1</v>
      </c>
    </row>
    <row r="159" spans="1:46" ht="15.75" customHeight="1">
      <c r="A159" s="76"/>
      <c r="B159" s="77">
        <f t="shared" ca="1" si="0"/>
        <v>1</v>
      </c>
      <c r="C159" s="78">
        <f t="shared" ca="1" si="1"/>
        <v>22</v>
      </c>
      <c r="D159" s="78">
        <f t="shared" ca="1" si="2"/>
        <v>5</v>
      </c>
      <c r="E159" s="78" t="str">
        <f t="shared" ca="1" si="3"/>
        <v/>
      </c>
      <c r="F159" s="78" t="str">
        <f t="shared" ca="1" si="4"/>
        <v/>
      </c>
      <c r="G159" s="79" t="str">
        <f t="shared" ca="1" si="5"/>
        <v/>
      </c>
      <c r="H159" s="80" t="str">
        <f t="shared" ca="1" si="6"/>
        <v/>
      </c>
      <c r="I159" s="100"/>
      <c r="J159" s="111"/>
      <c r="K159" s="111" t="s">
        <v>65</v>
      </c>
      <c r="L159" s="111"/>
      <c r="M159" s="111"/>
      <c r="N159" s="111"/>
      <c r="O159" s="111"/>
      <c r="P159" s="111"/>
      <c r="Q159" s="112"/>
      <c r="R159" s="120" t="s">
        <v>77</v>
      </c>
      <c r="S159" s="113">
        <v>45835</v>
      </c>
      <c r="T159" s="115">
        <v>45835</v>
      </c>
      <c r="U159" s="114"/>
      <c r="V159" s="115"/>
      <c r="W159" s="116"/>
      <c r="X159" s="117"/>
      <c r="Y159" s="118"/>
      <c r="Z159" s="119"/>
      <c r="AA159" s="92"/>
      <c r="AB159" s="93"/>
      <c r="AC159" s="94"/>
      <c r="AD159" s="95"/>
      <c r="AE159" s="96"/>
      <c r="AF159" s="97"/>
      <c r="AG159" s="97">
        <f t="shared" ca="1" si="7"/>
        <v>0</v>
      </c>
      <c r="AH159" s="97">
        <f t="shared" ca="1" si="8"/>
        <v>0</v>
      </c>
      <c r="AI159" s="97">
        <f t="shared" si="9"/>
        <v>0</v>
      </c>
      <c r="AJ159" s="97">
        <f t="shared" ca="1" si="10"/>
        <v>0</v>
      </c>
      <c r="AK159" s="97" t="str">
        <f t="shared" ca="1" si="11"/>
        <v/>
      </c>
      <c r="AL159" s="98">
        <f t="shared" ca="1" si="12"/>
        <v>1</v>
      </c>
      <c r="AM159" s="98">
        <f t="shared" ca="1" si="13"/>
        <v>22</v>
      </c>
      <c r="AN159" s="98">
        <f t="shared" ca="1" si="14"/>
        <v>5</v>
      </c>
      <c r="AO159" s="98">
        <f t="shared" ca="1" si="15"/>
        <v>0</v>
      </c>
      <c r="AP159" s="98">
        <f t="shared" ca="1" si="16"/>
        <v>0</v>
      </c>
      <c r="AQ159" s="98">
        <f t="shared" ca="1" si="17"/>
        <v>0</v>
      </c>
      <c r="AR159" s="98">
        <f t="shared" ca="1" si="18"/>
        <v>0</v>
      </c>
      <c r="AS159" s="99"/>
      <c r="AT159" s="98">
        <f t="shared" si="19"/>
        <v>1</v>
      </c>
    </row>
    <row r="160" spans="1:46" ht="15.75" customHeight="1">
      <c r="A160" s="76"/>
      <c r="B160" s="77">
        <f t="shared" ca="1" si="0"/>
        <v>1</v>
      </c>
      <c r="C160" s="78">
        <f t="shared" ca="1" si="1"/>
        <v>22</v>
      </c>
      <c r="D160" s="78">
        <f t="shared" ca="1" si="2"/>
        <v>6</v>
      </c>
      <c r="E160" s="78" t="str">
        <f t="shared" ca="1" si="3"/>
        <v/>
      </c>
      <c r="F160" s="78" t="str">
        <f t="shared" ca="1" si="4"/>
        <v/>
      </c>
      <c r="G160" s="79" t="str">
        <f t="shared" ca="1" si="5"/>
        <v/>
      </c>
      <c r="H160" s="80" t="str">
        <f t="shared" ca="1" si="6"/>
        <v/>
      </c>
      <c r="I160" s="100"/>
      <c r="J160" s="111"/>
      <c r="K160" s="111" t="s">
        <v>66</v>
      </c>
      <c r="L160" s="111"/>
      <c r="M160" s="111"/>
      <c r="N160" s="111"/>
      <c r="O160" s="111"/>
      <c r="P160" s="111"/>
      <c r="Q160" s="112"/>
      <c r="R160" s="123" t="s">
        <v>70</v>
      </c>
      <c r="S160" s="113">
        <v>45838</v>
      </c>
      <c r="T160" s="115">
        <v>45838</v>
      </c>
      <c r="U160" s="114"/>
      <c r="V160" s="115"/>
      <c r="W160" s="116"/>
      <c r="X160" s="117"/>
      <c r="Y160" s="118"/>
      <c r="Z160" s="119"/>
      <c r="AA160" s="92"/>
      <c r="AB160" s="93"/>
      <c r="AC160" s="94"/>
      <c r="AD160" s="95"/>
      <c r="AE160" s="96"/>
      <c r="AF160" s="97"/>
      <c r="AG160" s="97">
        <f t="shared" ca="1" si="7"/>
        <v>0</v>
      </c>
      <c r="AH160" s="97">
        <f t="shared" ca="1" si="8"/>
        <v>0</v>
      </c>
      <c r="AI160" s="97">
        <f t="shared" si="9"/>
        <v>0</v>
      </c>
      <c r="AJ160" s="97">
        <f t="shared" ca="1" si="10"/>
        <v>0</v>
      </c>
      <c r="AK160" s="97" t="str">
        <f t="shared" ca="1" si="11"/>
        <v/>
      </c>
      <c r="AL160" s="98">
        <f t="shared" ca="1" si="12"/>
        <v>1</v>
      </c>
      <c r="AM160" s="98">
        <f t="shared" ca="1" si="13"/>
        <v>22</v>
      </c>
      <c r="AN160" s="98">
        <f t="shared" ca="1" si="14"/>
        <v>6</v>
      </c>
      <c r="AO160" s="98">
        <f t="shared" ca="1" si="15"/>
        <v>0</v>
      </c>
      <c r="AP160" s="98">
        <f t="shared" ca="1" si="16"/>
        <v>0</v>
      </c>
      <c r="AQ160" s="98">
        <f t="shared" ca="1" si="17"/>
        <v>0</v>
      </c>
      <c r="AR160" s="98">
        <f t="shared" ca="1" si="18"/>
        <v>0</v>
      </c>
      <c r="AS160" s="99"/>
      <c r="AT160" s="98">
        <f t="shared" si="19"/>
        <v>1</v>
      </c>
    </row>
    <row r="161" spans="1:46" ht="15.75" customHeight="1">
      <c r="A161" s="76"/>
      <c r="B161" s="77">
        <f t="shared" ca="1" si="0"/>
        <v>1</v>
      </c>
      <c r="C161" s="78">
        <f t="shared" ca="1" si="1"/>
        <v>23</v>
      </c>
      <c r="D161" s="78" t="str">
        <f t="shared" ca="1" si="2"/>
        <v/>
      </c>
      <c r="E161" s="78" t="str">
        <f t="shared" ca="1" si="3"/>
        <v/>
      </c>
      <c r="F161" s="78" t="str">
        <f t="shared" ca="1" si="4"/>
        <v/>
      </c>
      <c r="G161" s="79" t="str">
        <f t="shared" ca="1" si="5"/>
        <v/>
      </c>
      <c r="H161" s="80" t="str">
        <f t="shared" ca="1" si="6"/>
        <v/>
      </c>
      <c r="I161" s="100"/>
      <c r="J161" s="101" t="s">
        <v>93</v>
      </c>
      <c r="K161" s="102"/>
      <c r="L161" s="102"/>
      <c r="M161" s="102"/>
      <c r="N161" s="102"/>
      <c r="O161" s="102"/>
      <c r="P161" s="102"/>
      <c r="Q161" s="103" t="s">
        <v>58</v>
      </c>
      <c r="R161" s="104"/>
      <c r="S161" s="104"/>
      <c r="T161" s="105"/>
      <c r="U161" s="106"/>
      <c r="V161" s="105"/>
      <c r="W161" s="107"/>
      <c r="X161" s="108"/>
      <c r="Y161" s="109"/>
      <c r="Z161" s="110"/>
      <c r="AA161" s="92"/>
      <c r="AB161" s="93"/>
      <c r="AC161" s="94"/>
      <c r="AD161" s="95"/>
      <c r="AE161" s="96"/>
      <c r="AF161" s="97"/>
      <c r="AG161" s="97">
        <f t="shared" si="7"/>
        <v>0</v>
      </c>
      <c r="AH161" s="97">
        <f t="shared" si="8"/>
        <v>0</v>
      </c>
      <c r="AI161" s="97">
        <f t="shared" si="9"/>
        <v>0</v>
      </c>
      <c r="AJ161" s="97">
        <f t="shared" si="10"/>
        <v>0</v>
      </c>
      <c r="AK161" s="97" t="str">
        <f t="shared" si="11"/>
        <v/>
      </c>
      <c r="AL161" s="98">
        <f t="shared" ca="1" si="12"/>
        <v>1</v>
      </c>
      <c r="AM161" s="98">
        <f t="shared" ca="1" si="13"/>
        <v>23</v>
      </c>
      <c r="AN161" s="98">
        <f t="shared" ca="1" si="14"/>
        <v>0</v>
      </c>
      <c r="AO161" s="98">
        <f t="shared" ca="1" si="15"/>
        <v>0</v>
      </c>
      <c r="AP161" s="98">
        <f t="shared" ca="1" si="16"/>
        <v>0</v>
      </c>
      <c r="AQ161" s="98">
        <f t="shared" ca="1" si="17"/>
        <v>0</v>
      </c>
      <c r="AR161" s="98">
        <f t="shared" ca="1" si="18"/>
        <v>0</v>
      </c>
      <c r="AS161" s="99"/>
      <c r="AT161" s="98">
        <f t="shared" si="19"/>
        <v>1</v>
      </c>
    </row>
    <row r="162" spans="1:46" ht="15.75" customHeight="1">
      <c r="A162" s="76"/>
      <c r="B162" s="77">
        <f t="shared" ca="1" si="0"/>
        <v>1</v>
      </c>
      <c r="C162" s="78">
        <f t="shared" ca="1" si="1"/>
        <v>23</v>
      </c>
      <c r="D162" s="78">
        <f t="shared" ca="1" si="2"/>
        <v>1</v>
      </c>
      <c r="E162" s="78" t="str">
        <f t="shared" ca="1" si="3"/>
        <v/>
      </c>
      <c r="F162" s="78" t="str">
        <f t="shared" ca="1" si="4"/>
        <v/>
      </c>
      <c r="G162" s="79" t="str">
        <f t="shared" ca="1" si="5"/>
        <v/>
      </c>
      <c r="H162" s="80" t="str">
        <f t="shared" ca="1" si="6"/>
        <v/>
      </c>
      <c r="I162" s="100"/>
      <c r="J162" s="111"/>
      <c r="K162" s="111" t="s">
        <v>59</v>
      </c>
      <c r="L162" s="111"/>
      <c r="M162" s="111"/>
      <c r="N162" s="111"/>
      <c r="O162" s="111"/>
      <c r="P162" s="111"/>
      <c r="Q162" s="112"/>
      <c r="R162" s="113"/>
      <c r="S162" s="113"/>
      <c r="T162" s="115"/>
      <c r="U162" s="114"/>
      <c r="V162" s="115"/>
      <c r="W162" s="116"/>
      <c r="X162" s="117"/>
      <c r="Y162" s="118"/>
      <c r="Z162" s="119"/>
      <c r="AA162" s="92"/>
      <c r="AB162" s="93"/>
      <c r="AC162" s="94"/>
      <c r="AD162" s="95"/>
      <c r="AE162" s="96"/>
      <c r="AF162" s="97"/>
      <c r="AG162" s="97">
        <f t="shared" si="7"/>
        <v>0</v>
      </c>
      <c r="AH162" s="97">
        <f t="shared" si="8"/>
        <v>0</v>
      </c>
      <c r="AI162" s="97">
        <f t="shared" si="9"/>
        <v>0</v>
      </c>
      <c r="AJ162" s="97">
        <f t="shared" si="10"/>
        <v>0</v>
      </c>
      <c r="AK162" s="97" t="str">
        <f t="shared" si="11"/>
        <v/>
      </c>
      <c r="AL162" s="98">
        <f t="shared" ca="1" si="12"/>
        <v>1</v>
      </c>
      <c r="AM162" s="98">
        <f t="shared" ca="1" si="13"/>
        <v>23</v>
      </c>
      <c r="AN162" s="98">
        <f t="shared" ca="1" si="14"/>
        <v>1</v>
      </c>
      <c r="AO162" s="98">
        <f t="shared" ca="1" si="15"/>
        <v>0</v>
      </c>
      <c r="AP162" s="98">
        <f t="shared" ca="1" si="16"/>
        <v>0</v>
      </c>
      <c r="AQ162" s="98">
        <f t="shared" ca="1" si="17"/>
        <v>0</v>
      </c>
      <c r="AR162" s="98">
        <f t="shared" ca="1" si="18"/>
        <v>0</v>
      </c>
      <c r="AS162" s="99"/>
      <c r="AT162" s="98">
        <f t="shared" si="19"/>
        <v>1</v>
      </c>
    </row>
    <row r="163" spans="1:46" ht="15.75" customHeight="1">
      <c r="A163" s="76"/>
      <c r="B163" s="77">
        <f t="shared" ca="1" si="0"/>
        <v>1</v>
      </c>
      <c r="C163" s="78">
        <f t="shared" ca="1" si="1"/>
        <v>23</v>
      </c>
      <c r="D163" s="78">
        <f t="shared" ca="1" si="2"/>
        <v>2</v>
      </c>
      <c r="E163" s="78" t="str">
        <f t="shared" ca="1" si="3"/>
        <v/>
      </c>
      <c r="F163" s="78" t="str">
        <f t="shared" ca="1" si="4"/>
        <v/>
      </c>
      <c r="G163" s="79" t="str">
        <f t="shared" ca="1" si="5"/>
        <v/>
      </c>
      <c r="H163" s="80" t="str">
        <f t="shared" ca="1" si="6"/>
        <v/>
      </c>
      <c r="I163" s="100"/>
      <c r="J163" s="111"/>
      <c r="K163" s="111" t="s">
        <v>61</v>
      </c>
      <c r="L163" s="111"/>
      <c r="M163" s="111"/>
      <c r="N163" s="111"/>
      <c r="O163" s="111"/>
      <c r="P163" s="111"/>
      <c r="Q163" s="112"/>
      <c r="R163" s="113"/>
      <c r="S163" s="113"/>
      <c r="T163" s="115"/>
      <c r="U163" s="114"/>
      <c r="V163" s="115"/>
      <c r="W163" s="116"/>
      <c r="X163" s="117"/>
      <c r="Y163" s="118"/>
      <c r="Z163" s="119"/>
      <c r="AA163" s="92"/>
      <c r="AB163" s="93"/>
      <c r="AC163" s="94"/>
      <c r="AD163" s="95"/>
      <c r="AE163" s="96"/>
      <c r="AF163" s="97"/>
      <c r="AG163" s="97">
        <f t="shared" si="7"/>
        <v>0</v>
      </c>
      <c r="AH163" s="97">
        <f t="shared" si="8"/>
        <v>0</v>
      </c>
      <c r="AI163" s="97">
        <f t="shared" si="9"/>
        <v>0</v>
      </c>
      <c r="AJ163" s="97">
        <f t="shared" si="10"/>
        <v>0</v>
      </c>
      <c r="AK163" s="97" t="str">
        <f t="shared" si="11"/>
        <v/>
      </c>
      <c r="AL163" s="98">
        <f t="shared" ca="1" si="12"/>
        <v>1</v>
      </c>
      <c r="AM163" s="98">
        <f t="shared" ca="1" si="13"/>
        <v>23</v>
      </c>
      <c r="AN163" s="98">
        <f t="shared" ca="1" si="14"/>
        <v>2</v>
      </c>
      <c r="AO163" s="98">
        <f t="shared" ca="1" si="15"/>
        <v>0</v>
      </c>
      <c r="AP163" s="98">
        <f t="shared" ca="1" si="16"/>
        <v>0</v>
      </c>
      <c r="AQ163" s="98">
        <f t="shared" ca="1" si="17"/>
        <v>0</v>
      </c>
      <c r="AR163" s="98">
        <f t="shared" ca="1" si="18"/>
        <v>0</v>
      </c>
      <c r="AS163" s="99"/>
      <c r="AT163" s="98">
        <f t="shared" si="19"/>
        <v>1</v>
      </c>
    </row>
    <row r="164" spans="1:46" ht="15.75" customHeight="1">
      <c r="A164" s="76"/>
      <c r="B164" s="77">
        <f t="shared" ca="1" si="0"/>
        <v>1</v>
      </c>
      <c r="C164" s="78">
        <f t="shared" ca="1" si="1"/>
        <v>23</v>
      </c>
      <c r="D164" s="78">
        <f t="shared" ca="1" si="2"/>
        <v>3</v>
      </c>
      <c r="E164" s="78" t="str">
        <f t="shared" ca="1" si="3"/>
        <v/>
      </c>
      <c r="F164" s="78" t="str">
        <f t="shared" ca="1" si="4"/>
        <v/>
      </c>
      <c r="G164" s="79" t="str">
        <f t="shared" ca="1" si="5"/>
        <v/>
      </c>
      <c r="H164" s="80" t="str">
        <f t="shared" ca="1" si="6"/>
        <v/>
      </c>
      <c r="I164" s="100"/>
      <c r="J164" s="111"/>
      <c r="K164" s="111" t="s">
        <v>63</v>
      </c>
      <c r="L164" s="111"/>
      <c r="M164" s="111"/>
      <c r="N164" s="111"/>
      <c r="O164" s="111"/>
      <c r="P164" s="111"/>
      <c r="Q164" s="112"/>
      <c r="R164" s="113"/>
      <c r="S164" s="113"/>
      <c r="T164" s="115"/>
      <c r="U164" s="114"/>
      <c r="V164" s="115"/>
      <c r="W164" s="116"/>
      <c r="X164" s="117"/>
      <c r="Y164" s="118"/>
      <c r="Z164" s="119"/>
      <c r="AA164" s="92"/>
      <c r="AB164" s="93"/>
      <c r="AC164" s="94"/>
      <c r="AD164" s="95"/>
      <c r="AE164" s="96"/>
      <c r="AF164" s="97"/>
      <c r="AG164" s="97">
        <f t="shared" si="7"/>
        <v>0</v>
      </c>
      <c r="AH164" s="97">
        <f t="shared" si="8"/>
        <v>0</v>
      </c>
      <c r="AI164" s="97">
        <f t="shared" si="9"/>
        <v>0</v>
      </c>
      <c r="AJ164" s="97">
        <f t="shared" si="10"/>
        <v>0</v>
      </c>
      <c r="AK164" s="97" t="str">
        <f t="shared" si="11"/>
        <v/>
      </c>
      <c r="AL164" s="98">
        <f t="shared" ca="1" si="12"/>
        <v>1</v>
      </c>
      <c r="AM164" s="98">
        <f t="shared" ca="1" si="13"/>
        <v>23</v>
      </c>
      <c r="AN164" s="98">
        <f t="shared" ca="1" si="14"/>
        <v>3</v>
      </c>
      <c r="AO164" s="98">
        <f t="shared" ca="1" si="15"/>
        <v>0</v>
      </c>
      <c r="AP164" s="98">
        <f t="shared" ca="1" si="16"/>
        <v>0</v>
      </c>
      <c r="AQ164" s="98">
        <f t="shared" ca="1" si="17"/>
        <v>0</v>
      </c>
      <c r="AR164" s="98">
        <f t="shared" ca="1" si="18"/>
        <v>0</v>
      </c>
      <c r="AS164" s="99"/>
      <c r="AT164" s="98">
        <f t="shared" si="19"/>
        <v>1</v>
      </c>
    </row>
    <row r="165" spans="1:46" ht="15.75" customHeight="1">
      <c r="A165" s="76"/>
      <c r="B165" s="77">
        <f t="shared" ca="1" si="0"/>
        <v>1</v>
      </c>
      <c r="C165" s="78">
        <f t="shared" ca="1" si="1"/>
        <v>23</v>
      </c>
      <c r="D165" s="78">
        <f t="shared" ca="1" si="2"/>
        <v>4</v>
      </c>
      <c r="E165" s="78" t="str">
        <f t="shared" ca="1" si="3"/>
        <v/>
      </c>
      <c r="F165" s="78" t="str">
        <f t="shared" ca="1" si="4"/>
        <v/>
      </c>
      <c r="G165" s="79" t="str">
        <f t="shared" ca="1" si="5"/>
        <v/>
      </c>
      <c r="H165" s="80" t="str">
        <f t="shared" ca="1" si="6"/>
        <v/>
      </c>
      <c r="I165" s="100"/>
      <c r="J165" s="111"/>
      <c r="K165" s="111" t="s">
        <v>64</v>
      </c>
      <c r="L165" s="111"/>
      <c r="M165" s="111"/>
      <c r="N165" s="111"/>
      <c r="O165" s="111"/>
      <c r="P165" s="111"/>
      <c r="Q165" s="112"/>
      <c r="R165" s="113"/>
      <c r="S165" s="113"/>
      <c r="T165" s="115"/>
      <c r="U165" s="114"/>
      <c r="V165" s="115"/>
      <c r="W165" s="116"/>
      <c r="X165" s="117"/>
      <c r="Y165" s="118"/>
      <c r="Z165" s="119"/>
      <c r="AA165" s="92"/>
      <c r="AB165" s="93"/>
      <c r="AC165" s="94"/>
      <c r="AD165" s="95"/>
      <c r="AE165" s="96"/>
      <c r="AF165" s="97"/>
      <c r="AG165" s="97">
        <f t="shared" si="7"/>
        <v>0</v>
      </c>
      <c r="AH165" s="97">
        <f t="shared" si="8"/>
        <v>0</v>
      </c>
      <c r="AI165" s="97">
        <f t="shared" si="9"/>
        <v>0</v>
      </c>
      <c r="AJ165" s="97">
        <f t="shared" si="10"/>
        <v>0</v>
      </c>
      <c r="AK165" s="97" t="str">
        <f t="shared" si="11"/>
        <v/>
      </c>
      <c r="AL165" s="98">
        <f t="shared" ca="1" si="12"/>
        <v>1</v>
      </c>
      <c r="AM165" s="98">
        <f t="shared" ca="1" si="13"/>
        <v>23</v>
      </c>
      <c r="AN165" s="98">
        <f t="shared" ca="1" si="14"/>
        <v>4</v>
      </c>
      <c r="AO165" s="98">
        <f t="shared" ca="1" si="15"/>
        <v>0</v>
      </c>
      <c r="AP165" s="98">
        <f t="shared" ca="1" si="16"/>
        <v>0</v>
      </c>
      <c r="AQ165" s="98">
        <f t="shared" ca="1" si="17"/>
        <v>0</v>
      </c>
      <c r="AR165" s="98">
        <f t="shared" ca="1" si="18"/>
        <v>0</v>
      </c>
      <c r="AS165" s="99"/>
      <c r="AT165" s="98">
        <f t="shared" si="19"/>
        <v>1</v>
      </c>
    </row>
    <row r="166" spans="1:46" ht="15.75" customHeight="1">
      <c r="A166" s="76"/>
      <c r="B166" s="77">
        <f t="shared" ca="1" si="0"/>
        <v>1</v>
      </c>
      <c r="C166" s="78">
        <f t="shared" ca="1" si="1"/>
        <v>23</v>
      </c>
      <c r="D166" s="78">
        <f t="shared" ca="1" si="2"/>
        <v>5</v>
      </c>
      <c r="E166" s="78" t="str">
        <f t="shared" ca="1" si="3"/>
        <v/>
      </c>
      <c r="F166" s="78" t="str">
        <f t="shared" ca="1" si="4"/>
        <v/>
      </c>
      <c r="G166" s="79" t="str">
        <f t="shared" ca="1" si="5"/>
        <v/>
      </c>
      <c r="H166" s="80" t="str">
        <f t="shared" ca="1" si="6"/>
        <v/>
      </c>
      <c r="I166" s="100"/>
      <c r="J166" s="111"/>
      <c r="K166" s="111" t="s">
        <v>65</v>
      </c>
      <c r="L166" s="111"/>
      <c r="M166" s="111"/>
      <c r="N166" s="111"/>
      <c r="O166" s="111"/>
      <c r="P166" s="111"/>
      <c r="Q166" s="112"/>
      <c r="R166" s="113"/>
      <c r="S166" s="113"/>
      <c r="T166" s="115"/>
      <c r="U166" s="114"/>
      <c r="V166" s="115"/>
      <c r="W166" s="116"/>
      <c r="X166" s="117"/>
      <c r="Y166" s="118"/>
      <c r="Z166" s="119"/>
      <c r="AA166" s="92"/>
      <c r="AB166" s="93"/>
      <c r="AC166" s="94"/>
      <c r="AD166" s="95"/>
      <c r="AE166" s="96"/>
      <c r="AF166" s="97"/>
      <c r="AG166" s="97">
        <f t="shared" si="7"/>
        <v>0</v>
      </c>
      <c r="AH166" s="97">
        <f t="shared" si="8"/>
        <v>0</v>
      </c>
      <c r="AI166" s="97">
        <f t="shared" si="9"/>
        <v>0</v>
      </c>
      <c r="AJ166" s="97">
        <f t="shared" si="10"/>
        <v>0</v>
      </c>
      <c r="AK166" s="97" t="str">
        <f t="shared" si="11"/>
        <v/>
      </c>
      <c r="AL166" s="98">
        <f t="shared" ca="1" si="12"/>
        <v>1</v>
      </c>
      <c r="AM166" s="98">
        <f t="shared" ca="1" si="13"/>
        <v>23</v>
      </c>
      <c r="AN166" s="98">
        <f t="shared" ca="1" si="14"/>
        <v>5</v>
      </c>
      <c r="AO166" s="98">
        <f t="shared" ca="1" si="15"/>
        <v>0</v>
      </c>
      <c r="AP166" s="98">
        <f t="shared" ca="1" si="16"/>
        <v>0</v>
      </c>
      <c r="AQ166" s="98">
        <f t="shared" ca="1" si="17"/>
        <v>0</v>
      </c>
      <c r="AR166" s="98">
        <f t="shared" ca="1" si="18"/>
        <v>0</v>
      </c>
      <c r="AS166" s="99"/>
      <c r="AT166" s="98">
        <f t="shared" si="19"/>
        <v>1</v>
      </c>
    </row>
    <row r="167" spans="1:46" ht="15.75" customHeight="1">
      <c r="A167" s="76"/>
      <c r="B167" s="77">
        <f t="shared" ca="1" si="0"/>
        <v>1</v>
      </c>
      <c r="C167" s="78">
        <f t="shared" ca="1" si="1"/>
        <v>23</v>
      </c>
      <c r="D167" s="78">
        <f t="shared" ca="1" si="2"/>
        <v>6</v>
      </c>
      <c r="E167" s="78" t="str">
        <f t="shared" ca="1" si="3"/>
        <v/>
      </c>
      <c r="F167" s="78" t="str">
        <f t="shared" ca="1" si="4"/>
        <v/>
      </c>
      <c r="G167" s="79" t="str">
        <f t="shared" ca="1" si="5"/>
        <v/>
      </c>
      <c r="H167" s="80" t="str">
        <f t="shared" ca="1" si="6"/>
        <v/>
      </c>
      <c r="I167" s="100"/>
      <c r="J167" s="111"/>
      <c r="K167" s="111" t="s">
        <v>66</v>
      </c>
      <c r="L167" s="111"/>
      <c r="M167" s="111"/>
      <c r="N167" s="111"/>
      <c r="O167" s="111"/>
      <c r="P167" s="111"/>
      <c r="Q167" s="112"/>
      <c r="R167" s="113"/>
      <c r="S167" s="113"/>
      <c r="T167" s="115"/>
      <c r="U167" s="114"/>
      <c r="V167" s="115"/>
      <c r="W167" s="116"/>
      <c r="X167" s="117"/>
      <c r="Y167" s="118"/>
      <c r="Z167" s="119"/>
      <c r="AA167" s="92"/>
      <c r="AB167" s="93"/>
      <c r="AC167" s="94"/>
      <c r="AD167" s="95"/>
      <c r="AE167" s="96"/>
      <c r="AF167" s="97"/>
      <c r="AG167" s="97">
        <f t="shared" si="7"/>
        <v>0</v>
      </c>
      <c r="AH167" s="97">
        <f t="shared" si="8"/>
        <v>0</v>
      </c>
      <c r="AI167" s="97">
        <f t="shared" si="9"/>
        <v>0</v>
      </c>
      <c r="AJ167" s="97">
        <f t="shared" si="10"/>
        <v>0</v>
      </c>
      <c r="AK167" s="97" t="str">
        <f t="shared" si="11"/>
        <v/>
      </c>
      <c r="AL167" s="98">
        <f t="shared" ca="1" si="12"/>
        <v>1</v>
      </c>
      <c r="AM167" s="98">
        <f t="shared" ca="1" si="13"/>
        <v>23</v>
      </c>
      <c r="AN167" s="98">
        <f t="shared" ca="1" si="14"/>
        <v>6</v>
      </c>
      <c r="AO167" s="98">
        <f t="shared" ca="1" si="15"/>
        <v>0</v>
      </c>
      <c r="AP167" s="98">
        <f t="shared" ca="1" si="16"/>
        <v>0</v>
      </c>
      <c r="AQ167" s="98">
        <f t="shared" ca="1" si="17"/>
        <v>0</v>
      </c>
      <c r="AR167" s="98">
        <f t="shared" ca="1" si="18"/>
        <v>0</v>
      </c>
      <c r="AS167" s="99"/>
      <c r="AT167" s="98">
        <f t="shared" si="19"/>
        <v>1</v>
      </c>
    </row>
    <row r="168" spans="1:46" ht="15.75" customHeight="1">
      <c r="A168" s="76"/>
      <c r="B168" s="77">
        <f t="shared" ca="1" si="0"/>
        <v>1</v>
      </c>
      <c r="C168" s="78">
        <f t="shared" ca="1" si="1"/>
        <v>24</v>
      </c>
      <c r="D168" s="78" t="str">
        <f t="shared" ca="1" si="2"/>
        <v/>
      </c>
      <c r="E168" s="78" t="str">
        <f t="shared" ca="1" si="3"/>
        <v/>
      </c>
      <c r="F168" s="78" t="str">
        <f t="shared" ca="1" si="4"/>
        <v/>
      </c>
      <c r="G168" s="79" t="str">
        <f t="shared" ca="1" si="5"/>
        <v/>
      </c>
      <c r="H168" s="80" t="str">
        <f t="shared" ca="1" si="6"/>
        <v/>
      </c>
      <c r="I168" s="100"/>
      <c r="J168" s="101" t="s">
        <v>94</v>
      </c>
      <c r="K168" s="102"/>
      <c r="L168" s="102"/>
      <c r="M168" s="102"/>
      <c r="N168" s="102"/>
      <c r="O168" s="102"/>
      <c r="P168" s="102"/>
      <c r="Q168" s="103" t="s">
        <v>81</v>
      </c>
      <c r="R168" s="104"/>
      <c r="S168" s="104"/>
      <c r="T168" s="105"/>
      <c r="U168" s="106"/>
      <c r="V168" s="105"/>
      <c r="W168" s="107"/>
      <c r="X168" s="108"/>
      <c r="Y168" s="109"/>
      <c r="Z168" s="110"/>
      <c r="AA168" s="92"/>
      <c r="AB168" s="93"/>
      <c r="AC168" s="94"/>
      <c r="AD168" s="95"/>
      <c r="AE168" s="96"/>
      <c r="AF168" s="97"/>
      <c r="AG168" s="97">
        <f t="shared" si="7"/>
        <v>0</v>
      </c>
      <c r="AH168" s="97">
        <f t="shared" si="8"/>
        <v>0</v>
      </c>
      <c r="AI168" s="97">
        <f t="shared" si="9"/>
        <v>0</v>
      </c>
      <c r="AJ168" s="97">
        <f t="shared" si="10"/>
        <v>0</v>
      </c>
      <c r="AK168" s="97" t="str">
        <f t="shared" si="11"/>
        <v/>
      </c>
      <c r="AL168" s="98">
        <f t="shared" ca="1" si="12"/>
        <v>1</v>
      </c>
      <c r="AM168" s="98">
        <f t="shared" ca="1" si="13"/>
        <v>24</v>
      </c>
      <c r="AN168" s="98">
        <f t="shared" ca="1" si="14"/>
        <v>0</v>
      </c>
      <c r="AO168" s="98">
        <f t="shared" ca="1" si="15"/>
        <v>0</v>
      </c>
      <c r="AP168" s="98">
        <f t="shared" ca="1" si="16"/>
        <v>0</v>
      </c>
      <c r="AQ168" s="98">
        <f t="shared" ca="1" si="17"/>
        <v>0</v>
      </c>
      <c r="AR168" s="98">
        <f t="shared" ca="1" si="18"/>
        <v>0</v>
      </c>
      <c r="AS168" s="99"/>
      <c r="AT168" s="98">
        <f t="shared" si="19"/>
        <v>1</v>
      </c>
    </row>
    <row r="169" spans="1:46" ht="15.75" customHeight="1">
      <c r="A169" s="76"/>
      <c r="B169" s="77">
        <f t="shared" ca="1" si="0"/>
        <v>1</v>
      </c>
      <c r="C169" s="78">
        <f t="shared" ca="1" si="1"/>
        <v>24</v>
      </c>
      <c r="D169" s="78">
        <f t="shared" ca="1" si="2"/>
        <v>1</v>
      </c>
      <c r="E169" s="78" t="str">
        <f t="shared" ca="1" si="3"/>
        <v/>
      </c>
      <c r="F169" s="78" t="str">
        <f t="shared" ca="1" si="4"/>
        <v/>
      </c>
      <c r="G169" s="79" t="str">
        <f t="shared" ca="1" si="5"/>
        <v/>
      </c>
      <c r="H169" s="80" t="str">
        <f t="shared" ca="1" si="6"/>
        <v/>
      </c>
      <c r="I169" s="100"/>
      <c r="J169" s="111"/>
      <c r="K169" s="111" t="s">
        <v>59</v>
      </c>
      <c r="L169" s="111"/>
      <c r="M169" s="111"/>
      <c r="N169" s="111"/>
      <c r="O169" s="111"/>
      <c r="P169" s="111"/>
      <c r="Q169" s="112"/>
      <c r="R169" s="124" t="s">
        <v>62</v>
      </c>
      <c r="S169" s="114">
        <v>45812</v>
      </c>
      <c r="T169" s="114">
        <v>45814</v>
      </c>
      <c r="U169" s="114">
        <v>45812</v>
      </c>
      <c r="V169" s="115">
        <v>45814</v>
      </c>
      <c r="W169" s="116">
        <v>1</v>
      </c>
      <c r="X169" s="117">
        <v>1</v>
      </c>
      <c r="Y169" s="118"/>
      <c r="Z169" s="119"/>
      <c r="AA169" s="92"/>
      <c r="AB169" s="93"/>
      <c r="AC169" s="94"/>
      <c r="AD169" s="95"/>
      <c r="AE169" s="96"/>
      <c r="AF169" s="97"/>
      <c r="AG169" s="97">
        <f t="shared" ca="1" si="7"/>
        <v>0</v>
      </c>
      <c r="AH169" s="97">
        <f t="shared" ca="1" si="8"/>
        <v>0</v>
      </c>
      <c r="AI169" s="97">
        <f t="shared" si="9"/>
        <v>0</v>
      </c>
      <c r="AJ169" s="97">
        <f t="shared" ca="1" si="10"/>
        <v>0</v>
      </c>
      <c r="AK169" s="97" t="str">
        <f t="shared" ca="1" si="11"/>
        <v/>
      </c>
      <c r="AL169" s="98">
        <f t="shared" ca="1" si="12"/>
        <v>1</v>
      </c>
      <c r="AM169" s="98">
        <f t="shared" ca="1" si="13"/>
        <v>24</v>
      </c>
      <c r="AN169" s="98">
        <f t="shared" ca="1" si="14"/>
        <v>1</v>
      </c>
      <c r="AO169" s="98">
        <f t="shared" ca="1" si="15"/>
        <v>0</v>
      </c>
      <c r="AP169" s="98">
        <f t="shared" ca="1" si="16"/>
        <v>0</v>
      </c>
      <c r="AQ169" s="98">
        <f t="shared" ca="1" si="17"/>
        <v>0</v>
      </c>
      <c r="AR169" s="98">
        <f t="shared" ca="1" si="18"/>
        <v>0</v>
      </c>
      <c r="AS169" s="99"/>
      <c r="AT169" s="98">
        <f t="shared" si="19"/>
        <v>3</v>
      </c>
    </row>
    <row r="170" spans="1:46" ht="15.75" customHeight="1">
      <c r="A170" s="76"/>
      <c r="B170" s="77">
        <f t="shared" ca="1" si="0"/>
        <v>1</v>
      </c>
      <c r="C170" s="78">
        <f t="shared" ca="1" si="1"/>
        <v>24</v>
      </c>
      <c r="D170" s="78">
        <f t="shared" ca="1" si="2"/>
        <v>2</v>
      </c>
      <c r="E170" s="78" t="str">
        <f t="shared" ca="1" si="3"/>
        <v/>
      </c>
      <c r="F170" s="78" t="str">
        <f t="shared" ca="1" si="4"/>
        <v/>
      </c>
      <c r="G170" s="79" t="str">
        <f t="shared" ca="1" si="5"/>
        <v/>
      </c>
      <c r="H170" s="80" t="str">
        <f t="shared" ca="1" si="6"/>
        <v/>
      </c>
      <c r="I170" s="100"/>
      <c r="J170" s="111"/>
      <c r="K170" s="111" t="s">
        <v>61</v>
      </c>
      <c r="L170" s="111"/>
      <c r="M170" s="111"/>
      <c r="N170" s="111"/>
      <c r="O170" s="111"/>
      <c r="P170" s="111"/>
      <c r="Q170" s="112"/>
      <c r="R170" s="124" t="s">
        <v>60</v>
      </c>
      <c r="S170" s="114">
        <v>45814</v>
      </c>
      <c r="T170" s="114">
        <v>45814</v>
      </c>
      <c r="U170" s="114">
        <v>45817</v>
      </c>
      <c r="V170" s="115">
        <v>45818</v>
      </c>
      <c r="W170" s="116">
        <v>1</v>
      </c>
      <c r="X170" s="117">
        <v>1</v>
      </c>
      <c r="Y170" s="118"/>
      <c r="Z170" s="119"/>
      <c r="AA170" s="92"/>
      <c r="AB170" s="93"/>
      <c r="AC170" s="94"/>
      <c r="AD170" s="95"/>
      <c r="AE170" s="96"/>
      <c r="AF170" s="97"/>
      <c r="AG170" s="97">
        <f t="shared" ca="1" si="7"/>
        <v>0</v>
      </c>
      <c r="AH170" s="97">
        <f t="shared" ca="1" si="8"/>
        <v>0</v>
      </c>
      <c r="AI170" s="97">
        <f t="shared" si="9"/>
        <v>0</v>
      </c>
      <c r="AJ170" s="97">
        <f t="shared" ca="1" si="10"/>
        <v>0</v>
      </c>
      <c r="AK170" s="97" t="str">
        <f t="shared" ca="1" si="11"/>
        <v/>
      </c>
      <c r="AL170" s="98">
        <f t="shared" ca="1" si="12"/>
        <v>1</v>
      </c>
      <c r="AM170" s="98">
        <f t="shared" ca="1" si="13"/>
        <v>24</v>
      </c>
      <c r="AN170" s="98">
        <f t="shared" ca="1" si="14"/>
        <v>2</v>
      </c>
      <c r="AO170" s="98">
        <f t="shared" ca="1" si="15"/>
        <v>0</v>
      </c>
      <c r="AP170" s="98">
        <f t="shared" ca="1" si="16"/>
        <v>0</v>
      </c>
      <c r="AQ170" s="98">
        <f t="shared" ca="1" si="17"/>
        <v>0</v>
      </c>
      <c r="AR170" s="98">
        <f t="shared" ca="1" si="18"/>
        <v>0</v>
      </c>
      <c r="AS170" s="99"/>
      <c r="AT170" s="98">
        <f t="shared" si="19"/>
        <v>1</v>
      </c>
    </row>
    <row r="171" spans="1:46" ht="15.75" customHeight="1">
      <c r="A171" s="76"/>
      <c r="B171" s="77">
        <f t="shared" ca="1" si="0"/>
        <v>1</v>
      </c>
      <c r="C171" s="78">
        <f t="shared" ca="1" si="1"/>
        <v>24</v>
      </c>
      <c r="D171" s="78">
        <f t="shared" ca="1" si="2"/>
        <v>3</v>
      </c>
      <c r="E171" s="78" t="str">
        <f t="shared" ca="1" si="3"/>
        <v/>
      </c>
      <c r="F171" s="78" t="str">
        <f t="shared" ca="1" si="4"/>
        <v/>
      </c>
      <c r="G171" s="79" t="str">
        <f t="shared" ca="1" si="5"/>
        <v/>
      </c>
      <c r="H171" s="80" t="str">
        <f t="shared" ca="1" si="6"/>
        <v/>
      </c>
      <c r="I171" s="100"/>
      <c r="J171" s="111"/>
      <c r="K171" s="111" t="s">
        <v>63</v>
      </c>
      <c r="L171" s="111"/>
      <c r="M171" s="111"/>
      <c r="N171" s="111"/>
      <c r="O171" s="111"/>
      <c r="P171" s="111"/>
      <c r="Q171" s="112"/>
      <c r="R171" s="124" t="s">
        <v>62</v>
      </c>
      <c r="S171" s="114">
        <v>45827</v>
      </c>
      <c r="T171" s="115">
        <v>45827</v>
      </c>
      <c r="U171" s="114"/>
      <c r="V171" s="115"/>
      <c r="W171" s="116"/>
      <c r="X171" s="117"/>
      <c r="Y171" s="118"/>
      <c r="Z171" s="119"/>
      <c r="AA171" s="92"/>
      <c r="AB171" s="93"/>
      <c r="AC171" s="94"/>
      <c r="AD171" s="95"/>
      <c r="AE171" s="96"/>
      <c r="AF171" s="97"/>
      <c r="AG171" s="97">
        <f t="shared" ca="1" si="7"/>
        <v>0</v>
      </c>
      <c r="AH171" s="97">
        <f t="shared" ca="1" si="8"/>
        <v>0</v>
      </c>
      <c r="AI171" s="97">
        <f t="shared" si="9"/>
        <v>0</v>
      </c>
      <c r="AJ171" s="97">
        <f t="shared" ca="1" si="10"/>
        <v>0</v>
      </c>
      <c r="AK171" s="97" t="str">
        <f t="shared" ca="1" si="11"/>
        <v/>
      </c>
      <c r="AL171" s="98">
        <f t="shared" ca="1" si="12"/>
        <v>1</v>
      </c>
      <c r="AM171" s="98">
        <f t="shared" ca="1" si="13"/>
        <v>24</v>
      </c>
      <c r="AN171" s="98">
        <f t="shared" ca="1" si="14"/>
        <v>3</v>
      </c>
      <c r="AO171" s="98">
        <f t="shared" ca="1" si="15"/>
        <v>0</v>
      </c>
      <c r="AP171" s="98">
        <f t="shared" ca="1" si="16"/>
        <v>0</v>
      </c>
      <c r="AQ171" s="98">
        <f t="shared" ca="1" si="17"/>
        <v>0</v>
      </c>
      <c r="AR171" s="98">
        <f t="shared" ca="1" si="18"/>
        <v>0</v>
      </c>
      <c r="AS171" s="99"/>
      <c r="AT171" s="98">
        <f t="shared" si="19"/>
        <v>1</v>
      </c>
    </row>
    <row r="172" spans="1:46" ht="15.75" customHeight="1">
      <c r="A172" s="76"/>
      <c r="B172" s="77">
        <f t="shared" ca="1" si="0"/>
        <v>1</v>
      </c>
      <c r="C172" s="78">
        <f t="shared" ca="1" si="1"/>
        <v>24</v>
      </c>
      <c r="D172" s="78">
        <f t="shared" ca="1" si="2"/>
        <v>4</v>
      </c>
      <c r="E172" s="78" t="str">
        <f t="shared" ca="1" si="3"/>
        <v/>
      </c>
      <c r="F172" s="78" t="str">
        <f t="shared" ca="1" si="4"/>
        <v/>
      </c>
      <c r="G172" s="79" t="str">
        <f t="shared" ca="1" si="5"/>
        <v/>
      </c>
      <c r="H172" s="80" t="str">
        <f t="shared" ca="1" si="6"/>
        <v/>
      </c>
      <c r="I172" s="100"/>
      <c r="J172" s="111"/>
      <c r="K172" s="111" t="s">
        <v>64</v>
      </c>
      <c r="L172" s="111"/>
      <c r="M172" s="111"/>
      <c r="N172" s="111"/>
      <c r="O172" s="111"/>
      <c r="P172" s="111"/>
      <c r="Q172" s="112"/>
      <c r="R172" s="124" t="s">
        <v>60</v>
      </c>
      <c r="S172" s="114">
        <v>45827</v>
      </c>
      <c r="T172" s="115">
        <v>45827</v>
      </c>
      <c r="U172" s="114"/>
      <c r="V172" s="115"/>
      <c r="W172" s="116"/>
      <c r="X172" s="117"/>
      <c r="Y172" s="118"/>
      <c r="Z172" s="119"/>
      <c r="AA172" s="92"/>
      <c r="AB172" s="93"/>
      <c r="AC172" s="94"/>
      <c r="AD172" s="95"/>
      <c r="AE172" s="96"/>
      <c r="AF172" s="97"/>
      <c r="AG172" s="97">
        <f t="shared" ca="1" si="7"/>
        <v>0</v>
      </c>
      <c r="AH172" s="97">
        <f t="shared" ca="1" si="8"/>
        <v>0</v>
      </c>
      <c r="AI172" s="97">
        <f t="shared" si="9"/>
        <v>0</v>
      </c>
      <c r="AJ172" s="97">
        <f t="shared" ca="1" si="10"/>
        <v>0</v>
      </c>
      <c r="AK172" s="97" t="str">
        <f t="shared" ca="1" si="11"/>
        <v/>
      </c>
      <c r="AL172" s="98">
        <f t="shared" ca="1" si="12"/>
        <v>1</v>
      </c>
      <c r="AM172" s="98">
        <f t="shared" ca="1" si="13"/>
        <v>24</v>
      </c>
      <c r="AN172" s="98">
        <f t="shared" ca="1" si="14"/>
        <v>4</v>
      </c>
      <c r="AO172" s="98">
        <f t="shared" ca="1" si="15"/>
        <v>0</v>
      </c>
      <c r="AP172" s="98">
        <f t="shared" ca="1" si="16"/>
        <v>0</v>
      </c>
      <c r="AQ172" s="98">
        <f t="shared" ca="1" si="17"/>
        <v>0</v>
      </c>
      <c r="AR172" s="98">
        <f t="shared" ca="1" si="18"/>
        <v>0</v>
      </c>
      <c r="AS172" s="99"/>
      <c r="AT172" s="98">
        <f t="shared" si="19"/>
        <v>1</v>
      </c>
    </row>
    <row r="173" spans="1:46" ht="15.75" customHeight="1">
      <c r="A173" s="76"/>
      <c r="B173" s="77">
        <f t="shared" ca="1" si="0"/>
        <v>1</v>
      </c>
      <c r="C173" s="78">
        <f t="shared" ca="1" si="1"/>
        <v>24</v>
      </c>
      <c r="D173" s="78">
        <f t="shared" ca="1" si="2"/>
        <v>5</v>
      </c>
      <c r="E173" s="78" t="str">
        <f t="shared" ca="1" si="3"/>
        <v/>
      </c>
      <c r="F173" s="78" t="str">
        <f t="shared" ca="1" si="4"/>
        <v/>
      </c>
      <c r="G173" s="79" t="str">
        <f t="shared" ca="1" si="5"/>
        <v/>
      </c>
      <c r="H173" s="80" t="str">
        <f t="shared" ca="1" si="6"/>
        <v/>
      </c>
      <c r="I173" s="100"/>
      <c r="J173" s="111"/>
      <c r="K173" s="111" t="s">
        <v>65</v>
      </c>
      <c r="L173" s="111"/>
      <c r="M173" s="111"/>
      <c r="N173" s="111"/>
      <c r="O173" s="111"/>
      <c r="P173" s="111"/>
      <c r="Q173" s="112"/>
      <c r="R173" s="124" t="s">
        <v>62</v>
      </c>
      <c r="S173" s="114">
        <v>45828</v>
      </c>
      <c r="T173" s="115">
        <v>45828</v>
      </c>
      <c r="U173" s="114"/>
      <c r="V173" s="115"/>
      <c r="W173" s="116"/>
      <c r="X173" s="117"/>
      <c r="Y173" s="118"/>
      <c r="Z173" s="119"/>
      <c r="AA173" s="92"/>
      <c r="AB173" s="93"/>
      <c r="AC173" s="94"/>
      <c r="AD173" s="95"/>
      <c r="AE173" s="96"/>
      <c r="AF173" s="97"/>
      <c r="AG173" s="97">
        <f t="shared" ca="1" si="7"/>
        <v>0</v>
      </c>
      <c r="AH173" s="97">
        <f t="shared" ca="1" si="8"/>
        <v>0</v>
      </c>
      <c r="AI173" s="97">
        <f t="shared" si="9"/>
        <v>0</v>
      </c>
      <c r="AJ173" s="97">
        <f t="shared" ca="1" si="10"/>
        <v>0</v>
      </c>
      <c r="AK173" s="97" t="str">
        <f t="shared" ca="1" si="11"/>
        <v/>
      </c>
      <c r="AL173" s="98">
        <f t="shared" ca="1" si="12"/>
        <v>1</v>
      </c>
      <c r="AM173" s="98">
        <f t="shared" ca="1" si="13"/>
        <v>24</v>
      </c>
      <c r="AN173" s="98">
        <f t="shared" ca="1" si="14"/>
        <v>5</v>
      </c>
      <c r="AO173" s="98">
        <f t="shared" ca="1" si="15"/>
        <v>0</v>
      </c>
      <c r="AP173" s="98">
        <f t="shared" ca="1" si="16"/>
        <v>0</v>
      </c>
      <c r="AQ173" s="98">
        <f t="shared" ca="1" si="17"/>
        <v>0</v>
      </c>
      <c r="AR173" s="98">
        <f t="shared" ca="1" si="18"/>
        <v>0</v>
      </c>
      <c r="AS173" s="99"/>
      <c r="AT173" s="98">
        <f t="shared" si="19"/>
        <v>1</v>
      </c>
    </row>
    <row r="174" spans="1:46" ht="15.75" customHeight="1">
      <c r="A174" s="76"/>
      <c r="B174" s="77">
        <f t="shared" ca="1" si="0"/>
        <v>1</v>
      </c>
      <c r="C174" s="78">
        <f t="shared" ca="1" si="1"/>
        <v>24</v>
      </c>
      <c r="D174" s="78">
        <f t="shared" ca="1" si="2"/>
        <v>6</v>
      </c>
      <c r="E174" s="78" t="str">
        <f t="shared" ca="1" si="3"/>
        <v/>
      </c>
      <c r="F174" s="78" t="str">
        <f t="shared" ca="1" si="4"/>
        <v/>
      </c>
      <c r="G174" s="79" t="str">
        <f t="shared" ca="1" si="5"/>
        <v/>
      </c>
      <c r="H174" s="80" t="str">
        <f t="shared" ca="1" si="6"/>
        <v/>
      </c>
      <c r="I174" s="100"/>
      <c r="J174" s="111"/>
      <c r="K174" s="111" t="s">
        <v>66</v>
      </c>
      <c r="L174" s="111"/>
      <c r="M174" s="111"/>
      <c r="N174" s="111"/>
      <c r="O174" s="111"/>
      <c r="P174" s="111"/>
      <c r="Q174" s="112"/>
      <c r="R174" s="124" t="s">
        <v>60</v>
      </c>
      <c r="S174" s="114">
        <v>45831</v>
      </c>
      <c r="T174" s="115">
        <v>45832</v>
      </c>
      <c r="U174" s="114"/>
      <c r="V174" s="115"/>
      <c r="W174" s="116"/>
      <c r="X174" s="117"/>
      <c r="Y174" s="118"/>
      <c r="Z174" s="119"/>
      <c r="AA174" s="92"/>
      <c r="AB174" s="93"/>
      <c r="AC174" s="94"/>
      <c r="AD174" s="95"/>
      <c r="AE174" s="96"/>
      <c r="AF174" s="97"/>
      <c r="AG174" s="97">
        <f t="shared" ca="1" si="7"/>
        <v>0</v>
      </c>
      <c r="AH174" s="97">
        <f t="shared" ca="1" si="8"/>
        <v>0</v>
      </c>
      <c r="AI174" s="97">
        <f t="shared" si="9"/>
        <v>0</v>
      </c>
      <c r="AJ174" s="97">
        <f t="shared" ca="1" si="10"/>
        <v>0</v>
      </c>
      <c r="AK174" s="97" t="str">
        <f t="shared" ca="1" si="11"/>
        <v/>
      </c>
      <c r="AL174" s="98">
        <f t="shared" ca="1" si="12"/>
        <v>1</v>
      </c>
      <c r="AM174" s="98">
        <f t="shared" ca="1" si="13"/>
        <v>24</v>
      </c>
      <c r="AN174" s="98">
        <f t="shared" ca="1" si="14"/>
        <v>6</v>
      </c>
      <c r="AO174" s="98">
        <f t="shared" ca="1" si="15"/>
        <v>0</v>
      </c>
      <c r="AP174" s="98">
        <f t="shared" ca="1" si="16"/>
        <v>0</v>
      </c>
      <c r="AQ174" s="98">
        <f t="shared" ca="1" si="17"/>
        <v>0</v>
      </c>
      <c r="AR174" s="98">
        <f t="shared" ca="1" si="18"/>
        <v>0</v>
      </c>
      <c r="AS174" s="99"/>
      <c r="AT174" s="98">
        <f t="shared" si="19"/>
        <v>2</v>
      </c>
    </row>
    <row r="175" spans="1:46" ht="15.75" customHeight="1">
      <c r="A175" s="76"/>
      <c r="B175" s="77">
        <f t="shared" ca="1" si="0"/>
        <v>1</v>
      </c>
      <c r="C175" s="78">
        <f t="shared" ca="1" si="1"/>
        <v>25</v>
      </c>
      <c r="D175" s="78" t="str">
        <f t="shared" ca="1" si="2"/>
        <v/>
      </c>
      <c r="E175" s="78" t="str">
        <f t="shared" ca="1" si="3"/>
        <v/>
      </c>
      <c r="F175" s="78" t="str">
        <f t="shared" ca="1" si="4"/>
        <v/>
      </c>
      <c r="G175" s="79" t="str">
        <f t="shared" ca="1" si="5"/>
        <v/>
      </c>
      <c r="H175" s="80" t="str">
        <f t="shared" ca="1" si="6"/>
        <v/>
      </c>
      <c r="I175" s="100"/>
      <c r="J175" s="101" t="s">
        <v>95</v>
      </c>
      <c r="K175" s="102"/>
      <c r="L175" s="102"/>
      <c r="M175" s="102"/>
      <c r="N175" s="102"/>
      <c r="O175" s="102"/>
      <c r="P175" s="102"/>
      <c r="Q175" s="103" t="s">
        <v>73</v>
      </c>
      <c r="R175" s="104"/>
      <c r="S175" s="104"/>
      <c r="T175" s="105"/>
      <c r="U175" s="106"/>
      <c r="V175" s="105"/>
      <c r="W175" s="107"/>
      <c r="X175" s="108"/>
      <c r="Y175" s="109"/>
      <c r="Z175" s="110"/>
      <c r="AA175" s="92"/>
      <c r="AB175" s="93"/>
      <c r="AC175" s="94"/>
      <c r="AD175" s="95"/>
      <c r="AE175" s="96"/>
      <c r="AF175" s="97"/>
      <c r="AG175" s="97">
        <f t="shared" si="7"/>
        <v>0</v>
      </c>
      <c r="AH175" s="97">
        <f t="shared" si="8"/>
        <v>0</v>
      </c>
      <c r="AI175" s="97">
        <f t="shared" si="9"/>
        <v>0</v>
      </c>
      <c r="AJ175" s="97">
        <f t="shared" si="10"/>
        <v>0</v>
      </c>
      <c r="AK175" s="97" t="str">
        <f t="shared" si="11"/>
        <v/>
      </c>
      <c r="AL175" s="98">
        <f t="shared" ca="1" si="12"/>
        <v>1</v>
      </c>
      <c r="AM175" s="98">
        <f t="shared" ca="1" si="13"/>
        <v>25</v>
      </c>
      <c r="AN175" s="98">
        <f t="shared" ca="1" si="14"/>
        <v>0</v>
      </c>
      <c r="AO175" s="98">
        <f t="shared" ca="1" si="15"/>
        <v>0</v>
      </c>
      <c r="AP175" s="98">
        <f t="shared" ca="1" si="16"/>
        <v>0</v>
      </c>
      <c r="AQ175" s="98">
        <f t="shared" ca="1" si="17"/>
        <v>0</v>
      </c>
      <c r="AR175" s="98">
        <f t="shared" ca="1" si="18"/>
        <v>0</v>
      </c>
      <c r="AS175" s="99"/>
      <c r="AT175" s="98">
        <f t="shared" si="19"/>
        <v>1</v>
      </c>
    </row>
    <row r="176" spans="1:46" ht="15.75" customHeight="1">
      <c r="A176" s="76"/>
      <c r="B176" s="77">
        <f t="shared" ca="1" si="0"/>
        <v>1</v>
      </c>
      <c r="C176" s="78">
        <f t="shared" ca="1" si="1"/>
        <v>25</v>
      </c>
      <c r="D176" s="78">
        <f t="shared" ca="1" si="2"/>
        <v>1</v>
      </c>
      <c r="E176" s="78" t="str">
        <f t="shared" ca="1" si="3"/>
        <v/>
      </c>
      <c r="F176" s="78" t="str">
        <f t="shared" ca="1" si="4"/>
        <v/>
      </c>
      <c r="G176" s="79" t="str">
        <f t="shared" ca="1" si="5"/>
        <v/>
      </c>
      <c r="H176" s="80" t="str">
        <f t="shared" ca="1" si="6"/>
        <v/>
      </c>
      <c r="I176" s="100"/>
      <c r="J176" s="111"/>
      <c r="K176" s="111" t="s">
        <v>59</v>
      </c>
      <c r="L176" s="111"/>
      <c r="M176" s="111"/>
      <c r="N176" s="111"/>
      <c r="O176" s="111"/>
      <c r="P176" s="111"/>
      <c r="Q176" s="112"/>
      <c r="R176" s="120" t="s">
        <v>78</v>
      </c>
      <c r="S176" s="114">
        <v>45819</v>
      </c>
      <c r="T176" s="115">
        <v>45825</v>
      </c>
      <c r="U176" s="114">
        <v>45817</v>
      </c>
      <c r="V176" s="114">
        <v>45821</v>
      </c>
      <c r="W176" s="116">
        <v>1</v>
      </c>
      <c r="X176" s="117">
        <v>1</v>
      </c>
      <c r="Y176" s="125"/>
      <c r="Z176" s="119"/>
      <c r="AA176" s="92"/>
      <c r="AB176" s="93"/>
      <c r="AC176" s="94"/>
      <c r="AD176" s="95"/>
      <c r="AE176" s="96"/>
      <c r="AF176" s="97"/>
      <c r="AG176" s="97">
        <f t="shared" ca="1" si="7"/>
        <v>0</v>
      </c>
      <c r="AH176" s="97">
        <f t="shared" ca="1" si="8"/>
        <v>0</v>
      </c>
      <c r="AI176" s="97">
        <f t="shared" si="9"/>
        <v>0</v>
      </c>
      <c r="AJ176" s="97">
        <f t="shared" ca="1" si="10"/>
        <v>0</v>
      </c>
      <c r="AK176" s="97" t="str">
        <f t="shared" ca="1" si="11"/>
        <v/>
      </c>
      <c r="AL176" s="98">
        <f t="shared" ca="1" si="12"/>
        <v>1</v>
      </c>
      <c r="AM176" s="98">
        <f t="shared" ca="1" si="13"/>
        <v>25</v>
      </c>
      <c r="AN176" s="98">
        <f t="shared" ca="1" si="14"/>
        <v>1</v>
      </c>
      <c r="AO176" s="98">
        <f t="shared" ca="1" si="15"/>
        <v>0</v>
      </c>
      <c r="AP176" s="98">
        <f t="shared" ca="1" si="16"/>
        <v>0</v>
      </c>
      <c r="AQ176" s="98">
        <f t="shared" ca="1" si="17"/>
        <v>0</v>
      </c>
      <c r="AR176" s="98">
        <f t="shared" ca="1" si="18"/>
        <v>0</v>
      </c>
      <c r="AS176" s="99"/>
      <c r="AT176" s="98">
        <f t="shared" si="19"/>
        <v>7</v>
      </c>
    </row>
    <row r="177" spans="1:46" ht="15.75" customHeight="1">
      <c r="A177" s="76"/>
      <c r="B177" s="77">
        <f t="shared" ca="1" si="0"/>
        <v>1</v>
      </c>
      <c r="C177" s="78">
        <f t="shared" ca="1" si="1"/>
        <v>25</v>
      </c>
      <c r="D177" s="78">
        <f t="shared" ca="1" si="2"/>
        <v>2</v>
      </c>
      <c r="E177" s="78" t="str">
        <f t="shared" ca="1" si="3"/>
        <v/>
      </c>
      <c r="F177" s="78" t="str">
        <f t="shared" ca="1" si="4"/>
        <v/>
      </c>
      <c r="G177" s="79" t="str">
        <f t="shared" ca="1" si="5"/>
        <v/>
      </c>
      <c r="H177" s="80" t="str">
        <f t="shared" ca="1" si="6"/>
        <v/>
      </c>
      <c r="I177" s="100"/>
      <c r="J177" s="111"/>
      <c r="K177" s="111" t="s">
        <v>61</v>
      </c>
      <c r="L177" s="111"/>
      <c r="M177" s="111"/>
      <c r="N177" s="111"/>
      <c r="O177" s="111"/>
      <c r="P177" s="111"/>
      <c r="Q177" s="112"/>
      <c r="R177" s="123" t="s">
        <v>69</v>
      </c>
      <c r="S177" s="114">
        <v>45826</v>
      </c>
      <c r="T177" s="115">
        <v>45826</v>
      </c>
      <c r="U177" s="114">
        <v>45821</v>
      </c>
      <c r="V177" s="115"/>
      <c r="W177" s="116">
        <v>0.2</v>
      </c>
      <c r="X177" s="117">
        <v>0.1</v>
      </c>
      <c r="Y177" s="118"/>
      <c r="Z177" s="119"/>
      <c r="AA177" s="92"/>
      <c r="AB177" s="93"/>
      <c r="AC177" s="94"/>
      <c r="AD177" s="95"/>
      <c r="AE177" s="96"/>
      <c r="AF177" s="97"/>
      <c r="AG177" s="97">
        <f t="shared" ca="1" si="7"/>
        <v>0</v>
      </c>
      <c r="AH177" s="97">
        <f t="shared" ca="1" si="8"/>
        <v>0</v>
      </c>
      <c r="AI177" s="97">
        <f t="shared" si="9"/>
        <v>0</v>
      </c>
      <c r="AJ177" s="97">
        <f t="shared" ca="1" si="10"/>
        <v>0</v>
      </c>
      <c r="AK177" s="97" t="str">
        <f t="shared" ca="1" si="11"/>
        <v/>
      </c>
      <c r="AL177" s="98">
        <f t="shared" ca="1" si="12"/>
        <v>1</v>
      </c>
      <c r="AM177" s="98">
        <f t="shared" ca="1" si="13"/>
        <v>25</v>
      </c>
      <c r="AN177" s="98">
        <f t="shared" ca="1" si="14"/>
        <v>2</v>
      </c>
      <c r="AO177" s="98">
        <f t="shared" ca="1" si="15"/>
        <v>0</v>
      </c>
      <c r="AP177" s="98">
        <f t="shared" ca="1" si="16"/>
        <v>0</v>
      </c>
      <c r="AQ177" s="98">
        <f t="shared" ca="1" si="17"/>
        <v>0</v>
      </c>
      <c r="AR177" s="98">
        <f t="shared" ca="1" si="18"/>
        <v>0</v>
      </c>
      <c r="AS177" s="99"/>
      <c r="AT177" s="98">
        <f t="shared" si="19"/>
        <v>1</v>
      </c>
    </row>
    <row r="178" spans="1:46" ht="15.75" customHeight="1">
      <c r="A178" s="76"/>
      <c r="B178" s="77">
        <f t="shared" ca="1" si="0"/>
        <v>1</v>
      </c>
      <c r="C178" s="78">
        <f t="shared" ca="1" si="1"/>
        <v>25</v>
      </c>
      <c r="D178" s="78">
        <f t="shared" ca="1" si="2"/>
        <v>3</v>
      </c>
      <c r="E178" s="78" t="str">
        <f t="shared" ca="1" si="3"/>
        <v/>
      </c>
      <c r="F178" s="78" t="str">
        <f t="shared" ca="1" si="4"/>
        <v/>
      </c>
      <c r="G178" s="79" t="str">
        <f t="shared" ca="1" si="5"/>
        <v/>
      </c>
      <c r="H178" s="80" t="str">
        <f t="shared" ca="1" si="6"/>
        <v/>
      </c>
      <c r="I178" s="100"/>
      <c r="J178" s="111"/>
      <c r="K178" s="111" t="s">
        <v>63</v>
      </c>
      <c r="L178" s="111"/>
      <c r="M178" s="111"/>
      <c r="N178" s="111"/>
      <c r="O178" s="111"/>
      <c r="P178" s="111"/>
      <c r="Q178" s="112"/>
      <c r="R178" s="120" t="s">
        <v>78</v>
      </c>
      <c r="S178" s="113">
        <v>45832</v>
      </c>
      <c r="T178" s="115">
        <v>45833</v>
      </c>
      <c r="U178" s="114"/>
      <c r="V178" s="115"/>
      <c r="W178" s="116"/>
      <c r="X178" s="117"/>
      <c r="Y178" s="118"/>
      <c r="Z178" s="119"/>
      <c r="AA178" s="92"/>
      <c r="AB178" s="93"/>
      <c r="AC178" s="94"/>
      <c r="AD178" s="95"/>
      <c r="AE178" s="96"/>
      <c r="AF178" s="97"/>
      <c r="AG178" s="97">
        <f t="shared" ca="1" si="7"/>
        <v>0</v>
      </c>
      <c r="AH178" s="97">
        <f t="shared" ca="1" si="8"/>
        <v>0</v>
      </c>
      <c r="AI178" s="97">
        <f t="shared" si="9"/>
        <v>0</v>
      </c>
      <c r="AJ178" s="97">
        <f t="shared" ca="1" si="10"/>
        <v>0</v>
      </c>
      <c r="AK178" s="97" t="str">
        <f t="shared" ca="1" si="11"/>
        <v/>
      </c>
      <c r="AL178" s="98">
        <f t="shared" ca="1" si="12"/>
        <v>1</v>
      </c>
      <c r="AM178" s="98">
        <f t="shared" ca="1" si="13"/>
        <v>25</v>
      </c>
      <c r="AN178" s="98">
        <f t="shared" ca="1" si="14"/>
        <v>3</v>
      </c>
      <c r="AO178" s="98">
        <f t="shared" ca="1" si="15"/>
        <v>0</v>
      </c>
      <c r="AP178" s="98">
        <f t="shared" ca="1" si="16"/>
        <v>0</v>
      </c>
      <c r="AQ178" s="98">
        <f t="shared" ca="1" si="17"/>
        <v>0</v>
      </c>
      <c r="AR178" s="98">
        <f t="shared" ca="1" si="18"/>
        <v>0</v>
      </c>
      <c r="AS178" s="99"/>
      <c r="AT178" s="98">
        <f t="shared" si="19"/>
        <v>2</v>
      </c>
    </row>
    <row r="179" spans="1:46" ht="15.75" customHeight="1">
      <c r="A179" s="76"/>
      <c r="B179" s="77">
        <f t="shared" ca="1" si="0"/>
        <v>1</v>
      </c>
      <c r="C179" s="78">
        <f t="shared" ca="1" si="1"/>
        <v>25</v>
      </c>
      <c r="D179" s="78">
        <f t="shared" ca="1" si="2"/>
        <v>4</v>
      </c>
      <c r="E179" s="78" t="str">
        <f t="shared" ca="1" si="3"/>
        <v/>
      </c>
      <c r="F179" s="78" t="str">
        <f t="shared" ca="1" si="4"/>
        <v/>
      </c>
      <c r="G179" s="79" t="str">
        <f t="shared" ca="1" si="5"/>
        <v/>
      </c>
      <c r="H179" s="80" t="str">
        <f t="shared" ca="1" si="6"/>
        <v/>
      </c>
      <c r="I179" s="100"/>
      <c r="J179" s="111"/>
      <c r="K179" s="111" t="s">
        <v>64</v>
      </c>
      <c r="L179" s="111"/>
      <c r="M179" s="111"/>
      <c r="N179" s="111"/>
      <c r="O179" s="111"/>
      <c r="P179" s="111"/>
      <c r="Q179" s="112"/>
      <c r="R179" s="123" t="s">
        <v>69</v>
      </c>
      <c r="S179" s="113">
        <v>45834</v>
      </c>
      <c r="T179" s="115">
        <v>45834</v>
      </c>
      <c r="U179" s="114"/>
      <c r="V179" s="115"/>
      <c r="W179" s="116"/>
      <c r="X179" s="117"/>
      <c r="Y179" s="118"/>
      <c r="Z179" s="119"/>
      <c r="AA179" s="92"/>
      <c r="AB179" s="93"/>
      <c r="AC179" s="94"/>
      <c r="AD179" s="95"/>
      <c r="AE179" s="96"/>
      <c r="AF179" s="97"/>
      <c r="AG179" s="97">
        <f t="shared" ca="1" si="7"/>
        <v>0</v>
      </c>
      <c r="AH179" s="97">
        <f t="shared" ca="1" si="8"/>
        <v>0</v>
      </c>
      <c r="AI179" s="97">
        <f t="shared" si="9"/>
        <v>0</v>
      </c>
      <c r="AJ179" s="97">
        <f t="shared" ca="1" si="10"/>
        <v>0</v>
      </c>
      <c r="AK179" s="97" t="str">
        <f t="shared" ca="1" si="11"/>
        <v/>
      </c>
      <c r="AL179" s="98">
        <f t="shared" ca="1" si="12"/>
        <v>1</v>
      </c>
      <c r="AM179" s="98">
        <f t="shared" ca="1" si="13"/>
        <v>25</v>
      </c>
      <c r="AN179" s="98">
        <f t="shared" ca="1" si="14"/>
        <v>4</v>
      </c>
      <c r="AO179" s="98">
        <f t="shared" ca="1" si="15"/>
        <v>0</v>
      </c>
      <c r="AP179" s="98">
        <f t="shared" ca="1" si="16"/>
        <v>0</v>
      </c>
      <c r="AQ179" s="98">
        <f t="shared" ca="1" si="17"/>
        <v>0</v>
      </c>
      <c r="AR179" s="98">
        <f t="shared" ca="1" si="18"/>
        <v>0</v>
      </c>
      <c r="AS179" s="99"/>
      <c r="AT179" s="98">
        <f t="shared" si="19"/>
        <v>1</v>
      </c>
    </row>
    <row r="180" spans="1:46" ht="15.75" customHeight="1">
      <c r="A180" s="76"/>
      <c r="B180" s="77">
        <f t="shared" ca="1" si="0"/>
        <v>1</v>
      </c>
      <c r="C180" s="78">
        <f t="shared" ca="1" si="1"/>
        <v>25</v>
      </c>
      <c r="D180" s="78">
        <f t="shared" ca="1" si="2"/>
        <v>5</v>
      </c>
      <c r="E180" s="78" t="str">
        <f t="shared" ca="1" si="3"/>
        <v/>
      </c>
      <c r="F180" s="78" t="str">
        <f t="shared" ca="1" si="4"/>
        <v/>
      </c>
      <c r="G180" s="79" t="str">
        <f t="shared" ca="1" si="5"/>
        <v/>
      </c>
      <c r="H180" s="80" t="str">
        <f t="shared" ca="1" si="6"/>
        <v/>
      </c>
      <c r="I180" s="100"/>
      <c r="J180" s="111"/>
      <c r="K180" s="111" t="s">
        <v>65</v>
      </c>
      <c r="L180" s="111"/>
      <c r="M180" s="111"/>
      <c r="N180" s="111"/>
      <c r="O180" s="111"/>
      <c r="P180" s="111"/>
      <c r="Q180" s="112"/>
      <c r="R180" s="120" t="s">
        <v>78</v>
      </c>
      <c r="S180" s="113">
        <v>45835</v>
      </c>
      <c r="T180" s="115">
        <v>45835</v>
      </c>
      <c r="U180" s="114"/>
      <c r="V180" s="115"/>
      <c r="W180" s="116"/>
      <c r="X180" s="117"/>
      <c r="Y180" s="118"/>
      <c r="Z180" s="119"/>
      <c r="AA180" s="92"/>
      <c r="AB180" s="93"/>
      <c r="AC180" s="94"/>
      <c r="AD180" s="95"/>
      <c r="AE180" s="96"/>
      <c r="AF180" s="97"/>
      <c r="AG180" s="97">
        <f t="shared" ca="1" si="7"/>
        <v>0</v>
      </c>
      <c r="AH180" s="97">
        <f t="shared" ca="1" si="8"/>
        <v>0</v>
      </c>
      <c r="AI180" s="97">
        <f t="shared" si="9"/>
        <v>0</v>
      </c>
      <c r="AJ180" s="97">
        <f t="shared" ca="1" si="10"/>
        <v>0</v>
      </c>
      <c r="AK180" s="97" t="str">
        <f t="shared" ca="1" si="11"/>
        <v/>
      </c>
      <c r="AL180" s="98">
        <f t="shared" ca="1" si="12"/>
        <v>1</v>
      </c>
      <c r="AM180" s="98">
        <f t="shared" ca="1" si="13"/>
        <v>25</v>
      </c>
      <c r="AN180" s="98">
        <f t="shared" ca="1" si="14"/>
        <v>5</v>
      </c>
      <c r="AO180" s="98">
        <f t="shared" ca="1" si="15"/>
        <v>0</v>
      </c>
      <c r="AP180" s="98">
        <f t="shared" ca="1" si="16"/>
        <v>0</v>
      </c>
      <c r="AQ180" s="98">
        <f t="shared" ca="1" si="17"/>
        <v>0</v>
      </c>
      <c r="AR180" s="98">
        <f t="shared" ca="1" si="18"/>
        <v>0</v>
      </c>
      <c r="AS180" s="99"/>
      <c r="AT180" s="98">
        <f t="shared" si="19"/>
        <v>1</v>
      </c>
    </row>
    <row r="181" spans="1:46" ht="15.75" customHeight="1">
      <c r="A181" s="76"/>
      <c r="B181" s="77">
        <f t="shared" ca="1" si="0"/>
        <v>1</v>
      </c>
      <c r="C181" s="78">
        <f t="shared" ca="1" si="1"/>
        <v>25</v>
      </c>
      <c r="D181" s="78">
        <f t="shared" ca="1" si="2"/>
        <v>6</v>
      </c>
      <c r="E181" s="78" t="str">
        <f t="shared" ca="1" si="3"/>
        <v/>
      </c>
      <c r="F181" s="78" t="str">
        <f t="shared" ca="1" si="4"/>
        <v/>
      </c>
      <c r="G181" s="79" t="str">
        <f t="shared" ca="1" si="5"/>
        <v/>
      </c>
      <c r="H181" s="80" t="str">
        <f t="shared" ca="1" si="6"/>
        <v/>
      </c>
      <c r="I181" s="100"/>
      <c r="J181" s="111"/>
      <c r="K181" s="111" t="s">
        <v>66</v>
      </c>
      <c r="L181" s="111"/>
      <c r="M181" s="111"/>
      <c r="N181" s="111"/>
      <c r="O181" s="111"/>
      <c r="P181" s="111"/>
      <c r="Q181" s="112"/>
      <c r="R181" s="123" t="s">
        <v>69</v>
      </c>
      <c r="S181" s="113">
        <v>45838</v>
      </c>
      <c r="T181" s="115">
        <v>45838</v>
      </c>
      <c r="U181" s="114"/>
      <c r="V181" s="115"/>
      <c r="W181" s="116"/>
      <c r="X181" s="117"/>
      <c r="Y181" s="118"/>
      <c r="Z181" s="119"/>
      <c r="AA181" s="92"/>
      <c r="AB181" s="93"/>
      <c r="AC181" s="94"/>
      <c r="AD181" s="95"/>
      <c r="AE181" s="96"/>
      <c r="AF181" s="97"/>
      <c r="AG181" s="97">
        <f t="shared" ca="1" si="7"/>
        <v>0</v>
      </c>
      <c r="AH181" s="97">
        <f t="shared" ca="1" si="8"/>
        <v>0</v>
      </c>
      <c r="AI181" s="97">
        <f t="shared" si="9"/>
        <v>0</v>
      </c>
      <c r="AJ181" s="97">
        <f t="shared" ca="1" si="10"/>
        <v>0</v>
      </c>
      <c r="AK181" s="97" t="str">
        <f t="shared" ca="1" si="11"/>
        <v/>
      </c>
      <c r="AL181" s="98">
        <f t="shared" ca="1" si="12"/>
        <v>1</v>
      </c>
      <c r="AM181" s="98">
        <f t="shared" ca="1" si="13"/>
        <v>25</v>
      </c>
      <c r="AN181" s="98">
        <f t="shared" ca="1" si="14"/>
        <v>6</v>
      </c>
      <c r="AO181" s="98">
        <f t="shared" ca="1" si="15"/>
        <v>0</v>
      </c>
      <c r="AP181" s="98">
        <f t="shared" ca="1" si="16"/>
        <v>0</v>
      </c>
      <c r="AQ181" s="98">
        <f t="shared" ca="1" si="17"/>
        <v>0</v>
      </c>
      <c r="AR181" s="98">
        <f t="shared" ca="1" si="18"/>
        <v>0</v>
      </c>
      <c r="AS181" s="99"/>
      <c r="AT181" s="98">
        <f t="shared" si="19"/>
        <v>1</v>
      </c>
    </row>
    <row r="182" spans="1:46" ht="15.75" customHeight="1">
      <c r="A182" s="76"/>
      <c r="B182" s="77">
        <f t="shared" ca="1" si="0"/>
        <v>1</v>
      </c>
      <c r="C182" s="78">
        <f t="shared" ca="1" si="1"/>
        <v>26</v>
      </c>
      <c r="D182" s="78" t="str">
        <f t="shared" ca="1" si="2"/>
        <v/>
      </c>
      <c r="E182" s="78" t="str">
        <f t="shared" ca="1" si="3"/>
        <v/>
      </c>
      <c r="F182" s="78" t="str">
        <f t="shared" ca="1" si="4"/>
        <v/>
      </c>
      <c r="G182" s="79" t="str">
        <f t="shared" ca="1" si="5"/>
        <v/>
      </c>
      <c r="H182" s="80" t="str">
        <f t="shared" ca="1" si="6"/>
        <v/>
      </c>
      <c r="I182" s="100"/>
      <c r="J182" s="101" t="s">
        <v>96</v>
      </c>
      <c r="K182" s="102"/>
      <c r="L182" s="102"/>
      <c r="M182" s="102"/>
      <c r="N182" s="102"/>
      <c r="O182" s="102"/>
      <c r="P182" s="102"/>
      <c r="Q182" s="103" t="s">
        <v>81</v>
      </c>
      <c r="R182" s="104"/>
      <c r="S182" s="104"/>
      <c r="T182" s="105"/>
      <c r="U182" s="106"/>
      <c r="V182" s="105"/>
      <c r="W182" s="107"/>
      <c r="X182" s="108"/>
      <c r="Y182" s="109"/>
      <c r="Z182" s="110"/>
      <c r="AA182" s="92"/>
      <c r="AB182" s="93"/>
      <c r="AC182" s="94"/>
      <c r="AD182" s="95"/>
      <c r="AE182" s="96"/>
      <c r="AF182" s="97"/>
      <c r="AG182" s="97">
        <f t="shared" si="7"/>
        <v>0</v>
      </c>
      <c r="AH182" s="97">
        <f t="shared" si="8"/>
        <v>0</v>
      </c>
      <c r="AI182" s="97">
        <f t="shared" si="9"/>
        <v>0</v>
      </c>
      <c r="AJ182" s="97">
        <f t="shared" si="10"/>
        <v>0</v>
      </c>
      <c r="AK182" s="97" t="str">
        <f t="shared" si="11"/>
        <v/>
      </c>
      <c r="AL182" s="98">
        <f t="shared" ca="1" si="12"/>
        <v>1</v>
      </c>
      <c r="AM182" s="98">
        <f t="shared" ca="1" si="13"/>
        <v>26</v>
      </c>
      <c r="AN182" s="98">
        <f t="shared" ca="1" si="14"/>
        <v>0</v>
      </c>
      <c r="AO182" s="98">
        <f t="shared" ca="1" si="15"/>
        <v>0</v>
      </c>
      <c r="AP182" s="98">
        <f t="shared" ca="1" si="16"/>
        <v>0</v>
      </c>
      <c r="AQ182" s="98">
        <f t="shared" ca="1" si="17"/>
        <v>0</v>
      </c>
      <c r="AR182" s="98">
        <f t="shared" ca="1" si="18"/>
        <v>0</v>
      </c>
      <c r="AS182" s="99"/>
      <c r="AT182" s="98">
        <f t="shared" si="19"/>
        <v>1</v>
      </c>
    </row>
    <row r="183" spans="1:46" ht="15.75" customHeight="1">
      <c r="A183" s="76"/>
      <c r="B183" s="77">
        <f t="shared" ca="1" si="0"/>
        <v>1</v>
      </c>
      <c r="C183" s="78">
        <f t="shared" ca="1" si="1"/>
        <v>26</v>
      </c>
      <c r="D183" s="78">
        <f t="shared" ca="1" si="2"/>
        <v>1</v>
      </c>
      <c r="E183" s="78" t="str">
        <f t="shared" ca="1" si="3"/>
        <v/>
      </c>
      <c r="F183" s="78" t="str">
        <f t="shared" ca="1" si="4"/>
        <v/>
      </c>
      <c r="G183" s="79" t="str">
        <f t="shared" ca="1" si="5"/>
        <v/>
      </c>
      <c r="H183" s="80" t="str">
        <f t="shared" ca="1" si="6"/>
        <v/>
      </c>
      <c r="I183" s="100"/>
      <c r="J183" s="111"/>
      <c r="K183" s="111" t="s">
        <v>59</v>
      </c>
      <c r="L183" s="111"/>
      <c r="M183" s="111"/>
      <c r="N183" s="111"/>
      <c r="O183" s="111"/>
      <c r="P183" s="111"/>
      <c r="Q183" s="112"/>
      <c r="R183" s="124" t="s">
        <v>69</v>
      </c>
      <c r="S183" s="114">
        <v>45812</v>
      </c>
      <c r="T183" s="114">
        <v>45814</v>
      </c>
      <c r="U183" s="114">
        <v>45812</v>
      </c>
      <c r="V183" s="114">
        <v>45814</v>
      </c>
      <c r="W183" s="116">
        <v>1</v>
      </c>
      <c r="X183" s="117">
        <v>1</v>
      </c>
      <c r="Y183" s="118"/>
      <c r="Z183" s="119"/>
      <c r="AA183" s="92"/>
      <c r="AB183" s="93"/>
      <c r="AC183" s="94"/>
      <c r="AD183" s="95"/>
      <c r="AE183" s="96"/>
      <c r="AF183" s="97"/>
      <c r="AG183" s="97">
        <f t="shared" ca="1" si="7"/>
        <v>0</v>
      </c>
      <c r="AH183" s="97">
        <f t="shared" ca="1" si="8"/>
        <v>0</v>
      </c>
      <c r="AI183" s="97">
        <f t="shared" si="9"/>
        <v>0</v>
      </c>
      <c r="AJ183" s="97">
        <f t="shared" ca="1" si="10"/>
        <v>0</v>
      </c>
      <c r="AK183" s="97" t="str">
        <f t="shared" ca="1" si="11"/>
        <v/>
      </c>
      <c r="AL183" s="98">
        <f t="shared" ca="1" si="12"/>
        <v>1</v>
      </c>
      <c r="AM183" s="98">
        <f t="shared" ca="1" si="13"/>
        <v>26</v>
      </c>
      <c r="AN183" s="98">
        <f t="shared" ca="1" si="14"/>
        <v>1</v>
      </c>
      <c r="AO183" s="98">
        <f t="shared" ca="1" si="15"/>
        <v>0</v>
      </c>
      <c r="AP183" s="98">
        <f t="shared" ca="1" si="16"/>
        <v>0</v>
      </c>
      <c r="AQ183" s="98">
        <f t="shared" ca="1" si="17"/>
        <v>0</v>
      </c>
      <c r="AR183" s="98">
        <f t="shared" ca="1" si="18"/>
        <v>0</v>
      </c>
      <c r="AS183" s="99"/>
      <c r="AT183" s="98">
        <f t="shared" si="19"/>
        <v>3</v>
      </c>
    </row>
    <row r="184" spans="1:46" ht="15.75" customHeight="1">
      <c r="A184" s="76"/>
      <c r="B184" s="77">
        <f t="shared" ca="1" si="0"/>
        <v>1</v>
      </c>
      <c r="C184" s="78">
        <f t="shared" ca="1" si="1"/>
        <v>26</v>
      </c>
      <c r="D184" s="78">
        <f t="shared" ca="1" si="2"/>
        <v>2</v>
      </c>
      <c r="E184" s="78" t="str">
        <f t="shared" ca="1" si="3"/>
        <v/>
      </c>
      <c r="F184" s="78" t="str">
        <f t="shared" ca="1" si="4"/>
        <v/>
      </c>
      <c r="G184" s="79" t="str">
        <f t="shared" ca="1" si="5"/>
        <v/>
      </c>
      <c r="H184" s="80" t="str">
        <f t="shared" ca="1" si="6"/>
        <v/>
      </c>
      <c r="I184" s="100"/>
      <c r="J184" s="111"/>
      <c r="K184" s="111" t="s">
        <v>61</v>
      </c>
      <c r="L184" s="111"/>
      <c r="M184" s="111"/>
      <c r="N184" s="111"/>
      <c r="O184" s="111"/>
      <c r="P184" s="111"/>
      <c r="Q184" s="112"/>
      <c r="R184" s="124" t="s">
        <v>78</v>
      </c>
      <c r="S184" s="114">
        <v>45814</v>
      </c>
      <c r="T184" s="114">
        <v>45814</v>
      </c>
      <c r="U184" s="114">
        <v>45814</v>
      </c>
      <c r="V184" s="114">
        <v>45814</v>
      </c>
      <c r="W184" s="116">
        <v>1</v>
      </c>
      <c r="X184" s="117">
        <v>1</v>
      </c>
      <c r="Y184" s="118"/>
      <c r="Z184" s="119"/>
      <c r="AA184" s="92"/>
      <c r="AB184" s="93"/>
      <c r="AC184" s="94"/>
      <c r="AD184" s="95"/>
      <c r="AE184" s="96"/>
      <c r="AF184" s="97"/>
      <c r="AG184" s="97">
        <f t="shared" ca="1" si="7"/>
        <v>0</v>
      </c>
      <c r="AH184" s="97">
        <f t="shared" ca="1" si="8"/>
        <v>0</v>
      </c>
      <c r="AI184" s="97">
        <f t="shared" si="9"/>
        <v>0</v>
      </c>
      <c r="AJ184" s="97">
        <f t="shared" ca="1" si="10"/>
        <v>0</v>
      </c>
      <c r="AK184" s="97" t="str">
        <f t="shared" ca="1" si="11"/>
        <v/>
      </c>
      <c r="AL184" s="98">
        <f t="shared" ca="1" si="12"/>
        <v>1</v>
      </c>
      <c r="AM184" s="98">
        <f t="shared" ca="1" si="13"/>
        <v>26</v>
      </c>
      <c r="AN184" s="98">
        <f t="shared" ca="1" si="14"/>
        <v>2</v>
      </c>
      <c r="AO184" s="98">
        <f t="shared" ca="1" si="15"/>
        <v>0</v>
      </c>
      <c r="AP184" s="98">
        <f t="shared" ca="1" si="16"/>
        <v>0</v>
      </c>
      <c r="AQ184" s="98">
        <f t="shared" ca="1" si="17"/>
        <v>0</v>
      </c>
      <c r="AR184" s="98">
        <f t="shared" ca="1" si="18"/>
        <v>0</v>
      </c>
      <c r="AS184" s="99"/>
      <c r="AT184" s="98">
        <f t="shared" si="19"/>
        <v>1</v>
      </c>
    </row>
    <row r="185" spans="1:46" ht="15.75" customHeight="1">
      <c r="A185" s="76"/>
      <c r="B185" s="77">
        <f t="shared" ca="1" si="0"/>
        <v>1</v>
      </c>
      <c r="C185" s="78">
        <f t="shared" ca="1" si="1"/>
        <v>26</v>
      </c>
      <c r="D185" s="78">
        <f t="shared" ca="1" si="2"/>
        <v>3</v>
      </c>
      <c r="E185" s="78" t="str">
        <f t="shared" ca="1" si="3"/>
        <v/>
      </c>
      <c r="F185" s="78" t="str">
        <f t="shared" ca="1" si="4"/>
        <v/>
      </c>
      <c r="G185" s="79" t="str">
        <f t="shared" ca="1" si="5"/>
        <v/>
      </c>
      <c r="H185" s="80" t="str">
        <f t="shared" ca="1" si="6"/>
        <v/>
      </c>
      <c r="I185" s="100"/>
      <c r="J185" s="111"/>
      <c r="K185" s="111" t="s">
        <v>63</v>
      </c>
      <c r="L185" s="111"/>
      <c r="M185" s="111"/>
      <c r="N185" s="111"/>
      <c r="O185" s="111"/>
      <c r="P185" s="111"/>
      <c r="Q185" s="112"/>
      <c r="R185" s="124" t="s">
        <v>69</v>
      </c>
      <c r="S185" s="114">
        <v>45827</v>
      </c>
      <c r="T185" s="115">
        <v>45827</v>
      </c>
      <c r="U185" s="114"/>
      <c r="V185" s="115"/>
      <c r="W185" s="116"/>
      <c r="X185" s="117"/>
      <c r="Y185" s="118"/>
      <c r="Z185" s="119"/>
      <c r="AA185" s="92"/>
      <c r="AB185" s="93"/>
      <c r="AC185" s="94"/>
      <c r="AD185" s="95"/>
      <c r="AE185" s="96"/>
      <c r="AF185" s="97"/>
      <c r="AG185" s="97">
        <f t="shared" ca="1" si="7"/>
        <v>0</v>
      </c>
      <c r="AH185" s="97">
        <f t="shared" ca="1" si="8"/>
        <v>0</v>
      </c>
      <c r="AI185" s="97">
        <f t="shared" si="9"/>
        <v>0</v>
      </c>
      <c r="AJ185" s="97">
        <f t="shared" ca="1" si="10"/>
        <v>0</v>
      </c>
      <c r="AK185" s="97" t="str">
        <f t="shared" ca="1" si="11"/>
        <v/>
      </c>
      <c r="AL185" s="98">
        <f t="shared" ca="1" si="12"/>
        <v>1</v>
      </c>
      <c r="AM185" s="98">
        <f t="shared" ca="1" si="13"/>
        <v>26</v>
      </c>
      <c r="AN185" s="98">
        <f t="shared" ca="1" si="14"/>
        <v>3</v>
      </c>
      <c r="AO185" s="98">
        <f t="shared" ca="1" si="15"/>
        <v>0</v>
      </c>
      <c r="AP185" s="98">
        <f t="shared" ca="1" si="16"/>
        <v>0</v>
      </c>
      <c r="AQ185" s="98">
        <f t="shared" ca="1" si="17"/>
        <v>0</v>
      </c>
      <c r="AR185" s="98">
        <f t="shared" ca="1" si="18"/>
        <v>0</v>
      </c>
      <c r="AS185" s="99"/>
      <c r="AT185" s="98">
        <f t="shared" si="19"/>
        <v>1</v>
      </c>
    </row>
    <row r="186" spans="1:46" ht="15.75" customHeight="1">
      <c r="A186" s="76"/>
      <c r="B186" s="77">
        <f t="shared" ca="1" si="0"/>
        <v>1</v>
      </c>
      <c r="C186" s="78">
        <f t="shared" ca="1" si="1"/>
        <v>26</v>
      </c>
      <c r="D186" s="78">
        <f t="shared" ca="1" si="2"/>
        <v>4</v>
      </c>
      <c r="E186" s="78" t="str">
        <f t="shared" ca="1" si="3"/>
        <v/>
      </c>
      <c r="F186" s="78" t="str">
        <f t="shared" ca="1" si="4"/>
        <v/>
      </c>
      <c r="G186" s="79" t="str">
        <f t="shared" ca="1" si="5"/>
        <v/>
      </c>
      <c r="H186" s="80" t="str">
        <f t="shared" ca="1" si="6"/>
        <v/>
      </c>
      <c r="I186" s="100"/>
      <c r="J186" s="111"/>
      <c r="K186" s="111" t="s">
        <v>64</v>
      </c>
      <c r="L186" s="111"/>
      <c r="M186" s="111"/>
      <c r="N186" s="111"/>
      <c r="O186" s="111"/>
      <c r="P186" s="111"/>
      <c r="Q186" s="112"/>
      <c r="R186" s="124" t="s">
        <v>70</v>
      </c>
      <c r="S186" s="114">
        <v>45827</v>
      </c>
      <c r="T186" s="115">
        <v>45827</v>
      </c>
      <c r="U186" s="114"/>
      <c r="V186" s="115"/>
      <c r="W186" s="116"/>
      <c r="X186" s="117"/>
      <c r="Y186" s="118"/>
      <c r="Z186" s="119"/>
      <c r="AA186" s="92"/>
      <c r="AB186" s="93"/>
      <c r="AC186" s="94"/>
      <c r="AD186" s="95"/>
      <c r="AE186" s="96"/>
      <c r="AF186" s="97"/>
      <c r="AG186" s="97">
        <f t="shared" ca="1" si="7"/>
        <v>0</v>
      </c>
      <c r="AH186" s="97">
        <f t="shared" ca="1" si="8"/>
        <v>0</v>
      </c>
      <c r="AI186" s="97">
        <f t="shared" si="9"/>
        <v>0</v>
      </c>
      <c r="AJ186" s="97">
        <f t="shared" ca="1" si="10"/>
        <v>0</v>
      </c>
      <c r="AK186" s="97" t="str">
        <f t="shared" ca="1" si="11"/>
        <v/>
      </c>
      <c r="AL186" s="98">
        <f t="shared" ca="1" si="12"/>
        <v>1</v>
      </c>
      <c r="AM186" s="98">
        <f t="shared" ca="1" si="13"/>
        <v>26</v>
      </c>
      <c r="AN186" s="98">
        <f t="shared" ca="1" si="14"/>
        <v>4</v>
      </c>
      <c r="AO186" s="98">
        <f t="shared" ca="1" si="15"/>
        <v>0</v>
      </c>
      <c r="AP186" s="98">
        <f t="shared" ca="1" si="16"/>
        <v>0</v>
      </c>
      <c r="AQ186" s="98">
        <f t="shared" ca="1" si="17"/>
        <v>0</v>
      </c>
      <c r="AR186" s="98">
        <f t="shared" ca="1" si="18"/>
        <v>0</v>
      </c>
      <c r="AS186" s="99"/>
      <c r="AT186" s="98">
        <f t="shared" si="19"/>
        <v>1</v>
      </c>
    </row>
    <row r="187" spans="1:46" ht="15.75" customHeight="1">
      <c r="A187" s="76"/>
      <c r="B187" s="77">
        <f t="shared" ca="1" si="0"/>
        <v>1</v>
      </c>
      <c r="C187" s="78">
        <f t="shared" ca="1" si="1"/>
        <v>26</v>
      </c>
      <c r="D187" s="78">
        <f t="shared" ca="1" si="2"/>
        <v>5</v>
      </c>
      <c r="E187" s="78" t="str">
        <f t="shared" ca="1" si="3"/>
        <v/>
      </c>
      <c r="F187" s="78" t="str">
        <f t="shared" ca="1" si="4"/>
        <v/>
      </c>
      <c r="G187" s="79" t="str">
        <f t="shared" ca="1" si="5"/>
        <v/>
      </c>
      <c r="H187" s="80" t="str">
        <f t="shared" ca="1" si="6"/>
        <v/>
      </c>
      <c r="I187" s="100"/>
      <c r="J187" s="111"/>
      <c r="K187" s="111" t="s">
        <v>65</v>
      </c>
      <c r="L187" s="111"/>
      <c r="M187" s="111"/>
      <c r="N187" s="111"/>
      <c r="O187" s="111"/>
      <c r="P187" s="111"/>
      <c r="Q187" s="112"/>
      <c r="R187" s="124" t="s">
        <v>69</v>
      </c>
      <c r="S187" s="114">
        <v>45828</v>
      </c>
      <c r="T187" s="115">
        <v>45828</v>
      </c>
      <c r="U187" s="114"/>
      <c r="V187" s="115"/>
      <c r="W187" s="116"/>
      <c r="X187" s="117"/>
      <c r="Y187" s="118"/>
      <c r="Z187" s="119"/>
      <c r="AA187" s="92"/>
      <c r="AB187" s="93"/>
      <c r="AC187" s="94"/>
      <c r="AD187" s="95"/>
      <c r="AE187" s="96"/>
      <c r="AF187" s="97"/>
      <c r="AG187" s="97">
        <f t="shared" ca="1" si="7"/>
        <v>0</v>
      </c>
      <c r="AH187" s="97">
        <f t="shared" ca="1" si="8"/>
        <v>0</v>
      </c>
      <c r="AI187" s="97">
        <f t="shared" si="9"/>
        <v>0</v>
      </c>
      <c r="AJ187" s="97">
        <f t="shared" ca="1" si="10"/>
        <v>0</v>
      </c>
      <c r="AK187" s="97" t="str">
        <f t="shared" ca="1" si="11"/>
        <v/>
      </c>
      <c r="AL187" s="98">
        <f t="shared" ca="1" si="12"/>
        <v>1</v>
      </c>
      <c r="AM187" s="98">
        <f t="shared" ca="1" si="13"/>
        <v>26</v>
      </c>
      <c r="AN187" s="98">
        <f t="shared" ca="1" si="14"/>
        <v>5</v>
      </c>
      <c r="AO187" s="98">
        <f t="shared" ca="1" si="15"/>
        <v>0</v>
      </c>
      <c r="AP187" s="98">
        <f t="shared" ca="1" si="16"/>
        <v>0</v>
      </c>
      <c r="AQ187" s="98">
        <f t="shared" ca="1" si="17"/>
        <v>0</v>
      </c>
      <c r="AR187" s="98">
        <f t="shared" ca="1" si="18"/>
        <v>0</v>
      </c>
      <c r="AS187" s="99"/>
      <c r="AT187" s="98">
        <f t="shared" si="19"/>
        <v>1</v>
      </c>
    </row>
    <row r="188" spans="1:46" ht="15.75" customHeight="1">
      <c r="A188" s="76"/>
      <c r="B188" s="77">
        <f t="shared" ca="1" si="0"/>
        <v>1</v>
      </c>
      <c r="C188" s="78">
        <f t="shared" ca="1" si="1"/>
        <v>26</v>
      </c>
      <c r="D188" s="78">
        <f t="shared" ca="1" si="2"/>
        <v>6</v>
      </c>
      <c r="E188" s="78" t="str">
        <f t="shared" ca="1" si="3"/>
        <v/>
      </c>
      <c r="F188" s="78" t="str">
        <f t="shared" ca="1" si="4"/>
        <v/>
      </c>
      <c r="G188" s="79" t="str">
        <f t="shared" ca="1" si="5"/>
        <v/>
      </c>
      <c r="H188" s="80" t="str">
        <f t="shared" ca="1" si="6"/>
        <v/>
      </c>
      <c r="I188" s="100"/>
      <c r="J188" s="111"/>
      <c r="K188" s="111" t="s">
        <v>66</v>
      </c>
      <c r="L188" s="111"/>
      <c r="M188" s="111"/>
      <c r="N188" s="111"/>
      <c r="O188" s="111"/>
      <c r="P188" s="111"/>
      <c r="Q188" s="112"/>
      <c r="R188" s="124" t="s">
        <v>70</v>
      </c>
      <c r="S188" s="114">
        <v>45831</v>
      </c>
      <c r="T188" s="115">
        <v>45832</v>
      </c>
      <c r="U188" s="114"/>
      <c r="V188" s="115"/>
      <c r="W188" s="116"/>
      <c r="X188" s="117"/>
      <c r="Y188" s="118"/>
      <c r="Z188" s="119"/>
      <c r="AA188" s="92"/>
      <c r="AB188" s="93"/>
      <c r="AC188" s="94"/>
      <c r="AD188" s="95"/>
      <c r="AE188" s="96"/>
      <c r="AF188" s="97"/>
      <c r="AG188" s="97">
        <f t="shared" ca="1" si="7"/>
        <v>0</v>
      </c>
      <c r="AH188" s="97">
        <f t="shared" ca="1" si="8"/>
        <v>0</v>
      </c>
      <c r="AI188" s="97">
        <f t="shared" si="9"/>
        <v>0</v>
      </c>
      <c r="AJ188" s="97">
        <f t="shared" ca="1" si="10"/>
        <v>0</v>
      </c>
      <c r="AK188" s="97" t="str">
        <f t="shared" ca="1" si="11"/>
        <v/>
      </c>
      <c r="AL188" s="98">
        <f t="shared" ca="1" si="12"/>
        <v>1</v>
      </c>
      <c r="AM188" s="98">
        <f t="shared" ca="1" si="13"/>
        <v>26</v>
      </c>
      <c r="AN188" s="98">
        <f t="shared" ca="1" si="14"/>
        <v>6</v>
      </c>
      <c r="AO188" s="98">
        <f t="shared" ca="1" si="15"/>
        <v>0</v>
      </c>
      <c r="AP188" s="98">
        <f t="shared" ca="1" si="16"/>
        <v>0</v>
      </c>
      <c r="AQ188" s="98">
        <f t="shared" ca="1" si="17"/>
        <v>0</v>
      </c>
      <c r="AR188" s="98">
        <f t="shared" ca="1" si="18"/>
        <v>0</v>
      </c>
      <c r="AS188" s="99"/>
      <c r="AT188" s="98">
        <f t="shared" si="19"/>
        <v>2</v>
      </c>
    </row>
    <row r="189" spans="1:46" ht="15.75" customHeight="1">
      <c r="A189" s="76"/>
      <c r="B189" s="77">
        <f t="shared" ca="1" si="0"/>
        <v>1</v>
      </c>
      <c r="C189" s="78">
        <f t="shared" ca="1" si="1"/>
        <v>27</v>
      </c>
      <c r="D189" s="78" t="str">
        <f t="shared" ca="1" si="2"/>
        <v/>
      </c>
      <c r="E189" s="78" t="str">
        <f t="shared" ca="1" si="3"/>
        <v/>
      </c>
      <c r="F189" s="78" t="str">
        <f t="shared" ca="1" si="4"/>
        <v/>
      </c>
      <c r="G189" s="79" t="str">
        <f t="shared" ca="1" si="5"/>
        <v/>
      </c>
      <c r="H189" s="80" t="str">
        <f t="shared" ca="1" si="6"/>
        <v/>
      </c>
      <c r="I189" s="100"/>
      <c r="J189" s="101" t="s">
        <v>394</v>
      </c>
      <c r="K189" s="102"/>
      <c r="L189" s="102"/>
      <c r="M189" s="102"/>
      <c r="N189" s="102"/>
      <c r="O189" s="102"/>
      <c r="P189" s="102"/>
      <c r="Q189" s="103" t="s">
        <v>81</v>
      </c>
      <c r="R189" s="104"/>
      <c r="S189" s="104"/>
      <c r="T189" s="105"/>
      <c r="U189" s="106"/>
      <c r="V189" s="105"/>
      <c r="W189" s="107"/>
      <c r="X189" s="108"/>
      <c r="Y189" s="109"/>
      <c r="Z189" s="110"/>
      <c r="AA189" s="92"/>
      <c r="AB189" s="93"/>
      <c r="AC189" s="94"/>
      <c r="AD189" s="95"/>
      <c r="AE189" s="96"/>
      <c r="AF189" s="97"/>
      <c r="AG189" s="97">
        <f t="shared" si="7"/>
        <v>0</v>
      </c>
      <c r="AH189" s="97">
        <f t="shared" si="8"/>
        <v>0</v>
      </c>
      <c r="AI189" s="97">
        <f t="shared" si="9"/>
        <v>0</v>
      </c>
      <c r="AJ189" s="97">
        <f t="shared" si="10"/>
        <v>0</v>
      </c>
      <c r="AK189" s="97" t="str">
        <f t="shared" si="11"/>
        <v/>
      </c>
      <c r="AL189" s="98">
        <f t="shared" ca="1" si="12"/>
        <v>1</v>
      </c>
      <c r="AM189" s="98">
        <f t="shared" ca="1" si="13"/>
        <v>27</v>
      </c>
      <c r="AN189" s="98">
        <f t="shared" ca="1" si="14"/>
        <v>0</v>
      </c>
      <c r="AO189" s="98">
        <f t="shared" ca="1" si="15"/>
        <v>0</v>
      </c>
      <c r="AP189" s="98">
        <f t="shared" ca="1" si="16"/>
        <v>0</v>
      </c>
      <c r="AQ189" s="98">
        <f t="shared" ca="1" si="17"/>
        <v>0</v>
      </c>
      <c r="AR189" s="98">
        <f t="shared" ca="1" si="18"/>
        <v>0</v>
      </c>
      <c r="AS189" s="99"/>
      <c r="AT189" s="98">
        <f t="shared" si="19"/>
        <v>1</v>
      </c>
    </row>
    <row r="190" spans="1:46" ht="15.75" customHeight="1">
      <c r="A190" s="76"/>
      <c r="B190" s="77">
        <f t="shared" ca="1" si="0"/>
        <v>1</v>
      </c>
      <c r="C190" s="78">
        <f t="shared" ca="1" si="1"/>
        <v>27</v>
      </c>
      <c r="D190" s="78">
        <f t="shared" ca="1" si="2"/>
        <v>1</v>
      </c>
      <c r="E190" s="78" t="str">
        <f t="shared" ca="1" si="3"/>
        <v/>
      </c>
      <c r="F190" s="78" t="str">
        <f t="shared" ca="1" si="4"/>
        <v/>
      </c>
      <c r="G190" s="79" t="str">
        <f t="shared" ca="1" si="5"/>
        <v/>
      </c>
      <c r="H190" s="80" t="str">
        <f t="shared" ca="1" si="6"/>
        <v/>
      </c>
      <c r="I190" s="100"/>
      <c r="J190" s="111"/>
      <c r="K190" s="111" t="s">
        <v>59</v>
      </c>
      <c r="L190" s="111"/>
      <c r="M190" s="111"/>
      <c r="N190" s="111"/>
      <c r="O190" s="111"/>
      <c r="P190" s="111"/>
      <c r="Q190" s="112"/>
      <c r="R190" s="124" t="s">
        <v>70</v>
      </c>
      <c r="S190" s="114">
        <v>45812</v>
      </c>
      <c r="T190" s="114">
        <v>45814</v>
      </c>
      <c r="U190" s="114">
        <v>45812</v>
      </c>
      <c r="V190" s="115">
        <v>45820</v>
      </c>
      <c r="W190" s="116">
        <v>1</v>
      </c>
      <c r="X190" s="117">
        <v>1</v>
      </c>
      <c r="Y190" s="118"/>
      <c r="Z190" s="119"/>
      <c r="AA190" s="92"/>
      <c r="AB190" s="93"/>
      <c r="AC190" s="94"/>
      <c r="AD190" s="95"/>
      <c r="AE190" s="96"/>
      <c r="AF190" s="97"/>
      <c r="AG190" s="97">
        <f t="shared" ca="1" si="7"/>
        <v>0</v>
      </c>
      <c r="AH190" s="97">
        <f t="shared" ca="1" si="8"/>
        <v>0</v>
      </c>
      <c r="AI190" s="97">
        <f t="shared" si="9"/>
        <v>0</v>
      </c>
      <c r="AJ190" s="97">
        <f t="shared" ca="1" si="10"/>
        <v>0</v>
      </c>
      <c r="AK190" s="97" t="str">
        <f t="shared" ca="1" si="11"/>
        <v/>
      </c>
      <c r="AL190" s="98">
        <f t="shared" ca="1" si="12"/>
        <v>1</v>
      </c>
      <c r="AM190" s="98">
        <f t="shared" ca="1" si="13"/>
        <v>27</v>
      </c>
      <c r="AN190" s="98">
        <f t="shared" ca="1" si="14"/>
        <v>1</v>
      </c>
      <c r="AO190" s="98">
        <f t="shared" ca="1" si="15"/>
        <v>0</v>
      </c>
      <c r="AP190" s="98">
        <f t="shared" ca="1" si="16"/>
        <v>0</v>
      </c>
      <c r="AQ190" s="98">
        <f t="shared" ca="1" si="17"/>
        <v>0</v>
      </c>
      <c r="AR190" s="98">
        <f t="shared" ca="1" si="18"/>
        <v>0</v>
      </c>
      <c r="AS190" s="99"/>
      <c r="AT190" s="98">
        <f t="shared" si="19"/>
        <v>3</v>
      </c>
    </row>
    <row r="191" spans="1:46" ht="15.75" customHeight="1">
      <c r="A191" s="76"/>
      <c r="B191" s="77">
        <f t="shared" ca="1" si="0"/>
        <v>1</v>
      </c>
      <c r="C191" s="78">
        <f t="shared" ca="1" si="1"/>
        <v>27</v>
      </c>
      <c r="D191" s="78">
        <f t="shared" ca="1" si="2"/>
        <v>2</v>
      </c>
      <c r="E191" s="78" t="str">
        <f t="shared" ca="1" si="3"/>
        <v/>
      </c>
      <c r="F191" s="78" t="str">
        <f t="shared" ca="1" si="4"/>
        <v/>
      </c>
      <c r="G191" s="79" t="str">
        <f t="shared" ca="1" si="5"/>
        <v/>
      </c>
      <c r="H191" s="80" t="str">
        <f t="shared" ca="1" si="6"/>
        <v/>
      </c>
      <c r="I191" s="100"/>
      <c r="J191" s="111"/>
      <c r="K191" s="111" t="s">
        <v>61</v>
      </c>
      <c r="L191" s="111"/>
      <c r="M191" s="111"/>
      <c r="N191" s="111"/>
      <c r="O191" s="111"/>
      <c r="P191" s="111"/>
      <c r="Q191" s="112"/>
      <c r="R191" s="124" t="s">
        <v>77</v>
      </c>
      <c r="S191" s="114">
        <v>45814</v>
      </c>
      <c r="T191" s="114">
        <v>45814</v>
      </c>
      <c r="U191" s="114">
        <v>45814</v>
      </c>
      <c r="V191" s="115">
        <v>45820</v>
      </c>
      <c r="W191" s="116">
        <v>1</v>
      </c>
      <c r="X191" s="116">
        <v>1</v>
      </c>
      <c r="Y191" s="118"/>
      <c r="Z191" s="119"/>
      <c r="AA191" s="92"/>
      <c r="AB191" s="93"/>
      <c r="AC191" s="94"/>
      <c r="AD191" s="95"/>
      <c r="AE191" s="96"/>
      <c r="AF191" s="97"/>
      <c r="AG191" s="97">
        <f t="shared" ca="1" si="7"/>
        <v>0</v>
      </c>
      <c r="AH191" s="97">
        <f t="shared" ca="1" si="8"/>
        <v>0</v>
      </c>
      <c r="AI191" s="97">
        <f t="shared" si="9"/>
        <v>0</v>
      </c>
      <c r="AJ191" s="97">
        <f t="shared" ca="1" si="10"/>
        <v>0</v>
      </c>
      <c r="AK191" s="97" t="str">
        <f t="shared" ca="1" si="11"/>
        <v/>
      </c>
      <c r="AL191" s="98">
        <f t="shared" ca="1" si="12"/>
        <v>1</v>
      </c>
      <c r="AM191" s="98">
        <f t="shared" ca="1" si="13"/>
        <v>27</v>
      </c>
      <c r="AN191" s="98">
        <f t="shared" ca="1" si="14"/>
        <v>2</v>
      </c>
      <c r="AO191" s="98">
        <f t="shared" ca="1" si="15"/>
        <v>0</v>
      </c>
      <c r="AP191" s="98">
        <f t="shared" ca="1" si="16"/>
        <v>0</v>
      </c>
      <c r="AQ191" s="98">
        <f t="shared" ca="1" si="17"/>
        <v>0</v>
      </c>
      <c r="AR191" s="98">
        <f t="shared" ca="1" si="18"/>
        <v>0</v>
      </c>
      <c r="AS191" s="99"/>
      <c r="AT191" s="98">
        <f t="shared" si="19"/>
        <v>1</v>
      </c>
    </row>
    <row r="192" spans="1:46" ht="15.75" customHeight="1">
      <c r="A192" s="76"/>
      <c r="B192" s="77">
        <f t="shared" ca="1" si="0"/>
        <v>1</v>
      </c>
      <c r="C192" s="78">
        <f t="shared" ca="1" si="1"/>
        <v>27</v>
      </c>
      <c r="D192" s="78">
        <f t="shared" ca="1" si="2"/>
        <v>3</v>
      </c>
      <c r="E192" s="78" t="str">
        <f t="shared" ca="1" si="3"/>
        <v/>
      </c>
      <c r="F192" s="78" t="str">
        <f t="shared" ca="1" si="4"/>
        <v/>
      </c>
      <c r="G192" s="79" t="str">
        <f t="shared" ca="1" si="5"/>
        <v/>
      </c>
      <c r="H192" s="80" t="str">
        <f t="shared" ca="1" si="6"/>
        <v/>
      </c>
      <c r="I192" s="100"/>
      <c r="J192" s="111"/>
      <c r="K192" s="111" t="s">
        <v>63</v>
      </c>
      <c r="L192" s="111"/>
      <c r="M192" s="111"/>
      <c r="N192" s="111"/>
      <c r="O192" s="111"/>
      <c r="P192" s="111"/>
      <c r="Q192" s="112"/>
      <c r="R192" s="124" t="s">
        <v>70</v>
      </c>
      <c r="S192" s="114">
        <v>45827</v>
      </c>
      <c r="T192" s="115">
        <v>45827</v>
      </c>
      <c r="U192" s="114"/>
      <c r="V192" s="115"/>
      <c r="W192" s="116"/>
      <c r="X192" s="117"/>
      <c r="Y192" s="118"/>
      <c r="Z192" s="119"/>
      <c r="AA192" s="92"/>
      <c r="AB192" s="93"/>
      <c r="AC192" s="94"/>
      <c r="AD192" s="95"/>
      <c r="AE192" s="96"/>
      <c r="AF192" s="97"/>
      <c r="AG192" s="97">
        <f t="shared" ca="1" si="7"/>
        <v>0</v>
      </c>
      <c r="AH192" s="97">
        <f t="shared" ca="1" si="8"/>
        <v>0</v>
      </c>
      <c r="AI192" s="97">
        <f t="shared" si="9"/>
        <v>0</v>
      </c>
      <c r="AJ192" s="97">
        <f t="shared" ca="1" si="10"/>
        <v>0</v>
      </c>
      <c r="AK192" s="97" t="str">
        <f t="shared" ca="1" si="11"/>
        <v/>
      </c>
      <c r="AL192" s="98">
        <f t="shared" ca="1" si="12"/>
        <v>1</v>
      </c>
      <c r="AM192" s="98">
        <f t="shared" ca="1" si="13"/>
        <v>27</v>
      </c>
      <c r="AN192" s="98">
        <f t="shared" ca="1" si="14"/>
        <v>3</v>
      </c>
      <c r="AO192" s="98">
        <f t="shared" ca="1" si="15"/>
        <v>0</v>
      </c>
      <c r="AP192" s="98">
        <f t="shared" ca="1" si="16"/>
        <v>0</v>
      </c>
      <c r="AQ192" s="98">
        <f t="shared" ca="1" si="17"/>
        <v>0</v>
      </c>
      <c r="AR192" s="98">
        <f t="shared" ca="1" si="18"/>
        <v>0</v>
      </c>
      <c r="AS192" s="99"/>
      <c r="AT192" s="98">
        <f t="shared" si="19"/>
        <v>1</v>
      </c>
    </row>
    <row r="193" spans="1:46" ht="15.75" customHeight="1">
      <c r="A193" s="76"/>
      <c r="B193" s="77">
        <f t="shared" ca="1" si="0"/>
        <v>1</v>
      </c>
      <c r="C193" s="78">
        <f t="shared" ca="1" si="1"/>
        <v>27</v>
      </c>
      <c r="D193" s="78">
        <f t="shared" ca="1" si="2"/>
        <v>4</v>
      </c>
      <c r="E193" s="78" t="str">
        <f t="shared" ca="1" si="3"/>
        <v/>
      </c>
      <c r="F193" s="78" t="str">
        <f t="shared" ca="1" si="4"/>
        <v/>
      </c>
      <c r="G193" s="79" t="str">
        <f t="shared" ca="1" si="5"/>
        <v/>
      </c>
      <c r="H193" s="80" t="str">
        <f t="shared" ca="1" si="6"/>
        <v/>
      </c>
      <c r="I193" s="100"/>
      <c r="J193" s="111"/>
      <c r="K193" s="111" t="s">
        <v>64</v>
      </c>
      <c r="L193" s="111"/>
      <c r="M193" s="111"/>
      <c r="N193" s="111"/>
      <c r="O193" s="111"/>
      <c r="P193" s="111"/>
      <c r="Q193" s="112"/>
      <c r="R193" s="124" t="s">
        <v>77</v>
      </c>
      <c r="S193" s="114">
        <v>45827</v>
      </c>
      <c r="T193" s="115">
        <v>45827</v>
      </c>
      <c r="U193" s="114"/>
      <c r="V193" s="115"/>
      <c r="W193" s="116"/>
      <c r="X193" s="117"/>
      <c r="Y193" s="118"/>
      <c r="Z193" s="119"/>
      <c r="AA193" s="92"/>
      <c r="AB193" s="93"/>
      <c r="AC193" s="94"/>
      <c r="AD193" s="95"/>
      <c r="AE193" s="96"/>
      <c r="AF193" s="97"/>
      <c r="AG193" s="97">
        <f t="shared" ca="1" si="7"/>
        <v>0</v>
      </c>
      <c r="AH193" s="97">
        <f t="shared" ca="1" si="8"/>
        <v>0</v>
      </c>
      <c r="AI193" s="97">
        <f t="shared" si="9"/>
        <v>0</v>
      </c>
      <c r="AJ193" s="97">
        <f t="shared" ca="1" si="10"/>
        <v>0</v>
      </c>
      <c r="AK193" s="97" t="str">
        <f t="shared" ca="1" si="11"/>
        <v/>
      </c>
      <c r="AL193" s="98">
        <f t="shared" ca="1" si="12"/>
        <v>1</v>
      </c>
      <c r="AM193" s="98">
        <f t="shared" ca="1" si="13"/>
        <v>27</v>
      </c>
      <c r="AN193" s="98">
        <f t="shared" ca="1" si="14"/>
        <v>4</v>
      </c>
      <c r="AO193" s="98">
        <f t="shared" ca="1" si="15"/>
        <v>0</v>
      </c>
      <c r="AP193" s="98">
        <f t="shared" ca="1" si="16"/>
        <v>0</v>
      </c>
      <c r="AQ193" s="98">
        <f t="shared" ca="1" si="17"/>
        <v>0</v>
      </c>
      <c r="AR193" s="98">
        <f t="shared" ca="1" si="18"/>
        <v>0</v>
      </c>
      <c r="AS193" s="99"/>
      <c r="AT193" s="98">
        <f t="shared" si="19"/>
        <v>1</v>
      </c>
    </row>
    <row r="194" spans="1:46" ht="15.75" customHeight="1">
      <c r="A194" s="76"/>
      <c r="B194" s="77">
        <f t="shared" ca="1" si="0"/>
        <v>1</v>
      </c>
      <c r="C194" s="78">
        <f t="shared" ca="1" si="1"/>
        <v>27</v>
      </c>
      <c r="D194" s="78">
        <f t="shared" ca="1" si="2"/>
        <v>5</v>
      </c>
      <c r="E194" s="78" t="str">
        <f t="shared" ca="1" si="3"/>
        <v/>
      </c>
      <c r="F194" s="78" t="str">
        <f t="shared" ca="1" si="4"/>
        <v/>
      </c>
      <c r="G194" s="79" t="str">
        <f t="shared" ca="1" si="5"/>
        <v/>
      </c>
      <c r="H194" s="80" t="str">
        <f t="shared" ca="1" si="6"/>
        <v/>
      </c>
      <c r="I194" s="100"/>
      <c r="J194" s="111"/>
      <c r="K194" s="111" t="s">
        <v>65</v>
      </c>
      <c r="L194" s="111"/>
      <c r="M194" s="111"/>
      <c r="N194" s="111"/>
      <c r="O194" s="111"/>
      <c r="P194" s="111"/>
      <c r="Q194" s="112"/>
      <c r="R194" s="124" t="s">
        <v>70</v>
      </c>
      <c r="S194" s="114">
        <v>45828</v>
      </c>
      <c r="T194" s="115">
        <v>45828</v>
      </c>
      <c r="U194" s="114"/>
      <c r="V194" s="115"/>
      <c r="W194" s="116"/>
      <c r="X194" s="117"/>
      <c r="Y194" s="118"/>
      <c r="Z194" s="119"/>
      <c r="AA194" s="92"/>
      <c r="AB194" s="93"/>
      <c r="AC194" s="94"/>
      <c r="AD194" s="95"/>
      <c r="AE194" s="96"/>
      <c r="AF194" s="97"/>
      <c r="AG194" s="97">
        <f t="shared" ca="1" si="7"/>
        <v>0</v>
      </c>
      <c r="AH194" s="97">
        <f t="shared" ca="1" si="8"/>
        <v>0</v>
      </c>
      <c r="AI194" s="97">
        <f t="shared" si="9"/>
        <v>0</v>
      </c>
      <c r="AJ194" s="97">
        <f t="shared" ca="1" si="10"/>
        <v>0</v>
      </c>
      <c r="AK194" s="97" t="str">
        <f t="shared" ca="1" si="11"/>
        <v/>
      </c>
      <c r="AL194" s="98">
        <f t="shared" ca="1" si="12"/>
        <v>1</v>
      </c>
      <c r="AM194" s="98">
        <f t="shared" ca="1" si="13"/>
        <v>27</v>
      </c>
      <c r="AN194" s="98">
        <f t="shared" ca="1" si="14"/>
        <v>5</v>
      </c>
      <c r="AO194" s="98">
        <f t="shared" ca="1" si="15"/>
        <v>0</v>
      </c>
      <c r="AP194" s="98">
        <f t="shared" ca="1" si="16"/>
        <v>0</v>
      </c>
      <c r="AQ194" s="98">
        <f t="shared" ca="1" si="17"/>
        <v>0</v>
      </c>
      <c r="AR194" s="98">
        <f t="shared" ca="1" si="18"/>
        <v>0</v>
      </c>
      <c r="AS194" s="99"/>
      <c r="AT194" s="98">
        <f t="shared" si="19"/>
        <v>1</v>
      </c>
    </row>
    <row r="195" spans="1:46" ht="15.75" customHeight="1">
      <c r="A195" s="76"/>
      <c r="B195" s="77">
        <f t="shared" ca="1" si="0"/>
        <v>1</v>
      </c>
      <c r="C195" s="78">
        <f t="shared" ca="1" si="1"/>
        <v>27</v>
      </c>
      <c r="D195" s="78">
        <f t="shared" ca="1" si="2"/>
        <v>6</v>
      </c>
      <c r="E195" s="78" t="str">
        <f t="shared" ca="1" si="3"/>
        <v/>
      </c>
      <c r="F195" s="78" t="str">
        <f t="shared" ca="1" si="4"/>
        <v/>
      </c>
      <c r="G195" s="79" t="str">
        <f t="shared" ca="1" si="5"/>
        <v/>
      </c>
      <c r="H195" s="80" t="str">
        <f t="shared" ca="1" si="6"/>
        <v/>
      </c>
      <c r="I195" s="100"/>
      <c r="J195" s="111"/>
      <c r="K195" s="111" t="s">
        <v>66</v>
      </c>
      <c r="L195" s="111"/>
      <c r="M195" s="111"/>
      <c r="N195" s="111"/>
      <c r="O195" s="111"/>
      <c r="P195" s="111"/>
      <c r="Q195" s="112"/>
      <c r="R195" s="124" t="s">
        <v>77</v>
      </c>
      <c r="S195" s="114">
        <v>45831</v>
      </c>
      <c r="T195" s="115">
        <v>45832</v>
      </c>
      <c r="U195" s="114"/>
      <c r="V195" s="115"/>
      <c r="W195" s="116"/>
      <c r="X195" s="117"/>
      <c r="Y195" s="118"/>
      <c r="Z195" s="119"/>
      <c r="AA195" s="92"/>
      <c r="AB195" s="93"/>
      <c r="AC195" s="94"/>
      <c r="AD195" s="95"/>
      <c r="AE195" s="96"/>
      <c r="AF195" s="97"/>
      <c r="AG195" s="97">
        <f t="shared" ca="1" si="7"/>
        <v>0</v>
      </c>
      <c r="AH195" s="97">
        <f t="shared" ca="1" si="8"/>
        <v>0</v>
      </c>
      <c r="AI195" s="97">
        <f t="shared" si="9"/>
        <v>0</v>
      </c>
      <c r="AJ195" s="97">
        <f t="shared" ca="1" si="10"/>
        <v>0</v>
      </c>
      <c r="AK195" s="97" t="str">
        <f t="shared" ca="1" si="11"/>
        <v/>
      </c>
      <c r="AL195" s="98">
        <f t="shared" ca="1" si="12"/>
        <v>1</v>
      </c>
      <c r="AM195" s="98">
        <f t="shared" ca="1" si="13"/>
        <v>27</v>
      </c>
      <c r="AN195" s="98">
        <f t="shared" ca="1" si="14"/>
        <v>6</v>
      </c>
      <c r="AO195" s="98">
        <f t="shared" ca="1" si="15"/>
        <v>0</v>
      </c>
      <c r="AP195" s="98">
        <f t="shared" ca="1" si="16"/>
        <v>0</v>
      </c>
      <c r="AQ195" s="98">
        <f t="shared" ca="1" si="17"/>
        <v>0</v>
      </c>
      <c r="AR195" s="98">
        <f t="shared" ca="1" si="18"/>
        <v>0</v>
      </c>
      <c r="AS195" s="99"/>
      <c r="AT195" s="98">
        <f t="shared" si="19"/>
        <v>2</v>
      </c>
    </row>
    <row r="196" spans="1:46" ht="15.75" customHeight="1">
      <c r="A196" s="76"/>
      <c r="B196" s="77">
        <f t="shared" ca="1" si="0"/>
        <v>1</v>
      </c>
      <c r="C196" s="78">
        <f t="shared" ca="1" si="1"/>
        <v>28</v>
      </c>
      <c r="D196" s="78" t="str">
        <f t="shared" ca="1" si="2"/>
        <v/>
      </c>
      <c r="E196" s="78" t="str">
        <f t="shared" ca="1" si="3"/>
        <v/>
      </c>
      <c r="F196" s="78" t="str">
        <f t="shared" ca="1" si="4"/>
        <v/>
      </c>
      <c r="G196" s="79" t="str">
        <f t="shared" ca="1" si="5"/>
        <v/>
      </c>
      <c r="H196" s="80" t="str">
        <f t="shared" ca="1" si="6"/>
        <v/>
      </c>
      <c r="I196" s="100"/>
      <c r="J196" s="101" t="s">
        <v>97</v>
      </c>
      <c r="K196" s="102"/>
      <c r="L196" s="102"/>
      <c r="M196" s="102"/>
      <c r="N196" s="102"/>
      <c r="O196" s="102"/>
      <c r="P196" s="102"/>
      <c r="Q196" s="103" t="s">
        <v>389</v>
      </c>
      <c r="R196" s="104"/>
      <c r="S196" s="104"/>
      <c r="T196" s="105"/>
      <c r="U196" s="106"/>
      <c r="V196" s="105"/>
      <c r="W196" s="107"/>
      <c r="X196" s="108"/>
      <c r="Y196" s="109"/>
      <c r="Z196" s="110"/>
      <c r="AA196" s="92"/>
      <c r="AB196" s="93"/>
      <c r="AC196" s="94"/>
      <c r="AD196" s="95"/>
      <c r="AE196" s="96"/>
      <c r="AF196" s="97"/>
      <c r="AG196" s="97">
        <f t="shared" si="7"/>
        <v>0</v>
      </c>
      <c r="AH196" s="97">
        <f t="shared" si="8"/>
        <v>0</v>
      </c>
      <c r="AI196" s="97">
        <f t="shared" si="9"/>
        <v>0</v>
      </c>
      <c r="AJ196" s="97">
        <f t="shared" si="10"/>
        <v>0</v>
      </c>
      <c r="AK196" s="97" t="str">
        <f t="shared" si="11"/>
        <v/>
      </c>
      <c r="AL196" s="98">
        <f t="shared" ca="1" si="12"/>
        <v>1</v>
      </c>
      <c r="AM196" s="98">
        <f t="shared" ca="1" si="13"/>
        <v>28</v>
      </c>
      <c r="AN196" s="98">
        <f t="shared" ca="1" si="14"/>
        <v>0</v>
      </c>
      <c r="AO196" s="98">
        <f t="shared" ca="1" si="15"/>
        <v>0</v>
      </c>
      <c r="AP196" s="98">
        <f t="shared" ca="1" si="16"/>
        <v>0</v>
      </c>
      <c r="AQ196" s="98">
        <f t="shared" ca="1" si="17"/>
        <v>0</v>
      </c>
      <c r="AR196" s="98">
        <f t="shared" ca="1" si="18"/>
        <v>0</v>
      </c>
      <c r="AS196" s="99"/>
      <c r="AT196" s="98">
        <f t="shared" si="19"/>
        <v>1</v>
      </c>
    </row>
    <row r="197" spans="1:46" ht="15.75" customHeight="1">
      <c r="A197" s="76"/>
      <c r="B197" s="77">
        <f t="shared" ca="1" si="0"/>
        <v>1</v>
      </c>
      <c r="C197" s="78">
        <f t="shared" ca="1" si="1"/>
        <v>28</v>
      </c>
      <c r="D197" s="78">
        <f t="shared" ca="1" si="2"/>
        <v>1</v>
      </c>
      <c r="E197" s="78" t="str">
        <f t="shared" ca="1" si="3"/>
        <v/>
      </c>
      <c r="F197" s="78" t="str">
        <f t="shared" ca="1" si="4"/>
        <v/>
      </c>
      <c r="G197" s="79" t="str">
        <f t="shared" ca="1" si="5"/>
        <v/>
      </c>
      <c r="H197" s="80" t="str">
        <f t="shared" ca="1" si="6"/>
        <v/>
      </c>
      <c r="I197" s="100"/>
      <c r="J197" s="111"/>
      <c r="K197" s="111" t="s">
        <v>59</v>
      </c>
      <c r="L197" s="111"/>
      <c r="M197" s="111"/>
      <c r="N197" s="111"/>
      <c r="O197" s="111"/>
      <c r="P197" s="111"/>
      <c r="Q197" s="112"/>
      <c r="R197" s="126" t="s">
        <v>77</v>
      </c>
      <c r="S197" s="114">
        <v>45820</v>
      </c>
      <c r="T197" s="115">
        <v>45825</v>
      </c>
      <c r="U197" s="114">
        <v>45820</v>
      </c>
      <c r="V197" s="115"/>
      <c r="W197" s="116">
        <v>0.5</v>
      </c>
      <c r="X197" s="116">
        <v>0.5</v>
      </c>
      <c r="Y197" s="127"/>
      <c r="Z197" s="118"/>
      <c r="AA197" s="92"/>
      <c r="AB197" s="93"/>
      <c r="AC197" s="94"/>
      <c r="AD197" s="95"/>
      <c r="AE197" s="96"/>
      <c r="AF197" s="97"/>
      <c r="AG197" s="97">
        <f t="shared" ca="1" si="7"/>
        <v>0</v>
      </c>
      <c r="AH197" s="97">
        <f t="shared" ca="1" si="8"/>
        <v>0</v>
      </c>
      <c r="AI197" s="97">
        <f t="shared" si="9"/>
        <v>0</v>
      </c>
      <c r="AJ197" s="97">
        <f t="shared" ca="1" si="10"/>
        <v>0</v>
      </c>
      <c r="AK197" s="97" t="str">
        <f t="shared" ca="1" si="11"/>
        <v/>
      </c>
      <c r="AL197" s="98">
        <f t="shared" ca="1" si="12"/>
        <v>1</v>
      </c>
      <c r="AM197" s="98">
        <f t="shared" ca="1" si="13"/>
        <v>28</v>
      </c>
      <c r="AN197" s="98">
        <f t="shared" ca="1" si="14"/>
        <v>1</v>
      </c>
      <c r="AO197" s="98">
        <f t="shared" ca="1" si="15"/>
        <v>0</v>
      </c>
      <c r="AP197" s="98">
        <f t="shared" ca="1" si="16"/>
        <v>0</v>
      </c>
      <c r="AQ197" s="98">
        <f t="shared" ca="1" si="17"/>
        <v>0</v>
      </c>
      <c r="AR197" s="98">
        <f t="shared" ca="1" si="18"/>
        <v>0</v>
      </c>
      <c r="AS197" s="99"/>
      <c r="AT197" s="98">
        <f t="shared" si="19"/>
        <v>6</v>
      </c>
    </row>
    <row r="198" spans="1:46" ht="15.75" customHeight="1">
      <c r="A198" s="76"/>
      <c r="B198" s="77">
        <f t="shared" ca="1" si="0"/>
        <v>1</v>
      </c>
      <c r="C198" s="78">
        <f t="shared" ca="1" si="1"/>
        <v>28</v>
      </c>
      <c r="D198" s="78">
        <f t="shared" ca="1" si="2"/>
        <v>2</v>
      </c>
      <c r="E198" s="78" t="str">
        <f t="shared" ca="1" si="3"/>
        <v/>
      </c>
      <c r="F198" s="78" t="str">
        <f t="shared" ca="1" si="4"/>
        <v/>
      </c>
      <c r="G198" s="79" t="str">
        <f t="shared" ca="1" si="5"/>
        <v/>
      </c>
      <c r="H198" s="80" t="str">
        <f t="shared" ca="1" si="6"/>
        <v/>
      </c>
      <c r="I198" s="100"/>
      <c r="J198" s="111"/>
      <c r="K198" s="111" t="s">
        <v>61</v>
      </c>
      <c r="L198" s="111"/>
      <c r="M198" s="111"/>
      <c r="N198" s="111"/>
      <c r="O198" s="111"/>
      <c r="P198" s="111"/>
      <c r="Q198" s="112"/>
      <c r="R198" s="126" t="s">
        <v>70</v>
      </c>
      <c r="S198" s="114"/>
      <c r="T198" s="115"/>
      <c r="U198" s="114"/>
      <c r="V198" s="115"/>
      <c r="W198" s="116"/>
      <c r="X198" s="117"/>
      <c r="Y198" s="118"/>
      <c r="Z198" s="119"/>
      <c r="AA198" s="92"/>
      <c r="AB198" s="93"/>
      <c r="AC198" s="94"/>
      <c r="AD198" s="95"/>
      <c r="AE198" s="96"/>
      <c r="AF198" s="97"/>
      <c r="AG198" s="97">
        <f t="shared" si="7"/>
        <v>0</v>
      </c>
      <c r="AH198" s="97">
        <f t="shared" si="8"/>
        <v>0</v>
      </c>
      <c r="AI198" s="97">
        <f t="shared" si="9"/>
        <v>0</v>
      </c>
      <c r="AJ198" s="97">
        <f t="shared" si="10"/>
        <v>0</v>
      </c>
      <c r="AK198" s="97" t="str">
        <f t="shared" si="11"/>
        <v/>
      </c>
      <c r="AL198" s="98">
        <f t="shared" ca="1" si="12"/>
        <v>1</v>
      </c>
      <c r="AM198" s="98">
        <f t="shared" ca="1" si="13"/>
        <v>28</v>
      </c>
      <c r="AN198" s="98">
        <f t="shared" ca="1" si="14"/>
        <v>2</v>
      </c>
      <c r="AO198" s="98">
        <f t="shared" ca="1" si="15"/>
        <v>0</v>
      </c>
      <c r="AP198" s="98">
        <f t="shared" ca="1" si="16"/>
        <v>0</v>
      </c>
      <c r="AQ198" s="98">
        <f t="shared" ca="1" si="17"/>
        <v>0</v>
      </c>
      <c r="AR198" s="98">
        <f t="shared" ca="1" si="18"/>
        <v>0</v>
      </c>
      <c r="AS198" s="99"/>
      <c r="AT198" s="98">
        <f t="shared" si="19"/>
        <v>1</v>
      </c>
    </row>
    <row r="199" spans="1:46" ht="15.75" customHeight="1">
      <c r="A199" s="76"/>
      <c r="B199" s="77">
        <f t="shared" ca="1" si="0"/>
        <v>1</v>
      </c>
      <c r="C199" s="78">
        <f t="shared" ca="1" si="1"/>
        <v>28</v>
      </c>
      <c r="D199" s="78">
        <f t="shared" ca="1" si="2"/>
        <v>3</v>
      </c>
      <c r="E199" s="78" t="str">
        <f t="shared" ca="1" si="3"/>
        <v/>
      </c>
      <c r="F199" s="78" t="str">
        <f t="shared" ca="1" si="4"/>
        <v/>
      </c>
      <c r="G199" s="79" t="str">
        <f t="shared" ca="1" si="5"/>
        <v/>
      </c>
      <c r="H199" s="80" t="str">
        <f t="shared" ca="1" si="6"/>
        <v/>
      </c>
      <c r="I199" s="100"/>
      <c r="J199" s="111"/>
      <c r="K199" s="111" t="s">
        <v>63</v>
      </c>
      <c r="L199" s="111"/>
      <c r="M199" s="111"/>
      <c r="N199" s="111"/>
      <c r="O199" s="111"/>
      <c r="P199" s="111"/>
      <c r="Q199" s="112"/>
      <c r="R199" s="126" t="s">
        <v>77</v>
      </c>
      <c r="S199" s="113"/>
      <c r="T199" s="115"/>
      <c r="U199" s="114"/>
      <c r="V199" s="115"/>
      <c r="W199" s="116"/>
      <c r="X199" s="117"/>
      <c r="Y199" s="118"/>
      <c r="Z199" s="119"/>
      <c r="AA199" s="92"/>
      <c r="AB199" s="93"/>
      <c r="AC199" s="94"/>
      <c r="AD199" s="95"/>
      <c r="AE199" s="96"/>
      <c r="AF199" s="97"/>
      <c r="AG199" s="97">
        <f t="shared" si="7"/>
        <v>0</v>
      </c>
      <c r="AH199" s="97">
        <f t="shared" si="8"/>
        <v>0</v>
      </c>
      <c r="AI199" s="97">
        <f t="shared" si="9"/>
        <v>0</v>
      </c>
      <c r="AJ199" s="97">
        <f t="shared" si="10"/>
        <v>0</v>
      </c>
      <c r="AK199" s="97" t="str">
        <f t="shared" si="11"/>
        <v/>
      </c>
      <c r="AL199" s="98">
        <f t="shared" ca="1" si="12"/>
        <v>1</v>
      </c>
      <c r="AM199" s="98">
        <f t="shared" ca="1" si="13"/>
        <v>28</v>
      </c>
      <c r="AN199" s="98">
        <f t="shared" ca="1" si="14"/>
        <v>3</v>
      </c>
      <c r="AO199" s="98">
        <f t="shared" ca="1" si="15"/>
        <v>0</v>
      </c>
      <c r="AP199" s="98">
        <f t="shared" ca="1" si="16"/>
        <v>0</v>
      </c>
      <c r="AQ199" s="98">
        <f t="shared" ca="1" si="17"/>
        <v>0</v>
      </c>
      <c r="AR199" s="98">
        <f t="shared" ca="1" si="18"/>
        <v>0</v>
      </c>
      <c r="AS199" s="99"/>
      <c r="AT199" s="98">
        <f t="shared" si="19"/>
        <v>1</v>
      </c>
    </row>
    <row r="200" spans="1:46" ht="15.75" customHeight="1">
      <c r="A200" s="76"/>
      <c r="B200" s="77">
        <f t="shared" ca="1" si="0"/>
        <v>1</v>
      </c>
      <c r="C200" s="78">
        <f t="shared" ca="1" si="1"/>
        <v>28</v>
      </c>
      <c r="D200" s="78">
        <f t="shared" ca="1" si="2"/>
        <v>4</v>
      </c>
      <c r="E200" s="78" t="str">
        <f t="shared" ca="1" si="3"/>
        <v/>
      </c>
      <c r="F200" s="78" t="str">
        <f t="shared" ca="1" si="4"/>
        <v/>
      </c>
      <c r="G200" s="79" t="str">
        <f t="shared" ca="1" si="5"/>
        <v/>
      </c>
      <c r="H200" s="80" t="str">
        <f t="shared" ca="1" si="6"/>
        <v/>
      </c>
      <c r="I200" s="100"/>
      <c r="J200" s="111"/>
      <c r="K200" s="111" t="s">
        <v>64</v>
      </c>
      <c r="L200" s="111"/>
      <c r="M200" s="111"/>
      <c r="N200" s="111"/>
      <c r="O200" s="111"/>
      <c r="P200" s="111"/>
      <c r="Q200" s="112"/>
      <c r="R200" s="126" t="s">
        <v>70</v>
      </c>
      <c r="S200" s="113"/>
      <c r="T200" s="115"/>
      <c r="U200" s="114"/>
      <c r="V200" s="115"/>
      <c r="W200" s="116"/>
      <c r="X200" s="117"/>
      <c r="Y200" s="118"/>
      <c r="Z200" s="119"/>
      <c r="AA200" s="92"/>
      <c r="AB200" s="93"/>
      <c r="AC200" s="94"/>
      <c r="AD200" s="95"/>
      <c r="AE200" s="96"/>
      <c r="AF200" s="97"/>
      <c r="AG200" s="97">
        <f t="shared" si="7"/>
        <v>0</v>
      </c>
      <c r="AH200" s="97">
        <f t="shared" si="8"/>
        <v>0</v>
      </c>
      <c r="AI200" s="97">
        <f t="shared" si="9"/>
        <v>0</v>
      </c>
      <c r="AJ200" s="97">
        <f t="shared" si="10"/>
        <v>0</v>
      </c>
      <c r="AK200" s="97" t="str">
        <f t="shared" si="11"/>
        <v/>
      </c>
      <c r="AL200" s="98">
        <f t="shared" ca="1" si="12"/>
        <v>1</v>
      </c>
      <c r="AM200" s="98">
        <f t="shared" ca="1" si="13"/>
        <v>28</v>
      </c>
      <c r="AN200" s="98">
        <f t="shared" ca="1" si="14"/>
        <v>4</v>
      </c>
      <c r="AO200" s="98">
        <f t="shared" ca="1" si="15"/>
        <v>0</v>
      </c>
      <c r="AP200" s="98">
        <f t="shared" ca="1" si="16"/>
        <v>0</v>
      </c>
      <c r="AQ200" s="98">
        <f t="shared" ca="1" si="17"/>
        <v>0</v>
      </c>
      <c r="AR200" s="98">
        <f t="shared" ca="1" si="18"/>
        <v>0</v>
      </c>
      <c r="AS200" s="99"/>
      <c r="AT200" s="98">
        <f t="shared" si="19"/>
        <v>1</v>
      </c>
    </row>
    <row r="201" spans="1:46" ht="15.75" customHeight="1">
      <c r="A201" s="76"/>
      <c r="B201" s="77">
        <f t="shared" ca="1" si="0"/>
        <v>1</v>
      </c>
      <c r="C201" s="78">
        <f t="shared" ca="1" si="1"/>
        <v>28</v>
      </c>
      <c r="D201" s="78">
        <f t="shared" ca="1" si="2"/>
        <v>5</v>
      </c>
      <c r="E201" s="78" t="str">
        <f t="shared" ca="1" si="3"/>
        <v/>
      </c>
      <c r="F201" s="78" t="str">
        <f t="shared" ca="1" si="4"/>
        <v/>
      </c>
      <c r="G201" s="79" t="str">
        <f t="shared" ca="1" si="5"/>
        <v/>
      </c>
      <c r="H201" s="80" t="str">
        <f t="shared" ca="1" si="6"/>
        <v/>
      </c>
      <c r="I201" s="100"/>
      <c r="J201" s="111"/>
      <c r="K201" s="111" t="s">
        <v>65</v>
      </c>
      <c r="L201" s="111"/>
      <c r="M201" s="111"/>
      <c r="N201" s="111"/>
      <c r="O201" s="111"/>
      <c r="P201" s="111"/>
      <c r="Q201" s="112"/>
      <c r="R201" s="126" t="s">
        <v>77</v>
      </c>
      <c r="S201" s="113"/>
      <c r="T201" s="115"/>
      <c r="U201" s="114"/>
      <c r="V201" s="115"/>
      <c r="W201" s="116"/>
      <c r="X201" s="117"/>
      <c r="Y201" s="118"/>
      <c r="Z201" s="119"/>
      <c r="AA201" s="92"/>
      <c r="AB201" s="93"/>
      <c r="AC201" s="94"/>
      <c r="AD201" s="95"/>
      <c r="AE201" s="96"/>
      <c r="AF201" s="97"/>
      <c r="AG201" s="97">
        <f t="shared" si="7"/>
        <v>0</v>
      </c>
      <c r="AH201" s="97">
        <f t="shared" si="8"/>
        <v>0</v>
      </c>
      <c r="AI201" s="97">
        <f t="shared" si="9"/>
        <v>0</v>
      </c>
      <c r="AJ201" s="97">
        <f t="shared" si="10"/>
        <v>0</v>
      </c>
      <c r="AK201" s="97" t="str">
        <f t="shared" si="11"/>
        <v/>
      </c>
      <c r="AL201" s="98">
        <f t="shared" ca="1" si="12"/>
        <v>1</v>
      </c>
      <c r="AM201" s="98">
        <f t="shared" ca="1" si="13"/>
        <v>28</v>
      </c>
      <c r="AN201" s="98">
        <f t="shared" ca="1" si="14"/>
        <v>5</v>
      </c>
      <c r="AO201" s="98">
        <f t="shared" ca="1" si="15"/>
        <v>0</v>
      </c>
      <c r="AP201" s="98">
        <f t="shared" ca="1" si="16"/>
        <v>0</v>
      </c>
      <c r="AQ201" s="98">
        <f t="shared" ca="1" si="17"/>
        <v>0</v>
      </c>
      <c r="AR201" s="98">
        <f t="shared" ca="1" si="18"/>
        <v>0</v>
      </c>
      <c r="AS201" s="99"/>
      <c r="AT201" s="98">
        <f t="shared" si="19"/>
        <v>1</v>
      </c>
    </row>
    <row r="202" spans="1:46" ht="15.75" customHeight="1">
      <c r="A202" s="76"/>
      <c r="B202" s="77">
        <f t="shared" ca="1" si="0"/>
        <v>1</v>
      </c>
      <c r="C202" s="78">
        <f t="shared" ca="1" si="1"/>
        <v>28</v>
      </c>
      <c r="D202" s="78">
        <f t="shared" ca="1" si="2"/>
        <v>6</v>
      </c>
      <c r="E202" s="78" t="str">
        <f t="shared" ca="1" si="3"/>
        <v/>
      </c>
      <c r="F202" s="78" t="str">
        <f t="shared" ca="1" si="4"/>
        <v/>
      </c>
      <c r="G202" s="79" t="str">
        <f t="shared" ca="1" si="5"/>
        <v/>
      </c>
      <c r="H202" s="80" t="str">
        <f t="shared" ca="1" si="6"/>
        <v/>
      </c>
      <c r="I202" s="100"/>
      <c r="J202" s="111"/>
      <c r="K202" s="111" t="s">
        <v>66</v>
      </c>
      <c r="L202" s="111"/>
      <c r="M202" s="111"/>
      <c r="N202" s="111"/>
      <c r="O202" s="111"/>
      <c r="P202" s="111"/>
      <c r="Q202" s="112"/>
      <c r="R202" s="126" t="s">
        <v>70</v>
      </c>
      <c r="S202" s="113"/>
      <c r="T202" s="115"/>
      <c r="U202" s="114"/>
      <c r="V202" s="115"/>
      <c r="W202" s="116"/>
      <c r="X202" s="117"/>
      <c r="Y202" s="118"/>
      <c r="Z202" s="119"/>
      <c r="AA202" s="92"/>
      <c r="AB202" s="93"/>
      <c r="AC202" s="94"/>
      <c r="AD202" s="95"/>
      <c r="AE202" s="96"/>
      <c r="AF202" s="97"/>
      <c r="AG202" s="97">
        <f t="shared" si="7"/>
        <v>0</v>
      </c>
      <c r="AH202" s="97">
        <f t="shared" si="8"/>
        <v>0</v>
      </c>
      <c r="AI202" s="97">
        <f t="shared" si="9"/>
        <v>0</v>
      </c>
      <c r="AJ202" s="97">
        <f t="shared" si="10"/>
        <v>0</v>
      </c>
      <c r="AK202" s="97" t="str">
        <f t="shared" si="11"/>
        <v/>
      </c>
      <c r="AL202" s="98">
        <f t="shared" ca="1" si="12"/>
        <v>1</v>
      </c>
      <c r="AM202" s="98">
        <f t="shared" ca="1" si="13"/>
        <v>28</v>
      </c>
      <c r="AN202" s="98">
        <f t="shared" ca="1" si="14"/>
        <v>6</v>
      </c>
      <c r="AO202" s="98">
        <f t="shared" ca="1" si="15"/>
        <v>0</v>
      </c>
      <c r="AP202" s="98">
        <f t="shared" ca="1" si="16"/>
        <v>0</v>
      </c>
      <c r="AQ202" s="98">
        <f t="shared" ca="1" si="17"/>
        <v>0</v>
      </c>
      <c r="AR202" s="98">
        <f t="shared" ca="1" si="18"/>
        <v>0</v>
      </c>
      <c r="AS202" s="99"/>
      <c r="AT202" s="98">
        <f t="shared" si="19"/>
        <v>1</v>
      </c>
    </row>
    <row r="203" spans="1:46" ht="15.75" customHeight="1">
      <c r="A203" s="76"/>
      <c r="B203" s="77">
        <f t="shared" ca="1" si="0"/>
        <v>1</v>
      </c>
      <c r="C203" s="78">
        <f t="shared" ca="1" si="1"/>
        <v>29</v>
      </c>
      <c r="D203" s="78" t="str">
        <f t="shared" ca="1" si="2"/>
        <v/>
      </c>
      <c r="E203" s="78" t="str">
        <f t="shared" ca="1" si="3"/>
        <v/>
      </c>
      <c r="F203" s="78" t="str">
        <f t="shared" ca="1" si="4"/>
        <v/>
      </c>
      <c r="G203" s="79" t="str">
        <f t="shared" ca="1" si="5"/>
        <v/>
      </c>
      <c r="H203" s="80" t="str">
        <f t="shared" ca="1" si="6"/>
        <v/>
      </c>
      <c r="I203" s="100"/>
      <c r="J203" s="101" t="s">
        <v>98</v>
      </c>
      <c r="K203" s="102"/>
      <c r="L203" s="102"/>
      <c r="M203" s="102"/>
      <c r="N203" s="102"/>
      <c r="O203" s="102"/>
      <c r="P203" s="102"/>
      <c r="Q203" s="103" t="s">
        <v>73</v>
      </c>
      <c r="R203" s="104"/>
      <c r="S203" s="104"/>
      <c r="T203" s="105"/>
      <c r="U203" s="106"/>
      <c r="V203" s="105"/>
      <c r="W203" s="107"/>
      <c r="X203" s="108"/>
      <c r="Y203" s="109"/>
      <c r="Z203" s="110"/>
      <c r="AA203" s="92"/>
      <c r="AB203" s="93"/>
      <c r="AC203" s="94"/>
      <c r="AD203" s="95"/>
      <c r="AE203" s="96"/>
      <c r="AF203" s="97"/>
      <c r="AG203" s="97">
        <f t="shared" si="7"/>
        <v>0</v>
      </c>
      <c r="AH203" s="97">
        <f t="shared" si="8"/>
        <v>0</v>
      </c>
      <c r="AI203" s="97">
        <f t="shared" si="9"/>
        <v>0</v>
      </c>
      <c r="AJ203" s="97">
        <f t="shared" si="10"/>
        <v>0</v>
      </c>
      <c r="AK203" s="97" t="str">
        <f t="shared" si="11"/>
        <v/>
      </c>
      <c r="AL203" s="98">
        <f t="shared" ca="1" si="12"/>
        <v>1</v>
      </c>
      <c r="AM203" s="98">
        <f t="shared" ca="1" si="13"/>
        <v>29</v>
      </c>
      <c r="AN203" s="98">
        <f t="shared" ca="1" si="14"/>
        <v>0</v>
      </c>
      <c r="AO203" s="98">
        <f t="shared" ca="1" si="15"/>
        <v>0</v>
      </c>
      <c r="AP203" s="98">
        <f t="shared" ca="1" si="16"/>
        <v>0</v>
      </c>
      <c r="AQ203" s="98">
        <f t="shared" ca="1" si="17"/>
        <v>0</v>
      </c>
      <c r="AR203" s="98">
        <f t="shared" ca="1" si="18"/>
        <v>0</v>
      </c>
      <c r="AS203" s="99"/>
      <c r="AT203" s="98">
        <f t="shared" si="19"/>
        <v>1</v>
      </c>
    </row>
    <row r="204" spans="1:46" ht="15.75" customHeight="1">
      <c r="A204" s="76"/>
      <c r="B204" s="77">
        <f t="shared" ca="1" si="0"/>
        <v>1</v>
      </c>
      <c r="C204" s="78">
        <f t="shared" ca="1" si="1"/>
        <v>29</v>
      </c>
      <c r="D204" s="78">
        <f t="shared" ca="1" si="2"/>
        <v>1</v>
      </c>
      <c r="E204" s="78" t="str">
        <f t="shared" ca="1" si="3"/>
        <v/>
      </c>
      <c r="F204" s="78" t="str">
        <f t="shared" ca="1" si="4"/>
        <v/>
      </c>
      <c r="G204" s="79" t="str">
        <f t="shared" ca="1" si="5"/>
        <v/>
      </c>
      <c r="H204" s="80" t="str">
        <f t="shared" ca="1" si="6"/>
        <v/>
      </c>
      <c r="I204" s="100"/>
      <c r="J204" s="111"/>
      <c r="K204" s="111" t="s">
        <v>59</v>
      </c>
      <c r="L204" s="111"/>
      <c r="M204" s="111"/>
      <c r="N204" s="111"/>
      <c r="O204" s="111"/>
      <c r="P204" s="111"/>
      <c r="Q204" s="112"/>
      <c r="R204" s="113"/>
      <c r="S204" s="113"/>
      <c r="T204" s="115"/>
      <c r="U204" s="114"/>
      <c r="V204" s="115"/>
      <c r="W204" s="116"/>
      <c r="X204" s="117"/>
      <c r="Y204" s="118"/>
      <c r="Z204" s="119"/>
      <c r="AA204" s="92"/>
      <c r="AB204" s="93"/>
      <c r="AC204" s="94"/>
      <c r="AD204" s="95"/>
      <c r="AE204" s="96"/>
      <c r="AF204" s="97"/>
      <c r="AG204" s="97">
        <f t="shared" si="7"/>
        <v>0</v>
      </c>
      <c r="AH204" s="97">
        <f t="shared" si="8"/>
        <v>0</v>
      </c>
      <c r="AI204" s="97">
        <f t="shared" si="9"/>
        <v>0</v>
      </c>
      <c r="AJ204" s="97">
        <f t="shared" si="10"/>
        <v>0</v>
      </c>
      <c r="AK204" s="97" t="str">
        <f t="shared" si="11"/>
        <v/>
      </c>
      <c r="AL204" s="98">
        <f t="shared" ca="1" si="12"/>
        <v>1</v>
      </c>
      <c r="AM204" s="98">
        <f t="shared" ca="1" si="13"/>
        <v>29</v>
      </c>
      <c r="AN204" s="98">
        <f t="shared" ca="1" si="14"/>
        <v>1</v>
      </c>
      <c r="AO204" s="98">
        <f t="shared" ca="1" si="15"/>
        <v>0</v>
      </c>
      <c r="AP204" s="98">
        <f t="shared" ca="1" si="16"/>
        <v>0</v>
      </c>
      <c r="AQ204" s="98">
        <f t="shared" ca="1" si="17"/>
        <v>0</v>
      </c>
      <c r="AR204" s="98">
        <f t="shared" ca="1" si="18"/>
        <v>0</v>
      </c>
      <c r="AS204" s="99"/>
      <c r="AT204" s="98">
        <f t="shared" si="19"/>
        <v>1</v>
      </c>
    </row>
    <row r="205" spans="1:46" ht="15.75" customHeight="1">
      <c r="A205" s="76"/>
      <c r="B205" s="77">
        <f t="shared" ca="1" si="0"/>
        <v>1</v>
      </c>
      <c r="C205" s="78">
        <f t="shared" ca="1" si="1"/>
        <v>29</v>
      </c>
      <c r="D205" s="78">
        <f t="shared" ca="1" si="2"/>
        <v>2</v>
      </c>
      <c r="E205" s="78" t="str">
        <f t="shared" ca="1" si="3"/>
        <v/>
      </c>
      <c r="F205" s="78" t="str">
        <f t="shared" ca="1" si="4"/>
        <v/>
      </c>
      <c r="G205" s="79" t="str">
        <f t="shared" ca="1" si="5"/>
        <v/>
      </c>
      <c r="H205" s="80" t="str">
        <f t="shared" ca="1" si="6"/>
        <v/>
      </c>
      <c r="I205" s="100"/>
      <c r="J205" s="111"/>
      <c r="K205" s="111" t="s">
        <v>61</v>
      </c>
      <c r="L205" s="111"/>
      <c r="M205" s="111"/>
      <c r="N205" s="111"/>
      <c r="O205" s="111"/>
      <c r="P205" s="111"/>
      <c r="Q205" s="112"/>
      <c r="R205" s="113"/>
      <c r="S205" s="113"/>
      <c r="T205" s="115"/>
      <c r="U205" s="114"/>
      <c r="V205" s="115"/>
      <c r="W205" s="116"/>
      <c r="X205" s="117"/>
      <c r="Y205" s="118"/>
      <c r="Z205" s="119"/>
      <c r="AA205" s="92"/>
      <c r="AB205" s="93"/>
      <c r="AC205" s="94"/>
      <c r="AD205" s="95"/>
      <c r="AE205" s="96"/>
      <c r="AF205" s="97"/>
      <c r="AG205" s="97">
        <f t="shared" si="7"/>
        <v>0</v>
      </c>
      <c r="AH205" s="97">
        <f t="shared" si="8"/>
        <v>0</v>
      </c>
      <c r="AI205" s="97">
        <f t="shared" si="9"/>
        <v>0</v>
      </c>
      <c r="AJ205" s="97">
        <f t="shared" si="10"/>
        <v>0</v>
      </c>
      <c r="AK205" s="97" t="str">
        <f t="shared" si="11"/>
        <v/>
      </c>
      <c r="AL205" s="98">
        <f t="shared" ca="1" si="12"/>
        <v>1</v>
      </c>
      <c r="AM205" s="98">
        <f t="shared" ca="1" si="13"/>
        <v>29</v>
      </c>
      <c r="AN205" s="98">
        <f t="shared" ca="1" si="14"/>
        <v>2</v>
      </c>
      <c r="AO205" s="98">
        <f t="shared" ca="1" si="15"/>
        <v>0</v>
      </c>
      <c r="AP205" s="98">
        <f t="shared" ca="1" si="16"/>
        <v>0</v>
      </c>
      <c r="AQ205" s="98">
        <f t="shared" ca="1" si="17"/>
        <v>0</v>
      </c>
      <c r="AR205" s="98">
        <f t="shared" ca="1" si="18"/>
        <v>0</v>
      </c>
      <c r="AS205" s="99"/>
      <c r="AT205" s="98">
        <f t="shared" si="19"/>
        <v>1</v>
      </c>
    </row>
    <row r="206" spans="1:46" ht="15.75" customHeight="1">
      <c r="A206" s="76"/>
      <c r="B206" s="77">
        <f t="shared" ca="1" si="0"/>
        <v>1</v>
      </c>
      <c r="C206" s="78">
        <f t="shared" ca="1" si="1"/>
        <v>29</v>
      </c>
      <c r="D206" s="78">
        <f t="shared" ca="1" si="2"/>
        <v>3</v>
      </c>
      <c r="E206" s="78" t="str">
        <f t="shared" ca="1" si="3"/>
        <v/>
      </c>
      <c r="F206" s="78" t="str">
        <f t="shared" ca="1" si="4"/>
        <v/>
      </c>
      <c r="G206" s="79" t="str">
        <f t="shared" ca="1" si="5"/>
        <v/>
      </c>
      <c r="H206" s="80" t="str">
        <f t="shared" ca="1" si="6"/>
        <v/>
      </c>
      <c r="I206" s="100"/>
      <c r="J206" s="111"/>
      <c r="K206" s="111" t="s">
        <v>63</v>
      </c>
      <c r="L206" s="111"/>
      <c r="M206" s="111"/>
      <c r="N206" s="111"/>
      <c r="O206" s="111"/>
      <c r="P206" s="111"/>
      <c r="Q206" s="112"/>
      <c r="R206" s="113"/>
      <c r="S206" s="113"/>
      <c r="T206" s="115"/>
      <c r="U206" s="114"/>
      <c r="V206" s="115"/>
      <c r="W206" s="116"/>
      <c r="X206" s="117"/>
      <c r="Y206" s="118"/>
      <c r="Z206" s="119"/>
      <c r="AA206" s="92"/>
      <c r="AB206" s="93"/>
      <c r="AC206" s="94"/>
      <c r="AD206" s="95"/>
      <c r="AE206" s="96"/>
      <c r="AF206" s="97"/>
      <c r="AG206" s="97">
        <f t="shared" si="7"/>
        <v>0</v>
      </c>
      <c r="AH206" s="97">
        <f t="shared" si="8"/>
        <v>0</v>
      </c>
      <c r="AI206" s="97">
        <f t="shared" si="9"/>
        <v>0</v>
      </c>
      <c r="AJ206" s="97">
        <f t="shared" si="10"/>
        <v>0</v>
      </c>
      <c r="AK206" s="97" t="str">
        <f t="shared" si="11"/>
        <v/>
      </c>
      <c r="AL206" s="98">
        <f t="shared" ca="1" si="12"/>
        <v>1</v>
      </c>
      <c r="AM206" s="98">
        <f t="shared" ca="1" si="13"/>
        <v>29</v>
      </c>
      <c r="AN206" s="98">
        <f t="shared" ca="1" si="14"/>
        <v>3</v>
      </c>
      <c r="AO206" s="98">
        <f t="shared" ca="1" si="15"/>
        <v>0</v>
      </c>
      <c r="AP206" s="98">
        <f t="shared" ca="1" si="16"/>
        <v>0</v>
      </c>
      <c r="AQ206" s="98">
        <f t="shared" ca="1" si="17"/>
        <v>0</v>
      </c>
      <c r="AR206" s="98">
        <f t="shared" ca="1" si="18"/>
        <v>0</v>
      </c>
      <c r="AS206" s="99"/>
      <c r="AT206" s="98">
        <f t="shared" si="19"/>
        <v>1</v>
      </c>
    </row>
    <row r="207" spans="1:46" ht="15.75" customHeight="1">
      <c r="A207" s="76"/>
      <c r="B207" s="77">
        <f t="shared" ca="1" si="0"/>
        <v>1</v>
      </c>
      <c r="C207" s="78">
        <f t="shared" ca="1" si="1"/>
        <v>29</v>
      </c>
      <c r="D207" s="78">
        <f t="shared" ca="1" si="2"/>
        <v>4</v>
      </c>
      <c r="E207" s="78" t="str">
        <f t="shared" ca="1" si="3"/>
        <v/>
      </c>
      <c r="F207" s="78" t="str">
        <f t="shared" ca="1" si="4"/>
        <v/>
      </c>
      <c r="G207" s="79" t="str">
        <f t="shared" ca="1" si="5"/>
        <v/>
      </c>
      <c r="H207" s="80" t="str">
        <f t="shared" ca="1" si="6"/>
        <v/>
      </c>
      <c r="I207" s="100"/>
      <c r="J207" s="111"/>
      <c r="K207" s="111" t="s">
        <v>64</v>
      </c>
      <c r="L207" s="111"/>
      <c r="M207" s="111"/>
      <c r="N207" s="111"/>
      <c r="O207" s="111"/>
      <c r="P207" s="111"/>
      <c r="Q207" s="112"/>
      <c r="R207" s="113"/>
      <c r="S207" s="113"/>
      <c r="T207" s="115"/>
      <c r="U207" s="114"/>
      <c r="V207" s="115"/>
      <c r="W207" s="116"/>
      <c r="X207" s="117"/>
      <c r="Y207" s="118"/>
      <c r="Z207" s="119"/>
      <c r="AA207" s="92"/>
      <c r="AB207" s="93"/>
      <c r="AC207" s="94"/>
      <c r="AD207" s="95"/>
      <c r="AE207" s="96"/>
      <c r="AF207" s="97"/>
      <c r="AG207" s="97">
        <f t="shared" si="7"/>
        <v>0</v>
      </c>
      <c r="AH207" s="97">
        <f t="shared" si="8"/>
        <v>0</v>
      </c>
      <c r="AI207" s="97">
        <f t="shared" si="9"/>
        <v>0</v>
      </c>
      <c r="AJ207" s="97">
        <f t="shared" si="10"/>
        <v>0</v>
      </c>
      <c r="AK207" s="97" t="str">
        <f t="shared" si="11"/>
        <v/>
      </c>
      <c r="AL207" s="98">
        <f t="shared" ca="1" si="12"/>
        <v>1</v>
      </c>
      <c r="AM207" s="98">
        <f t="shared" ca="1" si="13"/>
        <v>29</v>
      </c>
      <c r="AN207" s="98">
        <f t="shared" ca="1" si="14"/>
        <v>4</v>
      </c>
      <c r="AO207" s="98">
        <f t="shared" ca="1" si="15"/>
        <v>0</v>
      </c>
      <c r="AP207" s="98">
        <f t="shared" ca="1" si="16"/>
        <v>0</v>
      </c>
      <c r="AQ207" s="98">
        <f t="shared" ca="1" si="17"/>
        <v>0</v>
      </c>
      <c r="AR207" s="98">
        <f t="shared" ca="1" si="18"/>
        <v>0</v>
      </c>
      <c r="AS207" s="99"/>
      <c r="AT207" s="98">
        <f t="shared" si="19"/>
        <v>1</v>
      </c>
    </row>
    <row r="208" spans="1:46" ht="15.75" customHeight="1">
      <c r="A208" s="76"/>
      <c r="B208" s="77">
        <f t="shared" ca="1" si="0"/>
        <v>1</v>
      </c>
      <c r="C208" s="78">
        <f t="shared" ca="1" si="1"/>
        <v>29</v>
      </c>
      <c r="D208" s="78">
        <f t="shared" ca="1" si="2"/>
        <v>5</v>
      </c>
      <c r="E208" s="78" t="str">
        <f t="shared" ca="1" si="3"/>
        <v/>
      </c>
      <c r="F208" s="78" t="str">
        <f t="shared" ca="1" si="4"/>
        <v/>
      </c>
      <c r="G208" s="79" t="str">
        <f t="shared" ca="1" si="5"/>
        <v/>
      </c>
      <c r="H208" s="80" t="str">
        <f t="shared" ca="1" si="6"/>
        <v/>
      </c>
      <c r="I208" s="100"/>
      <c r="J208" s="111"/>
      <c r="K208" s="111" t="s">
        <v>65</v>
      </c>
      <c r="L208" s="111"/>
      <c r="M208" s="111"/>
      <c r="N208" s="111"/>
      <c r="O208" s="111"/>
      <c r="P208" s="111"/>
      <c r="Q208" s="112"/>
      <c r="R208" s="113"/>
      <c r="S208" s="113"/>
      <c r="T208" s="115"/>
      <c r="U208" s="114"/>
      <c r="V208" s="115"/>
      <c r="W208" s="116"/>
      <c r="X208" s="117"/>
      <c r="Y208" s="118"/>
      <c r="Z208" s="119"/>
      <c r="AA208" s="92"/>
      <c r="AB208" s="93"/>
      <c r="AC208" s="94"/>
      <c r="AD208" s="95"/>
      <c r="AE208" s="96"/>
      <c r="AF208" s="97"/>
      <c r="AG208" s="97">
        <f t="shared" si="7"/>
        <v>0</v>
      </c>
      <c r="AH208" s="97">
        <f t="shared" si="8"/>
        <v>0</v>
      </c>
      <c r="AI208" s="97">
        <f t="shared" si="9"/>
        <v>0</v>
      </c>
      <c r="AJ208" s="97">
        <f t="shared" si="10"/>
        <v>0</v>
      </c>
      <c r="AK208" s="97" t="str">
        <f t="shared" si="11"/>
        <v/>
      </c>
      <c r="AL208" s="98">
        <f t="shared" ca="1" si="12"/>
        <v>1</v>
      </c>
      <c r="AM208" s="98">
        <f t="shared" ca="1" si="13"/>
        <v>29</v>
      </c>
      <c r="AN208" s="98">
        <f t="shared" ca="1" si="14"/>
        <v>5</v>
      </c>
      <c r="AO208" s="98">
        <f t="shared" ca="1" si="15"/>
        <v>0</v>
      </c>
      <c r="AP208" s="98">
        <f t="shared" ca="1" si="16"/>
        <v>0</v>
      </c>
      <c r="AQ208" s="98">
        <f t="shared" ca="1" si="17"/>
        <v>0</v>
      </c>
      <c r="AR208" s="98">
        <f t="shared" ca="1" si="18"/>
        <v>0</v>
      </c>
      <c r="AS208" s="99"/>
      <c r="AT208" s="98">
        <f t="shared" si="19"/>
        <v>1</v>
      </c>
    </row>
    <row r="209" spans="1:46" ht="15.75" customHeight="1">
      <c r="A209" s="76"/>
      <c r="B209" s="77">
        <f t="shared" ca="1" si="0"/>
        <v>1</v>
      </c>
      <c r="C209" s="78">
        <f t="shared" ca="1" si="1"/>
        <v>29</v>
      </c>
      <c r="D209" s="78">
        <f t="shared" ca="1" si="2"/>
        <v>6</v>
      </c>
      <c r="E209" s="78" t="str">
        <f t="shared" ca="1" si="3"/>
        <v/>
      </c>
      <c r="F209" s="78" t="str">
        <f t="shared" ca="1" si="4"/>
        <v/>
      </c>
      <c r="G209" s="79" t="str">
        <f t="shared" ca="1" si="5"/>
        <v/>
      </c>
      <c r="H209" s="80" t="str">
        <f t="shared" ca="1" si="6"/>
        <v/>
      </c>
      <c r="I209" s="100"/>
      <c r="J209" s="111"/>
      <c r="K209" s="111" t="s">
        <v>66</v>
      </c>
      <c r="L209" s="111"/>
      <c r="M209" s="111"/>
      <c r="N209" s="111"/>
      <c r="O209" s="111"/>
      <c r="P209" s="111"/>
      <c r="Q209" s="112"/>
      <c r="R209" s="113"/>
      <c r="S209" s="113"/>
      <c r="T209" s="115"/>
      <c r="U209" s="114"/>
      <c r="V209" s="115"/>
      <c r="W209" s="116"/>
      <c r="X209" s="117"/>
      <c r="Y209" s="118"/>
      <c r="Z209" s="119"/>
      <c r="AA209" s="92"/>
      <c r="AB209" s="93"/>
      <c r="AC209" s="94"/>
      <c r="AD209" s="95"/>
      <c r="AE209" s="96"/>
      <c r="AF209" s="97"/>
      <c r="AG209" s="97">
        <f t="shared" si="7"/>
        <v>0</v>
      </c>
      <c r="AH209" s="97">
        <f t="shared" si="8"/>
        <v>0</v>
      </c>
      <c r="AI209" s="97">
        <f t="shared" si="9"/>
        <v>0</v>
      </c>
      <c r="AJ209" s="97">
        <f t="shared" si="10"/>
        <v>0</v>
      </c>
      <c r="AK209" s="97" t="str">
        <f t="shared" si="11"/>
        <v/>
      </c>
      <c r="AL209" s="98">
        <f t="shared" ca="1" si="12"/>
        <v>1</v>
      </c>
      <c r="AM209" s="98">
        <f t="shared" ca="1" si="13"/>
        <v>29</v>
      </c>
      <c r="AN209" s="98">
        <f t="shared" ca="1" si="14"/>
        <v>6</v>
      </c>
      <c r="AO209" s="98">
        <f t="shared" ca="1" si="15"/>
        <v>0</v>
      </c>
      <c r="AP209" s="98">
        <f t="shared" ca="1" si="16"/>
        <v>0</v>
      </c>
      <c r="AQ209" s="98">
        <f t="shared" ca="1" si="17"/>
        <v>0</v>
      </c>
      <c r="AR209" s="98">
        <f t="shared" ca="1" si="18"/>
        <v>0</v>
      </c>
      <c r="AS209" s="99"/>
      <c r="AT209" s="98">
        <f t="shared" si="19"/>
        <v>1</v>
      </c>
    </row>
    <row r="210" spans="1:46" ht="15.75" customHeight="1">
      <c r="A210" s="76"/>
      <c r="B210" s="77">
        <f t="shared" ca="1" si="0"/>
        <v>1</v>
      </c>
      <c r="C210" s="78">
        <f t="shared" ca="1" si="1"/>
        <v>30</v>
      </c>
      <c r="D210" s="78" t="str">
        <f t="shared" ca="1" si="2"/>
        <v/>
      </c>
      <c r="E210" s="78" t="str">
        <f t="shared" ca="1" si="3"/>
        <v/>
      </c>
      <c r="F210" s="78" t="str">
        <f t="shared" ca="1" si="4"/>
        <v/>
      </c>
      <c r="G210" s="79" t="str">
        <f t="shared" ca="1" si="5"/>
        <v/>
      </c>
      <c r="H210" s="80" t="str">
        <f t="shared" ca="1" si="6"/>
        <v/>
      </c>
      <c r="I210" s="100"/>
      <c r="J210" s="101" t="s">
        <v>99</v>
      </c>
      <c r="K210" s="102"/>
      <c r="L210" s="102"/>
      <c r="M210" s="102"/>
      <c r="N210" s="102"/>
      <c r="O210" s="102"/>
      <c r="P210" s="102"/>
      <c r="Q210" s="103" t="s">
        <v>73</v>
      </c>
      <c r="R210" s="104"/>
      <c r="S210" s="104"/>
      <c r="T210" s="105"/>
      <c r="U210" s="106"/>
      <c r="V210" s="105"/>
      <c r="W210" s="107"/>
      <c r="X210" s="108"/>
      <c r="Y210" s="109"/>
      <c r="Z210" s="110"/>
      <c r="AA210" s="92"/>
      <c r="AB210" s="93"/>
      <c r="AC210" s="94"/>
      <c r="AD210" s="95"/>
      <c r="AE210" s="96"/>
      <c r="AF210" s="97"/>
      <c r="AG210" s="97">
        <f t="shared" si="7"/>
        <v>0</v>
      </c>
      <c r="AH210" s="97">
        <f t="shared" si="8"/>
        <v>0</v>
      </c>
      <c r="AI210" s="97">
        <f t="shared" si="9"/>
        <v>0</v>
      </c>
      <c r="AJ210" s="97">
        <f t="shared" si="10"/>
        <v>0</v>
      </c>
      <c r="AK210" s="97" t="str">
        <f t="shared" si="11"/>
        <v/>
      </c>
      <c r="AL210" s="98">
        <f t="shared" ca="1" si="12"/>
        <v>1</v>
      </c>
      <c r="AM210" s="98">
        <f t="shared" ca="1" si="13"/>
        <v>30</v>
      </c>
      <c r="AN210" s="98">
        <f t="shared" ca="1" si="14"/>
        <v>0</v>
      </c>
      <c r="AO210" s="98">
        <f t="shared" ca="1" si="15"/>
        <v>0</v>
      </c>
      <c r="AP210" s="98">
        <f t="shared" ca="1" si="16"/>
        <v>0</v>
      </c>
      <c r="AQ210" s="98">
        <f t="shared" ca="1" si="17"/>
        <v>0</v>
      </c>
      <c r="AR210" s="98">
        <f t="shared" ca="1" si="18"/>
        <v>0</v>
      </c>
      <c r="AS210" s="99"/>
      <c r="AT210" s="98">
        <f t="shared" si="19"/>
        <v>1</v>
      </c>
    </row>
    <row r="211" spans="1:46" ht="15.75" customHeight="1">
      <c r="A211" s="76"/>
      <c r="B211" s="77">
        <f t="shared" ca="1" si="0"/>
        <v>1</v>
      </c>
      <c r="C211" s="78">
        <f t="shared" ca="1" si="1"/>
        <v>30</v>
      </c>
      <c r="D211" s="78">
        <f t="shared" ca="1" si="2"/>
        <v>1</v>
      </c>
      <c r="E211" s="78" t="str">
        <f t="shared" ca="1" si="3"/>
        <v/>
      </c>
      <c r="F211" s="78" t="str">
        <f t="shared" ca="1" si="4"/>
        <v/>
      </c>
      <c r="G211" s="79" t="str">
        <f t="shared" ca="1" si="5"/>
        <v/>
      </c>
      <c r="H211" s="80" t="str">
        <f t="shared" ca="1" si="6"/>
        <v/>
      </c>
      <c r="I211" s="100"/>
      <c r="J211" s="111"/>
      <c r="K211" s="111" t="s">
        <v>59</v>
      </c>
      <c r="L211" s="111"/>
      <c r="M211" s="111"/>
      <c r="N211" s="111"/>
      <c r="O211" s="111"/>
      <c r="P211" s="111"/>
      <c r="Q211" s="112"/>
      <c r="R211" s="113"/>
      <c r="S211" s="113"/>
      <c r="T211" s="115"/>
      <c r="U211" s="114"/>
      <c r="V211" s="115"/>
      <c r="W211" s="116"/>
      <c r="X211" s="117"/>
      <c r="Y211" s="118"/>
      <c r="Z211" s="119"/>
      <c r="AA211" s="92"/>
      <c r="AB211" s="93"/>
      <c r="AC211" s="94"/>
      <c r="AD211" s="95"/>
      <c r="AE211" s="96"/>
      <c r="AF211" s="97"/>
      <c r="AG211" s="97">
        <f t="shared" si="7"/>
        <v>0</v>
      </c>
      <c r="AH211" s="97">
        <f t="shared" si="8"/>
        <v>0</v>
      </c>
      <c r="AI211" s="97">
        <f t="shared" si="9"/>
        <v>0</v>
      </c>
      <c r="AJ211" s="97">
        <f t="shared" si="10"/>
        <v>0</v>
      </c>
      <c r="AK211" s="97" t="str">
        <f t="shared" si="11"/>
        <v/>
      </c>
      <c r="AL211" s="98">
        <f t="shared" ca="1" si="12"/>
        <v>1</v>
      </c>
      <c r="AM211" s="98">
        <f t="shared" ca="1" si="13"/>
        <v>30</v>
      </c>
      <c r="AN211" s="98">
        <f t="shared" ca="1" si="14"/>
        <v>1</v>
      </c>
      <c r="AO211" s="98">
        <f t="shared" ca="1" si="15"/>
        <v>0</v>
      </c>
      <c r="AP211" s="98">
        <f t="shared" ca="1" si="16"/>
        <v>0</v>
      </c>
      <c r="AQ211" s="98">
        <f t="shared" ca="1" si="17"/>
        <v>0</v>
      </c>
      <c r="AR211" s="98">
        <f t="shared" ca="1" si="18"/>
        <v>0</v>
      </c>
      <c r="AS211" s="99"/>
      <c r="AT211" s="98">
        <f t="shared" si="19"/>
        <v>1</v>
      </c>
    </row>
    <row r="212" spans="1:46" ht="15.75" customHeight="1">
      <c r="A212" s="76"/>
      <c r="B212" s="77">
        <f t="shared" ca="1" si="0"/>
        <v>1</v>
      </c>
      <c r="C212" s="78">
        <f t="shared" ca="1" si="1"/>
        <v>30</v>
      </c>
      <c r="D212" s="78">
        <f t="shared" ca="1" si="2"/>
        <v>2</v>
      </c>
      <c r="E212" s="78" t="str">
        <f t="shared" ca="1" si="3"/>
        <v/>
      </c>
      <c r="F212" s="78" t="str">
        <f t="shared" ca="1" si="4"/>
        <v/>
      </c>
      <c r="G212" s="79" t="str">
        <f t="shared" ca="1" si="5"/>
        <v/>
      </c>
      <c r="H212" s="80" t="str">
        <f t="shared" ca="1" si="6"/>
        <v/>
      </c>
      <c r="I212" s="100"/>
      <c r="J212" s="111"/>
      <c r="K212" s="111" t="s">
        <v>61</v>
      </c>
      <c r="L212" s="111"/>
      <c r="M212" s="111"/>
      <c r="N212" s="111"/>
      <c r="O212" s="111"/>
      <c r="P212" s="111"/>
      <c r="Q212" s="112"/>
      <c r="R212" s="113"/>
      <c r="S212" s="113"/>
      <c r="T212" s="115"/>
      <c r="U212" s="114"/>
      <c r="V212" s="115"/>
      <c r="W212" s="116"/>
      <c r="X212" s="117"/>
      <c r="Y212" s="118"/>
      <c r="Z212" s="119"/>
      <c r="AA212" s="92"/>
      <c r="AB212" s="93"/>
      <c r="AC212" s="94"/>
      <c r="AD212" s="95"/>
      <c r="AE212" s="96"/>
      <c r="AF212" s="97"/>
      <c r="AG212" s="97">
        <f t="shared" si="7"/>
        <v>0</v>
      </c>
      <c r="AH212" s="97">
        <f t="shared" si="8"/>
        <v>0</v>
      </c>
      <c r="AI212" s="97">
        <f t="shared" si="9"/>
        <v>0</v>
      </c>
      <c r="AJ212" s="97">
        <f t="shared" si="10"/>
        <v>0</v>
      </c>
      <c r="AK212" s="97" t="str">
        <f t="shared" si="11"/>
        <v/>
      </c>
      <c r="AL212" s="98">
        <f t="shared" ca="1" si="12"/>
        <v>1</v>
      </c>
      <c r="AM212" s="98">
        <f t="shared" ca="1" si="13"/>
        <v>30</v>
      </c>
      <c r="AN212" s="98">
        <f t="shared" ca="1" si="14"/>
        <v>2</v>
      </c>
      <c r="AO212" s="98">
        <f t="shared" ca="1" si="15"/>
        <v>0</v>
      </c>
      <c r="AP212" s="98">
        <f t="shared" ca="1" si="16"/>
        <v>0</v>
      </c>
      <c r="AQ212" s="98">
        <f t="shared" ca="1" si="17"/>
        <v>0</v>
      </c>
      <c r="AR212" s="98">
        <f t="shared" ca="1" si="18"/>
        <v>0</v>
      </c>
      <c r="AS212" s="99"/>
      <c r="AT212" s="98">
        <f t="shared" si="19"/>
        <v>1</v>
      </c>
    </row>
    <row r="213" spans="1:46" ht="15.75" customHeight="1">
      <c r="A213" s="76"/>
      <c r="B213" s="77">
        <f t="shared" ca="1" si="0"/>
        <v>1</v>
      </c>
      <c r="C213" s="78">
        <f t="shared" ca="1" si="1"/>
        <v>30</v>
      </c>
      <c r="D213" s="78">
        <f t="shared" ca="1" si="2"/>
        <v>3</v>
      </c>
      <c r="E213" s="78" t="str">
        <f t="shared" ca="1" si="3"/>
        <v/>
      </c>
      <c r="F213" s="78" t="str">
        <f t="shared" ca="1" si="4"/>
        <v/>
      </c>
      <c r="G213" s="79" t="str">
        <f t="shared" ca="1" si="5"/>
        <v/>
      </c>
      <c r="H213" s="80" t="str">
        <f t="shared" ca="1" si="6"/>
        <v/>
      </c>
      <c r="I213" s="100"/>
      <c r="J213" s="111"/>
      <c r="K213" s="111" t="s">
        <v>63</v>
      </c>
      <c r="L213" s="111"/>
      <c r="M213" s="111"/>
      <c r="N213" s="111"/>
      <c r="O213" s="111"/>
      <c r="P213" s="111"/>
      <c r="Q213" s="112"/>
      <c r="R213" s="113"/>
      <c r="S213" s="113"/>
      <c r="T213" s="115"/>
      <c r="U213" s="114"/>
      <c r="V213" s="115"/>
      <c r="W213" s="116"/>
      <c r="X213" s="117"/>
      <c r="Y213" s="118"/>
      <c r="Z213" s="119"/>
      <c r="AA213" s="92"/>
      <c r="AB213" s="93"/>
      <c r="AC213" s="94"/>
      <c r="AD213" s="95"/>
      <c r="AE213" s="96"/>
      <c r="AF213" s="97"/>
      <c r="AG213" s="97">
        <f t="shared" si="7"/>
        <v>0</v>
      </c>
      <c r="AH213" s="97">
        <f t="shared" si="8"/>
        <v>0</v>
      </c>
      <c r="AI213" s="97">
        <f t="shared" si="9"/>
        <v>0</v>
      </c>
      <c r="AJ213" s="97">
        <f t="shared" si="10"/>
        <v>0</v>
      </c>
      <c r="AK213" s="97" t="str">
        <f t="shared" si="11"/>
        <v/>
      </c>
      <c r="AL213" s="98">
        <f t="shared" ca="1" si="12"/>
        <v>1</v>
      </c>
      <c r="AM213" s="98">
        <f t="shared" ca="1" si="13"/>
        <v>30</v>
      </c>
      <c r="AN213" s="98">
        <f t="shared" ca="1" si="14"/>
        <v>3</v>
      </c>
      <c r="AO213" s="98">
        <f t="shared" ca="1" si="15"/>
        <v>0</v>
      </c>
      <c r="AP213" s="98">
        <f t="shared" ca="1" si="16"/>
        <v>0</v>
      </c>
      <c r="AQ213" s="98">
        <f t="shared" ca="1" si="17"/>
        <v>0</v>
      </c>
      <c r="AR213" s="98">
        <f t="shared" ca="1" si="18"/>
        <v>0</v>
      </c>
      <c r="AS213" s="99"/>
      <c r="AT213" s="98">
        <f t="shared" si="19"/>
        <v>1</v>
      </c>
    </row>
    <row r="214" spans="1:46" ht="15.75" customHeight="1">
      <c r="A214" s="76"/>
      <c r="B214" s="77">
        <f t="shared" ca="1" si="0"/>
        <v>1</v>
      </c>
      <c r="C214" s="78">
        <f t="shared" ca="1" si="1"/>
        <v>30</v>
      </c>
      <c r="D214" s="78">
        <f t="shared" ca="1" si="2"/>
        <v>4</v>
      </c>
      <c r="E214" s="78" t="str">
        <f t="shared" ca="1" si="3"/>
        <v/>
      </c>
      <c r="F214" s="78" t="str">
        <f t="shared" ca="1" si="4"/>
        <v/>
      </c>
      <c r="G214" s="79" t="str">
        <f t="shared" ca="1" si="5"/>
        <v/>
      </c>
      <c r="H214" s="80" t="str">
        <f t="shared" ca="1" si="6"/>
        <v/>
      </c>
      <c r="I214" s="100"/>
      <c r="J214" s="111"/>
      <c r="K214" s="111" t="s">
        <v>64</v>
      </c>
      <c r="L214" s="111"/>
      <c r="M214" s="111"/>
      <c r="N214" s="111"/>
      <c r="O214" s="111"/>
      <c r="P214" s="111"/>
      <c r="Q214" s="112"/>
      <c r="R214" s="113"/>
      <c r="S214" s="113"/>
      <c r="T214" s="115"/>
      <c r="U214" s="114"/>
      <c r="V214" s="115"/>
      <c r="W214" s="116"/>
      <c r="X214" s="117"/>
      <c r="Y214" s="118"/>
      <c r="Z214" s="119"/>
      <c r="AA214" s="92"/>
      <c r="AB214" s="93"/>
      <c r="AC214" s="94"/>
      <c r="AD214" s="95"/>
      <c r="AE214" s="96"/>
      <c r="AF214" s="97"/>
      <c r="AG214" s="97">
        <f t="shared" si="7"/>
        <v>0</v>
      </c>
      <c r="AH214" s="97">
        <f t="shared" si="8"/>
        <v>0</v>
      </c>
      <c r="AI214" s="97">
        <f t="shared" si="9"/>
        <v>0</v>
      </c>
      <c r="AJ214" s="97">
        <f t="shared" si="10"/>
        <v>0</v>
      </c>
      <c r="AK214" s="97" t="str">
        <f t="shared" si="11"/>
        <v/>
      </c>
      <c r="AL214" s="98">
        <f t="shared" ca="1" si="12"/>
        <v>1</v>
      </c>
      <c r="AM214" s="98">
        <f t="shared" ca="1" si="13"/>
        <v>30</v>
      </c>
      <c r="AN214" s="98">
        <f t="shared" ca="1" si="14"/>
        <v>4</v>
      </c>
      <c r="AO214" s="98">
        <f t="shared" ca="1" si="15"/>
        <v>0</v>
      </c>
      <c r="AP214" s="98">
        <f t="shared" ca="1" si="16"/>
        <v>0</v>
      </c>
      <c r="AQ214" s="98">
        <f t="shared" ca="1" si="17"/>
        <v>0</v>
      </c>
      <c r="AR214" s="98">
        <f t="shared" ca="1" si="18"/>
        <v>0</v>
      </c>
      <c r="AS214" s="99"/>
      <c r="AT214" s="98">
        <f t="shared" si="19"/>
        <v>1</v>
      </c>
    </row>
    <row r="215" spans="1:46" ht="15.75" customHeight="1">
      <c r="A215" s="76"/>
      <c r="B215" s="77">
        <f t="shared" ca="1" si="0"/>
        <v>1</v>
      </c>
      <c r="C215" s="78">
        <f t="shared" ca="1" si="1"/>
        <v>30</v>
      </c>
      <c r="D215" s="78">
        <f t="shared" ca="1" si="2"/>
        <v>5</v>
      </c>
      <c r="E215" s="78" t="str">
        <f t="shared" ca="1" si="3"/>
        <v/>
      </c>
      <c r="F215" s="78" t="str">
        <f t="shared" ca="1" si="4"/>
        <v/>
      </c>
      <c r="G215" s="79" t="str">
        <f t="shared" ca="1" si="5"/>
        <v/>
      </c>
      <c r="H215" s="80" t="str">
        <f t="shared" ca="1" si="6"/>
        <v/>
      </c>
      <c r="I215" s="100"/>
      <c r="J215" s="111"/>
      <c r="K215" s="111" t="s">
        <v>65</v>
      </c>
      <c r="L215" s="111"/>
      <c r="M215" s="111"/>
      <c r="N215" s="111"/>
      <c r="O215" s="111"/>
      <c r="P215" s="111"/>
      <c r="Q215" s="112"/>
      <c r="R215" s="113"/>
      <c r="S215" s="113"/>
      <c r="T215" s="115"/>
      <c r="U215" s="114"/>
      <c r="V215" s="115"/>
      <c r="W215" s="116"/>
      <c r="X215" s="117"/>
      <c r="Y215" s="118"/>
      <c r="Z215" s="119"/>
      <c r="AA215" s="92"/>
      <c r="AB215" s="93"/>
      <c r="AC215" s="94"/>
      <c r="AD215" s="95"/>
      <c r="AE215" s="96"/>
      <c r="AF215" s="97"/>
      <c r="AG215" s="97">
        <f t="shared" si="7"/>
        <v>0</v>
      </c>
      <c r="AH215" s="97">
        <f t="shared" si="8"/>
        <v>0</v>
      </c>
      <c r="AI215" s="97">
        <f t="shared" si="9"/>
        <v>0</v>
      </c>
      <c r="AJ215" s="97">
        <f t="shared" si="10"/>
        <v>0</v>
      </c>
      <c r="AK215" s="97" t="str">
        <f t="shared" si="11"/>
        <v/>
      </c>
      <c r="AL215" s="98">
        <f t="shared" ca="1" si="12"/>
        <v>1</v>
      </c>
      <c r="AM215" s="98">
        <f t="shared" ca="1" si="13"/>
        <v>30</v>
      </c>
      <c r="AN215" s="98">
        <f t="shared" ca="1" si="14"/>
        <v>5</v>
      </c>
      <c r="AO215" s="98">
        <f t="shared" ca="1" si="15"/>
        <v>0</v>
      </c>
      <c r="AP215" s="98">
        <f t="shared" ca="1" si="16"/>
        <v>0</v>
      </c>
      <c r="AQ215" s="98">
        <f t="shared" ca="1" si="17"/>
        <v>0</v>
      </c>
      <c r="AR215" s="98">
        <f t="shared" ca="1" si="18"/>
        <v>0</v>
      </c>
      <c r="AS215" s="99"/>
      <c r="AT215" s="98">
        <f t="shared" si="19"/>
        <v>1</v>
      </c>
    </row>
    <row r="216" spans="1:46" ht="15.75" customHeight="1">
      <c r="A216" s="76"/>
      <c r="B216" s="77">
        <f t="shared" ca="1" si="0"/>
        <v>1</v>
      </c>
      <c r="C216" s="78">
        <f t="shared" ca="1" si="1"/>
        <v>30</v>
      </c>
      <c r="D216" s="78">
        <f t="shared" ca="1" si="2"/>
        <v>6</v>
      </c>
      <c r="E216" s="78" t="str">
        <f t="shared" ca="1" si="3"/>
        <v/>
      </c>
      <c r="F216" s="78" t="str">
        <f t="shared" ca="1" si="4"/>
        <v/>
      </c>
      <c r="G216" s="79" t="str">
        <f t="shared" ca="1" si="5"/>
        <v/>
      </c>
      <c r="H216" s="80" t="str">
        <f t="shared" ca="1" si="6"/>
        <v/>
      </c>
      <c r="I216" s="100"/>
      <c r="J216" s="111"/>
      <c r="K216" s="111" t="s">
        <v>66</v>
      </c>
      <c r="L216" s="111"/>
      <c r="M216" s="111"/>
      <c r="N216" s="111"/>
      <c r="O216" s="111"/>
      <c r="P216" s="111"/>
      <c r="Q216" s="112"/>
      <c r="R216" s="113"/>
      <c r="S216" s="113"/>
      <c r="T216" s="115"/>
      <c r="U216" s="114"/>
      <c r="V216" s="115"/>
      <c r="W216" s="116"/>
      <c r="X216" s="117"/>
      <c r="Y216" s="118"/>
      <c r="Z216" s="119"/>
      <c r="AA216" s="92"/>
      <c r="AB216" s="93"/>
      <c r="AC216" s="94"/>
      <c r="AD216" s="95"/>
      <c r="AE216" s="96"/>
      <c r="AF216" s="97"/>
      <c r="AG216" s="97">
        <f t="shared" si="7"/>
        <v>0</v>
      </c>
      <c r="AH216" s="97">
        <f t="shared" si="8"/>
        <v>0</v>
      </c>
      <c r="AI216" s="97">
        <f t="shared" si="9"/>
        <v>0</v>
      </c>
      <c r="AJ216" s="97">
        <f t="shared" si="10"/>
        <v>0</v>
      </c>
      <c r="AK216" s="97" t="str">
        <f t="shared" si="11"/>
        <v/>
      </c>
      <c r="AL216" s="98">
        <f t="shared" ca="1" si="12"/>
        <v>1</v>
      </c>
      <c r="AM216" s="98">
        <f t="shared" ca="1" si="13"/>
        <v>30</v>
      </c>
      <c r="AN216" s="98">
        <f t="shared" ca="1" si="14"/>
        <v>6</v>
      </c>
      <c r="AO216" s="98">
        <f t="shared" ca="1" si="15"/>
        <v>0</v>
      </c>
      <c r="AP216" s="98">
        <f t="shared" ca="1" si="16"/>
        <v>0</v>
      </c>
      <c r="AQ216" s="98">
        <f t="shared" ca="1" si="17"/>
        <v>0</v>
      </c>
      <c r="AR216" s="98">
        <f t="shared" ca="1" si="18"/>
        <v>0</v>
      </c>
      <c r="AS216" s="99"/>
      <c r="AT216" s="98">
        <f t="shared" si="19"/>
        <v>1</v>
      </c>
    </row>
    <row r="217" spans="1:46" ht="15.75" customHeight="1">
      <c r="A217" s="76"/>
      <c r="B217" s="77">
        <f t="shared" ca="1" si="0"/>
        <v>1</v>
      </c>
      <c r="C217" s="78">
        <f t="shared" ca="1" si="1"/>
        <v>31</v>
      </c>
      <c r="D217" s="78" t="str">
        <f t="shared" ca="1" si="2"/>
        <v/>
      </c>
      <c r="E217" s="78" t="str">
        <f t="shared" ca="1" si="3"/>
        <v/>
      </c>
      <c r="F217" s="78" t="str">
        <f t="shared" ca="1" si="4"/>
        <v/>
      </c>
      <c r="G217" s="79" t="str">
        <f t="shared" ca="1" si="5"/>
        <v/>
      </c>
      <c r="H217" s="80" t="str">
        <f t="shared" ca="1" si="6"/>
        <v/>
      </c>
      <c r="I217" s="100"/>
      <c r="J217" s="101" t="s">
        <v>100</v>
      </c>
      <c r="K217" s="102"/>
      <c r="L217" s="102"/>
      <c r="M217" s="102"/>
      <c r="N217" s="102"/>
      <c r="O217" s="102"/>
      <c r="P217" s="102"/>
      <c r="Q217" s="103" t="s">
        <v>81</v>
      </c>
      <c r="R217" s="104"/>
      <c r="S217" s="104"/>
      <c r="T217" s="105"/>
      <c r="U217" s="106"/>
      <c r="V217" s="105"/>
      <c r="W217" s="107"/>
      <c r="X217" s="108"/>
      <c r="Y217" s="109"/>
      <c r="Z217" s="110"/>
      <c r="AA217" s="92"/>
      <c r="AB217" s="93"/>
      <c r="AC217" s="94"/>
      <c r="AD217" s="95"/>
      <c r="AE217" s="96"/>
      <c r="AF217" s="97"/>
      <c r="AG217" s="97">
        <f t="shared" si="7"/>
        <v>0</v>
      </c>
      <c r="AH217" s="97">
        <f t="shared" si="8"/>
        <v>0</v>
      </c>
      <c r="AI217" s="97">
        <f t="shared" si="9"/>
        <v>0</v>
      </c>
      <c r="AJ217" s="97">
        <f t="shared" si="10"/>
        <v>0</v>
      </c>
      <c r="AK217" s="97" t="str">
        <f t="shared" si="11"/>
        <v/>
      </c>
      <c r="AL217" s="98">
        <f t="shared" ca="1" si="12"/>
        <v>1</v>
      </c>
      <c r="AM217" s="98">
        <f t="shared" ca="1" si="13"/>
        <v>31</v>
      </c>
      <c r="AN217" s="98">
        <f t="shared" ca="1" si="14"/>
        <v>0</v>
      </c>
      <c r="AO217" s="98">
        <f t="shared" ca="1" si="15"/>
        <v>0</v>
      </c>
      <c r="AP217" s="98">
        <f t="shared" ca="1" si="16"/>
        <v>0</v>
      </c>
      <c r="AQ217" s="98">
        <f t="shared" ca="1" si="17"/>
        <v>0</v>
      </c>
      <c r="AR217" s="98">
        <f t="shared" ca="1" si="18"/>
        <v>0</v>
      </c>
      <c r="AS217" s="99"/>
      <c r="AT217" s="98">
        <f t="shared" si="19"/>
        <v>1</v>
      </c>
    </row>
    <row r="218" spans="1:46" ht="15.75" customHeight="1">
      <c r="A218" s="76"/>
      <c r="B218" s="77">
        <f t="shared" ca="1" si="0"/>
        <v>1</v>
      </c>
      <c r="C218" s="78">
        <f t="shared" ca="1" si="1"/>
        <v>31</v>
      </c>
      <c r="D218" s="78">
        <f t="shared" ca="1" si="2"/>
        <v>1</v>
      </c>
      <c r="E218" s="78" t="str">
        <f t="shared" ca="1" si="3"/>
        <v/>
      </c>
      <c r="F218" s="78" t="str">
        <f t="shared" ca="1" si="4"/>
        <v/>
      </c>
      <c r="G218" s="79" t="str">
        <f t="shared" ca="1" si="5"/>
        <v/>
      </c>
      <c r="H218" s="80" t="str">
        <f t="shared" ca="1" si="6"/>
        <v/>
      </c>
      <c r="I218" s="100"/>
      <c r="J218" s="111"/>
      <c r="K218" s="111" t="s">
        <v>59</v>
      </c>
      <c r="L218" s="111"/>
      <c r="M218" s="111"/>
      <c r="N218" s="111"/>
      <c r="O218" s="111"/>
      <c r="P218" s="111"/>
      <c r="Q218" s="112"/>
      <c r="R218" s="124" t="s">
        <v>78</v>
      </c>
      <c r="S218" s="114">
        <v>45812</v>
      </c>
      <c r="T218" s="114">
        <v>45814</v>
      </c>
      <c r="U218" s="114">
        <v>45812</v>
      </c>
      <c r="V218" s="115">
        <v>45813</v>
      </c>
      <c r="W218" s="116">
        <v>1</v>
      </c>
      <c r="X218" s="117">
        <v>1</v>
      </c>
      <c r="Y218" s="118"/>
      <c r="Z218" s="119"/>
      <c r="AA218" s="92"/>
      <c r="AB218" s="93"/>
      <c r="AC218" s="94"/>
      <c r="AD218" s="95"/>
      <c r="AE218" s="96"/>
      <c r="AF218" s="97"/>
      <c r="AG218" s="97">
        <f t="shared" ca="1" si="7"/>
        <v>0</v>
      </c>
      <c r="AH218" s="97">
        <f t="shared" ca="1" si="8"/>
        <v>0</v>
      </c>
      <c r="AI218" s="97">
        <f t="shared" si="9"/>
        <v>0</v>
      </c>
      <c r="AJ218" s="97">
        <f t="shared" ca="1" si="10"/>
        <v>0</v>
      </c>
      <c r="AK218" s="97" t="str">
        <f t="shared" ca="1" si="11"/>
        <v/>
      </c>
      <c r="AL218" s="98">
        <f t="shared" ca="1" si="12"/>
        <v>1</v>
      </c>
      <c r="AM218" s="98">
        <f t="shared" ca="1" si="13"/>
        <v>31</v>
      </c>
      <c r="AN218" s="98">
        <f t="shared" ca="1" si="14"/>
        <v>1</v>
      </c>
      <c r="AO218" s="98">
        <f t="shared" ca="1" si="15"/>
        <v>0</v>
      </c>
      <c r="AP218" s="98">
        <f t="shared" ca="1" si="16"/>
        <v>0</v>
      </c>
      <c r="AQ218" s="98">
        <f t="shared" ca="1" si="17"/>
        <v>0</v>
      </c>
      <c r="AR218" s="98">
        <f t="shared" ca="1" si="18"/>
        <v>0</v>
      </c>
      <c r="AS218" s="99"/>
      <c r="AT218" s="98">
        <f t="shared" si="19"/>
        <v>3</v>
      </c>
    </row>
    <row r="219" spans="1:46" ht="15.75" customHeight="1">
      <c r="A219" s="76"/>
      <c r="B219" s="77">
        <f t="shared" ca="1" si="0"/>
        <v>1</v>
      </c>
      <c r="C219" s="78">
        <f t="shared" ca="1" si="1"/>
        <v>31</v>
      </c>
      <c r="D219" s="78">
        <f t="shared" ca="1" si="2"/>
        <v>2</v>
      </c>
      <c r="E219" s="78" t="str">
        <f t="shared" ca="1" si="3"/>
        <v/>
      </c>
      <c r="F219" s="78" t="str">
        <f t="shared" ca="1" si="4"/>
        <v/>
      </c>
      <c r="G219" s="79" t="str">
        <f t="shared" ca="1" si="5"/>
        <v/>
      </c>
      <c r="H219" s="80" t="str">
        <f t="shared" ca="1" si="6"/>
        <v/>
      </c>
      <c r="I219" s="100"/>
      <c r="J219" s="111"/>
      <c r="K219" s="111" t="s">
        <v>61</v>
      </c>
      <c r="L219" s="111"/>
      <c r="M219" s="111"/>
      <c r="N219" s="111"/>
      <c r="O219" s="111"/>
      <c r="P219" s="111"/>
      <c r="Q219" s="112"/>
      <c r="R219" s="124" t="s">
        <v>69</v>
      </c>
      <c r="S219" s="114">
        <v>45814</v>
      </c>
      <c r="T219" s="114">
        <v>45814</v>
      </c>
      <c r="U219" s="114">
        <v>45817</v>
      </c>
      <c r="V219" s="115">
        <v>45817</v>
      </c>
      <c r="W219" s="116">
        <v>1</v>
      </c>
      <c r="X219" s="117">
        <v>1</v>
      </c>
      <c r="Y219" s="118"/>
      <c r="Z219" s="119"/>
      <c r="AA219" s="92"/>
      <c r="AB219" s="93"/>
      <c r="AC219" s="94"/>
      <c r="AD219" s="95"/>
      <c r="AE219" s="96"/>
      <c r="AF219" s="97"/>
      <c r="AG219" s="97">
        <f t="shared" ca="1" si="7"/>
        <v>0</v>
      </c>
      <c r="AH219" s="97">
        <f t="shared" ca="1" si="8"/>
        <v>0</v>
      </c>
      <c r="AI219" s="97">
        <f t="shared" si="9"/>
        <v>0</v>
      </c>
      <c r="AJ219" s="97">
        <f t="shared" ca="1" si="10"/>
        <v>0</v>
      </c>
      <c r="AK219" s="97" t="str">
        <f t="shared" ca="1" si="11"/>
        <v/>
      </c>
      <c r="AL219" s="98">
        <f t="shared" ca="1" si="12"/>
        <v>1</v>
      </c>
      <c r="AM219" s="98">
        <f t="shared" ca="1" si="13"/>
        <v>31</v>
      </c>
      <c r="AN219" s="98">
        <f t="shared" ca="1" si="14"/>
        <v>2</v>
      </c>
      <c r="AO219" s="98">
        <f t="shared" ca="1" si="15"/>
        <v>0</v>
      </c>
      <c r="AP219" s="98">
        <f t="shared" ca="1" si="16"/>
        <v>0</v>
      </c>
      <c r="AQ219" s="98">
        <f t="shared" ca="1" si="17"/>
        <v>0</v>
      </c>
      <c r="AR219" s="98">
        <f t="shared" ca="1" si="18"/>
        <v>0</v>
      </c>
      <c r="AS219" s="99"/>
      <c r="AT219" s="98">
        <f t="shared" si="19"/>
        <v>1</v>
      </c>
    </row>
    <row r="220" spans="1:46" ht="15.75" customHeight="1">
      <c r="A220" s="76"/>
      <c r="B220" s="77">
        <f t="shared" ca="1" si="0"/>
        <v>1</v>
      </c>
      <c r="C220" s="78">
        <f t="shared" ca="1" si="1"/>
        <v>31</v>
      </c>
      <c r="D220" s="78">
        <f t="shared" ca="1" si="2"/>
        <v>3</v>
      </c>
      <c r="E220" s="78" t="str">
        <f t="shared" ca="1" si="3"/>
        <v/>
      </c>
      <c r="F220" s="78" t="str">
        <f t="shared" ca="1" si="4"/>
        <v/>
      </c>
      <c r="G220" s="79" t="str">
        <f t="shared" ca="1" si="5"/>
        <v/>
      </c>
      <c r="H220" s="80" t="str">
        <f t="shared" ca="1" si="6"/>
        <v/>
      </c>
      <c r="I220" s="100"/>
      <c r="J220" s="111"/>
      <c r="K220" s="111" t="s">
        <v>63</v>
      </c>
      <c r="L220" s="111"/>
      <c r="M220" s="111"/>
      <c r="N220" s="111"/>
      <c r="O220" s="111"/>
      <c r="P220" s="111"/>
      <c r="Q220" s="112"/>
      <c r="R220" s="124" t="s">
        <v>78</v>
      </c>
      <c r="S220" s="114">
        <v>45827</v>
      </c>
      <c r="T220" s="115">
        <v>45827</v>
      </c>
      <c r="U220" s="114"/>
      <c r="V220" s="115"/>
      <c r="W220" s="116"/>
      <c r="X220" s="117"/>
      <c r="Y220" s="118"/>
      <c r="Z220" s="119"/>
      <c r="AA220" s="92"/>
      <c r="AB220" s="93"/>
      <c r="AC220" s="94"/>
      <c r="AD220" s="95"/>
      <c r="AE220" s="96"/>
      <c r="AF220" s="97"/>
      <c r="AG220" s="97">
        <f t="shared" ca="1" si="7"/>
        <v>0</v>
      </c>
      <c r="AH220" s="97">
        <f t="shared" ca="1" si="8"/>
        <v>0</v>
      </c>
      <c r="AI220" s="97">
        <f t="shared" si="9"/>
        <v>0</v>
      </c>
      <c r="AJ220" s="97">
        <f t="shared" ca="1" si="10"/>
        <v>0</v>
      </c>
      <c r="AK220" s="97" t="str">
        <f t="shared" ca="1" si="11"/>
        <v/>
      </c>
      <c r="AL220" s="98">
        <f t="shared" ca="1" si="12"/>
        <v>1</v>
      </c>
      <c r="AM220" s="98">
        <f t="shared" ca="1" si="13"/>
        <v>31</v>
      </c>
      <c r="AN220" s="98">
        <f t="shared" ca="1" si="14"/>
        <v>3</v>
      </c>
      <c r="AO220" s="98">
        <f t="shared" ca="1" si="15"/>
        <v>0</v>
      </c>
      <c r="AP220" s="98">
        <f t="shared" ca="1" si="16"/>
        <v>0</v>
      </c>
      <c r="AQ220" s="98">
        <f t="shared" ca="1" si="17"/>
        <v>0</v>
      </c>
      <c r="AR220" s="98">
        <f t="shared" ca="1" si="18"/>
        <v>0</v>
      </c>
      <c r="AS220" s="99"/>
      <c r="AT220" s="98">
        <f t="shared" si="19"/>
        <v>1</v>
      </c>
    </row>
    <row r="221" spans="1:46" ht="15.75" customHeight="1">
      <c r="A221" s="76"/>
      <c r="B221" s="77">
        <f t="shared" ca="1" si="0"/>
        <v>1</v>
      </c>
      <c r="C221" s="78">
        <f t="shared" ca="1" si="1"/>
        <v>31</v>
      </c>
      <c r="D221" s="78">
        <f t="shared" ca="1" si="2"/>
        <v>4</v>
      </c>
      <c r="E221" s="78" t="str">
        <f t="shared" ca="1" si="3"/>
        <v/>
      </c>
      <c r="F221" s="78" t="str">
        <f t="shared" ca="1" si="4"/>
        <v/>
      </c>
      <c r="G221" s="79" t="str">
        <f t="shared" ca="1" si="5"/>
        <v/>
      </c>
      <c r="H221" s="80" t="str">
        <f t="shared" ca="1" si="6"/>
        <v/>
      </c>
      <c r="I221" s="100"/>
      <c r="J221" s="111"/>
      <c r="K221" s="111" t="s">
        <v>64</v>
      </c>
      <c r="L221" s="111"/>
      <c r="M221" s="111"/>
      <c r="N221" s="111"/>
      <c r="O221" s="111"/>
      <c r="P221" s="111"/>
      <c r="Q221" s="112"/>
      <c r="R221" s="124" t="s">
        <v>69</v>
      </c>
      <c r="S221" s="114">
        <v>45827</v>
      </c>
      <c r="T221" s="115">
        <v>45827</v>
      </c>
      <c r="U221" s="114"/>
      <c r="V221" s="115"/>
      <c r="W221" s="116"/>
      <c r="X221" s="117"/>
      <c r="Y221" s="118"/>
      <c r="Z221" s="119"/>
      <c r="AA221" s="92"/>
      <c r="AB221" s="93"/>
      <c r="AC221" s="94"/>
      <c r="AD221" s="95"/>
      <c r="AE221" s="96"/>
      <c r="AF221" s="97"/>
      <c r="AG221" s="97">
        <f t="shared" ca="1" si="7"/>
        <v>0</v>
      </c>
      <c r="AH221" s="97">
        <f t="shared" ca="1" si="8"/>
        <v>0</v>
      </c>
      <c r="AI221" s="97">
        <f t="shared" si="9"/>
        <v>0</v>
      </c>
      <c r="AJ221" s="97">
        <f t="shared" ca="1" si="10"/>
        <v>0</v>
      </c>
      <c r="AK221" s="97" t="str">
        <f t="shared" ca="1" si="11"/>
        <v/>
      </c>
      <c r="AL221" s="98">
        <f t="shared" ca="1" si="12"/>
        <v>1</v>
      </c>
      <c r="AM221" s="98">
        <f t="shared" ca="1" si="13"/>
        <v>31</v>
      </c>
      <c r="AN221" s="98">
        <f t="shared" ca="1" si="14"/>
        <v>4</v>
      </c>
      <c r="AO221" s="98">
        <f t="shared" ca="1" si="15"/>
        <v>0</v>
      </c>
      <c r="AP221" s="98">
        <f t="shared" ca="1" si="16"/>
        <v>0</v>
      </c>
      <c r="AQ221" s="98">
        <f t="shared" ca="1" si="17"/>
        <v>0</v>
      </c>
      <c r="AR221" s="98">
        <f t="shared" ca="1" si="18"/>
        <v>0</v>
      </c>
      <c r="AS221" s="99"/>
      <c r="AT221" s="98">
        <f t="shared" si="19"/>
        <v>1</v>
      </c>
    </row>
    <row r="222" spans="1:46" ht="15.75" customHeight="1">
      <c r="A222" s="76"/>
      <c r="B222" s="77">
        <f t="shared" ca="1" si="0"/>
        <v>1</v>
      </c>
      <c r="C222" s="78">
        <f t="shared" ca="1" si="1"/>
        <v>31</v>
      </c>
      <c r="D222" s="78">
        <f t="shared" ca="1" si="2"/>
        <v>5</v>
      </c>
      <c r="E222" s="78" t="str">
        <f t="shared" ca="1" si="3"/>
        <v/>
      </c>
      <c r="F222" s="78" t="str">
        <f t="shared" ca="1" si="4"/>
        <v/>
      </c>
      <c r="G222" s="79" t="str">
        <f t="shared" ca="1" si="5"/>
        <v/>
      </c>
      <c r="H222" s="80" t="str">
        <f t="shared" ca="1" si="6"/>
        <v/>
      </c>
      <c r="I222" s="100"/>
      <c r="J222" s="111"/>
      <c r="K222" s="111" t="s">
        <v>65</v>
      </c>
      <c r="L222" s="111"/>
      <c r="M222" s="111"/>
      <c r="N222" s="111"/>
      <c r="O222" s="111"/>
      <c r="P222" s="111"/>
      <c r="Q222" s="112"/>
      <c r="R222" s="124" t="s">
        <v>78</v>
      </c>
      <c r="S222" s="114">
        <v>45828</v>
      </c>
      <c r="T222" s="115">
        <v>45828</v>
      </c>
      <c r="U222" s="114"/>
      <c r="V222" s="115"/>
      <c r="W222" s="116"/>
      <c r="X222" s="117"/>
      <c r="Y222" s="118"/>
      <c r="Z222" s="119"/>
      <c r="AA222" s="92"/>
      <c r="AB222" s="93"/>
      <c r="AC222" s="94"/>
      <c r="AD222" s="95"/>
      <c r="AE222" s="96"/>
      <c r="AF222" s="97"/>
      <c r="AG222" s="97">
        <f t="shared" ca="1" si="7"/>
        <v>0</v>
      </c>
      <c r="AH222" s="97">
        <f t="shared" ca="1" si="8"/>
        <v>0</v>
      </c>
      <c r="AI222" s="97">
        <f t="shared" si="9"/>
        <v>0</v>
      </c>
      <c r="AJ222" s="97">
        <f t="shared" ca="1" si="10"/>
        <v>0</v>
      </c>
      <c r="AK222" s="97" t="str">
        <f t="shared" ca="1" si="11"/>
        <v/>
      </c>
      <c r="AL222" s="98">
        <f t="shared" ca="1" si="12"/>
        <v>1</v>
      </c>
      <c r="AM222" s="98">
        <f t="shared" ca="1" si="13"/>
        <v>31</v>
      </c>
      <c r="AN222" s="98">
        <f t="shared" ca="1" si="14"/>
        <v>5</v>
      </c>
      <c r="AO222" s="98">
        <f t="shared" ca="1" si="15"/>
        <v>0</v>
      </c>
      <c r="AP222" s="98">
        <f t="shared" ca="1" si="16"/>
        <v>0</v>
      </c>
      <c r="AQ222" s="98">
        <f t="shared" ca="1" si="17"/>
        <v>0</v>
      </c>
      <c r="AR222" s="98">
        <f t="shared" ca="1" si="18"/>
        <v>0</v>
      </c>
      <c r="AS222" s="99"/>
      <c r="AT222" s="98">
        <f t="shared" si="19"/>
        <v>1</v>
      </c>
    </row>
    <row r="223" spans="1:46" ht="15.75" customHeight="1">
      <c r="A223" s="76"/>
      <c r="B223" s="77">
        <f t="shared" ca="1" si="0"/>
        <v>1</v>
      </c>
      <c r="C223" s="78">
        <f t="shared" ca="1" si="1"/>
        <v>31</v>
      </c>
      <c r="D223" s="78">
        <f t="shared" ca="1" si="2"/>
        <v>6</v>
      </c>
      <c r="E223" s="78" t="str">
        <f t="shared" ca="1" si="3"/>
        <v/>
      </c>
      <c r="F223" s="78" t="str">
        <f t="shared" ca="1" si="4"/>
        <v/>
      </c>
      <c r="G223" s="79" t="str">
        <f t="shared" ca="1" si="5"/>
        <v/>
      </c>
      <c r="H223" s="80" t="str">
        <f t="shared" ca="1" si="6"/>
        <v/>
      </c>
      <c r="I223" s="100"/>
      <c r="J223" s="111"/>
      <c r="K223" s="111" t="s">
        <v>66</v>
      </c>
      <c r="L223" s="111"/>
      <c r="M223" s="111"/>
      <c r="N223" s="111"/>
      <c r="O223" s="111"/>
      <c r="P223" s="111"/>
      <c r="Q223" s="112"/>
      <c r="R223" s="124" t="s">
        <v>69</v>
      </c>
      <c r="S223" s="114">
        <v>45831</v>
      </c>
      <c r="T223" s="115">
        <v>45832</v>
      </c>
      <c r="U223" s="114"/>
      <c r="V223" s="115"/>
      <c r="W223" s="116"/>
      <c r="X223" s="117"/>
      <c r="Y223" s="118"/>
      <c r="Z223" s="119"/>
      <c r="AA223" s="92"/>
      <c r="AB223" s="93"/>
      <c r="AC223" s="94"/>
      <c r="AD223" s="95"/>
      <c r="AE223" s="96"/>
      <c r="AF223" s="97"/>
      <c r="AG223" s="97">
        <f t="shared" ca="1" si="7"/>
        <v>0</v>
      </c>
      <c r="AH223" s="97">
        <f t="shared" ca="1" si="8"/>
        <v>0</v>
      </c>
      <c r="AI223" s="97">
        <f t="shared" si="9"/>
        <v>0</v>
      </c>
      <c r="AJ223" s="97">
        <f t="shared" ca="1" si="10"/>
        <v>0</v>
      </c>
      <c r="AK223" s="97" t="str">
        <f t="shared" ca="1" si="11"/>
        <v/>
      </c>
      <c r="AL223" s="98">
        <f t="shared" ca="1" si="12"/>
        <v>1</v>
      </c>
      <c r="AM223" s="98">
        <f t="shared" ca="1" si="13"/>
        <v>31</v>
      </c>
      <c r="AN223" s="98">
        <f t="shared" ca="1" si="14"/>
        <v>6</v>
      </c>
      <c r="AO223" s="98">
        <f t="shared" ca="1" si="15"/>
        <v>0</v>
      </c>
      <c r="AP223" s="98">
        <f t="shared" ca="1" si="16"/>
        <v>0</v>
      </c>
      <c r="AQ223" s="98">
        <f t="shared" ca="1" si="17"/>
        <v>0</v>
      </c>
      <c r="AR223" s="98">
        <f t="shared" ca="1" si="18"/>
        <v>0</v>
      </c>
      <c r="AS223" s="99"/>
      <c r="AT223" s="98">
        <f t="shared" si="19"/>
        <v>2</v>
      </c>
    </row>
    <row r="224" spans="1:46" ht="15.75" customHeight="1">
      <c r="A224" s="76"/>
      <c r="B224" s="77">
        <f t="shared" ca="1" si="0"/>
        <v>1</v>
      </c>
      <c r="C224" s="78">
        <f t="shared" ca="1" si="1"/>
        <v>32</v>
      </c>
      <c r="D224" s="78" t="str">
        <f t="shared" ca="1" si="2"/>
        <v/>
      </c>
      <c r="E224" s="78" t="str">
        <f t="shared" ca="1" si="3"/>
        <v/>
      </c>
      <c r="F224" s="78" t="str">
        <f t="shared" ca="1" si="4"/>
        <v/>
      </c>
      <c r="G224" s="79" t="str">
        <f t="shared" ca="1" si="5"/>
        <v/>
      </c>
      <c r="H224" s="80" t="str">
        <f t="shared" ca="1" si="6"/>
        <v/>
      </c>
      <c r="I224" s="100"/>
      <c r="J224" s="101" t="s">
        <v>101</v>
      </c>
      <c r="K224" s="102"/>
      <c r="L224" s="102"/>
      <c r="M224" s="102"/>
      <c r="N224" s="102"/>
      <c r="O224" s="102"/>
      <c r="P224" s="102"/>
      <c r="Q224" s="103" t="s">
        <v>58</v>
      </c>
      <c r="R224" s="104"/>
      <c r="S224" s="104"/>
      <c r="T224" s="105"/>
      <c r="U224" s="106"/>
      <c r="V224" s="105"/>
      <c r="W224" s="107"/>
      <c r="X224" s="108"/>
      <c r="Y224" s="109"/>
      <c r="Z224" s="110"/>
      <c r="AA224" s="92"/>
      <c r="AB224" s="93"/>
      <c r="AC224" s="94"/>
      <c r="AD224" s="95"/>
      <c r="AE224" s="96"/>
      <c r="AF224" s="97"/>
      <c r="AG224" s="97">
        <f t="shared" si="7"/>
        <v>0</v>
      </c>
      <c r="AH224" s="97">
        <f t="shared" si="8"/>
        <v>0</v>
      </c>
      <c r="AI224" s="97">
        <f t="shared" si="9"/>
        <v>0</v>
      </c>
      <c r="AJ224" s="97">
        <f t="shared" si="10"/>
        <v>0</v>
      </c>
      <c r="AK224" s="97" t="str">
        <f t="shared" si="11"/>
        <v/>
      </c>
      <c r="AL224" s="98">
        <f t="shared" ca="1" si="12"/>
        <v>1</v>
      </c>
      <c r="AM224" s="98">
        <f t="shared" ca="1" si="13"/>
        <v>32</v>
      </c>
      <c r="AN224" s="98">
        <f t="shared" ca="1" si="14"/>
        <v>0</v>
      </c>
      <c r="AO224" s="98">
        <f t="shared" ca="1" si="15"/>
        <v>0</v>
      </c>
      <c r="AP224" s="98">
        <f t="shared" ca="1" si="16"/>
        <v>0</v>
      </c>
      <c r="AQ224" s="98">
        <f t="shared" ca="1" si="17"/>
        <v>0</v>
      </c>
      <c r="AR224" s="98">
        <f t="shared" ca="1" si="18"/>
        <v>0</v>
      </c>
      <c r="AS224" s="99"/>
      <c r="AT224" s="98">
        <f t="shared" si="19"/>
        <v>1</v>
      </c>
    </row>
    <row r="225" spans="1:46" ht="15.75" customHeight="1">
      <c r="A225" s="76"/>
      <c r="B225" s="77">
        <f t="shared" ca="1" si="0"/>
        <v>1</v>
      </c>
      <c r="C225" s="78">
        <f t="shared" ca="1" si="1"/>
        <v>32</v>
      </c>
      <c r="D225" s="78">
        <f t="shared" ca="1" si="2"/>
        <v>1</v>
      </c>
      <c r="E225" s="78" t="str">
        <f t="shared" ca="1" si="3"/>
        <v/>
      </c>
      <c r="F225" s="78" t="str">
        <f t="shared" ca="1" si="4"/>
        <v/>
      </c>
      <c r="G225" s="79" t="str">
        <f t="shared" ca="1" si="5"/>
        <v/>
      </c>
      <c r="H225" s="80" t="str">
        <f t="shared" ca="1" si="6"/>
        <v/>
      </c>
      <c r="I225" s="100"/>
      <c r="J225" s="111"/>
      <c r="K225" s="111" t="s">
        <v>59</v>
      </c>
      <c r="L225" s="111"/>
      <c r="M225" s="111"/>
      <c r="N225" s="111"/>
      <c r="O225" s="111"/>
      <c r="P225" s="111"/>
      <c r="Q225" s="112"/>
      <c r="R225" s="113"/>
      <c r="S225" s="113"/>
      <c r="T225" s="115"/>
      <c r="U225" s="114"/>
      <c r="V225" s="115"/>
      <c r="W225" s="116"/>
      <c r="X225" s="117"/>
      <c r="Y225" s="118"/>
      <c r="Z225" s="119"/>
      <c r="AA225" s="92"/>
      <c r="AB225" s="93"/>
      <c r="AC225" s="94"/>
      <c r="AD225" s="95"/>
      <c r="AE225" s="96"/>
      <c r="AF225" s="97"/>
      <c r="AG225" s="97">
        <f t="shared" si="7"/>
        <v>0</v>
      </c>
      <c r="AH225" s="97">
        <f t="shared" si="8"/>
        <v>0</v>
      </c>
      <c r="AI225" s="97">
        <f t="shared" si="9"/>
        <v>0</v>
      </c>
      <c r="AJ225" s="97">
        <f t="shared" si="10"/>
        <v>0</v>
      </c>
      <c r="AK225" s="97" t="str">
        <f t="shared" si="11"/>
        <v/>
      </c>
      <c r="AL225" s="98">
        <f t="shared" ca="1" si="12"/>
        <v>1</v>
      </c>
      <c r="AM225" s="98">
        <f t="shared" ca="1" si="13"/>
        <v>32</v>
      </c>
      <c r="AN225" s="98">
        <f t="shared" ca="1" si="14"/>
        <v>1</v>
      </c>
      <c r="AO225" s="98">
        <f t="shared" ca="1" si="15"/>
        <v>0</v>
      </c>
      <c r="AP225" s="98">
        <f t="shared" ca="1" si="16"/>
        <v>0</v>
      </c>
      <c r="AQ225" s="98">
        <f t="shared" ca="1" si="17"/>
        <v>0</v>
      </c>
      <c r="AR225" s="98">
        <f t="shared" ca="1" si="18"/>
        <v>0</v>
      </c>
      <c r="AS225" s="99"/>
      <c r="AT225" s="98">
        <f t="shared" si="19"/>
        <v>1</v>
      </c>
    </row>
    <row r="226" spans="1:46" ht="15.75" customHeight="1">
      <c r="A226" s="76"/>
      <c r="B226" s="77">
        <f t="shared" ca="1" si="0"/>
        <v>1</v>
      </c>
      <c r="C226" s="78">
        <f t="shared" ca="1" si="1"/>
        <v>32</v>
      </c>
      <c r="D226" s="78">
        <f t="shared" ca="1" si="2"/>
        <v>2</v>
      </c>
      <c r="E226" s="78" t="str">
        <f t="shared" ca="1" si="3"/>
        <v/>
      </c>
      <c r="F226" s="78" t="str">
        <f t="shared" ca="1" si="4"/>
        <v/>
      </c>
      <c r="G226" s="79" t="str">
        <f t="shared" ca="1" si="5"/>
        <v/>
      </c>
      <c r="H226" s="80" t="str">
        <f t="shared" ca="1" si="6"/>
        <v/>
      </c>
      <c r="I226" s="100"/>
      <c r="J226" s="111"/>
      <c r="K226" s="111" t="s">
        <v>61</v>
      </c>
      <c r="L226" s="111"/>
      <c r="M226" s="111"/>
      <c r="N226" s="111"/>
      <c r="O226" s="111"/>
      <c r="P226" s="111"/>
      <c r="Q226" s="112"/>
      <c r="R226" s="113"/>
      <c r="S226" s="113"/>
      <c r="T226" s="115"/>
      <c r="U226" s="114"/>
      <c r="V226" s="115"/>
      <c r="W226" s="116"/>
      <c r="X226" s="117"/>
      <c r="Y226" s="118"/>
      <c r="Z226" s="119"/>
      <c r="AA226" s="92"/>
      <c r="AB226" s="93"/>
      <c r="AC226" s="94"/>
      <c r="AD226" s="95"/>
      <c r="AE226" s="96"/>
      <c r="AF226" s="97"/>
      <c r="AG226" s="97">
        <f t="shared" si="7"/>
        <v>0</v>
      </c>
      <c r="AH226" s="97">
        <f t="shared" si="8"/>
        <v>0</v>
      </c>
      <c r="AI226" s="97">
        <f t="shared" si="9"/>
        <v>0</v>
      </c>
      <c r="AJ226" s="97">
        <f t="shared" si="10"/>
        <v>0</v>
      </c>
      <c r="AK226" s="97" t="str">
        <f t="shared" si="11"/>
        <v/>
      </c>
      <c r="AL226" s="98">
        <f t="shared" ca="1" si="12"/>
        <v>1</v>
      </c>
      <c r="AM226" s="98">
        <f t="shared" ca="1" si="13"/>
        <v>32</v>
      </c>
      <c r="AN226" s="98">
        <f t="shared" ca="1" si="14"/>
        <v>2</v>
      </c>
      <c r="AO226" s="98">
        <f t="shared" ca="1" si="15"/>
        <v>0</v>
      </c>
      <c r="AP226" s="98">
        <f t="shared" ca="1" si="16"/>
        <v>0</v>
      </c>
      <c r="AQ226" s="98">
        <f t="shared" ca="1" si="17"/>
        <v>0</v>
      </c>
      <c r="AR226" s="98">
        <f t="shared" ca="1" si="18"/>
        <v>0</v>
      </c>
      <c r="AS226" s="99"/>
      <c r="AT226" s="98">
        <f t="shared" si="19"/>
        <v>1</v>
      </c>
    </row>
    <row r="227" spans="1:46" ht="15.75" customHeight="1">
      <c r="A227" s="76"/>
      <c r="B227" s="77">
        <f t="shared" ca="1" si="0"/>
        <v>1</v>
      </c>
      <c r="C227" s="78">
        <f t="shared" ca="1" si="1"/>
        <v>32</v>
      </c>
      <c r="D227" s="78">
        <f t="shared" ca="1" si="2"/>
        <v>3</v>
      </c>
      <c r="E227" s="78" t="str">
        <f t="shared" ca="1" si="3"/>
        <v/>
      </c>
      <c r="F227" s="78" t="str">
        <f t="shared" ca="1" si="4"/>
        <v/>
      </c>
      <c r="G227" s="79" t="str">
        <f t="shared" ca="1" si="5"/>
        <v/>
      </c>
      <c r="H227" s="80" t="str">
        <f t="shared" ca="1" si="6"/>
        <v/>
      </c>
      <c r="I227" s="100"/>
      <c r="J227" s="111"/>
      <c r="K227" s="111" t="s">
        <v>63</v>
      </c>
      <c r="L227" s="111"/>
      <c r="M227" s="111"/>
      <c r="N227" s="111"/>
      <c r="O227" s="111"/>
      <c r="P227" s="111"/>
      <c r="Q227" s="112"/>
      <c r="R227" s="113"/>
      <c r="S227" s="113"/>
      <c r="T227" s="115"/>
      <c r="U227" s="114"/>
      <c r="V227" s="115"/>
      <c r="W227" s="116"/>
      <c r="X227" s="117"/>
      <c r="Y227" s="118"/>
      <c r="Z227" s="119"/>
      <c r="AA227" s="92"/>
      <c r="AB227" s="93"/>
      <c r="AC227" s="94"/>
      <c r="AD227" s="95"/>
      <c r="AE227" s="96"/>
      <c r="AF227" s="97"/>
      <c r="AG227" s="97">
        <f t="shared" si="7"/>
        <v>0</v>
      </c>
      <c r="AH227" s="97">
        <f t="shared" si="8"/>
        <v>0</v>
      </c>
      <c r="AI227" s="97">
        <f t="shared" si="9"/>
        <v>0</v>
      </c>
      <c r="AJ227" s="97">
        <f t="shared" si="10"/>
        <v>0</v>
      </c>
      <c r="AK227" s="97" t="str">
        <f t="shared" si="11"/>
        <v/>
      </c>
      <c r="AL227" s="98">
        <f t="shared" ca="1" si="12"/>
        <v>1</v>
      </c>
      <c r="AM227" s="98">
        <f t="shared" ca="1" si="13"/>
        <v>32</v>
      </c>
      <c r="AN227" s="98">
        <f t="shared" ca="1" si="14"/>
        <v>3</v>
      </c>
      <c r="AO227" s="98">
        <f t="shared" ca="1" si="15"/>
        <v>0</v>
      </c>
      <c r="AP227" s="98">
        <f t="shared" ca="1" si="16"/>
        <v>0</v>
      </c>
      <c r="AQ227" s="98">
        <f t="shared" ca="1" si="17"/>
        <v>0</v>
      </c>
      <c r="AR227" s="98">
        <f t="shared" ca="1" si="18"/>
        <v>0</v>
      </c>
      <c r="AS227" s="99"/>
      <c r="AT227" s="98">
        <f t="shared" si="19"/>
        <v>1</v>
      </c>
    </row>
    <row r="228" spans="1:46" ht="15.75" customHeight="1">
      <c r="A228" s="76"/>
      <c r="B228" s="77">
        <f t="shared" ca="1" si="0"/>
        <v>1</v>
      </c>
      <c r="C228" s="78">
        <f t="shared" ca="1" si="1"/>
        <v>32</v>
      </c>
      <c r="D228" s="78">
        <f t="shared" ca="1" si="2"/>
        <v>4</v>
      </c>
      <c r="E228" s="78" t="str">
        <f t="shared" ca="1" si="3"/>
        <v/>
      </c>
      <c r="F228" s="78" t="str">
        <f t="shared" ca="1" si="4"/>
        <v/>
      </c>
      <c r="G228" s="79" t="str">
        <f t="shared" ca="1" si="5"/>
        <v/>
      </c>
      <c r="H228" s="80" t="str">
        <f t="shared" ca="1" si="6"/>
        <v/>
      </c>
      <c r="I228" s="100"/>
      <c r="J228" s="111"/>
      <c r="K228" s="111" t="s">
        <v>64</v>
      </c>
      <c r="L228" s="111"/>
      <c r="M228" s="111"/>
      <c r="N228" s="111"/>
      <c r="O228" s="111"/>
      <c r="P228" s="111"/>
      <c r="Q228" s="112"/>
      <c r="R228" s="113"/>
      <c r="S228" s="113"/>
      <c r="T228" s="115"/>
      <c r="U228" s="114"/>
      <c r="V228" s="115"/>
      <c r="W228" s="116"/>
      <c r="X228" s="117"/>
      <c r="Y228" s="118"/>
      <c r="Z228" s="119"/>
      <c r="AA228" s="92"/>
      <c r="AB228" s="93"/>
      <c r="AC228" s="94"/>
      <c r="AD228" s="95"/>
      <c r="AE228" s="96"/>
      <c r="AF228" s="97"/>
      <c r="AG228" s="97">
        <f t="shared" si="7"/>
        <v>0</v>
      </c>
      <c r="AH228" s="97">
        <f t="shared" si="8"/>
        <v>0</v>
      </c>
      <c r="AI228" s="97">
        <f t="shared" si="9"/>
        <v>0</v>
      </c>
      <c r="AJ228" s="97">
        <f t="shared" si="10"/>
        <v>0</v>
      </c>
      <c r="AK228" s="97" t="str">
        <f t="shared" si="11"/>
        <v/>
      </c>
      <c r="AL228" s="98">
        <f t="shared" ca="1" si="12"/>
        <v>1</v>
      </c>
      <c r="AM228" s="98">
        <f t="shared" ca="1" si="13"/>
        <v>32</v>
      </c>
      <c r="AN228" s="98">
        <f t="shared" ca="1" si="14"/>
        <v>4</v>
      </c>
      <c r="AO228" s="98">
        <f t="shared" ca="1" si="15"/>
        <v>0</v>
      </c>
      <c r="AP228" s="98">
        <f t="shared" ca="1" si="16"/>
        <v>0</v>
      </c>
      <c r="AQ228" s="98">
        <f t="shared" ca="1" si="17"/>
        <v>0</v>
      </c>
      <c r="AR228" s="98">
        <f t="shared" ca="1" si="18"/>
        <v>0</v>
      </c>
      <c r="AS228" s="99"/>
      <c r="AT228" s="98">
        <f t="shared" si="19"/>
        <v>1</v>
      </c>
    </row>
    <row r="229" spans="1:46" ht="15.75" customHeight="1">
      <c r="A229" s="76"/>
      <c r="B229" s="77">
        <f t="shared" ca="1" si="0"/>
        <v>1</v>
      </c>
      <c r="C229" s="78">
        <f t="shared" ca="1" si="1"/>
        <v>32</v>
      </c>
      <c r="D229" s="78">
        <f t="shared" ca="1" si="2"/>
        <v>5</v>
      </c>
      <c r="E229" s="78" t="str">
        <f t="shared" ca="1" si="3"/>
        <v/>
      </c>
      <c r="F229" s="78" t="str">
        <f t="shared" ca="1" si="4"/>
        <v/>
      </c>
      <c r="G229" s="79" t="str">
        <f t="shared" ca="1" si="5"/>
        <v/>
      </c>
      <c r="H229" s="80" t="str">
        <f t="shared" ca="1" si="6"/>
        <v/>
      </c>
      <c r="I229" s="100"/>
      <c r="J229" s="111"/>
      <c r="K229" s="111" t="s">
        <v>65</v>
      </c>
      <c r="L229" s="111"/>
      <c r="M229" s="111"/>
      <c r="N229" s="111"/>
      <c r="O229" s="111"/>
      <c r="P229" s="111"/>
      <c r="Q229" s="112"/>
      <c r="R229" s="113"/>
      <c r="S229" s="113"/>
      <c r="T229" s="115"/>
      <c r="U229" s="114"/>
      <c r="V229" s="115"/>
      <c r="W229" s="116"/>
      <c r="X229" s="117"/>
      <c r="Y229" s="118"/>
      <c r="Z229" s="119"/>
      <c r="AA229" s="92"/>
      <c r="AB229" s="93"/>
      <c r="AC229" s="94"/>
      <c r="AD229" s="95"/>
      <c r="AE229" s="96"/>
      <c r="AF229" s="97"/>
      <c r="AG229" s="97">
        <f t="shared" si="7"/>
        <v>0</v>
      </c>
      <c r="AH229" s="97">
        <f t="shared" si="8"/>
        <v>0</v>
      </c>
      <c r="AI229" s="97">
        <f t="shared" si="9"/>
        <v>0</v>
      </c>
      <c r="AJ229" s="97">
        <f t="shared" si="10"/>
        <v>0</v>
      </c>
      <c r="AK229" s="97" t="str">
        <f t="shared" si="11"/>
        <v/>
      </c>
      <c r="AL229" s="98">
        <f t="shared" ca="1" si="12"/>
        <v>1</v>
      </c>
      <c r="AM229" s="98">
        <f t="shared" ca="1" si="13"/>
        <v>32</v>
      </c>
      <c r="AN229" s="98">
        <f t="shared" ca="1" si="14"/>
        <v>5</v>
      </c>
      <c r="AO229" s="98">
        <f t="shared" ca="1" si="15"/>
        <v>0</v>
      </c>
      <c r="AP229" s="98">
        <f t="shared" ca="1" si="16"/>
        <v>0</v>
      </c>
      <c r="AQ229" s="98">
        <f t="shared" ca="1" si="17"/>
        <v>0</v>
      </c>
      <c r="AR229" s="98">
        <f t="shared" ca="1" si="18"/>
        <v>0</v>
      </c>
      <c r="AS229" s="99"/>
      <c r="AT229" s="98">
        <f t="shared" si="19"/>
        <v>1</v>
      </c>
    </row>
    <row r="230" spans="1:46" ht="15.75" customHeight="1">
      <c r="A230" s="76"/>
      <c r="B230" s="77">
        <f t="shared" ca="1" si="0"/>
        <v>1</v>
      </c>
      <c r="C230" s="78">
        <f t="shared" ca="1" si="1"/>
        <v>32</v>
      </c>
      <c r="D230" s="78">
        <f t="shared" ca="1" si="2"/>
        <v>6</v>
      </c>
      <c r="E230" s="78" t="str">
        <f t="shared" ca="1" si="3"/>
        <v/>
      </c>
      <c r="F230" s="78" t="str">
        <f t="shared" ca="1" si="4"/>
        <v/>
      </c>
      <c r="G230" s="79" t="str">
        <f t="shared" ca="1" si="5"/>
        <v/>
      </c>
      <c r="H230" s="80" t="str">
        <f t="shared" ca="1" si="6"/>
        <v/>
      </c>
      <c r="I230" s="100"/>
      <c r="J230" s="111"/>
      <c r="K230" s="111" t="s">
        <v>66</v>
      </c>
      <c r="L230" s="111"/>
      <c r="M230" s="111"/>
      <c r="N230" s="111"/>
      <c r="O230" s="111"/>
      <c r="P230" s="111"/>
      <c r="Q230" s="112"/>
      <c r="R230" s="113"/>
      <c r="S230" s="113"/>
      <c r="T230" s="115"/>
      <c r="U230" s="114"/>
      <c r="V230" s="115"/>
      <c r="W230" s="116"/>
      <c r="X230" s="117"/>
      <c r="Y230" s="118"/>
      <c r="Z230" s="119"/>
      <c r="AA230" s="92"/>
      <c r="AB230" s="93"/>
      <c r="AC230" s="94"/>
      <c r="AD230" s="95"/>
      <c r="AE230" s="96"/>
      <c r="AF230" s="97"/>
      <c r="AG230" s="97">
        <f t="shared" si="7"/>
        <v>0</v>
      </c>
      <c r="AH230" s="97">
        <f t="shared" si="8"/>
        <v>0</v>
      </c>
      <c r="AI230" s="97">
        <f t="shared" si="9"/>
        <v>0</v>
      </c>
      <c r="AJ230" s="97">
        <f t="shared" si="10"/>
        <v>0</v>
      </c>
      <c r="AK230" s="97" t="str">
        <f t="shared" si="11"/>
        <v/>
      </c>
      <c r="AL230" s="98">
        <f t="shared" ca="1" si="12"/>
        <v>1</v>
      </c>
      <c r="AM230" s="98">
        <f t="shared" ca="1" si="13"/>
        <v>32</v>
      </c>
      <c r="AN230" s="98">
        <f t="shared" ca="1" si="14"/>
        <v>6</v>
      </c>
      <c r="AO230" s="98">
        <f t="shared" ca="1" si="15"/>
        <v>0</v>
      </c>
      <c r="AP230" s="98">
        <f t="shared" ca="1" si="16"/>
        <v>0</v>
      </c>
      <c r="AQ230" s="98">
        <f t="shared" ca="1" si="17"/>
        <v>0</v>
      </c>
      <c r="AR230" s="98">
        <f t="shared" ca="1" si="18"/>
        <v>0</v>
      </c>
      <c r="AS230" s="99"/>
      <c r="AT230" s="98">
        <f t="shared" si="19"/>
        <v>1</v>
      </c>
    </row>
    <row r="231" spans="1:46" ht="15.75" customHeight="1">
      <c r="A231" s="76"/>
      <c r="B231" s="77">
        <f t="shared" ca="1" si="0"/>
        <v>1</v>
      </c>
      <c r="C231" s="78">
        <f t="shared" ca="1" si="1"/>
        <v>33</v>
      </c>
      <c r="D231" s="78" t="str">
        <f t="shared" ca="1" si="2"/>
        <v/>
      </c>
      <c r="E231" s="78" t="str">
        <f t="shared" ca="1" si="3"/>
        <v/>
      </c>
      <c r="F231" s="78" t="str">
        <f t="shared" ca="1" si="4"/>
        <v/>
      </c>
      <c r="G231" s="79" t="str">
        <f t="shared" ca="1" si="5"/>
        <v/>
      </c>
      <c r="H231" s="80" t="str">
        <f t="shared" ca="1" si="6"/>
        <v/>
      </c>
      <c r="I231" s="100"/>
      <c r="J231" s="101" t="s">
        <v>102</v>
      </c>
      <c r="K231" s="102"/>
      <c r="L231" s="102"/>
      <c r="M231" s="102"/>
      <c r="N231" s="102"/>
      <c r="O231" s="102"/>
      <c r="P231" s="102"/>
      <c r="Q231" s="103" t="s">
        <v>73</v>
      </c>
      <c r="R231" s="104"/>
      <c r="S231" s="104"/>
      <c r="T231" s="105"/>
      <c r="U231" s="106"/>
      <c r="V231" s="105"/>
      <c r="W231" s="107"/>
      <c r="X231" s="108"/>
      <c r="Y231" s="109"/>
      <c r="Z231" s="110"/>
      <c r="AA231" s="92"/>
      <c r="AB231" s="93"/>
      <c r="AC231" s="94"/>
      <c r="AD231" s="95"/>
      <c r="AE231" s="96"/>
      <c r="AF231" s="97"/>
      <c r="AG231" s="97">
        <f t="shared" si="7"/>
        <v>0</v>
      </c>
      <c r="AH231" s="97">
        <f t="shared" si="8"/>
        <v>0</v>
      </c>
      <c r="AI231" s="97">
        <f t="shared" si="9"/>
        <v>0</v>
      </c>
      <c r="AJ231" s="97">
        <f t="shared" si="10"/>
        <v>0</v>
      </c>
      <c r="AK231" s="97" t="str">
        <f t="shared" si="11"/>
        <v/>
      </c>
      <c r="AL231" s="98">
        <f t="shared" ca="1" si="12"/>
        <v>1</v>
      </c>
      <c r="AM231" s="98">
        <f t="shared" ca="1" si="13"/>
        <v>33</v>
      </c>
      <c r="AN231" s="98">
        <f t="shared" ca="1" si="14"/>
        <v>0</v>
      </c>
      <c r="AO231" s="98">
        <f t="shared" ca="1" si="15"/>
        <v>0</v>
      </c>
      <c r="AP231" s="98">
        <f t="shared" ca="1" si="16"/>
        <v>0</v>
      </c>
      <c r="AQ231" s="98">
        <f t="shared" ca="1" si="17"/>
        <v>0</v>
      </c>
      <c r="AR231" s="98">
        <f t="shared" ca="1" si="18"/>
        <v>0</v>
      </c>
      <c r="AS231" s="99"/>
      <c r="AT231" s="98">
        <f t="shared" si="19"/>
        <v>1</v>
      </c>
    </row>
    <row r="232" spans="1:46" ht="15.75" customHeight="1">
      <c r="A232" s="76"/>
      <c r="B232" s="77">
        <f t="shared" ca="1" si="0"/>
        <v>1</v>
      </c>
      <c r="C232" s="78">
        <f t="shared" ca="1" si="1"/>
        <v>33</v>
      </c>
      <c r="D232" s="78">
        <f t="shared" ca="1" si="2"/>
        <v>1</v>
      </c>
      <c r="E232" s="78" t="str">
        <f t="shared" ca="1" si="3"/>
        <v/>
      </c>
      <c r="F232" s="78" t="str">
        <f t="shared" ca="1" si="4"/>
        <v/>
      </c>
      <c r="G232" s="79" t="str">
        <f t="shared" ca="1" si="5"/>
        <v/>
      </c>
      <c r="H232" s="80" t="str">
        <f t="shared" ca="1" si="6"/>
        <v/>
      </c>
      <c r="I232" s="100"/>
      <c r="J232" s="111"/>
      <c r="K232" s="111" t="s">
        <v>59</v>
      </c>
      <c r="L232" s="111"/>
      <c r="M232" s="111"/>
      <c r="N232" s="111"/>
      <c r="O232" s="111"/>
      <c r="P232" s="111"/>
      <c r="Q232" s="112"/>
      <c r="R232" s="113"/>
      <c r="S232" s="113"/>
      <c r="T232" s="115"/>
      <c r="U232" s="114"/>
      <c r="V232" s="115"/>
      <c r="W232" s="116"/>
      <c r="X232" s="117"/>
      <c r="Y232" s="118"/>
      <c r="Z232" s="119"/>
      <c r="AA232" s="92"/>
      <c r="AB232" s="93"/>
      <c r="AC232" s="94"/>
      <c r="AD232" s="95"/>
      <c r="AE232" s="96"/>
      <c r="AF232" s="97"/>
      <c r="AG232" s="97">
        <f t="shared" si="7"/>
        <v>0</v>
      </c>
      <c r="AH232" s="97">
        <f t="shared" si="8"/>
        <v>0</v>
      </c>
      <c r="AI232" s="97">
        <f t="shared" si="9"/>
        <v>0</v>
      </c>
      <c r="AJ232" s="97">
        <f t="shared" si="10"/>
        <v>0</v>
      </c>
      <c r="AK232" s="97" t="str">
        <f t="shared" si="11"/>
        <v/>
      </c>
      <c r="AL232" s="98">
        <f t="shared" ca="1" si="12"/>
        <v>1</v>
      </c>
      <c r="AM232" s="98">
        <f t="shared" ca="1" si="13"/>
        <v>33</v>
      </c>
      <c r="AN232" s="98">
        <f t="shared" ca="1" si="14"/>
        <v>1</v>
      </c>
      <c r="AO232" s="98">
        <f t="shared" ca="1" si="15"/>
        <v>0</v>
      </c>
      <c r="AP232" s="98">
        <f t="shared" ca="1" si="16"/>
        <v>0</v>
      </c>
      <c r="AQ232" s="98">
        <f t="shared" ca="1" si="17"/>
        <v>0</v>
      </c>
      <c r="AR232" s="98">
        <f t="shared" ca="1" si="18"/>
        <v>0</v>
      </c>
      <c r="AS232" s="99"/>
      <c r="AT232" s="98">
        <f t="shared" si="19"/>
        <v>1</v>
      </c>
    </row>
    <row r="233" spans="1:46" ht="15.75" customHeight="1">
      <c r="A233" s="76"/>
      <c r="B233" s="77">
        <f t="shared" ca="1" si="0"/>
        <v>1</v>
      </c>
      <c r="C233" s="78">
        <f t="shared" ca="1" si="1"/>
        <v>33</v>
      </c>
      <c r="D233" s="78">
        <f t="shared" ca="1" si="2"/>
        <v>2</v>
      </c>
      <c r="E233" s="78" t="str">
        <f t="shared" ca="1" si="3"/>
        <v/>
      </c>
      <c r="F233" s="78" t="str">
        <f t="shared" ca="1" si="4"/>
        <v/>
      </c>
      <c r="G233" s="79" t="str">
        <f t="shared" ca="1" si="5"/>
        <v/>
      </c>
      <c r="H233" s="80" t="str">
        <f t="shared" ca="1" si="6"/>
        <v/>
      </c>
      <c r="I233" s="100"/>
      <c r="J233" s="111"/>
      <c r="K233" s="111" t="s">
        <v>61</v>
      </c>
      <c r="L233" s="111"/>
      <c r="M233" s="111"/>
      <c r="N233" s="111"/>
      <c r="O233" s="111"/>
      <c r="P233" s="111"/>
      <c r="Q233" s="112"/>
      <c r="R233" s="113"/>
      <c r="S233" s="113"/>
      <c r="T233" s="115"/>
      <c r="U233" s="114"/>
      <c r="V233" s="115"/>
      <c r="W233" s="116"/>
      <c r="X233" s="117"/>
      <c r="Y233" s="118"/>
      <c r="Z233" s="119"/>
      <c r="AA233" s="92"/>
      <c r="AB233" s="93"/>
      <c r="AC233" s="94"/>
      <c r="AD233" s="95"/>
      <c r="AE233" s="96"/>
      <c r="AF233" s="97"/>
      <c r="AG233" s="97">
        <f t="shared" si="7"/>
        <v>0</v>
      </c>
      <c r="AH233" s="97">
        <f t="shared" si="8"/>
        <v>0</v>
      </c>
      <c r="AI233" s="97">
        <f t="shared" si="9"/>
        <v>0</v>
      </c>
      <c r="AJ233" s="97">
        <f t="shared" si="10"/>
        <v>0</v>
      </c>
      <c r="AK233" s="97" t="str">
        <f t="shared" si="11"/>
        <v/>
      </c>
      <c r="AL233" s="98">
        <f t="shared" ca="1" si="12"/>
        <v>1</v>
      </c>
      <c r="AM233" s="98">
        <f t="shared" ca="1" si="13"/>
        <v>33</v>
      </c>
      <c r="AN233" s="98">
        <f t="shared" ca="1" si="14"/>
        <v>2</v>
      </c>
      <c r="AO233" s="98">
        <f t="shared" ca="1" si="15"/>
        <v>0</v>
      </c>
      <c r="AP233" s="98">
        <f t="shared" ca="1" si="16"/>
        <v>0</v>
      </c>
      <c r="AQ233" s="98">
        <f t="shared" ca="1" si="17"/>
        <v>0</v>
      </c>
      <c r="AR233" s="98">
        <f t="shared" ca="1" si="18"/>
        <v>0</v>
      </c>
      <c r="AS233" s="99"/>
      <c r="AT233" s="98">
        <f t="shared" si="19"/>
        <v>1</v>
      </c>
    </row>
    <row r="234" spans="1:46" ht="15.75" customHeight="1">
      <c r="A234" s="76"/>
      <c r="B234" s="77">
        <f t="shared" ca="1" si="0"/>
        <v>1</v>
      </c>
      <c r="C234" s="78">
        <f t="shared" ca="1" si="1"/>
        <v>33</v>
      </c>
      <c r="D234" s="78">
        <f t="shared" ca="1" si="2"/>
        <v>3</v>
      </c>
      <c r="E234" s="78" t="str">
        <f t="shared" ca="1" si="3"/>
        <v/>
      </c>
      <c r="F234" s="78" t="str">
        <f t="shared" ca="1" si="4"/>
        <v/>
      </c>
      <c r="G234" s="79" t="str">
        <f t="shared" ca="1" si="5"/>
        <v/>
      </c>
      <c r="H234" s="80" t="str">
        <f t="shared" ca="1" si="6"/>
        <v/>
      </c>
      <c r="I234" s="100"/>
      <c r="J234" s="111"/>
      <c r="K234" s="111" t="s">
        <v>63</v>
      </c>
      <c r="L234" s="111"/>
      <c r="M234" s="111"/>
      <c r="N234" s="111"/>
      <c r="O234" s="111"/>
      <c r="P234" s="111"/>
      <c r="Q234" s="112"/>
      <c r="R234" s="113"/>
      <c r="S234" s="113"/>
      <c r="T234" s="115"/>
      <c r="U234" s="114"/>
      <c r="V234" s="115"/>
      <c r="W234" s="116"/>
      <c r="X234" s="117"/>
      <c r="Y234" s="118"/>
      <c r="Z234" s="119"/>
      <c r="AA234" s="92"/>
      <c r="AB234" s="93"/>
      <c r="AC234" s="94"/>
      <c r="AD234" s="95"/>
      <c r="AE234" s="96"/>
      <c r="AF234" s="97"/>
      <c r="AG234" s="97">
        <f t="shared" si="7"/>
        <v>0</v>
      </c>
      <c r="AH234" s="97">
        <f t="shared" si="8"/>
        <v>0</v>
      </c>
      <c r="AI234" s="97">
        <f t="shared" si="9"/>
        <v>0</v>
      </c>
      <c r="AJ234" s="97">
        <f t="shared" si="10"/>
        <v>0</v>
      </c>
      <c r="AK234" s="97" t="str">
        <f t="shared" si="11"/>
        <v/>
      </c>
      <c r="AL234" s="98">
        <f t="shared" ca="1" si="12"/>
        <v>1</v>
      </c>
      <c r="AM234" s="98">
        <f t="shared" ca="1" si="13"/>
        <v>33</v>
      </c>
      <c r="AN234" s="98">
        <f t="shared" ca="1" si="14"/>
        <v>3</v>
      </c>
      <c r="AO234" s="98">
        <f t="shared" ca="1" si="15"/>
        <v>0</v>
      </c>
      <c r="AP234" s="98">
        <f t="shared" ca="1" si="16"/>
        <v>0</v>
      </c>
      <c r="AQ234" s="98">
        <f t="shared" ca="1" si="17"/>
        <v>0</v>
      </c>
      <c r="AR234" s="98">
        <f t="shared" ca="1" si="18"/>
        <v>0</v>
      </c>
      <c r="AS234" s="99"/>
      <c r="AT234" s="98">
        <f t="shared" si="19"/>
        <v>1</v>
      </c>
    </row>
    <row r="235" spans="1:46" ht="15.75" customHeight="1">
      <c r="A235" s="76"/>
      <c r="B235" s="77">
        <f t="shared" ca="1" si="0"/>
        <v>1</v>
      </c>
      <c r="C235" s="78">
        <f t="shared" ca="1" si="1"/>
        <v>33</v>
      </c>
      <c r="D235" s="78">
        <f t="shared" ca="1" si="2"/>
        <v>4</v>
      </c>
      <c r="E235" s="78" t="str">
        <f t="shared" ca="1" si="3"/>
        <v/>
      </c>
      <c r="F235" s="78" t="str">
        <f t="shared" ca="1" si="4"/>
        <v/>
      </c>
      <c r="G235" s="79" t="str">
        <f t="shared" ca="1" si="5"/>
        <v/>
      </c>
      <c r="H235" s="80" t="str">
        <f t="shared" ca="1" si="6"/>
        <v/>
      </c>
      <c r="I235" s="100"/>
      <c r="J235" s="111"/>
      <c r="K235" s="111" t="s">
        <v>64</v>
      </c>
      <c r="L235" s="111"/>
      <c r="M235" s="111"/>
      <c r="N235" s="111"/>
      <c r="O235" s="111"/>
      <c r="P235" s="111"/>
      <c r="Q235" s="112"/>
      <c r="R235" s="113"/>
      <c r="S235" s="113"/>
      <c r="T235" s="115"/>
      <c r="U235" s="114"/>
      <c r="V235" s="115"/>
      <c r="W235" s="116"/>
      <c r="X235" s="117"/>
      <c r="Y235" s="118"/>
      <c r="Z235" s="119"/>
      <c r="AA235" s="92"/>
      <c r="AB235" s="93"/>
      <c r="AC235" s="94"/>
      <c r="AD235" s="95"/>
      <c r="AE235" s="96"/>
      <c r="AF235" s="97"/>
      <c r="AG235" s="97">
        <f t="shared" si="7"/>
        <v>0</v>
      </c>
      <c r="AH235" s="97">
        <f t="shared" si="8"/>
        <v>0</v>
      </c>
      <c r="AI235" s="97">
        <f t="shared" si="9"/>
        <v>0</v>
      </c>
      <c r="AJ235" s="97">
        <f t="shared" si="10"/>
        <v>0</v>
      </c>
      <c r="AK235" s="97" t="str">
        <f t="shared" si="11"/>
        <v/>
      </c>
      <c r="AL235" s="98">
        <f t="shared" ca="1" si="12"/>
        <v>1</v>
      </c>
      <c r="AM235" s="98">
        <f t="shared" ca="1" si="13"/>
        <v>33</v>
      </c>
      <c r="AN235" s="98">
        <f t="shared" ca="1" si="14"/>
        <v>4</v>
      </c>
      <c r="AO235" s="98">
        <f t="shared" ca="1" si="15"/>
        <v>0</v>
      </c>
      <c r="AP235" s="98">
        <f t="shared" ca="1" si="16"/>
        <v>0</v>
      </c>
      <c r="AQ235" s="98">
        <f t="shared" ca="1" si="17"/>
        <v>0</v>
      </c>
      <c r="AR235" s="98">
        <f t="shared" ca="1" si="18"/>
        <v>0</v>
      </c>
      <c r="AS235" s="99"/>
      <c r="AT235" s="98">
        <f t="shared" si="19"/>
        <v>1</v>
      </c>
    </row>
    <row r="236" spans="1:46" ht="15.75" customHeight="1">
      <c r="A236" s="76"/>
      <c r="B236" s="77">
        <f t="shared" ca="1" si="0"/>
        <v>1</v>
      </c>
      <c r="C236" s="78">
        <f t="shared" ca="1" si="1"/>
        <v>33</v>
      </c>
      <c r="D236" s="78">
        <f t="shared" ca="1" si="2"/>
        <v>5</v>
      </c>
      <c r="E236" s="78" t="str">
        <f t="shared" ca="1" si="3"/>
        <v/>
      </c>
      <c r="F236" s="78" t="str">
        <f t="shared" ca="1" si="4"/>
        <v/>
      </c>
      <c r="G236" s="79" t="str">
        <f t="shared" ca="1" si="5"/>
        <v/>
      </c>
      <c r="H236" s="80" t="str">
        <f t="shared" ca="1" si="6"/>
        <v/>
      </c>
      <c r="I236" s="100"/>
      <c r="J236" s="111"/>
      <c r="K236" s="111" t="s">
        <v>65</v>
      </c>
      <c r="L236" s="111"/>
      <c r="M236" s="111"/>
      <c r="N236" s="111"/>
      <c r="O236" s="111"/>
      <c r="P236" s="111"/>
      <c r="Q236" s="112"/>
      <c r="R236" s="113"/>
      <c r="S236" s="113"/>
      <c r="T236" s="115"/>
      <c r="U236" s="114"/>
      <c r="V236" s="115"/>
      <c r="W236" s="116"/>
      <c r="X236" s="117"/>
      <c r="Y236" s="118"/>
      <c r="Z236" s="119"/>
      <c r="AA236" s="92"/>
      <c r="AB236" s="93"/>
      <c r="AC236" s="94"/>
      <c r="AD236" s="95"/>
      <c r="AE236" s="96"/>
      <c r="AF236" s="97"/>
      <c r="AG236" s="97">
        <f t="shared" si="7"/>
        <v>0</v>
      </c>
      <c r="AH236" s="97">
        <f t="shared" si="8"/>
        <v>0</v>
      </c>
      <c r="AI236" s="97">
        <f t="shared" si="9"/>
        <v>0</v>
      </c>
      <c r="AJ236" s="97">
        <f t="shared" si="10"/>
        <v>0</v>
      </c>
      <c r="AK236" s="97" t="str">
        <f t="shared" si="11"/>
        <v/>
      </c>
      <c r="AL236" s="98">
        <f t="shared" ca="1" si="12"/>
        <v>1</v>
      </c>
      <c r="AM236" s="98">
        <f t="shared" ca="1" si="13"/>
        <v>33</v>
      </c>
      <c r="AN236" s="98">
        <f t="shared" ca="1" si="14"/>
        <v>5</v>
      </c>
      <c r="AO236" s="98">
        <f t="shared" ca="1" si="15"/>
        <v>0</v>
      </c>
      <c r="AP236" s="98">
        <f t="shared" ca="1" si="16"/>
        <v>0</v>
      </c>
      <c r="AQ236" s="98">
        <f t="shared" ca="1" si="17"/>
        <v>0</v>
      </c>
      <c r="AR236" s="98">
        <f t="shared" ca="1" si="18"/>
        <v>0</v>
      </c>
      <c r="AS236" s="99"/>
      <c r="AT236" s="98">
        <f t="shared" si="19"/>
        <v>1</v>
      </c>
    </row>
    <row r="237" spans="1:46" ht="15.75" customHeight="1">
      <c r="A237" s="76"/>
      <c r="B237" s="77">
        <f t="shared" ca="1" si="0"/>
        <v>1</v>
      </c>
      <c r="C237" s="78">
        <f t="shared" ca="1" si="1"/>
        <v>33</v>
      </c>
      <c r="D237" s="78">
        <f t="shared" ca="1" si="2"/>
        <v>6</v>
      </c>
      <c r="E237" s="78" t="str">
        <f t="shared" ca="1" si="3"/>
        <v/>
      </c>
      <c r="F237" s="78" t="str">
        <f t="shared" ca="1" si="4"/>
        <v/>
      </c>
      <c r="G237" s="79" t="str">
        <f t="shared" ca="1" si="5"/>
        <v/>
      </c>
      <c r="H237" s="80" t="str">
        <f t="shared" ca="1" si="6"/>
        <v/>
      </c>
      <c r="I237" s="100"/>
      <c r="J237" s="111"/>
      <c r="K237" s="111" t="s">
        <v>66</v>
      </c>
      <c r="L237" s="111"/>
      <c r="M237" s="111"/>
      <c r="N237" s="111"/>
      <c r="O237" s="111"/>
      <c r="P237" s="111"/>
      <c r="Q237" s="112"/>
      <c r="R237" s="113"/>
      <c r="S237" s="113"/>
      <c r="T237" s="115"/>
      <c r="U237" s="114"/>
      <c r="V237" s="115"/>
      <c r="W237" s="116"/>
      <c r="X237" s="117"/>
      <c r="Y237" s="118"/>
      <c r="Z237" s="119"/>
      <c r="AA237" s="92"/>
      <c r="AB237" s="93"/>
      <c r="AC237" s="94"/>
      <c r="AD237" s="95"/>
      <c r="AE237" s="96"/>
      <c r="AF237" s="97"/>
      <c r="AG237" s="97">
        <f t="shared" si="7"/>
        <v>0</v>
      </c>
      <c r="AH237" s="97">
        <f t="shared" si="8"/>
        <v>0</v>
      </c>
      <c r="AI237" s="97">
        <f t="shared" si="9"/>
        <v>0</v>
      </c>
      <c r="AJ237" s="97">
        <f t="shared" si="10"/>
        <v>0</v>
      </c>
      <c r="AK237" s="97" t="str">
        <f t="shared" si="11"/>
        <v/>
      </c>
      <c r="AL237" s="98">
        <f t="shared" ca="1" si="12"/>
        <v>1</v>
      </c>
      <c r="AM237" s="98">
        <f t="shared" ca="1" si="13"/>
        <v>33</v>
      </c>
      <c r="AN237" s="98">
        <f t="shared" ca="1" si="14"/>
        <v>6</v>
      </c>
      <c r="AO237" s="98">
        <f t="shared" ca="1" si="15"/>
        <v>0</v>
      </c>
      <c r="AP237" s="98">
        <f t="shared" ca="1" si="16"/>
        <v>0</v>
      </c>
      <c r="AQ237" s="98">
        <f t="shared" ca="1" si="17"/>
        <v>0</v>
      </c>
      <c r="AR237" s="98">
        <f t="shared" ca="1" si="18"/>
        <v>0</v>
      </c>
      <c r="AS237" s="99"/>
      <c r="AT237" s="98">
        <f t="shared" si="19"/>
        <v>1</v>
      </c>
    </row>
    <row r="238" spans="1:46" ht="15.75" customHeight="1">
      <c r="A238" s="76"/>
      <c r="B238" s="77">
        <f t="shared" ca="1" si="0"/>
        <v>1</v>
      </c>
      <c r="C238" s="78">
        <f t="shared" ca="1" si="1"/>
        <v>34</v>
      </c>
      <c r="D238" s="78" t="str">
        <f t="shared" ca="1" si="2"/>
        <v/>
      </c>
      <c r="E238" s="78" t="str">
        <f t="shared" ca="1" si="3"/>
        <v/>
      </c>
      <c r="F238" s="78" t="str">
        <f t="shared" ca="1" si="4"/>
        <v/>
      </c>
      <c r="G238" s="79" t="str">
        <f t="shared" ca="1" si="5"/>
        <v/>
      </c>
      <c r="H238" s="80" t="str">
        <f t="shared" ca="1" si="6"/>
        <v/>
      </c>
      <c r="I238" s="100"/>
      <c r="J238" s="101" t="s">
        <v>103</v>
      </c>
      <c r="K238" s="102"/>
      <c r="L238" s="102"/>
      <c r="M238" s="102"/>
      <c r="N238" s="102"/>
      <c r="O238" s="102"/>
      <c r="P238" s="102"/>
      <c r="Q238" s="103" t="s">
        <v>73</v>
      </c>
      <c r="R238" s="104"/>
      <c r="S238" s="104"/>
      <c r="T238" s="105"/>
      <c r="U238" s="106"/>
      <c r="V238" s="105"/>
      <c r="W238" s="107"/>
      <c r="X238" s="108"/>
      <c r="Y238" s="109"/>
      <c r="Z238" s="110"/>
      <c r="AA238" s="92"/>
      <c r="AB238" s="93"/>
      <c r="AC238" s="94"/>
      <c r="AD238" s="95"/>
      <c r="AE238" s="96"/>
      <c r="AF238" s="97"/>
      <c r="AG238" s="97">
        <f t="shared" si="7"/>
        <v>0</v>
      </c>
      <c r="AH238" s="97">
        <f t="shared" si="8"/>
        <v>0</v>
      </c>
      <c r="AI238" s="97">
        <f t="shared" si="9"/>
        <v>0</v>
      </c>
      <c r="AJ238" s="97">
        <f t="shared" si="10"/>
        <v>0</v>
      </c>
      <c r="AK238" s="97" t="str">
        <f t="shared" si="11"/>
        <v/>
      </c>
      <c r="AL238" s="98">
        <f t="shared" ca="1" si="12"/>
        <v>1</v>
      </c>
      <c r="AM238" s="98">
        <f t="shared" ca="1" si="13"/>
        <v>34</v>
      </c>
      <c r="AN238" s="98">
        <f t="shared" ca="1" si="14"/>
        <v>0</v>
      </c>
      <c r="AO238" s="98">
        <f t="shared" ca="1" si="15"/>
        <v>0</v>
      </c>
      <c r="AP238" s="98">
        <f t="shared" ca="1" si="16"/>
        <v>0</v>
      </c>
      <c r="AQ238" s="98">
        <f t="shared" ca="1" si="17"/>
        <v>0</v>
      </c>
      <c r="AR238" s="98">
        <f t="shared" ca="1" si="18"/>
        <v>0</v>
      </c>
      <c r="AS238" s="99"/>
      <c r="AT238" s="98">
        <f t="shared" si="19"/>
        <v>1</v>
      </c>
    </row>
    <row r="239" spans="1:46" ht="15.75" customHeight="1">
      <c r="A239" s="76"/>
      <c r="B239" s="77">
        <f t="shared" ca="1" si="0"/>
        <v>1</v>
      </c>
      <c r="C239" s="78">
        <f t="shared" ca="1" si="1"/>
        <v>34</v>
      </c>
      <c r="D239" s="78">
        <f t="shared" ca="1" si="2"/>
        <v>1</v>
      </c>
      <c r="E239" s="78" t="str">
        <f t="shared" ca="1" si="3"/>
        <v/>
      </c>
      <c r="F239" s="78" t="str">
        <f t="shared" ca="1" si="4"/>
        <v/>
      </c>
      <c r="G239" s="79" t="str">
        <f t="shared" ca="1" si="5"/>
        <v/>
      </c>
      <c r="H239" s="80" t="str">
        <f t="shared" ca="1" si="6"/>
        <v/>
      </c>
      <c r="I239" s="100"/>
      <c r="J239" s="111"/>
      <c r="K239" s="111" t="s">
        <v>59</v>
      </c>
      <c r="L239" s="111"/>
      <c r="M239" s="111"/>
      <c r="N239" s="111"/>
      <c r="O239" s="111"/>
      <c r="P239" s="111"/>
      <c r="Q239" s="112"/>
      <c r="R239" s="113"/>
      <c r="S239" s="113"/>
      <c r="T239" s="115"/>
      <c r="U239" s="114"/>
      <c r="V239" s="115"/>
      <c r="W239" s="116"/>
      <c r="X239" s="117"/>
      <c r="Y239" s="118"/>
      <c r="Z239" s="119"/>
      <c r="AA239" s="92"/>
      <c r="AB239" s="93"/>
      <c r="AC239" s="94"/>
      <c r="AD239" s="95"/>
      <c r="AE239" s="96"/>
      <c r="AF239" s="97"/>
      <c r="AG239" s="97">
        <f t="shared" si="7"/>
        <v>0</v>
      </c>
      <c r="AH239" s="97">
        <f t="shared" si="8"/>
        <v>0</v>
      </c>
      <c r="AI239" s="97">
        <f t="shared" si="9"/>
        <v>0</v>
      </c>
      <c r="AJ239" s="97">
        <f t="shared" si="10"/>
        <v>0</v>
      </c>
      <c r="AK239" s="97" t="str">
        <f t="shared" si="11"/>
        <v/>
      </c>
      <c r="AL239" s="98">
        <f t="shared" ca="1" si="12"/>
        <v>1</v>
      </c>
      <c r="AM239" s="98">
        <f t="shared" ca="1" si="13"/>
        <v>34</v>
      </c>
      <c r="AN239" s="98">
        <f t="shared" ca="1" si="14"/>
        <v>1</v>
      </c>
      <c r="AO239" s="98">
        <f t="shared" ca="1" si="15"/>
        <v>0</v>
      </c>
      <c r="AP239" s="98">
        <f t="shared" ca="1" si="16"/>
        <v>0</v>
      </c>
      <c r="AQ239" s="98">
        <f t="shared" ca="1" si="17"/>
        <v>0</v>
      </c>
      <c r="AR239" s="98">
        <f t="shared" ca="1" si="18"/>
        <v>0</v>
      </c>
      <c r="AS239" s="99"/>
      <c r="AT239" s="98">
        <f t="shared" si="19"/>
        <v>1</v>
      </c>
    </row>
    <row r="240" spans="1:46" ht="15.75" customHeight="1">
      <c r="A240" s="76"/>
      <c r="B240" s="77">
        <f t="shared" ca="1" si="0"/>
        <v>1</v>
      </c>
      <c r="C240" s="78">
        <f t="shared" ca="1" si="1"/>
        <v>34</v>
      </c>
      <c r="D240" s="78">
        <f t="shared" ca="1" si="2"/>
        <v>2</v>
      </c>
      <c r="E240" s="78" t="str">
        <f t="shared" ca="1" si="3"/>
        <v/>
      </c>
      <c r="F240" s="78" t="str">
        <f t="shared" ca="1" si="4"/>
        <v/>
      </c>
      <c r="G240" s="79" t="str">
        <f t="shared" ca="1" si="5"/>
        <v/>
      </c>
      <c r="H240" s="80" t="str">
        <f t="shared" ca="1" si="6"/>
        <v/>
      </c>
      <c r="I240" s="100"/>
      <c r="J240" s="111"/>
      <c r="K240" s="111" t="s">
        <v>61</v>
      </c>
      <c r="L240" s="111"/>
      <c r="M240" s="111"/>
      <c r="N240" s="111"/>
      <c r="O240" s="111"/>
      <c r="P240" s="111"/>
      <c r="Q240" s="112"/>
      <c r="R240" s="113"/>
      <c r="S240" s="113"/>
      <c r="T240" s="115"/>
      <c r="U240" s="114"/>
      <c r="V240" s="115"/>
      <c r="W240" s="116"/>
      <c r="X240" s="117"/>
      <c r="Y240" s="118"/>
      <c r="Z240" s="119"/>
      <c r="AA240" s="92"/>
      <c r="AB240" s="93"/>
      <c r="AC240" s="94"/>
      <c r="AD240" s="95"/>
      <c r="AE240" s="96"/>
      <c r="AF240" s="97"/>
      <c r="AG240" s="97">
        <f t="shared" si="7"/>
        <v>0</v>
      </c>
      <c r="AH240" s="97">
        <f t="shared" si="8"/>
        <v>0</v>
      </c>
      <c r="AI240" s="97">
        <f t="shared" si="9"/>
        <v>0</v>
      </c>
      <c r="AJ240" s="97">
        <f t="shared" si="10"/>
        <v>0</v>
      </c>
      <c r="AK240" s="97" t="str">
        <f t="shared" si="11"/>
        <v/>
      </c>
      <c r="AL240" s="98">
        <f t="shared" ca="1" si="12"/>
        <v>1</v>
      </c>
      <c r="AM240" s="98">
        <f t="shared" ca="1" si="13"/>
        <v>34</v>
      </c>
      <c r="AN240" s="98">
        <f t="shared" ca="1" si="14"/>
        <v>2</v>
      </c>
      <c r="AO240" s="98">
        <f t="shared" ca="1" si="15"/>
        <v>0</v>
      </c>
      <c r="AP240" s="98">
        <f t="shared" ca="1" si="16"/>
        <v>0</v>
      </c>
      <c r="AQ240" s="98">
        <f t="shared" ca="1" si="17"/>
        <v>0</v>
      </c>
      <c r="AR240" s="98">
        <f t="shared" ca="1" si="18"/>
        <v>0</v>
      </c>
      <c r="AS240" s="99"/>
      <c r="AT240" s="98">
        <f t="shared" si="19"/>
        <v>1</v>
      </c>
    </row>
    <row r="241" spans="1:46" ht="15.75" customHeight="1">
      <c r="A241" s="76"/>
      <c r="B241" s="77">
        <f t="shared" ca="1" si="0"/>
        <v>1</v>
      </c>
      <c r="C241" s="78">
        <f t="shared" ca="1" si="1"/>
        <v>34</v>
      </c>
      <c r="D241" s="78">
        <f t="shared" ca="1" si="2"/>
        <v>3</v>
      </c>
      <c r="E241" s="78" t="str">
        <f t="shared" ca="1" si="3"/>
        <v/>
      </c>
      <c r="F241" s="78" t="str">
        <f t="shared" ca="1" si="4"/>
        <v/>
      </c>
      <c r="G241" s="79" t="str">
        <f t="shared" ca="1" si="5"/>
        <v/>
      </c>
      <c r="H241" s="80" t="str">
        <f t="shared" ca="1" si="6"/>
        <v/>
      </c>
      <c r="I241" s="100"/>
      <c r="J241" s="111"/>
      <c r="K241" s="111" t="s">
        <v>63</v>
      </c>
      <c r="L241" s="111"/>
      <c r="M241" s="111"/>
      <c r="N241" s="111"/>
      <c r="O241" s="111"/>
      <c r="P241" s="111"/>
      <c r="Q241" s="112"/>
      <c r="R241" s="113"/>
      <c r="S241" s="113"/>
      <c r="T241" s="115"/>
      <c r="U241" s="114"/>
      <c r="V241" s="115"/>
      <c r="W241" s="116"/>
      <c r="X241" s="117"/>
      <c r="Y241" s="118"/>
      <c r="Z241" s="119"/>
      <c r="AA241" s="92"/>
      <c r="AB241" s="93"/>
      <c r="AC241" s="94"/>
      <c r="AD241" s="95"/>
      <c r="AE241" s="96"/>
      <c r="AF241" s="97"/>
      <c r="AG241" s="97">
        <f t="shared" si="7"/>
        <v>0</v>
      </c>
      <c r="AH241" s="97">
        <f t="shared" si="8"/>
        <v>0</v>
      </c>
      <c r="AI241" s="97">
        <f t="shared" si="9"/>
        <v>0</v>
      </c>
      <c r="AJ241" s="97">
        <f t="shared" si="10"/>
        <v>0</v>
      </c>
      <c r="AK241" s="97" t="str">
        <f t="shared" si="11"/>
        <v/>
      </c>
      <c r="AL241" s="98">
        <f t="shared" ca="1" si="12"/>
        <v>1</v>
      </c>
      <c r="AM241" s="98">
        <f t="shared" ca="1" si="13"/>
        <v>34</v>
      </c>
      <c r="AN241" s="98">
        <f t="shared" ca="1" si="14"/>
        <v>3</v>
      </c>
      <c r="AO241" s="98">
        <f t="shared" ca="1" si="15"/>
        <v>0</v>
      </c>
      <c r="AP241" s="98">
        <f t="shared" ca="1" si="16"/>
        <v>0</v>
      </c>
      <c r="AQ241" s="98">
        <f t="shared" ca="1" si="17"/>
        <v>0</v>
      </c>
      <c r="AR241" s="98">
        <f t="shared" ca="1" si="18"/>
        <v>0</v>
      </c>
      <c r="AS241" s="99"/>
      <c r="AT241" s="98">
        <f t="shared" si="19"/>
        <v>1</v>
      </c>
    </row>
    <row r="242" spans="1:46" ht="15.75" customHeight="1">
      <c r="A242" s="76"/>
      <c r="B242" s="77">
        <f t="shared" ca="1" si="0"/>
        <v>1</v>
      </c>
      <c r="C242" s="78">
        <f t="shared" ca="1" si="1"/>
        <v>34</v>
      </c>
      <c r="D242" s="78">
        <f t="shared" ca="1" si="2"/>
        <v>4</v>
      </c>
      <c r="E242" s="78" t="str">
        <f t="shared" ca="1" si="3"/>
        <v/>
      </c>
      <c r="F242" s="78" t="str">
        <f t="shared" ca="1" si="4"/>
        <v/>
      </c>
      <c r="G242" s="79" t="str">
        <f t="shared" ca="1" si="5"/>
        <v/>
      </c>
      <c r="H242" s="80" t="str">
        <f t="shared" ca="1" si="6"/>
        <v/>
      </c>
      <c r="I242" s="100"/>
      <c r="J242" s="111"/>
      <c r="K242" s="111" t="s">
        <v>64</v>
      </c>
      <c r="L242" s="111"/>
      <c r="M242" s="111"/>
      <c r="N242" s="111"/>
      <c r="O242" s="111"/>
      <c r="P242" s="111"/>
      <c r="Q242" s="112"/>
      <c r="R242" s="113"/>
      <c r="S242" s="113"/>
      <c r="T242" s="115"/>
      <c r="U242" s="114"/>
      <c r="V242" s="115"/>
      <c r="W242" s="116"/>
      <c r="X242" s="117"/>
      <c r="Y242" s="118"/>
      <c r="Z242" s="119"/>
      <c r="AA242" s="92"/>
      <c r="AB242" s="93"/>
      <c r="AC242" s="94"/>
      <c r="AD242" s="95"/>
      <c r="AE242" s="96"/>
      <c r="AF242" s="97"/>
      <c r="AG242" s="97">
        <f t="shared" si="7"/>
        <v>0</v>
      </c>
      <c r="AH242" s="97">
        <f t="shared" si="8"/>
        <v>0</v>
      </c>
      <c r="AI242" s="97">
        <f t="shared" si="9"/>
        <v>0</v>
      </c>
      <c r="AJ242" s="97">
        <f t="shared" si="10"/>
        <v>0</v>
      </c>
      <c r="AK242" s="97" t="str">
        <f t="shared" si="11"/>
        <v/>
      </c>
      <c r="AL242" s="98">
        <f t="shared" ca="1" si="12"/>
        <v>1</v>
      </c>
      <c r="AM242" s="98">
        <f t="shared" ca="1" si="13"/>
        <v>34</v>
      </c>
      <c r="AN242" s="98">
        <f t="shared" ca="1" si="14"/>
        <v>4</v>
      </c>
      <c r="AO242" s="98">
        <f t="shared" ca="1" si="15"/>
        <v>0</v>
      </c>
      <c r="AP242" s="98">
        <f t="shared" ca="1" si="16"/>
        <v>0</v>
      </c>
      <c r="AQ242" s="98">
        <f t="shared" ca="1" si="17"/>
        <v>0</v>
      </c>
      <c r="AR242" s="98">
        <f t="shared" ca="1" si="18"/>
        <v>0</v>
      </c>
      <c r="AS242" s="99"/>
      <c r="AT242" s="98">
        <f t="shared" si="19"/>
        <v>1</v>
      </c>
    </row>
    <row r="243" spans="1:46" ht="15.75" customHeight="1">
      <c r="A243" s="76"/>
      <c r="B243" s="77">
        <f t="shared" ca="1" si="0"/>
        <v>1</v>
      </c>
      <c r="C243" s="78">
        <f t="shared" ca="1" si="1"/>
        <v>34</v>
      </c>
      <c r="D243" s="78">
        <f t="shared" ca="1" si="2"/>
        <v>5</v>
      </c>
      <c r="E243" s="78" t="str">
        <f t="shared" ca="1" si="3"/>
        <v/>
      </c>
      <c r="F243" s="78" t="str">
        <f t="shared" ca="1" si="4"/>
        <v/>
      </c>
      <c r="G243" s="79" t="str">
        <f t="shared" ca="1" si="5"/>
        <v/>
      </c>
      <c r="H243" s="80" t="str">
        <f t="shared" ca="1" si="6"/>
        <v/>
      </c>
      <c r="I243" s="100"/>
      <c r="J243" s="111"/>
      <c r="K243" s="111" t="s">
        <v>65</v>
      </c>
      <c r="L243" s="111"/>
      <c r="M243" s="111"/>
      <c r="N243" s="111"/>
      <c r="O243" s="111"/>
      <c r="P243" s="111"/>
      <c r="Q243" s="112"/>
      <c r="R243" s="113"/>
      <c r="S243" s="113"/>
      <c r="T243" s="115"/>
      <c r="U243" s="114"/>
      <c r="V243" s="115"/>
      <c r="W243" s="116"/>
      <c r="X243" s="117"/>
      <c r="Y243" s="118"/>
      <c r="Z243" s="119"/>
      <c r="AA243" s="92"/>
      <c r="AB243" s="93"/>
      <c r="AC243" s="94"/>
      <c r="AD243" s="95"/>
      <c r="AE243" s="96"/>
      <c r="AF243" s="97"/>
      <c r="AG243" s="97">
        <f t="shared" si="7"/>
        <v>0</v>
      </c>
      <c r="AH243" s="97">
        <f t="shared" si="8"/>
        <v>0</v>
      </c>
      <c r="AI243" s="97">
        <f t="shared" si="9"/>
        <v>0</v>
      </c>
      <c r="AJ243" s="97">
        <f t="shared" si="10"/>
        <v>0</v>
      </c>
      <c r="AK243" s="97" t="str">
        <f t="shared" si="11"/>
        <v/>
      </c>
      <c r="AL243" s="98">
        <f t="shared" ca="1" si="12"/>
        <v>1</v>
      </c>
      <c r="AM243" s="98">
        <f t="shared" ca="1" si="13"/>
        <v>34</v>
      </c>
      <c r="AN243" s="98">
        <f t="shared" ca="1" si="14"/>
        <v>5</v>
      </c>
      <c r="AO243" s="98">
        <f t="shared" ca="1" si="15"/>
        <v>0</v>
      </c>
      <c r="AP243" s="98">
        <f t="shared" ca="1" si="16"/>
        <v>0</v>
      </c>
      <c r="AQ243" s="98">
        <f t="shared" ca="1" si="17"/>
        <v>0</v>
      </c>
      <c r="AR243" s="98">
        <f t="shared" ca="1" si="18"/>
        <v>0</v>
      </c>
      <c r="AS243" s="99"/>
      <c r="AT243" s="98">
        <f t="shared" si="19"/>
        <v>1</v>
      </c>
    </row>
    <row r="244" spans="1:46" ht="15.75" customHeight="1">
      <c r="A244" s="76"/>
      <c r="B244" s="77">
        <f t="shared" ca="1" si="0"/>
        <v>1</v>
      </c>
      <c r="C244" s="78">
        <f t="shared" ca="1" si="1"/>
        <v>34</v>
      </c>
      <c r="D244" s="78">
        <f t="shared" ca="1" si="2"/>
        <v>6</v>
      </c>
      <c r="E244" s="78" t="str">
        <f t="shared" ca="1" si="3"/>
        <v/>
      </c>
      <c r="F244" s="78" t="str">
        <f t="shared" ca="1" si="4"/>
        <v/>
      </c>
      <c r="G244" s="79" t="str">
        <f t="shared" ca="1" si="5"/>
        <v/>
      </c>
      <c r="H244" s="80" t="str">
        <f t="shared" ca="1" si="6"/>
        <v/>
      </c>
      <c r="I244" s="100"/>
      <c r="J244" s="111"/>
      <c r="K244" s="111" t="s">
        <v>66</v>
      </c>
      <c r="L244" s="111"/>
      <c r="M244" s="111"/>
      <c r="N244" s="111"/>
      <c r="O244" s="111"/>
      <c r="P244" s="111"/>
      <c r="Q244" s="112"/>
      <c r="R244" s="113"/>
      <c r="S244" s="113"/>
      <c r="T244" s="115"/>
      <c r="U244" s="114"/>
      <c r="V244" s="115"/>
      <c r="W244" s="116"/>
      <c r="X244" s="117"/>
      <c r="Y244" s="118"/>
      <c r="Z244" s="119"/>
      <c r="AA244" s="92"/>
      <c r="AB244" s="93"/>
      <c r="AC244" s="94"/>
      <c r="AD244" s="95"/>
      <c r="AE244" s="96"/>
      <c r="AF244" s="97"/>
      <c r="AG244" s="97">
        <f t="shared" si="7"/>
        <v>0</v>
      </c>
      <c r="AH244" s="97">
        <f t="shared" si="8"/>
        <v>0</v>
      </c>
      <c r="AI244" s="97">
        <f t="shared" si="9"/>
        <v>0</v>
      </c>
      <c r="AJ244" s="97">
        <f t="shared" si="10"/>
        <v>0</v>
      </c>
      <c r="AK244" s="97" t="str">
        <f t="shared" si="11"/>
        <v/>
      </c>
      <c r="AL244" s="98">
        <f t="shared" ca="1" si="12"/>
        <v>1</v>
      </c>
      <c r="AM244" s="98">
        <f t="shared" ca="1" si="13"/>
        <v>34</v>
      </c>
      <c r="AN244" s="98">
        <f t="shared" ca="1" si="14"/>
        <v>6</v>
      </c>
      <c r="AO244" s="98">
        <f t="shared" ca="1" si="15"/>
        <v>0</v>
      </c>
      <c r="AP244" s="98">
        <f t="shared" ca="1" si="16"/>
        <v>0</v>
      </c>
      <c r="AQ244" s="98">
        <f t="shared" ca="1" si="17"/>
        <v>0</v>
      </c>
      <c r="AR244" s="98">
        <f t="shared" ca="1" si="18"/>
        <v>0</v>
      </c>
      <c r="AS244" s="99"/>
      <c r="AT244" s="98">
        <f t="shared" si="19"/>
        <v>1</v>
      </c>
    </row>
    <row r="245" spans="1:46" ht="15.75" customHeight="1">
      <c r="A245" s="76"/>
      <c r="B245" s="77">
        <f t="shared" ca="1" si="0"/>
        <v>1</v>
      </c>
      <c r="C245" s="78">
        <f t="shared" ca="1" si="1"/>
        <v>35</v>
      </c>
      <c r="D245" s="78" t="str">
        <f t="shared" ca="1" si="2"/>
        <v/>
      </c>
      <c r="E245" s="78" t="str">
        <f t="shared" ca="1" si="3"/>
        <v/>
      </c>
      <c r="F245" s="78" t="str">
        <f t="shared" ca="1" si="4"/>
        <v/>
      </c>
      <c r="G245" s="79" t="str">
        <f t="shared" ca="1" si="5"/>
        <v/>
      </c>
      <c r="H245" s="80" t="str">
        <f t="shared" ca="1" si="6"/>
        <v/>
      </c>
      <c r="I245" s="100"/>
      <c r="J245" s="101" t="s">
        <v>104</v>
      </c>
      <c r="K245" s="102"/>
      <c r="L245" s="102"/>
      <c r="M245" s="102"/>
      <c r="N245" s="102"/>
      <c r="O245" s="102"/>
      <c r="P245" s="102"/>
      <c r="Q245" s="103" t="s">
        <v>81</v>
      </c>
      <c r="R245" s="104"/>
      <c r="S245" s="104"/>
      <c r="T245" s="105"/>
      <c r="U245" s="106"/>
      <c r="V245" s="105"/>
      <c r="W245" s="107"/>
      <c r="X245" s="108"/>
      <c r="Y245" s="109"/>
      <c r="Z245" s="110"/>
      <c r="AA245" s="92"/>
      <c r="AB245" s="93"/>
      <c r="AC245" s="94"/>
      <c r="AD245" s="95"/>
      <c r="AE245" s="96"/>
      <c r="AF245" s="97"/>
      <c r="AG245" s="97">
        <f t="shared" si="7"/>
        <v>0</v>
      </c>
      <c r="AH245" s="97">
        <f t="shared" si="8"/>
        <v>0</v>
      </c>
      <c r="AI245" s="97">
        <f t="shared" si="9"/>
        <v>0</v>
      </c>
      <c r="AJ245" s="97">
        <f t="shared" si="10"/>
        <v>0</v>
      </c>
      <c r="AK245" s="97" t="str">
        <f t="shared" si="11"/>
        <v/>
      </c>
      <c r="AL245" s="98">
        <f t="shared" ca="1" si="12"/>
        <v>1</v>
      </c>
      <c r="AM245" s="98">
        <f t="shared" ca="1" si="13"/>
        <v>35</v>
      </c>
      <c r="AN245" s="98">
        <f t="shared" ca="1" si="14"/>
        <v>0</v>
      </c>
      <c r="AO245" s="98">
        <f t="shared" ca="1" si="15"/>
        <v>0</v>
      </c>
      <c r="AP245" s="98">
        <f t="shared" ca="1" si="16"/>
        <v>0</v>
      </c>
      <c r="AQ245" s="98">
        <f t="shared" ca="1" si="17"/>
        <v>0</v>
      </c>
      <c r="AR245" s="98">
        <f t="shared" ca="1" si="18"/>
        <v>0</v>
      </c>
      <c r="AS245" s="99"/>
      <c r="AT245" s="98">
        <f t="shared" si="19"/>
        <v>1</v>
      </c>
    </row>
    <row r="246" spans="1:46" ht="15.75" customHeight="1">
      <c r="A246" s="76"/>
      <c r="B246" s="77">
        <f t="shared" ca="1" si="0"/>
        <v>1</v>
      </c>
      <c r="C246" s="78">
        <f t="shared" ca="1" si="1"/>
        <v>35</v>
      </c>
      <c r="D246" s="78">
        <f t="shared" ca="1" si="2"/>
        <v>1</v>
      </c>
      <c r="E246" s="78" t="str">
        <f t="shared" ca="1" si="3"/>
        <v/>
      </c>
      <c r="F246" s="78" t="str">
        <f t="shared" ca="1" si="4"/>
        <v/>
      </c>
      <c r="G246" s="79" t="str">
        <f t="shared" ca="1" si="5"/>
        <v/>
      </c>
      <c r="H246" s="80" t="str">
        <f t="shared" ca="1" si="6"/>
        <v/>
      </c>
      <c r="I246" s="100"/>
      <c r="J246" s="111"/>
      <c r="K246" s="111" t="s">
        <v>59</v>
      </c>
      <c r="L246" s="111"/>
      <c r="M246" s="111"/>
      <c r="N246" s="111"/>
      <c r="O246" s="111"/>
      <c r="P246" s="111"/>
      <c r="Q246" s="112"/>
      <c r="R246" s="113"/>
      <c r="S246" s="113"/>
      <c r="T246" s="115"/>
      <c r="U246" s="114"/>
      <c r="V246" s="115"/>
      <c r="W246" s="116"/>
      <c r="X246" s="117"/>
      <c r="Y246" s="118"/>
      <c r="Z246" s="119"/>
      <c r="AA246" s="92"/>
      <c r="AB246" s="93"/>
      <c r="AC246" s="94"/>
      <c r="AD246" s="95"/>
      <c r="AE246" s="96"/>
      <c r="AF246" s="97"/>
      <c r="AG246" s="97">
        <f t="shared" si="7"/>
        <v>0</v>
      </c>
      <c r="AH246" s="97">
        <f t="shared" si="8"/>
        <v>0</v>
      </c>
      <c r="AI246" s="97">
        <f t="shared" si="9"/>
        <v>0</v>
      </c>
      <c r="AJ246" s="97">
        <f t="shared" si="10"/>
        <v>0</v>
      </c>
      <c r="AK246" s="97" t="str">
        <f t="shared" si="11"/>
        <v/>
      </c>
      <c r="AL246" s="98">
        <f t="shared" ca="1" si="12"/>
        <v>1</v>
      </c>
      <c r="AM246" s="98">
        <f t="shared" ca="1" si="13"/>
        <v>35</v>
      </c>
      <c r="AN246" s="98">
        <f t="shared" ca="1" si="14"/>
        <v>1</v>
      </c>
      <c r="AO246" s="98">
        <f t="shared" ca="1" si="15"/>
        <v>0</v>
      </c>
      <c r="AP246" s="98">
        <f t="shared" ca="1" si="16"/>
        <v>0</v>
      </c>
      <c r="AQ246" s="98">
        <f t="shared" ca="1" si="17"/>
        <v>0</v>
      </c>
      <c r="AR246" s="98">
        <f t="shared" ca="1" si="18"/>
        <v>0</v>
      </c>
      <c r="AS246" s="99"/>
      <c r="AT246" s="98">
        <f t="shared" si="19"/>
        <v>1</v>
      </c>
    </row>
    <row r="247" spans="1:46" ht="15.75" customHeight="1">
      <c r="A247" s="76"/>
      <c r="B247" s="77">
        <f t="shared" ca="1" si="0"/>
        <v>1</v>
      </c>
      <c r="C247" s="78">
        <f t="shared" ca="1" si="1"/>
        <v>35</v>
      </c>
      <c r="D247" s="78">
        <f t="shared" ca="1" si="2"/>
        <v>2</v>
      </c>
      <c r="E247" s="78" t="str">
        <f t="shared" ca="1" si="3"/>
        <v/>
      </c>
      <c r="F247" s="78" t="str">
        <f t="shared" ca="1" si="4"/>
        <v/>
      </c>
      <c r="G247" s="79" t="str">
        <f t="shared" ca="1" si="5"/>
        <v/>
      </c>
      <c r="H247" s="80" t="str">
        <f t="shared" ca="1" si="6"/>
        <v/>
      </c>
      <c r="I247" s="100"/>
      <c r="J247" s="111"/>
      <c r="K247" s="111" t="s">
        <v>61</v>
      </c>
      <c r="L247" s="111"/>
      <c r="M247" s="111"/>
      <c r="N247" s="111"/>
      <c r="O247" s="111"/>
      <c r="P247" s="111"/>
      <c r="Q247" s="112"/>
      <c r="R247" s="113"/>
      <c r="S247" s="113"/>
      <c r="T247" s="115"/>
      <c r="U247" s="114"/>
      <c r="V247" s="115"/>
      <c r="W247" s="116"/>
      <c r="X247" s="117"/>
      <c r="Y247" s="118"/>
      <c r="Z247" s="119"/>
      <c r="AA247" s="92"/>
      <c r="AB247" s="93"/>
      <c r="AC247" s="94"/>
      <c r="AD247" s="95"/>
      <c r="AE247" s="96"/>
      <c r="AF247" s="97"/>
      <c r="AG247" s="97">
        <f t="shared" si="7"/>
        <v>0</v>
      </c>
      <c r="AH247" s="97">
        <f t="shared" si="8"/>
        <v>0</v>
      </c>
      <c r="AI247" s="97">
        <f t="shared" si="9"/>
        <v>0</v>
      </c>
      <c r="AJ247" s="97">
        <f t="shared" si="10"/>
        <v>0</v>
      </c>
      <c r="AK247" s="97" t="str">
        <f t="shared" si="11"/>
        <v/>
      </c>
      <c r="AL247" s="98">
        <f t="shared" ca="1" si="12"/>
        <v>1</v>
      </c>
      <c r="AM247" s="98">
        <f t="shared" ca="1" si="13"/>
        <v>35</v>
      </c>
      <c r="AN247" s="98">
        <f t="shared" ca="1" si="14"/>
        <v>2</v>
      </c>
      <c r="AO247" s="98">
        <f t="shared" ca="1" si="15"/>
        <v>0</v>
      </c>
      <c r="AP247" s="98">
        <f t="shared" ca="1" si="16"/>
        <v>0</v>
      </c>
      <c r="AQ247" s="98">
        <f t="shared" ca="1" si="17"/>
        <v>0</v>
      </c>
      <c r="AR247" s="98">
        <f t="shared" ca="1" si="18"/>
        <v>0</v>
      </c>
      <c r="AS247" s="99"/>
      <c r="AT247" s="98">
        <f t="shared" si="19"/>
        <v>1</v>
      </c>
    </row>
    <row r="248" spans="1:46" ht="15.75" customHeight="1">
      <c r="A248" s="76"/>
      <c r="B248" s="77">
        <f t="shared" ca="1" si="0"/>
        <v>1</v>
      </c>
      <c r="C248" s="78">
        <f t="shared" ca="1" si="1"/>
        <v>35</v>
      </c>
      <c r="D248" s="78">
        <f t="shared" ca="1" si="2"/>
        <v>3</v>
      </c>
      <c r="E248" s="78" t="str">
        <f t="shared" ca="1" si="3"/>
        <v/>
      </c>
      <c r="F248" s="78" t="str">
        <f t="shared" ca="1" si="4"/>
        <v/>
      </c>
      <c r="G248" s="79" t="str">
        <f t="shared" ca="1" si="5"/>
        <v/>
      </c>
      <c r="H248" s="80" t="str">
        <f t="shared" ca="1" si="6"/>
        <v/>
      </c>
      <c r="I248" s="100"/>
      <c r="J248" s="111"/>
      <c r="K248" s="111" t="s">
        <v>63</v>
      </c>
      <c r="L248" s="111"/>
      <c r="M248" s="111"/>
      <c r="N248" s="111"/>
      <c r="O248" s="111"/>
      <c r="P248" s="111"/>
      <c r="Q248" s="112"/>
      <c r="R248" s="113"/>
      <c r="S248" s="113"/>
      <c r="T248" s="115"/>
      <c r="U248" s="114"/>
      <c r="V248" s="115"/>
      <c r="W248" s="116"/>
      <c r="X248" s="117"/>
      <c r="Y248" s="118"/>
      <c r="Z248" s="119"/>
      <c r="AA248" s="92"/>
      <c r="AB248" s="93"/>
      <c r="AC248" s="94"/>
      <c r="AD248" s="95"/>
      <c r="AE248" s="96"/>
      <c r="AF248" s="97"/>
      <c r="AG248" s="97">
        <f t="shared" si="7"/>
        <v>0</v>
      </c>
      <c r="AH248" s="97">
        <f t="shared" si="8"/>
        <v>0</v>
      </c>
      <c r="AI248" s="97">
        <f t="shared" si="9"/>
        <v>0</v>
      </c>
      <c r="AJ248" s="97">
        <f t="shared" si="10"/>
        <v>0</v>
      </c>
      <c r="AK248" s="97" t="str">
        <f t="shared" si="11"/>
        <v/>
      </c>
      <c r="AL248" s="98">
        <f t="shared" ca="1" si="12"/>
        <v>1</v>
      </c>
      <c r="AM248" s="98">
        <f t="shared" ca="1" si="13"/>
        <v>35</v>
      </c>
      <c r="AN248" s="98">
        <f t="shared" ca="1" si="14"/>
        <v>3</v>
      </c>
      <c r="AO248" s="98">
        <f t="shared" ca="1" si="15"/>
        <v>0</v>
      </c>
      <c r="AP248" s="98">
        <f t="shared" ca="1" si="16"/>
        <v>0</v>
      </c>
      <c r="AQ248" s="98">
        <f t="shared" ca="1" si="17"/>
        <v>0</v>
      </c>
      <c r="AR248" s="98">
        <f t="shared" ca="1" si="18"/>
        <v>0</v>
      </c>
      <c r="AS248" s="99"/>
      <c r="AT248" s="98">
        <f t="shared" si="19"/>
        <v>1</v>
      </c>
    </row>
    <row r="249" spans="1:46" ht="15.75" customHeight="1">
      <c r="A249" s="76"/>
      <c r="B249" s="77">
        <f t="shared" ca="1" si="0"/>
        <v>1</v>
      </c>
      <c r="C249" s="78">
        <f t="shared" ca="1" si="1"/>
        <v>35</v>
      </c>
      <c r="D249" s="78">
        <f t="shared" ca="1" si="2"/>
        <v>4</v>
      </c>
      <c r="E249" s="78" t="str">
        <f t="shared" ca="1" si="3"/>
        <v/>
      </c>
      <c r="F249" s="78" t="str">
        <f t="shared" ca="1" si="4"/>
        <v/>
      </c>
      <c r="G249" s="79" t="str">
        <f t="shared" ca="1" si="5"/>
        <v/>
      </c>
      <c r="H249" s="80" t="str">
        <f t="shared" ca="1" si="6"/>
        <v/>
      </c>
      <c r="I249" s="100"/>
      <c r="J249" s="111"/>
      <c r="K249" s="111" t="s">
        <v>64</v>
      </c>
      <c r="L249" s="111"/>
      <c r="M249" s="111"/>
      <c r="N249" s="111"/>
      <c r="O249" s="111"/>
      <c r="P249" s="111"/>
      <c r="Q249" s="112"/>
      <c r="R249" s="113"/>
      <c r="S249" s="113"/>
      <c r="T249" s="115"/>
      <c r="U249" s="114"/>
      <c r="V249" s="115"/>
      <c r="W249" s="116"/>
      <c r="X249" s="117"/>
      <c r="Y249" s="118"/>
      <c r="Z249" s="119"/>
      <c r="AA249" s="92"/>
      <c r="AB249" s="93"/>
      <c r="AC249" s="94"/>
      <c r="AD249" s="95"/>
      <c r="AE249" s="96"/>
      <c r="AF249" s="97"/>
      <c r="AG249" s="97">
        <f t="shared" si="7"/>
        <v>0</v>
      </c>
      <c r="AH249" s="97">
        <f t="shared" si="8"/>
        <v>0</v>
      </c>
      <c r="AI249" s="97">
        <f t="shared" si="9"/>
        <v>0</v>
      </c>
      <c r="AJ249" s="97">
        <f t="shared" si="10"/>
        <v>0</v>
      </c>
      <c r="AK249" s="97" t="str">
        <f t="shared" si="11"/>
        <v/>
      </c>
      <c r="AL249" s="98">
        <f t="shared" ca="1" si="12"/>
        <v>1</v>
      </c>
      <c r="AM249" s="98">
        <f t="shared" ca="1" si="13"/>
        <v>35</v>
      </c>
      <c r="AN249" s="98">
        <f t="shared" ca="1" si="14"/>
        <v>4</v>
      </c>
      <c r="AO249" s="98">
        <f t="shared" ca="1" si="15"/>
        <v>0</v>
      </c>
      <c r="AP249" s="98">
        <f t="shared" ca="1" si="16"/>
        <v>0</v>
      </c>
      <c r="AQ249" s="98">
        <f t="shared" ca="1" si="17"/>
        <v>0</v>
      </c>
      <c r="AR249" s="98">
        <f t="shared" ca="1" si="18"/>
        <v>0</v>
      </c>
      <c r="AS249" s="99"/>
      <c r="AT249" s="98">
        <f t="shared" si="19"/>
        <v>1</v>
      </c>
    </row>
    <row r="250" spans="1:46" ht="15.75" customHeight="1">
      <c r="A250" s="76"/>
      <c r="B250" s="77">
        <f t="shared" ca="1" si="0"/>
        <v>1</v>
      </c>
      <c r="C250" s="78">
        <f t="shared" ca="1" si="1"/>
        <v>35</v>
      </c>
      <c r="D250" s="78">
        <f t="shared" ca="1" si="2"/>
        <v>5</v>
      </c>
      <c r="E250" s="78" t="str">
        <f t="shared" ca="1" si="3"/>
        <v/>
      </c>
      <c r="F250" s="78" t="str">
        <f t="shared" ca="1" si="4"/>
        <v/>
      </c>
      <c r="G250" s="79" t="str">
        <f t="shared" ca="1" si="5"/>
        <v/>
      </c>
      <c r="H250" s="80" t="str">
        <f t="shared" ca="1" si="6"/>
        <v/>
      </c>
      <c r="I250" s="100"/>
      <c r="J250" s="111"/>
      <c r="K250" s="111" t="s">
        <v>65</v>
      </c>
      <c r="L250" s="111"/>
      <c r="M250" s="111"/>
      <c r="N250" s="111"/>
      <c r="O250" s="111"/>
      <c r="P250" s="111"/>
      <c r="Q250" s="112"/>
      <c r="R250" s="113"/>
      <c r="S250" s="113"/>
      <c r="T250" s="115"/>
      <c r="U250" s="114"/>
      <c r="V250" s="115"/>
      <c r="W250" s="116"/>
      <c r="X250" s="117"/>
      <c r="Y250" s="118"/>
      <c r="Z250" s="119"/>
      <c r="AA250" s="92"/>
      <c r="AB250" s="93"/>
      <c r="AC250" s="94"/>
      <c r="AD250" s="95"/>
      <c r="AE250" s="96"/>
      <c r="AF250" s="97"/>
      <c r="AG250" s="97">
        <f t="shared" si="7"/>
        <v>0</v>
      </c>
      <c r="AH250" s="97">
        <f t="shared" si="8"/>
        <v>0</v>
      </c>
      <c r="AI250" s="97">
        <f t="shared" si="9"/>
        <v>0</v>
      </c>
      <c r="AJ250" s="97">
        <f t="shared" si="10"/>
        <v>0</v>
      </c>
      <c r="AK250" s="97" t="str">
        <f t="shared" si="11"/>
        <v/>
      </c>
      <c r="AL250" s="98">
        <f t="shared" ca="1" si="12"/>
        <v>1</v>
      </c>
      <c r="AM250" s="98">
        <f t="shared" ca="1" si="13"/>
        <v>35</v>
      </c>
      <c r="AN250" s="98">
        <f t="shared" ca="1" si="14"/>
        <v>5</v>
      </c>
      <c r="AO250" s="98">
        <f t="shared" ca="1" si="15"/>
        <v>0</v>
      </c>
      <c r="AP250" s="98">
        <f t="shared" ca="1" si="16"/>
        <v>0</v>
      </c>
      <c r="AQ250" s="98">
        <f t="shared" ca="1" si="17"/>
        <v>0</v>
      </c>
      <c r="AR250" s="98">
        <f t="shared" ca="1" si="18"/>
        <v>0</v>
      </c>
      <c r="AS250" s="99"/>
      <c r="AT250" s="98">
        <f t="shared" si="19"/>
        <v>1</v>
      </c>
    </row>
    <row r="251" spans="1:46" ht="15.75" customHeight="1">
      <c r="A251" s="76"/>
      <c r="B251" s="77">
        <f t="shared" ca="1" si="0"/>
        <v>1</v>
      </c>
      <c r="C251" s="78">
        <f t="shared" ca="1" si="1"/>
        <v>35</v>
      </c>
      <c r="D251" s="78">
        <f t="shared" ca="1" si="2"/>
        <v>6</v>
      </c>
      <c r="E251" s="78" t="str">
        <f t="shared" ca="1" si="3"/>
        <v/>
      </c>
      <c r="F251" s="78" t="str">
        <f t="shared" ca="1" si="4"/>
        <v/>
      </c>
      <c r="G251" s="79" t="str">
        <f t="shared" ca="1" si="5"/>
        <v/>
      </c>
      <c r="H251" s="80" t="str">
        <f t="shared" ca="1" si="6"/>
        <v/>
      </c>
      <c r="I251" s="100"/>
      <c r="J251" s="111"/>
      <c r="K251" s="111" t="s">
        <v>66</v>
      </c>
      <c r="L251" s="111"/>
      <c r="M251" s="111"/>
      <c r="N251" s="111"/>
      <c r="O251" s="111"/>
      <c r="P251" s="111"/>
      <c r="Q251" s="112"/>
      <c r="R251" s="113"/>
      <c r="S251" s="113"/>
      <c r="T251" s="115"/>
      <c r="U251" s="114"/>
      <c r="V251" s="115"/>
      <c r="W251" s="116"/>
      <c r="X251" s="117"/>
      <c r="Y251" s="118"/>
      <c r="Z251" s="119"/>
      <c r="AA251" s="92"/>
      <c r="AB251" s="93"/>
      <c r="AC251" s="94"/>
      <c r="AD251" s="95"/>
      <c r="AE251" s="96"/>
      <c r="AF251" s="97"/>
      <c r="AG251" s="97">
        <f t="shared" si="7"/>
        <v>0</v>
      </c>
      <c r="AH251" s="97">
        <f t="shared" si="8"/>
        <v>0</v>
      </c>
      <c r="AI251" s="97">
        <f t="shared" si="9"/>
        <v>0</v>
      </c>
      <c r="AJ251" s="97">
        <f t="shared" si="10"/>
        <v>0</v>
      </c>
      <c r="AK251" s="97" t="str">
        <f t="shared" si="11"/>
        <v/>
      </c>
      <c r="AL251" s="98">
        <f t="shared" ca="1" si="12"/>
        <v>1</v>
      </c>
      <c r="AM251" s="98">
        <f t="shared" ca="1" si="13"/>
        <v>35</v>
      </c>
      <c r="AN251" s="98">
        <f t="shared" ca="1" si="14"/>
        <v>6</v>
      </c>
      <c r="AO251" s="98">
        <f t="shared" ca="1" si="15"/>
        <v>0</v>
      </c>
      <c r="AP251" s="98">
        <f t="shared" ca="1" si="16"/>
        <v>0</v>
      </c>
      <c r="AQ251" s="98">
        <f t="shared" ca="1" si="17"/>
        <v>0</v>
      </c>
      <c r="AR251" s="98">
        <f t="shared" ca="1" si="18"/>
        <v>0</v>
      </c>
      <c r="AS251" s="99"/>
      <c r="AT251" s="98">
        <f t="shared" si="19"/>
        <v>1</v>
      </c>
    </row>
    <row r="252" spans="1:46" ht="15.75" customHeight="1">
      <c r="A252" s="76"/>
      <c r="B252" s="77">
        <f t="shared" ca="1" si="0"/>
        <v>1</v>
      </c>
      <c r="C252" s="78">
        <f t="shared" ca="1" si="1"/>
        <v>36</v>
      </c>
      <c r="D252" s="78" t="str">
        <f t="shared" ca="1" si="2"/>
        <v/>
      </c>
      <c r="E252" s="78" t="str">
        <f t="shared" ca="1" si="3"/>
        <v/>
      </c>
      <c r="F252" s="78" t="str">
        <f t="shared" ca="1" si="4"/>
        <v/>
      </c>
      <c r="G252" s="79" t="str">
        <f t="shared" ca="1" si="5"/>
        <v/>
      </c>
      <c r="H252" s="80" t="str">
        <f t="shared" ca="1" si="6"/>
        <v/>
      </c>
      <c r="I252" s="100"/>
      <c r="J252" s="101" t="s">
        <v>105</v>
      </c>
      <c r="K252" s="102"/>
      <c r="L252" s="102"/>
      <c r="M252" s="102"/>
      <c r="N252" s="102"/>
      <c r="O252" s="102"/>
      <c r="P252" s="102"/>
      <c r="Q252" s="103" t="s">
        <v>73</v>
      </c>
      <c r="R252" s="104"/>
      <c r="S252" s="104"/>
      <c r="T252" s="105"/>
      <c r="U252" s="106"/>
      <c r="V252" s="105"/>
      <c r="W252" s="107"/>
      <c r="X252" s="108"/>
      <c r="Y252" s="109"/>
      <c r="Z252" s="110"/>
      <c r="AA252" s="92"/>
      <c r="AB252" s="93"/>
      <c r="AC252" s="94"/>
      <c r="AD252" s="95"/>
      <c r="AE252" s="96"/>
      <c r="AF252" s="97"/>
      <c r="AG252" s="97">
        <f t="shared" si="7"/>
        <v>0</v>
      </c>
      <c r="AH252" s="97">
        <f t="shared" si="8"/>
        <v>0</v>
      </c>
      <c r="AI252" s="97">
        <f t="shared" si="9"/>
        <v>0</v>
      </c>
      <c r="AJ252" s="97">
        <f t="shared" si="10"/>
        <v>0</v>
      </c>
      <c r="AK252" s="97" t="str">
        <f t="shared" si="11"/>
        <v/>
      </c>
      <c r="AL252" s="98">
        <f t="shared" ca="1" si="12"/>
        <v>1</v>
      </c>
      <c r="AM252" s="98">
        <f t="shared" ca="1" si="13"/>
        <v>36</v>
      </c>
      <c r="AN252" s="98">
        <f t="shared" ca="1" si="14"/>
        <v>0</v>
      </c>
      <c r="AO252" s="98">
        <f t="shared" ca="1" si="15"/>
        <v>0</v>
      </c>
      <c r="AP252" s="98">
        <f t="shared" ca="1" si="16"/>
        <v>0</v>
      </c>
      <c r="AQ252" s="98">
        <f t="shared" ca="1" si="17"/>
        <v>0</v>
      </c>
      <c r="AR252" s="98">
        <f t="shared" ca="1" si="18"/>
        <v>0</v>
      </c>
      <c r="AS252" s="99"/>
      <c r="AT252" s="98">
        <f t="shared" si="19"/>
        <v>1</v>
      </c>
    </row>
    <row r="253" spans="1:46" ht="15.75" customHeight="1">
      <c r="A253" s="76"/>
      <c r="B253" s="77">
        <f t="shared" ca="1" si="0"/>
        <v>1</v>
      </c>
      <c r="C253" s="78">
        <f t="shared" ca="1" si="1"/>
        <v>36</v>
      </c>
      <c r="D253" s="78">
        <f t="shared" ca="1" si="2"/>
        <v>1</v>
      </c>
      <c r="E253" s="78" t="str">
        <f t="shared" ca="1" si="3"/>
        <v/>
      </c>
      <c r="F253" s="78" t="str">
        <f t="shared" ca="1" si="4"/>
        <v/>
      </c>
      <c r="G253" s="79" t="str">
        <f t="shared" ca="1" si="5"/>
        <v/>
      </c>
      <c r="H253" s="80" t="str">
        <f t="shared" ca="1" si="6"/>
        <v/>
      </c>
      <c r="I253" s="100"/>
      <c r="J253" s="111"/>
      <c r="K253" s="111" t="s">
        <v>59</v>
      </c>
      <c r="L253" s="111"/>
      <c r="M253" s="111"/>
      <c r="N253" s="111"/>
      <c r="O253" s="111"/>
      <c r="P253" s="111"/>
      <c r="Q253" s="112"/>
      <c r="R253" s="113"/>
      <c r="S253" s="113"/>
      <c r="T253" s="115"/>
      <c r="U253" s="114"/>
      <c r="V253" s="115"/>
      <c r="W253" s="116"/>
      <c r="X253" s="117"/>
      <c r="Y253" s="118"/>
      <c r="Z253" s="119"/>
      <c r="AA253" s="92"/>
      <c r="AB253" s="93"/>
      <c r="AC253" s="94"/>
      <c r="AD253" s="95"/>
      <c r="AE253" s="96"/>
      <c r="AF253" s="97"/>
      <c r="AG253" s="97">
        <f t="shared" si="7"/>
        <v>0</v>
      </c>
      <c r="AH253" s="97">
        <f t="shared" si="8"/>
        <v>0</v>
      </c>
      <c r="AI253" s="97">
        <f t="shared" si="9"/>
        <v>0</v>
      </c>
      <c r="AJ253" s="97">
        <f t="shared" si="10"/>
        <v>0</v>
      </c>
      <c r="AK253" s="97" t="str">
        <f t="shared" si="11"/>
        <v/>
      </c>
      <c r="AL253" s="98">
        <f t="shared" ca="1" si="12"/>
        <v>1</v>
      </c>
      <c r="AM253" s="98">
        <f t="shared" ca="1" si="13"/>
        <v>36</v>
      </c>
      <c r="AN253" s="98">
        <f t="shared" ca="1" si="14"/>
        <v>1</v>
      </c>
      <c r="AO253" s="98">
        <f t="shared" ca="1" si="15"/>
        <v>0</v>
      </c>
      <c r="AP253" s="98">
        <f t="shared" ca="1" si="16"/>
        <v>0</v>
      </c>
      <c r="AQ253" s="98">
        <f t="shared" ca="1" si="17"/>
        <v>0</v>
      </c>
      <c r="AR253" s="98">
        <f t="shared" ca="1" si="18"/>
        <v>0</v>
      </c>
      <c r="AS253" s="99"/>
      <c r="AT253" s="98">
        <f t="shared" si="19"/>
        <v>1</v>
      </c>
    </row>
    <row r="254" spans="1:46" ht="15.75" customHeight="1">
      <c r="A254" s="76"/>
      <c r="B254" s="77">
        <f t="shared" ca="1" si="0"/>
        <v>1</v>
      </c>
      <c r="C254" s="78">
        <f t="shared" ca="1" si="1"/>
        <v>36</v>
      </c>
      <c r="D254" s="78">
        <f t="shared" ca="1" si="2"/>
        <v>2</v>
      </c>
      <c r="E254" s="78" t="str">
        <f t="shared" ca="1" si="3"/>
        <v/>
      </c>
      <c r="F254" s="78" t="str">
        <f t="shared" ca="1" si="4"/>
        <v/>
      </c>
      <c r="G254" s="79" t="str">
        <f t="shared" ca="1" si="5"/>
        <v/>
      </c>
      <c r="H254" s="80" t="str">
        <f t="shared" ca="1" si="6"/>
        <v/>
      </c>
      <c r="I254" s="100"/>
      <c r="J254" s="111"/>
      <c r="K254" s="111" t="s">
        <v>61</v>
      </c>
      <c r="L254" s="111"/>
      <c r="M254" s="111"/>
      <c r="N254" s="111"/>
      <c r="O254" s="111"/>
      <c r="P254" s="111"/>
      <c r="Q254" s="112"/>
      <c r="R254" s="113"/>
      <c r="S254" s="113"/>
      <c r="T254" s="115"/>
      <c r="U254" s="114"/>
      <c r="V254" s="115"/>
      <c r="W254" s="116"/>
      <c r="X254" s="117"/>
      <c r="Y254" s="118"/>
      <c r="Z254" s="119"/>
      <c r="AA254" s="92"/>
      <c r="AB254" s="93"/>
      <c r="AC254" s="94"/>
      <c r="AD254" s="95"/>
      <c r="AE254" s="96"/>
      <c r="AF254" s="97"/>
      <c r="AG254" s="97">
        <f t="shared" si="7"/>
        <v>0</v>
      </c>
      <c r="AH254" s="97">
        <f t="shared" si="8"/>
        <v>0</v>
      </c>
      <c r="AI254" s="97">
        <f t="shared" si="9"/>
        <v>0</v>
      </c>
      <c r="AJ254" s="97">
        <f t="shared" si="10"/>
        <v>0</v>
      </c>
      <c r="AK254" s="97" t="str">
        <f t="shared" si="11"/>
        <v/>
      </c>
      <c r="AL254" s="98">
        <f t="shared" ca="1" si="12"/>
        <v>1</v>
      </c>
      <c r="AM254" s="98">
        <f t="shared" ca="1" si="13"/>
        <v>36</v>
      </c>
      <c r="AN254" s="98">
        <f t="shared" ca="1" si="14"/>
        <v>2</v>
      </c>
      <c r="AO254" s="98">
        <f t="shared" ca="1" si="15"/>
        <v>0</v>
      </c>
      <c r="AP254" s="98">
        <f t="shared" ca="1" si="16"/>
        <v>0</v>
      </c>
      <c r="AQ254" s="98">
        <f t="shared" ca="1" si="17"/>
        <v>0</v>
      </c>
      <c r="AR254" s="98">
        <f t="shared" ca="1" si="18"/>
        <v>0</v>
      </c>
      <c r="AS254" s="99"/>
      <c r="AT254" s="98">
        <f t="shared" si="19"/>
        <v>1</v>
      </c>
    </row>
    <row r="255" spans="1:46" ht="15.75" customHeight="1">
      <c r="A255" s="76"/>
      <c r="B255" s="77">
        <f t="shared" ca="1" si="0"/>
        <v>1</v>
      </c>
      <c r="C255" s="78">
        <f t="shared" ca="1" si="1"/>
        <v>36</v>
      </c>
      <c r="D255" s="78">
        <f t="shared" ca="1" si="2"/>
        <v>3</v>
      </c>
      <c r="E255" s="78" t="str">
        <f t="shared" ca="1" si="3"/>
        <v/>
      </c>
      <c r="F255" s="78" t="str">
        <f t="shared" ca="1" si="4"/>
        <v/>
      </c>
      <c r="G255" s="79" t="str">
        <f t="shared" ca="1" si="5"/>
        <v/>
      </c>
      <c r="H255" s="80" t="str">
        <f t="shared" ca="1" si="6"/>
        <v/>
      </c>
      <c r="I255" s="100"/>
      <c r="J255" s="111"/>
      <c r="K255" s="111" t="s">
        <v>63</v>
      </c>
      <c r="L255" s="111"/>
      <c r="M255" s="111"/>
      <c r="N255" s="111"/>
      <c r="O255" s="111"/>
      <c r="P255" s="111"/>
      <c r="Q255" s="112"/>
      <c r="R255" s="113"/>
      <c r="S255" s="113"/>
      <c r="T255" s="115"/>
      <c r="U255" s="114"/>
      <c r="V255" s="115"/>
      <c r="W255" s="116"/>
      <c r="X255" s="117"/>
      <c r="Y255" s="118"/>
      <c r="Z255" s="119"/>
      <c r="AA255" s="92"/>
      <c r="AB255" s="93"/>
      <c r="AC255" s="94"/>
      <c r="AD255" s="95"/>
      <c r="AE255" s="96"/>
      <c r="AF255" s="97"/>
      <c r="AG255" s="97">
        <f t="shared" si="7"/>
        <v>0</v>
      </c>
      <c r="AH255" s="97">
        <f t="shared" si="8"/>
        <v>0</v>
      </c>
      <c r="AI255" s="97">
        <f t="shared" si="9"/>
        <v>0</v>
      </c>
      <c r="AJ255" s="97">
        <f t="shared" si="10"/>
        <v>0</v>
      </c>
      <c r="AK255" s="97" t="str">
        <f t="shared" si="11"/>
        <v/>
      </c>
      <c r="AL255" s="98">
        <f t="shared" ca="1" si="12"/>
        <v>1</v>
      </c>
      <c r="AM255" s="98">
        <f t="shared" ca="1" si="13"/>
        <v>36</v>
      </c>
      <c r="AN255" s="98">
        <f t="shared" ca="1" si="14"/>
        <v>3</v>
      </c>
      <c r="AO255" s="98">
        <f t="shared" ca="1" si="15"/>
        <v>0</v>
      </c>
      <c r="AP255" s="98">
        <f t="shared" ca="1" si="16"/>
        <v>0</v>
      </c>
      <c r="AQ255" s="98">
        <f t="shared" ca="1" si="17"/>
        <v>0</v>
      </c>
      <c r="AR255" s="98">
        <f t="shared" ca="1" si="18"/>
        <v>0</v>
      </c>
      <c r="AS255" s="99"/>
      <c r="AT255" s="98">
        <f t="shared" si="19"/>
        <v>1</v>
      </c>
    </row>
    <row r="256" spans="1:46" ht="15.75" customHeight="1">
      <c r="A256" s="76"/>
      <c r="B256" s="77">
        <f t="shared" ca="1" si="0"/>
        <v>1</v>
      </c>
      <c r="C256" s="78">
        <f t="shared" ca="1" si="1"/>
        <v>36</v>
      </c>
      <c r="D256" s="78">
        <f t="shared" ca="1" si="2"/>
        <v>4</v>
      </c>
      <c r="E256" s="78" t="str">
        <f t="shared" ca="1" si="3"/>
        <v/>
      </c>
      <c r="F256" s="78" t="str">
        <f t="shared" ca="1" si="4"/>
        <v/>
      </c>
      <c r="G256" s="79" t="str">
        <f t="shared" ca="1" si="5"/>
        <v/>
      </c>
      <c r="H256" s="80" t="str">
        <f t="shared" ca="1" si="6"/>
        <v/>
      </c>
      <c r="I256" s="100"/>
      <c r="J256" s="111"/>
      <c r="K256" s="111" t="s">
        <v>64</v>
      </c>
      <c r="L256" s="111"/>
      <c r="M256" s="111"/>
      <c r="N256" s="111"/>
      <c r="O256" s="111"/>
      <c r="P256" s="111"/>
      <c r="Q256" s="112"/>
      <c r="R256" s="113"/>
      <c r="S256" s="113"/>
      <c r="T256" s="115"/>
      <c r="U256" s="114"/>
      <c r="V256" s="115"/>
      <c r="W256" s="116"/>
      <c r="X256" s="117"/>
      <c r="Y256" s="118"/>
      <c r="Z256" s="119"/>
      <c r="AA256" s="92"/>
      <c r="AB256" s="93"/>
      <c r="AC256" s="94"/>
      <c r="AD256" s="95"/>
      <c r="AE256" s="96"/>
      <c r="AF256" s="97"/>
      <c r="AG256" s="97">
        <f t="shared" si="7"/>
        <v>0</v>
      </c>
      <c r="AH256" s="97">
        <f t="shared" si="8"/>
        <v>0</v>
      </c>
      <c r="AI256" s="97">
        <f t="shared" si="9"/>
        <v>0</v>
      </c>
      <c r="AJ256" s="97">
        <f t="shared" si="10"/>
        <v>0</v>
      </c>
      <c r="AK256" s="97" t="str">
        <f t="shared" si="11"/>
        <v/>
      </c>
      <c r="AL256" s="98">
        <f t="shared" ca="1" si="12"/>
        <v>1</v>
      </c>
      <c r="AM256" s="98">
        <f t="shared" ca="1" si="13"/>
        <v>36</v>
      </c>
      <c r="AN256" s="98">
        <f t="shared" ca="1" si="14"/>
        <v>4</v>
      </c>
      <c r="AO256" s="98">
        <f t="shared" ca="1" si="15"/>
        <v>0</v>
      </c>
      <c r="AP256" s="98">
        <f t="shared" ca="1" si="16"/>
        <v>0</v>
      </c>
      <c r="AQ256" s="98">
        <f t="shared" ca="1" si="17"/>
        <v>0</v>
      </c>
      <c r="AR256" s="98">
        <f t="shared" ca="1" si="18"/>
        <v>0</v>
      </c>
      <c r="AS256" s="99"/>
      <c r="AT256" s="98">
        <f t="shared" si="19"/>
        <v>1</v>
      </c>
    </row>
    <row r="257" spans="1:46" ht="15.75" customHeight="1">
      <c r="A257" s="76"/>
      <c r="B257" s="77">
        <f t="shared" ca="1" si="0"/>
        <v>1</v>
      </c>
      <c r="C257" s="78">
        <f t="shared" ca="1" si="1"/>
        <v>36</v>
      </c>
      <c r="D257" s="78">
        <f t="shared" ca="1" si="2"/>
        <v>5</v>
      </c>
      <c r="E257" s="78" t="str">
        <f t="shared" ca="1" si="3"/>
        <v/>
      </c>
      <c r="F257" s="78" t="str">
        <f t="shared" ca="1" si="4"/>
        <v/>
      </c>
      <c r="G257" s="79" t="str">
        <f t="shared" ca="1" si="5"/>
        <v/>
      </c>
      <c r="H257" s="80" t="str">
        <f t="shared" ca="1" si="6"/>
        <v/>
      </c>
      <c r="I257" s="100"/>
      <c r="J257" s="111"/>
      <c r="K257" s="111" t="s">
        <v>65</v>
      </c>
      <c r="L257" s="111"/>
      <c r="M257" s="111"/>
      <c r="N257" s="111"/>
      <c r="O257" s="111"/>
      <c r="P257" s="111"/>
      <c r="Q257" s="112"/>
      <c r="R257" s="113"/>
      <c r="S257" s="113"/>
      <c r="T257" s="115"/>
      <c r="U257" s="114"/>
      <c r="V257" s="115"/>
      <c r="W257" s="116"/>
      <c r="X257" s="117"/>
      <c r="Y257" s="118"/>
      <c r="Z257" s="119"/>
      <c r="AA257" s="92"/>
      <c r="AB257" s="93"/>
      <c r="AC257" s="94"/>
      <c r="AD257" s="95"/>
      <c r="AE257" s="96"/>
      <c r="AF257" s="97"/>
      <c r="AG257" s="97">
        <f t="shared" si="7"/>
        <v>0</v>
      </c>
      <c r="AH257" s="97">
        <f t="shared" si="8"/>
        <v>0</v>
      </c>
      <c r="AI257" s="97">
        <f t="shared" si="9"/>
        <v>0</v>
      </c>
      <c r="AJ257" s="97">
        <f t="shared" si="10"/>
        <v>0</v>
      </c>
      <c r="AK257" s="97" t="str">
        <f t="shared" si="11"/>
        <v/>
      </c>
      <c r="AL257" s="98">
        <f t="shared" ca="1" si="12"/>
        <v>1</v>
      </c>
      <c r="AM257" s="98">
        <f t="shared" ca="1" si="13"/>
        <v>36</v>
      </c>
      <c r="AN257" s="98">
        <f t="shared" ca="1" si="14"/>
        <v>5</v>
      </c>
      <c r="AO257" s="98">
        <f t="shared" ca="1" si="15"/>
        <v>0</v>
      </c>
      <c r="AP257" s="98">
        <f t="shared" ca="1" si="16"/>
        <v>0</v>
      </c>
      <c r="AQ257" s="98">
        <f t="shared" ca="1" si="17"/>
        <v>0</v>
      </c>
      <c r="AR257" s="98">
        <f t="shared" ca="1" si="18"/>
        <v>0</v>
      </c>
      <c r="AS257" s="99"/>
      <c r="AT257" s="98">
        <f t="shared" si="19"/>
        <v>1</v>
      </c>
    </row>
    <row r="258" spans="1:46" ht="15.75" customHeight="1">
      <c r="A258" s="76"/>
      <c r="B258" s="77">
        <f t="shared" ca="1" si="0"/>
        <v>1</v>
      </c>
      <c r="C258" s="78">
        <f t="shared" ca="1" si="1"/>
        <v>36</v>
      </c>
      <c r="D258" s="78">
        <f t="shared" ca="1" si="2"/>
        <v>6</v>
      </c>
      <c r="E258" s="78" t="str">
        <f t="shared" ca="1" si="3"/>
        <v/>
      </c>
      <c r="F258" s="78" t="str">
        <f t="shared" ca="1" si="4"/>
        <v/>
      </c>
      <c r="G258" s="79" t="str">
        <f t="shared" ca="1" si="5"/>
        <v/>
      </c>
      <c r="H258" s="80" t="str">
        <f t="shared" ca="1" si="6"/>
        <v/>
      </c>
      <c r="I258" s="100"/>
      <c r="J258" s="111"/>
      <c r="K258" s="111" t="s">
        <v>66</v>
      </c>
      <c r="L258" s="111"/>
      <c r="M258" s="111"/>
      <c r="N258" s="111"/>
      <c r="O258" s="111"/>
      <c r="P258" s="111"/>
      <c r="Q258" s="112"/>
      <c r="R258" s="113"/>
      <c r="S258" s="113"/>
      <c r="T258" s="115"/>
      <c r="U258" s="114"/>
      <c r="V258" s="115"/>
      <c r="W258" s="116"/>
      <c r="X258" s="117"/>
      <c r="Y258" s="118"/>
      <c r="Z258" s="119"/>
      <c r="AA258" s="92"/>
      <c r="AB258" s="93"/>
      <c r="AC258" s="94"/>
      <c r="AD258" s="95"/>
      <c r="AE258" s="96"/>
      <c r="AF258" s="97"/>
      <c r="AG258" s="97">
        <f t="shared" si="7"/>
        <v>0</v>
      </c>
      <c r="AH258" s="97">
        <f t="shared" si="8"/>
        <v>0</v>
      </c>
      <c r="AI258" s="97">
        <f t="shared" si="9"/>
        <v>0</v>
      </c>
      <c r="AJ258" s="97">
        <f t="shared" si="10"/>
        <v>0</v>
      </c>
      <c r="AK258" s="97" t="str">
        <f t="shared" si="11"/>
        <v/>
      </c>
      <c r="AL258" s="98">
        <f t="shared" ca="1" si="12"/>
        <v>1</v>
      </c>
      <c r="AM258" s="98">
        <f t="shared" ca="1" si="13"/>
        <v>36</v>
      </c>
      <c r="AN258" s="98">
        <f t="shared" ca="1" si="14"/>
        <v>6</v>
      </c>
      <c r="AO258" s="98">
        <f t="shared" ca="1" si="15"/>
        <v>0</v>
      </c>
      <c r="AP258" s="98">
        <f t="shared" ca="1" si="16"/>
        <v>0</v>
      </c>
      <c r="AQ258" s="98">
        <f t="shared" ca="1" si="17"/>
        <v>0</v>
      </c>
      <c r="AR258" s="98">
        <f t="shared" ca="1" si="18"/>
        <v>0</v>
      </c>
      <c r="AS258" s="99"/>
      <c r="AT258" s="98">
        <f t="shared" si="19"/>
        <v>1</v>
      </c>
    </row>
    <row r="259" spans="1:46" ht="15.75" customHeight="1">
      <c r="A259" s="76"/>
      <c r="B259" s="77">
        <f t="shared" ca="1" si="0"/>
        <v>1</v>
      </c>
      <c r="C259" s="78">
        <f t="shared" ca="1" si="1"/>
        <v>37</v>
      </c>
      <c r="D259" s="78" t="str">
        <f t="shared" ca="1" si="2"/>
        <v/>
      </c>
      <c r="E259" s="78" t="str">
        <f t="shared" ca="1" si="3"/>
        <v/>
      </c>
      <c r="F259" s="78" t="str">
        <f t="shared" ca="1" si="4"/>
        <v/>
      </c>
      <c r="G259" s="79" t="str">
        <f t="shared" ca="1" si="5"/>
        <v/>
      </c>
      <c r="H259" s="80" t="str">
        <f t="shared" ca="1" si="6"/>
        <v/>
      </c>
      <c r="I259" s="100"/>
      <c r="J259" s="101" t="s">
        <v>106</v>
      </c>
      <c r="K259" s="102"/>
      <c r="L259" s="102"/>
      <c r="M259" s="102"/>
      <c r="N259" s="102"/>
      <c r="O259" s="102"/>
      <c r="P259" s="102"/>
      <c r="Q259" s="103" t="s">
        <v>73</v>
      </c>
      <c r="R259" s="104"/>
      <c r="S259" s="104"/>
      <c r="T259" s="105"/>
      <c r="U259" s="106"/>
      <c r="V259" s="105"/>
      <c r="W259" s="107"/>
      <c r="X259" s="108"/>
      <c r="Y259" s="109"/>
      <c r="Z259" s="110"/>
      <c r="AA259" s="92"/>
      <c r="AB259" s="93"/>
      <c r="AC259" s="94"/>
      <c r="AD259" s="95"/>
      <c r="AE259" s="96"/>
      <c r="AF259" s="97"/>
      <c r="AG259" s="97">
        <f t="shared" si="7"/>
        <v>0</v>
      </c>
      <c r="AH259" s="97">
        <f t="shared" si="8"/>
        <v>0</v>
      </c>
      <c r="AI259" s="97">
        <f t="shared" si="9"/>
        <v>0</v>
      </c>
      <c r="AJ259" s="97">
        <f t="shared" si="10"/>
        <v>0</v>
      </c>
      <c r="AK259" s="97" t="str">
        <f t="shared" si="11"/>
        <v/>
      </c>
      <c r="AL259" s="98">
        <f t="shared" ca="1" si="12"/>
        <v>1</v>
      </c>
      <c r="AM259" s="98">
        <f t="shared" ca="1" si="13"/>
        <v>37</v>
      </c>
      <c r="AN259" s="98">
        <f t="shared" ca="1" si="14"/>
        <v>0</v>
      </c>
      <c r="AO259" s="98">
        <f t="shared" ca="1" si="15"/>
        <v>0</v>
      </c>
      <c r="AP259" s="98">
        <f t="shared" ca="1" si="16"/>
        <v>0</v>
      </c>
      <c r="AQ259" s="98">
        <f t="shared" ca="1" si="17"/>
        <v>0</v>
      </c>
      <c r="AR259" s="98">
        <f t="shared" ca="1" si="18"/>
        <v>0</v>
      </c>
      <c r="AS259" s="99"/>
      <c r="AT259" s="98">
        <f t="shared" si="19"/>
        <v>1</v>
      </c>
    </row>
    <row r="260" spans="1:46" ht="15.75" customHeight="1">
      <c r="A260" s="76"/>
      <c r="B260" s="77">
        <f t="shared" ca="1" si="0"/>
        <v>1</v>
      </c>
      <c r="C260" s="78">
        <f t="shared" ca="1" si="1"/>
        <v>37</v>
      </c>
      <c r="D260" s="78">
        <f t="shared" ca="1" si="2"/>
        <v>1</v>
      </c>
      <c r="E260" s="78" t="str">
        <f t="shared" ca="1" si="3"/>
        <v/>
      </c>
      <c r="F260" s="78" t="str">
        <f t="shared" ca="1" si="4"/>
        <v/>
      </c>
      <c r="G260" s="79" t="str">
        <f t="shared" ca="1" si="5"/>
        <v/>
      </c>
      <c r="H260" s="80" t="str">
        <f t="shared" ca="1" si="6"/>
        <v/>
      </c>
      <c r="I260" s="100"/>
      <c r="J260" s="111"/>
      <c r="K260" s="111" t="s">
        <v>59</v>
      </c>
      <c r="L260" s="111"/>
      <c r="M260" s="111"/>
      <c r="N260" s="111"/>
      <c r="O260" s="111"/>
      <c r="P260" s="111"/>
      <c r="Q260" s="112"/>
      <c r="R260" s="113"/>
      <c r="S260" s="113"/>
      <c r="T260" s="115"/>
      <c r="U260" s="114"/>
      <c r="V260" s="115"/>
      <c r="W260" s="116"/>
      <c r="X260" s="117"/>
      <c r="Y260" s="118"/>
      <c r="Z260" s="119"/>
      <c r="AA260" s="92"/>
      <c r="AB260" s="93"/>
      <c r="AC260" s="94"/>
      <c r="AD260" s="95"/>
      <c r="AE260" s="96"/>
      <c r="AF260" s="97"/>
      <c r="AG260" s="97">
        <f t="shared" si="7"/>
        <v>0</v>
      </c>
      <c r="AH260" s="97">
        <f t="shared" si="8"/>
        <v>0</v>
      </c>
      <c r="AI260" s="97">
        <f t="shared" si="9"/>
        <v>0</v>
      </c>
      <c r="AJ260" s="97">
        <f t="shared" si="10"/>
        <v>0</v>
      </c>
      <c r="AK260" s="97" t="str">
        <f t="shared" si="11"/>
        <v/>
      </c>
      <c r="AL260" s="98">
        <f t="shared" ca="1" si="12"/>
        <v>1</v>
      </c>
      <c r="AM260" s="98">
        <f t="shared" ca="1" si="13"/>
        <v>37</v>
      </c>
      <c r="AN260" s="98">
        <f t="shared" ca="1" si="14"/>
        <v>1</v>
      </c>
      <c r="AO260" s="98">
        <f t="shared" ca="1" si="15"/>
        <v>0</v>
      </c>
      <c r="AP260" s="98">
        <f t="shared" ca="1" si="16"/>
        <v>0</v>
      </c>
      <c r="AQ260" s="98">
        <f t="shared" ca="1" si="17"/>
        <v>0</v>
      </c>
      <c r="AR260" s="98">
        <f t="shared" ca="1" si="18"/>
        <v>0</v>
      </c>
      <c r="AS260" s="99"/>
      <c r="AT260" s="98">
        <f t="shared" si="19"/>
        <v>1</v>
      </c>
    </row>
    <row r="261" spans="1:46" ht="15.75" customHeight="1">
      <c r="A261" s="76"/>
      <c r="B261" s="77">
        <f t="shared" ref="B261:B426" ca="1" si="20">IF(AND(I261="",J261="",K261="",L261="",M261="",N261="",O261=""),"",IF(AL261=0,"",AL261))</f>
        <v>1</v>
      </c>
      <c r="C261" s="78">
        <f t="shared" ref="C261:C426" ca="1" si="21">IF(AND(I261="",J261="",K261="",L261="",M261="",N261="",O261=""),"",IF(AM261=0,"",AM261))</f>
        <v>37</v>
      </c>
      <c r="D261" s="78">
        <f t="shared" ref="D261:D426" ca="1" si="22">IF(AND(I261="",J261="",K261="",L261="",M261="",N261="",O261=""),"",IF(AN261=0,"",AN261))</f>
        <v>2</v>
      </c>
      <c r="E261" s="78" t="str">
        <f t="shared" ref="E261:E426" ca="1" si="23">IF(AND(I261="",J261="",K261="",L261="",M261="",N261="",O261=""),"",IF(AO261=0,"",AO261))</f>
        <v/>
      </c>
      <c r="F261" s="78" t="str">
        <f t="shared" ref="F261:F426" ca="1" si="24">IF(AND(I261="",J261="",K261="",L261="",M261="",N261="",O261=""),"",IF(AP261=0,"",AP261))</f>
        <v/>
      </c>
      <c r="G261" s="79" t="str">
        <f t="shared" ref="G261:G426" ca="1" si="25">IF(AND(I261="",J261="",K261="",L261="",M261="",N261="",O261=""),"",IF(AQ261=0,"",AQ261))</f>
        <v/>
      </c>
      <c r="H261" s="80" t="str">
        <f t="shared" ref="H261:H426" ca="1" si="26">IF(AND(I261="",J261="",K261="",L261="",M261="",N261="",O261=""),"",IF(AR261=0,"",AR261))</f>
        <v/>
      </c>
      <c r="I261" s="100"/>
      <c r="J261" s="111"/>
      <c r="K261" s="111" t="s">
        <v>61</v>
      </c>
      <c r="L261" s="111"/>
      <c r="M261" s="111"/>
      <c r="N261" s="111"/>
      <c r="O261" s="111"/>
      <c r="P261" s="111"/>
      <c r="Q261" s="112"/>
      <c r="R261" s="113"/>
      <c r="S261" s="113"/>
      <c r="T261" s="115"/>
      <c r="U261" s="114"/>
      <c r="V261" s="115"/>
      <c r="W261" s="116"/>
      <c r="X261" s="117"/>
      <c r="Y261" s="118"/>
      <c r="Z261" s="119"/>
      <c r="AA261" s="92"/>
      <c r="AB261" s="93"/>
      <c r="AC261" s="94"/>
      <c r="AD261" s="95"/>
      <c r="AE261" s="96"/>
      <c r="AF261" s="97"/>
      <c r="AG261" s="97">
        <f t="shared" ref="AG261:AG426" si="27">IF(T261&lt;&gt;"",IF(Z$1&gt;=T261,IF(S261&lt;&gt;"",IF(T261&gt;=S261,AF261,0),0),IF(S261&lt;&gt;"",IF(Z$1&gt;=S261,AF261*0.25,0),0)),IF(S261&lt;&gt;"",IF(Z$1&gt;=S261,AF261*0.25,0),0))</f>
        <v>0</v>
      </c>
      <c r="AH261" s="97">
        <f t="shared" ref="AH261:AH426" si="28">IF(T261&lt;&gt;"",IF(AA$1&gt;=T261,IF(S261&lt;&gt;"",IF(T261&gt;=S261,AF261,0),0),IF(S261&lt;&gt;"",IF(AA$1&gt;=S261,AF261*0.25,0),0)),IF(S261&lt;&gt;"",IF(AA$1&gt;=S261,AF261*0.25,0),0))</f>
        <v>0</v>
      </c>
      <c r="AI261" s="97">
        <f t="shared" ref="AI261:AI426" si="29">IF(V261&lt;&gt;"",AF261,IF(U261&lt;&gt;"",AF261*0.25,0))</f>
        <v>0</v>
      </c>
      <c r="AJ261" s="97">
        <f t="shared" ref="AJ261:AJ426" si="30">AI261-AG261</f>
        <v>0</v>
      </c>
      <c r="AK261" s="97" t="str">
        <f t="shared" ref="AK261:AK426" si="31">IF(ISERROR(AI261/AG261),"",AI261/AG261)</f>
        <v/>
      </c>
      <c r="AL261" s="98">
        <f t="shared" ref="AL261:AL426" ca="1" si="32">IF(I261="",OFFSET(AL261,-1,0),OFFSET(AL261,-1,0)+1)</f>
        <v>1</v>
      </c>
      <c r="AM261" s="98">
        <f t="shared" ref="AM261:AM426" ca="1" si="33">IF(I261&lt;&gt;"",0,IF(J261="",OFFSET(AM261,-1,0),OFFSET(AM261,-1,0)+1))</f>
        <v>37</v>
      </c>
      <c r="AN261" s="98">
        <f t="shared" ref="AN261:AN426" ca="1" si="34">IF(I261&lt;&gt;"",0,IF(J261&lt;&gt;"",0,IF(K261="",OFFSET(AN261,-1,0),OFFSET(AN261,-1,0)+1)))</f>
        <v>2</v>
      </c>
      <c r="AO261" s="98">
        <f t="shared" ref="AO261:AO426" ca="1" si="35">IF(I261&lt;&gt;"",0,IF(J261&lt;&gt;"",0,IF(K261&lt;&gt;"",0,IF(L261="",OFFSET(AO261,-1,0),OFFSET(AO261,-1,0)+1))))</f>
        <v>0</v>
      </c>
      <c r="AP261" s="98">
        <f t="shared" ref="AP261:AP426" ca="1" si="36">IF(I261&lt;&gt;"",0,IF(J261&lt;&gt;"",0,IF(K261&lt;&gt;"",0,IF(L261&lt;&gt;"",0,IF(M261="",OFFSET(AP261,-1,0),OFFSET(AP261,-1,0)+1)))))</f>
        <v>0</v>
      </c>
      <c r="AQ261" s="98">
        <f t="shared" ref="AQ261:AQ426" ca="1" si="37">IF(I261&lt;&gt;"",0,IF(J261&lt;&gt;"",0,IF(K261&lt;&gt;"",0,IF(L261&lt;&gt;"",0,IF(M261&lt;&gt;"",0,IF(N261="",OFFSET(AQ261,-1,0),OFFSET(AQ261,-1,0)+1))))))</f>
        <v>0</v>
      </c>
      <c r="AR261" s="98">
        <f t="shared" ref="AR261:AR426" ca="1" si="38">IF(I261&lt;&gt;"",0,IF(J261&lt;&gt;"",0,IF(K261&lt;&gt;"",0,IF(L261&lt;&gt;"",0,IF(M261&lt;&gt;"",0,IF(N261&lt;&gt;"",0,IF(O261="",OFFSET(AR261,-1,0),OFFSET(AR261,-1,0)+1)))))))</f>
        <v>0</v>
      </c>
      <c r="AS261" s="99"/>
      <c r="AT261" s="98">
        <f t="shared" ref="AT261:AT426" si="39">IF(((T261-S261)+1)&lt;0,0,((T261-S261)+1))</f>
        <v>1</v>
      </c>
    </row>
    <row r="262" spans="1:46" ht="15.75" customHeight="1">
      <c r="A262" s="76"/>
      <c r="B262" s="77">
        <f t="shared" ca="1" si="20"/>
        <v>1</v>
      </c>
      <c r="C262" s="78">
        <f t="shared" ca="1" si="21"/>
        <v>37</v>
      </c>
      <c r="D262" s="78">
        <f t="shared" ca="1" si="22"/>
        <v>3</v>
      </c>
      <c r="E262" s="78" t="str">
        <f t="shared" ca="1" si="23"/>
        <v/>
      </c>
      <c r="F262" s="78" t="str">
        <f t="shared" ca="1" si="24"/>
        <v/>
      </c>
      <c r="G262" s="79" t="str">
        <f t="shared" ca="1" si="25"/>
        <v/>
      </c>
      <c r="H262" s="80" t="str">
        <f t="shared" ca="1" si="26"/>
        <v/>
      </c>
      <c r="I262" s="100"/>
      <c r="J262" s="111"/>
      <c r="K262" s="111" t="s">
        <v>63</v>
      </c>
      <c r="L262" s="111"/>
      <c r="M262" s="111"/>
      <c r="N262" s="111"/>
      <c r="O262" s="111"/>
      <c r="P262" s="111"/>
      <c r="Q262" s="112"/>
      <c r="R262" s="113"/>
      <c r="S262" s="113"/>
      <c r="T262" s="115"/>
      <c r="U262" s="114"/>
      <c r="V262" s="115"/>
      <c r="W262" s="116"/>
      <c r="X262" s="117"/>
      <c r="Y262" s="118"/>
      <c r="Z262" s="119"/>
      <c r="AA262" s="92"/>
      <c r="AB262" s="93"/>
      <c r="AC262" s="94"/>
      <c r="AD262" s="95"/>
      <c r="AE262" s="96"/>
      <c r="AF262" s="97"/>
      <c r="AG262" s="97">
        <f t="shared" si="27"/>
        <v>0</v>
      </c>
      <c r="AH262" s="97">
        <f t="shared" si="28"/>
        <v>0</v>
      </c>
      <c r="AI262" s="97">
        <f t="shared" si="29"/>
        <v>0</v>
      </c>
      <c r="AJ262" s="97">
        <f t="shared" si="30"/>
        <v>0</v>
      </c>
      <c r="AK262" s="97" t="str">
        <f t="shared" si="31"/>
        <v/>
      </c>
      <c r="AL262" s="98">
        <f t="shared" ca="1" si="32"/>
        <v>1</v>
      </c>
      <c r="AM262" s="98">
        <f t="shared" ca="1" si="33"/>
        <v>37</v>
      </c>
      <c r="AN262" s="98">
        <f t="shared" ca="1" si="34"/>
        <v>3</v>
      </c>
      <c r="AO262" s="98">
        <f t="shared" ca="1" si="35"/>
        <v>0</v>
      </c>
      <c r="AP262" s="98">
        <f t="shared" ca="1" si="36"/>
        <v>0</v>
      </c>
      <c r="AQ262" s="98">
        <f t="shared" ca="1" si="37"/>
        <v>0</v>
      </c>
      <c r="AR262" s="98">
        <f t="shared" ca="1" si="38"/>
        <v>0</v>
      </c>
      <c r="AS262" s="99"/>
      <c r="AT262" s="98">
        <f t="shared" si="39"/>
        <v>1</v>
      </c>
    </row>
    <row r="263" spans="1:46" ht="15.75" customHeight="1">
      <c r="A263" s="76"/>
      <c r="B263" s="77">
        <f t="shared" ca="1" si="20"/>
        <v>1</v>
      </c>
      <c r="C263" s="78">
        <f t="shared" ca="1" si="21"/>
        <v>37</v>
      </c>
      <c r="D263" s="78">
        <f t="shared" ca="1" si="22"/>
        <v>4</v>
      </c>
      <c r="E263" s="78" t="str">
        <f t="shared" ca="1" si="23"/>
        <v/>
      </c>
      <c r="F263" s="78" t="str">
        <f t="shared" ca="1" si="24"/>
        <v/>
      </c>
      <c r="G263" s="79" t="str">
        <f t="shared" ca="1" si="25"/>
        <v/>
      </c>
      <c r="H263" s="80" t="str">
        <f t="shared" ca="1" si="26"/>
        <v/>
      </c>
      <c r="I263" s="100"/>
      <c r="J263" s="111"/>
      <c r="K263" s="111" t="s">
        <v>64</v>
      </c>
      <c r="L263" s="111"/>
      <c r="M263" s="111"/>
      <c r="N263" s="111"/>
      <c r="O263" s="111"/>
      <c r="P263" s="111"/>
      <c r="Q263" s="112"/>
      <c r="R263" s="113"/>
      <c r="S263" s="113"/>
      <c r="T263" s="115"/>
      <c r="U263" s="114"/>
      <c r="V263" s="115"/>
      <c r="W263" s="116"/>
      <c r="X263" s="117"/>
      <c r="Y263" s="118"/>
      <c r="Z263" s="119"/>
      <c r="AA263" s="92"/>
      <c r="AB263" s="93"/>
      <c r="AC263" s="94"/>
      <c r="AD263" s="95"/>
      <c r="AE263" s="96"/>
      <c r="AF263" s="97"/>
      <c r="AG263" s="97">
        <f t="shared" si="27"/>
        <v>0</v>
      </c>
      <c r="AH263" s="97">
        <f t="shared" si="28"/>
        <v>0</v>
      </c>
      <c r="AI263" s="97">
        <f t="shared" si="29"/>
        <v>0</v>
      </c>
      <c r="AJ263" s="97">
        <f t="shared" si="30"/>
        <v>0</v>
      </c>
      <c r="AK263" s="97" t="str">
        <f t="shared" si="31"/>
        <v/>
      </c>
      <c r="AL263" s="98">
        <f t="shared" ca="1" si="32"/>
        <v>1</v>
      </c>
      <c r="AM263" s="98">
        <f t="shared" ca="1" si="33"/>
        <v>37</v>
      </c>
      <c r="AN263" s="98">
        <f t="shared" ca="1" si="34"/>
        <v>4</v>
      </c>
      <c r="AO263" s="98">
        <f t="shared" ca="1" si="35"/>
        <v>0</v>
      </c>
      <c r="AP263" s="98">
        <f t="shared" ca="1" si="36"/>
        <v>0</v>
      </c>
      <c r="AQ263" s="98">
        <f t="shared" ca="1" si="37"/>
        <v>0</v>
      </c>
      <c r="AR263" s="98">
        <f t="shared" ca="1" si="38"/>
        <v>0</v>
      </c>
      <c r="AS263" s="99"/>
      <c r="AT263" s="98">
        <f t="shared" si="39"/>
        <v>1</v>
      </c>
    </row>
    <row r="264" spans="1:46" ht="15.75" customHeight="1">
      <c r="A264" s="76"/>
      <c r="B264" s="77">
        <f t="shared" ca="1" si="20"/>
        <v>1</v>
      </c>
      <c r="C264" s="78">
        <f t="shared" ca="1" si="21"/>
        <v>37</v>
      </c>
      <c r="D264" s="78">
        <f t="shared" ca="1" si="22"/>
        <v>5</v>
      </c>
      <c r="E264" s="78" t="str">
        <f t="shared" ca="1" si="23"/>
        <v/>
      </c>
      <c r="F264" s="78" t="str">
        <f t="shared" ca="1" si="24"/>
        <v/>
      </c>
      <c r="G264" s="79" t="str">
        <f t="shared" ca="1" si="25"/>
        <v/>
      </c>
      <c r="H264" s="80" t="str">
        <f t="shared" ca="1" si="26"/>
        <v/>
      </c>
      <c r="I264" s="100"/>
      <c r="J264" s="111"/>
      <c r="K264" s="111" t="s">
        <v>65</v>
      </c>
      <c r="L264" s="111"/>
      <c r="M264" s="111"/>
      <c r="N264" s="111"/>
      <c r="O264" s="111"/>
      <c r="P264" s="111"/>
      <c r="Q264" s="112"/>
      <c r="R264" s="113"/>
      <c r="S264" s="113"/>
      <c r="T264" s="115"/>
      <c r="U264" s="114"/>
      <c r="V264" s="115"/>
      <c r="W264" s="116"/>
      <c r="X264" s="117"/>
      <c r="Y264" s="118"/>
      <c r="Z264" s="119"/>
      <c r="AA264" s="92"/>
      <c r="AB264" s="93"/>
      <c r="AC264" s="94"/>
      <c r="AD264" s="95"/>
      <c r="AE264" s="96"/>
      <c r="AF264" s="97"/>
      <c r="AG264" s="97">
        <f t="shared" si="27"/>
        <v>0</v>
      </c>
      <c r="AH264" s="97">
        <f t="shared" si="28"/>
        <v>0</v>
      </c>
      <c r="AI264" s="97">
        <f t="shared" si="29"/>
        <v>0</v>
      </c>
      <c r="AJ264" s="97">
        <f t="shared" si="30"/>
        <v>0</v>
      </c>
      <c r="AK264" s="97" t="str">
        <f t="shared" si="31"/>
        <v/>
      </c>
      <c r="AL264" s="98">
        <f t="shared" ca="1" si="32"/>
        <v>1</v>
      </c>
      <c r="AM264" s="98">
        <f t="shared" ca="1" si="33"/>
        <v>37</v>
      </c>
      <c r="AN264" s="98">
        <f t="shared" ca="1" si="34"/>
        <v>5</v>
      </c>
      <c r="AO264" s="98">
        <f t="shared" ca="1" si="35"/>
        <v>0</v>
      </c>
      <c r="AP264" s="98">
        <f t="shared" ca="1" si="36"/>
        <v>0</v>
      </c>
      <c r="AQ264" s="98">
        <f t="shared" ca="1" si="37"/>
        <v>0</v>
      </c>
      <c r="AR264" s="98">
        <f t="shared" ca="1" si="38"/>
        <v>0</v>
      </c>
      <c r="AS264" s="99"/>
      <c r="AT264" s="98">
        <f t="shared" si="39"/>
        <v>1</v>
      </c>
    </row>
    <row r="265" spans="1:46" ht="15.75" customHeight="1">
      <c r="A265" s="76"/>
      <c r="B265" s="77">
        <f t="shared" ca="1" si="20"/>
        <v>1</v>
      </c>
      <c r="C265" s="78">
        <f t="shared" ca="1" si="21"/>
        <v>37</v>
      </c>
      <c r="D265" s="78">
        <f t="shared" ca="1" si="22"/>
        <v>6</v>
      </c>
      <c r="E265" s="78" t="str">
        <f t="shared" ca="1" si="23"/>
        <v/>
      </c>
      <c r="F265" s="78" t="str">
        <f t="shared" ca="1" si="24"/>
        <v/>
      </c>
      <c r="G265" s="79" t="str">
        <f t="shared" ca="1" si="25"/>
        <v/>
      </c>
      <c r="H265" s="80" t="str">
        <f t="shared" ca="1" si="26"/>
        <v/>
      </c>
      <c r="I265" s="100"/>
      <c r="J265" s="111"/>
      <c r="K265" s="111" t="s">
        <v>66</v>
      </c>
      <c r="L265" s="111"/>
      <c r="M265" s="111"/>
      <c r="N265" s="111"/>
      <c r="O265" s="111"/>
      <c r="P265" s="111"/>
      <c r="Q265" s="112"/>
      <c r="R265" s="113"/>
      <c r="S265" s="113"/>
      <c r="T265" s="115"/>
      <c r="U265" s="114"/>
      <c r="V265" s="115"/>
      <c r="W265" s="116"/>
      <c r="X265" s="117"/>
      <c r="Y265" s="118"/>
      <c r="Z265" s="119"/>
      <c r="AA265" s="92"/>
      <c r="AB265" s="93"/>
      <c r="AC265" s="94"/>
      <c r="AD265" s="95"/>
      <c r="AE265" s="96"/>
      <c r="AF265" s="97"/>
      <c r="AG265" s="97">
        <f t="shared" si="27"/>
        <v>0</v>
      </c>
      <c r="AH265" s="97">
        <f t="shared" si="28"/>
        <v>0</v>
      </c>
      <c r="AI265" s="97">
        <f t="shared" si="29"/>
        <v>0</v>
      </c>
      <c r="AJ265" s="97">
        <f t="shared" si="30"/>
        <v>0</v>
      </c>
      <c r="AK265" s="97" t="str">
        <f t="shared" si="31"/>
        <v/>
      </c>
      <c r="AL265" s="98">
        <f t="shared" ca="1" si="32"/>
        <v>1</v>
      </c>
      <c r="AM265" s="98">
        <f t="shared" ca="1" si="33"/>
        <v>37</v>
      </c>
      <c r="AN265" s="98">
        <f t="shared" ca="1" si="34"/>
        <v>6</v>
      </c>
      <c r="AO265" s="98">
        <f t="shared" ca="1" si="35"/>
        <v>0</v>
      </c>
      <c r="AP265" s="98">
        <f t="shared" ca="1" si="36"/>
        <v>0</v>
      </c>
      <c r="AQ265" s="98">
        <f t="shared" ca="1" si="37"/>
        <v>0</v>
      </c>
      <c r="AR265" s="98">
        <f t="shared" ca="1" si="38"/>
        <v>0</v>
      </c>
      <c r="AS265" s="99"/>
      <c r="AT265" s="98">
        <f t="shared" si="39"/>
        <v>1</v>
      </c>
    </row>
    <row r="266" spans="1:46" ht="15.75" customHeight="1">
      <c r="A266" s="76"/>
      <c r="B266" s="77">
        <f t="shared" ca="1" si="20"/>
        <v>1</v>
      </c>
      <c r="C266" s="78">
        <f t="shared" ca="1" si="21"/>
        <v>38</v>
      </c>
      <c r="D266" s="78" t="str">
        <f t="shared" ca="1" si="22"/>
        <v/>
      </c>
      <c r="E266" s="78" t="str">
        <f t="shared" ca="1" si="23"/>
        <v/>
      </c>
      <c r="F266" s="78" t="str">
        <f t="shared" ca="1" si="24"/>
        <v/>
      </c>
      <c r="G266" s="79" t="str">
        <f t="shared" ca="1" si="25"/>
        <v/>
      </c>
      <c r="H266" s="80" t="str">
        <f t="shared" ca="1" si="26"/>
        <v/>
      </c>
      <c r="I266" s="100"/>
      <c r="J266" s="101" t="s">
        <v>107</v>
      </c>
      <c r="K266" s="102"/>
      <c r="L266" s="102"/>
      <c r="M266" s="102"/>
      <c r="N266" s="102"/>
      <c r="O266" s="102"/>
      <c r="P266" s="102"/>
      <c r="Q266" s="103" t="s">
        <v>58</v>
      </c>
      <c r="R266" s="104"/>
      <c r="S266" s="104"/>
      <c r="T266" s="105"/>
      <c r="U266" s="106"/>
      <c r="V266" s="105"/>
      <c r="W266" s="107"/>
      <c r="X266" s="108"/>
      <c r="Y266" s="109"/>
      <c r="Z266" s="110"/>
      <c r="AA266" s="92"/>
      <c r="AB266" s="93"/>
      <c r="AC266" s="94"/>
      <c r="AD266" s="95"/>
      <c r="AE266" s="96"/>
      <c r="AF266" s="97"/>
      <c r="AG266" s="97">
        <f t="shared" si="27"/>
        <v>0</v>
      </c>
      <c r="AH266" s="97">
        <f t="shared" si="28"/>
        <v>0</v>
      </c>
      <c r="AI266" s="97">
        <f t="shared" si="29"/>
        <v>0</v>
      </c>
      <c r="AJ266" s="97">
        <f t="shared" si="30"/>
        <v>0</v>
      </c>
      <c r="AK266" s="97" t="str">
        <f t="shared" si="31"/>
        <v/>
      </c>
      <c r="AL266" s="98">
        <f t="shared" ca="1" si="32"/>
        <v>1</v>
      </c>
      <c r="AM266" s="98">
        <f t="shared" ca="1" si="33"/>
        <v>38</v>
      </c>
      <c r="AN266" s="98">
        <f t="shared" ca="1" si="34"/>
        <v>0</v>
      </c>
      <c r="AO266" s="98">
        <f t="shared" ca="1" si="35"/>
        <v>0</v>
      </c>
      <c r="AP266" s="98">
        <f t="shared" ca="1" si="36"/>
        <v>0</v>
      </c>
      <c r="AQ266" s="98">
        <f t="shared" ca="1" si="37"/>
        <v>0</v>
      </c>
      <c r="AR266" s="98">
        <f t="shared" ca="1" si="38"/>
        <v>0</v>
      </c>
      <c r="AS266" s="99"/>
      <c r="AT266" s="98">
        <f t="shared" si="39"/>
        <v>1</v>
      </c>
    </row>
    <row r="267" spans="1:46" ht="15.75" customHeight="1">
      <c r="A267" s="76"/>
      <c r="B267" s="77">
        <f t="shared" ca="1" si="20"/>
        <v>1</v>
      </c>
      <c r="C267" s="78">
        <f t="shared" ca="1" si="21"/>
        <v>38</v>
      </c>
      <c r="D267" s="78">
        <f t="shared" ca="1" si="22"/>
        <v>1</v>
      </c>
      <c r="E267" s="78" t="str">
        <f t="shared" ca="1" si="23"/>
        <v/>
      </c>
      <c r="F267" s="78" t="str">
        <f t="shared" ca="1" si="24"/>
        <v/>
      </c>
      <c r="G267" s="79" t="str">
        <f t="shared" ca="1" si="25"/>
        <v/>
      </c>
      <c r="H267" s="80" t="str">
        <f t="shared" ca="1" si="26"/>
        <v/>
      </c>
      <c r="I267" s="100"/>
      <c r="J267" s="111"/>
      <c r="K267" s="111" t="s">
        <v>59</v>
      </c>
      <c r="L267" s="111"/>
      <c r="M267" s="111"/>
      <c r="N267" s="111"/>
      <c r="O267" s="111"/>
      <c r="P267" s="111"/>
      <c r="Q267" s="112"/>
      <c r="R267" s="113"/>
      <c r="S267" s="113"/>
      <c r="T267" s="115"/>
      <c r="U267" s="114"/>
      <c r="V267" s="115"/>
      <c r="W267" s="116"/>
      <c r="X267" s="117"/>
      <c r="Y267" s="118"/>
      <c r="Z267" s="119"/>
      <c r="AA267" s="92"/>
      <c r="AB267" s="93"/>
      <c r="AC267" s="94"/>
      <c r="AD267" s="95"/>
      <c r="AE267" s="96"/>
      <c r="AF267" s="97"/>
      <c r="AG267" s="97">
        <f t="shared" si="27"/>
        <v>0</v>
      </c>
      <c r="AH267" s="97">
        <f t="shared" si="28"/>
        <v>0</v>
      </c>
      <c r="AI267" s="97">
        <f t="shared" si="29"/>
        <v>0</v>
      </c>
      <c r="AJ267" s="97">
        <f t="shared" si="30"/>
        <v>0</v>
      </c>
      <c r="AK267" s="97" t="str">
        <f t="shared" si="31"/>
        <v/>
      </c>
      <c r="AL267" s="98">
        <f t="shared" ca="1" si="32"/>
        <v>1</v>
      </c>
      <c r="AM267" s="98">
        <f t="shared" ca="1" si="33"/>
        <v>38</v>
      </c>
      <c r="AN267" s="98">
        <f t="shared" ca="1" si="34"/>
        <v>1</v>
      </c>
      <c r="AO267" s="98">
        <f t="shared" ca="1" si="35"/>
        <v>0</v>
      </c>
      <c r="AP267" s="98">
        <f t="shared" ca="1" si="36"/>
        <v>0</v>
      </c>
      <c r="AQ267" s="98">
        <f t="shared" ca="1" si="37"/>
        <v>0</v>
      </c>
      <c r="AR267" s="98">
        <f t="shared" ca="1" si="38"/>
        <v>0</v>
      </c>
      <c r="AS267" s="99"/>
      <c r="AT267" s="98">
        <f t="shared" si="39"/>
        <v>1</v>
      </c>
    </row>
    <row r="268" spans="1:46" ht="15.75" customHeight="1">
      <c r="A268" s="76"/>
      <c r="B268" s="77">
        <f t="shared" ca="1" si="20"/>
        <v>1</v>
      </c>
      <c r="C268" s="78">
        <f t="shared" ca="1" si="21"/>
        <v>38</v>
      </c>
      <c r="D268" s="78">
        <f t="shared" ca="1" si="22"/>
        <v>2</v>
      </c>
      <c r="E268" s="78" t="str">
        <f t="shared" ca="1" si="23"/>
        <v/>
      </c>
      <c r="F268" s="78" t="str">
        <f t="shared" ca="1" si="24"/>
        <v/>
      </c>
      <c r="G268" s="79" t="str">
        <f t="shared" ca="1" si="25"/>
        <v/>
      </c>
      <c r="H268" s="80" t="str">
        <f t="shared" ca="1" si="26"/>
        <v/>
      </c>
      <c r="I268" s="100"/>
      <c r="J268" s="111"/>
      <c r="K268" s="111" t="s">
        <v>61</v>
      </c>
      <c r="L268" s="111"/>
      <c r="M268" s="111"/>
      <c r="N268" s="111"/>
      <c r="O268" s="111"/>
      <c r="P268" s="111"/>
      <c r="Q268" s="112"/>
      <c r="R268" s="113"/>
      <c r="S268" s="113"/>
      <c r="T268" s="115"/>
      <c r="U268" s="114"/>
      <c r="V268" s="115"/>
      <c r="W268" s="116"/>
      <c r="X268" s="117"/>
      <c r="Y268" s="118"/>
      <c r="Z268" s="119"/>
      <c r="AA268" s="92"/>
      <c r="AB268" s="93"/>
      <c r="AC268" s="94"/>
      <c r="AD268" s="95"/>
      <c r="AE268" s="96"/>
      <c r="AF268" s="97"/>
      <c r="AG268" s="97">
        <f t="shared" si="27"/>
        <v>0</v>
      </c>
      <c r="AH268" s="97">
        <f t="shared" si="28"/>
        <v>0</v>
      </c>
      <c r="AI268" s="97">
        <f t="shared" si="29"/>
        <v>0</v>
      </c>
      <c r="AJ268" s="97">
        <f t="shared" si="30"/>
        <v>0</v>
      </c>
      <c r="AK268" s="97" t="str">
        <f t="shared" si="31"/>
        <v/>
      </c>
      <c r="AL268" s="98">
        <f t="shared" ca="1" si="32"/>
        <v>1</v>
      </c>
      <c r="AM268" s="98">
        <f t="shared" ca="1" si="33"/>
        <v>38</v>
      </c>
      <c r="AN268" s="98">
        <f t="shared" ca="1" si="34"/>
        <v>2</v>
      </c>
      <c r="AO268" s="98">
        <f t="shared" ca="1" si="35"/>
        <v>0</v>
      </c>
      <c r="AP268" s="98">
        <f t="shared" ca="1" si="36"/>
        <v>0</v>
      </c>
      <c r="AQ268" s="98">
        <f t="shared" ca="1" si="37"/>
        <v>0</v>
      </c>
      <c r="AR268" s="98">
        <f t="shared" ca="1" si="38"/>
        <v>0</v>
      </c>
      <c r="AS268" s="99"/>
      <c r="AT268" s="98">
        <f t="shared" si="39"/>
        <v>1</v>
      </c>
    </row>
    <row r="269" spans="1:46" ht="15.75" customHeight="1">
      <c r="A269" s="76"/>
      <c r="B269" s="77">
        <f t="shared" ca="1" si="20"/>
        <v>1</v>
      </c>
      <c r="C269" s="78">
        <f t="shared" ca="1" si="21"/>
        <v>38</v>
      </c>
      <c r="D269" s="78">
        <f t="shared" ca="1" si="22"/>
        <v>3</v>
      </c>
      <c r="E269" s="78" t="str">
        <f t="shared" ca="1" si="23"/>
        <v/>
      </c>
      <c r="F269" s="78" t="str">
        <f t="shared" ca="1" si="24"/>
        <v/>
      </c>
      <c r="G269" s="79" t="str">
        <f t="shared" ca="1" si="25"/>
        <v/>
      </c>
      <c r="H269" s="80" t="str">
        <f t="shared" ca="1" si="26"/>
        <v/>
      </c>
      <c r="I269" s="100"/>
      <c r="J269" s="111"/>
      <c r="K269" s="111" t="s">
        <v>63</v>
      </c>
      <c r="L269" s="111"/>
      <c r="M269" s="111"/>
      <c r="N269" s="111"/>
      <c r="O269" s="111"/>
      <c r="P269" s="111"/>
      <c r="Q269" s="112"/>
      <c r="R269" s="113"/>
      <c r="S269" s="113"/>
      <c r="T269" s="115"/>
      <c r="U269" s="114"/>
      <c r="V269" s="115"/>
      <c r="W269" s="116"/>
      <c r="X269" s="117"/>
      <c r="Y269" s="118"/>
      <c r="Z269" s="119"/>
      <c r="AA269" s="92"/>
      <c r="AB269" s="93"/>
      <c r="AC269" s="94"/>
      <c r="AD269" s="95"/>
      <c r="AE269" s="96"/>
      <c r="AF269" s="97"/>
      <c r="AG269" s="97">
        <f t="shared" si="27"/>
        <v>0</v>
      </c>
      <c r="AH269" s="97">
        <f t="shared" si="28"/>
        <v>0</v>
      </c>
      <c r="AI269" s="97">
        <f t="shared" si="29"/>
        <v>0</v>
      </c>
      <c r="AJ269" s="97">
        <f t="shared" si="30"/>
        <v>0</v>
      </c>
      <c r="AK269" s="97" t="str">
        <f t="shared" si="31"/>
        <v/>
      </c>
      <c r="AL269" s="98">
        <f t="shared" ca="1" si="32"/>
        <v>1</v>
      </c>
      <c r="AM269" s="98">
        <f t="shared" ca="1" si="33"/>
        <v>38</v>
      </c>
      <c r="AN269" s="98">
        <f t="shared" ca="1" si="34"/>
        <v>3</v>
      </c>
      <c r="AO269" s="98">
        <f t="shared" ca="1" si="35"/>
        <v>0</v>
      </c>
      <c r="AP269" s="98">
        <f t="shared" ca="1" si="36"/>
        <v>0</v>
      </c>
      <c r="AQ269" s="98">
        <f t="shared" ca="1" si="37"/>
        <v>0</v>
      </c>
      <c r="AR269" s="98">
        <f t="shared" ca="1" si="38"/>
        <v>0</v>
      </c>
      <c r="AS269" s="99"/>
      <c r="AT269" s="98">
        <f t="shared" si="39"/>
        <v>1</v>
      </c>
    </row>
    <row r="270" spans="1:46" ht="15.75" customHeight="1">
      <c r="A270" s="76"/>
      <c r="B270" s="77">
        <f t="shared" ca="1" si="20"/>
        <v>1</v>
      </c>
      <c r="C270" s="78">
        <f t="shared" ca="1" si="21"/>
        <v>38</v>
      </c>
      <c r="D270" s="78">
        <f t="shared" ca="1" si="22"/>
        <v>4</v>
      </c>
      <c r="E270" s="78" t="str">
        <f t="shared" ca="1" si="23"/>
        <v/>
      </c>
      <c r="F270" s="78" t="str">
        <f t="shared" ca="1" si="24"/>
        <v/>
      </c>
      <c r="G270" s="79" t="str">
        <f t="shared" ca="1" si="25"/>
        <v/>
      </c>
      <c r="H270" s="80" t="str">
        <f t="shared" ca="1" si="26"/>
        <v/>
      </c>
      <c r="I270" s="100"/>
      <c r="J270" s="111"/>
      <c r="K270" s="111" t="s">
        <v>64</v>
      </c>
      <c r="L270" s="111"/>
      <c r="M270" s="111"/>
      <c r="N270" s="111"/>
      <c r="O270" s="111"/>
      <c r="P270" s="111"/>
      <c r="Q270" s="112"/>
      <c r="R270" s="113"/>
      <c r="S270" s="113"/>
      <c r="T270" s="115"/>
      <c r="U270" s="114"/>
      <c r="V270" s="115"/>
      <c r="W270" s="116"/>
      <c r="X270" s="117"/>
      <c r="Y270" s="118"/>
      <c r="Z270" s="119"/>
      <c r="AA270" s="92"/>
      <c r="AB270" s="93"/>
      <c r="AC270" s="94"/>
      <c r="AD270" s="95"/>
      <c r="AE270" s="96"/>
      <c r="AF270" s="97"/>
      <c r="AG270" s="97">
        <f t="shared" si="27"/>
        <v>0</v>
      </c>
      <c r="AH270" s="97">
        <f t="shared" si="28"/>
        <v>0</v>
      </c>
      <c r="AI270" s="97">
        <f t="shared" si="29"/>
        <v>0</v>
      </c>
      <c r="AJ270" s="97">
        <f t="shared" si="30"/>
        <v>0</v>
      </c>
      <c r="AK270" s="97" t="str">
        <f t="shared" si="31"/>
        <v/>
      </c>
      <c r="AL270" s="98">
        <f t="shared" ca="1" si="32"/>
        <v>1</v>
      </c>
      <c r="AM270" s="98">
        <f t="shared" ca="1" si="33"/>
        <v>38</v>
      </c>
      <c r="AN270" s="98">
        <f t="shared" ca="1" si="34"/>
        <v>4</v>
      </c>
      <c r="AO270" s="98">
        <f t="shared" ca="1" si="35"/>
        <v>0</v>
      </c>
      <c r="AP270" s="98">
        <f t="shared" ca="1" si="36"/>
        <v>0</v>
      </c>
      <c r="AQ270" s="98">
        <f t="shared" ca="1" si="37"/>
        <v>0</v>
      </c>
      <c r="AR270" s="98">
        <f t="shared" ca="1" si="38"/>
        <v>0</v>
      </c>
      <c r="AS270" s="99"/>
      <c r="AT270" s="98">
        <f t="shared" si="39"/>
        <v>1</v>
      </c>
    </row>
    <row r="271" spans="1:46" ht="15.75" customHeight="1">
      <c r="A271" s="76"/>
      <c r="B271" s="77">
        <f t="shared" ca="1" si="20"/>
        <v>1</v>
      </c>
      <c r="C271" s="78">
        <f t="shared" ca="1" si="21"/>
        <v>38</v>
      </c>
      <c r="D271" s="78">
        <f t="shared" ca="1" si="22"/>
        <v>5</v>
      </c>
      <c r="E271" s="78" t="str">
        <f t="shared" ca="1" si="23"/>
        <v/>
      </c>
      <c r="F271" s="78" t="str">
        <f t="shared" ca="1" si="24"/>
        <v/>
      </c>
      <c r="G271" s="79" t="str">
        <f t="shared" ca="1" si="25"/>
        <v/>
      </c>
      <c r="H271" s="80" t="str">
        <f t="shared" ca="1" si="26"/>
        <v/>
      </c>
      <c r="I271" s="100"/>
      <c r="J271" s="111"/>
      <c r="K271" s="111" t="s">
        <v>65</v>
      </c>
      <c r="L271" s="111"/>
      <c r="M271" s="111"/>
      <c r="N271" s="111"/>
      <c r="O271" s="111"/>
      <c r="P271" s="111"/>
      <c r="Q271" s="112"/>
      <c r="R271" s="113"/>
      <c r="S271" s="113"/>
      <c r="T271" s="115"/>
      <c r="U271" s="114"/>
      <c r="V271" s="115"/>
      <c r="W271" s="116"/>
      <c r="X271" s="117"/>
      <c r="Y271" s="118"/>
      <c r="Z271" s="119"/>
      <c r="AA271" s="92"/>
      <c r="AB271" s="93"/>
      <c r="AC271" s="94"/>
      <c r="AD271" s="95"/>
      <c r="AE271" s="96"/>
      <c r="AF271" s="97"/>
      <c r="AG271" s="97">
        <f t="shared" si="27"/>
        <v>0</v>
      </c>
      <c r="AH271" s="97">
        <f t="shared" si="28"/>
        <v>0</v>
      </c>
      <c r="AI271" s="97">
        <f t="shared" si="29"/>
        <v>0</v>
      </c>
      <c r="AJ271" s="97">
        <f t="shared" si="30"/>
        <v>0</v>
      </c>
      <c r="AK271" s="97" t="str">
        <f t="shared" si="31"/>
        <v/>
      </c>
      <c r="AL271" s="98">
        <f t="shared" ca="1" si="32"/>
        <v>1</v>
      </c>
      <c r="AM271" s="98">
        <f t="shared" ca="1" si="33"/>
        <v>38</v>
      </c>
      <c r="AN271" s="98">
        <f t="shared" ca="1" si="34"/>
        <v>5</v>
      </c>
      <c r="AO271" s="98">
        <f t="shared" ca="1" si="35"/>
        <v>0</v>
      </c>
      <c r="AP271" s="98">
        <f t="shared" ca="1" si="36"/>
        <v>0</v>
      </c>
      <c r="AQ271" s="98">
        <f t="shared" ca="1" si="37"/>
        <v>0</v>
      </c>
      <c r="AR271" s="98">
        <f t="shared" ca="1" si="38"/>
        <v>0</v>
      </c>
      <c r="AS271" s="99"/>
      <c r="AT271" s="98">
        <f t="shared" si="39"/>
        <v>1</v>
      </c>
    </row>
    <row r="272" spans="1:46" ht="15.75" customHeight="1">
      <c r="A272" s="76"/>
      <c r="B272" s="77">
        <f t="shared" ca="1" si="20"/>
        <v>1</v>
      </c>
      <c r="C272" s="78">
        <f t="shared" ca="1" si="21"/>
        <v>38</v>
      </c>
      <c r="D272" s="78">
        <f t="shared" ca="1" si="22"/>
        <v>6</v>
      </c>
      <c r="E272" s="78" t="str">
        <f t="shared" ca="1" si="23"/>
        <v/>
      </c>
      <c r="F272" s="78" t="str">
        <f t="shared" ca="1" si="24"/>
        <v/>
      </c>
      <c r="G272" s="79" t="str">
        <f t="shared" ca="1" si="25"/>
        <v/>
      </c>
      <c r="H272" s="80" t="str">
        <f t="shared" ca="1" si="26"/>
        <v/>
      </c>
      <c r="I272" s="100"/>
      <c r="J272" s="111"/>
      <c r="K272" s="111" t="s">
        <v>66</v>
      </c>
      <c r="L272" s="111"/>
      <c r="M272" s="111"/>
      <c r="N272" s="111"/>
      <c r="O272" s="111"/>
      <c r="P272" s="111"/>
      <c r="Q272" s="112"/>
      <c r="R272" s="113"/>
      <c r="S272" s="113"/>
      <c r="T272" s="115"/>
      <c r="U272" s="114"/>
      <c r="V272" s="115"/>
      <c r="W272" s="116"/>
      <c r="X272" s="117"/>
      <c r="Y272" s="118"/>
      <c r="Z272" s="119"/>
      <c r="AA272" s="92"/>
      <c r="AB272" s="93"/>
      <c r="AC272" s="94"/>
      <c r="AD272" s="95"/>
      <c r="AE272" s="96"/>
      <c r="AF272" s="97"/>
      <c r="AG272" s="97">
        <f t="shared" si="27"/>
        <v>0</v>
      </c>
      <c r="AH272" s="97">
        <f t="shared" si="28"/>
        <v>0</v>
      </c>
      <c r="AI272" s="97">
        <f t="shared" si="29"/>
        <v>0</v>
      </c>
      <c r="AJ272" s="97">
        <f t="shared" si="30"/>
        <v>0</v>
      </c>
      <c r="AK272" s="97" t="str">
        <f t="shared" si="31"/>
        <v/>
      </c>
      <c r="AL272" s="98">
        <f t="shared" ca="1" si="32"/>
        <v>1</v>
      </c>
      <c r="AM272" s="98">
        <f t="shared" ca="1" si="33"/>
        <v>38</v>
      </c>
      <c r="AN272" s="98">
        <f t="shared" ca="1" si="34"/>
        <v>6</v>
      </c>
      <c r="AO272" s="98">
        <f t="shared" ca="1" si="35"/>
        <v>0</v>
      </c>
      <c r="AP272" s="98">
        <f t="shared" ca="1" si="36"/>
        <v>0</v>
      </c>
      <c r="AQ272" s="98">
        <f t="shared" ca="1" si="37"/>
        <v>0</v>
      </c>
      <c r="AR272" s="98">
        <f t="shared" ca="1" si="38"/>
        <v>0</v>
      </c>
      <c r="AS272" s="99"/>
      <c r="AT272" s="98">
        <f t="shared" si="39"/>
        <v>1</v>
      </c>
    </row>
    <row r="273" spans="1:46" ht="15.75" customHeight="1">
      <c r="A273" s="76"/>
      <c r="B273" s="77">
        <f t="shared" ca="1" si="20"/>
        <v>1</v>
      </c>
      <c r="C273" s="78">
        <f t="shared" ca="1" si="21"/>
        <v>39</v>
      </c>
      <c r="D273" s="78" t="str">
        <f t="shared" ca="1" si="22"/>
        <v/>
      </c>
      <c r="E273" s="78" t="str">
        <f t="shared" ca="1" si="23"/>
        <v/>
      </c>
      <c r="F273" s="78" t="str">
        <f t="shared" ca="1" si="24"/>
        <v/>
      </c>
      <c r="G273" s="79" t="str">
        <f t="shared" ca="1" si="25"/>
        <v/>
      </c>
      <c r="H273" s="80" t="str">
        <f t="shared" ca="1" si="26"/>
        <v/>
      </c>
      <c r="I273" s="100"/>
      <c r="J273" s="101" t="s">
        <v>108</v>
      </c>
      <c r="K273" s="102"/>
      <c r="L273" s="102"/>
      <c r="M273" s="102"/>
      <c r="N273" s="102"/>
      <c r="O273" s="102"/>
      <c r="P273" s="102"/>
      <c r="Q273" s="103" t="s">
        <v>73</v>
      </c>
      <c r="R273" s="104"/>
      <c r="S273" s="104"/>
      <c r="T273" s="105"/>
      <c r="U273" s="106"/>
      <c r="V273" s="105"/>
      <c r="W273" s="107"/>
      <c r="X273" s="108"/>
      <c r="Y273" s="109"/>
      <c r="Z273" s="110"/>
      <c r="AA273" s="92"/>
      <c r="AB273" s="93"/>
      <c r="AC273" s="94"/>
      <c r="AD273" s="95"/>
      <c r="AE273" s="96"/>
      <c r="AF273" s="97"/>
      <c r="AG273" s="97">
        <f t="shared" si="27"/>
        <v>0</v>
      </c>
      <c r="AH273" s="97">
        <f t="shared" si="28"/>
        <v>0</v>
      </c>
      <c r="AI273" s="97">
        <f t="shared" si="29"/>
        <v>0</v>
      </c>
      <c r="AJ273" s="97">
        <f t="shared" si="30"/>
        <v>0</v>
      </c>
      <c r="AK273" s="97" t="str">
        <f t="shared" si="31"/>
        <v/>
      </c>
      <c r="AL273" s="98">
        <f t="shared" ca="1" si="32"/>
        <v>1</v>
      </c>
      <c r="AM273" s="98">
        <f t="shared" ca="1" si="33"/>
        <v>39</v>
      </c>
      <c r="AN273" s="98">
        <f t="shared" ca="1" si="34"/>
        <v>0</v>
      </c>
      <c r="AO273" s="98">
        <f t="shared" ca="1" si="35"/>
        <v>0</v>
      </c>
      <c r="AP273" s="98">
        <f t="shared" ca="1" si="36"/>
        <v>0</v>
      </c>
      <c r="AQ273" s="98">
        <f t="shared" ca="1" si="37"/>
        <v>0</v>
      </c>
      <c r="AR273" s="98">
        <f t="shared" ca="1" si="38"/>
        <v>0</v>
      </c>
      <c r="AS273" s="99"/>
      <c r="AT273" s="98">
        <f t="shared" si="39"/>
        <v>1</v>
      </c>
    </row>
    <row r="274" spans="1:46" ht="15.75" customHeight="1">
      <c r="A274" s="76"/>
      <c r="B274" s="77">
        <f t="shared" ca="1" si="20"/>
        <v>1</v>
      </c>
      <c r="C274" s="78">
        <f t="shared" ca="1" si="21"/>
        <v>39</v>
      </c>
      <c r="D274" s="78">
        <f t="shared" ca="1" si="22"/>
        <v>1</v>
      </c>
      <c r="E274" s="78" t="str">
        <f t="shared" ca="1" si="23"/>
        <v/>
      </c>
      <c r="F274" s="78" t="str">
        <f t="shared" ca="1" si="24"/>
        <v/>
      </c>
      <c r="G274" s="79" t="str">
        <f t="shared" ca="1" si="25"/>
        <v/>
      </c>
      <c r="H274" s="80" t="str">
        <f t="shared" ca="1" si="26"/>
        <v/>
      </c>
      <c r="I274" s="100"/>
      <c r="J274" s="111"/>
      <c r="K274" s="111" t="s">
        <v>59</v>
      </c>
      <c r="L274" s="111"/>
      <c r="M274" s="111"/>
      <c r="N274" s="111"/>
      <c r="O274" s="111"/>
      <c r="P274" s="111"/>
      <c r="Q274" s="112"/>
      <c r="R274" s="113"/>
      <c r="S274" s="113"/>
      <c r="T274" s="115"/>
      <c r="U274" s="114"/>
      <c r="V274" s="115"/>
      <c r="W274" s="116"/>
      <c r="X274" s="117"/>
      <c r="Y274" s="118"/>
      <c r="Z274" s="119"/>
      <c r="AA274" s="92"/>
      <c r="AB274" s="93"/>
      <c r="AC274" s="94"/>
      <c r="AD274" s="95"/>
      <c r="AE274" s="96"/>
      <c r="AF274" s="97"/>
      <c r="AG274" s="97">
        <f t="shared" si="27"/>
        <v>0</v>
      </c>
      <c r="AH274" s="97">
        <f t="shared" si="28"/>
        <v>0</v>
      </c>
      <c r="AI274" s="97">
        <f t="shared" si="29"/>
        <v>0</v>
      </c>
      <c r="AJ274" s="97">
        <f t="shared" si="30"/>
        <v>0</v>
      </c>
      <c r="AK274" s="97" t="str">
        <f t="shared" si="31"/>
        <v/>
      </c>
      <c r="AL274" s="98">
        <f t="shared" ca="1" si="32"/>
        <v>1</v>
      </c>
      <c r="AM274" s="98">
        <f t="shared" ca="1" si="33"/>
        <v>39</v>
      </c>
      <c r="AN274" s="98">
        <f t="shared" ca="1" si="34"/>
        <v>1</v>
      </c>
      <c r="AO274" s="98">
        <f t="shared" ca="1" si="35"/>
        <v>0</v>
      </c>
      <c r="AP274" s="98">
        <f t="shared" ca="1" si="36"/>
        <v>0</v>
      </c>
      <c r="AQ274" s="98">
        <f t="shared" ca="1" si="37"/>
        <v>0</v>
      </c>
      <c r="AR274" s="98">
        <f t="shared" ca="1" si="38"/>
        <v>0</v>
      </c>
      <c r="AS274" s="99"/>
      <c r="AT274" s="98">
        <f t="shared" si="39"/>
        <v>1</v>
      </c>
    </row>
    <row r="275" spans="1:46" ht="15.75" customHeight="1">
      <c r="A275" s="76"/>
      <c r="B275" s="77">
        <f t="shared" ca="1" si="20"/>
        <v>1</v>
      </c>
      <c r="C275" s="78">
        <f t="shared" ca="1" si="21"/>
        <v>39</v>
      </c>
      <c r="D275" s="78">
        <f t="shared" ca="1" si="22"/>
        <v>2</v>
      </c>
      <c r="E275" s="78" t="str">
        <f t="shared" ca="1" si="23"/>
        <v/>
      </c>
      <c r="F275" s="78" t="str">
        <f t="shared" ca="1" si="24"/>
        <v/>
      </c>
      <c r="G275" s="79" t="str">
        <f t="shared" ca="1" si="25"/>
        <v/>
      </c>
      <c r="H275" s="80" t="str">
        <f t="shared" ca="1" si="26"/>
        <v/>
      </c>
      <c r="I275" s="100"/>
      <c r="J275" s="111"/>
      <c r="K275" s="111" t="s">
        <v>61</v>
      </c>
      <c r="L275" s="111"/>
      <c r="M275" s="111"/>
      <c r="N275" s="111"/>
      <c r="O275" s="111"/>
      <c r="P275" s="111"/>
      <c r="Q275" s="112"/>
      <c r="R275" s="113"/>
      <c r="S275" s="113"/>
      <c r="T275" s="115"/>
      <c r="U275" s="114"/>
      <c r="V275" s="115"/>
      <c r="W275" s="116"/>
      <c r="X275" s="117"/>
      <c r="Y275" s="118"/>
      <c r="Z275" s="119"/>
      <c r="AA275" s="92"/>
      <c r="AB275" s="93"/>
      <c r="AC275" s="94"/>
      <c r="AD275" s="95"/>
      <c r="AE275" s="96"/>
      <c r="AF275" s="97"/>
      <c r="AG275" s="97">
        <f t="shared" si="27"/>
        <v>0</v>
      </c>
      <c r="AH275" s="97">
        <f t="shared" si="28"/>
        <v>0</v>
      </c>
      <c r="AI275" s="97">
        <f t="shared" si="29"/>
        <v>0</v>
      </c>
      <c r="AJ275" s="97">
        <f t="shared" si="30"/>
        <v>0</v>
      </c>
      <c r="AK275" s="97" t="str">
        <f t="shared" si="31"/>
        <v/>
      </c>
      <c r="AL275" s="98">
        <f t="shared" ca="1" si="32"/>
        <v>1</v>
      </c>
      <c r="AM275" s="98">
        <f t="shared" ca="1" si="33"/>
        <v>39</v>
      </c>
      <c r="AN275" s="98">
        <f t="shared" ca="1" si="34"/>
        <v>2</v>
      </c>
      <c r="AO275" s="98">
        <f t="shared" ca="1" si="35"/>
        <v>0</v>
      </c>
      <c r="AP275" s="98">
        <f t="shared" ca="1" si="36"/>
        <v>0</v>
      </c>
      <c r="AQ275" s="98">
        <f t="shared" ca="1" si="37"/>
        <v>0</v>
      </c>
      <c r="AR275" s="98">
        <f t="shared" ca="1" si="38"/>
        <v>0</v>
      </c>
      <c r="AS275" s="99"/>
      <c r="AT275" s="98">
        <f t="shared" si="39"/>
        <v>1</v>
      </c>
    </row>
    <row r="276" spans="1:46" ht="15.75" customHeight="1">
      <c r="A276" s="76"/>
      <c r="B276" s="77">
        <f t="shared" ca="1" si="20"/>
        <v>1</v>
      </c>
      <c r="C276" s="78">
        <f t="shared" ca="1" si="21"/>
        <v>39</v>
      </c>
      <c r="D276" s="78">
        <f t="shared" ca="1" si="22"/>
        <v>3</v>
      </c>
      <c r="E276" s="78" t="str">
        <f t="shared" ca="1" si="23"/>
        <v/>
      </c>
      <c r="F276" s="78" t="str">
        <f t="shared" ca="1" si="24"/>
        <v/>
      </c>
      <c r="G276" s="79" t="str">
        <f t="shared" ca="1" si="25"/>
        <v/>
      </c>
      <c r="H276" s="80" t="str">
        <f t="shared" ca="1" si="26"/>
        <v/>
      </c>
      <c r="I276" s="100"/>
      <c r="J276" s="111"/>
      <c r="K276" s="111" t="s">
        <v>63</v>
      </c>
      <c r="L276" s="111"/>
      <c r="M276" s="111"/>
      <c r="N276" s="111"/>
      <c r="O276" s="111"/>
      <c r="P276" s="111"/>
      <c r="Q276" s="112"/>
      <c r="R276" s="113"/>
      <c r="S276" s="113"/>
      <c r="T276" s="115"/>
      <c r="U276" s="114"/>
      <c r="V276" s="115"/>
      <c r="W276" s="116"/>
      <c r="X276" s="117"/>
      <c r="Y276" s="118"/>
      <c r="Z276" s="119"/>
      <c r="AA276" s="92"/>
      <c r="AB276" s="93"/>
      <c r="AC276" s="94"/>
      <c r="AD276" s="95"/>
      <c r="AE276" s="96"/>
      <c r="AF276" s="97"/>
      <c r="AG276" s="97">
        <f t="shared" si="27"/>
        <v>0</v>
      </c>
      <c r="AH276" s="97">
        <f t="shared" si="28"/>
        <v>0</v>
      </c>
      <c r="AI276" s="97">
        <f t="shared" si="29"/>
        <v>0</v>
      </c>
      <c r="AJ276" s="97">
        <f t="shared" si="30"/>
        <v>0</v>
      </c>
      <c r="AK276" s="97" t="str">
        <f t="shared" si="31"/>
        <v/>
      </c>
      <c r="AL276" s="98">
        <f t="shared" ca="1" si="32"/>
        <v>1</v>
      </c>
      <c r="AM276" s="98">
        <f t="shared" ca="1" si="33"/>
        <v>39</v>
      </c>
      <c r="AN276" s="98">
        <f t="shared" ca="1" si="34"/>
        <v>3</v>
      </c>
      <c r="AO276" s="98">
        <f t="shared" ca="1" si="35"/>
        <v>0</v>
      </c>
      <c r="AP276" s="98">
        <f t="shared" ca="1" si="36"/>
        <v>0</v>
      </c>
      <c r="AQ276" s="98">
        <f t="shared" ca="1" si="37"/>
        <v>0</v>
      </c>
      <c r="AR276" s="98">
        <f t="shared" ca="1" si="38"/>
        <v>0</v>
      </c>
      <c r="AS276" s="99"/>
      <c r="AT276" s="98">
        <f t="shared" si="39"/>
        <v>1</v>
      </c>
    </row>
    <row r="277" spans="1:46" ht="15.75" customHeight="1">
      <c r="A277" s="76"/>
      <c r="B277" s="77">
        <f t="shared" ca="1" si="20"/>
        <v>1</v>
      </c>
      <c r="C277" s="78">
        <f t="shared" ca="1" si="21"/>
        <v>39</v>
      </c>
      <c r="D277" s="78">
        <f t="shared" ca="1" si="22"/>
        <v>4</v>
      </c>
      <c r="E277" s="78" t="str">
        <f t="shared" ca="1" si="23"/>
        <v/>
      </c>
      <c r="F277" s="78" t="str">
        <f t="shared" ca="1" si="24"/>
        <v/>
      </c>
      <c r="G277" s="79" t="str">
        <f t="shared" ca="1" si="25"/>
        <v/>
      </c>
      <c r="H277" s="80" t="str">
        <f t="shared" ca="1" si="26"/>
        <v/>
      </c>
      <c r="I277" s="100"/>
      <c r="J277" s="111"/>
      <c r="K277" s="111" t="s">
        <v>64</v>
      </c>
      <c r="L277" s="111"/>
      <c r="M277" s="111"/>
      <c r="N277" s="111"/>
      <c r="O277" s="111"/>
      <c r="P277" s="111"/>
      <c r="Q277" s="112"/>
      <c r="R277" s="113"/>
      <c r="S277" s="113"/>
      <c r="T277" s="115"/>
      <c r="U277" s="114"/>
      <c r="V277" s="115"/>
      <c r="W277" s="116"/>
      <c r="X277" s="117"/>
      <c r="Y277" s="118"/>
      <c r="Z277" s="119"/>
      <c r="AA277" s="92"/>
      <c r="AB277" s="93"/>
      <c r="AC277" s="94"/>
      <c r="AD277" s="95"/>
      <c r="AE277" s="96"/>
      <c r="AF277" s="97"/>
      <c r="AG277" s="97">
        <f t="shared" si="27"/>
        <v>0</v>
      </c>
      <c r="AH277" s="97">
        <f t="shared" si="28"/>
        <v>0</v>
      </c>
      <c r="AI277" s="97">
        <f t="shared" si="29"/>
        <v>0</v>
      </c>
      <c r="AJ277" s="97">
        <f t="shared" si="30"/>
        <v>0</v>
      </c>
      <c r="AK277" s="97" t="str">
        <f t="shared" si="31"/>
        <v/>
      </c>
      <c r="AL277" s="98">
        <f t="shared" ca="1" si="32"/>
        <v>1</v>
      </c>
      <c r="AM277" s="98">
        <f t="shared" ca="1" si="33"/>
        <v>39</v>
      </c>
      <c r="AN277" s="98">
        <f t="shared" ca="1" si="34"/>
        <v>4</v>
      </c>
      <c r="AO277" s="98">
        <f t="shared" ca="1" si="35"/>
        <v>0</v>
      </c>
      <c r="AP277" s="98">
        <f t="shared" ca="1" si="36"/>
        <v>0</v>
      </c>
      <c r="AQ277" s="98">
        <f t="shared" ca="1" si="37"/>
        <v>0</v>
      </c>
      <c r="AR277" s="98">
        <f t="shared" ca="1" si="38"/>
        <v>0</v>
      </c>
      <c r="AS277" s="99"/>
      <c r="AT277" s="98">
        <f t="shared" si="39"/>
        <v>1</v>
      </c>
    </row>
    <row r="278" spans="1:46" ht="15.75" customHeight="1">
      <c r="A278" s="76"/>
      <c r="B278" s="77">
        <f t="shared" ca="1" si="20"/>
        <v>1</v>
      </c>
      <c r="C278" s="78">
        <f t="shared" ca="1" si="21"/>
        <v>39</v>
      </c>
      <c r="D278" s="78">
        <f t="shared" ca="1" si="22"/>
        <v>5</v>
      </c>
      <c r="E278" s="78" t="str">
        <f t="shared" ca="1" si="23"/>
        <v/>
      </c>
      <c r="F278" s="78" t="str">
        <f t="shared" ca="1" si="24"/>
        <v/>
      </c>
      <c r="G278" s="79" t="str">
        <f t="shared" ca="1" si="25"/>
        <v/>
      </c>
      <c r="H278" s="80" t="str">
        <f t="shared" ca="1" si="26"/>
        <v/>
      </c>
      <c r="I278" s="100"/>
      <c r="J278" s="111"/>
      <c r="K278" s="111" t="s">
        <v>65</v>
      </c>
      <c r="L278" s="111"/>
      <c r="M278" s="111"/>
      <c r="N278" s="111"/>
      <c r="O278" s="111"/>
      <c r="P278" s="111"/>
      <c r="Q278" s="112"/>
      <c r="R278" s="113"/>
      <c r="S278" s="113"/>
      <c r="T278" s="115"/>
      <c r="U278" s="114"/>
      <c r="V278" s="115"/>
      <c r="W278" s="116"/>
      <c r="X278" s="117"/>
      <c r="Y278" s="118"/>
      <c r="Z278" s="119"/>
      <c r="AA278" s="92"/>
      <c r="AB278" s="93"/>
      <c r="AC278" s="94"/>
      <c r="AD278" s="95"/>
      <c r="AE278" s="96"/>
      <c r="AF278" s="97"/>
      <c r="AG278" s="97">
        <f t="shared" si="27"/>
        <v>0</v>
      </c>
      <c r="AH278" s="97">
        <f t="shared" si="28"/>
        <v>0</v>
      </c>
      <c r="AI278" s="97">
        <f t="shared" si="29"/>
        <v>0</v>
      </c>
      <c r="AJ278" s="97">
        <f t="shared" si="30"/>
        <v>0</v>
      </c>
      <c r="AK278" s="97" t="str">
        <f t="shared" si="31"/>
        <v/>
      </c>
      <c r="AL278" s="98">
        <f t="shared" ca="1" si="32"/>
        <v>1</v>
      </c>
      <c r="AM278" s="98">
        <f t="shared" ca="1" si="33"/>
        <v>39</v>
      </c>
      <c r="AN278" s="98">
        <f t="shared" ca="1" si="34"/>
        <v>5</v>
      </c>
      <c r="AO278" s="98">
        <f t="shared" ca="1" si="35"/>
        <v>0</v>
      </c>
      <c r="AP278" s="98">
        <f t="shared" ca="1" si="36"/>
        <v>0</v>
      </c>
      <c r="AQ278" s="98">
        <f t="shared" ca="1" si="37"/>
        <v>0</v>
      </c>
      <c r="AR278" s="98">
        <f t="shared" ca="1" si="38"/>
        <v>0</v>
      </c>
      <c r="AS278" s="99"/>
      <c r="AT278" s="98">
        <f t="shared" si="39"/>
        <v>1</v>
      </c>
    </row>
    <row r="279" spans="1:46" ht="15.75" customHeight="1">
      <c r="A279" s="76"/>
      <c r="B279" s="77">
        <f t="shared" ca="1" si="20"/>
        <v>1</v>
      </c>
      <c r="C279" s="78">
        <f t="shared" ca="1" si="21"/>
        <v>39</v>
      </c>
      <c r="D279" s="78">
        <f t="shared" ca="1" si="22"/>
        <v>6</v>
      </c>
      <c r="E279" s="78" t="str">
        <f t="shared" ca="1" si="23"/>
        <v/>
      </c>
      <c r="F279" s="78" t="str">
        <f t="shared" ca="1" si="24"/>
        <v/>
      </c>
      <c r="G279" s="79" t="str">
        <f t="shared" ca="1" si="25"/>
        <v/>
      </c>
      <c r="H279" s="80" t="str">
        <f t="shared" ca="1" si="26"/>
        <v/>
      </c>
      <c r="I279" s="100"/>
      <c r="J279" s="111"/>
      <c r="K279" s="111" t="s">
        <v>66</v>
      </c>
      <c r="L279" s="111"/>
      <c r="M279" s="111"/>
      <c r="N279" s="111"/>
      <c r="O279" s="111"/>
      <c r="P279" s="111"/>
      <c r="Q279" s="112"/>
      <c r="R279" s="113"/>
      <c r="S279" s="113"/>
      <c r="T279" s="115"/>
      <c r="U279" s="114"/>
      <c r="V279" s="115"/>
      <c r="W279" s="116"/>
      <c r="X279" s="117"/>
      <c r="Y279" s="118"/>
      <c r="Z279" s="119"/>
      <c r="AA279" s="92"/>
      <c r="AB279" s="93"/>
      <c r="AC279" s="94"/>
      <c r="AD279" s="95"/>
      <c r="AE279" s="96"/>
      <c r="AF279" s="97"/>
      <c r="AG279" s="97">
        <f t="shared" si="27"/>
        <v>0</v>
      </c>
      <c r="AH279" s="97">
        <f t="shared" si="28"/>
        <v>0</v>
      </c>
      <c r="AI279" s="97">
        <f t="shared" si="29"/>
        <v>0</v>
      </c>
      <c r="AJ279" s="97">
        <f t="shared" si="30"/>
        <v>0</v>
      </c>
      <c r="AK279" s="97" t="str">
        <f t="shared" si="31"/>
        <v/>
      </c>
      <c r="AL279" s="98">
        <f t="shared" ca="1" si="32"/>
        <v>1</v>
      </c>
      <c r="AM279" s="98">
        <f t="shared" ca="1" si="33"/>
        <v>39</v>
      </c>
      <c r="AN279" s="98">
        <f t="shared" ca="1" si="34"/>
        <v>6</v>
      </c>
      <c r="AO279" s="98">
        <f t="shared" ca="1" si="35"/>
        <v>0</v>
      </c>
      <c r="AP279" s="98">
        <f t="shared" ca="1" si="36"/>
        <v>0</v>
      </c>
      <c r="AQ279" s="98">
        <f t="shared" ca="1" si="37"/>
        <v>0</v>
      </c>
      <c r="AR279" s="98">
        <f t="shared" ca="1" si="38"/>
        <v>0</v>
      </c>
      <c r="AS279" s="99"/>
      <c r="AT279" s="98">
        <f t="shared" si="39"/>
        <v>1</v>
      </c>
    </row>
    <row r="280" spans="1:46" ht="15.75" customHeight="1">
      <c r="A280" s="76"/>
      <c r="B280" s="77">
        <f t="shared" ca="1" si="20"/>
        <v>1</v>
      </c>
      <c r="C280" s="78">
        <f t="shared" ca="1" si="21"/>
        <v>40</v>
      </c>
      <c r="D280" s="78" t="str">
        <f t="shared" ca="1" si="22"/>
        <v/>
      </c>
      <c r="E280" s="78" t="str">
        <f t="shared" ca="1" si="23"/>
        <v/>
      </c>
      <c r="F280" s="78" t="str">
        <f t="shared" ca="1" si="24"/>
        <v/>
      </c>
      <c r="G280" s="79" t="str">
        <f t="shared" ca="1" si="25"/>
        <v/>
      </c>
      <c r="H280" s="80" t="str">
        <f t="shared" ca="1" si="26"/>
        <v/>
      </c>
      <c r="I280" s="100"/>
      <c r="J280" s="101" t="s">
        <v>109</v>
      </c>
      <c r="K280" s="102"/>
      <c r="L280" s="102"/>
      <c r="M280" s="102"/>
      <c r="N280" s="102"/>
      <c r="O280" s="102"/>
      <c r="P280" s="102"/>
      <c r="Q280" s="103" t="s">
        <v>73</v>
      </c>
      <c r="R280" s="104"/>
      <c r="S280" s="104"/>
      <c r="T280" s="105"/>
      <c r="U280" s="106"/>
      <c r="V280" s="105"/>
      <c r="W280" s="107"/>
      <c r="X280" s="108"/>
      <c r="Y280" s="109"/>
      <c r="Z280" s="110"/>
      <c r="AA280" s="92"/>
      <c r="AB280" s="93"/>
      <c r="AC280" s="94"/>
      <c r="AD280" s="95"/>
      <c r="AE280" s="96"/>
      <c r="AF280" s="97"/>
      <c r="AG280" s="97">
        <f t="shared" si="27"/>
        <v>0</v>
      </c>
      <c r="AH280" s="97">
        <f t="shared" si="28"/>
        <v>0</v>
      </c>
      <c r="AI280" s="97">
        <f t="shared" si="29"/>
        <v>0</v>
      </c>
      <c r="AJ280" s="97">
        <f t="shared" si="30"/>
        <v>0</v>
      </c>
      <c r="AK280" s="97" t="str">
        <f t="shared" si="31"/>
        <v/>
      </c>
      <c r="AL280" s="98">
        <f t="shared" ca="1" si="32"/>
        <v>1</v>
      </c>
      <c r="AM280" s="98">
        <f t="shared" ca="1" si="33"/>
        <v>40</v>
      </c>
      <c r="AN280" s="98">
        <f t="shared" ca="1" si="34"/>
        <v>0</v>
      </c>
      <c r="AO280" s="98">
        <f t="shared" ca="1" si="35"/>
        <v>0</v>
      </c>
      <c r="AP280" s="98">
        <f t="shared" ca="1" si="36"/>
        <v>0</v>
      </c>
      <c r="AQ280" s="98">
        <f t="shared" ca="1" si="37"/>
        <v>0</v>
      </c>
      <c r="AR280" s="98">
        <f t="shared" ca="1" si="38"/>
        <v>0</v>
      </c>
      <c r="AS280" s="99"/>
      <c r="AT280" s="98">
        <f t="shared" si="39"/>
        <v>1</v>
      </c>
    </row>
    <row r="281" spans="1:46" ht="15.75" customHeight="1">
      <c r="A281" s="76"/>
      <c r="B281" s="77">
        <f t="shared" ca="1" si="20"/>
        <v>1</v>
      </c>
      <c r="C281" s="78">
        <f t="shared" ca="1" si="21"/>
        <v>40</v>
      </c>
      <c r="D281" s="78">
        <f t="shared" ca="1" si="22"/>
        <v>1</v>
      </c>
      <c r="E281" s="78" t="str">
        <f t="shared" ca="1" si="23"/>
        <v/>
      </c>
      <c r="F281" s="78" t="str">
        <f t="shared" ca="1" si="24"/>
        <v/>
      </c>
      <c r="G281" s="79" t="str">
        <f t="shared" ca="1" si="25"/>
        <v/>
      </c>
      <c r="H281" s="80" t="str">
        <f t="shared" ca="1" si="26"/>
        <v/>
      </c>
      <c r="I281" s="100"/>
      <c r="J281" s="111"/>
      <c r="K281" s="111" t="s">
        <v>59</v>
      </c>
      <c r="L281" s="111"/>
      <c r="M281" s="111"/>
      <c r="N281" s="111"/>
      <c r="O281" s="111"/>
      <c r="P281" s="111"/>
      <c r="Q281" s="112"/>
      <c r="R281" s="113"/>
      <c r="S281" s="113"/>
      <c r="T281" s="115"/>
      <c r="U281" s="114"/>
      <c r="V281" s="115"/>
      <c r="W281" s="116"/>
      <c r="X281" s="117"/>
      <c r="Y281" s="118"/>
      <c r="Z281" s="119"/>
      <c r="AA281" s="92"/>
      <c r="AB281" s="93"/>
      <c r="AC281" s="94"/>
      <c r="AD281" s="95"/>
      <c r="AE281" s="96"/>
      <c r="AF281" s="97"/>
      <c r="AG281" s="97">
        <f t="shared" si="27"/>
        <v>0</v>
      </c>
      <c r="AH281" s="97">
        <f t="shared" si="28"/>
        <v>0</v>
      </c>
      <c r="AI281" s="97">
        <f t="shared" si="29"/>
        <v>0</v>
      </c>
      <c r="AJ281" s="97">
        <f t="shared" si="30"/>
        <v>0</v>
      </c>
      <c r="AK281" s="97" t="str">
        <f t="shared" si="31"/>
        <v/>
      </c>
      <c r="AL281" s="98">
        <f t="shared" ca="1" si="32"/>
        <v>1</v>
      </c>
      <c r="AM281" s="98">
        <f t="shared" ca="1" si="33"/>
        <v>40</v>
      </c>
      <c r="AN281" s="98">
        <f t="shared" ca="1" si="34"/>
        <v>1</v>
      </c>
      <c r="AO281" s="98">
        <f t="shared" ca="1" si="35"/>
        <v>0</v>
      </c>
      <c r="AP281" s="98">
        <f t="shared" ca="1" si="36"/>
        <v>0</v>
      </c>
      <c r="AQ281" s="98">
        <f t="shared" ca="1" si="37"/>
        <v>0</v>
      </c>
      <c r="AR281" s="98">
        <f t="shared" ca="1" si="38"/>
        <v>0</v>
      </c>
      <c r="AS281" s="99"/>
      <c r="AT281" s="98">
        <f t="shared" si="39"/>
        <v>1</v>
      </c>
    </row>
    <row r="282" spans="1:46" ht="15.75" customHeight="1">
      <c r="A282" s="76"/>
      <c r="B282" s="77">
        <f t="shared" ca="1" si="20"/>
        <v>1</v>
      </c>
      <c r="C282" s="78">
        <f t="shared" ca="1" si="21"/>
        <v>40</v>
      </c>
      <c r="D282" s="78">
        <f t="shared" ca="1" si="22"/>
        <v>2</v>
      </c>
      <c r="E282" s="78" t="str">
        <f t="shared" ca="1" si="23"/>
        <v/>
      </c>
      <c r="F282" s="78" t="str">
        <f t="shared" ca="1" si="24"/>
        <v/>
      </c>
      <c r="G282" s="79" t="str">
        <f t="shared" ca="1" si="25"/>
        <v/>
      </c>
      <c r="H282" s="80" t="str">
        <f t="shared" ca="1" si="26"/>
        <v/>
      </c>
      <c r="I282" s="100"/>
      <c r="J282" s="111"/>
      <c r="K282" s="111" t="s">
        <v>61</v>
      </c>
      <c r="L282" s="111"/>
      <c r="M282" s="111"/>
      <c r="N282" s="111"/>
      <c r="O282" s="111"/>
      <c r="P282" s="111"/>
      <c r="Q282" s="112"/>
      <c r="R282" s="113"/>
      <c r="S282" s="113"/>
      <c r="T282" s="115"/>
      <c r="U282" s="114"/>
      <c r="V282" s="115"/>
      <c r="W282" s="116"/>
      <c r="X282" s="117"/>
      <c r="Y282" s="118"/>
      <c r="Z282" s="119"/>
      <c r="AA282" s="92"/>
      <c r="AB282" s="93"/>
      <c r="AC282" s="94"/>
      <c r="AD282" s="95"/>
      <c r="AE282" s="96"/>
      <c r="AF282" s="97"/>
      <c r="AG282" s="97">
        <f t="shared" si="27"/>
        <v>0</v>
      </c>
      <c r="AH282" s="97">
        <f t="shared" si="28"/>
        <v>0</v>
      </c>
      <c r="AI282" s="97">
        <f t="shared" si="29"/>
        <v>0</v>
      </c>
      <c r="AJ282" s="97">
        <f t="shared" si="30"/>
        <v>0</v>
      </c>
      <c r="AK282" s="97" t="str">
        <f t="shared" si="31"/>
        <v/>
      </c>
      <c r="AL282" s="98">
        <f t="shared" ca="1" si="32"/>
        <v>1</v>
      </c>
      <c r="AM282" s="98">
        <f t="shared" ca="1" si="33"/>
        <v>40</v>
      </c>
      <c r="AN282" s="98">
        <f t="shared" ca="1" si="34"/>
        <v>2</v>
      </c>
      <c r="AO282" s="98">
        <f t="shared" ca="1" si="35"/>
        <v>0</v>
      </c>
      <c r="AP282" s="98">
        <f t="shared" ca="1" si="36"/>
        <v>0</v>
      </c>
      <c r="AQ282" s="98">
        <f t="shared" ca="1" si="37"/>
        <v>0</v>
      </c>
      <c r="AR282" s="98">
        <f t="shared" ca="1" si="38"/>
        <v>0</v>
      </c>
      <c r="AS282" s="99"/>
      <c r="AT282" s="98">
        <f t="shared" si="39"/>
        <v>1</v>
      </c>
    </row>
    <row r="283" spans="1:46" ht="15.75" customHeight="1">
      <c r="A283" s="76"/>
      <c r="B283" s="77">
        <f t="shared" ca="1" si="20"/>
        <v>1</v>
      </c>
      <c r="C283" s="78">
        <f t="shared" ca="1" si="21"/>
        <v>40</v>
      </c>
      <c r="D283" s="78">
        <f t="shared" ca="1" si="22"/>
        <v>3</v>
      </c>
      <c r="E283" s="78" t="str">
        <f t="shared" ca="1" si="23"/>
        <v/>
      </c>
      <c r="F283" s="78" t="str">
        <f t="shared" ca="1" si="24"/>
        <v/>
      </c>
      <c r="G283" s="79" t="str">
        <f t="shared" ca="1" si="25"/>
        <v/>
      </c>
      <c r="H283" s="80" t="str">
        <f t="shared" ca="1" si="26"/>
        <v/>
      </c>
      <c r="I283" s="100"/>
      <c r="J283" s="111"/>
      <c r="K283" s="111" t="s">
        <v>63</v>
      </c>
      <c r="L283" s="111"/>
      <c r="M283" s="111"/>
      <c r="N283" s="111"/>
      <c r="O283" s="111"/>
      <c r="P283" s="111"/>
      <c r="Q283" s="112"/>
      <c r="R283" s="113"/>
      <c r="S283" s="113"/>
      <c r="T283" s="115"/>
      <c r="U283" s="114"/>
      <c r="V283" s="115"/>
      <c r="W283" s="116"/>
      <c r="X283" s="117"/>
      <c r="Y283" s="118"/>
      <c r="Z283" s="119"/>
      <c r="AA283" s="92"/>
      <c r="AB283" s="93"/>
      <c r="AC283" s="94"/>
      <c r="AD283" s="95"/>
      <c r="AE283" s="96"/>
      <c r="AF283" s="97"/>
      <c r="AG283" s="97">
        <f t="shared" si="27"/>
        <v>0</v>
      </c>
      <c r="AH283" s="97">
        <f t="shared" si="28"/>
        <v>0</v>
      </c>
      <c r="AI283" s="97">
        <f t="shared" si="29"/>
        <v>0</v>
      </c>
      <c r="AJ283" s="97">
        <f t="shared" si="30"/>
        <v>0</v>
      </c>
      <c r="AK283" s="97" t="str">
        <f t="shared" si="31"/>
        <v/>
      </c>
      <c r="AL283" s="98">
        <f t="shared" ca="1" si="32"/>
        <v>1</v>
      </c>
      <c r="AM283" s="98">
        <f t="shared" ca="1" si="33"/>
        <v>40</v>
      </c>
      <c r="AN283" s="98">
        <f t="shared" ca="1" si="34"/>
        <v>3</v>
      </c>
      <c r="AO283" s="98">
        <f t="shared" ca="1" si="35"/>
        <v>0</v>
      </c>
      <c r="AP283" s="98">
        <f t="shared" ca="1" si="36"/>
        <v>0</v>
      </c>
      <c r="AQ283" s="98">
        <f t="shared" ca="1" si="37"/>
        <v>0</v>
      </c>
      <c r="AR283" s="98">
        <f t="shared" ca="1" si="38"/>
        <v>0</v>
      </c>
      <c r="AS283" s="99"/>
      <c r="AT283" s="98">
        <f t="shared" si="39"/>
        <v>1</v>
      </c>
    </row>
    <row r="284" spans="1:46" ht="15.75" customHeight="1">
      <c r="A284" s="76"/>
      <c r="B284" s="77">
        <f t="shared" ca="1" si="20"/>
        <v>1</v>
      </c>
      <c r="C284" s="78">
        <f t="shared" ca="1" si="21"/>
        <v>40</v>
      </c>
      <c r="D284" s="78">
        <f t="shared" ca="1" si="22"/>
        <v>4</v>
      </c>
      <c r="E284" s="78" t="str">
        <f t="shared" ca="1" si="23"/>
        <v/>
      </c>
      <c r="F284" s="78" t="str">
        <f t="shared" ca="1" si="24"/>
        <v/>
      </c>
      <c r="G284" s="79" t="str">
        <f t="shared" ca="1" si="25"/>
        <v/>
      </c>
      <c r="H284" s="80" t="str">
        <f t="shared" ca="1" si="26"/>
        <v/>
      </c>
      <c r="I284" s="100"/>
      <c r="J284" s="111"/>
      <c r="K284" s="111" t="s">
        <v>64</v>
      </c>
      <c r="L284" s="111"/>
      <c r="M284" s="111"/>
      <c r="N284" s="111"/>
      <c r="O284" s="111"/>
      <c r="P284" s="111"/>
      <c r="Q284" s="112"/>
      <c r="R284" s="113"/>
      <c r="S284" s="113"/>
      <c r="T284" s="115"/>
      <c r="U284" s="114"/>
      <c r="V284" s="115"/>
      <c r="W284" s="116"/>
      <c r="X284" s="117"/>
      <c r="Y284" s="118"/>
      <c r="Z284" s="119"/>
      <c r="AA284" s="92"/>
      <c r="AB284" s="93"/>
      <c r="AC284" s="94"/>
      <c r="AD284" s="95"/>
      <c r="AE284" s="96"/>
      <c r="AF284" s="97"/>
      <c r="AG284" s="97">
        <f t="shared" si="27"/>
        <v>0</v>
      </c>
      <c r="AH284" s="97">
        <f t="shared" si="28"/>
        <v>0</v>
      </c>
      <c r="AI284" s="97">
        <f t="shared" si="29"/>
        <v>0</v>
      </c>
      <c r="AJ284" s="97">
        <f t="shared" si="30"/>
        <v>0</v>
      </c>
      <c r="AK284" s="97" t="str">
        <f t="shared" si="31"/>
        <v/>
      </c>
      <c r="AL284" s="98">
        <f t="shared" ca="1" si="32"/>
        <v>1</v>
      </c>
      <c r="AM284" s="98">
        <f t="shared" ca="1" si="33"/>
        <v>40</v>
      </c>
      <c r="AN284" s="98">
        <f t="shared" ca="1" si="34"/>
        <v>4</v>
      </c>
      <c r="AO284" s="98">
        <f t="shared" ca="1" si="35"/>
        <v>0</v>
      </c>
      <c r="AP284" s="98">
        <f t="shared" ca="1" si="36"/>
        <v>0</v>
      </c>
      <c r="AQ284" s="98">
        <f t="shared" ca="1" si="37"/>
        <v>0</v>
      </c>
      <c r="AR284" s="98">
        <f t="shared" ca="1" si="38"/>
        <v>0</v>
      </c>
      <c r="AS284" s="99"/>
      <c r="AT284" s="98">
        <f t="shared" si="39"/>
        <v>1</v>
      </c>
    </row>
    <row r="285" spans="1:46" ht="15.75" customHeight="1">
      <c r="A285" s="76"/>
      <c r="B285" s="77">
        <f t="shared" ca="1" si="20"/>
        <v>1</v>
      </c>
      <c r="C285" s="78">
        <f t="shared" ca="1" si="21"/>
        <v>40</v>
      </c>
      <c r="D285" s="78">
        <f t="shared" ca="1" si="22"/>
        <v>5</v>
      </c>
      <c r="E285" s="78" t="str">
        <f t="shared" ca="1" si="23"/>
        <v/>
      </c>
      <c r="F285" s="78" t="str">
        <f t="shared" ca="1" si="24"/>
        <v/>
      </c>
      <c r="G285" s="79" t="str">
        <f t="shared" ca="1" si="25"/>
        <v/>
      </c>
      <c r="H285" s="80" t="str">
        <f t="shared" ca="1" si="26"/>
        <v/>
      </c>
      <c r="I285" s="100"/>
      <c r="J285" s="111"/>
      <c r="K285" s="111" t="s">
        <v>65</v>
      </c>
      <c r="L285" s="111"/>
      <c r="M285" s="111"/>
      <c r="N285" s="111"/>
      <c r="O285" s="111"/>
      <c r="P285" s="111"/>
      <c r="Q285" s="112"/>
      <c r="R285" s="113"/>
      <c r="S285" s="113"/>
      <c r="T285" s="115"/>
      <c r="U285" s="114"/>
      <c r="V285" s="115"/>
      <c r="W285" s="116"/>
      <c r="X285" s="117"/>
      <c r="Y285" s="118"/>
      <c r="Z285" s="119"/>
      <c r="AA285" s="92"/>
      <c r="AB285" s="93"/>
      <c r="AC285" s="94"/>
      <c r="AD285" s="95"/>
      <c r="AE285" s="96"/>
      <c r="AF285" s="97"/>
      <c r="AG285" s="97">
        <f t="shared" si="27"/>
        <v>0</v>
      </c>
      <c r="AH285" s="97">
        <f t="shared" si="28"/>
        <v>0</v>
      </c>
      <c r="AI285" s="97">
        <f t="shared" si="29"/>
        <v>0</v>
      </c>
      <c r="AJ285" s="97">
        <f t="shared" si="30"/>
        <v>0</v>
      </c>
      <c r="AK285" s="97" t="str">
        <f t="shared" si="31"/>
        <v/>
      </c>
      <c r="AL285" s="98">
        <f t="shared" ca="1" si="32"/>
        <v>1</v>
      </c>
      <c r="AM285" s="98">
        <f t="shared" ca="1" si="33"/>
        <v>40</v>
      </c>
      <c r="AN285" s="98">
        <f t="shared" ca="1" si="34"/>
        <v>5</v>
      </c>
      <c r="AO285" s="98">
        <f t="shared" ca="1" si="35"/>
        <v>0</v>
      </c>
      <c r="AP285" s="98">
        <f t="shared" ca="1" si="36"/>
        <v>0</v>
      </c>
      <c r="AQ285" s="98">
        <f t="shared" ca="1" si="37"/>
        <v>0</v>
      </c>
      <c r="AR285" s="98">
        <f t="shared" ca="1" si="38"/>
        <v>0</v>
      </c>
      <c r="AS285" s="99"/>
      <c r="AT285" s="98">
        <f t="shared" si="39"/>
        <v>1</v>
      </c>
    </row>
    <row r="286" spans="1:46" ht="15.75" customHeight="1">
      <c r="A286" s="76"/>
      <c r="B286" s="77">
        <f t="shared" ca="1" si="20"/>
        <v>1</v>
      </c>
      <c r="C286" s="78">
        <f t="shared" ca="1" si="21"/>
        <v>40</v>
      </c>
      <c r="D286" s="78">
        <f t="shared" ca="1" si="22"/>
        <v>6</v>
      </c>
      <c r="E286" s="78" t="str">
        <f t="shared" ca="1" si="23"/>
        <v/>
      </c>
      <c r="F286" s="78" t="str">
        <f t="shared" ca="1" si="24"/>
        <v/>
      </c>
      <c r="G286" s="79" t="str">
        <f t="shared" ca="1" si="25"/>
        <v/>
      </c>
      <c r="H286" s="80" t="str">
        <f t="shared" ca="1" si="26"/>
        <v/>
      </c>
      <c r="I286" s="100"/>
      <c r="J286" s="111"/>
      <c r="K286" s="111" t="s">
        <v>66</v>
      </c>
      <c r="L286" s="111"/>
      <c r="M286" s="111"/>
      <c r="N286" s="111"/>
      <c r="O286" s="111"/>
      <c r="P286" s="111"/>
      <c r="Q286" s="112"/>
      <c r="R286" s="113"/>
      <c r="S286" s="113"/>
      <c r="T286" s="115"/>
      <c r="U286" s="114"/>
      <c r="V286" s="115"/>
      <c r="W286" s="116"/>
      <c r="X286" s="117"/>
      <c r="Y286" s="118"/>
      <c r="Z286" s="119"/>
      <c r="AA286" s="92"/>
      <c r="AB286" s="93"/>
      <c r="AC286" s="94"/>
      <c r="AD286" s="95"/>
      <c r="AE286" s="96"/>
      <c r="AF286" s="97"/>
      <c r="AG286" s="97">
        <f t="shared" si="27"/>
        <v>0</v>
      </c>
      <c r="AH286" s="97">
        <f t="shared" si="28"/>
        <v>0</v>
      </c>
      <c r="AI286" s="97">
        <f t="shared" si="29"/>
        <v>0</v>
      </c>
      <c r="AJ286" s="97">
        <f t="shared" si="30"/>
        <v>0</v>
      </c>
      <c r="AK286" s="97" t="str">
        <f t="shared" si="31"/>
        <v/>
      </c>
      <c r="AL286" s="98">
        <f t="shared" ca="1" si="32"/>
        <v>1</v>
      </c>
      <c r="AM286" s="98">
        <f t="shared" ca="1" si="33"/>
        <v>40</v>
      </c>
      <c r="AN286" s="98">
        <f t="shared" ca="1" si="34"/>
        <v>6</v>
      </c>
      <c r="AO286" s="98">
        <f t="shared" ca="1" si="35"/>
        <v>0</v>
      </c>
      <c r="AP286" s="98">
        <f t="shared" ca="1" si="36"/>
        <v>0</v>
      </c>
      <c r="AQ286" s="98">
        <f t="shared" ca="1" si="37"/>
        <v>0</v>
      </c>
      <c r="AR286" s="98">
        <f t="shared" ca="1" si="38"/>
        <v>0</v>
      </c>
      <c r="AS286" s="99"/>
      <c r="AT286" s="98">
        <f t="shared" si="39"/>
        <v>1</v>
      </c>
    </row>
    <row r="287" spans="1:46" ht="15.75" customHeight="1">
      <c r="A287" s="76"/>
      <c r="B287" s="77">
        <f t="shared" ca="1" si="20"/>
        <v>1</v>
      </c>
      <c r="C287" s="78">
        <f t="shared" ca="1" si="21"/>
        <v>41</v>
      </c>
      <c r="D287" s="78" t="str">
        <f t="shared" ca="1" si="22"/>
        <v/>
      </c>
      <c r="E287" s="78" t="str">
        <f t="shared" ca="1" si="23"/>
        <v/>
      </c>
      <c r="F287" s="78" t="str">
        <f t="shared" ca="1" si="24"/>
        <v/>
      </c>
      <c r="G287" s="79" t="str">
        <f t="shared" ca="1" si="25"/>
        <v/>
      </c>
      <c r="H287" s="80" t="str">
        <f t="shared" ca="1" si="26"/>
        <v/>
      </c>
      <c r="I287" s="100"/>
      <c r="J287" s="101" t="s">
        <v>110</v>
      </c>
      <c r="K287" s="102"/>
      <c r="L287" s="102"/>
      <c r="M287" s="102"/>
      <c r="N287" s="102"/>
      <c r="O287" s="102"/>
      <c r="P287" s="102"/>
      <c r="Q287" s="103" t="s">
        <v>58</v>
      </c>
      <c r="R287" s="104"/>
      <c r="S287" s="104"/>
      <c r="T287" s="105"/>
      <c r="U287" s="106"/>
      <c r="V287" s="105"/>
      <c r="W287" s="107"/>
      <c r="X287" s="108"/>
      <c r="Y287" s="109"/>
      <c r="Z287" s="110"/>
      <c r="AA287" s="92"/>
      <c r="AB287" s="93"/>
      <c r="AC287" s="94"/>
      <c r="AD287" s="95"/>
      <c r="AE287" s="96"/>
      <c r="AF287" s="97"/>
      <c r="AG287" s="97">
        <f t="shared" si="27"/>
        <v>0</v>
      </c>
      <c r="AH287" s="97">
        <f t="shared" si="28"/>
        <v>0</v>
      </c>
      <c r="AI287" s="97">
        <f t="shared" si="29"/>
        <v>0</v>
      </c>
      <c r="AJ287" s="97">
        <f t="shared" si="30"/>
        <v>0</v>
      </c>
      <c r="AK287" s="97" t="str">
        <f t="shared" si="31"/>
        <v/>
      </c>
      <c r="AL287" s="98">
        <f t="shared" ca="1" si="32"/>
        <v>1</v>
      </c>
      <c r="AM287" s="98">
        <f t="shared" ca="1" si="33"/>
        <v>41</v>
      </c>
      <c r="AN287" s="98">
        <f t="shared" ca="1" si="34"/>
        <v>0</v>
      </c>
      <c r="AO287" s="98">
        <f t="shared" ca="1" si="35"/>
        <v>0</v>
      </c>
      <c r="AP287" s="98">
        <f t="shared" ca="1" si="36"/>
        <v>0</v>
      </c>
      <c r="AQ287" s="98">
        <f t="shared" ca="1" si="37"/>
        <v>0</v>
      </c>
      <c r="AR287" s="98">
        <f t="shared" ca="1" si="38"/>
        <v>0</v>
      </c>
      <c r="AS287" s="99"/>
      <c r="AT287" s="98">
        <f t="shared" si="39"/>
        <v>1</v>
      </c>
    </row>
    <row r="288" spans="1:46" ht="15.75" customHeight="1">
      <c r="A288" s="76"/>
      <c r="B288" s="77">
        <f t="shared" ca="1" si="20"/>
        <v>1</v>
      </c>
      <c r="C288" s="78">
        <f t="shared" ca="1" si="21"/>
        <v>41</v>
      </c>
      <c r="D288" s="78">
        <f t="shared" ca="1" si="22"/>
        <v>1</v>
      </c>
      <c r="E288" s="78" t="str">
        <f t="shared" ca="1" si="23"/>
        <v/>
      </c>
      <c r="F288" s="78" t="str">
        <f t="shared" ca="1" si="24"/>
        <v/>
      </c>
      <c r="G288" s="79" t="str">
        <f t="shared" ca="1" si="25"/>
        <v/>
      </c>
      <c r="H288" s="80" t="str">
        <f t="shared" ca="1" si="26"/>
        <v/>
      </c>
      <c r="I288" s="100"/>
      <c r="J288" s="111"/>
      <c r="K288" s="111" t="s">
        <v>59</v>
      </c>
      <c r="L288" s="111"/>
      <c r="M288" s="111"/>
      <c r="N288" s="111"/>
      <c r="O288" s="111"/>
      <c r="P288" s="111"/>
      <c r="Q288" s="112"/>
      <c r="R288" s="113"/>
      <c r="S288" s="113"/>
      <c r="T288" s="115"/>
      <c r="U288" s="114"/>
      <c r="V288" s="115"/>
      <c r="W288" s="116"/>
      <c r="X288" s="117"/>
      <c r="Y288" s="118"/>
      <c r="Z288" s="119"/>
      <c r="AA288" s="92"/>
      <c r="AB288" s="93"/>
      <c r="AC288" s="94"/>
      <c r="AD288" s="95"/>
      <c r="AE288" s="96"/>
      <c r="AF288" s="97"/>
      <c r="AG288" s="97">
        <f t="shared" si="27"/>
        <v>0</v>
      </c>
      <c r="AH288" s="97">
        <f t="shared" si="28"/>
        <v>0</v>
      </c>
      <c r="AI288" s="97">
        <f t="shared" si="29"/>
        <v>0</v>
      </c>
      <c r="AJ288" s="97">
        <f t="shared" si="30"/>
        <v>0</v>
      </c>
      <c r="AK288" s="97" t="str">
        <f t="shared" si="31"/>
        <v/>
      </c>
      <c r="AL288" s="98">
        <f t="shared" ca="1" si="32"/>
        <v>1</v>
      </c>
      <c r="AM288" s="98">
        <f t="shared" ca="1" si="33"/>
        <v>41</v>
      </c>
      <c r="AN288" s="98">
        <f t="shared" ca="1" si="34"/>
        <v>1</v>
      </c>
      <c r="AO288" s="98">
        <f t="shared" ca="1" si="35"/>
        <v>0</v>
      </c>
      <c r="AP288" s="98">
        <f t="shared" ca="1" si="36"/>
        <v>0</v>
      </c>
      <c r="AQ288" s="98">
        <f t="shared" ca="1" si="37"/>
        <v>0</v>
      </c>
      <c r="AR288" s="98">
        <f t="shared" ca="1" si="38"/>
        <v>0</v>
      </c>
      <c r="AS288" s="99"/>
      <c r="AT288" s="98">
        <f t="shared" si="39"/>
        <v>1</v>
      </c>
    </row>
    <row r="289" spans="1:46" ht="15.75" customHeight="1">
      <c r="A289" s="76"/>
      <c r="B289" s="77">
        <f t="shared" ca="1" si="20"/>
        <v>1</v>
      </c>
      <c r="C289" s="78">
        <f t="shared" ca="1" si="21"/>
        <v>41</v>
      </c>
      <c r="D289" s="78">
        <f t="shared" ca="1" si="22"/>
        <v>2</v>
      </c>
      <c r="E289" s="78" t="str">
        <f t="shared" ca="1" si="23"/>
        <v/>
      </c>
      <c r="F289" s="78" t="str">
        <f t="shared" ca="1" si="24"/>
        <v/>
      </c>
      <c r="G289" s="79" t="str">
        <f t="shared" ca="1" si="25"/>
        <v/>
      </c>
      <c r="H289" s="80" t="str">
        <f t="shared" ca="1" si="26"/>
        <v/>
      </c>
      <c r="I289" s="100"/>
      <c r="J289" s="111"/>
      <c r="K289" s="111" t="s">
        <v>61</v>
      </c>
      <c r="L289" s="111"/>
      <c r="M289" s="111"/>
      <c r="N289" s="111"/>
      <c r="O289" s="111"/>
      <c r="P289" s="111"/>
      <c r="Q289" s="112"/>
      <c r="R289" s="113"/>
      <c r="S289" s="113"/>
      <c r="T289" s="115"/>
      <c r="U289" s="114"/>
      <c r="V289" s="115"/>
      <c r="W289" s="116"/>
      <c r="X289" s="117"/>
      <c r="Y289" s="118"/>
      <c r="Z289" s="119"/>
      <c r="AA289" s="92"/>
      <c r="AB289" s="93"/>
      <c r="AC289" s="94"/>
      <c r="AD289" s="95"/>
      <c r="AE289" s="96"/>
      <c r="AF289" s="97"/>
      <c r="AG289" s="97">
        <f t="shared" si="27"/>
        <v>0</v>
      </c>
      <c r="AH289" s="97">
        <f t="shared" si="28"/>
        <v>0</v>
      </c>
      <c r="AI289" s="97">
        <f t="shared" si="29"/>
        <v>0</v>
      </c>
      <c r="AJ289" s="97">
        <f t="shared" si="30"/>
        <v>0</v>
      </c>
      <c r="AK289" s="97" t="str">
        <f t="shared" si="31"/>
        <v/>
      </c>
      <c r="AL289" s="98">
        <f t="shared" ca="1" si="32"/>
        <v>1</v>
      </c>
      <c r="AM289" s="98">
        <f t="shared" ca="1" si="33"/>
        <v>41</v>
      </c>
      <c r="AN289" s="98">
        <f t="shared" ca="1" si="34"/>
        <v>2</v>
      </c>
      <c r="AO289" s="98">
        <f t="shared" ca="1" si="35"/>
        <v>0</v>
      </c>
      <c r="AP289" s="98">
        <f t="shared" ca="1" si="36"/>
        <v>0</v>
      </c>
      <c r="AQ289" s="98">
        <f t="shared" ca="1" si="37"/>
        <v>0</v>
      </c>
      <c r="AR289" s="98">
        <f t="shared" ca="1" si="38"/>
        <v>0</v>
      </c>
      <c r="AS289" s="99"/>
      <c r="AT289" s="98">
        <f t="shared" si="39"/>
        <v>1</v>
      </c>
    </row>
    <row r="290" spans="1:46" ht="15.75" customHeight="1">
      <c r="A290" s="76"/>
      <c r="B290" s="77">
        <f t="shared" ca="1" si="20"/>
        <v>1</v>
      </c>
      <c r="C290" s="78">
        <f t="shared" ca="1" si="21"/>
        <v>41</v>
      </c>
      <c r="D290" s="78">
        <f t="shared" ca="1" si="22"/>
        <v>3</v>
      </c>
      <c r="E290" s="78" t="str">
        <f t="shared" ca="1" si="23"/>
        <v/>
      </c>
      <c r="F290" s="78" t="str">
        <f t="shared" ca="1" si="24"/>
        <v/>
      </c>
      <c r="G290" s="79" t="str">
        <f t="shared" ca="1" si="25"/>
        <v/>
      </c>
      <c r="H290" s="80" t="str">
        <f t="shared" ca="1" si="26"/>
        <v/>
      </c>
      <c r="I290" s="100"/>
      <c r="J290" s="111"/>
      <c r="K290" s="111" t="s">
        <v>63</v>
      </c>
      <c r="L290" s="111"/>
      <c r="M290" s="111"/>
      <c r="N290" s="111"/>
      <c r="O290" s="111"/>
      <c r="P290" s="111"/>
      <c r="Q290" s="112"/>
      <c r="R290" s="113"/>
      <c r="S290" s="113"/>
      <c r="T290" s="115"/>
      <c r="U290" s="114"/>
      <c r="V290" s="115"/>
      <c r="W290" s="116"/>
      <c r="X290" s="117"/>
      <c r="Y290" s="118"/>
      <c r="Z290" s="119"/>
      <c r="AA290" s="92"/>
      <c r="AB290" s="93"/>
      <c r="AC290" s="94"/>
      <c r="AD290" s="95"/>
      <c r="AE290" s="96"/>
      <c r="AF290" s="97"/>
      <c r="AG290" s="97">
        <f t="shared" si="27"/>
        <v>0</v>
      </c>
      <c r="AH290" s="97">
        <f t="shared" si="28"/>
        <v>0</v>
      </c>
      <c r="AI290" s="97">
        <f t="shared" si="29"/>
        <v>0</v>
      </c>
      <c r="AJ290" s="97">
        <f t="shared" si="30"/>
        <v>0</v>
      </c>
      <c r="AK290" s="97" t="str">
        <f t="shared" si="31"/>
        <v/>
      </c>
      <c r="AL290" s="98">
        <f t="shared" ca="1" si="32"/>
        <v>1</v>
      </c>
      <c r="AM290" s="98">
        <f t="shared" ca="1" si="33"/>
        <v>41</v>
      </c>
      <c r="AN290" s="98">
        <f t="shared" ca="1" si="34"/>
        <v>3</v>
      </c>
      <c r="AO290" s="98">
        <f t="shared" ca="1" si="35"/>
        <v>0</v>
      </c>
      <c r="AP290" s="98">
        <f t="shared" ca="1" si="36"/>
        <v>0</v>
      </c>
      <c r="AQ290" s="98">
        <f t="shared" ca="1" si="37"/>
        <v>0</v>
      </c>
      <c r="AR290" s="98">
        <f t="shared" ca="1" si="38"/>
        <v>0</v>
      </c>
      <c r="AS290" s="99"/>
      <c r="AT290" s="98">
        <f t="shared" si="39"/>
        <v>1</v>
      </c>
    </row>
    <row r="291" spans="1:46" ht="15.75" customHeight="1">
      <c r="A291" s="76"/>
      <c r="B291" s="77">
        <f t="shared" ca="1" si="20"/>
        <v>1</v>
      </c>
      <c r="C291" s="78">
        <f t="shared" ca="1" si="21"/>
        <v>41</v>
      </c>
      <c r="D291" s="78">
        <f t="shared" ca="1" si="22"/>
        <v>4</v>
      </c>
      <c r="E291" s="78" t="str">
        <f t="shared" ca="1" si="23"/>
        <v/>
      </c>
      <c r="F291" s="78" t="str">
        <f t="shared" ca="1" si="24"/>
        <v/>
      </c>
      <c r="G291" s="79" t="str">
        <f t="shared" ca="1" si="25"/>
        <v/>
      </c>
      <c r="H291" s="80" t="str">
        <f t="shared" ca="1" si="26"/>
        <v/>
      </c>
      <c r="I291" s="100"/>
      <c r="J291" s="111"/>
      <c r="K291" s="111" t="s">
        <v>64</v>
      </c>
      <c r="L291" s="111"/>
      <c r="M291" s="111"/>
      <c r="N291" s="111"/>
      <c r="O291" s="111"/>
      <c r="P291" s="111"/>
      <c r="Q291" s="112"/>
      <c r="R291" s="113"/>
      <c r="S291" s="113"/>
      <c r="T291" s="115"/>
      <c r="U291" s="114"/>
      <c r="V291" s="115"/>
      <c r="W291" s="116"/>
      <c r="X291" s="117"/>
      <c r="Y291" s="118"/>
      <c r="Z291" s="119"/>
      <c r="AA291" s="92"/>
      <c r="AB291" s="93"/>
      <c r="AC291" s="94"/>
      <c r="AD291" s="95"/>
      <c r="AE291" s="96"/>
      <c r="AF291" s="97"/>
      <c r="AG291" s="97">
        <f t="shared" si="27"/>
        <v>0</v>
      </c>
      <c r="AH291" s="97">
        <f t="shared" si="28"/>
        <v>0</v>
      </c>
      <c r="AI291" s="97">
        <f t="shared" si="29"/>
        <v>0</v>
      </c>
      <c r="AJ291" s="97">
        <f t="shared" si="30"/>
        <v>0</v>
      </c>
      <c r="AK291" s="97" t="str">
        <f t="shared" si="31"/>
        <v/>
      </c>
      <c r="AL291" s="98">
        <f t="shared" ca="1" si="32"/>
        <v>1</v>
      </c>
      <c r="AM291" s="98">
        <f t="shared" ca="1" si="33"/>
        <v>41</v>
      </c>
      <c r="AN291" s="98">
        <f t="shared" ca="1" si="34"/>
        <v>4</v>
      </c>
      <c r="AO291" s="98">
        <f t="shared" ca="1" si="35"/>
        <v>0</v>
      </c>
      <c r="AP291" s="98">
        <f t="shared" ca="1" si="36"/>
        <v>0</v>
      </c>
      <c r="AQ291" s="98">
        <f t="shared" ca="1" si="37"/>
        <v>0</v>
      </c>
      <c r="AR291" s="98">
        <f t="shared" ca="1" si="38"/>
        <v>0</v>
      </c>
      <c r="AS291" s="99"/>
      <c r="AT291" s="98">
        <f t="shared" si="39"/>
        <v>1</v>
      </c>
    </row>
    <row r="292" spans="1:46" ht="15.75" customHeight="1">
      <c r="A292" s="76"/>
      <c r="B292" s="77">
        <f t="shared" ca="1" si="20"/>
        <v>1</v>
      </c>
      <c r="C292" s="78">
        <f t="shared" ca="1" si="21"/>
        <v>41</v>
      </c>
      <c r="D292" s="78">
        <f t="shared" ca="1" si="22"/>
        <v>5</v>
      </c>
      <c r="E292" s="78" t="str">
        <f t="shared" ca="1" si="23"/>
        <v/>
      </c>
      <c r="F292" s="78" t="str">
        <f t="shared" ca="1" si="24"/>
        <v/>
      </c>
      <c r="G292" s="79" t="str">
        <f t="shared" ca="1" si="25"/>
        <v/>
      </c>
      <c r="H292" s="80" t="str">
        <f t="shared" ca="1" si="26"/>
        <v/>
      </c>
      <c r="I292" s="100"/>
      <c r="J292" s="111"/>
      <c r="K292" s="111" t="s">
        <v>65</v>
      </c>
      <c r="L292" s="111"/>
      <c r="M292" s="111"/>
      <c r="N292" s="111"/>
      <c r="O292" s="111"/>
      <c r="P292" s="111"/>
      <c r="Q292" s="112"/>
      <c r="R292" s="113"/>
      <c r="S292" s="113"/>
      <c r="T292" s="115"/>
      <c r="U292" s="114"/>
      <c r="V292" s="115"/>
      <c r="W292" s="116"/>
      <c r="X292" s="117"/>
      <c r="Y292" s="118"/>
      <c r="Z292" s="119"/>
      <c r="AA292" s="92"/>
      <c r="AB292" s="93"/>
      <c r="AC292" s="94"/>
      <c r="AD292" s="95"/>
      <c r="AE292" s="96"/>
      <c r="AF292" s="97"/>
      <c r="AG292" s="97">
        <f t="shared" si="27"/>
        <v>0</v>
      </c>
      <c r="AH292" s="97">
        <f t="shared" si="28"/>
        <v>0</v>
      </c>
      <c r="AI292" s="97">
        <f t="shared" si="29"/>
        <v>0</v>
      </c>
      <c r="AJ292" s="97">
        <f t="shared" si="30"/>
        <v>0</v>
      </c>
      <c r="AK292" s="97" t="str">
        <f t="shared" si="31"/>
        <v/>
      </c>
      <c r="AL292" s="98">
        <f t="shared" ca="1" si="32"/>
        <v>1</v>
      </c>
      <c r="AM292" s="98">
        <f t="shared" ca="1" si="33"/>
        <v>41</v>
      </c>
      <c r="AN292" s="98">
        <f t="shared" ca="1" si="34"/>
        <v>5</v>
      </c>
      <c r="AO292" s="98">
        <f t="shared" ca="1" si="35"/>
        <v>0</v>
      </c>
      <c r="AP292" s="98">
        <f t="shared" ca="1" si="36"/>
        <v>0</v>
      </c>
      <c r="AQ292" s="98">
        <f t="shared" ca="1" si="37"/>
        <v>0</v>
      </c>
      <c r="AR292" s="98">
        <f t="shared" ca="1" si="38"/>
        <v>0</v>
      </c>
      <c r="AS292" s="99"/>
      <c r="AT292" s="98">
        <f t="shared" si="39"/>
        <v>1</v>
      </c>
    </row>
    <row r="293" spans="1:46" ht="15.75" customHeight="1">
      <c r="A293" s="76"/>
      <c r="B293" s="77">
        <f t="shared" ca="1" si="20"/>
        <v>1</v>
      </c>
      <c r="C293" s="78">
        <f t="shared" ca="1" si="21"/>
        <v>41</v>
      </c>
      <c r="D293" s="78">
        <f t="shared" ca="1" si="22"/>
        <v>6</v>
      </c>
      <c r="E293" s="78" t="str">
        <f t="shared" ca="1" si="23"/>
        <v/>
      </c>
      <c r="F293" s="78" t="str">
        <f t="shared" ca="1" si="24"/>
        <v/>
      </c>
      <c r="G293" s="79" t="str">
        <f t="shared" ca="1" si="25"/>
        <v/>
      </c>
      <c r="H293" s="80" t="str">
        <f t="shared" ca="1" si="26"/>
        <v/>
      </c>
      <c r="I293" s="100"/>
      <c r="J293" s="111"/>
      <c r="K293" s="111" t="s">
        <v>66</v>
      </c>
      <c r="L293" s="111"/>
      <c r="M293" s="111"/>
      <c r="N293" s="111"/>
      <c r="O293" s="111"/>
      <c r="P293" s="111"/>
      <c r="Q293" s="112"/>
      <c r="R293" s="113"/>
      <c r="S293" s="113"/>
      <c r="T293" s="115"/>
      <c r="U293" s="114"/>
      <c r="V293" s="115"/>
      <c r="W293" s="116"/>
      <c r="X293" s="117"/>
      <c r="Y293" s="118"/>
      <c r="Z293" s="119"/>
      <c r="AA293" s="92"/>
      <c r="AB293" s="93"/>
      <c r="AC293" s="94"/>
      <c r="AD293" s="95"/>
      <c r="AE293" s="96"/>
      <c r="AF293" s="97"/>
      <c r="AG293" s="97">
        <f t="shared" si="27"/>
        <v>0</v>
      </c>
      <c r="AH293" s="97">
        <f t="shared" si="28"/>
        <v>0</v>
      </c>
      <c r="AI293" s="97">
        <f t="shared" si="29"/>
        <v>0</v>
      </c>
      <c r="AJ293" s="97">
        <f t="shared" si="30"/>
        <v>0</v>
      </c>
      <c r="AK293" s="97" t="str">
        <f t="shared" si="31"/>
        <v/>
      </c>
      <c r="AL293" s="98">
        <f t="shared" ca="1" si="32"/>
        <v>1</v>
      </c>
      <c r="AM293" s="98">
        <f t="shared" ca="1" si="33"/>
        <v>41</v>
      </c>
      <c r="AN293" s="98">
        <f t="shared" ca="1" si="34"/>
        <v>6</v>
      </c>
      <c r="AO293" s="98">
        <f t="shared" ca="1" si="35"/>
        <v>0</v>
      </c>
      <c r="AP293" s="98">
        <f t="shared" ca="1" si="36"/>
        <v>0</v>
      </c>
      <c r="AQ293" s="98">
        <f t="shared" ca="1" si="37"/>
        <v>0</v>
      </c>
      <c r="AR293" s="98">
        <f t="shared" ca="1" si="38"/>
        <v>0</v>
      </c>
      <c r="AS293" s="99"/>
      <c r="AT293" s="98">
        <f t="shared" si="39"/>
        <v>1</v>
      </c>
    </row>
    <row r="294" spans="1:46" ht="15.75" customHeight="1">
      <c r="A294" s="76"/>
      <c r="B294" s="77">
        <f t="shared" ca="1" si="20"/>
        <v>1</v>
      </c>
      <c r="C294" s="78">
        <f t="shared" ca="1" si="21"/>
        <v>42</v>
      </c>
      <c r="D294" s="78" t="str">
        <f t="shared" ca="1" si="22"/>
        <v/>
      </c>
      <c r="E294" s="78" t="str">
        <f t="shared" ca="1" si="23"/>
        <v/>
      </c>
      <c r="F294" s="78" t="str">
        <f t="shared" ca="1" si="24"/>
        <v/>
      </c>
      <c r="G294" s="79" t="str">
        <f t="shared" ca="1" si="25"/>
        <v/>
      </c>
      <c r="H294" s="80" t="str">
        <f t="shared" ca="1" si="26"/>
        <v/>
      </c>
      <c r="I294" s="100"/>
      <c r="J294" s="101" t="s">
        <v>111</v>
      </c>
      <c r="K294" s="102"/>
      <c r="L294" s="102"/>
      <c r="M294" s="102"/>
      <c r="N294" s="102"/>
      <c r="O294" s="102"/>
      <c r="P294" s="102"/>
      <c r="Q294" s="103" t="s">
        <v>58</v>
      </c>
      <c r="R294" s="104"/>
      <c r="S294" s="104"/>
      <c r="T294" s="105"/>
      <c r="U294" s="106"/>
      <c r="V294" s="105"/>
      <c r="W294" s="107"/>
      <c r="X294" s="108"/>
      <c r="Y294" s="109"/>
      <c r="Z294" s="110"/>
      <c r="AA294" s="92"/>
      <c r="AB294" s="93"/>
      <c r="AC294" s="94"/>
      <c r="AD294" s="95"/>
      <c r="AE294" s="96"/>
      <c r="AF294" s="97"/>
      <c r="AG294" s="97">
        <f t="shared" si="27"/>
        <v>0</v>
      </c>
      <c r="AH294" s="97">
        <f t="shared" si="28"/>
        <v>0</v>
      </c>
      <c r="AI294" s="97">
        <f t="shared" si="29"/>
        <v>0</v>
      </c>
      <c r="AJ294" s="97">
        <f t="shared" si="30"/>
        <v>0</v>
      </c>
      <c r="AK294" s="97" t="str">
        <f t="shared" si="31"/>
        <v/>
      </c>
      <c r="AL294" s="98">
        <f t="shared" ca="1" si="32"/>
        <v>1</v>
      </c>
      <c r="AM294" s="98">
        <f t="shared" ca="1" si="33"/>
        <v>42</v>
      </c>
      <c r="AN294" s="98">
        <f t="shared" ca="1" si="34"/>
        <v>0</v>
      </c>
      <c r="AO294" s="98">
        <f t="shared" ca="1" si="35"/>
        <v>0</v>
      </c>
      <c r="AP294" s="98">
        <f t="shared" ca="1" si="36"/>
        <v>0</v>
      </c>
      <c r="AQ294" s="98">
        <f t="shared" ca="1" si="37"/>
        <v>0</v>
      </c>
      <c r="AR294" s="98">
        <f t="shared" ca="1" si="38"/>
        <v>0</v>
      </c>
      <c r="AS294" s="99"/>
      <c r="AT294" s="98">
        <f t="shared" si="39"/>
        <v>1</v>
      </c>
    </row>
    <row r="295" spans="1:46" ht="15.75" customHeight="1">
      <c r="A295" s="76"/>
      <c r="B295" s="77">
        <f t="shared" ca="1" si="20"/>
        <v>1</v>
      </c>
      <c r="C295" s="78">
        <f t="shared" ca="1" si="21"/>
        <v>42</v>
      </c>
      <c r="D295" s="78">
        <f t="shared" ca="1" si="22"/>
        <v>1</v>
      </c>
      <c r="E295" s="78" t="str">
        <f t="shared" ca="1" si="23"/>
        <v/>
      </c>
      <c r="F295" s="78" t="str">
        <f t="shared" ca="1" si="24"/>
        <v/>
      </c>
      <c r="G295" s="79" t="str">
        <f t="shared" ca="1" si="25"/>
        <v/>
      </c>
      <c r="H295" s="80" t="str">
        <f t="shared" ca="1" si="26"/>
        <v/>
      </c>
      <c r="I295" s="100"/>
      <c r="J295" s="111"/>
      <c r="K295" s="111" t="s">
        <v>59</v>
      </c>
      <c r="L295" s="111"/>
      <c r="M295" s="111"/>
      <c r="N295" s="111"/>
      <c r="O295" s="111"/>
      <c r="P295" s="111"/>
      <c r="Q295" s="112"/>
      <c r="R295" s="113"/>
      <c r="S295" s="113"/>
      <c r="T295" s="115"/>
      <c r="U295" s="114"/>
      <c r="V295" s="115"/>
      <c r="W295" s="116"/>
      <c r="X295" s="117"/>
      <c r="Y295" s="118"/>
      <c r="Z295" s="119"/>
      <c r="AA295" s="92"/>
      <c r="AB295" s="93"/>
      <c r="AC295" s="94"/>
      <c r="AD295" s="95"/>
      <c r="AE295" s="96"/>
      <c r="AF295" s="97"/>
      <c r="AG295" s="97">
        <f t="shared" si="27"/>
        <v>0</v>
      </c>
      <c r="AH295" s="97">
        <f t="shared" si="28"/>
        <v>0</v>
      </c>
      <c r="AI295" s="97">
        <f t="shared" si="29"/>
        <v>0</v>
      </c>
      <c r="AJ295" s="97">
        <f t="shared" si="30"/>
        <v>0</v>
      </c>
      <c r="AK295" s="97" t="str">
        <f t="shared" si="31"/>
        <v/>
      </c>
      <c r="AL295" s="98">
        <f t="shared" ca="1" si="32"/>
        <v>1</v>
      </c>
      <c r="AM295" s="98">
        <f t="shared" ca="1" si="33"/>
        <v>42</v>
      </c>
      <c r="AN295" s="98">
        <f t="shared" ca="1" si="34"/>
        <v>1</v>
      </c>
      <c r="AO295" s="98">
        <f t="shared" ca="1" si="35"/>
        <v>0</v>
      </c>
      <c r="AP295" s="98">
        <f t="shared" ca="1" si="36"/>
        <v>0</v>
      </c>
      <c r="AQ295" s="98">
        <f t="shared" ca="1" si="37"/>
        <v>0</v>
      </c>
      <c r="AR295" s="98">
        <f t="shared" ca="1" si="38"/>
        <v>0</v>
      </c>
      <c r="AS295" s="99"/>
      <c r="AT295" s="98">
        <f t="shared" si="39"/>
        <v>1</v>
      </c>
    </row>
    <row r="296" spans="1:46" ht="15.75" customHeight="1">
      <c r="A296" s="76"/>
      <c r="B296" s="77">
        <f t="shared" ca="1" si="20"/>
        <v>1</v>
      </c>
      <c r="C296" s="78">
        <f t="shared" ca="1" si="21"/>
        <v>42</v>
      </c>
      <c r="D296" s="78">
        <f t="shared" ca="1" si="22"/>
        <v>2</v>
      </c>
      <c r="E296" s="78" t="str">
        <f t="shared" ca="1" si="23"/>
        <v/>
      </c>
      <c r="F296" s="78" t="str">
        <f t="shared" ca="1" si="24"/>
        <v/>
      </c>
      <c r="G296" s="79" t="str">
        <f t="shared" ca="1" si="25"/>
        <v/>
      </c>
      <c r="H296" s="80" t="str">
        <f t="shared" ca="1" si="26"/>
        <v/>
      </c>
      <c r="I296" s="100"/>
      <c r="J296" s="111"/>
      <c r="K296" s="111" t="s">
        <v>61</v>
      </c>
      <c r="L296" s="111"/>
      <c r="M296" s="111"/>
      <c r="N296" s="111"/>
      <c r="O296" s="111"/>
      <c r="P296" s="111"/>
      <c r="Q296" s="112"/>
      <c r="R296" s="113"/>
      <c r="S296" s="113"/>
      <c r="T296" s="115"/>
      <c r="U296" s="114"/>
      <c r="V296" s="115"/>
      <c r="W296" s="116"/>
      <c r="X296" s="117"/>
      <c r="Y296" s="118"/>
      <c r="Z296" s="119"/>
      <c r="AA296" s="92"/>
      <c r="AB296" s="93"/>
      <c r="AC296" s="94"/>
      <c r="AD296" s="95"/>
      <c r="AE296" s="96"/>
      <c r="AF296" s="97"/>
      <c r="AG296" s="97">
        <f t="shared" si="27"/>
        <v>0</v>
      </c>
      <c r="AH296" s="97">
        <f t="shared" si="28"/>
        <v>0</v>
      </c>
      <c r="AI296" s="97">
        <f t="shared" si="29"/>
        <v>0</v>
      </c>
      <c r="AJ296" s="97">
        <f t="shared" si="30"/>
        <v>0</v>
      </c>
      <c r="AK296" s="97" t="str">
        <f t="shared" si="31"/>
        <v/>
      </c>
      <c r="AL296" s="98">
        <f t="shared" ca="1" si="32"/>
        <v>1</v>
      </c>
      <c r="AM296" s="98">
        <f t="shared" ca="1" si="33"/>
        <v>42</v>
      </c>
      <c r="AN296" s="98">
        <f t="shared" ca="1" si="34"/>
        <v>2</v>
      </c>
      <c r="AO296" s="98">
        <f t="shared" ca="1" si="35"/>
        <v>0</v>
      </c>
      <c r="AP296" s="98">
        <f t="shared" ca="1" si="36"/>
        <v>0</v>
      </c>
      <c r="AQ296" s="98">
        <f t="shared" ca="1" si="37"/>
        <v>0</v>
      </c>
      <c r="AR296" s="98">
        <f t="shared" ca="1" si="38"/>
        <v>0</v>
      </c>
      <c r="AS296" s="99"/>
      <c r="AT296" s="98">
        <f t="shared" si="39"/>
        <v>1</v>
      </c>
    </row>
    <row r="297" spans="1:46" ht="15.75" customHeight="1">
      <c r="A297" s="76"/>
      <c r="B297" s="77">
        <f t="shared" ca="1" si="20"/>
        <v>1</v>
      </c>
      <c r="C297" s="78">
        <f t="shared" ca="1" si="21"/>
        <v>42</v>
      </c>
      <c r="D297" s="78">
        <f t="shared" ca="1" si="22"/>
        <v>3</v>
      </c>
      <c r="E297" s="78" t="str">
        <f t="shared" ca="1" si="23"/>
        <v/>
      </c>
      <c r="F297" s="78" t="str">
        <f t="shared" ca="1" si="24"/>
        <v/>
      </c>
      <c r="G297" s="79" t="str">
        <f t="shared" ca="1" si="25"/>
        <v/>
      </c>
      <c r="H297" s="80" t="str">
        <f t="shared" ca="1" si="26"/>
        <v/>
      </c>
      <c r="I297" s="100"/>
      <c r="J297" s="111"/>
      <c r="K297" s="111" t="s">
        <v>63</v>
      </c>
      <c r="L297" s="111"/>
      <c r="M297" s="111"/>
      <c r="N297" s="111"/>
      <c r="O297" s="111"/>
      <c r="P297" s="111"/>
      <c r="Q297" s="112"/>
      <c r="R297" s="113"/>
      <c r="S297" s="113"/>
      <c r="T297" s="115"/>
      <c r="U297" s="114"/>
      <c r="V297" s="115"/>
      <c r="W297" s="116"/>
      <c r="X297" s="117"/>
      <c r="Y297" s="118"/>
      <c r="Z297" s="119"/>
      <c r="AA297" s="92"/>
      <c r="AB297" s="93"/>
      <c r="AC297" s="94"/>
      <c r="AD297" s="95"/>
      <c r="AE297" s="96"/>
      <c r="AF297" s="97"/>
      <c r="AG297" s="97">
        <f t="shared" si="27"/>
        <v>0</v>
      </c>
      <c r="AH297" s="97">
        <f t="shared" si="28"/>
        <v>0</v>
      </c>
      <c r="AI297" s="97">
        <f t="shared" si="29"/>
        <v>0</v>
      </c>
      <c r="AJ297" s="97">
        <f t="shared" si="30"/>
        <v>0</v>
      </c>
      <c r="AK297" s="97" t="str">
        <f t="shared" si="31"/>
        <v/>
      </c>
      <c r="AL297" s="98">
        <f t="shared" ca="1" si="32"/>
        <v>1</v>
      </c>
      <c r="AM297" s="98">
        <f t="shared" ca="1" si="33"/>
        <v>42</v>
      </c>
      <c r="AN297" s="98">
        <f t="shared" ca="1" si="34"/>
        <v>3</v>
      </c>
      <c r="AO297" s="98">
        <f t="shared" ca="1" si="35"/>
        <v>0</v>
      </c>
      <c r="AP297" s="98">
        <f t="shared" ca="1" si="36"/>
        <v>0</v>
      </c>
      <c r="AQ297" s="98">
        <f t="shared" ca="1" si="37"/>
        <v>0</v>
      </c>
      <c r="AR297" s="98">
        <f t="shared" ca="1" si="38"/>
        <v>0</v>
      </c>
      <c r="AS297" s="99"/>
      <c r="AT297" s="98">
        <f t="shared" si="39"/>
        <v>1</v>
      </c>
    </row>
    <row r="298" spans="1:46" ht="15.75" customHeight="1">
      <c r="A298" s="76"/>
      <c r="B298" s="77">
        <f t="shared" ca="1" si="20"/>
        <v>1</v>
      </c>
      <c r="C298" s="78">
        <f t="shared" ca="1" si="21"/>
        <v>42</v>
      </c>
      <c r="D298" s="78">
        <f t="shared" ca="1" si="22"/>
        <v>4</v>
      </c>
      <c r="E298" s="78" t="str">
        <f t="shared" ca="1" si="23"/>
        <v/>
      </c>
      <c r="F298" s="78" t="str">
        <f t="shared" ca="1" si="24"/>
        <v/>
      </c>
      <c r="G298" s="79" t="str">
        <f t="shared" ca="1" si="25"/>
        <v/>
      </c>
      <c r="H298" s="80" t="str">
        <f t="shared" ca="1" si="26"/>
        <v/>
      </c>
      <c r="I298" s="100"/>
      <c r="J298" s="111"/>
      <c r="K298" s="111" t="s">
        <v>64</v>
      </c>
      <c r="L298" s="111"/>
      <c r="M298" s="111"/>
      <c r="N298" s="111"/>
      <c r="O298" s="111"/>
      <c r="P298" s="111"/>
      <c r="Q298" s="112"/>
      <c r="R298" s="113"/>
      <c r="S298" s="113"/>
      <c r="T298" s="115"/>
      <c r="U298" s="114"/>
      <c r="V298" s="115"/>
      <c r="W298" s="116"/>
      <c r="X298" s="117"/>
      <c r="Y298" s="118"/>
      <c r="Z298" s="119"/>
      <c r="AA298" s="92"/>
      <c r="AB298" s="93"/>
      <c r="AC298" s="94"/>
      <c r="AD298" s="95"/>
      <c r="AE298" s="96"/>
      <c r="AF298" s="97"/>
      <c r="AG298" s="97">
        <f t="shared" si="27"/>
        <v>0</v>
      </c>
      <c r="AH298" s="97">
        <f t="shared" si="28"/>
        <v>0</v>
      </c>
      <c r="AI298" s="97">
        <f t="shared" si="29"/>
        <v>0</v>
      </c>
      <c r="AJ298" s="97">
        <f t="shared" si="30"/>
        <v>0</v>
      </c>
      <c r="AK298" s="97" t="str">
        <f t="shared" si="31"/>
        <v/>
      </c>
      <c r="AL298" s="98">
        <f t="shared" ca="1" si="32"/>
        <v>1</v>
      </c>
      <c r="AM298" s="98">
        <f t="shared" ca="1" si="33"/>
        <v>42</v>
      </c>
      <c r="AN298" s="98">
        <f t="shared" ca="1" si="34"/>
        <v>4</v>
      </c>
      <c r="AO298" s="98">
        <f t="shared" ca="1" si="35"/>
        <v>0</v>
      </c>
      <c r="AP298" s="98">
        <f t="shared" ca="1" si="36"/>
        <v>0</v>
      </c>
      <c r="AQ298" s="98">
        <f t="shared" ca="1" si="37"/>
        <v>0</v>
      </c>
      <c r="AR298" s="98">
        <f t="shared" ca="1" si="38"/>
        <v>0</v>
      </c>
      <c r="AS298" s="99"/>
      <c r="AT298" s="98">
        <f t="shared" si="39"/>
        <v>1</v>
      </c>
    </row>
    <row r="299" spans="1:46" ht="15.75" customHeight="1">
      <c r="A299" s="76"/>
      <c r="B299" s="77">
        <f t="shared" ca="1" si="20"/>
        <v>1</v>
      </c>
      <c r="C299" s="78">
        <f t="shared" ca="1" si="21"/>
        <v>42</v>
      </c>
      <c r="D299" s="78">
        <f t="shared" ca="1" si="22"/>
        <v>5</v>
      </c>
      <c r="E299" s="78" t="str">
        <f t="shared" ca="1" si="23"/>
        <v/>
      </c>
      <c r="F299" s="78" t="str">
        <f t="shared" ca="1" si="24"/>
        <v/>
      </c>
      <c r="G299" s="79" t="str">
        <f t="shared" ca="1" si="25"/>
        <v/>
      </c>
      <c r="H299" s="80" t="str">
        <f t="shared" ca="1" si="26"/>
        <v/>
      </c>
      <c r="I299" s="100"/>
      <c r="J299" s="111"/>
      <c r="K299" s="111" t="s">
        <v>65</v>
      </c>
      <c r="L299" s="111"/>
      <c r="M299" s="111"/>
      <c r="N299" s="111"/>
      <c r="O299" s="111"/>
      <c r="P299" s="111"/>
      <c r="Q299" s="112"/>
      <c r="R299" s="113"/>
      <c r="S299" s="113"/>
      <c r="T299" s="115"/>
      <c r="U299" s="114"/>
      <c r="V299" s="115"/>
      <c r="W299" s="116"/>
      <c r="X299" s="117"/>
      <c r="Y299" s="118"/>
      <c r="Z299" s="119"/>
      <c r="AA299" s="92"/>
      <c r="AB299" s="93"/>
      <c r="AC299" s="94"/>
      <c r="AD299" s="95"/>
      <c r="AE299" s="96"/>
      <c r="AF299" s="97"/>
      <c r="AG299" s="97">
        <f t="shared" si="27"/>
        <v>0</v>
      </c>
      <c r="AH299" s="97">
        <f t="shared" si="28"/>
        <v>0</v>
      </c>
      <c r="AI299" s="97">
        <f t="shared" si="29"/>
        <v>0</v>
      </c>
      <c r="AJ299" s="97">
        <f t="shared" si="30"/>
        <v>0</v>
      </c>
      <c r="AK299" s="97" t="str">
        <f t="shared" si="31"/>
        <v/>
      </c>
      <c r="AL299" s="98">
        <f t="shared" ca="1" si="32"/>
        <v>1</v>
      </c>
      <c r="AM299" s="98">
        <f t="shared" ca="1" si="33"/>
        <v>42</v>
      </c>
      <c r="AN299" s="98">
        <f t="shared" ca="1" si="34"/>
        <v>5</v>
      </c>
      <c r="AO299" s="98">
        <f t="shared" ca="1" si="35"/>
        <v>0</v>
      </c>
      <c r="AP299" s="98">
        <f t="shared" ca="1" si="36"/>
        <v>0</v>
      </c>
      <c r="AQ299" s="98">
        <f t="shared" ca="1" si="37"/>
        <v>0</v>
      </c>
      <c r="AR299" s="98">
        <f t="shared" ca="1" si="38"/>
        <v>0</v>
      </c>
      <c r="AS299" s="99"/>
      <c r="AT299" s="98">
        <f t="shared" si="39"/>
        <v>1</v>
      </c>
    </row>
    <row r="300" spans="1:46" ht="15.75" customHeight="1">
      <c r="A300" s="76"/>
      <c r="B300" s="77">
        <f t="shared" ca="1" si="20"/>
        <v>1</v>
      </c>
      <c r="C300" s="78">
        <f t="shared" ca="1" si="21"/>
        <v>42</v>
      </c>
      <c r="D300" s="78">
        <f t="shared" ca="1" si="22"/>
        <v>6</v>
      </c>
      <c r="E300" s="78" t="str">
        <f t="shared" ca="1" si="23"/>
        <v/>
      </c>
      <c r="F300" s="78" t="str">
        <f t="shared" ca="1" si="24"/>
        <v/>
      </c>
      <c r="G300" s="79" t="str">
        <f t="shared" ca="1" si="25"/>
        <v/>
      </c>
      <c r="H300" s="80" t="str">
        <f t="shared" ca="1" si="26"/>
        <v/>
      </c>
      <c r="I300" s="100"/>
      <c r="J300" s="111"/>
      <c r="K300" s="111" t="s">
        <v>66</v>
      </c>
      <c r="L300" s="111"/>
      <c r="M300" s="111"/>
      <c r="N300" s="111"/>
      <c r="O300" s="111"/>
      <c r="P300" s="111"/>
      <c r="Q300" s="112"/>
      <c r="R300" s="113"/>
      <c r="S300" s="113"/>
      <c r="T300" s="115"/>
      <c r="U300" s="114"/>
      <c r="V300" s="115"/>
      <c r="W300" s="116"/>
      <c r="X300" s="117"/>
      <c r="Y300" s="118"/>
      <c r="Z300" s="119"/>
      <c r="AA300" s="92"/>
      <c r="AB300" s="93"/>
      <c r="AC300" s="94"/>
      <c r="AD300" s="95"/>
      <c r="AE300" s="96"/>
      <c r="AF300" s="97"/>
      <c r="AG300" s="97">
        <f t="shared" si="27"/>
        <v>0</v>
      </c>
      <c r="AH300" s="97">
        <f t="shared" si="28"/>
        <v>0</v>
      </c>
      <c r="AI300" s="97">
        <f t="shared" si="29"/>
        <v>0</v>
      </c>
      <c r="AJ300" s="97">
        <f t="shared" si="30"/>
        <v>0</v>
      </c>
      <c r="AK300" s="97" t="str">
        <f t="shared" si="31"/>
        <v/>
      </c>
      <c r="AL300" s="98">
        <f t="shared" ca="1" si="32"/>
        <v>1</v>
      </c>
      <c r="AM300" s="98">
        <f t="shared" ca="1" si="33"/>
        <v>42</v>
      </c>
      <c r="AN300" s="98">
        <f t="shared" ca="1" si="34"/>
        <v>6</v>
      </c>
      <c r="AO300" s="98">
        <f t="shared" ca="1" si="35"/>
        <v>0</v>
      </c>
      <c r="AP300" s="98">
        <f t="shared" ca="1" si="36"/>
        <v>0</v>
      </c>
      <c r="AQ300" s="98">
        <f t="shared" ca="1" si="37"/>
        <v>0</v>
      </c>
      <c r="AR300" s="98">
        <f t="shared" ca="1" si="38"/>
        <v>0</v>
      </c>
      <c r="AS300" s="99"/>
      <c r="AT300" s="98">
        <f t="shared" si="39"/>
        <v>1</v>
      </c>
    </row>
    <row r="301" spans="1:46" ht="15.75" customHeight="1">
      <c r="A301" s="76"/>
      <c r="B301" s="77">
        <f t="shared" ca="1" si="20"/>
        <v>1</v>
      </c>
      <c r="C301" s="78">
        <f t="shared" ca="1" si="21"/>
        <v>43</v>
      </c>
      <c r="D301" s="78" t="str">
        <f t="shared" ca="1" si="22"/>
        <v/>
      </c>
      <c r="E301" s="78" t="str">
        <f t="shared" ca="1" si="23"/>
        <v/>
      </c>
      <c r="F301" s="78" t="str">
        <f t="shared" ca="1" si="24"/>
        <v/>
      </c>
      <c r="G301" s="79" t="str">
        <f t="shared" ca="1" si="25"/>
        <v/>
      </c>
      <c r="H301" s="80" t="str">
        <f t="shared" ca="1" si="26"/>
        <v/>
      </c>
      <c r="I301" s="100"/>
      <c r="J301" s="101" t="s">
        <v>112</v>
      </c>
      <c r="K301" s="102"/>
      <c r="L301" s="102"/>
      <c r="M301" s="102"/>
      <c r="N301" s="102"/>
      <c r="O301" s="102"/>
      <c r="P301" s="102"/>
      <c r="Q301" s="103" t="s">
        <v>58</v>
      </c>
      <c r="R301" s="104"/>
      <c r="S301" s="104"/>
      <c r="T301" s="105"/>
      <c r="U301" s="106"/>
      <c r="V301" s="105"/>
      <c r="W301" s="107"/>
      <c r="X301" s="108"/>
      <c r="Y301" s="109"/>
      <c r="Z301" s="110"/>
      <c r="AA301" s="92"/>
      <c r="AB301" s="93"/>
      <c r="AC301" s="94"/>
      <c r="AD301" s="95"/>
      <c r="AE301" s="96"/>
      <c r="AF301" s="97"/>
      <c r="AG301" s="97">
        <f t="shared" si="27"/>
        <v>0</v>
      </c>
      <c r="AH301" s="97">
        <f t="shared" si="28"/>
        <v>0</v>
      </c>
      <c r="AI301" s="97">
        <f t="shared" si="29"/>
        <v>0</v>
      </c>
      <c r="AJ301" s="97">
        <f t="shared" si="30"/>
        <v>0</v>
      </c>
      <c r="AK301" s="97" t="str">
        <f t="shared" si="31"/>
        <v/>
      </c>
      <c r="AL301" s="98">
        <f t="shared" ca="1" si="32"/>
        <v>1</v>
      </c>
      <c r="AM301" s="98">
        <f t="shared" ca="1" si="33"/>
        <v>43</v>
      </c>
      <c r="AN301" s="98">
        <f t="shared" ca="1" si="34"/>
        <v>0</v>
      </c>
      <c r="AO301" s="98">
        <f t="shared" ca="1" si="35"/>
        <v>0</v>
      </c>
      <c r="AP301" s="98">
        <f t="shared" ca="1" si="36"/>
        <v>0</v>
      </c>
      <c r="AQ301" s="98">
        <f t="shared" ca="1" si="37"/>
        <v>0</v>
      </c>
      <c r="AR301" s="98">
        <f t="shared" ca="1" si="38"/>
        <v>0</v>
      </c>
      <c r="AS301" s="99"/>
      <c r="AT301" s="98">
        <f t="shared" si="39"/>
        <v>1</v>
      </c>
    </row>
    <row r="302" spans="1:46" ht="15.75" customHeight="1">
      <c r="A302" s="76"/>
      <c r="B302" s="77">
        <f t="shared" ca="1" si="20"/>
        <v>1</v>
      </c>
      <c r="C302" s="78">
        <f t="shared" ca="1" si="21"/>
        <v>43</v>
      </c>
      <c r="D302" s="78">
        <f t="shared" ca="1" si="22"/>
        <v>1</v>
      </c>
      <c r="E302" s="78" t="str">
        <f t="shared" ca="1" si="23"/>
        <v/>
      </c>
      <c r="F302" s="78" t="str">
        <f t="shared" ca="1" si="24"/>
        <v/>
      </c>
      <c r="G302" s="79" t="str">
        <f t="shared" ca="1" si="25"/>
        <v/>
      </c>
      <c r="H302" s="80" t="str">
        <f t="shared" ca="1" si="26"/>
        <v/>
      </c>
      <c r="I302" s="100"/>
      <c r="J302" s="111"/>
      <c r="K302" s="111" t="s">
        <v>59</v>
      </c>
      <c r="L302" s="111"/>
      <c r="M302" s="111"/>
      <c r="N302" s="111"/>
      <c r="O302" s="111"/>
      <c r="P302" s="111"/>
      <c r="Q302" s="112"/>
      <c r="R302" s="113"/>
      <c r="S302" s="113"/>
      <c r="T302" s="115"/>
      <c r="U302" s="114"/>
      <c r="V302" s="115"/>
      <c r="W302" s="116"/>
      <c r="X302" s="117"/>
      <c r="Y302" s="118"/>
      <c r="Z302" s="119"/>
      <c r="AA302" s="92"/>
      <c r="AB302" s="93"/>
      <c r="AC302" s="94"/>
      <c r="AD302" s="95"/>
      <c r="AE302" s="96"/>
      <c r="AF302" s="97"/>
      <c r="AG302" s="97">
        <f t="shared" si="27"/>
        <v>0</v>
      </c>
      <c r="AH302" s="97">
        <f t="shared" si="28"/>
        <v>0</v>
      </c>
      <c r="AI302" s="97">
        <f t="shared" si="29"/>
        <v>0</v>
      </c>
      <c r="AJ302" s="97">
        <f t="shared" si="30"/>
        <v>0</v>
      </c>
      <c r="AK302" s="97" t="str">
        <f t="shared" si="31"/>
        <v/>
      </c>
      <c r="AL302" s="98">
        <f t="shared" ca="1" si="32"/>
        <v>1</v>
      </c>
      <c r="AM302" s="98">
        <f t="shared" ca="1" si="33"/>
        <v>43</v>
      </c>
      <c r="AN302" s="98">
        <f t="shared" ca="1" si="34"/>
        <v>1</v>
      </c>
      <c r="AO302" s="98">
        <f t="shared" ca="1" si="35"/>
        <v>0</v>
      </c>
      <c r="AP302" s="98">
        <f t="shared" ca="1" si="36"/>
        <v>0</v>
      </c>
      <c r="AQ302" s="98">
        <f t="shared" ca="1" si="37"/>
        <v>0</v>
      </c>
      <c r="AR302" s="98">
        <f t="shared" ca="1" si="38"/>
        <v>0</v>
      </c>
      <c r="AS302" s="99"/>
      <c r="AT302" s="98">
        <f t="shared" si="39"/>
        <v>1</v>
      </c>
    </row>
    <row r="303" spans="1:46" ht="15.75" customHeight="1">
      <c r="A303" s="76"/>
      <c r="B303" s="77">
        <f t="shared" ca="1" si="20"/>
        <v>1</v>
      </c>
      <c r="C303" s="78">
        <f t="shared" ca="1" si="21"/>
        <v>43</v>
      </c>
      <c r="D303" s="78">
        <f t="shared" ca="1" si="22"/>
        <v>2</v>
      </c>
      <c r="E303" s="78" t="str">
        <f t="shared" ca="1" si="23"/>
        <v/>
      </c>
      <c r="F303" s="78" t="str">
        <f t="shared" ca="1" si="24"/>
        <v/>
      </c>
      <c r="G303" s="79" t="str">
        <f t="shared" ca="1" si="25"/>
        <v/>
      </c>
      <c r="H303" s="80" t="str">
        <f t="shared" ca="1" si="26"/>
        <v/>
      </c>
      <c r="I303" s="100"/>
      <c r="J303" s="111"/>
      <c r="K303" s="111" t="s">
        <v>61</v>
      </c>
      <c r="L303" s="111"/>
      <c r="M303" s="111"/>
      <c r="N303" s="111"/>
      <c r="O303" s="111"/>
      <c r="P303" s="111"/>
      <c r="Q303" s="112"/>
      <c r="R303" s="113"/>
      <c r="S303" s="113"/>
      <c r="T303" s="115"/>
      <c r="U303" s="114"/>
      <c r="V303" s="115"/>
      <c r="W303" s="116"/>
      <c r="X303" s="117"/>
      <c r="Y303" s="118"/>
      <c r="Z303" s="119"/>
      <c r="AA303" s="92"/>
      <c r="AB303" s="93"/>
      <c r="AC303" s="94"/>
      <c r="AD303" s="95"/>
      <c r="AE303" s="96"/>
      <c r="AF303" s="97"/>
      <c r="AG303" s="97">
        <f t="shared" si="27"/>
        <v>0</v>
      </c>
      <c r="AH303" s="97">
        <f t="shared" si="28"/>
        <v>0</v>
      </c>
      <c r="AI303" s="97">
        <f t="shared" si="29"/>
        <v>0</v>
      </c>
      <c r="AJ303" s="97">
        <f t="shared" si="30"/>
        <v>0</v>
      </c>
      <c r="AK303" s="97" t="str">
        <f t="shared" si="31"/>
        <v/>
      </c>
      <c r="AL303" s="98">
        <f t="shared" ca="1" si="32"/>
        <v>1</v>
      </c>
      <c r="AM303" s="98">
        <f t="shared" ca="1" si="33"/>
        <v>43</v>
      </c>
      <c r="AN303" s="98">
        <f t="shared" ca="1" si="34"/>
        <v>2</v>
      </c>
      <c r="AO303" s="98">
        <f t="shared" ca="1" si="35"/>
        <v>0</v>
      </c>
      <c r="AP303" s="98">
        <f t="shared" ca="1" si="36"/>
        <v>0</v>
      </c>
      <c r="AQ303" s="98">
        <f t="shared" ca="1" si="37"/>
        <v>0</v>
      </c>
      <c r="AR303" s="98">
        <f t="shared" ca="1" si="38"/>
        <v>0</v>
      </c>
      <c r="AS303" s="99"/>
      <c r="AT303" s="98">
        <f t="shared" si="39"/>
        <v>1</v>
      </c>
    </row>
    <row r="304" spans="1:46" ht="15.75" customHeight="1">
      <c r="A304" s="76"/>
      <c r="B304" s="77">
        <f t="shared" ca="1" si="20"/>
        <v>1</v>
      </c>
      <c r="C304" s="78">
        <f t="shared" ca="1" si="21"/>
        <v>43</v>
      </c>
      <c r="D304" s="78">
        <f t="shared" ca="1" si="22"/>
        <v>3</v>
      </c>
      <c r="E304" s="78" t="str">
        <f t="shared" ca="1" si="23"/>
        <v/>
      </c>
      <c r="F304" s="78" t="str">
        <f t="shared" ca="1" si="24"/>
        <v/>
      </c>
      <c r="G304" s="79" t="str">
        <f t="shared" ca="1" si="25"/>
        <v/>
      </c>
      <c r="H304" s="80" t="str">
        <f t="shared" ca="1" si="26"/>
        <v/>
      </c>
      <c r="I304" s="100"/>
      <c r="J304" s="111"/>
      <c r="K304" s="111" t="s">
        <v>63</v>
      </c>
      <c r="L304" s="111"/>
      <c r="M304" s="111"/>
      <c r="N304" s="111"/>
      <c r="O304" s="111"/>
      <c r="P304" s="111"/>
      <c r="Q304" s="112"/>
      <c r="R304" s="113"/>
      <c r="S304" s="113"/>
      <c r="T304" s="115"/>
      <c r="U304" s="114"/>
      <c r="V304" s="115"/>
      <c r="W304" s="116"/>
      <c r="X304" s="117"/>
      <c r="Y304" s="118"/>
      <c r="Z304" s="119"/>
      <c r="AA304" s="92"/>
      <c r="AB304" s="93"/>
      <c r="AC304" s="94"/>
      <c r="AD304" s="95"/>
      <c r="AE304" s="96"/>
      <c r="AF304" s="97"/>
      <c r="AG304" s="97">
        <f t="shared" si="27"/>
        <v>0</v>
      </c>
      <c r="AH304" s="97">
        <f t="shared" si="28"/>
        <v>0</v>
      </c>
      <c r="AI304" s="97">
        <f t="shared" si="29"/>
        <v>0</v>
      </c>
      <c r="AJ304" s="97">
        <f t="shared" si="30"/>
        <v>0</v>
      </c>
      <c r="AK304" s="97" t="str">
        <f t="shared" si="31"/>
        <v/>
      </c>
      <c r="AL304" s="98">
        <f t="shared" ca="1" si="32"/>
        <v>1</v>
      </c>
      <c r="AM304" s="98">
        <f t="shared" ca="1" si="33"/>
        <v>43</v>
      </c>
      <c r="AN304" s="98">
        <f t="shared" ca="1" si="34"/>
        <v>3</v>
      </c>
      <c r="AO304" s="98">
        <f t="shared" ca="1" si="35"/>
        <v>0</v>
      </c>
      <c r="AP304" s="98">
        <f t="shared" ca="1" si="36"/>
        <v>0</v>
      </c>
      <c r="AQ304" s="98">
        <f t="shared" ca="1" si="37"/>
        <v>0</v>
      </c>
      <c r="AR304" s="98">
        <f t="shared" ca="1" si="38"/>
        <v>0</v>
      </c>
      <c r="AS304" s="99"/>
      <c r="AT304" s="98">
        <f t="shared" si="39"/>
        <v>1</v>
      </c>
    </row>
    <row r="305" spans="1:46" ht="15.75" customHeight="1">
      <c r="A305" s="76"/>
      <c r="B305" s="77">
        <f t="shared" ca="1" si="20"/>
        <v>1</v>
      </c>
      <c r="C305" s="78">
        <f t="shared" ca="1" si="21"/>
        <v>43</v>
      </c>
      <c r="D305" s="78">
        <f t="shared" ca="1" si="22"/>
        <v>4</v>
      </c>
      <c r="E305" s="78" t="str">
        <f t="shared" ca="1" si="23"/>
        <v/>
      </c>
      <c r="F305" s="78" t="str">
        <f t="shared" ca="1" si="24"/>
        <v/>
      </c>
      <c r="G305" s="79" t="str">
        <f t="shared" ca="1" si="25"/>
        <v/>
      </c>
      <c r="H305" s="80" t="str">
        <f t="shared" ca="1" si="26"/>
        <v/>
      </c>
      <c r="I305" s="100"/>
      <c r="J305" s="111"/>
      <c r="K305" s="111" t="s">
        <v>64</v>
      </c>
      <c r="L305" s="111"/>
      <c r="M305" s="111"/>
      <c r="N305" s="111"/>
      <c r="O305" s="111"/>
      <c r="P305" s="111"/>
      <c r="Q305" s="112"/>
      <c r="R305" s="113"/>
      <c r="S305" s="113"/>
      <c r="T305" s="115"/>
      <c r="U305" s="114"/>
      <c r="V305" s="115"/>
      <c r="W305" s="116"/>
      <c r="X305" s="117"/>
      <c r="Y305" s="118"/>
      <c r="Z305" s="119"/>
      <c r="AA305" s="92"/>
      <c r="AB305" s="93"/>
      <c r="AC305" s="94"/>
      <c r="AD305" s="95"/>
      <c r="AE305" s="96"/>
      <c r="AF305" s="97"/>
      <c r="AG305" s="97">
        <f t="shared" si="27"/>
        <v>0</v>
      </c>
      <c r="AH305" s="97">
        <f t="shared" si="28"/>
        <v>0</v>
      </c>
      <c r="AI305" s="97">
        <f t="shared" si="29"/>
        <v>0</v>
      </c>
      <c r="AJ305" s="97">
        <f t="shared" si="30"/>
        <v>0</v>
      </c>
      <c r="AK305" s="97" t="str">
        <f t="shared" si="31"/>
        <v/>
      </c>
      <c r="AL305" s="98">
        <f t="shared" ca="1" si="32"/>
        <v>1</v>
      </c>
      <c r="AM305" s="98">
        <f t="shared" ca="1" si="33"/>
        <v>43</v>
      </c>
      <c r="AN305" s="98">
        <f t="shared" ca="1" si="34"/>
        <v>4</v>
      </c>
      <c r="AO305" s="98">
        <f t="shared" ca="1" si="35"/>
        <v>0</v>
      </c>
      <c r="AP305" s="98">
        <f t="shared" ca="1" si="36"/>
        <v>0</v>
      </c>
      <c r="AQ305" s="98">
        <f t="shared" ca="1" si="37"/>
        <v>0</v>
      </c>
      <c r="AR305" s="98">
        <f t="shared" ca="1" si="38"/>
        <v>0</v>
      </c>
      <c r="AS305" s="99"/>
      <c r="AT305" s="98">
        <f t="shared" si="39"/>
        <v>1</v>
      </c>
    </row>
    <row r="306" spans="1:46" ht="15.75" customHeight="1">
      <c r="A306" s="76"/>
      <c r="B306" s="77">
        <f t="shared" ca="1" si="20"/>
        <v>1</v>
      </c>
      <c r="C306" s="78">
        <f t="shared" ca="1" si="21"/>
        <v>43</v>
      </c>
      <c r="D306" s="78">
        <f t="shared" ca="1" si="22"/>
        <v>5</v>
      </c>
      <c r="E306" s="78" t="str">
        <f t="shared" ca="1" si="23"/>
        <v/>
      </c>
      <c r="F306" s="78" t="str">
        <f t="shared" ca="1" si="24"/>
        <v/>
      </c>
      <c r="G306" s="79" t="str">
        <f t="shared" ca="1" si="25"/>
        <v/>
      </c>
      <c r="H306" s="80" t="str">
        <f t="shared" ca="1" si="26"/>
        <v/>
      </c>
      <c r="I306" s="100"/>
      <c r="J306" s="111"/>
      <c r="K306" s="111" t="s">
        <v>65</v>
      </c>
      <c r="L306" s="111"/>
      <c r="M306" s="111"/>
      <c r="N306" s="111"/>
      <c r="O306" s="111"/>
      <c r="P306" s="111"/>
      <c r="Q306" s="112"/>
      <c r="R306" s="113"/>
      <c r="S306" s="113"/>
      <c r="T306" s="115"/>
      <c r="U306" s="114"/>
      <c r="V306" s="115"/>
      <c r="W306" s="116"/>
      <c r="X306" s="117"/>
      <c r="Y306" s="118"/>
      <c r="Z306" s="119"/>
      <c r="AA306" s="92"/>
      <c r="AB306" s="93"/>
      <c r="AC306" s="94"/>
      <c r="AD306" s="95"/>
      <c r="AE306" s="96"/>
      <c r="AF306" s="97"/>
      <c r="AG306" s="97">
        <f t="shared" si="27"/>
        <v>0</v>
      </c>
      <c r="AH306" s="97">
        <f t="shared" si="28"/>
        <v>0</v>
      </c>
      <c r="AI306" s="97">
        <f t="shared" si="29"/>
        <v>0</v>
      </c>
      <c r="AJ306" s="97">
        <f t="shared" si="30"/>
        <v>0</v>
      </c>
      <c r="AK306" s="97" t="str">
        <f t="shared" si="31"/>
        <v/>
      </c>
      <c r="AL306" s="98">
        <f t="shared" ca="1" si="32"/>
        <v>1</v>
      </c>
      <c r="AM306" s="98">
        <f t="shared" ca="1" si="33"/>
        <v>43</v>
      </c>
      <c r="AN306" s="98">
        <f t="shared" ca="1" si="34"/>
        <v>5</v>
      </c>
      <c r="AO306" s="98">
        <f t="shared" ca="1" si="35"/>
        <v>0</v>
      </c>
      <c r="AP306" s="98">
        <f t="shared" ca="1" si="36"/>
        <v>0</v>
      </c>
      <c r="AQ306" s="98">
        <f t="shared" ca="1" si="37"/>
        <v>0</v>
      </c>
      <c r="AR306" s="98">
        <f t="shared" ca="1" si="38"/>
        <v>0</v>
      </c>
      <c r="AS306" s="99"/>
      <c r="AT306" s="98">
        <f t="shared" si="39"/>
        <v>1</v>
      </c>
    </row>
    <row r="307" spans="1:46" ht="15.75" customHeight="1">
      <c r="A307" s="76"/>
      <c r="B307" s="77">
        <f t="shared" ca="1" si="20"/>
        <v>1</v>
      </c>
      <c r="C307" s="78">
        <f t="shared" ca="1" si="21"/>
        <v>43</v>
      </c>
      <c r="D307" s="78">
        <f t="shared" ca="1" si="22"/>
        <v>6</v>
      </c>
      <c r="E307" s="78" t="str">
        <f t="shared" ca="1" si="23"/>
        <v/>
      </c>
      <c r="F307" s="78" t="str">
        <f t="shared" ca="1" si="24"/>
        <v/>
      </c>
      <c r="G307" s="79" t="str">
        <f t="shared" ca="1" si="25"/>
        <v/>
      </c>
      <c r="H307" s="80" t="str">
        <f t="shared" ca="1" si="26"/>
        <v/>
      </c>
      <c r="I307" s="100"/>
      <c r="J307" s="111"/>
      <c r="K307" s="111" t="s">
        <v>66</v>
      </c>
      <c r="L307" s="111"/>
      <c r="M307" s="111"/>
      <c r="N307" s="111"/>
      <c r="O307" s="111"/>
      <c r="P307" s="111"/>
      <c r="Q307" s="112"/>
      <c r="R307" s="113"/>
      <c r="S307" s="113"/>
      <c r="T307" s="115"/>
      <c r="U307" s="114"/>
      <c r="V307" s="115"/>
      <c r="W307" s="116"/>
      <c r="X307" s="117"/>
      <c r="Y307" s="118"/>
      <c r="Z307" s="119"/>
      <c r="AA307" s="92"/>
      <c r="AB307" s="93"/>
      <c r="AC307" s="94"/>
      <c r="AD307" s="95"/>
      <c r="AE307" s="96"/>
      <c r="AF307" s="97"/>
      <c r="AG307" s="97">
        <f t="shared" si="27"/>
        <v>0</v>
      </c>
      <c r="AH307" s="97">
        <f t="shared" si="28"/>
        <v>0</v>
      </c>
      <c r="AI307" s="97">
        <f t="shared" si="29"/>
        <v>0</v>
      </c>
      <c r="AJ307" s="97">
        <f t="shared" si="30"/>
        <v>0</v>
      </c>
      <c r="AK307" s="97" t="str">
        <f t="shared" si="31"/>
        <v/>
      </c>
      <c r="AL307" s="98">
        <f t="shared" ca="1" si="32"/>
        <v>1</v>
      </c>
      <c r="AM307" s="98">
        <f t="shared" ca="1" si="33"/>
        <v>43</v>
      </c>
      <c r="AN307" s="98">
        <f t="shared" ca="1" si="34"/>
        <v>6</v>
      </c>
      <c r="AO307" s="98">
        <f t="shared" ca="1" si="35"/>
        <v>0</v>
      </c>
      <c r="AP307" s="98">
        <f t="shared" ca="1" si="36"/>
        <v>0</v>
      </c>
      <c r="AQ307" s="98">
        <f t="shared" ca="1" si="37"/>
        <v>0</v>
      </c>
      <c r="AR307" s="98">
        <f t="shared" ca="1" si="38"/>
        <v>0</v>
      </c>
      <c r="AS307" s="99"/>
      <c r="AT307" s="98">
        <f t="shared" si="39"/>
        <v>1</v>
      </c>
    </row>
    <row r="308" spans="1:46" ht="15.75" customHeight="1">
      <c r="A308" s="76"/>
      <c r="B308" s="77">
        <f t="shared" ca="1" si="20"/>
        <v>1</v>
      </c>
      <c r="C308" s="78">
        <f t="shared" ca="1" si="21"/>
        <v>44</v>
      </c>
      <c r="D308" s="78" t="str">
        <f t="shared" ca="1" si="22"/>
        <v/>
      </c>
      <c r="E308" s="78" t="str">
        <f t="shared" ca="1" si="23"/>
        <v/>
      </c>
      <c r="F308" s="78" t="str">
        <f t="shared" ca="1" si="24"/>
        <v/>
      </c>
      <c r="G308" s="79" t="str">
        <f t="shared" ca="1" si="25"/>
        <v/>
      </c>
      <c r="H308" s="80" t="str">
        <f t="shared" ca="1" si="26"/>
        <v/>
      </c>
      <c r="I308" s="100"/>
      <c r="J308" s="101" t="s">
        <v>113</v>
      </c>
      <c r="K308" s="102"/>
      <c r="L308" s="102"/>
      <c r="M308" s="102"/>
      <c r="N308" s="102"/>
      <c r="O308" s="102"/>
      <c r="P308" s="102"/>
      <c r="Q308" s="103" t="s">
        <v>81</v>
      </c>
      <c r="R308" s="104"/>
      <c r="S308" s="104"/>
      <c r="T308" s="105"/>
      <c r="U308" s="106"/>
      <c r="V308" s="105"/>
      <c r="W308" s="107"/>
      <c r="X308" s="108"/>
      <c r="Y308" s="109"/>
      <c r="Z308" s="110"/>
      <c r="AA308" s="92"/>
      <c r="AB308" s="93"/>
      <c r="AC308" s="94"/>
      <c r="AD308" s="95"/>
      <c r="AE308" s="96"/>
      <c r="AF308" s="97"/>
      <c r="AG308" s="97">
        <f t="shared" si="27"/>
        <v>0</v>
      </c>
      <c r="AH308" s="97">
        <f t="shared" si="28"/>
        <v>0</v>
      </c>
      <c r="AI308" s="97">
        <f t="shared" si="29"/>
        <v>0</v>
      </c>
      <c r="AJ308" s="97">
        <f t="shared" si="30"/>
        <v>0</v>
      </c>
      <c r="AK308" s="97" t="str">
        <f t="shared" si="31"/>
        <v/>
      </c>
      <c r="AL308" s="98">
        <f t="shared" ca="1" si="32"/>
        <v>1</v>
      </c>
      <c r="AM308" s="98">
        <f t="shared" ca="1" si="33"/>
        <v>44</v>
      </c>
      <c r="AN308" s="98">
        <f t="shared" ca="1" si="34"/>
        <v>0</v>
      </c>
      <c r="AO308" s="98">
        <f t="shared" ca="1" si="35"/>
        <v>0</v>
      </c>
      <c r="AP308" s="98">
        <f t="shared" ca="1" si="36"/>
        <v>0</v>
      </c>
      <c r="AQ308" s="98">
        <f t="shared" ca="1" si="37"/>
        <v>0</v>
      </c>
      <c r="AR308" s="98">
        <f t="shared" ca="1" si="38"/>
        <v>0</v>
      </c>
      <c r="AS308" s="99"/>
      <c r="AT308" s="98">
        <f t="shared" si="39"/>
        <v>1</v>
      </c>
    </row>
    <row r="309" spans="1:46" ht="15.75" customHeight="1">
      <c r="A309" s="76"/>
      <c r="B309" s="77">
        <f t="shared" ca="1" si="20"/>
        <v>1</v>
      </c>
      <c r="C309" s="78">
        <f t="shared" ca="1" si="21"/>
        <v>44</v>
      </c>
      <c r="D309" s="78">
        <f t="shared" ca="1" si="22"/>
        <v>1</v>
      </c>
      <c r="E309" s="78" t="str">
        <f t="shared" ca="1" si="23"/>
        <v/>
      </c>
      <c r="F309" s="78" t="str">
        <f t="shared" ca="1" si="24"/>
        <v/>
      </c>
      <c r="G309" s="79" t="str">
        <f t="shared" ca="1" si="25"/>
        <v/>
      </c>
      <c r="H309" s="80" t="str">
        <f t="shared" ca="1" si="26"/>
        <v/>
      </c>
      <c r="I309" s="100"/>
      <c r="J309" s="111"/>
      <c r="K309" s="111" t="s">
        <v>59</v>
      </c>
      <c r="L309" s="111"/>
      <c r="M309" s="111"/>
      <c r="N309" s="111"/>
      <c r="O309" s="111"/>
      <c r="P309" s="111"/>
      <c r="Q309" s="112"/>
      <c r="R309" s="124" t="s">
        <v>77</v>
      </c>
      <c r="S309" s="113">
        <v>45812</v>
      </c>
      <c r="T309" s="115">
        <v>45817</v>
      </c>
      <c r="U309" s="114">
        <v>45812</v>
      </c>
      <c r="V309" s="115">
        <v>45817</v>
      </c>
      <c r="W309" s="116">
        <v>1</v>
      </c>
      <c r="X309" s="117">
        <v>1</v>
      </c>
      <c r="Y309" s="118"/>
      <c r="Z309" s="119"/>
      <c r="AA309" s="92"/>
      <c r="AB309" s="93"/>
      <c r="AC309" s="94"/>
      <c r="AD309" s="95"/>
      <c r="AE309" s="96"/>
      <c r="AF309" s="97"/>
      <c r="AG309" s="97">
        <f t="shared" ca="1" si="27"/>
        <v>0</v>
      </c>
      <c r="AH309" s="97">
        <f t="shared" ca="1" si="28"/>
        <v>0</v>
      </c>
      <c r="AI309" s="97">
        <f t="shared" si="29"/>
        <v>0</v>
      </c>
      <c r="AJ309" s="97">
        <f t="shared" ca="1" si="30"/>
        <v>0</v>
      </c>
      <c r="AK309" s="97" t="str">
        <f t="shared" ca="1" si="31"/>
        <v/>
      </c>
      <c r="AL309" s="98">
        <f t="shared" ca="1" si="32"/>
        <v>1</v>
      </c>
      <c r="AM309" s="98">
        <f t="shared" ca="1" si="33"/>
        <v>44</v>
      </c>
      <c r="AN309" s="98">
        <f t="shared" ca="1" si="34"/>
        <v>1</v>
      </c>
      <c r="AO309" s="98">
        <f t="shared" ca="1" si="35"/>
        <v>0</v>
      </c>
      <c r="AP309" s="98">
        <f t="shared" ca="1" si="36"/>
        <v>0</v>
      </c>
      <c r="AQ309" s="98">
        <f t="shared" ca="1" si="37"/>
        <v>0</v>
      </c>
      <c r="AR309" s="98">
        <f t="shared" ca="1" si="38"/>
        <v>0</v>
      </c>
      <c r="AS309" s="99"/>
      <c r="AT309" s="98">
        <f t="shared" si="39"/>
        <v>6</v>
      </c>
    </row>
    <row r="310" spans="1:46" ht="15.75" customHeight="1">
      <c r="A310" s="76"/>
      <c r="B310" s="77">
        <f t="shared" ca="1" si="20"/>
        <v>1</v>
      </c>
      <c r="C310" s="78">
        <f t="shared" ca="1" si="21"/>
        <v>44</v>
      </c>
      <c r="D310" s="78">
        <f t="shared" ca="1" si="22"/>
        <v>2</v>
      </c>
      <c r="E310" s="78" t="str">
        <f t="shared" ca="1" si="23"/>
        <v/>
      </c>
      <c r="F310" s="78" t="str">
        <f t="shared" ca="1" si="24"/>
        <v/>
      </c>
      <c r="G310" s="79" t="str">
        <f t="shared" ca="1" si="25"/>
        <v/>
      </c>
      <c r="H310" s="80" t="str">
        <f t="shared" ca="1" si="26"/>
        <v/>
      </c>
      <c r="I310" s="100"/>
      <c r="J310" s="111"/>
      <c r="K310" s="111" t="s">
        <v>61</v>
      </c>
      <c r="L310" s="111"/>
      <c r="M310" s="111"/>
      <c r="N310" s="111"/>
      <c r="O310" s="111"/>
      <c r="P310" s="111"/>
      <c r="Q310" s="112"/>
      <c r="R310" s="124" t="s">
        <v>70</v>
      </c>
      <c r="S310" s="113">
        <v>45818</v>
      </c>
      <c r="T310" s="115">
        <v>45818</v>
      </c>
      <c r="U310" s="114">
        <v>45817</v>
      </c>
      <c r="V310" s="115">
        <v>45817</v>
      </c>
      <c r="W310" s="116">
        <v>1</v>
      </c>
      <c r="X310" s="117">
        <v>1</v>
      </c>
      <c r="Y310" s="118"/>
      <c r="Z310" s="119"/>
      <c r="AA310" s="92"/>
      <c r="AB310" s="93"/>
      <c r="AC310" s="94"/>
      <c r="AD310" s="95"/>
      <c r="AE310" s="96"/>
      <c r="AF310" s="97"/>
      <c r="AG310" s="97">
        <f t="shared" ca="1" si="27"/>
        <v>0</v>
      </c>
      <c r="AH310" s="97">
        <f t="shared" ca="1" si="28"/>
        <v>0</v>
      </c>
      <c r="AI310" s="97">
        <f t="shared" si="29"/>
        <v>0</v>
      </c>
      <c r="AJ310" s="97">
        <f t="shared" ca="1" si="30"/>
        <v>0</v>
      </c>
      <c r="AK310" s="97" t="str">
        <f t="shared" ca="1" si="31"/>
        <v/>
      </c>
      <c r="AL310" s="98">
        <f t="shared" ca="1" si="32"/>
        <v>1</v>
      </c>
      <c r="AM310" s="98">
        <f t="shared" ca="1" si="33"/>
        <v>44</v>
      </c>
      <c r="AN310" s="98">
        <f t="shared" ca="1" si="34"/>
        <v>2</v>
      </c>
      <c r="AO310" s="98">
        <f t="shared" ca="1" si="35"/>
        <v>0</v>
      </c>
      <c r="AP310" s="98">
        <f t="shared" ca="1" si="36"/>
        <v>0</v>
      </c>
      <c r="AQ310" s="98">
        <f t="shared" ca="1" si="37"/>
        <v>0</v>
      </c>
      <c r="AR310" s="98">
        <f t="shared" ca="1" si="38"/>
        <v>0</v>
      </c>
      <c r="AS310" s="99"/>
      <c r="AT310" s="98">
        <f t="shared" si="39"/>
        <v>1</v>
      </c>
    </row>
    <row r="311" spans="1:46" ht="15.75" customHeight="1">
      <c r="A311" s="76"/>
      <c r="B311" s="77">
        <f t="shared" ca="1" si="20"/>
        <v>1</v>
      </c>
      <c r="C311" s="78">
        <f t="shared" ca="1" si="21"/>
        <v>44</v>
      </c>
      <c r="D311" s="78">
        <f t="shared" ca="1" si="22"/>
        <v>3</v>
      </c>
      <c r="E311" s="78" t="str">
        <f t="shared" ca="1" si="23"/>
        <v/>
      </c>
      <c r="F311" s="78" t="str">
        <f t="shared" ca="1" si="24"/>
        <v/>
      </c>
      <c r="G311" s="79" t="str">
        <f t="shared" ca="1" si="25"/>
        <v/>
      </c>
      <c r="H311" s="80" t="str">
        <f t="shared" ca="1" si="26"/>
        <v/>
      </c>
      <c r="I311" s="100"/>
      <c r="J311" s="111"/>
      <c r="K311" s="111" t="s">
        <v>63</v>
      </c>
      <c r="L311" s="111"/>
      <c r="M311" s="111"/>
      <c r="N311" s="111"/>
      <c r="O311" s="111"/>
      <c r="P311" s="111"/>
      <c r="Q311" s="112"/>
      <c r="R311" s="124" t="s">
        <v>77</v>
      </c>
      <c r="S311" s="114">
        <v>45827</v>
      </c>
      <c r="T311" s="115">
        <v>45827</v>
      </c>
      <c r="U311" s="114"/>
      <c r="V311" s="115"/>
      <c r="W311" s="116"/>
      <c r="X311" s="117"/>
      <c r="Y311" s="118"/>
      <c r="Z311" s="119"/>
      <c r="AA311" s="92"/>
      <c r="AB311" s="93"/>
      <c r="AC311" s="94"/>
      <c r="AD311" s="95"/>
      <c r="AE311" s="96"/>
      <c r="AF311" s="97"/>
      <c r="AG311" s="97">
        <f t="shared" ca="1" si="27"/>
        <v>0</v>
      </c>
      <c r="AH311" s="97">
        <f t="shared" ca="1" si="28"/>
        <v>0</v>
      </c>
      <c r="AI311" s="97">
        <f t="shared" si="29"/>
        <v>0</v>
      </c>
      <c r="AJ311" s="97">
        <f t="shared" ca="1" si="30"/>
        <v>0</v>
      </c>
      <c r="AK311" s="97" t="str">
        <f t="shared" ca="1" si="31"/>
        <v/>
      </c>
      <c r="AL311" s="98">
        <f t="shared" ca="1" si="32"/>
        <v>1</v>
      </c>
      <c r="AM311" s="98">
        <f t="shared" ca="1" si="33"/>
        <v>44</v>
      </c>
      <c r="AN311" s="98">
        <f t="shared" ca="1" si="34"/>
        <v>3</v>
      </c>
      <c r="AO311" s="98">
        <f t="shared" ca="1" si="35"/>
        <v>0</v>
      </c>
      <c r="AP311" s="98">
        <f t="shared" ca="1" si="36"/>
        <v>0</v>
      </c>
      <c r="AQ311" s="98">
        <f t="shared" ca="1" si="37"/>
        <v>0</v>
      </c>
      <c r="AR311" s="98">
        <f t="shared" ca="1" si="38"/>
        <v>0</v>
      </c>
      <c r="AS311" s="99"/>
      <c r="AT311" s="98">
        <f t="shared" si="39"/>
        <v>1</v>
      </c>
    </row>
    <row r="312" spans="1:46" ht="15.75" customHeight="1">
      <c r="A312" s="76"/>
      <c r="B312" s="77">
        <f t="shared" ca="1" si="20"/>
        <v>1</v>
      </c>
      <c r="C312" s="78">
        <f t="shared" ca="1" si="21"/>
        <v>44</v>
      </c>
      <c r="D312" s="78">
        <f t="shared" ca="1" si="22"/>
        <v>4</v>
      </c>
      <c r="E312" s="78" t="str">
        <f t="shared" ca="1" si="23"/>
        <v/>
      </c>
      <c r="F312" s="78" t="str">
        <f t="shared" ca="1" si="24"/>
        <v/>
      </c>
      <c r="G312" s="79" t="str">
        <f t="shared" ca="1" si="25"/>
        <v/>
      </c>
      <c r="H312" s="80" t="str">
        <f t="shared" ca="1" si="26"/>
        <v/>
      </c>
      <c r="I312" s="100"/>
      <c r="J312" s="111"/>
      <c r="K312" s="111" t="s">
        <v>64</v>
      </c>
      <c r="L312" s="111"/>
      <c r="M312" s="111"/>
      <c r="N312" s="111"/>
      <c r="O312" s="111"/>
      <c r="P312" s="111"/>
      <c r="Q312" s="112"/>
      <c r="R312" s="124" t="s">
        <v>70</v>
      </c>
      <c r="S312" s="114">
        <v>45827</v>
      </c>
      <c r="T312" s="115">
        <v>45827</v>
      </c>
      <c r="U312" s="114"/>
      <c r="V312" s="115"/>
      <c r="W312" s="116"/>
      <c r="X312" s="117"/>
      <c r="Y312" s="118"/>
      <c r="Z312" s="119"/>
      <c r="AA312" s="92"/>
      <c r="AB312" s="93"/>
      <c r="AC312" s="94"/>
      <c r="AD312" s="95"/>
      <c r="AE312" s="96"/>
      <c r="AF312" s="97"/>
      <c r="AG312" s="97">
        <f t="shared" ca="1" si="27"/>
        <v>0</v>
      </c>
      <c r="AH312" s="97">
        <f t="shared" ca="1" si="28"/>
        <v>0</v>
      </c>
      <c r="AI312" s="97">
        <f t="shared" si="29"/>
        <v>0</v>
      </c>
      <c r="AJ312" s="97">
        <f t="shared" ca="1" si="30"/>
        <v>0</v>
      </c>
      <c r="AK312" s="97" t="str">
        <f t="shared" ca="1" si="31"/>
        <v/>
      </c>
      <c r="AL312" s="98">
        <f t="shared" ca="1" si="32"/>
        <v>1</v>
      </c>
      <c r="AM312" s="98">
        <f t="shared" ca="1" si="33"/>
        <v>44</v>
      </c>
      <c r="AN312" s="98">
        <f t="shared" ca="1" si="34"/>
        <v>4</v>
      </c>
      <c r="AO312" s="98">
        <f t="shared" ca="1" si="35"/>
        <v>0</v>
      </c>
      <c r="AP312" s="98">
        <f t="shared" ca="1" si="36"/>
        <v>0</v>
      </c>
      <c r="AQ312" s="98">
        <f t="shared" ca="1" si="37"/>
        <v>0</v>
      </c>
      <c r="AR312" s="98">
        <f t="shared" ca="1" si="38"/>
        <v>0</v>
      </c>
      <c r="AS312" s="99"/>
      <c r="AT312" s="98">
        <f t="shared" si="39"/>
        <v>1</v>
      </c>
    </row>
    <row r="313" spans="1:46" ht="15.75" customHeight="1">
      <c r="A313" s="76"/>
      <c r="B313" s="77">
        <f t="shared" ca="1" si="20"/>
        <v>1</v>
      </c>
      <c r="C313" s="78">
        <f t="shared" ca="1" si="21"/>
        <v>44</v>
      </c>
      <c r="D313" s="78">
        <f t="shared" ca="1" si="22"/>
        <v>5</v>
      </c>
      <c r="E313" s="78" t="str">
        <f t="shared" ca="1" si="23"/>
        <v/>
      </c>
      <c r="F313" s="78" t="str">
        <f t="shared" ca="1" si="24"/>
        <v/>
      </c>
      <c r="G313" s="79" t="str">
        <f t="shared" ca="1" si="25"/>
        <v/>
      </c>
      <c r="H313" s="80" t="str">
        <f t="shared" ca="1" si="26"/>
        <v/>
      </c>
      <c r="I313" s="100"/>
      <c r="J313" s="111"/>
      <c r="K313" s="111" t="s">
        <v>65</v>
      </c>
      <c r="L313" s="111"/>
      <c r="M313" s="111"/>
      <c r="N313" s="111"/>
      <c r="O313" s="111"/>
      <c r="P313" s="111"/>
      <c r="Q313" s="112"/>
      <c r="R313" s="124" t="s">
        <v>77</v>
      </c>
      <c r="S313" s="114">
        <v>45828</v>
      </c>
      <c r="T313" s="115">
        <v>45828</v>
      </c>
      <c r="U313" s="114"/>
      <c r="V313" s="115"/>
      <c r="W313" s="116"/>
      <c r="X313" s="117"/>
      <c r="Y313" s="118"/>
      <c r="Z313" s="119"/>
      <c r="AA313" s="92"/>
      <c r="AB313" s="93"/>
      <c r="AC313" s="94"/>
      <c r="AD313" s="95"/>
      <c r="AE313" s="96"/>
      <c r="AF313" s="97"/>
      <c r="AG313" s="97">
        <f t="shared" ca="1" si="27"/>
        <v>0</v>
      </c>
      <c r="AH313" s="97">
        <f t="shared" ca="1" si="28"/>
        <v>0</v>
      </c>
      <c r="AI313" s="97">
        <f t="shared" si="29"/>
        <v>0</v>
      </c>
      <c r="AJ313" s="97">
        <f t="shared" ca="1" si="30"/>
        <v>0</v>
      </c>
      <c r="AK313" s="97" t="str">
        <f t="shared" ca="1" si="31"/>
        <v/>
      </c>
      <c r="AL313" s="98">
        <f t="shared" ca="1" si="32"/>
        <v>1</v>
      </c>
      <c r="AM313" s="98">
        <f t="shared" ca="1" si="33"/>
        <v>44</v>
      </c>
      <c r="AN313" s="98">
        <f t="shared" ca="1" si="34"/>
        <v>5</v>
      </c>
      <c r="AO313" s="98">
        <f t="shared" ca="1" si="35"/>
        <v>0</v>
      </c>
      <c r="AP313" s="98">
        <f t="shared" ca="1" si="36"/>
        <v>0</v>
      </c>
      <c r="AQ313" s="98">
        <f t="shared" ca="1" si="37"/>
        <v>0</v>
      </c>
      <c r="AR313" s="98">
        <f t="shared" ca="1" si="38"/>
        <v>0</v>
      </c>
      <c r="AS313" s="99"/>
      <c r="AT313" s="98">
        <f t="shared" si="39"/>
        <v>1</v>
      </c>
    </row>
    <row r="314" spans="1:46" ht="15.75" customHeight="1">
      <c r="A314" s="76"/>
      <c r="B314" s="77">
        <f t="shared" ca="1" si="20"/>
        <v>1</v>
      </c>
      <c r="C314" s="78">
        <f t="shared" ca="1" si="21"/>
        <v>44</v>
      </c>
      <c r="D314" s="78">
        <f t="shared" ca="1" si="22"/>
        <v>6</v>
      </c>
      <c r="E314" s="78" t="str">
        <f t="shared" ca="1" si="23"/>
        <v/>
      </c>
      <c r="F314" s="78" t="str">
        <f t="shared" ca="1" si="24"/>
        <v/>
      </c>
      <c r="G314" s="79" t="str">
        <f t="shared" ca="1" si="25"/>
        <v/>
      </c>
      <c r="H314" s="80" t="str">
        <f t="shared" ca="1" si="26"/>
        <v/>
      </c>
      <c r="I314" s="100"/>
      <c r="J314" s="111"/>
      <c r="K314" s="111" t="s">
        <v>66</v>
      </c>
      <c r="L314" s="111"/>
      <c r="M314" s="111"/>
      <c r="N314" s="111"/>
      <c r="O314" s="111"/>
      <c r="P314" s="111"/>
      <c r="Q314" s="112"/>
      <c r="R314" s="124" t="s">
        <v>70</v>
      </c>
      <c r="S314" s="114">
        <v>45831</v>
      </c>
      <c r="T314" s="115">
        <v>45832</v>
      </c>
      <c r="U314" s="114"/>
      <c r="V314" s="115"/>
      <c r="W314" s="116"/>
      <c r="X314" s="117"/>
      <c r="Y314" s="118"/>
      <c r="Z314" s="119"/>
      <c r="AA314" s="92"/>
      <c r="AB314" s="93"/>
      <c r="AC314" s="94"/>
      <c r="AD314" s="95"/>
      <c r="AE314" s="96"/>
      <c r="AF314" s="97"/>
      <c r="AG314" s="97">
        <f t="shared" ca="1" si="27"/>
        <v>0</v>
      </c>
      <c r="AH314" s="97">
        <f t="shared" ca="1" si="28"/>
        <v>0</v>
      </c>
      <c r="AI314" s="97">
        <f t="shared" si="29"/>
        <v>0</v>
      </c>
      <c r="AJ314" s="97">
        <f t="shared" ca="1" si="30"/>
        <v>0</v>
      </c>
      <c r="AK314" s="97" t="str">
        <f t="shared" ca="1" si="31"/>
        <v/>
      </c>
      <c r="AL314" s="98">
        <f t="shared" ca="1" si="32"/>
        <v>1</v>
      </c>
      <c r="AM314" s="98">
        <f t="shared" ca="1" si="33"/>
        <v>44</v>
      </c>
      <c r="AN314" s="98">
        <f t="shared" ca="1" si="34"/>
        <v>6</v>
      </c>
      <c r="AO314" s="98">
        <f t="shared" ca="1" si="35"/>
        <v>0</v>
      </c>
      <c r="AP314" s="98">
        <f t="shared" ca="1" si="36"/>
        <v>0</v>
      </c>
      <c r="AQ314" s="98">
        <f t="shared" ca="1" si="37"/>
        <v>0</v>
      </c>
      <c r="AR314" s="98">
        <f t="shared" ca="1" si="38"/>
        <v>0</v>
      </c>
      <c r="AS314" s="99"/>
      <c r="AT314" s="98">
        <f t="shared" si="39"/>
        <v>2</v>
      </c>
    </row>
    <row r="315" spans="1:46" ht="15.75" customHeight="1">
      <c r="A315" s="76"/>
      <c r="B315" s="77">
        <f t="shared" ca="1" si="20"/>
        <v>1</v>
      </c>
      <c r="C315" s="78">
        <f t="shared" ca="1" si="21"/>
        <v>45</v>
      </c>
      <c r="D315" s="78" t="str">
        <f t="shared" ca="1" si="22"/>
        <v/>
      </c>
      <c r="E315" s="78" t="str">
        <f t="shared" ca="1" si="23"/>
        <v/>
      </c>
      <c r="F315" s="78" t="str">
        <f t="shared" ca="1" si="24"/>
        <v/>
      </c>
      <c r="G315" s="79" t="str">
        <f t="shared" ca="1" si="25"/>
        <v/>
      </c>
      <c r="H315" s="80" t="str">
        <f t="shared" ca="1" si="26"/>
        <v/>
      </c>
      <c r="I315" s="100"/>
      <c r="J315" s="101" t="s">
        <v>114</v>
      </c>
      <c r="K315" s="102"/>
      <c r="L315" s="102"/>
      <c r="M315" s="102"/>
      <c r="N315" s="102"/>
      <c r="O315" s="102"/>
      <c r="P315" s="102"/>
      <c r="Q315" s="103" t="s">
        <v>73</v>
      </c>
      <c r="R315" s="104"/>
      <c r="S315" s="104"/>
      <c r="T315" s="105"/>
      <c r="U315" s="106"/>
      <c r="V315" s="105"/>
      <c r="W315" s="107"/>
      <c r="X315" s="108"/>
      <c r="Y315" s="109"/>
      <c r="Z315" s="110"/>
      <c r="AA315" s="92"/>
      <c r="AB315" s="93"/>
      <c r="AC315" s="94"/>
      <c r="AD315" s="95"/>
      <c r="AE315" s="96"/>
      <c r="AF315" s="97"/>
      <c r="AG315" s="97">
        <f t="shared" si="27"/>
        <v>0</v>
      </c>
      <c r="AH315" s="97">
        <f t="shared" si="28"/>
        <v>0</v>
      </c>
      <c r="AI315" s="97">
        <f t="shared" si="29"/>
        <v>0</v>
      </c>
      <c r="AJ315" s="97">
        <f t="shared" si="30"/>
        <v>0</v>
      </c>
      <c r="AK315" s="97" t="str">
        <f t="shared" si="31"/>
        <v/>
      </c>
      <c r="AL315" s="98">
        <f t="shared" ca="1" si="32"/>
        <v>1</v>
      </c>
      <c r="AM315" s="98">
        <f t="shared" ca="1" si="33"/>
        <v>45</v>
      </c>
      <c r="AN315" s="98">
        <f t="shared" ca="1" si="34"/>
        <v>0</v>
      </c>
      <c r="AO315" s="98">
        <f t="shared" ca="1" si="35"/>
        <v>0</v>
      </c>
      <c r="AP315" s="98">
        <f t="shared" ca="1" si="36"/>
        <v>0</v>
      </c>
      <c r="AQ315" s="98">
        <f t="shared" ca="1" si="37"/>
        <v>0</v>
      </c>
      <c r="AR315" s="98">
        <f t="shared" ca="1" si="38"/>
        <v>0</v>
      </c>
      <c r="AS315" s="99"/>
      <c r="AT315" s="98">
        <f t="shared" si="39"/>
        <v>1</v>
      </c>
    </row>
    <row r="316" spans="1:46" ht="15.75" customHeight="1">
      <c r="A316" s="76"/>
      <c r="B316" s="77">
        <f t="shared" ca="1" si="20"/>
        <v>1</v>
      </c>
      <c r="C316" s="78">
        <f t="shared" ca="1" si="21"/>
        <v>45</v>
      </c>
      <c r="D316" s="78">
        <f t="shared" ca="1" si="22"/>
        <v>1</v>
      </c>
      <c r="E316" s="78" t="str">
        <f t="shared" ca="1" si="23"/>
        <v/>
      </c>
      <c r="F316" s="78" t="str">
        <f t="shared" ca="1" si="24"/>
        <v/>
      </c>
      <c r="G316" s="79" t="str">
        <f t="shared" ca="1" si="25"/>
        <v/>
      </c>
      <c r="H316" s="80" t="str">
        <f t="shared" ca="1" si="26"/>
        <v/>
      </c>
      <c r="I316" s="100"/>
      <c r="J316" s="111"/>
      <c r="K316" s="111" t="s">
        <v>59</v>
      </c>
      <c r="L316" s="111"/>
      <c r="M316" s="111"/>
      <c r="N316" s="111"/>
      <c r="O316" s="111"/>
      <c r="P316" s="111"/>
      <c r="Q316" s="112"/>
      <c r="R316" s="113"/>
      <c r="S316" s="113"/>
      <c r="T316" s="115"/>
      <c r="U316" s="114"/>
      <c r="V316" s="115"/>
      <c r="W316" s="116"/>
      <c r="X316" s="117"/>
      <c r="Y316" s="118"/>
      <c r="Z316" s="119"/>
      <c r="AA316" s="92"/>
      <c r="AB316" s="93"/>
      <c r="AC316" s="94"/>
      <c r="AD316" s="95"/>
      <c r="AE316" s="96"/>
      <c r="AF316" s="97"/>
      <c r="AG316" s="97">
        <f t="shared" si="27"/>
        <v>0</v>
      </c>
      <c r="AH316" s="97">
        <f t="shared" si="28"/>
        <v>0</v>
      </c>
      <c r="AI316" s="97">
        <f t="shared" si="29"/>
        <v>0</v>
      </c>
      <c r="AJ316" s="97">
        <f t="shared" si="30"/>
        <v>0</v>
      </c>
      <c r="AK316" s="97" t="str">
        <f t="shared" si="31"/>
        <v/>
      </c>
      <c r="AL316" s="98">
        <f t="shared" ca="1" si="32"/>
        <v>1</v>
      </c>
      <c r="AM316" s="98">
        <f t="shared" ca="1" si="33"/>
        <v>45</v>
      </c>
      <c r="AN316" s="98">
        <f t="shared" ca="1" si="34"/>
        <v>1</v>
      </c>
      <c r="AO316" s="98">
        <f t="shared" ca="1" si="35"/>
        <v>0</v>
      </c>
      <c r="AP316" s="98">
        <f t="shared" ca="1" si="36"/>
        <v>0</v>
      </c>
      <c r="AQ316" s="98">
        <f t="shared" ca="1" si="37"/>
        <v>0</v>
      </c>
      <c r="AR316" s="98">
        <f t="shared" ca="1" si="38"/>
        <v>0</v>
      </c>
      <c r="AS316" s="99"/>
      <c r="AT316" s="98">
        <f t="shared" si="39"/>
        <v>1</v>
      </c>
    </row>
    <row r="317" spans="1:46" ht="15.75" customHeight="1">
      <c r="A317" s="76"/>
      <c r="B317" s="77">
        <f t="shared" ca="1" si="20"/>
        <v>1</v>
      </c>
      <c r="C317" s="78">
        <f t="shared" ca="1" si="21"/>
        <v>45</v>
      </c>
      <c r="D317" s="78">
        <f t="shared" ca="1" si="22"/>
        <v>2</v>
      </c>
      <c r="E317" s="78" t="str">
        <f t="shared" ca="1" si="23"/>
        <v/>
      </c>
      <c r="F317" s="78" t="str">
        <f t="shared" ca="1" si="24"/>
        <v/>
      </c>
      <c r="G317" s="79" t="str">
        <f t="shared" ca="1" si="25"/>
        <v/>
      </c>
      <c r="H317" s="80" t="str">
        <f t="shared" ca="1" si="26"/>
        <v/>
      </c>
      <c r="I317" s="100"/>
      <c r="J317" s="111"/>
      <c r="K317" s="111" t="s">
        <v>61</v>
      </c>
      <c r="L317" s="111"/>
      <c r="M317" s="111"/>
      <c r="N317" s="111"/>
      <c r="O317" s="111"/>
      <c r="P317" s="111"/>
      <c r="Q317" s="112"/>
      <c r="R317" s="113"/>
      <c r="S317" s="113"/>
      <c r="T317" s="115"/>
      <c r="U317" s="114"/>
      <c r="V317" s="115"/>
      <c r="W317" s="116"/>
      <c r="X317" s="117"/>
      <c r="Y317" s="118"/>
      <c r="Z317" s="119"/>
      <c r="AA317" s="92"/>
      <c r="AB317" s="93"/>
      <c r="AC317" s="94"/>
      <c r="AD317" s="95"/>
      <c r="AE317" s="96"/>
      <c r="AF317" s="97"/>
      <c r="AG317" s="97">
        <f t="shared" si="27"/>
        <v>0</v>
      </c>
      <c r="AH317" s="97">
        <f t="shared" si="28"/>
        <v>0</v>
      </c>
      <c r="AI317" s="97">
        <f t="shared" si="29"/>
        <v>0</v>
      </c>
      <c r="AJ317" s="97">
        <f t="shared" si="30"/>
        <v>0</v>
      </c>
      <c r="AK317" s="97" t="str">
        <f t="shared" si="31"/>
        <v/>
      </c>
      <c r="AL317" s="98">
        <f t="shared" ca="1" si="32"/>
        <v>1</v>
      </c>
      <c r="AM317" s="98">
        <f t="shared" ca="1" si="33"/>
        <v>45</v>
      </c>
      <c r="AN317" s="98">
        <f t="shared" ca="1" si="34"/>
        <v>2</v>
      </c>
      <c r="AO317" s="98">
        <f t="shared" ca="1" si="35"/>
        <v>0</v>
      </c>
      <c r="AP317" s="98">
        <f t="shared" ca="1" si="36"/>
        <v>0</v>
      </c>
      <c r="AQ317" s="98">
        <f t="shared" ca="1" si="37"/>
        <v>0</v>
      </c>
      <c r="AR317" s="98">
        <f t="shared" ca="1" si="38"/>
        <v>0</v>
      </c>
      <c r="AS317" s="99"/>
      <c r="AT317" s="98">
        <f t="shared" si="39"/>
        <v>1</v>
      </c>
    </row>
    <row r="318" spans="1:46" ht="15.75" customHeight="1">
      <c r="A318" s="76"/>
      <c r="B318" s="77">
        <f t="shared" ca="1" si="20"/>
        <v>1</v>
      </c>
      <c r="C318" s="78">
        <f t="shared" ca="1" si="21"/>
        <v>45</v>
      </c>
      <c r="D318" s="78">
        <f t="shared" ca="1" si="22"/>
        <v>3</v>
      </c>
      <c r="E318" s="78" t="str">
        <f t="shared" ca="1" si="23"/>
        <v/>
      </c>
      <c r="F318" s="78" t="str">
        <f t="shared" ca="1" si="24"/>
        <v/>
      </c>
      <c r="G318" s="79" t="str">
        <f t="shared" ca="1" si="25"/>
        <v/>
      </c>
      <c r="H318" s="80" t="str">
        <f t="shared" ca="1" si="26"/>
        <v/>
      </c>
      <c r="I318" s="100"/>
      <c r="J318" s="111"/>
      <c r="K318" s="111" t="s">
        <v>63</v>
      </c>
      <c r="L318" s="111"/>
      <c r="M318" s="111"/>
      <c r="N318" s="111"/>
      <c r="O318" s="111"/>
      <c r="P318" s="111"/>
      <c r="Q318" s="112"/>
      <c r="R318" s="113"/>
      <c r="S318" s="113"/>
      <c r="T318" s="115"/>
      <c r="U318" s="114"/>
      <c r="V318" s="115"/>
      <c r="W318" s="116"/>
      <c r="X318" s="117"/>
      <c r="Y318" s="118"/>
      <c r="Z318" s="119"/>
      <c r="AA318" s="92"/>
      <c r="AB318" s="93"/>
      <c r="AC318" s="94"/>
      <c r="AD318" s="95"/>
      <c r="AE318" s="96"/>
      <c r="AF318" s="97"/>
      <c r="AG318" s="97">
        <f t="shared" si="27"/>
        <v>0</v>
      </c>
      <c r="AH318" s="97">
        <f t="shared" si="28"/>
        <v>0</v>
      </c>
      <c r="AI318" s="97">
        <f t="shared" si="29"/>
        <v>0</v>
      </c>
      <c r="AJ318" s="97">
        <f t="shared" si="30"/>
        <v>0</v>
      </c>
      <c r="AK318" s="97" t="str">
        <f t="shared" si="31"/>
        <v/>
      </c>
      <c r="AL318" s="98">
        <f t="shared" ca="1" si="32"/>
        <v>1</v>
      </c>
      <c r="AM318" s="98">
        <f t="shared" ca="1" si="33"/>
        <v>45</v>
      </c>
      <c r="AN318" s="98">
        <f t="shared" ca="1" si="34"/>
        <v>3</v>
      </c>
      <c r="AO318" s="98">
        <f t="shared" ca="1" si="35"/>
        <v>0</v>
      </c>
      <c r="AP318" s="98">
        <f t="shared" ca="1" si="36"/>
        <v>0</v>
      </c>
      <c r="AQ318" s="98">
        <f t="shared" ca="1" si="37"/>
        <v>0</v>
      </c>
      <c r="AR318" s="98">
        <f t="shared" ca="1" si="38"/>
        <v>0</v>
      </c>
      <c r="AS318" s="99"/>
      <c r="AT318" s="98">
        <f t="shared" si="39"/>
        <v>1</v>
      </c>
    </row>
    <row r="319" spans="1:46" ht="15.75" customHeight="1">
      <c r="A319" s="76"/>
      <c r="B319" s="77">
        <f t="shared" ca="1" si="20"/>
        <v>1</v>
      </c>
      <c r="C319" s="78">
        <f t="shared" ca="1" si="21"/>
        <v>45</v>
      </c>
      <c r="D319" s="78">
        <f t="shared" ca="1" si="22"/>
        <v>4</v>
      </c>
      <c r="E319" s="78" t="str">
        <f t="shared" ca="1" si="23"/>
        <v/>
      </c>
      <c r="F319" s="78" t="str">
        <f t="shared" ca="1" si="24"/>
        <v/>
      </c>
      <c r="G319" s="79" t="str">
        <f t="shared" ca="1" si="25"/>
        <v/>
      </c>
      <c r="H319" s="80" t="str">
        <f t="shared" ca="1" si="26"/>
        <v/>
      </c>
      <c r="I319" s="100"/>
      <c r="J319" s="111"/>
      <c r="K319" s="111" t="s">
        <v>64</v>
      </c>
      <c r="L319" s="111"/>
      <c r="M319" s="111"/>
      <c r="N319" s="111"/>
      <c r="O319" s="111"/>
      <c r="P319" s="111"/>
      <c r="Q319" s="112"/>
      <c r="R319" s="113"/>
      <c r="S319" s="113"/>
      <c r="T319" s="115"/>
      <c r="U319" s="114"/>
      <c r="V319" s="115"/>
      <c r="W319" s="116"/>
      <c r="X319" s="117"/>
      <c r="Y319" s="118"/>
      <c r="Z319" s="119"/>
      <c r="AA319" s="92"/>
      <c r="AB319" s="93"/>
      <c r="AC319" s="94"/>
      <c r="AD319" s="95"/>
      <c r="AE319" s="96"/>
      <c r="AF319" s="97"/>
      <c r="AG319" s="97">
        <f t="shared" si="27"/>
        <v>0</v>
      </c>
      <c r="AH319" s="97">
        <f t="shared" si="28"/>
        <v>0</v>
      </c>
      <c r="AI319" s="97">
        <f t="shared" si="29"/>
        <v>0</v>
      </c>
      <c r="AJ319" s="97">
        <f t="shared" si="30"/>
        <v>0</v>
      </c>
      <c r="AK319" s="97" t="str">
        <f t="shared" si="31"/>
        <v/>
      </c>
      <c r="AL319" s="98">
        <f t="shared" ca="1" si="32"/>
        <v>1</v>
      </c>
      <c r="AM319" s="98">
        <f t="shared" ca="1" si="33"/>
        <v>45</v>
      </c>
      <c r="AN319" s="98">
        <f t="shared" ca="1" si="34"/>
        <v>4</v>
      </c>
      <c r="AO319" s="98">
        <f t="shared" ca="1" si="35"/>
        <v>0</v>
      </c>
      <c r="AP319" s="98">
        <f t="shared" ca="1" si="36"/>
        <v>0</v>
      </c>
      <c r="AQ319" s="98">
        <f t="shared" ca="1" si="37"/>
        <v>0</v>
      </c>
      <c r="AR319" s="98">
        <f t="shared" ca="1" si="38"/>
        <v>0</v>
      </c>
      <c r="AS319" s="99"/>
      <c r="AT319" s="98">
        <f t="shared" si="39"/>
        <v>1</v>
      </c>
    </row>
    <row r="320" spans="1:46" ht="15.75" customHeight="1">
      <c r="A320" s="76"/>
      <c r="B320" s="77">
        <f t="shared" ca="1" si="20"/>
        <v>1</v>
      </c>
      <c r="C320" s="78">
        <f t="shared" ca="1" si="21"/>
        <v>45</v>
      </c>
      <c r="D320" s="78">
        <f t="shared" ca="1" si="22"/>
        <v>5</v>
      </c>
      <c r="E320" s="78" t="str">
        <f t="shared" ca="1" si="23"/>
        <v/>
      </c>
      <c r="F320" s="78" t="str">
        <f t="shared" ca="1" si="24"/>
        <v/>
      </c>
      <c r="G320" s="79" t="str">
        <f t="shared" ca="1" si="25"/>
        <v/>
      </c>
      <c r="H320" s="80" t="str">
        <f t="shared" ca="1" si="26"/>
        <v/>
      </c>
      <c r="I320" s="100"/>
      <c r="J320" s="111"/>
      <c r="K320" s="111" t="s">
        <v>65</v>
      </c>
      <c r="L320" s="111"/>
      <c r="M320" s="111"/>
      <c r="N320" s="111"/>
      <c r="O320" s="111"/>
      <c r="P320" s="111"/>
      <c r="Q320" s="112"/>
      <c r="R320" s="113"/>
      <c r="S320" s="113"/>
      <c r="T320" s="115"/>
      <c r="U320" s="114"/>
      <c r="V320" s="115"/>
      <c r="W320" s="116"/>
      <c r="X320" s="117"/>
      <c r="Y320" s="118"/>
      <c r="Z320" s="119"/>
      <c r="AA320" s="92"/>
      <c r="AB320" s="93"/>
      <c r="AC320" s="94"/>
      <c r="AD320" s="95"/>
      <c r="AE320" s="96"/>
      <c r="AF320" s="97"/>
      <c r="AG320" s="97">
        <f t="shared" si="27"/>
        <v>0</v>
      </c>
      <c r="AH320" s="97">
        <f t="shared" si="28"/>
        <v>0</v>
      </c>
      <c r="AI320" s="97">
        <f t="shared" si="29"/>
        <v>0</v>
      </c>
      <c r="AJ320" s="97">
        <f t="shared" si="30"/>
        <v>0</v>
      </c>
      <c r="AK320" s="97" t="str">
        <f t="shared" si="31"/>
        <v/>
      </c>
      <c r="AL320" s="98">
        <f t="shared" ca="1" si="32"/>
        <v>1</v>
      </c>
      <c r="AM320" s="98">
        <f t="shared" ca="1" si="33"/>
        <v>45</v>
      </c>
      <c r="AN320" s="98">
        <f t="shared" ca="1" si="34"/>
        <v>5</v>
      </c>
      <c r="AO320" s="98">
        <f t="shared" ca="1" si="35"/>
        <v>0</v>
      </c>
      <c r="AP320" s="98">
        <f t="shared" ca="1" si="36"/>
        <v>0</v>
      </c>
      <c r="AQ320" s="98">
        <f t="shared" ca="1" si="37"/>
        <v>0</v>
      </c>
      <c r="AR320" s="98">
        <f t="shared" ca="1" si="38"/>
        <v>0</v>
      </c>
      <c r="AS320" s="99"/>
      <c r="AT320" s="98">
        <f t="shared" si="39"/>
        <v>1</v>
      </c>
    </row>
    <row r="321" spans="1:46" ht="15.75" customHeight="1">
      <c r="A321" s="76"/>
      <c r="B321" s="77">
        <f t="shared" ca="1" si="20"/>
        <v>1</v>
      </c>
      <c r="C321" s="78">
        <f t="shared" ca="1" si="21"/>
        <v>45</v>
      </c>
      <c r="D321" s="78">
        <f t="shared" ca="1" si="22"/>
        <v>6</v>
      </c>
      <c r="E321" s="78" t="str">
        <f t="shared" ca="1" si="23"/>
        <v/>
      </c>
      <c r="F321" s="78" t="str">
        <f t="shared" ca="1" si="24"/>
        <v/>
      </c>
      <c r="G321" s="79" t="str">
        <f t="shared" ca="1" si="25"/>
        <v/>
      </c>
      <c r="H321" s="80" t="str">
        <f t="shared" ca="1" si="26"/>
        <v/>
      </c>
      <c r="I321" s="100"/>
      <c r="J321" s="111"/>
      <c r="K321" s="111" t="s">
        <v>66</v>
      </c>
      <c r="L321" s="111"/>
      <c r="M321" s="111"/>
      <c r="N321" s="111"/>
      <c r="O321" s="111"/>
      <c r="P321" s="111"/>
      <c r="Q321" s="112"/>
      <c r="R321" s="113"/>
      <c r="S321" s="113"/>
      <c r="T321" s="115"/>
      <c r="U321" s="114"/>
      <c r="V321" s="115"/>
      <c r="W321" s="116"/>
      <c r="X321" s="117"/>
      <c r="Y321" s="118"/>
      <c r="Z321" s="119"/>
      <c r="AA321" s="92"/>
      <c r="AB321" s="93"/>
      <c r="AC321" s="94"/>
      <c r="AD321" s="95"/>
      <c r="AE321" s="96"/>
      <c r="AF321" s="97"/>
      <c r="AG321" s="97">
        <f t="shared" si="27"/>
        <v>0</v>
      </c>
      <c r="AH321" s="97">
        <f t="shared" si="28"/>
        <v>0</v>
      </c>
      <c r="AI321" s="97">
        <f t="shared" si="29"/>
        <v>0</v>
      </c>
      <c r="AJ321" s="97">
        <f t="shared" si="30"/>
        <v>0</v>
      </c>
      <c r="AK321" s="97" t="str">
        <f t="shared" si="31"/>
        <v/>
      </c>
      <c r="AL321" s="98">
        <f t="shared" ca="1" si="32"/>
        <v>1</v>
      </c>
      <c r="AM321" s="98">
        <f t="shared" ca="1" si="33"/>
        <v>45</v>
      </c>
      <c r="AN321" s="98">
        <f t="shared" ca="1" si="34"/>
        <v>6</v>
      </c>
      <c r="AO321" s="98">
        <f t="shared" ca="1" si="35"/>
        <v>0</v>
      </c>
      <c r="AP321" s="98">
        <f t="shared" ca="1" si="36"/>
        <v>0</v>
      </c>
      <c r="AQ321" s="98">
        <f t="shared" ca="1" si="37"/>
        <v>0</v>
      </c>
      <c r="AR321" s="98">
        <f t="shared" ca="1" si="38"/>
        <v>0</v>
      </c>
      <c r="AS321" s="99"/>
      <c r="AT321" s="98">
        <f t="shared" si="39"/>
        <v>1</v>
      </c>
    </row>
    <row r="322" spans="1:46" ht="15.75" customHeight="1">
      <c r="A322" s="76"/>
      <c r="B322" s="77">
        <f t="shared" ca="1" si="20"/>
        <v>1</v>
      </c>
      <c r="C322" s="78">
        <f t="shared" ca="1" si="21"/>
        <v>46</v>
      </c>
      <c r="D322" s="78" t="str">
        <f t="shared" ca="1" si="22"/>
        <v/>
      </c>
      <c r="E322" s="78" t="str">
        <f t="shared" ca="1" si="23"/>
        <v/>
      </c>
      <c r="F322" s="78" t="str">
        <f t="shared" ca="1" si="24"/>
        <v/>
      </c>
      <c r="G322" s="79" t="str">
        <f t="shared" ca="1" si="25"/>
        <v/>
      </c>
      <c r="H322" s="80" t="str">
        <f t="shared" ca="1" si="26"/>
        <v/>
      </c>
      <c r="I322" s="100"/>
      <c r="J322" s="101" t="s">
        <v>115</v>
      </c>
      <c r="K322" s="102"/>
      <c r="L322" s="102"/>
      <c r="M322" s="102"/>
      <c r="N322" s="102"/>
      <c r="O322" s="102"/>
      <c r="P322" s="102"/>
      <c r="Q322" s="103" t="s">
        <v>58</v>
      </c>
      <c r="R322" s="104"/>
      <c r="S322" s="104"/>
      <c r="T322" s="105"/>
      <c r="U322" s="106"/>
      <c r="V322" s="105"/>
      <c r="W322" s="107"/>
      <c r="X322" s="108"/>
      <c r="Y322" s="109"/>
      <c r="Z322" s="110"/>
      <c r="AA322" s="92"/>
      <c r="AB322" s="93"/>
      <c r="AC322" s="94"/>
      <c r="AD322" s="95"/>
      <c r="AE322" s="96"/>
      <c r="AF322" s="97"/>
      <c r="AG322" s="97">
        <f t="shared" si="27"/>
        <v>0</v>
      </c>
      <c r="AH322" s="97">
        <f t="shared" si="28"/>
        <v>0</v>
      </c>
      <c r="AI322" s="97">
        <f t="shared" si="29"/>
        <v>0</v>
      </c>
      <c r="AJ322" s="97">
        <f t="shared" si="30"/>
        <v>0</v>
      </c>
      <c r="AK322" s="97" t="str">
        <f t="shared" si="31"/>
        <v/>
      </c>
      <c r="AL322" s="98">
        <f t="shared" ca="1" si="32"/>
        <v>1</v>
      </c>
      <c r="AM322" s="98">
        <f t="shared" ca="1" si="33"/>
        <v>46</v>
      </c>
      <c r="AN322" s="98">
        <f t="shared" ca="1" si="34"/>
        <v>0</v>
      </c>
      <c r="AO322" s="98">
        <f t="shared" ca="1" si="35"/>
        <v>0</v>
      </c>
      <c r="AP322" s="98">
        <f t="shared" ca="1" si="36"/>
        <v>0</v>
      </c>
      <c r="AQ322" s="98">
        <f t="shared" ca="1" si="37"/>
        <v>0</v>
      </c>
      <c r="AR322" s="98">
        <f t="shared" ca="1" si="38"/>
        <v>0</v>
      </c>
      <c r="AS322" s="99"/>
      <c r="AT322" s="98">
        <f t="shared" si="39"/>
        <v>1</v>
      </c>
    </row>
    <row r="323" spans="1:46" ht="15.75" customHeight="1">
      <c r="A323" s="76"/>
      <c r="B323" s="77">
        <f t="shared" ca="1" si="20"/>
        <v>1</v>
      </c>
      <c r="C323" s="78">
        <f t="shared" ca="1" si="21"/>
        <v>46</v>
      </c>
      <c r="D323" s="78">
        <f t="shared" ca="1" si="22"/>
        <v>1</v>
      </c>
      <c r="E323" s="78" t="str">
        <f t="shared" ca="1" si="23"/>
        <v/>
      </c>
      <c r="F323" s="78" t="str">
        <f t="shared" ca="1" si="24"/>
        <v/>
      </c>
      <c r="G323" s="79" t="str">
        <f t="shared" ca="1" si="25"/>
        <v/>
      </c>
      <c r="H323" s="80" t="str">
        <f t="shared" ca="1" si="26"/>
        <v/>
      </c>
      <c r="I323" s="100"/>
      <c r="J323" s="111"/>
      <c r="K323" s="111" t="s">
        <v>59</v>
      </c>
      <c r="L323" s="111"/>
      <c r="M323" s="111"/>
      <c r="N323" s="111"/>
      <c r="O323" s="111"/>
      <c r="P323" s="111"/>
      <c r="Q323" s="112"/>
      <c r="R323" s="113"/>
      <c r="S323" s="113"/>
      <c r="T323" s="115"/>
      <c r="U323" s="114"/>
      <c r="V323" s="115"/>
      <c r="W323" s="116"/>
      <c r="X323" s="117"/>
      <c r="Y323" s="118"/>
      <c r="Z323" s="119"/>
      <c r="AA323" s="92"/>
      <c r="AB323" s="93"/>
      <c r="AC323" s="94"/>
      <c r="AD323" s="95"/>
      <c r="AE323" s="96"/>
      <c r="AF323" s="97"/>
      <c r="AG323" s="97">
        <f t="shared" si="27"/>
        <v>0</v>
      </c>
      <c r="AH323" s="97">
        <f t="shared" si="28"/>
        <v>0</v>
      </c>
      <c r="AI323" s="97">
        <f t="shared" si="29"/>
        <v>0</v>
      </c>
      <c r="AJ323" s="97">
        <f t="shared" si="30"/>
        <v>0</v>
      </c>
      <c r="AK323" s="97" t="str">
        <f t="shared" si="31"/>
        <v/>
      </c>
      <c r="AL323" s="98">
        <f t="shared" ca="1" si="32"/>
        <v>1</v>
      </c>
      <c r="AM323" s="98">
        <f t="shared" ca="1" si="33"/>
        <v>46</v>
      </c>
      <c r="AN323" s="98">
        <f t="shared" ca="1" si="34"/>
        <v>1</v>
      </c>
      <c r="AO323" s="98">
        <f t="shared" ca="1" si="35"/>
        <v>0</v>
      </c>
      <c r="AP323" s="98">
        <f t="shared" ca="1" si="36"/>
        <v>0</v>
      </c>
      <c r="AQ323" s="98">
        <f t="shared" ca="1" si="37"/>
        <v>0</v>
      </c>
      <c r="AR323" s="98">
        <f t="shared" ca="1" si="38"/>
        <v>0</v>
      </c>
      <c r="AS323" s="99"/>
      <c r="AT323" s="98">
        <f t="shared" si="39"/>
        <v>1</v>
      </c>
    </row>
    <row r="324" spans="1:46" ht="15.75" customHeight="1">
      <c r="A324" s="76"/>
      <c r="B324" s="77">
        <f t="shared" ca="1" si="20"/>
        <v>1</v>
      </c>
      <c r="C324" s="78">
        <f t="shared" ca="1" si="21"/>
        <v>46</v>
      </c>
      <c r="D324" s="78">
        <f t="shared" ca="1" si="22"/>
        <v>2</v>
      </c>
      <c r="E324" s="78" t="str">
        <f t="shared" ca="1" si="23"/>
        <v/>
      </c>
      <c r="F324" s="78" t="str">
        <f t="shared" ca="1" si="24"/>
        <v/>
      </c>
      <c r="G324" s="79" t="str">
        <f t="shared" ca="1" si="25"/>
        <v/>
      </c>
      <c r="H324" s="80" t="str">
        <f t="shared" ca="1" si="26"/>
        <v/>
      </c>
      <c r="I324" s="100"/>
      <c r="J324" s="111"/>
      <c r="K324" s="111" t="s">
        <v>61</v>
      </c>
      <c r="L324" s="111"/>
      <c r="M324" s="111"/>
      <c r="N324" s="111"/>
      <c r="O324" s="111"/>
      <c r="P324" s="111"/>
      <c r="Q324" s="112"/>
      <c r="R324" s="113"/>
      <c r="S324" s="113"/>
      <c r="T324" s="115"/>
      <c r="U324" s="114"/>
      <c r="V324" s="115"/>
      <c r="W324" s="116"/>
      <c r="X324" s="117"/>
      <c r="Y324" s="118"/>
      <c r="Z324" s="119"/>
      <c r="AA324" s="92"/>
      <c r="AB324" s="93"/>
      <c r="AC324" s="94"/>
      <c r="AD324" s="95"/>
      <c r="AE324" s="96"/>
      <c r="AF324" s="97"/>
      <c r="AG324" s="97">
        <f t="shared" si="27"/>
        <v>0</v>
      </c>
      <c r="AH324" s="97">
        <f t="shared" si="28"/>
        <v>0</v>
      </c>
      <c r="AI324" s="97">
        <f t="shared" si="29"/>
        <v>0</v>
      </c>
      <c r="AJ324" s="97">
        <f t="shared" si="30"/>
        <v>0</v>
      </c>
      <c r="AK324" s="97" t="str">
        <f t="shared" si="31"/>
        <v/>
      </c>
      <c r="AL324" s="98">
        <f t="shared" ca="1" si="32"/>
        <v>1</v>
      </c>
      <c r="AM324" s="98">
        <f t="shared" ca="1" si="33"/>
        <v>46</v>
      </c>
      <c r="AN324" s="98">
        <f t="shared" ca="1" si="34"/>
        <v>2</v>
      </c>
      <c r="AO324" s="98">
        <f t="shared" ca="1" si="35"/>
        <v>0</v>
      </c>
      <c r="AP324" s="98">
        <f t="shared" ca="1" si="36"/>
        <v>0</v>
      </c>
      <c r="AQ324" s="98">
        <f t="shared" ca="1" si="37"/>
        <v>0</v>
      </c>
      <c r="AR324" s="98">
        <f t="shared" ca="1" si="38"/>
        <v>0</v>
      </c>
      <c r="AS324" s="99"/>
      <c r="AT324" s="98">
        <f t="shared" si="39"/>
        <v>1</v>
      </c>
    </row>
    <row r="325" spans="1:46" ht="15.75" customHeight="1">
      <c r="A325" s="76"/>
      <c r="B325" s="77">
        <f t="shared" ca="1" si="20"/>
        <v>1</v>
      </c>
      <c r="C325" s="78">
        <f t="shared" ca="1" si="21"/>
        <v>46</v>
      </c>
      <c r="D325" s="78">
        <f t="shared" ca="1" si="22"/>
        <v>3</v>
      </c>
      <c r="E325" s="78" t="str">
        <f t="shared" ca="1" si="23"/>
        <v/>
      </c>
      <c r="F325" s="78" t="str">
        <f t="shared" ca="1" si="24"/>
        <v/>
      </c>
      <c r="G325" s="79" t="str">
        <f t="shared" ca="1" si="25"/>
        <v/>
      </c>
      <c r="H325" s="80" t="str">
        <f t="shared" ca="1" si="26"/>
        <v/>
      </c>
      <c r="I325" s="100"/>
      <c r="J325" s="111"/>
      <c r="K325" s="111" t="s">
        <v>63</v>
      </c>
      <c r="L325" s="111"/>
      <c r="M325" s="111"/>
      <c r="N325" s="111"/>
      <c r="O325" s="111"/>
      <c r="P325" s="111"/>
      <c r="Q325" s="112"/>
      <c r="R325" s="113"/>
      <c r="S325" s="113"/>
      <c r="T325" s="115"/>
      <c r="U325" s="114"/>
      <c r="V325" s="115"/>
      <c r="W325" s="116"/>
      <c r="X325" s="117"/>
      <c r="Y325" s="118"/>
      <c r="Z325" s="119"/>
      <c r="AA325" s="92"/>
      <c r="AB325" s="93"/>
      <c r="AC325" s="94"/>
      <c r="AD325" s="95"/>
      <c r="AE325" s="96"/>
      <c r="AF325" s="97"/>
      <c r="AG325" s="97">
        <f t="shared" si="27"/>
        <v>0</v>
      </c>
      <c r="AH325" s="97">
        <f t="shared" si="28"/>
        <v>0</v>
      </c>
      <c r="AI325" s="97">
        <f t="shared" si="29"/>
        <v>0</v>
      </c>
      <c r="AJ325" s="97">
        <f t="shared" si="30"/>
        <v>0</v>
      </c>
      <c r="AK325" s="97" t="str">
        <f t="shared" si="31"/>
        <v/>
      </c>
      <c r="AL325" s="98">
        <f t="shared" ca="1" si="32"/>
        <v>1</v>
      </c>
      <c r="AM325" s="98">
        <f t="shared" ca="1" si="33"/>
        <v>46</v>
      </c>
      <c r="AN325" s="98">
        <f t="shared" ca="1" si="34"/>
        <v>3</v>
      </c>
      <c r="AO325" s="98">
        <f t="shared" ca="1" si="35"/>
        <v>0</v>
      </c>
      <c r="AP325" s="98">
        <f t="shared" ca="1" si="36"/>
        <v>0</v>
      </c>
      <c r="AQ325" s="98">
        <f t="shared" ca="1" si="37"/>
        <v>0</v>
      </c>
      <c r="AR325" s="98">
        <f t="shared" ca="1" si="38"/>
        <v>0</v>
      </c>
      <c r="AS325" s="99"/>
      <c r="AT325" s="98">
        <f t="shared" si="39"/>
        <v>1</v>
      </c>
    </row>
    <row r="326" spans="1:46" ht="15.75" customHeight="1">
      <c r="A326" s="76"/>
      <c r="B326" s="77">
        <f t="shared" ca="1" si="20"/>
        <v>1</v>
      </c>
      <c r="C326" s="78">
        <f t="shared" ca="1" si="21"/>
        <v>46</v>
      </c>
      <c r="D326" s="78">
        <f t="shared" ca="1" si="22"/>
        <v>4</v>
      </c>
      <c r="E326" s="78" t="str">
        <f t="shared" ca="1" si="23"/>
        <v/>
      </c>
      <c r="F326" s="78" t="str">
        <f t="shared" ca="1" si="24"/>
        <v/>
      </c>
      <c r="G326" s="79" t="str">
        <f t="shared" ca="1" si="25"/>
        <v/>
      </c>
      <c r="H326" s="80" t="str">
        <f t="shared" ca="1" si="26"/>
        <v/>
      </c>
      <c r="I326" s="100"/>
      <c r="J326" s="111"/>
      <c r="K326" s="111" t="s">
        <v>64</v>
      </c>
      <c r="L326" s="111"/>
      <c r="M326" s="111"/>
      <c r="N326" s="111"/>
      <c r="O326" s="111"/>
      <c r="P326" s="111"/>
      <c r="Q326" s="112"/>
      <c r="R326" s="113"/>
      <c r="S326" s="113"/>
      <c r="T326" s="115"/>
      <c r="U326" s="114"/>
      <c r="V326" s="115"/>
      <c r="W326" s="116"/>
      <c r="X326" s="117"/>
      <c r="Y326" s="118"/>
      <c r="Z326" s="119"/>
      <c r="AA326" s="92"/>
      <c r="AB326" s="93"/>
      <c r="AC326" s="94"/>
      <c r="AD326" s="95"/>
      <c r="AE326" s="96"/>
      <c r="AF326" s="97"/>
      <c r="AG326" s="97">
        <f t="shared" si="27"/>
        <v>0</v>
      </c>
      <c r="AH326" s="97">
        <f t="shared" si="28"/>
        <v>0</v>
      </c>
      <c r="AI326" s="97">
        <f t="shared" si="29"/>
        <v>0</v>
      </c>
      <c r="AJ326" s="97">
        <f t="shared" si="30"/>
        <v>0</v>
      </c>
      <c r="AK326" s="97" t="str">
        <f t="shared" si="31"/>
        <v/>
      </c>
      <c r="AL326" s="98">
        <f t="shared" ca="1" si="32"/>
        <v>1</v>
      </c>
      <c r="AM326" s="98">
        <f t="shared" ca="1" si="33"/>
        <v>46</v>
      </c>
      <c r="AN326" s="98">
        <f t="shared" ca="1" si="34"/>
        <v>4</v>
      </c>
      <c r="AO326" s="98">
        <f t="shared" ca="1" si="35"/>
        <v>0</v>
      </c>
      <c r="AP326" s="98">
        <f t="shared" ca="1" si="36"/>
        <v>0</v>
      </c>
      <c r="AQ326" s="98">
        <f t="shared" ca="1" si="37"/>
        <v>0</v>
      </c>
      <c r="AR326" s="98">
        <f t="shared" ca="1" si="38"/>
        <v>0</v>
      </c>
      <c r="AS326" s="99"/>
      <c r="AT326" s="98">
        <f t="shared" si="39"/>
        <v>1</v>
      </c>
    </row>
    <row r="327" spans="1:46" ht="15.75" customHeight="1">
      <c r="A327" s="76"/>
      <c r="B327" s="77">
        <f t="shared" ca="1" si="20"/>
        <v>1</v>
      </c>
      <c r="C327" s="78">
        <f t="shared" ca="1" si="21"/>
        <v>46</v>
      </c>
      <c r="D327" s="78">
        <f t="shared" ca="1" si="22"/>
        <v>5</v>
      </c>
      <c r="E327" s="78" t="str">
        <f t="shared" ca="1" si="23"/>
        <v/>
      </c>
      <c r="F327" s="78" t="str">
        <f t="shared" ca="1" si="24"/>
        <v/>
      </c>
      <c r="G327" s="79" t="str">
        <f t="shared" ca="1" si="25"/>
        <v/>
      </c>
      <c r="H327" s="80" t="str">
        <f t="shared" ca="1" si="26"/>
        <v/>
      </c>
      <c r="I327" s="100"/>
      <c r="J327" s="111"/>
      <c r="K327" s="111" t="s">
        <v>65</v>
      </c>
      <c r="L327" s="111"/>
      <c r="M327" s="111"/>
      <c r="N327" s="111"/>
      <c r="O327" s="111"/>
      <c r="P327" s="111"/>
      <c r="Q327" s="112"/>
      <c r="R327" s="113"/>
      <c r="S327" s="113"/>
      <c r="T327" s="115"/>
      <c r="U327" s="114"/>
      <c r="V327" s="115"/>
      <c r="W327" s="116"/>
      <c r="X327" s="117"/>
      <c r="Y327" s="118"/>
      <c r="Z327" s="119"/>
      <c r="AA327" s="92"/>
      <c r="AB327" s="93"/>
      <c r="AC327" s="94"/>
      <c r="AD327" s="95"/>
      <c r="AE327" s="96"/>
      <c r="AF327" s="97"/>
      <c r="AG327" s="97">
        <f t="shared" si="27"/>
        <v>0</v>
      </c>
      <c r="AH327" s="97">
        <f t="shared" si="28"/>
        <v>0</v>
      </c>
      <c r="AI327" s="97">
        <f t="shared" si="29"/>
        <v>0</v>
      </c>
      <c r="AJ327" s="97">
        <f t="shared" si="30"/>
        <v>0</v>
      </c>
      <c r="AK327" s="97" t="str">
        <f t="shared" si="31"/>
        <v/>
      </c>
      <c r="AL327" s="98">
        <f t="shared" ca="1" si="32"/>
        <v>1</v>
      </c>
      <c r="AM327" s="98">
        <f t="shared" ca="1" si="33"/>
        <v>46</v>
      </c>
      <c r="AN327" s="98">
        <f t="shared" ca="1" si="34"/>
        <v>5</v>
      </c>
      <c r="AO327" s="98">
        <f t="shared" ca="1" si="35"/>
        <v>0</v>
      </c>
      <c r="AP327" s="98">
        <f t="shared" ca="1" si="36"/>
        <v>0</v>
      </c>
      <c r="AQ327" s="98">
        <f t="shared" ca="1" si="37"/>
        <v>0</v>
      </c>
      <c r="AR327" s="98">
        <f t="shared" ca="1" si="38"/>
        <v>0</v>
      </c>
      <c r="AS327" s="99"/>
      <c r="AT327" s="98">
        <f t="shared" si="39"/>
        <v>1</v>
      </c>
    </row>
    <row r="328" spans="1:46" ht="15.75" customHeight="1">
      <c r="A328" s="76"/>
      <c r="B328" s="77">
        <f t="shared" ca="1" si="20"/>
        <v>1</v>
      </c>
      <c r="C328" s="78">
        <f t="shared" ca="1" si="21"/>
        <v>46</v>
      </c>
      <c r="D328" s="78">
        <f t="shared" ca="1" si="22"/>
        <v>6</v>
      </c>
      <c r="E328" s="78" t="str">
        <f t="shared" ca="1" si="23"/>
        <v/>
      </c>
      <c r="F328" s="78" t="str">
        <f t="shared" ca="1" si="24"/>
        <v/>
      </c>
      <c r="G328" s="79" t="str">
        <f t="shared" ca="1" si="25"/>
        <v/>
      </c>
      <c r="H328" s="80" t="str">
        <f t="shared" ca="1" si="26"/>
        <v/>
      </c>
      <c r="I328" s="100"/>
      <c r="J328" s="111"/>
      <c r="K328" s="111" t="s">
        <v>66</v>
      </c>
      <c r="L328" s="111"/>
      <c r="M328" s="111"/>
      <c r="N328" s="111"/>
      <c r="O328" s="111"/>
      <c r="P328" s="111"/>
      <c r="Q328" s="112"/>
      <c r="R328" s="113"/>
      <c r="S328" s="113"/>
      <c r="T328" s="115"/>
      <c r="U328" s="114"/>
      <c r="V328" s="115"/>
      <c r="W328" s="116"/>
      <c r="X328" s="117"/>
      <c r="Y328" s="118"/>
      <c r="Z328" s="119"/>
      <c r="AA328" s="92"/>
      <c r="AB328" s="93"/>
      <c r="AC328" s="94"/>
      <c r="AD328" s="95"/>
      <c r="AE328" s="96"/>
      <c r="AF328" s="97"/>
      <c r="AG328" s="97">
        <f t="shared" si="27"/>
        <v>0</v>
      </c>
      <c r="AH328" s="97">
        <f t="shared" si="28"/>
        <v>0</v>
      </c>
      <c r="AI328" s="97">
        <f t="shared" si="29"/>
        <v>0</v>
      </c>
      <c r="AJ328" s="97">
        <f t="shared" si="30"/>
        <v>0</v>
      </c>
      <c r="AK328" s="97" t="str">
        <f t="shared" si="31"/>
        <v/>
      </c>
      <c r="AL328" s="98">
        <f t="shared" ca="1" si="32"/>
        <v>1</v>
      </c>
      <c r="AM328" s="98">
        <f t="shared" ca="1" si="33"/>
        <v>46</v>
      </c>
      <c r="AN328" s="98">
        <f t="shared" ca="1" si="34"/>
        <v>6</v>
      </c>
      <c r="AO328" s="98">
        <f t="shared" ca="1" si="35"/>
        <v>0</v>
      </c>
      <c r="AP328" s="98">
        <f t="shared" ca="1" si="36"/>
        <v>0</v>
      </c>
      <c r="AQ328" s="98">
        <f t="shared" ca="1" si="37"/>
        <v>0</v>
      </c>
      <c r="AR328" s="98">
        <f t="shared" ca="1" si="38"/>
        <v>0</v>
      </c>
      <c r="AS328" s="99"/>
      <c r="AT328" s="98">
        <f t="shared" si="39"/>
        <v>1</v>
      </c>
    </row>
    <row r="329" spans="1:46" ht="15.75" customHeight="1">
      <c r="A329" s="76"/>
      <c r="B329" s="77">
        <f t="shared" ca="1" si="20"/>
        <v>1</v>
      </c>
      <c r="C329" s="78">
        <f t="shared" ca="1" si="21"/>
        <v>47</v>
      </c>
      <c r="D329" s="78" t="str">
        <f t="shared" ca="1" si="22"/>
        <v/>
      </c>
      <c r="E329" s="78" t="str">
        <f t="shared" ca="1" si="23"/>
        <v/>
      </c>
      <c r="F329" s="78" t="str">
        <f t="shared" ca="1" si="24"/>
        <v/>
      </c>
      <c r="G329" s="79" t="str">
        <f t="shared" ca="1" si="25"/>
        <v/>
      </c>
      <c r="H329" s="80" t="str">
        <f t="shared" ca="1" si="26"/>
        <v/>
      </c>
      <c r="I329" s="100"/>
      <c r="J329" s="101" t="s">
        <v>116</v>
      </c>
      <c r="K329" s="102"/>
      <c r="L329" s="102"/>
      <c r="M329" s="102"/>
      <c r="N329" s="102"/>
      <c r="O329" s="102"/>
      <c r="P329" s="102"/>
      <c r="Q329" s="103" t="s">
        <v>58</v>
      </c>
      <c r="R329" s="104"/>
      <c r="S329" s="104"/>
      <c r="T329" s="105"/>
      <c r="U329" s="106"/>
      <c r="V329" s="105"/>
      <c r="W329" s="107"/>
      <c r="X329" s="108"/>
      <c r="Y329" s="109"/>
      <c r="Z329" s="110"/>
      <c r="AA329" s="92"/>
      <c r="AB329" s="93"/>
      <c r="AC329" s="94"/>
      <c r="AD329" s="95"/>
      <c r="AE329" s="96"/>
      <c r="AF329" s="97"/>
      <c r="AG329" s="97">
        <f t="shared" si="27"/>
        <v>0</v>
      </c>
      <c r="AH329" s="97">
        <f t="shared" si="28"/>
        <v>0</v>
      </c>
      <c r="AI329" s="97">
        <f t="shared" si="29"/>
        <v>0</v>
      </c>
      <c r="AJ329" s="97">
        <f t="shared" si="30"/>
        <v>0</v>
      </c>
      <c r="AK329" s="97" t="str">
        <f t="shared" si="31"/>
        <v/>
      </c>
      <c r="AL329" s="98">
        <f t="shared" ca="1" si="32"/>
        <v>1</v>
      </c>
      <c r="AM329" s="98">
        <f t="shared" ca="1" si="33"/>
        <v>47</v>
      </c>
      <c r="AN329" s="98">
        <f t="shared" ca="1" si="34"/>
        <v>0</v>
      </c>
      <c r="AO329" s="98">
        <f t="shared" ca="1" si="35"/>
        <v>0</v>
      </c>
      <c r="AP329" s="98">
        <f t="shared" ca="1" si="36"/>
        <v>0</v>
      </c>
      <c r="AQ329" s="98">
        <f t="shared" ca="1" si="37"/>
        <v>0</v>
      </c>
      <c r="AR329" s="98">
        <f t="shared" ca="1" si="38"/>
        <v>0</v>
      </c>
      <c r="AS329" s="99"/>
      <c r="AT329" s="98">
        <f t="shared" si="39"/>
        <v>1</v>
      </c>
    </row>
    <row r="330" spans="1:46" ht="15.75" customHeight="1">
      <c r="A330" s="76"/>
      <c r="B330" s="77">
        <f t="shared" ca="1" si="20"/>
        <v>1</v>
      </c>
      <c r="C330" s="78">
        <f t="shared" ca="1" si="21"/>
        <v>47</v>
      </c>
      <c r="D330" s="78">
        <f t="shared" ca="1" si="22"/>
        <v>1</v>
      </c>
      <c r="E330" s="78" t="str">
        <f t="shared" ca="1" si="23"/>
        <v/>
      </c>
      <c r="F330" s="78" t="str">
        <f t="shared" ca="1" si="24"/>
        <v/>
      </c>
      <c r="G330" s="79" t="str">
        <f t="shared" ca="1" si="25"/>
        <v/>
      </c>
      <c r="H330" s="80" t="str">
        <f t="shared" ca="1" si="26"/>
        <v/>
      </c>
      <c r="I330" s="100"/>
      <c r="J330" s="111"/>
      <c r="K330" s="111" t="s">
        <v>59</v>
      </c>
      <c r="L330" s="111"/>
      <c r="M330" s="111"/>
      <c r="N330" s="111"/>
      <c r="O330" s="111"/>
      <c r="P330" s="111"/>
      <c r="Q330" s="112"/>
      <c r="R330" s="113"/>
      <c r="S330" s="113"/>
      <c r="T330" s="115"/>
      <c r="U330" s="114"/>
      <c r="V330" s="115"/>
      <c r="W330" s="116"/>
      <c r="X330" s="117"/>
      <c r="Y330" s="118"/>
      <c r="Z330" s="119"/>
      <c r="AA330" s="92"/>
      <c r="AB330" s="93"/>
      <c r="AC330" s="94"/>
      <c r="AD330" s="95"/>
      <c r="AE330" s="96"/>
      <c r="AF330" s="97"/>
      <c r="AG330" s="97">
        <f t="shared" si="27"/>
        <v>0</v>
      </c>
      <c r="AH330" s="97">
        <f t="shared" si="28"/>
        <v>0</v>
      </c>
      <c r="AI330" s="97">
        <f t="shared" si="29"/>
        <v>0</v>
      </c>
      <c r="AJ330" s="97">
        <f t="shared" si="30"/>
        <v>0</v>
      </c>
      <c r="AK330" s="97" t="str">
        <f t="shared" si="31"/>
        <v/>
      </c>
      <c r="AL330" s="98">
        <f t="shared" ca="1" si="32"/>
        <v>1</v>
      </c>
      <c r="AM330" s="98">
        <f t="shared" ca="1" si="33"/>
        <v>47</v>
      </c>
      <c r="AN330" s="98">
        <f t="shared" ca="1" si="34"/>
        <v>1</v>
      </c>
      <c r="AO330" s="98">
        <f t="shared" ca="1" si="35"/>
        <v>0</v>
      </c>
      <c r="AP330" s="98">
        <f t="shared" ca="1" si="36"/>
        <v>0</v>
      </c>
      <c r="AQ330" s="98">
        <f t="shared" ca="1" si="37"/>
        <v>0</v>
      </c>
      <c r="AR330" s="98">
        <f t="shared" ca="1" si="38"/>
        <v>0</v>
      </c>
      <c r="AS330" s="99"/>
      <c r="AT330" s="98">
        <f t="shared" si="39"/>
        <v>1</v>
      </c>
    </row>
    <row r="331" spans="1:46" ht="15.75" customHeight="1">
      <c r="A331" s="76"/>
      <c r="B331" s="77">
        <f t="shared" ca="1" si="20"/>
        <v>1</v>
      </c>
      <c r="C331" s="78">
        <f t="shared" ca="1" si="21"/>
        <v>47</v>
      </c>
      <c r="D331" s="78">
        <f t="shared" ca="1" si="22"/>
        <v>2</v>
      </c>
      <c r="E331" s="78" t="str">
        <f t="shared" ca="1" si="23"/>
        <v/>
      </c>
      <c r="F331" s="78" t="str">
        <f t="shared" ca="1" si="24"/>
        <v/>
      </c>
      <c r="G331" s="79" t="str">
        <f t="shared" ca="1" si="25"/>
        <v/>
      </c>
      <c r="H331" s="80" t="str">
        <f t="shared" ca="1" si="26"/>
        <v/>
      </c>
      <c r="I331" s="100"/>
      <c r="J331" s="111"/>
      <c r="K331" s="111" t="s">
        <v>61</v>
      </c>
      <c r="L331" s="111"/>
      <c r="M331" s="111"/>
      <c r="N331" s="111"/>
      <c r="O331" s="111"/>
      <c r="P331" s="111"/>
      <c r="Q331" s="112"/>
      <c r="R331" s="113"/>
      <c r="S331" s="113"/>
      <c r="T331" s="115"/>
      <c r="U331" s="114"/>
      <c r="V331" s="115"/>
      <c r="W331" s="116"/>
      <c r="X331" s="117"/>
      <c r="Y331" s="118"/>
      <c r="Z331" s="119"/>
      <c r="AA331" s="92"/>
      <c r="AB331" s="93"/>
      <c r="AC331" s="94"/>
      <c r="AD331" s="95"/>
      <c r="AE331" s="96"/>
      <c r="AF331" s="97"/>
      <c r="AG331" s="97">
        <f t="shared" si="27"/>
        <v>0</v>
      </c>
      <c r="AH331" s="97">
        <f t="shared" si="28"/>
        <v>0</v>
      </c>
      <c r="AI331" s="97">
        <f t="shared" si="29"/>
        <v>0</v>
      </c>
      <c r="AJ331" s="97">
        <f t="shared" si="30"/>
        <v>0</v>
      </c>
      <c r="AK331" s="97" t="str">
        <f t="shared" si="31"/>
        <v/>
      </c>
      <c r="AL331" s="98">
        <f t="shared" ca="1" si="32"/>
        <v>1</v>
      </c>
      <c r="AM331" s="98">
        <f t="shared" ca="1" si="33"/>
        <v>47</v>
      </c>
      <c r="AN331" s="98">
        <f t="shared" ca="1" si="34"/>
        <v>2</v>
      </c>
      <c r="AO331" s="98">
        <f t="shared" ca="1" si="35"/>
        <v>0</v>
      </c>
      <c r="AP331" s="98">
        <f t="shared" ca="1" si="36"/>
        <v>0</v>
      </c>
      <c r="AQ331" s="98">
        <f t="shared" ca="1" si="37"/>
        <v>0</v>
      </c>
      <c r="AR331" s="98">
        <f t="shared" ca="1" si="38"/>
        <v>0</v>
      </c>
      <c r="AS331" s="99"/>
      <c r="AT331" s="98">
        <f t="shared" si="39"/>
        <v>1</v>
      </c>
    </row>
    <row r="332" spans="1:46" ht="15.75" customHeight="1">
      <c r="A332" s="76"/>
      <c r="B332" s="77">
        <f t="shared" ca="1" si="20"/>
        <v>1</v>
      </c>
      <c r="C332" s="78">
        <f t="shared" ca="1" si="21"/>
        <v>47</v>
      </c>
      <c r="D332" s="78">
        <f t="shared" ca="1" si="22"/>
        <v>3</v>
      </c>
      <c r="E332" s="78" t="str">
        <f t="shared" ca="1" si="23"/>
        <v/>
      </c>
      <c r="F332" s="78" t="str">
        <f t="shared" ca="1" si="24"/>
        <v/>
      </c>
      <c r="G332" s="79" t="str">
        <f t="shared" ca="1" si="25"/>
        <v/>
      </c>
      <c r="H332" s="80" t="str">
        <f t="shared" ca="1" si="26"/>
        <v/>
      </c>
      <c r="I332" s="100"/>
      <c r="J332" s="111"/>
      <c r="K332" s="111" t="s">
        <v>63</v>
      </c>
      <c r="L332" s="111"/>
      <c r="M332" s="111"/>
      <c r="N332" s="111"/>
      <c r="O332" s="111"/>
      <c r="P332" s="111"/>
      <c r="Q332" s="112"/>
      <c r="R332" s="113"/>
      <c r="S332" s="113"/>
      <c r="T332" s="115"/>
      <c r="U332" s="114"/>
      <c r="V332" s="115"/>
      <c r="W332" s="116"/>
      <c r="X332" s="117"/>
      <c r="Y332" s="118"/>
      <c r="Z332" s="119"/>
      <c r="AA332" s="92"/>
      <c r="AB332" s="93"/>
      <c r="AC332" s="94"/>
      <c r="AD332" s="95"/>
      <c r="AE332" s="96"/>
      <c r="AF332" s="97"/>
      <c r="AG332" s="97">
        <f t="shared" si="27"/>
        <v>0</v>
      </c>
      <c r="AH332" s="97">
        <f t="shared" si="28"/>
        <v>0</v>
      </c>
      <c r="AI332" s="97">
        <f t="shared" si="29"/>
        <v>0</v>
      </c>
      <c r="AJ332" s="97">
        <f t="shared" si="30"/>
        <v>0</v>
      </c>
      <c r="AK332" s="97" t="str">
        <f t="shared" si="31"/>
        <v/>
      </c>
      <c r="AL332" s="98">
        <f t="shared" ca="1" si="32"/>
        <v>1</v>
      </c>
      <c r="AM332" s="98">
        <f t="shared" ca="1" si="33"/>
        <v>47</v>
      </c>
      <c r="AN332" s="98">
        <f t="shared" ca="1" si="34"/>
        <v>3</v>
      </c>
      <c r="AO332" s="98">
        <f t="shared" ca="1" si="35"/>
        <v>0</v>
      </c>
      <c r="AP332" s="98">
        <f t="shared" ca="1" si="36"/>
        <v>0</v>
      </c>
      <c r="AQ332" s="98">
        <f t="shared" ca="1" si="37"/>
        <v>0</v>
      </c>
      <c r="AR332" s="98">
        <f t="shared" ca="1" si="38"/>
        <v>0</v>
      </c>
      <c r="AS332" s="99"/>
      <c r="AT332" s="98">
        <f t="shared" si="39"/>
        <v>1</v>
      </c>
    </row>
    <row r="333" spans="1:46" ht="15.75" customHeight="1">
      <c r="A333" s="76"/>
      <c r="B333" s="77">
        <f t="shared" ca="1" si="20"/>
        <v>1</v>
      </c>
      <c r="C333" s="78">
        <f t="shared" ca="1" si="21"/>
        <v>47</v>
      </c>
      <c r="D333" s="78">
        <f t="shared" ca="1" si="22"/>
        <v>4</v>
      </c>
      <c r="E333" s="78" t="str">
        <f t="shared" ca="1" si="23"/>
        <v/>
      </c>
      <c r="F333" s="78" t="str">
        <f t="shared" ca="1" si="24"/>
        <v/>
      </c>
      <c r="G333" s="79" t="str">
        <f t="shared" ca="1" si="25"/>
        <v/>
      </c>
      <c r="H333" s="80" t="str">
        <f t="shared" ca="1" si="26"/>
        <v/>
      </c>
      <c r="I333" s="100"/>
      <c r="J333" s="111"/>
      <c r="K333" s="111" t="s">
        <v>64</v>
      </c>
      <c r="L333" s="111"/>
      <c r="M333" s="111"/>
      <c r="N333" s="111"/>
      <c r="O333" s="111"/>
      <c r="P333" s="111"/>
      <c r="Q333" s="112"/>
      <c r="R333" s="113"/>
      <c r="S333" s="113"/>
      <c r="T333" s="115"/>
      <c r="U333" s="114"/>
      <c r="V333" s="115"/>
      <c r="W333" s="116"/>
      <c r="X333" s="117"/>
      <c r="Y333" s="118"/>
      <c r="Z333" s="119"/>
      <c r="AA333" s="92"/>
      <c r="AB333" s="93"/>
      <c r="AC333" s="94"/>
      <c r="AD333" s="95"/>
      <c r="AE333" s="96"/>
      <c r="AF333" s="97"/>
      <c r="AG333" s="97">
        <f t="shared" si="27"/>
        <v>0</v>
      </c>
      <c r="AH333" s="97">
        <f t="shared" si="28"/>
        <v>0</v>
      </c>
      <c r="AI333" s="97">
        <f t="shared" si="29"/>
        <v>0</v>
      </c>
      <c r="AJ333" s="97">
        <f t="shared" si="30"/>
        <v>0</v>
      </c>
      <c r="AK333" s="97" t="str">
        <f t="shared" si="31"/>
        <v/>
      </c>
      <c r="AL333" s="98">
        <f t="shared" ca="1" si="32"/>
        <v>1</v>
      </c>
      <c r="AM333" s="98">
        <f t="shared" ca="1" si="33"/>
        <v>47</v>
      </c>
      <c r="AN333" s="98">
        <f t="shared" ca="1" si="34"/>
        <v>4</v>
      </c>
      <c r="AO333" s="98">
        <f t="shared" ca="1" si="35"/>
        <v>0</v>
      </c>
      <c r="AP333" s="98">
        <f t="shared" ca="1" si="36"/>
        <v>0</v>
      </c>
      <c r="AQ333" s="98">
        <f t="shared" ca="1" si="37"/>
        <v>0</v>
      </c>
      <c r="AR333" s="98">
        <f t="shared" ca="1" si="38"/>
        <v>0</v>
      </c>
      <c r="AS333" s="99"/>
      <c r="AT333" s="98">
        <f t="shared" si="39"/>
        <v>1</v>
      </c>
    </row>
    <row r="334" spans="1:46" ht="15.75" customHeight="1">
      <c r="A334" s="76"/>
      <c r="B334" s="77">
        <f t="shared" ca="1" si="20"/>
        <v>1</v>
      </c>
      <c r="C334" s="78">
        <f t="shared" ca="1" si="21"/>
        <v>47</v>
      </c>
      <c r="D334" s="78">
        <f t="shared" ca="1" si="22"/>
        <v>5</v>
      </c>
      <c r="E334" s="78" t="str">
        <f t="shared" ca="1" si="23"/>
        <v/>
      </c>
      <c r="F334" s="78" t="str">
        <f t="shared" ca="1" si="24"/>
        <v/>
      </c>
      <c r="G334" s="79" t="str">
        <f t="shared" ca="1" si="25"/>
        <v/>
      </c>
      <c r="H334" s="80" t="str">
        <f t="shared" ca="1" si="26"/>
        <v/>
      </c>
      <c r="I334" s="100"/>
      <c r="J334" s="111"/>
      <c r="K334" s="111" t="s">
        <v>65</v>
      </c>
      <c r="L334" s="111"/>
      <c r="M334" s="111"/>
      <c r="N334" s="111"/>
      <c r="O334" s="111"/>
      <c r="P334" s="111"/>
      <c r="Q334" s="112"/>
      <c r="R334" s="113"/>
      <c r="S334" s="113"/>
      <c r="T334" s="115"/>
      <c r="U334" s="114"/>
      <c r="V334" s="115"/>
      <c r="W334" s="116"/>
      <c r="X334" s="117"/>
      <c r="Y334" s="118"/>
      <c r="Z334" s="119"/>
      <c r="AA334" s="92"/>
      <c r="AB334" s="93"/>
      <c r="AC334" s="94"/>
      <c r="AD334" s="95"/>
      <c r="AE334" s="96"/>
      <c r="AF334" s="97"/>
      <c r="AG334" s="97">
        <f t="shared" si="27"/>
        <v>0</v>
      </c>
      <c r="AH334" s="97">
        <f t="shared" si="28"/>
        <v>0</v>
      </c>
      <c r="AI334" s="97">
        <f t="shared" si="29"/>
        <v>0</v>
      </c>
      <c r="AJ334" s="97">
        <f t="shared" si="30"/>
        <v>0</v>
      </c>
      <c r="AK334" s="97" t="str">
        <f t="shared" si="31"/>
        <v/>
      </c>
      <c r="AL334" s="98">
        <f t="shared" ca="1" si="32"/>
        <v>1</v>
      </c>
      <c r="AM334" s="98">
        <f t="shared" ca="1" si="33"/>
        <v>47</v>
      </c>
      <c r="AN334" s="98">
        <f t="shared" ca="1" si="34"/>
        <v>5</v>
      </c>
      <c r="AO334" s="98">
        <f t="shared" ca="1" si="35"/>
        <v>0</v>
      </c>
      <c r="AP334" s="98">
        <f t="shared" ca="1" si="36"/>
        <v>0</v>
      </c>
      <c r="AQ334" s="98">
        <f t="shared" ca="1" si="37"/>
        <v>0</v>
      </c>
      <c r="AR334" s="98">
        <f t="shared" ca="1" si="38"/>
        <v>0</v>
      </c>
      <c r="AS334" s="99"/>
      <c r="AT334" s="98">
        <f t="shared" si="39"/>
        <v>1</v>
      </c>
    </row>
    <row r="335" spans="1:46" ht="15.75" customHeight="1">
      <c r="A335" s="76"/>
      <c r="B335" s="77">
        <f t="shared" ca="1" si="20"/>
        <v>1</v>
      </c>
      <c r="C335" s="78">
        <f t="shared" ca="1" si="21"/>
        <v>47</v>
      </c>
      <c r="D335" s="78">
        <f t="shared" ca="1" si="22"/>
        <v>6</v>
      </c>
      <c r="E335" s="78" t="str">
        <f t="shared" ca="1" si="23"/>
        <v/>
      </c>
      <c r="F335" s="78" t="str">
        <f t="shared" ca="1" si="24"/>
        <v/>
      </c>
      <c r="G335" s="79" t="str">
        <f t="shared" ca="1" si="25"/>
        <v/>
      </c>
      <c r="H335" s="80" t="str">
        <f t="shared" ca="1" si="26"/>
        <v/>
      </c>
      <c r="I335" s="100"/>
      <c r="J335" s="111"/>
      <c r="K335" s="111" t="s">
        <v>66</v>
      </c>
      <c r="L335" s="111"/>
      <c r="M335" s="111"/>
      <c r="N335" s="111"/>
      <c r="O335" s="111"/>
      <c r="P335" s="111"/>
      <c r="Q335" s="112"/>
      <c r="R335" s="113"/>
      <c r="S335" s="113"/>
      <c r="T335" s="115"/>
      <c r="U335" s="114"/>
      <c r="V335" s="115"/>
      <c r="W335" s="116"/>
      <c r="X335" s="117"/>
      <c r="Y335" s="118"/>
      <c r="Z335" s="119"/>
      <c r="AA335" s="92"/>
      <c r="AB335" s="93"/>
      <c r="AC335" s="94"/>
      <c r="AD335" s="95"/>
      <c r="AE335" s="96"/>
      <c r="AF335" s="97"/>
      <c r="AG335" s="97">
        <f t="shared" si="27"/>
        <v>0</v>
      </c>
      <c r="AH335" s="97">
        <f t="shared" si="28"/>
        <v>0</v>
      </c>
      <c r="AI335" s="97">
        <f t="shared" si="29"/>
        <v>0</v>
      </c>
      <c r="AJ335" s="97">
        <f t="shared" si="30"/>
        <v>0</v>
      </c>
      <c r="AK335" s="97" t="str">
        <f t="shared" si="31"/>
        <v/>
      </c>
      <c r="AL335" s="98">
        <f t="shared" ca="1" si="32"/>
        <v>1</v>
      </c>
      <c r="AM335" s="98">
        <f t="shared" ca="1" si="33"/>
        <v>47</v>
      </c>
      <c r="AN335" s="98">
        <f t="shared" ca="1" si="34"/>
        <v>6</v>
      </c>
      <c r="AO335" s="98">
        <f t="shared" ca="1" si="35"/>
        <v>0</v>
      </c>
      <c r="AP335" s="98">
        <f t="shared" ca="1" si="36"/>
        <v>0</v>
      </c>
      <c r="AQ335" s="98">
        <f t="shared" ca="1" si="37"/>
        <v>0</v>
      </c>
      <c r="AR335" s="98">
        <f t="shared" ca="1" si="38"/>
        <v>0</v>
      </c>
      <c r="AS335" s="99"/>
      <c r="AT335" s="98">
        <f t="shared" si="39"/>
        <v>1</v>
      </c>
    </row>
    <row r="336" spans="1:46" ht="15.75" customHeight="1">
      <c r="A336" s="76"/>
      <c r="B336" s="77">
        <f t="shared" ca="1" si="20"/>
        <v>1</v>
      </c>
      <c r="C336" s="78">
        <f t="shared" ca="1" si="21"/>
        <v>48</v>
      </c>
      <c r="D336" s="78" t="str">
        <f t="shared" ca="1" si="22"/>
        <v/>
      </c>
      <c r="E336" s="78" t="str">
        <f t="shared" ca="1" si="23"/>
        <v/>
      </c>
      <c r="F336" s="78" t="str">
        <f t="shared" ca="1" si="24"/>
        <v/>
      </c>
      <c r="G336" s="79" t="str">
        <f t="shared" ca="1" si="25"/>
        <v/>
      </c>
      <c r="H336" s="80" t="str">
        <f t="shared" ca="1" si="26"/>
        <v/>
      </c>
      <c r="I336" s="100"/>
      <c r="J336" s="101" t="s">
        <v>117</v>
      </c>
      <c r="K336" s="102"/>
      <c r="L336" s="102"/>
      <c r="M336" s="102"/>
      <c r="N336" s="102"/>
      <c r="O336" s="102"/>
      <c r="P336" s="102"/>
      <c r="Q336" s="103" t="s">
        <v>58</v>
      </c>
      <c r="R336" s="104"/>
      <c r="S336" s="104"/>
      <c r="T336" s="105"/>
      <c r="U336" s="106"/>
      <c r="V336" s="105"/>
      <c r="W336" s="107"/>
      <c r="X336" s="108"/>
      <c r="Y336" s="109"/>
      <c r="Z336" s="110"/>
      <c r="AA336" s="92"/>
      <c r="AB336" s="93"/>
      <c r="AC336" s="94"/>
      <c r="AD336" s="95"/>
      <c r="AE336" s="96"/>
      <c r="AF336" s="97"/>
      <c r="AG336" s="97">
        <f t="shared" si="27"/>
        <v>0</v>
      </c>
      <c r="AH336" s="97">
        <f t="shared" si="28"/>
        <v>0</v>
      </c>
      <c r="AI336" s="97">
        <f t="shared" si="29"/>
        <v>0</v>
      </c>
      <c r="AJ336" s="97">
        <f t="shared" si="30"/>
        <v>0</v>
      </c>
      <c r="AK336" s="97" t="str">
        <f t="shared" si="31"/>
        <v/>
      </c>
      <c r="AL336" s="98">
        <f t="shared" ca="1" si="32"/>
        <v>1</v>
      </c>
      <c r="AM336" s="98">
        <f t="shared" ca="1" si="33"/>
        <v>48</v>
      </c>
      <c r="AN336" s="98">
        <f t="shared" ca="1" si="34"/>
        <v>0</v>
      </c>
      <c r="AO336" s="98">
        <f t="shared" ca="1" si="35"/>
        <v>0</v>
      </c>
      <c r="AP336" s="98">
        <f t="shared" ca="1" si="36"/>
        <v>0</v>
      </c>
      <c r="AQ336" s="98">
        <f t="shared" ca="1" si="37"/>
        <v>0</v>
      </c>
      <c r="AR336" s="98">
        <f t="shared" ca="1" si="38"/>
        <v>0</v>
      </c>
      <c r="AS336" s="99"/>
      <c r="AT336" s="98">
        <f t="shared" si="39"/>
        <v>1</v>
      </c>
    </row>
    <row r="337" spans="1:46" ht="15.75" customHeight="1">
      <c r="A337" s="76"/>
      <c r="B337" s="77">
        <f t="shared" ca="1" si="20"/>
        <v>1</v>
      </c>
      <c r="C337" s="78">
        <f t="shared" ca="1" si="21"/>
        <v>48</v>
      </c>
      <c r="D337" s="78">
        <f t="shared" ca="1" si="22"/>
        <v>1</v>
      </c>
      <c r="E337" s="78" t="str">
        <f t="shared" ca="1" si="23"/>
        <v/>
      </c>
      <c r="F337" s="78" t="str">
        <f t="shared" ca="1" si="24"/>
        <v/>
      </c>
      <c r="G337" s="79" t="str">
        <f t="shared" ca="1" si="25"/>
        <v/>
      </c>
      <c r="H337" s="80" t="str">
        <f t="shared" ca="1" si="26"/>
        <v/>
      </c>
      <c r="I337" s="100"/>
      <c r="J337" s="111"/>
      <c r="K337" s="111" t="s">
        <v>59</v>
      </c>
      <c r="L337" s="111"/>
      <c r="M337" s="111"/>
      <c r="N337" s="111"/>
      <c r="O337" s="111"/>
      <c r="P337" s="111"/>
      <c r="Q337" s="112"/>
      <c r="R337" s="113"/>
      <c r="S337" s="113"/>
      <c r="T337" s="115"/>
      <c r="U337" s="114"/>
      <c r="V337" s="115"/>
      <c r="W337" s="116"/>
      <c r="X337" s="117"/>
      <c r="Y337" s="118"/>
      <c r="Z337" s="119"/>
      <c r="AA337" s="92"/>
      <c r="AB337" s="93"/>
      <c r="AC337" s="94"/>
      <c r="AD337" s="95"/>
      <c r="AE337" s="96"/>
      <c r="AF337" s="97"/>
      <c r="AG337" s="97">
        <f t="shared" si="27"/>
        <v>0</v>
      </c>
      <c r="AH337" s="97">
        <f t="shared" si="28"/>
        <v>0</v>
      </c>
      <c r="AI337" s="97">
        <f t="shared" si="29"/>
        <v>0</v>
      </c>
      <c r="AJ337" s="97">
        <f t="shared" si="30"/>
        <v>0</v>
      </c>
      <c r="AK337" s="97" t="str">
        <f t="shared" si="31"/>
        <v/>
      </c>
      <c r="AL337" s="98">
        <f t="shared" ca="1" si="32"/>
        <v>1</v>
      </c>
      <c r="AM337" s="98">
        <f t="shared" ca="1" si="33"/>
        <v>48</v>
      </c>
      <c r="AN337" s="98">
        <f t="shared" ca="1" si="34"/>
        <v>1</v>
      </c>
      <c r="AO337" s="98">
        <f t="shared" ca="1" si="35"/>
        <v>0</v>
      </c>
      <c r="AP337" s="98">
        <f t="shared" ca="1" si="36"/>
        <v>0</v>
      </c>
      <c r="AQ337" s="98">
        <f t="shared" ca="1" si="37"/>
        <v>0</v>
      </c>
      <c r="AR337" s="98">
        <f t="shared" ca="1" si="38"/>
        <v>0</v>
      </c>
      <c r="AS337" s="99"/>
      <c r="AT337" s="98">
        <f t="shared" si="39"/>
        <v>1</v>
      </c>
    </row>
    <row r="338" spans="1:46" ht="15.75" customHeight="1">
      <c r="A338" s="76"/>
      <c r="B338" s="77">
        <f t="shared" ca="1" si="20"/>
        <v>1</v>
      </c>
      <c r="C338" s="78">
        <f t="shared" ca="1" si="21"/>
        <v>48</v>
      </c>
      <c r="D338" s="78">
        <f t="shared" ca="1" si="22"/>
        <v>2</v>
      </c>
      <c r="E338" s="78" t="str">
        <f t="shared" ca="1" si="23"/>
        <v/>
      </c>
      <c r="F338" s="78" t="str">
        <f t="shared" ca="1" si="24"/>
        <v/>
      </c>
      <c r="G338" s="79" t="str">
        <f t="shared" ca="1" si="25"/>
        <v/>
      </c>
      <c r="H338" s="80" t="str">
        <f t="shared" ca="1" si="26"/>
        <v/>
      </c>
      <c r="I338" s="100"/>
      <c r="J338" s="111"/>
      <c r="K338" s="111" t="s">
        <v>61</v>
      </c>
      <c r="L338" s="111"/>
      <c r="M338" s="111"/>
      <c r="N338" s="111"/>
      <c r="O338" s="111"/>
      <c r="P338" s="111"/>
      <c r="Q338" s="112"/>
      <c r="R338" s="113"/>
      <c r="S338" s="113"/>
      <c r="T338" s="115"/>
      <c r="U338" s="114"/>
      <c r="V338" s="115"/>
      <c r="W338" s="116"/>
      <c r="X338" s="117"/>
      <c r="Y338" s="118"/>
      <c r="Z338" s="119"/>
      <c r="AA338" s="92"/>
      <c r="AB338" s="93"/>
      <c r="AC338" s="94"/>
      <c r="AD338" s="95"/>
      <c r="AE338" s="96"/>
      <c r="AF338" s="97"/>
      <c r="AG338" s="97">
        <f t="shared" si="27"/>
        <v>0</v>
      </c>
      <c r="AH338" s="97">
        <f t="shared" si="28"/>
        <v>0</v>
      </c>
      <c r="AI338" s="97">
        <f t="shared" si="29"/>
        <v>0</v>
      </c>
      <c r="AJ338" s="97">
        <f t="shared" si="30"/>
        <v>0</v>
      </c>
      <c r="AK338" s="97" t="str">
        <f t="shared" si="31"/>
        <v/>
      </c>
      <c r="AL338" s="98">
        <f t="shared" ca="1" si="32"/>
        <v>1</v>
      </c>
      <c r="AM338" s="98">
        <f t="shared" ca="1" si="33"/>
        <v>48</v>
      </c>
      <c r="AN338" s="98">
        <f t="shared" ca="1" si="34"/>
        <v>2</v>
      </c>
      <c r="AO338" s="98">
        <f t="shared" ca="1" si="35"/>
        <v>0</v>
      </c>
      <c r="AP338" s="98">
        <f t="shared" ca="1" si="36"/>
        <v>0</v>
      </c>
      <c r="AQ338" s="98">
        <f t="shared" ca="1" si="37"/>
        <v>0</v>
      </c>
      <c r="AR338" s="98">
        <f t="shared" ca="1" si="38"/>
        <v>0</v>
      </c>
      <c r="AS338" s="99"/>
      <c r="AT338" s="98">
        <f t="shared" si="39"/>
        <v>1</v>
      </c>
    </row>
    <row r="339" spans="1:46" ht="15.75" customHeight="1">
      <c r="A339" s="76"/>
      <c r="B339" s="77">
        <f t="shared" ca="1" si="20"/>
        <v>1</v>
      </c>
      <c r="C339" s="78">
        <f t="shared" ca="1" si="21"/>
        <v>48</v>
      </c>
      <c r="D339" s="78">
        <f t="shared" ca="1" si="22"/>
        <v>3</v>
      </c>
      <c r="E339" s="78" t="str">
        <f t="shared" ca="1" si="23"/>
        <v/>
      </c>
      <c r="F339" s="78" t="str">
        <f t="shared" ca="1" si="24"/>
        <v/>
      </c>
      <c r="G339" s="79" t="str">
        <f t="shared" ca="1" si="25"/>
        <v/>
      </c>
      <c r="H339" s="80" t="str">
        <f t="shared" ca="1" si="26"/>
        <v/>
      </c>
      <c r="I339" s="100"/>
      <c r="J339" s="111"/>
      <c r="K339" s="111" t="s">
        <v>63</v>
      </c>
      <c r="L339" s="111"/>
      <c r="M339" s="111"/>
      <c r="N339" s="111"/>
      <c r="O339" s="111"/>
      <c r="P339" s="111"/>
      <c r="Q339" s="112"/>
      <c r="R339" s="113"/>
      <c r="S339" s="113"/>
      <c r="T339" s="115"/>
      <c r="U339" s="114"/>
      <c r="V339" s="115"/>
      <c r="W339" s="116"/>
      <c r="X339" s="117"/>
      <c r="Y339" s="118"/>
      <c r="Z339" s="119"/>
      <c r="AA339" s="92"/>
      <c r="AB339" s="93"/>
      <c r="AC339" s="94"/>
      <c r="AD339" s="95"/>
      <c r="AE339" s="96"/>
      <c r="AF339" s="97"/>
      <c r="AG339" s="97">
        <f t="shared" si="27"/>
        <v>0</v>
      </c>
      <c r="AH339" s="97">
        <f t="shared" si="28"/>
        <v>0</v>
      </c>
      <c r="AI339" s="97">
        <f t="shared" si="29"/>
        <v>0</v>
      </c>
      <c r="AJ339" s="97">
        <f t="shared" si="30"/>
        <v>0</v>
      </c>
      <c r="AK339" s="97" t="str">
        <f t="shared" si="31"/>
        <v/>
      </c>
      <c r="AL339" s="98">
        <f t="shared" ca="1" si="32"/>
        <v>1</v>
      </c>
      <c r="AM339" s="98">
        <f t="shared" ca="1" si="33"/>
        <v>48</v>
      </c>
      <c r="AN339" s="98">
        <f t="shared" ca="1" si="34"/>
        <v>3</v>
      </c>
      <c r="AO339" s="98">
        <f t="shared" ca="1" si="35"/>
        <v>0</v>
      </c>
      <c r="AP339" s="98">
        <f t="shared" ca="1" si="36"/>
        <v>0</v>
      </c>
      <c r="AQ339" s="98">
        <f t="shared" ca="1" si="37"/>
        <v>0</v>
      </c>
      <c r="AR339" s="98">
        <f t="shared" ca="1" si="38"/>
        <v>0</v>
      </c>
      <c r="AS339" s="99"/>
      <c r="AT339" s="98">
        <f t="shared" si="39"/>
        <v>1</v>
      </c>
    </row>
    <row r="340" spans="1:46" ht="15.75" customHeight="1">
      <c r="A340" s="76"/>
      <c r="B340" s="77">
        <f t="shared" ca="1" si="20"/>
        <v>1</v>
      </c>
      <c r="C340" s="78">
        <f t="shared" ca="1" si="21"/>
        <v>48</v>
      </c>
      <c r="D340" s="78">
        <f t="shared" ca="1" si="22"/>
        <v>4</v>
      </c>
      <c r="E340" s="78" t="str">
        <f t="shared" ca="1" si="23"/>
        <v/>
      </c>
      <c r="F340" s="78" t="str">
        <f t="shared" ca="1" si="24"/>
        <v/>
      </c>
      <c r="G340" s="79" t="str">
        <f t="shared" ca="1" si="25"/>
        <v/>
      </c>
      <c r="H340" s="80" t="str">
        <f t="shared" ca="1" si="26"/>
        <v/>
      </c>
      <c r="I340" s="100"/>
      <c r="J340" s="111"/>
      <c r="K340" s="111" t="s">
        <v>64</v>
      </c>
      <c r="L340" s="111"/>
      <c r="M340" s="111"/>
      <c r="N340" s="111"/>
      <c r="O340" s="111"/>
      <c r="P340" s="111"/>
      <c r="Q340" s="112"/>
      <c r="R340" s="113"/>
      <c r="S340" s="113"/>
      <c r="T340" s="115"/>
      <c r="U340" s="114"/>
      <c r="V340" s="115"/>
      <c r="W340" s="116"/>
      <c r="X340" s="117"/>
      <c r="Y340" s="118"/>
      <c r="Z340" s="119"/>
      <c r="AA340" s="92"/>
      <c r="AB340" s="93"/>
      <c r="AC340" s="94"/>
      <c r="AD340" s="95"/>
      <c r="AE340" s="96"/>
      <c r="AF340" s="97"/>
      <c r="AG340" s="97">
        <f t="shared" si="27"/>
        <v>0</v>
      </c>
      <c r="AH340" s="97">
        <f t="shared" si="28"/>
        <v>0</v>
      </c>
      <c r="AI340" s="97">
        <f t="shared" si="29"/>
        <v>0</v>
      </c>
      <c r="AJ340" s="97">
        <f t="shared" si="30"/>
        <v>0</v>
      </c>
      <c r="AK340" s="97" t="str">
        <f t="shared" si="31"/>
        <v/>
      </c>
      <c r="AL340" s="98">
        <f t="shared" ca="1" si="32"/>
        <v>1</v>
      </c>
      <c r="AM340" s="98">
        <f t="shared" ca="1" si="33"/>
        <v>48</v>
      </c>
      <c r="AN340" s="98">
        <f t="shared" ca="1" si="34"/>
        <v>4</v>
      </c>
      <c r="AO340" s="98">
        <f t="shared" ca="1" si="35"/>
        <v>0</v>
      </c>
      <c r="AP340" s="98">
        <f t="shared" ca="1" si="36"/>
        <v>0</v>
      </c>
      <c r="AQ340" s="98">
        <f t="shared" ca="1" si="37"/>
        <v>0</v>
      </c>
      <c r="AR340" s="98">
        <f t="shared" ca="1" si="38"/>
        <v>0</v>
      </c>
      <c r="AS340" s="99"/>
      <c r="AT340" s="98">
        <f t="shared" si="39"/>
        <v>1</v>
      </c>
    </row>
    <row r="341" spans="1:46" ht="15.75" customHeight="1">
      <c r="A341" s="76"/>
      <c r="B341" s="77">
        <f t="shared" ca="1" si="20"/>
        <v>1</v>
      </c>
      <c r="C341" s="78">
        <f t="shared" ca="1" si="21"/>
        <v>48</v>
      </c>
      <c r="D341" s="78">
        <f t="shared" ca="1" si="22"/>
        <v>5</v>
      </c>
      <c r="E341" s="78" t="str">
        <f t="shared" ca="1" si="23"/>
        <v/>
      </c>
      <c r="F341" s="78" t="str">
        <f t="shared" ca="1" si="24"/>
        <v/>
      </c>
      <c r="G341" s="79" t="str">
        <f t="shared" ca="1" si="25"/>
        <v/>
      </c>
      <c r="H341" s="80" t="str">
        <f t="shared" ca="1" si="26"/>
        <v/>
      </c>
      <c r="I341" s="100"/>
      <c r="J341" s="111"/>
      <c r="K341" s="111" t="s">
        <v>65</v>
      </c>
      <c r="L341" s="111"/>
      <c r="M341" s="111"/>
      <c r="N341" s="111"/>
      <c r="O341" s="111"/>
      <c r="P341" s="111"/>
      <c r="Q341" s="112"/>
      <c r="R341" s="113"/>
      <c r="S341" s="113"/>
      <c r="T341" s="115"/>
      <c r="U341" s="114"/>
      <c r="V341" s="115"/>
      <c r="W341" s="116"/>
      <c r="X341" s="117"/>
      <c r="Y341" s="118"/>
      <c r="Z341" s="119"/>
      <c r="AA341" s="92"/>
      <c r="AB341" s="93"/>
      <c r="AC341" s="94"/>
      <c r="AD341" s="95"/>
      <c r="AE341" s="96"/>
      <c r="AF341" s="97"/>
      <c r="AG341" s="97">
        <f t="shared" si="27"/>
        <v>0</v>
      </c>
      <c r="AH341" s="97">
        <f t="shared" si="28"/>
        <v>0</v>
      </c>
      <c r="AI341" s="97">
        <f t="shared" si="29"/>
        <v>0</v>
      </c>
      <c r="AJ341" s="97">
        <f t="shared" si="30"/>
        <v>0</v>
      </c>
      <c r="AK341" s="97" t="str">
        <f t="shared" si="31"/>
        <v/>
      </c>
      <c r="AL341" s="98">
        <f t="shared" ca="1" si="32"/>
        <v>1</v>
      </c>
      <c r="AM341" s="98">
        <f t="shared" ca="1" si="33"/>
        <v>48</v>
      </c>
      <c r="AN341" s="98">
        <f t="shared" ca="1" si="34"/>
        <v>5</v>
      </c>
      <c r="AO341" s="98">
        <f t="shared" ca="1" si="35"/>
        <v>0</v>
      </c>
      <c r="AP341" s="98">
        <f t="shared" ca="1" si="36"/>
        <v>0</v>
      </c>
      <c r="AQ341" s="98">
        <f t="shared" ca="1" si="37"/>
        <v>0</v>
      </c>
      <c r="AR341" s="98">
        <f t="shared" ca="1" si="38"/>
        <v>0</v>
      </c>
      <c r="AS341" s="99"/>
      <c r="AT341" s="98">
        <f t="shared" si="39"/>
        <v>1</v>
      </c>
    </row>
    <row r="342" spans="1:46" ht="15.75" customHeight="1">
      <c r="A342" s="76"/>
      <c r="B342" s="77">
        <f t="shared" ca="1" si="20"/>
        <v>1</v>
      </c>
      <c r="C342" s="78">
        <f t="shared" ca="1" si="21"/>
        <v>48</v>
      </c>
      <c r="D342" s="78">
        <f t="shared" ca="1" si="22"/>
        <v>6</v>
      </c>
      <c r="E342" s="78" t="str">
        <f t="shared" ca="1" si="23"/>
        <v/>
      </c>
      <c r="F342" s="78" t="str">
        <f t="shared" ca="1" si="24"/>
        <v/>
      </c>
      <c r="G342" s="79" t="str">
        <f t="shared" ca="1" si="25"/>
        <v/>
      </c>
      <c r="H342" s="80" t="str">
        <f t="shared" ca="1" si="26"/>
        <v/>
      </c>
      <c r="I342" s="100"/>
      <c r="J342" s="111"/>
      <c r="K342" s="111" t="s">
        <v>66</v>
      </c>
      <c r="L342" s="111"/>
      <c r="M342" s="111"/>
      <c r="N342" s="111"/>
      <c r="O342" s="111"/>
      <c r="P342" s="111"/>
      <c r="Q342" s="112"/>
      <c r="R342" s="113"/>
      <c r="S342" s="113"/>
      <c r="T342" s="115"/>
      <c r="U342" s="114"/>
      <c r="V342" s="115"/>
      <c r="W342" s="116"/>
      <c r="X342" s="117"/>
      <c r="Y342" s="118"/>
      <c r="Z342" s="119"/>
      <c r="AA342" s="92"/>
      <c r="AB342" s="93"/>
      <c r="AC342" s="94"/>
      <c r="AD342" s="95"/>
      <c r="AE342" s="96"/>
      <c r="AF342" s="97"/>
      <c r="AG342" s="97">
        <f t="shared" si="27"/>
        <v>0</v>
      </c>
      <c r="AH342" s="97">
        <f t="shared" si="28"/>
        <v>0</v>
      </c>
      <c r="AI342" s="97">
        <f t="shared" si="29"/>
        <v>0</v>
      </c>
      <c r="AJ342" s="97">
        <f t="shared" si="30"/>
        <v>0</v>
      </c>
      <c r="AK342" s="97" t="str">
        <f t="shared" si="31"/>
        <v/>
      </c>
      <c r="AL342" s="98">
        <f t="shared" ca="1" si="32"/>
        <v>1</v>
      </c>
      <c r="AM342" s="98">
        <f t="shared" ca="1" si="33"/>
        <v>48</v>
      </c>
      <c r="AN342" s="98">
        <f t="shared" ca="1" si="34"/>
        <v>6</v>
      </c>
      <c r="AO342" s="98">
        <f t="shared" ca="1" si="35"/>
        <v>0</v>
      </c>
      <c r="AP342" s="98">
        <f t="shared" ca="1" si="36"/>
        <v>0</v>
      </c>
      <c r="AQ342" s="98">
        <f t="shared" ca="1" si="37"/>
        <v>0</v>
      </c>
      <c r="AR342" s="98">
        <f t="shared" ca="1" si="38"/>
        <v>0</v>
      </c>
      <c r="AS342" s="99"/>
      <c r="AT342" s="98">
        <f t="shared" si="39"/>
        <v>1</v>
      </c>
    </row>
    <row r="343" spans="1:46" ht="15.75" customHeight="1">
      <c r="A343" s="76"/>
      <c r="B343" s="77">
        <f t="shared" ca="1" si="20"/>
        <v>1</v>
      </c>
      <c r="C343" s="78">
        <f t="shared" ca="1" si="21"/>
        <v>49</v>
      </c>
      <c r="D343" s="78" t="str">
        <f t="shared" ca="1" si="22"/>
        <v/>
      </c>
      <c r="E343" s="78" t="str">
        <f t="shared" ca="1" si="23"/>
        <v/>
      </c>
      <c r="F343" s="78" t="str">
        <f t="shared" ca="1" si="24"/>
        <v/>
      </c>
      <c r="G343" s="79" t="str">
        <f t="shared" ca="1" si="25"/>
        <v/>
      </c>
      <c r="H343" s="80" t="str">
        <f t="shared" ca="1" si="26"/>
        <v/>
      </c>
      <c r="I343" s="100"/>
      <c r="J343" s="101" t="s">
        <v>118</v>
      </c>
      <c r="K343" s="102"/>
      <c r="L343" s="102"/>
      <c r="M343" s="102"/>
      <c r="N343" s="102"/>
      <c r="O343" s="102"/>
      <c r="P343" s="102"/>
      <c r="Q343" s="103" t="s">
        <v>73</v>
      </c>
      <c r="R343" s="104"/>
      <c r="S343" s="104"/>
      <c r="T343" s="105"/>
      <c r="U343" s="106"/>
      <c r="V343" s="105"/>
      <c r="W343" s="107"/>
      <c r="X343" s="108"/>
      <c r="Y343" s="109"/>
      <c r="Z343" s="110"/>
      <c r="AA343" s="92"/>
      <c r="AB343" s="93"/>
      <c r="AC343" s="94"/>
      <c r="AD343" s="95"/>
      <c r="AE343" s="96"/>
      <c r="AF343" s="97"/>
      <c r="AG343" s="97">
        <f t="shared" si="27"/>
        <v>0</v>
      </c>
      <c r="AH343" s="97">
        <f t="shared" si="28"/>
        <v>0</v>
      </c>
      <c r="AI343" s="97">
        <f t="shared" si="29"/>
        <v>0</v>
      </c>
      <c r="AJ343" s="97">
        <f t="shared" si="30"/>
        <v>0</v>
      </c>
      <c r="AK343" s="97" t="str">
        <f t="shared" si="31"/>
        <v/>
      </c>
      <c r="AL343" s="98">
        <f t="shared" ca="1" si="32"/>
        <v>1</v>
      </c>
      <c r="AM343" s="98">
        <f t="shared" ca="1" si="33"/>
        <v>49</v>
      </c>
      <c r="AN343" s="98">
        <f t="shared" ca="1" si="34"/>
        <v>0</v>
      </c>
      <c r="AO343" s="98">
        <f t="shared" ca="1" si="35"/>
        <v>0</v>
      </c>
      <c r="AP343" s="98">
        <f t="shared" ca="1" si="36"/>
        <v>0</v>
      </c>
      <c r="AQ343" s="98">
        <f t="shared" ca="1" si="37"/>
        <v>0</v>
      </c>
      <c r="AR343" s="98">
        <f t="shared" ca="1" si="38"/>
        <v>0</v>
      </c>
      <c r="AS343" s="99"/>
      <c r="AT343" s="98">
        <f t="shared" si="39"/>
        <v>1</v>
      </c>
    </row>
    <row r="344" spans="1:46" ht="15.75" customHeight="1">
      <c r="A344" s="76"/>
      <c r="B344" s="77">
        <f t="shared" ca="1" si="20"/>
        <v>1</v>
      </c>
      <c r="C344" s="78">
        <f t="shared" ca="1" si="21"/>
        <v>49</v>
      </c>
      <c r="D344" s="78">
        <f t="shared" ca="1" si="22"/>
        <v>1</v>
      </c>
      <c r="E344" s="78" t="str">
        <f t="shared" ca="1" si="23"/>
        <v/>
      </c>
      <c r="F344" s="78" t="str">
        <f t="shared" ca="1" si="24"/>
        <v/>
      </c>
      <c r="G344" s="79" t="str">
        <f t="shared" ca="1" si="25"/>
        <v/>
      </c>
      <c r="H344" s="80" t="str">
        <f t="shared" ca="1" si="26"/>
        <v/>
      </c>
      <c r="I344" s="100"/>
      <c r="J344" s="111"/>
      <c r="K344" s="111" t="s">
        <v>59</v>
      </c>
      <c r="L344" s="111"/>
      <c r="M344" s="111"/>
      <c r="N344" s="111"/>
      <c r="O344" s="111"/>
      <c r="P344" s="111"/>
      <c r="Q344" s="112"/>
      <c r="R344" s="113"/>
      <c r="S344" s="113"/>
      <c r="T344" s="115"/>
      <c r="U344" s="114"/>
      <c r="V344" s="115"/>
      <c r="W344" s="116"/>
      <c r="X344" s="117"/>
      <c r="Y344" s="118"/>
      <c r="Z344" s="119"/>
      <c r="AA344" s="92"/>
      <c r="AB344" s="93"/>
      <c r="AC344" s="94"/>
      <c r="AD344" s="95"/>
      <c r="AE344" s="96"/>
      <c r="AF344" s="97"/>
      <c r="AG344" s="97">
        <f t="shared" si="27"/>
        <v>0</v>
      </c>
      <c r="AH344" s="97">
        <f t="shared" si="28"/>
        <v>0</v>
      </c>
      <c r="AI344" s="97">
        <f t="shared" si="29"/>
        <v>0</v>
      </c>
      <c r="AJ344" s="97">
        <f t="shared" si="30"/>
        <v>0</v>
      </c>
      <c r="AK344" s="97" t="str">
        <f t="shared" si="31"/>
        <v/>
      </c>
      <c r="AL344" s="98">
        <f t="shared" ca="1" si="32"/>
        <v>1</v>
      </c>
      <c r="AM344" s="98">
        <f t="shared" ca="1" si="33"/>
        <v>49</v>
      </c>
      <c r="AN344" s="98">
        <f t="shared" ca="1" si="34"/>
        <v>1</v>
      </c>
      <c r="AO344" s="98">
        <f t="shared" ca="1" si="35"/>
        <v>0</v>
      </c>
      <c r="AP344" s="98">
        <f t="shared" ca="1" si="36"/>
        <v>0</v>
      </c>
      <c r="AQ344" s="98">
        <f t="shared" ca="1" si="37"/>
        <v>0</v>
      </c>
      <c r="AR344" s="98">
        <f t="shared" ca="1" si="38"/>
        <v>0</v>
      </c>
      <c r="AS344" s="99"/>
      <c r="AT344" s="98">
        <f t="shared" si="39"/>
        <v>1</v>
      </c>
    </row>
    <row r="345" spans="1:46" ht="15.75" customHeight="1">
      <c r="A345" s="76"/>
      <c r="B345" s="77">
        <f t="shared" ca="1" si="20"/>
        <v>1</v>
      </c>
      <c r="C345" s="78">
        <f t="shared" ca="1" si="21"/>
        <v>49</v>
      </c>
      <c r="D345" s="78">
        <f t="shared" ca="1" si="22"/>
        <v>2</v>
      </c>
      <c r="E345" s="78" t="str">
        <f t="shared" ca="1" si="23"/>
        <v/>
      </c>
      <c r="F345" s="78" t="str">
        <f t="shared" ca="1" si="24"/>
        <v/>
      </c>
      <c r="G345" s="79" t="str">
        <f t="shared" ca="1" si="25"/>
        <v/>
      </c>
      <c r="H345" s="80" t="str">
        <f t="shared" ca="1" si="26"/>
        <v/>
      </c>
      <c r="I345" s="100"/>
      <c r="J345" s="111"/>
      <c r="K345" s="111" t="s">
        <v>61</v>
      </c>
      <c r="L345" s="111"/>
      <c r="M345" s="111"/>
      <c r="N345" s="111"/>
      <c r="O345" s="111"/>
      <c r="P345" s="111"/>
      <c r="Q345" s="112"/>
      <c r="R345" s="113"/>
      <c r="S345" s="113"/>
      <c r="T345" s="115"/>
      <c r="U345" s="114"/>
      <c r="V345" s="115"/>
      <c r="W345" s="116"/>
      <c r="X345" s="117"/>
      <c r="Y345" s="118"/>
      <c r="Z345" s="119"/>
      <c r="AA345" s="92"/>
      <c r="AB345" s="93"/>
      <c r="AC345" s="94"/>
      <c r="AD345" s="95"/>
      <c r="AE345" s="96"/>
      <c r="AF345" s="97"/>
      <c r="AG345" s="97">
        <f t="shared" si="27"/>
        <v>0</v>
      </c>
      <c r="AH345" s="97">
        <f t="shared" si="28"/>
        <v>0</v>
      </c>
      <c r="AI345" s="97">
        <f t="shared" si="29"/>
        <v>0</v>
      </c>
      <c r="AJ345" s="97">
        <f t="shared" si="30"/>
        <v>0</v>
      </c>
      <c r="AK345" s="97" t="str">
        <f t="shared" si="31"/>
        <v/>
      </c>
      <c r="AL345" s="98">
        <f t="shared" ca="1" si="32"/>
        <v>1</v>
      </c>
      <c r="AM345" s="98">
        <f t="shared" ca="1" si="33"/>
        <v>49</v>
      </c>
      <c r="AN345" s="98">
        <f t="shared" ca="1" si="34"/>
        <v>2</v>
      </c>
      <c r="AO345" s="98">
        <f t="shared" ca="1" si="35"/>
        <v>0</v>
      </c>
      <c r="AP345" s="98">
        <f t="shared" ca="1" si="36"/>
        <v>0</v>
      </c>
      <c r="AQ345" s="98">
        <f t="shared" ca="1" si="37"/>
        <v>0</v>
      </c>
      <c r="AR345" s="98">
        <f t="shared" ca="1" si="38"/>
        <v>0</v>
      </c>
      <c r="AS345" s="99"/>
      <c r="AT345" s="98">
        <f t="shared" si="39"/>
        <v>1</v>
      </c>
    </row>
    <row r="346" spans="1:46" ht="15.75" customHeight="1">
      <c r="A346" s="76"/>
      <c r="B346" s="77">
        <f t="shared" ca="1" si="20"/>
        <v>1</v>
      </c>
      <c r="C346" s="78">
        <f t="shared" ca="1" si="21"/>
        <v>49</v>
      </c>
      <c r="D346" s="78">
        <f t="shared" ca="1" si="22"/>
        <v>3</v>
      </c>
      <c r="E346" s="78" t="str">
        <f t="shared" ca="1" si="23"/>
        <v/>
      </c>
      <c r="F346" s="78" t="str">
        <f t="shared" ca="1" si="24"/>
        <v/>
      </c>
      <c r="G346" s="79" t="str">
        <f t="shared" ca="1" si="25"/>
        <v/>
      </c>
      <c r="H346" s="80" t="str">
        <f t="shared" ca="1" si="26"/>
        <v/>
      </c>
      <c r="I346" s="100"/>
      <c r="J346" s="111"/>
      <c r="K346" s="111" t="s">
        <v>63</v>
      </c>
      <c r="L346" s="111"/>
      <c r="M346" s="111"/>
      <c r="N346" s="111"/>
      <c r="O346" s="111"/>
      <c r="P346" s="111"/>
      <c r="Q346" s="112"/>
      <c r="R346" s="113"/>
      <c r="S346" s="113"/>
      <c r="T346" s="115"/>
      <c r="U346" s="114"/>
      <c r="V346" s="115"/>
      <c r="W346" s="116"/>
      <c r="X346" s="117"/>
      <c r="Y346" s="118"/>
      <c r="Z346" s="119"/>
      <c r="AA346" s="92"/>
      <c r="AB346" s="93"/>
      <c r="AC346" s="94"/>
      <c r="AD346" s="95"/>
      <c r="AE346" s="96"/>
      <c r="AF346" s="97"/>
      <c r="AG346" s="97">
        <f t="shared" si="27"/>
        <v>0</v>
      </c>
      <c r="AH346" s="97">
        <f t="shared" si="28"/>
        <v>0</v>
      </c>
      <c r="AI346" s="97">
        <f t="shared" si="29"/>
        <v>0</v>
      </c>
      <c r="AJ346" s="97">
        <f t="shared" si="30"/>
        <v>0</v>
      </c>
      <c r="AK346" s="97" t="str">
        <f t="shared" si="31"/>
        <v/>
      </c>
      <c r="AL346" s="98">
        <f t="shared" ca="1" si="32"/>
        <v>1</v>
      </c>
      <c r="AM346" s="98">
        <f t="shared" ca="1" si="33"/>
        <v>49</v>
      </c>
      <c r="AN346" s="98">
        <f t="shared" ca="1" si="34"/>
        <v>3</v>
      </c>
      <c r="AO346" s="98">
        <f t="shared" ca="1" si="35"/>
        <v>0</v>
      </c>
      <c r="AP346" s="98">
        <f t="shared" ca="1" si="36"/>
        <v>0</v>
      </c>
      <c r="AQ346" s="98">
        <f t="shared" ca="1" si="37"/>
        <v>0</v>
      </c>
      <c r="AR346" s="98">
        <f t="shared" ca="1" si="38"/>
        <v>0</v>
      </c>
      <c r="AS346" s="99"/>
      <c r="AT346" s="98">
        <f t="shared" si="39"/>
        <v>1</v>
      </c>
    </row>
    <row r="347" spans="1:46" ht="15.75" customHeight="1">
      <c r="A347" s="76"/>
      <c r="B347" s="77">
        <f t="shared" ca="1" si="20"/>
        <v>1</v>
      </c>
      <c r="C347" s="78">
        <f t="shared" ca="1" si="21"/>
        <v>49</v>
      </c>
      <c r="D347" s="78">
        <f t="shared" ca="1" si="22"/>
        <v>4</v>
      </c>
      <c r="E347" s="78" t="str">
        <f t="shared" ca="1" si="23"/>
        <v/>
      </c>
      <c r="F347" s="78" t="str">
        <f t="shared" ca="1" si="24"/>
        <v/>
      </c>
      <c r="G347" s="79" t="str">
        <f t="shared" ca="1" si="25"/>
        <v/>
      </c>
      <c r="H347" s="80" t="str">
        <f t="shared" ca="1" si="26"/>
        <v/>
      </c>
      <c r="I347" s="100"/>
      <c r="J347" s="111"/>
      <c r="K347" s="111" t="s">
        <v>64</v>
      </c>
      <c r="L347" s="111"/>
      <c r="M347" s="111"/>
      <c r="N347" s="111"/>
      <c r="O347" s="111"/>
      <c r="P347" s="111"/>
      <c r="Q347" s="112"/>
      <c r="R347" s="113"/>
      <c r="S347" s="113"/>
      <c r="T347" s="115"/>
      <c r="U347" s="114"/>
      <c r="V347" s="115"/>
      <c r="W347" s="116"/>
      <c r="X347" s="117"/>
      <c r="Y347" s="118"/>
      <c r="Z347" s="119"/>
      <c r="AA347" s="92"/>
      <c r="AB347" s="93"/>
      <c r="AC347" s="94"/>
      <c r="AD347" s="95"/>
      <c r="AE347" s="96"/>
      <c r="AF347" s="97"/>
      <c r="AG347" s="97">
        <f t="shared" si="27"/>
        <v>0</v>
      </c>
      <c r="AH347" s="97">
        <f t="shared" si="28"/>
        <v>0</v>
      </c>
      <c r="AI347" s="97">
        <f t="shared" si="29"/>
        <v>0</v>
      </c>
      <c r="AJ347" s="97">
        <f t="shared" si="30"/>
        <v>0</v>
      </c>
      <c r="AK347" s="97" t="str">
        <f t="shared" si="31"/>
        <v/>
      </c>
      <c r="AL347" s="98">
        <f t="shared" ca="1" si="32"/>
        <v>1</v>
      </c>
      <c r="AM347" s="98">
        <f t="shared" ca="1" si="33"/>
        <v>49</v>
      </c>
      <c r="AN347" s="98">
        <f t="shared" ca="1" si="34"/>
        <v>4</v>
      </c>
      <c r="AO347" s="98">
        <f t="shared" ca="1" si="35"/>
        <v>0</v>
      </c>
      <c r="AP347" s="98">
        <f t="shared" ca="1" si="36"/>
        <v>0</v>
      </c>
      <c r="AQ347" s="98">
        <f t="shared" ca="1" si="37"/>
        <v>0</v>
      </c>
      <c r="AR347" s="98">
        <f t="shared" ca="1" si="38"/>
        <v>0</v>
      </c>
      <c r="AS347" s="99"/>
      <c r="AT347" s="98">
        <f t="shared" si="39"/>
        <v>1</v>
      </c>
    </row>
    <row r="348" spans="1:46" ht="15.75" customHeight="1">
      <c r="A348" s="76"/>
      <c r="B348" s="77">
        <f t="shared" ca="1" si="20"/>
        <v>1</v>
      </c>
      <c r="C348" s="78">
        <f t="shared" ca="1" si="21"/>
        <v>49</v>
      </c>
      <c r="D348" s="78">
        <f t="shared" ca="1" si="22"/>
        <v>5</v>
      </c>
      <c r="E348" s="78" t="str">
        <f t="shared" ca="1" si="23"/>
        <v/>
      </c>
      <c r="F348" s="78" t="str">
        <f t="shared" ca="1" si="24"/>
        <v/>
      </c>
      <c r="G348" s="79" t="str">
        <f t="shared" ca="1" si="25"/>
        <v/>
      </c>
      <c r="H348" s="80" t="str">
        <f t="shared" ca="1" si="26"/>
        <v/>
      </c>
      <c r="I348" s="100"/>
      <c r="J348" s="111"/>
      <c r="K348" s="111" t="s">
        <v>65</v>
      </c>
      <c r="L348" s="111"/>
      <c r="M348" s="111"/>
      <c r="N348" s="111"/>
      <c r="O348" s="111"/>
      <c r="P348" s="111"/>
      <c r="Q348" s="112"/>
      <c r="R348" s="113"/>
      <c r="S348" s="113"/>
      <c r="T348" s="115"/>
      <c r="U348" s="114"/>
      <c r="V348" s="115"/>
      <c r="W348" s="116"/>
      <c r="X348" s="117"/>
      <c r="Y348" s="118"/>
      <c r="Z348" s="119"/>
      <c r="AA348" s="92"/>
      <c r="AB348" s="93"/>
      <c r="AC348" s="94"/>
      <c r="AD348" s="95"/>
      <c r="AE348" s="96"/>
      <c r="AF348" s="97"/>
      <c r="AG348" s="97">
        <f t="shared" si="27"/>
        <v>0</v>
      </c>
      <c r="AH348" s="97">
        <f t="shared" si="28"/>
        <v>0</v>
      </c>
      <c r="AI348" s="97">
        <f t="shared" si="29"/>
        <v>0</v>
      </c>
      <c r="AJ348" s="97">
        <f t="shared" si="30"/>
        <v>0</v>
      </c>
      <c r="AK348" s="97" t="str">
        <f t="shared" si="31"/>
        <v/>
      </c>
      <c r="AL348" s="98">
        <f t="shared" ca="1" si="32"/>
        <v>1</v>
      </c>
      <c r="AM348" s="98">
        <f t="shared" ca="1" si="33"/>
        <v>49</v>
      </c>
      <c r="AN348" s="98">
        <f t="shared" ca="1" si="34"/>
        <v>5</v>
      </c>
      <c r="AO348" s="98">
        <f t="shared" ca="1" si="35"/>
        <v>0</v>
      </c>
      <c r="AP348" s="98">
        <f t="shared" ca="1" si="36"/>
        <v>0</v>
      </c>
      <c r="AQ348" s="98">
        <f t="shared" ca="1" si="37"/>
        <v>0</v>
      </c>
      <c r="AR348" s="98">
        <f t="shared" ca="1" si="38"/>
        <v>0</v>
      </c>
      <c r="AS348" s="99"/>
      <c r="AT348" s="98">
        <f t="shared" si="39"/>
        <v>1</v>
      </c>
    </row>
    <row r="349" spans="1:46" ht="15.75" customHeight="1">
      <c r="A349" s="76"/>
      <c r="B349" s="77">
        <f t="shared" ca="1" si="20"/>
        <v>1</v>
      </c>
      <c r="C349" s="78">
        <f t="shared" ca="1" si="21"/>
        <v>49</v>
      </c>
      <c r="D349" s="78">
        <f t="shared" ca="1" si="22"/>
        <v>6</v>
      </c>
      <c r="E349" s="78" t="str">
        <f t="shared" ca="1" si="23"/>
        <v/>
      </c>
      <c r="F349" s="78" t="str">
        <f t="shared" ca="1" si="24"/>
        <v/>
      </c>
      <c r="G349" s="79" t="str">
        <f t="shared" ca="1" si="25"/>
        <v/>
      </c>
      <c r="H349" s="80" t="str">
        <f t="shared" ca="1" si="26"/>
        <v/>
      </c>
      <c r="I349" s="100"/>
      <c r="J349" s="111"/>
      <c r="K349" s="111" t="s">
        <v>66</v>
      </c>
      <c r="L349" s="111"/>
      <c r="M349" s="111"/>
      <c r="N349" s="111"/>
      <c r="O349" s="111"/>
      <c r="P349" s="111"/>
      <c r="Q349" s="112"/>
      <c r="R349" s="113"/>
      <c r="S349" s="113"/>
      <c r="T349" s="115"/>
      <c r="U349" s="114"/>
      <c r="V349" s="115"/>
      <c r="W349" s="116"/>
      <c r="X349" s="117"/>
      <c r="Y349" s="118"/>
      <c r="Z349" s="119"/>
      <c r="AA349" s="92"/>
      <c r="AB349" s="93"/>
      <c r="AC349" s="94"/>
      <c r="AD349" s="95"/>
      <c r="AE349" s="96"/>
      <c r="AF349" s="97"/>
      <c r="AG349" s="97">
        <f t="shared" si="27"/>
        <v>0</v>
      </c>
      <c r="AH349" s="97">
        <f t="shared" si="28"/>
        <v>0</v>
      </c>
      <c r="AI349" s="97">
        <f t="shared" si="29"/>
        <v>0</v>
      </c>
      <c r="AJ349" s="97">
        <f t="shared" si="30"/>
        <v>0</v>
      </c>
      <c r="AK349" s="97" t="str">
        <f t="shared" si="31"/>
        <v/>
      </c>
      <c r="AL349" s="98">
        <f t="shared" ca="1" si="32"/>
        <v>1</v>
      </c>
      <c r="AM349" s="98">
        <f t="shared" ca="1" si="33"/>
        <v>49</v>
      </c>
      <c r="AN349" s="98">
        <f t="shared" ca="1" si="34"/>
        <v>6</v>
      </c>
      <c r="AO349" s="98">
        <f t="shared" ca="1" si="35"/>
        <v>0</v>
      </c>
      <c r="AP349" s="98">
        <f t="shared" ca="1" si="36"/>
        <v>0</v>
      </c>
      <c r="AQ349" s="98">
        <f t="shared" ca="1" si="37"/>
        <v>0</v>
      </c>
      <c r="AR349" s="98">
        <f t="shared" ca="1" si="38"/>
        <v>0</v>
      </c>
      <c r="AS349" s="99"/>
      <c r="AT349" s="98">
        <f t="shared" si="39"/>
        <v>1</v>
      </c>
    </row>
    <row r="350" spans="1:46" ht="15.75" customHeight="1">
      <c r="A350" s="76"/>
      <c r="B350" s="77">
        <f t="shared" ca="1" si="20"/>
        <v>1</v>
      </c>
      <c r="C350" s="78">
        <f t="shared" ca="1" si="21"/>
        <v>50</v>
      </c>
      <c r="D350" s="78" t="str">
        <f t="shared" ca="1" si="22"/>
        <v/>
      </c>
      <c r="E350" s="78" t="str">
        <f t="shared" ca="1" si="23"/>
        <v/>
      </c>
      <c r="F350" s="78" t="str">
        <f t="shared" ca="1" si="24"/>
        <v/>
      </c>
      <c r="G350" s="79" t="str">
        <f t="shared" ca="1" si="25"/>
        <v/>
      </c>
      <c r="H350" s="80" t="str">
        <f t="shared" ca="1" si="26"/>
        <v/>
      </c>
      <c r="I350" s="100"/>
      <c r="J350" s="101" t="s">
        <v>119</v>
      </c>
      <c r="K350" s="102"/>
      <c r="L350" s="102"/>
      <c r="M350" s="102"/>
      <c r="N350" s="102"/>
      <c r="O350" s="102"/>
      <c r="P350" s="102"/>
      <c r="Q350" s="103" t="s">
        <v>58</v>
      </c>
      <c r="R350" s="104"/>
      <c r="S350" s="104"/>
      <c r="T350" s="105"/>
      <c r="U350" s="106"/>
      <c r="V350" s="105"/>
      <c r="W350" s="107"/>
      <c r="X350" s="108"/>
      <c r="Y350" s="109"/>
      <c r="Z350" s="110"/>
      <c r="AA350" s="92"/>
      <c r="AB350" s="93"/>
      <c r="AC350" s="94"/>
      <c r="AD350" s="95"/>
      <c r="AE350" s="96"/>
      <c r="AF350" s="97"/>
      <c r="AG350" s="97">
        <f t="shared" si="27"/>
        <v>0</v>
      </c>
      <c r="AH350" s="97">
        <f t="shared" si="28"/>
        <v>0</v>
      </c>
      <c r="AI350" s="97">
        <f t="shared" si="29"/>
        <v>0</v>
      </c>
      <c r="AJ350" s="97">
        <f t="shared" si="30"/>
        <v>0</v>
      </c>
      <c r="AK350" s="97" t="str">
        <f t="shared" si="31"/>
        <v/>
      </c>
      <c r="AL350" s="98">
        <f t="shared" ca="1" si="32"/>
        <v>1</v>
      </c>
      <c r="AM350" s="98">
        <f t="shared" ca="1" si="33"/>
        <v>50</v>
      </c>
      <c r="AN350" s="98">
        <f t="shared" ca="1" si="34"/>
        <v>0</v>
      </c>
      <c r="AO350" s="98">
        <f t="shared" ca="1" si="35"/>
        <v>0</v>
      </c>
      <c r="AP350" s="98">
        <f t="shared" ca="1" si="36"/>
        <v>0</v>
      </c>
      <c r="AQ350" s="98">
        <f t="shared" ca="1" si="37"/>
        <v>0</v>
      </c>
      <c r="AR350" s="98">
        <f t="shared" ca="1" si="38"/>
        <v>0</v>
      </c>
      <c r="AS350" s="99"/>
      <c r="AT350" s="98">
        <f t="shared" si="39"/>
        <v>1</v>
      </c>
    </row>
    <row r="351" spans="1:46" ht="15.75" customHeight="1">
      <c r="A351" s="76"/>
      <c r="B351" s="77">
        <f t="shared" ca="1" si="20"/>
        <v>1</v>
      </c>
      <c r="C351" s="78">
        <f t="shared" ca="1" si="21"/>
        <v>50</v>
      </c>
      <c r="D351" s="78">
        <f t="shared" ca="1" si="22"/>
        <v>1</v>
      </c>
      <c r="E351" s="78" t="str">
        <f t="shared" ca="1" si="23"/>
        <v/>
      </c>
      <c r="F351" s="78" t="str">
        <f t="shared" ca="1" si="24"/>
        <v/>
      </c>
      <c r="G351" s="79" t="str">
        <f t="shared" ca="1" si="25"/>
        <v/>
      </c>
      <c r="H351" s="80" t="str">
        <f t="shared" ca="1" si="26"/>
        <v/>
      </c>
      <c r="I351" s="100"/>
      <c r="J351" s="111"/>
      <c r="K351" s="111" t="s">
        <v>59</v>
      </c>
      <c r="L351" s="111"/>
      <c r="M351" s="111"/>
      <c r="N351" s="111"/>
      <c r="O351" s="111"/>
      <c r="P351" s="111"/>
      <c r="Q351" s="112"/>
      <c r="R351" s="113"/>
      <c r="S351" s="113"/>
      <c r="T351" s="115"/>
      <c r="U351" s="114"/>
      <c r="V351" s="115"/>
      <c r="W351" s="116"/>
      <c r="X351" s="117"/>
      <c r="Y351" s="118"/>
      <c r="Z351" s="119"/>
      <c r="AA351" s="92"/>
      <c r="AB351" s="93"/>
      <c r="AC351" s="94"/>
      <c r="AD351" s="95"/>
      <c r="AE351" s="96"/>
      <c r="AF351" s="97"/>
      <c r="AG351" s="97">
        <f t="shared" si="27"/>
        <v>0</v>
      </c>
      <c r="AH351" s="97">
        <f t="shared" si="28"/>
        <v>0</v>
      </c>
      <c r="AI351" s="97">
        <f t="shared" si="29"/>
        <v>0</v>
      </c>
      <c r="AJ351" s="97">
        <f t="shared" si="30"/>
        <v>0</v>
      </c>
      <c r="AK351" s="97" t="str">
        <f t="shared" si="31"/>
        <v/>
      </c>
      <c r="AL351" s="98">
        <f t="shared" ca="1" si="32"/>
        <v>1</v>
      </c>
      <c r="AM351" s="98">
        <f t="shared" ca="1" si="33"/>
        <v>50</v>
      </c>
      <c r="AN351" s="98">
        <f t="shared" ca="1" si="34"/>
        <v>1</v>
      </c>
      <c r="AO351" s="98">
        <f t="shared" ca="1" si="35"/>
        <v>0</v>
      </c>
      <c r="AP351" s="98">
        <f t="shared" ca="1" si="36"/>
        <v>0</v>
      </c>
      <c r="AQ351" s="98">
        <f t="shared" ca="1" si="37"/>
        <v>0</v>
      </c>
      <c r="AR351" s="98">
        <f t="shared" ca="1" si="38"/>
        <v>0</v>
      </c>
      <c r="AS351" s="99"/>
      <c r="AT351" s="98">
        <f t="shared" si="39"/>
        <v>1</v>
      </c>
    </row>
    <row r="352" spans="1:46" ht="15.75" customHeight="1">
      <c r="A352" s="76"/>
      <c r="B352" s="77">
        <f t="shared" ca="1" si="20"/>
        <v>1</v>
      </c>
      <c r="C352" s="78">
        <f t="shared" ca="1" si="21"/>
        <v>50</v>
      </c>
      <c r="D352" s="78">
        <f t="shared" ca="1" si="22"/>
        <v>2</v>
      </c>
      <c r="E352" s="78" t="str">
        <f t="shared" ca="1" si="23"/>
        <v/>
      </c>
      <c r="F352" s="78" t="str">
        <f t="shared" ca="1" si="24"/>
        <v/>
      </c>
      <c r="G352" s="79" t="str">
        <f t="shared" ca="1" si="25"/>
        <v/>
      </c>
      <c r="H352" s="80" t="str">
        <f t="shared" ca="1" si="26"/>
        <v/>
      </c>
      <c r="I352" s="100"/>
      <c r="J352" s="111"/>
      <c r="K352" s="111" t="s">
        <v>61</v>
      </c>
      <c r="L352" s="111"/>
      <c r="M352" s="111"/>
      <c r="N352" s="111"/>
      <c r="O352" s="111"/>
      <c r="P352" s="111"/>
      <c r="Q352" s="112"/>
      <c r="R352" s="113"/>
      <c r="S352" s="113"/>
      <c r="T352" s="115"/>
      <c r="U352" s="114"/>
      <c r="V352" s="115"/>
      <c r="W352" s="116"/>
      <c r="X352" s="117"/>
      <c r="Y352" s="118"/>
      <c r="Z352" s="119"/>
      <c r="AA352" s="92"/>
      <c r="AB352" s="93"/>
      <c r="AC352" s="94"/>
      <c r="AD352" s="95"/>
      <c r="AE352" s="96"/>
      <c r="AF352" s="97"/>
      <c r="AG352" s="97">
        <f t="shared" si="27"/>
        <v>0</v>
      </c>
      <c r="AH352" s="97">
        <f t="shared" si="28"/>
        <v>0</v>
      </c>
      <c r="AI352" s="97">
        <f t="shared" si="29"/>
        <v>0</v>
      </c>
      <c r="AJ352" s="97">
        <f t="shared" si="30"/>
        <v>0</v>
      </c>
      <c r="AK352" s="97" t="str">
        <f t="shared" si="31"/>
        <v/>
      </c>
      <c r="AL352" s="98">
        <f t="shared" ca="1" si="32"/>
        <v>1</v>
      </c>
      <c r="AM352" s="98">
        <f t="shared" ca="1" si="33"/>
        <v>50</v>
      </c>
      <c r="AN352" s="98">
        <f t="shared" ca="1" si="34"/>
        <v>2</v>
      </c>
      <c r="AO352" s="98">
        <f t="shared" ca="1" si="35"/>
        <v>0</v>
      </c>
      <c r="AP352" s="98">
        <f t="shared" ca="1" si="36"/>
        <v>0</v>
      </c>
      <c r="AQ352" s="98">
        <f t="shared" ca="1" si="37"/>
        <v>0</v>
      </c>
      <c r="AR352" s="98">
        <f t="shared" ca="1" si="38"/>
        <v>0</v>
      </c>
      <c r="AS352" s="99"/>
      <c r="AT352" s="98">
        <f t="shared" si="39"/>
        <v>1</v>
      </c>
    </row>
    <row r="353" spans="1:46" ht="15.75" customHeight="1">
      <c r="A353" s="76"/>
      <c r="B353" s="77">
        <f t="shared" ca="1" si="20"/>
        <v>1</v>
      </c>
      <c r="C353" s="78">
        <f t="shared" ca="1" si="21"/>
        <v>50</v>
      </c>
      <c r="D353" s="78">
        <f t="shared" ca="1" si="22"/>
        <v>3</v>
      </c>
      <c r="E353" s="78" t="str">
        <f t="shared" ca="1" si="23"/>
        <v/>
      </c>
      <c r="F353" s="78" t="str">
        <f t="shared" ca="1" si="24"/>
        <v/>
      </c>
      <c r="G353" s="79" t="str">
        <f t="shared" ca="1" si="25"/>
        <v/>
      </c>
      <c r="H353" s="80" t="str">
        <f t="shared" ca="1" si="26"/>
        <v/>
      </c>
      <c r="I353" s="100"/>
      <c r="J353" s="111"/>
      <c r="K353" s="111" t="s">
        <v>63</v>
      </c>
      <c r="L353" s="111"/>
      <c r="M353" s="111"/>
      <c r="N353" s="111"/>
      <c r="O353" s="111"/>
      <c r="P353" s="111"/>
      <c r="Q353" s="112"/>
      <c r="R353" s="113"/>
      <c r="S353" s="113"/>
      <c r="T353" s="115"/>
      <c r="U353" s="114"/>
      <c r="V353" s="115"/>
      <c r="W353" s="116"/>
      <c r="X353" s="117"/>
      <c r="Y353" s="118"/>
      <c r="Z353" s="119"/>
      <c r="AA353" s="92"/>
      <c r="AB353" s="93"/>
      <c r="AC353" s="94"/>
      <c r="AD353" s="95"/>
      <c r="AE353" s="96"/>
      <c r="AF353" s="97"/>
      <c r="AG353" s="97">
        <f t="shared" si="27"/>
        <v>0</v>
      </c>
      <c r="AH353" s="97">
        <f t="shared" si="28"/>
        <v>0</v>
      </c>
      <c r="AI353" s="97">
        <f t="shared" si="29"/>
        <v>0</v>
      </c>
      <c r="AJ353" s="97">
        <f t="shared" si="30"/>
        <v>0</v>
      </c>
      <c r="AK353" s="97" t="str">
        <f t="shared" si="31"/>
        <v/>
      </c>
      <c r="AL353" s="98">
        <f t="shared" ca="1" si="32"/>
        <v>1</v>
      </c>
      <c r="AM353" s="98">
        <f t="shared" ca="1" si="33"/>
        <v>50</v>
      </c>
      <c r="AN353" s="98">
        <f t="shared" ca="1" si="34"/>
        <v>3</v>
      </c>
      <c r="AO353" s="98">
        <f t="shared" ca="1" si="35"/>
        <v>0</v>
      </c>
      <c r="AP353" s="98">
        <f t="shared" ca="1" si="36"/>
        <v>0</v>
      </c>
      <c r="AQ353" s="98">
        <f t="shared" ca="1" si="37"/>
        <v>0</v>
      </c>
      <c r="AR353" s="98">
        <f t="shared" ca="1" si="38"/>
        <v>0</v>
      </c>
      <c r="AS353" s="99"/>
      <c r="AT353" s="98">
        <f t="shared" si="39"/>
        <v>1</v>
      </c>
    </row>
    <row r="354" spans="1:46" ht="15.75" customHeight="1">
      <c r="A354" s="76"/>
      <c r="B354" s="77">
        <f t="shared" ca="1" si="20"/>
        <v>1</v>
      </c>
      <c r="C354" s="78">
        <f t="shared" ca="1" si="21"/>
        <v>50</v>
      </c>
      <c r="D354" s="78">
        <f t="shared" ca="1" si="22"/>
        <v>4</v>
      </c>
      <c r="E354" s="78" t="str">
        <f t="shared" ca="1" si="23"/>
        <v/>
      </c>
      <c r="F354" s="78" t="str">
        <f t="shared" ca="1" si="24"/>
        <v/>
      </c>
      <c r="G354" s="79" t="str">
        <f t="shared" ca="1" si="25"/>
        <v/>
      </c>
      <c r="H354" s="80" t="str">
        <f t="shared" ca="1" si="26"/>
        <v/>
      </c>
      <c r="I354" s="100"/>
      <c r="J354" s="111"/>
      <c r="K354" s="111" t="s">
        <v>64</v>
      </c>
      <c r="L354" s="111"/>
      <c r="M354" s="111"/>
      <c r="N354" s="111"/>
      <c r="O354" s="111"/>
      <c r="P354" s="111"/>
      <c r="Q354" s="112"/>
      <c r="R354" s="113"/>
      <c r="S354" s="113"/>
      <c r="T354" s="115"/>
      <c r="U354" s="114"/>
      <c r="V354" s="115"/>
      <c r="W354" s="116"/>
      <c r="X354" s="117"/>
      <c r="Y354" s="118"/>
      <c r="Z354" s="119"/>
      <c r="AA354" s="92"/>
      <c r="AB354" s="93"/>
      <c r="AC354" s="94"/>
      <c r="AD354" s="95"/>
      <c r="AE354" s="96"/>
      <c r="AF354" s="97"/>
      <c r="AG354" s="97">
        <f t="shared" si="27"/>
        <v>0</v>
      </c>
      <c r="AH354" s="97">
        <f t="shared" si="28"/>
        <v>0</v>
      </c>
      <c r="AI354" s="97">
        <f t="shared" si="29"/>
        <v>0</v>
      </c>
      <c r="AJ354" s="97">
        <f t="shared" si="30"/>
        <v>0</v>
      </c>
      <c r="AK354" s="97" t="str">
        <f t="shared" si="31"/>
        <v/>
      </c>
      <c r="AL354" s="98">
        <f t="shared" ca="1" si="32"/>
        <v>1</v>
      </c>
      <c r="AM354" s="98">
        <f t="shared" ca="1" si="33"/>
        <v>50</v>
      </c>
      <c r="AN354" s="98">
        <f t="shared" ca="1" si="34"/>
        <v>4</v>
      </c>
      <c r="AO354" s="98">
        <f t="shared" ca="1" si="35"/>
        <v>0</v>
      </c>
      <c r="AP354" s="98">
        <f t="shared" ca="1" si="36"/>
        <v>0</v>
      </c>
      <c r="AQ354" s="98">
        <f t="shared" ca="1" si="37"/>
        <v>0</v>
      </c>
      <c r="AR354" s="98">
        <f t="shared" ca="1" si="38"/>
        <v>0</v>
      </c>
      <c r="AS354" s="99"/>
      <c r="AT354" s="98">
        <f t="shared" si="39"/>
        <v>1</v>
      </c>
    </row>
    <row r="355" spans="1:46" ht="15.75" customHeight="1">
      <c r="A355" s="76"/>
      <c r="B355" s="77">
        <f t="shared" ca="1" si="20"/>
        <v>1</v>
      </c>
      <c r="C355" s="78">
        <f t="shared" ca="1" si="21"/>
        <v>50</v>
      </c>
      <c r="D355" s="78">
        <f t="shared" ca="1" si="22"/>
        <v>5</v>
      </c>
      <c r="E355" s="78" t="str">
        <f t="shared" ca="1" si="23"/>
        <v/>
      </c>
      <c r="F355" s="78" t="str">
        <f t="shared" ca="1" si="24"/>
        <v/>
      </c>
      <c r="G355" s="79" t="str">
        <f t="shared" ca="1" si="25"/>
        <v/>
      </c>
      <c r="H355" s="80" t="str">
        <f t="shared" ca="1" si="26"/>
        <v/>
      </c>
      <c r="I355" s="100"/>
      <c r="J355" s="111"/>
      <c r="K355" s="111" t="s">
        <v>65</v>
      </c>
      <c r="L355" s="111"/>
      <c r="M355" s="111"/>
      <c r="N355" s="111"/>
      <c r="O355" s="111"/>
      <c r="P355" s="111"/>
      <c r="Q355" s="112"/>
      <c r="R355" s="113"/>
      <c r="S355" s="113"/>
      <c r="T355" s="115"/>
      <c r="U355" s="114"/>
      <c r="V355" s="115"/>
      <c r="W355" s="116"/>
      <c r="X355" s="117"/>
      <c r="Y355" s="118"/>
      <c r="Z355" s="119"/>
      <c r="AA355" s="92"/>
      <c r="AB355" s="93"/>
      <c r="AC355" s="94"/>
      <c r="AD355" s="95"/>
      <c r="AE355" s="96"/>
      <c r="AF355" s="97"/>
      <c r="AG355" s="97">
        <f t="shared" si="27"/>
        <v>0</v>
      </c>
      <c r="AH355" s="97">
        <f t="shared" si="28"/>
        <v>0</v>
      </c>
      <c r="AI355" s="97">
        <f t="shared" si="29"/>
        <v>0</v>
      </c>
      <c r="AJ355" s="97">
        <f t="shared" si="30"/>
        <v>0</v>
      </c>
      <c r="AK355" s="97" t="str">
        <f t="shared" si="31"/>
        <v/>
      </c>
      <c r="AL355" s="98">
        <f t="shared" ca="1" si="32"/>
        <v>1</v>
      </c>
      <c r="AM355" s="98">
        <f t="shared" ca="1" si="33"/>
        <v>50</v>
      </c>
      <c r="AN355" s="98">
        <f t="shared" ca="1" si="34"/>
        <v>5</v>
      </c>
      <c r="AO355" s="98">
        <f t="shared" ca="1" si="35"/>
        <v>0</v>
      </c>
      <c r="AP355" s="98">
        <f t="shared" ca="1" si="36"/>
        <v>0</v>
      </c>
      <c r="AQ355" s="98">
        <f t="shared" ca="1" si="37"/>
        <v>0</v>
      </c>
      <c r="AR355" s="98">
        <f t="shared" ca="1" si="38"/>
        <v>0</v>
      </c>
      <c r="AS355" s="99"/>
      <c r="AT355" s="98">
        <f t="shared" si="39"/>
        <v>1</v>
      </c>
    </row>
    <row r="356" spans="1:46" ht="15.75" customHeight="1">
      <c r="A356" s="76"/>
      <c r="B356" s="77">
        <f t="shared" ca="1" si="20"/>
        <v>1</v>
      </c>
      <c r="C356" s="78">
        <f t="shared" ca="1" si="21"/>
        <v>50</v>
      </c>
      <c r="D356" s="78">
        <f t="shared" ca="1" si="22"/>
        <v>6</v>
      </c>
      <c r="E356" s="78" t="str">
        <f t="shared" ca="1" si="23"/>
        <v/>
      </c>
      <c r="F356" s="78" t="str">
        <f t="shared" ca="1" si="24"/>
        <v/>
      </c>
      <c r="G356" s="79" t="str">
        <f t="shared" ca="1" si="25"/>
        <v/>
      </c>
      <c r="H356" s="80" t="str">
        <f t="shared" ca="1" si="26"/>
        <v/>
      </c>
      <c r="I356" s="100"/>
      <c r="J356" s="111"/>
      <c r="K356" s="111" t="s">
        <v>66</v>
      </c>
      <c r="L356" s="111"/>
      <c r="M356" s="111"/>
      <c r="N356" s="111"/>
      <c r="O356" s="111"/>
      <c r="P356" s="111"/>
      <c r="Q356" s="112"/>
      <c r="R356" s="113"/>
      <c r="S356" s="113"/>
      <c r="T356" s="115"/>
      <c r="U356" s="114"/>
      <c r="V356" s="115"/>
      <c r="W356" s="116"/>
      <c r="X356" s="117"/>
      <c r="Y356" s="118"/>
      <c r="Z356" s="119"/>
      <c r="AA356" s="92"/>
      <c r="AB356" s="93"/>
      <c r="AC356" s="94"/>
      <c r="AD356" s="95"/>
      <c r="AE356" s="96"/>
      <c r="AF356" s="97"/>
      <c r="AG356" s="97">
        <f t="shared" si="27"/>
        <v>0</v>
      </c>
      <c r="AH356" s="97">
        <f t="shared" si="28"/>
        <v>0</v>
      </c>
      <c r="AI356" s="97">
        <f t="shared" si="29"/>
        <v>0</v>
      </c>
      <c r="AJ356" s="97">
        <f t="shared" si="30"/>
        <v>0</v>
      </c>
      <c r="AK356" s="97" t="str">
        <f t="shared" si="31"/>
        <v/>
      </c>
      <c r="AL356" s="98">
        <f t="shared" ca="1" si="32"/>
        <v>1</v>
      </c>
      <c r="AM356" s="98">
        <f t="shared" ca="1" si="33"/>
        <v>50</v>
      </c>
      <c r="AN356" s="98">
        <f t="shared" ca="1" si="34"/>
        <v>6</v>
      </c>
      <c r="AO356" s="98">
        <f t="shared" ca="1" si="35"/>
        <v>0</v>
      </c>
      <c r="AP356" s="98">
        <f t="shared" ca="1" si="36"/>
        <v>0</v>
      </c>
      <c r="AQ356" s="98">
        <f t="shared" ca="1" si="37"/>
        <v>0</v>
      </c>
      <c r="AR356" s="98">
        <f t="shared" ca="1" si="38"/>
        <v>0</v>
      </c>
      <c r="AS356" s="99"/>
      <c r="AT356" s="98">
        <f t="shared" si="39"/>
        <v>1</v>
      </c>
    </row>
    <row r="357" spans="1:46" ht="15.75" customHeight="1">
      <c r="A357" s="76"/>
      <c r="B357" s="77">
        <f t="shared" ca="1" si="20"/>
        <v>1</v>
      </c>
      <c r="C357" s="78">
        <f t="shared" ca="1" si="21"/>
        <v>51</v>
      </c>
      <c r="D357" s="78" t="str">
        <f t="shared" ca="1" si="22"/>
        <v/>
      </c>
      <c r="E357" s="78" t="str">
        <f t="shared" ca="1" si="23"/>
        <v/>
      </c>
      <c r="F357" s="78" t="str">
        <f t="shared" ca="1" si="24"/>
        <v/>
      </c>
      <c r="G357" s="79" t="str">
        <f t="shared" ca="1" si="25"/>
        <v/>
      </c>
      <c r="H357" s="80" t="str">
        <f t="shared" ca="1" si="26"/>
        <v/>
      </c>
      <c r="I357" s="100"/>
      <c r="J357" s="101" t="s">
        <v>120</v>
      </c>
      <c r="K357" s="102"/>
      <c r="L357" s="102"/>
      <c r="M357" s="102"/>
      <c r="N357" s="102"/>
      <c r="O357" s="102"/>
      <c r="P357" s="102"/>
      <c r="Q357" s="103" t="s">
        <v>81</v>
      </c>
      <c r="R357" s="104"/>
      <c r="S357" s="104"/>
      <c r="T357" s="105"/>
      <c r="U357" s="106"/>
      <c r="V357" s="105"/>
      <c r="W357" s="107"/>
      <c r="X357" s="108"/>
      <c r="Y357" s="109"/>
      <c r="Z357" s="110"/>
      <c r="AA357" s="92"/>
      <c r="AB357" s="93"/>
      <c r="AC357" s="94"/>
      <c r="AD357" s="95"/>
      <c r="AE357" s="96"/>
      <c r="AF357" s="97"/>
      <c r="AG357" s="97">
        <f t="shared" si="27"/>
        <v>0</v>
      </c>
      <c r="AH357" s="97">
        <f t="shared" si="28"/>
        <v>0</v>
      </c>
      <c r="AI357" s="97">
        <f t="shared" si="29"/>
        <v>0</v>
      </c>
      <c r="AJ357" s="97">
        <f t="shared" si="30"/>
        <v>0</v>
      </c>
      <c r="AK357" s="97" t="str">
        <f t="shared" si="31"/>
        <v/>
      </c>
      <c r="AL357" s="98">
        <f t="shared" ca="1" si="32"/>
        <v>1</v>
      </c>
      <c r="AM357" s="98">
        <f t="shared" ca="1" si="33"/>
        <v>51</v>
      </c>
      <c r="AN357" s="98">
        <f t="shared" ca="1" si="34"/>
        <v>0</v>
      </c>
      <c r="AO357" s="98">
        <f t="shared" ca="1" si="35"/>
        <v>0</v>
      </c>
      <c r="AP357" s="98">
        <f t="shared" ca="1" si="36"/>
        <v>0</v>
      </c>
      <c r="AQ357" s="98">
        <f t="shared" ca="1" si="37"/>
        <v>0</v>
      </c>
      <c r="AR357" s="98">
        <f t="shared" ca="1" si="38"/>
        <v>0</v>
      </c>
      <c r="AS357" s="99"/>
      <c r="AT357" s="98">
        <f t="shared" si="39"/>
        <v>1</v>
      </c>
    </row>
    <row r="358" spans="1:46" ht="15.75" customHeight="1">
      <c r="A358" s="76"/>
      <c r="B358" s="77">
        <f t="shared" ca="1" si="20"/>
        <v>1</v>
      </c>
      <c r="C358" s="78">
        <f t="shared" ca="1" si="21"/>
        <v>51</v>
      </c>
      <c r="D358" s="78">
        <f t="shared" ca="1" si="22"/>
        <v>1</v>
      </c>
      <c r="E358" s="78" t="str">
        <f t="shared" ca="1" si="23"/>
        <v/>
      </c>
      <c r="F358" s="78" t="str">
        <f t="shared" ca="1" si="24"/>
        <v/>
      </c>
      <c r="G358" s="79" t="str">
        <f t="shared" ca="1" si="25"/>
        <v/>
      </c>
      <c r="H358" s="80" t="str">
        <f t="shared" ca="1" si="26"/>
        <v/>
      </c>
      <c r="I358" s="100"/>
      <c r="J358" s="111"/>
      <c r="K358" s="111" t="s">
        <v>59</v>
      </c>
      <c r="L358" s="111"/>
      <c r="M358" s="111"/>
      <c r="N358" s="111"/>
      <c r="O358" s="111"/>
      <c r="P358" s="111"/>
      <c r="Q358" s="112"/>
      <c r="R358" s="113"/>
      <c r="S358" s="113"/>
      <c r="T358" s="115"/>
      <c r="U358" s="114"/>
      <c r="V358" s="115"/>
      <c r="W358" s="116"/>
      <c r="X358" s="117"/>
      <c r="Y358" s="118"/>
      <c r="Z358" s="119"/>
      <c r="AA358" s="92"/>
      <c r="AB358" s="93"/>
      <c r="AC358" s="94"/>
      <c r="AD358" s="95"/>
      <c r="AE358" s="96"/>
      <c r="AF358" s="97"/>
      <c r="AG358" s="97">
        <f t="shared" si="27"/>
        <v>0</v>
      </c>
      <c r="AH358" s="97">
        <f t="shared" si="28"/>
        <v>0</v>
      </c>
      <c r="AI358" s="97">
        <f t="shared" si="29"/>
        <v>0</v>
      </c>
      <c r="AJ358" s="97">
        <f t="shared" si="30"/>
        <v>0</v>
      </c>
      <c r="AK358" s="97" t="str">
        <f t="shared" si="31"/>
        <v/>
      </c>
      <c r="AL358" s="98">
        <f t="shared" ca="1" si="32"/>
        <v>1</v>
      </c>
      <c r="AM358" s="98">
        <f t="shared" ca="1" si="33"/>
        <v>51</v>
      </c>
      <c r="AN358" s="98">
        <f t="shared" ca="1" si="34"/>
        <v>1</v>
      </c>
      <c r="AO358" s="98">
        <f t="shared" ca="1" si="35"/>
        <v>0</v>
      </c>
      <c r="AP358" s="98">
        <f t="shared" ca="1" si="36"/>
        <v>0</v>
      </c>
      <c r="AQ358" s="98">
        <f t="shared" ca="1" si="37"/>
        <v>0</v>
      </c>
      <c r="AR358" s="98">
        <f t="shared" ca="1" si="38"/>
        <v>0</v>
      </c>
      <c r="AS358" s="99"/>
      <c r="AT358" s="98">
        <f t="shared" si="39"/>
        <v>1</v>
      </c>
    </row>
    <row r="359" spans="1:46" ht="15.75" customHeight="1">
      <c r="A359" s="76"/>
      <c r="B359" s="77">
        <f t="shared" ca="1" si="20"/>
        <v>1</v>
      </c>
      <c r="C359" s="78">
        <f t="shared" ca="1" si="21"/>
        <v>51</v>
      </c>
      <c r="D359" s="78">
        <f t="shared" ca="1" si="22"/>
        <v>2</v>
      </c>
      <c r="E359" s="78" t="str">
        <f t="shared" ca="1" si="23"/>
        <v/>
      </c>
      <c r="F359" s="78" t="str">
        <f t="shared" ca="1" si="24"/>
        <v/>
      </c>
      <c r="G359" s="79" t="str">
        <f t="shared" ca="1" si="25"/>
        <v/>
      </c>
      <c r="H359" s="80" t="str">
        <f t="shared" ca="1" si="26"/>
        <v/>
      </c>
      <c r="I359" s="100"/>
      <c r="J359" s="111"/>
      <c r="K359" s="111" t="s">
        <v>61</v>
      </c>
      <c r="L359" s="111"/>
      <c r="M359" s="111"/>
      <c r="N359" s="111"/>
      <c r="O359" s="111"/>
      <c r="P359" s="111"/>
      <c r="Q359" s="112"/>
      <c r="R359" s="113"/>
      <c r="S359" s="113"/>
      <c r="T359" s="115"/>
      <c r="U359" s="114"/>
      <c r="V359" s="115"/>
      <c r="W359" s="116"/>
      <c r="X359" s="117"/>
      <c r="Y359" s="118"/>
      <c r="Z359" s="119"/>
      <c r="AA359" s="92"/>
      <c r="AB359" s="93"/>
      <c r="AC359" s="94"/>
      <c r="AD359" s="95"/>
      <c r="AE359" s="96"/>
      <c r="AF359" s="97"/>
      <c r="AG359" s="97">
        <f t="shared" si="27"/>
        <v>0</v>
      </c>
      <c r="AH359" s="97">
        <f t="shared" si="28"/>
        <v>0</v>
      </c>
      <c r="AI359" s="97">
        <f t="shared" si="29"/>
        <v>0</v>
      </c>
      <c r="AJ359" s="97">
        <f t="shared" si="30"/>
        <v>0</v>
      </c>
      <c r="AK359" s="97" t="str">
        <f t="shared" si="31"/>
        <v/>
      </c>
      <c r="AL359" s="98">
        <f t="shared" ca="1" si="32"/>
        <v>1</v>
      </c>
      <c r="AM359" s="98">
        <f t="shared" ca="1" si="33"/>
        <v>51</v>
      </c>
      <c r="AN359" s="98">
        <f t="shared" ca="1" si="34"/>
        <v>2</v>
      </c>
      <c r="AO359" s="98">
        <f t="shared" ca="1" si="35"/>
        <v>0</v>
      </c>
      <c r="AP359" s="98">
        <f t="shared" ca="1" si="36"/>
        <v>0</v>
      </c>
      <c r="AQ359" s="98">
        <f t="shared" ca="1" si="37"/>
        <v>0</v>
      </c>
      <c r="AR359" s="98">
        <f t="shared" ca="1" si="38"/>
        <v>0</v>
      </c>
      <c r="AS359" s="99"/>
      <c r="AT359" s="98">
        <f t="shared" si="39"/>
        <v>1</v>
      </c>
    </row>
    <row r="360" spans="1:46" ht="15.75" customHeight="1">
      <c r="A360" s="76"/>
      <c r="B360" s="77">
        <f t="shared" ca="1" si="20"/>
        <v>1</v>
      </c>
      <c r="C360" s="78">
        <f t="shared" ca="1" si="21"/>
        <v>51</v>
      </c>
      <c r="D360" s="78">
        <f t="shared" ca="1" si="22"/>
        <v>3</v>
      </c>
      <c r="E360" s="78" t="str">
        <f t="shared" ca="1" si="23"/>
        <v/>
      </c>
      <c r="F360" s="78" t="str">
        <f t="shared" ca="1" si="24"/>
        <v/>
      </c>
      <c r="G360" s="79" t="str">
        <f t="shared" ca="1" si="25"/>
        <v/>
      </c>
      <c r="H360" s="80" t="str">
        <f t="shared" ca="1" si="26"/>
        <v/>
      </c>
      <c r="I360" s="100"/>
      <c r="J360" s="111"/>
      <c r="K360" s="111" t="s">
        <v>63</v>
      </c>
      <c r="L360" s="111"/>
      <c r="M360" s="111"/>
      <c r="N360" s="111"/>
      <c r="O360" s="111"/>
      <c r="P360" s="111"/>
      <c r="Q360" s="112"/>
      <c r="R360" s="113"/>
      <c r="S360" s="113"/>
      <c r="T360" s="115"/>
      <c r="U360" s="114"/>
      <c r="V360" s="115"/>
      <c r="W360" s="116"/>
      <c r="X360" s="117"/>
      <c r="Y360" s="118"/>
      <c r="Z360" s="119"/>
      <c r="AA360" s="92"/>
      <c r="AB360" s="93"/>
      <c r="AC360" s="94"/>
      <c r="AD360" s="95"/>
      <c r="AE360" s="96"/>
      <c r="AF360" s="97"/>
      <c r="AG360" s="97">
        <f t="shared" si="27"/>
        <v>0</v>
      </c>
      <c r="AH360" s="97">
        <f t="shared" si="28"/>
        <v>0</v>
      </c>
      <c r="AI360" s="97">
        <f t="shared" si="29"/>
        <v>0</v>
      </c>
      <c r="AJ360" s="97">
        <f t="shared" si="30"/>
        <v>0</v>
      </c>
      <c r="AK360" s="97" t="str">
        <f t="shared" si="31"/>
        <v/>
      </c>
      <c r="AL360" s="98">
        <f t="shared" ca="1" si="32"/>
        <v>1</v>
      </c>
      <c r="AM360" s="98">
        <f t="shared" ca="1" si="33"/>
        <v>51</v>
      </c>
      <c r="AN360" s="98">
        <f t="shared" ca="1" si="34"/>
        <v>3</v>
      </c>
      <c r="AO360" s="98">
        <f t="shared" ca="1" si="35"/>
        <v>0</v>
      </c>
      <c r="AP360" s="98">
        <f t="shared" ca="1" si="36"/>
        <v>0</v>
      </c>
      <c r="AQ360" s="98">
        <f t="shared" ca="1" si="37"/>
        <v>0</v>
      </c>
      <c r="AR360" s="98">
        <f t="shared" ca="1" si="38"/>
        <v>0</v>
      </c>
      <c r="AS360" s="99"/>
      <c r="AT360" s="98">
        <f t="shared" si="39"/>
        <v>1</v>
      </c>
    </row>
    <row r="361" spans="1:46" ht="15.75" customHeight="1">
      <c r="A361" s="76"/>
      <c r="B361" s="77">
        <f t="shared" ca="1" si="20"/>
        <v>1</v>
      </c>
      <c r="C361" s="78">
        <f t="shared" ca="1" si="21"/>
        <v>51</v>
      </c>
      <c r="D361" s="78">
        <f t="shared" ca="1" si="22"/>
        <v>4</v>
      </c>
      <c r="E361" s="78" t="str">
        <f t="shared" ca="1" si="23"/>
        <v/>
      </c>
      <c r="F361" s="78" t="str">
        <f t="shared" ca="1" si="24"/>
        <v/>
      </c>
      <c r="G361" s="79" t="str">
        <f t="shared" ca="1" si="25"/>
        <v/>
      </c>
      <c r="H361" s="80" t="str">
        <f t="shared" ca="1" si="26"/>
        <v/>
      </c>
      <c r="I361" s="100"/>
      <c r="J361" s="111"/>
      <c r="K361" s="111" t="s">
        <v>64</v>
      </c>
      <c r="L361" s="111"/>
      <c r="M361" s="111"/>
      <c r="N361" s="111"/>
      <c r="O361" s="111"/>
      <c r="P361" s="111"/>
      <c r="Q361" s="112"/>
      <c r="R361" s="113"/>
      <c r="S361" s="113"/>
      <c r="T361" s="115"/>
      <c r="U361" s="114"/>
      <c r="V361" s="115"/>
      <c r="W361" s="116"/>
      <c r="X361" s="117"/>
      <c r="Y361" s="118"/>
      <c r="Z361" s="119"/>
      <c r="AA361" s="92"/>
      <c r="AB361" s="93"/>
      <c r="AC361" s="94"/>
      <c r="AD361" s="95"/>
      <c r="AE361" s="96"/>
      <c r="AF361" s="97"/>
      <c r="AG361" s="97">
        <f t="shared" si="27"/>
        <v>0</v>
      </c>
      <c r="AH361" s="97">
        <f t="shared" si="28"/>
        <v>0</v>
      </c>
      <c r="AI361" s="97">
        <f t="shared" si="29"/>
        <v>0</v>
      </c>
      <c r="AJ361" s="97">
        <f t="shared" si="30"/>
        <v>0</v>
      </c>
      <c r="AK361" s="97" t="str">
        <f t="shared" si="31"/>
        <v/>
      </c>
      <c r="AL361" s="98">
        <f t="shared" ca="1" si="32"/>
        <v>1</v>
      </c>
      <c r="AM361" s="98">
        <f t="shared" ca="1" si="33"/>
        <v>51</v>
      </c>
      <c r="AN361" s="98">
        <f t="shared" ca="1" si="34"/>
        <v>4</v>
      </c>
      <c r="AO361" s="98">
        <f t="shared" ca="1" si="35"/>
        <v>0</v>
      </c>
      <c r="AP361" s="98">
        <f t="shared" ca="1" si="36"/>
        <v>0</v>
      </c>
      <c r="AQ361" s="98">
        <f t="shared" ca="1" si="37"/>
        <v>0</v>
      </c>
      <c r="AR361" s="98">
        <f t="shared" ca="1" si="38"/>
        <v>0</v>
      </c>
      <c r="AS361" s="99"/>
      <c r="AT361" s="98">
        <f t="shared" si="39"/>
        <v>1</v>
      </c>
    </row>
    <row r="362" spans="1:46" ht="15.75" customHeight="1">
      <c r="A362" s="76"/>
      <c r="B362" s="77">
        <f t="shared" ca="1" si="20"/>
        <v>1</v>
      </c>
      <c r="C362" s="78">
        <f t="shared" ca="1" si="21"/>
        <v>51</v>
      </c>
      <c r="D362" s="78">
        <f t="shared" ca="1" si="22"/>
        <v>5</v>
      </c>
      <c r="E362" s="78" t="str">
        <f t="shared" ca="1" si="23"/>
        <v/>
      </c>
      <c r="F362" s="78" t="str">
        <f t="shared" ca="1" si="24"/>
        <v/>
      </c>
      <c r="G362" s="79" t="str">
        <f t="shared" ca="1" si="25"/>
        <v/>
      </c>
      <c r="H362" s="80" t="str">
        <f t="shared" ca="1" si="26"/>
        <v/>
      </c>
      <c r="I362" s="100"/>
      <c r="J362" s="111"/>
      <c r="K362" s="111" t="s">
        <v>65</v>
      </c>
      <c r="L362" s="111"/>
      <c r="M362" s="111"/>
      <c r="N362" s="111"/>
      <c r="O362" s="111"/>
      <c r="P362" s="111"/>
      <c r="Q362" s="112"/>
      <c r="R362" s="113"/>
      <c r="S362" s="113"/>
      <c r="T362" s="115"/>
      <c r="U362" s="114"/>
      <c r="V362" s="115"/>
      <c r="W362" s="116"/>
      <c r="X362" s="117"/>
      <c r="Y362" s="118"/>
      <c r="Z362" s="119"/>
      <c r="AA362" s="92"/>
      <c r="AB362" s="93"/>
      <c r="AC362" s="94"/>
      <c r="AD362" s="95"/>
      <c r="AE362" s="96"/>
      <c r="AF362" s="97"/>
      <c r="AG362" s="97">
        <f t="shared" si="27"/>
        <v>0</v>
      </c>
      <c r="AH362" s="97">
        <f t="shared" si="28"/>
        <v>0</v>
      </c>
      <c r="AI362" s="97">
        <f t="shared" si="29"/>
        <v>0</v>
      </c>
      <c r="AJ362" s="97">
        <f t="shared" si="30"/>
        <v>0</v>
      </c>
      <c r="AK362" s="97" t="str">
        <f t="shared" si="31"/>
        <v/>
      </c>
      <c r="AL362" s="98">
        <f t="shared" ca="1" si="32"/>
        <v>1</v>
      </c>
      <c r="AM362" s="98">
        <f t="shared" ca="1" si="33"/>
        <v>51</v>
      </c>
      <c r="AN362" s="98">
        <f t="shared" ca="1" si="34"/>
        <v>5</v>
      </c>
      <c r="AO362" s="98">
        <f t="shared" ca="1" si="35"/>
        <v>0</v>
      </c>
      <c r="AP362" s="98">
        <f t="shared" ca="1" si="36"/>
        <v>0</v>
      </c>
      <c r="AQ362" s="98">
        <f t="shared" ca="1" si="37"/>
        <v>0</v>
      </c>
      <c r="AR362" s="98">
        <f t="shared" ca="1" si="38"/>
        <v>0</v>
      </c>
      <c r="AS362" s="99"/>
      <c r="AT362" s="98">
        <f t="shared" si="39"/>
        <v>1</v>
      </c>
    </row>
    <row r="363" spans="1:46" ht="15.75" customHeight="1">
      <c r="A363" s="76"/>
      <c r="B363" s="77">
        <f t="shared" ca="1" si="20"/>
        <v>1</v>
      </c>
      <c r="C363" s="78">
        <f t="shared" ca="1" si="21"/>
        <v>51</v>
      </c>
      <c r="D363" s="78">
        <f t="shared" ca="1" si="22"/>
        <v>6</v>
      </c>
      <c r="E363" s="78" t="str">
        <f t="shared" ca="1" si="23"/>
        <v/>
      </c>
      <c r="F363" s="78" t="str">
        <f t="shared" ca="1" si="24"/>
        <v/>
      </c>
      <c r="G363" s="79" t="str">
        <f t="shared" ca="1" si="25"/>
        <v/>
      </c>
      <c r="H363" s="80" t="str">
        <f t="shared" ca="1" si="26"/>
        <v/>
      </c>
      <c r="I363" s="100"/>
      <c r="J363" s="111"/>
      <c r="K363" s="111" t="s">
        <v>66</v>
      </c>
      <c r="L363" s="111"/>
      <c r="M363" s="111"/>
      <c r="N363" s="111"/>
      <c r="O363" s="111"/>
      <c r="P363" s="111"/>
      <c r="Q363" s="112"/>
      <c r="R363" s="113"/>
      <c r="S363" s="113"/>
      <c r="T363" s="115"/>
      <c r="U363" s="114"/>
      <c r="V363" s="115"/>
      <c r="W363" s="116"/>
      <c r="X363" s="117"/>
      <c r="Y363" s="118"/>
      <c r="Z363" s="119"/>
      <c r="AA363" s="92"/>
      <c r="AB363" s="93"/>
      <c r="AC363" s="94"/>
      <c r="AD363" s="95"/>
      <c r="AE363" s="96"/>
      <c r="AF363" s="97"/>
      <c r="AG363" s="97">
        <f t="shared" si="27"/>
        <v>0</v>
      </c>
      <c r="AH363" s="97">
        <f t="shared" si="28"/>
        <v>0</v>
      </c>
      <c r="AI363" s="97">
        <f t="shared" si="29"/>
        <v>0</v>
      </c>
      <c r="AJ363" s="97">
        <f t="shared" si="30"/>
        <v>0</v>
      </c>
      <c r="AK363" s="97" t="str">
        <f t="shared" si="31"/>
        <v/>
      </c>
      <c r="AL363" s="98">
        <f t="shared" ca="1" si="32"/>
        <v>1</v>
      </c>
      <c r="AM363" s="98">
        <f t="shared" ca="1" si="33"/>
        <v>51</v>
      </c>
      <c r="AN363" s="98">
        <f t="shared" ca="1" si="34"/>
        <v>6</v>
      </c>
      <c r="AO363" s="98">
        <f t="shared" ca="1" si="35"/>
        <v>0</v>
      </c>
      <c r="AP363" s="98">
        <f t="shared" ca="1" si="36"/>
        <v>0</v>
      </c>
      <c r="AQ363" s="98">
        <f t="shared" ca="1" si="37"/>
        <v>0</v>
      </c>
      <c r="AR363" s="98">
        <f t="shared" ca="1" si="38"/>
        <v>0</v>
      </c>
      <c r="AS363" s="99"/>
      <c r="AT363" s="98">
        <f t="shared" si="39"/>
        <v>1</v>
      </c>
    </row>
    <row r="364" spans="1:46" ht="15.75" customHeight="1">
      <c r="A364" s="76"/>
      <c r="B364" s="77">
        <f t="shared" ca="1" si="20"/>
        <v>1</v>
      </c>
      <c r="C364" s="78">
        <f t="shared" ca="1" si="21"/>
        <v>52</v>
      </c>
      <c r="D364" s="78" t="str">
        <f t="shared" ca="1" si="22"/>
        <v/>
      </c>
      <c r="E364" s="78" t="str">
        <f t="shared" ca="1" si="23"/>
        <v/>
      </c>
      <c r="F364" s="78" t="str">
        <f t="shared" ca="1" si="24"/>
        <v/>
      </c>
      <c r="G364" s="79" t="str">
        <f t="shared" ca="1" si="25"/>
        <v/>
      </c>
      <c r="H364" s="80" t="str">
        <f t="shared" ca="1" si="26"/>
        <v/>
      </c>
      <c r="I364" s="100"/>
      <c r="J364" s="101" t="s">
        <v>121</v>
      </c>
      <c r="K364" s="102"/>
      <c r="L364" s="102"/>
      <c r="M364" s="102"/>
      <c r="N364" s="102"/>
      <c r="O364" s="102"/>
      <c r="P364" s="102"/>
      <c r="Q364" s="103" t="s">
        <v>81</v>
      </c>
      <c r="R364" s="104"/>
      <c r="S364" s="104"/>
      <c r="T364" s="105"/>
      <c r="U364" s="106"/>
      <c r="V364" s="105"/>
      <c r="W364" s="107"/>
      <c r="X364" s="108"/>
      <c r="Y364" s="109"/>
      <c r="Z364" s="110"/>
      <c r="AA364" s="92"/>
      <c r="AB364" s="93"/>
      <c r="AC364" s="94"/>
      <c r="AD364" s="95"/>
      <c r="AE364" s="96"/>
      <c r="AF364" s="97"/>
      <c r="AG364" s="97">
        <f t="shared" si="27"/>
        <v>0</v>
      </c>
      <c r="AH364" s="97">
        <f t="shared" si="28"/>
        <v>0</v>
      </c>
      <c r="AI364" s="97">
        <f t="shared" si="29"/>
        <v>0</v>
      </c>
      <c r="AJ364" s="97">
        <f t="shared" si="30"/>
        <v>0</v>
      </c>
      <c r="AK364" s="97" t="str">
        <f t="shared" si="31"/>
        <v/>
      </c>
      <c r="AL364" s="98">
        <f t="shared" ca="1" si="32"/>
        <v>1</v>
      </c>
      <c r="AM364" s="98">
        <f t="shared" ca="1" si="33"/>
        <v>52</v>
      </c>
      <c r="AN364" s="98">
        <f t="shared" ca="1" si="34"/>
        <v>0</v>
      </c>
      <c r="AO364" s="98">
        <f t="shared" ca="1" si="35"/>
        <v>0</v>
      </c>
      <c r="AP364" s="98">
        <f t="shared" ca="1" si="36"/>
        <v>0</v>
      </c>
      <c r="AQ364" s="98">
        <f t="shared" ca="1" si="37"/>
        <v>0</v>
      </c>
      <c r="AR364" s="98">
        <f t="shared" ca="1" si="38"/>
        <v>0</v>
      </c>
      <c r="AS364" s="99"/>
      <c r="AT364" s="98">
        <f t="shared" si="39"/>
        <v>1</v>
      </c>
    </row>
    <row r="365" spans="1:46" ht="15.75" customHeight="1">
      <c r="A365" s="76"/>
      <c r="B365" s="77">
        <f t="shared" ca="1" si="20"/>
        <v>1</v>
      </c>
      <c r="C365" s="78">
        <f t="shared" ca="1" si="21"/>
        <v>52</v>
      </c>
      <c r="D365" s="78">
        <f t="shared" ca="1" si="22"/>
        <v>1</v>
      </c>
      <c r="E365" s="78" t="str">
        <f t="shared" ca="1" si="23"/>
        <v/>
      </c>
      <c r="F365" s="78" t="str">
        <f t="shared" ca="1" si="24"/>
        <v/>
      </c>
      <c r="G365" s="79" t="str">
        <f t="shared" ca="1" si="25"/>
        <v/>
      </c>
      <c r="H365" s="80" t="str">
        <f t="shared" ca="1" si="26"/>
        <v/>
      </c>
      <c r="I365" s="100"/>
      <c r="J365" s="111"/>
      <c r="K365" s="111" t="s">
        <v>59</v>
      </c>
      <c r="L365" s="111"/>
      <c r="M365" s="111"/>
      <c r="N365" s="111"/>
      <c r="O365" s="111"/>
      <c r="P365" s="111"/>
      <c r="Q365" s="112"/>
      <c r="R365" s="113"/>
      <c r="S365" s="113"/>
      <c r="T365" s="115"/>
      <c r="U365" s="114"/>
      <c r="V365" s="115"/>
      <c r="W365" s="116"/>
      <c r="X365" s="117"/>
      <c r="Y365" s="118"/>
      <c r="Z365" s="119"/>
      <c r="AA365" s="92"/>
      <c r="AB365" s="93"/>
      <c r="AC365" s="94"/>
      <c r="AD365" s="95"/>
      <c r="AE365" s="96"/>
      <c r="AF365" s="97"/>
      <c r="AG365" s="97">
        <f t="shared" si="27"/>
        <v>0</v>
      </c>
      <c r="AH365" s="97">
        <f t="shared" si="28"/>
        <v>0</v>
      </c>
      <c r="AI365" s="97">
        <f t="shared" si="29"/>
        <v>0</v>
      </c>
      <c r="AJ365" s="97">
        <f t="shared" si="30"/>
        <v>0</v>
      </c>
      <c r="AK365" s="97" t="str">
        <f t="shared" si="31"/>
        <v/>
      </c>
      <c r="AL365" s="98">
        <f t="shared" ca="1" si="32"/>
        <v>1</v>
      </c>
      <c r="AM365" s="98">
        <f t="shared" ca="1" si="33"/>
        <v>52</v>
      </c>
      <c r="AN365" s="98">
        <f t="shared" ca="1" si="34"/>
        <v>1</v>
      </c>
      <c r="AO365" s="98">
        <f t="shared" ca="1" si="35"/>
        <v>0</v>
      </c>
      <c r="AP365" s="98">
        <f t="shared" ca="1" si="36"/>
        <v>0</v>
      </c>
      <c r="AQ365" s="98">
        <f t="shared" ca="1" si="37"/>
        <v>0</v>
      </c>
      <c r="AR365" s="98">
        <f t="shared" ca="1" si="38"/>
        <v>0</v>
      </c>
      <c r="AS365" s="99"/>
      <c r="AT365" s="98">
        <f t="shared" si="39"/>
        <v>1</v>
      </c>
    </row>
    <row r="366" spans="1:46" ht="15.75" customHeight="1">
      <c r="A366" s="76"/>
      <c r="B366" s="77">
        <f t="shared" ca="1" si="20"/>
        <v>1</v>
      </c>
      <c r="C366" s="78">
        <f t="shared" ca="1" si="21"/>
        <v>52</v>
      </c>
      <c r="D366" s="78">
        <f t="shared" ca="1" si="22"/>
        <v>2</v>
      </c>
      <c r="E366" s="78" t="str">
        <f t="shared" ca="1" si="23"/>
        <v/>
      </c>
      <c r="F366" s="78" t="str">
        <f t="shared" ca="1" si="24"/>
        <v/>
      </c>
      <c r="G366" s="79" t="str">
        <f t="shared" ca="1" si="25"/>
        <v/>
      </c>
      <c r="H366" s="80" t="str">
        <f t="shared" ca="1" si="26"/>
        <v/>
      </c>
      <c r="I366" s="100"/>
      <c r="J366" s="111"/>
      <c r="K366" s="111" t="s">
        <v>61</v>
      </c>
      <c r="L366" s="111"/>
      <c r="M366" s="111"/>
      <c r="N366" s="111"/>
      <c r="O366" s="111"/>
      <c r="P366" s="111"/>
      <c r="Q366" s="112"/>
      <c r="R366" s="113"/>
      <c r="S366" s="113"/>
      <c r="T366" s="115"/>
      <c r="U366" s="114"/>
      <c r="V366" s="115"/>
      <c r="W366" s="116"/>
      <c r="X366" s="117"/>
      <c r="Y366" s="118"/>
      <c r="Z366" s="119"/>
      <c r="AA366" s="92"/>
      <c r="AB366" s="93"/>
      <c r="AC366" s="94"/>
      <c r="AD366" s="95"/>
      <c r="AE366" s="96"/>
      <c r="AF366" s="97"/>
      <c r="AG366" s="97">
        <f t="shared" si="27"/>
        <v>0</v>
      </c>
      <c r="AH366" s="97">
        <f t="shared" si="28"/>
        <v>0</v>
      </c>
      <c r="AI366" s="97">
        <f t="shared" si="29"/>
        <v>0</v>
      </c>
      <c r="AJ366" s="97">
        <f t="shared" si="30"/>
        <v>0</v>
      </c>
      <c r="AK366" s="97" t="str">
        <f t="shared" si="31"/>
        <v/>
      </c>
      <c r="AL366" s="98">
        <f t="shared" ca="1" si="32"/>
        <v>1</v>
      </c>
      <c r="AM366" s="98">
        <f t="shared" ca="1" si="33"/>
        <v>52</v>
      </c>
      <c r="AN366" s="98">
        <f t="shared" ca="1" si="34"/>
        <v>2</v>
      </c>
      <c r="AO366" s="98">
        <f t="shared" ca="1" si="35"/>
        <v>0</v>
      </c>
      <c r="AP366" s="98">
        <f t="shared" ca="1" si="36"/>
        <v>0</v>
      </c>
      <c r="AQ366" s="98">
        <f t="shared" ca="1" si="37"/>
        <v>0</v>
      </c>
      <c r="AR366" s="98">
        <f t="shared" ca="1" si="38"/>
        <v>0</v>
      </c>
      <c r="AS366" s="99"/>
      <c r="AT366" s="98">
        <f t="shared" si="39"/>
        <v>1</v>
      </c>
    </row>
    <row r="367" spans="1:46" ht="15.75" customHeight="1">
      <c r="A367" s="76"/>
      <c r="B367" s="77">
        <f t="shared" ca="1" si="20"/>
        <v>1</v>
      </c>
      <c r="C367" s="78">
        <f t="shared" ca="1" si="21"/>
        <v>52</v>
      </c>
      <c r="D367" s="78">
        <f t="shared" ca="1" si="22"/>
        <v>3</v>
      </c>
      <c r="E367" s="78" t="str">
        <f t="shared" ca="1" si="23"/>
        <v/>
      </c>
      <c r="F367" s="78" t="str">
        <f t="shared" ca="1" si="24"/>
        <v/>
      </c>
      <c r="G367" s="79" t="str">
        <f t="shared" ca="1" si="25"/>
        <v/>
      </c>
      <c r="H367" s="80" t="str">
        <f t="shared" ca="1" si="26"/>
        <v/>
      </c>
      <c r="I367" s="100"/>
      <c r="J367" s="111"/>
      <c r="K367" s="111" t="s">
        <v>63</v>
      </c>
      <c r="L367" s="111"/>
      <c r="M367" s="111"/>
      <c r="N367" s="111"/>
      <c r="O367" s="111"/>
      <c r="P367" s="111"/>
      <c r="Q367" s="112"/>
      <c r="R367" s="113"/>
      <c r="S367" s="113"/>
      <c r="T367" s="115"/>
      <c r="U367" s="114"/>
      <c r="V367" s="115"/>
      <c r="W367" s="116"/>
      <c r="X367" s="117"/>
      <c r="Y367" s="118"/>
      <c r="Z367" s="119"/>
      <c r="AA367" s="92"/>
      <c r="AB367" s="93"/>
      <c r="AC367" s="94"/>
      <c r="AD367" s="95"/>
      <c r="AE367" s="96"/>
      <c r="AF367" s="97"/>
      <c r="AG367" s="97">
        <f t="shared" si="27"/>
        <v>0</v>
      </c>
      <c r="AH367" s="97">
        <f t="shared" si="28"/>
        <v>0</v>
      </c>
      <c r="AI367" s="97">
        <f t="shared" si="29"/>
        <v>0</v>
      </c>
      <c r="AJ367" s="97">
        <f t="shared" si="30"/>
        <v>0</v>
      </c>
      <c r="AK367" s="97" t="str">
        <f t="shared" si="31"/>
        <v/>
      </c>
      <c r="AL367" s="98">
        <f t="shared" ca="1" si="32"/>
        <v>1</v>
      </c>
      <c r="AM367" s="98">
        <f t="shared" ca="1" si="33"/>
        <v>52</v>
      </c>
      <c r="AN367" s="98">
        <f t="shared" ca="1" si="34"/>
        <v>3</v>
      </c>
      <c r="AO367" s="98">
        <f t="shared" ca="1" si="35"/>
        <v>0</v>
      </c>
      <c r="AP367" s="98">
        <f t="shared" ca="1" si="36"/>
        <v>0</v>
      </c>
      <c r="AQ367" s="98">
        <f t="shared" ca="1" si="37"/>
        <v>0</v>
      </c>
      <c r="AR367" s="98">
        <f t="shared" ca="1" si="38"/>
        <v>0</v>
      </c>
      <c r="AS367" s="99"/>
      <c r="AT367" s="98">
        <f t="shared" si="39"/>
        <v>1</v>
      </c>
    </row>
    <row r="368" spans="1:46" ht="15.75" customHeight="1">
      <c r="A368" s="76"/>
      <c r="B368" s="77">
        <f t="shared" ca="1" si="20"/>
        <v>1</v>
      </c>
      <c r="C368" s="78">
        <f t="shared" ca="1" si="21"/>
        <v>52</v>
      </c>
      <c r="D368" s="78">
        <f t="shared" ca="1" si="22"/>
        <v>4</v>
      </c>
      <c r="E368" s="78" t="str">
        <f t="shared" ca="1" si="23"/>
        <v/>
      </c>
      <c r="F368" s="78" t="str">
        <f t="shared" ca="1" si="24"/>
        <v/>
      </c>
      <c r="G368" s="79" t="str">
        <f t="shared" ca="1" si="25"/>
        <v/>
      </c>
      <c r="H368" s="80" t="str">
        <f t="shared" ca="1" si="26"/>
        <v/>
      </c>
      <c r="I368" s="100"/>
      <c r="J368" s="111"/>
      <c r="K368" s="111" t="s">
        <v>64</v>
      </c>
      <c r="L368" s="111"/>
      <c r="M368" s="111"/>
      <c r="N368" s="111"/>
      <c r="O368" s="111"/>
      <c r="P368" s="111"/>
      <c r="Q368" s="112"/>
      <c r="R368" s="113"/>
      <c r="S368" s="113"/>
      <c r="T368" s="115"/>
      <c r="U368" s="114"/>
      <c r="V368" s="115"/>
      <c r="W368" s="116"/>
      <c r="X368" s="117"/>
      <c r="Y368" s="118"/>
      <c r="Z368" s="119"/>
      <c r="AA368" s="92"/>
      <c r="AB368" s="93"/>
      <c r="AC368" s="94"/>
      <c r="AD368" s="95"/>
      <c r="AE368" s="96"/>
      <c r="AF368" s="97"/>
      <c r="AG368" s="97">
        <f t="shared" si="27"/>
        <v>0</v>
      </c>
      <c r="AH368" s="97">
        <f t="shared" si="28"/>
        <v>0</v>
      </c>
      <c r="AI368" s="97">
        <f t="shared" si="29"/>
        <v>0</v>
      </c>
      <c r="AJ368" s="97">
        <f t="shared" si="30"/>
        <v>0</v>
      </c>
      <c r="AK368" s="97" t="str">
        <f t="shared" si="31"/>
        <v/>
      </c>
      <c r="AL368" s="98">
        <f t="shared" ca="1" si="32"/>
        <v>1</v>
      </c>
      <c r="AM368" s="98">
        <f t="shared" ca="1" si="33"/>
        <v>52</v>
      </c>
      <c r="AN368" s="98">
        <f t="shared" ca="1" si="34"/>
        <v>4</v>
      </c>
      <c r="AO368" s="98">
        <f t="shared" ca="1" si="35"/>
        <v>0</v>
      </c>
      <c r="AP368" s="98">
        <f t="shared" ca="1" si="36"/>
        <v>0</v>
      </c>
      <c r="AQ368" s="98">
        <f t="shared" ca="1" si="37"/>
        <v>0</v>
      </c>
      <c r="AR368" s="98">
        <f t="shared" ca="1" si="38"/>
        <v>0</v>
      </c>
      <c r="AS368" s="99"/>
      <c r="AT368" s="98">
        <f t="shared" si="39"/>
        <v>1</v>
      </c>
    </row>
    <row r="369" spans="1:46" ht="15.75" customHeight="1">
      <c r="A369" s="76"/>
      <c r="B369" s="77">
        <f t="shared" ca="1" si="20"/>
        <v>1</v>
      </c>
      <c r="C369" s="78">
        <f t="shared" ca="1" si="21"/>
        <v>52</v>
      </c>
      <c r="D369" s="78">
        <f t="shared" ca="1" si="22"/>
        <v>5</v>
      </c>
      <c r="E369" s="78" t="str">
        <f t="shared" ca="1" si="23"/>
        <v/>
      </c>
      <c r="F369" s="78" t="str">
        <f t="shared" ca="1" si="24"/>
        <v/>
      </c>
      <c r="G369" s="79" t="str">
        <f t="shared" ca="1" si="25"/>
        <v/>
      </c>
      <c r="H369" s="80" t="str">
        <f t="shared" ca="1" si="26"/>
        <v/>
      </c>
      <c r="I369" s="100"/>
      <c r="J369" s="111"/>
      <c r="K369" s="111" t="s">
        <v>65</v>
      </c>
      <c r="L369" s="111"/>
      <c r="M369" s="111"/>
      <c r="N369" s="111"/>
      <c r="O369" s="111"/>
      <c r="P369" s="111"/>
      <c r="Q369" s="112"/>
      <c r="R369" s="113"/>
      <c r="S369" s="113"/>
      <c r="T369" s="115"/>
      <c r="U369" s="114"/>
      <c r="V369" s="115"/>
      <c r="W369" s="116"/>
      <c r="X369" s="117"/>
      <c r="Y369" s="118"/>
      <c r="Z369" s="119"/>
      <c r="AA369" s="92"/>
      <c r="AB369" s="93"/>
      <c r="AC369" s="94"/>
      <c r="AD369" s="95"/>
      <c r="AE369" s="96"/>
      <c r="AF369" s="97"/>
      <c r="AG369" s="97">
        <f t="shared" si="27"/>
        <v>0</v>
      </c>
      <c r="AH369" s="97">
        <f t="shared" si="28"/>
        <v>0</v>
      </c>
      <c r="AI369" s="97">
        <f t="shared" si="29"/>
        <v>0</v>
      </c>
      <c r="AJ369" s="97">
        <f t="shared" si="30"/>
        <v>0</v>
      </c>
      <c r="AK369" s="97" t="str">
        <f t="shared" si="31"/>
        <v/>
      </c>
      <c r="AL369" s="98">
        <f t="shared" ca="1" si="32"/>
        <v>1</v>
      </c>
      <c r="AM369" s="98">
        <f t="shared" ca="1" si="33"/>
        <v>52</v>
      </c>
      <c r="AN369" s="98">
        <f t="shared" ca="1" si="34"/>
        <v>5</v>
      </c>
      <c r="AO369" s="98">
        <f t="shared" ca="1" si="35"/>
        <v>0</v>
      </c>
      <c r="AP369" s="98">
        <f t="shared" ca="1" si="36"/>
        <v>0</v>
      </c>
      <c r="AQ369" s="98">
        <f t="shared" ca="1" si="37"/>
        <v>0</v>
      </c>
      <c r="AR369" s="98">
        <f t="shared" ca="1" si="38"/>
        <v>0</v>
      </c>
      <c r="AS369" s="99"/>
      <c r="AT369" s="98">
        <f t="shared" si="39"/>
        <v>1</v>
      </c>
    </row>
    <row r="370" spans="1:46" ht="15.75" customHeight="1">
      <c r="A370" s="76"/>
      <c r="B370" s="77">
        <f t="shared" ca="1" si="20"/>
        <v>1</v>
      </c>
      <c r="C370" s="78">
        <f t="shared" ca="1" si="21"/>
        <v>52</v>
      </c>
      <c r="D370" s="78">
        <f t="shared" ca="1" si="22"/>
        <v>6</v>
      </c>
      <c r="E370" s="78" t="str">
        <f t="shared" ca="1" si="23"/>
        <v/>
      </c>
      <c r="F370" s="78" t="str">
        <f t="shared" ca="1" si="24"/>
        <v/>
      </c>
      <c r="G370" s="79" t="str">
        <f t="shared" ca="1" si="25"/>
        <v/>
      </c>
      <c r="H370" s="80" t="str">
        <f t="shared" ca="1" si="26"/>
        <v/>
      </c>
      <c r="I370" s="100"/>
      <c r="J370" s="111"/>
      <c r="K370" s="111" t="s">
        <v>66</v>
      </c>
      <c r="L370" s="111"/>
      <c r="M370" s="111"/>
      <c r="N370" s="111"/>
      <c r="O370" s="111"/>
      <c r="P370" s="111"/>
      <c r="Q370" s="112"/>
      <c r="R370" s="113"/>
      <c r="S370" s="113"/>
      <c r="T370" s="115"/>
      <c r="U370" s="114"/>
      <c r="V370" s="115"/>
      <c r="W370" s="116"/>
      <c r="X370" s="117"/>
      <c r="Y370" s="118"/>
      <c r="Z370" s="119"/>
      <c r="AA370" s="92"/>
      <c r="AB370" s="93"/>
      <c r="AC370" s="94"/>
      <c r="AD370" s="95"/>
      <c r="AE370" s="96"/>
      <c r="AF370" s="97"/>
      <c r="AG370" s="97">
        <f t="shared" si="27"/>
        <v>0</v>
      </c>
      <c r="AH370" s="97">
        <f t="shared" si="28"/>
        <v>0</v>
      </c>
      <c r="AI370" s="97">
        <f t="shared" si="29"/>
        <v>0</v>
      </c>
      <c r="AJ370" s="97">
        <f t="shared" si="30"/>
        <v>0</v>
      </c>
      <c r="AK370" s="97" t="str">
        <f t="shared" si="31"/>
        <v/>
      </c>
      <c r="AL370" s="98">
        <f t="shared" ca="1" si="32"/>
        <v>1</v>
      </c>
      <c r="AM370" s="98">
        <f t="shared" ca="1" si="33"/>
        <v>52</v>
      </c>
      <c r="AN370" s="98">
        <f t="shared" ca="1" si="34"/>
        <v>6</v>
      </c>
      <c r="AO370" s="98">
        <f t="shared" ca="1" si="35"/>
        <v>0</v>
      </c>
      <c r="AP370" s="98">
        <f t="shared" ca="1" si="36"/>
        <v>0</v>
      </c>
      <c r="AQ370" s="98">
        <f t="shared" ca="1" si="37"/>
        <v>0</v>
      </c>
      <c r="AR370" s="98">
        <f t="shared" ca="1" si="38"/>
        <v>0</v>
      </c>
      <c r="AS370" s="99"/>
      <c r="AT370" s="98">
        <f t="shared" si="39"/>
        <v>1</v>
      </c>
    </row>
    <row r="371" spans="1:46" ht="15.75" customHeight="1">
      <c r="A371" s="76"/>
      <c r="B371" s="77">
        <f t="shared" ca="1" si="20"/>
        <v>1</v>
      </c>
      <c r="C371" s="78">
        <f t="shared" ca="1" si="21"/>
        <v>53</v>
      </c>
      <c r="D371" s="78" t="str">
        <f t="shared" ca="1" si="22"/>
        <v/>
      </c>
      <c r="E371" s="78" t="str">
        <f t="shared" ca="1" si="23"/>
        <v/>
      </c>
      <c r="F371" s="78" t="str">
        <f t="shared" ca="1" si="24"/>
        <v/>
      </c>
      <c r="G371" s="79" t="str">
        <f t="shared" ca="1" si="25"/>
        <v/>
      </c>
      <c r="H371" s="80" t="str">
        <f t="shared" ca="1" si="26"/>
        <v/>
      </c>
      <c r="I371" s="100"/>
      <c r="J371" s="101" t="s">
        <v>122</v>
      </c>
      <c r="K371" s="102"/>
      <c r="L371" s="102"/>
      <c r="M371" s="102"/>
      <c r="N371" s="102"/>
      <c r="O371" s="102"/>
      <c r="P371" s="102"/>
      <c r="Q371" s="103" t="s">
        <v>81</v>
      </c>
      <c r="R371" s="104"/>
      <c r="S371" s="104"/>
      <c r="T371" s="105"/>
      <c r="U371" s="106"/>
      <c r="V371" s="105"/>
      <c r="W371" s="107"/>
      <c r="X371" s="108"/>
      <c r="Y371" s="109"/>
      <c r="Z371" s="110"/>
      <c r="AA371" s="92"/>
      <c r="AB371" s="93"/>
      <c r="AC371" s="94"/>
      <c r="AD371" s="95"/>
      <c r="AE371" s="96"/>
      <c r="AF371" s="97"/>
      <c r="AG371" s="97">
        <f t="shared" si="27"/>
        <v>0</v>
      </c>
      <c r="AH371" s="97">
        <f t="shared" si="28"/>
        <v>0</v>
      </c>
      <c r="AI371" s="97">
        <f t="shared" si="29"/>
        <v>0</v>
      </c>
      <c r="AJ371" s="97">
        <f t="shared" si="30"/>
        <v>0</v>
      </c>
      <c r="AK371" s="97" t="str">
        <f t="shared" si="31"/>
        <v/>
      </c>
      <c r="AL371" s="98">
        <f t="shared" ca="1" si="32"/>
        <v>1</v>
      </c>
      <c r="AM371" s="98">
        <f t="shared" ca="1" si="33"/>
        <v>53</v>
      </c>
      <c r="AN371" s="98">
        <f t="shared" ca="1" si="34"/>
        <v>0</v>
      </c>
      <c r="AO371" s="98">
        <f t="shared" ca="1" si="35"/>
        <v>0</v>
      </c>
      <c r="AP371" s="98">
        <f t="shared" ca="1" si="36"/>
        <v>0</v>
      </c>
      <c r="AQ371" s="98">
        <f t="shared" ca="1" si="37"/>
        <v>0</v>
      </c>
      <c r="AR371" s="98">
        <f t="shared" ca="1" si="38"/>
        <v>0</v>
      </c>
      <c r="AS371" s="99"/>
      <c r="AT371" s="98">
        <f t="shared" si="39"/>
        <v>1</v>
      </c>
    </row>
    <row r="372" spans="1:46" ht="15.75" customHeight="1">
      <c r="A372" s="76"/>
      <c r="B372" s="77">
        <f t="shared" ca="1" si="20"/>
        <v>1</v>
      </c>
      <c r="C372" s="78">
        <f t="shared" ca="1" si="21"/>
        <v>53</v>
      </c>
      <c r="D372" s="78">
        <f t="shared" ca="1" si="22"/>
        <v>1</v>
      </c>
      <c r="E372" s="78" t="str">
        <f t="shared" ca="1" si="23"/>
        <v/>
      </c>
      <c r="F372" s="78" t="str">
        <f t="shared" ca="1" si="24"/>
        <v/>
      </c>
      <c r="G372" s="79" t="str">
        <f t="shared" ca="1" si="25"/>
        <v/>
      </c>
      <c r="H372" s="80" t="str">
        <f t="shared" ca="1" si="26"/>
        <v/>
      </c>
      <c r="I372" s="100"/>
      <c r="J372" s="111"/>
      <c r="K372" s="111" t="s">
        <v>59</v>
      </c>
      <c r="L372" s="111"/>
      <c r="M372" s="111"/>
      <c r="N372" s="111"/>
      <c r="O372" s="111"/>
      <c r="P372" s="111"/>
      <c r="Q372" s="112"/>
      <c r="R372" s="113"/>
      <c r="S372" s="113"/>
      <c r="T372" s="115"/>
      <c r="U372" s="114"/>
      <c r="V372" s="115"/>
      <c r="W372" s="116"/>
      <c r="X372" s="117"/>
      <c r="Y372" s="118"/>
      <c r="Z372" s="119"/>
      <c r="AA372" s="92"/>
      <c r="AB372" s="93"/>
      <c r="AC372" s="94"/>
      <c r="AD372" s="95"/>
      <c r="AE372" s="96"/>
      <c r="AF372" s="97"/>
      <c r="AG372" s="97">
        <f t="shared" si="27"/>
        <v>0</v>
      </c>
      <c r="AH372" s="97">
        <f t="shared" si="28"/>
        <v>0</v>
      </c>
      <c r="AI372" s="97">
        <f t="shared" si="29"/>
        <v>0</v>
      </c>
      <c r="AJ372" s="97">
        <f t="shared" si="30"/>
        <v>0</v>
      </c>
      <c r="AK372" s="97" t="str">
        <f t="shared" si="31"/>
        <v/>
      </c>
      <c r="AL372" s="98">
        <f t="shared" ca="1" si="32"/>
        <v>1</v>
      </c>
      <c r="AM372" s="98">
        <f t="shared" ca="1" si="33"/>
        <v>53</v>
      </c>
      <c r="AN372" s="98">
        <f t="shared" ca="1" si="34"/>
        <v>1</v>
      </c>
      <c r="AO372" s="98">
        <f t="shared" ca="1" si="35"/>
        <v>0</v>
      </c>
      <c r="AP372" s="98">
        <f t="shared" ca="1" si="36"/>
        <v>0</v>
      </c>
      <c r="AQ372" s="98">
        <f t="shared" ca="1" si="37"/>
        <v>0</v>
      </c>
      <c r="AR372" s="98">
        <f t="shared" ca="1" si="38"/>
        <v>0</v>
      </c>
      <c r="AS372" s="99"/>
      <c r="AT372" s="98">
        <f t="shared" si="39"/>
        <v>1</v>
      </c>
    </row>
    <row r="373" spans="1:46" ht="15.75" customHeight="1">
      <c r="A373" s="76"/>
      <c r="B373" s="77">
        <f t="shared" ca="1" si="20"/>
        <v>1</v>
      </c>
      <c r="C373" s="78">
        <f t="shared" ca="1" si="21"/>
        <v>53</v>
      </c>
      <c r="D373" s="78">
        <f t="shared" ca="1" si="22"/>
        <v>2</v>
      </c>
      <c r="E373" s="78" t="str">
        <f t="shared" ca="1" si="23"/>
        <v/>
      </c>
      <c r="F373" s="78" t="str">
        <f t="shared" ca="1" si="24"/>
        <v/>
      </c>
      <c r="G373" s="79" t="str">
        <f t="shared" ca="1" si="25"/>
        <v/>
      </c>
      <c r="H373" s="80" t="str">
        <f t="shared" ca="1" si="26"/>
        <v/>
      </c>
      <c r="I373" s="100"/>
      <c r="J373" s="111"/>
      <c r="K373" s="111" t="s">
        <v>61</v>
      </c>
      <c r="L373" s="111"/>
      <c r="M373" s="111"/>
      <c r="N373" s="111"/>
      <c r="O373" s="111"/>
      <c r="P373" s="111"/>
      <c r="Q373" s="112"/>
      <c r="R373" s="113"/>
      <c r="S373" s="113"/>
      <c r="T373" s="115"/>
      <c r="U373" s="114"/>
      <c r="V373" s="115"/>
      <c r="W373" s="116"/>
      <c r="X373" s="117"/>
      <c r="Y373" s="118"/>
      <c r="Z373" s="119"/>
      <c r="AA373" s="92"/>
      <c r="AB373" s="93"/>
      <c r="AC373" s="94"/>
      <c r="AD373" s="95"/>
      <c r="AE373" s="96"/>
      <c r="AF373" s="97"/>
      <c r="AG373" s="97">
        <f t="shared" si="27"/>
        <v>0</v>
      </c>
      <c r="AH373" s="97">
        <f t="shared" si="28"/>
        <v>0</v>
      </c>
      <c r="AI373" s="97">
        <f t="shared" si="29"/>
        <v>0</v>
      </c>
      <c r="AJ373" s="97">
        <f t="shared" si="30"/>
        <v>0</v>
      </c>
      <c r="AK373" s="97" t="str">
        <f t="shared" si="31"/>
        <v/>
      </c>
      <c r="AL373" s="98">
        <f t="shared" ca="1" si="32"/>
        <v>1</v>
      </c>
      <c r="AM373" s="98">
        <f t="shared" ca="1" si="33"/>
        <v>53</v>
      </c>
      <c r="AN373" s="98">
        <f t="shared" ca="1" si="34"/>
        <v>2</v>
      </c>
      <c r="AO373" s="98">
        <f t="shared" ca="1" si="35"/>
        <v>0</v>
      </c>
      <c r="AP373" s="98">
        <f t="shared" ca="1" si="36"/>
        <v>0</v>
      </c>
      <c r="AQ373" s="98">
        <f t="shared" ca="1" si="37"/>
        <v>0</v>
      </c>
      <c r="AR373" s="98">
        <f t="shared" ca="1" si="38"/>
        <v>0</v>
      </c>
      <c r="AS373" s="99"/>
      <c r="AT373" s="98">
        <f t="shared" si="39"/>
        <v>1</v>
      </c>
    </row>
    <row r="374" spans="1:46" ht="15.75" customHeight="1">
      <c r="A374" s="76"/>
      <c r="B374" s="77">
        <f t="shared" ca="1" si="20"/>
        <v>1</v>
      </c>
      <c r="C374" s="78">
        <f t="shared" ca="1" si="21"/>
        <v>53</v>
      </c>
      <c r="D374" s="78">
        <f t="shared" ca="1" si="22"/>
        <v>3</v>
      </c>
      <c r="E374" s="78" t="str">
        <f t="shared" ca="1" si="23"/>
        <v/>
      </c>
      <c r="F374" s="78" t="str">
        <f t="shared" ca="1" si="24"/>
        <v/>
      </c>
      <c r="G374" s="79" t="str">
        <f t="shared" ca="1" si="25"/>
        <v/>
      </c>
      <c r="H374" s="80" t="str">
        <f t="shared" ca="1" si="26"/>
        <v/>
      </c>
      <c r="I374" s="100"/>
      <c r="J374" s="111"/>
      <c r="K374" s="111" t="s">
        <v>63</v>
      </c>
      <c r="L374" s="111"/>
      <c r="M374" s="111"/>
      <c r="N374" s="111"/>
      <c r="O374" s="111"/>
      <c r="P374" s="111"/>
      <c r="Q374" s="112"/>
      <c r="R374" s="113"/>
      <c r="S374" s="113"/>
      <c r="T374" s="115"/>
      <c r="U374" s="114"/>
      <c r="V374" s="115"/>
      <c r="W374" s="116"/>
      <c r="X374" s="117"/>
      <c r="Y374" s="118"/>
      <c r="Z374" s="119"/>
      <c r="AA374" s="92"/>
      <c r="AB374" s="93"/>
      <c r="AC374" s="94"/>
      <c r="AD374" s="95"/>
      <c r="AE374" s="96"/>
      <c r="AF374" s="97"/>
      <c r="AG374" s="97">
        <f t="shared" si="27"/>
        <v>0</v>
      </c>
      <c r="AH374" s="97">
        <f t="shared" si="28"/>
        <v>0</v>
      </c>
      <c r="AI374" s="97">
        <f t="shared" si="29"/>
        <v>0</v>
      </c>
      <c r="AJ374" s="97">
        <f t="shared" si="30"/>
        <v>0</v>
      </c>
      <c r="AK374" s="97" t="str">
        <f t="shared" si="31"/>
        <v/>
      </c>
      <c r="AL374" s="98">
        <f t="shared" ca="1" si="32"/>
        <v>1</v>
      </c>
      <c r="AM374" s="98">
        <f t="shared" ca="1" si="33"/>
        <v>53</v>
      </c>
      <c r="AN374" s="98">
        <f t="shared" ca="1" si="34"/>
        <v>3</v>
      </c>
      <c r="AO374" s="98">
        <f t="shared" ca="1" si="35"/>
        <v>0</v>
      </c>
      <c r="AP374" s="98">
        <f t="shared" ca="1" si="36"/>
        <v>0</v>
      </c>
      <c r="AQ374" s="98">
        <f t="shared" ca="1" si="37"/>
        <v>0</v>
      </c>
      <c r="AR374" s="98">
        <f t="shared" ca="1" si="38"/>
        <v>0</v>
      </c>
      <c r="AS374" s="99"/>
      <c r="AT374" s="98">
        <f t="shared" si="39"/>
        <v>1</v>
      </c>
    </row>
    <row r="375" spans="1:46" ht="15.75" customHeight="1">
      <c r="A375" s="76"/>
      <c r="B375" s="77">
        <f t="shared" ca="1" si="20"/>
        <v>1</v>
      </c>
      <c r="C375" s="78">
        <f t="shared" ca="1" si="21"/>
        <v>53</v>
      </c>
      <c r="D375" s="78">
        <f t="shared" ca="1" si="22"/>
        <v>4</v>
      </c>
      <c r="E375" s="78" t="str">
        <f t="shared" ca="1" si="23"/>
        <v/>
      </c>
      <c r="F375" s="78" t="str">
        <f t="shared" ca="1" si="24"/>
        <v/>
      </c>
      <c r="G375" s="79" t="str">
        <f t="shared" ca="1" si="25"/>
        <v/>
      </c>
      <c r="H375" s="80" t="str">
        <f t="shared" ca="1" si="26"/>
        <v/>
      </c>
      <c r="I375" s="100"/>
      <c r="J375" s="111"/>
      <c r="K375" s="111" t="s">
        <v>64</v>
      </c>
      <c r="L375" s="111"/>
      <c r="M375" s="111"/>
      <c r="N375" s="111"/>
      <c r="O375" s="111"/>
      <c r="P375" s="111"/>
      <c r="Q375" s="112"/>
      <c r="R375" s="113"/>
      <c r="S375" s="113"/>
      <c r="T375" s="115"/>
      <c r="U375" s="114"/>
      <c r="V375" s="115"/>
      <c r="W375" s="116"/>
      <c r="X375" s="117"/>
      <c r="Y375" s="118"/>
      <c r="Z375" s="119"/>
      <c r="AA375" s="92"/>
      <c r="AB375" s="93"/>
      <c r="AC375" s="94"/>
      <c r="AD375" s="95"/>
      <c r="AE375" s="96"/>
      <c r="AF375" s="97"/>
      <c r="AG375" s="97">
        <f t="shared" si="27"/>
        <v>0</v>
      </c>
      <c r="AH375" s="97">
        <f t="shared" si="28"/>
        <v>0</v>
      </c>
      <c r="AI375" s="97">
        <f t="shared" si="29"/>
        <v>0</v>
      </c>
      <c r="AJ375" s="97">
        <f t="shared" si="30"/>
        <v>0</v>
      </c>
      <c r="AK375" s="97" t="str">
        <f t="shared" si="31"/>
        <v/>
      </c>
      <c r="AL375" s="98">
        <f t="shared" ca="1" si="32"/>
        <v>1</v>
      </c>
      <c r="AM375" s="98">
        <f t="shared" ca="1" si="33"/>
        <v>53</v>
      </c>
      <c r="AN375" s="98">
        <f t="shared" ca="1" si="34"/>
        <v>4</v>
      </c>
      <c r="AO375" s="98">
        <f t="shared" ca="1" si="35"/>
        <v>0</v>
      </c>
      <c r="AP375" s="98">
        <f t="shared" ca="1" si="36"/>
        <v>0</v>
      </c>
      <c r="AQ375" s="98">
        <f t="shared" ca="1" si="37"/>
        <v>0</v>
      </c>
      <c r="AR375" s="98">
        <f t="shared" ca="1" si="38"/>
        <v>0</v>
      </c>
      <c r="AS375" s="99"/>
      <c r="AT375" s="98">
        <f t="shared" si="39"/>
        <v>1</v>
      </c>
    </row>
    <row r="376" spans="1:46" ht="15.75" customHeight="1">
      <c r="A376" s="76"/>
      <c r="B376" s="77">
        <f t="shared" ca="1" si="20"/>
        <v>1</v>
      </c>
      <c r="C376" s="78">
        <f t="shared" ca="1" si="21"/>
        <v>53</v>
      </c>
      <c r="D376" s="78">
        <f t="shared" ca="1" si="22"/>
        <v>5</v>
      </c>
      <c r="E376" s="78" t="str">
        <f t="shared" ca="1" si="23"/>
        <v/>
      </c>
      <c r="F376" s="78" t="str">
        <f t="shared" ca="1" si="24"/>
        <v/>
      </c>
      <c r="G376" s="79" t="str">
        <f t="shared" ca="1" si="25"/>
        <v/>
      </c>
      <c r="H376" s="80" t="str">
        <f t="shared" ca="1" si="26"/>
        <v/>
      </c>
      <c r="I376" s="100"/>
      <c r="J376" s="111"/>
      <c r="K376" s="111" t="s">
        <v>65</v>
      </c>
      <c r="L376" s="111"/>
      <c r="M376" s="111"/>
      <c r="N376" s="111"/>
      <c r="O376" s="111"/>
      <c r="P376" s="111"/>
      <c r="Q376" s="112"/>
      <c r="R376" s="113"/>
      <c r="S376" s="113"/>
      <c r="T376" s="115"/>
      <c r="U376" s="114"/>
      <c r="V376" s="115"/>
      <c r="W376" s="116"/>
      <c r="X376" s="117"/>
      <c r="Y376" s="118"/>
      <c r="Z376" s="119"/>
      <c r="AA376" s="92"/>
      <c r="AB376" s="93"/>
      <c r="AC376" s="94"/>
      <c r="AD376" s="95"/>
      <c r="AE376" s="96"/>
      <c r="AF376" s="97"/>
      <c r="AG376" s="97">
        <f t="shared" si="27"/>
        <v>0</v>
      </c>
      <c r="AH376" s="97">
        <f t="shared" si="28"/>
        <v>0</v>
      </c>
      <c r="AI376" s="97">
        <f t="shared" si="29"/>
        <v>0</v>
      </c>
      <c r="AJ376" s="97">
        <f t="shared" si="30"/>
        <v>0</v>
      </c>
      <c r="AK376" s="97" t="str">
        <f t="shared" si="31"/>
        <v/>
      </c>
      <c r="AL376" s="98">
        <f t="shared" ca="1" si="32"/>
        <v>1</v>
      </c>
      <c r="AM376" s="98">
        <f t="shared" ca="1" si="33"/>
        <v>53</v>
      </c>
      <c r="AN376" s="98">
        <f t="shared" ca="1" si="34"/>
        <v>5</v>
      </c>
      <c r="AO376" s="98">
        <f t="shared" ca="1" si="35"/>
        <v>0</v>
      </c>
      <c r="AP376" s="98">
        <f t="shared" ca="1" si="36"/>
        <v>0</v>
      </c>
      <c r="AQ376" s="98">
        <f t="shared" ca="1" si="37"/>
        <v>0</v>
      </c>
      <c r="AR376" s="98">
        <f t="shared" ca="1" si="38"/>
        <v>0</v>
      </c>
      <c r="AS376" s="99"/>
      <c r="AT376" s="98">
        <f t="shared" si="39"/>
        <v>1</v>
      </c>
    </row>
    <row r="377" spans="1:46" ht="15.75" customHeight="1">
      <c r="A377" s="76"/>
      <c r="B377" s="77">
        <f t="shared" ca="1" si="20"/>
        <v>1</v>
      </c>
      <c r="C377" s="78">
        <f t="shared" ca="1" si="21"/>
        <v>53</v>
      </c>
      <c r="D377" s="78">
        <f t="shared" ca="1" si="22"/>
        <v>6</v>
      </c>
      <c r="E377" s="78" t="str">
        <f t="shared" ca="1" si="23"/>
        <v/>
      </c>
      <c r="F377" s="78" t="str">
        <f t="shared" ca="1" si="24"/>
        <v/>
      </c>
      <c r="G377" s="79" t="str">
        <f t="shared" ca="1" si="25"/>
        <v/>
      </c>
      <c r="H377" s="80" t="str">
        <f t="shared" ca="1" si="26"/>
        <v/>
      </c>
      <c r="I377" s="100"/>
      <c r="J377" s="111"/>
      <c r="K377" s="111" t="s">
        <v>66</v>
      </c>
      <c r="L377" s="111"/>
      <c r="M377" s="111"/>
      <c r="N377" s="111"/>
      <c r="O377" s="111"/>
      <c r="P377" s="111"/>
      <c r="Q377" s="112"/>
      <c r="R377" s="113"/>
      <c r="S377" s="113"/>
      <c r="T377" s="115"/>
      <c r="U377" s="114"/>
      <c r="V377" s="115"/>
      <c r="W377" s="116"/>
      <c r="X377" s="117"/>
      <c r="Y377" s="118"/>
      <c r="Z377" s="119"/>
      <c r="AA377" s="92"/>
      <c r="AB377" s="93"/>
      <c r="AC377" s="94"/>
      <c r="AD377" s="95"/>
      <c r="AE377" s="96"/>
      <c r="AF377" s="97"/>
      <c r="AG377" s="97">
        <f t="shared" si="27"/>
        <v>0</v>
      </c>
      <c r="AH377" s="97">
        <f t="shared" si="28"/>
        <v>0</v>
      </c>
      <c r="AI377" s="97">
        <f t="shared" si="29"/>
        <v>0</v>
      </c>
      <c r="AJ377" s="97">
        <f t="shared" si="30"/>
        <v>0</v>
      </c>
      <c r="AK377" s="97" t="str">
        <f t="shared" si="31"/>
        <v/>
      </c>
      <c r="AL377" s="98">
        <f t="shared" ca="1" si="32"/>
        <v>1</v>
      </c>
      <c r="AM377" s="98">
        <f t="shared" ca="1" si="33"/>
        <v>53</v>
      </c>
      <c r="AN377" s="98">
        <f t="shared" ca="1" si="34"/>
        <v>6</v>
      </c>
      <c r="AO377" s="98">
        <f t="shared" ca="1" si="35"/>
        <v>0</v>
      </c>
      <c r="AP377" s="98">
        <f t="shared" ca="1" si="36"/>
        <v>0</v>
      </c>
      <c r="AQ377" s="98">
        <f t="shared" ca="1" si="37"/>
        <v>0</v>
      </c>
      <c r="AR377" s="98">
        <f t="shared" ca="1" si="38"/>
        <v>0</v>
      </c>
      <c r="AS377" s="99"/>
      <c r="AT377" s="98">
        <f t="shared" si="39"/>
        <v>1</v>
      </c>
    </row>
    <row r="378" spans="1:46" ht="15.75" customHeight="1">
      <c r="A378" s="76"/>
      <c r="B378" s="77">
        <f t="shared" ca="1" si="20"/>
        <v>1</v>
      </c>
      <c r="C378" s="78">
        <f t="shared" ca="1" si="21"/>
        <v>54</v>
      </c>
      <c r="D378" s="78" t="str">
        <f t="shared" ca="1" si="22"/>
        <v/>
      </c>
      <c r="E378" s="78" t="str">
        <f t="shared" ca="1" si="23"/>
        <v/>
      </c>
      <c r="F378" s="78" t="str">
        <f t="shared" ca="1" si="24"/>
        <v/>
      </c>
      <c r="G378" s="79" t="str">
        <f t="shared" ca="1" si="25"/>
        <v/>
      </c>
      <c r="H378" s="80" t="str">
        <f t="shared" ca="1" si="26"/>
        <v/>
      </c>
      <c r="I378" s="100"/>
      <c r="J378" s="101" t="s">
        <v>123</v>
      </c>
      <c r="K378" s="102"/>
      <c r="L378" s="102"/>
      <c r="M378" s="102"/>
      <c r="N378" s="102"/>
      <c r="O378" s="102"/>
      <c r="P378" s="102"/>
      <c r="Q378" s="103" t="s">
        <v>58</v>
      </c>
      <c r="R378" s="104"/>
      <c r="S378" s="104"/>
      <c r="T378" s="105"/>
      <c r="U378" s="106"/>
      <c r="V378" s="105"/>
      <c r="W378" s="107"/>
      <c r="X378" s="108"/>
      <c r="Y378" s="109"/>
      <c r="Z378" s="110"/>
      <c r="AA378" s="92"/>
      <c r="AB378" s="93"/>
      <c r="AC378" s="94"/>
      <c r="AD378" s="95"/>
      <c r="AE378" s="96"/>
      <c r="AF378" s="97"/>
      <c r="AG378" s="97">
        <f t="shared" si="27"/>
        <v>0</v>
      </c>
      <c r="AH378" s="97">
        <f t="shared" si="28"/>
        <v>0</v>
      </c>
      <c r="AI378" s="97">
        <f t="shared" si="29"/>
        <v>0</v>
      </c>
      <c r="AJ378" s="97">
        <f t="shared" si="30"/>
        <v>0</v>
      </c>
      <c r="AK378" s="97" t="str">
        <f t="shared" si="31"/>
        <v/>
      </c>
      <c r="AL378" s="98">
        <f t="shared" ca="1" si="32"/>
        <v>1</v>
      </c>
      <c r="AM378" s="98">
        <f t="shared" ca="1" si="33"/>
        <v>54</v>
      </c>
      <c r="AN378" s="98">
        <f t="shared" ca="1" si="34"/>
        <v>0</v>
      </c>
      <c r="AO378" s="98">
        <f t="shared" ca="1" si="35"/>
        <v>0</v>
      </c>
      <c r="AP378" s="98">
        <f t="shared" ca="1" si="36"/>
        <v>0</v>
      </c>
      <c r="AQ378" s="98">
        <f t="shared" ca="1" si="37"/>
        <v>0</v>
      </c>
      <c r="AR378" s="98">
        <f t="shared" ca="1" si="38"/>
        <v>0</v>
      </c>
      <c r="AS378" s="99"/>
      <c r="AT378" s="98">
        <f t="shared" si="39"/>
        <v>1</v>
      </c>
    </row>
    <row r="379" spans="1:46" ht="15.75" customHeight="1">
      <c r="A379" s="76"/>
      <c r="B379" s="77">
        <f t="shared" ca="1" si="20"/>
        <v>1</v>
      </c>
      <c r="C379" s="78">
        <f t="shared" ca="1" si="21"/>
        <v>54</v>
      </c>
      <c r="D379" s="78">
        <f t="shared" ca="1" si="22"/>
        <v>1</v>
      </c>
      <c r="E379" s="78" t="str">
        <f t="shared" ca="1" si="23"/>
        <v/>
      </c>
      <c r="F379" s="78" t="str">
        <f t="shared" ca="1" si="24"/>
        <v/>
      </c>
      <c r="G379" s="79" t="str">
        <f t="shared" ca="1" si="25"/>
        <v/>
      </c>
      <c r="H379" s="80" t="str">
        <f t="shared" ca="1" si="26"/>
        <v/>
      </c>
      <c r="I379" s="100"/>
      <c r="J379" s="111"/>
      <c r="K379" s="111" t="s">
        <v>59</v>
      </c>
      <c r="L379" s="111"/>
      <c r="M379" s="111"/>
      <c r="N379" s="111"/>
      <c r="O379" s="111"/>
      <c r="P379" s="111"/>
      <c r="Q379" s="112"/>
      <c r="R379" s="113"/>
      <c r="S379" s="113"/>
      <c r="T379" s="115"/>
      <c r="U379" s="114"/>
      <c r="V379" s="115"/>
      <c r="W379" s="116"/>
      <c r="X379" s="117"/>
      <c r="Y379" s="118"/>
      <c r="Z379" s="119"/>
      <c r="AA379" s="92"/>
      <c r="AB379" s="93"/>
      <c r="AC379" s="94"/>
      <c r="AD379" s="95"/>
      <c r="AE379" s="96"/>
      <c r="AF379" s="97"/>
      <c r="AG379" s="97">
        <f t="shared" si="27"/>
        <v>0</v>
      </c>
      <c r="AH379" s="97">
        <f t="shared" si="28"/>
        <v>0</v>
      </c>
      <c r="AI379" s="97">
        <f t="shared" si="29"/>
        <v>0</v>
      </c>
      <c r="AJ379" s="97">
        <f t="shared" si="30"/>
        <v>0</v>
      </c>
      <c r="AK379" s="97" t="str">
        <f t="shared" si="31"/>
        <v/>
      </c>
      <c r="AL379" s="98">
        <f t="shared" ca="1" si="32"/>
        <v>1</v>
      </c>
      <c r="AM379" s="98">
        <f t="shared" ca="1" si="33"/>
        <v>54</v>
      </c>
      <c r="AN379" s="98">
        <f t="shared" ca="1" si="34"/>
        <v>1</v>
      </c>
      <c r="AO379" s="98">
        <f t="shared" ca="1" si="35"/>
        <v>0</v>
      </c>
      <c r="AP379" s="98">
        <f t="shared" ca="1" si="36"/>
        <v>0</v>
      </c>
      <c r="AQ379" s="98">
        <f t="shared" ca="1" si="37"/>
        <v>0</v>
      </c>
      <c r="AR379" s="98">
        <f t="shared" ca="1" si="38"/>
        <v>0</v>
      </c>
      <c r="AS379" s="99"/>
      <c r="AT379" s="98">
        <f t="shared" si="39"/>
        <v>1</v>
      </c>
    </row>
    <row r="380" spans="1:46" ht="15.75" customHeight="1">
      <c r="A380" s="76"/>
      <c r="B380" s="77">
        <f t="shared" ca="1" si="20"/>
        <v>1</v>
      </c>
      <c r="C380" s="78">
        <f t="shared" ca="1" si="21"/>
        <v>54</v>
      </c>
      <c r="D380" s="78">
        <f t="shared" ca="1" si="22"/>
        <v>2</v>
      </c>
      <c r="E380" s="78" t="str">
        <f t="shared" ca="1" si="23"/>
        <v/>
      </c>
      <c r="F380" s="78" t="str">
        <f t="shared" ca="1" si="24"/>
        <v/>
      </c>
      <c r="G380" s="79" t="str">
        <f t="shared" ca="1" si="25"/>
        <v/>
      </c>
      <c r="H380" s="80" t="str">
        <f t="shared" ca="1" si="26"/>
        <v/>
      </c>
      <c r="I380" s="100"/>
      <c r="J380" s="111"/>
      <c r="K380" s="111" t="s">
        <v>61</v>
      </c>
      <c r="L380" s="111"/>
      <c r="M380" s="111"/>
      <c r="N380" s="111"/>
      <c r="O380" s="111"/>
      <c r="P380" s="111"/>
      <c r="Q380" s="112"/>
      <c r="R380" s="113"/>
      <c r="S380" s="113"/>
      <c r="T380" s="115"/>
      <c r="U380" s="114"/>
      <c r="V380" s="115"/>
      <c r="W380" s="116"/>
      <c r="X380" s="117"/>
      <c r="Y380" s="118"/>
      <c r="Z380" s="119"/>
      <c r="AA380" s="92"/>
      <c r="AB380" s="93"/>
      <c r="AC380" s="94"/>
      <c r="AD380" s="95"/>
      <c r="AE380" s="96"/>
      <c r="AF380" s="97"/>
      <c r="AG380" s="97">
        <f t="shared" si="27"/>
        <v>0</v>
      </c>
      <c r="AH380" s="97">
        <f t="shared" si="28"/>
        <v>0</v>
      </c>
      <c r="AI380" s="97">
        <f t="shared" si="29"/>
        <v>0</v>
      </c>
      <c r="AJ380" s="97">
        <f t="shared" si="30"/>
        <v>0</v>
      </c>
      <c r="AK380" s="97" t="str">
        <f t="shared" si="31"/>
        <v/>
      </c>
      <c r="AL380" s="98">
        <f t="shared" ca="1" si="32"/>
        <v>1</v>
      </c>
      <c r="AM380" s="98">
        <f t="shared" ca="1" si="33"/>
        <v>54</v>
      </c>
      <c r="AN380" s="98">
        <f t="shared" ca="1" si="34"/>
        <v>2</v>
      </c>
      <c r="AO380" s="98">
        <f t="shared" ca="1" si="35"/>
        <v>0</v>
      </c>
      <c r="AP380" s="98">
        <f t="shared" ca="1" si="36"/>
        <v>0</v>
      </c>
      <c r="AQ380" s="98">
        <f t="shared" ca="1" si="37"/>
        <v>0</v>
      </c>
      <c r="AR380" s="98">
        <f t="shared" ca="1" si="38"/>
        <v>0</v>
      </c>
      <c r="AS380" s="99"/>
      <c r="AT380" s="98">
        <f t="shared" si="39"/>
        <v>1</v>
      </c>
    </row>
    <row r="381" spans="1:46" ht="15.75" customHeight="1">
      <c r="A381" s="76"/>
      <c r="B381" s="77">
        <f t="shared" ca="1" si="20"/>
        <v>1</v>
      </c>
      <c r="C381" s="78">
        <f t="shared" ca="1" si="21"/>
        <v>54</v>
      </c>
      <c r="D381" s="78">
        <f t="shared" ca="1" si="22"/>
        <v>3</v>
      </c>
      <c r="E381" s="78" t="str">
        <f t="shared" ca="1" si="23"/>
        <v/>
      </c>
      <c r="F381" s="78" t="str">
        <f t="shared" ca="1" si="24"/>
        <v/>
      </c>
      <c r="G381" s="79" t="str">
        <f t="shared" ca="1" si="25"/>
        <v/>
      </c>
      <c r="H381" s="80" t="str">
        <f t="shared" ca="1" si="26"/>
        <v/>
      </c>
      <c r="I381" s="100"/>
      <c r="J381" s="111"/>
      <c r="K381" s="111" t="s">
        <v>63</v>
      </c>
      <c r="L381" s="111"/>
      <c r="M381" s="111"/>
      <c r="N381" s="111"/>
      <c r="O381" s="111"/>
      <c r="P381" s="111"/>
      <c r="Q381" s="112"/>
      <c r="R381" s="113"/>
      <c r="S381" s="113"/>
      <c r="T381" s="115"/>
      <c r="U381" s="114"/>
      <c r="V381" s="115"/>
      <c r="W381" s="116"/>
      <c r="X381" s="117"/>
      <c r="Y381" s="118"/>
      <c r="Z381" s="119"/>
      <c r="AA381" s="92"/>
      <c r="AB381" s="93"/>
      <c r="AC381" s="94"/>
      <c r="AD381" s="95"/>
      <c r="AE381" s="96"/>
      <c r="AF381" s="97"/>
      <c r="AG381" s="97">
        <f t="shared" si="27"/>
        <v>0</v>
      </c>
      <c r="AH381" s="97">
        <f t="shared" si="28"/>
        <v>0</v>
      </c>
      <c r="AI381" s="97">
        <f t="shared" si="29"/>
        <v>0</v>
      </c>
      <c r="AJ381" s="97">
        <f t="shared" si="30"/>
        <v>0</v>
      </c>
      <c r="AK381" s="97" t="str">
        <f t="shared" si="31"/>
        <v/>
      </c>
      <c r="AL381" s="98">
        <f t="shared" ca="1" si="32"/>
        <v>1</v>
      </c>
      <c r="AM381" s="98">
        <f t="shared" ca="1" si="33"/>
        <v>54</v>
      </c>
      <c r="AN381" s="98">
        <f t="shared" ca="1" si="34"/>
        <v>3</v>
      </c>
      <c r="AO381" s="98">
        <f t="shared" ca="1" si="35"/>
        <v>0</v>
      </c>
      <c r="AP381" s="98">
        <f t="shared" ca="1" si="36"/>
        <v>0</v>
      </c>
      <c r="AQ381" s="98">
        <f t="shared" ca="1" si="37"/>
        <v>0</v>
      </c>
      <c r="AR381" s="98">
        <f t="shared" ca="1" si="38"/>
        <v>0</v>
      </c>
      <c r="AS381" s="99"/>
      <c r="AT381" s="98">
        <f t="shared" si="39"/>
        <v>1</v>
      </c>
    </row>
    <row r="382" spans="1:46" ht="15.75" customHeight="1">
      <c r="A382" s="76"/>
      <c r="B382" s="77">
        <f t="shared" ca="1" si="20"/>
        <v>1</v>
      </c>
      <c r="C382" s="78">
        <f t="shared" ca="1" si="21"/>
        <v>54</v>
      </c>
      <c r="D382" s="78">
        <f t="shared" ca="1" si="22"/>
        <v>4</v>
      </c>
      <c r="E382" s="78" t="str">
        <f t="shared" ca="1" si="23"/>
        <v/>
      </c>
      <c r="F382" s="78" t="str">
        <f t="shared" ca="1" si="24"/>
        <v/>
      </c>
      <c r="G382" s="79" t="str">
        <f t="shared" ca="1" si="25"/>
        <v/>
      </c>
      <c r="H382" s="80" t="str">
        <f t="shared" ca="1" si="26"/>
        <v/>
      </c>
      <c r="I382" s="100"/>
      <c r="J382" s="111"/>
      <c r="K382" s="111" t="s">
        <v>64</v>
      </c>
      <c r="L382" s="111"/>
      <c r="M382" s="111"/>
      <c r="N382" s="111"/>
      <c r="O382" s="111"/>
      <c r="P382" s="111"/>
      <c r="Q382" s="112"/>
      <c r="R382" s="113"/>
      <c r="S382" s="113"/>
      <c r="T382" s="115"/>
      <c r="U382" s="114"/>
      <c r="V382" s="115"/>
      <c r="W382" s="116"/>
      <c r="X382" s="117"/>
      <c r="Y382" s="118"/>
      <c r="Z382" s="119"/>
      <c r="AA382" s="92"/>
      <c r="AB382" s="93"/>
      <c r="AC382" s="94"/>
      <c r="AD382" s="95"/>
      <c r="AE382" s="96"/>
      <c r="AF382" s="97"/>
      <c r="AG382" s="97">
        <f t="shared" si="27"/>
        <v>0</v>
      </c>
      <c r="AH382" s="97">
        <f t="shared" si="28"/>
        <v>0</v>
      </c>
      <c r="AI382" s="97">
        <f t="shared" si="29"/>
        <v>0</v>
      </c>
      <c r="AJ382" s="97">
        <f t="shared" si="30"/>
        <v>0</v>
      </c>
      <c r="AK382" s="97" t="str">
        <f t="shared" si="31"/>
        <v/>
      </c>
      <c r="AL382" s="98">
        <f t="shared" ca="1" si="32"/>
        <v>1</v>
      </c>
      <c r="AM382" s="98">
        <f t="shared" ca="1" si="33"/>
        <v>54</v>
      </c>
      <c r="AN382" s="98">
        <f t="shared" ca="1" si="34"/>
        <v>4</v>
      </c>
      <c r="AO382" s="98">
        <f t="shared" ca="1" si="35"/>
        <v>0</v>
      </c>
      <c r="AP382" s="98">
        <f t="shared" ca="1" si="36"/>
        <v>0</v>
      </c>
      <c r="AQ382" s="98">
        <f t="shared" ca="1" si="37"/>
        <v>0</v>
      </c>
      <c r="AR382" s="98">
        <f t="shared" ca="1" si="38"/>
        <v>0</v>
      </c>
      <c r="AS382" s="99"/>
      <c r="AT382" s="98">
        <f t="shared" si="39"/>
        <v>1</v>
      </c>
    </row>
    <row r="383" spans="1:46" ht="15.75" customHeight="1">
      <c r="A383" s="76"/>
      <c r="B383" s="77">
        <f t="shared" ca="1" si="20"/>
        <v>1</v>
      </c>
      <c r="C383" s="78">
        <f t="shared" ca="1" si="21"/>
        <v>54</v>
      </c>
      <c r="D383" s="78">
        <f t="shared" ca="1" si="22"/>
        <v>5</v>
      </c>
      <c r="E383" s="78" t="str">
        <f t="shared" ca="1" si="23"/>
        <v/>
      </c>
      <c r="F383" s="78" t="str">
        <f t="shared" ca="1" si="24"/>
        <v/>
      </c>
      <c r="G383" s="79" t="str">
        <f t="shared" ca="1" si="25"/>
        <v/>
      </c>
      <c r="H383" s="80" t="str">
        <f t="shared" ca="1" si="26"/>
        <v/>
      </c>
      <c r="I383" s="100"/>
      <c r="J383" s="111"/>
      <c r="K383" s="111" t="s">
        <v>65</v>
      </c>
      <c r="L383" s="111"/>
      <c r="M383" s="111"/>
      <c r="N383" s="111"/>
      <c r="O383" s="111"/>
      <c r="P383" s="111"/>
      <c r="Q383" s="112"/>
      <c r="R383" s="113"/>
      <c r="S383" s="113"/>
      <c r="T383" s="115"/>
      <c r="U383" s="114"/>
      <c r="V383" s="115"/>
      <c r="W383" s="116"/>
      <c r="X383" s="117"/>
      <c r="Y383" s="118"/>
      <c r="Z383" s="119"/>
      <c r="AA383" s="92"/>
      <c r="AB383" s="93"/>
      <c r="AC383" s="94"/>
      <c r="AD383" s="95"/>
      <c r="AE383" s="96"/>
      <c r="AF383" s="97"/>
      <c r="AG383" s="97">
        <f t="shared" si="27"/>
        <v>0</v>
      </c>
      <c r="AH383" s="97">
        <f t="shared" si="28"/>
        <v>0</v>
      </c>
      <c r="AI383" s="97">
        <f t="shared" si="29"/>
        <v>0</v>
      </c>
      <c r="AJ383" s="97">
        <f t="shared" si="30"/>
        <v>0</v>
      </c>
      <c r="AK383" s="97" t="str">
        <f t="shared" si="31"/>
        <v/>
      </c>
      <c r="AL383" s="98">
        <f t="shared" ca="1" si="32"/>
        <v>1</v>
      </c>
      <c r="AM383" s="98">
        <f t="shared" ca="1" si="33"/>
        <v>54</v>
      </c>
      <c r="AN383" s="98">
        <f t="shared" ca="1" si="34"/>
        <v>5</v>
      </c>
      <c r="AO383" s="98">
        <f t="shared" ca="1" si="35"/>
        <v>0</v>
      </c>
      <c r="AP383" s="98">
        <f t="shared" ca="1" si="36"/>
        <v>0</v>
      </c>
      <c r="AQ383" s="98">
        <f t="shared" ca="1" si="37"/>
        <v>0</v>
      </c>
      <c r="AR383" s="98">
        <f t="shared" ca="1" si="38"/>
        <v>0</v>
      </c>
      <c r="AS383" s="99"/>
      <c r="AT383" s="98">
        <f t="shared" si="39"/>
        <v>1</v>
      </c>
    </row>
    <row r="384" spans="1:46" ht="15.75" customHeight="1">
      <c r="A384" s="76"/>
      <c r="B384" s="77">
        <f t="shared" ca="1" si="20"/>
        <v>1</v>
      </c>
      <c r="C384" s="78">
        <f t="shared" ca="1" si="21"/>
        <v>54</v>
      </c>
      <c r="D384" s="78">
        <f t="shared" ca="1" si="22"/>
        <v>6</v>
      </c>
      <c r="E384" s="78" t="str">
        <f t="shared" ca="1" si="23"/>
        <v/>
      </c>
      <c r="F384" s="78" t="str">
        <f t="shared" ca="1" si="24"/>
        <v/>
      </c>
      <c r="G384" s="79" t="str">
        <f t="shared" ca="1" si="25"/>
        <v/>
      </c>
      <c r="H384" s="80" t="str">
        <f t="shared" ca="1" si="26"/>
        <v/>
      </c>
      <c r="I384" s="100"/>
      <c r="J384" s="111"/>
      <c r="K384" s="111" t="s">
        <v>66</v>
      </c>
      <c r="L384" s="111"/>
      <c r="M384" s="111"/>
      <c r="N384" s="111"/>
      <c r="O384" s="111"/>
      <c r="P384" s="111"/>
      <c r="Q384" s="112"/>
      <c r="R384" s="113"/>
      <c r="S384" s="113"/>
      <c r="T384" s="115"/>
      <c r="U384" s="114"/>
      <c r="V384" s="115"/>
      <c r="W384" s="116"/>
      <c r="X384" s="117"/>
      <c r="Y384" s="118"/>
      <c r="Z384" s="119"/>
      <c r="AA384" s="92"/>
      <c r="AB384" s="93"/>
      <c r="AC384" s="94"/>
      <c r="AD384" s="95"/>
      <c r="AE384" s="96"/>
      <c r="AF384" s="97"/>
      <c r="AG384" s="97">
        <f t="shared" si="27"/>
        <v>0</v>
      </c>
      <c r="AH384" s="97">
        <f t="shared" si="28"/>
        <v>0</v>
      </c>
      <c r="AI384" s="97">
        <f t="shared" si="29"/>
        <v>0</v>
      </c>
      <c r="AJ384" s="97">
        <f t="shared" si="30"/>
        <v>0</v>
      </c>
      <c r="AK384" s="97" t="str">
        <f t="shared" si="31"/>
        <v/>
      </c>
      <c r="AL384" s="98">
        <f t="shared" ca="1" si="32"/>
        <v>1</v>
      </c>
      <c r="AM384" s="98">
        <f t="shared" ca="1" si="33"/>
        <v>54</v>
      </c>
      <c r="AN384" s="98">
        <f t="shared" ca="1" si="34"/>
        <v>6</v>
      </c>
      <c r="AO384" s="98">
        <f t="shared" ca="1" si="35"/>
        <v>0</v>
      </c>
      <c r="AP384" s="98">
        <f t="shared" ca="1" si="36"/>
        <v>0</v>
      </c>
      <c r="AQ384" s="98">
        <f t="shared" ca="1" si="37"/>
        <v>0</v>
      </c>
      <c r="AR384" s="98">
        <f t="shared" ca="1" si="38"/>
        <v>0</v>
      </c>
      <c r="AS384" s="99"/>
      <c r="AT384" s="98">
        <f t="shared" si="39"/>
        <v>1</v>
      </c>
    </row>
    <row r="385" spans="1:46" ht="15.75" customHeight="1">
      <c r="A385" s="76"/>
      <c r="B385" s="77">
        <f t="shared" ca="1" si="20"/>
        <v>1</v>
      </c>
      <c r="C385" s="78">
        <f t="shared" ca="1" si="21"/>
        <v>55</v>
      </c>
      <c r="D385" s="78" t="str">
        <f t="shared" ca="1" si="22"/>
        <v/>
      </c>
      <c r="E385" s="78" t="str">
        <f t="shared" ca="1" si="23"/>
        <v/>
      </c>
      <c r="F385" s="78" t="str">
        <f t="shared" ca="1" si="24"/>
        <v/>
      </c>
      <c r="G385" s="79" t="str">
        <f t="shared" ca="1" si="25"/>
        <v/>
      </c>
      <c r="H385" s="80" t="str">
        <f t="shared" ca="1" si="26"/>
        <v/>
      </c>
      <c r="I385" s="100"/>
      <c r="J385" s="101" t="s">
        <v>124</v>
      </c>
      <c r="K385" s="102"/>
      <c r="L385" s="102"/>
      <c r="M385" s="102"/>
      <c r="N385" s="102"/>
      <c r="O385" s="102"/>
      <c r="P385" s="102"/>
      <c r="Q385" s="103" t="s">
        <v>58</v>
      </c>
      <c r="R385" s="104"/>
      <c r="S385" s="104"/>
      <c r="T385" s="105"/>
      <c r="U385" s="106"/>
      <c r="V385" s="105"/>
      <c r="W385" s="107"/>
      <c r="X385" s="108"/>
      <c r="Y385" s="109"/>
      <c r="Z385" s="110"/>
      <c r="AA385" s="92"/>
      <c r="AB385" s="93"/>
      <c r="AC385" s="94"/>
      <c r="AD385" s="95"/>
      <c r="AE385" s="96"/>
      <c r="AF385" s="97"/>
      <c r="AG385" s="97">
        <f t="shared" si="27"/>
        <v>0</v>
      </c>
      <c r="AH385" s="97">
        <f t="shared" si="28"/>
        <v>0</v>
      </c>
      <c r="AI385" s="97">
        <f t="shared" si="29"/>
        <v>0</v>
      </c>
      <c r="AJ385" s="97">
        <f t="shared" si="30"/>
        <v>0</v>
      </c>
      <c r="AK385" s="97" t="str">
        <f t="shared" si="31"/>
        <v/>
      </c>
      <c r="AL385" s="98">
        <f t="shared" ca="1" si="32"/>
        <v>1</v>
      </c>
      <c r="AM385" s="98">
        <f t="shared" ca="1" si="33"/>
        <v>55</v>
      </c>
      <c r="AN385" s="98">
        <f t="shared" ca="1" si="34"/>
        <v>0</v>
      </c>
      <c r="AO385" s="98">
        <f t="shared" ca="1" si="35"/>
        <v>0</v>
      </c>
      <c r="AP385" s="98">
        <f t="shared" ca="1" si="36"/>
        <v>0</v>
      </c>
      <c r="AQ385" s="98">
        <f t="shared" ca="1" si="37"/>
        <v>0</v>
      </c>
      <c r="AR385" s="98">
        <f t="shared" ca="1" si="38"/>
        <v>0</v>
      </c>
      <c r="AS385" s="99"/>
      <c r="AT385" s="98">
        <f t="shared" si="39"/>
        <v>1</v>
      </c>
    </row>
    <row r="386" spans="1:46" ht="15.75" customHeight="1">
      <c r="A386" s="76"/>
      <c r="B386" s="77">
        <f t="shared" ca="1" si="20"/>
        <v>1</v>
      </c>
      <c r="C386" s="78">
        <f t="shared" ca="1" si="21"/>
        <v>55</v>
      </c>
      <c r="D386" s="78">
        <f t="shared" ca="1" si="22"/>
        <v>1</v>
      </c>
      <c r="E386" s="78" t="str">
        <f t="shared" ca="1" si="23"/>
        <v/>
      </c>
      <c r="F386" s="78" t="str">
        <f t="shared" ca="1" si="24"/>
        <v/>
      </c>
      <c r="G386" s="79" t="str">
        <f t="shared" ca="1" si="25"/>
        <v/>
      </c>
      <c r="H386" s="80" t="str">
        <f t="shared" ca="1" si="26"/>
        <v/>
      </c>
      <c r="I386" s="100"/>
      <c r="J386" s="111"/>
      <c r="K386" s="111" t="s">
        <v>59</v>
      </c>
      <c r="L386" s="111"/>
      <c r="M386" s="111"/>
      <c r="N386" s="111"/>
      <c r="O386" s="111"/>
      <c r="P386" s="111"/>
      <c r="Q386" s="112"/>
      <c r="R386" s="113"/>
      <c r="S386" s="113"/>
      <c r="T386" s="115"/>
      <c r="U386" s="114"/>
      <c r="V386" s="115"/>
      <c r="W386" s="116"/>
      <c r="X386" s="117"/>
      <c r="Y386" s="118"/>
      <c r="Z386" s="119"/>
      <c r="AA386" s="92"/>
      <c r="AB386" s="93"/>
      <c r="AC386" s="94"/>
      <c r="AD386" s="95"/>
      <c r="AE386" s="96"/>
      <c r="AF386" s="97"/>
      <c r="AG386" s="97">
        <f t="shared" si="27"/>
        <v>0</v>
      </c>
      <c r="AH386" s="97">
        <f t="shared" si="28"/>
        <v>0</v>
      </c>
      <c r="AI386" s="97">
        <f t="shared" si="29"/>
        <v>0</v>
      </c>
      <c r="AJ386" s="97">
        <f t="shared" si="30"/>
        <v>0</v>
      </c>
      <c r="AK386" s="97" t="str">
        <f t="shared" si="31"/>
        <v/>
      </c>
      <c r="AL386" s="98">
        <f t="shared" ca="1" si="32"/>
        <v>1</v>
      </c>
      <c r="AM386" s="98">
        <f t="shared" ca="1" si="33"/>
        <v>55</v>
      </c>
      <c r="AN386" s="98">
        <f t="shared" ca="1" si="34"/>
        <v>1</v>
      </c>
      <c r="AO386" s="98">
        <f t="shared" ca="1" si="35"/>
        <v>0</v>
      </c>
      <c r="AP386" s="98">
        <f t="shared" ca="1" si="36"/>
        <v>0</v>
      </c>
      <c r="AQ386" s="98">
        <f t="shared" ca="1" si="37"/>
        <v>0</v>
      </c>
      <c r="AR386" s="98">
        <f t="shared" ca="1" si="38"/>
        <v>0</v>
      </c>
      <c r="AS386" s="99"/>
      <c r="AT386" s="98">
        <f t="shared" si="39"/>
        <v>1</v>
      </c>
    </row>
    <row r="387" spans="1:46" ht="15.75" customHeight="1">
      <c r="A387" s="76"/>
      <c r="B387" s="77">
        <f t="shared" ca="1" si="20"/>
        <v>1</v>
      </c>
      <c r="C387" s="78">
        <f t="shared" ca="1" si="21"/>
        <v>55</v>
      </c>
      <c r="D387" s="78">
        <f t="shared" ca="1" si="22"/>
        <v>2</v>
      </c>
      <c r="E387" s="78" t="str">
        <f t="shared" ca="1" si="23"/>
        <v/>
      </c>
      <c r="F387" s="78" t="str">
        <f t="shared" ca="1" si="24"/>
        <v/>
      </c>
      <c r="G387" s="79" t="str">
        <f t="shared" ca="1" si="25"/>
        <v/>
      </c>
      <c r="H387" s="80" t="str">
        <f t="shared" ca="1" si="26"/>
        <v/>
      </c>
      <c r="I387" s="100"/>
      <c r="J387" s="111"/>
      <c r="K387" s="111" t="s">
        <v>61</v>
      </c>
      <c r="L387" s="111"/>
      <c r="M387" s="111"/>
      <c r="N387" s="111"/>
      <c r="O387" s="111"/>
      <c r="P387" s="111"/>
      <c r="Q387" s="112"/>
      <c r="R387" s="113"/>
      <c r="S387" s="113"/>
      <c r="T387" s="115"/>
      <c r="U387" s="114"/>
      <c r="V387" s="115"/>
      <c r="W387" s="116"/>
      <c r="X387" s="117"/>
      <c r="Y387" s="118"/>
      <c r="Z387" s="119"/>
      <c r="AA387" s="92"/>
      <c r="AB387" s="93"/>
      <c r="AC387" s="94"/>
      <c r="AD387" s="95"/>
      <c r="AE387" s="96"/>
      <c r="AF387" s="97"/>
      <c r="AG387" s="97">
        <f t="shared" si="27"/>
        <v>0</v>
      </c>
      <c r="AH387" s="97">
        <f t="shared" si="28"/>
        <v>0</v>
      </c>
      <c r="AI387" s="97">
        <f t="shared" si="29"/>
        <v>0</v>
      </c>
      <c r="AJ387" s="97">
        <f t="shared" si="30"/>
        <v>0</v>
      </c>
      <c r="AK387" s="97" t="str">
        <f t="shared" si="31"/>
        <v/>
      </c>
      <c r="AL387" s="98">
        <f t="shared" ca="1" si="32"/>
        <v>1</v>
      </c>
      <c r="AM387" s="98">
        <f t="shared" ca="1" si="33"/>
        <v>55</v>
      </c>
      <c r="AN387" s="98">
        <f t="shared" ca="1" si="34"/>
        <v>2</v>
      </c>
      <c r="AO387" s="98">
        <f t="shared" ca="1" si="35"/>
        <v>0</v>
      </c>
      <c r="AP387" s="98">
        <f t="shared" ca="1" si="36"/>
        <v>0</v>
      </c>
      <c r="AQ387" s="98">
        <f t="shared" ca="1" si="37"/>
        <v>0</v>
      </c>
      <c r="AR387" s="98">
        <f t="shared" ca="1" si="38"/>
        <v>0</v>
      </c>
      <c r="AS387" s="99"/>
      <c r="AT387" s="98">
        <f t="shared" si="39"/>
        <v>1</v>
      </c>
    </row>
    <row r="388" spans="1:46" ht="15.75" customHeight="1">
      <c r="A388" s="76"/>
      <c r="B388" s="77">
        <f t="shared" ca="1" si="20"/>
        <v>1</v>
      </c>
      <c r="C388" s="78">
        <f t="shared" ca="1" si="21"/>
        <v>55</v>
      </c>
      <c r="D388" s="78">
        <f t="shared" ca="1" si="22"/>
        <v>3</v>
      </c>
      <c r="E388" s="78" t="str">
        <f t="shared" ca="1" si="23"/>
        <v/>
      </c>
      <c r="F388" s="78" t="str">
        <f t="shared" ca="1" si="24"/>
        <v/>
      </c>
      <c r="G388" s="79" t="str">
        <f t="shared" ca="1" si="25"/>
        <v/>
      </c>
      <c r="H388" s="80" t="str">
        <f t="shared" ca="1" si="26"/>
        <v/>
      </c>
      <c r="I388" s="100"/>
      <c r="J388" s="111"/>
      <c r="K388" s="111" t="s">
        <v>63</v>
      </c>
      <c r="L388" s="111"/>
      <c r="M388" s="111"/>
      <c r="N388" s="111"/>
      <c r="O388" s="111"/>
      <c r="P388" s="111"/>
      <c r="Q388" s="112"/>
      <c r="R388" s="113"/>
      <c r="S388" s="113"/>
      <c r="T388" s="115"/>
      <c r="U388" s="114"/>
      <c r="V388" s="115"/>
      <c r="W388" s="116"/>
      <c r="X388" s="117"/>
      <c r="Y388" s="118"/>
      <c r="Z388" s="119"/>
      <c r="AA388" s="92"/>
      <c r="AB388" s="93"/>
      <c r="AC388" s="94"/>
      <c r="AD388" s="95"/>
      <c r="AE388" s="96"/>
      <c r="AF388" s="97"/>
      <c r="AG388" s="97">
        <f t="shared" si="27"/>
        <v>0</v>
      </c>
      <c r="AH388" s="97">
        <f t="shared" si="28"/>
        <v>0</v>
      </c>
      <c r="AI388" s="97">
        <f t="shared" si="29"/>
        <v>0</v>
      </c>
      <c r="AJ388" s="97">
        <f t="shared" si="30"/>
        <v>0</v>
      </c>
      <c r="AK388" s="97" t="str">
        <f t="shared" si="31"/>
        <v/>
      </c>
      <c r="AL388" s="98">
        <f t="shared" ca="1" si="32"/>
        <v>1</v>
      </c>
      <c r="AM388" s="98">
        <f t="shared" ca="1" si="33"/>
        <v>55</v>
      </c>
      <c r="AN388" s="98">
        <f t="shared" ca="1" si="34"/>
        <v>3</v>
      </c>
      <c r="AO388" s="98">
        <f t="shared" ca="1" si="35"/>
        <v>0</v>
      </c>
      <c r="AP388" s="98">
        <f t="shared" ca="1" si="36"/>
        <v>0</v>
      </c>
      <c r="AQ388" s="98">
        <f t="shared" ca="1" si="37"/>
        <v>0</v>
      </c>
      <c r="AR388" s="98">
        <f t="shared" ca="1" si="38"/>
        <v>0</v>
      </c>
      <c r="AS388" s="99"/>
      <c r="AT388" s="98">
        <f t="shared" si="39"/>
        <v>1</v>
      </c>
    </row>
    <row r="389" spans="1:46" ht="15.75" customHeight="1">
      <c r="A389" s="76"/>
      <c r="B389" s="77">
        <f t="shared" ca="1" si="20"/>
        <v>1</v>
      </c>
      <c r="C389" s="78">
        <f t="shared" ca="1" si="21"/>
        <v>55</v>
      </c>
      <c r="D389" s="78">
        <f t="shared" ca="1" si="22"/>
        <v>4</v>
      </c>
      <c r="E389" s="78" t="str">
        <f t="shared" ca="1" si="23"/>
        <v/>
      </c>
      <c r="F389" s="78" t="str">
        <f t="shared" ca="1" si="24"/>
        <v/>
      </c>
      <c r="G389" s="79" t="str">
        <f t="shared" ca="1" si="25"/>
        <v/>
      </c>
      <c r="H389" s="80" t="str">
        <f t="shared" ca="1" si="26"/>
        <v/>
      </c>
      <c r="I389" s="100"/>
      <c r="J389" s="111"/>
      <c r="K389" s="111" t="s">
        <v>64</v>
      </c>
      <c r="L389" s="111"/>
      <c r="M389" s="111"/>
      <c r="N389" s="111"/>
      <c r="O389" s="111"/>
      <c r="P389" s="111"/>
      <c r="Q389" s="112"/>
      <c r="R389" s="113"/>
      <c r="S389" s="113"/>
      <c r="T389" s="115"/>
      <c r="U389" s="114"/>
      <c r="V389" s="115"/>
      <c r="W389" s="116"/>
      <c r="X389" s="117"/>
      <c r="Y389" s="118"/>
      <c r="Z389" s="119"/>
      <c r="AA389" s="92"/>
      <c r="AB389" s="93"/>
      <c r="AC389" s="94"/>
      <c r="AD389" s="95"/>
      <c r="AE389" s="96"/>
      <c r="AF389" s="97"/>
      <c r="AG389" s="97">
        <f t="shared" si="27"/>
        <v>0</v>
      </c>
      <c r="AH389" s="97">
        <f t="shared" si="28"/>
        <v>0</v>
      </c>
      <c r="AI389" s="97">
        <f t="shared" si="29"/>
        <v>0</v>
      </c>
      <c r="AJ389" s="97">
        <f t="shared" si="30"/>
        <v>0</v>
      </c>
      <c r="AK389" s="97" t="str">
        <f t="shared" si="31"/>
        <v/>
      </c>
      <c r="AL389" s="98">
        <f t="shared" ca="1" si="32"/>
        <v>1</v>
      </c>
      <c r="AM389" s="98">
        <f t="shared" ca="1" si="33"/>
        <v>55</v>
      </c>
      <c r="AN389" s="98">
        <f t="shared" ca="1" si="34"/>
        <v>4</v>
      </c>
      <c r="AO389" s="98">
        <f t="shared" ca="1" si="35"/>
        <v>0</v>
      </c>
      <c r="AP389" s="98">
        <f t="shared" ca="1" si="36"/>
        <v>0</v>
      </c>
      <c r="AQ389" s="98">
        <f t="shared" ca="1" si="37"/>
        <v>0</v>
      </c>
      <c r="AR389" s="98">
        <f t="shared" ca="1" si="38"/>
        <v>0</v>
      </c>
      <c r="AS389" s="99"/>
      <c r="AT389" s="98">
        <f t="shared" si="39"/>
        <v>1</v>
      </c>
    </row>
    <row r="390" spans="1:46" ht="15.75" customHeight="1">
      <c r="A390" s="76"/>
      <c r="B390" s="77">
        <f t="shared" ca="1" si="20"/>
        <v>1</v>
      </c>
      <c r="C390" s="78">
        <f t="shared" ca="1" si="21"/>
        <v>55</v>
      </c>
      <c r="D390" s="78">
        <f t="shared" ca="1" si="22"/>
        <v>5</v>
      </c>
      <c r="E390" s="78" t="str">
        <f t="shared" ca="1" si="23"/>
        <v/>
      </c>
      <c r="F390" s="78" t="str">
        <f t="shared" ca="1" si="24"/>
        <v/>
      </c>
      <c r="G390" s="79" t="str">
        <f t="shared" ca="1" si="25"/>
        <v/>
      </c>
      <c r="H390" s="80" t="str">
        <f t="shared" ca="1" si="26"/>
        <v/>
      </c>
      <c r="I390" s="100"/>
      <c r="J390" s="111"/>
      <c r="K390" s="111" t="s">
        <v>65</v>
      </c>
      <c r="L390" s="111"/>
      <c r="M390" s="111"/>
      <c r="N390" s="111"/>
      <c r="O390" s="111"/>
      <c r="P390" s="111"/>
      <c r="Q390" s="112"/>
      <c r="R390" s="113"/>
      <c r="S390" s="113"/>
      <c r="T390" s="115"/>
      <c r="U390" s="114"/>
      <c r="V390" s="115"/>
      <c r="W390" s="116"/>
      <c r="X390" s="117"/>
      <c r="Y390" s="118"/>
      <c r="Z390" s="119"/>
      <c r="AA390" s="92"/>
      <c r="AB390" s="93"/>
      <c r="AC390" s="94"/>
      <c r="AD390" s="95"/>
      <c r="AE390" s="96"/>
      <c r="AF390" s="97"/>
      <c r="AG390" s="97">
        <f t="shared" si="27"/>
        <v>0</v>
      </c>
      <c r="AH390" s="97">
        <f t="shared" si="28"/>
        <v>0</v>
      </c>
      <c r="AI390" s="97">
        <f t="shared" si="29"/>
        <v>0</v>
      </c>
      <c r="AJ390" s="97">
        <f t="shared" si="30"/>
        <v>0</v>
      </c>
      <c r="AK390" s="97" t="str">
        <f t="shared" si="31"/>
        <v/>
      </c>
      <c r="AL390" s="98">
        <f t="shared" ca="1" si="32"/>
        <v>1</v>
      </c>
      <c r="AM390" s="98">
        <f t="shared" ca="1" si="33"/>
        <v>55</v>
      </c>
      <c r="AN390" s="98">
        <f t="shared" ca="1" si="34"/>
        <v>5</v>
      </c>
      <c r="AO390" s="98">
        <f t="shared" ca="1" si="35"/>
        <v>0</v>
      </c>
      <c r="AP390" s="98">
        <f t="shared" ca="1" si="36"/>
        <v>0</v>
      </c>
      <c r="AQ390" s="98">
        <f t="shared" ca="1" si="37"/>
        <v>0</v>
      </c>
      <c r="AR390" s="98">
        <f t="shared" ca="1" si="38"/>
        <v>0</v>
      </c>
      <c r="AS390" s="99"/>
      <c r="AT390" s="98">
        <f t="shared" si="39"/>
        <v>1</v>
      </c>
    </row>
    <row r="391" spans="1:46" ht="15.75" customHeight="1">
      <c r="A391" s="76"/>
      <c r="B391" s="77">
        <f t="shared" ca="1" si="20"/>
        <v>1</v>
      </c>
      <c r="C391" s="78">
        <f t="shared" ca="1" si="21"/>
        <v>55</v>
      </c>
      <c r="D391" s="78">
        <f t="shared" ca="1" si="22"/>
        <v>6</v>
      </c>
      <c r="E391" s="78" t="str">
        <f t="shared" ca="1" si="23"/>
        <v/>
      </c>
      <c r="F391" s="78" t="str">
        <f t="shared" ca="1" si="24"/>
        <v/>
      </c>
      <c r="G391" s="79" t="str">
        <f t="shared" ca="1" si="25"/>
        <v/>
      </c>
      <c r="H391" s="80" t="str">
        <f t="shared" ca="1" si="26"/>
        <v/>
      </c>
      <c r="I391" s="100"/>
      <c r="J391" s="111"/>
      <c r="K391" s="111" t="s">
        <v>66</v>
      </c>
      <c r="L391" s="111"/>
      <c r="M391" s="111"/>
      <c r="N391" s="111"/>
      <c r="O391" s="111"/>
      <c r="P391" s="111"/>
      <c r="Q391" s="112"/>
      <c r="R391" s="113"/>
      <c r="S391" s="113"/>
      <c r="T391" s="115"/>
      <c r="U391" s="114"/>
      <c r="V391" s="115"/>
      <c r="W391" s="116"/>
      <c r="X391" s="117"/>
      <c r="Y391" s="118"/>
      <c r="Z391" s="119"/>
      <c r="AA391" s="92"/>
      <c r="AB391" s="93"/>
      <c r="AC391" s="94"/>
      <c r="AD391" s="95"/>
      <c r="AE391" s="96"/>
      <c r="AF391" s="97"/>
      <c r="AG391" s="97">
        <f t="shared" si="27"/>
        <v>0</v>
      </c>
      <c r="AH391" s="97">
        <f t="shared" si="28"/>
        <v>0</v>
      </c>
      <c r="AI391" s="97">
        <f t="shared" si="29"/>
        <v>0</v>
      </c>
      <c r="AJ391" s="97">
        <f t="shared" si="30"/>
        <v>0</v>
      </c>
      <c r="AK391" s="97" t="str">
        <f t="shared" si="31"/>
        <v/>
      </c>
      <c r="AL391" s="98">
        <f t="shared" ca="1" si="32"/>
        <v>1</v>
      </c>
      <c r="AM391" s="98">
        <f t="shared" ca="1" si="33"/>
        <v>55</v>
      </c>
      <c r="AN391" s="98">
        <f t="shared" ca="1" si="34"/>
        <v>6</v>
      </c>
      <c r="AO391" s="98">
        <f t="shared" ca="1" si="35"/>
        <v>0</v>
      </c>
      <c r="AP391" s="98">
        <f t="shared" ca="1" si="36"/>
        <v>0</v>
      </c>
      <c r="AQ391" s="98">
        <f t="shared" ca="1" si="37"/>
        <v>0</v>
      </c>
      <c r="AR391" s="98">
        <f t="shared" ca="1" si="38"/>
        <v>0</v>
      </c>
      <c r="AS391" s="99"/>
      <c r="AT391" s="98">
        <f t="shared" si="39"/>
        <v>1</v>
      </c>
    </row>
    <row r="392" spans="1:46" ht="15.75" customHeight="1">
      <c r="A392" s="76"/>
      <c r="B392" s="77">
        <f t="shared" ca="1" si="20"/>
        <v>1</v>
      </c>
      <c r="C392" s="78">
        <f t="shared" ca="1" si="21"/>
        <v>56</v>
      </c>
      <c r="D392" s="78" t="str">
        <f t="shared" ca="1" si="22"/>
        <v/>
      </c>
      <c r="E392" s="78" t="str">
        <f t="shared" ca="1" si="23"/>
        <v/>
      </c>
      <c r="F392" s="78" t="str">
        <f t="shared" ca="1" si="24"/>
        <v/>
      </c>
      <c r="G392" s="79" t="str">
        <f t="shared" ca="1" si="25"/>
        <v/>
      </c>
      <c r="H392" s="80" t="str">
        <f t="shared" ca="1" si="26"/>
        <v/>
      </c>
      <c r="I392" s="100"/>
      <c r="J392" s="101" t="s">
        <v>125</v>
      </c>
      <c r="K392" s="102"/>
      <c r="L392" s="102"/>
      <c r="M392" s="102"/>
      <c r="N392" s="102"/>
      <c r="O392" s="102"/>
      <c r="P392" s="102"/>
      <c r="Q392" s="103" t="s">
        <v>73</v>
      </c>
      <c r="R392" s="104"/>
      <c r="S392" s="104"/>
      <c r="T392" s="105"/>
      <c r="U392" s="106"/>
      <c r="V392" s="105"/>
      <c r="W392" s="107"/>
      <c r="X392" s="108"/>
      <c r="Y392" s="109"/>
      <c r="Z392" s="110"/>
      <c r="AA392" s="92"/>
      <c r="AB392" s="93"/>
      <c r="AC392" s="94"/>
      <c r="AD392" s="95"/>
      <c r="AE392" s="96"/>
      <c r="AF392" s="97"/>
      <c r="AG392" s="97">
        <f t="shared" si="27"/>
        <v>0</v>
      </c>
      <c r="AH392" s="97">
        <f t="shared" si="28"/>
        <v>0</v>
      </c>
      <c r="AI392" s="97">
        <f t="shared" si="29"/>
        <v>0</v>
      </c>
      <c r="AJ392" s="97">
        <f t="shared" si="30"/>
        <v>0</v>
      </c>
      <c r="AK392" s="97" t="str">
        <f t="shared" si="31"/>
        <v/>
      </c>
      <c r="AL392" s="98">
        <f t="shared" ca="1" si="32"/>
        <v>1</v>
      </c>
      <c r="AM392" s="98">
        <f t="shared" ca="1" si="33"/>
        <v>56</v>
      </c>
      <c r="AN392" s="98">
        <f t="shared" ca="1" si="34"/>
        <v>0</v>
      </c>
      <c r="AO392" s="98">
        <f t="shared" ca="1" si="35"/>
        <v>0</v>
      </c>
      <c r="AP392" s="98">
        <f t="shared" ca="1" si="36"/>
        <v>0</v>
      </c>
      <c r="AQ392" s="98">
        <f t="shared" ca="1" si="37"/>
        <v>0</v>
      </c>
      <c r="AR392" s="98">
        <f t="shared" ca="1" si="38"/>
        <v>0</v>
      </c>
      <c r="AS392" s="99"/>
      <c r="AT392" s="98">
        <f t="shared" si="39"/>
        <v>1</v>
      </c>
    </row>
    <row r="393" spans="1:46" ht="15.75" customHeight="1">
      <c r="A393" s="76"/>
      <c r="B393" s="77">
        <f t="shared" ca="1" si="20"/>
        <v>1</v>
      </c>
      <c r="C393" s="78">
        <f t="shared" ca="1" si="21"/>
        <v>56</v>
      </c>
      <c r="D393" s="78">
        <f t="shared" ca="1" si="22"/>
        <v>1</v>
      </c>
      <c r="E393" s="78" t="str">
        <f t="shared" ca="1" si="23"/>
        <v/>
      </c>
      <c r="F393" s="78" t="str">
        <f t="shared" ca="1" si="24"/>
        <v/>
      </c>
      <c r="G393" s="79" t="str">
        <f t="shared" ca="1" si="25"/>
        <v/>
      </c>
      <c r="H393" s="80" t="str">
        <f t="shared" ca="1" si="26"/>
        <v/>
      </c>
      <c r="I393" s="100"/>
      <c r="J393" s="111"/>
      <c r="K393" s="111" t="s">
        <v>59</v>
      </c>
      <c r="L393" s="111"/>
      <c r="M393" s="111"/>
      <c r="N393" s="111"/>
      <c r="O393" s="111"/>
      <c r="P393" s="111"/>
      <c r="Q393" s="112"/>
      <c r="R393" s="113"/>
      <c r="S393" s="113"/>
      <c r="T393" s="115"/>
      <c r="U393" s="114"/>
      <c r="V393" s="115"/>
      <c r="W393" s="116"/>
      <c r="X393" s="117"/>
      <c r="Y393" s="118"/>
      <c r="Z393" s="119"/>
      <c r="AA393" s="92"/>
      <c r="AB393" s="93"/>
      <c r="AC393" s="94"/>
      <c r="AD393" s="95"/>
      <c r="AE393" s="96"/>
      <c r="AF393" s="97"/>
      <c r="AG393" s="97">
        <f t="shared" si="27"/>
        <v>0</v>
      </c>
      <c r="AH393" s="97">
        <f t="shared" si="28"/>
        <v>0</v>
      </c>
      <c r="AI393" s="97">
        <f t="shared" si="29"/>
        <v>0</v>
      </c>
      <c r="AJ393" s="97">
        <f t="shared" si="30"/>
        <v>0</v>
      </c>
      <c r="AK393" s="97" t="str">
        <f t="shared" si="31"/>
        <v/>
      </c>
      <c r="AL393" s="98">
        <f t="shared" ca="1" si="32"/>
        <v>1</v>
      </c>
      <c r="AM393" s="98">
        <f t="shared" ca="1" si="33"/>
        <v>56</v>
      </c>
      <c r="AN393" s="98">
        <f t="shared" ca="1" si="34"/>
        <v>1</v>
      </c>
      <c r="AO393" s="98">
        <f t="shared" ca="1" si="35"/>
        <v>0</v>
      </c>
      <c r="AP393" s="98">
        <f t="shared" ca="1" si="36"/>
        <v>0</v>
      </c>
      <c r="AQ393" s="98">
        <f t="shared" ca="1" si="37"/>
        <v>0</v>
      </c>
      <c r="AR393" s="98">
        <f t="shared" ca="1" si="38"/>
        <v>0</v>
      </c>
      <c r="AS393" s="99"/>
      <c r="AT393" s="98">
        <f t="shared" si="39"/>
        <v>1</v>
      </c>
    </row>
    <row r="394" spans="1:46" ht="15.75" customHeight="1">
      <c r="A394" s="76"/>
      <c r="B394" s="77">
        <f t="shared" ca="1" si="20"/>
        <v>1</v>
      </c>
      <c r="C394" s="78">
        <f t="shared" ca="1" si="21"/>
        <v>56</v>
      </c>
      <c r="D394" s="78">
        <f t="shared" ca="1" si="22"/>
        <v>2</v>
      </c>
      <c r="E394" s="78" t="str">
        <f t="shared" ca="1" si="23"/>
        <v/>
      </c>
      <c r="F394" s="78" t="str">
        <f t="shared" ca="1" si="24"/>
        <v/>
      </c>
      <c r="G394" s="79" t="str">
        <f t="shared" ca="1" si="25"/>
        <v/>
      </c>
      <c r="H394" s="80" t="str">
        <f t="shared" ca="1" si="26"/>
        <v/>
      </c>
      <c r="I394" s="100"/>
      <c r="J394" s="111"/>
      <c r="K394" s="111" t="s">
        <v>61</v>
      </c>
      <c r="L394" s="111"/>
      <c r="M394" s="111"/>
      <c r="N394" s="111"/>
      <c r="O394" s="111"/>
      <c r="P394" s="111"/>
      <c r="Q394" s="112"/>
      <c r="R394" s="113"/>
      <c r="S394" s="113"/>
      <c r="T394" s="115"/>
      <c r="U394" s="114"/>
      <c r="V394" s="115"/>
      <c r="W394" s="116"/>
      <c r="X394" s="117"/>
      <c r="Y394" s="118"/>
      <c r="Z394" s="119"/>
      <c r="AA394" s="92"/>
      <c r="AB394" s="93"/>
      <c r="AC394" s="94"/>
      <c r="AD394" s="95"/>
      <c r="AE394" s="96"/>
      <c r="AF394" s="97"/>
      <c r="AG394" s="97">
        <f t="shared" si="27"/>
        <v>0</v>
      </c>
      <c r="AH394" s="97">
        <f t="shared" si="28"/>
        <v>0</v>
      </c>
      <c r="AI394" s="97">
        <f t="shared" si="29"/>
        <v>0</v>
      </c>
      <c r="AJ394" s="97">
        <f t="shared" si="30"/>
        <v>0</v>
      </c>
      <c r="AK394" s="97" t="str">
        <f t="shared" si="31"/>
        <v/>
      </c>
      <c r="AL394" s="98">
        <f t="shared" ca="1" si="32"/>
        <v>1</v>
      </c>
      <c r="AM394" s="98">
        <f t="shared" ca="1" si="33"/>
        <v>56</v>
      </c>
      <c r="AN394" s="98">
        <f t="shared" ca="1" si="34"/>
        <v>2</v>
      </c>
      <c r="AO394" s="98">
        <f t="shared" ca="1" si="35"/>
        <v>0</v>
      </c>
      <c r="AP394" s="98">
        <f t="shared" ca="1" si="36"/>
        <v>0</v>
      </c>
      <c r="AQ394" s="98">
        <f t="shared" ca="1" si="37"/>
        <v>0</v>
      </c>
      <c r="AR394" s="98">
        <f t="shared" ca="1" si="38"/>
        <v>0</v>
      </c>
      <c r="AS394" s="99"/>
      <c r="AT394" s="98">
        <f t="shared" si="39"/>
        <v>1</v>
      </c>
    </row>
    <row r="395" spans="1:46" ht="15.75" customHeight="1">
      <c r="A395" s="76"/>
      <c r="B395" s="77">
        <f t="shared" ca="1" si="20"/>
        <v>1</v>
      </c>
      <c r="C395" s="78">
        <f t="shared" ca="1" si="21"/>
        <v>56</v>
      </c>
      <c r="D395" s="78">
        <f t="shared" ca="1" si="22"/>
        <v>3</v>
      </c>
      <c r="E395" s="78" t="str">
        <f t="shared" ca="1" si="23"/>
        <v/>
      </c>
      <c r="F395" s="78" t="str">
        <f t="shared" ca="1" si="24"/>
        <v/>
      </c>
      <c r="G395" s="79" t="str">
        <f t="shared" ca="1" si="25"/>
        <v/>
      </c>
      <c r="H395" s="80" t="str">
        <f t="shared" ca="1" si="26"/>
        <v/>
      </c>
      <c r="I395" s="100"/>
      <c r="J395" s="111"/>
      <c r="K395" s="111" t="s">
        <v>63</v>
      </c>
      <c r="L395" s="111"/>
      <c r="M395" s="111"/>
      <c r="N395" s="111"/>
      <c r="O395" s="111"/>
      <c r="P395" s="111"/>
      <c r="Q395" s="112"/>
      <c r="R395" s="113"/>
      <c r="S395" s="113"/>
      <c r="T395" s="115"/>
      <c r="U395" s="114"/>
      <c r="V395" s="115"/>
      <c r="W395" s="116"/>
      <c r="X395" s="117"/>
      <c r="Y395" s="118"/>
      <c r="Z395" s="119"/>
      <c r="AA395" s="92"/>
      <c r="AB395" s="93"/>
      <c r="AC395" s="94"/>
      <c r="AD395" s="95"/>
      <c r="AE395" s="96"/>
      <c r="AF395" s="97"/>
      <c r="AG395" s="97">
        <f t="shared" si="27"/>
        <v>0</v>
      </c>
      <c r="AH395" s="97">
        <f t="shared" si="28"/>
        <v>0</v>
      </c>
      <c r="AI395" s="97">
        <f t="shared" si="29"/>
        <v>0</v>
      </c>
      <c r="AJ395" s="97">
        <f t="shared" si="30"/>
        <v>0</v>
      </c>
      <c r="AK395" s="97" t="str">
        <f t="shared" si="31"/>
        <v/>
      </c>
      <c r="AL395" s="98">
        <f t="shared" ca="1" si="32"/>
        <v>1</v>
      </c>
      <c r="AM395" s="98">
        <f t="shared" ca="1" si="33"/>
        <v>56</v>
      </c>
      <c r="AN395" s="98">
        <f t="shared" ca="1" si="34"/>
        <v>3</v>
      </c>
      <c r="AO395" s="98">
        <f t="shared" ca="1" si="35"/>
        <v>0</v>
      </c>
      <c r="AP395" s="98">
        <f t="shared" ca="1" si="36"/>
        <v>0</v>
      </c>
      <c r="AQ395" s="98">
        <f t="shared" ca="1" si="37"/>
        <v>0</v>
      </c>
      <c r="AR395" s="98">
        <f t="shared" ca="1" si="38"/>
        <v>0</v>
      </c>
      <c r="AS395" s="99"/>
      <c r="AT395" s="98">
        <f t="shared" si="39"/>
        <v>1</v>
      </c>
    </row>
    <row r="396" spans="1:46" ht="15.75" customHeight="1">
      <c r="A396" s="76"/>
      <c r="B396" s="77">
        <f t="shared" ca="1" si="20"/>
        <v>1</v>
      </c>
      <c r="C396" s="78">
        <f t="shared" ca="1" si="21"/>
        <v>56</v>
      </c>
      <c r="D396" s="78">
        <f t="shared" ca="1" si="22"/>
        <v>4</v>
      </c>
      <c r="E396" s="78" t="str">
        <f t="shared" ca="1" si="23"/>
        <v/>
      </c>
      <c r="F396" s="78" t="str">
        <f t="shared" ca="1" si="24"/>
        <v/>
      </c>
      <c r="G396" s="79" t="str">
        <f t="shared" ca="1" si="25"/>
        <v/>
      </c>
      <c r="H396" s="80" t="str">
        <f t="shared" ca="1" si="26"/>
        <v/>
      </c>
      <c r="I396" s="100"/>
      <c r="J396" s="111"/>
      <c r="K396" s="111" t="s">
        <v>64</v>
      </c>
      <c r="L396" s="111"/>
      <c r="M396" s="111"/>
      <c r="N396" s="111"/>
      <c r="O396" s="111"/>
      <c r="P396" s="111"/>
      <c r="Q396" s="112"/>
      <c r="R396" s="113"/>
      <c r="S396" s="113"/>
      <c r="T396" s="115"/>
      <c r="U396" s="114"/>
      <c r="V396" s="115"/>
      <c r="W396" s="116"/>
      <c r="X396" s="117"/>
      <c r="Y396" s="118"/>
      <c r="Z396" s="119"/>
      <c r="AA396" s="92"/>
      <c r="AB396" s="93"/>
      <c r="AC396" s="94"/>
      <c r="AD396" s="95"/>
      <c r="AE396" s="96"/>
      <c r="AF396" s="97"/>
      <c r="AG396" s="97">
        <f t="shared" si="27"/>
        <v>0</v>
      </c>
      <c r="AH396" s="97">
        <f t="shared" si="28"/>
        <v>0</v>
      </c>
      <c r="AI396" s="97">
        <f t="shared" si="29"/>
        <v>0</v>
      </c>
      <c r="AJ396" s="97">
        <f t="shared" si="30"/>
        <v>0</v>
      </c>
      <c r="AK396" s="97" t="str">
        <f t="shared" si="31"/>
        <v/>
      </c>
      <c r="AL396" s="98">
        <f t="shared" ca="1" si="32"/>
        <v>1</v>
      </c>
      <c r="AM396" s="98">
        <f t="shared" ca="1" si="33"/>
        <v>56</v>
      </c>
      <c r="AN396" s="98">
        <f t="shared" ca="1" si="34"/>
        <v>4</v>
      </c>
      <c r="AO396" s="98">
        <f t="shared" ca="1" si="35"/>
        <v>0</v>
      </c>
      <c r="AP396" s="98">
        <f t="shared" ca="1" si="36"/>
        <v>0</v>
      </c>
      <c r="AQ396" s="98">
        <f t="shared" ca="1" si="37"/>
        <v>0</v>
      </c>
      <c r="AR396" s="98">
        <f t="shared" ca="1" si="38"/>
        <v>0</v>
      </c>
      <c r="AS396" s="99"/>
      <c r="AT396" s="98">
        <f t="shared" si="39"/>
        <v>1</v>
      </c>
    </row>
    <row r="397" spans="1:46" ht="15.75" customHeight="1">
      <c r="A397" s="76"/>
      <c r="B397" s="77">
        <f t="shared" ca="1" si="20"/>
        <v>1</v>
      </c>
      <c r="C397" s="78">
        <f t="shared" ca="1" si="21"/>
        <v>56</v>
      </c>
      <c r="D397" s="78">
        <f t="shared" ca="1" si="22"/>
        <v>5</v>
      </c>
      <c r="E397" s="78" t="str">
        <f t="shared" ca="1" si="23"/>
        <v/>
      </c>
      <c r="F397" s="78" t="str">
        <f t="shared" ca="1" si="24"/>
        <v/>
      </c>
      <c r="G397" s="79" t="str">
        <f t="shared" ca="1" si="25"/>
        <v/>
      </c>
      <c r="H397" s="80" t="str">
        <f t="shared" ca="1" si="26"/>
        <v/>
      </c>
      <c r="I397" s="100"/>
      <c r="J397" s="111"/>
      <c r="K397" s="111" t="s">
        <v>65</v>
      </c>
      <c r="L397" s="111"/>
      <c r="M397" s="111"/>
      <c r="N397" s="111"/>
      <c r="O397" s="111"/>
      <c r="P397" s="111"/>
      <c r="Q397" s="112"/>
      <c r="R397" s="113"/>
      <c r="S397" s="113"/>
      <c r="T397" s="115"/>
      <c r="U397" s="114"/>
      <c r="V397" s="115"/>
      <c r="W397" s="116"/>
      <c r="X397" s="117"/>
      <c r="Y397" s="118"/>
      <c r="Z397" s="119"/>
      <c r="AA397" s="92"/>
      <c r="AB397" s="93"/>
      <c r="AC397" s="94"/>
      <c r="AD397" s="95"/>
      <c r="AE397" s="96"/>
      <c r="AF397" s="97"/>
      <c r="AG397" s="97">
        <f t="shared" si="27"/>
        <v>0</v>
      </c>
      <c r="AH397" s="97">
        <f t="shared" si="28"/>
        <v>0</v>
      </c>
      <c r="AI397" s="97">
        <f t="shared" si="29"/>
        <v>0</v>
      </c>
      <c r="AJ397" s="97">
        <f t="shared" si="30"/>
        <v>0</v>
      </c>
      <c r="AK397" s="97" t="str">
        <f t="shared" si="31"/>
        <v/>
      </c>
      <c r="AL397" s="98">
        <f t="shared" ca="1" si="32"/>
        <v>1</v>
      </c>
      <c r="AM397" s="98">
        <f t="shared" ca="1" si="33"/>
        <v>56</v>
      </c>
      <c r="AN397" s="98">
        <f t="shared" ca="1" si="34"/>
        <v>5</v>
      </c>
      <c r="AO397" s="98">
        <f t="shared" ca="1" si="35"/>
        <v>0</v>
      </c>
      <c r="AP397" s="98">
        <f t="shared" ca="1" si="36"/>
        <v>0</v>
      </c>
      <c r="AQ397" s="98">
        <f t="shared" ca="1" si="37"/>
        <v>0</v>
      </c>
      <c r="AR397" s="98">
        <f t="shared" ca="1" si="38"/>
        <v>0</v>
      </c>
      <c r="AS397" s="99"/>
      <c r="AT397" s="98">
        <f t="shared" si="39"/>
        <v>1</v>
      </c>
    </row>
    <row r="398" spans="1:46" ht="15.75" customHeight="1">
      <c r="A398" s="76"/>
      <c r="B398" s="77">
        <f t="shared" ca="1" si="20"/>
        <v>1</v>
      </c>
      <c r="C398" s="78">
        <f t="shared" ca="1" si="21"/>
        <v>56</v>
      </c>
      <c r="D398" s="78">
        <f t="shared" ca="1" si="22"/>
        <v>6</v>
      </c>
      <c r="E398" s="78" t="str">
        <f t="shared" ca="1" si="23"/>
        <v/>
      </c>
      <c r="F398" s="78" t="str">
        <f t="shared" ca="1" si="24"/>
        <v/>
      </c>
      <c r="G398" s="79" t="str">
        <f t="shared" ca="1" si="25"/>
        <v/>
      </c>
      <c r="H398" s="80" t="str">
        <f t="shared" ca="1" si="26"/>
        <v/>
      </c>
      <c r="I398" s="100"/>
      <c r="J398" s="111"/>
      <c r="K398" s="111" t="s">
        <v>66</v>
      </c>
      <c r="L398" s="111"/>
      <c r="M398" s="111"/>
      <c r="N398" s="111"/>
      <c r="O398" s="111"/>
      <c r="P398" s="111"/>
      <c r="Q398" s="112"/>
      <c r="R398" s="113"/>
      <c r="S398" s="113"/>
      <c r="T398" s="115"/>
      <c r="U398" s="114"/>
      <c r="V398" s="115"/>
      <c r="W398" s="116"/>
      <c r="X398" s="117"/>
      <c r="Y398" s="118"/>
      <c r="Z398" s="119"/>
      <c r="AA398" s="92"/>
      <c r="AB398" s="93"/>
      <c r="AC398" s="94"/>
      <c r="AD398" s="95"/>
      <c r="AE398" s="96"/>
      <c r="AF398" s="97"/>
      <c r="AG398" s="97">
        <f t="shared" si="27"/>
        <v>0</v>
      </c>
      <c r="AH398" s="97">
        <f t="shared" si="28"/>
        <v>0</v>
      </c>
      <c r="AI398" s="97">
        <f t="shared" si="29"/>
        <v>0</v>
      </c>
      <c r="AJ398" s="97">
        <f t="shared" si="30"/>
        <v>0</v>
      </c>
      <c r="AK398" s="97" t="str">
        <f t="shared" si="31"/>
        <v/>
      </c>
      <c r="AL398" s="98">
        <f t="shared" ca="1" si="32"/>
        <v>1</v>
      </c>
      <c r="AM398" s="98">
        <f t="shared" ca="1" si="33"/>
        <v>56</v>
      </c>
      <c r="AN398" s="98">
        <f t="shared" ca="1" si="34"/>
        <v>6</v>
      </c>
      <c r="AO398" s="98">
        <f t="shared" ca="1" si="35"/>
        <v>0</v>
      </c>
      <c r="AP398" s="98">
        <f t="shared" ca="1" si="36"/>
        <v>0</v>
      </c>
      <c r="AQ398" s="98">
        <f t="shared" ca="1" si="37"/>
        <v>0</v>
      </c>
      <c r="AR398" s="98">
        <f t="shared" ca="1" si="38"/>
        <v>0</v>
      </c>
      <c r="AS398" s="99"/>
      <c r="AT398" s="98">
        <f t="shared" si="39"/>
        <v>1</v>
      </c>
    </row>
    <row r="399" spans="1:46" ht="15.75" customHeight="1">
      <c r="A399" s="76"/>
      <c r="B399" s="77">
        <f t="shared" ca="1" si="20"/>
        <v>1</v>
      </c>
      <c r="C399" s="78">
        <f t="shared" ca="1" si="21"/>
        <v>57</v>
      </c>
      <c r="D399" s="78" t="str">
        <f t="shared" ca="1" si="22"/>
        <v/>
      </c>
      <c r="E399" s="78" t="str">
        <f t="shared" ca="1" si="23"/>
        <v/>
      </c>
      <c r="F399" s="78" t="str">
        <f t="shared" ca="1" si="24"/>
        <v/>
      </c>
      <c r="G399" s="79" t="str">
        <f t="shared" ca="1" si="25"/>
        <v/>
      </c>
      <c r="H399" s="80" t="str">
        <f t="shared" ca="1" si="26"/>
        <v/>
      </c>
      <c r="I399" s="100"/>
      <c r="J399" s="101" t="s">
        <v>126</v>
      </c>
      <c r="K399" s="102"/>
      <c r="L399" s="102"/>
      <c r="M399" s="102"/>
      <c r="N399" s="102"/>
      <c r="O399" s="102"/>
      <c r="P399" s="102"/>
      <c r="Q399" s="103" t="s">
        <v>73</v>
      </c>
      <c r="R399" s="104"/>
      <c r="S399" s="104"/>
      <c r="T399" s="105"/>
      <c r="U399" s="106"/>
      <c r="V399" s="105"/>
      <c r="W399" s="107"/>
      <c r="X399" s="108"/>
      <c r="Y399" s="109"/>
      <c r="Z399" s="110"/>
      <c r="AA399" s="92"/>
      <c r="AB399" s="93"/>
      <c r="AC399" s="94"/>
      <c r="AD399" s="95"/>
      <c r="AE399" s="96"/>
      <c r="AF399" s="97"/>
      <c r="AG399" s="97">
        <f t="shared" si="27"/>
        <v>0</v>
      </c>
      <c r="AH399" s="97">
        <f t="shared" si="28"/>
        <v>0</v>
      </c>
      <c r="AI399" s="97">
        <f t="shared" si="29"/>
        <v>0</v>
      </c>
      <c r="AJ399" s="97">
        <f t="shared" si="30"/>
        <v>0</v>
      </c>
      <c r="AK399" s="97" t="str">
        <f t="shared" si="31"/>
        <v/>
      </c>
      <c r="AL399" s="98">
        <f t="shared" ca="1" si="32"/>
        <v>1</v>
      </c>
      <c r="AM399" s="98">
        <f t="shared" ca="1" si="33"/>
        <v>57</v>
      </c>
      <c r="AN399" s="98">
        <f t="shared" ca="1" si="34"/>
        <v>0</v>
      </c>
      <c r="AO399" s="98">
        <f t="shared" ca="1" si="35"/>
        <v>0</v>
      </c>
      <c r="AP399" s="98">
        <f t="shared" ca="1" si="36"/>
        <v>0</v>
      </c>
      <c r="AQ399" s="98">
        <f t="shared" ca="1" si="37"/>
        <v>0</v>
      </c>
      <c r="AR399" s="98">
        <f t="shared" ca="1" si="38"/>
        <v>0</v>
      </c>
      <c r="AS399" s="99"/>
      <c r="AT399" s="98">
        <f t="shared" si="39"/>
        <v>1</v>
      </c>
    </row>
    <row r="400" spans="1:46" ht="15.75" customHeight="1">
      <c r="A400" s="76"/>
      <c r="B400" s="77">
        <f t="shared" ca="1" si="20"/>
        <v>1</v>
      </c>
      <c r="C400" s="78">
        <f t="shared" ca="1" si="21"/>
        <v>57</v>
      </c>
      <c r="D400" s="78">
        <f t="shared" ca="1" si="22"/>
        <v>1</v>
      </c>
      <c r="E400" s="78" t="str">
        <f t="shared" ca="1" si="23"/>
        <v/>
      </c>
      <c r="F400" s="78" t="str">
        <f t="shared" ca="1" si="24"/>
        <v/>
      </c>
      <c r="G400" s="79" t="str">
        <f t="shared" ca="1" si="25"/>
        <v/>
      </c>
      <c r="H400" s="80" t="str">
        <f t="shared" ca="1" si="26"/>
        <v/>
      </c>
      <c r="I400" s="100"/>
      <c r="J400" s="111"/>
      <c r="K400" s="111" t="s">
        <v>59</v>
      </c>
      <c r="L400" s="111"/>
      <c r="M400" s="111"/>
      <c r="N400" s="111"/>
      <c r="O400" s="111"/>
      <c r="P400" s="111"/>
      <c r="Q400" s="112"/>
      <c r="R400" s="113"/>
      <c r="S400" s="113"/>
      <c r="T400" s="115"/>
      <c r="U400" s="114"/>
      <c r="V400" s="115"/>
      <c r="W400" s="116"/>
      <c r="X400" s="117"/>
      <c r="Y400" s="118"/>
      <c r="Z400" s="119"/>
      <c r="AA400" s="92"/>
      <c r="AB400" s="93"/>
      <c r="AC400" s="94"/>
      <c r="AD400" s="95"/>
      <c r="AE400" s="96"/>
      <c r="AF400" s="97"/>
      <c r="AG400" s="97">
        <f t="shared" si="27"/>
        <v>0</v>
      </c>
      <c r="AH400" s="97">
        <f t="shared" si="28"/>
        <v>0</v>
      </c>
      <c r="AI400" s="97">
        <f t="shared" si="29"/>
        <v>0</v>
      </c>
      <c r="AJ400" s="97">
        <f t="shared" si="30"/>
        <v>0</v>
      </c>
      <c r="AK400" s="97" t="str">
        <f t="shared" si="31"/>
        <v/>
      </c>
      <c r="AL400" s="98">
        <f t="shared" ca="1" si="32"/>
        <v>1</v>
      </c>
      <c r="AM400" s="98">
        <f t="shared" ca="1" si="33"/>
        <v>57</v>
      </c>
      <c r="AN400" s="98">
        <f t="shared" ca="1" si="34"/>
        <v>1</v>
      </c>
      <c r="AO400" s="98">
        <f t="shared" ca="1" si="35"/>
        <v>0</v>
      </c>
      <c r="AP400" s="98">
        <f t="shared" ca="1" si="36"/>
        <v>0</v>
      </c>
      <c r="AQ400" s="98">
        <f t="shared" ca="1" si="37"/>
        <v>0</v>
      </c>
      <c r="AR400" s="98">
        <f t="shared" ca="1" si="38"/>
        <v>0</v>
      </c>
      <c r="AS400" s="99"/>
      <c r="AT400" s="98">
        <f t="shared" si="39"/>
        <v>1</v>
      </c>
    </row>
    <row r="401" spans="1:46" ht="15.75" customHeight="1">
      <c r="A401" s="76"/>
      <c r="B401" s="77">
        <f t="shared" ca="1" si="20"/>
        <v>1</v>
      </c>
      <c r="C401" s="78">
        <f t="shared" ca="1" si="21"/>
        <v>57</v>
      </c>
      <c r="D401" s="78">
        <f t="shared" ca="1" si="22"/>
        <v>2</v>
      </c>
      <c r="E401" s="78" t="str">
        <f t="shared" ca="1" si="23"/>
        <v/>
      </c>
      <c r="F401" s="78" t="str">
        <f t="shared" ca="1" si="24"/>
        <v/>
      </c>
      <c r="G401" s="79" t="str">
        <f t="shared" ca="1" si="25"/>
        <v/>
      </c>
      <c r="H401" s="80" t="str">
        <f t="shared" ca="1" si="26"/>
        <v/>
      </c>
      <c r="I401" s="100"/>
      <c r="J401" s="111"/>
      <c r="K401" s="111" t="s">
        <v>61</v>
      </c>
      <c r="L401" s="111"/>
      <c r="M401" s="111"/>
      <c r="N401" s="111"/>
      <c r="O401" s="111"/>
      <c r="P401" s="111"/>
      <c r="Q401" s="112"/>
      <c r="R401" s="113"/>
      <c r="S401" s="113"/>
      <c r="T401" s="115"/>
      <c r="U401" s="114"/>
      <c r="V401" s="115"/>
      <c r="W401" s="116"/>
      <c r="X401" s="117"/>
      <c r="Y401" s="118"/>
      <c r="Z401" s="119"/>
      <c r="AA401" s="92"/>
      <c r="AB401" s="93"/>
      <c r="AC401" s="94"/>
      <c r="AD401" s="95"/>
      <c r="AE401" s="96"/>
      <c r="AF401" s="97"/>
      <c r="AG401" s="97">
        <f t="shared" si="27"/>
        <v>0</v>
      </c>
      <c r="AH401" s="97">
        <f t="shared" si="28"/>
        <v>0</v>
      </c>
      <c r="AI401" s="97">
        <f t="shared" si="29"/>
        <v>0</v>
      </c>
      <c r="AJ401" s="97">
        <f t="shared" si="30"/>
        <v>0</v>
      </c>
      <c r="AK401" s="97" t="str">
        <f t="shared" si="31"/>
        <v/>
      </c>
      <c r="AL401" s="98">
        <f t="shared" ca="1" si="32"/>
        <v>1</v>
      </c>
      <c r="AM401" s="98">
        <f t="shared" ca="1" si="33"/>
        <v>57</v>
      </c>
      <c r="AN401" s="98">
        <f t="shared" ca="1" si="34"/>
        <v>2</v>
      </c>
      <c r="AO401" s="98">
        <f t="shared" ca="1" si="35"/>
        <v>0</v>
      </c>
      <c r="AP401" s="98">
        <f t="shared" ca="1" si="36"/>
        <v>0</v>
      </c>
      <c r="AQ401" s="98">
        <f t="shared" ca="1" si="37"/>
        <v>0</v>
      </c>
      <c r="AR401" s="98">
        <f t="shared" ca="1" si="38"/>
        <v>0</v>
      </c>
      <c r="AS401" s="99"/>
      <c r="AT401" s="98">
        <f t="shared" si="39"/>
        <v>1</v>
      </c>
    </row>
    <row r="402" spans="1:46" ht="15.75" customHeight="1">
      <c r="A402" s="76"/>
      <c r="B402" s="77">
        <f t="shared" ca="1" si="20"/>
        <v>1</v>
      </c>
      <c r="C402" s="78">
        <f t="shared" ca="1" si="21"/>
        <v>57</v>
      </c>
      <c r="D402" s="78">
        <f t="shared" ca="1" si="22"/>
        <v>3</v>
      </c>
      <c r="E402" s="78" t="str">
        <f t="shared" ca="1" si="23"/>
        <v/>
      </c>
      <c r="F402" s="78" t="str">
        <f t="shared" ca="1" si="24"/>
        <v/>
      </c>
      <c r="G402" s="79" t="str">
        <f t="shared" ca="1" si="25"/>
        <v/>
      </c>
      <c r="H402" s="80" t="str">
        <f t="shared" ca="1" si="26"/>
        <v/>
      </c>
      <c r="I402" s="100"/>
      <c r="J402" s="111"/>
      <c r="K402" s="111" t="s">
        <v>63</v>
      </c>
      <c r="L402" s="111"/>
      <c r="M402" s="111"/>
      <c r="N402" s="111"/>
      <c r="O402" s="111"/>
      <c r="P402" s="111"/>
      <c r="Q402" s="112"/>
      <c r="R402" s="113"/>
      <c r="S402" s="113"/>
      <c r="T402" s="115"/>
      <c r="U402" s="114"/>
      <c r="V402" s="115"/>
      <c r="W402" s="116"/>
      <c r="X402" s="117"/>
      <c r="Y402" s="118"/>
      <c r="Z402" s="119"/>
      <c r="AA402" s="92"/>
      <c r="AB402" s="93"/>
      <c r="AC402" s="94"/>
      <c r="AD402" s="95"/>
      <c r="AE402" s="96"/>
      <c r="AF402" s="97"/>
      <c r="AG402" s="97">
        <f t="shared" si="27"/>
        <v>0</v>
      </c>
      <c r="AH402" s="97">
        <f t="shared" si="28"/>
        <v>0</v>
      </c>
      <c r="AI402" s="97">
        <f t="shared" si="29"/>
        <v>0</v>
      </c>
      <c r="AJ402" s="97">
        <f t="shared" si="30"/>
        <v>0</v>
      </c>
      <c r="AK402" s="97" t="str">
        <f t="shared" si="31"/>
        <v/>
      </c>
      <c r="AL402" s="98">
        <f t="shared" ca="1" si="32"/>
        <v>1</v>
      </c>
      <c r="AM402" s="98">
        <f t="shared" ca="1" si="33"/>
        <v>57</v>
      </c>
      <c r="AN402" s="98">
        <f t="shared" ca="1" si="34"/>
        <v>3</v>
      </c>
      <c r="AO402" s="98">
        <f t="shared" ca="1" si="35"/>
        <v>0</v>
      </c>
      <c r="AP402" s="98">
        <f t="shared" ca="1" si="36"/>
        <v>0</v>
      </c>
      <c r="AQ402" s="98">
        <f t="shared" ca="1" si="37"/>
        <v>0</v>
      </c>
      <c r="AR402" s="98">
        <f t="shared" ca="1" si="38"/>
        <v>0</v>
      </c>
      <c r="AS402" s="99"/>
      <c r="AT402" s="98">
        <f t="shared" si="39"/>
        <v>1</v>
      </c>
    </row>
    <row r="403" spans="1:46" ht="15.75" customHeight="1">
      <c r="A403" s="76"/>
      <c r="B403" s="77">
        <f t="shared" ca="1" si="20"/>
        <v>1</v>
      </c>
      <c r="C403" s="78">
        <f t="shared" ca="1" si="21"/>
        <v>57</v>
      </c>
      <c r="D403" s="78">
        <f t="shared" ca="1" si="22"/>
        <v>4</v>
      </c>
      <c r="E403" s="78" t="str">
        <f t="shared" ca="1" si="23"/>
        <v/>
      </c>
      <c r="F403" s="78" t="str">
        <f t="shared" ca="1" si="24"/>
        <v/>
      </c>
      <c r="G403" s="79" t="str">
        <f t="shared" ca="1" si="25"/>
        <v/>
      </c>
      <c r="H403" s="80" t="str">
        <f t="shared" ca="1" si="26"/>
        <v/>
      </c>
      <c r="I403" s="100"/>
      <c r="J403" s="111"/>
      <c r="K403" s="111" t="s">
        <v>64</v>
      </c>
      <c r="L403" s="111"/>
      <c r="M403" s="111"/>
      <c r="N403" s="111"/>
      <c r="O403" s="111"/>
      <c r="P403" s="111"/>
      <c r="Q403" s="112"/>
      <c r="R403" s="113"/>
      <c r="S403" s="113"/>
      <c r="T403" s="115"/>
      <c r="U403" s="114"/>
      <c r="V403" s="115"/>
      <c r="W403" s="116"/>
      <c r="X403" s="117"/>
      <c r="Y403" s="118"/>
      <c r="Z403" s="119"/>
      <c r="AA403" s="92"/>
      <c r="AB403" s="93"/>
      <c r="AC403" s="94"/>
      <c r="AD403" s="95"/>
      <c r="AE403" s="96"/>
      <c r="AF403" s="97"/>
      <c r="AG403" s="97">
        <f t="shared" si="27"/>
        <v>0</v>
      </c>
      <c r="AH403" s="97">
        <f t="shared" si="28"/>
        <v>0</v>
      </c>
      <c r="AI403" s="97">
        <f t="shared" si="29"/>
        <v>0</v>
      </c>
      <c r="AJ403" s="97">
        <f t="shared" si="30"/>
        <v>0</v>
      </c>
      <c r="AK403" s="97" t="str">
        <f t="shared" si="31"/>
        <v/>
      </c>
      <c r="AL403" s="98">
        <f t="shared" ca="1" si="32"/>
        <v>1</v>
      </c>
      <c r="AM403" s="98">
        <f t="shared" ca="1" si="33"/>
        <v>57</v>
      </c>
      <c r="AN403" s="98">
        <f t="shared" ca="1" si="34"/>
        <v>4</v>
      </c>
      <c r="AO403" s="98">
        <f t="shared" ca="1" si="35"/>
        <v>0</v>
      </c>
      <c r="AP403" s="98">
        <f t="shared" ca="1" si="36"/>
        <v>0</v>
      </c>
      <c r="AQ403" s="98">
        <f t="shared" ca="1" si="37"/>
        <v>0</v>
      </c>
      <c r="AR403" s="98">
        <f t="shared" ca="1" si="38"/>
        <v>0</v>
      </c>
      <c r="AS403" s="99"/>
      <c r="AT403" s="98">
        <f t="shared" si="39"/>
        <v>1</v>
      </c>
    </row>
    <row r="404" spans="1:46" ht="15.75" customHeight="1">
      <c r="A404" s="76"/>
      <c r="B404" s="77">
        <f t="shared" ca="1" si="20"/>
        <v>1</v>
      </c>
      <c r="C404" s="78">
        <f t="shared" ca="1" si="21"/>
        <v>57</v>
      </c>
      <c r="D404" s="78">
        <f t="shared" ca="1" si="22"/>
        <v>5</v>
      </c>
      <c r="E404" s="78" t="str">
        <f t="shared" ca="1" si="23"/>
        <v/>
      </c>
      <c r="F404" s="78" t="str">
        <f t="shared" ca="1" si="24"/>
        <v/>
      </c>
      <c r="G404" s="79" t="str">
        <f t="shared" ca="1" si="25"/>
        <v/>
      </c>
      <c r="H404" s="80" t="str">
        <f t="shared" ca="1" si="26"/>
        <v/>
      </c>
      <c r="I404" s="100"/>
      <c r="J404" s="111"/>
      <c r="K404" s="111" t="s">
        <v>65</v>
      </c>
      <c r="L404" s="111"/>
      <c r="M404" s="111"/>
      <c r="N404" s="111"/>
      <c r="O404" s="111"/>
      <c r="P404" s="111"/>
      <c r="Q404" s="112"/>
      <c r="R404" s="113"/>
      <c r="S404" s="113"/>
      <c r="T404" s="115"/>
      <c r="U404" s="114"/>
      <c r="V404" s="115"/>
      <c r="W404" s="116"/>
      <c r="X404" s="117"/>
      <c r="Y404" s="118"/>
      <c r="Z404" s="119"/>
      <c r="AA404" s="92"/>
      <c r="AB404" s="93"/>
      <c r="AC404" s="94"/>
      <c r="AD404" s="95"/>
      <c r="AE404" s="96"/>
      <c r="AF404" s="97"/>
      <c r="AG404" s="97">
        <f t="shared" si="27"/>
        <v>0</v>
      </c>
      <c r="AH404" s="97">
        <f t="shared" si="28"/>
        <v>0</v>
      </c>
      <c r="AI404" s="97">
        <f t="shared" si="29"/>
        <v>0</v>
      </c>
      <c r="AJ404" s="97">
        <f t="shared" si="30"/>
        <v>0</v>
      </c>
      <c r="AK404" s="97" t="str">
        <f t="shared" si="31"/>
        <v/>
      </c>
      <c r="AL404" s="98">
        <f t="shared" ca="1" si="32"/>
        <v>1</v>
      </c>
      <c r="AM404" s="98">
        <f t="shared" ca="1" si="33"/>
        <v>57</v>
      </c>
      <c r="AN404" s="98">
        <f t="shared" ca="1" si="34"/>
        <v>5</v>
      </c>
      <c r="AO404" s="98">
        <f t="shared" ca="1" si="35"/>
        <v>0</v>
      </c>
      <c r="AP404" s="98">
        <f t="shared" ca="1" si="36"/>
        <v>0</v>
      </c>
      <c r="AQ404" s="98">
        <f t="shared" ca="1" si="37"/>
        <v>0</v>
      </c>
      <c r="AR404" s="98">
        <f t="shared" ca="1" si="38"/>
        <v>0</v>
      </c>
      <c r="AS404" s="99"/>
      <c r="AT404" s="98">
        <f t="shared" si="39"/>
        <v>1</v>
      </c>
    </row>
    <row r="405" spans="1:46" ht="15.75" customHeight="1">
      <c r="A405" s="76"/>
      <c r="B405" s="77">
        <f t="shared" ca="1" si="20"/>
        <v>1</v>
      </c>
      <c r="C405" s="78">
        <f t="shared" ca="1" si="21"/>
        <v>57</v>
      </c>
      <c r="D405" s="78">
        <f t="shared" ca="1" si="22"/>
        <v>6</v>
      </c>
      <c r="E405" s="78" t="str">
        <f t="shared" ca="1" si="23"/>
        <v/>
      </c>
      <c r="F405" s="78" t="str">
        <f t="shared" ca="1" si="24"/>
        <v/>
      </c>
      <c r="G405" s="79" t="str">
        <f t="shared" ca="1" si="25"/>
        <v/>
      </c>
      <c r="H405" s="80" t="str">
        <f t="shared" ca="1" si="26"/>
        <v/>
      </c>
      <c r="I405" s="100"/>
      <c r="J405" s="111"/>
      <c r="K405" s="111" t="s">
        <v>66</v>
      </c>
      <c r="L405" s="111"/>
      <c r="M405" s="111"/>
      <c r="N405" s="111"/>
      <c r="O405" s="111"/>
      <c r="P405" s="111"/>
      <c r="Q405" s="112"/>
      <c r="R405" s="113"/>
      <c r="S405" s="113"/>
      <c r="T405" s="115"/>
      <c r="U405" s="114"/>
      <c r="V405" s="115"/>
      <c r="W405" s="116"/>
      <c r="X405" s="117"/>
      <c r="Y405" s="118"/>
      <c r="Z405" s="119"/>
      <c r="AA405" s="92"/>
      <c r="AB405" s="93"/>
      <c r="AC405" s="94"/>
      <c r="AD405" s="95"/>
      <c r="AE405" s="96"/>
      <c r="AF405" s="97"/>
      <c r="AG405" s="97">
        <f t="shared" si="27"/>
        <v>0</v>
      </c>
      <c r="AH405" s="97">
        <f t="shared" si="28"/>
        <v>0</v>
      </c>
      <c r="AI405" s="97">
        <f t="shared" si="29"/>
        <v>0</v>
      </c>
      <c r="AJ405" s="97">
        <f t="shared" si="30"/>
        <v>0</v>
      </c>
      <c r="AK405" s="97" t="str">
        <f t="shared" si="31"/>
        <v/>
      </c>
      <c r="AL405" s="98">
        <f t="shared" ca="1" si="32"/>
        <v>1</v>
      </c>
      <c r="AM405" s="98">
        <f t="shared" ca="1" si="33"/>
        <v>57</v>
      </c>
      <c r="AN405" s="98">
        <f t="shared" ca="1" si="34"/>
        <v>6</v>
      </c>
      <c r="AO405" s="98">
        <f t="shared" ca="1" si="35"/>
        <v>0</v>
      </c>
      <c r="AP405" s="98">
        <f t="shared" ca="1" si="36"/>
        <v>0</v>
      </c>
      <c r="AQ405" s="98">
        <f t="shared" ca="1" si="37"/>
        <v>0</v>
      </c>
      <c r="AR405" s="98">
        <f t="shared" ca="1" si="38"/>
        <v>0</v>
      </c>
      <c r="AS405" s="99"/>
      <c r="AT405" s="98">
        <f t="shared" si="39"/>
        <v>1</v>
      </c>
    </row>
    <row r="406" spans="1:46" ht="15.75" customHeight="1">
      <c r="A406" s="76"/>
      <c r="B406" s="77">
        <f t="shared" ca="1" si="20"/>
        <v>1</v>
      </c>
      <c r="C406" s="78">
        <f t="shared" ca="1" si="21"/>
        <v>58</v>
      </c>
      <c r="D406" s="78" t="str">
        <f t="shared" ca="1" si="22"/>
        <v/>
      </c>
      <c r="E406" s="78" t="str">
        <f t="shared" ca="1" si="23"/>
        <v/>
      </c>
      <c r="F406" s="78" t="str">
        <f t="shared" ca="1" si="24"/>
        <v/>
      </c>
      <c r="G406" s="79" t="str">
        <f t="shared" ca="1" si="25"/>
        <v/>
      </c>
      <c r="H406" s="80" t="str">
        <f t="shared" ca="1" si="26"/>
        <v/>
      </c>
      <c r="I406" s="100"/>
      <c r="J406" s="101" t="s">
        <v>127</v>
      </c>
      <c r="K406" s="102"/>
      <c r="L406" s="102"/>
      <c r="M406" s="102"/>
      <c r="N406" s="102"/>
      <c r="O406" s="102"/>
      <c r="P406" s="102"/>
      <c r="Q406" s="103" t="s">
        <v>58</v>
      </c>
      <c r="R406" s="104"/>
      <c r="S406" s="104"/>
      <c r="T406" s="105"/>
      <c r="U406" s="106"/>
      <c r="V406" s="105"/>
      <c r="W406" s="107"/>
      <c r="X406" s="108"/>
      <c r="Y406" s="109"/>
      <c r="Z406" s="110"/>
      <c r="AA406" s="92"/>
      <c r="AB406" s="93"/>
      <c r="AC406" s="94"/>
      <c r="AD406" s="95"/>
      <c r="AE406" s="96"/>
      <c r="AF406" s="97"/>
      <c r="AG406" s="97">
        <f t="shared" si="27"/>
        <v>0</v>
      </c>
      <c r="AH406" s="97">
        <f t="shared" si="28"/>
        <v>0</v>
      </c>
      <c r="AI406" s="97">
        <f t="shared" si="29"/>
        <v>0</v>
      </c>
      <c r="AJ406" s="97">
        <f t="shared" si="30"/>
        <v>0</v>
      </c>
      <c r="AK406" s="97" t="str">
        <f t="shared" si="31"/>
        <v/>
      </c>
      <c r="AL406" s="98">
        <f t="shared" ca="1" si="32"/>
        <v>1</v>
      </c>
      <c r="AM406" s="98">
        <f t="shared" ca="1" si="33"/>
        <v>58</v>
      </c>
      <c r="AN406" s="98">
        <f t="shared" ca="1" si="34"/>
        <v>0</v>
      </c>
      <c r="AO406" s="98">
        <f t="shared" ca="1" si="35"/>
        <v>0</v>
      </c>
      <c r="AP406" s="98">
        <f t="shared" ca="1" si="36"/>
        <v>0</v>
      </c>
      <c r="AQ406" s="98">
        <f t="shared" ca="1" si="37"/>
        <v>0</v>
      </c>
      <c r="AR406" s="98">
        <f t="shared" ca="1" si="38"/>
        <v>0</v>
      </c>
      <c r="AS406" s="99"/>
      <c r="AT406" s="98">
        <f t="shared" si="39"/>
        <v>1</v>
      </c>
    </row>
    <row r="407" spans="1:46" ht="15.75" customHeight="1">
      <c r="A407" s="76"/>
      <c r="B407" s="77">
        <f t="shared" ca="1" si="20"/>
        <v>1</v>
      </c>
      <c r="C407" s="78">
        <f t="shared" ca="1" si="21"/>
        <v>58</v>
      </c>
      <c r="D407" s="78">
        <f t="shared" ca="1" si="22"/>
        <v>1</v>
      </c>
      <c r="E407" s="78" t="str">
        <f t="shared" ca="1" si="23"/>
        <v/>
      </c>
      <c r="F407" s="78" t="str">
        <f t="shared" ca="1" si="24"/>
        <v/>
      </c>
      <c r="G407" s="79" t="str">
        <f t="shared" ca="1" si="25"/>
        <v/>
      </c>
      <c r="H407" s="80" t="str">
        <f t="shared" ca="1" si="26"/>
        <v/>
      </c>
      <c r="I407" s="100"/>
      <c r="J407" s="111"/>
      <c r="K407" s="111" t="s">
        <v>59</v>
      </c>
      <c r="L407" s="111"/>
      <c r="M407" s="111"/>
      <c r="N407" s="111"/>
      <c r="O407" s="111"/>
      <c r="P407" s="111"/>
      <c r="Q407" s="112"/>
      <c r="R407" s="113"/>
      <c r="S407" s="113"/>
      <c r="T407" s="115"/>
      <c r="U407" s="114"/>
      <c r="V407" s="115"/>
      <c r="W407" s="116"/>
      <c r="X407" s="117"/>
      <c r="Y407" s="118"/>
      <c r="Z407" s="119"/>
      <c r="AA407" s="92"/>
      <c r="AB407" s="93"/>
      <c r="AC407" s="94"/>
      <c r="AD407" s="95"/>
      <c r="AE407" s="96"/>
      <c r="AF407" s="97"/>
      <c r="AG407" s="97">
        <f t="shared" si="27"/>
        <v>0</v>
      </c>
      <c r="AH407" s="97">
        <f t="shared" si="28"/>
        <v>0</v>
      </c>
      <c r="AI407" s="97">
        <f t="shared" si="29"/>
        <v>0</v>
      </c>
      <c r="AJ407" s="97">
        <f t="shared" si="30"/>
        <v>0</v>
      </c>
      <c r="AK407" s="97" t="str">
        <f t="shared" si="31"/>
        <v/>
      </c>
      <c r="AL407" s="98">
        <f t="shared" ca="1" si="32"/>
        <v>1</v>
      </c>
      <c r="AM407" s="98">
        <f t="shared" ca="1" si="33"/>
        <v>58</v>
      </c>
      <c r="AN407" s="98">
        <f t="shared" ca="1" si="34"/>
        <v>1</v>
      </c>
      <c r="AO407" s="98">
        <f t="shared" ca="1" si="35"/>
        <v>0</v>
      </c>
      <c r="AP407" s="98">
        <f t="shared" ca="1" si="36"/>
        <v>0</v>
      </c>
      <c r="AQ407" s="98">
        <f t="shared" ca="1" si="37"/>
        <v>0</v>
      </c>
      <c r="AR407" s="98">
        <f t="shared" ca="1" si="38"/>
        <v>0</v>
      </c>
      <c r="AS407" s="99"/>
      <c r="AT407" s="98">
        <f t="shared" si="39"/>
        <v>1</v>
      </c>
    </row>
    <row r="408" spans="1:46" ht="15.75" customHeight="1">
      <c r="A408" s="76"/>
      <c r="B408" s="77">
        <f t="shared" ca="1" si="20"/>
        <v>1</v>
      </c>
      <c r="C408" s="78">
        <f t="shared" ca="1" si="21"/>
        <v>58</v>
      </c>
      <c r="D408" s="78">
        <f t="shared" ca="1" si="22"/>
        <v>2</v>
      </c>
      <c r="E408" s="78" t="str">
        <f t="shared" ca="1" si="23"/>
        <v/>
      </c>
      <c r="F408" s="78" t="str">
        <f t="shared" ca="1" si="24"/>
        <v/>
      </c>
      <c r="G408" s="79" t="str">
        <f t="shared" ca="1" si="25"/>
        <v/>
      </c>
      <c r="H408" s="80" t="str">
        <f t="shared" ca="1" si="26"/>
        <v/>
      </c>
      <c r="I408" s="100"/>
      <c r="J408" s="111"/>
      <c r="K408" s="111" t="s">
        <v>61</v>
      </c>
      <c r="L408" s="111"/>
      <c r="M408" s="111"/>
      <c r="N408" s="111"/>
      <c r="O408" s="111"/>
      <c r="P408" s="111"/>
      <c r="Q408" s="112"/>
      <c r="R408" s="113"/>
      <c r="S408" s="113"/>
      <c r="T408" s="115"/>
      <c r="U408" s="114"/>
      <c r="V408" s="115"/>
      <c r="W408" s="116"/>
      <c r="X408" s="117"/>
      <c r="Y408" s="118"/>
      <c r="Z408" s="119"/>
      <c r="AA408" s="92"/>
      <c r="AB408" s="93"/>
      <c r="AC408" s="94"/>
      <c r="AD408" s="95"/>
      <c r="AE408" s="96"/>
      <c r="AF408" s="97"/>
      <c r="AG408" s="97">
        <f t="shared" si="27"/>
        <v>0</v>
      </c>
      <c r="AH408" s="97">
        <f t="shared" si="28"/>
        <v>0</v>
      </c>
      <c r="AI408" s="97">
        <f t="shared" si="29"/>
        <v>0</v>
      </c>
      <c r="AJ408" s="97">
        <f t="shared" si="30"/>
        <v>0</v>
      </c>
      <c r="AK408" s="97" t="str">
        <f t="shared" si="31"/>
        <v/>
      </c>
      <c r="AL408" s="98">
        <f t="shared" ca="1" si="32"/>
        <v>1</v>
      </c>
      <c r="AM408" s="98">
        <f t="shared" ca="1" si="33"/>
        <v>58</v>
      </c>
      <c r="AN408" s="98">
        <f t="shared" ca="1" si="34"/>
        <v>2</v>
      </c>
      <c r="AO408" s="98">
        <f t="shared" ca="1" si="35"/>
        <v>0</v>
      </c>
      <c r="AP408" s="98">
        <f t="shared" ca="1" si="36"/>
        <v>0</v>
      </c>
      <c r="AQ408" s="98">
        <f t="shared" ca="1" si="37"/>
        <v>0</v>
      </c>
      <c r="AR408" s="98">
        <f t="shared" ca="1" si="38"/>
        <v>0</v>
      </c>
      <c r="AS408" s="99"/>
      <c r="AT408" s="98">
        <f t="shared" si="39"/>
        <v>1</v>
      </c>
    </row>
    <row r="409" spans="1:46" ht="15.75" customHeight="1">
      <c r="A409" s="76"/>
      <c r="B409" s="77">
        <f t="shared" ca="1" si="20"/>
        <v>1</v>
      </c>
      <c r="C409" s="78">
        <f t="shared" ca="1" si="21"/>
        <v>58</v>
      </c>
      <c r="D409" s="78">
        <f t="shared" ca="1" si="22"/>
        <v>3</v>
      </c>
      <c r="E409" s="78" t="str">
        <f t="shared" ca="1" si="23"/>
        <v/>
      </c>
      <c r="F409" s="78" t="str">
        <f t="shared" ca="1" si="24"/>
        <v/>
      </c>
      <c r="G409" s="79" t="str">
        <f t="shared" ca="1" si="25"/>
        <v/>
      </c>
      <c r="H409" s="80" t="str">
        <f t="shared" ca="1" si="26"/>
        <v/>
      </c>
      <c r="I409" s="100"/>
      <c r="J409" s="111"/>
      <c r="K409" s="111" t="s">
        <v>63</v>
      </c>
      <c r="L409" s="111"/>
      <c r="M409" s="111"/>
      <c r="N409" s="111"/>
      <c r="O409" s="111"/>
      <c r="P409" s="111"/>
      <c r="Q409" s="112"/>
      <c r="R409" s="113"/>
      <c r="S409" s="113"/>
      <c r="T409" s="115"/>
      <c r="U409" s="114"/>
      <c r="V409" s="115"/>
      <c r="W409" s="116"/>
      <c r="X409" s="117"/>
      <c r="Y409" s="118"/>
      <c r="Z409" s="119"/>
      <c r="AA409" s="92"/>
      <c r="AB409" s="93"/>
      <c r="AC409" s="94"/>
      <c r="AD409" s="95"/>
      <c r="AE409" s="96"/>
      <c r="AF409" s="97"/>
      <c r="AG409" s="97">
        <f t="shared" si="27"/>
        <v>0</v>
      </c>
      <c r="AH409" s="97">
        <f t="shared" si="28"/>
        <v>0</v>
      </c>
      <c r="AI409" s="97">
        <f t="shared" si="29"/>
        <v>0</v>
      </c>
      <c r="AJ409" s="97">
        <f t="shared" si="30"/>
        <v>0</v>
      </c>
      <c r="AK409" s="97" t="str">
        <f t="shared" si="31"/>
        <v/>
      </c>
      <c r="AL409" s="98">
        <f t="shared" ca="1" si="32"/>
        <v>1</v>
      </c>
      <c r="AM409" s="98">
        <f t="shared" ca="1" si="33"/>
        <v>58</v>
      </c>
      <c r="AN409" s="98">
        <f t="shared" ca="1" si="34"/>
        <v>3</v>
      </c>
      <c r="AO409" s="98">
        <f t="shared" ca="1" si="35"/>
        <v>0</v>
      </c>
      <c r="AP409" s="98">
        <f t="shared" ca="1" si="36"/>
        <v>0</v>
      </c>
      <c r="AQ409" s="98">
        <f t="shared" ca="1" si="37"/>
        <v>0</v>
      </c>
      <c r="AR409" s="98">
        <f t="shared" ca="1" si="38"/>
        <v>0</v>
      </c>
      <c r="AS409" s="99"/>
      <c r="AT409" s="98">
        <f t="shared" si="39"/>
        <v>1</v>
      </c>
    </row>
    <row r="410" spans="1:46" ht="15.75" customHeight="1">
      <c r="A410" s="76"/>
      <c r="B410" s="77">
        <f t="shared" ca="1" si="20"/>
        <v>1</v>
      </c>
      <c r="C410" s="78">
        <f t="shared" ca="1" si="21"/>
        <v>58</v>
      </c>
      <c r="D410" s="78">
        <f t="shared" ca="1" si="22"/>
        <v>4</v>
      </c>
      <c r="E410" s="78" t="str">
        <f t="shared" ca="1" si="23"/>
        <v/>
      </c>
      <c r="F410" s="78" t="str">
        <f t="shared" ca="1" si="24"/>
        <v/>
      </c>
      <c r="G410" s="79" t="str">
        <f t="shared" ca="1" si="25"/>
        <v/>
      </c>
      <c r="H410" s="80" t="str">
        <f t="shared" ca="1" si="26"/>
        <v/>
      </c>
      <c r="I410" s="100"/>
      <c r="J410" s="111"/>
      <c r="K410" s="111" t="s">
        <v>64</v>
      </c>
      <c r="L410" s="111"/>
      <c r="M410" s="111"/>
      <c r="N410" s="111"/>
      <c r="O410" s="111"/>
      <c r="P410" s="111"/>
      <c r="Q410" s="112"/>
      <c r="R410" s="113"/>
      <c r="S410" s="113"/>
      <c r="T410" s="115"/>
      <c r="U410" s="114"/>
      <c r="V410" s="115"/>
      <c r="W410" s="116"/>
      <c r="X410" s="117"/>
      <c r="Y410" s="118"/>
      <c r="Z410" s="119"/>
      <c r="AA410" s="92"/>
      <c r="AB410" s="93"/>
      <c r="AC410" s="94"/>
      <c r="AD410" s="95"/>
      <c r="AE410" s="96"/>
      <c r="AF410" s="97"/>
      <c r="AG410" s="97">
        <f t="shared" si="27"/>
        <v>0</v>
      </c>
      <c r="AH410" s="97">
        <f t="shared" si="28"/>
        <v>0</v>
      </c>
      <c r="AI410" s="97">
        <f t="shared" si="29"/>
        <v>0</v>
      </c>
      <c r="AJ410" s="97">
        <f t="shared" si="30"/>
        <v>0</v>
      </c>
      <c r="AK410" s="97" t="str">
        <f t="shared" si="31"/>
        <v/>
      </c>
      <c r="AL410" s="98">
        <f t="shared" ca="1" si="32"/>
        <v>1</v>
      </c>
      <c r="AM410" s="98">
        <f t="shared" ca="1" si="33"/>
        <v>58</v>
      </c>
      <c r="AN410" s="98">
        <f t="shared" ca="1" si="34"/>
        <v>4</v>
      </c>
      <c r="AO410" s="98">
        <f t="shared" ca="1" si="35"/>
        <v>0</v>
      </c>
      <c r="AP410" s="98">
        <f t="shared" ca="1" si="36"/>
        <v>0</v>
      </c>
      <c r="AQ410" s="98">
        <f t="shared" ca="1" si="37"/>
        <v>0</v>
      </c>
      <c r="AR410" s="98">
        <f t="shared" ca="1" si="38"/>
        <v>0</v>
      </c>
      <c r="AS410" s="99"/>
      <c r="AT410" s="98">
        <f t="shared" si="39"/>
        <v>1</v>
      </c>
    </row>
    <row r="411" spans="1:46" ht="15.75" customHeight="1">
      <c r="A411" s="76"/>
      <c r="B411" s="77">
        <f t="shared" ca="1" si="20"/>
        <v>1</v>
      </c>
      <c r="C411" s="78">
        <f t="shared" ca="1" si="21"/>
        <v>58</v>
      </c>
      <c r="D411" s="78">
        <f t="shared" ca="1" si="22"/>
        <v>5</v>
      </c>
      <c r="E411" s="78" t="str">
        <f t="shared" ca="1" si="23"/>
        <v/>
      </c>
      <c r="F411" s="78" t="str">
        <f t="shared" ca="1" si="24"/>
        <v/>
      </c>
      <c r="G411" s="79" t="str">
        <f t="shared" ca="1" si="25"/>
        <v/>
      </c>
      <c r="H411" s="80" t="str">
        <f t="shared" ca="1" si="26"/>
        <v/>
      </c>
      <c r="I411" s="100"/>
      <c r="J411" s="111"/>
      <c r="K411" s="111" t="s">
        <v>65</v>
      </c>
      <c r="L411" s="111"/>
      <c r="M411" s="111"/>
      <c r="N411" s="111"/>
      <c r="O411" s="111"/>
      <c r="P411" s="111"/>
      <c r="Q411" s="112"/>
      <c r="R411" s="113"/>
      <c r="S411" s="113"/>
      <c r="T411" s="115"/>
      <c r="U411" s="114"/>
      <c r="V411" s="115"/>
      <c r="W411" s="116"/>
      <c r="X411" s="117"/>
      <c r="Y411" s="118"/>
      <c r="Z411" s="119"/>
      <c r="AA411" s="92"/>
      <c r="AB411" s="93"/>
      <c r="AC411" s="94"/>
      <c r="AD411" s="95"/>
      <c r="AE411" s="96"/>
      <c r="AF411" s="97"/>
      <c r="AG411" s="97">
        <f t="shared" si="27"/>
        <v>0</v>
      </c>
      <c r="AH411" s="97">
        <f t="shared" si="28"/>
        <v>0</v>
      </c>
      <c r="AI411" s="97">
        <f t="shared" si="29"/>
        <v>0</v>
      </c>
      <c r="AJ411" s="97">
        <f t="shared" si="30"/>
        <v>0</v>
      </c>
      <c r="AK411" s="97" t="str">
        <f t="shared" si="31"/>
        <v/>
      </c>
      <c r="AL411" s="98">
        <f t="shared" ca="1" si="32"/>
        <v>1</v>
      </c>
      <c r="AM411" s="98">
        <f t="shared" ca="1" si="33"/>
        <v>58</v>
      </c>
      <c r="AN411" s="98">
        <f t="shared" ca="1" si="34"/>
        <v>5</v>
      </c>
      <c r="AO411" s="98">
        <f t="shared" ca="1" si="35"/>
        <v>0</v>
      </c>
      <c r="AP411" s="98">
        <f t="shared" ca="1" si="36"/>
        <v>0</v>
      </c>
      <c r="AQ411" s="98">
        <f t="shared" ca="1" si="37"/>
        <v>0</v>
      </c>
      <c r="AR411" s="98">
        <f t="shared" ca="1" si="38"/>
        <v>0</v>
      </c>
      <c r="AS411" s="99"/>
      <c r="AT411" s="98">
        <f t="shared" si="39"/>
        <v>1</v>
      </c>
    </row>
    <row r="412" spans="1:46" ht="15.75" customHeight="1">
      <c r="A412" s="76"/>
      <c r="B412" s="77">
        <f t="shared" ca="1" si="20"/>
        <v>1</v>
      </c>
      <c r="C412" s="78">
        <f t="shared" ca="1" si="21"/>
        <v>58</v>
      </c>
      <c r="D412" s="78">
        <f t="shared" ca="1" si="22"/>
        <v>6</v>
      </c>
      <c r="E412" s="78" t="str">
        <f t="shared" ca="1" si="23"/>
        <v/>
      </c>
      <c r="F412" s="78" t="str">
        <f t="shared" ca="1" si="24"/>
        <v/>
      </c>
      <c r="G412" s="79" t="str">
        <f t="shared" ca="1" si="25"/>
        <v/>
      </c>
      <c r="H412" s="80" t="str">
        <f t="shared" ca="1" si="26"/>
        <v/>
      </c>
      <c r="I412" s="100"/>
      <c r="J412" s="111"/>
      <c r="K412" s="111" t="s">
        <v>66</v>
      </c>
      <c r="L412" s="111"/>
      <c r="M412" s="111"/>
      <c r="N412" s="111"/>
      <c r="O412" s="111"/>
      <c r="P412" s="111"/>
      <c r="Q412" s="112"/>
      <c r="R412" s="113"/>
      <c r="S412" s="113"/>
      <c r="T412" s="115"/>
      <c r="U412" s="114"/>
      <c r="V412" s="115"/>
      <c r="W412" s="116"/>
      <c r="X412" s="117"/>
      <c r="Y412" s="118"/>
      <c r="Z412" s="119"/>
      <c r="AA412" s="92"/>
      <c r="AB412" s="93"/>
      <c r="AC412" s="94"/>
      <c r="AD412" s="95"/>
      <c r="AE412" s="96"/>
      <c r="AF412" s="97"/>
      <c r="AG412" s="97">
        <f t="shared" si="27"/>
        <v>0</v>
      </c>
      <c r="AH412" s="97">
        <f t="shared" si="28"/>
        <v>0</v>
      </c>
      <c r="AI412" s="97">
        <f t="shared" si="29"/>
        <v>0</v>
      </c>
      <c r="AJ412" s="97">
        <f t="shared" si="30"/>
        <v>0</v>
      </c>
      <c r="AK412" s="97" t="str">
        <f t="shared" si="31"/>
        <v/>
      </c>
      <c r="AL412" s="98">
        <f t="shared" ca="1" si="32"/>
        <v>1</v>
      </c>
      <c r="AM412" s="98">
        <f t="shared" ca="1" si="33"/>
        <v>58</v>
      </c>
      <c r="AN412" s="98">
        <f t="shared" ca="1" si="34"/>
        <v>6</v>
      </c>
      <c r="AO412" s="98">
        <f t="shared" ca="1" si="35"/>
        <v>0</v>
      </c>
      <c r="AP412" s="98">
        <f t="shared" ca="1" si="36"/>
        <v>0</v>
      </c>
      <c r="AQ412" s="98">
        <f t="shared" ca="1" si="37"/>
        <v>0</v>
      </c>
      <c r="AR412" s="98">
        <f t="shared" ca="1" si="38"/>
        <v>0</v>
      </c>
      <c r="AS412" s="99"/>
      <c r="AT412" s="98">
        <f t="shared" si="39"/>
        <v>1</v>
      </c>
    </row>
    <row r="413" spans="1:46" ht="15.75" customHeight="1">
      <c r="A413" s="76"/>
      <c r="B413" s="77">
        <f t="shared" ca="1" si="20"/>
        <v>1</v>
      </c>
      <c r="C413" s="78">
        <f t="shared" ca="1" si="21"/>
        <v>59</v>
      </c>
      <c r="D413" s="78" t="str">
        <f t="shared" ca="1" si="22"/>
        <v/>
      </c>
      <c r="E413" s="78" t="str">
        <f t="shared" ca="1" si="23"/>
        <v/>
      </c>
      <c r="F413" s="78" t="str">
        <f t="shared" ca="1" si="24"/>
        <v/>
      </c>
      <c r="G413" s="79" t="str">
        <f t="shared" ca="1" si="25"/>
        <v/>
      </c>
      <c r="H413" s="80" t="str">
        <f t="shared" ca="1" si="26"/>
        <v/>
      </c>
      <c r="I413" s="100"/>
      <c r="J413" s="101" t="s">
        <v>128</v>
      </c>
      <c r="K413" s="102"/>
      <c r="L413" s="102"/>
      <c r="M413" s="102"/>
      <c r="N413" s="102"/>
      <c r="O413" s="102"/>
      <c r="P413" s="102"/>
      <c r="Q413" s="103" t="s">
        <v>73</v>
      </c>
      <c r="R413" s="104"/>
      <c r="S413" s="104"/>
      <c r="T413" s="105"/>
      <c r="U413" s="106"/>
      <c r="V413" s="105"/>
      <c r="W413" s="107"/>
      <c r="X413" s="108"/>
      <c r="Y413" s="109"/>
      <c r="Z413" s="110"/>
      <c r="AA413" s="92"/>
      <c r="AB413" s="93"/>
      <c r="AC413" s="94"/>
      <c r="AD413" s="95"/>
      <c r="AE413" s="96"/>
      <c r="AF413" s="97"/>
      <c r="AG413" s="97">
        <f t="shared" si="27"/>
        <v>0</v>
      </c>
      <c r="AH413" s="97">
        <f t="shared" si="28"/>
        <v>0</v>
      </c>
      <c r="AI413" s="97">
        <f t="shared" si="29"/>
        <v>0</v>
      </c>
      <c r="AJ413" s="97">
        <f t="shared" si="30"/>
        <v>0</v>
      </c>
      <c r="AK413" s="97" t="str">
        <f t="shared" si="31"/>
        <v/>
      </c>
      <c r="AL413" s="98">
        <f t="shared" ca="1" si="32"/>
        <v>1</v>
      </c>
      <c r="AM413" s="98">
        <f t="shared" ca="1" si="33"/>
        <v>59</v>
      </c>
      <c r="AN413" s="98">
        <f t="shared" ca="1" si="34"/>
        <v>0</v>
      </c>
      <c r="AO413" s="98">
        <f t="shared" ca="1" si="35"/>
        <v>0</v>
      </c>
      <c r="AP413" s="98">
        <f t="shared" ca="1" si="36"/>
        <v>0</v>
      </c>
      <c r="AQ413" s="98">
        <f t="shared" ca="1" si="37"/>
        <v>0</v>
      </c>
      <c r="AR413" s="98">
        <f t="shared" ca="1" si="38"/>
        <v>0</v>
      </c>
      <c r="AS413" s="99"/>
      <c r="AT413" s="98">
        <f t="shared" si="39"/>
        <v>1</v>
      </c>
    </row>
    <row r="414" spans="1:46" ht="15.75" customHeight="1">
      <c r="A414" s="76"/>
      <c r="B414" s="77">
        <f t="shared" ca="1" si="20"/>
        <v>1</v>
      </c>
      <c r="C414" s="78">
        <f t="shared" ca="1" si="21"/>
        <v>59</v>
      </c>
      <c r="D414" s="78">
        <f t="shared" ca="1" si="22"/>
        <v>1</v>
      </c>
      <c r="E414" s="78" t="str">
        <f t="shared" ca="1" si="23"/>
        <v/>
      </c>
      <c r="F414" s="78" t="str">
        <f t="shared" ca="1" si="24"/>
        <v/>
      </c>
      <c r="G414" s="79" t="str">
        <f t="shared" ca="1" si="25"/>
        <v/>
      </c>
      <c r="H414" s="80" t="str">
        <f t="shared" ca="1" si="26"/>
        <v/>
      </c>
      <c r="I414" s="100"/>
      <c r="J414" s="111"/>
      <c r="K414" s="111" t="s">
        <v>59</v>
      </c>
      <c r="L414" s="111"/>
      <c r="M414" s="111"/>
      <c r="N414" s="111"/>
      <c r="O414" s="111"/>
      <c r="P414" s="111"/>
      <c r="Q414" s="128"/>
      <c r="R414" s="113"/>
      <c r="S414" s="113"/>
      <c r="T414" s="115"/>
      <c r="U414" s="114"/>
      <c r="V414" s="115"/>
      <c r="W414" s="116"/>
      <c r="X414" s="117"/>
      <c r="Y414" s="118"/>
      <c r="Z414" s="119"/>
      <c r="AA414" s="92"/>
      <c r="AB414" s="93"/>
      <c r="AC414" s="94"/>
      <c r="AD414" s="95"/>
      <c r="AE414" s="96"/>
      <c r="AF414" s="97"/>
      <c r="AG414" s="97">
        <f t="shared" si="27"/>
        <v>0</v>
      </c>
      <c r="AH414" s="97">
        <f t="shared" si="28"/>
        <v>0</v>
      </c>
      <c r="AI414" s="97">
        <f t="shared" si="29"/>
        <v>0</v>
      </c>
      <c r="AJ414" s="97">
        <f t="shared" si="30"/>
        <v>0</v>
      </c>
      <c r="AK414" s="97" t="str">
        <f t="shared" si="31"/>
        <v/>
      </c>
      <c r="AL414" s="98">
        <f t="shared" ca="1" si="32"/>
        <v>1</v>
      </c>
      <c r="AM414" s="98">
        <f t="shared" ca="1" si="33"/>
        <v>59</v>
      </c>
      <c r="AN414" s="98">
        <f t="shared" ca="1" si="34"/>
        <v>1</v>
      </c>
      <c r="AO414" s="98">
        <f t="shared" ca="1" si="35"/>
        <v>0</v>
      </c>
      <c r="AP414" s="98">
        <f t="shared" ca="1" si="36"/>
        <v>0</v>
      </c>
      <c r="AQ414" s="98">
        <f t="shared" ca="1" si="37"/>
        <v>0</v>
      </c>
      <c r="AR414" s="98">
        <f t="shared" ca="1" si="38"/>
        <v>0</v>
      </c>
      <c r="AS414" s="99"/>
      <c r="AT414" s="98">
        <f t="shared" si="39"/>
        <v>1</v>
      </c>
    </row>
    <row r="415" spans="1:46" ht="15.75" customHeight="1">
      <c r="A415" s="76"/>
      <c r="B415" s="77">
        <f t="shared" ca="1" si="20"/>
        <v>1</v>
      </c>
      <c r="C415" s="78">
        <f t="shared" ca="1" si="21"/>
        <v>59</v>
      </c>
      <c r="D415" s="78">
        <f t="shared" ca="1" si="22"/>
        <v>2</v>
      </c>
      <c r="E415" s="78" t="str">
        <f t="shared" ca="1" si="23"/>
        <v/>
      </c>
      <c r="F415" s="78" t="str">
        <f t="shared" ca="1" si="24"/>
        <v/>
      </c>
      <c r="G415" s="79" t="str">
        <f t="shared" ca="1" si="25"/>
        <v/>
      </c>
      <c r="H415" s="80" t="str">
        <f t="shared" ca="1" si="26"/>
        <v/>
      </c>
      <c r="I415" s="100"/>
      <c r="J415" s="111"/>
      <c r="K415" s="111" t="s">
        <v>61</v>
      </c>
      <c r="L415" s="111"/>
      <c r="M415" s="111"/>
      <c r="N415" s="111"/>
      <c r="O415" s="111"/>
      <c r="P415" s="111"/>
      <c r="Q415" s="128"/>
      <c r="R415" s="113"/>
      <c r="S415" s="113"/>
      <c r="T415" s="115"/>
      <c r="U415" s="114"/>
      <c r="V415" s="115"/>
      <c r="W415" s="116"/>
      <c r="X415" s="117"/>
      <c r="Y415" s="118"/>
      <c r="Z415" s="119"/>
      <c r="AA415" s="92"/>
      <c r="AB415" s="93"/>
      <c r="AC415" s="94"/>
      <c r="AD415" s="95"/>
      <c r="AE415" s="96"/>
      <c r="AF415" s="97"/>
      <c r="AG415" s="97">
        <f t="shared" si="27"/>
        <v>0</v>
      </c>
      <c r="AH415" s="97">
        <f t="shared" si="28"/>
        <v>0</v>
      </c>
      <c r="AI415" s="97">
        <f t="shared" si="29"/>
        <v>0</v>
      </c>
      <c r="AJ415" s="97">
        <f t="shared" si="30"/>
        <v>0</v>
      </c>
      <c r="AK415" s="97" t="str">
        <f t="shared" si="31"/>
        <v/>
      </c>
      <c r="AL415" s="98">
        <f t="shared" ca="1" si="32"/>
        <v>1</v>
      </c>
      <c r="AM415" s="98">
        <f t="shared" ca="1" si="33"/>
        <v>59</v>
      </c>
      <c r="AN415" s="98">
        <f t="shared" ca="1" si="34"/>
        <v>2</v>
      </c>
      <c r="AO415" s="98">
        <f t="shared" ca="1" si="35"/>
        <v>0</v>
      </c>
      <c r="AP415" s="98">
        <f t="shared" ca="1" si="36"/>
        <v>0</v>
      </c>
      <c r="AQ415" s="98">
        <f t="shared" ca="1" si="37"/>
        <v>0</v>
      </c>
      <c r="AR415" s="98">
        <f t="shared" ca="1" si="38"/>
        <v>0</v>
      </c>
      <c r="AS415" s="99"/>
      <c r="AT415" s="98">
        <f t="shared" si="39"/>
        <v>1</v>
      </c>
    </row>
    <row r="416" spans="1:46" ht="15.75" customHeight="1">
      <c r="A416" s="76"/>
      <c r="B416" s="77">
        <f t="shared" ca="1" si="20"/>
        <v>1</v>
      </c>
      <c r="C416" s="78">
        <f t="shared" ca="1" si="21"/>
        <v>59</v>
      </c>
      <c r="D416" s="78">
        <f t="shared" ca="1" si="22"/>
        <v>3</v>
      </c>
      <c r="E416" s="78" t="str">
        <f t="shared" ca="1" si="23"/>
        <v/>
      </c>
      <c r="F416" s="78" t="str">
        <f t="shared" ca="1" si="24"/>
        <v/>
      </c>
      <c r="G416" s="79" t="str">
        <f t="shared" ca="1" si="25"/>
        <v/>
      </c>
      <c r="H416" s="80" t="str">
        <f t="shared" ca="1" si="26"/>
        <v/>
      </c>
      <c r="I416" s="100"/>
      <c r="J416" s="111"/>
      <c r="K416" s="111" t="s">
        <v>63</v>
      </c>
      <c r="L416" s="111"/>
      <c r="M416" s="111"/>
      <c r="N416" s="111"/>
      <c r="O416" s="111"/>
      <c r="P416" s="111"/>
      <c r="Q416" s="128"/>
      <c r="R416" s="113"/>
      <c r="S416" s="113"/>
      <c r="T416" s="115"/>
      <c r="U416" s="114"/>
      <c r="V416" s="115"/>
      <c r="W416" s="116"/>
      <c r="X416" s="117"/>
      <c r="Y416" s="118"/>
      <c r="Z416" s="119"/>
      <c r="AA416" s="92"/>
      <c r="AB416" s="93"/>
      <c r="AC416" s="94"/>
      <c r="AD416" s="95"/>
      <c r="AE416" s="96"/>
      <c r="AF416" s="97"/>
      <c r="AG416" s="97">
        <f t="shared" si="27"/>
        <v>0</v>
      </c>
      <c r="AH416" s="97">
        <f t="shared" si="28"/>
        <v>0</v>
      </c>
      <c r="AI416" s="97">
        <f t="shared" si="29"/>
        <v>0</v>
      </c>
      <c r="AJ416" s="97">
        <f t="shared" si="30"/>
        <v>0</v>
      </c>
      <c r="AK416" s="97" t="str">
        <f t="shared" si="31"/>
        <v/>
      </c>
      <c r="AL416" s="98">
        <f t="shared" ca="1" si="32"/>
        <v>1</v>
      </c>
      <c r="AM416" s="98">
        <f t="shared" ca="1" si="33"/>
        <v>59</v>
      </c>
      <c r="AN416" s="98">
        <f t="shared" ca="1" si="34"/>
        <v>3</v>
      </c>
      <c r="AO416" s="98">
        <f t="shared" ca="1" si="35"/>
        <v>0</v>
      </c>
      <c r="AP416" s="98">
        <f t="shared" ca="1" si="36"/>
        <v>0</v>
      </c>
      <c r="AQ416" s="98">
        <f t="shared" ca="1" si="37"/>
        <v>0</v>
      </c>
      <c r="AR416" s="98">
        <f t="shared" ca="1" si="38"/>
        <v>0</v>
      </c>
      <c r="AS416" s="99"/>
      <c r="AT416" s="98">
        <f t="shared" si="39"/>
        <v>1</v>
      </c>
    </row>
    <row r="417" spans="1:46" ht="15.75" customHeight="1">
      <c r="A417" s="76"/>
      <c r="B417" s="77">
        <f t="shared" ca="1" si="20"/>
        <v>1</v>
      </c>
      <c r="C417" s="78">
        <f t="shared" ca="1" si="21"/>
        <v>59</v>
      </c>
      <c r="D417" s="78">
        <f t="shared" ca="1" si="22"/>
        <v>4</v>
      </c>
      <c r="E417" s="78" t="str">
        <f t="shared" ca="1" si="23"/>
        <v/>
      </c>
      <c r="F417" s="78" t="str">
        <f t="shared" ca="1" si="24"/>
        <v/>
      </c>
      <c r="G417" s="79" t="str">
        <f t="shared" ca="1" si="25"/>
        <v/>
      </c>
      <c r="H417" s="80" t="str">
        <f t="shared" ca="1" si="26"/>
        <v/>
      </c>
      <c r="I417" s="100"/>
      <c r="J417" s="111"/>
      <c r="K417" s="111" t="s">
        <v>64</v>
      </c>
      <c r="L417" s="111"/>
      <c r="M417" s="111"/>
      <c r="N417" s="111"/>
      <c r="O417" s="111"/>
      <c r="P417" s="111"/>
      <c r="Q417" s="128"/>
      <c r="R417" s="113"/>
      <c r="S417" s="113"/>
      <c r="T417" s="115"/>
      <c r="U417" s="114"/>
      <c r="V417" s="115"/>
      <c r="W417" s="116"/>
      <c r="X417" s="117"/>
      <c r="Y417" s="118"/>
      <c r="Z417" s="119"/>
      <c r="AA417" s="92"/>
      <c r="AB417" s="93"/>
      <c r="AC417" s="94"/>
      <c r="AD417" s="95"/>
      <c r="AE417" s="96"/>
      <c r="AF417" s="97"/>
      <c r="AG417" s="97">
        <f t="shared" si="27"/>
        <v>0</v>
      </c>
      <c r="AH417" s="97">
        <f t="shared" si="28"/>
        <v>0</v>
      </c>
      <c r="AI417" s="97">
        <f t="shared" si="29"/>
        <v>0</v>
      </c>
      <c r="AJ417" s="97">
        <f t="shared" si="30"/>
        <v>0</v>
      </c>
      <c r="AK417" s="97" t="str">
        <f t="shared" si="31"/>
        <v/>
      </c>
      <c r="AL417" s="98">
        <f t="shared" ca="1" si="32"/>
        <v>1</v>
      </c>
      <c r="AM417" s="98">
        <f t="shared" ca="1" si="33"/>
        <v>59</v>
      </c>
      <c r="AN417" s="98">
        <f t="shared" ca="1" si="34"/>
        <v>4</v>
      </c>
      <c r="AO417" s="98">
        <f t="shared" ca="1" si="35"/>
        <v>0</v>
      </c>
      <c r="AP417" s="98">
        <f t="shared" ca="1" si="36"/>
        <v>0</v>
      </c>
      <c r="AQ417" s="98">
        <f t="shared" ca="1" si="37"/>
        <v>0</v>
      </c>
      <c r="AR417" s="98">
        <f t="shared" ca="1" si="38"/>
        <v>0</v>
      </c>
      <c r="AS417" s="99"/>
      <c r="AT417" s="98">
        <f t="shared" si="39"/>
        <v>1</v>
      </c>
    </row>
    <row r="418" spans="1:46" ht="15.75" customHeight="1">
      <c r="A418" s="76"/>
      <c r="B418" s="77">
        <f t="shared" ca="1" si="20"/>
        <v>1</v>
      </c>
      <c r="C418" s="78">
        <f t="shared" ca="1" si="21"/>
        <v>59</v>
      </c>
      <c r="D418" s="78">
        <f t="shared" ca="1" si="22"/>
        <v>5</v>
      </c>
      <c r="E418" s="78" t="str">
        <f t="shared" ca="1" si="23"/>
        <v/>
      </c>
      <c r="F418" s="78" t="str">
        <f t="shared" ca="1" si="24"/>
        <v/>
      </c>
      <c r="G418" s="79" t="str">
        <f t="shared" ca="1" si="25"/>
        <v/>
      </c>
      <c r="H418" s="80" t="str">
        <f t="shared" ca="1" si="26"/>
        <v/>
      </c>
      <c r="I418" s="100"/>
      <c r="J418" s="111"/>
      <c r="K418" s="111" t="s">
        <v>65</v>
      </c>
      <c r="L418" s="111"/>
      <c r="M418" s="111"/>
      <c r="N418" s="111"/>
      <c r="O418" s="111"/>
      <c r="P418" s="111"/>
      <c r="Q418" s="128"/>
      <c r="R418" s="113"/>
      <c r="S418" s="113"/>
      <c r="T418" s="115"/>
      <c r="U418" s="114"/>
      <c r="V418" s="115"/>
      <c r="W418" s="116"/>
      <c r="X418" s="117"/>
      <c r="Y418" s="118"/>
      <c r="Z418" s="119"/>
      <c r="AA418" s="92"/>
      <c r="AB418" s="93"/>
      <c r="AC418" s="94"/>
      <c r="AD418" s="95"/>
      <c r="AE418" s="96"/>
      <c r="AF418" s="97"/>
      <c r="AG418" s="97">
        <f t="shared" si="27"/>
        <v>0</v>
      </c>
      <c r="AH418" s="97">
        <f t="shared" si="28"/>
        <v>0</v>
      </c>
      <c r="AI418" s="97">
        <f t="shared" si="29"/>
        <v>0</v>
      </c>
      <c r="AJ418" s="97">
        <f t="shared" si="30"/>
        <v>0</v>
      </c>
      <c r="AK418" s="97" t="str">
        <f t="shared" si="31"/>
        <v/>
      </c>
      <c r="AL418" s="98">
        <f t="shared" ca="1" si="32"/>
        <v>1</v>
      </c>
      <c r="AM418" s="98">
        <f t="shared" ca="1" si="33"/>
        <v>59</v>
      </c>
      <c r="AN418" s="98">
        <f t="shared" ca="1" si="34"/>
        <v>5</v>
      </c>
      <c r="AO418" s="98">
        <f t="shared" ca="1" si="35"/>
        <v>0</v>
      </c>
      <c r="AP418" s="98">
        <f t="shared" ca="1" si="36"/>
        <v>0</v>
      </c>
      <c r="AQ418" s="98">
        <f t="shared" ca="1" si="37"/>
        <v>0</v>
      </c>
      <c r="AR418" s="98">
        <f t="shared" ca="1" si="38"/>
        <v>0</v>
      </c>
      <c r="AS418" s="99"/>
      <c r="AT418" s="98">
        <f t="shared" si="39"/>
        <v>1</v>
      </c>
    </row>
    <row r="419" spans="1:46" ht="15.75" customHeight="1">
      <c r="A419" s="76"/>
      <c r="B419" s="77">
        <f t="shared" ca="1" si="20"/>
        <v>1</v>
      </c>
      <c r="C419" s="78">
        <f t="shared" ca="1" si="21"/>
        <v>59</v>
      </c>
      <c r="D419" s="78">
        <f t="shared" ca="1" si="22"/>
        <v>6</v>
      </c>
      <c r="E419" s="78" t="str">
        <f t="shared" ca="1" si="23"/>
        <v/>
      </c>
      <c r="F419" s="78" t="str">
        <f t="shared" ca="1" si="24"/>
        <v/>
      </c>
      <c r="G419" s="79" t="str">
        <f t="shared" ca="1" si="25"/>
        <v/>
      </c>
      <c r="H419" s="80" t="str">
        <f t="shared" ca="1" si="26"/>
        <v/>
      </c>
      <c r="I419" s="100"/>
      <c r="J419" s="111"/>
      <c r="K419" s="111" t="s">
        <v>66</v>
      </c>
      <c r="L419" s="111"/>
      <c r="M419" s="111"/>
      <c r="N419" s="111"/>
      <c r="O419" s="111"/>
      <c r="P419" s="111"/>
      <c r="Q419" s="128"/>
      <c r="R419" s="113"/>
      <c r="S419" s="113"/>
      <c r="T419" s="115"/>
      <c r="U419" s="114"/>
      <c r="V419" s="115"/>
      <c r="W419" s="116"/>
      <c r="X419" s="117"/>
      <c r="Y419" s="118"/>
      <c r="Z419" s="119"/>
      <c r="AA419" s="92"/>
      <c r="AB419" s="93"/>
      <c r="AC419" s="94"/>
      <c r="AD419" s="95"/>
      <c r="AE419" s="96"/>
      <c r="AF419" s="97"/>
      <c r="AG419" s="97">
        <f t="shared" si="27"/>
        <v>0</v>
      </c>
      <c r="AH419" s="97">
        <f t="shared" si="28"/>
        <v>0</v>
      </c>
      <c r="AI419" s="97">
        <f t="shared" si="29"/>
        <v>0</v>
      </c>
      <c r="AJ419" s="97">
        <f t="shared" si="30"/>
        <v>0</v>
      </c>
      <c r="AK419" s="97" t="str">
        <f t="shared" si="31"/>
        <v/>
      </c>
      <c r="AL419" s="98">
        <f t="shared" ca="1" si="32"/>
        <v>1</v>
      </c>
      <c r="AM419" s="98">
        <f t="shared" ca="1" si="33"/>
        <v>59</v>
      </c>
      <c r="AN419" s="98">
        <f t="shared" ca="1" si="34"/>
        <v>6</v>
      </c>
      <c r="AO419" s="98">
        <f t="shared" ca="1" si="35"/>
        <v>0</v>
      </c>
      <c r="AP419" s="98">
        <f t="shared" ca="1" si="36"/>
        <v>0</v>
      </c>
      <c r="AQ419" s="98">
        <f t="shared" ca="1" si="37"/>
        <v>0</v>
      </c>
      <c r="AR419" s="98">
        <f t="shared" ca="1" si="38"/>
        <v>0</v>
      </c>
      <c r="AS419" s="99"/>
      <c r="AT419" s="98">
        <f t="shared" si="39"/>
        <v>1</v>
      </c>
    </row>
    <row r="420" spans="1:46" ht="15.75" customHeight="1">
      <c r="A420" s="76"/>
      <c r="B420" s="77">
        <f t="shared" ca="1" si="20"/>
        <v>1</v>
      </c>
      <c r="C420" s="78">
        <f t="shared" ca="1" si="21"/>
        <v>60</v>
      </c>
      <c r="D420" s="78" t="str">
        <f t="shared" ca="1" si="22"/>
        <v/>
      </c>
      <c r="E420" s="78" t="str">
        <f t="shared" ca="1" si="23"/>
        <v/>
      </c>
      <c r="F420" s="78" t="str">
        <f t="shared" ca="1" si="24"/>
        <v/>
      </c>
      <c r="G420" s="79" t="str">
        <f t="shared" ca="1" si="25"/>
        <v/>
      </c>
      <c r="H420" s="80" t="str">
        <f t="shared" ca="1" si="26"/>
        <v/>
      </c>
      <c r="I420" s="100"/>
      <c r="J420" s="102" t="s">
        <v>129</v>
      </c>
      <c r="K420" s="102"/>
      <c r="L420" s="102"/>
      <c r="M420" s="102"/>
      <c r="N420" s="102"/>
      <c r="O420" s="102"/>
      <c r="P420" s="102"/>
      <c r="Q420" s="129"/>
      <c r="R420" s="103"/>
      <c r="S420" s="104"/>
      <c r="T420" s="105"/>
      <c r="U420" s="106"/>
      <c r="V420" s="105"/>
      <c r="W420" s="107"/>
      <c r="X420" s="108"/>
      <c r="Y420" s="109"/>
      <c r="Z420" s="110"/>
      <c r="AA420" s="92"/>
      <c r="AB420" s="93"/>
      <c r="AC420" s="94"/>
      <c r="AD420" s="95"/>
      <c r="AE420" s="96"/>
      <c r="AF420" s="97"/>
      <c r="AG420" s="97">
        <f t="shared" si="27"/>
        <v>0</v>
      </c>
      <c r="AH420" s="97">
        <f t="shared" si="28"/>
        <v>0</v>
      </c>
      <c r="AI420" s="97">
        <f t="shared" si="29"/>
        <v>0</v>
      </c>
      <c r="AJ420" s="97">
        <f t="shared" si="30"/>
        <v>0</v>
      </c>
      <c r="AK420" s="97" t="str">
        <f t="shared" si="31"/>
        <v/>
      </c>
      <c r="AL420" s="98">
        <f t="shared" ca="1" si="32"/>
        <v>1</v>
      </c>
      <c r="AM420" s="98">
        <f t="shared" ca="1" si="33"/>
        <v>60</v>
      </c>
      <c r="AN420" s="98">
        <f t="shared" ca="1" si="34"/>
        <v>0</v>
      </c>
      <c r="AO420" s="98">
        <f t="shared" ca="1" si="35"/>
        <v>0</v>
      </c>
      <c r="AP420" s="98">
        <f t="shared" ca="1" si="36"/>
        <v>0</v>
      </c>
      <c r="AQ420" s="98">
        <f t="shared" ca="1" si="37"/>
        <v>0</v>
      </c>
      <c r="AR420" s="98">
        <f t="shared" ca="1" si="38"/>
        <v>0</v>
      </c>
      <c r="AS420" s="99"/>
      <c r="AT420" s="98">
        <f t="shared" si="39"/>
        <v>1</v>
      </c>
    </row>
    <row r="421" spans="1:46" ht="15.75" customHeight="1">
      <c r="A421" s="76"/>
      <c r="B421" s="77">
        <f t="shared" ca="1" si="20"/>
        <v>1</v>
      </c>
      <c r="C421" s="78">
        <f t="shared" ca="1" si="21"/>
        <v>60</v>
      </c>
      <c r="D421" s="78">
        <f t="shared" ca="1" si="22"/>
        <v>1</v>
      </c>
      <c r="E421" s="78" t="str">
        <f t="shared" ca="1" si="23"/>
        <v/>
      </c>
      <c r="F421" s="78" t="str">
        <f t="shared" ca="1" si="24"/>
        <v/>
      </c>
      <c r="G421" s="79" t="str">
        <f t="shared" ca="1" si="25"/>
        <v/>
      </c>
      <c r="H421" s="80" t="str">
        <f t="shared" ca="1" si="26"/>
        <v/>
      </c>
      <c r="I421" s="100"/>
      <c r="J421" s="111"/>
      <c r="K421" s="111" t="s">
        <v>130</v>
      </c>
      <c r="L421" s="111"/>
      <c r="M421" s="111"/>
      <c r="N421" s="111"/>
      <c r="O421" s="111"/>
      <c r="P421" s="111"/>
      <c r="Q421" s="128"/>
      <c r="R421" s="112" t="s">
        <v>131</v>
      </c>
      <c r="S421" s="113"/>
      <c r="T421" s="115"/>
      <c r="U421" s="114"/>
      <c r="V421" s="115"/>
      <c r="W421" s="116">
        <v>0</v>
      </c>
      <c r="X421" s="117"/>
      <c r="Y421" s="118"/>
      <c r="Z421" s="119"/>
      <c r="AA421" s="92"/>
      <c r="AB421" s="93"/>
      <c r="AC421" s="94"/>
      <c r="AD421" s="95"/>
      <c r="AE421" s="96"/>
      <c r="AF421" s="97"/>
      <c r="AG421" s="97">
        <f t="shared" si="27"/>
        <v>0</v>
      </c>
      <c r="AH421" s="97">
        <f t="shared" si="28"/>
        <v>0</v>
      </c>
      <c r="AI421" s="97">
        <f t="shared" si="29"/>
        <v>0</v>
      </c>
      <c r="AJ421" s="97">
        <f t="shared" si="30"/>
        <v>0</v>
      </c>
      <c r="AK421" s="97" t="str">
        <f t="shared" si="31"/>
        <v/>
      </c>
      <c r="AL421" s="98">
        <f t="shared" ca="1" si="32"/>
        <v>1</v>
      </c>
      <c r="AM421" s="98">
        <f t="shared" ca="1" si="33"/>
        <v>60</v>
      </c>
      <c r="AN421" s="98">
        <f t="shared" ca="1" si="34"/>
        <v>1</v>
      </c>
      <c r="AO421" s="98">
        <f t="shared" ca="1" si="35"/>
        <v>0</v>
      </c>
      <c r="AP421" s="98">
        <f t="shared" ca="1" si="36"/>
        <v>0</v>
      </c>
      <c r="AQ421" s="98">
        <f t="shared" ca="1" si="37"/>
        <v>0</v>
      </c>
      <c r="AR421" s="98">
        <f t="shared" ca="1" si="38"/>
        <v>0</v>
      </c>
      <c r="AS421" s="99"/>
      <c r="AT421" s="98">
        <f t="shared" si="39"/>
        <v>1</v>
      </c>
    </row>
    <row r="422" spans="1:46" ht="15.75" customHeight="1">
      <c r="A422" s="76"/>
      <c r="B422" s="77">
        <f t="shared" ca="1" si="20"/>
        <v>1</v>
      </c>
      <c r="C422" s="78">
        <f t="shared" ca="1" si="21"/>
        <v>60</v>
      </c>
      <c r="D422" s="78">
        <f t="shared" ca="1" si="22"/>
        <v>2</v>
      </c>
      <c r="E422" s="78" t="str">
        <f t="shared" ca="1" si="23"/>
        <v/>
      </c>
      <c r="F422" s="78" t="str">
        <f t="shared" ca="1" si="24"/>
        <v/>
      </c>
      <c r="G422" s="79" t="str">
        <f t="shared" ca="1" si="25"/>
        <v/>
      </c>
      <c r="H422" s="80" t="str">
        <f t="shared" ca="1" si="26"/>
        <v/>
      </c>
      <c r="I422" s="100"/>
      <c r="J422" s="111"/>
      <c r="K422" s="111" t="s">
        <v>132</v>
      </c>
      <c r="L422" s="111"/>
      <c r="M422" s="111"/>
      <c r="N422" s="111"/>
      <c r="O422" s="111"/>
      <c r="P422" s="111"/>
      <c r="Q422" s="128"/>
      <c r="R422" s="112" t="s">
        <v>131</v>
      </c>
      <c r="S422" s="113"/>
      <c r="T422" s="115"/>
      <c r="U422" s="114"/>
      <c r="V422" s="115"/>
      <c r="W422" s="116">
        <v>0</v>
      </c>
      <c r="X422" s="117"/>
      <c r="Y422" s="118"/>
      <c r="Z422" s="119"/>
      <c r="AA422" s="92"/>
      <c r="AB422" s="93"/>
      <c r="AC422" s="94"/>
      <c r="AD422" s="95"/>
      <c r="AE422" s="96"/>
      <c r="AF422" s="97"/>
      <c r="AG422" s="97">
        <f t="shared" si="27"/>
        <v>0</v>
      </c>
      <c r="AH422" s="97">
        <f t="shared" si="28"/>
        <v>0</v>
      </c>
      <c r="AI422" s="97">
        <f t="shared" si="29"/>
        <v>0</v>
      </c>
      <c r="AJ422" s="97">
        <f t="shared" si="30"/>
        <v>0</v>
      </c>
      <c r="AK422" s="97" t="str">
        <f t="shared" si="31"/>
        <v/>
      </c>
      <c r="AL422" s="98">
        <f t="shared" ca="1" si="32"/>
        <v>1</v>
      </c>
      <c r="AM422" s="98">
        <f t="shared" ca="1" si="33"/>
        <v>60</v>
      </c>
      <c r="AN422" s="98">
        <f t="shared" ca="1" si="34"/>
        <v>2</v>
      </c>
      <c r="AO422" s="98">
        <f t="shared" ca="1" si="35"/>
        <v>0</v>
      </c>
      <c r="AP422" s="98">
        <f t="shared" ca="1" si="36"/>
        <v>0</v>
      </c>
      <c r="AQ422" s="98">
        <f t="shared" ca="1" si="37"/>
        <v>0</v>
      </c>
      <c r="AR422" s="98">
        <f t="shared" ca="1" si="38"/>
        <v>0</v>
      </c>
      <c r="AS422" s="99"/>
      <c r="AT422" s="98">
        <f t="shared" si="39"/>
        <v>1</v>
      </c>
    </row>
    <row r="423" spans="1:46" ht="15.75" customHeight="1">
      <c r="A423" s="76"/>
      <c r="B423" s="77">
        <f t="shared" ca="1" si="20"/>
        <v>1</v>
      </c>
      <c r="C423" s="78">
        <f t="shared" ca="1" si="21"/>
        <v>61</v>
      </c>
      <c r="D423" s="78" t="str">
        <f t="shared" ca="1" si="22"/>
        <v/>
      </c>
      <c r="E423" s="78" t="str">
        <f t="shared" ca="1" si="23"/>
        <v/>
      </c>
      <c r="F423" s="78" t="str">
        <f t="shared" ca="1" si="24"/>
        <v/>
      </c>
      <c r="G423" s="79" t="str">
        <f t="shared" ca="1" si="25"/>
        <v/>
      </c>
      <c r="H423" s="80" t="str">
        <f t="shared" ca="1" si="26"/>
        <v/>
      </c>
      <c r="I423" s="100"/>
      <c r="J423" s="111" t="s">
        <v>133</v>
      </c>
      <c r="K423" s="111"/>
      <c r="L423" s="111"/>
      <c r="M423" s="111"/>
      <c r="N423" s="111"/>
      <c r="O423" s="111"/>
      <c r="P423" s="111"/>
      <c r="Q423" s="128"/>
      <c r="R423" s="112" t="s">
        <v>134</v>
      </c>
      <c r="S423" s="113"/>
      <c r="T423" s="115"/>
      <c r="U423" s="114"/>
      <c r="V423" s="115"/>
      <c r="W423" s="116">
        <v>0</v>
      </c>
      <c r="X423" s="117"/>
      <c r="Y423" s="118"/>
      <c r="Z423" s="119"/>
      <c r="AA423" s="92"/>
      <c r="AB423" s="93"/>
      <c r="AC423" s="94"/>
      <c r="AD423" s="95"/>
      <c r="AE423" s="96"/>
      <c r="AF423" s="97"/>
      <c r="AG423" s="97">
        <f t="shared" si="27"/>
        <v>0</v>
      </c>
      <c r="AH423" s="97">
        <f t="shared" si="28"/>
        <v>0</v>
      </c>
      <c r="AI423" s="97">
        <f t="shared" si="29"/>
        <v>0</v>
      </c>
      <c r="AJ423" s="97">
        <f t="shared" si="30"/>
        <v>0</v>
      </c>
      <c r="AK423" s="97" t="str">
        <f t="shared" si="31"/>
        <v/>
      </c>
      <c r="AL423" s="98">
        <f t="shared" ca="1" si="32"/>
        <v>1</v>
      </c>
      <c r="AM423" s="98">
        <f t="shared" ca="1" si="33"/>
        <v>61</v>
      </c>
      <c r="AN423" s="98">
        <f t="shared" ca="1" si="34"/>
        <v>0</v>
      </c>
      <c r="AO423" s="98">
        <f t="shared" ca="1" si="35"/>
        <v>0</v>
      </c>
      <c r="AP423" s="98">
        <f t="shared" ca="1" si="36"/>
        <v>0</v>
      </c>
      <c r="AQ423" s="98">
        <f t="shared" ca="1" si="37"/>
        <v>0</v>
      </c>
      <c r="AR423" s="98">
        <f t="shared" ca="1" si="38"/>
        <v>0</v>
      </c>
      <c r="AS423" s="99"/>
      <c r="AT423" s="98">
        <f t="shared" si="39"/>
        <v>1</v>
      </c>
    </row>
    <row r="424" spans="1:46" ht="15.75" customHeight="1">
      <c r="A424" s="76"/>
      <c r="B424" s="77">
        <f t="shared" ca="1" si="20"/>
        <v>1</v>
      </c>
      <c r="C424" s="78">
        <f t="shared" ca="1" si="21"/>
        <v>62</v>
      </c>
      <c r="D424" s="78" t="str">
        <f t="shared" ca="1" si="22"/>
        <v/>
      </c>
      <c r="E424" s="78" t="str">
        <f t="shared" ca="1" si="23"/>
        <v/>
      </c>
      <c r="F424" s="78" t="str">
        <f t="shared" ca="1" si="24"/>
        <v/>
      </c>
      <c r="G424" s="79" t="str">
        <f t="shared" ca="1" si="25"/>
        <v/>
      </c>
      <c r="H424" s="80" t="str">
        <f t="shared" ca="1" si="26"/>
        <v/>
      </c>
      <c r="I424" s="100"/>
      <c r="J424" s="111" t="s">
        <v>135</v>
      </c>
      <c r="K424" s="111"/>
      <c r="L424" s="111"/>
      <c r="M424" s="111"/>
      <c r="N424" s="111"/>
      <c r="O424" s="111"/>
      <c r="P424" s="111"/>
      <c r="Q424" s="128"/>
      <c r="R424" s="112" t="s">
        <v>136</v>
      </c>
      <c r="S424" s="113"/>
      <c r="T424" s="115"/>
      <c r="U424" s="114"/>
      <c r="V424" s="115"/>
      <c r="W424" s="116">
        <v>0</v>
      </c>
      <c r="X424" s="117"/>
      <c r="Y424" s="118"/>
      <c r="Z424" s="119"/>
      <c r="AA424" s="92"/>
      <c r="AB424" s="93"/>
      <c r="AC424" s="94"/>
      <c r="AD424" s="95"/>
      <c r="AE424" s="96"/>
      <c r="AF424" s="97"/>
      <c r="AG424" s="97">
        <f t="shared" si="27"/>
        <v>0</v>
      </c>
      <c r="AH424" s="97">
        <f t="shared" si="28"/>
        <v>0</v>
      </c>
      <c r="AI424" s="97">
        <f t="shared" si="29"/>
        <v>0</v>
      </c>
      <c r="AJ424" s="97">
        <f t="shared" si="30"/>
        <v>0</v>
      </c>
      <c r="AK424" s="97" t="str">
        <f t="shared" si="31"/>
        <v/>
      </c>
      <c r="AL424" s="98">
        <f t="shared" ca="1" si="32"/>
        <v>1</v>
      </c>
      <c r="AM424" s="98">
        <f t="shared" ca="1" si="33"/>
        <v>62</v>
      </c>
      <c r="AN424" s="98">
        <f t="shared" ca="1" si="34"/>
        <v>0</v>
      </c>
      <c r="AO424" s="98">
        <f t="shared" ca="1" si="35"/>
        <v>0</v>
      </c>
      <c r="AP424" s="98">
        <f t="shared" ca="1" si="36"/>
        <v>0</v>
      </c>
      <c r="AQ424" s="98">
        <f t="shared" ca="1" si="37"/>
        <v>0</v>
      </c>
      <c r="AR424" s="98">
        <f t="shared" ca="1" si="38"/>
        <v>0</v>
      </c>
      <c r="AS424" s="99"/>
      <c r="AT424" s="98">
        <f t="shared" si="39"/>
        <v>1</v>
      </c>
    </row>
    <row r="425" spans="1:46" ht="15.75" customHeight="1">
      <c r="A425" s="76"/>
      <c r="B425" s="77">
        <f t="shared" ca="1" si="20"/>
        <v>1</v>
      </c>
      <c r="C425" s="78">
        <f t="shared" ca="1" si="21"/>
        <v>63</v>
      </c>
      <c r="D425" s="78" t="str">
        <f t="shared" ca="1" si="22"/>
        <v/>
      </c>
      <c r="E425" s="78" t="str">
        <f t="shared" ca="1" si="23"/>
        <v/>
      </c>
      <c r="F425" s="78" t="str">
        <f t="shared" ca="1" si="24"/>
        <v/>
      </c>
      <c r="G425" s="79" t="str">
        <f t="shared" ca="1" si="25"/>
        <v/>
      </c>
      <c r="H425" s="80" t="str">
        <f t="shared" ca="1" si="26"/>
        <v/>
      </c>
      <c r="I425" s="100"/>
      <c r="J425" s="111" t="s">
        <v>137</v>
      </c>
      <c r="K425" s="111"/>
      <c r="L425" s="111"/>
      <c r="M425" s="111"/>
      <c r="N425" s="111"/>
      <c r="O425" s="111"/>
      <c r="P425" s="111"/>
      <c r="Q425" s="128"/>
      <c r="R425" s="112" t="s">
        <v>138</v>
      </c>
      <c r="S425" s="113"/>
      <c r="T425" s="115"/>
      <c r="U425" s="114"/>
      <c r="V425" s="115"/>
      <c r="W425" s="116">
        <v>0</v>
      </c>
      <c r="X425" s="117"/>
      <c r="Y425" s="118"/>
      <c r="Z425" s="119"/>
      <c r="AA425" s="92"/>
      <c r="AB425" s="93"/>
      <c r="AC425" s="94"/>
      <c r="AD425" s="95"/>
      <c r="AE425" s="96"/>
      <c r="AF425" s="97"/>
      <c r="AG425" s="97">
        <f t="shared" si="27"/>
        <v>0</v>
      </c>
      <c r="AH425" s="97">
        <f t="shared" si="28"/>
        <v>0</v>
      </c>
      <c r="AI425" s="97">
        <f t="shared" si="29"/>
        <v>0</v>
      </c>
      <c r="AJ425" s="97">
        <f t="shared" si="30"/>
        <v>0</v>
      </c>
      <c r="AK425" s="97" t="str">
        <f t="shared" si="31"/>
        <v/>
      </c>
      <c r="AL425" s="98">
        <f t="shared" ca="1" si="32"/>
        <v>1</v>
      </c>
      <c r="AM425" s="98">
        <f t="shared" ca="1" si="33"/>
        <v>63</v>
      </c>
      <c r="AN425" s="98">
        <f t="shared" ca="1" si="34"/>
        <v>0</v>
      </c>
      <c r="AO425" s="98">
        <f t="shared" ca="1" si="35"/>
        <v>0</v>
      </c>
      <c r="AP425" s="98">
        <f t="shared" ca="1" si="36"/>
        <v>0</v>
      </c>
      <c r="AQ425" s="98">
        <f t="shared" ca="1" si="37"/>
        <v>0</v>
      </c>
      <c r="AR425" s="98">
        <f t="shared" ca="1" si="38"/>
        <v>0</v>
      </c>
      <c r="AS425" s="99"/>
      <c r="AT425" s="98">
        <f t="shared" si="39"/>
        <v>1</v>
      </c>
    </row>
    <row r="426" spans="1:46" ht="15.75" customHeight="1">
      <c r="A426" s="76"/>
      <c r="B426" s="77">
        <f t="shared" ca="1" si="20"/>
        <v>1</v>
      </c>
      <c r="C426" s="78">
        <f t="shared" ca="1" si="21"/>
        <v>64</v>
      </c>
      <c r="D426" s="78" t="str">
        <f t="shared" ca="1" si="22"/>
        <v/>
      </c>
      <c r="E426" s="78" t="str">
        <f t="shared" ca="1" si="23"/>
        <v/>
      </c>
      <c r="F426" s="78" t="str">
        <f t="shared" ca="1" si="24"/>
        <v/>
      </c>
      <c r="G426" s="79" t="str">
        <f t="shared" ca="1" si="25"/>
        <v/>
      </c>
      <c r="H426" s="80" t="str">
        <f t="shared" ca="1" si="26"/>
        <v/>
      </c>
      <c r="I426" s="100"/>
      <c r="J426" s="111" t="s">
        <v>139</v>
      </c>
      <c r="K426" s="111"/>
      <c r="L426" s="111"/>
      <c r="M426" s="111"/>
      <c r="N426" s="111"/>
      <c r="O426" s="111"/>
      <c r="P426" s="111"/>
      <c r="Q426" s="128"/>
      <c r="R426" s="112" t="s">
        <v>140</v>
      </c>
      <c r="S426" s="113"/>
      <c r="T426" s="115"/>
      <c r="U426" s="114"/>
      <c r="V426" s="115"/>
      <c r="W426" s="116">
        <v>0</v>
      </c>
      <c r="X426" s="117"/>
      <c r="Y426" s="118"/>
      <c r="Z426" s="119"/>
      <c r="AA426" s="92"/>
      <c r="AB426" s="93"/>
      <c r="AC426" s="94"/>
      <c r="AD426" s="95"/>
      <c r="AE426" s="96"/>
      <c r="AF426" s="97"/>
      <c r="AG426" s="97">
        <f t="shared" si="27"/>
        <v>0</v>
      </c>
      <c r="AH426" s="97">
        <f t="shared" si="28"/>
        <v>0</v>
      </c>
      <c r="AI426" s="97">
        <f t="shared" si="29"/>
        <v>0</v>
      </c>
      <c r="AJ426" s="97">
        <f t="shared" si="30"/>
        <v>0</v>
      </c>
      <c r="AK426" s="97" t="str">
        <f t="shared" si="31"/>
        <v/>
      </c>
      <c r="AL426" s="98">
        <f t="shared" ca="1" si="32"/>
        <v>1</v>
      </c>
      <c r="AM426" s="98">
        <f t="shared" ca="1" si="33"/>
        <v>64</v>
      </c>
      <c r="AN426" s="98">
        <f t="shared" ca="1" si="34"/>
        <v>0</v>
      </c>
      <c r="AO426" s="98">
        <f t="shared" ca="1" si="35"/>
        <v>0</v>
      </c>
      <c r="AP426" s="98">
        <f t="shared" ca="1" si="36"/>
        <v>0</v>
      </c>
      <c r="AQ426" s="98">
        <f t="shared" ca="1" si="37"/>
        <v>0</v>
      </c>
      <c r="AR426" s="98">
        <f t="shared" ca="1" si="38"/>
        <v>0</v>
      </c>
      <c r="AS426" s="99"/>
      <c r="AT426" s="98">
        <f t="shared" si="39"/>
        <v>1</v>
      </c>
    </row>
    <row r="427" spans="1:46" ht="15.75" customHeight="1"/>
    <row r="428" spans="1:46" ht="15.75" customHeight="1"/>
    <row r="429" spans="1:46" ht="15.75" customHeight="1"/>
    <row r="430" spans="1:46" ht="15.75" customHeight="1"/>
    <row r="431" spans="1:46" ht="15.75" customHeight="1"/>
    <row r="432" spans="1:46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</sheetData>
  <autoFilter ref="A5:AT426" xr:uid="{00000000-0009-0000-0000-000000000000}"/>
  <mergeCells count="8">
    <mergeCell ref="AB4:AC4"/>
    <mergeCell ref="AF4:AH4"/>
    <mergeCell ref="A1:V2"/>
    <mergeCell ref="B4:H4"/>
    <mergeCell ref="I4:O4"/>
    <mergeCell ref="S4:T4"/>
    <mergeCell ref="U4:V4"/>
    <mergeCell ref="W4:X4"/>
  </mergeCells>
  <phoneticPr fontId="1"/>
  <conditionalFormatting sqref="I6:N6">
    <cfRule type="expression" dxfId="34" priority="2" stopIfTrue="1">
      <formula>IF(I6&lt;&gt;"",IF(#REF!=100%,TRUE,FALSE))</formula>
    </cfRule>
  </conditionalFormatting>
  <conditionalFormatting sqref="U5:V1048576">
    <cfRule type="expression" dxfId="33" priority="1">
      <formula>AND(S5&lt;&gt;"",U5="",S5&lt;=$Z$1)</formula>
    </cfRule>
  </conditionalFormatting>
  <dataValidations count="1">
    <dataValidation type="list" allowBlank="1" showErrorMessage="1" sqref="AE6:AE426" xr:uid="{65E2146B-C6AF-45D9-B667-39B241E5D675}">
      <formula1>"RD,ED,ID,M/UT,ITa,Itb,ST,UAT,Other"</formula1>
    </dataValidation>
  </dataValidations>
  <pageMargins left="0.23622047244094491" right="0.11811023622047245" top="0.39" bottom="0.32" header="0" footer="0"/>
  <pageSetup paperSize="9" fitToHeight="0"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7559F-C803-414A-9A72-1C08D8469F5D}">
  <sheetPr codeName="Sheet9">
    <pageSetUpPr fitToPage="1"/>
  </sheetPr>
  <dimension ref="A1:AT1000"/>
  <sheetViews>
    <sheetView showGridLines="0" workbookViewId="0">
      <pane ySplit="5" topLeftCell="A6" activePane="bottomLeft" state="frozen"/>
      <selection pane="bottomLeft" activeCell="U5" sqref="U5:V1048576"/>
    </sheetView>
  </sheetViews>
  <sheetFormatPr defaultColWidth="11.35546875" defaultRowHeight="15" customHeight="1"/>
  <cols>
    <col min="1" max="1" width="2.35546875" style="137" customWidth="1"/>
    <col min="2" max="3" width="3.140625" style="137" customWidth="1"/>
    <col min="4" max="5" width="2.2109375" style="137" customWidth="1"/>
    <col min="6" max="8" width="2" style="137" customWidth="1"/>
    <col min="9" max="12" width="2.42578125" style="137" customWidth="1"/>
    <col min="13" max="15" width="2.35546875" style="137" customWidth="1"/>
    <col min="16" max="16" width="31" style="137" customWidth="1"/>
    <col min="17" max="17" width="6.92578125" style="137" customWidth="1"/>
    <col min="18" max="18" width="9.85546875" style="137" customWidth="1"/>
    <col min="19" max="22" width="10.0703125" style="137" customWidth="1"/>
    <col min="23" max="24" width="7.92578125" style="137" customWidth="1"/>
    <col min="25" max="25" width="5.5703125" style="137" customWidth="1"/>
    <col min="26" max="26" width="24.7109375" style="137" customWidth="1"/>
    <col min="27" max="27" width="20.85546875" style="137" customWidth="1"/>
    <col min="28" max="29" width="6.92578125" style="137" customWidth="1"/>
    <col min="30" max="30" width="13.78515625" style="137" customWidth="1"/>
    <col min="31" max="31" width="4.35546875" style="137" customWidth="1"/>
    <col min="32" max="34" width="7.7109375" style="137" customWidth="1"/>
    <col min="35" max="37" width="8.5" style="137" customWidth="1"/>
    <col min="38" max="46" width="7.0703125" style="137" customWidth="1"/>
    <col min="47" max="16384" width="11.35546875" style="137"/>
  </cols>
  <sheetData>
    <row r="1" spans="1:46" ht="25.5">
      <c r="A1" s="571" t="s">
        <v>141</v>
      </c>
      <c r="B1" s="572"/>
      <c r="C1" s="572"/>
      <c r="D1" s="572"/>
      <c r="E1" s="572"/>
      <c r="F1" s="572"/>
      <c r="G1" s="572"/>
      <c r="H1" s="572"/>
      <c r="I1" s="572"/>
      <c r="J1" s="572"/>
      <c r="K1" s="572"/>
      <c r="L1" s="572"/>
      <c r="M1" s="572"/>
      <c r="N1" s="572"/>
      <c r="O1" s="572"/>
      <c r="P1" s="572"/>
      <c r="Q1" s="572"/>
      <c r="R1" s="572"/>
      <c r="S1" s="572"/>
      <c r="T1" s="572"/>
      <c r="U1" s="572"/>
      <c r="V1" s="573"/>
      <c r="W1" s="130" t="s">
        <v>26</v>
      </c>
      <c r="X1" s="131"/>
      <c r="Y1" s="132" t="s">
        <v>27</v>
      </c>
      <c r="Z1" s="133">
        <f ca="1">Report_Day</f>
        <v>45821</v>
      </c>
      <c r="AA1" s="134">
        <f ca="1">Z1+7</f>
        <v>45828</v>
      </c>
      <c r="AB1" s="135"/>
      <c r="AC1" s="135"/>
      <c r="AD1" s="135"/>
      <c r="AE1" s="135"/>
      <c r="AF1" s="135"/>
      <c r="AG1" s="136"/>
      <c r="AH1" s="136"/>
      <c r="AI1" s="136"/>
      <c r="AJ1" s="136"/>
      <c r="AK1" s="136"/>
      <c r="AL1" s="135"/>
      <c r="AM1" s="135"/>
      <c r="AN1" s="135"/>
      <c r="AO1" s="135"/>
      <c r="AP1" s="135"/>
      <c r="AQ1" s="135"/>
      <c r="AR1" s="135"/>
      <c r="AS1" s="135"/>
      <c r="AT1" s="135"/>
    </row>
    <row r="2" spans="1:46" ht="26" thickBot="1">
      <c r="A2" s="574"/>
      <c r="B2" s="575"/>
      <c r="C2" s="575"/>
      <c r="D2" s="575"/>
      <c r="E2" s="575"/>
      <c r="F2" s="575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  <c r="U2" s="575"/>
      <c r="V2" s="576"/>
      <c r="W2" s="138" t="s">
        <v>28</v>
      </c>
      <c r="X2" s="139" t="s">
        <v>29</v>
      </c>
      <c r="Y2" s="140" t="s">
        <v>30</v>
      </c>
      <c r="Z2" s="141">
        <f ca="1">Report_Day</f>
        <v>45821</v>
      </c>
      <c r="AA2" s="136"/>
      <c r="AB2" s="142"/>
      <c r="AC2" s="142"/>
      <c r="AD2" s="142"/>
      <c r="AE2" s="142"/>
      <c r="AF2" s="136"/>
      <c r="AG2" s="136"/>
      <c r="AH2" s="136"/>
      <c r="AI2" s="136"/>
      <c r="AJ2" s="136"/>
      <c r="AK2" s="136"/>
      <c r="AL2" s="142"/>
      <c r="AM2" s="142"/>
      <c r="AN2" s="142"/>
      <c r="AO2" s="142"/>
      <c r="AP2" s="142"/>
      <c r="AQ2" s="142"/>
      <c r="AR2" s="142"/>
      <c r="AS2" s="142"/>
      <c r="AT2" s="142"/>
    </row>
    <row r="3" spans="1:46" ht="18.5">
      <c r="A3" s="143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4"/>
      <c r="M3" s="144"/>
      <c r="N3" s="144"/>
      <c r="O3" s="144"/>
      <c r="P3" s="142"/>
      <c r="Q3" s="142"/>
      <c r="R3" s="145"/>
      <c r="S3" s="142"/>
      <c r="T3" s="142"/>
      <c r="U3" s="142"/>
      <c r="V3" s="142"/>
      <c r="W3" s="142"/>
      <c r="X3" s="146"/>
      <c r="Y3" s="146"/>
      <c r="Z3" s="147"/>
      <c r="AA3" s="148"/>
      <c r="AB3" s="149"/>
      <c r="AC3" s="149"/>
      <c r="AD3" s="142"/>
      <c r="AE3" s="142"/>
      <c r="AF3" s="148"/>
      <c r="AG3" s="148"/>
      <c r="AH3" s="148"/>
      <c r="AI3" s="148"/>
      <c r="AJ3" s="148"/>
      <c r="AK3" s="148"/>
      <c r="AL3" s="142"/>
      <c r="AM3" s="142"/>
      <c r="AN3" s="142"/>
      <c r="AO3" s="142"/>
      <c r="AP3" s="142"/>
      <c r="AQ3" s="142"/>
      <c r="AR3" s="142"/>
      <c r="AS3" s="142"/>
      <c r="AT3" s="142"/>
    </row>
    <row r="4" spans="1:46" ht="18">
      <c r="A4" s="150"/>
      <c r="B4" s="577" t="s">
        <v>31</v>
      </c>
      <c r="C4" s="578"/>
      <c r="D4" s="578"/>
      <c r="E4" s="578"/>
      <c r="F4" s="578"/>
      <c r="G4" s="578"/>
      <c r="H4" s="578"/>
      <c r="I4" s="577" t="s">
        <v>32</v>
      </c>
      <c r="J4" s="578"/>
      <c r="K4" s="578"/>
      <c r="L4" s="578"/>
      <c r="M4" s="578"/>
      <c r="N4" s="578"/>
      <c r="O4" s="578"/>
      <c r="P4" s="151"/>
      <c r="Q4" s="152" t="s">
        <v>33</v>
      </c>
      <c r="R4" s="153" t="s">
        <v>34</v>
      </c>
      <c r="S4" s="579" t="s">
        <v>35</v>
      </c>
      <c r="T4" s="580"/>
      <c r="U4" s="579" t="s">
        <v>36</v>
      </c>
      <c r="V4" s="580"/>
      <c r="W4" s="567" t="s">
        <v>37</v>
      </c>
      <c r="X4" s="568"/>
      <c r="Y4" s="154" t="s">
        <v>38</v>
      </c>
      <c r="Z4" s="155"/>
      <c r="AA4" s="156" t="s">
        <v>39</v>
      </c>
      <c r="AB4" s="567" t="s">
        <v>37</v>
      </c>
      <c r="AC4" s="568"/>
      <c r="AD4" s="157" t="s">
        <v>40</v>
      </c>
      <c r="AE4" s="157" t="s">
        <v>41</v>
      </c>
      <c r="AF4" s="569" t="s">
        <v>42</v>
      </c>
      <c r="AG4" s="570"/>
      <c r="AH4" s="568"/>
      <c r="AI4" s="158" t="s">
        <v>43</v>
      </c>
      <c r="AJ4" s="158" t="s">
        <v>44</v>
      </c>
      <c r="AK4" s="158" t="s">
        <v>45</v>
      </c>
      <c r="AL4" s="159"/>
      <c r="AM4" s="159"/>
      <c r="AN4" s="159"/>
      <c r="AO4" s="159"/>
      <c r="AP4" s="159"/>
      <c r="AQ4" s="159"/>
      <c r="AR4" s="159"/>
      <c r="AS4" s="159"/>
      <c r="AT4" s="159"/>
    </row>
    <row r="5" spans="1:46" ht="18">
      <c r="A5" s="160"/>
      <c r="B5" s="161"/>
      <c r="C5" s="162"/>
      <c r="D5" s="162"/>
      <c r="E5" s="162"/>
      <c r="F5" s="162"/>
      <c r="G5" s="162"/>
      <c r="H5" s="162"/>
      <c r="I5" s="161"/>
      <c r="J5" s="162"/>
      <c r="K5" s="162"/>
      <c r="L5" s="162"/>
      <c r="M5" s="162"/>
      <c r="N5" s="162"/>
      <c r="O5" s="162"/>
      <c r="P5" s="163" t="s">
        <v>46</v>
      </c>
      <c r="Q5" s="164" t="s">
        <v>47</v>
      </c>
      <c r="R5" s="165"/>
      <c r="S5" s="166" t="s">
        <v>48</v>
      </c>
      <c r="T5" s="167" t="s">
        <v>49</v>
      </c>
      <c r="U5" s="166" t="s">
        <v>48</v>
      </c>
      <c r="V5" s="167" t="s">
        <v>49</v>
      </c>
      <c r="W5" s="168" t="s">
        <v>50</v>
      </c>
      <c r="X5" s="169" t="s">
        <v>36</v>
      </c>
      <c r="Y5" s="170" t="s">
        <v>51</v>
      </c>
      <c r="Z5" s="171"/>
      <c r="AA5" s="172"/>
      <c r="AB5" s="173" t="s">
        <v>52</v>
      </c>
      <c r="AC5" s="174" t="s">
        <v>53</v>
      </c>
      <c r="AD5" s="175"/>
      <c r="AE5" s="175"/>
      <c r="AF5" s="176" t="s">
        <v>33</v>
      </c>
      <c r="AG5" s="177" t="s">
        <v>54</v>
      </c>
      <c r="AH5" s="177" t="s">
        <v>55</v>
      </c>
      <c r="AI5" s="175"/>
      <c r="AJ5" s="175"/>
      <c r="AK5" s="175"/>
      <c r="AL5" s="159"/>
      <c r="AM5" s="159"/>
      <c r="AN5" s="159"/>
      <c r="AO5" s="159"/>
      <c r="AP5" s="159"/>
      <c r="AQ5" s="159"/>
      <c r="AR5" s="159"/>
      <c r="AS5" s="159"/>
      <c r="AT5" s="159"/>
    </row>
    <row r="6" spans="1:46" ht="18">
      <c r="A6" s="178"/>
      <c r="B6" s="179">
        <f t="shared" ref="B6:B146" ca="1" si="0">IF(AND(I6="",J6="",K6="",L6="",M6="",N6="",O6=""),"",IF(AL6=0,"",AL6))</f>
        <v>1</v>
      </c>
      <c r="C6" s="180" t="str">
        <f t="shared" ref="C6:C146" ca="1" si="1">IF(AND(I6="",J6="",K6="",L6="",M6="",N6="",O6=""),"",IF(AM6=0,"",AM6))</f>
        <v/>
      </c>
      <c r="D6" s="180" t="str">
        <f t="shared" ref="D6:D146" ca="1" si="2">IF(AND(I6="",J6="",K6="",L6="",M6="",N6="",O6=""),"",IF(AN6=0,"",AN6))</f>
        <v/>
      </c>
      <c r="E6" s="180" t="str">
        <f t="shared" ref="E6:E146" ca="1" si="3">IF(AND(I6="",J6="",K6="",L6="",M6="",N6="",O6=""),"",IF(AO6=0,"",AO6))</f>
        <v/>
      </c>
      <c r="F6" s="180" t="str">
        <f t="shared" ref="F6:F146" ca="1" si="4">IF(AND(I6="",J6="",K6="",L6="",M6="",N6="",O6=""),"",IF(AP6=0,"",AP6))</f>
        <v/>
      </c>
      <c r="G6" s="181" t="str">
        <f t="shared" ref="G6:G146" ca="1" si="5">IF(AND(I6="",J6="",K6="",L6="",M6="",N6="",O6=""),"",IF(AQ6=0,"",AQ6))</f>
        <v/>
      </c>
      <c r="H6" s="182" t="str">
        <f t="shared" ref="H6:H146" ca="1" si="6">IF(AND(I6="",J6="",K6="",L6="",M6="",N6="",O6=""),"",IF(AR6=0,"",AR6))</f>
        <v/>
      </c>
      <c r="I6" s="183" t="s">
        <v>142</v>
      </c>
      <c r="J6" s="184"/>
      <c r="K6" s="184"/>
      <c r="L6" s="185"/>
      <c r="M6" s="184"/>
      <c r="N6" s="184"/>
      <c r="O6" s="184"/>
      <c r="P6" s="184"/>
      <c r="Q6" s="186"/>
      <c r="R6" s="187"/>
      <c r="S6" s="188"/>
      <c r="T6" s="189"/>
      <c r="U6" s="188"/>
      <c r="V6" s="189"/>
      <c r="W6" s="190"/>
      <c r="X6" s="191"/>
      <c r="Y6" s="192"/>
      <c r="Z6" s="193"/>
      <c r="AA6" s="194"/>
      <c r="AB6" s="195"/>
      <c r="AC6" s="196"/>
      <c r="AD6" s="197"/>
      <c r="AE6" s="198"/>
      <c r="AF6" s="199"/>
      <c r="AG6" s="199">
        <f t="shared" ref="AG6:AG146" si="7">IF(T6&lt;&gt;"",IF(Z$1&gt;=T6,IF(S6&lt;&gt;"",IF(T6&gt;=S6,AF6,0),0),IF(S6&lt;&gt;"",IF(Z$1&gt;=S6,AF6*0.25,0),0)),IF(S6&lt;&gt;"",IF(Z$1&gt;=S6,AF6*0.25,0),0))</f>
        <v>0</v>
      </c>
      <c r="AH6" s="199">
        <f t="shared" ref="AH6:AH146" si="8">IF(T6&lt;&gt;"",IF(AA$1&gt;=T6,IF(S6&lt;&gt;"",IF(T6&gt;=S6,AF6,0),0),IF(S6&lt;&gt;"",IF(AA$1&gt;=S6,AF6*0.25,0),0)),IF(S6&lt;&gt;"",IF(AA$1&gt;=S6,AF6*0.25,0),0))</f>
        <v>0</v>
      </c>
      <c r="AI6" s="199">
        <f t="shared" ref="AI6:AI146" si="9">IF(V6&lt;&gt;"",AF6,IF(U6&lt;&gt;"",AF6*0.25,0))</f>
        <v>0</v>
      </c>
      <c r="AJ6" s="199">
        <f t="shared" ref="AJ6:AJ146" si="10">AI6-AG6</f>
        <v>0</v>
      </c>
      <c r="AK6" s="199" t="str">
        <f t="shared" ref="AK6:AK146" si="11">IF(ISERROR(AI6/AG6),"",AI6/AG6)</f>
        <v/>
      </c>
      <c r="AL6" s="200">
        <f t="shared" ref="AL6:AL146" ca="1" si="12">IF(I6="",OFFSET(AL6,-1,0),OFFSET(AL6,-1,0)+1)</f>
        <v>1</v>
      </c>
      <c r="AM6" s="200">
        <f t="shared" ref="AM6:AM146" ca="1" si="13">IF(I6&lt;&gt;"",0,IF(J6="",OFFSET(AM6,-1,0),OFFSET(AM6,-1,0)+1))</f>
        <v>0</v>
      </c>
      <c r="AN6" s="200">
        <f t="shared" ref="AN6:AN146" ca="1" si="14">IF(I6&lt;&gt;"",0,IF(J6&lt;&gt;"",0,IF(K6="",OFFSET(AN6,-1,0),OFFSET(AN6,-1,0)+1)))</f>
        <v>0</v>
      </c>
      <c r="AO6" s="200">
        <f t="shared" ref="AO6:AO146" ca="1" si="15">IF(I6&lt;&gt;"",0,IF(J6&lt;&gt;"",0,IF(K6&lt;&gt;"",0,IF(L6="",OFFSET(AO6,-1,0),OFFSET(AO6,-1,0)+1))))</f>
        <v>0</v>
      </c>
      <c r="AP6" s="200">
        <f t="shared" ref="AP6:AP146" ca="1" si="16">IF(I6&lt;&gt;"",0,IF(J6&lt;&gt;"",0,IF(K6&lt;&gt;"",0,IF(L6&lt;&gt;"",0,IF(M6="",OFFSET(AP6,-1,0),OFFSET(AP6,-1,0)+1)))))</f>
        <v>0</v>
      </c>
      <c r="AQ6" s="200">
        <f t="shared" ref="AQ6:AQ146" ca="1" si="17">IF(I6&lt;&gt;"",0,IF(J6&lt;&gt;"",0,IF(K6&lt;&gt;"",0,IF(L6&lt;&gt;"",0,IF(M6&lt;&gt;"",0,IF(N6="",OFFSET(AQ6,-1,0),OFFSET(AQ6,-1,0)+1))))))</f>
        <v>0</v>
      </c>
      <c r="AR6" s="200">
        <f t="shared" ref="AR6:AR146" ca="1" si="18">IF(I6&lt;&gt;"",0,IF(J6&lt;&gt;"",0,IF(K6&lt;&gt;"",0,IF(L6&lt;&gt;"",0,IF(M6&lt;&gt;"",0,IF(N6&lt;&gt;"",0,IF(O6="",OFFSET(AR6,-1,0),OFFSET(AR6,-1,0)+1)))))))</f>
        <v>0</v>
      </c>
      <c r="AS6" s="201"/>
      <c r="AT6" s="200">
        <f t="shared" ref="AT6:AT146" si="19">IF(((T6-S6)+1)&lt;0,0,((T6-S6)+1))</f>
        <v>1</v>
      </c>
    </row>
    <row r="7" spans="1:46" ht="18">
      <c r="A7" s="178"/>
      <c r="B7" s="179">
        <f t="shared" ca="1" si="0"/>
        <v>1</v>
      </c>
      <c r="C7" s="180">
        <f t="shared" ca="1" si="1"/>
        <v>1</v>
      </c>
      <c r="D7" s="180" t="str">
        <f t="shared" ca="1" si="2"/>
        <v/>
      </c>
      <c r="E7" s="180" t="str">
        <f t="shared" ca="1" si="3"/>
        <v/>
      </c>
      <c r="F7" s="180" t="str">
        <f t="shared" ca="1" si="4"/>
        <v/>
      </c>
      <c r="G7" s="181" t="str">
        <f t="shared" ca="1" si="5"/>
        <v/>
      </c>
      <c r="H7" s="182" t="str">
        <f t="shared" ca="1" si="6"/>
        <v/>
      </c>
      <c r="I7" s="202"/>
      <c r="J7" s="203" t="s">
        <v>143</v>
      </c>
      <c r="K7" s="204"/>
      <c r="L7" s="204"/>
      <c r="M7" s="204"/>
      <c r="N7" s="204"/>
      <c r="O7" s="204"/>
      <c r="P7" s="204"/>
      <c r="Q7" s="205" t="s">
        <v>58</v>
      </c>
      <c r="R7" s="206"/>
      <c r="S7" s="207"/>
      <c r="T7" s="208"/>
      <c r="U7" s="209"/>
      <c r="V7" s="208"/>
      <c r="W7" s="210"/>
      <c r="X7" s="211"/>
      <c r="Y7" s="212" t="s">
        <v>144</v>
      </c>
      <c r="Z7" s="213"/>
      <c r="AA7" s="194"/>
      <c r="AB7" s="195"/>
      <c r="AC7" s="196"/>
      <c r="AD7" s="197"/>
      <c r="AE7" s="198"/>
      <c r="AF7" s="199"/>
      <c r="AG7" s="199">
        <f t="shared" si="7"/>
        <v>0</v>
      </c>
      <c r="AH7" s="199">
        <f t="shared" si="8"/>
        <v>0</v>
      </c>
      <c r="AI7" s="199">
        <f t="shared" si="9"/>
        <v>0</v>
      </c>
      <c r="AJ7" s="199">
        <f t="shared" si="10"/>
        <v>0</v>
      </c>
      <c r="AK7" s="199" t="str">
        <f t="shared" si="11"/>
        <v/>
      </c>
      <c r="AL7" s="200">
        <f t="shared" ca="1" si="12"/>
        <v>1</v>
      </c>
      <c r="AM7" s="200">
        <f t="shared" ca="1" si="13"/>
        <v>1</v>
      </c>
      <c r="AN7" s="200">
        <f t="shared" ca="1" si="14"/>
        <v>0</v>
      </c>
      <c r="AO7" s="200">
        <f t="shared" ca="1" si="15"/>
        <v>0</v>
      </c>
      <c r="AP7" s="200">
        <f t="shared" ca="1" si="16"/>
        <v>0</v>
      </c>
      <c r="AQ7" s="200">
        <f t="shared" ca="1" si="17"/>
        <v>0</v>
      </c>
      <c r="AR7" s="200">
        <f t="shared" ca="1" si="18"/>
        <v>0</v>
      </c>
      <c r="AS7" s="201"/>
      <c r="AT7" s="200">
        <f t="shared" si="19"/>
        <v>1</v>
      </c>
    </row>
    <row r="8" spans="1:46" ht="18">
      <c r="A8" s="178"/>
      <c r="B8" s="179">
        <f t="shared" ca="1" si="0"/>
        <v>1</v>
      </c>
      <c r="C8" s="180">
        <f t="shared" ca="1" si="1"/>
        <v>1</v>
      </c>
      <c r="D8" s="180">
        <f t="shared" ca="1" si="2"/>
        <v>1</v>
      </c>
      <c r="E8" s="180" t="str">
        <f t="shared" ca="1" si="3"/>
        <v/>
      </c>
      <c r="F8" s="180" t="str">
        <f t="shared" ca="1" si="4"/>
        <v/>
      </c>
      <c r="G8" s="181" t="str">
        <f t="shared" ca="1" si="5"/>
        <v/>
      </c>
      <c r="H8" s="182" t="str">
        <f t="shared" ca="1" si="6"/>
        <v/>
      </c>
      <c r="I8" s="202"/>
      <c r="J8" s="214"/>
      <c r="K8" s="214" t="s">
        <v>59</v>
      </c>
      <c r="L8" s="214"/>
      <c r="M8" s="214"/>
      <c r="N8" s="214"/>
      <c r="O8" s="214"/>
      <c r="P8" s="214"/>
      <c r="Q8" s="215"/>
      <c r="R8" s="216"/>
      <c r="S8" s="217"/>
      <c r="T8" s="218"/>
      <c r="U8" s="219"/>
      <c r="V8" s="218"/>
      <c r="W8" s="220">
        <v>0</v>
      </c>
      <c r="X8" s="221"/>
      <c r="Y8" s="222"/>
      <c r="Z8" s="223"/>
      <c r="AA8" s="194"/>
      <c r="AB8" s="195"/>
      <c r="AC8" s="196"/>
      <c r="AD8" s="197"/>
      <c r="AE8" s="198"/>
      <c r="AF8" s="199"/>
      <c r="AG8" s="199">
        <f t="shared" si="7"/>
        <v>0</v>
      </c>
      <c r="AH8" s="199">
        <f t="shared" si="8"/>
        <v>0</v>
      </c>
      <c r="AI8" s="199">
        <f t="shared" si="9"/>
        <v>0</v>
      </c>
      <c r="AJ8" s="199">
        <f t="shared" si="10"/>
        <v>0</v>
      </c>
      <c r="AK8" s="199" t="str">
        <f t="shared" si="11"/>
        <v/>
      </c>
      <c r="AL8" s="200">
        <f t="shared" ca="1" si="12"/>
        <v>1</v>
      </c>
      <c r="AM8" s="200">
        <f t="shared" ca="1" si="13"/>
        <v>1</v>
      </c>
      <c r="AN8" s="200">
        <f t="shared" ca="1" si="14"/>
        <v>1</v>
      </c>
      <c r="AO8" s="200">
        <f t="shared" ca="1" si="15"/>
        <v>0</v>
      </c>
      <c r="AP8" s="200">
        <f t="shared" ca="1" si="16"/>
        <v>0</v>
      </c>
      <c r="AQ8" s="200">
        <f t="shared" ca="1" si="17"/>
        <v>0</v>
      </c>
      <c r="AR8" s="200">
        <f t="shared" ca="1" si="18"/>
        <v>0</v>
      </c>
      <c r="AS8" s="201"/>
      <c r="AT8" s="200">
        <f t="shared" si="19"/>
        <v>1</v>
      </c>
    </row>
    <row r="9" spans="1:46" ht="18">
      <c r="A9" s="178"/>
      <c r="B9" s="179">
        <f t="shared" ca="1" si="0"/>
        <v>1</v>
      </c>
      <c r="C9" s="180">
        <f t="shared" ca="1" si="1"/>
        <v>1</v>
      </c>
      <c r="D9" s="180">
        <f t="shared" ca="1" si="2"/>
        <v>2</v>
      </c>
      <c r="E9" s="180" t="str">
        <f t="shared" ca="1" si="3"/>
        <v/>
      </c>
      <c r="F9" s="180" t="str">
        <f t="shared" ca="1" si="4"/>
        <v/>
      </c>
      <c r="G9" s="181" t="str">
        <f t="shared" ca="1" si="5"/>
        <v/>
      </c>
      <c r="H9" s="182" t="str">
        <f t="shared" ca="1" si="6"/>
        <v/>
      </c>
      <c r="I9" s="202"/>
      <c r="J9" s="214"/>
      <c r="K9" s="214" t="s">
        <v>145</v>
      </c>
      <c r="L9" s="214"/>
      <c r="M9" s="214"/>
      <c r="N9" s="214"/>
      <c r="O9" s="214"/>
      <c r="P9" s="214"/>
      <c r="Q9" s="215"/>
      <c r="R9" s="216"/>
      <c r="S9" s="217"/>
      <c r="T9" s="218"/>
      <c r="U9" s="219"/>
      <c r="V9" s="218"/>
      <c r="W9" s="220">
        <v>0</v>
      </c>
      <c r="X9" s="221"/>
      <c r="Y9" s="222"/>
      <c r="Z9" s="223"/>
      <c r="AA9" s="194"/>
      <c r="AB9" s="195"/>
      <c r="AC9" s="196"/>
      <c r="AD9" s="197"/>
      <c r="AE9" s="198"/>
      <c r="AF9" s="199"/>
      <c r="AG9" s="199">
        <f t="shared" si="7"/>
        <v>0</v>
      </c>
      <c r="AH9" s="199">
        <f t="shared" si="8"/>
        <v>0</v>
      </c>
      <c r="AI9" s="199">
        <f t="shared" si="9"/>
        <v>0</v>
      </c>
      <c r="AJ9" s="199">
        <f t="shared" si="10"/>
        <v>0</v>
      </c>
      <c r="AK9" s="199" t="str">
        <f t="shared" si="11"/>
        <v/>
      </c>
      <c r="AL9" s="200">
        <f t="shared" ca="1" si="12"/>
        <v>1</v>
      </c>
      <c r="AM9" s="200">
        <f t="shared" ca="1" si="13"/>
        <v>1</v>
      </c>
      <c r="AN9" s="200">
        <f t="shared" ca="1" si="14"/>
        <v>2</v>
      </c>
      <c r="AO9" s="200">
        <f t="shared" ca="1" si="15"/>
        <v>0</v>
      </c>
      <c r="AP9" s="200">
        <f t="shared" ca="1" si="16"/>
        <v>0</v>
      </c>
      <c r="AQ9" s="200">
        <f t="shared" ca="1" si="17"/>
        <v>0</v>
      </c>
      <c r="AR9" s="200">
        <f t="shared" ca="1" si="18"/>
        <v>0</v>
      </c>
      <c r="AS9" s="201"/>
      <c r="AT9" s="200">
        <f t="shared" si="19"/>
        <v>1</v>
      </c>
    </row>
    <row r="10" spans="1:46" ht="18">
      <c r="A10" s="178"/>
      <c r="B10" s="179">
        <f t="shared" ca="1" si="0"/>
        <v>1</v>
      </c>
      <c r="C10" s="180">
        <f t="shared" ca="1" si="1"/>
        <v>1</v>
      </c>
      <c r="D10" s="180">
        <f t="shared" ca="1" si="2"/>
        <v>3</v>
      </c>
      <c r="E10" s="180" t="str">
        <f t="shared" ca="1" si="3"/>
        <v/>
      </c>
      <c r="F10" s="180" t="str">
        <f t="shared" ca="1" si="4"/>
        <v/>
      </c>
      <c r="G10" s="181" t="str">
        <f t="shared" ca="1" si="5"/>
        <v/>
      </c>
      <c r="H10" s="182" t="str">
        <f t="shared" ca="1" si="6"/>
        <v/>
      </c>
      <c r="I10" s="202"/>
      <c r="J10" s="214"/>
      <c r="K10" s="214" t="s">
        <v>63</v>
      </c>
      <c r="L10" s="214"/>
      <c r="M10" s="214"/>
      <c r="N10" s="214"/>
      <c r="O10" s="214"/>
      <c r="P10" s="214"/>
      <c r="Q10" s="215"/>
      <c r="R10" s="216"/>
      <c r="S10" s="217"/>
      <c r="T10" s="218"/>
      <c r="U10" s="219"/>
      <c r="V10" s="218"/>
      <c r="W10" s="220">
        <v>0</v>
      </c>
      <c r="X10" s="221"/>
      <c r="Y10" s="222"/>
      <c r="Z10" s="223"/>
      <c r="AA10" s="194"/>
      <c r="AB10" s="195"/>
      <c r="AC10" s="196"/>
      <c r="AD10" s="197"/>
      <c r="AE10" s="198"/>
      <c r="AF10" s="199"/>
      <c r="AG10" s="199">
        <f t="shared" si="7"/>
        <v>0</v>
      </c>
      <c r="AH10" s="199">
        <f t="shared" si="8"/>
        <v>0</v>
      </c>
      <c r="AI10" s="199">
        <f t="shared" si="9"/>
        <v>0</v>
      </c>
      <c r="AJ10" s="199">
        <f t="shared" si="10"/>
        <v>0</v>
      </c>
      <c r="AK10" s="199" t="str">
        <f t="shared" si="11"/>
        <v/>
      </c>
      <c r="AL10" s="200">
        <f t="shared" ca="1" si="12"/>
        <v>1</v>
      </c>
      <c r="AM10" s="200">
        <f t="shared" ca="1" si="13"/>
        <v>1</v>
      </c>
      <c r="AN10" s="200">
        <f t="shared" ca="1" si="14"/>
        <v>3</v>
      </c>
      <c r="AO10" s="200">
        <f t="shared" ca="1" si="15"/>
        <v>0</v>
      </c>
      <c r="AP10" s="200">
        <f t="shared" ca="1" si="16"/>
        <v>0</v>
      </c>
      <c r="AQ10" s="200">
        <f t="shared" ca="1" si="17"/>
        <v>0</v>
      </c>
      <c r="AR10" s="200">
        <f t="shared" ca="1" si="18"/>
        <v>0</v>
      </c>
      <c r="AS10" s="201"/>
      <c r="AT10" s="200">
        <f t="shared" si="19"/>
        <v>1</v>
      </c>
    </row>
    <row r="11" spans="1:46" ht="18">
      <c r="A11" s="178"/>
      <c r="B11" s="179">
        <f t="shared" ca="1" si="0"/>
        <v>1</v>
      </c>
      <c r="C11" s="180">
        <f t="shared" ca="1" si="1"/>
        <v>1</v>
      </c>
      <c r="D11" s="180">
        <f t="shared" ca="1" si="2"/>
        <v>4</v>
      </c>
      <c r="E11" s="180" t="str">
        <f t="shared" ca="1" si="3"/>
        <v/>
      </c>
      <c r="F11" s="180" t="str">
        <f t="shared" ca="1" si="4"/>
        <v/>
      </c>
      <c r="G11" s="181" t="str">
        <f t="shared" ca="1" si="5"/>
        <v/>
      </c>
      <c r="H11" s="182" t="str">
        <f t="shared" ca="1" si="6"/>
        <v/>
      </c>
      <c r="I11" s="202"/>
      <c r="J11" s="214"/>
      <c r="K11" s="214" t="s">
        <v>64</v>
      </c>
      <c r="L11" s="214"/>
      <c r="M11" s="214"/>
      <c r="N11" s="214"/>
      <c r="O11" s="214"/>
      <c r="P11" s="214"/>
      <c r="Q11" s="215"/>
      <c r="R11" s="216"/>
      <c r="S11" s="217"/>
      <c r="T11" s="218"/>
      <c r="U11" s="219"/>
      <c r="V11" s="218"/>
      <c r="W11" s="220">
        <v>0</v>
      </c>
      <c r="X11" s="221"/>
      <c r="Y11" s="222"/>
      <c r="Z11" s="223"/>
      <c r="AA11" s="194"/>
      <c r="AB11" s="195"/>
      <c r="AC11" s="196"/>
      <c r="AD11" s="197"/>
      <c r="AE11" s="198"/>
      <c r="AF11" s="199"/>
      <c r="AG11" s="199">
        <f t="shared" si="7"/>
        <v>0</v>
      </c>
      <c r="AH11" s="199">
        <f t="shared" si="8"/>
        <v>0</v>
      </c>
      <c r="AI11" s="199">
        <f t="shared" si="9"/>
        <v>0</v>
      </c>
      <c r="AJ11" s="199">
        <f t="shared" si="10"/>
        <v>0</v>
      </c>
      <c r="AK11" s="199" t="str">
        <f t="shared" si="11"/>
        <v/>
      </c>
      <c r="AL11" s="200">
        <f t="shared" ca="1" si="12"/>
        <v>1</v>
      </c>
      <c r="AM11" s="200">
        <f t="shared" ca="1" si="13"/>
        <v>1</v>
      </c>
      <c r="AN11" s="200">
        <f t="shared" ca="1" si="14"/>
        <v>4</v>
      </c>
      <c r="AO11" s="200">
        <f t="shared" ca="1" si="15"/>
        <v>0</v>
      </c>
      <c r="AP11" s="200">
        <f t="shared" ca="1" si="16"/>
        <v>0</v>
      </c>
      <c r="AQ11" s="200">
        <f t="shared" ca="1" si="17"/>
        <v>0</v>
      </c>
      <c r="AR11" s="200">
        <f t="shared" ca="1" si="18"/>
        <v>0</v>
      </c>
      <c r="AS11" s="201"/>
      <c r="AT11" s="200">
        <f t="shared" si="19"/>
        <v>1</v>
      </c>
    </row>
    <row r="12" spans="1:46" ht="18">
      <c r="A12" s="178"/>
      <c r="B12" s="179">
        <f t="shared" ca="1" si="0"/>
        <v>1</v>
      </c>
      <c r="C12" s="180">
        <f t="shared" ca="1" si="1"/>
        <v>1</v>
      </c>
      <c r="D12" s="180">
        <f t="shared" ca="1" si="2"/>
        <v>5</v>
      </c>
      <c r="E12" s="180" t="str">
        <f t="shared" ca="1" si="3"/>
        <v/>
      </c>
      <c r="F12" s="180" t="str">
        <f t="shared" ca="1" si="4"/>
        <v/>
      </c>
      <c r="G12" s="181" t="str">
        <f t="shared" ca="1" si="5"/>
        <v/>
      </c>
      <c r="H12" s="182" t="str">
        <f t="shared" ca="1" si="6"/>
        <v/>
      </c>
      <c r="I12" s="202"/>
      <c r="J12" s="214"/>
      <c r="K12" s="214" t="s">
        <v>65</v>
      </c>
      <c r="L12" s="214"/>
      <c r="M12" s="214"/>
      <c r="N12" s="214"/>
      <c r="O12" s="214"/>
      <c r="P12" s="214"/>
      <c r="Q12" s="215"/>
      <c r="R12" s="216"/>
      <c r="S12" s="217"/>
      <c r="T12" s="218"/>
      <c r="U12" s="219"/>
      <c r="V12" s="218"/>
      <c r="W12" s="220">
        <v>0</v>
      </c>
      <c r="X12" s="221"/>
      <c r="Y12" s="222"/>
      <c r="Z12" s="223"/>
      <c r="AA12" s="194"/>
      <c r="AB12" s="195"/>
      <c r="AC12" s="196"/>
      <c r="AD12" s="197"/>
      <c r="AE12" s="198"/>
      <c r="AF12" s="199"/>
      <c r="AG12" s="199">
        <f t="shared" si="7"/>
        <v>0</v>
      </c>
      <c r="AH12" s="199">
        <f t="shared" si="8"/>
        <v>0</v>
      </c>
      <c r="AI12" s="199">
        <f t="shared" si="9"/>
        <v>0</v>
      </c>
      <c r="AJ12" s="199">
        <f t="shared" si="10"/>
        <v>0</v>
      </c>
      <c r="AK12" s="199" t="str">
        <f t="shared" si="11"/>
        <v/>
      </c>
      <c r="AL12" s="200">
        <f t="shared" ca="1" si="12"/>
        <v>1</v>
      </c>
      <c r="AM12" s="200">
        <f t="shared" ca="1" si="13"/>
        <v>1</v>
      </c>
      <c r="AN12" s="200">
        <f t="shared" ca="1" si="14"/>
        <v>5</v>
      </c>
      <c r="AO12" s="200">
        <f t="shared" ca="1" si="15"/>
        <v>0</v>
      </c>
      <c r="AP12" s="200">
        <f t="shared" ca="1" si="16"/>
        <v>0</v>
      </c>
      <c r="AQ12" s="200">
        <f t="shared" ca="1" si="17"/>
        <v>0</v>
      </c>
      <c r="AR12" s="200">
        <f t="shared" ca="1" si="18"/>
        <v>0</v>
      </c>
      <c r="AS12" s="201"/>
      <c r="AT12" s="200">
        <f t="shared" si="19"/>
        <v>1</v>
      </c>
    </row>
    <row r="13" spans="1:46" ht="18">
      <c r="A13" s="178"/>
      <c r="B13" s="179">
        <f t="shared" ca="1" si="0"/>
        <v>1</v>
      </c>
      <c r="C13" s="180">
        <f t="shared" ca="1" si="1"/>
        <v>1</v>
      </c>
      <c r="D13" s="180">
        <f t="shared" ca="1" si="2"/>
        <v>6</v>
      </c>
      <c r="E13" s="180" t="str">
        <f t="shared" ca="1" si="3"/>
        <v/>
      </c>
      <c r="F13" s="180" t="str">
        <f t="shared" ca="1" si="4"/>
        <v/>
      </c>
      <c r="G13" s="181" t="str">
        <f t="shared" ca="1" si="5"/>
        <v/>
      </c>
      <c r="H13" s="182" t="str">
        <f t="shared" ca="1" si="6"/>
        <v/>
      </c>
      <c r="I13" s="202"/>
      <c r="J13" s="214"/>
      <c r="K13" s="214" t="s">
        <v>66</v>
      </c>
      <c r="L13" s="214"/>
      <c r="M13" s="214"/>
      <c r="N13" s="214"/>
      <c r="O13" s="214"/>
      <c r="P13" s="214"/>
      <c r="Q13" s="215"/>
      <c r="R13" s="216"/>
      <c r="S13" s="217"/>
      <c r="T13" s="218"/>
      <c r="U13" s="219"/>
      <c r="V13" s="218"/>
      <c r="W13" s="220">
        <v>0</v>
      </c>
      <c r="X13" s="221"/>
      <c r="Y13" s="222"/>
      <c r="Z13" s="223"/>
      <c r="AA13" s="194"/>
      <c r="AB13" s="195"/>
      <c r="AC13" s="196"/>
      <c r="AD13" s="197"/>
      <c r="AE13" s="198"/>
      <c r="AF13" s="199"/>
      <c r="AG13" s="199">
        <f t="shared" si="7"/>
        <v>0</v>
      </c>
      <c r="AH13" s="199">
        <f t="shared" si="8"/>
        <v>0</v>
      </c>
      <c r="AI13" s="199">
        <f t="shared" si="9"/>
        <v>0</v>
      </c>
      <c r="AJ13" s="199">
        <f t="shared" si="10"/>
        <v>0</v>
      </c>
      <c r="AK13" s="199" t="str">
        <f t="shared" si="11"/>
        <v/>
      </c>
      <c r="AL13" s="200">
        <f t="shared" ca="1" si="12"/>
        <v>1</v>
      </c>
      <c r="AM13" s="200">
        <f t="shared" ca="1" si="13"/>
        <v>1</v>
      </c>
      <c r="AN13" s="200">
        <f t="shared" ca="1" si="14"/>
        <v>6</v>
      </c>
      <c r="AO13" s="200">
        <f t="shared" ca="1" si="15"/>
        <v>0</v>
      </c>
      <c r="AP13" s="200">
        <f t="shared" ca="1" si="16"/>
        <v>0</v>
      </c>
      <c r="AQ13" s="200">
        <f t="shared" ca="1" si="17"/>
        <v>0</v>
      </c>
      <c r="AR13" s="200">
        <f t="shared" ca="1" si="18"/>
        <v>0</v>
      </c>
      <c r="AS13" s="201"/>
      <c r="AT13" s="200">
        <f t="shared" si="19"/>
        <v>1</v>
      </c>
    </row>
    <row r="14" spans="1:46" ht="18">
      <c r="A14" s="178"/>
      <c r="B14" s="179">
        <f t="shared" ca="1" si="0"/>
        <v>1</v>
      </c>
      <c r="C14" s="180">
        <f t="shared" ca="1" si="1"/>
        <v>2</v>
      </c>
      <c r="D14" s="180" t="str">
        <f t="shared" ca="1" si="2"/>
        <v/>
      </c>
      <c r="E14" s="180" t="str">
        <f t="shared" ca="1" si="3"/>
        <v/>
      </c>
      <c r="F14" s="180" t="str">
        <f t="shared" ca="1" si="4"/>
        <v/>
      </c>
      <c r="G14" s="181" t="str">
        <f t="shared" ca="1" si="5"/>
        <v/>
      </c>
      <c r="H14" s="182" t="str">
        <f t="shared" ca="1" si="6"/>
        <v/>
      </c>
      <c r="I14" s="202"/>
      <c r="J14" s="203" t="s">
        <v>146</v>
      </c>
      <c r="K14" s="204"/>
      <c r="L14" s="204"/>
      <c r="M14" s="204"/>
      <c r="N14" s="204"/>
      <c r="O14" s="204"/>
      <c r="P14" s="204"/>
      <c r="Q14" s="205" t="s">
        <v>58</v>
      </c>
      <c r="R14" s="206"/>
      <c r="S14" s="207"/>
      <c r="T14" s="208"/>
      <c r="U14" s="209"/>
      <c r="V14" s="208"/>
      <c r="W14" s="210"/>
      <c r="X14" s="211"/>
      <c r="Y14" s="212" t="s">
        <v>147</v>
      </c>
      <c r="Z14" s="213"/>
      <c r="AA14" s="194"/>
      <c r="AB14" s="195"/>
      <c r="AC14" s="196"/>
      <c r="AD14" s="197"/>
      <c r="AE14" s="198"/>
      <c r="AF14" s="199"/>
      <c r="AG14" s="199">
        <f t="shared" si="7"/>
        <v>0</v>
      </c>
      <c r="AH14" s="199">
        <f t="shared" si="8"/>
        <v>0</v>
      </c>
      <c r="AI14" s="199">
        <f t="shared" si="9"/>
        <v>0</v>
      </c>
      <c r="AJ14" s="199">
        <f t="shared" si="10"/>
        <v>0</v>
      </c>
      <c r="AK14" s="199" t="str">
        <f t="shared" si="11"/>
        <v/>
      </c>
      <c r="AL14" s="200">
        <f t="shared" ca="1" si="12"/>
        <v>1</v>
      </c>
      <c r="AM14" s="200">
        <f t="shared" ca="1" si="13"/>
        <v>2</v>
      </c>
      <c r="AN14" s="200">
        <f t="shared" ca="1" si="14"/>
        <v>0</v>
      </c>
      <c r="AO14" s="200">
        <f t="shared" ca="1" si="15"/>
        <v>0</v>
      </c>
      <c r="AP14" s="200">
        <f t="shared" ca="1" si="16"/>
        <v>0</v>
      </c>
      <c r="AQ14" s="200">
        <f t="shared" ca="1" si="17"/>
        <v>0</v>
      </c>
      <c r="AR14" s="200">
        <f t="shared" ca="1" si="18"/>
        <v>0</v>
      </c>
      <c r="AS14" s="201"/>
      <c r="AT14" s="200">
        <f t="shared" si="19"/>
        <v>1</v>
      </c>
    </row>
    <row r="15" spans="1:46" ht="18">
      <c r="A15" s="178"/>
      <c r="B15" s="179">
        <f t="shared" ca="1" si="0"/>
        <v>1</v>
      </c>
      <c r="C15" s="180">
        <f t="shared" ca="1" si="1"/>
        <v>2</v>
      </c>
      <c r="D15" s="180">
        <f t="shared" ca="1" si="2"/>
        <v>1</v>
      </c>
      <c r="E15" s="180" t="str">
        <f t="shared" ca="1" si="3"/>
        <v/>
      </c>
      <c r="F15" s="180" t="str">
        <f t="shared" ca="1" si="4"/>
        <v/>
      </c>
      <c r="G15" s="181" t="str">
        <f t="shared" ca="1" si="5"/>
        <v/>
      </c>
      <c r="H15" s="182" t="str">
        <f t="shared" ca="1" si="6"/>
        <v/>
      </c>
      <c r="I15" s="202"/>
      <c r="J15" s="214"/>
      <c r="K15" s="214" t="s">
        <v>59</v>
      </c>
      <c r="L15" s="214"/>
      <c r="M15" s="214"/>
      <c r="N15" s="214"/>
      <c r="O15" s="214"/>
      <c r="P15" s="214"/>
      <c r="Q15" s="215"/>
      <c r="R15" s="216"/>
      <c r="S15" s="217"/>
      <c r="T15" s="218"/>
      <c r="U15" s="219"/>
      <c r="V15" s="218"/>
      <c r="W15" s="220">
        <v>0</v>
      </c>
      <c r="X15" s="221"/>
      <c r="Y15" s="222"/>
      <c r="Z15" s="223"/>
      <c r="AA15" s="194"/>
      <c r="AB15" s="195"/>
      <c r="AC15" s="196"/>
      <c r="AD15" s="197"/>
      <c r="AE15" s="198"/>
      <c r="AF15" s="199"/>
      <c r="AG15" s="199">
        <f t="shared" si="7"/>
        <v>0</v>
      </c>
      <c r="AH15" s="199">
        <f t="shared" si="8"/>
        <v>0</v>
      </c>
      <c r="AI15" s="199">
        <f t="shared" si="9"/>
        <v>0</v>
      </c>
      <c r="AJ15" s="199">
        <f t="shared" si="10"/>
        <v>0</v>
      </c>
      <c r="AK15" s="199" t="str">
        <f t="shared" si="11"/>
        <v/>
      </c>
      <c r="AL15" s="200">
        <f t="shared" ca="1" si="12"/>
        <v>1</v>
      </c>
      <c r="AM15" s="200">
        <f t="shared" ca="1" si="13"/>
        <v>2</v>
      </c>
      <c r="AN15" s="200">
        <f t="shared" ca="1" si="14"/>
        <v>1</v>
      </c>
      <c r="AO15" s="200">
        <f t="shared" ca="1" si="15"/>
        <v>0</v>
      </c>
      <c r="AP15" s="200">
        <f t="shared" ca="1" si="16"/>
        <v>0</v>
      </c>
      <c r="AQ15" s="200">
        <f t="shared" ca="1" si="17"/>
        <v>0</v>
      </c>
      <c r="AR15" s="200">
        <f t="shared" ca="1" si="18"/>
        <v>0</v>
      </c>
      <c r="AS15" s="201"/>
      <c r="AT15" s="200">
        <f t="shared" si="19"/>
        <v>1</v>
      </c>
    </row>
    <row r="16" spans="1:46" ht="18">
      <c r="A16" s="178"/>
      <c r="B16" s="179">
        <f t="shared" ca="1" si="0"/>
        <v>1</v>
      </c>
      <c r="C16" s="180">
        <f t="shared" ca="1" si="1"/>
        <v>2</v>
      </c>
      <c r="D16" s="180">
        <f t="shared" ca="1" si="2"/>
        <v>2</v>
      </c>
      <c r="E16" s="180" t="str">
        <f t="shared" ca="1" si="3"/>
        <v/>
      </c>
      <c r="F16" s="180" t="str">
        <f t="shared" ca="1" si="4"/>
        <v/>
      </c>
      <c r="G16" s="181" t="str">
        <f t="shared" ca="1" si="5"/>
        <v/>
      </c>
      <c r="H16" s="182" t="str">
        <f t="shared" ca="1" si="6"/>
        <v/>
      </c>
      <c r="I16" s="202"/>
      <c r="J16" s="214"/>
      <c r="K16" s="214" t="s">
        <v>145</v>
      </c>
      <c r="L16" s="214"/>
      <c r="M16" s="214"/>
      <c r="N16" s="214"/>
      <c r="O16" s="214"/>
      <c r="P16" s="214"/>
      <c r="Q16" s="215"/>
      <c r="R16" s="216"/>
      <c r="S16" s="217"/>
      <c r="T16" s="218"/>
      <c r="U16" s="219"/>
      <c r="V16" s="218"/>
      <c r="W16" s="220">
        <v>0</v>
      </c>
      <c r="X16" s="221"/>
      <c r="Y16" s="222"/>
      <c r="Z16" s="223"/>
      <c r="AA16" s="194"/>
      <c r="AB16" s="195"/>
      <c r="AC16" s="196"/>
      <c r="AD16" s="197"/>
      <c r="AE16" s="198"/>
      <c r="AF16" s="199"/>
      <c r="AG16" s="199">
        <f t="shared" si="7"/>
        <v>0</v>
      </c>
      <c r="AH16" s="199">
        <f t="shared" si="8"/>
        <v>0</v>
      </c>
      <c r="AI16" s="199">
        <f t="shared" si="9"/>
        <v>0</v>
      </c>
      <c r="AJ16" s="199">
        <f t="shared" si="10"/>
        <v>0</v>
      </c>
      <c r="AK16" s="199" t="str">
        <f t="shared" si="11"/>
        <v/>
      </c>
      <c r="AL16" s="200">
        <f t="shared" ca="1" si="12"/>
        <v>1</v>
      </c>
      <c r="AM16" s="200">
        <f t="shared" ca="1" si="13"/>
        <v>2</v>
      </c>
      <c r="AN16" s="200">
        <f t="shared" ca="1" si="14"/>
        <v>2</v>
      </c>
      <c r="AO16" s="200">
        <f t="shared" ca="1" si="15"/>
        <v>0</v>
      </c>
      <c r="AP16" s="200">
        <f t="shared" ca="1" si="16"/>
        <v>0</v>
      </c>
      <c r="AQ16" s="200">
        <f t="shared" ca="1" si="17"/>
        <v>0</v>
      </c>
      <c r="AR16" s="200">
        <f t="shared" ca="1" si="18"/>
        <v>0</v>
      </c>
      <c r="AS16" s="201"/>
      <c r="AT16" s="200">
        <f t="shared" si="19"/>
        <v>1</v>
      </c>
    </row>
    <row r="17" spans="1:46" ht="18">
      <c r="A17" s="178"/>
      <c r="B17" s="179">
        <f t="shared" ca="1" si="0"/>
        <v>1</v>
      </c>
      <c r="C17" s="180">
        <f t="shared" ca="1" si="1"/>
        <v>2</v>
      </c>
      <c r="D17" s="180">
        <f t="shared" ca="1" si="2"/>
        <v>3</v>
      </c>
      <c r="E17" s="180" t="str">
        <f t="shared" ca="1" si="3"/>
        <v/>
      </c>
      <c r="F17" s="180" t="str">
        <f t="shared" ca="1" si="4"/>
        <v/>
      </c>
      <c r="G17" s="181" t="str">
        <f t="shared" ca="1" si="5"/>
        <v/>
      </c>
      <c r="H17" s="182" t="str">
        <f t="shared" ca="1" si="6"/>
        <v/>
      </c>
      <c r="I17" s="202"/>
      <c r="J17" s="214"/>
      <c r="K17" s="214" t="s">
        <v>63</v>
      </c>
      <c r="L17" s="214"/>
      <c r="M17" s="214"/>
      <c r="N17" s="214"/>
      <c r="O17" s="214"/>
      <c r="P17" s="214"/>
      <c r="Q17" s="215"/>
      <c r="R17" s="216"/>
      <c r="S17" s="217"/>
      <c r="T17" s="218"/>
      <c r="U17" s="219"/>
      <c r="V17" s="218"/>
      <c r="W17" s="220">
        <v>0</v>
      </c>
      <c r="X17" s="221"/>
      <c r="Y17" s="222"/>
      <c r="Z17" s="223"/>
      <c r="AA17" s="194"/>
      <c r="AB17" s="195"/>
      <c r="AC17" s="196"/>
      <c r="AD17" s="197"/>
      <c r="AE17" s="198"/>
      <c r="AF17" s="199"/>
      <c r="AG17" s="199">
        <f t="shared" si="7"/>
        <v>0</v>
      </c>
      <c r="AH17" s="199">
        <f t="shared" si="8"/>
        <v>0</v>
      </c>
      <c r="AI17" s="199">
        <f t="shared" si="9"/>
        <v>0</v>
      </c>
      <c r="AJ17" s="199">
        <f t="shared" si="10"/>
        <v>0</v>
      </c>
      <c r="AK17" s="199" t="str">
        <f t="shared" si="11"/>
        <v/>
      </c>
      <c r="AL17" s="200">
        <f t="shared" ca="1" si="12"/>
        <v>1</v>
      </c>
      <c r="AM17" s="200">
        <f t="shared" ca="1" si="13"/>
        <v>2</v>
      </c>
      <c r="AN17" s="200">
        <f t="shared" ca="1" si="14"/>
        <v>3</v>
      </c>
      <c r="AO17" s="200">
        <f t="shared" ca="1" si="15"/>
        <v>0</v>
      </c>
      <c r="AP17" s="200">
        <f t="shared" ca="1" si="16"/>
        <v>0</v>
      </c>
      <c r="AQ17" s="200">
        <f t="shared" ca="1" si="17"/>
        <v>0</v>
      </c>
      <c r="AR17" s="200">
        <f t="shared" ca="1" si="18"/>
        <v>0</v>
      </c>
      <c r="AS17" s="201"/>
      <c r="AT17" s="200">
        <f t="shared" si="19"/>
        <v>1</v>
      </c>
    </row>
    <row r="18" spans="1:46" ht="18">
      <c r="A18" s="178"/>
      <c r="B18" s="179">
        <f t="shared" ca="1" si="0"/>
        <v>1</v>
      </c>
      <c r="C18" s="180">
        <f t="shared" ca="1" si="1"/>
        <v>2</v>
      </c>
      <c r="D18" s="180">
        <f t="shared" ca="1" si="2"/>
        <v>4</v>
      </c>
      <c r="E18" s="180" t="str">
        <f t="shared" ca="1" si="3"/>
        <v/>
      </c>
      <c r="F18" s="180" t="str">
        <f t="shared" ca="1" si="4"/>
        <v/>
      </c>
      <c r="G18" s="181" t="str">
        <f t="shared" ca="1" si="5"/>
        <v/>
      </c>
      <c r="H18" s="182" t="str">
        <f t="shared" ca="1" si="6"/>
        <v/>
      </c>
      <c r="I18" s="202"/>
      <c r="J18" s="214"/>
      <c r="K18" s="214" t="s">
        <v>64</v>
      </c>
      <c r="L18" s="214"/>
      <c r="M18" s="214"/>
      <c r="N18" s="214"/>
      <c r="O18" s="214"/>
      <c r="P18" s="214"/>
      <c r="Q18" s="215"/>
      <c r="R18" s="216"/>
      <c r="S18" s="217"/>
      <c r="T18" s="218"/>
      <c r="U18" s="219"/>
      <c r="V18" s="218"/>
      <c r="W18" s="220">
        <v>0</v>
      </c>
      <c r="X18" s="221"/>
      <c r="Y18" s="222"/>
      <c r="Z18" s="223"/>
      <c r="AA18" s="194"/>
      <c r="AB18" s="195"/>
      <c r="AC18" s="196"/>
      <c r="AD18" s="197"/>
      <c r="AE18" s="198"/>
      <c r="AF18" s="199"/>
      <c r="AG18" s="199">
        <f t="shared" si="7"/>
        <v>0</v>
      </c>
      <c r="AH18" s="199">
        <f t="shared" si="8"/>
        <v>0</v>
      </c>
      <c r="AI18" s="199">
        <f t="shared" si="9"/>
        <v>0</v>
      </c>
      <c r="AJ18" s="199">
        <f t="shared" si="10"/>
        <v>0</v>
      </c>
      <c r="AK18" s="199" t="str">
        <f t="shared" si="11"/>
        <v/>
      </c>
      <c r="AL18" s="200">
        <f t="shared" ca="1" si="12"/>
        <v>1</v>
      </c>
      <c r="AM18" s="200">
        <f t="shared" ca="1" si="13"/>
        <v>2</v>
      </c>
      <c r="AN18" s="200">
        <f t="shared" ca="1" si="14"/>
        <v>4</v>
      </c>
      <c r="AO18" s="200">
        <f t="shared" ca="1" si="15"/>
        <v>0</v>
      </c>
      <c r="AP18" s="200">
        <f t="shared" ca="1" si="16"/>
        <v>0</v>
      </c>
      <c r="AQ18" s="200">
        <f t="shared" ca="1" si="17"/>
        <v>0</v>
      </c>
      <c r="AR18" s="200">
        <f t="shared" ca="1" si="18"/>
        <v>0</v>
      </c>
      <c r="AS18" s="201"/>
      <c r="AT18" s="200">
        <f t="shared" si="19"/>
        <v>1</v>
      </c>
    </row>
    <row r="19" spans="1:46" ht="18">
      <c r="A19" s="178"/>
      <c r="B19" s="179">
        <f t="shared" ca="1" si="0"/>
        <v>1</v>
      </c>
      <c r="C19" s="180">
        <f t="shared" ca="1" si="1"/>
        <v>2</v>
      </c>
      <c r="D19" s="180">
        <f t="shared" ca="1" si="2"/>
        <v>5</v>
      </c>
      <c r="E19" s="180" t="str">
        <f t="shared" ca="1" si="3"/>
        <v/>
      </c>
      <c r="F19" s="180" t="str">
        <f t="shared" ca="1" si="4"/>
        <v/>
      </c>
      <c r="G19" s="181" t="str">
        <f t="shared" ca="1" si="5"/>
        <v/>
      </c>
      <c r="H19" s="182" t="str">
        <f t="shared" ca="1" si="6"/>
        <v/>
      </c>
      <c r="I19" s="202"/>
      <c r="J19" s="214"/>
      <c r="K19" s="214" t="s">
        <v>65</v>
      </c>
      <c r="L19" s="214"/>
      <c r="M19" s="214"/>
      <c r="N19" s="214"/>
      <c r="O19" s="214"/>
      <c r="P19" s="214"/>
      <c r="Q19" s="215"/>
      <c r="R19" s="216"/>
      <c r="S19" s="217"/>
      <c r="T19" s="218"/>
      <c r="U19" s="219"/>
      <c r="V19" s="218"/>
      <c r="W19" s="220">
        <v>0</v>
      </c>
      <c r="X19" s="221"/>
      <c r="Y19" s="222"/>
      <c r="Z19" s="223"/>
      <c r="AA19" s="194"/>
      <c r="AB19" s="195"/>
      <c r="AC19" s="196"/>
      <c r="AD19" s="197"/>
      <c r="AE19" s="198"/>
      <c r="AF19" s="199"/>
      <c r="AG19" s="199">
        <f t="shared" si="7"/>
        <v>0</v>
      </c>
      <c r="AH19" s="199">
        <f t="shared" si="8"/>
        <v>0</v>
      </c>
      <c r="AI19" s="199">
        <f t="shared" si="9"/>
        <v>0</v>
      </c>
      <c r="AJ19" s="199">
        <f t="shared" si="10"/>
        <v>0</v>
      </c>
      <c r="AK19" s="199" t="str">
        <f t="shared" si="11"/>
        <v/>
      </c>
      <c r="AL19" s="200">
        <f t="shared" ca="1" si="12"/>
        <v>1</v>
      </c>
      <c r="AM19" s="200">
        <f t="shared" ca="1" si="13"/>
        <v>2</v>
      </c>
      <c r="AN19" s="200">
        <f t="shared" ca="1" si="14"/>
        <v>5</v>
      </c>
      <c r="AO19" s="200">
        <f t="shared" ca="1" si="15"/>
        <v>0</v>
      </c>
      <c r="AP19" s="200">
        <f t="shared" ca="1" si="16"/>
        <v>0</v>
      </c>
      <c r="AQ19" s="200">
        <f t="shared" ca="1" si="17"/>
        <v>0</v>
      </c>
      <c r="AR19" s="200">
        <f t="shared" ca="1" si="18"/>
        <v>0</v>
      </c>
      <c r="AS19" s="201"/>
      <c r="AT19" s="200">
        <f t="shared" si="19"/>
        <v>1</v>
      </c>
    </row>
    <row r="20" spans="1:46" ht="18">
      <c r="A20" s="178"/>
      <c r="B20" s="179">
        <f t="shared" ca="1" si="0"/>
        <v>1</v>
      </c>
      <c r="C20" s="180">
        <f t="shared" ca="1" si="1"/>
        <v>2</v>
      </c>
      <c r="D20" s="180">
        <f t="shared" ca="1" si="2"/>
        <v>6</v>
      </c>
      <c r="E20" s="180" t="str">
        <f t="shared" ca="1" si="3"/>
        <v/>
      </c>
      <c r="F20" s="180" t="str">
        <f t="shared" ca="1" si="4"/>
        <v/>
      </c>
      <c r="G20" s="181" t="str">
        <f t="shared" ca="1" si="5"/>
        <v/>
      </c>
      <c r="H20" s="182" t="str">
        <f t="shared" ca="1" si="6"/>
        <v/>
      </c>
      <c r="I20" s="202"/>
      <c r="J20" s="214"/>
      <c r="K20" s="214" t="s">
        <v>66</v>
      </c>
      <c r="L20" s="214"/>
      <c r="M20" s="214"/>
      <c r="N20" s="214"/>
      <c r="O20" s="214"/>
      <c r="P20" s="214"/>
      <c r="Q20" s="215"/>
      <c r="R20" s="216"/>
      <c r="S20" s="217"/>
      <c r="T20" s="218"/>
      <c r="U20" s="219"/>
      <c r="V20" s="218"/>
      <c r="W20" s="220">
        <v>0</v>
      </c>
      <c r="X20" s="221"/>
      <c r="Y20" s="222"/>
      <c r="Z20" s="223"/>
      <c r="AA20" s="194"/>
      <c r="AB20" s="195"/>
      <c r="AC20" s="196"/>
      <c r="AD20" s="197"/>
      <c r="AE20" s="198"/>
      <c r="AF20" s="199"/>
      <c r="AG20" s="199">
        <f t="shared" si="7"/>
        <v>0</v>
      </c>
      <c r="AH20" s="199">
        <f t="shared" si="8"/>
        <v>0</v>
      </c>
      <c r="AI20" s="199">
        <f t="shared" si="9"/>
        <v>0</v>
      </c>
      <c r="AJ20" s="199">
        <f t="shared" si="10"/>
        <v>0</v>
      </c>
      <c r="AK20" s="199" t="str">
        <f t="shared" si="11"/>
        <v/>
      </c>
      <c r="AL20" s="200">
        <f t="shared" ca="1" si="12"/>
        <v>1</v>
      </c>
      <c r="AM20" s="200">
        <f t="shared" ca="1" si="13"/>
        <v>2</v>
      </c>
      <c r="AN20" s="200">
        <f t="shared" ca="1" si="14"/>
        <v>6</v>
      </c>
      <c r="AO20" s="200">
        <f t="shared" ca="1" si="15"/>
        <v>0</v>
      </c>
      <c r="AP20" s="200">
        <f t="shared" ca="1" si="16"/>
        <v>0</v>
      </c>
      <c r="AQ20" s="200">
        <f t="shared" ca="1" si="17"/>
        <v>0</v>
      </c>
      <c r="AR20" s="200">
        <f t="shared" ca="1" si="18"/>
        <v>0</v>
      </c>
      <c r="AS20" s="201"/>
      <c r="AT20" s="200">
        <f t="shared" si="19"/>
        <v>1</v>
      </c>
    </row>
    <row r="21" spans="1:46" ht="15.75" customHeight="1">
      <c r="A21" s="178"/>
      <c r="B21" s="179">
        <f t="shared" ca="1" si="0"/>
        <v>1</v>
      </c>
      <c r="C21" s="180">
        <f t="shared" ca="1" si="1"/>
        <v>3</v>
      </c>
      <c r="D21" s="180" t="str">
        <f t="shared" ca="1" si="2"/>
        <v/>
      </c>
      <c r="E21" s="180" t="str">
        <f t="shared" ca="1" si="3"/>
        <v/>
      </c>
      <c r="F21" s="180" t="str">
        <f t="shared" ca="1" si="4"/>
        <v/>
      </c>
      <c r="G21" s="181" t="str">
        <f t="shared" ca="1" si="5"/>
        <v/>
      </c>
      <c r="H21" s="182" t="str">
        <f t="shared" ca="1" si="6"/>
        <v/>
      </c>
      <c r="I21" s="202"/>
      <c r="J21" s="224" t="s">
        <v>148</v>
      </c>
      <c r="K21" s="225"/>
      <c r="L21" s="225"/>
      <c r="M21" s="225"/>
      <c r="N21" s="225"/>
      <c r="O21" s="225"/>
      <c r="P21" s="225"/>
      <c r="Q21" s="205" t="s">
        <v>58</v>
      </c>
      <c r="R21" s="206"/>
      <c r="S21" s="207"/>
      <c r="T21" s="208"/>
      <c r="U21" s="209"/>
      <c r="V21" s="208"/>
      <c r="W21" s="210"/>
      <c r="X21" s="211"/>
      <c r="Y21" s="226"/>
      <c r="Z21" s="227"/>
      <c r="AA21" s="194"/>
      <c r="AB21" s="195"/>
      <c r="AC21" s="196"/>
      <c r="AD21" s="197"/>
      <c r="AE21" s="198"/>
      <c r="AF21" s="199"/>
      <c r="AG21" s="199">
        <f t="shared" si="7"/>
        <v>0</v>
      </c>
      <c r="AH21" s="199">
        <f t="shared" si="8"/>
        <v>0</v>
      </c>
      <c r="AI21" s="199">
        <f t="shared" si="9"/>
        <v>0</v>
      </c>
      <c r="AJ21" s="199">
        <f t="shared" si="10"/>
        <v>0</v>
      </c>
      <c r="AK21" s="199" t="str">
        <f t="shared" si="11"/>
        <v/>
      </c>
      <c r="AL21" s="200">
        <f t="shared" ca="1" si="12"/>
        <v>1</v>
      </c>
      <c r="AM21" s="200">
        <f t="shared" ca="1" si="13"/>
        <v>3</v>
      </c>
      <c r="AN21" s="200">
        <f t="shared" ca="1" si="14"/>
        <v>0</v>
      </c>
      <c r="AO21" s="200">
        <f t="shared" ca="1" si="15"/>
        <v>0</v>
      </c>
      <c r="AP21" s="200">
        <f t="shared" ca="1" si="16"/>
        <v>0</v>
      </c>
      <c r="AQ21" s="200">
        <f t="shared" ca="1" si="17"/>
        <v>0</v>
      </c>
      <c r="AR21" s="200">
        <f t="shared" ca="1" si="18"/>
        <v>0</v>
      </c>
      <c r="AS21" s="201"/>
      <c r="AT21" s="200">
        <f t="shared" si="19"/>
        <v>1</v>
      </c>
    </row>
    <row r="22" spans="1:46" ht="15.75" customHeight="1">
      <c r="A22" s="178"/>
      <c r="B22" s="179">
        <f t="shared" ca="1" si="0"/>
        <v>1</v>
      </c>
      <c r="C22" s="180">
        <f t="shared" ca="1" si="1"/>
        <v>3</v>
      </c>
      <c r="D22" s="180">
        <f t="shared" ca="1" si="2"/>
        <v>1</v>
      </c>
      <c r="E22" s="180" t="str">
        <f t="shared" ca="1" si="3"/>
        <v/>
      </c>
      <c r="F22" s="180" t="str">
        <f t="shared" ca="1" si="4"/>
        <v/>
      </c>
      <c r="G22" s="181" t="str">
        <f t="shared" ca="1" si="5"/>
        <v/>
      </c>
      <c r="H22" s="182" t="str">
        <f t="shared" ca="1" si="6"/>
        <v/>
      </c>
      <c r="I22" s="202"/>
      <c r="J22" s="214"/>
      <c r="K22" s="214" t="s">
        <v>59</v>
      </c>
      <c r="L22" s="214"/>
      <c r="M22" s="214"/>
      <c r="N22" s="214"/>
      <c r="O22" s="214"/>
      <c r="P22" s="214"/>
      <c r="Q22" s="215"/>
      <c r="R22" s="216" t="s">
        <v>149</v>
      </c>
      <c r="S22" s="217">
        <v>45820</v>
      </c>
      <c r="T22" s="218">
        <v>45840</v>
      </c>
      <c r="U22" s="219">
        <v>45817</v>
      </c>
      <c r="V22" s="218"/>
      <c r="W22" s="220">
        <v>0</v>
      </c>
      <c r="X22" s="221">
        <v>0.5</v>
      </c>
      <c r="Y22" s="222"/>
      <c r="Z22" s="223"/>
      <c r="AA22" s="194"/>
      <c r="AB22" s="195"/>
      <c r="AC22" s="196"/>
      <c r="AD22" s="197"/>
      <c r="AE22" s="198"/>
      <c r="AF22" s="199"/>
      <c r="AG22" s="199">
        <f t="shared" ca="1" si="7"/>
        <v>0</v>
      </c>
      <c r="AH22" s="199">
        <f t="shared" ca="1" si="8"/>
        <v>0</v>
      </c>
      <c r="AI22" s="199">
        <f t="shared" si="9"/>
        <v>0</v>
      </c>
      <c r="AJ22" s="199">
        <f t="shared" ca="1" si="10"/>
        <v>0</v>
      </c>
      <c r="AK22" s="199" t="str">
        <f t="shared" ca="1" si="11"/>
        <v/>
      </c>
      <c r="AL22" s="200">
        <f t="shared" ca="1" si="12"/>
        <v>1</v>
      </c>
      <c r="AM22" s="200">
        <f t="shared" ca="1" si="13"/>
        <v>3</v>
      </c>
      <c r="AN22" s="200">
        <f t="shared" ca="1" si="14"/>
        <v>1</v>
      </c>
      <c r="AO22" s="200">
        <f t="shared" ca="1" si="15"/>
        <v>0</v>
      </c>
      <c r="AP22" s="200">
        <f t="shared" ca="1" si="16"/>
        <v>0</v>
      </c>
      <c r="AQ22" s="200">
        <f t="shared" ca="1" si="17"/>
        <v>0</v>
      </c>
      <c r="AR22" s="200">
        <f t="shared" ca="1" si="18"/>
        <v>0</v>
      </c>
      <c r="AS22" s="201"/>
      <c r="AT22" s="200">
        <f t="shared" si="19"/>
        <v>21</v>
      </c>
    </row>
    <row r="23" spans="1:46" ht="15.75" customHeight="1">
      <c r="A23" s="178"/>
      <c r="B23" s="179">
        <f t="shared" ca="1" si="0"/>
        <v>1</v>
      </c>
      <c r="C23" s="180">
        <f t="shared" ca="1" si="1"/>
        <v>3</v>
      </c>
      <c r="D23" s="180">
        <f t="shared" ca="1" si="2"/>
        <v>2</v>
      </c>
      <c r="E23" s="180" t="str">
        <f t="shared" ca="1" si="3"/>
        <v/>
      </c>
      <c r="F23" s="180" t="str">
        <f t="shared" ca="1" si="4"/>
        <v/>
      </c>
      <c r="G23" s="181" t="str">
        <f t="shared" ca="1" si="5"/>
        <v/>
      </c>
      <c r="H23" s="182" t="str">
        <f t="shared" ca="1" si="6"/>
        <v/>
      </c>
      <c r="I23" s="202"/>
      <c r="J23" s="214"/>
      <c r="K23" s="214" t="s">
        <v>145</v>
      </c>
      <c r="L23" s="214"/>
      <c r="M23" s="214"/>
      <c r="N23" s="214"/>
      <c r="O23" s="214"/>
      <c r="P23" s="214"/>
      <c r="Q23" s="215"/>
      <c r="R23" s="216" t="s">
        <v>150</v>
      </c>
      <c r="S23" s="217">
        <v>45841</v>
      </c>
      <c r="T23" s="218">
        <v>45841</v>
      </c>
      <c r="U23" s="219"/>
      <c r="V23" s="218"/>
      <c r="W23" s="220">
        <v>0</v>
      </c>
      <c r="X23" s="221"/>
      <c r="Y23" s="222"/>
      <c r="Z23" s="223"/>
      <c r="AA23" s="194"/>
      <c r="AB23" s="195"/>
      <c r="AC23" s="196"/>
      <c r="AD23" s="197"/>
      <c r="AE23" s="198"/>
      <c r="AF23" s="199"/>
      <c r="AG23" s="199">
        <f t="shared" ca="1" si="7"/>
        <v>0</v>
      </c>
      <c r="AH23" s="199">
        <f t="shared" ca="1" si="8"/>
        <v>0</v>
      </c>
      <c r="AI23" s="199">
        <f t="shared" si="9"/>
        <v>0</v>
      </c>
      <c r="AJ23" s="199">
        <f t="shared" ca="1" si="10"/>
        <v>0</v>
      </c>
      <c r="AK23" s="199" t="str">
        <f t="shared" ca="1" si="11"/>
        <v/>
      </c>
      <c r="AL23" s="200">
        <f t="shared" ca="1" si="12"/>
        <v>1</v>
      </c>
      <c r="AM23" s="200">
        <f t="shared" ca="1" si="13"/>
        <v>3</v>
      </c>
      <c r="AN23" s="200">
        <f t="shared" ca="1" si="14"/>
        <v>2</v>
      </c>
      <c r="AO23" s="200">
        <f t="shared" ca="1" si="15"/>
        <v>0</v>
      </c>
      <c r="AP23" s="200">
        <f t="shared" ca="1" si="16"/>
        <v>0</v>
      </c>
      <c r="AQ23" s="200">
        <f t="shared" ca="1" si="17"/>
        <v>0</v>
      </c>
      <c r="AR23" s="200">
        <f t="shared" ca="1" si="18"/>
        <v>0</v>
      </c>
      <c r="AS23" s="201"/>
      <c r="AT23" s="200">
        <f t="shared" si="19"/>
        <v>1</v>
      </c>
    </row>
    <row r="24" spans="1:46" ht="15.75" customHeight="1">
      <c r="A24" s="178"/>
      <c r="B24" s="179">
        <f t="shared" ca="1" si="0"/>
        <v>1</v>
      </c>
      <c r="C24" s="180">
        <f t="shared" ca="1" si="1"/>
        <v>3</v>
      </c>
      <c r="D24" s="180">
        <f t="shared" ca="1" si="2"/>
        <v>3</v>
      </c>
      <c r="E24" s="180" t="str">
        <f t="shared" ca="1" si="3"/>
        <v/>
      </c>
      <c r="F24" s="180" t="str">
        <f t="shared" ca="1" si="4"/>
        <v/>
      </c>
      <c r="G24" s="181" t="str">
        <f t="shared" ca="1" si="5"/>
        <v/>
      </c>
      <c r="H24" s="182" t="str">
        <f t="shared" ca="1" si="6"/>
        <v/>
      </c>
      <c r="I24" s="202"/>
      <c r="J24" s="214"/>
      <c r="K24" s="214" t="s">
        <v>63</v>
      </c>
      <c r="L24" s="214"/>
      <c r="M24" s="214"/>
      <c r="N24" s="214"/>
      <c r="O24" s="214"/>
      <c r="P24" s="214"/>
      <c r="Q24" s="215"/>
      <c r="R24" s="216" t="s">
        <v>149</v>
      </c>
      <c r="S24" s="217">
        <v>45849</v>
      </c>
      <c r="T24" s="218">
        <v>45853</v>
      </c>
      <c r="U24" s="219"/>
      <c r="V24" s="218"/>
      <c r="W24" s="220">
        <v>0</v>
      </c>
      <c r="X24" s="221"/>
      <c r="Y24" s="222"/>
      <c r="Z24" s="223"/>
      <c r="AA24" s="194"/>
      <c r="AB24" s="195"/>
      <c r="AC24" s="196"/>
      <c r="AD24" s="197"/>
      <c r="AE24" s="198"/>
      <c r="AF24" s="199"/>
      <c r="AG24" s="199">
        <f t="shared" ca="1" si="7"/>
        <v>0</v>
      </c>
      <c r="AH24" s="199">
        <f t="shared" ca="1" si="8"/>
        <v>0</v>
      </c>
      <c r="AI24" s="199">
        <f t="shared" si="9"/>
        <v>0</v>
      </c>
      <c r="AJ24" s="199">
        <f t="shared" ca="1" si="10"/>
        <v>0</v>
      </c>
      <c r="AK24" s="199" t="str">
        <f t="shared" ca="1" si="11"/>
        <v/>
      </c>
      <c r="AL24" s="200">
        <f t="shared" ca="1" si="12"/>
        <v>1</v>
      </c>
      <c r="AM24" s="200">
        <f t="shared" ca="1" si="13"/>
        <v>3</v>
      </c>
      <c r="AN24" s="200">
        <f t="shared" ca="1" si="14"/>
        <v>3</v>
      </c>
      <c r="AO24" s="200">
        <f t="shared" ca="1" si="15"/>
        <v>0</v>
      </c>
      <c r="AP24" s="200">
        <f t="shared" ca="1" si="16"/>
        <v>0</v>
      </c>
      <c r="AQ24" s="200">
        <f t="shared" ca="1" si="17"/>
        <v>0</v>
      </c>
      <c r="AR24" s="200">
        <f t="shared" ca="1" si="18"/>
        <v>0</v>
      </c>
      <c r="AS24" s="201"/>
      <c r="AT24" s="200">
        <f t="shared" si="19"/>
        <v>5</v>
      </c>
    </row>
    <row r="25" spans="1:46" ht="15.75" customHeight="1">
      <c r="A25" s="178"/>
      <c r="B25" s="179">
        <f t="shared" ca="1" si="0"/>
        <v>1</v>
      </c>
      <c r="C25" s="180">
        <f t="shared" ca="1" si="1"/>
        <v>3</v>
      </c>
      <c r="D25" s="180">
        <f t="shared" ca="1" si="2"/>
        <v>4</v>
      </c>
      <c r="E25" s="180" t="str">
        <f t="shared" ca="1" si="3"/>
        <v/>
      </c>
      <c r="F25" s="180" t="str">
        <f t="shared" ca="1" si="4"/>
        <v/>
      </c>
      <c r="G25" s="181" t="str">
        <f t="shared" ca="1" si="5"/>
        <v/>
      </c>
      <c r="H25" s="182" t="str">
        <f t="shared" ca="1" si="6"/>
        <v/>
      </c>
      <c r="I25" s="202"/>
      <c r="J25" s="214"/>
      <c r="K25" s="214" t="s">
        <v>64</v>
      </c>
      <c r="L25" s="214"/>
      <c r="M25" s="214"/>
      <c r="N25" s="214"/>
      <c r="O25" s="214"/>
      <c r="P25" s="214"/>
      <c r="Q25" s="215"/>
      <c r="R25" s="216" t="s">
        <v>150</v>
      </c>
      <c r="S25" s="217">
        <v>45854</v>
      </c>
      <c r="T25" s="218">
        <v>45854</v>
      </c>
      <c r="U25" s="219"/>
      <c r="V25" s="218"/>
      <c r="W25" s="220">
        <v>0</v>
      </c>
      <c r="X25" s="221"/>
      <c r="Y25" s="222"/>
      <c r="Z25" s="223"/>
      <c r="AA25" s="194"/>
      <c r="AB25" s="195"/>
      <c r="AC25" s="196"/>
      <c r="AD25" s="197"/>
      <c r="AE25" s="198"/>
      <c r="AF25" s="199"/>
      <c r="AG25" s="199">
        <f t="shared" ca="1" si="7"/>
        <v>0</v>
      </c>
      <c r="AH25" s="199">
        <f t="shared" ca="1" si="8"/>
        <v>0</v>
      </c>
      <c r="AI25" s="199">
        <f t="shared" si="9"/>
        <v>0</v>
      </c>
      <c r="AJ25" s="199">
        <f t="shared" ca="1" si="10"/>
        <v>0</v>
      </c>
      <c r="AK25" s="199" t="str">
        <f t="shared" ca="1" si="11"/>
        <v/>
      </c>
      <c r="AL25" s="200">
        <f t="shared" ca="1" si="12"/>
        <v>1</v>
      </c>
      <c r="AM25" s="200">
        <f t="shared" ca="1" si="13"/>
        <v>3</v>
      </c>
      <c r="AN25" s="200">
        <f t="shared" ca="1" si="14"/>
        <v>4</v>
      </c>
      <c r="AO25" s="200">
        <f t="shared" ca="1" si="15"/>
        <v>0</v>
      </c>
      <c r="AP25" s="200">
        <f t="shared" ca="1" si="16"/>
        <v>0</v>
      </c>
      <c r="AQ25" s="200">
        <f t="shared" ca="1" si="17"/>
        <v>0</v>
      </c>
      <c r="AR25" s="200">
        <f t="shared" ca="1" si="18"/>
        <v>0</v>
      </c>
      <c r="AS25" s="201"/>
      <c r="AT25" s="200">
        <f t="shared" si="19"/>
        <v>1</v>
      </c>
    </row>
    <row r="26" spans="1:46" ht="15.75" customHeight="1">
      <c r="A26" s="178"/>
      <c r="B26" s="179">
        <f t="shared" ca="1" si="0"/>
        <v>1</v>
      </c>
      <c r="C26" s="180">
        <f t="shared" ca="1" si="1"/>
        <v>3</v>
      </c>
      <c r="D26" s="180">
        <f t="shared" ca="1" si="2"/>
        <v>5</v>
      </c>
      <c r="E26" s="180" t="str">
        <f t="shared" ca="1" si="3"/>
        <v/>
      </c>
      <c r="F26" s="180" t="str">
        <f t="shared" ca="1" si="4"/>
        <v/>
      </c>
      <c r="G26" s="181" t="str">
        <f t="shared" ca="1" si="5"/>
        <v/>
      </c>
      <c r="H26" s="182" t="str">
        <f t="shared" ca="1" si="6"/>
        <v/>
      </c>
      <c r="I26" s="202"/>
      <c r="J26" s="214"/>
      <c r="K26" s="214" t="s">
        <v>65</v>
      </c>
      <c r="L26" s="214"/>
      <c r="M26" s="214"/>
      <c r="N26" s="214"/>
      <c r="O26" s="214"/>
      <c r="P26" s="214"/>
      <c r="Q26" s="215"/>
      <c r="R26" s="216" t="s">
        <v>149</v>
      </c>
      <c r="S26" s="217">
        <v>45855</v>
      </c>
      <c r="T26" s="218">
        <v>45862</v>
      </c>
      <c r="U26" s="219"/>
      <c r="V26" s="218"/>
      <c r="W26" s="220">
        <v>0</v>
      </c>
      <c r="X26" s="221"/>
      <c r="Y26" s="222"/>
      <c r="Z26" s="223"/>
      <c r="AA26" s="194"/>
      <c r="AB26" s="195"/>
      <c r="AC26" s="196"/>
      <c r="AD26" s="197"/>
      <c r="AE26" s="198"/>
      <c r="AF26" s="199"/>
      <c r="AG26" s="199">
        <f t="shared" ca="1" si="7"/>
        <v>0</v>
      </c>
      <c r="AH26" s="199">
        <f t="shared" ca="1" si="8"/>
        <v>0</v>
      </c>
      <c r="AI26" s="199">
        <f t="shared" si="9"/>
        <v>0</v>
      </c>
      <c r="AJ26" s="199">
        <f t="shared" ca="1" si="10"/>
        <v>0</v>
      </c>
      <c r="AK26" s="199" t="str">
        <f t="shared" ca="1" si="11"/>
        <v/>
      </c>
      <c r="AL26" s="200">
        <f t="shared" ca="1" si="12"/>
        <v>1</v>
      </c>
      <c r="AM26" s="200">
        <f t="shared" ca="1" si="13"/>
        <v>3</v>
      </c>
      <c r="AN26" s="200">
        <f t="shared" ca="1" si="14"/>
        <v>5</v>
      </c>
      <c r="AO26" s="200">
        <f t="shared" ca="1" si="15"/>
        <v>0</v>
      </c>
      <c r="AP26" s="200">
        <f t="shared" ca="1" si="16"/>
        <v>0</v>
      </c>
      <c r="AQ26" s="200">
        <f t="shared" ca="1" si="17"/>
        <v>0</v>
      </c>
      <c r="AR26" s="200">
        <f t="shared" ca="1" si="18"/>
        <v>0</v>
      </c>
      <c r="AS26" s="201"/>
      <c r="AT26" s="200">
        <f t="shared" si="19"/>
        <v>8</v>
      </c>
    </row>
    <row r="27" spans="1:46" ht="15.75" customHeight="1">
      <c r="A27" s="178"/>
      <c r="B27" s="179">
        <f t="shared" ca="1" si="0"/>
        <v>1</v>
      </c>
      <c r="C27" s="180">
        <f t="shared" ca="1" si="1"/>
        <v>3</v>
      </c>
      <c r="D27" s="180">
        <f t="shared" ca="1" si="2"/>
        <v>6</v>
      </c>
      <c r="E27" s="180" t="str">
        <f t="shared" ca="1" si="3"/>
        <v/>
      </c>
      <c r="F27" s="180" t="str">
        <f t="shared" ca="1" si="4"/>
        <v/>
      </c>
      <c r="G27" s="181" t="str">
        <f t="shared" ca="1" si="5"/>
        <v/>
      </c>
      <c r="H27" s="182" t="str">
        <f t="shared" ca="1" si="6"/>
        <v/>
      </c>
      <c r="I27" s="202"/>
      <c r="J27" s="214"/>
      <c r="K27" s="214" t="s">
        <v>66</v>
      </c>
      <c r="L27" s="214"/>
      <c r="M27" s="214"/>
      <c r="N27" s="214"/>
      <c r="O27" s="214"/>
      <c r="P27" s="214"/>
      <c r="Q27" s="215"/>
      <c r="R27" s="216" t="s">
        <v>150</v>
      </c>
      <c r="S27" s="217">
        <v>45863</v>
      </c>
      <c r="T27" s="218">
        <v>45863</v>
      </c>
      <c r="U27" s="219"/>
      <c r="V27" s="218"/>
      <c r="W27" s="220">
        <v>0</v>
      </c>
      <c r="X27" s="221"/>
      <c r="Y27" s="222"/>
      <c r="Z27" s="223"/>
      <c r="AA27" s="194"/>
      <c r="AB27" s="195"/>
      <c r="AC27" s="196"/>
      <c r="AD27" s="197"/>
      <c r="AE27" s="198"/>
      <c r="AF27" s="199"/>
      <c r="AG27" s="199">
        <f t="shared" ca="1" si="7"/>
        <v>0</v>
      </c>
      <c r="AH27" s="199">
        <f t="shared" ca="1" si="8"/>
        <v>0</v>
      </c>
      <c r="AI27" s="199">
        <f t="shared" si="9"/>
        <v>0</v>
      </c>
      <c r="AJ27" s="199">
        <f t="shared" ca="1" si="10"/>
        <v>0</v>
      </c>
      <c r="AK27" s="199" t="str">
        <f t="shared" ca="1" si="11"/>
        <v/>
      </c>
      <c r="AL27" s="200">
        <f t="shared" ca="1" si="12"/>
        <v>1</v>
      </c>
      <c r="AM27" s="200">
        <f t="shared" ca="1" si="13"/>
        <v>3</v>
      </c>
      <c r="AN27" s="200">
        <f t="shared" ca="1" si="14"/>
        <v>6</v>
      </c>
      <c r="AO27" s="200">
        <f t="shared" ca="1" si="15"/>
        <v>0</v>
      </c>
      <c r="AP27" s="200">
        <f t="shared" ca="1" si="16"/>
        <v>0</v>
      </c>
      <c r="AQ27" s="200">
        <f t="shared" ca="1" si="17"/>
        <v>0</v>
      </c>
      <c r="AR27" s="200">
        <f t="shared" ca="1" si="18"/>
        <v>0</v>
      </c>
      <c r="AS27" s="201"/>
      <c r="AT27" s="200">
        <f t="shared" si="19"/>
        <v>1</v>
      </c>
    </row>
    <row r="28" spans="1:46" ht="15.75" customHeight="1">
      <c r="A28" s="178"/>
      <c r="B28" s="179">
        <f t="shared" ca="1" si="0"/>
        <v>1</v>
      </c>
      <c r="C28" s="180">
        <f t="shared" ca="1" si="1"/>
        <v>4</v>
      </c>
      <c r="D28" s="180" t="str">
        <f t="shared" ca="1" si="2"/>
        <v/>
      </c>
      <c r="E28" s="180" t="str">
        <f t="shared" ca="1" si="3"/>
        <v/>
      </c>
      <c r="F28" s="180" t="str">
        <f t="shared" ca="1" si="4"/>
        <v/>
      </c>
      <c r="G28" s="181" t="str">
        <f t="shared" ca="1" si="5"/>
        <v/>
      </c>
      <c r="H28" s="182" t="str">
        <f t="shared" ca="1" si="6"/>
        <v/>
      </c>
      <c r="I28" s="202"/>
      <c r="J28" s="203" t="s">
        <v>151</v>
      </c>
      <c r="K28" s="204"/>
      <c r="L28" s="204"/>
      <c r="M28" s="204"/>
      <c r="N28" s="204"/>
      <c r="O28" s="204"/>
      <c r="P28" s="204"/>
      <c r="Q28" s="205" t="s">
        <v>81</v>
      </c>
      <c r="R28" s="206"/>
      <c r="S28" s="207"/>
      <c r="T28" s="208"/>
      <c r="U28" s="209"/>
      <c r="V28" s="208"/>
      <c r="W28" s="210"/>
      <c r="X28" s="211"/>
      <c r="Y28" s="212" t="s">
        <v>152</v>
      </c>
      <c r="Z28" s="213"/>
      <c r="AA28" s="194"/>
      <c r="AB28" s="195"/>
      <c r="AC28" s="196"/>
      <c r="AD28" s="197"/>
      <c r="AE28" s="198"/>
      <c r="AF28" s="199"/>
      <c r="AG28" s="199">
        <f t="shared" si="7"/>
        <v>0</v>
      </c>
      <c r="AH28" s="199">
        <f t="shared" si="8"/>
        <v>0</v>
      </c>
      <c r="AI28" s="199">
        <f t="shared" si="9"/>
        <v>0</v>
      </c>
      <c r="AJ28" s="199">
        <f t="shared" si="10"/>
        <v>0</v>
      </c>
      <c r="AK28" s="199" t="str">
        <f t="shared" si="11"/>
        <v/>
      </c>
      <c r="AL28" s="200">
        <f t="shared" ca="1" si="12"/>
        <v>1</v>
      </c>
      <c r="AM28" s="200">
        <f t="shared" ca="1" si="13"/>
        <v>4</v>
      </c>
      <c r="AN28" s="200">
        <f t="shared" ca="1" si="14"/>
        <v>0</v>
      </c>
      <c r="AO28" s="200">
        <f t="shared" ca="1" si="15"/>
        <v>0</v>
      </c>
      <c r="AP28" s="200">
        <f t="shared" ca="1" si="16"/>
        <v>0</v>
      </c>
      <c r="AQ28" s="200">
        <f t="shared" ca="1" si="17"/>
        <v>0</v>
      </c>
      <c r="AR28" s="200">
        <f t="shared" ca="1" si="18"/>
        <v>0</v>
      </c>
      <c r="AS28" s="201"/>
      <c r="AT28" s="200">
        <f t="shared" si="19"/>
        <v>1</v>
      </c>
    </row>
    <row r="29" spans="1:46" ht="15.75" customHeight="1">
      <c r="A29" s="178"/>
      <c r="B29" s="179">
        <f t="shared" ca="1" si="0"/>
        <v>1</v>
      </c>
      <c r="C29" s="180">
        <f t="shared" ca="1" si="1"/>
        <v>4</v>
      </c>
      <c r="D29" s="180">
        <f t="shared" ca="1" si="2"/>
        <v>1</v>
      </c>
      <c r="E29" s="180" t="str">
        <f t="shared" ca="1" si="3"/>
        <v/>
      </c>
      <c r="F29" s="180" t="str">
        <f t="shared" ca="1" si="4"/>
        <v/>
      </c>
      <c r="G29" s="181" t="str">
        <f t="shared" ca="1" si="5"/>
        <v/>
      </c>
      <c r="H29" s="182" t="str">
        <f t="shared" ca="1" si="6"/>
        <v/>
      </c>
      <c r="I29" s="202"/>
      <c r="J29" s="214"/>
      <c r="K29" s="214" t="s">
        <v>59</v>
      </c>
      <c r="L29" s="214"/>
      <c r="M29" s="214"/>
      <c r="N29" s="214"/>
      <c r="O29" s="214"/>
      <c r="P29" s="214"/>
      <c r="Q29" s="215"/>
      <c r="R29" s="216"/>
      <c r="S29" s="217"/>
      <c r="T29" s="218"/>
      <c r="U29" s="219"/>
      <c r="V29" s="218"/>
      <c r="W29" s="220">
        <v>0</v>
      </c>
      <c r="X29" s="221"/>
      <c r="Y29" s="222"/>
      <c r="Z29" s="223"/>
      <c r="AA29" s="194"/>
      <c r="AB29" s="195"/>
      <c r="AC29" s="196"/>
      <c r="AD29" s="197"/>
      <c r="AE29" s="198"/>
      <c r="AF29" s="199"/>
      <c r="AG29" s="199">
        <f t="shared" si="7"/>
        <v>0</v>
      </c>
      <c r="AH29" s="199">
        <f t="shared" si="8"/>
        <v>0</v>
      </c>
      <c r="AI29" s="199">
        <f t="shared" si="9"/>
        <v>0</v>
      </c>
      <c r="AJ29" s="199">
        <f t="shared" si="10"/>
        <v>0</v>
      </c>
      <c r="AK29" s="199" t="str">
        <f t="shared" si="11"/>
        <v/>
      </c>
      <c r="AL29" s="200">
        <f t="shared" ca="1" si="12"/>
        <v>1</v>
      </c>
      <c r="AM29" s="200">
        <f t="shared" ca="1" si="13"/>
        <v>4</v>
      </c>
      <c r="AN29" s="200">
        <f t="shared" ca="1" si="14"/>
        <v>1</v>
      </c>
      <c r="AO29" s="200">
        <f t="shared" ca="1" si="15"/>
        <v>0</v>
      </c>
      <c r="AP29" s="200">
        <f t="shared" ca="1" si="16"/>
        <v>0</v>
      </c>
      <c r="AQ29" s="200">
        <f t="shared" ca="1" si="17"/>
        <v>0</v>
      </c>
      <c r="AR29" s="200">
        <f t="shared" ca="1" si="18"/>
        <v>0</v>
      </c>
      <c r="AS29" s="201"/>
      <c r="AT29" s="200">
        <f t="shared" si="19"/>
        <v>1</v>
      </c>
    </row>
    <row r="30" spans="1:46" ht="15.75" customHeight="1">
      <c r="A30" s="178"/>
      <c r="B30" s="179">
        <f t="shared" ca="1" si="0"/>
        <v>1</v>
      </c>
      <c r="C30" s="180">
        <f t="shared" ca="1" si="1"/>
        <v>4</v>
      </c>
      <c r="D30" s="180">
        <f t="shared" ca="1" si="2"/>
        <v>2</v>
      </c>
      <c r="E30" s="180" t="str">
        <f t="shared" ca="1" si="3"/>
        <v/>
      </c>
      <c r="F30" s="180" t="str">
        <f t="shared" ca="1" si="4"/>
        <v/>
      </c>
      <c r="G30" s="181" t="str">
        <f t="shared" ca="1" si="5"/>
        <v/>
      </c>
      <c r="H30" s="182" t="str">
        <f t="shared" ca="1" si="6"/>
        <v/>
      </c>
      <c r="I30" s="202"/>
      <c r="J30" s="214"/>
      <c r="K30" s="214" t="s">
        <v>145</v>
      </c>
      <c r="L30" s="214"/>
      <c r="M30" s="214"/>
      <c r="N30" s="214"/>
      <c r="O30" s="214"/>
      <c r="P30" s="214"/>
      <c r="Q30" s="215"/>
      <c r="R30" s="216"/>
      <c r="S30" s="217"/>
      <c r="T30" s="218"/>
      <c r="U30" s="219"/>
      <c r="V30" s="218"/>
      <c r="W30" s="220">
        <v>0</v>
      </c>
      <c r="X30" s="221"/>
      <c r="Y30" s="222"/>
      <c r="Z30" s="223"/>
      <c r="AA30" s="194"/>
      <c r="AB30" s="195"/>
      <c r="AC30" s="196"/>
      <c r="AD30" s="197"/>
      <c r="AE30" s="198"/>
      <c r="AF30" s="199"/>
      <c r="AG30" s="199">
        <f t="shared" si="7"/>
        <v>0</v>
      </c>
      <c r="AH30" s="199">
        <f t="shared" si="8"/>
        <v>0</v>
      </c>
      <c r="AI30" s="199">
        <f t="shared" si="9"/>
        <v>0</v>
      </c>
      <c r="AJ30" s="199">
        <f t="shared" si="10"/>
        <v>0</v>
      </c>
      <c r="AK30" s="199" t="str">
        <f t="shared" si="11"/>
        <v/>
      </c>
      <c r="AL30" s="200">
        <f t="shared" ca="1" si="12"/>
        <v>1</v>
      </c>
      <c r="AM30" s="200">
        <f t="shared" ca="1" si="13"/>
        <v>4</v>
      </c>
      <c r="AN30" s="200">
        <f t="shared" ca="1" si="14"/>
        <v>2</v>
      </c>
      <c r="AO30" s="200">
        <f t="shared" ca="1" si="15"/>
        <v>0</v>
      </c>
      <c r="AP30" s="200">
        <f t="shared" ca="1" si="16"/>
        <v>0</v>
      </c>
      <c r="AQ30" s="200">
        <f t="shared" ca="1" si="17"/>
        <v>0</v>
      </c>
      <c r="AR30" s="200">
        <f t="shared" ca="1" si="18"/>
        <v>0</v>
      </c>
      <c r="AS30" s="201"/>
      <c r="AT30" s="200">
        <f t="shared" si="19"/>
        <v>1</v>
      </c>
    </row>
    <row r="31" spans="1:46" ht="15.75" customHeight="1">
      <c r="A31" s="178"/>
      <c r="B31" s="179">
        <f t="shared" ca="1" si="0"/>
        <v>1</v>
      </c>
      <c r="C31" s="180">
        <f t="shared" ca="1" si="1"/>
        <v>4</v>
      </c>
      <c r="D31" s="180">
        <f t="shared" ca="1" si="2"/>
        <v>3</v>
      </c>
      <c r="E31" s="180" t="str">
        <f t="shared" ca="1" si="3"/>
        <v/>
      </c>
      <c r="F31" s="180" t="str">
        <f t="shared" ca="1" si="4"/>
        <v/>
      </c>
      <c r="G31" s="181" t="str">
        <f t="shared" ca="1" si="5"/>
        <v/>
      </c>
      <c r="H31" s="182" t="str">
        <f t="shared" ca="1" si="6"/>
        <v/>
      </c>
      <c r="I31" s="202"/>
      <c r="J31" s="214"/>
      <c r="K31" s="214" t="s">
        <v>63</v>
      </c>
      <c r="L31" s="214"/>
      <c r="M31" s="214"/>
      <c r="N31" s="214"/>
      <c r="O31" s="214"/>
      <c r="P31" s="214"/>
      <c r="Q31" s="215"/>
      <c r="R31" s="216"/>
      <c r="S31" s="217"/>
      <c r="T31" s="218"/>
      <c r="U31" s="219"/>
      <c r="V31" s="218"/>
      <c r="W31" s="220">
        <v>0</v>
      </c>
      <c r="X31" s="221"/>
      <c r="Y31" s="222"/>
      <c r="Z31" s="223"/>
      <c r="AA31" s="194"/>
      <c r="AB31" s="195"/>
      <c r="AC31" s="196"/>
      <c r="AD31" s="197"/>
      <c r="AE31" s="198"/>
      <c r="AF31" s="199"/>
      <c r="AG31" s="199">
        <f t="shared" si="7"/>
        <v>0</v>
      </c>
      <c r="AH31" s="199">
        <f t="shared" si="8"/>
        <v>0</v>
      </c>
      <c r="AI31" s="199">
        <f t="shared" si="9"/>
        <v>0</v>
      </c>
      <c r="AJ31" s="199">
        <f t="shared" si="10"/>
        <v>0</v>
      </c>
      <c r="AK31" s="199" t="str">
        <f t="shared" si="11"/>
        <v/>
      </c>
      <c r="AL31" s="200">
        <f t="shared" ca="1" si="12"/>
        <v>1</v>
      </c>
      <c r="AM31" s="200">
        <f t="shared" ca="1" si="13"/>
        <v>4</v>
      </c>
      <c r="AN31" s="200">
        <f t="shared" ca="1" si="14"/>
        <v>3</v>
      </c>
      <c r="AO31" s="200">
        <f t="shared" ca="1" si="15"/>
        <v>0</v>
      </c>
      <c r="AP31" s="200">
        <f t="shared" ca="1" si="16"/>
        <v>0</v>
      </c>
      <c r="AQ31" s="200">
        <f t="shared" ca="1" si="17"/>
        <v>0</v>
      </c>
      <c r="AR31" s="200">
        <f t="shared" ca="1" si="18"/>
        <v>0</v>
      </c>
      <c r="AS31" s="201"/>
      <c r="AT31" s="200">
        <f t="shared" si="19"/>
        <v>1</v>
      </c>
    </row>
    <row r="32" spans="1:46" ht="15.75" customHeight="1">
      <c r="A32" s="178"/>
      <c r="B32" s="179">
        <f t="shared" ca="1" si="0"/>
        <v>1</v>
      </c>
      <c r="C32" s="180">
        <f t="shared" ca="1" si="1"/>
        <v>4</v>
      </c>
      <c r="D32" s="180">
        <f t="shared" ca="1" si="2"/>
        <v>4</v>
      </c>
      <c r="E32" s="180" t="str">
        <f t="shared" ca="1" si="3"/>
        <v/>
      </c>
      <c r="F32" s="180" t="str">
        <f t="shared" ca="1" si="4"/>
        <v/>
      </c>
      <c r="G32" s="181" t="str">
        <f t="shared" ca="1" si="5"/>
        <v/>
      </c>
      <c r="H32" s="182" t="str">
        <f t="shared" ca="1" si="6"/>
        <v/>
      </c>
      <c r="I32" s="202"/>
      <c r="J32" s="214"/>
      <c r="K32" s="214" t="s">
        <v>64</v>
      </c>
      <c r="L32" s="214"/>
      <c r="M32" s="214"/>
      <c r="N32" s="214"/>
      <c r="O32" s="214"/>
      <c r="P32" s="214"/>
      <c r="Q32" s="215"/>
      <c r="R32" s="216"/>
      <c r="S32" s="217"/>
      <c r="T32" s="218"/>
      <c r="U32" s="219"/>
      <c r="V32" s="218"/>
      <c r="W32" s="220">
        <v>0</v>
      </c>
      <c r="X32" s="221"/>
      <c r="Y32" s="222"/>
      <c r="Z32" s="223"/>
      <c r="AA32" s="194"/>
      <c r="AB32" s="195"/>
      <c r="AC32" s="196"/>
      <c r="AD32" s="197"/>
      <c r="AE32" s="198"/>
      <c r="AF32" s="199"/>
      <c r="AG32" s="199">
        <f t="shared" si="7"/>
        <v>0</v>
      </c>
      <c r="AH32" s="199">
        <f t="shared" si="8"/>
        <v>0</v>
      </c>
      <c r="AI32" s="199">
        <f t="shared" si="9"/>
        <v>0</v>
      </c>
      <c r="AJ32" s="199">
        <f t="shared" si="10"/>
        <v>0</v>
      </c>
      <c r="AK32" s="199" t="str">
        <f t="shared" si="11"/>
        <v/>
      </c>
      <c r="AL32" s="200">
        <f t="shared" ca="1" si="12"/>
        <v>1</v>
      </c>
      <c r="AM32" s="200">
        <f t="shared" ca="1" si="13"/>
        <v>4</v>
      </c>
      <c r="AN32" s="200">
        <f t="shared" ca="1" si="14"/>
        <v>4</v>
      </c>
      <c r="AO32" s="200">
        <f t="shared" ca="1" si="15"/>
        <v>0</v>
      </c>
      <c r="AP32" s="200">
        <f t="shared" ca="1" si="16"/>
        <v>0</v>
      </c>
      <c r="AQ32" s="200">
        <f t="shared" ca="1" si="17"/>
        <v>0</v>
      </c>
      <c r="AR32" s="200">
        <f t="shared" ca="1" si="18"/>
        <v>0</v>
      </c>
      <c r="AS32" s="201"/>
      <c r="AT32" s="200">
        <f t="shared" si="19"/>
        <v>1</v>
      </c>
    </row>
    <row r="33" spans="1:46" ht="15.75" customHeight="1">
      <c r="A33" s="178"/>
      <c r="B33" s="179">
        <f t="shared" ca="1" si="0"/>
        <v>1</v>
      </c>
      <c r="C33" s="180">
        <f t="shared" ca="1" si="1"/>
        <v>4</v>
      </c>
      <c r="D33" s="180">
        <f t="shared" ca="1" si="2"/>
        <v>5</v>
      </c>
      <c r="E33" s="180" t="str">
        <f t="shared" ca="1" si="3"/>
        <v/>
      </c>
      <c r="F33" s="180" t="str">
        <f t="shared" ca="1" si="4"/>
        <v/>
      </c>
      <c r="G33" s="181" t="str">
        <f t="shared" ca="1" si="5"/>
        <v/>
      </c>
      <c r="H33" s="182" t="str">
        <f t="shared" ca="1" si="6"/>
        <v/>
      </c>
      <c r="I33" s="202"/>
      <c r="J33" s="214"/>
      <c r="K33" s="214" t="s">
        <v>65</v>
      </c>
      <c r="L33" s="214"/>
      <c r="M33" s="214"/>
      <c r="N33" s="214"/>
      <c r="O33" s="214"/>
      <c r="P33" s="214"/>
      <c r="Q33" s="215"/>
      <c r="R33" s="216"/>
      <c r="S33" s="217"/>
      <c r="T33" s="218"/>
      <c r="U33" s="219"/>
      <c r="V33" s="218"/>
      <c r="W33" s="220">
        <v>0</v>
      </c>
      <c r="X33" s="221"/>
      <c r="Y33" s="222"/>
      <c r="Z33" s="223"/>
      <c r="AA33" s="194"/>
      <c r="AB33" s="195"/>
      <c r="AC33" s="196"/>
      <c r="AD33" s="197"/>
      <c r="AE33" s="198"/>
      <c r="AF33" s="199"/>
      <c r="AG33" s="199">
        <f t="shared" si="7"/>
        <v>0</v>
      </c>
      <c r="AH33" s="199">
        <f t="shared" si="8"/>
        <v>0</v>
      </c>
      <c r="AI33" s="199">
        <f t="shared" si="9"/>
        <v>0</v>
      </c>
      <c r="AJ33" s="199">
        <f t="shared" si="10"/>
        <v>0</v>
      </c>
      <c r="AK33" s="199" t="str">
        <f t="shared" si="11"/>
        <v/>
      </c>
      <c r="AL33" s="200">
        <f t="shared" ca="1" si="12"/>
        <v>1</v>
      </c>
      <c r="AM33" s="200">
        <f t="shared" ca="1" si="13"/>
        <v>4</v>
      </c>
      <c r="AN33" s="200">
        <f t="shared" ca="1" si="14"/>
        <v>5</v>
      </c>
      <c r="AO33" s="200">
        <f t="shared" ca="1" si="15"/>
        <v>0</v>
      </c>
      <c r="AP33" s="200">
        <f t="shared" ca="1" si="16"/>
        <v>0</v>
      </c>
      <c r="AQ33" s="200">
        <f t="shared" ca="1" si="17"/>
        <v>0</v>
      </c>
      <c r="AR33" s="200">
        <f t="shared" ca="1" si="18"/>
        <v>0</v>
      </c>
      <c r="AS33" s="201"/>
      <c r="AT33" s="200">
        <f t="shared" si="19"/>
        <v>1</v>
      </c>
    </row>
    <row r="34" spans="1:46" ht="15.75" customHeight="1">
      <c r="A34" s="178"/>
      <c r="B34" s="179">
        <f t="shared" ca="1" si="0"/>
        <v>1</v>
      </c>
      <c r="C34" s="180">
        <f t="shared" ca="1" si="1"/>
        <v>4</v>
      </c>
      <c r="D34" s="180">
        <f t="shared" ca="1" si="2"/>
        <v>6</v>
      </c>
      <c r="E34" s="180" t="str">
        <f t="shared" ca="1" si="3"/>
        <v/>
      </c>
      <c r="F34" s="180" t="str">
        <f t="shared" ca="1" si="4"/>
        <v/>
      </c>
      <c r="G34" s="181" t="str">
        <f t="shared" ca="1" si="5"/>
        <v/>
      </c>
      <c r="H34" s="182" t="str">
        <f t="shared" ca="1" si="6"/>
        <v/>
      </c>
      <c r="I34" s="202"/>
      <c r="J34" s="214"/>
      <c r="K34" s="214" t="s">
        <v>66</v>
      </c>
      <c r="L34" s="214"/>
      <c r="M34" s="214"/>
      <c r="N34" s="214"/>
      <c r="O34" s="214"/>
      <c r="P34" s="214"/>
      <c r="Q34" s="215"/>
      <c r="R34" s="216"/>
      <c r="S34" s="217"/>
      <c r="T34" s="218"/>
      <c r="U34" s="219"/>
      <c r="V34" s="218"/>
      <c r="W34" s="220">
        <v>0</v>
      </c>
      <c r="X34" s="221"/>
      <c r="Y34" s="222"/>
      <c r="Z34" s="223"/>
      <c r="AA34" s="194"/>
      <c r="AB34" s="195"/>
      <c r="AC34" s="196"/>
      <c r="AD34" s="197"/>
      <c r="AE34" s="198"/>
      <c r="AF34" s="199"/>
      <c r="AG34" s="199">
        <f t="shared" si="7"/>
        <v>0</v>
      </c>
      <c r="AH34" s="199">
        <f t="shared" si="8"/>
        <v>0</v>
      </c>
      <c r="AI34" s="199">
        <f t="shared" si="9"/>
        <v>0</v>
      </c>
      <c r="AJ34" s="199">
        <f t="shared" si="10"/>
        <v>0</v>
      </c>
      <c r="AK34" s="199" t="str">
        <f t="shared" si="11"/>
        <v/>
      </c>
      <c r="AL34" s="200">
        <f t="shared" ca="1" si="12"/>
        <v>1</v>
      </c>
      <c r="AM34" s="200">
        <f t="shared" ca="1" si="13"/>
        <v>4</v>
      </c>
      <c r="AN34" s="200">
        <f t="shared" ca="1" si="14"/>
        <v>6</v>
      </c>
      <c r="AO34" s="200">
        <f t="shared" ca="1" si="15"/>
        <v>0</v>
      </c>
      <c r="AP34" s="200">
        <f t="shared" ca="1" si="16"/>
        <v>0</v>
      </c>
      <c r="AQ34" s="200">
        <f t="shared" ca="1" si="17"/>
        <v>0</v>
      </c>
      <c r="AR34" s="200">
        <f t="shared" ca="1" si="18"/>
        <v>0</v>
      </c>
      <c r="AS34" s="201"/>
      <c r="AT34" s="200">
        <f t="shared" si="19"/>
        <v>1</v>
      </c>
    </row>
    <row r="35" spans="1:46" ht="15.75" customHeight="1">
      <c r="A35" s="178"/>
      <c r="B35" s="179">
        <f t="shared" ca="1" si="0"/>
        <v>1</v>
      </c>
      <c r="C35" s="180">
        <f t="shared" ca="1" si="1"/>
        <v>5</v>
      </c>
      <c r="D35" s="180" t="str">
        <f t="shared" ca="1" si="2"/>
        <v/>
      </c>
      <c r="E35" s="180" t="str">
        <f t="shared" ca="1" si="3"/>
        <v/>
      </c>
      <c r="F35" s="180" t="str">
        <f t="shared" ca="1" si="4"/>
        <v/>
      </c>
      <c r="G35" s="181" t="str">
        <f t="shared" ca="1" si="5"/>
        <v/>
      </c>
      <c r="H35" s="182" t="str">
        <f t="shared" ca="1" si="6"/>
        <v/>
      </c>
      <c r="I35" s="202"/>
      <c r="J35" s="224" t="s">
        <v>153</v>
      </c>
      <c r="K35" s="225"/>
      <c r="L35" s="225"/>
      <c r="M35" s="225"/>
      <c r="N35" s="225"/>
      <c r="O35" s="225"/>
      <c r="P35" s="225"/>
      <c r="Q35" s="205" t="s">
        <v>73</v>
      </c>
      <c r="R35" s="206"/>
      <c r="S35" s="207"/>
      <c r="T35" s="208"/>
      <c r="U35" s="209"/>
      <c r="V35" s="208"/>
      <c r="W35" s="210"/>
      <c r="X35" s="211"/>
      <c r="Y35" s="226"/>
      <c r="Z35" s="227"/>
      <c r="AA35" s="194"/>
      <c r="AB35" s="195"/>
      <c r="AC35" s="196"/>
      <c r="AD35" s="197"/>
      <c r="AE35" s="198"/>
      <c r="AF35" s="199"/>
      <c r="AG35" s="199">
        <f t="shared" si="7"/>
        <v>0</v>
      </c>
      <c r="AH35" s="199">
        <f t="shared" si="8"/>
        <v>0</v>
      </c>
      <c r="AI35" s="199">
        <f t="shared" si="9"/>
        <v>0</v>
      </c>
      <c r="AJ35" s="199">
        <f t="shared" si="10"/>
        <v>0</v>
      </c>
      <c r="AK35" s="199" t="str">
        <f t="shared" si="11"/>
        <v/>
      </c>
      <c r="AL35" s="200">
        <f t="shared" ca="1" si="12"/>
        <v>1</v>
      </c>
      <c r="AM35" s="200">
        <f t="shared" ca="1" si="13"/>
        <v>5</v>
      </c>
      <c r="AN35" s="200">
        <f t="shared" ca="1" si="14"/>
        <v>0</v>
      </c>
      <c r="AO35" s="200">
        <f t="shared" ca="1" si="15"/>
        <v>0</v>
      </c>
      <c r="AP35" s="200">
        <f t="shared" ca="1" si="16"/>
        <v>0</v>
      </c>
      <c r="AQ35" s="200">
        <f t="shared" ca="1" si="17"/>
        <v>0</v>
      </c>
      <c r="AR35" s="200">
        <f t="shared" ca="1" si="18"/>
        <v>0</v>
      </c>
      <c r="AS35" s="201"/>
      <c r="AT35" s="200">
        <f t="shared" si="19"/>
        <v>1</v>
      </c>
    </row>
    <row r="36" spans="1:46" ht="15.75" customHeight="1">
      <c r="A36" s="178"/>
      <c r="B36" s="179">
        <f t="shared" ca="1" si="0"/>
        <v>1</v>
      </c>
      <c r="C36" s="180">
        <f t="shared" ca="1" si="1"/>
        <v>5</v>
      </c>
      <c r="D36" s="180">
        <f t="shared" ca="1" si="2"/>
        <v>1</v>
      </c>
      <c r="E36" s="180" t="str">
        <f t="shared" ca="1" si="3"/>
        <v/>
      </c>
      <c r="F36" s="180" t="str">
        <f t="shared" ca="1" si="4"/>
        <v/>
      </c>
      <c r="G36" s="181" t="str">
        <f t="shared" ca="1" si="5"/>
        <v/>
      </c>
      <c r="H36" s="182" t="str">
        <f t="shared" ca="1" si="6"/>
        <v/>
      </c>
      <c r="I36" s="202"/>
      <c r="J36" s="214"/>
      <c r="K36" s="214" t="s">
        <v>59</v>
      </c>
      <c r="L36" s="214"/>
      <c r="M36" s="214"/>
      <c r="N36" s="214"/>
      <c r="O36" s="214"/>
      <c r="P36" s="214"/>
      <c r="Q36" s="215"/>
      <c r="R36" s="216" t="s">
        <v>149</v>
      </c>
      <c r="S36" s="217">
        <v>45812</v>
      </c>
      <c r="T36" s="218">
        <v>45818</v>
      </c>
      <c r="U36" s="219">
        <v>45812</v>
      </c>
      <c r="V36" s="218">
        <v>45820</v>
      </c>
      <c r="W36" s="220">
        <v>1</v>
      </c>
      <c r="X36" s="221">
        <v>1</v>
      </c>
      <c r="Y36" s="228"/>
      <c r="Z36" s="223"/>
      <c r="AA36" s="194"/>
      <c r="AB36" s="195"/>
      <c r="AC36" s="196"/>
      <c r="AD36" s="197"/>
      <c r="AE36" s="198"/>
      <c r="AF36" s="199"/>
      <c r="AG36" s="199">
        <f t="shared" ca="1" si="7"/>
        <v>0</v>
      </c>
      <c r="AH36" s="199">
        <f t="shared" ca="1" si="8"/>
        <v>0</v>
      </c>
      <c r="AI36" s="199">
        <f t="shared" si="9"/>
        <v>0</v>
      </c>
      <c r="AJ36" s="199">
        <f t="shared" ca="1" si="10"/>
        <v>0</v>
      </c>
      <c r="AK36" s="199" t="str">
        <f t="shared" ca="1" si="11"/>
        <v/>
      </c>
      <c r="AL36" s="200">
        <f t="shared" ca="1" si="12"/>
        <v>1</v>
      </c>
      <c r="AM36" s="200">
        <f t="shared" ca="1" si="13"/>
        <v>5</v>
      </c>
      <c r="AN36" s="200">
        <f t="shared" ca="1" si="14"/>
        <v>1</v>
      </c>
      <c r="AO36" s="200">
        <f t="shared" ca="1" si="15"/>
        <v>0</v>
      </c>
      <c r="AP36" s="200">
        <f t="shared" ca="1" si="16"/>
        <v>0</v>
      </c>
      <c r="AQ36" s="200">
        <f t="shared" ca="1" si="17"/>
        <v>0</v>
      </c>
      <c r="AR36" s="200">
        <f t="shared" ca="1" si="18"/>
        <v>0</v>
      </c>
      <c r="AS36" s="201"/>
      <c r="AT36" s="200">
        <f t="shared" si="19"/>
        <v>7</v>
      </c>
    </row>
    <row r="37" spans="1:46" ht="15.75" customHeight="1">
      <c r="A37" s="178"/>
      <c r="B37" s="179">
        <f t="shared" ca="1" si="0"/>
        <v>1</v>
      </c>
      <c r="C37" s="180">
        <f t="shared" ca="1" si="1"/>
        <v>5</v>
      </c>
      <c r="D37" s="180">
        <f t="shared" ca="1" si="2"/>
        <v>2</v>
      </c>
      <c r="E37" s="180" t="str">
        <f t="shared" ca="1" si="3"/>
        <v/>
      </c>
      <c r="F37" s="180" t="str">
        <f t="shared" ca="1" si="4"/>
        <v/>
      </c>
      <c r="G37" s="181" t="str">
        <f t="shared" ca="1" si="5"/>
        <v/>
      </c>
      <c r="H37" s="182" t="str">
        <f t="shared" ca="1" si="6"/>
        <v/>
      </c>
      <c r="I37" s="202"/>
      <c r="J37" s="214"/>
      <c r="K37" s="214" t="s">
        <v>145</v>
      </c>
      <c r="L37" s="214"/>
      <c r="M37" s="214"/>
      <c r="N37" s="214"/>
      <c r="O37" s="214"/>
      <c r="P37" s="214"/>
      <c r="Q37" s="215"/>
      <c r="R37" s="216" t="s">
        <v>150</v>
      </c>
      <c r="S37" s="217">
        <v>45819</v>
      </c>
      <c r="T37" s="218">
        <v>45819</v>
      </c>
      <c r="U37" s="219">
        <v>45817</v>
      </c>
      <c r="V37" s="218">
        <v>45820</v>
      </c>
      <c r="W37" s="220">
        <v>1</v>
      </c>
      <c r="X37" s="221">
        <v>1</v>
      </c>
      <c r="Y37" s="228"/>
      <c r="Z37" s="223"/>
      <c r="AA37" s="194"/>
      <c r="AB37" s="195"/>
      <c r="AC37" s="196"/>
      <c r="AD37" s="197"/>
      <c r="AE37" s="198"/>
      <c r="AF37" s="199"/>
      <c r="AG37" s="199">
        <f t="shared" ca="1" si="7"/>
        <v>0</v>
      </c>
      <c r="AH37" s="199">
        <f t="shared" ca="1" si="8"/>
        <v>0</v>
      </c>
      <c r="AI37" s="199">
        <f t="shared" si="9"/>
        <v>0</v>
      </c>
      <c r="AJ37" s="199">
        <f t="shared" ca="1" si="10"/>
        <v>0</v>
      </c>
      <c r="AK37" s="199" t="str">
        <f t="shared" ca="1" si="11"/>
        <v/>
      </c>
      <c r="AL37" s="200">
        <f t="shared" ca="1" si="12"/>
        <v>1</v>
      </c>
      <c r="AM37" s="200">
        <f t="shared" ca="1" si="13"/>
        <v>5</v>
      </c>
      <c r="AN37" s="200">
        <f t="shared" ca="1" si="14"/>
        <v>2</v>
      </c>
      <c r="AO37" s="200">
        <f t="shared" ca="1" si="15"/>
        <v>0</v>
      </c>
      <c r="AP37" s="200">
        <f t="shared" ca="1" si="16"/>
        <v>0</v>
      </c>
      <c r="AQ37" s="200">
        <f t="shared" ca="1" si="17"/>
        <v>0</v>
      </c>
      <c r="AR37" s="200">
        <f t="shared" ca="1" si="18"/>
        <v>0</v>
      </c>
      <c r="AS37" s="201"/>
      <c r="AT37" s="200">
        <f t="shared" si="19"/>
        <v>1</v>
      </c>
    </row>
    <row r="38" spans="1:46" ht="15.75" customHeight="1">
      <c r="A38" s="178"/>
      <c r="B38" s="179">
        <f t="shared" ca="1" si="0"/>
        <v>1</v>
      </c>
      <c r="C38" s="180">
        <f t="shared" ca="1" si="1"/>
        <v>5</v>
      </c>
      <c r="D38" s="180">
        <f t="shared" ca="1" si="2"/>
        <v>3</v>
      </c>
      <c r="E38" s="180" t="str">
        <f t="shared" ca="1" si="3"/>
        <v/>
      </c>
      <c r="F38" s="180" t="str">
        <f t="shared" ca="1" si="4"/>
        <v/>
      </c>
      <c r="G38" s="181" t="str">
        <f t="shared" ca="1" si="5"/>
        <v/>
      </c>
      <c r="H38" s="182" t="str">
        <f t="shared" ca="1" si="6"/>
        <v/>
      </c>
      <c r="I38" s="202"/>
      <c r="J38" s="214"/>
      <c r="K38" s="214" t="s">
        <v>63</v>
      </c>
      <c r="L38" s="214"/>
      <c r="M38" s="214"/>
      <c r="N38" s="214"/>
      <c r="O38" s="214"/>
      <c r="P38" s="214"/>
      <c r="Q38" s="215"/>
      <c r="R38" s="216" t="s">
        <v>149</v>
      </c>
      <c r="S38" s="217">
        <v>45842</v>
      </c>
      <c r="T38" s="218">
        <v>45845</v>
      </c>
      <c r="U38" s="219"/>
      <c r="V38" s="218"/>
      <c r="W38" s="220">
        <v>0</v>
      </c>
      <c r="X38" s="221"/>
      <c r="Y38" s="222"/>
      <c r="Z38" s="223"/>
      <c r="AA38" s="194"/>
      <c r="AB38" s="195"/>
      <c r="AC38" s="196"/>
      <c r="AD38" s="197"/>
      <c r="AE38" s="198"/>
      <c r="AF38" s="199"/>
      <c r="AG38" s="199">
        <f t="shared" ca="1" si="7"/>
        <v>0</v>
      </c>
      <c r="AH38" s="199">
        <f t="shared" ca="1" si="8"/>
        <v>0</v>
      </c>
      <c r="AI38" s="199">
        <f t="shared" si="9"/>
        <v>0</v>
      </c>
      <c r="AJ38" s="199">
        <f t="shared" ca="1" si="10"/>
        <v>0</v>
      </c>
      <c r="AK38" s="199" t="str">
        <f t="shared" ca="1" si="11"/>
        <v/>
      </c>
      <c r="AL38" s="200">
        <f t="shared" ca="1" si="12"/>
        <v>1</v>
      </c>
      <c r="AM38" s="200">
        <f t="shared" ca="1" si="13"/>
        <v>5</v>
      </c>
      <c r="AN38" s="200">
        <f t="shared" ca="1" si="14"/>
        <v>3</v>
      </c>
      <c r="AO38" s="200">
        <f t="shared" ca="1" si="15"/>
        <v>0</v>
      </c>
      <c r="AP38" s="200">
        <f t="shared" ca="1" si="16"/>
        <v>0</v>
      </c>
      <c r="AQ38" s="200">
        <f t="shared" ca="1" si="17"/>
        <v>0</v>
      </c>
      <c r="AR38" s="200">
        <f t="shared" ca="1" si="18"/>
        <v>0</v>
      </c>
      <c r="AS38" s="201"/>
      <c r="AT38" s="200">
        <f t="shared" si="19"/>
        <v>4</v>
      </c>
    </row>
    <row r="39" spans="1:46" ht="15.75" customHeight="1">
      <c r="A39" s="178"/>
      <c r="B39" s="179">
        <f t="shared" ca="1" si="0"/>
        <v>1</v>
      </c>
      <c r="C39" s="180">
        <f t="shared" ca="1" si="1"/>
        <v>5</v>
      </c>
      <c r="D39" s="180">
        <f t="shared" ca="1" si="2"/>
        <v>4</v>
      </c>
      <c r="E39" s="180" t="str">
        <f t="shared" ca="1" si="3"/>
        <v/>
      </c>
      <c r="F39" s="180" t="str">
        <f t="shared" ca="1" si="4"/>
        <v/>
      </c>
      <c r="G39" s="181" t="str">
        <f t="shared" ca="1" si="5"/>
        <v/>
      </c>
      <c r="H39" s="182" t="str">
        <f t="shared" ca="1" si="6"/>
        <v/>
      </c>
      <c r="I39" s="202"/>
      <c r="J39" s="214"/>
      <c r="K39" s="214" t="s">
        <v>64</v>
      </c>
      <c r="L39" s="214"/>
      <c r="M39" s="214"/>
      <c r="N39" s="214"/>
      <c r="O39" s="214"/>
      <c r="P39" s="214"/>
      <c r="Q39" s="215"/>
      <c r="R39" s="216" t="s">
        <v>150</v>
      </c>
      <c r="S39" s="217">
        <v>45846</v>
      </c>
      <c r="T39" s="218">
        <v>45846</v>
      </c>
      <c r="U39" s="219"/>
      <c r="V39" s="218"/>
      <c r="W39" s="220">
        <v>0</v>
      </c>
      <c r="X39" s="221"/>
      <c r="Y39" s="222"/>
      <c r="Z39" s="223"/>
      <c r="AA39" s="194"/>
      <c r="AB39" s="195"/>
      <c r="AC39" s="196"/>
      <c r="AD39" s="197"/>
      <c r="AE39" s="198"/>
      <c r="AF39" s="199"/>
      <c r="AG39" s="199">
        <f t="shared" ca="1" si="7"/>
        <v>0</v>
      </c>
      <c r="AH39" s="199">
        <f t="shared" ca="1" si="8"/>
        <v>0</v>
      </c>
      <c r="AI39" s="199">
        <f t="shared" si="9"/>
        <v>0</v>
      </c>
      <c r="AJ39" s="199">
        <f t="shared" ca="1" si="10"/>
        <v>0</v>
      </c>
      <c r="AK39" s="199" t="str">
        <f t="shared" ca="1" si="11"/>
        <v/>
      </c>
      <c r="AL39" s="200">
        <f t="shared" ca="1" si="12"/>
        <v>1</v>
      </c>
      <c r="AM39" s="200">
        <f t="shared" ca="1" si="13"/>
        <v>5</v>
      </c>
      <c r="AN39" s="200">
        <f t="shared" ca="1" si="14"/>
        <v>4</v>
      </c>
      <c r="AO39" s="200">
        <f t="shared" ca="1" si="15"/>
        <v>0</v>
      </c>
      <c r="AP39" s="200">
        <f t="shared" ca="1" si="16"/>
        <v>0</v>
      </c>
      <c r="AQ39" s="200">
        <f t="shared" ca="1" si="17"/>
        <v>0</v>
      </c>
      <c r="AR39" s="200">
        <f t="shared" ca="1" si="18"/>
        <v>0</v>
      </c>
      <c r="AS39" s="201"/>
      <c r="AT39" s="200">
        <f t="shared" si="19"/>
        <v>1</v>
      </c>
    </row>
    <row r="40" spans="1:46" ht="15.75" customHeight="1">
      <c r="A40" s="178"/>
      <c r="B40" s="179">
        <f t="shared" ca="1" si="0"/>
        <v>1</v>
      </c>
      <c r="C40" s="180">
        <f t="shared" ca="1" si="1"/>
        <v>5</v>
      </c>
      <c r="D40" s="180">
        <f t="shared" ca="1" si="2"/>
        <v>5</v>
      </c>
      <c r="E40" s="180" t="str">
        <f t="shared" ca="1" si="3"/>
        <v/>
      </c>
      <c r="F40" s="180" t="str">
        <f t="shared" ca="1" si="4"/>
        <v/>
      </c>
      <c r="G40" s="181" t="str">
        <f t="shared" ca="1" si="5"/>
        <v/>
      </c>
      <c r="H40" s="182" t="str">
        <f t="shared" ca="1" si="6"/>
        <v/>
      </c>
      <c r="I40" s="202"/>
      <c r="J40" s="214"/>
      <c r="K40" s="214" t="s">
        <v>65</v>
      </c>
      <c r="L40" s="214"/>
      <c r="M40" s="214"/>
      <c r="N40" s="214"/>
      <c r="O40" s="214"/>
      <c r="P40" s="214"/>
      <c r="Q40" s="215"/>
      <c r="R40" s="216" t="s">
        <v>149</v>
      </c>
      <c r="S40" s="217">
        <v>45847</v>
      </c>
      <c r="T40" s="218">
        <v>45847</v>
      </c>
      <c r="U40" s="219"/>
      <c r="V40" s="218"/>
      <c r="W40" s="220">
        <v>0</v>
      </c>
      <c r="X40" s="221"/>
      <c r="Y40" s="222"/>
      <c r="Z40" s="223"/>
      <c r="AA40" s="194"/>
      <c r="AB40" s="195"/>
      <c r="AC40" s="196"/>
      <c r="AD40" s="197"/>
      <c r="AE40" s="198"/>
      <c r="AF40" s="199"/>
      <c r="AG40" s="199">
        <f t="shared" ca="1" si="7"/>
        <v>0</v>
      </c>
      <c r="AH40" s="199">
        <f t="shared" ca="1" si="8"/>
        <v>0</v>
      </c>
      <c r="AI40" s="199">
        <f t="shared" si="9"/>
        <v>0</v>
      </c>
      <c r="AJ40" s="199">
        <f t="shared" ca="1" si="10"/>
        <v>0</v>
      </c>
      <c r="AK40" s="199" t="str">
        <f t="shared" ca="1" si="11"/>
        <v/>
      </c>
      <c r="AL40" s="200">
        <f t="shared" ca="1" si="12"/>
        <v>1</v>
      </c>
      <c r="AM40" s="200">
        <f t="shared" ca="1" si="13"/>
        <v>5</v>
      </c>
      <c r="AN40" s="200">
        <f t="shared" ca="1" si="14"/>
        <v>5</v>
      </c>
      <c r="AO40" s="200">
        <f t="shared" ca="1" si="15"/>
        <v>0</v>
      </c>
      <c r="AP40" s="200">
        <f t="shared" ca="1" si="16"/>
        <v>0</v>
      </c>
      <c r="AQ40" s="200">
        <f t="shared" ca="1" si="17"/>
        <v>0</v>
      </c>
      <c r="AR40" s="200">
        <f t="shared" ca="1" si="18"/>
        <v>0</v>
      </c>
      <c r="AS40" s="201"/>
      <c r="AT40" s="200">
        <f t="shared" si="19"/>
        <v>1</v>
      </c>
    </row>
    <row r="41" spans="1:46" ht="15.75" customHeight="1">
      <c r="A41" s="178"/>
      <c r="B41" s="179">
        <f t="shared" ca="1" si="0"/>
        <v>1</v>
      </c>
      <c r="C41" s="180">
        <f t="shared" ca="1" si="1"/>
        <v>5</v>
      </c>
      <c r="D41" s="180">
        <f t="shared" ca="1" si="2"/>
        <v>6</v>
      </c>
      <c r="E41" s="180" t="str">
        <f t="shared" ca="1" si="3"/>
        <v/>
      </c>
      <c r="F41" s="180" t="str">
        <f t="shared" ca="1" si="4"/>
        <v/>
      </c>
      <c r="G41" s="181" t="str">
        <f t="shared" ca="1" si="5"/>
        <v/>
      </c>
      <c r="H41" s="182" t="str">
        <f t="shared" ca="1" si="6"/>
        <v/>
      </c>
      <c r="I41" s="202"/>
      <c r="J41" s="214"/>
      <c r="K41" s="214" t="s">
        <v>66</v>
      </c>
      <c r="L41" s="214"/>
      <c r="M41" s="214"/>
      <c r="N41" s="214"/>
      <c r="O41" s="214"/>
      <c r="P41" s="214"/>
      <c r="Q41" s="215"/>
      <c r="R41" s="216" t="s">
        <v>150</v>
      </c>
      <c r="S41" s="217">
        <v>45848</v>
      </c>
      <c r="T41" s="218">
        <v>45848</v>
      </c>
      <c r="U41" s="219"/>
      <c r="V41" s="218"/>
      <c r="W41" s="220">
        <v>0</v>
      </c>
      <c r="X41" s="221"/>
      <c r="Y41" s="222"/>
      <c r="Z41" s="223"/>
      <c r="AA41" s="194"/>
      <c r="AB41" s="195"/>
      <c r="AC41" s="196"/>
      <c r="AD41" s="197"/>
      <c r="AE41" s="198"/>
      <c r="AF41" s="199"/>
      <c r="AG41" s="199">
        <f t="shared" ca="1" si="7"/>
        <v>0</v>
      </c>
      <c r="AH41" s="199">
        <f t="shared" ca="1" si="8"/>
        <v>0</v>
      </c>
      <c r="AI41" s="199">
        <f t="shared" si="9"/>
        <v>0</v>
      </c>
      <c r="AJ41" s="199">
        <f t="shared" ca="1" si="10"/>
        <v>0</v>
      </c>
      <c r="AK41" s="199" t="str">
        <f t="shared" ca="1" si="11"/>
        <v/>
      </c>
      <c r="AL41" s="200">
        <f t="shared" ca="1" si="12"/>
        <v>1</v>
      </c>
      <c r="AM41" s="200">
        <f t="shared" ca="1" si="13"/>
        <v>5</v>
      </c>
      <c r="AN41" s="200">
        <f t="shared" ca="1" si="14"/>
        <v>6</v>
      </c>
      <c r="AO41" s="200">
        <f t="shared" ca="1" si="15"/>
        <v>0</v>
      </c>
      <c r="AP41" s="200">
        <f t="shared" ca="1" si="16"/>
        <v>0</v>
      </c>
      <c r="AQ41" s="200">
        <f t="shared" ca="1" si="17"/>
        <v>0</v>
      </c>
      <c r="AR41" s="200">
        <f t="shared" ca="1" si="18"/>
        <v>0</v>
      </c>
      <c r="AS41" s="201"/>
      <c r="AT41" s="200">
        <f t="shared" si="19"/>
        <v>1</v>
      </c>
    </row>
    <row r="42" spans="1:46" ht="15.75" customHeight="1">
      <c r="A42" s="178"/>
      <c r="B42" s="179">
        <f t="shared" ca="1" si="0"/>
        <v>1</v>
      </c>
      <c r="C42" s="180">
        <f t="shared" ca="1" si="1"/>
        <v>6</v>
      </c>
      <c r="D42" s="180" t="str">
        <f t="shared" ca="1" si="2"/>
        <v/>
      </c>
      <c r="E42" s="180" t="str">
        <f t="shared" ca="1" si="3"/>
        <v/>
      </c>
      <c r="F42" s="180" t="str">
        <f t="shared" ca="1" si="4"/>
        <v/>
      </c>
      <c r="G42" s="181" t="str">
        <f t="shared" ca="1" si="5"/>
        <v/>
      </c>
      <c r="H42" s="182" t="str">
        <f t="shared" ca="1" si="6"/>
        <v/>
      </c>
      <c r="I42" s="202"/>
      <c r="J42" s="224" t="s">
        <v>154</v>
      </c>
      <c r="K42" s="225"/>
      <c r="L42" s="225"/>
      <c r="M42" s="225"/>
      <c r="N42" s="225"/>
      <c r="O42" s="225"/>
      <c r="P42" s="225"/>
      <c r="Q42" s="205" t="s">
        <v>58</v>
      </c>
      <c r="R42" s="206"/>
      <c r="S42" s="207"/>
      <c r="T42" s="208"/>
      <c r="U42" s="209"/>
      <c r="V42" s="208"/>
      <c r="W42" s="210"/>
      <c r="X42" s="211"/>
      <c r="Y42" s="226"/>
      <c r="Z42" s="227"/>
      <c r="AA42" s="194"/>
      <c r="AB42" s="195"/>
      <c r="AC42" s="196"/>
      <c r="AD42" s="197"/>
      <c r="AE42" s="198"/>
      <c r="AF42" s="199"/>
      <c r="AG42" s="199">
        <f t="shared" si="7"/>
        <v>0</v>
      </c>
      <c r="AH42" s="199">
        <f t="shared" si="8"/>
        <v>0</v>
      </c>
      <c r="AI42" s="199">
        <f t="shared" si="9"/>
        <v>0</v>
      </c>
      <c r="AJ42" s="199">
        <f t="shared" si="10"/>
        <v>0</v>
      </c>
      <c r="AK42" s="199" t="str">
        <f t="shared" si="11"/>
        <v/>
      </c>
      <c r="AL42" s="200">
        <f t="shared" ca="1" si="12"/>
        <v>1</v>
      </c>
      <c r="AM42" s="200">
        <f t="shared" ca="1" si="13"/>
        <v>6</v>
      </c>
      <c r="AN42" s="200">
        <f t="shared" ca="1" si="14"/>
        <v>0</v>
      </c>
      <c r="AO42" s="200">
        <f t="shared" ca="1" si="15"/>
        <v>0</v>
      </c>
      <c r="AP42" s="200">
        <f t="shared" ca="1" si="16"/>
        <v>0</v>
      </c>
      <c r="AQ42" s="200">
        <f t="shared" ca="1" si="17"/>
        <v>0</v>
      </c>
      <c r="AR42" s="200">
        <f t="shared" ca="1" si="18"/>
        <v>0</v>
      </c>
      <c r="AS42" s="201"/>
      <c r="AT42" s="200">
        <f t="shared" si="19"/>
        <v>1</v>
      </c>
    </row>
    <row r="43" spans="1:46" ht="15.75" customHeight="1">
      <c r="A43" s="178"/>
      <c r="B43" s="179">
        <f t="shared" ca="1" si="0"/>
        <v>1</v>
      </c>
      <c r="C43" s="180">
        <f t="shared" ca="1" si="1"/>
        <v>6</v>
      </c>
      <c r="D43" s="180">
        <f t="shared" ca="1" si="2"/>
        <v>1</v>
      </c>
      <c r="E43" s="180" t="str">
        <f t="shared" ca="1" si="3"/>
        <v/>
      </c>
      <c r="F43" s="180" t="str">
        <f t="shared" ca="1" si="4"/>
        <v/>
      </c>
      <c r="G43" s="181" t="str">
        <f t="shared" ca="1" si="5"/>
        <v/>
      </c>
      <c r="H43" s="182" t="str">
        <f t="shared" ca="1" si="6"/>
        <v/>
      </c>
      <c r="I43" s="202"/>
      <c r="J43" s="214"/>
      <c r="K43" s="214" t="s">
        <v>59</v>
      </c>
      <c r="L43" s="214"/>
      <c r="M43" s="214"/>
      <c r="N43" s="214"/>
      <c r="O43" s="214"/>
      <c r="P43" s="214"/>
      <c r="Q43" s="215"/>
      <c r="R43" s="216" t="s">
        <v>150</v>
      </c>
      <c r="S43" s="217">
        <v>45820</v>
      </c>
      <c r="T43" s="218">
        <v>45840</v>
      </c>
      <c r="U43" s="219">
        <v>45817</v>
      </c>
      <c r="V43" s="218"/>
      <c r="W43" s="220">
        <v>0.4</v>
      </c>
      <c r="X43" s="221">
        <v>0.4</v>
      </c>
      <c r="Y43" s="222"/>
      <c r="Z43" s="223"/>
      <c r="AA43" s="194"/>
      <c r="AB43" s="195"/>
      <c r="AC43" s="196"/>
      <c r="AD43" s="197"/>
      <c r="AE43" s="198"/>
      <c r="AF43" s="199"/>
      <c r="AG43" s="199">
        <f t="shared" ca="1" si="7"/>
        <v>0</v>
      </c>
      <c r="AH43" s="199">
        <f t="shared" ca="1" si="8"/>
        <v>0</v>
      </c>
      <c r="AI43" s="199">
        <f t="shared" si="9"/>
        <v>0</v>
      </c>
      <c r="AJ43" s="199">
        <f t="shared" ca="1" si="10"/>
        <v>0</v>
      </c>
      <c r="AK43" s="199" t="str">
        <f t="shared" ca="1" si="11"/>
        <v/>
      </c>
      <c r="AL43" s="200">
        <f t="shared" ca="1" si="12"/>
        <v>1</v>
      </c>
      <c r="AM43" s="200">
        <f t="shared" ca="1" si="13"/>
        <v>6</v>
      </c>
      <c r="AN43" s="200">
        <f t="shared" ca="1" si="14"/>
        <v>1</v>
      </c>
      <c r="AO43" s="200">
        <f t="shared" ca="1" si="15"/>
        <v>0</v>
      </c>
      <c r="AP43" s="200">
        <f t="shared" ca="1" si="16"/>
        <v>0</v>
      </c>
      <c r="AQ43" s="200">
        <f t="shared" ca="1" si="17"/>
        <v>0</v>
      </c>
      <c r="AR43" s="200">
        <f t="shared" ca="1" si="18"/>
        <v>0</v>
      </c>
      <c r="AS43" s="201"/>
      <c r="AT43" s="200">
        <f t="shared" si="19"/>
        <v>21</v>
      </c>
    </row>
    <row r="44" spans="1:46" ht="15.75" customHeight="1">
      <c r="A44" s="178"/>
      <c r="B44" s="179">
        <f t="shared" ca="1" si="0"/>
        <v>1</v>
      </c>
      <c r="C44" s="180">
        <f t="shared" ca="1" si="1"/>
        <v>6</v>
      </c>
      <c r="D44" s="180">
        <f t="shared" ca="1" si="2"/>
        <v>2</v>
      </c>
      <c r="E44" s="180" t="str">
        <f t="shared" ca="1" si="3"/>
        <v/>
      </c>
      <c r="F44" s="180" t="str">
        <f t="shared" ca="1" si="4"/>
        <v/>
      </c>
      <c r="G44" s="181" t="str">
        <f t="shared" ca="1" si="5"/>
        <v/>
      </c>
      <c r="H44" s="182" t="str">
        <f t="shared" ca="1" si="6"/>
        <v/>
      </c>
      <c r="I44" s="202"/>
      <c r="J44" s="214"/>
      <c r="K44" s="214" t="s">
        <v>145</v>
      </c>
      <c r="L44" s="214"/>
      <c r="M44" s="214"/>
      <c r="N44" s="214"/>
      <c r="O44" s="214"/>
      <c r="P44" s="214"/>
      <c r="Q44" s="215"/>
      <c r="R44" s="216" t="s">
        <v>155</v>
      </c>
      <c r="S44" s="217">
        <v>45841</v>
      </c>
      <c r="T44" s="218">
        <v>45841</v>
      </c>
      <c r="U44" s="219"/>
      <c r="V44" s="218"/>
      <c r="W44" s="220">
        <v>0</v>
      </c>
      <c r="X44" s="221"/>
      <c r="Y44" s="222"/>
      <c r="Z44" s="223"/>
      <c r="AA44" s="194"/>
      <c r="AB44" s="195"/>
      <c r="AC44" s="196"/>
      <c r="AD44" s="197"/>
      <c r="AE44" s="198"/>
      <c r="AF44" s="199"/>
      <c r="AG44" s="199">
        <f t="shared" ca="1" si="7"/>
        <v>0</v>
      </c>
      <c r="AH44" s="199">
        <f t="shared" ca="1" si="8"/>
        <v>0</v>
      </c>
      <c r="AI44" s="199">
        <f t="shared" si="9"/>
        <v>0</v>
      </c>
      <c r="AJ44" s="199">
        <f t="shared" ca="1" si="10"/>
        <v>0</v>
      </c>
      <c r="AK44" s="199" t="str">
        <f t="shared" ca="1" si="11"/>
        <v/>
      </c>
      <c r="AL44" s="200">
        <f t="shared" ca="1" si="12"/>
        <v>1</v>
      </c>
      <c r="AM44" s="200">
        <f t="shared" ca="1" si="13"/>
        <v>6</v>
      </c>
      <c r="AN44" s="200">
        <f t="shared" ca="1" si="14"/>
        <v>2</v>
      </c>
      <c r="AO44" s="200">
        <f t="shared" ca="1" si="15"/>
        <v>0</v>
      </c>
      <c r="AP44" s="200">
        <f t="shared" ca="1" si="16"/>
        <v>0</v>
      </c>
      <c r="AQ44" s="200">
        <f t="shared" ca="1" si="17"/>
        <v>0</v>
      </c>
      <c r="AR44" s="200">
        <f t="shared" ca="1" si="18"/>
        <v>0</v>
      </c>
      <c r="AS44" s="201"/>
      <c r="AT44" s="200">
        <f t="shared" si="19"/>
        <v>1</v>
      </c>
    </row>
    <row r="45" spans="1:46" ht="15.75" customHeight="1">
      <c r="A45" s="178"/>
      <c r="B45" s="179">
        <f t="shared" ca="1" si="0"/>
        <v>1</v>
      </c>
      <c r="C45" s="180">
        <f t="shared" ca="1" si="1"/>
        <v>6</v>
      </c>
      <c r="D45" s="180">
        <f t="shared" ca="1" si="2"/>
        <v>3</v>
      </c>
      <c r="E45" s="180" t="str">
        <f t="shared" ca="1" si="3"/>
        <v/>
      </c>
      <c r="F45" s="180" t="str">
        <f t="shared" ca="1" si="4"/>
        <v/>
      </c>
      <c r="G45" s="181" t="str">
        <f t="shared" ca="1" si="5"/>
        <v/>
      </c>
      <c r="H45" s="182" t="str">
        <f t="shared" ca="1" si="6"/>
        <v/>
      </c>
      <c r="I45" s="202"/>
      <c r="J45" s="214"/>
      <c r="K45" s="214" t="s">
        <v>63</v>
      </c>
      <c r="L45" s="214"/>
      <c r="M45" s="214"/>
      <c r="N45" s="214"/>
      <c r="O45" s="214"/>
      <c r="P45" s="214"/>
      <c r="Q45" s="215"/>
      <c r="R45" s="216" t="s">
        <v>150</v>
      </c>
      <c r="S45" s="217">
        <v>45849</v>
      </c>
      <c r="T45" s="218">
        <v>45853</v>
      </c>
      <c r="U45" s="219"/>
      <c r="V45" s="218"/>
      <c r="W45" s="220">
        <v>0</v>
      </c>
      <c r="X45" s="221"/>
      <c r="Y45" s="222"/>
      <c r="Z45" s="223"/>
      <c r="AA45" s="194"/>
      <c r="AB45" s="195"/>
      <c r="AC45" s="196"/>
      <c r="AD45" s="197"/>
      <c r="AE45" s="198"/>
      <c r="AF45" s="199"/>
      <c r="AG45" s="199">
        <f t="shared" ca="1" si="7"/>
        <v>0</v>
      </c>
      <c r="AH45" s="199">
        <f t="shared" ca="1" si="8"/>
        <v>0</v>
      </c>
      <c r="AI45" s="199">
        <f t="shared" si="9"/>
        <v>0</v>
      </c>
      <c r="AJ45" s="199">
        <f t="shared" ca="1" si="10"/>
        <v>0</v>
      </c>
      <c r="AK45" s="199" t="str">
        <f t="shared" ca="1" si="11"/>
        <v/>
      </c>
      <c r="AL45" s="200">
        <f t="shared" ca="1" si="12"/>
        <v>1</v>
      </c>
      <c r="AM45" s="200">
        <f t="shared" ca="1" si="13"/>
        <v>6</v>
      </c>
      <c r="AN45" s="200">
        <f t="shared" ca="1" si="14"/>
        <v>3</v>
      </c>
      <c r="AO45" s="200">
        <f t="shared" ca="1" si="15"/>
        <v>0</v>
      </c>
      <c r="AP45" s="200">
        <f t="shared" ca="1" si="16"/>
        <v>0</v>
      </c>
      <c r="AQ45" s="200">
        <f t="shared" ca="1" si="17"/>
        <v>0</v>
      </c>
      <c r="AR45" s="200">
        <f t="shared" ca="1" si="18"/>
        <v>0</v>
      </c>
      <c r="AS45" s="201"/>
      <c r="AT45" s="200">
        <f t="shared" si="19"/>
        <v>5</v>
      </c>
    </row>
    <row r="46" spans="1:46" ht="15.75" customHeight="1">
      <c r="A46" s="178"/>
      <c r="B46" s="179">
        <f t="shared" ca="1" si="0"/>
        <v>1</v>
      </c>
      <c r="C46" s="180">
        <f t="shared" ca="1" si="1"/>
        <v>6</v>
      </c>
      <c r="D46" s="180">
        <f t="shared" ca="1" si="2"/>
        <v>4</v>
      </c>
      <c r="E46" s="180" t="str">
        <f t="shared" ca="1" si="3"/>
        <v/>
      </c>
      <c r="F46" s="180" t="str">
        <f t="shared" ca="1" si="4"/>
        <v/>
      </c>
      <c r="G46" s="181" t="str">
        <f t="shared" ca="1" si="5"/>
        <v/>
      </c>
      <c r="H46" s="182" t="str">
        <f t="shared" ca="1" si="6"/>
        <v/>
      </c>
      <c r="I46" s="202"/>
      <c r="J46" s="214"/>
      <c r="K46" s="214" t="s">
        <v>64</v>
      </c>
      <c r="L46" s="214"/>
      <c r="M46" s="214"/>
      <c r="N46" s="214"/>
      <c r="O46" s="214"/>
      <c r="P46" s="214"/>
      <c r="Q46" s="215"/>
      <c r="R46" s="216" t="s">
        <v>155</v>
      </c>
      <c r="S46" s="217">
        <v>45854</v>
      </c>
      <c r="T46" s="218">
        <v>45854</v>
      </c>
      <c r="U46" s="219"/>
      <c r="V46" s="218"/>
      <c r="W46" s="220">
        <v>0</v>
      </c>
      <c r="X46" s="221"/>
      <c r="Y46" s="222"/>
      <c r="Z46" s="223"/>
      <c r="AA46" s="194"/>
      <c r="AB46" s="195"/>
      <c r="AC46" s="196"/>
      <c r="AD46" s="197"/>
      <c r="AE46" s="198"/>
      <c r="AF46" s="199"/>
      <c r="AG46" s="199">
        <f t="shared" ca="1" si="7"/>
        <v>0</v>
      </c>
      <c r="AH46" s="199">
        <f t="shared" ca="1" si="8"/>
        <v>0</v>
      </c>
      <c r="AI46" s="199">
        <f t="shared" si="9"/>
        <v>0</v>
      </c>
      <c r="AJ46" s="199">
        <f t="shared" ca="1" si="10"/>
        <v>0</v>
      </c>
      <c r="AK46" s="199" t="str">
        <f t="shared" ca="1" si="11"/>
        <v/>
      </c>
      <c r="AL46" s="200">
        <f t="shared" ca="1" si="12"/>
        <v>1</v>
      </c>
      <c r="AM46" s="200">
        <f t="shared" ca="1" si="13"/>
        <v>6</v>
      </c>
      <c r="AN46" s="200">
        <f t="shared" ca="1" si="14"/>
        <v>4</v>
      </c>
      <c r="AO46" s="200">
        <f t="shared" ca="1" si="15"/>
        <v>0</v>
      </c>
      <c r="AP46" s="200">
        <f t="shared" ca="1" si="16"/>
        <v>0</v>
      </c>
      <c r="AQ46" s="200">
        <f t="shared" ca="1" si="17"/>
        <v>0</v>
      </c>
      <c r="AR46" s="200">
        <f t="shared" ca="1" si="18"/>
        <v>0</v>
      </c>
      <c r="AS46" s="201"/>
      <c r="AT46" s="200">
        <f t="shared" si="19"/>
        <v>1</v>
      </c>
    </row>
    <row r="47" spans="1:46" ht="15.75" customHeight="1">
      <c r="A47" s="178"/>
      <c r="B47" s="179">
        <f t="shared" ca="1" si="0"/>
        <v>1</v>
      </c>
      <c r="C47" s="180">
        <f t="shared" ca="1" si="1"/>
        <v>6</v>
      </c>
      <c r="D47" s="180">
        <f t="shared" ca="1" si="2"/>
        <v>5</v>
      </c>
      <c r="E47" s="180" t="str">
        <f t="shared" ca="1" si="3"/>
        <v/>
      </c>
      <c r="F47" s="180" t="str">
        <f t="shared" ca="1" si="4"/>
        <v/>
      </c>
      <c r="G47" s="181" t="str">
        <f t="shared" ca="1" si="5"/>
        <v/>
      </c>
      <c r="H47" s="182" t="str">
        <f t="shared" ca="1" si="6"/>
        <v/>
      </c>
      <c r="I47" s="202"/>
      <c r="J47" s="214"/>
      <c r="K47" s="214" t="s">
        <v>65</v>
      </c>
      <c r="L47" s="214"/>
      <c r="M47" s="214"/>
      <c r="N47" s="214"/>
      <c r="O47" s="214"/>
      <c r="P47" s="214"/>
      <c r="Q47" s="215"/>
      <c r="R47" s="216" t="s">
        <v>150</v>
      </c>
      <c r="S47" s="217">
        <v>45855</v>
      </c>
      <c r="T47" s="218">
        <v>45862</v>
      </c>
      <c r="U47" s="219"/>
      <c r="V47" s="218"/>
      <c r="W47" s="220">
        <v>0</v>
      </c>
      <c r="X47" s="221"/>
      <c r="Y47" s="222"/>
      <c r="Z47" s="223"/>
      <c r="AA47" s="194"/>
      <c r="AB47" s="195"/>
      <c r="AC47" s="196"/>
      <c r="AD47" s="197"/>
      <c r="AE47" s="198"/>
      <c r="AF47" s="199"/>
      <c r="AG47" s="199">
        <f t="shared" ca="1" si="7"/>
        <v>0</v>
      </c>
      <c r="AH47" s="199">
        <f t="shared" ca="1" si="8"/>
        <v>0</v>
      </c>
      <c r="AI47" s="199">
        <f t="shared" si="9"/>
        <v>0</v>
      </c>
      <c r="AJ47" s="199">
        <f t="shared" ca="1" si="10"/>
        <v>0</v>
      </c>
      <c r="AK47" s="199" t="str">
        <f t="shared" ca="1" si="11"/>
        <v/>
      </c>
      <c r="AL47" s="200">
        <f t="shared" ca="1" si="12"/>
        <v>1</v>
      </c>
      <c r="AM47" s="200">
        <f t="shared" ca="1" si="13"/>
        <v>6</v>
      </c>
      <c r="AN47" s="200">
        <f t="shared" ca="1" si="14"/>
        <v>5</v>
      </c>
      <c r="AO47" s="200">
        <f t="shared" ca="1" si="15"/>
        <v>0</v>
      </c>
      <c r="AP47" s="200">
        <f t="shared" ca="1" si="16"/>
        <v>0</v>
      </c>
      <c r="AQ47" s="200">
        <f t="shared" ca="1" si="17"/>
        <v>0</v>
      </c>
      <c r="AR47" s="200">
        <f t="shared" ca="1" si="18"/>
        <v>0</v>
      </c>
      <c r="AS47" s="201"/>
      <c r="AT47" s="200">
        <f t="shared" si="19"/>
        <v>8</v>
      </c>
    </row>
    <row r="48" spans="1:46" ht="15.75" customHeight="1">
      <c r="A48" s="178"/>
      <c r="B48" s="179">
        <f t="shared" ca="1" si="0"/>
        <v>1</v>
      </c>
      <c r="C48" s="180">
        <f t="shared" ca="1" si="1"/>
        <v>6</v>
      </c>
      <c r="D48" s="180">
        <f t="shared" ca="1" si="2"/>
        <v>6</v>
      </c>
      <c r="E48" s="180" t="str">
        <f t="shared" ca="1" si="3"/>
        <v/>
      </c>
      <c r="F48" s="180" t="str">
        <f t="shared" ca="1" si="4"/>
        <v/>
      </c>
      <c r="G48" s="181" t="str">
        <f t="shared" ca="1" si="5"/>
        <v/>
      </c>
      <c r="H48" s="182" t="str">
        <f t="shared" ca="1" si="6"/>
        <v/>
      </c>
      <c r="I48" s="202"/>
      <c r="J48" s="214"/>
      <c r="K48" s="214" t="s">
        <v>66</v>
      </c>
      <c r="L48" s="214"/>
      <c r="M48" s="214"/>
      <c r="N48" s="214"/>
      <c r="O48" s="214"/>
      <c r="P48" s="214"/>
      <c r="Q48" s="215"/>
      <c r="R48" s="216" t="s">
        <v>155</v>
      </c>
      <c r="S48" s="217">
        <v>45863</v>
      </c>
      <c r="T48" s="218">
        <v>45863</v>
      </c>
      <c r="U48" s="219"/>
      <c r="V48" s="218"/>
      <c r="W48" s="220">
        <v>0</v>
      </c>
      <c r="X48" s="221"/>
      <c r="Y48" s="222"/>
      <c r="Z48" s="223"/>
      <c r="AA48" s="194"/>
      <c r="AB48" s="195"/>
      <c r="AC48" s="196"/>
      <c r="AD48" s="197"/>
      <c r="AE48" s="198"/>
      <c r="AF48" s="199"/>
      <c r="AG48" s="199">
        <f t="shared" ca="1" si="7"/>
        <v>0</v>
      </c>
      <c r="AH48" s="199">
        <f t="shared" ca="1" si="8"/>
        <v>0</v>
      </c>
      <c r="AI48" s="199">
        <f t="shared" si="9"/>
        <v>0</v>
      </c>
      <c r="AJ48" s="199">
        <f t="shared" ca="1" si="10"/>
        <v>0</v>
      </c>
      <c r="AK48" s="199" t="str">
        <f t="shared" ca="1" si="11"/>
        <v/>
      </c>
      <c r="AL48" s="200">
        <f t="shared" ca="1" si="12"/>
        <v>1</v>
      </c>
      <c r="AM48" s="200">
        <f t="shared" ca="1" si="13"/>
        <v>6</v>
      </c>
      <c r="AN48" s="200">
        <f t="shared" ca="1" si="14"/>
        <v>6</v>
      </c>
      <c r="AO48" s="200">
        <f t="shared" ca="1" si="15"/>
        <v>0</v>
      </c>
      <c r="AP48" s="200">
        <f t="shared" ca="1" si="16"/>
        <v>0</v>
      </c>
      <c r="AQ48" s="200">
        <f t="shared" ca="1" si="17"/>
        <v>0</v>
      </c>
      <c r="AR48" s="200">
        <f t="shared" ca="1" si="18"/>
        <v>0</v>
      </c>
      <c r="AS48" s="201"/>
      <c r="AT48" s="200">
        <f t="shared" si="19"/>
        <v>1</v>
      </c>
    </row>
    <row r="49" spans="1:46" ht="15.75" customHeight="1">
      <c r="A49" s="178"/>
      <c r="B49" s="179">
        <f t="shared" ca="1" si="0"/>
        <v>1</v>
      </c>
      <c r="C49" s="180">
        <f t="shared" ca="1" si="1"/>
        <v>7</v>
      </c>
      <c r="D49" s="180" t="str">
        <f t="shared" ca="1" si="2"/>
        <v/>
      </c>
      <c r="E49" s="180" t="str">
        <f t="shared" ca="1" si="3"/>
        <v/>
      </c>
      <c r="F49" s="180" t="str">
        <f t="shared" ca="1" si="4"/>
        <v/>
      </c>
      <c r="G49" s="181" t="str">
        <f t="shared" ca="1" si="5"/>
        <v/>
      </c>
      <c r="H49" s="182" t="str">
        <f t="shared" ca="1" si="6"/>
        <v/>
      </c>
      <c r="I49" s="202"/>
      <c r="J49" s="224" t="s">
        <v>156</v>
      </c>
      <c r="K49" s="225"/>
      <c r="L49" s="225"/>
      <c r="M49" s="225"/>
      <c r="N49" s="225"/>
      <c r="O49" s="225"/>
      <c r="P49" s="225"/>
      <c r="Q49" s="205" t="s">
        <v>73</v>
      </c>
      <c r="R49" s="206"/>
      <c r="S49" s="207"/>
      <c r="T49" s="208"/>
      <c r="U49" s="209"/>
      <c r="V49" s="208"/>
      <c r="W49" s="210"/>
      <c r="X49" s="211"/>
      <c r="Y49" s="226"/>
      <c r="Z49" s="227"/>
      <c r="AA49" s="194"/>
      <c r="AB49" s="195"/>
      <c r="AC49" s="196"/>
      <c r="AD49" s="197"/>
      <c r="AE49" s="198"/>
      <c r="AF49" s="199"/>
      <c r="AG49" s="199">
        <f t="shared" si="7"/>
        <v>0</v>
      </c>
      <c r="AH49" s="199">
        <f t="shared" si="8"/>
        <v>0</v>
      </c>
      <c r="AI49" s="199">
        <f t="shared" si="9"/>
        <v>0</v>
      </c>
      <c r="AJ49" s="199">
        <f t="shared" si="10"/>
        <v>0</v>
      </c>
      <c r="AK49" s="199" t="str">
        <f t="shared" si="11"/>
        <v/>
      </c>
      <c r="AL49" s="200">
        <f t="shared" ca="1" si="12"/>
        <v>1</v>
      </c>
      <c r="AM49" s="200">
        <f t="shared" ca="1" si="13"/>
        <v>7</v>
      </c>
      <c r="AN49" s="200">
        <f t="shared" ca="1" si="14"/>
        <v>0</v>
      </c>
      <c r="AO49" s="200">
        <f t="shared" ca="1" si="15"/>
        <v>0</v>
      </c>
      <c r="AP49" s="200">
        <f t="shared" ca="1" si="16"/>
        <v>0</v>
      </c>
      <c r="AQ49" s="200">
        <f t="shared" ca="1" si="17"/>
        <v>0</v>
      </c>
      <c r="AR49" s="200">
        <f t="shared" ca="1" si="18"/>
        <v>0</v>
      </c>
      <c r="AS49" s="201"/>
      <c r="AT49" s="200">
        <f t="shared" si="19"/>
        <v>1</v>
      </c>
    </row>
    <row r="50" spans="1:46" ht="15.75" customHeight="1">
      <c r="A50" s="178"/>
      <c r="B50" s="179">
        <f t="shared" ca="1" si="0"/>
        <v>1</v>
      </c>
      <c r="C50" s="180">
        <f t="shared" ca="1" si="1"/>
        <v>7</v>
      </c>
      <c r="D50" s="180">
        <f t="shared" ca="1" si="2"/>
        <v>1</v>
      </c>
      <c r="E50" s="180" t="str">
        <f t="shared" ca="1" si="3"/>
        <v/>
      </c>
      <c r="F50" s="180" t="str">
        <f t="shared" ca="1" si="4"/>
        <v/>
      </c>
      <c r="G50" s="181" t="str">
        <f t="shared" ca="1" si="5"/>
        <v/>
      </c>
      <c r="H50" s="182" t="str">
        <f t="shared" ca="1" si="6"/>
        <v/>
      </c>
      <c r="I50" s="202"/>
      <c r="J50" s="214"/>
      <c r="K50" s="214" t="s">
        <v>59</v>
      </c>
      <c r="L50" s="214"/>
      <c r="M50" s="214"/>
      <c r="N50" s="214"/>
      <c r="O50" s="214"/>
      <c r="P50" s="214"/>
      <c r="Q50" s="215"/>
      <c r="R50" s="216" t="s">
        <v>150</v>
      </c>
      <c r="S50" s="217">
        <v>45812</v>
      </c>
      <c r="T50" s="218">
        <v>45818</v>
      </c>
      <c r="U50" s="219">
        <v>45812</v>
      </c>
      <c r="V50" s="218">
        <v>45818</v>
      </c>
      <c r="W50" s="220">
        <v>1</v>
      </c>
      <c r="X50" s="221">
        <v>1</v>
      </c>
      <c r="Y50" s="228"/>
      <c r="Z50" s="223"/>
      <c r="AA50" s="194"/>
      <c r="AB50" s="195"/>
      <c r="AC50" s="196"/>
      <c r="AD50" s="197"/>
      <c r="AE50" s="198"/>
      <c r="AF50" s="199"/>
      <c r="AG50" s="199">
        <f t="shared" ca="1" si="7"/>
        <v>0</v>
      </c>
      <c r="AH50" s="199">
        <f t="shared" ca="1" si="8"/>
        <v>0</v>
      </c>
      <c r="AI50" s="199">
        <f t="shared" si="9"/>
        <v>0</v>
      </c>
      <c r="AJ50" s="199">
        <f t="shared" ca="1" si="10"/>
        <v>0</v>
      </c>
      <c r="AK50" s="199" t="str">
        <f t="shared" ca="1" si="11"/>
        <v/>
      </c>
      <c r="AL50" s="200">
        <f t="shared" ca="1" si="12"/>
        <v>1</v>
      </c>
      <c r="AM50" s="200">
        <f t="shared" ca="1" si="13"/>
        <v>7</v>
      </c>
      <c r="AN50" s="200">
        <f t="shared" ca="1" si="14"/>
        <v>1</v>
      </c>
      <c r="AO50" s="200">
        <f t="shared" ca="1" si="15"/>
        <v>0</v>
      </c>
      <c r="AP50" s="200">
        <f t="shared" ca="1" si="16"/>
        <v>0</v>
      </c>
      <c r="AQ50" s="200">
        <f t="shared" ca="1" si="17"/>
        <v>0</v>
      </c>
      <c r="AR50" s="200">
        <f t="shared" ca="1" si="18"/>
        <v>0</v>
      </c>
      <c r="AS50" s="201"/>
      <c r="AT50" s="200">
        <f t="shared" si="19"/>
        <v>7</v>
      </c>
    </row>
    <row r="51" spans="1:46" ht="15.75" customHeight="1">
      <c r="A51" s="178"/>
      <c r="B51" s="179">
        <f t="shared" ca="1" si="0"/>
        <v>1</v>
      </c>
      <c r="C51" s="180">
        <f t="shared" ca="1" si="1"/>
        <v>7</v>
      </c>
      <c r="D51" s="180">
        <f t="shared" ca="1" si="2"/>
        <v>2</v>
      </c>
      <c r="E51" s="180" t="str">
        <f t="shared" ca="1" si="3"/>
        <v/>
      </c>
      <c r="F51" s="180" t="str">
        <f t="shared" ca="1" si="4"/>
        <v/>
      </c>
      <c r="G51" s="181" t="str">
        <f t="shared" ca="1" si="5"/>
        <v/>
      </c>
      <c r="H51" s="182" t="str">
        <f t="shared" ca="1" si="6"/>
        <v/>
      </c>
      <c r="I51" s="202"/>
      <c r="J51" s="214"/>
      <c r="K51" s="214" t="s">
        <v>145</v>
      </c>
      <c r="L51" s="214"/>
      <c r="M51" s="214"/>
      <c r="N51" s="214"/>
      <c r="O51" s="214"/>
      <c r="P51" s="214"/>
      <c r="Q51" s="215"/>
      <c r="R51" s="216" t="s">
        <v>155</v>
      </c>
      <c r="S51" s="217">
        <v>45819</v>
      </c>
      <c r="T51" s="218">
        <v>45819</v>
      </c>
      <c r="U51" s="219">
        <v>45817</v>
      </c>
      <c r="V51" s="218">
        <v>45819</v>
      </c>
      <c r="W51" s="220">
        <v>1</v>
      </c>
      <c r="X51" s="221">
        <v>1</v>
      </c>
      <c r="Y51" s="222"/>
      <c r="Z51" s="223"/>
      <c r="AA51" s="194"/>
      <c r="AB51" s="195"/>
      <c r="AC51" s="196"/>
      <c r="AD51" s="197"/>
      <c r="AE51" s="198"/>
      <c r="AF51" s="199"/>
      <c r="AG51" s="199">
        <f t="shared" ca="1" si="7"/>
        <v>0</v>
      </c>
      <c r="AH51" s="199">
        <f t="shared" ca="1" si="8"/>
        <v>0</v>
      </c>
      <c r="AI51" s="199">
        <f t="shared" si="9"/>
        <v>0</v>
      </c>
      <c r="AJ51" s="199">
        <f t="shared" ca="1" si="10"/>
        <v>0</v>
      </c>
      <c r="AK51" s="199" t="str">
        <f t="shared" ca="1" si="11"/>
        <v/>
      </c>
      <c r="AL51" s="200">
        <f t="shared" ca="1" si="12"/>
        <v>1</v>
      </c>
      <c r="AM51" s="200">
        <f t="shared" ca="1" si="13"/>
        <v>7</v>
      </c>
      <c r="AN51" s="200">
        <f t="shared" ca="1" si="14"/>
        <v>2</v>
      </c>
      <c r="AO51" s="200">
        <f t="shared" ca="1" si="15"/>
        <v>0</v>
      </c>
      <c r="AP51" s="200">
        <f t="shared" ca="1" si="16"/>
        <v>0</v>
      </c>
      <c r="AQ51" s="200">
        <f t="shared" ca="1" si="17"/>
        <v>0</v>
      </c>
      <c r="AR51" s="200">
        <f t="shared" ca="1" si="18"/>
        <v>0</v>
      </c>
      <c r="AS51" s="201"/>
      <c r="AT51" s="200">
        <f t="shared" si="19"/>
        <v>1</v>
      </c>
    </row>
    <row r="52" spans="1:46" ht="15.75" customHeight="1">
      <c r="A52" s="178"/>
      <c r="B52" s="179">
        <f t="shared" ca="1" si="0"/>
        <v>1</v>
      </c>
      <c r="C52" s="180">
        <f t="shared" ca="1" si="1"/>
        <v>7</v>
      </c>
      <c r="D52" s="180">
        <f t="shared" ca="1" si="2"/>
        <v>3</v>
      </c>
      <c r="E52" s="180" t="str">
        <f t="shared" ca="1" si="3"/>
        <v/>
      </c>
      <c r="F52" s="180" t="str">
        <f t="shared" ca="1" si="4"/>
        <v/>
      </c>
      <c r="G52" s="181" t="str">
        <f t="shared" ca="1" si="5"/>
        <v/>
      </c>
      <c r="H52" s="182" t="str">
        <f t="shared" ca="1" si="6"/>
        <v/>
      </c>
      <c r="I52" s="202"/>
      <c r="J52" s="214"/>
      <c r="K52" s="214" t="s">
        <v>63</v>
      </c>
      <c r="L52" s="214"/>
      <c r="M52" s="214"/>
      <c r="N52" s="214"/>
      <c r="O52" s="214"/>
      <c r="P52" s="214"/>
      <c r="Q52" s="215"/>
      <c r="R52" s="216" t="s">
        <v>150</v>
      </c>
      <c r="S52" s="217">
        <v>45842</v>
      </c>
      <c r="T52" s="218">
        <v>45845</v>
      </c>
      <c r="U52" s="219"/>
      <c r="V52" s="218"/>
      <c r="W52" s="220">
        <v>0</v>
      </c>
      <c r="X52" s="221"/>
      <c r="Y52" s="222"/>
      <c r="Z52" s="223"/>
      <c r="AA52" s="194"/>
      <c r="AB52" s="195"/>
      <c r="AC52" s="196"/>
      <c r="AD52" s="197"/>
      <c r="AE52" s="198"/>
      <c r="AF52" s="199"/>
      <c r="AG52" s="199">
        <f t="shared" ca="1" si="7"/>
        <v>0</v>
      </c>
      <c r="AH52" s="199">
        <f t="shared" ca="1" si="8"/>
        <v>0</v>
      </c>
      <c r="AI52" s="199">
        <f t="shared" si="9"/>
        <v>0</v>
      </c>
      <c r="AJ52" s="199">
        <f t="shared" ca="1" si="10"/>
        <v>0</v>
      </c>
      <c r="AK52" s="199" t="str">
        <f t="shared" ca="1" si="11"/>
        <v/>
      </c>
      <c r="AL52" s="200">
        <f t="shared" ca="1" si="12"/>
        <v>1</v>
      </c>
      <c r="AM52" s="200">
        <f t="shared" ca="1" si="13"/>
        <v>7</v>
      </c>
      <c r="AN52" s="200">
        <f t="shared" ca="1" si="14"/>
        <v>3</v>
      </c>
      <c r="AO52" s="200">
        <f t="shared" ca="1" si="15"/>
        <v>0</v>
      </c>
      <c r="AP52" s="200">
        <f t="shared" ca="1" si="16"/>
        <v>0</v>
      </c>
      <c r="AQ52" s="200">
        <f t="shared" ca="1" si="17"/>
        <v>0</v>
      </c>
      <c r="AR52" s="200">
        <f t="shared" ca="1" si="18"/>
        <v>0</v>
      </c>
      <c r="AS52" s="201"/>
      <c r="AT52" s="200">
        <f t="shared" si="19"/>
        <v>4</v>
      </c>
    </row>
    <row r="53" spans="1:46" ht="15.75" customHeight="1">
      <c r="A53" s="178"/>
      <c r="B53" s="179">
        <f t="shared" ca="1" si="0"/>
        <v>1</v>
      </c>
      <c r="C53" s="180">
        <f t="shared" ca="1" si="1"/>
        <v>7</v>
      </c>
      <c r="D53" s="180">
        <f t="shared" ca="1" si="2"/>
        <v>4</v>
      </c>
      <c r="E53" s="180" t="str">
        <f t="shared" ca="1" si="3"/>
        <v/>
      </c>
      <c r="F53" s="180" t="str">
        <f t="shared" ca="1" si="4"/>
        <v/>
      </c>
      <c r="G53" s="181" t="str">
        <f t="shared" ca="1" si="5"/>
        <v/>
      </c>
      <c r="H53" s="182" t="str">
        <f t="shared" ca="1" si="6"/>
        <v/>
      </c>
      <c r="I53" s="202"/>
      <c r="J53" s="214"/>
      <c r="K53" s="214" t="s">
        <v>64</v>
      </c>
      <c r="L53" s="214"/>
      <c r="M53" s="214"/>
      <c r="N53" s="214"/>
      <c r="O53" s="214"/>
      <c r="P53" s="214"/>
      <c r="Q53" s="215"/>
      <c r="R53" s="216" t="s">
        <v>155</v>
      </c>
      <c r="S53" s="217">
        <v>45846</v>
      </c>
      <c r="T53" s="218">
        <v>45846</v>
      </c>
      <c r="U53" s="219"/>
      <c r="V53" s="218"/>
      <c r="W53" s="220">
        <v>0</v>
      </c>
      <c r="X53" s="221"/>
      <c r="Y53" s="222"/>
      <c r="Z53" s="223"/>
      <c r="AA53" s="194"/>
      <c r="AB53" s="195"/>
      <c r="AC53" s="196"/>
      <c r="AD53" s="197"/>
      <c r="AE53" s="198"/>
      <c r="AF53" s="199"/>
      <c r="AG53" s="199">
        <f t="shared" ca="1" si="7"/>
        <v>0</v>
      </c>
      <c r="AH53" s="199">
        <f t="shared" ca="1" si="8"/>
        <v>0</v>
      </c>
      <c r="AI53" s="199">
        <f t="shared" si="9"/>
        <v>0</v>
      </c>
      <c r="AJ53" s="199">
        <f t="shared" ca="1" si="10"/>
        <v>0</v>
      </c>
      <c r="AK53" s="199" t="str">
        <f t="shared" ca="1" si="11"/>
        <v/>
      </c>
      <c r="AL53" s="200">
        <f t="shared" ca="1" si="12"/>
        <v>1</v>
      </c>
      <c r="AM53" s="200">
        <f t="shared" ca="1" si="13"/>
        <v>7</v>
      </c>
      <c r="AN53" s="200">
        <f t="shared" ca="1" si="14"/>
        <v>4</v>
      </c>
      <c r="AO53" s="200">
        <f t="shared" ca="1" si="15"/>
        <v>0</v>
      </c>
      <c r="AP53" s="200">
        <f t="shared" ca="1" si="16"/>
        <v>0</v>
      </c>
      <c r="AQ53" s="200">
        <f t="shared" ca="1" si="17"/>
        <v>0</v>
      </c>
      <c r="AR53" s="200">
        <f t="shared" ca="1" si="18"/>
        <v>0</v>
      </c>
      <c r="AS53" s="201"/>
      <c r="AT53" s="200">
        <f t="shared" si="19"/>
        <v>1</v>
      </c>
    </row>
    <row r="54" spans="1:46" ht="15.75" customHeight="1">
      <c r="A54" s="178"/>
      <c r="B54" s="179">
        <f t="shared" ca="1" si="0"/>
        <v>1</v>
      </c>
      <c r="C54" s="180">
        <f t="shared" ca="1" si="1"/>
        <v>7</v>
      </c>
      <c r="D54" s="180">
        <f t="shared" ca="1" si="2"/>
        <v>5</v>
      </c>
      <c r="E54" s="180" t="str">
        <f t="shared" ca="1" si="3"/>
        <v/>
      </c>
      <c r="F54" s="180" t="str">
        <f t="shared" ca="1" si="4"/>
        <v/>
      </c>
      <c r="G54" s="181" t="str">
        <f t="shared" ca="1" si="5"/>
        <v/>
      </c>
      <c r="H54" s="182" t="str">
        <f t="shared" ca="1" si="6"/>
        <v/>
      </c>
      <c r="I54" s="202"/>
      <c r="J54" s="214"/>
      <c r="K54" s="214" t="s">
        <v>65</v>
      </c>
      <c r="L54" s="214"/>
      <c r="M54" s="214"/>
      <c r="N54" s="214"/>
      <c r="O54" s="214"/>
      <c r="P54" s="214"/>
      <c r="Q54" s="215"/>
      <c r="R54" s="216" t="s">
        <v>150</v>
      </c>
      <c r="S54" s="217">
        <v>45847</v>
      </c>
      <c r="T54" s="218">
        <v>45847</v>
      </c>
      <c r="U54" s="219"/>
      <c r="V54" s="218"/>
      <c r="W54" s="220">
        <v>0</v>
      </c>
      <c r="X54" s="221"/>
      <c r="Y54" s="222"/>
      <c r="Z54" s="223"/>
      <c r="AA54" s="194"/>
      <c r="AB54" s="195"/>
      <c r="AC54" s="196"/>
      <c r="AD54" s="197"/>
      <c r="AE54" s="198"/>
      <c r="AF54" s="199"/>
      <c r="AG54" s="199">
        <f t="shared" ca="1" si="7"/>
        <v>0</v>
      </c>
      <c r="AH54" s="199">
        <f t="shared" ca="1" si="8"/>
        <v>0</v>
      </c>
      <c r="AI54" s="199">
        <f t="shared" si="9"/>
        <v>0</v>
      </c>
      <c r="AJ54" s="199">
        <f t="shared" ca="1" si="10"/>
        <v>0</v>
      </c>
      <c r="AK54" s="199" t="str">
        <f t="shared" ca="1" si="11"/>
        <v/>
      </c>
      <c r="AL54" s="200">
        <f t="shared" ca="1" si="12"/>
        <v>1</v>
      </c>
      <c r="AM54" s="200">
        <f t="shared" ca="1" si="13"/>
        <v>7</v>
      </c>
      <c r="AN54" s="200">
        <f t="shared" ca="1" si="14"/>
        <v>5</v>
      </c>
      <c r="AO54" s="200">
        <f t="shared" ca="1" si="15"/>
        <v>0</v>
      </c>
      <c r="AP54" s="200">
        <f t="shared" ca="1" si="16"/>
        <v>0</v>
      </c>
      <c r="AQ54" s="200">
        <f t="shared" ca="1" si="17"/>
        <v>0</v>
      </c>
      <c r="AR54" s="200">
        <f t="shared" ca="1" si="18"/>
        <v>0</v>
      </c>
      <c r="AS54" s="201"/>
      <c r="AT54" s="200">
        <f t="shared" si="19"/>
        <v>1</v>
      </c>
    </row>
    <row r="55" spans="1:46" ht="15.75" customHeight="1">
      <c r="A55" s="178"/>
      <c r="B55" s="179">
        <f t="shared" ca="1" si="0"/>
        <v>1</v>
      </c>
      <c r="C55" s="180">
        <f t="shared" ca="1" si="1"/>
        <v>7</v>
      </c>
      <c r="D55" s="180">
        <f t="shared" ca="1" si="2"/>
        <v>6</v>
      </c>
      <c r="E55" s="180" t="str">
        <f t="shared" ca="1" si="3"/>
        <v/>
      </c>
      <c r="F55" s="180" t="str">
        <f t="shared" ca="1" si="4"/>
        <v/>
      </c>
      <c r="G55" s="181" t="str">
        <f t="shared" ca="1" si="5"/>
        <v/>
      </c>
      <c r="H55" s="182" t="str">
        <f t="shared" ca="1" si="6"/>
        <v/>
      </c>
      <c r="I55" s="202"/>
      <c r="J55" s="214"/>
      <c r="K55" s="214" t="s">
        <v>66</v>
      </c>
      <c r="L55" s="214"/>
      <c r="M55" s="214"/>
      <c r="N55" s="214"/>
      <c r="O55" s="214"/>
      <c r="P55" s="214"/>
      <c r="Q55" s="215"/>
      <c r="R55" s="216" t="s">
        <v>155</v>
      </c>
      <c r="S55" s="217">
        <v>45848</v>
      </c>
      <c r="T55" s="218">
        <v>45848</v>
      </c>
      <c r="U55" s="219"/>
      <c r="V55" s="218"/>
      <c r="W55" s="220">
        <v>0</v>
      </c>
      <c r="X55" s="221"/>
      <c r="Y55" s="222"/>
      <c r="Z55" s="223"/>
      <c r="AA55" s="194"/>
      <c r="AB55" s="195"/>
      <c r="AC55" s="196"/>
      <c r="AD55" s="197"/>
      <c r="AE55" s="198"/>
      <c r="AF55" s="199"/>
      <c r="AG55" s="199">
        <f t="shared" ca="1" si="7"/>
        <v>0</v>
      </c>
      <c r="AH55" s="199">
        <f t="shared" ca="1" si="8"/>
        <v>0</v>
      </c>
      <c r="AI55" s="199">
        <f t="shared" si="9"/>
        <v>0</v>
      </c>
      <c r="AJ55" s="199">
        <f t="shared" ca="1" si="10"/>
        <v>0</v>
      </c>
      <c r="AK55" s="199" t="str">
        <f t="shared" ca="1" si="11"/>
        <v/>
      </c>
      <c r="AL55" s="200">
        <f t="shared" ca="1" si="12"/>
        <v>1</v>
      </c>
      <c r="AM55" s="200">
        <f t="shared" ca="1" si="13"/>
        <v>7</v>
      </c>
      <c r="AN55" s="200">
        <f t="shared" ca="1" si="14"/>
        <v>6</v>
      </c>
      <c r="AO55" s="200">
        <f t="shared" ca="1" si="15"/>
        <v>0</v>
      </c>
      <c r="AP55" s="200">
        <f t="shared" ca="1" si="16"/>
        <v>0</v>
      </c>
      <c r="AQ55" s="200">
        <f t="shared" ca="1" si="17"/>
        <v>0</v>
      </c>
      <c r="AR55" s="200">
        <f t="shared" ca="1" si="18"/>
        <v>0</v>
      </c>
      <c r="AS55" s="201"/>
      <c r="AT55" s="200">
        <f t="shared" si="19"/>
        <v>1</v>
      </c>
    </row>
    <row r="56" spans="1:46" ht="15.75" customHeight="1">
      <c r="A56" s="178"/>
      <c r="B56" s="179">
        <f t="shared" ca="1" si="0"/>
        <v>1</v>
      </c>
      <c r="C56" s="180">
        <f t="shared" ca="1" si="1"/>
        <v>8</v>
      </c>
      <c r="D56" s="180" t="str">
        <f t="shared" ca="1" si="2"/>
        <v/>
      </c>
      <c r="E56" s="180" t="str">
        <f t="shared" ca="1" si="3"/>
        <v/>
      </c>
      <c r="F56" s="180" t="str">
        <f t="shared" ca="1" si="4"/>
        <v/>
      </c>
      <c r="G56" s="181" t="str">
        <f t="shared" ca="1" si="5"/>
        <v/>
      </c>
      <c r="H56" s="182" t="str">
        <f t="shared" ca="1" si="6"/>
        <v/>
      </c>
      <c r="I56" s="202"/>
      <c r="J56" s="224" t="s">
        <v>157</v>
      </c>
      <c r="K56" s="225"/>
      <c r="L56" s="225"/>
      <c r="M56" s="225"/>
      <c r="N56" s="225"/>
      <c r="O56" s="225"/>
      <c r="P56" s="225"/>
      <c r="Q56" s="205" t="s">
        <v>58</v>
      </c>
      <c r="R56" s="206"/>
      <c r="S56" s="207"/>
      <c r="T56" s="208"/>
      <c r="U56" s="209"/>
      <c r="V56" s="208"/>
      <c r="W56" s="210"/>
      <c r="X56" s="211"/>
      <c r="Y56" s="226"/>
      <c r="Z56" s="227"/>
      <c r="AA56" s="194"/>
      <c r="AB56" s="195"/>
      <c r="AC56" s="196"/>
      <c r="AD56" s="197"/>
      <c r="AE56" s="198"/>
      <c r="AF56" s="199"/>
      <c r="AG56" s="199">
        <f t="shared" si="7"/>
        <v>0</v>
      </c>
      <c r="AH56" s="199">
        <f t="shared" si="8"/>
        <v>0</v>
      </c>
      <c r="AI56" s="199">
        <f t="shared" si="9"/>
        <v>0</v>
      </c>
      <c r="AJ56" s="199">
        <f t="shared" si="10"/>
        <v>0</v>
      </c>
      <c r="AK56" s="199" t="str">
        <f t="shared" si="11"/>
        <v/>
      </c>
      <c r="AL56" s="200">
        <f t="shared" ca="1" si="12"/>
        <v>1</v>
      </c>
      <c r="AM56" s="200">
        <f t="shared" ca="1" si="13"/>
        <v>8</v>
      </c>
      <c r="AN56" s="200">
        <f t="shared" ca="1" si="14"/>
        <v>0</v>
      </c>
      <c r="AO56" s="200">
        <f t="shared" ca="1" si="15"/>
        <v>0</v>
      </c>
      <c r="AP56" s="200">
        <f t="shared" ca="1" si="16"/>
        <v>0</v>
      </c>
      <c r="AQ56" s="200">
        <f t="shared" ca="1" si="17"/>
        <v>0</v>
      </c>
      <c r="AR56" s="200">
        <f t="shared" ca="1" si="18"/>
        <v>0</v>
      </c>
      <c r="AS56" s="201"/>
      <c r="AT56" s="200">
        <f t="shared" si="19"/>
        <v>1</v>
      </c>
    </row>
    <row r="57" spans="1:46" ht="15.75" customHeight="1">
      <c r="A57" s="178"/>
      <c r="B57" s="179">
        <f t="shared" ca="1" si="0"/>
        <v>1</v>
      </c>
      <c r="C57" s="180">
        <f t="shared" ca="1" si="1"/>
        <v>8</v>
      </c>
      <c r="D57" s="180">
        <f t="shared" ca="1" si="2"/>
        <v>1</v>
      </c>
      <c r="E57" s="180" t="str">
        <f t="shared" ca="1" si="3"/>
        <v/>
      </c>
      <c r="F57" s="180" t="str">
        <f t="shared" ca="1" si="4"/>
        <v/>
      </c>
      <c r="G57" s="181" t="str">
        <f t="shared" ca="1" si="5"/>
        <v/>
      </c>
      <c r="H57" s="182" t="str">
        <f t="shared" ca="1" si="6"/>
        <v/>
      </c>
      <c r="I57" s="202"/>
      <c r="J57" s="214"/>
      <c r="K57" s="214" t="s">
        <v>59</v>
      </c>
      <c r="L57" s="214"/>
      <c r="M57" s="214"/>
      <c r="N57" s="214"/>
      <c r="O57" s="214"/>
      <c r="P57" s="214"/>
      <c r="Q57" s="215"/>
      <c r="R57" s="216" t="s">
        <v>155</v>
      </c>
      <c r="S57" s="217">
        <v>45820</v>
      </c>
      <c r="T57" s="218">
        <v>45840</v>
      </c>
      <c r="U57" s="219">
        <v>45817</v>
      </c>
      <c r="V57" s="218"/>
      <c r="W57" s="220">
        <v>0.15</v>
      </c>
      <c r="X57" s="221">
        <v>0.3</v>
      </c>
      <c r="Y57" s="222"/>
      <c r="Z57" s="223"/>
      <c r="AA57" s="194"/>
      <c r="AB57" s="195"/>
      <c r="AC57" s="196"/>
      <c r="AD57" s="197"/>
      <c r="AE57" s="198"/>
      <c r="AF57" s="199"/>
      <c r="AG57" s="199">
        <f t="shared" ca="1" si="7"/>
        <v>0</v>
      </c>
      <c r="AH57" s="199">
        <f t="shared" ca="1" si="8"/>
        <v>0</v>
      </c>
      <c r="AI57" s="199">
        <f t="shared" si="9"/>
        <v>0</v>
      </c>
      <c r="AJ57" s="199">
        <f t="shared" ca="1" si="10"/>
        <v>0</v>
      </c>
      <c r="AK57" s="199" t="str">
        <f t="shared" ca="1" si="11"/>
        <v/>
      </c>
      <c r="AL57" s="200">
        <f t="shared" ca="1" si="12"/>
        <v>1</v>
      </c>
      <c r="AM57" s="200">
        <f t="shared" ca="1" si="13"/>
        <v>8</v>
      </c>
      <c r="AN57" s="200">
        <f t="shared" ca="1" si="14"/>
        <v>1</v>
      </c>
      <c r="AO57" s="200">
        <f t="shared" ca="1" si="15"/>
        <v>0</v>
      </c>
      <c r="AP57" s="200">
        <f t="shared" ca="1" si="16"/>
        <v>0</v>
      </c>
      <c r="AQ57" s="200">
        <f t="shared" ca="1" si="17"/>
        <v>0</v>
      </c>
      <c r="AR57" s="200">
        <f t="shared" ca="1" si="18"/>
        <v>0</v>
      </c>
      <c r="AS57" s="201"/>
      <c r="AT57" s="200">
        <f t="shared" si="19"/>
        <v>21</v>
      </c>
    </row>
    <row r="58" spans="1:46" ht="15.75" customHeight="1">
      <c r="A58" s="178"/>
      <c r="B58" s="179">
        <f t="shared" ca="1" si="0"/>
        <v>1</v>
      </c>
      <c r="C58" s="180">
        <f t="shared" ca="1" si="1"/>
        <v>8</v>
      </c>
      <c r="D58" s="180">
        <f t="shared" ca="1" si="2"/>
        <v>2</v>
      </c>
      <c r="E58" s="180" t="str">
        <f t="shared" ca="1" si="3"/>
        <v/>
      </c>
      <c r="F58" s="180" t="str">
        <f t="shared" ca="1" si="4"/>
        <v/>
      </c>
      <c r="G58" s="181" t="str">
        <f t="shared" ca="1" si="5"/>
        <v/>
      </c>
      <c r="H58" s="182" t="str">
        <f t="shared" ca="1" si="6"/>
        <v/>
      </c>
      <c r="I58" s="202"/>
      <c r="J58" s="214"/>
      <c r="K58" s="214" t="s">
        <v>145</v>
      </c>
      <c r="L58" s="214"/>
      <c r="M58" s="214"/>
      <c r="N58" s="214"/>
      <c r="O58" s="214"/>
      <c r="P58" s="214"/>
      <c r="Q58" s="215"/>
      <c r="R58" s="216" t="s">
        <v>149</v>
      </c>
      <c r="S58" s="217">
        <v>45841</v>
      </c>
      <c r="T58" s="218">
        <v>45841</v>
      </c>
      <c r="U58" s="219"/>
      <c r="V58" s="218"/>
      <c r="W58" s="220">
        <v>0</v>
      </c>
      <c r="X58" s="221"/>
      <c r="Y58" s="222"/>
      <c r="Z58" s="223"/>
      <c r="AA58" s="194"/>
      <c r="AB58" s="195"/>
      <c r="AC58" s="196"/>
      <c r="AD58" s="197"/>
      <c r="AE58" s="198"/>
      <c r="AF58" s="199"/>
      <c r="AG58" s="199">
        <f t="shared" ca="1" si="7"/>
        <v>0</v>
      </c>
      <c r="AH58" s="199">
        <f t="shared" ca="1" si="8"/>
        <v>0</v>
      </c>
      <c r="AI58" s="199">
        <f t="shared" si="9"/>
        <v>0</v>
      </c>
      <c r="AJ58" s="199">
        <f t="shared" ca="1" si="10"/>
        <v>0</v>
      </c>
      <c r="AK58" s="199" t="str">
        <f t="shared" ca="1" si="11"/>
        <v/>
      </c>
      <c r="AL58" s="200">
        <f t="shared" ca="1" si="12"/>
        <v>1</v>
      </c>
      <c r="AM58" s="200">
        <f t="shared" ca="1" si="13"/>
        <v>8</v>
      </c>
      <c r="AN58" s="200">
        <f t="shared" ca="1" si="14"/>
        <v>2</v>
      </c>
      <c r="AO58" s="200">
        <f t="shared" ca="1" si="15"/>
        <v>0</v>
      </c>
      <c r="AP58" s="200">
        <f t="shared" ca="1" si="16"/>
        <v>0</v>
      </c>
      <c r="AQ58" s="200">
        <f t="shared" ca="1" si="17"/>
        <v>0</v>
      </c>
      <c r="AR58" s="200">
        <f t="shared" ca="1" si="18"/>
        <v>0</v>
      </c>
      <c r="AS58" s="201"/>
      <c r="AT58" s="200">
        <f t="shared" si="19"/>
        <v>1</v>
      </c>
    </row>
    <row r="59" spans="1:46" ht="15.75" customHeight="1">
      <c r="A59" s="178"/>
      <c r="B59" s="179">
        <f t="shared" ca="1" si="0"/>
        <v>1</v>
      </c>
      <c r="C59" s="180">
        <f t="shared" ca="1" si="1"/>
        <v>8</v>
      </c>
      <c r="D59" s="180">
        <f t="shared" ca="1" si="2"/>
        <v>3</v>
      </c>
      <c r="E59" s="180" t="str">
        <f t="shared" ca="1" si="3"/>
        <v/>
      </c>
      <c r="F59" s="180" t="str">
        <f t="shared" ca="1" si="4"/>
        <v/>
      </c>
      <c r="G59" s="181" t="str">
        <f t="shared" ca="1" si="5"/>
        <v/>
      </c>
      <c r="H59" s="182" t="str">
        <f t="shared" ca="1" si="6"/>
        <v/>
      </c>
      <c r="I59" s="202"/>
      <c r="J59" s="214"/>
      <c r="K59" s="214" t="s">
        <v>63</v>
      </c>
      <c r="L59" s="214"/>
      <c r="M59" s="214"/>
      <c r="N59" s="214"/>
      <c r="O59" s="214"/>
      <c r="P59" s="214"/>
      <c r="Q59" s="215"/>
      <c r="R59" s="216" t="s">
        <v>155</v>
      </c>
      <c r="S59" s="217">
        <v>45849</v>
      </c>
      <c r="T59" s="218">
        <v>45853</v>
      </c>
      <c r="U59" s="219"/>
      <c r="V59" s="218"/>
      <c r="W59" s="220">
        <v>0</v>
      </c>
      <c r="X59" s="221"/>
      <c r="Y59" s="222"/>
      <c r="Z59" s="223"/>
      <c r="AA59" s="194"/>
      <c r="AB59" s="195"/>
      <c r="AC59" s="196"/>
      <c r="AD59" s="197"/>
      <c r="AE59" s="198"/>
      <c r="AF59" s="199"/>
      <c r="AG59" s="199">
        <f t="shared" ca="1" si="7"/>
        <v>0</v>
      </c>
      <c r="AH59" s="199">
        <f t="shared" ca="1" si="8"/>
        <v>0</v>
      </c>
      <c r="AI59" s="199">
        <f t="shared" si="9"/>
        <v>0</v>
      </c>
      <c r="AJ59" s="199">
        <f t="shared" ca="1" si="10"/>
        <v>0</v>
      </c>
      <c r="AK59" s="199" t="str">
        <f t="shared" ca="1" si="11"/>
        <v/>
      </c>
      <c r="AL59" s="200">
        <f t="shared" ca="1" si="12"/>
        <v>1</v>
      </c>
      <c r="AM59" s="200">
        <f t="shared" ca="1" si="13"/>
        <v>8</v>
      </c>
      <c r="AN59" s="200">
        <f t="shared" ca="1" si="14"/>
        <v>3</v>
      </c>
      <c r="AO59" s="200">
        <f t="shared" ca="1" si="15"/>
        <v>0</v>
      </c>
      <c r="AP59" s="200">
        <f t="shared" ca="1" si="16"/>
        <v>0</v>
      </c>
      <c r="AQ59" s="200">
        <f t="shared" ca="1" si="17"/>
        <v>0</v>
      </c>
      <c r="AR59" s="200">
        <f t="shared" ca="1" si="18"/>
        <v>0</v>
      </c>
      <c r="AS59" s="201"/>
      <c r="AT59" s="200">
        <f t="shared" si="19"/>
        <v>5</v>
      </c>
    </row>
    <row r="60" spans="1:46" ht="15.75" customHeight="1">
      <c r="A60" s="178"/>
      <c r="B60" s="179">
        <f t="shared" ca="1" si="0"/>
        <v>1</v>
      </c>
      <c r="C60" s="180">
        <f t="shared" ca="1" si="1"/>
        <v>8</v>
      </c>
      <c r="D60" s="180">
        <f t="shared" ca="1" si="2"/>
        <v>4</v>
      </c>
      <c r="E60" s="180" t="str">
        <f t="shared" ca="1" si="3"/>
        <v/>
      </c>
      <c r="F60" s="180" t="str">
        <f t="shared" ca="1" si="4"/>
        <v/>
      </c>
      <c r="G60" s="181" t="str">
        <f t="shared" ca="1" si="5"/>
        <v/>
      </c>
      <c r="H60" s="182" t="str">
        <f t="shared" ca="1" si="6"/>
        <v/>
      </c>
      <c r="I60" s="202"/>
      <c r="J60" s="214"/>
      <c r="K60" s="214" t="s">
        <v>64</v>
      </c>
      <c r="L60" s="214"/>
      <c r="M60" s="214"/>
      <c r="N60" s="214"/>
      <c r="O60" s="214"/>
      <c r="P60" s="214"/>
      <c r="Q60" s="215"/>
      <c r="R60" s="216" t="s">
        <v>149</v>
      </c>
      <c r="S60" s="217">
        <v>45854</v>
      </c>
      <c r="T60" s="218">
        <v>45854</v>
      </c>
      <c r="U60" s="219"/>
      <c r="V60" s="218"/>
      <c r="W60" s="220">
        <v>0</v>
      </c>
      <c r="X60" s="221"/>
      <c r="Y60" s="222"/>
      <c r="Z60" s="223"/>
      <c r="AA60" s="194"/>
      <c r="AB60" s="195"/>
      <c r="AC60" s="196"/>
      <c r="AD60" s="197"/>
      <c r="AE60" s="198"/>
      <c r="AF60" s="199"/>
      <c r="AG60" s="199">
        <f t="shared" ca="1" si="7"/>
        <v>0</v>
      </c>
      <c r="AH60" s="199">
        <f t="shared" ca="1" si="8"/>
        <v>0</v>
      </c>
      <c r="AI60" s="199">
        <f t="shared" si="9"/>
        <v>0</v>
      </c>
      <c r="AJ60" s="199">
        <f t="shared" ca="1" si="10"/>
        <v>0</v>
      </c>
      <c r="AK60" s="199" t="str">
        <f t="shared" ca="1" si="11"/>
        <v/>
      </c>
      <c r="AL60" s="200">
        <f t="shared" ca="1" si="12"/>
        <v>1</v>
      </c>
      <c r="AM60" s="200">
        <f t="shared" ca="1" si="13"/>
        <v>8</v>
      </c>
      <c r="AN60" s="200">
        <f t="shared" ca="1" si="14"/>
        <v>4</v>
      </c>
      <c r="AO60" s="200">
        <f t="shared" ca="1" si="15"/>
        <v>0</v>
      </c>
      <c r="AP60" s="200">
        <f t="shared" ca="1" si="16"/>
        <v>0</v>
      </c>
      <c r="AQ60" s="200">
        <f t="shared" ca="1" si="17"/>
        <v>0</v>
      </c>
      <c r="AR60" s="200">
        <f t="shared" ca="1" si="18"/>
        <v>0</v>
      </c>
      <c r="AS60" s="201"/>
      <c r="AT60" s="200">
        <f t="shared" si="19"/>
        <v>1</v>
      </c>
    </row>
    <row r="61" spans="1:46" ht="15.75" customHeight="1">
      <c r="A61" s="178"/>
      <c r="B61" s="179">
        <f t="shared" ca="1" si="0"/>
        <v>1</v>
      </c>
      <c r="C61" s="180">
        <f t="shared" ca="1" si="1"/>
        <v>8</v>
      </c>
      <c r="D61" s="180">
        <f t="shared" ca="1" si="2"/>
        <v>5</v>
      </c>
      <c r="E61" s="180" t="str">
        <f t="shared" ca="1" si="3"/>
        <v/>
      </c>
      <c r="F61" s="180" t="str">
        <f t="shared" ca="1" si="4"/>
        <v/>
      </c>
      <c r="G61" s="181" t="str">
        <f t="shared" ca="1" si="5"/>
        <v/>
      </c>
      <c r="H61" s="182" t="str">
        <f t="shared" ca="1" si="6"/>
        <v/>
      </c>
      <c r="I61" s="202"/>
      <c r="J61" s="214"/>
      <c r="K61" s="214" t="s">
        <v>65</v>
      </c>
      <c r="L61" s="214"/>
      <c r="M61" s="214"/>
      <c r="N61" s="214"/>
      <c r="O61" s="214"/>
      <c r="P61" s="214"/>
      <c r="Q61" s="215"/>
      <c r="R61" s="216" t="s">
        <v>155</v>
      </c>
      <c r="S61" s="217">
        <v>45855</v>
      </c>
      <c r="T61" s="218">
        <v>45862</v>
      </c>
      <c r="U61" s="219"/>
      <c r="V61" s="218"/>
      <c r="W61" s="220">
        <v>0</v>
      </c>
      <c r="X61" s="221"/>
      <c r="Y61" s="222"/>
      <c r="Z61" s="223"/>
      <c r="AA61" s="194"/>
      <c r="AB61" s="195"/>
      <c r="AC61" s="196"/>
      <c r="AD61" s="197"/>
      <c r="AE61" s="198"/>
      <c r="AF61" s="199"/>
      <c r="AG61" s="199">
        <f t="shared" ca="1" si="7"/>
        <v>0</v>
      </c>
      <c r="AH61" s="199">
        <f t="shared" ca="1" si="8"/>
        <v>0</v>
      </c>
      <c r="AI61" s="199">
        <f t="shared" si="9"/>
        <v>0</v>
      </c>
      <c r="AJ61" s="199">
        <f t="shared" ca="1" si="10"/>
        <v>0</v>
      </c>
      <c r="AK61" s="199" t="str">
        <f t="shared" ca="1" si="11"/>
        <v/>
      </c>
      <c r="AL61" s="200">
        <f t="shared" ca="1" si="12"/>
        <v>1</v>
      </c>
      <c r="AM61" s="200">
        <f t="shared" ca="1" si="13"/>
        <v>8</v>
      </c>
      <c r="AN61" s="200">
        <f t="shared" ca="1" si="14"/>
        <v>5</v>
      </c>
      <c r="AO61" s="200">
        <f t="shared" ca="1" si="15"/>
        <v>0</v>
      </c>
      <c r="AP61" s="200">
        <f t="shared" ca="1" si="16"/>
        <v>0</v>
      </c>
      <c r="AQ61" s="200">
        <f t="shared" ca="1" si="17"/>
        <v>0</v>
      </c>
      <c r="AR61" s="200">
        <f t="shared" ca="1" si="18"/>
        <v>0</v>
      </c>
      <c r="AS61" s="201"/>
      <c r="AT61" s="200">
        <f t="shared" si="19"/>
        <v>8</v>
      </c>
    </row>
    <row r="62" spans="1:46" ht="15.75" customHeight="1">
      <c r="A62" s="178"/>
      <c r="B62" s="179">
        <f t="shared" ca="1" si="0"/>
        <v>1</v>
      </c>
      <c r="C62" s="180">
        <f t="shared" ca="1" si="1"/>
        <v>8</v>
      </c>
      <c r="D62" s="180">
        <f t="shared" ca="1" si="2"/>
        <v>6</v>
      </c>
      <c r="E62" s="180" t="str">
        <f t="shared" ca="1" si="3"/>
        <v/>
      </c>
      <c r="F62" s="180" t="str">
        <f t="shared" ca="1" si="4"/>
        <v/>
      </c>
      <c r="G62" s="181" t="str">
        <f t="shared" ca="1" si="5"/>
        <v/>
      </c>
      <c r="H62" s="182" t="str">
        <f t="shared" ca="1" si="6"/>
        <v/>
      </c>
      <c r="I62" s="202"/>
      <c r="J62" s="214"/>
      <c r="K62" s="214" t="s">
        <v>66</v>
      </c>
      <c r="L62" s="214"/>
      <c r="M62" s="214"/>
      <c r="N62" s="214"/>
      <c r="O62" s="214"/>
      <c r="P62" s="214"/>
      <c r="Q62" s="215"/>
      <c r="R62" s="216" t="s">
        <v>149</v>
      </c>
      <c r="S62" s="217">
        <v>45863</v>
      </c>
      <c r="T62" s="218">
        <v>45863</v>
      </c>
      <c r="U62" s="219"/>
      <c r="V62" s="218"/>
      <c r="W62" s="220">
        <v>0</v>
      </c>
      <c r="X62" s="221"/>
      <c r="Y62" s="222"/>
      <c r="Z62" s="223"/>
      <c r="AA62" s="194"/>
      <c r="AB62" s="195"/>
      <c r="AC62" s="196"/>
      <c r="AD62" s="197"/>
      <c r="AE62" s="198"/>
      <c r="AF62" s="199"/>
      <c r="AG62" s="199">
        <f t="shared" ca="1" si="7"/>
        <v>0</v>
      </c>
      <c r="AH62" s="199">
        <f t="shared" ca="1" si="8"/>
        <v>0</v>
      </c>
      <c r="AI62" s="199">
        <f t="shared" si="9"/>
        <v>0</v>
      </c>
      <c r="AJ62" s="199">
        <f t="shared" ca="1" si="10"/>
        <v>0</v>
      </c>
      <c r="AK62" s="199" t="str">
        <f t="shared" ca="1" si="11"/>
        <v/>
      </c>
      <c r="AL62" s="200">
        <f t="shared" ca="1" si="12"/>
        <v>1</v>
      </c>
      <c r="AM62" s="200">
        <f t="shared" ca="1" si="13"/>
        <v>8</v>
      </c>
      <c r="AN62" s="200">
        <f t="shared" ca="1" si="14"/>
        <v>6</v>
      </c>
      <c r="AO62" s="200">
        <f t="shared" ca="1" si="15"/>
        <v>0</v>
      </c>
      <c r="AP62" s="200">
        <f t="shared" ca="1" si="16"/>
        <v>0</v>
      </c>
      <c r="AQ62" s="200">
        <f t="shared" ca="1" si="17"/>
        <v>0</v>
      </c>
      <c r="AR62" s="200">
        <f t="shared" ca="1" si="18"/>
        <v>0</v>
      </c>
      <c r="AS62" s="201"/>
      <c r="AT62" s="200">
        <f t="shared" si="19"/>
        <v>1</v>
      </c>
    </row>
    <row r="63" spans="1:46" ht="15.75" customHeight="1">
      <c r="A63" s="178"/>
      <c r="B63" s="179">
        <f t="shared" ca="1" si="0"/>
        <v>1</v>
      </c>
      <c r="C63" s="180">
        <f t="shared" ca="1" si="1"/>
        <v>9</v>
      </c>
      <c r="D63" s="180" t="str">
        <f t="shared" ca="1" si="2"/>
        <v/>
      </c>
      <c r="E63" s="180" t="str">
        <f t="shared" ca="1" si="3"/>
        <v/>
      </c>
      <c r="F63" s="180" t="str">
        <f t="shared" ca="1" si="4"/>
        <v/>
      </c>
      <c r="G63" s="181" t="str">
        <f t="shared" ca="1" si="5"/>
        <v/>
      </c>
      <c r="H63" s="182" t="str">
        <f t="shared" ca="1" si="6"/>
        <v/>
      </c>
      <c r="I63" s="202"/>
      <c r="J63" s="224" t="s">
        <v>158</v>
      </c>
      <c r="K63" s="225"/>
      <c r="L63" s="225"/>
      <c r="M63" s="225"/>
      <c r="N63" s="225"/>
      <c r="O63" s="225"/>
      <c r="P63" s="225"/>
      <c r="Q63" s="205" t="s">
        <v>58</v>
      </c>
      <c r="R63" s="206"/>
      <c r="S63" s="207"/>
      <c r="T63" s="208"/>
      <c r="U63" s="209"/>
      <c r="V63" s="208"/>
      <c r="W63" s="210"/>
      <c r="X63" s="211"/>
      <c r="Y63" s="226"/>
      <c r="Z63" s="227"/>
      <c r="AA63" s="194"/>
      <c r="AB63" s="195"/>
      <c r="AC63" s="196"/>
      <c r="AD63" s="197"/>
      <c r="AE63" s="198"/>
      <c r="AF63" s="199"/>
      <c r="AG63" s="199">
        <f t="shared" si="7"/>
        <v>0</v>
      </c>
      <c r="AH63" s="199">
        <f t="shared" si="8"/>
        <v>0</v>
      </c>
      <c r="AI63" s="199">
        <f t="shared" si="9"/>
        <v>0</v>
      </c>
      <c r="AJ63" s="199">
        <f t="shared" si="10"/>
        <v>0</v>
      </c>
      <c r="AK63" s="199" t="str">
        <f t="shared" si="11"/>
        <v/>
      </c>
      <c r="AL63" s="200">
        <f t="shared" ca="1" si="12"/>
        <v>1</v>
      </c>
      <c r="AM63" s="200">
        <f t="shared" ca="1" si="13"/>
        <v>9</v>
      </c>
      <c r="AN63" s="200">
        <f t="shared" ca="1" si="14"/>
        <v>0</v>
      </c>
      <c r="AO63" s="200">
        <f t="shared" ca="1" si="15"/>
        <v>0</v>
      </c>
      <c r="AP63" s="200">
        <f t="shared" ca="1" si="16"/>
        <v>0</v>
      </c>
      <c r="AQ63" s="200">
        <f t="shared" ca="1" si="17"/>
        <v>0</v>
      </c>
      <c r="AR63" s="200">
        <f t="shared" ca="1" si="18"/>
        <v>0</v>
      </c>
      <c r="AS63" s="201"/>
      <c r="AT63" s="200">
        <f t="shared" si="19"/>
        <v>1</v>
      </c>
    </row>
    <row r="64" spans="1:46" ht="15.75" customHeight="1">
      <c r="A64" s="178"/>
      <c r="B64" s="179">
        <f t="shared" ca="1" si="0"/>
        <v>1</v>
      </c>
      <c r="C64" s="180">
        <f t="shared" ca="1" si="1"/>
        <v>9</v>
      </c>
      <c r="D64" s="180">
        <f t="shared" ca="1" si="2"/>
        <v>1</v>
      </c>
      <c r="E64" s="180" t="str">
        <f t="shared" ca="1" si="3"/>
        <v/>
      </c>
      <c r="F64" s="180" t="str">
        <f t="shared" ca="1" si="4"/>
        <v/>
      </c>
      <c r="G64" s="181" t="str">
        <f t="shared" ca="1" si="5"/>
        <v/>
      </c>
      <c r="H64" s="182" t="str">
        <f t="shared" ca="1" si="6"/>
        <v/>
      </c>
      <c r="I64" s="202"/>
      <c r="J64" s="214"/>
      <c r="K64" s="214" t="s">
        <v>59</v>
      </c>
      <c r="L64" s="214"/>
      <c r="M64" s="214"/>
      <c r="N64" s="214"/>
      <c r="O64" s="214"/>
      <c r="P64" s="214"/>
      <c r="Q64" s="215"/>
      <c r="R64" s="216" t="s">
        <v>159</v>
      </c>
      <c r="S64" s="219">
        <v>45839</v>
      </c>
      <c r="T64" s="218">
        <v>45860</v>
      </c>
      <c r="U64" s="219"/>
      <c r="V64" s="218"/>
      <c r="W64" s="220">
        <v>0</v>
      </c>
      <c r="X64" s="221"/>
      <c r="Y64" s="222"/>
      <c r="Z64" s="223"/>
      <c r="AA64" s="194"/>
      <c r="AB64" s="195"/>
      <c r="AC64" s="196"/>
      <c r="AD64" s="197"/>
      <c r="AE64" s="198"/>
      <c r="AF64" s="199"/>
      <c r="AG64" s="199">
        <f t="shared" ca="1" si="7"/>
        <v>0</v>
      </c>
      <c r="AH64" s="199">
        <f t="shared" ca="1" si="8"/>
        <v>0</v>
      </c>
      <c r="AI64" s="199">
        <f t="shared" si="9"/>
        <v>0</v>
      </c>
      <c r="AJ64" s="199">
        <f t="shared" ca="1" si="10"/>
        <v>0</v>
      </c>
      <c r="AK64" s="199" t="str">
        <f t="shared" ca="1" si="11"/>
        <v/>
      </c>
      <c r="AL64" s="200">
        <f t="shared" ca="1" si="12"/>
        <v>1</v>
      </c>
      <c r="AM64" s="200">
        <f t="shared" ca="1" si="13"/>
        <v>9</v>
      </c>
      <c r="AN64" s="200">
        <f t="shared" ca="1" si="14"/>
        <v>1</v>
      </c>
      <c r="AO64" s="200">
        <f t="shared" ca="1" si="15"/>
        <v>0</v>
      </c>
      <c r="AP64" s="200">
        <f t="shared" ca="1" si="16"/>
        <v>0</v>
      </c>
      <c r="AQ64" s="200">
        <f t="shared" ca="1" si="17"/>
        <v>0</v>
      </c>
      <c r="AR64" s="200">
        <f t="shared" ca="1" si="18"/>
        <v>0</v>
      </c>
      <c r="AS64" s="201"/>
      <c r="AT64" s="200">
        <f t="shared" si="19"/>
        <v>22</v>
      </c>
    </row>
    <row r="65" spans="1:46" ht="15.75" customHeight="1">
      <c r="A65" s="178"/>
      <c r="B65" s="179">
        <f t="shared" ca="1" si="0"/>
        <v>1</v>
      </c>
      <c r="C65" s="180">
        <f t="shared" ca="1" si="1"/>
        <v>9</v>
      </c>
      <c r="D65" s="180">
        <f t="shared" ca="1" si="2"/>
        <v>2</v>
      </c>
      <c r="E65" s="180" t="str">
        <f t="shared" ca="1" si="3"/>
        <v/>
      </c>
      <c r="F65" s="180" t="str">
        <f t="shared" ca="1" si="4"/>
        <v/>
      </c>
      <c r="G65" s="181" t="str">
        <f t="shared" ca="1" si="5"/>
        <v/>
      </c>
      <c r="H65" s="182" t="str">
        <f t="shared" ca="1" si="6"/>
        <v/>
      </c>
      <c r="I65" s="202"/>
      <c r="J65" s="214"/>
      <c r="K65" s="214" t="s">
        <v>145</v>
      </c>
      <c r="L65" s="214"/>
      <c r="M65" s="214"/>
      <c r="N65" s="214"/>
      <c r="O65" s="214"/>
      <c r="P65" s="214"/>
      <c r="Q65" s="215"/>
      <c r="R65" s="216" t="s">
        <v>160</v>
      </c>
      <c r="S65" s="219">
        <v>45861</v>
      </c>
      <c r="T65" s="218">
        <v>45861</v>
      </c>
      <c r="U65" s="219"/>
      <c r="V65" s="218"/>
      <c r="W65" s="220">
        <v>0</v>
      </c>
      <c r="X65" s="221"/>
      <c r="Y65" s="222"/>
      <c r="Z65" s="223"/>
      <c r="AA65" s="194"/>
      <c r="AB65" s="195"/>
      <c r="AC65" s="196"/>
      <c r="AD65" s="197"/>
      <c r="AE65" s="198"/>
      <c r="AF65" s="199"/>
      <c r="AG65" s="199">
        <f t="shared" ca="1" si="7"/>
        <v>0</v>
      </c>
      <c r="AH65" s="199">
        <f t="shared" ca="1" si="8"/>
        <v>0</v>
      </c>
      <c r="AI65" s="199">
        <f t="shared" si="9"/>
        <v>0</v>
      </c>
      <c r="AJ65" s="199">
        <f t="shared" ca="1" si="10"/>
        <v>0</v>
      </c>
      <c r="AK65" s="199" t="str">
        <f t="shared" ca="1" si="11"/>
        <v/>
      </c>
      <c r="AL65" s="200">
        <f t="shared" ca="1" si="12"/>
        <v>1</v>
      </c>
      <c r="AM65" s="200">
        <f t="shared" ca="1" si="13"/>
        <v>9</v>
      </c>
      <c r="AN65" s="200">
        <f t="shared" ca="1" si="14"/>
        <v>2</v>
      </c>
      <c r="AO65" s="200">
        <f t="shared" ca="1" si="15"/>
        <v>0</v>
      </c>
      <c r="AP65" s="200">
        <f t="shared" ca="1" si="16"/>
        <v>0</v>
      </c>
      <c r="AQ65" s="200">
        <f t="shared" ca="1" si="17"/>
        <v>0</v>
      </c>
      <c r="AR65" s="200">
        <f t="shared" ca="1" si="18"/>
        <v>0</v>
      </c>
      <c r="AS65" s="201"/>
      <c r="AT65" s="200">
        <f t="shared" si="19"/>
        <v>1</v>
      </c>
    </row>
    <row r="66" spans="1:46" ht="15.75" customHeight="1">
      <c r="A66" s="178"/>
      <c r="B66" s="179">
        <f t="shared" ca="1" si="0"/>
        <v>1</v>
      </c>
      <c r="C66" s="180">
        <f t="shared" ca="1" si="1"/>
        <v>9</v>
      </c>
      <c r="D66" s="180">
        <f t="shared" ca="1" si="2"/>
        <v>3</v>
      </c>
      <c r="E66" s="180" t="str">
        <f t="shared" ca="1" si="3"/>
        <v/>
      </c>
      <c r="F66" s="180" t="str">
        <f t="shared" ca="1" si="4"/>
        <v/>
      </c>
      <c r="G66" s="181" t="str">
        <f t="shared" ca="1" si="5"/>
        <v/>
      </c>
      <c r="H66" s="182" t="str">
        <f t="shared" ca="1" si="6"/>
        <v/>
      </c>
      <c r="I66" s="202"/>
      <c r="J66" s="214"/>
      <c r="K66" s="214" t="s">
        <v>63</v>
      </c>
      <c r="L66" s="214"/>
      <c r="M66" s="214"/>
      <c r="N66" s="214"/>
      <c r="O66" s="214"/>
      <c r="P66" s="214"/>
      <c r="Q66" s="215"/>
      <c r="R66" s="216" t="s">
        <v>159</v>
      </c>
      <c r="S66" s="219">
        <v>45862</v>
      </c>
      <c r="T66" s="218">
        <v>45866</v>
      </c>
      <c r="U66" s="219"/>
      <c r="V66" s="218"/>
      <c r="W66" s="220">
        <v>0</v>
      </c>
      <c r="X66" s="221"/>
      <c r="Y66" s="222"/>
      <c r="Z66" s="223"/>
      <c r="AA66" s="194"/>
      <c r="AB66" s="195"/>
      <c r="AC66" s="196"/>
      <c r="AD66" s="197"/>
      <c r="AE66" s="198"/>
      <c r="AF66" s="199"/>
      <c r="AG66" s="199">
        <f t="shared" ca="1" si="7"/>
        <v>0</v>
      </c>
      <c r="AH66" s="199">
        <f t="shared" ca="1" si="8"/>
        <v>0</v>
      </c>
      <c r="AI66" s="199">
        <f t="shared" si="9"/>
        <v>0</v>
      </c>
      <c r="AJ66" s="199">
        <f t="shared" ca="1" si="10"/>
        <v>0</v>
      </c>
      <c r="AK66" s="199" t="str">
        <f t="shared" ca="1" si="11"/>
        <v/>
      </c>
      <c r="AL66" s="200">
        <f t="shared" ca="1" si="12"/>
        <v>1</v>
      </c>
      <c r="AM66" s="200">
        <f t="shared" ca="1" si="13"/>
        <v>9</v>
      </c>
      <c r="AN66" s="200">
        <f t="shared" ca="1" si="14"/>
        <v>3</v>
      </c>
      <c r="AO66" s="200">
        <f t="shared" ca="1" si="15"/>
        <v>0</v>
      </c>
      <c r="AP66" s="200">
        <f t="shared" ca="1" si="16"/>
        <v>0</v>
      </c>
      <c r="AQ66" s="200">
        <f t="shared" ca="1" si="17"/>
        <v>0</v>
      </c>
      <c r="AR66" s="200">
        <f t="shared" ca="1" si="18"/>
        <v>0</v>
      </c>
      <c r="AS66" s="201"/>
      <c r="AT66" s="200">
        <f t="shared" si="19"/>
        <v>5</v>
      </c>
    </row>
    <row r="67" spans="1:46" ht="15.75" customHeight="1">
      <c r="A67" s="178"/>
      <c r="B67" s="179">
        <f t="shared" ca="1" si="0"/>
        <v>1</v>
      </c>
      <c r="C67" s="180">
        <f t="shared" ca="1" si="1"/>
        <v>9</v>
      </c>
      <c r="D67" s="180">
        <f t="shared" ca="1" si="2"/>
        <v>4</v>
      </c>
      <c r="E67" s="180" t="str">
        <f t="shared" ca="1" si="3"/>
        <v/>
      </c>
      <c r="F67" s="180" t="str">
        <f t="shared" ca="1" si="4"/>
        <v/>
      </c>
      <c r="G67" s="181" t="str">
        <f t="shared" ca="1" si="5"/>
        <v/>
      </c>
      <c r="H67" s="182" t="str">
        <f t="shared" ca="1" si="6"/>
        <v/>
      </c>
      <c r="I67" s="202"/>
      <c r="J67" s="214"/>
      <c r="K67" s="214" t="s">
        <v>64</v>
      </c>
      <c r="L67" s="214"/>
      <c r="M67" s="214"/>
      <c r="N67" s="214"/>
      <c r="O67" s="214"/>
      <c r="P67" s="214"/>
      <c r="Q67" s="215"/>
      <c r="R67" s="216" t="s">
        <v>160</v>
      </c>
      <c r="S67" s="219">
        <v>45867</v>
      </c>
      <c r="T67" s="218">
        <v>45867</v>
      </c>
      <c r="U67" s="219"/>
      <c r="V67" s="218"/>
      <c r="W67" s="220">
        <v>0</v>
      </c>
      <c r="X67" s="221"/>
      <c r="Y67" s="222"/>
      <c r="Z67" s="223"/>
      <c r="AA67" s="194"/>
      <c r="AB67" s="195"/>
      <c r="AC67" s="196"/>
      <c r="AD67" s="197"/>
      <c r="AE67" s="198"/>
      <c r="AF67" s="199"/>
      <c r="AG67" s="199">
        <f t="shared" ca="1" si="7"/>
        <v>0</v>
      </c>
      <c r="AH67" s="199">
        <f t="shared" ca="1" si="8"/>
        <v>0</v>
      </c>
      <c r="AI67" s="199">
        <f t="shared" si="9"/>
        <v>0</v>
      </c>
      <c r="AJ67" s="199">
        <f t="shared" ca="1" si="10"/>
        <v>0</v>
      </c>
      <c r="AK67" s="199" t="str">
        <f t="shared" ca="1" si="11"/>
        <v/>
      </c>
      <c r="AL67" s="200">
        <f t="shared" ca="1" si="12"/>
        <v>1</v>
      </c>
      <c r="AM67" s="200">
        <f t="shared" ca="1" si="13"/>
        <v>9</v>
      </c>
      <c r="AN67" s="200">
        <f t="shared" ca="1" si="14"/>
        <v>4</v>
      </c>
      <c r="AO67" s="200">
        <f t="shared" ca="1" si="15"/>
        <v>0</v>
      </c>
      <c r="AP67" s="200">
        <f t="shared" ca="1" si="16"/>
        <v>0</v>
      </c>
      <c r="AQ67" s="200">
        <f t="shared" ca="1" si="17"/>
        <v>0</v>
      </c>
      <c r="AR67" s="200">
        <f t="shared" ca="1" si="18"/>
        <v>0</v>
      </c>
      <c r="AS67" s="201"/>
      <c r="AT67" s="200">
        <f t="shared" si="19"/>
        <v>1</v>
      </c>
    </row>
    <row r="68" spans="1:46" ht="15.75" customHeight="1">
      <c r="A68" s="178"/>
      <c r="B68" s="179">
        <f t="shared" ca="1" si="0"/>
        <v>1</v>
      </c>
      <c r="C68" s="180">
        <f t="shared" ca="1" si="1"/>
        <v>9</v>
      </c>
      <c r="D68" s="180">
        <f t="shared" ca="1" si="2"/>
        <v>5</v>
      </c>
      <c r="E68" s="180" t="str">
        <f t="shared" ca="1" si="3"/>
        <v/>
      </c>
      <c r="F68" s="180" t="str">
        <f t="shared" ca="1" si="4"/>
        <v/>
      </c>
      <c r="G68" s="181" t="str">
        <f t="shared" ca="1" si="5"/>
        <v/>
      </c>
      <c r="H68" s="182" t="str">
        <f t="shared" ca="1" si="6"/>
        <v/>
      </c>
      <c r="I68" s="202"/>
      <c r="J68" s="214"/>
      <c r="K68" s="214" t="s">
        <v>65</v>
      </c>
      <c r="L68" s="214"/>
      <c r="M68" s="214"/>
      <c r="N68" s="214"/>
      <c r="O68" s="214"/>
      <c r="P68" s="214"/>
      <c r="Q68" s="215"/>
      <c r="R68" s="216" t="s">
        <v>159</v>
      </c>
      <c r="S68" s="219">
        <v>45868</v>
      </c>
      <c r="T68" s="218">
        <v>45874</v>
      </c>
      <c r="U68" s="219"/>
      <c r="V68" s="218"/>
      <c r="W68" s="220">
        <v>0</v>
      </c>
      <c r="X68" s="221"/>
      <c r="Y68" s="222"/>
      <c r="Z68" s="223"/>
      <c r="AA68" s="194"/>
      <c r="AB68" s="195"/>
      <c r="AC68" s="196"/>
      <c r="AD68" s="197"/>
      <c r="AE68" s="198"/>
      <c r="AF68" s="199"/>
      <c r="AG68" s="199">
        <f t="shared" ca="1" si="7"/>
        <v>0</v>
      </c>
      <c r="AH68" s="199">
        <f t="shared" ca="1" si="8"/>
        <v>0</v>
      </c>
      <c r="AI68" s="199">
        <f t="shared" si="9"/>
        <v>0</v>
      </c>
      <c r="AJ68" s="199">
        <f t="shared" ca="1" si="10"/>
        <v>0</v>
      </c>
      <c r="AK68" s="199" t="str">
        <f t="shared" ca="1" si="11"/>
        <v/>
      </c>
      <c r="AL68" s="200">
        <f t="shared" ca="1" si="12"/>
        <v>1</v>
      </c>
      <c r="AM68" s="200">
        <f t="shared" ca="1" si="13"/>
        <v>9</v>
      </c>
      <c r="AN68" s="200">
        <f t="shared" ca="1" si="14"/>
        <v>5</v>
      </c>
      <c r="AO68" s="200">
        <f t="shared" ca="1" si="15"/>
        <v>0</v>
      </c>
      <c r="AP68" s="200">
        <f t="shared" ca="1" si="16"/>
        <v>0</v>
      </c>
      <c r="AQ68" s="200">
        <f t="shared" ca="1" si="17"/>
        <v>0</v>
      </c>
      <c r="AR68" s="200">
        <f t="shared" ca="1" si="18"/>
        <v>0</v>
      </c>
      <c r="AS68" s="201"/>
      <c r="AT68" s="200">
        <f t="shared" si="19"/>
        <v>7</v>
      </c>
    </row>
    <row r="69" spans="1:46" ht="15.75" customHeight="1">
      <c r="A69" s="178"/>
      <c r="B69" s="179">
        <f t="shared" ca="1" si="0"/>
        <v>1</v>
      </c>
      <c r="C69" s="180">
        <f t="shared" ca="1" si="1"/>
        <v>9</v>
      </c>
      <c r="D69" s="180">
        <f t="shared" ca="1" si="2"/>
        <v>6</v>
      </c>
      <c r="E69" s="180" t="str">
        <f t="shared" ca="1" si="3"/>
        <v/>
      </c>
      <c r="F69" s="180" t="str">
        <f t="shared" ca="1" si="4"/>
        <v/>
      </c>
      <c r="G69" s="181" t="str">
        <f t="shared" ca="1" si="5"/>
        <v/>
      </c>
      <c r="H69" s="182" t="str">
        <f t="shared" ca="1" si="6"/>
        <v/>
      </c>
      <c r="I69" s="202"/>
      <c r="J69" s="214"/>
      <c r="K69" s="214" t="s">
        <v>66</v>
      </c>
      <c r="L69" s="214"/>
      <c r="M69" s="214"/>
      <c r="N69" s="214"/>
      <c r="O69" s="214"/>
      <c r="P69" s="214"/>
      <c r="Q69" s="215"/>
      <c r="R69" s="216" t="s">
        <v>160</v>
      </c>
      <c r="S69" s="219">
        <v>45875</v>
      </c>
      <c r="T69" s="218">
        <v>45875</v>
      </c>
      <c r="U69" s="219"/>
      <c r="V69" s="218"/>
      <c r="W69" s="220">
        <v>0</v>
      </c>
      <c r="X69" s="221"/>
      <c r="Y69" s="222"/>
      <c r="Z69" s="223"/>
      <c r="AA69" s="194"/>
      <c r="AB69" s="195"/>
      <c r="AC69" s="196"/>
      <c r="AD69" s="197"/>
      <c r="AE69" s="198"/>
      <c r="AF69" s="199"/>
      <c r="AG69" s="199">
        <f t="shared" ca="1" si="7"/>
        <v>0</v>
      </c>
      <c r="AH69" s="199">
        <f t="shared" ca="1" si="8"/>
        <v>0</v>
      </c>
      <c r="AI69" s="199">
        <f t="shared" si="9"/>
        <v>0</v>
      </c>
      <c r="AJ69" s="199">
        <f t="shared" ca="1" si="10"/>
        <v>0</v>
      </c>
      <c r="AK69" s="199" t="str">
        <f t="shared" ca="1" si="11"/>
        <v/>
      </c>
      <c r="AL69" s="200">
        <f t="shared" ca="1" si="12"/>
        <v>1</v>
      </c>
      <c r="AM69" s="200">
        <f t="shared" ca="1" si="13"/>
        <v>9</v>
      </c>
      <c r="AN69" s="200">
        <f t="shared" ca="1" si="14"/>
        <v>6</v>
      </c>
      <c r="AO69" s="200">
        <f t="shared" ca="1" si="15"/>
        <v>0</v>
      </c>
      <c r="AP69" s="200">
        <f t="shared" ca="1" si="16"/>
        <v>0</v>
      </c>
      <c r="AQ69" s="200">
        <f t="shared" ca="1" si="17"/>
        <v>0</v>
      </c>
      <c r="AR69" s="200">
        <f t="shared" ca="1" si="18"/>
        <v>0</v>
      </c>
      <c r="AS69" s="201"/>
      <c r="AT69" s="200">
        <f t="shared" si="19"/>
        <v>1</v>
      </c>
    </row>
    <row r="70" spans="1:46" ht="15.75" customHeight="1">
      <c r="A70" s="178"/>
      <c r="B70" s="179">
        <f t="shared" ca="1" si="0"/>
        <v>1</v>
      </c>
      <c r="C70" s="180">
        <f t="shared" ca="1" si="1"/>
        <v>10</v>
      </c>
      <c r="D70" s="180" t="str">
        <f t="shared" ca="1" si="2"/>
        <v/>
      </c>
      <c r="E70" s="180" t="str">
        <f t="shared" ca="1" si="3"/>
        <v/>
      </c>
      <c r="F70" s="180" t="str">
        <f t="shared" ca="1" si="4"/>
        <v/>
      </c>
      <c r="G70" s="181" t="str">
        <f t="shared" ca="1" si="5"/>
        <v/>
      </c>
      <c r="H70" s="182" t="str">
        <f t="shared" ca="1" si="6"/>
        <v/>
      </c>
      <c r="I70" s="202"/>
      <c r="J70" s="224" t="s">
        <v>161</v>
      </c>
      <c r="K70" s="225"/>
      <c r="L70" s="225"/>
      <c r="M70" s="225"/>
      <c r="N70" s="225"/>
      <c r="O70" s="225"/>
      <c r="P70" s="225"/>
      <c r="Q70" s="205" t="s">
        <v>58</v>
      </c>
      <c r="R70" s="206"/>
      <c r="S70" s="207"/>
      <c r="T70" s="208"/>
      <c r="U70" s="209"/>
      <c r="V70" s="208"/>
      <c r="W70" s="210"/>
      <c r="X70" s="211"/>
      <c r="Y70" s="226"/>
      <c r="Z70" s="227"/>
      <c r="AA70" s="194"/>
      <c r="AB70" s="195"/>
      <c r="AC70" s="196"/>
      <c r="AD70" s="197"/>
      <c r="AE70" s="198"/>
      <c r="AF70" s="199"/>
      <c r="AG70" s="199">
        <f t="shared" si="7"/>
        <v>0</v>
      </c>
      <c r="AH70" s="199">
        <f t="shared" si="8"/>
        <v>0</v>
      </c>
      <c r="AI70" s="199">
        <f t="shared" si="9"/>
        <v>0</v>
      </c>
      <c r="AJ70" s="199">
        <f t="shared" si="10"/>
        <v>0</v>
      </c>
      <c r="AK70" s="199" t="str">
        <f t="shared" si="11"/>
        <v/>
      </c>
      <c r="AL70" s="200">
        <f t="shared" ca="1" si="12"/>
        <v>1</v>
      </c>
      <c r="AM70" s="200">
        <f t="shared" ca="1" si="13"/>
        <v>10</v>
      </c>
      <c r="AN70" s="200">
        <f t="shared" ca="1" si="14"/>
        <v>0</v>
      </c>
      <c r="AO70" s="200">
        <f t="shared" ca="1" si="15"/>
        <v>0</v>
      </c>
      <c r="AP70" s="200">
        <f t="shared" ca="1" si="16"/>
        <v>0</v>
      </c>
      <c r="AQ70" s="200">
        <f t="shared" ca="1" si="17"/>
        <v>0</v>
      </c>
      <c r="AR70" s="200">
        <f t="shared" ca="1" si="18"/>
        <v>0</v>
      </c>
      <c r="AS70" s="201"/>
      <c r="AT70" s="200">
        <f t="shared" si="19"/>
        <v>1</v>
      </c>
    </row>
    <row r="71" spans="1:46" ht="15.75" customHeight="1">
      <c r="A71" s="178"/>
      <c r="B71" s="179">
        <f t="shared" ca="1" si="0"/>
        <v>1</v>
      </c>
      <c r="C71" s="180">
        <f t="shared" ca="1" si="1"/>
        <v>10</v>
      </c>
      <c r="D71" s="180">
        <f t="shared" ca="1" si="2"/>
        <v>1</v>
      </c>
      <c r="E71" s="180" t="str">
        <f t="shared" ca="1" si="3"/>
        <v/>
      </c>
      <c r="F71" s="180" t="str">
        <f t="shared" ca="1" si="4"/>
        <v/>
      </c>
      <c r="G71" s="181" t="str">
        <f t="shared" ca="1" si="5"/>
        <v/>
      </c>
      <c r="H71" s="182" t="str">
        <f t="shared" ca="1" si="6"/>
        <v/>
      </c>
      <c r="I71" s="202"/>
      <c r="J71" s="214"/>
      <c r="K71" s="214" t="s">
        <v>59</v>
      </c>
      <c r="L71" s="214"/>
      <c r="M71" s="214"/>
      <c r="N71" s="214"/>
      <c r="O71" s="214"/>
      <c r="P71" s="214"/>
      <c r="Q71" s="215"/>
      <c r="R71" s="216" t="s">
        <v>160</v>
      </c>
      <c r="S71" s="219">
        <v>45839</v>
      </c>
      <c r="T71" s="218">
        <v>45860</v>
      </c>
      <c r="U71" s="219"/>
      <c r="V71" s="218"/>
      <c r="W71" s="220">
        <v>0</v>
      </c>
      <c r="X71" s="221"/>
      <c r="Y71" s="222"/>
      <c r="Z71" s="223"/>
      <c r="AA71" s="194"/>
      <c r="AB71" s="195"/>
      <c r="AC71" s="196"/>
      <c r="AD71" s="197"/>
      <c r="AE71" s="198"/>
      <c r="AF71" s="199"/>
      <c r="AG71" s="199">
        <f t="shared" ca="1" si="7"/>
        <v>0</v>
      </c>
      <c r="AH71" s="199">
        <f t="shared" ca="1" si="8"/>
        <v>0</v>
      </c>
      <c r="AI71" s="199">
        <f t="shared" si="9"/>
        <v>0</v>
      </c>
      <c r="AJ71" s="199">
        <f t="shared" ca="1" si="10"/>
        <v>0</v>
      </c>
      <c r="AK71" s="199" t="str">
        <f t="shared" ca="1" si="11"/>
        <v/>
      </c>
      <c r="AL71" s="200">
        <f t="shared" ca="1" si="12"/>
        <v>1</v>
      </c>
      <c r="AM71" s="200">
        <f t="shared" ca="1" si="13"/>
        <v>10</v>
      </c>
      <c r="AN71" s="200">
        <f t="shared" ca="1" si="14"/>
        <v>1</v>
      </c>
      <c r="AO71" s="200">
        <f t="shared" ca="1" si="15"/>
        <v>0</v>
      </c>
      <c r="AP71" s="200">
        <f t="shared" ca="1" si="16"/>
        <v>0</v>
      </c>
      <c r="AQ71" s="200">
        <f t="shared" ca="1" si="17"/>
        <v>0</v>
      </c>
      <c r="AR71" s="200">
        <f t="shared" ca="1" si="18"/>
        <v>0</v>
      </c>
      <c r="AS71" s="201"/>
      <c r="AT71" s="200">
        <f t="shared" si="19"/>
        <v>22</v>
      </c>
    </row>
    <row r="72" spans="1:46" ht="15.75" customHeight="1">
      <c r="A72" s="178"/>
      <c r="B72" s="179">
        <f t="shared" ca="1" si="0"/>
        <v>1</v>
      </c>
      <c r="C72" s="180">
        <f t="shared" ca="1" si="1"/>
        <v>10</v>
      </c>
      <c r="D72" s="180">
        <f t="shared" ca="1" si="2"/>
        <v>2</v>
      </c>
      <c r="E72" s="180" t="str">
        <f t="shared" ca="1" si="3"/>
        <v/>
      </c>
      <c r="F72" s="180" t="str">
        <f t="shared" ca="1" si="4"/>
        <v/>
      </c>
      <c r="G72" s="181" t="str">
        <f t="shared" ca="1" si="5"/>
        <v/>
      </c>
      <c r="H72" s="182" t="str">
        <f t="shared" ca="1" si="6"/>
        <v/>
      </c>
      <c r="I72" s="202"/>
      <c r="J72" s="214"/>
      <c r="K72" s="214" t="s">
        <v>145</v>
      </c>
      <c r="L72" s="214"/>
      <c r="M72" s="214"/>
      <c r="N72" s="214"/>
      <c r="O72" s="214"/>
      <c r="P72" s="214"/>
      <c r="Q72" s="215"/>
      <c r="R72" s="216" t="s">
        <v>159</v>
      </c>
      <c r="S72" s="219">
        <v>45861</v>
      </c>
      <c r="T72" s="218">
        <v>45861</v>
      </c>
      <c r="U72" s="219"/>
      <c r="V72" s="218"/>
      <c r="W72" s="220">
        <v>0</v>
      </c>
      <c r="X72" s="221"/>
      <c r="Y72" s="222"/>
      <c r="Z72" s="223"/>
      <c r="AA72" s="194"/>
      <c r="AB72" s="195"/>
      <c r="AC72" s="196"/>
      <c r="AD72" s="197"/>
      <c r="AE72" s="198"/>
      <c r="AF72" s="199"/>
      <c r="AG72" s="199">
        <f t="shared" ca="1" si="7"/>
        <v>0</v>
      </c>
      <c r="AH72" s="199">
        <f t="shared" ca="1" si="8"/>
        <v>0</v>
      </c>
      <c r="AI72" s="199">
        <f t="shared" si="9"/>
        <v>0</v>
      </c>
      <c r="AJ72" s="199">
        <f t="shared" ca="1" si="10"/>
        <v>0</v>
      </c>
      <c r="AK72" s="199" t="str">
        <f t="shared" ca="1" si="11"/>
        <v/>
      </c>
      <c r="AL72" s="200">
        <f t="shared" ca="1" si="12"/>
        <v>1</v>
      </c>
      <c r="AM72" s="200">
        <f t="shared" ca="1" si="13"/>
        <v>10</v>
      </c>
      <c r="AN72" s="200">
        <f t="shared" ca="1" si="14"/>
        <v>2</v>
      </c>
      <c r="AO72" s="200">
        <f t="shared" ca="1" si="15"/>
        <v>0</v>
      </c>
      <c r="AP72" s="200">
        <f t="shared" ca="1" si="16"/>
        <v>0</v>
      </c>
      <c r="AQ72" s="200">
        <f t="shared" ca="1" si="17"/>
        <v>0</v>
      </c>
      <c r="AR72" s="200">
        <f t="shared" ca="1" si="18"/>
        <v>0</v>
      </c>
      <c r="AS72" s="201"/>
      <c r="AT72" s="200">
        <f t="shared" si="19"/>
        <v>1</v>
      </c>
    </row>
    <row r="73" spans="1:46" ht="15.75" customHeight="1">
      <c r="A73" s="178"/>
      <c r="B73" s="179">
        <f t="shared" ca="1" si="0"/>
        <v>1</v>
      </c>
      <c r="C73" s="180">
        <f t="shared" ca="1" si="1"/>
        <v>10</v>
      </c>
      <c r="D73" s="180">
        <f t="shared" ca="1" si="2"/>
        <v>3</v>
      </c>
      <c r="E73" s="180" t="str">
        <f t="shared" ca="1" si="3"/>
        <v/>
      </c>
      <c r="F73" s="180" t="str">
        <f t="shared" ca="1" si="4"/>
        <v/>
      </c>
      <c r="G73" s="181" t="str">
        <f t="shared" ca="1" si="5"/>
        <v/>
      </c>
      <c r="H73" s="182" t="str">
        <f t="shared" ca="1" si="6"/>
        <v/>
      </c>
      <c r="I73" s="202"/>
      <c r="J73" s="214"/>
      <c r="K73" s="214" t="s">
        <v>63</v>
      </c>
      <c r="L73" s="214"/>
      <c r="M73" s="214"/>
      <c r="N73" s="214"/>
      <c r="O73" s="214"/>
      <c r="P73" s="214"/>
      <c r="Q73" s="215"/>
      <c r="R73" s="216" t="s">
        <v>160</v>
      </c>
      <c r="S73" s="219">
        <v>45862</v>
      </c>
      <c r="T73" s="218">
        <v>45866</v>
      </c>
      <c r="U73" s="219"/>
      <c r="V73" s="218"/>
      <c r="W73" s="220">
        <v>0</v>
      </c>
      <c r="X73" s="221"/>
      <c r="Y73" s="222"/>
      <c r="Z73" s="223"/>
      <c r="AA73" s="194"/>
      <c r="AB73" s="195"/>
      <c r="AC73" s="196"/>
      <c r="AD73" s="197"/>
      <c r="AE73" s="198"/>
      <c r="AF73" s="199"/>
      <c r="AG73" s="199">
        <f t="shared" ca="1" si="7"/>
        <v>0</v>
      </c>
      <c r="AH73" s="199">
        <f t="shared" ca="1" si="8"/>
        <v>0</v>
      </c>
      <c r="AI73" s="199">
        <f t="shared" si="9"/>
        <v>0</v>
      </c>
      <c r="AJ73" s="199">
        <f t="shared" ca="1" si="10"/>
        <v>0</v>
      </c>
      <c r="AK73" s="199" t="str">
        <f t="shared" ca="1" si="11"/>
        <v/>
      </c>
      <c r="AL73" s="200">
        <f t="shared" ca="1" si="12"/>
        <v>1</v>
      </c>
      <c r="AM73" s="200">
        <f t="shared" ca="1" si="13"/>
        <v>10</v>
      </c>
      <c r="AN73" s="200">
        <f t="shared" ca="1" si="14"/>
        <v>3</v>
      </c>
      <c r="AO73" s="200">
        <f t="shared" ca="1" si="15"/>
        <v>0</v>
      </c>
      <c r="AP73" s="200">
        <f t="shared" ca="1" si="16"/>
        <v>0</v>
      </c>
      <c r="AQ73" s="200">
        <f t="shared" ca="1" si="17"/>
        <v>0</v>
      </c>
      <c r="AR73" s="200">
        <f t="shared" ca="1" si="18"/>
        <v>0</v>
      </c>
      <c r="AS73" s="201"/>
      <c r="AT73" s="200">
        <f t="shared" si="19"/>
        <v>5</v>
      </c>
    </row>
    <row r="74" spans="1:46" ht="15.75" customHeight="1">
      <c r="A74" s="178"/>
      <c r="B74" s="179">
        <f t="shared" ca="1" si="0"/>
        <v>1</v>
      </c>
      <c r="C74" s="180">
        <f t="shared" ca="1" si="1"/>
        <v>10</v>
      </c>
      <c r="D74" s="180">
        <f t="shared" ca="1" si="2"/>
        <v>4</v>
      </c>
      <c r="E74" s="180" t="str">
        <f t="shared" ca="1" si="3"/>
        <v/>
      </c>
      <c r="F74" s="180" t="str">
        <f t="shared" ca="1" si="4"/>
        <v/>
      </c>
      <c r="G74" s="181" t="str">
        <f t="shared" ca="1" si="5"/>
        <v/>
      </c>
      <c r="H74" s="182" t="str">
        <f t="shared" ca="1" si="6"/>
        <v/>
      </c>
      <c r="I74" s="202"/>
      <c r="J74" s="214"/>
      <c r="K74" s="214" t="s">
        <v>64</v>
      </c>
      <c r="L74" s="214"/>
      <c r="M74" s="214"/>
      <c r="N74" s="214"/>
      <c r="O74" s="214"/>
      <c r="P74" s="214"/>
      <c r="Q74" s="215"/>
      <c r="R74" s="216" t="s">
        <v>159</v>
      </c>
      <c r="S74" s="219">
        <v>45867</v>
      </c>
      <c r="T74" s="218">
        <v>45867</v>
      </c>
      <c r="U74" s="219"/>
      <c r="V74" s="218"/>
      <c r="W74" s="220">
        <v>0</v>
      </c>
      <c r="X74" s="221"/>
      <c r="Y74" s="222"/>
      <c r="Z74" s="223"/>
      <c r="AA74" s="194"/>
      <c r="AB74" s="195"/>
      <c r="AC74" s="196"/>
      <c r="AD74" s="197"/>
      <c r="AE74" s="198"/>
      <c r="AF74" s="199"/>
      <c r="AG74" s="199">
        <f t="shared" ca="1" si="7"/>
        <v>0</v>
      </c>
      <c r="AH74" s="199">
        <f t="shared" ca="1" si="8"/>
        <v>0</v>
      </c>
      <c r="AI74" s="199">
        <f t="shared" si="9"/>
        <v>0</v>
      </c>
      <c r="AJ74" s="199">
        <f t="shared" ca="1" si="10"/>
        <v>0</v>
      </c>
      <c r="AK74" s="199" t="str">
        <f t="shared" ca="1" si="11"/>
        <v/>
      </c>
      <c r="AL74" s="200">
        <f t="shared" ca="1" si="12"/>
        <v>1</v>
      </c>
      <c r="AM74" s="200">
        <f t="shared" ca="1" si="13"/>
        <v>10</v>
      </c>
      <c r="AN74" s="200">
        <f t="shared" ca="1" si="14"/>
        <v>4</v>
      </c>
      <c r="AO74" s="200">
        <f t="shared" ca="1" si="15"/>
        <v>0</v>
      </c>
      <c r="AP74" s="200">
        <f t="shared" ca="1" si="16"/>
        <v>0</v>
      </c>
      <c r="AQ74" s="200">
        <f t="shared" ca="1" si="17"/>
        <v>0</v>
      </c>
      <c r="AR74" s="200">
        <f t="shared" ca="1" si="18"/>
        <v>0</v>
      </c>
      <c r="AS74" s="201"/>
      <c r="AT74" s="200">
        <f t="shared" si="19"/>
        <v>1</v>
      </c>
    </row>
    <row r="75" spans="1:46" ht="15.75" customHeight="1">
      <c r="A75" s="178"/>
      <c r="B75" s="179">
        <f t="shared" ca="1" si="0"/>
        <v>1</v>
      </c>
      <c r="C75" s="180">
        <f t="shared" ca="1" si="1"/>
        <v>10</v>
      </c>
      <c r="D75" s="180">
        <f t="shared" ca="1" si="2"/>
        <v>5</v>
      </c>
      <c r="E75" s="180" t="str">
        <f t="shared" ca="1" si="3"/>
        <v/>
      </c>
      <c r="F75" s="180" t="str">
        <f t="shared" ca="1" si="4"/>
        <v/>
      </c>
      <c r="G75" s="181" t="str">
        <f t="shared" ca="1" si="5"/>
        <v/>
      </c>
      <c r="H75" s="182" t="str">
        <f t="shared" ca="1" si="6"/>
        <v/>
      </c>
      <c r="I75" s="202"/>
      <c r="J75" s="214"/>
      <c r="K75" s="214" t="s">
        <v>65</v>
      </c>
      <c r="L75" s="214"/>
      <c r="M75" s="214"/>
      <c r="N75" s="214"/>
      <c r="O75" s="214"/>
      <c r="P75" s="214"/>
      <c r="Q75" s="215"/>
      <c r="R75" s="216" t="s">
        <v>160</v>
      </c>
      <c r="S75" s="219">
        <v>45868</v>
      </c>
      <c r="T75" s="218">
        <v>45874</v>
      </c>
      <c r="U75" s="219"/>
      <c r="V75" s="218"/>
      <c r="W75" s="220">
        <v>0</v>
      </c>
      <c r="X75" s="221"/>
      <c r="Y75" s="222"/>
      <c r="Z75" s="223"/>
      <c r="AA75" s="194"/>
      <c r="AB75" s="195"/>
      <c r="AC75" s="196"/>
      <c r="AD75" s="197"/>
      <c r="AE75" s="198"/>
      <c r="AF75" s="199"/>
      <c r="AG75" s="199">
        <f t="shared" ca="1" si="7"/>
        <v>0</v>
      </c>
      <c r="AH75" s="199">
        <f t="shared" ca="1" si="8"/>
        <v>0</v>
      </c>
      <c r="AI75" s="199">
        <f t="shared" si="9"/>
        <v>0</v>
      </c>
      <c r="AJ75" s="199">
        <f t="shared" ca="1" si="10"/>
        <v>0</v>
      </c>
      <c r="AK75" s="199" t="str">
        <f t="shared" ca="1" si="11"/>
        <v/>
      </c>
      <c r="AL75" s="200">
        <f t="shared" ca="1" si="12"/>
        <v>1</v>
      </c>
      <c r="AM75" s="200">
        <f t="shared" ca="1" si="13"/>
        <v>10</v>
      </c>
      <c r="AN75" s="200">
        <f t="shared" ca="1" si="14"/>
        <v>5</v>
      </c>
      <c r="AO75" s="200">
        <f t="shared" ca="1" si="15"/>
        <v>0</v>
      </c>
      <c r="AP75" s="200">
        <f t="shared" ca="1" si="16"/>
        <v>0</v>
      </c>
      <c r="AQ75" s="200">
        <f t="shared" ca="1" si="17"/>
        <v>0</v>
      </c>
      <c r="AR75" s="200">
        <f t="shared" ca="1" si="18"/>
        <v>0</v>
      </c>
      <c r="AS75" s="201"/>
      <c r="AT75" s="200">
        <f t="shared" si="19"/>
        <v>7</v>
      </c>
    </row>
    <row r="76" spans="1:46" ht="15.75" customHeight="1">
      <c r="A76" s="178"/>
      <c r="B76" s="179">
        <f t="shared" ca="1" si="0"/>
        <v>1</v>
      </c>
      <c r="C76" s="180">
        <f t="shared" ca="1" si="1"/>
        <v>10</v>
      </c>
      <c r="D76" s="180">
        <f t="shared" ca="1" si="2"/>
        <v>6</v>
      </c>
      <c r="E76" s="180" t="str">
        <f t="shared" ca="1" si="3"/>
        <v/>
      </c>
      <c r="F76" s="180" t="str">
        <f t="shared" ca="1" si="4"/>
        <v/>
      </c>
      <c r="G76" s="181" t="str">
        <f t="shared" ca="1" si="5"/>
        <v/>
      </c>
      <c r="H76" s="182" t="str">
        <f t="shared" ca="1" si="6"/>
        <v/>
      </c>
      <c r="I76" s="202"/>
      <c r="J76" s="214"/>
      <c r="K76" s="214" t="s">
        <v>66</v>
      </c>
      <c r="L76" s="214"/>
      <c r="M76" s="214"/>
      <c r="N76" s="214"/>
      <c r="O76" s="214"/>
      <c r="P76" s="214"/>
      <c r="Q76" s="215"/>
      <c r="R76" s="216" t="s">
        <v>159</v>
      </c>
      <c r="S76" s="219">
        <v>45875</v>
      </c>
      <c r="T76" s="218">
        <v>45875</v>
      </c>
      <c r="U76" s="219"/>
      <c r="V76" s="218"/>
      <c r="W76" s="220">
        <v>0</v>
      </c>
      <c r="X76" s="221"/>
      <c r="Y76" s="222"/>
      <c r="Z76" s="223"/>
      <c r="AA76" s="194"/>
      <c r="AB76" s="195"/>
      <c r="AC76" s="196"/>
      <c r="AD76" s="197"/>
      <c r="AE76" s="198"/>
      <c r="AF76" s="199"/>
      <c r="AG76" s="199">
        <f t="shared" ca="1" si="7"/>
        <v>0</v>
      </c>
      <c r="AH76" s="199">
        <f t="shared" ca="1" si="8"/>
        <v>0</v>
      </c>
      <c r="AI76" s="199">
        <f t="shared" si="9"/>
        <v>0</v>
      </c>
      <c r="AJ76" s="199">
        <f t="shared" ca="1" si="10"/>
        <v>0</v>
      </c>
      <c r="AK76" s="199" t="str">
        <f t="shared" ca="1" si="11"/>
        <v/>
      </c>
      <c r="AL76" s="200">
        <f t="shared" ca="1" si="12"/>
        <v>1</v>
      </c>
      <c r="AM76" s="200">
        <f t="shared" ca="1" si="13"/>
        <v>10</v>
      </c>
      <c r="AN76" s="200">
        <f t="shared" ca="1" si="14"/>
        <v>6</v>
      </c>
      <c r="AO76" s="200">
        <f t="shared" ca="1" si="15"/>
        <v>0</v>
      </c>
      <c r="AP76" s="200">
        <f t="shared" ca="1" si="16"/>
        <v>0</v>
      </c>
      <c r="AQ76" s="200">
        <f t="shared" ca="1" si="17"/>
        <v>0</v>
      </c>
      <c r="AR76" s="200">
        <f t="shared" ca="1" si="18"/>
        <v>0</v>
      </c>
      <c r="AS76" s="201"/>
      <c r="AT76" s="200">
        <f t="shared" si="19"/>
        <v>1</v>
      </c>
    </row>
    <row r="77" spans="1:46" ht="15.75" customHeight="1">
      <c r="A77" s="178"/>
      <c r="B77" s="179">
        <f t="shared" ca="1" si="0"/>
        <v>1</v>
      </c>
      <c r="C77" s="180">
        <f t="shared" ca="1" si="1"/>
        <v>11</v>
      </c>
      <c r="D77" s="180" t="str">
        <f t="shared" ca="1" si="2"/>
        <v/>
      </c>
      <c r="E77" s="180" t="str">
        <f t="shared" ca="1" si="3"/>
        <v/>
      </c>
      <c r="F77" s="180" t="str">
        <f t="shared" ca="1" si="4"/>
        <v/>
      </c>
      <c r="G77" s="181" t="str">
        <f t="shared" ca="1" si="5"/>
        <v/>
      </c>
      <c r="H77" s="182" t="str">
        <f t="shared" ca="1" si="6"/>
        <v/>
      </c>
      <c r="I77" s="202"/>
      <c r="J77" s="224" t="s">
        <v>162</v>
      </c>
      <c r="K77" s="225"/>
      <c r="L77" s="225"/>
      <c r="M77" s="225"/>
      <c r="N77" s="225"/>
      <c r="O77" s="225"/>
      <c r="P77" s="225"/>
      <c r="Q77" s="205" t="s">
        <v>73</v>
      </c>
      <c r="R77" s="206"/>
      <c r="S77" s="207"/>
      <c r="T77" s="208"/>
      <c r="U77" s="209"/>
      <c r="V77" s="208"/>
      <c r="W77" s="210"/>
      <c r="X77" s="211"/>
      <c r="Y77" s="226"/>
      <c r="Z77" s="227"/>
      <c r="AA77" s="194"/>
      <c r="AB77" s="195"/>
      <c r="AC77" s="196"/>
      <c r="AD77" s="197"/>
      <c r="AE77" s="198"/>
      <c r="AF77" s="199"/>
      <c r="AG77" s="199">
        <f t="shared" si="7"/>
        <v>0</v>
      </c>
      <c r="AH77" s="199">
        <f t="shared" si="8"/>
        <v>0</v>
      </c>
      <c r="AI77" s="199">
        <f t="shared" si="9"/>
        <v>0</v>
      </c>
      <c r="AJ77" s="199">
        <f t="shared" si="10"/>
        <v>0</v>
      </c>
      <c r="AK77" s="199" t="str">
        <f t="shared" si="11"/>
        <v/>
      </c>
      <c r="AL77" s="200">
        <f t="shared" ca="1" si="12"/>
        <v>1</v>
      </c>
      <c r="AM77" s="200">
        <f t="shared" ca="1" si="13"/>
        <v>11</v>
      </c>
      <c r="AN77" s="200">
        <f t="shared" ca="1" si="14"/>
        <v>0</v>
      </c>
      <c r="AO77" s="200">
        <f t="shared" ca="1" si="15"/>
        <v>0</v>
      </c>
      <c r="AP77" s="200">
        <f t="shared" ca="1" si="16"/>
        <v>0</v>
      </c>
      <c r="AQ77" s="200">
        <f t="shared" ca="1" si="17"/>
        <v>0</v>
      </c>
      <c r="AR77" s="200">
        <f t="shared" ca="1" si="18"/>
        <v>0</v>
      </c>
      <c r="AS77" s="201"/>
      <c r="AT77" s="200">
        <f t="shared" si="19"/>
        <v>1</v>
      </c>
    </row>
    <row r="78" spans="1:46" ht="15.75" customHeight="1">
      <c r="A78" s="178"/>
      <c r="B78" s="179">
        <f t="shared" ca="1" si="0"/>
        <v>1</v>
      </c>
      <c r="C78" s="180">
        <f t="shared" ca="1" si="1"/>
        <v>11</v>
      </c>
      <c r="D78" s="180">
        <f t="shared" ca="1" si="2"/>
        <v>1</v>
      </c>
      <c r="E78" s="180" t="str">
        <f t="shared" ca="1" si="3"/>
        <v/>
      </c>
      <c r="F78" s="180" t="str">
        <f t="shared" ca="1" si="4"/>
        <v/>
      </c>
      <c r="G78" s="181" t="str">
        <f t="shared" ca="1" si="5"/>
        <v/>
      </c>
      <c r="H78" s="182" t="str">
        <f t="shared" ca="1" si="6"/>
        <v/>
      </c>
      <c r="I78" s="202"/>
      <c r="J78" s="214"/>
      <c r="K78" s="214" t="s">
        <v>59</v>
      </c>
      <c r="L78" s="214"/>
      <c r="M78" s="214"/>
      <c r="N78" s="214"/>
      <c r="O78" s="214"/>
      <c r="P78" s="214"/>
      <c r="Q78" s="215"/>
      <c r="R78" s="216" t="s">
        <v>155</v>
      </c>
      <c r="S78" s="217">
        <v>45812</v>
      </c>
      <c r="T78" s="218">
        <v>45818</v>
      </c>
      <c r="U78" s="219">
        <v>45812</v>
      </c>
      <c r="V78" s="218">
        <v>45819</v>
      </c>
      <c r="W78" s="220">
        <v>1</v>
      </c>
      <c r="X78" s="221">
        <v>1</v>
      </c>
      <c r="Y78" s="228"/>
      <c r="Z78" s="223"/>
      <c r="AA78" s="194"/>
      <c r="AB78" s="195"/>
      <c r="AC78" s="196"/>
      <c r="AD78" s="197"/>
      <c r="AE78" s="198"/>
      <c r="AF78" s="199"/>
      <c r="AG78" s="199">
        <f t="shared" ca="1" si="7"/>
        <v>0</v>
      </c>
      <c r="AH78" s="199">
        <f t="shared" ca="1" si="8"/>
        <v>0</v>
      </c>
      <c r="AI78" s="199">
        <f t="shared" si="9"/>
        <v>0</v>
      </c>
      <c r="AJ78" s="199">
        <f t="shared" ca="1" si="10"/>
        <v>0</v>
      </c>
      <c r="AK78" s="199" t="str">
        <f t="shared" ca="1" si="11"/>
        <v/>
      </c>
      <c r="AL78" s="200">
        <f t="shared" ca="1" si="12"/>
        <v>1</v>
      </c>
      <c r="AM78" s="200">
        <f t="shared" ca="1" si="13"/>
        <v>11</v>
      </c>
      <c r="AN78" s="200">
        <f t="shared" ca="1" si="14"/>
        <v>1</v>
      </c>
      <c r="AO78" s="200">
        <f t="shared" ca="1" si="15"/>
        <v>0</v>
      </c>
      <c r="AP78" s="200">
        <f t="shared" ca="1" si="16"/>
        <v>0</v>
      </c>
      <c r="AQ78" s="200">
        <f t="shared" ca="1" si="17"/>
        <v>0</v>
      </c>
      <c r="AR78" s="200">
        <f t="shared" ca="1" si="18"/>
        <v>0</v>
      </c>
      <c r="AS78" s="201"/>
      <c r="AT78" s="200">
        <f t="shared" si="19"/>
        <v>7</v>
      </c>
    </row>
    <row r="79" spans="1:46" ht="15.75" customHeight="1">
      <c r="A79" s="178"/>
      <c r="B79" s="179">
        <f t="shared" ca="1" si="0"/>
        <v>1</v>
      </c>
      <c r="C79" s="180">
        <f t="shared" ca="1" si="1"/>
        <v>11</v>
      </c>
      <c r="D79" s="180">
        <f t="shared" ca="1" si="2"/>
        <v>2</v>
      </c>
      <c r="E79" s="180" t="str">
        <f t="shared" ca="1" si="3"/>
        <v/>
      </c>
      <c r="F79" s="180" t="str">
        <f t="shared" ca="1" si="4"/>
        <v/>
      </c>
      <c r="G79" s="181" t="str">
        <f t="shared" ca="1" si="5"/>
        <v/>
      </c>
      <c r="H79" s="182" t="str">
        <f t="shared" ca="1" si="6"/>
        <v/>
      </c>
      <c r="I79" s="202"/>
      <c r="J79" s="214"/>
      <c r="K79" s="214" t="s">
        <v>145</v>
      </c>
      <c r="L79" s="214"/>
      <c r="M79" s="214"/>
      <c r="N79" s="214"/>
      <c r="O79" s="214"/>
      <c r="P79" s="214"/>
      <c r="Q79" s="215"/>
      <c r="R79" s="216" t="s">
        <v>149</v>
      </c>
      <c r="S79" s="217">
        <v>45819</v>
      </c>
      <c r="T79" s="218">
        <v>45819</v>
      </c>
      <c r="U79" s="219">
        <v>45817</v>
      </c>
      <c r="V79" s="219">
        <v>45819</v>
      </c>
      <c r="W79" s="220">
        <v>1</v>
      </c>
      <c r="X79" s="221">
        <v>1</v>
      </c>
      <c r="Y79" s="228"/>
      <c r="Z79" s="223"/>
      <c r="AA79" s="194"/>
      <c r="AB79" s="195"/>
      <c r="AC79" s="196"/>
      <c r="AD79" s="197"/>
      <c r="AE79" s="198"/>
      <c r="AF79" s="199"/>
      <c r="AG79" s="199">
        <f t="shared" ca="1" si="7"/>
        <v>0</v>
      </c>
      <c r="AH79" s="199">
        <f t="shared" ca="1" si="8"/>
        <v>0</v>
      </c>
      <c r="AI79" s="199">
        <f t="shared" si="9"/>
        <v>0</v>
      </c>
      <c r="AJ79" s="199">
        <f t="shared" ca="1" si="10"/>
        <v>0</v>
      </c>
      <c r="AK79" s="199" t="str">
        <f t="shared" ca="1" si="11"/>
        <v/>
      </c>
      <c r="AL79" s="200">
        <f t="shared" ca="1" si="12"/>
        <v>1</v>
      </c>
      <c r="AM79" s="200">
        <f t="shared" ca="1" si="13"/>
        <v>11</v>
      </c>
      <c r="AN79" s="200">
        <f t="shared" ca="1" si="14"/>
        <v>2</v>
      </c>
      <c r="AO79" s="200">
        <f t="shared" ca="1" si="15"/>
        <v>0</v>
      </c>
      <c r="AP79" s="200">
        <f t="shared" ca="1" si="16"/>
        <v>0</v>
      </c>
      <c r="AQ79" s="200">
        <f t="shared" ca="1" si="17"/>
        <v>0</v>
      </c>
      <c r="AR79" s="200">
        <f t="shared" ca="1" si="18"/>
        <v>0</v>
      </c>
      <c r="AS79" s="201"/>
      <c r="AT79" s="200">
        <f t="shared" si="19"/>
        <v>1</v>
      </c>
    </row>
    <row r="80" spans="1:46" ht="15.75" customHeight="1">
      <c r="A80" s="178"/>
      <c r="B80" s="179">
        <f t="shared" ca="1" si="0"/>
        <v>1</v>
      </c>
      <c r="C80" s="180">
        <f t="shared" ca="1" si="1"/>
        <v>11</v>
      </c>
      <c r="D80" s="180">
        <f t="shared" ca="1" si="2"/>
        <v>3</v>
      </c>
      <c r="E80" s="180" t="str">
        <f t="shared" ca="1" si="3"/>
        <v/>
      </c>
      <c r="F80" s="180" t="str">
        <f t="shared" ca="1" si="4"/>
        <v/>
      </c>
      <c r="G80" s="181" t="str">
        <f t="shared" ca="1" si="5"/>
        <v/>
      </c>
      <c r="H80" s="182" t="str">
        <f t="shared" ca="1" si="6"/>
        <v/>
      </c>
      <c r="I80" s="202"/>
      <c r="J80" s="214"/>
      <c r="K80" s="214" t="s">
        <v>63</v>
      </c>
      <c r="L80" s="214"/>
      <c r="M80" s="214"/>
      <c r="N80" s="214"/>
      <c r="O80" s="214"/>
      <c r="P80" s="214"/>
      <c r="Q80" s="215"/>
      <c r="R80" s="216" t="s">
        <v>155</v>
      </c>
      <c r="S80" s="217">
        <v>45842</v>
      </c>
      <c r="T80" s="218">
        <v>45845</v>
      </c>
      <c r="U80" s="219"/>
      <c r="V80" s="218"/>
      <c r="W80" s="220">
        <v>0</v>
      </c>
      <c r="X80" s="221"/>
      <c r="Y80" s="222"/>
      <c r="Z80" s="223"/>
      <c r="AA80" s="194"/>
      <c r="AB80" s="195"/>
      <c r="AC80" s="196"/>
      <c r="AD80" s="197"/>
      <c r="AE80" s="198"/>
      <c r="AF80" s="199"/>
      <c r="AG80" s="199">
        <f t="shared" ca="1" si="7"/>
        <v>0</v>
      </c>
      <c r="AH80" s="199">
        <f t="shared" ca="1" si="8"/>
        <v>0</v>
      </c>
      <c r="AI80" s="199">
        <f t="shared" si="9"/>
        <v>0</v>
      </c>
      <c r="AJ80" s="199">
        <f t="shared" ca="1" si="10"/>
        <v>0</v>
      </c>
      <c r="AK80" s="199" t="str">
        <f t="shared" ca="1" si="11"/>
        <v/>
      </c>
      <c r="AL80" s="200">
        <f t="shared" ca="1" si="12"/>
        <v>1</v>
      </c>
      <c r="AM80" s="200">
        <f t="shared" ca="1" si="13"/>
        <v>11</v>
      </c>
      <c r="AN80" s="200">
        <f t="shared" ca="1" si="14"/>
        <v>3</v>
      </c>
      <c r="AO80" s="200">
        <f t="shared" ca="1" si="15"/>
        <v>0</v>
      </c>
      <c r="AP80" s="200">
        <f t="shared" ca="1" si="16"/>
        <v>0</v>
      </c>
      <c r="AQ80" s="200">
        <f t="shared" ca="1" si="17"/>
        <v>0</v>
      </c>
      <c r="AR80" s="200">
        <f t="shared" ca="1" si="18"/>
        <v>0</v>
      </c>
      <c r="AS80" s="201"/>
      <c r="AT80" s="200">
        <f t="shared" si="19"/>
        <v>4</v>
      </c>
    </row>
    <row r="81" spans="1:46" ht="15.75" customHeight="1">
      <c r="A81" s="178"/>
      <c r="B81" s="179">
        <f t="shared" ca="1" si="0"/>
        <v>1</v>
      </c>
      <c r="C81" s="180">
        <f t="shared" ca="1" si="1"/>
        <v>11</v>
      </c>
      <c r="D81" s="180">
        <f t="shared" ca="1" si="2"/>
        <v>4</v>
      </c>
      <c r="E81" s="180" t="str">
        <f t="shared" ca="1" si="3"/>
        <v/>
      </c>
      <c r="F81" s="180" t="str">
        <f t="shared" ca="1" si="4"/>
        <v/>
      </c>
      <c r="G81" s="181" t="str">
        <f t="shared" ca="1" si="5"/>
        <v/>
      </c>
      <c r="H81" s="182" t="str">
        <f t="shared" ca="1" si="6"/>
        <v/>
      </c>
      <c r="I81" s="202"/>
      <c r="J81" s="214"/>
      <c r="K81" s="214" t="s">
        <v>64</v>
      </c>
      <c r="L81" s="214"/>
      <c r="M81" s="214"/>
      <c r="N81" s="214"/>
      <c r="O81" s="214"/>
      <c r="P81" s="214"/>
      <c r="Q81" s="215"/>
      <c r="R81" s="216" t="s">
        <v>149</v>
      </c>
      <c r="S81" s="217">
        <v>45846</v>
      </c>
      <c r="T81" s="218">
        <v>45846</v>
      </c>
      <c r="U81" s="219"/>
      <c r="V81" s="218"/>
      <c r="W81" s="220">
        <v>0</v>
      </c>
      <c r="X81" s="221"/>
      <c r="Y81" s="222"/>
      <c r="Z81" s="223"/>
      <c r="AA81" s="194"/>
      <c r="AB81" s="195"/>
      <c r="AC81" s="196"/>
      <c r="AD81" s="197"/>
      <c r="AE81" s="198"/>
      <c r="AF81" s="199"/>
      <c r="AG81" s="199">
        <f t="shared" ca="1" si="7"/>
        <v>0</v>
      </c>
      <c r="AH81" s="199">
        <f t="shared" ca="1" si="8"/>
        <v>0</v>
      </c>
      <c r="AI81" s="199">
        <f t="shared" si="9"/>
        <v>0</v>
      </c>
      <c r="AJ81" s="199">
        <f t="shared" ca="1" si="10"/>
        <v>0</v>
      </c>
      <c r="AK81" s="199" t="str">
        <f t="shared" ca="1" si="11"/>
        <v/>
      </c>
      <c r="AL81" s="200">
        <f t="shared" ca="1" si="12"/>
        <v>1</v>
      </c>
      <c r="AM81" s="200">
        <f t="shared" ca="1" si="13"/>
        <v>11</v>
      </c>
      <c r="AN81" s="200">
        <f t="shared" ca="1" si="14"/>
        <v>4</v>
      </c>
      <c r="AO81" s="200">
        <f t="shared" ca="1" si="15"/>
        <v>0</v>
      </c>
      <c r="AP81" s="200">
        <f t="shared" ca="1" si="16"/>
        <v>0</v>
      </c>
      <c r="AQ81" s="200">
        <f t="shared" ca="1" si="17"/>
        <v>0</v>
      </c>
      <c r="AR81" s="200">
        <f t="shared" ca="1" si="18"/>
        <v>0</v>
      </c>
      <c r="AS81" s="201"/>
      <c r="AT81" s="200">
        <f t="shared" si="19"/>
        <v>1</v>
      </c>
    </row>
    <row r="82" spans="1:46" ht="15.75" customHeight="1">
      <c r="A82" s="178"/>
      <c r="B82" s="179">
        <f t="shared" ca="1" si="0"/>
        <v>1</v>
      </c>
      <c r="C82" s="180">
        <f t="shared" ca="1" si="1"/>
        <v>11</v>
      </c>
      <c r="D82" s="180">
        <f t="shared" ca="1" si="2"/>
        <v>5</v>
      </c>
      <c r="E82" s="180" t="str">
        <f t="shared" ca="1" si="3"/>
        <v/>
      </c>
      <c r="F82" s="180" t="str">
        <f t="shared" ca="1" si="4"/>
        <v/>
      </c>
      <c r="G82" s="181" t="str">
        <f t="shared" ca="1" si="5"/>
        <v/>
      </c>
      <c r="H82" s="182" t="str">
        <f t="shared" ca="1" si="6"/>
        <v/>
      </c>
      <c r="I82" s="202"/>
      <c r="J82" s="214"/>
      <c r="K82" s="214" t="s">
        <v>65</v>
      </c>
      <c r="L82" s="214"/>
      <c r="M82" s="214"/>
      <c r="N82" s="214"/>
      <c r="O82" s="214"/>
      <c r="P82" s="214"/>
      <c r="Q82" s="215"/>
      <c r="R82" s="216" t="s">
        <v>155</v>
      </c>
      <c r="S82" s="217">
        <v>45847</v>
      </c>
      <c r="T82" s="218">
        <v>45847</v>
      </c>
      <c r="U82" s="219"/>
      <c r="V82" s="218"/>
      <c r="W82" s="220">
        <v>0</v>
      </c>
      <c r="X82" s="221"/>
      <c r="Y82" s="222"/>
      <c r="Z82" s="223"/>
      <c r="AA82" s="194"/>
      <c r="AB82" s="195"/>
      <c r="AC82" s="196"/>
      <c r="AD82" s="197"/>
      <c r="AE82" s="198"/>
      <c r="AF82" s="199"/>
      <c r="AG82" s="199">
        <f t="shared" ca="1" si="7"/>
        <v>0</v>
      </c>
      <c r="AH82" s="199">
        <f t="shared" ca="1" si="8"/>
        <v>0</v>
      </c>
      <c r="AI82" s="199">
        <f t="shared" si="9"/>
        <v>0</v>
      </c>
      <c r="AJ82" s="199">
        <f t="shared" ca="1" si="10"/>
        <v>0</v>
      </c>
      <c r="AK82" s="199" t="str">
        <f t="shared" ca="1" si="11"/>
        <v/>
      </c>
      <c r="AL82" s="200">
        <f t="shared" ca="1" si="12"/>
        <v>1</v>
      </c>
      <c r="AM82" s="200">
        <f t="shared" ca="1" si="13"/>
        <v>11</v>
      </c>
      <c r="AN82" s="200">
        <f t="shared" ca="1" si="14"/>
        <v>5</v>
      </c>
      <c r="AO82" s="200">
        <f t="shared" ca="1" si="15"/>
        <v>0</v>
      </c>
      <c r="AP82" s="200">
        <f t="shared" ca="1" si="16"/>
        <v>0</v>
      </c>
      <c r="AQ82" s="200">
        <f t="shared" ca="1" si="17"/>
        <v>0</v>
      </c>
      <c r="AR82" s="200">
        <f t="shared" ca="1" si="18"/>
        <v>0</v>
      </c>
      <c r="AS82" s="201"/>
      <c r="AT82" s="200">
        <f t="shared" si="19"/>
        <v>1</v>
      </c>
    </row>
    <row r="83" spans="1:46" ht="15.75" customHeight="1">
      <c r="A83" s="178"/>
      <c r="B83" s="179">
        <f t="shared" ca="1" si="0"/>
        <v>1</v>
      </c>
      <c r="C83" s="180">
        <f t="shared" ca="1" si="1"/>
        <v>11</v>
      </c>
      <c r="D83" s="180">
        <f t="shared" ca="1" si="2"/>
        <v>6</v>
      </c>
      <c r="E83" s="180" t="str">
        <f t="shared" ca="1" si="3"/>
        <v/>
      </c>
      <c r="F83" s="180" t="str">
        <f t="shared" ca="1" si="4"/>
        <v/>
      </c>
      <c r="G83" s="181" t="str">
        <f t="shared" ca="1" si="5"/>
        <v/>
      </c>
      <c r="H83" s="182" t="str">
        <f t="shared" ca="1" si="6"/>
        <v/>
      </c>
      <c r="I83" s="202"/>
      <c r="J83" s="214"/>
      <c r="K83" s="214" t="s">
        <v>66</v>
      </c>
      <c r="L83" s="214"/>
      <c r="M83" s="214"/>
      <c r="N83" s="214"/>
      <c r="O83" s="214"/>
      <c r="P83" s="214"/>
      <c r="Q83" s="215"/>
      <c r="R83" s="216" t="s">
        <v>149</v>
      </c>
      <c r="S83" s="217">
        <v>45848</v>
      </c>
      <c r="T83" s="218">
        <v>45848</v>
      </c>
      <c r="U83" s="219"/>
      <c r="V83" s="218"/>
      <c r="W83" s="220">
        <v>0</v>
      </c>
      <c r="X83" s="221"/>
      <c r="Y83" s="222"/>
      <c r="Z83" s="223"/>
      <c r="AA83" s="194"/>
      <c r="AB83" s="195"/>
      <c r="AC83" s="196"/>
      <c r="AD83" s="197"/>
      <c r="AE83" s="198"/>
      <c r="AF83" s="199"/>
      <c r="AG83" s="199">
        <f t="shared" ca="1" si="7"/>
        <v>0</v>
      </c>
      <c r="AH83" s="199">
        <f t="shared" ca="1" si="8"/>
        <v>0</v>
      </c>
      <c r="AI83" s="199">
        <f t="shared" si="9"/>
        <v>0</v>
      </c>
      <c r="AJ83" s="199">
        <f t="shared" ca="1" si="10"/>
        <v>0</v>
      </c>
      <c r="AK83" s="199" t="str">
        <f t="shared" ca="1" si="11"/>
        <v/>
      </c>
      <c r="AL83" s="200">
        <f t="shared" ca="1" si="12"/>
        <v>1</v>
      </c>
      <c r="AM83" s="200">
        <f t="shared" ca="1" si="13"/>
        <v>11</v>
      </c>
      <c r="AN83" s="200">
        <f t="shared" ca="1" si="14"/>
        <v>6</v>
      </c>
      <c r="AO83" s="200">
        <f t="shared" ca="1" si="15"/>
        <v>0</v>
      </c>
      <c r="AP83" s="200">
        <f t="shared" ca="1" si="16"/>
        <v>0</v>
      </c>
      <c r="AQ83" s="200">
        <f t="shared" ca="1" si="17"/>
        <v>0</v>
      </c>
      <c r="AR83" s="200">
        <f t="shared" ca="1" si="18"/>
        <v>0</v>
      </c>
      <c r="AS83" s="201"/>
      <c r="AT83" s="200">
        <f t="shared" si="19"/>
        <v>1</v>
      </c>
    </row>
    <row r="84" spans="1:46" ht="15.75" customHeight="1">
      <c r="A84" s="178"/>
      <c r="B84" s="179">
        <f t="shared" ca="1" si="0"/>
        <v>1</v>
      </c>
      <c r="C84" s="180">
        <f t="shared" ca="1" si="1"/>
        <v>12</v>
      </c>
      <c r="D84" s="180" t="str">
        <f t="shared" ca="1" si="2"/>
        <v/>
      </c>
      <c r="E84" s="180" t="str">
        <f t="shared" ca="1" si="3"/>
        <v/>
      </c>
      <c r="F84" s="180" t="str">
        <f t="shared" ca="1" si="4"/>
        <v/>
      </c>
      <c r="G84" s="181" t="str">
        <f t="shared" ca="1" si="5"/>
        <v/>
      </c>
      <c r="H84" s="182" t="str">
        <f t="shared" ca="1" si="6"/>
        <v/>
      </c>
      <c r="I84" s="202"/>
      <c r="J84" s="224" t="s">
        <v>395</v>
      </c>
      <c r="K84" s="225"/>
      <c r="L84" s="225"/>
      <c r="M84" s="225"/>
      <c r="N84" s="225"/>
      <c r="O84" s="225"/>
      <c r="P84" s="225"/>
      <c r="Q84" s="205" t="s">
        <v>81</v>
      </c>
      <c r="R84" s="206"/>
      <c r="S84" s="207"/>
      <c r="T84" s="208"/>
      <c r="U84" s="209"/>
      <c r="V84" s="208"/>
      <c r="W84" s="210"/>
      <c r="X84" s="211"/>
      <c r="Y84" s="226"/>
      <c r="Z84" s="227"/>
      <c r="AA84" s="194"/>
      <c r="AB84" s="195"/>
      <c r="AC84" s="196"/>
      <c r="AD84" s="197"/>
      <c r="AE84" s="198"/>
      <c r="AF84" s="199"/>
      <c r="AG84" s="199">
        <f t="shared" si="7"/>
        <v>0</v>
      </c>
      <c r="AH84" s="199">
        <f t="shared" si="8"/>
        <v>0</v>
      </c>
      <c r="AI84" s="199">
        <f t="shared" si="9"/>
        <v>0</v>
      </c>
      <c r="AJ84" s="199">
        <f t="shared" si="10"/>
        <v>0</v>
      </c>
      <c r="AK84" s="199" t="str">
        <f t="shared" si="11"/>
        <v/>
      </c>
      <c r="AL84" s="200">
        <f t="shared" ca="1" si="12"/>
        <v>1</v>
      </c>
      <c r="AM84" s="200">
        <f t="shared" ca="1" si="13"/>
        <v>12</v>
      </c>
      <c r="AN84" s="200">
        <f t="shared" ca="1" si="14"/>
        <v>0</v>
      </c>
      <c r="AO84" s="200">
        <f t="shared" ca="1" si="15"/>
        <v>0</v>
      </c>
      <c r="AP84" s="200">
        <f t="shared" ca="1" si="16"/>
        <v>0</v>
      </c>
      <c r="AQ84" s="200">
        <f t="shared" ca="1" si="17"/>
        <v>0</v>
      </c>
      <c r="AR84" s="200">
        <f t="shared" ca="1" si="18"/>
        <v>0</v>
      </c>
      <c r="AS84" s="201"/>
      <c r="AT84" s="200">
        <f t="shared" si="19"/>
        <v>1</v>
      </c>
    </row>
    <row r="85" spans="1:46" ht="15.75" customHeight="1">
      <c r="A85" s="178"/>
      <c r="B85" s="179">
        <f t="shared" ca="1" si="0"/>
        <v>1</v>
      </c>
      <c r="C85" s="180">
        <f t="shared" ca="1" si="1"/>
        <v>12</v>
      </c>
      <c r="D85" s="180">
        <f t="shared" ca="1" si="2"/>
        <v>1</v>
      </c>
      <c r="E85" s="180" t="str">
        <f t="shared" ca="1" si="3"/>
        <v/>
      </c>
      <c r="F85" s="180" t="str">
        <f t="shared" ca="1" si="4"/>
        <v/>
      </c>
      <c r="G85" s="181" t="str">
        <f t="shared" ca="1" si="5"/>
        <v/>
      </c>
      <c r="H85" s="182" t="str">
        <f t="shared" ca="1" si="6"/>
        <v/>
      </c>
      <c r="I85" s="202"/>
      <c r="J85" s="214"/>
      <c r="K85" s="214" t="s">
        <v>59</v>
      </c>
      <c r="L85" s="214"/>
      <c r="M85" s="214"/>
      <c r="N85" s="214"/>
      <c r="O85" s="214"/>
      <c r="P85" s="214"/>
      <c r="Q85" s="215"/>
      <c r="R85" s="216" t="s">
        <v>163</v>
      </c>
      <c r="S85" s="217">
        <v>45812</v>
      </c>
      <c r="T85" s="218">
        <v>45817</v>
      </c>
      <c r="U85" s="219">
        <v>45812</v>
      </c>
      <c r="V85" s="218">
        <v>45819</v>
      </c>
      <c r="W85" s="220">
        <v>1</v>
      </c>
      <c r="X85" s="221">
        <v>1</v>
      </c>
      <c r="Y85" s="222"/>
      <c r="Z85" s="223"/>
      <c r="AA85" s="194"/>
      <c r="AB85" s="195"/>
      <c r="AC85" s="196"/>
      <c r="AD85" s="197"/>
      <c r="AE85" s="198"/>
      <c r="AF85" s="199"/>
      <c r="AG85" s="199">
        <f t="shared" ca="1" si="7"/>
        <v>0</v>
      </c>
      <c r="AH85" s="199">
        <f t="shared" ca="1" si="8"/>
        <v>0</v>
      </c>
      <c r="AI85" s="199">
        <f t="shared" si="9"/>
        <v>0</v>
      </c>
      <c r="AJ85" s="199">
        <f t="shared" ca="1" si="10"/>
        <v>0</v>
      </c>
      <c r="AK85" s="199" t="str">
        <f t="shared" ca="1" si="11"/>
        <v/>
      </c>
      <c r="AL85" s="200">
        <f t="shared" ca="1" si="12"/>
        <v>1</v>
      </c>
      <c r="AM85" s="200">
        <f t="shared" ca="1" si="13"/>
        <v>12</v>
      </c>
      <c r="AN85" s="200">
        <f t="shared" ca="1" si="14"/>
        <v>1</v>
      </c>
      <c r="AO85" s="200">
        <f t="shared" ca="1" si="15"/>
        <v>0</v>
      </c>
      <c r="AP85" s="200">
        <f t="shared" ca="1" si="16"/>
        <v>0</v>
      </c>
      <c r="AQ85" s="200">
        <f t="shared" ca="1" si="17"/>
        <v>0</v>
      </c>
      <c r="AR85" s="200">
        <f t="shared" ca="1" si="18"/>
        <v>0</v>
      </c>
      <c r="AS85" s="201"/>
      <c r="AT85" s="200">
        <f t="shared" si="19"/>
        <v>6</v>
      </c>
    </row>
    <row r="86" spans="1:46" ht="15.75" customHeight="1">
      <c r="A86" s="178"/>
      <c r="B86" s="179">
        <f t="shared" ca="1" si="0"/>
        <v>1</v>
      </c>
      <c r="C86" s="180">
        <f t="shared" ca="1" si="1"/>
        <v>12</v>
      </c>
      <c r="D86" s="180">
        <f t="shared" ca="1" si="2"/>
        <v>2</v>
      </c>
      <c r="E86" s="180" t="str">
        <f t="shared" ca="1" si="3"/>
        <v/>
      </c>
      <c r="F86" s="180" t="str">
        <f t="shared" ca="1" si="4"/>
        <v/>
      </c>
      <c r="G86" s="181" t="str">
        <f t="shared" ca="1" si="5"/>
        <v/>
      </c>
      <c r="H86" s="182" t="str">
        <f t="shared" ca="1" si="6"/>
        <v/>
      </c>
      <c r="I86" s="202"/>
      <c r="J86" s="214"/>
      <c r="K86" s="214" t="s">
        <v>145</v>
      </c>
      <c r="L86" s="214"/>
      <c r="M86" s="214"/>
      <c r="N86" s="214"/>
      <c r="O86" s="214"/>
      <c r="P86" s="214"/>
      <c r="Q86" s="215"/>
      <c r="R86" s="216" t="s">
        <v>381</v>
      </c>
      <c r="S86" s="217">
        <v>45818</v>
      </c>
      <c r="T86" s="218">
        <v>45818</v>
      </c>
      <c r="U86" s="219">
        <v>45814</v>
      </c>
      <c r="V86" s="218">
        <v>45818</v>
      </c>
      <c r="W86" s="220">
        <v>1</v>
      </c>
      <c r="X86" s="221">
        <v>1</v>
      </c>
      <c r="Y86" s="222"/>
      <c r="Z86" s="223"/>
      <c r="AA86" s="194"/>
      <c r="AB86" s="195"/>
      <c r="AC86" s="196"/>
      <c r="AD86" s="197"/>
      <c r="AE86" s="198"/>
      <c r="AF86" s="199"/>
      <c r="AG86" s="199">
        <f t="shared" ca="1" si="7"/>
        <v>0</v>
      </c>
      <c r="AH86" s="199">
        <f t="shared" ca="1" si="8"/>
        <v>0</v>
      </c>
      <c r="AI86" s="199">
        <f t="shared" si="9"/>
        <v>0</v>
      </c>
      <c r="AJ86" s="199">
        <f t="shared" ca="1" si="10"/>
        <v>0</v>
      </c>
      <c r="AK86" s="199" t="str">
        <f t="shared" ca="1" si="11"/>
        <v/>
      </c>
      <c r="AL86" s="200">
        <f t="shared" ca="1" si="12"/>
        <v>1</v>
      </c>
      <c r="AM86" s="200">
        <f t="shared" ca="1" si="13"/>
        <v>12</v>
      </c>
      <c r="AN86" s="200">
        <f t="shared" ca="1" si="14"/>
        <v>2</v>
      </c>
      <c r="AO86" s="200">
        <f t="shared" ca="1" si="15"/>
        <v>0</v>
      </c>
      <c r="AP86" s="200">
        <f t="shared" ca="1" si="16"/>
        <v>0</v>
      </c>
      <c r="AQ86" s="200">
        <f t="shared" ca="1" si="17"/>
        <v>0</v>
      </c>
      <c r="AR86" s="200">
        <f t="shared" ca="1" si="18"/>
        <v>0</v>
      </c>
      <c r="AS86" s="201"/>
      <c r="AT86" s="200">
        <f t="shared" si="19"/>
        <v>1</v>
      </c>
    </row>
    <row r="87" spans="1:46" ht="15.75" customHeight="1">
      <c r="A87" s="178"/>
      <c r="B87" s="179">
        <f t="shared" ca="1" si="0"/>
        <v>1</v>
      </c>
      <c r="C87" s="180">
        <f t="shared" ca="1" si="1"/>
        <v>12</v>
      </c>
      <c r="D87" s="180">
        <f t="shared" ca="1" si="2"/>
        <v>3</v>
      </c>
      <c r="E87" s="180" t="str">
        <f t="shared" ca="1" si="3"/>
        <v/>
      </c>
      <c r="F87" s="180" t="str">
        <f t="shared" ca="1" si="4"/>
        <v/>
      </c>
      <c r="G87" s="181" t="str">
        <f t="shared" ca="1" si="5"/>
        <v/>
      </c>
      <c r="H87" s="182" t="str">
        <f t="shared" ca="1" si="6"/>
        <v/>
      </c>
      <c r="I87" s="202"/>
      <c r="J87" s="214"/>
      <c r="K87" s="214" t="s">
        <v>63</v>
      </c>
      <c r="L87" s="214"/>
      <c r="M87" s="214"/>
      <c r="N87" s="214"/>
      <c r="O87" s="214"/>
      <c r="P87" s="214"/>
      <c r="Q87" s="215"/>
      <c r="R87" s="216" t="s">
        <v>163</v>
      </c>
      <c r="S87" s="217">
        <v>45827</v>
      </c>
      <c r="T87" s="218">
        <v>45827</v>
      </c>
      <c r="U87" s="219"/>
      <c r="V87" s="218"/>
      <c r="W87" s="220">
        <v>0</v>
      </c>
      <c r="X87" s="221"/>
      <c r="Y87" s="222"/>
      <c r="Z87" s="223"/>
      <c r="AA87" s="194"/>
      <c r="AB87" s="195"/>
      <c r="AC87" s="196"/>
      <c r="AD87" s="197"/>
      <c r="AE87" s="198"/>
      <c r="AF87" s="199"/>
      <c r="AG87" s="199">
        <f t="shared" ca="1" si="7"/>
        <v>0</v>
      </c>
      <c r="AH87" s="199">
        <f t="shared" ca="1" si="8"/>
        <v>0</v>
      </c>
      <c r="AI87" s="199">
        <f t="shared" si="9"/>
        <v>0</v>
      </c>
      <c r="AJ87" s="199">
        <f t="shared" ca="1" si="10"/>
        <v>0</v>
      </c>
      <c r="AK87" s="199" t="str">
        <f t="shared" ca="1" si="11"/>
        <v/>
      </c>
      <c r="AL87" s="200">
        <f t="shared" ca="1" si="12"/>
        <v>1</v>
      </c>
      <c r="AM87" s="200">
        <f t="shared" ca="1" si="13"/>
        <v>12</v>
      </c>
      <c r="AN87" s="200">
        <f t="shared" ca="1" si="14"/>
        <v>3</v>
      </c>
      <c r="AO87" s="200">
        <f t="shared" ca="1" si="15"/>
        <v>0</v>
      </c>
      <c r="AP87" s="200">
        <f t="shared" ca="1" si="16"/>
        <v>0</v>
      </c>
      <c r="AQ87" s="200">
        <f t="shared" ca="1" si="17"/>
        <v>0</v>
      </c>
      <c r="AR87" s="200">
        <f t="shared" ca="1" si="18"/>
        <v>0</v>
      </c>
      <c r="AS87" s="201"/>
      <c r="AT87" s="200">
        <f t="shared" si="19"/>
        <v>1</v>
      </c>
    </row>
    <row r="88" spans="1:46" ht="15.75" customHeight="1">
      <c r="A88" s="178"/>
      <c r="B88" s="179">
        <f t="shared" ca="1" si="0"/>
        <v>1</v>
      </c>
      <c r="C88" s="180">
        <f t="shared" ca="1" si="1"/>
        <v>12</v>
      </c>
      <c r="D88" s="180">
        <f t="shared" ca="1" si="2"/>
        <v>4</v>
      </c>
      <c r="E88" s="180" t="str">
        <f t="shared" ca="1" si="3"/>
        <v/>
      </c>
      <c r="F88" s="180" t="str">
        <f t="shared" ca="1" si="4"/>
        <v/>
      </c>
      <c r="G88" s="181" t="str">
        <f t="shared" ca="1" si="5"/>
        <v/>
      </c>
      <c r="H88" s="182" t="str">
        <f t="shared" ca="1" si="6"/>
        <v/>
      </c>
      <c r="I88" s="202"/>
      <c r="J88" s="214"/>
      <c r="K88" s="214" t="s">
        <v>64</v>
      </c>
      <c r="L88" s="214"/>
      <c r="M88" s="214"/>
      <c r="N88" s="214"/>
      <c r="O88" s="214"/>
      <c r="P88" s="214"/>
      <c r="Q88" s="215"/>
      <c r="R88" s="216" t="s">
        <v>381</v>
      </c>
      <c r="S88" s="217">
        <v>45827</v>
      </c>
      <c r="T88" s="218">
        <v>45827</v>
      </c>
      <c r="U88" s="219"/>
      <c r="V88" s="218"/>
      <c r="W88" s="220">
        <v>0</v>
      </c>
      <c r="X88" s="221"/>
      <c r="Y88" s="222"/>
      <c r="Z88" s="223"/>
      <c r="AA88" s="194"/>
      <c r="AB88" s="195"/>
      <c r="AC88" s="196"/>
      <c r="AD88" s="197"/>
      <c r="AE88" s="198"/>
      <c r="AF88" s="199"/>
      <c r="AG88" s="199">
        <f t="shared" ca="1" si="7"/>
        <v>0</v>
      </c>
      <c r="AH88" s="199">
        <f t="shared" ca="1" si="8"/>
        <v>0</v>
      </c>
      <c r="AI88" s="199">
        <f t="shared" si="9"/>
        <v>0</v>
      </c>
      <c r="AJ88" s="199">
        <f t="shared" ca="1" si="10"/>
        <v>0</v>
      </c>
      <c r="AK88" s="199" t="str">
        <f t="shared" ca="1" si="11"/>
        <v/>
      </c>
      <c r="AL88" s="200">
        <f t="shared" ca="1" si="12"/>
        <v>1</v>
      </c>
      <c r="AM88" s="200">
        <f t="shared" ca="1" si="13"/>
        <v>12</v>
      </c>
      <c r="AN88" s="200">
        <f t="shared" ca="1" si="14"/>
        <v>4</v>
      </c>
      <c r="AO88" s="200">
        <f t="shared" ca="1" si="15"/>
        <v>0</v>
      </c>
      <c r="AP88" s="200">
        <f t="shared" ca="1" si="16"/>
        <v>0</v>
      </c>
      <c r="AQ88" s="200">
        <f t="shared" ca="1" si="17"/>
        <v>0</v>
      </c>
      <c r="AR88" s="200">
        <f t="shared" ca="1" si="18"/>
        <v>0</v>
      </c>
      <c r="AS88" s="201"/>
      <c r="AT88" s="200">
        <f t="shared" si="19"/>
        <v>1</v>
      </c>
    </row>
    <row r="89" spans="1:46" ht="15.75" customHeight="1">
      <c r="A89" s="178"/>
      <c r="B89" s="179">
        <f t="shared" ca="1" si="0"/>
        <v>1</v>
      </c>
      <c r="C89" s="180">
        <f t="shared" ca="1" si="1"/>
        <v>12</v>
      </c>
      <c r="D89" s="180">
        <f t="shared" ca="1" si="2"/>
        <v>5</v>
      </c>
      <c r="E89" s="180" t="str">
        <f t="shared" ca="1" si="3"/>
        <v/>
      </c>
      <c r="F89" s="180" t="str">
        <f t="shared" ca="1" si="4"/>
        <v/>
      </c>
      <c r="G89" s="181" t="str">
        <f t="shared" ca="1" si="5"/>
        <v/>
      </c>
      <c r="H89" s="182" t="str">
        <f t="shared" ca="1" si="6"/>
        <v/>
      </c>
      <c r="I89" s="202"/>
      <c r="J89" s="214"/>
      <c r="K89" s="214" t="s">
        <v>65</v>
      </c>
      <c r="L89" s="214"/>
      <c r="M89" s="214"/>
      <c r="N89" s="214"/>
      <c r="O89" s="214"/>
      <c r="P89" s="214"/>
      <c r="Q89" s="215"/>
      <c r="R89" s="216" t="s">
        <v>163</v>
      </c>
      <c r="S89" s="217">
        <v>45828</v>
      </c>
      <c r="T89" s="218">
        <v>45828</v>
      </c>
      <c r="U89" s="219"/>
      <c r="V89" s="218"/>
      <c r="W89" s="220">
        <v>0</v>
      </c>
      <c r="X89" s="221"/>
      <c r="Y89" s="222"/>
      <c r="Z89" s="223"/>
      <c r="AA89" s="194"/>
      <c r="AB89" s="195"/>
      <c r="AC89" s="196"/>
      <c r="AD89" s="197"/>
      <c r="AE89" s="198"/>
      <c r="AF89" s="199"/>
      <c r="AG89" s="199">
        <f t="shared" ca="1" si="7"/>
        <v>0</v>
      </c>
      <c r="AH89" s="199">
        <f t="shared" ca="1" si="8"/>
        <v>0</v>
      </c>
      <c r="AI89" s="199">
        <f t="shared" si="9"/>
        <v>0</v>
      </c>
      <c r="AJ89" s="199">
        <f t="shared" ca="1" si="10"/>
        <v>0</v>
      </c>
      <c r="AK89" s="199" t="str">
        <f t="shared" ca="1" si="11"/>
        <v/>
      </c>
      <c r="AL89" s="200">
        <f t="shared" ca="1" si="12"/>
        <v>1</v>
      </c>
      <c r="AM89" s="200">
        <f t="shared" ca="1" si="13"/>
        <v>12</v>
      </c>
      <c r="AN89" s="200">
        <f t="shared" ca="1" si="14"/>
        <v>5</v>
      </c>
      <c r="AO89" s="200">
        <f t="shared" ca="1" si="15"/>
        <v>0</v>
      </c>
      <c r="AP89" s="200">
        <f t="shared" ca="1" si="16"/>
        <v>0</v>
      </c>
      <c r="AQ89" s="200">
        <f t="shared" ca="1" si="17"/>
        <v>0</v>
      </c>
      <c r="AR89" s="200">
        <f t="shared" ca="1" si="18"/>
        <v>0</v>
      </c>
      <c r="AS89" s="201"/>
      <c r="AT89" s="200">
        <f t="shared" si="19"/>
        <v>1</v>
      </c>
    </row>
    <row r="90" spans="1:46" ht="15.75" customHeight="1">
      <c r="A90" s="178"/>
      <c r="B90" s="179">
        <f t="shared" ca="1" si="0"/>
        <v>1</v>
      </c>
      <c r="C90" s="180">
        <f t="shared" ca="1" si="1"/>
        <v>12</v>
      </c>
      <c r="D90" s="180">
        <f t="shared" ca="1" si="2"/>
        <v>6</v>
      </c>
      <c r="E90" s="180" t="str">
        <f t="shared" ca="1" si="3"/>
        <v/>
      </c>
      <c r="F90" s="180" t="str">
        <f t="shared" ca="1" si="4"/>
        <v/>
      </c>
      <c r="G90" s="181" t="str">
        <f t="shared" ca="1" si="5"/>
        <v/>
      </c>
      <c r="H90" s="182" t="str">
        <f t="shared" ca="1" si="6"/>
        <v/>
      </c>
      <c r="I90" s="202"/>
      <c r="J90" s="214"/>
      <c r="K90" s="214" t="s">
        <v>66</v>
      </c>
      <c r="L90" s="214"/>
      <c r="M90" s="214"/>
      <c r="N90" s="214"/>
      <c r="O90" s="214"/>
      <c r="P90" s="214"/>
      <c r="Q90" s="215"/>
      <c r="R90" s="216" t="s">
        <v>381</v>
      </c>
      <c r="S90" s="217">
        <v>45831</v>
      </c>
      <c r="T90" s="218">
        <v>45831</v>
      </c>
      <c r="U90" s="219"/>
      <c r="V90" s="218"/>
      <c r="W90" s="220">
        <v>0</v>
      </c>
      <c r="X90" s="221"/>
      <c r="Y90" s="222"/>
      <c r="Z90" s="223"/>
      <c r="AA90" s="194"/>
      <c r="AB90" s="195"/>
      <c r="AC90" s="196"/>
      <c r="AD90" s="197"/>
      <c r="AE90" s="198"/>
      <c r="AF90" s="199"/>
      <c r="AG90" s="199">
        <f t="shared" ca="1" si="7"/>
        <v>0</v>
      </c>
      <c r="AH90" s="199">
        <f t="shared" ca="1" si="8"/>
        <v>0</v>
      </c>
      <c r="AI90" s="199">
        <f t="shared" si="9"/>
        <v>0</v>
      </c>
      <c r="AJ90" s="199">
        <f t="shared" ca="1" si="10"/>
        <v>0</v>
      </c>
      <c r="AK90" s="199" t="str">
        <f t="shared" ca="1" si="11"/>
        <v/>
      </c>
      <c r="AL90" s="200">
        <f t="shared" ca="1" si="12"/>
        <v>1</v>
      </c>
      <c r="AM90" s="200">
        <f t="shared" ca="1" si="13"/>
        <v>12</v>
      </c>
      <c r="AN90" s="200">
        <f t="shared" ca="1" si="14"/>
        <v>6</v>
      </c>
      <c r="AO90" s="200">
        <f t="shared" ca="1" si="15"/>
        <v>0</v>
      </c>
      <c r="AP90" s="200">
        <f t="shared" ca="1" si="16"/>
        <v>0</v>
      </c>
      <c r="AQ90" s="200">
        <f t="shared" ca="1" si="17"/>
        <v>0</v>
      </c>
      <c r="AR90" s="200">
        <f t="shared" ca="1" si="18"/>
        <v>0</v>
      </c>
      <c r="AS90" s="201"/>
      <c r="AT90" s="200">
        <f t="shared" si="19"/>
        <v>1</v>
      </c>
    </row>
    <row r="91" spans="1:46" ht="15.75" customHeight="1">
      <c r="A91" s="178"/>
      <c r="B91" s="179">
        <f t="shared" ca="1" si="0"/>
        <v>1</v>
      </c>
      <c r="C91" s="180">
        <f t="shared" ca="1" si="1"/>
        <v>13</v>
      </c>
      <c r="D91" s="180" t="str">
        <f t="shared" ca="1" si="2"/>
        <v/>
      </c>
      <c r="E91" s="180" t="str">
        <f t="shared" ca="1" si="3"/>
        <v/>
      </c>
      <c r="F91" s="180" t="str">
        <f t="shared" ca="1" si="4"/>
        <v/>
      </c>
      <c r="G91" s="181" t="str">
        <f t="shared" ca="1" si="5"/>
        <v/>
      </c>
      <c r="H91" s="182" t="str">
        <f t="shared" ca="1" si="6"/>
        <v/>
      </c>
      <c r="I91" s="202"/>
      <c r="J91" s="224" t="s">
        <v>164</v>
      </c>
      <c r="K91" s="225"/>
      <c r="L91" s="225"/>
      <c r="M91" s="225"/>
      <c r="N91" s="225"/>
      <c r="O91" s="225"/>
      <c r="P91" s="225"/>
      <c r="Q91" s="205" t="s">
        <v>73</v>
      </c>
      <c r="R91" s="206"/>
      <c r="S91" s="207"/>
      <c r="T91" s="208"/>
      <c r="U91" s="209"/>
      <c r="V91" s="208"/>
      <c r="W91" s="210"/>
      <c r="X91" s="211"/>
      <c r="Y91" s="226"/>
      <c r="Z91" s="227"/>
      <c r="AA91" s="194"/>
      <c r="AB91" s="195"/>
      <c r="AC91" s="196"/>
      <c r="AD91" s="197"/>
      <c r="AE91" s="198"/>
      <c r="AF91" s="199"/>
      <c r="AG91" s="199">
        <f t="shared" si="7"/>
        <v>0</v>
      </c>
      <c r="AH91" s="199">
        <f t="shared" si="8"/>
        <v>0</v>
      </c>
      <c r="AI91" s="199">
        <f t="shared" si="9"/>
        <v>0</v>
      </c>
      <c r="AJ91" s="199">
        <f t="shared" si="10"/>
        <v>0</v>
      </c>
      <c r="AK91" s="199" t="str">
        <f t="shared" si="11"/>
        <v/>
      </c>
      <c r="AL91" s="200">
        <f t="shared" ca="1" si="12"/>
        <v>1</v>
      </c>
      <c r="AM91" s="200">
        <f t="shared" ca="1" si="13"/>
        <v>13</v>
      </c>
      <c r="AN91" s="200">
        <f t="shared" ca="1" si="14"/>
        <v>0</v>
      </c>
      <c r="AO91" s="200">
        <f t="shared" ca="1" si="15"/>
        <v>0</v>
      </c>
      <c r="AP91" s="200">
        <f t="shared" ca="1" si="16"/>
        <v>0</v>
      </c>
      <c r="AQ91" s="200">
        <f t="shared" ca="1" si="17"/>
        <v>0</v>
      </c>
      <c r="AR91" s="200">
        <f t="shared" ca="1" si="18"/>
        <v>0</v>
      </c>
      <c r="AS91" s="201"/>
      <c r="AT91" s="200">
        <f t="shared" si="19"/>
        <v>1</v>
      </c>
    </row>
    <row r="92" spans="1:46" ht="15.75" customHeight="1">
      <c r="A92" s="178"/>
      <c r="B92" s="179">
        <f t="shared" ca="1" si="0"/>
        <v>1</v>
      </c>
      <c r="C92" s="180">
        <f t="shared" ca="1" si="1"/>
        <v>13</v>
      </c>
      <c r="D92" s="180">
        <f t="shared" ca="1" si="2"/>
        <v>1</v>
      </c>
      <c r="E92" s="180" t="str">
        <f t="shared" ca="1" si="3"/>
        <v/>
      </c>
      <c r="F92" s="180" t="str">
        <f t="shared" ca="1" si="4"/>
        <v/>
      </c>
      <c r="G92" s="181" t="str">
        <f t="shared" ca="1" si="5"/>
        <v/>
      </c>
      <c r="H92" s="182" t="str">
        <f t="shared" ca="1" si="6"/>
        <v/>
      </c>
      <c r="I92" s="202"/>
      <c r="J92" s="214"/>
      <c r="K92" s="214" t="s">
        <v>59</v>
      </c>
      <c r="L92" s="214"/>
      <c r="M92" s="214"/>
      <c r="N92" s="214"/>
      <c r="O92" s="214"/>
      <c r="P92" s="214"/>
      <c r="Q92" s="215"/>
      <c r="R92" s="216" t="s">
        <v>163</v>
      </c>
      <c r="S92" s="217">
        <v>45848</v>
      </c>
      <c r="T92" s="218">
        <v>45861</v>
      </c>
      <c r="U92" s="219"/>
      <c r="V92" s="218"/>
      <c r="W92" s="220">
        <v>0</v>
      </c>
      <c r="X92" s="221"/>
      <c r="Y92" s="222"/>
      <c r="Z92" s="223"/>
      <c r="AA92" s="194"/>
      <c r="AB92" s="195"/>
      <c r="AC92" s="196"/>
      <c r="AD92" s="197"/>
      <c r="AE92" s="198"/>
      <c r="AF92" s="199"/>
      <c r="AG92" s="199">
        <f t="shared" ca="1" si="7"/>
        <v>0</v>
      </c>
      <c r="AH92" s="199">
        <f t="shared" ca="1" si="8"/>
        <v>0</v>
      </c>
      <c r="AI92" s="199">
        <f t="shared" si="9"/>
        <v>0</v>
      </c>
      <c r="AJ92" s="199">
        <f t="shared" ca="1" si="10"/>
        <v>0</v>
      </c>
      <c r="AK92" s="199" t="str">
        <f t="shared" ca="1" si="11"/>
        <v/>
      </c>
      <c r="AL92" s="200">
        <f t="shared" ca="1" si="12"/>
        <v>1</v>
      </c>
      <c r="AM92" s="200">
        <f t="shared" ca="1" si="13"/>
        <v>13</v>
      </c>
      <c r="AN92" s="200">
        <f t="shared" ca="1" si="14"/>
        <v>1</v>
      </c>
      <c r="AO92" s="200">
        <f t="shared" ca="1" si="15"/>
        <v>0</v>
      </c>
      <c r="AP92" s="200">
        <f t="shared" ca="1" si="16"/>
        <v>0</v>
      </c>
      <c r="AQ92" s="200">
        <f t="shared" ca="1" si="17"/>
        <v>0</v>
      </c>
      <c r="AR92" s="200">
        <f t="shared" ca="1" si="18"/>
        <v>0</v>
      </c>
      <c r="AS92" s="201"/>
      <c r="AT92" s="200">
        <f t="shared" si="19"/>
        <v>14</v>
      </c>
    </row>
    <row r="93" spans="1:46" ht="15.75" customHeight="1">
      <c r="A93" s="178"/>
      <c r="B93" s="179">
        <f t="shared" ca="1" si="0"/>
        <v>1</v>
      </c>
      <c r="C93" s="180">
        <f t="shared" ca="1" si="1"/>
        <v>13</v>
      </c>
      <c r="D93" s="180">
        <f t="shared" ca="1" si="2"/>
        <v>2</v>
      </c>
      <c r="E93" s="180" t="str">
        <f t="shared" ca="1" si="3"/>
        <v/>
      </c>
      <c r="F93" s="180" t="str">
        <f t="shared" ca="1" si="4"/>
        <v/>
      </c>
      <c r="G93" s="181" t="str">
        <f t="shared" ca="1" si="5"/>
        <v/>
      </c>
      <c r="H93" s="182" t="str">
        <f t="shared" ca="1" si="6"/>
        <v/>
      </c>
      <c r="I93" s="202"/>
      <c r="J93" s="214"/>
      <c r="K93" s="214" t="s">
        <v>145</v>
      </c>
      <c r="L93" s="214"/>
      <c r="M93" s="214"/>
      <c r="N93" s="214"/>
      <c r="O93" s="214"/>
      <c r="P93" s="214"/>
      <c r="Q93" s="215"/>
      <c r="R93" s="216" t="s">
        <v>165</v>
      </c>
      <c r="S93" s="217">
        <v>45862</v>
      </c>
      <c r="T93" s="218">
        <v>45862</v>
      </c>
      <c r="U93" s="219"/>
      <c r="V93" s="218"/>
      <c r="W93" s="220">
        <v>0</v>
      </c>
      <c r="X93" s="221"/>
      <c r="Y93" s="222"/>
      <c r="Z93" s="223"/>
      <c r="AA93" s="194"/>
      <c r="AB93" s="195"/>
      <c r="AC93" s="196"/>
      <c r="AD93" s="197"/>
      <c r="AE93" s="198"/>
      <c r="AF93" s="199"/>
      <c r="AG93" s="199">
        <f t="shared" ca="1" si="7"/>
        <v>0</v>
      </c>
      <c r="AH93" s="199">
        <f t="shared" ca="1" si="8"/>
        <v>0</v>
      </c>
      <c r="AI93" s="199">
        <f t="shared" si="9"/>
        <v>0</v>
      </c>
      <c r="AJ93" s="199">
        <f t="shared" ca="1" si="10"/>
        <v>0</v>
      </c>
      <c r="AK93" s="199" t="str">
        <f t="shared" ca="1" si="11"/>
        <v/>
      </c>
      <c r="AL93" s="200">
        <f t="shared" ca="1" si="12"/>
        <v>1</v>
      </c>
      <c r="AM93" s="200">
        <f t="shared" ca="1" si="13"/>
        <v>13</v>
      </c>
      <c r="AN93" s="200">
        <f t="shared" ca="1" si="14"/>
        <v>2</v>
      </c>
      <c r="AO93" s="200">
        <f t="shared" ca="1" si="15"/>
        <v>0</v>
      </c>
      <c r="AP93" s="200">
        <f t="shared" ca="1" si="16"/>
        <v>0</v>
      </c>
      <c r="AQ93" s="200">
        <f t="shared" ca="1" si="17"/>
        <v>0</v>
      </c>
      <c r="AR93" s="200">
        <f t="shared" ca="1" si="18"/>
        <v>0</v>
      </c>
      <c r="AS93" s="201"/>
      <c r="AT93" s="200">
        <f t="shared" si="19"/>
        <v>1</v>
      </c>
    </row>
    <row r="94" spans="1:46" ht="15.75" customHeight="1">
      <c r="A94" s="178"/>
      <c r="B94" s="179">
        <f t="shared" ca="1" si="0"/>
        <v>1</v>
      </c>
      <c r="C94" s="180">
        <f t="shared" ca="1" si="1"/>
        <v>13</v>
      </c>
      <c r="D94" s="180">
        <f t="shared" ca="1" si="2"/>
        <v>3</v>
      </c>
      <c r="E94" s="180" t="str">
        <f t="shared" ca="1" si="3"/>
        <v/>
      </c>
      <c r="F94" s="180" t="str">
        <f t="shared" ca="1" si="4"/>
        <v/>
      </c>
      <c r="G94" s="181" t="str">
        <f t="shared" ca="1" si="5"/>
        <v/>
      </c>
      <c r="H94" s="182" t="str">
        <f t="shared" ca="1" si="6"/>
        <v/>
      </c>
      <c r="I94" s="202"/>
      <c r="J94" s="214"/>
      <c r="K94" s="214" t="s">
        <v>63</v>
      </c>
      <c r="L94" s="214"/>
      <c r="M94" s="214"/>
      <c r="N94" s="214"/>
      <c r="O94" s="214"/>
      <c r="P94" s="214"/>
      <c r="Q94" s="215"/>
      <c r="R94" s="216" t="s">
        <v>163</v>
      </c>
      <c r="S94" s="217">
        <v>45862</v>
      </c>
      <c r="T94" s="218">
        <v>45863</v>
      </c>
      <c r="U94" s="219"/>
      <c r="V94" s="218"/>
      <c r="W94" s="220">
        <v>0</v>
      </c>
      <c r="X94" s="221"/>
      <c r="Y94" s="222"/>
      <c r="Z94" s="223"/>
      <c r="AA94" s="194"/>
      <c r="AB94" s="195"/>
      <c r="AC94" s="196"/>
      <c r="AD94" s="197"/>
      <c r="AE94" s="198"/>
      <c r="AF94" s="199"/>
      <c r="AG94" s="199">
        <f t="shared" ca="1" si="7"/>
        <v>0</v>
      </c>
      <c r="AH94" s="199">
        <f t="shared" ca="1" si="8"/>
        <v>0</v>
      </c>
      <c r="AI94" s="199">
        <f t="shared" si="9"/>
        <v>0</v>
      </c>
      <c r="AJ94" s="199">
        <f t="shared" ca="1" si="10"/>
        <v>0</v>
      </c>
      <c r="AK94" s="199" t="str">
        <f t="shared" ca="1" si="11"/>
        <v/>
      </c>
      <c r="AL94" s="200">
        <f t="shared" ca="1" si="12"/>
        <v>1</v>
      </c>
      <c r="AM94" s="200">
        <f t="shared" ca="1" si="13"/>
        <v>13</v>
      </c>
      <c r="AN94" s="200">
        <f t="shared" ca="1" si="14"/>
        <v>3</v>
      </c>
      <c r="AO94" s="200">
        <f t="shared" ca="1" si="15"/>
        <v>0</v>
      </c>
      <c r="AP94" s="200">
        <f t="shared" ca="1" si="16"/>
        <v>0</v>
      </c>
      <c r="AQ94" s="200">
        <f t="shared" ca="1" si="17"/>
        <v>0</v>
      </c>
      <c r="AR94" s="200">
        <f t="shared" ca="1" si="18"/>
        <v>0</v>
      </c>
      <c r="AS94" s="201"/>
      <c r="AT94" s="200">
        <f t="shared" si="19"/>
        <v>2</v>
      </c>
    </row>
    <row r="95" spans="1:46" ht="15.75" customHeight="1">
      <c r="A95" s="178"/>
      <c r="B95" s="179">
        <f t="shared" ca="1" si="0"/>
        <v>1</v>
      </c>
      <c r="C95" s="180">
        <f t="shared" ca="1" si="1"/>
        <v>13</v>
      </c>
      <c r="D95" s="180">
        <f t="shared" ca="1" si="2"/>
        <v>4</v>
      </c>
      <c r="E95" s="180" t="str">
        <f t="shared" ca="1" si="3"/>
        <v/>
      </c>
      <c r="F95" s="180" t="str">
        <f t="shared" ca="1" si="4"/>
        <v/>
      </c>
      <c r="G95" s="181" t="str">
        <f t="shared" ca="1" si="5"/>
        <v/>
      </c>
      <c r="H95" s="182" t="str">
        <f t="shared" ca="1" si="6"/>
        <v/>
      </c>
      <c r="I95" s="202"/>
      <c r="J95" s="214"/>
      <c r="K95" s="214" t="s">
        <v>64</v>
      </c>
      <c r="L95" s="214"/>
      <c r="M95" s="214"/>
      <c r="N95" s="214"/>
      <c r="O95" s="214"/>
      <c r="P95" s="214"/>
      <c r="Q95" s="215"/>
      <c r="R95" s="216" t="s">
        <v>165</v>
      </c>
      <c r="S95" s="217">
        <v>45866</v>
      </c>
      <c r="T95" s="218">
        <v>45866</v>
      </c>
      <c r="U95" s="219"/>
      <c r="V95" s="218"/>
      <c r="W95" s="220">
        <v>0</v>
      </c>
      <c r="X95" s="221"/>
      <c r="Y95" s="222"/>
      <c r="Z95" s="223"/>
      <c r="AA95" s="194"/>
      <c r="AB95" s="195"/>
      <c r="AC95" s="196"/>
      <c r="AD95" s="197"/>
      <c r="AE95" s="198"/>
      <c r="AF95" s="199"/>
      <c r="AG95" s="199">
        <f t="shared" ca="1" si="7"/>
        <v>0</v>
      </c>
      <c r="AH95" s="199">
        <f t="shared" ca="1" si="8"/>
        <v>0</v>
      </c>
      <c r="AI95" s="199">
        <f t="shared" si="9"/>
        <v>0</v>
      </c>
      <c r="AJ95" s="199">
        <f t="shared" ca="1" si="10"/>
        <v>0</v>
      </c>
      <c r="AK95" s="199" t="str">
        <f t="shared" ca="1" si="11"/>
        <v/>
      </c>
      <c r="AL95" s="200">
        <f t="shared" ca="1" si="12"/>
        <v>1</v>
      </c>
      <c r="AM95" s="200">
        <f t="shared" ca="1" si="13"/>
        <v>13</v>
      </c>
      <c r="AN95" s="200">
        <f t="shared" ca="1" si="14"/>
        <v>4</v>
      </c>
      <c r="AO95" s="200">
        <f t="shared" ca="1" si="15"/>
        <v>0</v>
      </c>
      <c r="AP95" s="200">
        <f t="shared" ca="1" si="16"/>
        <v>0</v>
      </c>
      <c r="AQ95" s="200">
        <f t="shared" ca="1" si="17"/>
        <v>0</v>
      </c>
      <c r="AR95" s="200">
        <f t="shared" ca="1" si="18"/>
        <v>0</v>
      </c>
      <c r="AS95" s="201"/>
      <c r="AT95" s="200">
        <f t="shared" si="19"/>
        <v>1</v>
      </c>
    </row>
    <row r="96" spans="1:46" ht="15.75" customHeight="1">
      <c r="A96" s="178"/>
      <c r="B96" s="179">
        <f t="shared" ca="1" si="0"/>
        <v>1</v>
      </c>
      <c r="C96" s="180">
        <f t="shared" ca="1" si="1"/>
        <v>13</v>
      </c>
      <c r="D96" s="180">
        <f t="shared" ca="1" si="2"/>
        <v>5</v>
      </c>
      <c r="E96" s="180" t="str">
        <f t="shared" ca="1" si="3"/>
        <v/>
      </c>
      <c r="F96" s="180" t="str">
        <f t="shared" ca="1" si="4"/>
        <v/>
      </c>
      <c r="G96" s="181" t="str">
        <f t="shared" ca="1" si="5"/>
        <v/>
      </c>
      <c r="H96" s="182" t="str">
        <f t="shared" ca="1" si="6"/>
        <v/>
      </c>
      <c r="I96" s="202"/>
      <c r="J96" s="214"/>
      <c r="K96" s="214" t="s">
        <v>65</v>
      </c>
      <c r="L96" s="214"/>
      <c r="M96" s="214"/>
      <c r="N96" s="214"/>
      <c r="O96" s="214"/>
      <c r="P96" s="214"/>
      <c r="Q96" s="215"/>
      <c r="R96" s="216" t="s">
        <v>163</v>
      </c>
      <c r="S96" s="217">
        <v>45867</v>
      </c>
      <c r="T96" s="218">
        <v>45867</v>
      </c>
      <c r="U96" s="219"/>
      <c r="V96" s="218"/>
      <c r="W96" s="220">
        <v>0</v>
      </c>
      <c r="X96" s="221"/>
      <c r="Y96" s="222"/>
      <c r="Z96" s="223"/>
      <c r="AA96" s="194"/>
      <c r="AB96" s="195"/>
      <c r="AC96" s="196"/>
      <c r="AD96" s="197"/>
      <c r="AE96" s="198"/>
      <c r="AF96" s="199"/>
      <c r="AG96" s="199">
        <f t="shared" ca="1" si="7"/>
        <v>0</v>
      </c>
      <c r="AH96" s="199">
        <f t="shared" ca="1" si="8"/>
        <v>0</v>
      </c>
      <c r="AI96" s="199">
        <f t="shared" si="9"/>
        <v>0</v>
      </c>
      <c r="AJ96" s="199">
        <f t="shared" ca="1" si="10"/>
        <v>0</v>
      </c>
      <c r="AK96" s="199" t="str">
        <f t="shared" ca="1" si="11"/>
        <v/>
      </c>
      <c r="AL96" s="200">
        <f t="shared" ca="1" si="12"/>
        <v>1</v>
      </c>
      <c r="AM96" s="200">
        <f t="shared" ca="1" si="13"/>
        <v>13</v>
      </c>
      <c r="AN96" s="200">
        <f t="shared" ca="1" si="14"/>
        <v>5</v>
      </c>
      <c r="AO96" s="200">
        <f t="shared" ca="1" si="15"/>
        <v>0</v>
      </c>
      <c r="AP96" s="200">
        <f t="shared" ca="1" si="16"/>
        <v>0</v>
      </c>
      <c r="AQ96" s="200">
        <f t="shared" ca="1" si="17"/>
        <v>0</v>
      </c>
      <c r="AR96" s="200">
        <f t="shared" ca="1" si="18"/>
        <v>0</v>
      </c>
      <c r="AS96" s="201"/>
      <c r="AT96" s="200">
        <f t="shared" si="19"/>
        <v>1</v>
      </c>
    </row>
    <row r="97" spans="1:46" ht="15.75" customHeight="1">
      <c r="A97" s="178"/>
      <c r="B97" s="179">
        <f t="shared" ca="1" si="0"/>
        <v>1</v>
      </c>
      <c r="C97" s="180">
        <f t="shared" ca="1" si="1"/>
        <v>13</v>
      </c>
      <c r="D97" s="180">
        <f t="shared" ca="1" si="2"/>
        <v>6</v>
      </c>
      <c r="E97" s="180" t="str">
        <f t="shared" ca="1" si="3"/>
        <v/>
      </c>
      <c r="F97" s="180" t="str">
        <f t="shared" ca="1" si="4"/>
        <v/>
      </c>
      <c r="G97" s="181" t="str">
        <f t="shared" ca="1" si="5"/>
        <v/>
      </c>
      <c r="H97" s="182" t="str">
        <f t="shared" ca="1" si="6"/>
        <v/>
      </c>
      <c r="I97" s="202"/>
      <c r="J97" s="214"/>
      <c r="K97" s="214" t="s">
        <v>66</v>
      </c>
      <c r="L97" s="214"/>
      <c r="M97" s="214"/>
      <c r="N97" s="214"/>
      <c r="O97" s="214"/>
      <c r="P97" s="214"/>
      <c r="Q97" s="215"/>
      <c r="R97" s="216" t="s">
        <v>165</v>
      </c>
      <c r="S97" s="217">
        <v>45868</v>
      </c>
      <c r="T97" s="218">
        <v>45868</v>
      </c>
      <c r="U97" s="219"/>
      <c r="V97" s="218"/>
      <c r="W97" s="220">
        <v>0</v>
      </c>
      <c r="X97" s="221"/>
      <c r="Y97" s="222"/>
      <c r="Z97" s="223"/>
      <c r="AA97" s="194"/>
      <c r="AB97" s="195"/>
      <c r="AC97" s="196"/>
      <c r="AD97" s="197"/>
      <c r="AE97" s="198"/>
      <c r="AF97" s="199"/>
      <c r="AG97" s="199">
        <f t="shared" ca="1" si="7"/>
        <v>0</v>
      </c>
      <c r="AH97" s="199">
        <f t="shared" ca="1" si="8"/>
        <v>0</v>
      </c>
      <c r="AI97" s="199">
        <f t="shared" si="9"/>
        <v>0</v>
      </c>
      <c r="AJ97" s="199">
        <f t="shared" ca="1" si="10"/>
        <v>0</v>
      </c>
      <c r="AK97" s="199" t="str">
        <f t="shared" ca="1" si="11"/>
        <v/>
      </c>
      <c r="AL97" s="200">
        <f t="shared" ca="1" si="12"/>
        <v>1</v>
      </c>
      <c r="AM97" s="200">
        <f t="shared" ca="1" si="13"/>
        <v>13</v>
      </c>
      <c r="AN97" s="200">
        <f t="shared" ca="1" si="14"/>
        <v>6</v>
      </c>
      <c r="AO97" s="200">
        <f t="shared" ca="1" si="15"/>
        <v>0</v>
      </c>
      <c r="AP97" s="200">
        <f t="shared" ca="1" si="16"/>
        <v>0</v>
      </c>
      <c r="AQ97" s="200">
        <f t="shared" ca="1" si="17"/>
        <v>0</v>
      </c>
      <c r="AR97" s="200">
        <f t="shared" ca="1" si="18"/>
        <v>0</v>
      </c>
      <c r="AS97" s="201"/>
      <c r="AT97" s="200">
        <f t="shared" si="19"/>
        <v>1</v>
      </c>
    </row>
    <row r="98" spans="1:46" ht="15.75" customHeight="1">
      <c r="A98" s="178"/>
      <c r="B98" s="179">
        <f t="shared" ca="1" si="0"/>
        <v>1</v>
      </c>
      <c r="C98" s="180">
        <f t="shared" ca="1" si="1"/>
        <v>14</v>
      </c>
      <c r="D98" s="180" t="str">
        <f t="shared" ca="1" si="2"/>
        <v/>
      </c>
      <c r="E98" s="180" t="str">
        <f t="shared" ca="1" si="3"/>
        <v/>
      </c>
      <c r="F98" s="180" t="str">
        <f t="shared" ca="1" si="4"/>
        <v/>
      </c>
      <c r="G98" s="181" t="str">
        <f t="shared" ca="1" si="5"/>
        <v/>
      </c>
      <c r="H98" s="182" t="str">
        <f t="shared" ca="1" si="6"/>
        <v/>
      </c>
      <c r="I98" s="202"/>
      <c r="J98" s="224" t="s">
        <v>166</v>
      </c>
      <c r="K98" s="225"/>
      <c r="L98" s="225"/>
      <c r="M98" s="225"/>
      <c r="N98" s="225"/>
      <c r="O98" s="225"/>
      <c r="P98" s="225"/>
      <c r="Q98" s="205" t="s">
        <v>81</v>
      </c>
      <c r="R98" s="206"/>
      <c r="S98" s="207"/>
      <c r="T98" s="208"/>
      <c r="U98" s="209"/>
      <c r="V98" s="208"/>
      <c r="W98" s="210"/>
      <c r="X98" s="211"/>
      <c r="Y98" s="226"/>
      <c r="Z98" s="227"/>
      <c r="AA98" s="194"/>
      <c r="AB98" s="195"/>
      <c r="AC98" s="196"/>
      <c r="AD98" s="197"/>
      <c r="AE98" s="198"/>
      <c r="AF98" s="199"/>
      <c r="AG98" s="199">
        <f t="shared" si="7"/>
        <v>0</v>
      </c>
      <c r="AH98" s="199">
        <f t="shared" si="8"/>
        <v>0</v>
      </c>
      <c r="AI98" s="199">
        <f t="shared" si="9"/>
        <v>0</v>
      </c>
      <c r="AJ98" s="199">
        <f t="shared" si="10"/>
        <v>0</v>
      </c>
      <c r="AK98" s="199" t="str">
        <f t="shared" si="11"/>
        <v/>
      </c>
      <c r="AL98" s="200">
        <f t="shared" ca="1" si="12"/>
        <v>1</v>
      </c>
      <c r="AM98" s="200">
        <f t="shared" ca="1" si="13"/>
        <v>14</v>
      </c>
      <c r="AN98" s="200">
        <f t="shared" ca="1" si="14"/>
        <v>0</v>
      </c>
      <c r="AO98" s="200">
        <f t="shared" ca="1" si="15"/>
        <v>0</v>
      </c>
      <c r="AP98" s="200">
        <f t="shared" ca="1" si="16"/>
        <v>0</v>
      </c>
      <c r="AQ98" s="200">
        <f t="shared" ca="1" si="17"/>
        <v>0</v>
      </c>
      <c r="AR98" s="200">
        <f t="shared" ca="1" si="18"/>
        <v>0</v>
      </c>
      <c r="AS98" s="201"/>
      <c r="AT98" s="200">
        <f t="shared" si="19"/>
        <v>1</v>
      </c>
    </row>
    <row r="99" spans="1:46" ht="15.75" customHeight="1">
      <c r="A99" s="178"/>
      <c r="B99" s="179">
        <f t="shared" ca="1" si="0"/>
        <v>1</v>
      </c>
      <c r="C99" s="180">
        <f t="shared" ca="1" si="1"/>
        <v>14</v>
      </c>
      <c r="D99" s="180">
        <f t="shared" ca="1" si="2"/>
        <v>1</v>
      </c>
      <c r="E99" s="180" t="str">
        <f t="shared" ca="1" si="3"/>
        <v/>
      </c>
      <c r="F99" s="180" t="str">
        <f t="shared" ca="1" si="4"/>
        <v/>
      </c>
      <c r="G99" s="181" t="str">
        <f t="shared" ca="1" si="5"/>
        <v/>
      </c>
      <c r="H99" s="182" t="str">
        <f t="shared" ca="1" si="6"/>
        <v/>
      </c>
      <c r="I99" s="202"/>
      <c r="J99" s="214"/>
      <c r="K99" s="214" t="s">
        <v>59</v>
      </c>
      <c r="L99" s="214"/>
      <c r="M99" s="214"/>
      <c r="N99" s="214"/>
      <c r="O99" s="214"/>
      <c r="P99" s="214"/>
      <c r="Q99" s="215"/>
      <c r="R99" s="216" t="s">
        <v>160</v>
      </c>
      <c r="S99" s="217">
        <v>45812</v>
      </c>
      <c r="T99" s="218">
        <v>45817</v>
      </c>
      <c r="U99" s="219">
        <v>45812</v>
      </c>
      <c r="V99" s="218">
        <v>45817</v>
      </c>
      <c r="W99" s="220">
        <v>1</v>
      </c>
      <c r="X99" s="221">
        <v>1</v>
      </c>
      <c r="Y99" s="222"/>
      <c r="Z99" s="223"/>
      <c r="AA99" s="194"/>
      <c r="AB99" s="195"/>
      <c r="AC99" s="196"/>
      <c r="AD99" s="197"/>
      <c r="AE99" s="198"/>
      <c r="AF99" s="199"/>
      <c r="AG99" s="199">
        <f t="shared" ca="1" si="7"/>
        <v>0</v>
      </c>
      <c r="AH99" s="199">
        <f t="shared" ca="1" si="8"/>
        <v>0</v>
      </c>
      <c r="AI99" s="199">
        <f t="shared" si="9"/>
        <v>0</v>
      </c>
      <c r="AJ99" s="199">
        <f t="shared" ca="1" si="10"/>
        <v>0</v>
      </c>
      <c r="AK99" s="199" t="str">
        <f t="shared" ca="1" si="11"/>
        <v/>
      </c>
      <c r="AL99" s="200">
        <f t="shared" ca="1" si="12"/>
        <v>1</v>
      </c>
      <c r="AM99" s="200">
        <f t="shared" ca="1" si="13"/>
        <v>14</v>
      </c>
      <c r="AN99" s="200">
        <f t="shared" ca="1" si="14"/>
        <v>1</v>
      </c>
      <c r="AO99" s="200">
        <f t="shared" ca="1" si="15"/>
        <v>0</v>
      </c>
      <c r="AP99" s="200">
        <f t="shared" ca="1" si="16"/>
        <v>0</v>
      </c>
      <c r="AQ99" s="200">
        <f t="shared" ca="1" si="17"/>
        <v>0</v>
      </c>
      <c r="AR99" s="200">
        <f t="shared" ca="1" si="18"/>
        <v>0</v>
      </c>
      <c r="AS99" s="201"/>
      <c r="AT99" s="200">
        <f t="shared" si="19"/>
        <v>6</v>
      </c>
    </row>
    <row r="100" spans="1:46" ht="15.75" customHeight="1">
      <c r="A100" s="178"/>
      <c r="B100" s="179">
        <f t="shared" ca="1" si="0"/>
        <v>1</v>
      </c>
      <c r="C100" s="180">
        <f t="shared" ca="1" si="1"/>
        <v>14</v>
      </c>
      <c r="D100" s="180">
        <f t="shared" ca="1" si="2"/>
        <v>2</v>
      </c>
      <c r="E100" s="180" t="str">
        <f t="shared" ca="1" si="3"/>
        <v/>
      </c>
      <c r="F100" s="180" t="str">
        <f t="shared" ca="1" si="4"/>
        <v/>
      </c>
      <c r="G100" s="181" t="str">
        <f t="shared" ca="1" si="5"/>
        <v/>
      </c>
      <c r="H100" s="182" t="str">
        <f t="shared" ca="1" si="6"/>
        <v/>
      </c>
      <c r="I100" s="202"/>
      <c r="J100" s="214"/>
      <c r="K100" s="214" t="s">
        <v>145</v>
      </c>
      <c r="L100" s="214"/>
      <c r="M100" s="214"/>
      <c r="N100" s="214"/>
      <c r="O100" s="214"/>
      <c r="P100" s="214"/>
      <c r="Q100" s="215"/>
      <c r="R100" s="216" t="s">
        <v>159</v>
      </c>
      <c r="S100" s="217">
        <v>45818</v>
      </c>
      <c r="T100" s="218">
        <v>45818</v>
      </c>
      <c r="U100" s="217">
        <v>45818</v>
      </c>
      <c r="V100" s="218">
        <v>45818</v>
      </c>
      <c r="W100" s="220">
        <v>1</v>
      </c>
      <c r="X100" s="221">
        <v>1</v>
      </c>
      <c r="Y100" s="222"/>
      <c r="Z100" s="223"/>
      <c r="AA100" s="194"/>
      <c r="AB100" s="195"/>
      <c r="AC100" s="196"/>
      <c r="AD100" s="197"/>
      <c r="AE100" s="198"/>
      <c r="AF100" s="199"/>
      <c r="AG100" s="199">
        <f t="shared" ca="1" si="7"/>
        <v>0</v>
      </c>
      <c r="AH100" s="199">
        <f t="shared" ca="1" si="8"/>
        <v>0</v>
      </c>
      <c r="AI100" s="199">
        <f t="shared" si="9"/>
        <v>0</v>
      </c>
      <c r="AJ100" s="199">
        <f t="shared" ca="1" si="10"/>
        <v>0</v>
      </c>
      <c r="AK100" s="199" t="str">
        <f t="shared" ca="1" si="11"/>
        <v/>
      </c>
      <c r="AL100" s="200">
        <f t="shared" ca="1" si="12"/>
        <v>1</v>
      </c>
      <c r="AM100" s="200">
        <f t="shared" ca="1" si="13"/>
        <v>14</v>
      </c>
      <c r="AN100" s="200">
        <f t="shared" ca="1" si="14"/>
        <v>2</v>
      </c>
      <c r="AO100" s="200">
        <f t="shared" ca="1" si="15"/>
        <v>0</v>
      </c>
      <c r="AP100" s="200">
        <f t="shared" ca="1" si="16"/>
        <v>0</v>
      </c>
      <c r="AQ100" s="200">
        <f t="shared" ca="1" si="17"/>
        <v>0</v>
      </c>
      <c r="AR100" s="200">
        <f t="shared" ca="1" si="18"/>
        <v>0</v>
      </c>
      <c r="AS100" s="201"/>
      <c r="AT100" s="200">
        <f t="shared" si="19"/>
        <v>1</v>
      </c>
    </row>
    <row r="101" spans="1:46" ht="15.75" customHeight="1">
      <c r="A101" s="178"/>
      <c r="B101" s="179">
        <f t="shared" ca="1" si="0"/>
        <v>1</v>
      </c>
      <c r="C101" s="180">
        <f t="shared" ca="1" si="1"/>
        <v>14</v>
      </c>
      <c r="D101" s="180">
        <f t="shared" ca="1" si="2"/>
        <v>3</v>
      </c>
      <c r="E101" s="180" t="str">
        <f t="shared" ca="1" si="3"/>
        <v/>
      </c>
      <c r="F101" s="180" t="str">
        <f t="shared" ca="1" si="4"/>
        <v/>
      </c>
      <c r="G101" s="181" t="str">
        <f t="shared" ca="1" si="5"/>
        <v/>
      </c>
      <c r="H101" s="182" t="str">
        <f t="shared" ca="1" si="6"/>
        <v/>
      </c>
      <c r="I101" s="202"/>
      <c r="J101" s="214"/>
      <c r="K101" s="214" t="s">
        <v>63</v>
      </c>
      <c r="L101" s="214"/>
      <c r="M101" s="214"/>
      <c r="N101" s="214"/>
      <c r="O101" s="214"/>
      <c r="P101" s="214"/>
      <c r="Q101" s="215"/>
      <c r="R101" s="216" t="s">
        <v>160</v>
      </c>
      <c r="S101" s="217">
        <v>45827</v>
      </c>
      <c r="T101" s="218">
        <v>45827</v>
      </c>
      <c r="U101" s="219"/>
      <c r="V101" s="218"/>
      <c r="W101" s="220">
        <v>0</v>
      </c>
      <c r="X101" s="221"/>
      <c r="Y101" s="222"/>
      <c r="Z101" s="223"/>
      <c r="AA101" s="194"/>
      <c r="AB101" s="195"/>
      <c r="AC101" s="196"/>
      <c r="AD101" s="197"/>
      <c r="AE101" s="198"/>
      <c r="AF101" s="199"/>
      <c r="AG101" s="199">
        <f t="shared" ca="1" si="7"/>
        <v>0</v>
      </c>
      <c r="AH101" s="199">
        <f t="shared" ca="1" si="8"/>
        <v>0</v>
      </c>
      <c r="AI101" s="199">
        <f t="shared" si="9"/>
        <v>0</v>
      </c>
      <c r="AJ101" s="199">
        <f t="shared" ca="1" si="10"/>
        <v>0</v>
      </c>
      <c r="AK101" s="199" t="str">
        <f t="shared" ca="1" si="11"/>
        <v/>
      </c>
      <c r="AL101" s="200">
        <f t="shared" ca="1" si="12"/>
        <v>1</v>
      </c>
      <c r="AM101" s="200">
        <f t="shared" ca="1" si="13"/>
        <v>14</v>
      </c>
      <c r="AN101" s="200">
        <f t="shared" ca="1" si="14"/>
        <v>3</v>
      </c>
      <c r="AO101" s="200">
        <f t="shared" ca="1" si="15"/>
        <v>0</v>
      </c>
      <c r="AP101" s="200">
        <f t="shared" ca="1" si="16"/>
        <v>0</v>
      </c>
      <c r="AQ101" s="200">
        <f t="shared" ca="1" si="17"/>
        <v>0</v>
      </c>
      <c r="AR101" s="200">
        <f t="shared" ca="1" si="18"/>
        <v>0</v>
      </c>
      <c r="AS101" s="201"/>
      <c r="AT101" s="200">
        <f t="shared" si="19"/>
        <v>1</v>
      </c>
    </row>
    <row r="102" spans="1:46" ht="15.75" customHeight="1">
      <c r="A102" s="178"/>
      <c r="B102" s="179">
        <f t="shared" ca="1" si="0"/>
        <v>1</v>
      </c>
      <c r="C102" s="180">
        <f t="shared" ca="1" si="1"/>
        <v>14</v>
      </c>
      <c r="D102" s="180">
        <f t="shared" ca="1" si="2"/>
        <v>4</v>
      </c>
      <c r="E102" s="180" t="str">
        <f t="shared" ca="1" si="3"/>
        <v/>
      </c>
      <c r="F102" s="180" t="str">
        <f t="shared" ca="1" si="4"/>
        <v/>
      </c>
      <c r="G102" s="181" t="str">
        <f t="shared" ca="1" si="5"/>
        <v/>
      </c>
      <c r="H102" s="182" t="str">
        <f t="shared" ca="1" si="6"/>
        <v/>
      </c>
      <c r="I102" s="202"/>
      <c r="J102" s="214"/>
      <c r="K102" s="214" t="s">
        <v>64</v>
      </c>
      <c r="L102" s="214"/>
      <c r="M102" s="214"/>
      <c r="N102" s="214"/>
      <c r="O102" s="214"/>
      <c r="P102" s="214"/>
      <c r="Q102" s="215"/>
      <c r="R102" s="216" t="s">
        <v>159</v>
      </c>
      <c r="S102" s="217">
        <v>45827</v>
      </c>
      <c r="T102" s="218">
        <v>45827</v>
      </c>
      <c r="U102" s="219"/>
      <c r="V102" s="218"/>
      <c r="W102" s="220">
        <v>0</v>
      </c>
      <c r="X102" s="221"/>
      <c r="Y102" s="222"/>
      <c r="Z102" s="223"/>
      <c r="AA102" s="194"/>
      <c r="AB102" s="195"/>
      <c r="AC102" s="196"/>
      <c r="AD102" s="197"/>
      <c r="AE102" s="198"/>
      <c r="AF102" s="199"/>
      <c r="AG102" s="199">
        <f t="shared" ca="1" si="7"/>
        <v>0</v>
      </c>
      <c r="AH102" s="199">
        <f t="shared" ca="1" si="8"/>
        <v>0</v>
      </c>
      <c r="AI102" s="199">
        <f t="shared" si="9"/>
        <v>0</v>
      </c>
      <c r="AJ102" s="199">
        <f t="shared" ca="1" si="10"/>
        <v>0</v>
      </c>
      <c r="AK102" s="199" t="str">
        <f t="shared" ca="1" si="11"/>
        <v/>
      </c>
      <c r="AL102" s="200">
        <f t="shared" ca="1" si="12"/>
        <v>1</v>
      </c>
      <c r="AM102" s="200">
        <f t="shared" ca="1" si="13"/>
        <v>14</v>
      </c>
      <c r="AN102" s="200">
        <f t="shared" ca="1" si="14"/>
        <v>4</v>
      </c>
      <c r="AO102" s="200">
        <f t="shared" ca="1" si="15"/>
        <v>0</v>
      </c>
      <c r="AP102" s="200">
        <f t="shared" ca="1" si="16"/>
        <v>0</v>
      </c>
      <c r="AQ102" s="200">
        <f t="shared" ca="1" si="17"/>
        <v>0</v>
      </c>
      <c r="AR102" s="200">
        <f t="shared" ca="1" si="18"/>
        <v>0</v>
      </c>
      <c r="AS102" s="201"/>
      <c r="AT102" s="200">
        <f t="shared" si="19"/>
        <v>1</v>
      </c>
    </row>
    <row r="103" spans="1:46" ht="15.75" customHeight="1">
      <c r="A103" s="178"/>
      <c r="B103" s="179">
        <f t="shared" ca="1" si="0"/>
        <v>1</v>
      </c>
      <c r="C103" s="180">
        <f t="shared" ca="1" si="1"/>
        <v>14</v>
      </c>
      <c r="D103" s="180">
        <f t="shared" ca="1" si="2"/>
        <v>5</v>
      </c>
      <c r="E103" s="180" t="str">
        <f t="shared" ca="1" si="3"/>
        <v/>
      </c>
      <c r="F103" s="180" t="str">
        <f t="shared" ca="1" si="4"/>
        <v/>
      </c>
      <c r="G103" s="181" t="str">
        <f t="shared" ca="1" si="5"/>
        <v/>
      </c>
      <c r="H103" s="182" t="str">
        <f t="shared" ca="1" si="6"/>
        <v/>
      </c>
      <c r="I103" s="202"/>
      <c r="J103" s="214"/>
      <c r="K103" s="214" t="s">
        <v>65</v>
      </c>
      <c r="L103" s="214"/>
      <c r="M103" s="214"/>
      <c r="N103" s="214"/>
      <c r="O103" s="214"/>
      <c r="P103" s="214"/>
      <c r="Q103" s="215"/>
      <c r="R103" s="216" t="s">
        <v>160</v>
      </c>
      <c r="S103" s="217">
        <v>45828</v>
      </c>
      <c r="T103" s="218">
        <v>45828</v>
      </c>
      <c r="U103" s="219"/>
      <c r="V103" s="218"/>
      <c r="W103" s="220">
        <v>0</v>
      </c>
      <c r="X103" s="221"/>
      <c r="Y103" s="222"/>
      <c r="Z103" s="223"/>
      <c r="AA103" s="194"/>
      <c r="AB103" s="195"/>
      <c r="AC103" s="196"/>
      <c r="AD103" s="197"/>
      <c r="AE103" s="198"/>
      <c r="AF103" s="199"/>
      <c r="AG103" s="199">
        <f t="shared" ca="1" si="7"/>
        <v>0</v>
      </c>
      <c r="AH103" s="199">
        <f t="shared" ca="1" si="8"/>
        <v>0</v>
      </c>
      <c r="AI103" s="199">
        <f t="shared" si="9"/>
        <v>0</v>
      </c>
      <c r="AJ103" s="199">
        <f t="shared" ca="1" si="10"/>
        <v>0</v>
      </c>
      <c r="AK103" s="199" t="str">
        <f t="shared" ca="1" si="11"/>
        <v/>
      </c>
      <c r="AL103" s="200">
        <f t="shared" ca="1" si="12"/>
        <v>1</v>
      </c>
      <c r="AM103" s="200">
        <f t="shared" ca="1" si="13"/>
        <v>14</v>
      </c>
      <c r="AN103" s="200">
        <f t="shared" ca="1" si="14"/>
        <v>5</v>
      </c>
      <c r="AO103" s="200">
        <f t="shared" ca="1" si="15"/>
        <v>0</v>
      </c>
      <c r="AP103" s="200">
        <f t="shared" ca="1" si="16"/>
        <v>0</v>
      </c>
      <c r="AQ103" s="200">
        <f t="shared" ca="1" si="17"/>
        <v>0</v>
      </c>
      <c r="AR103" s="200">
        <f t="shared" ca="1" si="18"/>
        <v>0</v>
      </c>
      <c r="AS103" s="201"/>
      <c r="AT103" s="200">
        <f t="shared" si="19"/>
        <v>1</v>
      </c>
    </row>
    <row r="104" spans="1:46" ht="15.75" customHeight="1">
      <c r="A104" s="178"/>
      <c r="B104" s="179">
        <f t="shared" ca="1" si="0"/>
        <v>1</v>
      </c>
      <c r="C104" s="180">
        <f t="shared" ca="1" si="1"/>
        <v>14</v>
      </c>
      <c r="D104" s="180">
        <f t="shared" ca="1" si="2"/>
        <v>6</v>
      </c>
      <c r="E104" s="180" t="str">
        <f t="shared" ca="1" si="3"/>
        <v/>
      </c>
      <c r="F104" s="180" t="str">
        <f t="shared" ca="1" si="4"/>
        <v/>
      </c>
      <c r="G104" s="181" t="str">
        <f t="shared" ca="1" si="5"/>
        <v/>
      </c>
      <c r="H104" s="182" t="str">
        <f t="shared" ca="1" si="6"/>
        <v/>
      </c>
      <c r="I104" s="202"/>
      <c r="J104" s="214"/>
      <c r="K104" s="214" t="s">
        <v>66</v>
      </c>
      <c r="L104" s="214"/>
      <c r="M104" s="214"/>
      <c r="N104" s="214"/>
      <c r="O104" s="214"/>
      <c r="P104" s="214"/>
      <c r="Q104" s="215"/>
      <c r="R104" s="216" t="s">
        <v>159</v>
      </c>
      <c r="S104" s="217">
        <v>45831</v>
      </c>
      <c r="T104" s="218">
        <v>45831</v>
      </c>
      <c r="U104" s="219"/>
      <c r="V104" s="218"/>
      <c r="W104" s="220">
        <v>0</v>
      </c>
      <c r="X104" s="221"/>
      <c r="Y104" s="222"/>
      <c r="Z104" s="223"/>
      <c r="AA104" s="194"/>
      <c r="AB104" s="195"/>
      <c r="AC104" s="196"/>
      <c r="AD104" s="197"/>
      <c r="AE104" s="198"/>
      <c r="AF104" s="199"/>
      <c r="AG104" s="199">
        <f t="shared" ca="1" si="7"/>
        <v>0</v>
      </c>
      <c r="AH104" s="199">
        <f t="shared" ca="1" si="8"/>
        <v>0</v>
      </c>
      <c r="AI104" s="199">
        <f t="shared" si="9"/>
        <v>0</v>
      </c>
      <c r="AJ104" s="199">
        <f t="shared" ca="1" si="10"/>
        <v>0</v>
      </c>
      <c r="AK104" s="199" t="str">
        <f t="shared" ca="1" si="11"/>
        <v/>
      </c>
      <c r="AL104" s="200">
        <f t="shared" ca="1" si="12"/>
        <v>1</v>
      </c>
      <c r="AM104" s="200">
        <f t="shared" ca="1" si="13"/>
        <v>14</v>
      </c>
      <c r="AN104" s="200">
        <f t="shared" ca="1" si="14"/>
        <v>6</v>
      </c>
      <c r="AO104" s="200">
        <f t="shared" ca="1" si="15"/>
        <v>0</v>
      </c>
      <c r="AP104" s="200">
        <f t="shared" ca="1" si="16"/>
        <v>0</v>
      </c>
      <c r="AQ104" s="200">
        <f t="shared" ca="1" si="17"/>
        <v>0</v>
      </c>
      <c r="AR104" s="200">
        <f t="shared" ca="1" si="18"/>
        <v>0</v>
      </c>
      <c r="AS104" s="201"/>
      <c r="AT104" s="200">
        <f t="shared" si="19"/>
        <v>1</v>
      </c>
    </row>
    <row r="105" spans="1:46" ht="15.75" customHeight="1">
      <c r="A105" s="178"/>
      <c r="B105" s="179">
        <f t="shared" ca="1" si="0"/>
        <v>1</v>
      </c>
      <c r="C105" s="180">
        <f t="shared" ca="1" si="1"/>
        <v>15</v>
      </c>
      <c r="D105" s="180" t="str">
        <f t="shared" ca="1" si="2"/>
        <v/>
      </c>
      <c r="E105" s="180" t="str">
        <f t="shared" ca="1" si="3"/>
        <v/>
      </c>
      <c r="F105" s="180" t="str">
        <f t="shared" ca="1" si="4"/>
        <v/>
      </c>
      <c r="G105" s="181" t="str">
        <f t="shared" ca="1" si="5"/>
        <v/>
      </c>
      <c r="H105" s="182" t="str">
        <f t="shared" ca="1" si="6"/>
        <v/>
      </c>
      <c r="I105" s="202"/>
      <c r="J105" s="224" t="s">
        <v>167</v>
      </c>
      <c r="K105" s="225"/>
      <c r="L105" s="225"/>
      <c r="M105" s="225"/>
      <c r="N105" s="225"/>
      <c r="O105" s="225"/>
      <c r="P105" s="225"/>
      <c r="Q105" s="205" t="s">
        <v>73</v>
      </c>
      <c r="R105" s="206"/>
      <c r="S105" s="207"/>
      <c r="T105" s="208"/>
      <c r="U105" s="209"/>
      <c r="V105" s="208"/>
      <c r="W105" s="210"/>
      <c r="X105" s="211"/>
      <c r="Y105" s="226"/>
      <c r="Z105" s="227"/>
      <c r="AA105" s="194"/>
      <c r="AB105" s="195"/>
      <c r="AC105" s="196"/>
      <c r="AD105" s="197"/>
      <c r="AE105" s="198"/>
      <c r="AF105" s="199"/>
      <c r="AG105" s="199">
        <f t="shared" si="7"/>
        <v>0</v>
      </c>
      <c r="AH105" s="199">
        <f t="shared" si="8"/>
        <v>0</v>
      </c>
      <c r="AI105" s="199">
        <f t="shared" si="9"/>
        <v>0</v>
      </c>
      <c r="AJ105" s="199">
        <f t="shared" si="10"/>
        <v>0</v>
      </c>
      <c r="AK105" s="199" t="str">
        <f t="shared" si="11"/>
        <v/>
      </c>
      <c r="AL105" s="200">
        <f t="shared" ca="1" si="12"/>
        <v>1</v>
      </c>
      <c r="AM105" s="200">
        <f t="shared" ca="1" si="13"/>
        <v>15</v>
      </c>
      <c r="AN105" s="200">
        <f t="shared" ca="1" si="14"/>
        <v>0</v>
      </c>
      <c r="AO105" s="200">
        <f t="shared" ca="1" si="15"/>
        <v>0</v>
      </c>
      <c r="AP105" s="200">
        <f t="shared" ca="1" si="16"/>
        <v>0</v>
      </c>
      <c r="AQ105" s="200">
        <f t="shared" ca="1" si="17"/>
        <v>0</v>
      </c>
      <c r="AR105" s="200">
        <f t="shared" ca="1" si="18"/>
        <v>0</v>
      </c>
      <c r="AS105" s="201"/>
      <c r="AT105" s="200">
        <f t="shared" si="19"/>
        <v>1</v>
      </c>
    </row>
    <row r="106" spans="1:46" ht="15.75" customHeight="1">
      <c r="A106" s="178"/>
      <c r="B106" s="179">
        <f t="shared" ca="1" si="0"/>
        <v>1</v>
      </c>
      <c r="C106" s="180">
        <f t="shared" ca="1" si="1"/>
        <v>15</v>
      </c>
      <c r="D106" s="180">
        <f t="shared" ca="1" si="2"/>
        <v>1</v>
      </c>
      <c r="E106" s="180" t="str">
        <f t="shared" ca="1" si="3"/>
        <v/>
      </c>
      <c r="F106" s="180" t="str">
        <f t="shared" ca="1" si="4"/>
        <v/>
      </c>
      <c r="G106" s="181" t="str">
        <f t="shared" ca="1" si="5"/>
        <v/>
      </c>
      <c r="H106" s="182" t="str">
        <f t="shared" ca="1" si="6"/>
        <v/>
      </c>
      <c r="I106" s="202"/>
      <c r="J106" s="214"/>
      <c r="K106" s="214" t="s">
        <v>59</v>
      </c>
      <c r="L106" s="214"/>
      <c r="M106" s="214"/>
      <c r="N106" s="214"/>
      <c r="O106" s="214"/>
      <c r="P106" s="214"/>
      <c r="Q106" s="215"/>
      <c r="R106" s="216" t="s">
        <v>163</v>
      </c>
      <c r="S106" s="217">
        <v>45839</v>
      </c>
      <c r="T106" s="218">
        <v>45845</v>
      </c>
      <c r="U106" s="219"/>
      <c r="V106" s="218"/>
      <c r="W106" s="220">
        <v>0</v>
      </c>
      <c r="X106" s="221"/>
      <c r="Y106" s="222"/>
      <c r="Z106" s="223"/>
      <c r="AA106" s="194"/>
      <c r="AB106" s="195"/>
      <c r="AC106" s="196"/>
      <c r="AD106" s="197"/>
      <c r="AE106" s="198"/>
      <c r="AF106" s="199"/>
      <c r="AG106" s="199">
        <f t="shared" ca="1" si="7"/>
        <v>0</v>
      </c>
      <c r="AH106" s="199">
        <f t="shared" ca="1" si="8"/>
        <v>0</v>
      </c>
      <c r="AI106" s="199">
        <f t="shared" si="9"/>
        <v>0</v>
      </c>
      <c r="AJ106" s="199">
        <f t="shared" ca="1" si="10"/>
        <v>0</v>
      </c>
      <c r="AK106" s="199" t="str">
        <f t="shared" ca="1" si="11"/>
        <v/>
      </c>
      <c r="AL106" s="200">
        <f t="shared" ca="1" si="12"/>
        <v>1</v>
      </c>
      <c r="AM106" s="200">
        <f t="shared" ca="1" si="13"/>
        <v>15</v>
      </c>
      <c r="AN106" s="200">
        <f t="shared" ca="1" si="14"/>
        <v>1</v>
      </c>
      <c r="AO106" s="200">
        <f t="shared" ca="1" si="15"/>
        <v>0</v>
      </c>
      <c r="AP106" s="200">
        <f t="shared" ca="1" si="16"/>
        <v>0</v>
      </c>
      <c r="AQ106" s="200">
        <f t="shared" ca="1" si="17"/>
        <v>0</v>
      </c>
      <c r="AR106" s="200">
        <f t="shared" ca="1" si="18"/>
        <v>0</v>
      </c>
      <c r="AS106" s="201"/>
      <c r="AT106" s="200">
        <f t="shared" si="19"/>
        <v>7</v>
      </c>
    </row>
    <row r="107" spans="1:46" ht="15.75" customHeight="1">
      <c r="A107" s="178"/>
      <c r="B107" s="179">
        <f t="shared" ca="1" si="0"/>
        <v>1</v>
      </c>
      <c r="C107" s="180">
        <f t="shared" ca="1" si="1"/>
        <v>15</v>
      </c>
      <c r="D107" s="180">
        <f t="shared" ca="1" si="2"/>
        <v>2</v>
      </c>
      <c r="E107" s="180" t="str">
        <f t="shared" ca="1" si="3"/>
        <v/>
      </c>
      <c r="F107" s="180" t="str">
        <f t="shared" ca="1" si="4"/>
        <v/>
      </c>
      <c r="G107" s="181" t="str">
        <f t="shared" ca="1" si="5"/>
        <v/>
      </c>
      <c r="H107" s="182" t="str">
        <f t="shared" ca="1" si="6"/>
        <v/>
      </c>
      <c r="I107" s="202"/>
      <c r="J107" s="214"/>
      <c r="K107" s="214" t="s">
        <v>145</v>
      </c>
      <c r="L107" s="214"/>
      <c r="M107" s="214"/>
      <c r="N107" s="214"/>
      <c r="O107" s="214"/>
      <c r="P107" s="214"/>
      <c r="Q107" s="215"/>
      <c r="R107" s="216" t="s">
        <v>165</v>
      </c>
      <c r="S107" s="217">
        <v>45846</v>
      </c>
      <c r="T107" s="218">
        <v>45846</v>
      </c>
      <c r="U107" s="219"/>
      <c r="V107" s="218"/>
      <c r="W107" s="220">
        <v>0</v>
      </c>
      <c r="X107" s="221"/>
      <c r="Y107" s="222"/>
      <c r="Z107" s="223"/>
      <c r="AA107" s="194"/>
      <c r="AB107" s="195"/>
      <c r="AC107" s="196"/>
      <c r="AD107" s="197"/>
      <c r="AE107" s="198"/>
      <c r="AF107" s="199"/>
      <c r="AG107" s="199">
        <f t="shared" ca="1" si="7"/>
        <v>0</v>
      </c>
      <c r="AH107" s="199">
        <f t="shared" ca="1" si="8"/>
        <v>0</v>
      </c>
      <c r="AI107" s="199">
        <f t="shared" si="9"/>
        <v>0</v>
      </c>
      <c r="AJ107" s="199">
        <f t="shared" ca="1" si="10"/>
        <v>0</v>
      </c>
      <c r="AK107" s="199" t="str">
        <f t="shared" ca="1" si="11"/>
        <v/>
      </c>
      <c r="AL107" s="200">
        <f t="shared" ca="1" si="12"/>
        <v>1</v>
      </c>
      <c r="AM107" s="200">
        <f t="shared" ca="1" si="13"/>
        <v>15</v>
      </c>
      <c r="AN107" s="200">
        <f t="shared" ca="1" si="14"/>
        <v>2</v>
      </c>
      <c r="AO107" s="200">
        <f t="shared" ca="1" si="15"/>
        <v>0</v>
      </c>
      <c r="AP107" s="200">
        <f t="shared" ca="1" si="16"/>
        <v>0</v>
      </c>
      <c r="AQ107" s="200">
        <f t="shared" ca="1" si="17"/>
        <v>0</v>
      </c>
      <c r="AR107" s="200">
        <f t="shared" ca="1" si="18"/>
        <v>0</v>
      </c>
      <c r="AS107" s="201"/>
      <c r="AT107" s="200">
        <f t="shared" si="19"/>
        <v>1</v>
      </c>
    </row>
    <row r="108" spans="1:46" ht="15.75" customHeight="1">
      <c r="A108" s="178"/>
      <c r="B108" s="179">
        <f t="shared" ca="1" si="0"/>
        <v>1</v>
      </c>
      <c r="C108" s="180">
        <f t="shared" ca="1" si="1"/>
        <v>15</v>
      </c>
      <c r="D108" s="180">
        <f t="shared" ca="1" si="2"/>
        <v>3</v>
      </c>
      <c r="E108" s="180" t="str">
        <f t="shared" ca="1" si="3"/>
        <v/>
      </c>
      <c r="F108" s="180" t="str">
        <f t="shared" ca="1" si="4"/>
        <v/>
      </c>
      <c r="G108" s="181" t="str">
        <f t="shared" ca="1" si="5"/>
        <v/>
      </c>
      <c r="H108" s="182" t="str">
        <f t="shared" ca="1" si="6"/>
        <v/>
      </c>
      <c r="I108" s="202"/>
      <c r="J108" s="214"/>
      <c r="K108" s="214" t="s">
        <v>63</v>
      </c>
      <c r="L108" s="214"/>
      <c r="M108" s="214"/>
      <c r="N108" s="214"/>
      <c r="O108" s="214"/>
      <c r="P108" s="214"/>
      <c r="Q108" s="215"/>
      <c r="R108" s="216" t="s">
        <v>163</v>
      </c>
      <c r="S108" s="217">
        <v>45846</v>
      </c>
      <c r="T108" s="218">
        <v>45847</v>
      </c>
      <c r="U108" s="219"/>
      <c r="V108" s="218"/>
      <c r="W108" s="220">
        <v>0</v>
      </c>
      <c r="X108" s="221"/>
      <c r="Y108" s="222"/>
      <c r="Z108" s="223"/>
      <c r="AA108" s="194"/>
      <c r="AB108" s="195"/>
      <c r="AC108" s="196"/>
      <c r="AD108" s="197"/>
      <c r="AE108" s="198"/>
      <c r="AF108" s="199"/>
      <c r="AG108" s="199">
        <f t="shared" ca="1" si="7"/>
        <v>0</v>
      </c>
      <c r="AH108" s="199">
        <f t="shared" ca="1" si="8"/>
        <v>0</v>
      </c>
      <c r="AI108" s="199">
        <f t="shared" si="9"/>
        <v>0</v>
      </c>
      <c r="AJ108" s="199">
        <f t="shared" ca="1" si="10"/>
        <v>0</v>
      </c>
      <c r="AK108" s="199" t="str">
        <f t="shared" ca="1" si="11"/>
        <v/>
      </c>
      <c r="AL108" s="200">
        <f t="shared" ca="1" si="12"/>
        <v>1</v>
      </c>
      <c r="AM108" s="200">
        <f t="shared" ca="1" si="13"/>
        <v>15</v>
      </c>
      <c r="AN108" s="200">
        <f t="shared" ca="1" si="14"/>
        <v>3</v>
      </c>
      <c r="AO108" s="200">
        <f t="shared" ca="1" si="15"/>
        <v>0</v>
      </c>
      <c r="AP108" s="200">
        <f t="shared" ca="1" si="16"/>
        <v>0</v>
      </c>
      <c r="AQ108" s="200">
        <f t="shared" ca="1" si="17"/>
        <v>0</v>
      </c>
      <c r="AR108" s="200">
        <f t="shared" ca="1" si="18"/>
        <v>0</v>
      </c>
      <c r="AS108" s="201"/>
      <c r="AT108" s="200">
        <f t="shared" si="19"/>
        <v>2</v>
      </c>
    </row>
    <row r="109" spans="1:46" ht="15.75" customHeight="1">
      <c r="A109" s="178"/>
      <c r="B109" s="179">
        <f t="shared" ca="1" si="0"/>
        <v>1</v>
      </c>
      <c r="C109" s="180">
        <f t="shared" ca="1" si="1"/>
        <v>15</v>
      </c>
      <c r="D109" s="180">
        <f t="shared" ca="1" si="2"/>
        <v>4</v>
      </c>
      <c r="E109" s="180" t="str">
        <f t="shared" ca="1" si="3"/>
        <v/>
      </c>
      <c r="F109" s="180" t="str">
        <f t="shared" ca="1" si="4"/>
        <v/>
      </c>
      <c r="G109" s="181" t="str">
        <f t="shared" ca="1" si="5"/>
        <v/>
      </c>
      <c r="H109" s="182" t="str">
        <f t="shared" ca="1" si="6"/>
        <v/>
      </c>
      <c r="I109" s="202"/>
      <c r="J109" s="214"/>
      <c r="K109" s="214" t="s">
        <v>64</v>
      </c>
      <c r="L109" s="214"/>
      <c r="M109" s="214"/>
      <c r="N109" s="214"/>
      <c r="O109" s="214"/>
      <c r="P109" s="214"/>
      <c r="Q109" s="215"/>
      <c r="R109" s="216" t="s">
        <v>165</v>
      </c>
      <c r="S109" s="217">
        <v>45848</v>
      </c>
      <c r="T109" s="218">
        <v>45848</v>
      </c>
      <c r="U109" s="219"/>
      <c r="V109" s="218"/>
      <c r="W109" s="220">
        <v>0</v>
      </c>
      <c r="X109" s="221"/>
      <c r="Y109" s="222"/>
      <c r="Z109" s="223"/>
      <c r="AA109" s="194"/>
      <c r="AB109" s="195"/>
      <c r="AC109" s="196"/>
      <c r="AD109" s="197"/>
      <c r="AE109" s="198"/>
      <c r="AF109" s="199"/>
      <c r="AG109" s="199">
        <f t="shared" ca="1" si="7"/>
        <v>0</v>
      </c>
      <c r="AH109" s="199">
        <f t="shared" ca="1" si="8"/>
        <v>0</v>
      </c>
      <c r="AI109" s="199">
        <f t="shared" si="9"/>
        <v>0</v>
      </c>
      <c r="AJ109" s="199">
        <f t="shared" ca="1" si="10"/>
        <v>0</v>
      </c>
      <c r="AK109" s="199" t="str">
        <f t="shared" ca="1" si="11"/>
        <v/>
      </c>
      <c r="AL109" s="200">
        <f t="shared" ca="1" si="12"/>
        <v>1</v>
      </c>
      <c r="AM109" s="200">
        <f t="shared" ca="1" si="13"/>
        <v>15</v>
      </c>
      <c r="AN109" s="200">
        <f t="shared" ca="1" si="14"/>
        <v>4</v>
      </c>
      <c r="AO109" s="200">
        <f t="shared" ca="1" si="15"/>
        <v>0</v>
      </c>
      <c r="AP109" s="200">
        <f t="shared" ca="1" si="16"/>
        <v>0</v>
      </c>
      <c r="AQ109" s="200">
        <f t="shared" ca="1" si="17"/>
        <v>0</v>
      </c>
      <c r="AR109" s="200">
        <f t="shared" ca="1" si="18"/>
        <v>0</v>
      </c>
      <c r="AS109" s="201"/>
      <c r="AT109" s="200">
        <f t="shared" si="19"/>
        <v>1</v>
      </c>
    </row>
    <row r="110" spans="1:46" ht="15.75" customHeight="1">
      <c r="A110" s="178"/>
      <c r="B110" s="179">
        <f t="shared" ca="1" si="0"/>
        <v>1</v>
      </c>
      <c r="C110" s="180">
        <f t="shared" ca="1" si="1"/>
        <v>15</v>
      </c>
      <c r="D110" s="180">
        <f t="shared" ca="1" si="2"/>
        <v>5</v>
      </c>
      <c r="E110" s="180" t="str">
        <f t="shared" ca="1" si="3"/>
        <v/>
      </c>
      <c r="F110" s="180" t="str">
        <f t="shared" ca="1" si="4"/>
        <v/>
      </c>
      <c r="G110" s="181" t="str">
        <f t="shared" ca="1" si="5"/>
        <v/>
      </c>
      <c r="H110" s="182" t="str">
        <f t="shared" ca="1" si="6"/>
        <v/>
      </c>
      <c r="I110" s="202"/>
      <c r="J110" s="214"/>
      <c r="K110" s="214" t="s">
        <v>65</v>
      </c>
      <c r="L110" s="214"/>
      <c r="M110" s="214"/>
      <c r="N110" s="214"/>
      <c r="O110" s="214"/>
      <c r="P110" s="214"/>
      <c r="Q110" s="215"/>
      <c r="R110" s="216" t="s">
        <v>163</v>
      </c>
      <c r="S110" s="217">
        <v>45849</v>
      </c>
      <c r="T110" s="218">
        <v>45849</v>
      </c>
      <c r="U110" s="219"/>
      <c r="V110" s="218"/>
      <c r="W110" s="220">
        <v>0</v>
      </c>
      <c r="X110" s="221"/>
      <c r="Y110" s="222"/>
      <c r="Z110" s="223"/>
      <c r="AA110" s="194"/>
      <c r="AB110" s="195"/>
      <c r="AC110" s="196"/>
      <c r="AD110" s="197"/>
      <c r="AE110" s="198"/>
      <c r="AF110" s="199"/>
      <c r="AG110" s="199">
        <f t="shared" ca="1" si="7"/>
        <v>0</v>
      </c>
      <c r="AH110" s="199">
        <f t="shared" ca="1" si="8"/>
        <v>0</v>
      </c>
      <c r="AI110" s="199">
        <f t="shared" si="9"/>
        <v>0</v>
      </c>
      <c r="AJ110" s="199">
        <f t="shared" ca="1" si="10"/>
        <v>0</v>
      </c>
      <c r="AK110" s="199" t="str">
        <f t="shared" ca="1" si="11"/>
        <v/>
      </c>
      <c r="AL110" s="200">
        <f t="shared" ca="1" si="12"/>
        <v>1</v>
      </c>
      <c r="AM110" s="200">
        <f t="shared" ca="1" si="13"/>
        <v>15</v>
      </c>
      <c r="AN110" s="200">
        <f t="shared" ca="1" si="14"/>
        <v>5</v>
      </c>
      <c r="AO110" s="200">
        <f t="shared" ca="1" si="15"/>
        <v>0</v>
      </c>
      <c r="AP110" s="200">
        <f t="shared" ca="1" si="16"/>
        <v>0</v>
      </c>
      <c r="AQ110" s="200">
        <f t="shared" ca="1" si="17"/>
        <v>0</v>
      </c>
      <c r="AR110" s="200">
        <f t="shared" ca="1" si="18"/>
        <v>0</v>
      </c>
      <c r="AS110" s="201"/>
      <c r="AT110" s="200">
        <f t="shared" si="19"/>
        <v>1</v>
      </c>
    </row>
    <row r="111" spans="1:46" ht="15.75" customHeight="1">
      <c r="A111" s="178"/>
      <c r="B111" s="179">
        <f t="shared" ca="1" si="0"/>
        <v>1</v>
      </c>
      <c r="C111" s="180">
        <f t="shared" ca="1" si="1"/>
        <v>15</v>
      </c>
      <c r="D111" s="180">
        <f t="shared" ca="1" si="2"/>
        <v>6</v>
      </c>
      <c r="E111" s="180" t="str">
        <f t="shared" ca="1" si="3"/>
        <v/>
      </c>
      <c r="F111" s="180" t="str">
        <f t="shared" ca="1" si="4"/>
        <v/>
      </c>
      <c r="G111" s="181" t="str">
        <f t="shared" ca="1" si="5"/>
        <v/>
      </c>
      <c r="H111" s="182" t="str">
        <f t="shared" ca="1" si="6"/>
        <v/>
      </c>
      <c r="I111" s="202"/>
      <c r="J111" s="214"/>
      <c r="K111" s="214" t="s">
        <v>66</v>
      </c>
      <c r="L111" s="214"/>
      <c r="M111" s="214"/>
      <c r="N111" s="214"/>
      <c r="O111" s="214"/>
      <c r="P111" s="214"/>
      <c r="Q111" s="215"/>
      <c r="R111" s="216" t="s">
        <v>165</v>
      </c>
      <c r="S111" s="217">
        <v>45852</v>
      </c>
      <c r="T111" s="218">
        <v>45852</v>
      </c>
      <c r="U111" s="219"/>
      <c r="V111" s="218"/>
      <c r="W111" s="220">
        <v>0</v>
      </c>
      <c r="X111" s="221"/>
      <c r="Y111" s="222"/>
      <c r="Z111" s="223"/>
      <c r="AA111" s="194"/>
      <c r="AB111" s="195"/>
      <c r="AC111" s="196"/>
      <c r="AD111" s="197"/>
      <c r="AE111" s="198"/>
      <c r="AF111" s="199"/>
      <c r="AG111" s="199">
        <f t="shared" ca="1" si="7"/>
        <v>0</v>
      </c>
      <c r="AH111" s="199">
        <f t="shared" ca="1" si="8"/>
        <v>0</v>
      </c>
      <c r="AI111" s="199">
        <f t="shared" si="9"/>
        <v>0</v>
      </c>
      <c r="AJ111" s="199">
        <f t="shared" ca="1" si="10"/>
        <v>0</v>
      </c>
      <c r="AK111" s="199" t="str">
        <f t="shared" ca="1" si="11"/>
        <v/>
      </c>
      <c r="AL111" s="200">
        <f t="shared" ca="1" si="12"/>
        <v>1</v>
      </c>
      <c r="AM111" s="200">
        <f t="shared" ca="1" si="13"/>
        <v>15</v>
      </c>
      <c r="AN111" s="200">
        <f t="shared" ca="1" si="14"/>
        <v>6</v>
      </c>
      <c r="AO111" s="200">
        <f t="shared" ca="1" si="15"/>
        <v>0</v>
      </c>
      <c r="AP111" s="200">
        <f t="shared" ca="1" si="16"/>
        <v>0</v>
      </c>
      <c r="AQ111" s="200">
        <f t="shared" ca="1" si="17"/>
        <v>0</v>
      </c>
      <c r="AR111" s="200">
        <f t="shared" ca="1" si="18"/>
        <v>0</v>
      </c>
      <c r="AS111" s="201"/>
      <c r="AT111" s="200">
        <f t="shared" si="19"/>
        <v>1</v>
      </c>
    </row>
    <row r="112" spans="1:46" ht="15.75" customHeight="1">
      <c r="A112" s="178"/>
      <c r="B112" s="179">
        <f t="shared" ca="1" si="0"/>
        <v>1</v>
      </c>
      <c r="C112" s="180">
        <f t="shared" ca="1" si="1"/>
        <v>16</v>
      </c>
      <c r="D112" s="180" t="str">
        <f t="shared" ca="1" si="2"/>
        <v/>
      </c>
      <c r="E112" s="180" t="str">
        <f t="shared" ca="1" si="3"/>
        <v/>
      </c>
      <c r="F112" s="180" t="str">
        <f t="shared" ca="1" si="4"/>
        <v/>
      </c>
      <c r="G112" s="181" t="str">
        <f t="shared" ca="1" si="5"/>
        <v/>
      </c>
      <c r="H112" s="182" t="str">
        <f t="shared" ca="1" si="6"/>
        <v/>
      </c>
      <c r="I112" s="202"/>
      <c r="J112" s="224" t="s">
        <v>168</v>
      </c>
      <c r="K112" s="225"/>
      <c r="L112" s="225"/>
      <c r="M112" s="225"/>
      <c r="N112" s="225"/>
      <c r="O112" s="225"/>
      <c r="P112" s="225"/>
      <c r="Q112" s="205" t="s">
        <v>81</v>
      </c>
      <c r="R112" s="206"/>
      <c r="S112" s="207"/>
      <c r="T112" s="208"/>
      <c r="U112" s="209"/>
      <c r="V112" s="208"/>
      <c r="W112" s="210"/>
      <c r="X112" s="211"/>
      <c r="Y112" s="226"/>
      <c r="Z112" s="227"/>
      <c r="AA112" s="194"/>
      <c r="AB112" s="195"/>
      <c r="AC112" s="196"/>
      <c r="AD112" s="197"/>
      <c r="AE112" s="198"/>
      <c r="AF112" s="199"/>
      <c r="AG112" s="199">
        <f t="shared" si="7"/>
        <v>0</v>
      </c>
      <c r="AH112" s="199">
        <f t="shared" si="8"/>
        <v>0</v>
      </c>
      <c r="AI112" s="199">
        <f t="shared" si="9"/>
        <v>0</v>
      </c>
      <c r="AJ112" s="199">
        <f t="shared" si="10"/>
        <v>0</v>
      </c>
      <c r="AK112" s="199" t="str">
        <f t="shared" si="11"/>
        <v/>
      </c>
      <c r="AL112" s="200">
        <f t="shared" ca="1" si="12"/>
        <v>1</v>
      </c>
      <c r="AM112" s="200">
        <f t="shared" ca="1" si="13"/>
        <v>16</v>
      </c>
      <c r="AN112" s="200">
        <f t="shared" ca="1" si="14"/>
        <v>0</v>
      </c>
      <c r="AO112" s="200">
        <f t="shared" ca="1" si="15"/>
        <v>0</v>
      </c>
      <c r="AP112" s="200">
        <f t="shared" ca="1" si="16"/>
        <v>0</v>
      </c>
      <c r="AQ112" s="200">
        <f t="shared" ca="1" si="17"/>
        <v>0</v>
      </c>
      <c r="AR112" s="200">
        <f t="shared" ca="1" si="18"/>
        <v>0</v>
      </c>
      <c r="AS112" s="201"/>
      <c r="AT112" s="200">
        <f t="shared" si="19"/>
        <v>1</v>
      </c>
    </row>
    <row r="113" spans="1:46" ht="15.75" customHeight="1">
      <c r="A113" s="178"/>
      <c r="B113" s="179">
        <f t="shared" ca="1" si="0"/>
        <v>1</v>
      </c>
      <c r="C113" s="180">
        <f t="shared" ca="1" si="1"/>
        <v>16</v>
      </c>
      <c r="D113" s="180">
        <f t="shared" ca="1" si="2"/>
        <v>1</v>
      </c>
      <c r="E113" s="180" t="str">
        <f t="shared" ca="1" si="3"/>
        <v/>
      </c>
      <c r="F113" s="180" t="str">
        <f t="shared" ca="1" si="4"/>
        <v/>
      </c>
      <c r="G113" s="181" t="str">
        <f t="shared" ca="1" si="5"/>
        <v/>
      </c>
      <c r="H113" s="182" t="str">
        <f t="shared" ca="1" si="6"/>
        <v/>
      </c>
      <c r="I113" s="202"/>
      <c r="J113" s="214"/>
      <c r="K113" s="214" t="s">
        <v>59</v>
      </c>
      <c r="L113" s="214"/>
      <c r="M113" s="214"/>
      <c r="N113" s="214"/>
      <c r="O113" s="214"/>
      <c r="P113" s="214"/>
      <c r="Q113" s="215"/>
      <c r="R113" s="216" t="s">
        <v>159</v>
      </c>
      <c r="S113" s="217">
        <v>45812</v>
      </c>
      <c r="T113" s="218">
        <v>45817</v>
      </c>
      <c r="U113" s="219">
        <v>45812</v>
      </c>
      <c r="V113" s="218">
        <v>45817</v>
      </c>
      <c r="W113" s="220">
        <v>1</v>
      </c>
      <c r="X113" s="221">
        <v>1</v>
      </c>
      <c r="Y113" s="222"/>
      <c r="Z113" s="223"/>
      <c r="AA113" s="194"/>
      <c r="AB113" s="195"/>
      <c r="AC113" s="196"/>
      <c r="AD113" s="197"/>
      <c r="AE113" s="198"/>
      <c r="AF113" s="199"/>
      <c r="AG113" s="199">
        <f t="shared" ca="1" si="7"/>
        <v>0</v>
      </c>
      <c r="AH113" s="199">
        <f t="shared" ca="1" si="8"/>
        <v>0</v>
      </c>
      <c r="AI113" s="199">
        <f t="shared" si="9"/>
        <v>0</v>
      </c>
      <c r="AJ113" s="199">
        <f t="shared" ca="1" si="10"/>
        <v>0</v>
      </c>
      <c r="AK113" s="199" t="str">
        <f t="shared" ca="1" si="11"/>
        <v/>
      </c>
      <c r="AL113" s="200">
        <f t="shared" ca="1" si="12"/>
        <v>1</v>
      </c>
      <c r="AM113" s="200">
        <f t="shared" ca="1" si="13"/>
        <v>16</v>
      </c>
      <c r="AN113" s="200">
        <f t="shared" ca="1" si="14"/>
        <v>1</v>
      </c>
      <c r="AO113" s="200">
        <f t="shared" ca="1" si="15"/>
        <v>0</v>
      </c>
      <c r="AP113" s="200">
        <f t="shared" ca="1" si="16"/>
        <v>0</v>
      </c>
      <c r="AQ113" s="200">
        <f t="shared" ca="1" si="17"/>
        <v>0</v>
      </c>
      <c r="AR113" s="200">
        <f t="shared" ca="1" si="18"/>
        <v>0</v>
      </c>
      <c r="AS113" s="201"/>
      <c r="AT113" s="200">
        <f t="shared" si="19"/>
        <v>6</v>
      </c>
    </row>
    <row r="114" spans="1:46" ht="15.75" customHeight="1">
      <c r="A114" s="178"/>
      <c r="B114" s="179">
        <f t="shared" ca="1" si="0"/>
        <v>1</v>
      </c>
      <c r="C114" s="180">
        <f t="shared" ca="1" si="1"/>
        <v>16</v>
      </c>
      <c r="D114" s="180">
        <f t="shared" ca="1" si="2"/>
        <v>2</v>
      </c>
      <c r="E114" s="180" t="str">
        <f t="shared" ca="1" si="3"/>
        <v/>
      </c>
      <c r="F114" s="180" t="str">
        <f t="shared" ca="1" si="4"/>
        <v/>
      </c>
      <c r="G114" s="181" t="str">
        <f t="shared" ca="1" si="5"/>
        <v/>
      </c>
      <c r="H114" s="182" t="str">
        <f t="shared" ca="1" si="6"/>
        <v/>
      </c>
      <c r="I114" s="202"/>
      <c r="J114" s="214"/>
      <c r="K114" s="214" t="s">
        <v>145</v>
      </c>
      <c r="L114" s="214"/>
      <c r="M114" s="214"/>
      <c r="N114" s="214"/>
      <c r="O114" s="214"/>
      <c r="P114" s="214"/>
      <c r="Q114" s="215"/>
      <c r="R114" s="216" t="s">
        <v>160</v>
      </c>
      <c r="S114" s="217">
        <v>45818</v>
      </c>
      <c r="T114" s="218">
        <v>45818</v>
      </c>
      <c r="U114" s="217">
        <v>45818</v>
      </c>
      <c r="V114" s="218">
        <v>45818</v>
      </c>
      <c r="W114" s="220">
        <v>1</v>
      </c>
      <c r="X114" s="221">
        <v>1</v>
      </c>
      <c r="Y114" s="222"/>
      <c r="Z114" s="223"/>
      <c r="AA114" s="194"/>
      <c r="AB114" s="195"/>
      <c r="AC114" s="196"/>
      <c r="AD114" s="197"/>
      <c r="AE114" s="198"/>
      <c r="AF114" s="199"/>
      <c r="AG114" s="199">
        <f t="shared" ca="1" si="7"/>
        <v>0</v>
      </c>
      <c r="AH114" s="199">
        <f t="shared" ca="1" si="8"/>
        <v>0</v>
      </c>
      <c r="AI114" s="199">
        <f t="shared" si="9"/>
        <v>0</v>
      </c>
      <c r="AJ114" s="199">
        <f t="shared" ca="1" si="10"/>
        <v>0</v>
      </c>
      <c r="AK114" s="199" t="str">
        <f t="shared" ca="1" si="11"/>
        <v/>
      </c>
      <c r="AL114" s="200">
        <f t="shared" ca="1" si="12"/>
        <v>1</v>
      </c>
      <c r="AM114" s="200">
        <f t="shared" ca="1" si="13"/>
        <v>16</v>
      </c>
      <c r="AN114" s="200">
        <f t="shared" ca="1" si="14"/>
        <v>2</v>
      </c>
      <c r="AO114" s="200">
        <f t="shared" ca="1" si="15"/>
        <v>0</v>
      </c>
      <c r="AP114" s="200">
        <f t="shared" ca="1" si="16"/>
        <v>0</v>
      </c>
      <c r="AQ114" s="200">
        <f t="shared" ca="1" si="17"/>
        <v>0</v>
      </c>
      <c r="AR114" s="200">
        <f t="shared" ca="1" si="18"/>
        <v>0</v>
      </c>
      <c r="AS114" s="201"/>
      <c r="AT114" s="200">
        <f t="shared" si="19"/>
        <v>1</v>
      </c>
    </row>
    <row r="115" spans="1:46" ht="15.75" customHeight="1">
      <c r="A115" s="178"/>
      <c r="B115" s="179">
        <f t="shared" ca="1" si="0"/>
        <v>1</v>
      </c>
      <c r="C115" s="180">
        <f t="shared" ca="1" si="1"/>
        <v>16</v>
      </c>
      <c r="D115" s="180">
        <f t="shared" ca="1" si="2"/>
        <v>3</v>
      </c>
      <c r="E115" s="180" t="str">
        <f t="shared" ca="1" si="3"/>
        <v/>
      </c>
      <c r="F115" s="180" t="str">
        <f t="shared" ca="1" si="4"/>
        <v/>
      </c>
      <c r="G115" s="181" t="str">
        <f t="shared" ca="1" si="5"/>
        <v/>
      </c>
      <c r="H115" s="182" t="str">
        <f t="shared" ca="1" si="6"/>
        <v/>
      </c>
      <c r="I115" s="202"/>
      <c r="J115" s="214"/>
      <c r="K115" s="214" t="s">
        <v>63</v>
      </c>
      <c r="L115" s="214"/>
      <c r="M115" s="214"/>
      <c r="N115" s="214"/>
      <c r="O115" s="214"/>
      <c r="P115" s="214"/>
      <c r="Q115" s="215"/>
      <c r="R115" s="216" t="s">
        <v>159</v>
      </c>
      <c r="S115" s="217">
        <v>45827</v>
      </c>
      <c r="T115" s="218">
        <v>45827</v>
      </c>
      <c r="U115" s="219"/>
      <c r="V115" s="218"/>
      <c r="W115" s="220">
        <v>0</v>
      </c>
      <c r="X115" s="221"/>
      <c r="Y115" s="222"/>
      <c r="Z115" s="223"/>
      <c r="AA115" s="194"/>
      <c r="AB115" s="195"/>
      <c r="AC115" s="196"/>
      <c r="AD115" s="197"/>
      <c r="AE115" s="198"/>
      <c r="AF115" s="199"/>
      <c r="AG115" s="199">
        <f t="shared" ca="1" si="7"/>
        <v>0</v>
      </c>
      <c r="AH115" s="199">
        <f t="shared" ca="1" si="8"/>
        <v>0</v>
      </c>
      <c r="AI115" s="199">
        <f t="shared" si="9"/>
        <v>0</v>
      </c>
      <c r="AJ115" s="199">
        <f t="shared" ca="1" si="10"/>
        <v>0</v>
      </c>
      <c r="AK115" s="199" t="str">
        <f t="shared" ca="1" si="11"/>
        <v/>
      </c>
      <c r="AL115" s="200">
        <f t="shared" ca="1" si="12"/>
        <v>1</v>
      </c>
      <c r="AM115" s="200">
        <f t="shared" ca="1" si="13"/>
        <v>16</v>
      </c>
      <c r="AN115" s="200">
        <f t="shared" ca="1" si="14"/>
        <v>3</v>
      </c>
      <c r="AO115" s="200">
        <f t="shared" ca="1" si="15"/>
        <v>0</v>
      </c>
      <c r="AP115" s="200">
        <f t="shared" ca="1" si="16"/>
        <v>0</v>
      </c>
      <c r="AQ115" s="200">
        <f t="shared" ca="1" si="17"/>
        <v>0</v>
      </c>
      <c r="AR115" s="200">
        <f t="shared" ca="1" si="18"/>
        <v>0</v>
      </c>
      <c r="AS115" s="201"/>
      <c r="AT115" s="200">
        <f t="shared" si="19"/>
        <v>1</v>
      </c>
    </row>
    <row r="116" spans="1:46" ht="15.75" customHeight="1">
      <c r="A116" s="178"/>
      <c r="B116" s="179">
        <f t="shared" ca="1" si="0"/>
        <v>1</v>
      </c>
      <c r="C116" s="180">
        <f t="shared" ca="1" si="1"/>
        <v>16</v>
      </c>
      <c r="D116" s="180">
        <f t="shared" ca="1" si="2"/>
        <v>4</v>
      </c>
      <c r="E116" s="180" t="str">
        <f t="shared" ca="1" si="3"/>
        <v/>
      </c>
      <c r="F116" s="180" t="str">
        <f t="shared" ca="1" si="4"/>
        <v/>
      </c>
      <c r="G116" s="181" t="str">
        <f t="shared" ca="1" si="5"/>
        <v/>
      </c>
      <c r="H116" s="182" t="str">
        <f t="shared" ca="1" si="6"/>
        <v/>
      </c>
      <c r="I116" s="202"/>
      <c r="J116" s="214"/>
      <c r="K116" s="214" t="s">
        <v>64</v>
      </c>
      <c r="L116" s="214"/>
      <c r="M116" s="214"/>
      <c r="N116" s="214"/>
      <c r="O116" s="214"/>
      <c r="P116" s="214"/>
      <c r="Q116" s="215"/>
      <c r="R116" s="216" t="s">
        <v>163</v>
      </c>
      <c r="S116" s="217">
        <v>45827</v>
      </c>
      <c r="T116" s="218">
        <v>45827</v>
      </c>
      <c r="U116" s="219"/>
      <c r="V116" s="218"/>
      <c r="W116" s="220">
        <v>0</v>
      </c>
      <c r="X116" s="221"/>
      <c r="Y116" s="222"/>
      <c r="Z116" s="223"/>
      <c r="AA116" s="194"/>
      <c r="AB116" s="195"/>
      <c r="AC116" s="196"/>
      <c r="AD116" s="197"/>
      <c r="AE116" s="198"/>
      <c r="AF116" s="199"/>
      <c r="AG116" s="199">
        <f t="shared" ca="1" si="7"/>
        <v>0</v>
      </c>
      <c r="AH116" s="199">
        <f t="shared" ca="1" si="8"/>
        <v>0</v>
      </c>
      <c r="AI116" s="199">
        <f t="shared" si="9"/>
        <v>0</v>
      </c>
      <c r="AJ116" s="199">
        <f t="shared" ca="1" si="10"/>
        <v>0</v>
      </c>
      <c r="AK116" s="199" t="str">
        <f t="shared" ca="1" si="11"/>
        <v/>
      </c>
      <c r="AL116" s="200">
        <f t="shared" ca="1" si="12"/>
        <v>1</v>
      </c>
      <c r="AM116" s="200">
        <f t="shared" ca="1" si="13"/>
        <v>16</v>
      </c>
      <c r="AN116" s="200">
        <f t="shared" ca="1" si="14"/>
        <v>4</v>
      </c>
      <c r="AO116" s="200">
        <f t="shared" ca="1" si="15"/>
        <v>0</v>
      </c>
      <c r="AP116" s="200">
        <f t="shared" ca="1" si="16"/>
        <v>0</v>
      </c>
      <c r="AQ116" s="200">
        <f t="shared" ca="1" si="17"/>
        <v>0</v>
      </c>
      <c r="AR116" s="200">
        <f t="shared" ca="1" si="18"/>
        <v>0</v>
      </c>
      <c r="AS116" s="201"/>
      <c r="AT116" s="200">
        <f t="shared" si="19"/>
        <v>1</v>
      </c>
    </row>
    <row r="117" spans="1:46" ht="15.75" customHeight="1">
      <c r="A117" s="178"/>
      <c r="B117" s="179">
        <f t="shared" ca="1" si="0"/>
        <v>1</v>
      </c>
      <c r="C117" s="180">
        <f t="shared" ca="1" si="1"/>
        <v>16</v>
      </c>
      <c r="D117" s="180">
        <f t="shared" ca="1" si="2"/>
        <v>5</v>
      </c>
      <c r="E117" s="180" t="str">
        <f t="shared" ca="1" si="3"/>
        <v/>
      </c>
      <c r="F117" s="180" t="str">
        <f t="shared" ca="1" si="4"/>
        <v/>
      </c>
      <c r="G117" s="181" t="str">
        <f t="shared" ca="1" si="5"/>
        <v/>
      </c>
      <c r="H117" s="182" t="str">
        <f t="shared" ca="1" si="6"/>
        <v/>
      </c>
      <c r="I117" s="202"/>
      <c r="J117" s="214"/>
      <c r="K117" s="214" t="s">
        <v>65</v>
      </c>
      <c r="L117" s="214"/>
      <c r="M117" s="214"/>
      <c r="N117" s="214"/>
      <c r="O117" s="214"/>
      <c r="P117" s="214"/>
      <c r="Q117" s="215"/>
      <c r="R117" s="216" t="s">
        <v>159</v>
      </c>
      <c r="S117" s="217">
        <v>45828</v>
      </c>
      <c r="T117" s="218">
        <v>45828</v>
      </c>
      <c r="U117" s="219"/>
      <c r="V117" s="218"/>
      <c r="W117" s="220">
        <v>0</v>
      </c>
      <c r="X117" s="221"/>
      <c r="Y117" s="222"/>
      <c r="Z117" s="223"/>
      <c r="AA117" s="194"/>
      <c r="AB117" s="195"/>
      <c r="AC117" s="196"/>
      <c r="AD117" s="197"/>
      <c r="AE117" s="198"/>
      <c r="AF117" s="199"/>
      <c r="AG117" s="199">
        <f t="shared" ca="1" si="7"/>
        <v>0</v>
      </c>
      <c r="AH117" s="199">
        <f t="shared" ca="1" si="8"/>
        <v>0</v>
      </c>
      <c r="AI117" s="199">
        <f t="shared" si="9"/>
        <v>0</v>
      </c>
      <c r="AJ117" s="199">
        <f t="shared" ca="1" si="10"/>
        <v>0</v>
      </c>
      <c r="AK117" s="199" t="str">
        <f t="shared" ca="1" si="11"/>
        <v/>
      </c>
      <c r="AL117" s="200">
        <f t="shared" ca="1" si="12"/>
        <v>1</v>
      </c>
      <c r="AM117" s="200">
        <f t="shared" ca="1" si="13"/>
        <v>16</v>
      </c>
      <c r="AN117" s="200">
        <f t="shared" ca="1" si="14"/>
        <v>5</v>
      </c>
      <c r="AO117" s="200">
        <f t="shared" ca="1" si="15"/>
        <v>0</v>
      </c>
      <c r="AP117" s="200">
        <f t="shared" ca="1" si="16"/>
        <v>0</v>
      </c>
      <c r="AQ117" s="200">
        <f t="shared" ca="1" si="17"/>
        <v>0</v>
      </c>
      <c r="AR117" s="200">
        <f t="shared" ca="1" si="18"/>
        <v>0</v>
      </c>
      <c r="AS117" s="201"/>
      <c r="AT117" s="200">
        <f t="shared" si="19"/>
        <v>1</v>
      </c>
    </row>
    <row r="118" spans="1:46" ht="15.75" customHeight="1">
      <c r="A118" s="178"/>
      <c r="B118" s="179">
        <f t="shared" ca="1" si="0"/>
        <v>1</v>
      </c>
      <c r="C118" s="180">
        <f t="shared" ca="1" si="1"/>
        <v>16</v>
      </c>
      <c r="D118" s="180">
        <f t="shared" ca="1" si="2"/>
        <v>6</v>
      </c>
      <c r="E118" s="180" t="str">
        <f t="shared" ca="1" si="3"/>
        <v/>
      </c>
      <c r="F118" s="180" t="str">
        <f t="shared" ca="1" si="4"/>
        <v/>
      </c>
      <c r="G118" s="181" t="str">
        <f t="shared" ca="1" si="5"/>
        <v/>
      </c>
      <c r="H118" s="182" t="str">
        <f t="shared" ca="1" si="6"/>
        <v/>
      </c>
      <c r="I118" s="202"/>
      <c r="J118" s="214"/>
      <c r="K118" s="214" t="s">
        <v>66</v>
      </c>
      <c r="L118" s="214"/>
      <c r="M118" s="214"/>
      <c r="N118" s="214"/>
      <c r="O118" s="214"/>
      <c r="P118" s="214"/>
      <c r="Q118" s="215"/>
      <c r="R118" s="216" t="s">
        <v>163</v>
      </c>
      <c r="S118" s="217">
        <v>45831</v>
      </c>
      <c r="T118" s="218">
        <v>45831</v>
      </c>
      <c r="U118" s="219"/>
      <c r="V118" s="218"/>
      <c r="W118" s="220">
        <v>0</v>
      </c>
      <c r="X118" s="221"/>
      <c r="Y118" s="222"/>
      <c r="Z118" s="223"/>
      <c r="AA118" s="194"/>
      <c r="AB118" s="195"/>
      <c r="AC118" s="196"/>
      <c r="AD118" s="197"/>
      <c r="AE118" s="198"/>
      <c r="AF118" s="199"/>
      <c r="AG118" s="199">
        <f t="shared" ca="1" si="7"/>
        <v>0</v>
      </c>
      <c r="AH118" s="199">
        <f t="shared" ca="1" si="8"/>
        <v>0</v>
      </c>
      <c r="AI118" s="199">
        <f t="shared" si="9"/>
        <v>0</v>
      </c>
      <c r="AJ118" s="199">
        <f t="shared" ca="1" si="10"/>
        <v>0</v>
      </c>
      <c r="AK118" s="199" t="str">
        <f t="shared" ca="1" si="11"/>
        <v/>
      </c>
      <c r="AL118" s="200">
        <f t="shared" ca="1" si="12"/>
        <v>1</v>
      </c>
      <c r="AM118" s="200">
        <f t="shared" ca="1" si="13"/>
        <v>16</v>
      </c>
      <c r="AN118" s="200">
        <f t="shared" ca="1" si="14"/>
        <v>6</v>
      </c>
      <c r="AO118" s="200">
        <f t="shared" ca="1" si="15"/>
        <v>0</v>
      </c>
      <c r="AP118" s="200">
        <f t="shared" ca="1" si="16"/>
        <v>0</v>
      </c>
      <c r="AQ118" s="200">
        <f t="shared" ca="1" si="17"/>
        <v>0</v>
      </c>
      <c r="AR118" s="200">
        <f t="shared" ca="1" si="18"/>
        <v>0</v>
      </c>
      <c r="AS118" s="201"/>
      <c r="AT118" s="200">
        <f t="shared" si="19"/>
        <v>1</v>
      </c>
    </row>
    <row r="119" spans="1:46" ht="15.75" customHeight="1">
      <c r="A119" s="178"/>
      <c r="B119" s="179">
        <f t="shared" ca="1" si="0"/>
        <v>1</v>
      </c>
      <c r="C119" s="180">
        <f t="shared" ca="1" si="1"/>
        <v>17</v>
      </c>
      <c r="D119" s="180" t="str">
        <f t="shared" ca="1" si="2"/>
        <v/>
      </c>
      <c r="E119" s="180" t="str">
        <f t="shared" ca="1" si="3"/>
        <v/>
      </c>
      <c r="F119" s="180" t="str">
        <f t="shared" ca="1" si="4"/>
        <v/>
      </c>
      <c r="G119" s="181" t="str">
        <f t="shared" ca="1" si="5"/>
        <v/>
      </c>
      <c r="H119" s="182" t="str">
        <f t="shared" ca="1" si="6"/>
        <v/>
      </c>
      <c r="I119" s="202"/>
      <c r="J119" s="224" t="s">
        <v>169</v>
      </c>
      <c r="K119" s="225"/>
      <c r="L119" s="225"/>
      <c r="M119" s="225"/>
      <c r="N119" s="225"/>
      <c r="O119" s="225"/>
      <c r="P119" s="225"/>
      <c r="Q119" s="205" t="s">
        <v>73</v>
      </c>
      <c r="R119" s="206"/>
      <c r="S119" s="207"/>
      <c r="T119" s="208"/>
      <c r="U119" s="209"/>
      <c r="V119" s="208"/>
      <c r="W119" s="210"/>
      <c r="X119" s="211"/>
      <c r="Y119" s="226"/>
      <c r="Z119" s="227"/>
      <c r="AA119" s="194"/>
      <c r="AB119" s="195"/>
      <c r="AC119" s="196"/>
      <c r="AD119" s="197"/>
      <c r="AE119" s="198"/>
      <c r="AF119" s="199"/>
      <c r="AG119" s="199">
        <f t="shared" si="7"/>
        <v>0</v>
      </c>
      <c r="AH119" s="199">
        <f t="shared" si="8"/>
        <v>0</v>
      </c>
      <c r="AI119" s="199">
        <f t="shared" si="9"/>
        <v>0</v>
      </c>
      <c r="AJ119" s="199">
        <f t="shared" si="10"/>
        <v>0</v>
      </c>
      <c r="AK119" s="199" t="str">
        <f t="shared" si="11"/>
        <v/>
      </c>
      <c r="AL119" s="200">
        <f t="shared" ca="1" si="12"/>
        <v>1</v>
      </c>
      <c r="AM119" s="200">
        <f t="shared" ca="1" si="13"/>
        <v>17</v>
      </c>
      <c r="AN119" s="200">
        <f t="shared" ca="1" si="14"/>
        <v>0</v>
      </c>
      <c r="AO119" s="200">
        <f t="shared" ca="1" si="15"/>
        <v>0</v>
      </c>
      <c r="AP119" s="200">
        <f t="shared" ca="1" si="16"/>
        <v>0</v>
      </c>
      <c r="AQ119" s="200">
        <f t="shared" ca="1" si="17"/>
        <v>0</v>
      </c>
      <c r="AR119" s="200">
        <f t="shared" ca="1" si="18"/>
        <v>0</v>
      </c>
      <c r="AS119" s="201"/>
      <c r="AT119" s="200">
        <f t="shared" si="19"/>
        <v>1</v>
      </c>
    </row>
    <row r="120" spans="1:46" ht="15.75" customHeight="1">
      <c r="A120" s="178"/>
      <c r="B120" s="179">
        <f t="shared" ca="1" si="0"/>
        <v>1</v>
      </c>
      <c r="C120" s="180">
        <f t="shared" ca="1" si="1"/>
        <v>17</v>
      </c>
      <c r="D120" s="180">
        <f t="shared" ca="1" si="2"/>
        <v>1</v>
      </c>
      <c r="E120" s="180" t="str">
        <f t="shared" ca="1" si="3"/>
        <v/>
      </c>
      <c r="F120" s="180" t="str">
        <f t="shared" ca="1" si="4"/>
        <v/>
      </c>
      <c r="G120" s="181" t="str">
        <f t="shared" ca="1" si="5"/>
        <v/>
      </c>
      <c r="H120" s="182" t="str">
        <f t="shared" ca="1" si="6"/>
        <v/>
      </c>
      <c r="I120" s="202"/>
      <c r="J120" s="214"/>
      <c r="K120" s="214" t="s">
        <v>59</v>
      </c>
      <c r="L120" s="214"/>
      <c r="M120" s="214"/>
      <c r="N120" s="214"/>
      <c r="O120" s="214"/>
      <c r="P120" s="214"/>
      <c r="Q120" s="215"/>
      <c r="R120" s="216" t="s">
        <v>163</v>
      </c>
      <c r="S120" s="217">
        <v>45819</v>
      </c>
      <c r="T120" s="218">
        <v>45825</v>
      </c>
      <c r="U120" s="219">
        <v>45817</v>
      </c>
      <c r="V120" s="219">
        <v>45821</v>
      </c>
      <c r="W120" s="220">
        <v>1</v>
      </c>
      <c r="X120" s="221">
        <v>1</v>
      </c>
      <c r="Y120" s="222"/>
      <c r="Z120" s="223"/>
      <c r="AA120" s="194"/>
      <c r="AB120" s="195"/>
      <c r="AC120" s="196"/>
      <c r="AD120" s="197"/>
      <c r="AE120" s="198"/>
      <c r="AF120" s="199"/>
      <c r="AG120" s="199">
        <f t="shared" ca="1" si="7"/>
        <v>0</v>
      </c>
      <c r="AH120" s="199">
        <f t="shared" ca="1" si="8"/>
        <v>0</v>
      </c>
      <c r="AI120" s="199">
        <f t="shared" si="9"/>
        <v>0</v>
      </c>
      <c r="AJ120" s="199">
        <f t="shared" ca="1" si="10"/>
        <v>0</v>
      </c>
      <c r="AK120" s="199" t="str">
        <f t="shared" ca="1" si="11"/>
        <v/>
      </c>
      <c r="AL120" s="200">
        <f t="shared" ca="1" si="12"/>
        <v>1</v>
      </c>
      <c r="AM120" s="200">
        <f t="shared" ca="1" si="13"/>
        <v>17</v>
      </c>
      <c r="AN120" s="200">
        <f t="shared" ca="1" si="14"/>
        <v>1</v>
      </c>
      <c r="AO120" s="200">
        <f t="shared" ca="1" si="15"/>
        <v>0</v>
      </c>
      <c r="AP120" s="200">
        <f t="shared" ca="1" si="16"/>
        <v>0</v>
      </c>
      <c r="AQ120" s="200">
        <f t="shared" ca="1" si="17"/>
        <v>0</v>
      </c>
      <c r="AR120" s="200">
        <f t="shared" ca="1" si="18"/>
        <v>0</v>
      </c>
      <c r="AS120" s="201"/>
      <c r="AT120" s="200">
        <f t="shared" si="19"/>
        <v>7</v>
      </c>
    </row>
    <row r="121" spans="1:46" ht="15.75" customHeight="1">
      <c r="A121" s="178"/>
      <c r="B121" s="179">
        <f t="shared" ca="1" si="0"/>
        <v>1</v>
      </c>
      <c r="C121" s="180">
        <f t="shared" ca="1" si="1"/>
        <v>17</v>
      </c>
      <c r="D121" s="180">
        <f t="shared" ca="1" si="2"/>
        <v>2</v>
      </c>
      <c r="E121" s="180" t="str">
        <f t="shared" ca="1" si="3"/>
        <v/>
      </c>
      <c r="F121" s="180" t="str">
        <f t="shared" ca="1" si="4"/>
        <v/>
      </c>
      <c r="G121" s="181" t="str">
        <f t="shared" ca="1" si="5"/>
        <v/>
      </c>
      <c r="H121" s="182" t="str">
        <f t="shared" ca="1" si="6"/>
        <v/>
      </c>
      <c r="I121" s="202"/>
      <c r="J121" s="214"/>
      <c r="K121" s="214" t="s">
        <v>145</v>
      </c>
      <c r="L121" s="214"/>
      <c r="M121" s="214"/>
      <c r="N121" s="214"/>
      <c r="O121" s="214"/>
      <c r="P121" s="214"/>
      <c r="Q121" s="215"/>
      <c r="R121" s="216" t="s">
        <v>160</v>
      </c>
      <c r="S121" s="217">
        <v>45826</v>
      </c>
      <c r="T121" s="218">
        <v>45826</v>
      </c>
      <c r="U121" s="219"/>
      <c r="V121" s="218"/>
      <c r="W121" s="220">
        <v>0</v>
      </c>
      <c r="X121" s="221"/>
      <c r="Y121" s="222"/>
      <c r="Z121" s="223"/>
      <c r="AA121" s="194"/>
      <c r="AB121" s="195"/>
      <c r="AC121" s="196"/>
      <c r="AD121" s="197"/>
      <c r="AE121" s="198"/>
      <c r="AF121" s="199"/>
      <c r="AG121" s="199">
        <f t="shared" ca="1" si="7"/>
        <v>0</v>
      </c>
      <c r="AH121" s="199">
        <f t="shared" ca="1" si="8"/>
        <v>0</v>
      </c>
      <c r="AI121" s="199">
        <f t="shared" si="9"/>
        <v>0</v>
      </c>
      <c r="AJ121" s="199">
        <f t="shared" ca="1" si="10"/>
        <v>0</v>
      </c>
      <c r="AK121" s="199" t="str">
        <f t="shared" ca="1" si="11"/>
        <v/>
      </c>
      <c r="AL121" s="200">
        <f t="shared" ca="1" si="12"/>
        <v>1</v>
      </c>
      <c r="AM121" s="200">
        <f t="shared" ca="1" si="13"/>
        <v>17</v>
      </c>
      <c r="AN121" s="200">
        <f t="shared" ca="1" si="14"/>
        <v>2</v>
      </c>
      <c r="AO121" s="200">
        <f t="shared" ca="1" si="15"/>
        <v>0</v>
      </c>
      <c r="AP121" s="200">
        <f t="shared" ca="1" si="16"/>
        <v>0</v>
      </c>
      <c r="AQ121" s="200">
        <f t="shared" ca="1" si="17"/>
        <v>0</v>
      </c>
      <c r="AR121" s="200">
        <f t="shared" ca="1" si="18"/>
        <v>0</v>
      </c>
      <c r="AS121" s="201"/>
      <c r="AT121" s="200">
        <f t="shared" si="19"/>
        <v>1</v>
      </c>
    </row>
    <row r="122" spans="1:46" ht="15.75" customHeight="1">
      <c r="A122" s="178"/>
      <c r="B122" s="179">
        <f t="shared" ca="1" si="0"/>
        <v>1</v>
      </c>
      <c r="C122" s="180">
        <f t="shared" ca="1" si="1"/>
        <v>17</v>
      </c>
      <c r="D122" s="180">
        <f t="shared" ca="1" si="2"/>
        <v>3</v>
      </c>
      <c r="E122" s="180" t="str">
        <f t="shared" ca="1" si="3"/>
        <v/>
      </c>
      <c r="F122" s="180" t="str">
        <f t="shared" ca="1" si="4"/>
        <v/>
      </c>
      <c r="G122" s="181" t="str">
        <f t="shared" ca="1" si="5"/>
        <v/>
      </c>
      <c r="H122" s="182" t="str">
        <f t="shared" ca="1" si="6"/>
        <v/>
      </c>
      <c r="I122" s="202"/>
      <c r="J122" s="214"/>
      <c r="K122" s="214" t="s">
        <v>63</v>
      </c>
      <c r="L122" s="214"/>
      <c r="M122" s="214"/>
      <c r="N122" s="214"/>
      <c r="O122" s="214"/>
      <c r="P122" s="214"/>
      <c r="Q122" s="215"/>
      <c r="R122" s="216" t="s">
        <v>163</v>
      </c>
      <c r="S122" s="217">
        <v>45832</v>
      </c>
      <c r="T122" s="218">
        <v>45833</v>
      </c>
      <c r="U122" s="219"/>
      <c r="V122" s="218"/>
      <c r="W122" s="220">
        <v>0</v>
      </c>
      <c r="X122" s="221"/>
      <c r="Y122" s="222"/>
      <c r="Z122" s="223"/>
      <c r="AA122" s="194"/>
      <c r="AB122" s="195"/>
      <c r="AC122" s="196"/>
      <c r="AD122" s="197"/>
      <c r="AE122" s="198"/>
      <c r="AF122" s="199"/>
      <c r="AG122" s="199">
        <f t="shared" ca="1" si="7"/>
        <v>0</v>
      </c>
      <c r="AH122" s="199">
        <f t="shared" ca="1" si="8"/>
        <v>0</v>
      </c>
      <c r="AI122" s="199">
        <f t="shared" si="9"/>
        <v>0</v>
      </c>
      <c r="AJ122" s="199">
        <f t="shared" ca="1" si="10"/>
        <v>0</v>
      </c>
      <c r="AK122" s="199" t="str">
        <f t="shared" ca="1" si="11"/>
        <v/>
      </c>
      <c r="AL122" s="200">
        <f t="shared" ca="1" si="12"/>
        <v>1</v>
      </c>
      <c r="AM122" s="200">
        <f t="shared" ca="1" si="13"/>
        <v>17</v>
      </c>
      <c r="AN122" s="200">
        <f t="shared" ca="1" si="14"/>
        <v>3</v>
      </c>
      <c r="AO122" s="200">
        <f t="shared" ca="1" si="15"/>
        <v>0</v>
      </c>
      <c r="AP122" s="200">
        <f t="shared" ca="1" si="16"/>
        <v>0</v>
      </c>
      <c r="AQ122" s="200">
        <f t="shared" ca="1" si="17"/>
        <v>0</v>
      </c>
      <c r="AR122" s="200">
        <f t="shared" ca="1" si="18"/>
        <v>0</v>
      </c>
      <c r="AS122" s="201"/>
      <c r="AT122" s="200">
        <f t="shared" si="19"/>
        <v>2</v>
      </c>
    </row>
    <row r="123" spans="1:46" ht="15.75" customHeight="1">
      <c r="A123" s="178"/>
      <c r="B123" s="179">
        <f t="shared" ca="1" si="0"/>
        <v>1</v>
      </c>
      <c r="C123" s="180">
        <f t="shared" ca="1" si="1"/>
        <v>17</v>
      </c>
      <c r="D123" s="180">
        <f t="shared" ca="1" si="2"/>
        <v>4</v>
      </c>
      <c r="E123" s="180" t="str">
        <f t="shared" ca="1" si="3"/>
        <v/>
      </c>
      <c r="F123" s="180" t="str">
        <f t="shared" ca="1" si="4"/>
        <v/>
      </c>
      <c r="G123" s="181" t="str">
        <f t="shared" ca="1" si="5"/>
        <v/>
      </c>
      <c r="H123" s="182" t="str">
        <f t="shared" ca="1" si="6"/>
        <v/>
      </c>
      <c r="I123" s="202"/>
      <c r="J123" s="214"/>
      <c r="K123" s="214" t="s">
        <v>64</v>
      </c>
      <c r="L123" s="214"/>
      <c r="M123" s="214"/>
      <c r="N123" s="214"/>
      <c r="O123" s="214"/>
      <c r="P123" s="214"/>
      <c r="Q123" s="215"/>
      <c r="R123" s="216" t="s">
        <v>160</v>
      </c>
      <c r="S123" s="217">
        <v>45834</v>
      </c>
      <c r="T123" s="218">
        <v>45834</v>
      </c>
      <c r="U123" s="219"/>
      <c r="V123" s="218"/>
      <c r="W123" s="220">
        <v>0</v>
      </c>
      <c r="X123" s="221"/>
      <c r="Y123" s="222"/>
      <c r="Z123" s="223"/>
      <c r="AA123" s="194"/>
      <c r="AB123" s="195"/>
      <c r="AC123" s="196"/>
      <c r="AD123" s="197"/>
      <c r="AE123" s="198"/>
      <c r="AF123" s="199"/>
      <c r="AG123" s="199">
        <f t="shared" ca="1" si="7"/>
        <v>0</v>
      </c>
      <c r="AH123" s="199">
        <f t="shared" ca="1" si="8"/>
        <v>0</v>
      </c>
      <c r="AI123" s="199">
        <f t="shared" si="9"/>
        <v>0</v>
      </c>
      <c r="AJ123" s="199">
        <f t="shared" ca="1" si="10"/>
        <v>0</v>
      </c>
      <c r="AK123" s="199" t="str">
        <f t="shared" ca="1" si="11"/>
        <v/>
      </c>
      <c r="AL123" s="200">
        <f t="shared" ca="1" si="12"/>
        <v>1</v>
      </c>
      <c r="AM123" s="200">
        <f t="shared" ca="1" si="13"/>
        <v>17</v>
      </c>
      <c r="AN123" s="200">
        <f t="shared" ca="1" si="14"/>
        <v>4</v>
      </c>
      <c r="AO123" s="200">
        <f t="shared" ca="1" si="15"/>
        <v>0</v>
      </c>
      <c r="AP123" s="200">
        <f t="shared" ca="1" si="16"/>
        <v>0</v>
      </c>
      <c r="AQ123" s="200">
        <f t="shared" ca="1" si="17"/>
        <v>0</v>
      </c>
      <c r="AR123" s="200">
        <f t="shared" ca="1" si="18"/>
        <v>0</v>
      </c>
      <c r="AS123" s="201"/>
      <c r="AT123" s="200">
        <f t="shared" si="19"/>
        <v>1</v>
      </c>
    </row>
    <row r="124" spans="1:46" ht="15.75" customHeight="1">
      <c r="A124" s="178"/>
      <c r="B124" s="179">
        <f t="shared" ca="1" si="0"/>
        <v>1</v>
      </c>
      <c r="C124" s="180">
        <f t="shared" ca="1" si="1"/>
        <v>17</v>
      </c>
      <c r="D124" s="180">
        <f t="shared" ca="1" si="2"/>
        <v>5</v>
      </c>
      <c r="E124" s="180" t="str">
        <f t="shared" ca="1" si="3"/>
        <v/>
      </c>
      <c r="F124" s="180" t="str">
        <f t="shared" ca="1" si="4"/>
        <v/>
      </c>
      <c r="G124" s="181" t="str">
        <f t="shared" ca="1" si="5"/>
        <v/>
      </c>
      <c r="H124" s="182" t="str">
        <f t="shared" ca="1" si="6"/>
        <v/>
      </c>
      <c r="I124" s="202"/>
      <c r="J124" s="214"/>
      <c r="K124" s="214" t="s">
        <v>65</v>
      </c>
      <c r="L124" s="214"/>
      <c r="M124" s="214"/>
      <c r="N124" s="214"/>
      <c r="O124" s="214"/>
      <c r="P124" s="214"/>
      <c r="Q124" s="215"/>
      <c r="R124" s="216" t="s">
        <v>163</v>
      </c>
      <c r="S124" s="217">
        <v>45835</v>
      </c>
      <c r="T124" s="218">
        <v>45835</v>
      </c>
      <c r="U124" s="219"/>
      <c r="V124" s="218"/>
      <c r="W124" s="220">
        <v>0</v>
      </c>
      <c r="X124" s="221"/>
      <c r="Y124" s="222"/>
      <c r="Z124" s="223"/>
      <c r="AA124" s="194"/>
      <c r="AB124" s="195"/>
      <c r="AC124" s="196"/>
      <c r="AD124" s="197"/>
      <c r="AE124" s="198"/>
      <c r="AF124" s="199"/>
      <c r="AG124" s="199">
        <f t="shared" ca="1" si="7"/>
        <v>0</v>
      </c>
      <c r="AH124" s="199">
        <f t="shared" ca="1" si="8"/>
        <v>0</v>
      </c>
      <c r="AI124" s="199">
        <f t="shared" si="9"/>
        <v>0</v>
      </c>
      <c r="AJ124" s="199">
        <f t="shared" ca="1" si="10"/>
        <v>0</v>
      </c>
      <c r="AK124" s="199" t="str">
        <f t="shared" ca="1" si="11"/>
        <v/>
      </c>
      <c r="AL124" s="200">
        <f t="shared" ca="1" si="12"/>
        <v>1</v>
      </c>
      <c r="AM124" s="200">
        <f t="shared" ca="1" si="13"/>
        <v>17</v>
      </c>
      <c r="AN124" s="200">
        <f t="shared" ca="1" si="14"/>
        <v>5</v>
      </c>
      <c r="AO124" s="200">
        <f t="shared" ca="1" si="15"/>
        <v>0</v>
      </c>
      <c r="AP124" s="200">
        <f t="shared" ca="1" si="16"/>
        <v>0</v>
      </c>
      <c r="AQ124" s="200">
        <f t="shared" ca="1" si="17"/>
        <v>0</v>
      </c>
      <c r="AR124" s="200">
        <f t="shared" ca="1" si="18"/>
        <v>0</v>
      </c>
      <c r="AS124" s="201"/>
      <c r="AT124" s="200">
        <f t="shared" si="19"/>
        <v>1</v>
      </c>
    </row>
    <row r="125" spans="1:46" ht="15.75" customHeight="1">
      <c r="A125" s="178"/>
      <c r="B125" s="179">
        <f t="shared" ca="1" si="0"/>
        <v>1</v>
      </c>
      <c r="C125" s="180">
        <f t="shared" ca="1" si="1"/>
        <v>17</v>
      </c>
      <c r="D125" s="180">
        <f t="shared" ca="1" si="2"/>
        <v>6</v>
      </c>
      <c r="E125" s="180" t="str">
        <f t="shared" ca="1" si="3"/>
        <v/>
      </c>
      <c r="F125" s="180" t="str">
        <f t="shared" ca="1" si="4"/>
        <v/>
      </c>
      <c r="G125" s="181" t="str">
        <f t="shared" ca="1" si="5"/>
        <v/>
      </c>
      <c r="H125" s="182" t="str">
        <f t="shared" ca="1" si="6"/>
        <v/>
      </c>
      <c r="I125" s="202"/>
      <c r="J125" s="214"/>
      <c r="K125" s="214" t="s">
        <v>66</v>
      </c>
      <c r="L125" s="214"/>
      <c r="M125" s="214"/>
      <c r="N125" s="214"/>
      <c r="O125" s="214"/>
      <c r="P125" s="214"/>
      <c r="Q125" s="215"/>
      <c r="R125" s="216" t="s">
        <v>160</v>
      </c>
      <c r="S125" s="217">
        <v>45838</v>
      </c>
      <c r="T125" s="218">
        <v>45838</v>
      </c>
      <c r="U125" s="219"/>
      <c r="V125" s="218"/>
      <c r="W125" s="220">
        <v>0</v>
      </c>
      <c r="X125" s="221"/>
      <c r="Y125" s="222"/>
      <c r="Z125" s="223"/>
      <c r="AA125" s="194"/>
      <c r="AB125" s="195"/>
      <c r="AC125" s="196"/>
      <c r="AD125" s="197"/>
      <c r="AE125" s="198"/>
      <c r="AF125" s="199"/>
      <c r="AG125" s="199">
        <f t="shared" ca="1" si="7"/>
        <v>0</v>
      </c>
      <c r="AH125" s="199">
        <f t="shared" ca="1" si="8"/>
        <v>0</v>
      </c>
      <c r="AI125" s="199">
        <f t="shared" si="9"/>
        <v>0</v>
      </c>
      <c r="AJ125" s="199">
        <f t="shared" ca="1" si="10"/>
        <v>0</v>
      </c>
      <c r="AK125" s="199" t="str">
        <f t="shared" ca="1" si="11"/>
        <v/>
      </c>
      <c r="AL125" s="200">
        <f t="shared" ca="1" si="12"/>
        <v>1</v>
      </c>
      <c r="AM125" s="200">
        <f t="shared" ca="1" si="13"/>
        <v>17</v>
      </c>
      <c r="AN125" s="200">
        <f t="shared" ca="1" si="14"/>
        <v>6</v>
      </c>
      <c r="AO125" s="200">
        <f t="shared" ca="1" si="15"/>
        <v>0</v>
      </c>
      <c r="AP125" s="200">
        <f t="shared" ca="1" si="16"/>
        <v>0</v>
      </c>
      <c r="AQ125" s="200">
        <f t="shared" ca="1" si="17"/>
        <v>0</v>
      </c>
      <c r="AR125" s="200">
        <f t="shared" ca="1" si="18"/>
        <v>0</v>
      </c>
      <c r="AS125" s="201"/>
      <c r="AT125" s="200">
        <f t="shared" si="19"/>
        <v>1</v>
      </c>
    </row>
    <row r="126" spans="1:46" ht="15.75" customHeight="1">
      <c r="A126" s="178"/>
      <c r="B126" s="179">
        <f t="shared" ca="1" si="0"/>
        <v>1</v>
      </c>
      <c r="C126" s="180">
        <f t="shared" ca="1" si="1"/>
        <v>18</v>
      </c>
      <c r="D126" s="180" t="str">
        <f t="shared" ca="1" si="2"/>
        <v/>
      </c>
      <c r="E126" s="180" t="str">
        <f t="shared" ca="1" si="3"/>
        <v/>
      </c>
      <c r="F126" s="180" t="str">
        <f t="shared" ca="1" si="4"/>
        <v/>
      </c>
      <c r="G126" s="181" t="str">
        <f t="shared" ca="1" si="5"/>
        <v/>
      </c>
      <c r="H126" s="182" t="str">
        <f t="shared" ca="1" si="6"/>
        <v/>
      </c>
      <c r="I126" s="202"/>
      <c r="J126" s="224" t="s">
        <v>170</v>
      </c>
      <c r="K126" s="225"/>
      <c r="L126" s="225"/>
      <c r="M126" s="225"/>
      <c r="N126" s="225"/>
      <c r="O126" s="225"/>
      <c r="P126" s="225"/>
      <c r="Q126" s="205" t="s">
        <v>73</v>
      </c>
      <c r="R126" s="206"/>
      <c r="S126" s="207"/>
      <c r="T126" s="208"/>
      <c r="U126" s="209"/>
      <c r="V126" s="208"/>
      <c r="W126" s="210"/>
      <c r="X126" s="211"/>
      <c r="Y126" s="226"/>
      <c r="Z126" s="227"/>
      <c r="AA126" s="194"/>
      <c r="AB126" s="195"/>
      <c r="AC126" s="196"/>
      <c r="AD126" s="197"/>
      <c r="AE126" s="198"/>
      <c r="AF126" s="199"/>
      <c r="AG126" s="199">
        <f t="shared" si="7"/>
        <v>0</v>
      </c>
      <c r="AH126" s="199">
        <f t="shared" si="8"/>
        <v>0</v>
      </c>
      <c r="AI126" s="199">
        <f t="shared" si="9"/>
        <v>0</v>
      </c>
      <c r="AJ126" s="199">
        <f t="shared" si="10"/>
        <v>0</v>
      </c>
      <c r="AK126" s="199" t="str">
        <f t="shared" si="11"/>
        <v/>
      </c>
      <c r="AL126" s="200">
        <f t="shared" ca="1" si="12"/>
        <v>1</v>
      </c>
      <c r="AM126" s="200">
        <f t="shared" ca="1" si="13"/>
        <v>18</v>
      </c>
      <c r="AN126" s="200">
        <f t="shared" ca="1" si="14"/>
        <v>0</v>
      </c>
      <c r="AO126" s="200">
        <f t="shared" ca="1" si="15"/>
        <v>0</v>
      </c>
      <c r="AP126" s="200">
        <f t="shared" ca="1" si="16"/>
        <v>0</v>
      </c>
      <c r="AQ126" s="200">
        <f t="shared" ca="1" si="17"/>
        <v>0</v>
      </c>
      <c r="AR126" s="200">
        <f t="shared" ca="1" si="18"/>
        <v>0</v>
      </c>
      <c r="AS126" s="201"/>
      <c r="AT126" s="200">
        <f t="shared" si="19"/>
        <v>1</v>
      </c>
    </row>
    <row r="127" spans="1:46" ht="15.75" customHeight="1">
      <c r="A127" s="178"/>
      <c r="B127" s="179">
        <f t="shared" ca="1" si="0"/>
        <v>1</v>
      </c>
      <c r="C127" s="180">
        <f t="shared" ca="1" si="1"/>
        <v>18</v>
      </c>
      <c r="D127" s="180">
        <f t="shared" ca="1" si="2"/>
        <v>1</v>
      </c>
      <c r="E127" s="180" t="str">
        <f t="shared" ca="1" si="3"/>
        <v/>
      </c>
      <c r="F127" s="180" t="str">
        <f t="shared" ca="1" si="4"/>
        <v/>
      </c>
      <c r="G127" s="181" t="str">
        <f t="shared" ca="1" si="5"/>
        <v/>
      </c>
      <c r="H127" s="182" t="str">
        <f t="shared" ca="1" si="6"/>
        <v/>
      </c>
      <c r="I127" s="202"/>
      <c r="J127" s="214"/>
      <c r="K127" s="214" t="s">
        <v>59</v>
      </c>
      <c r="L127" s="214"/>
      <c r="M127" s="214"/>
      <c r="N127" s="214"/>
      <c r="O127" s="214"/>
      <c r="P127" s="214"/>
      <c r="Q127" s="215"/>
      <c r="R127" s="216" t="s">
        <v>160</v>
      </c>
      <c r="S127" s="217">
        <v>45819</v>
      </c>
      <c r="T127" s="218">
        <v>45825</v>
      </c>
      <c r="U127" s="219">
        <v>45818</v>
      </c>
      <c r="V127" s="218"/>
      <c r="W127" s="220">
        <v>0.6</v>
      </c>
      <c r="X127" s="221">
        <v>0.9</v>
      </c>
      <c r="Y127" s="222"/>
      <c r="Z127" s="223"/>
      <c r="AA127" s="194"/>
      <c r="AB127" s="195"/>
      <c r="AC127" s="196"/>
      <c r="AD127" s="197"/>
      <c r="AE127" s="198"/>
      <c r="AF127" s="199"/>
      <c r="AG127" s="199">
        <f t="shared" ca="1" si="7"/>
        <v>0</v>
      </c>
      <c r="AH127" s="199">
        <f t="shared" ca="1" si="8"/>
        <v>0</v>
      </c>
      <c r="AI127" s="199">
        <f t="shared" si="9"/>
        <v>0</v>
      </c>
      <c r="AJ127" s="199">
        <f t="shared" ca="1" si="10"/>
        <v>0</v>
      </c>
      <c r="AK127" s="199" t="str">
        <f t="shared" ca="1" si="11"/>
        <v/>
      </c>
      <c r="AL127" s="200">
        <f t="shared" ca="1" si="12"/>
        <v>1</v>
      </c>
      <c r="AM127" s="200">
        <f t="shared" ca="1" si="13"/>
        <v>18</v>
      </c>
      <c r="AN127" s="200">
        <f t="shared" ca="1" si="14"/>
        <v>1</v>
      </c>
      <c r="AO127" s="200">
        <f t="shared" ca="1" si="15"/>
        <v>0</v>
      </c>
      <c r="AP127" s="200">
        <f t="shared" ca="1" si="16"/>
        <v>0</v>
      </c>
      <c r="AQ127" s="200">
        <f t="shared" ca="1" si="17"/>
        <v>0</v>
      </c>
      <c r="AR127" s="200">
        <f t="shared" ca="1" si="18"/>
        <v>0</v>
      </c>
      <c r="AS127" s="201"/>
      <c r="AT127" s="200">
        <f t="shared" si="19"/>
        <v>7</v>
      </c>
    </row>
    <row r="128" spans="1:46" ht="15.75" customHeight="1">
      <c r="A128" s="178"/>
      <c r="B128" s="179">
        <f t="shared" ca="1" si="0"/>
        <v>1</v>
      </c>
      <c r="C128" s="180">
        <f t="shared" ca="1" si="1"/>
        <v>18</v>
      </c>
      <c r="D128" s="180">
        <f t="shared" ca="1" si="2"/>
        <v>2</v>
      </c>
      <c r="E128" s="180" t="str">
        <f t="shared" ca="1" si="3"/>
        <v/>
      </c>
      <c r="F128" s="180" t="str">
        <f t="shared" ca="1" si="4"/>
        <v/>
      </c>
      <c r="G128" s="181" t="str">
        <f t="shared" ca="1" si="5"/>
        <v/>
      </c>
      <c r="H128" s="182" t="str">
        <f t="shared" ca="1" si="6"/>
        <v/>
      </c>
      <c r="I128" s="202"/>
      <c r="J128" s="214"/>
      <c r="K128" s="214" t="s">
        <v>145</v>
      </c>
      <c r="L128" s="214"/>
      <c r="M128" s="214"/>
      <c r="N128" s="214"/>
      <c r="O128" s="214"/>
      <c r="P128" s="214"/>
      <c r="Q128" s="215"/>
      <c r="R128" s="216" t="s">
        <v>159</v>
      </c>
      <c r="S128" s="217">
        <v>45826</v>
      </c>
      <c r="T128" s="218">
        <v>45826</v>
      </c>
      <c r="U128" s="219"/>
      <c r="V128" s="218"/>
      <c r="W128" s="220">
        <v>0</v>
      </c>
      <c r="X128" s="221"/>
      <c r="Y128" s="222"/>
      <c r="Z128" s="223"/>
      <c r="AA128" s="194"/>
      <c r="AB128" s="195"/>
      <c r="AC128" s="196"/>
      <c r="AD128" s="197"/>
      <c r="AE128" s="198"/>
      <c r="AF128" s="199"/>
      <c r="AG128" s="199">
        <f t="shared" ca="1" si="7"/>
        <v>0</v>
      </c>
      <c r="AH128" s="199">
        <f t="shared" ca="1" si="8"/>
        <v>0</v>
      </c>
      <c r="AI128" s="199">
        <f t="shared" si="9"/>
        <v>0</v>
      </c>
      <c r="AJ128" s="199">
        <f t="shared" ca="1" si="10"/>
        <v>0</v>
      </c>
      <c r="AK128" s="199" t="str">
        <f t="shared" ca="1" si="11"/>
        <v/>
      </c>
      <c r="AL128" s="200">
        <f t="shared" ca="1" si="12"/>
        <v>1</v>
      </c>
      <c r="AM128" s="200">
        <f t="shared" ca="1" si="13"/>
        <v>18</v>
      </c>
      <c r="AN128" s="200">
        <f t="shared" ca="1" si="14"/>
        <v>2</v>
      </c>
      <c r="AO128" s="200">
        <f t="shared" ca="1" si="15"/>
        <v>0</v>
      </c>
      <c r="AP128" s="200">
        <f t="shared" ca="1" si="16"/>
        <v>0</v>
      </c>
      <c r="AQ128" s="200">
        <f t="shared" ca="1" si="17"/>
        <v>0</v>
      </c>
      <c r="AR128" s="200">
        <f t="shared" ca="1" si="18"/>
        <v>0</v>
      </c>
      <c r="AS128" s="201"/>
      <c r="AT128" s="200">
        <f t="shared" si="19"/>
        <v>1</v>
      </c>
    </row>
    <row r="129" spans="1:46" ht="15.75" customHeight="1">
      <c r="A129" s="178"/>
      <c r="B129" s="179">
        <f t="shared" ca="1" si="0"/>
        <v>1</v>
      </c>
      <c r="C129" s="180">
        <f t="shared" ca="1" si="1"/>
        <v>18</v>
      </c>
      <c r="D129" s="180">
        <f t="shared" ca="1" si="2"/>
        <v>3</v>
      </c>
      <c r="E129" s="180" t="str">
        <f t="shared" ca="1" si="3"/>
        <v/>
      </c>
      <c r="F129" s="180" t="str">
        <f t="shared" ca="1" si="4"/>
        <v/>
      </c>
      <c r="G129" s="181" t="str">
        <f t="shared" ca="1" si="5"/>
        <v/>
      </c>
      <c r="H129" s="182" t="str">
        <f t="shared" ca="1" si="6"/>
        <v/>
      </c>
      <c r="I129" s="202"/>
      <c r="J129" s="214"/>
      <c r="K129" s="214" t="s">
        <v>63</v>
      </c>
      <c r="L129" s="214"/>
      <c r="M129" s="214"/>
      <c r="N129" s="214"/>
      <c r="O129" s="214"/>
      <c r="P129" s="214"/>
      <c r="Q129" s="215"/>
      <c r="R129" s="216" t="s">
        <v>160</v>
      </c>
      <c r="S129" s="217">
        <v>45832</v>
      </c>
      <c r="T129" s="218">
        <v>45833</v>
      </c>
      <c r="U129" s="219"/>
      <c r="V129" s="218"/>
      <c r="W129" s="220">
        <v>0</v>
      </c>
      <c r="X129" s="221"/>
      <c r="Y129" s="222"/>
      <c r="Z129" s="223"/>
      <c r="AA129" s="194"/>
      <c r="AB129" s="195"/>
      <c r="AC129" s="196"/>
      <c r="AD129" s="197"/>
      <c r="AE129" s="198"/>
      <c r="AF129" s="199"/>
      <c r="AG129" s="199">
        <f t="shared" ca="1" si="7"/>
        <v>0</v>
      </c>
      <c r="AH129" s="199">
        <f t="shared" ca="1" si="8"/>
        <v>0</v>
      </c>
      <c r="AI129" s="199">
        <f t="shared" si="9"/>
        <v>0</v>
      </c>
      <c r="AJ129" s="199">
        <f t="shared" ca="1" si="10"/>
        <v>0</v>
      </c>
      <c r="AK129" s="199" t="str">
        <f t="shared" ca="1" si="11"/>
        <v/>
      </c>
      <c r="AL129" s="200">
        <f t="shared" ca="1" si="12"/>
        <v>1</v>
      </c>
      <c r="AM129" s="200">
        <f t="shared" ca="1" si="13"/>
        <v>18</v>
      </c>
      <c r="AN129" s="200">
        <f t="shared" ca="1" si="14"/>
        <v>3</v>
      </c>
      <c r="AO129" s="200">
        <f t="shared" ca="1" si="15"/>
        <v>0</v>
      </c>
      <c r="AP129" s="200">
        <f t="shared" ca="1" si="16"/>
        <v>0</v>
      </c>
      <c r="AQ129" s="200">
        <f t="shared" ca="1" si="17"/>
        <v>0</v>
      </c>
      <c r="AR129" s="200">
        <f t="shared" ca="1" si="18"/>
        <v>0</v>
      </c>
      <c r="AS129" s="201"/>
      <c r="AT129" s="200">
        <f t="shared" si="19"/>
        <v>2</v>
      </c>
    </row>
    <row r="130" spans="1:46" ht="15.75" customHeight="1">
      <c r="A130" s="178"/>
      <c r="B130" s="179">
        <f t="shared" ca="1" si="0"/>
        <v>1</v>
      </c>
      <c r="C130" s="180">
        <f t="shared" ca="1" si="1"/>
        <v>18</v>
      </c>
      <c r="D130" s="180">
        <f t="shared" ca="1" si="2"/>
        <v>4</v>
      </c>
      <c r="E130" s="180" t="str">
        <f t="shared" ca="1" si="3"/>
        <v/>
      </c>
      <c r="F130" s="180" t="str">
        <f t="shared" ca="1" si="4"/>
        <v/>
      </c>
      <c r="G130" s="181" t="str">
        <f t="shared" ca="1" si="5"/>
        <v/>
      </c>
      <c r="H130" s="182" t="str">
        <f t="shared" ca="1" si="6"/>
        <v/>
      </c>
      <c r="I130" s="202"/>
      <c r="J130" s="214"/>
      <c r="K130" s="214" t="s">
        <v>64</v>
      </c>
      <c r="L130" s="214"/>
      <c r="M130" s="214"/>
      <c r="N130" s="214"/>
      <c r="O130" s="214"/>
      <c r="P130" s="214"/>
      <c r="Q130" s="215"/>
      <c r="R130" s="216" t="s">
        <v>159</v>
      </c>
      <c r="S130" s="217">
        <v>45834</v>
      </c>
      <c r="T130" s="218">
        <v>45834</v>
      </c>
      <c r="U130" s="219"/>
      <c r="V130" s="218"/>
      <c r="W130" s="220">
        <v>0</v>
      </c>
      <c r="X130" s="221"/>
      <c r="Y130" s="222"/>
      <c r="Z130" s="223"/>
      <c r="AA130" s="194"/>
      <c r="AB130" s="195"/>
      <c r="AC130" s="196"/>
      <c r="AD130" s="197"/>
      <c r="AE130" s="198"/>
      <c r="AF130" s="199"/>
      <c r="AG130" s="199">
        <f t="shared" ca="1" si="7"/>
        <v>0</v>
      </c>
      <c r="AH130" s="199">
        <f t="shared" ca="1" si="8"/>
        <v>0</v>
      </c>
      <c r="AI130" s="199">
        <f t="shared" si="9"/>
        <v>0</v>
      </c>
      <c r="AJ130" s="199">
        <f t="shared" ca="1" si="10"/>
        <v>0</v>
      </c>
      <c r="AK130" s="199" t="str">
        <f t="shared" ca="1" si="11"/>
        <v/>
      </c>
      <c r="AL130" s="200">
        <f t="shared" ca="1" si="12"/>
        <v>1</v>
      </c>
      <c r="AM130" s="200">
        <f t="shared" ca="1" si="13"/>
        <v>18</v>
      </c>
      <c r="AN130" s="200">
        <f t="shared" ca="1" si="14"/>
        <v>4</v>
      </c>
      <c r="AO130" s="200">
        <f t="shared" ca="1" si="15"/>
        <v>0</v>
      </c>
      <c r="AP130" s="200">
        <f t="shared" ca="1" si="16"/>
        <v>0</v>
      </c>
      <c r="AQ130" s="200">
        <f t="shared" ca="1" si="17"/>
        <v>0</v>
      </c>
      <c r="AR130" s="200">
        <f t="shared" ca="1" si="18"/>
        <v>0</v>
      </c>
      <c r="AS130" s="201"/>
      <c r="AT130" s="200">
        <f t="shared" si="19"/>
        <v>1</v>
      </c>
    </row>
    <row r="131" spans="1:46" ht="15.75" customHeight="1">
      <c r="A131" s="178"/>
      <c r="B131" s="179">
        <f t="shared" ca="1" si="0"/>
        <v>1</v>
      </c>
      <c r="C131" s="180">
        <f t="shared" ca="1" si="1"/>
        <v>18</v>
      </c>
      <c r="D131" s="180">
        <f t="shared" ca="1" si="2"/>
        <v>5</v>
      </c>
      <c r="E131" s="180" t="str">
        <f t="shared" ca="1" si="3"/>
        <v/>
      </c>
      <c r="F131" s="180" t="str">
        <f t="shared" ca="1" si="4"/>
        <v/>
      </c>
      <c r="G131" s="181" t="str">
        <f t="shared" ca="1" si="5"/>
        <v/>
      </c>
      <c r="H131" s="182" t="str">
        <f t="shared" ca="1" si="6"/>
        <v/>
      </c>
      <c r="I131" s="202"/>
      <c r="J131" s="214"/>
      <c r="K131" s="214" t="s">
        <v>65</v>
      </c>
      <c r="L131" s="214"/>
      <c r="M131" s="214"/>
      <c r="N131" s="214"/>
      <c r="O131" s="214"/>
      <c r="P131" s="214"/>
      <c r="Q131" s="215"/>
      <c r="R131" s="216" t="s">
        <v>160</v>
      </c>
      <c r="S131" s="217">
        <v>45835</v>
      </c>
      <c r="T131" s="218">
        <v>45835</v>
      </c>
      <c r="U131" s="219"/>
      <c r="V131" s="218"/>
      <c r="W131" s="220">
        <v>0</v>
      </c>
      <c r="X131" s="221"/>
      <c r="Y131" s="222"/>
      <c r="Z131" s="223"/>
      <c r="AA131" s="194"/>
      <c r="AB131" s="195"/>
      <c r="AC131" s="196"/>
      <c r="AD131" s="197"/>
      <c r="AE131" s="198"/>
      <c r="AF131" s="199"/>
      <c r="AG131" s="199">
        <f t="shared" ca="1" si="7"/>
        <v>0</v>
      </c>
      <c r="AH131" s="199">
        <f t="shared" ca="1" si="8"/>
        <v>0</v>
      </c>
      <c r="AI131" s="199">
        <f t="shared" si="9"/>
        <v>0</v>
      </c>
      <c r="AJ131" s="199">
        <f t="shared" ca="1" si="10"/>
        <v>0</v>
      </c>
      <c r="AK131" s="199" t="str">
        <f t="shared" ca="1" si="11"/>
        <v/>
      </c>
      <c r="AL131" s="200">
        <f t="shared" ca="1" si="12"/>
        <v>1</v>
      </c>
      <c r="AM131" s="200">
        <f t="shared" ca="1" si="13"/>
        <v>18</v>
      </c>
      <c r="AN131" s="200">
        <f t="shared" ca="1" si="14"/>
        <v>5</v>
      </c>
      <c r="AO131" s="200">
        <f t="shared" ca="1" si="15"/>
        <v>0</v>
      </c>
      <c r="AP131" s="200">
        <f t="shared" ca="1" si="16"/>
        <v>0</v>
      </c>
      <c r="AQ131" s="200">
        <f t="shared" ca="1" si="17"/>
        <v>0</v>
      </c>
      <c r="AR131" s="200">
        <f t="shared" ca="1" si="18"/>
        <v>0</v>
      </c>
      <c r="AS131" s="201"/>
      <c r="AT131" s="200">
        <f t="shared" si="19"/>
        <v>1</v>
      </c>
    </row>
    <row r="132" spans="1:46" ht="15.75" customHeight="1">
      <c r="A132" s="178"/>
      <c r="B132" s="179">
        <f t="shared" ca="1" si="0"/>
        <v>1</v>
      </c>
      <c r="C132" s="180">
        <f t="shared" ca="1" si="1"/>
        <v>18</v>
      </c>
      <c r="D132" s="180">
        <f t="shared" ca="1" si="2"/>
        <v>6</v>
      </c>
      <c r="E132" s="180" t="str">
        <f t="shared" ca="1" si="3"/>
        <v/>
      </c>
      <c r="F132" s="180" t="str">
        <f t="shared" ca="1" si="4"/>
        <v/>
      </c>
      <c r="G132" s="181" t="str">
        <f t="shared" ca="1" si="5"/>
        <v/>
      </c>
      <c r="H132" s="182" t="str">
        <f t="shared" ca="1" si="6"/>
        <v/>
      </c>
      <c r="I132" s="202"/>
      <c r="J132" s="214"/>
      <c r="K132" s="214" t="s">
        <v>66</v>
      </c>
      <c r="L132" s="214"/>
      <c r="M132" s="214"/>
      <c r="N132" s="214"/>
      <c r="O132" s="214"/>
      <c r="P132" s="214"/>
      <c r="Q132" s="215"/>
      <c r="R132" s="216" t="s">
        <v>159</v>
      </c>
      <c r="S132" s="217">
        <v>45838</v>
      </c>
      <c r="T132" s="218">
        <v>45838</v>
      </c>
      <c r="U132" s="219"/>
      <c r="V132" s="218"/>
      <c r="W132" s="220">
        <v>0</v>
      </c>
      <c r="X132" s="221"/>
      <c r="Y132" s="222"/>
      <c r="Z132" s="223"/>
      <c r="AA132" s="194"/>
      <c r="AB132" s="195"/>
      <c r="AC132" s="196"/>
      <c r="AD132" s="197"/>
      <c r="AE132" s="198"/>
      <c r="AF132" s="199"/>
      <c r="AG132" s="199">
        <f t="shared" ca="1" si="7"/>
        <v>0</v>
      </c>
      <c r="AH132" s="199">
        <f t="shared" ca="1" si="8"/>
        <v>0</v>
      </c>
      <c r="AI132" s="199">
        <f t="shared" si="9"/>
        <v>0</v>
      </c>
      <c r="AJ132" s="199">
        <f t="shared" ca="1" si="10"/>
        <v>0</v>
      </c>
      <c r="AK132" s="199" t="str">
        <f t="shared" ca="1" si="11"/>
        <v/>
      </c>
      <c r="AL132" s="200">
        <f t="shared" ca="1" si="12"/>
        <v>1</v>
      </c>
      <c r="AM132" s="200">
        <f t="shared" ca="1" si="13"/>
        <v>18</v>
      </c>
      <c r="AN132" s="200">
        <f t="shared" ca="1" si="14"/>
        <v>6</v>
      </c>
      <c r="AO132" s="200">
        <f t="shared" ca="1" si="15"/>
        <v>0</v>
      </c>
      <c r="AP132" s="200">
        <f t="shared" ca="1" si="16"/>
        <v>0</v>
      </c>
      <c r="AQ132" s="200">
        <f t="shared" ca="1" si="17"/>
        <v>0</v>
      </c>
      <c r="AR132" s="200">
        <f t="shared" ca="1" si="18"/>
        <v>0</v>
      </c>
      <c r="AS132" s="201"/>
      <c r="AT132" s="200">
        <f t="shared" si="19"/>
        <v>1</v>
      </c>
    </row>
    <row r="133" spans="1:46" ht="15.75" customHeight="1">
      <c r="A133" s="178"/>
      <c r="B133" s="179">
        <f t="shared" ca="1" si="0"/>
        <v>1</v>
      </c>
      <c r="C133" s="180">
        <f t="shared" ca="1" si="1"/>
        <v>19</v>
      </c>
      <c r="D133" s="180" t="str">
        <f t="shared" ca="1" si="2"/>
        <v/>
      </c>
      <c r="E133" s="180" t="str">
        <f t="shared" ca="1" si="3"/>
        <v/>
      </c>
      <c r="F133" s="180" t="str">
        <f t="shared" ca="1" si="4"/>
        <v/>
      </c>
      <c r="G133" s="181" t="str">
        <f t="shared" ca="1" si="5"/>
        <v/>
      </c>
      <c r="H133" s="182" t="str">
        <f t="shared" ca="1" si="6"/>
        <v/>
      </c>
      <c r="I133" s="202"/>
      <c r="J133" s="224" t="s">
        <v>171</v>
      </c>
      <c r="K133" s="225"/>
      <c r="L133" s="225"/>
      <c r="M133" s="225"/>
      <c r="N133" s="225"/>
      <c r="O133" s="225"/>
      <c r="P133" s="225"/>
      <c r="Q133" s="205" t="s">
        <v>73</v>
      </c>
      <c r="R133" s="206"/>
      <c r="S133" s="207"/>
      <c r="T133" s="208"/>
      <c r="U133" s="209"/>
      <c r="V133" s="208"/>
      <c r="W133" s="210"/>
      <c r="X133" s="211"/>
      <c r="Y133" s="226"/>
      <c r="Z133" s="227"/>
      <c r="AA133" s="194"/>
      <c r="AB133" s="195"/>
      <c r="AC133" s="196"/>
      <c r="AD133" s="197"/>
      <c r="AE133" s="198"/>
      <c r="AF133" s="199"/>
      <c r="AG133" s="199">
        <f t="shared" si="7"/>
        <v>0</v>
      </c>
      <c r="AH133" s="199">
        <f t="shared" si="8"/>
        <v>0</v>
      </c>
      <c r="AI133" s="199">
        <f t="shared" si="9"/>
        <v>0</v>
      </c>
      <c r="AJ133" s="199">
        <f t="shared" si="10"/>
        <v>0</v>
      </c>
      <c r="AK133" s="199" t="str">
        <f t="shared" si="11"/>
        <v/>
      </c>
      <c r="AL133" s="200">
        <f t="shared" ca="1" si="12"/>
        <v>1</v>
      </c>
      <c r="AM133" s="200">
        <f t="shared" ca="1" si="13"/>
        <v>19</v>
      </c>
      <c r="AN133" s="200">
        <f t="shared" ca="1" si="14"/>
        <v>0</v>
      </c>
      <c r="AO133" s="200">
        <f t="shared" ca="1" si="15"/>
        <v>0</v>
      </c>
      <c r="AP133" s="200">
        <f t="shared" ca="1" si="16"/>
        <v>0</v>
      </c>
      <c r="AQ133" s="200">
        <f t="shared" ca="1" si="17"/>
        <v>0</v>
      </c>
      <c r="AR133" s="200">
        <f t="shared" ca="1" si="18"/>
        <v>0</v>
      </c>
      <c r="AS133" s="201"/>
      <c r="AT133" s="200">
        <f t="shared" si="19"/>
        <v>1</v>
      </c>
    </row>
    <row r="134" spans="1:46" ht="15.75" customHeight="1">
      <c r="A134" s="178"/>
      <c r="B134" s="179">
        <f t="shared" ca="1" si="0"/>
        <v>1</v>
      </c>
      <c r="C134" s="180">
        <f t="shared" ca="1" si="1"/>
        <v>19</v>
      </c>
      <c r="D134" s="180">
        <f t="shared" ca="1" si="2"/>
        <v>1</v>
      </c>
      <c r="E134" s="180" t="str">
        <f t="shared" ca="1" si="3"/>
        <v/>
      </c>
      <c r="F134" s="180" t="str">
        <f t="shared" ca="1" si="4"/>
        <v/>
      </c>
      <c r="G134" s="181" t="str">
        <f t="shared" ca="1" si="5"/>
        <v/>
      </c>
      <c r="H134" s="182" t="str">
        <f t="shared" ca="1" si="6"/>
        <v/>
      </c>
      <c r="I134" s="202"/>
      <c r="J134" s="229"/>
      <c r="K134" s="229" t="s">
        <v>59</v>
      </c>
      <c r="L134" s="229"/>
      <c r="M134" s="229"/>
      <c r="N134" s="229"/>
      <c r="O134" s="229"/>
      <c r="P134" s="229"/>
      <c r="Q134" s="230"/>
      <c r="R134" s="216" t="s">
        <v>159</v>
      </c>
      <c r="S134" s="217">
        <v>45819</v>
      </c>
      <c r="T134" s="218">
        <v>45825</v>
      </c>
      <c r="U134" s="219">
        <v>45818</v>
      </c>
      <c r="V134" s="231"/>
      <c r="W134" s="220">
        <v>0.6</v>
      </c>
      <c r="X134" s="221">
        <v>0.9</v>
      </c>
      <c r="Y134" s="232"/>
      <c r="Z134" s="233"/>
      <c r="AA134" s="194"/>
      <c r="AB134" s="195"/>
      <c r="AC134" s="196"/>
      <c r="AD134" s="197"/>
      <c r="AE134" s="198"/>
      <c r="AF134" s="199"/>
      <c r="AG134" s="199">
        <f t="shared" ca="1" si="7"/>
        <v>0</v>
      </c>
      <c r="AH134" s="199">
        <f t="shared" ca="1" si="8"/>
        <v>0</v>
      </c>
      <c r="AI134" s="199">
        <f t="shared" si="9"/>
        <v>0</v>
      </c>
      <c r="AJ134" s="199">
        <f t="shared" ca="1" si="10"/>
        <v>0</v>
      </c>
      <c r="AK134" s="199" t="str">
        <f t="shared" ca="1" si="11"/>
        <v/>
      </c>
      <c r="AL134" s="200">
        <f t="shared" ca="1" si="12"/>
        <v>1</v>
      </c>
      <c r="AM134" s="200">
        <f t="shared" ca="1" si="13"/>
        <v>19</v>
      </c>
      <c r="AN134" s="200">
        <f t="shared" ca="1" si="14"/>
        <v>1</v>
      </c>
      <c r="AO134" s="200">
        <f t="shared" ca="1" si="15"/>
        <v>0</v>
      </c>
      <c r="AP134" s="200">
        <f t="shared" ca="1" si="16"/>
        <v>0</v>
      </c>
      <c r="AQ134" s="200">
        <f t="shared" ca="1" si="17"/>
        <v>0</v>
      </c>
      <c r="AR134" s="200">
        <f t="shared" ca="1" si="18"/>
        <v>0</v>
      </c>
      <c r="AS134" s="201"/>
      <c r="AT134" s="200">
        <f t="shared" si="19"/>
        <v>7</v>
      </c>
    </row>
    <row r="135" spans="1:46" ht="15.75" customHeight="1">
      <c r="A135" s="178"/>
      <c r="B135" s="179">
        <f t="shared" ca="1" si="0"/>
        <v>1</v>
      </c>
      <c r="C135" s="180">
        <f t="shared" ca="1" si="1"/>
        <v>19</v>
      </c>
      <c r="D135" s="180">
        <f t="shared" ca="1" si="2"/>
        <v>2</v>
      </c>
      <c r="E135" s="180" t="str">
        <f t="shared" ca="1" si="3"/>
        <v/>
      </c>
      <c r="F135" s="180" t="str">
        <f t="shared" ca="1" si="4"/>
        <v/>
      </c>
      <c r="G135" s="181" t="str">
        <f t="shared" ca="1" si="5"/>
        <v/>
      </c>
      <c r="H135" s="182" t="str">
        <f t="shared" ca="1" si="6"/>
        <v/>
      </c>
      <c r="I135" s="202"/>
      <c r="J135" s="229"/>
      <c r="K135" s="229" t="s">
        <v>145</v>
      </c>
      <c r="L135" s="229"/>
      <c r="M135" s="229"/>
      <c r="N135" s="229"/>
      <c r="O135" s="229"/>
      <c r="P135" s="229"/>
      <c r="Q135" s="230"/>
      <c r="R135" s="216" t="s">
        <v>163</v>
      </c>
      <c r="S135" s="217">
        <v>45826</v>
      </c>
      <c r="T135" s="218">
        <v>45826</v>
      </c>
      <c r="U135" s="234"/>
      <c r="V135" s="231"/>
      <c r="W135" s="220">
        <v>0</v>
      </c>
      <c r="X135" s="235"/>
      <c r="Y135" s="232"/>
      <c r="Z135" s="233"/>
      <c r="AA135" s="194"/>
      <c r="AB135" s="195"/>
      <c r="AC135" s="196"/>
      <c r="AD135" s="197"/>
      <c r="AE135" s="198"/>
      <c r="AF135" s="199"/>
      <c r="AG135" s="199">
        <f t="shared" ca="1" si="7"/>
        <v>0</v>
      </c>
      <c r="AH135" s="199">
        <f t="shared" ca="1" si="8"/>
        <v>0</v>
      </c>
      <c r="AI135" s="199">
        <f t="shared" si="9"/>
        <v>0</v>
      </c>
      <c r="AJ135" s="199">
        <f t="shared" ca="1" si="10"/>
        <v>0</v>
      </c>
      <c r="AK135" s="199" t="str">
        <f t="shared" ca="1" si="11"/>
        <v/>
      </c>
      <c r="AL135" s="200">
        <f t="shared" ca="1" si="12"/>
        <v>1</v>
      </c>
      <c r="AM135" s="200">
        <f t="shared" ca="1" si="13"/>
        <v>19</v>
      </c>
      <c r="AN135" s="200">
        <f t="shared" ca="1" si="14"/>
        <v>2</v>
      </c>
      <c r="AO135" s="200">
        <f t="shared" ca="1" si="15"/>
        <v>0</v>
      </c>
      <c r="AP135" s="200">
        <f t="shared" ca="1" si="16"/>
        <v>0</v>
      </c>
      <c r="AQ135" s="200">
        <f t="shared" ca="1" si="17"/>
        <v>0</v>
      </c>
      <c r="AR135" s="200">
        <f t="shared" ca="1" si="18"/>
        <v>0</v>
      </c>
      <c r="AS135" s="201"/>
      <c r="AT135" s="200">
        <f t="shared" si="19"/>
        <v>1</v>
      </c>
    </row>
    <row r="136" spans="1:46" ht="15.75" customHeight="1">
      <c r="A136" s="178"/>
      <c r="B136" s="179">
        <f t="shared" ca="1" si="0"/>
        <v>1</v>
      </c>
      <c r="C136" s="180">
        <f t="shared" ca="1" si="1"/>
        <v>19</v>
      </c>
      <c r="D136" s="180">
        <f t="shared" ca="1" si="2"/>
        <v>3</v>
      </c>
      <c r="E136" s="180" t="str">
        <f t="shared" ca="1" si="3"/>
        <v/>
      </c>
      <c r="F136" s="180" t="str">
        <f t="shared" ca="1" si="4"/>
        <v/>
      </c>
      <c r="G136" s="181" t="str">
        <f t="shared" ca="1" si="5"/>
        <v/>
      </c>
      <c r="H136" s="182" t="str">
        <f t="shared" ca="1" si="6"/>
        <v/>
      </c>
      <c r="I136" s="202"/>
      <c r="J136" s="229"/>
      <c r="K136" s="229" t="s">
        <v>63</v>
      </c>
      <c r="L136" s="229"/>
      <c r="M136" s="229"/>
      <c r="N136" s="229"/>
      <c r="O136" s="229"/>
      <c r="P136" s="229"/>
      <c r="Q136" s="230"/>
      <c r="R136" s="216" t="s">
        <v>159</v>
      </c>
      <c r="S136" s="217">
        <v>45832</v>
      </c>
      <c r="T136" s="218">
        <v>45833</v>
      </c>
      <c r="U136" s="234"/>
      <c r="V136" s="231"/>
      <c r="W136" s="220">
        <v>0</v>
      </c>
      <c r="X136" s="235"/>
      <c r="Y136" s="232"/>
      <c r="Z136" s="233"/>
      <c r="AA136" s="194"/>
      <c r="AB136" s="195"/>
      <c r="AC136" s="196"/>
      <c r="AD136" s="197"/>
      <c r="AE136" s="198"/>
      <c r="AF136" s="199"/>
      <c r="AG136" s="199">
        <f t="shared" ca="1" si="7"/>
        <v>0</v>
      </c>
      <c r="AH136" s="199">
        <f t="shared" ca="1" si="8"/>
        <v>0</v>
      </c>
      <c r="AI136" s="199">
        <f t="shared" si="9"/>
        <v>0</v>
      </c>
      <c r="AJ136" s="199">
        <f t="shared" ca="1" si="10"/>
        <v>0</v>
      </c>
      <c r="AK136" s="199" t="str">
        <f t="shared" ca="1" si="11"/>
        <v/>
      </c>
      <c r="AL136" s="200">
        <f t="shared" ca="1" si="12"/>
        <v>1</v>
      </c>
      <c r="AM136" s="200">
        <f t="shared" ca="1" si="13"/>
        <v>19</v>
      </c>
      <c r="AN136" s="200">
        <f t="shared" ca="1" si="14"/>
        <v>3</v>
      </c>
      <c r="AO136" s="200">
        <f t="shared" ca="1" si="15"/>
        <v>0</v>
      </c>
      <c r="AP136" s="200">
        <f t="shared" ca="1" si="16"/>
        <v>0</v>
      </c>
      <c r="AQ136" s="200">
        <f t="shared" ca="1" si="17"/>
        <v>0</v>
      </c>
      <c r="AR136" s="200">
        <f t="shared" ca="1" si="18"/>
        <v>0</v>
      </c>
      <c r="AS136" s="201"/>
      <c r="AT136" s="200">
        <f t="shared" si="19"/>
        <v>2</v>
      </c>
    </row>
    <row r="137" spans="1:46" ht="15.75" customHeight="1">
      <c r="A137" s="178"/>
      <c r="B137" s="179">
        <f t="shared" ca="1" si="0"/>
        <v>1</v>
      </c>
      <c r="C137" s="180">
        <f t="shared" ca="1" si="1"/>
        <v>19</v>
      </c>
      <c r="D137" s="180">
        <f t="shared" ca="1" si="2"/>
        <v>4</v>
      </c>
      <c r="E137" s="180" t="str">
        <f t="shared" ca="1" si="3"/>
        <v/>
      </c>
      <c r="F137" s="180" t="str">
        <f t="shared" ca="1" si="4"/>
        <v/>
      </c>
      <c r="G137" s="181" t="str">
        <f t="shared" ca="1" si="5"/>
        <v/>
      </c>
      <c r="H137" s="182" t="str">
        <f t="shared" ca="1" si="6"/>
        <v/>
      </c>
      <c r="I137" s="202"/>
      <c r="J137" s="229"/>
      <c r="K137" s="229" t="s">
        <v>64</v>
      </c>
      <c r="L137" s="229"/>
      <c r="M137" s="229"/>
      <c r="N137" s="229"/>
      <c r="O137" s="229"/>
      <c r="P137" s="229"/>
      <c r="Q137" s="230"/>
      <c r="R137" s="216" t="s">
        <v>163</v>
      </c>
      <c r="S137" s="217">
        <v>45834</v>
      </c>
      <c r="T137" s="218">
        <v>45834</v>
      </c>
      <c r="U137" s="234"/>
      <c r="V137" s="231"/>
      <c r="W137" s="220">
        <v>0</v>
      </c>
      <c r="X137" s="235"/>
      <c r="Y137" s="232"/>
      <c r="Z137" s="233"/>
      <c r="AA137" s="194"/>
      <c r="AB137" s="195"/>
      <c r="AC137" s="196"/>
      <c r="AD137" s="197"/>
      <c r="AE137" s="198"/>
      <c r="AF137" s="199"/>
      <c r="AG137" s="199">
        <f t="shared" ca="1" si="7"/>
        <v>0</v>
      </c>
      <c r="AH137" s="199">
        <f t="shared" ca="1" si="8"/>
        <v>0</v>
      </c>
      <c r="AI137" s="199">
        <f t="shared" si="9"/>
        <v>0</v>
      </c>
      <c r="AJ137" s="199">
        <f t="shared" ca="1" si="10"/>
        <v>0</v>
      </c>
      <c r="AK137" s="199" t="str">
        <f t="shared" ca="1" si="11"/>
        <v/>
      </c>
      <c r="AL137" s="200">
        <f t="shared" ca="1" si="12"/>
        <v>1</v>
      </c>
      <c r="AM137" s="200">
        <f t="shared" ca="1" si="13"/>
        <v>19</v>
      </c>
      <c r="AN137" s="200">
        <f t="shared" ca="1" si="14"/>
        <v>4</v>
      </c>
      <c r="AO137" s="200">
        <f t="shared" ca="1" si="15"/>
        <v>0</v>
      </c>
      <c r="AP137" s="200">
        <f t="shared" ca="1" si="16"/>
        <v>0</v>
      </c>
      <c r="AQ137" s="200">
        <f t="shared" ca="1" si="17"/>
        <v>0</v>
      </c>
      <c r="AR137" s="200">
        <f t="shared" ca="1" si="18"/>
        <v>0</v>
      </c>
      <c r="AS137" s="201"/>
      <c r="AT137" s="200">
        <f t="shared" si="19"/>
        <v>1</v>
      </c>
    </row>
    <row r="138" spans="1:46" ht="15.75" customHeight="1">
      <c r="A138" s="178"/>
      <c r="B138" s="179">
        <f t="shared" ca="1" si="0"/>
        <v>1</v>
      </c>
      <c r="C138" s="180">
        <f t="shared" ca="1" si="1"/>
        <v>19</v>
      </c>
      <c r="D138" s="180">
        <f t="shared" ca="1" si="2"/>
        <v>5</v>
      </c>
      <c r="E138" s="180" t="str">
        <f t="shared" ca="1" si="3"/>
        <v/>
      </c>
      <c r="F138" s="180" t="str">
        <f t="shared" ca="1" si="4"/>
        <v/>
      </c>
      <c r="G138" s="181" t="str">
        <f t="shared" ca="1" si="5"/>
        <v/>
      </c>
      <c r="H138" s="182" t="str">
        <f t="shared" ca="1" si="6"/>
        <v/>
      </c>
      <c r="I138" s="202"/>
      <c r="J138" s="229"/>
      <c r="K138" s="229" t="s">
        <v>65</v>
      </c>
      <c r="L138" s="229"/>
      <c r="M138" s="229"/>
      <c r="N138" s="229"/>
      <c r="O138" s="229"/>
      <c r="P138" s="229"/>
      <c r="Q138" s="230"/>
      <c r="R138" s="216" t="s">
        <v>159</v>
      </c>
      <c r="S138" s="217">
        <v>45835</v>
      </c>
      <c r="T138" s="218">
        <v>45835</v>
      </c>
      <c r="U138" s="234"/>
      <c r="V138" s="231"/>
      <c r="W138" s="220">
        <v>0</v>
      </c>
      <c r="X138" s="235"/>
      <c r="Y138" s="232"/>
      <c r="Z138" s="233"/>
      <c r="AA138" s="194"/>
      <c r="AB138" s="195"/>
      <c r="AC138" s="196"/>
      <c r="AD138" s="197"/>
      <c r="AE138" s="198"/>
      <c r="AF138" s="199"/>
      <c r="AG138" s="199">
        <f t="shared" ca="1" si="7"/>
        <v>0</v>
      </c>
      <c r="AH138" s="199">
        <f t="shared" ca="1" si="8"/>
        <v>0</v>
      </c>
      <c r="AI138" s="199">
        <f t="shared" si="9"/>
        <v>0</v>
      </c>
      <c r="AJ138" s="199">
        <f t="shared" ca="1" si="10"/>
        <v>0</v>
      </c>
      <c r="AK138" s="199" t="str">
        <f t="shared" ca="1" si="11"/>
        <v/>
      </c>
      <c r="AL138" s="200">
        <f t="shared" ca="1" si="12"/>
        <v>1</v>
      </c>
      <c r="AM138" s="200">
        <f t="shared" ca="1" si="13"/>
        <v>19</v>
      </c>
      <c r="AN138" s="200">
        <f t="shared" ca="1" si="14"/>
        <v>5</v>
      </c>
      <c r="AO138" s="200">
        <f t="shared" ca="1" si="15"/>
        <v>0</v>
      </c>
      <c r="AP138" s="200">
        <f t="shared" ca="1" si="16"/>
        <v>0</v>
      </c>
      <c r="AQ138" s="200">
        <f t="shared" ca="1" si="17"/>
        <v>0</v>
      </c>
      <c r="AR138" s="200">
        <f t="shared" ca="1" si="18"/>
        <v>0</v>
      </c>
      <c r="AS138" s="201"/>
      <c r="AT138" s="200">
        <f t="shared" si="19"/>
        <v>1</v>
      </c>
    </row>
    <row r="139" spans="1:46" ht="15.75" customHeight="1">
      <c r="A139" s="178"/>
      <c r="B139" s="179">
        <f t="shared" ca="1" si="0"/>
        <v>1</v>
      </c>
      <c r="C139" s="180">
        <f t="shared" ca="1" si="1"/>
        <v>19</v>
      </c>
      <c r="D139" s="180">
        <f t="shared" ca="1" si="2"/>
        <v>6</v>
      </c>
      <c r="E139" s="180" t="str">
        <f t="shared" ca="1" si="3"/>
        <v/>
      </c>
      <c r="F139" s="180" t="str">
        <f t="shared" ca="1" si="4"/>
        <v/>
      </c>
      <c r="G139" s="181" t="str">
        <f t="shared" ca="1" si="5"/>
        <v/>
      </c>
      <c r="H139" s="182" t="str">
        <f t="shared" ca="1" si="6"/>
        <v/>
      </c>
      <c r="I139" s="202"/>
      <c r="J139" s="229"/>
      <c r="K139" s="229" t="s">
        <v>66</v>
      </c>
      <c r="L139" s="229"/>
      <c r="M139" s="229"/>
      <c r="N139" s="229"/>
      <c r="O139" s="229"/>
      <c r="P139" s="229"/>
      <c r="Q139" s="230"/>
      <c r="R139" s="216" t="s">
        <v>163</v>
      </c>
      <c r="S139" s="217">
        <v>45838</v>
      </c>
      <c r="T139" s="218">
        <v>45838</v>
      </c>
      <c r="U139" s="234"/>
      <c r="V139" s="231"/>
      <c r="W139" s="220">
        <v>0</v>
      </c>
      <c r="X139" s="235"/>
      <c r="Y139" s="232"/>
      <c r="Z139" s="233"/>
      <c r="AA139" s="194"/>
      <c r="AB139" s="195"/>
      <c r="AC139" s="196"/>
      <c r="AD139" s="197"/>
      <c r="AE139" s="198"/>
      <c r="AF139" s="199"/>
      <c r="AG139" s="199">
        <f t="shared" ca="1" si="7"/>
        <v>0</v>
      </c>
      <c r="AH139" s="199">
        <f t="shared" ca="1" si="8"/>
        <v>0</v>
      </c>
      <c r="AI139" s="199">
        <f t="shared" si="9"/>
        <v>0</v>
      </c>
      <c r="AJ139" s="199">
        <f t="shared" ca="1" si="10"/>
        <v>0</v>
      </c>
      <c r="AK139" s="199" t="str">
        <f t="shared" ca="1" si="11"/>
        <v/>
      </c>
      <c r="AL139" s="200">
        <f t="shared" ca="1" si="12"/>
        <v>1</v>
      </c>
      <c r="AM139" s="200">
        <f t="shared" ca="1" si="13"/>
        <v>19</v>
      </c>
      <c r="AN139" s="200">
        <f t="shared" ca="1" si="14"/>
        <v>6</v>
      </c>
      <c r="AO139" s="200">
        <f t="shared" ca="1" si="15"/>
        <v>0</v>
      </c>
      <c r="AP139" s="200">
        <f t="shared" ca="1" si="16"/>
        <v>0</v>
      </c>
      <c r="AQ139" s="200">
        <f t="shared" ca="1" si="17"/>
        <v>0</v>
      </c>
      <c r="AR139" s="200">
        <f t="shared" ca="1" si="18"/>
        <v>0</v>
      </c>
      <c r="AS139" s="201"/>
      <c r="AT139" s="200">
        <f t="shared" si="19"/>
        <v>1</v>
      </c>
    </row>
    <row r="140" spans="1:46" ht="15.75" customHeight="1">
      <c r="A140" s="178"/>
      <c r="B140" s="179">
        <f t="shared" ca="1" si="0"/>
        <v>1</v>
      </c>
      <c r="C140" s="180">
        <f t="shared" ca="1" si="1"/>
        <v>20</v>
      </c>
      <c r="D140" s="180" t="str">
        <f t="shared" ca="1" si="2"/>
        <v/>
      </c>
      <c r="E140" s="180" t="str">
        <f t="shared" ca="1" si="3"/>
        <v/>
      </c>
      <c r="F140" s="180" t="str">
        <f t="shared" ca="1" si="4"/>
        <v/>
      </c>
      <c r="G140" s="181" t="str">
        <f t="shared" ca="1" si="5"/>
        <v/>
      </c>
      <c r="H140" s="182" t="str">
        <f t="shared" ca="1" si="6"/>
        <v/>
      </c>
      <c r="I140" s="202"/>
      <c r="J140" s="225" t="s">
        <v>129</v>
      </c>
      <c r="K140" s="225"/>
      <c r="L140" s="225"/>
      <c r="M140" s="225"/>
      <c r="N140" s="225"/>
      <c r="O140" s="225"/>
      <c r="P140" s="225"/>
      <c r="Q140" s="205"/>
      <c r="R140" s="206"/>
      <c r="S140" s="207"/>
      <c r="T140" s="208"/>
      <c r="U140" s="209"/>
      <c r="V140" s="208"/>
      <c r="W140" s="210"/>
      <c r="X140" s="211"/>
      <c r="Y140" s="226"/>
      <c r="Z140" s="227"/>
      <c r="AA140" s="194"/>
      <c r="AB140" s="195"/>
      <c r="AC140" s="196"/>
      <c r="AD140" s="197"/>
      <c r="AE140" s="198"/>
      <c r="AF140" s="199"/>
      <c r="AG140" s="199">
        <f t="shared" si="7"/>
        <v>0</v>
      </c>
      <c r="AH140" s="199">
        <f t="shared" si="8"/>
        <v>0</v>
      </c>
      <c r="AI140" s="199">
        <f t="shared" si="9"/>
        <v>0</v>
      </c>
      <c r="AJ140" s="199">
        <f t="shared" si="10"/>
        <v>0</v>
      </c>
      <c r="AK140" s="199" t="str">
        <f t="shared" si="11"/>
        <v/>
      </c>
      <c r="AL140" s="200">
        <f t="shared" ca="1" si="12"/>
        <v>1</v>
      </c>
      <c r="AM140" s="200">
        <f t="shared" ca="1" si="13"/>
        <v>20</v>
      </c>
      <c r="AN140" s="200">
        <f t="shared" ca="1" si="14"/>
        <v>0</v>
      </c>
      <c r="AO140" s="200">
        <f t="shared" ca="1" si="15"/>
        <v>0</v>
      </c>
      <c r="AP140" s="200">
        <f t="shared" ca="1" si="16"/>
        <v>0</v>
      </c>
      <c r="AQ140" s="200">
        <f t="shared" ca="1" si="17"/>
        <v>0</v>
      </c>
      <c r="AR140" s="200">
        <f t="shared" ca="1" si="18"/>
        <v>0</v>
      </c>
      <c r="AS140" s="201"/>
      <c r="AT140" s="200">
        <f t="shared" si="19"/>
        <v>1</v>
      </c>
    </row>
    <row r="141" spans="1:46" ht="15.75" customHeight="1">
      <c r="A141" s="178"/>
      <c r="B141" s="179">
        <f t="shared" ca="1" si="0"/>
        <v>1</v>
      </c>
      <c r="C141" s="180">
        <f t="shared" ca="1" si="1"/>
        <v>20</v>
      </c>
      <c r="D141" s="180">
        <f t="shared" ca="1" si="2"/>
        <v>1</v>
      </c>
      <c r="E141" s="180" t="str">
        <f t="shared" ca="1" si="3"/>
        <v/>
      </c>
      <c r="F141" s="180" t="str">
        <f t="shared" ca="1" si="4"/>
        <v/>
      </c>
      <c r="G141" s="181" t="str">
        <f t="shared" ca="1" si="5"/>
        <v/>
      </c>
      <c r="H141" s="182" t="str">
        <f t="shared" ca="1" si="6"/>
        <v/>
      </c>
      <c r="I141" s="202"/>
      <c r="J141" s="214"/>
      <c r="K141" s="214" t="s">
        <v>130</v>
      </c>
      <c r="L141" s="214"/>
      <c r="M141" s="214"/>
      <c r="N141" s="214"/>
      <c r="O141" s="214"/>
      <c r="P141" s="214"/>
      <c r="Q141" s="215"/>
      <c r="R141" s="216" t="s">
        <v>131</v>
      </c>
      <c r="S141" s="217"/>
      <c r="T141" s="218"/>
      <c r="U141" s="219"/>
      <c r="V141" s="218"/>
      <c r="W141" s="220">
        <v>0</v>
      </c>
      <c r="X141" s="221"/>
      <c r="Y141" s="222"/>
      <c r="Z141" s="223"/>
      <c r="AA141" s="194"/>
      <c r="AB141" s="195"/>
      <c r="AC141" s="196"/>
      <c r="AD141" s="197"/>
      <c r="AE141" s="198"/>
      <c r="AF141" s="199"/>
      <c r="AG141" s="199">
        <f t="shared" si="7"/>
        <v>0</v>
      </c>
      <c r="AH141" s="199">
        <f t="shared" si="8"/>
        <v>0</v>
      </c>
      <c r="AI141" s="199">
        <f t="shared" si="9"/>
        <v>0</v>
      </c>
      <c r="AJ141" s="199">
        <f t="shared" si="10"/>
        <v>0</v>
      </c>
      <c r="AK141" s="199" t="str">
        <f t="shared" si="11"/>
        <v/>
      </c>
      <c r="AL141" s="200">
        <f t="shared" ca="1" si="12"/>
        <v>1</v>
      </c>
      <c r="AM141" s="200">
        <f t="shared" ca="1" si="13"/>
        <v>20</v>
      </c>
      <c r="AN141" s="200">
        <f t="shared" ca="1" si="14"/>
        <v>1</v>
      </c>
      <c r="AO141" s="200">
        <f t="shared" ca="1" si="15"/>
        <v>0</v>
      </c>
      <c r="AP141" s="200">
        <f t="shared" ca="1" si="16"/>
        <v>0</v>
      </c>
      <c r="AQ141" s="200">
        <f t="shared" ca="1" si="17"/>
        <v>0</v>
      </c>
      <c r="AR141" s="200">
        <f t="shared" ca="1" si="18"/>
        <v>0</v>
      </c>
      <c r="AS141" s="201"/>
      <c r="AT141" s="200">
        <f t="shared" si="19"/>
        <v>1</v>
      </c>
    </row>
    <row r="142" spans="1:46" ht="15.75" customHeight="1">
      <c r="A142" s="178"/>
      <c r="B142" s="179">
        <f t="shared" ca="1" si="0"/>
        <v>1</v>
      </c>
      <c r="C142" s="180">
        <f t="shared" ca="1" si="1"/>
        <v>20</v>
      </c>
      <c r="D142" s="180">
        <f t="shared" ca="1" si="2"/>
        <v>2</v>
      </c>
      <c r="E142" s="180" t="str">
        <f t="shared" ca="1" si="3"/>
        <v/>
      </c>
      <c r="F142" s="180" t="str">
        <f t="shared" ca="1" si="4"/>
        <v/>
      </c>
      <c r="G142" s="181" t="str">
        <f t="shared" ca="1" si="5"/>
        <v/>
      </c>
      <c r="H142" s="182" t="str">
        <f t="shared" ca="1" si="6"/>
        <v/>
      </c>
      <c r="I142" s="202"/>
      <c r="J142" s="214"/>
      <c r="K142" s="214" t="s">
        <v>132</v>
      </c>
      <c r="L142" s="214"/>
      <c r="M142" s="214"/>
      <c r="N142" s="214"/>
      <c r="O142" s="214"/>
      <c r="P142" s="214"/>
      <c r="Q142" s="215"/>
      <c r="R142" s="216" t="s">
        <v>131</v>
      </c>
      <c r="S142" s="217"/>
      <c r="T142" s="218"/>
      <c r="U142" s="219"/>
      <c r="V142" s="218"/>
      <c r="W142" s="220">
        <v>0</v>
      </c>
      <c r="X142" s="221"/>
      <c r="Y142" s="222"/>
      <c r="Z142" s="223"/>
      <c r="AA142" s="194"/>
      <c r="AB142" s="195"/>
      <c r="AC142" s="196"/>
      <c r="AD142" s="197"/>
      <c r="AE142" s="198"/>
      <c r="AF142" s="199"/>
      <c r="AG142" s="199">
        <f t="shared" si="7"/>
        <v>0</v>
      </c>
      <c r="AH142" s="199">
        <f t="shared" si="8"/>
        <v>0</v>
      </c>
      <c r="AI142" s="199">
        <f t="shared" si="9"/>
        <v>0</v>
      </c>
      <c r="AJ142" s="199">
        <f t="shared" si="10"/>
        <v>0</v>
      </c>
      <c r="AK142" s="199" t="str">
        <f t="shared" si="11"/>
        <v/>
      </c>
      <c r="AL142" s="200">
        <f t="shared" ca="1" si="12"/>
        <v>1</v>
      </c>
      <c r="AM142" s="200">
        <f t="shared" ca="1" si="13"/>
        <v>20</v>
      </c>
      <c r="AN142" s="200">
        <f t="shared" ca="1" si="14"/>
        <v>2</v>
      </c>
      <c r="AO142" s="200">
        <f t="shared" ca="1" si="15"/>
        <v>0</v>
      </c>
      <c r="AP142" s="200">
        <f t="shared" ca="1" si="16"/>
        <v>0</v>
      </c>
      <c r="AQ142" s="200">
        <f t="shared" ca="1" si="17"/>
        <v>0</v>
      </c>
      <c r="AR142" s="200">
        <f t="shared" ca="1" si="18"/>
        <v>0</v>
      </c>
      <c r="AS142" s="201"/>
      <c r="AT142" s="200">
        <f t="shared" si="19"/>
        <v>1</v>
      </c>
    </row>
    <row r="143" spans="1:46" ht="15.75" customHeight="1">
      <c r="A143" s="178"/>
      <c r="B143" s="179">
        <f t="shared" ca="1" si="0"/>
        <v>1</v>
      </c>
      <c r="C143" s="180">
        <f t="shared" ca="1" si="1"/>
        <v>21</v>
      </c>
      <c r="D143" s="180" t="str">
        <f t="shared" ca="1" si="2"/>
        <v/>
      </c>
      <c r="E143" s="180" t="str">
        <f t="shared" ca="1" si="3"/>
        <v/>
      </c>
      <c r="F143" s="180" t="str">
        <f t="shared" ca="1" si="4"/>
        <v/>
      </c>
      <c r="G143" s="181" t="str">
        <f t="shared" ca="1" si="5"/>
        <v/>
      </c>
      <c r="H143" s="182" t="str">
        <f t="shared" ca="1" si="6"/>
        <v/>
      </c>
      <c r="I143" s="202"/>
      <c r="J143" s="214" t="s">
        <v>133</v>
      </c>
      <c r="K143" s="214"/>
      <c r="L143" s="214"/>
      <c r="M143" s="214"/>
      <c r="N143" s="214"/>
      <c r="O143" s="214"/>
      <c r="P143" s="214"/>
      <c r="Q143" s="215"/>
      <c r="R143" s="216" t="s">
        <v>134</v>
      </c>
      <c r="S143" s="217"/>
      <c r="T143" s="218"/>
      <c r="U143" s="219"/>
      <c r="V143" s="218"/>
      <c r="W143" s="220">
        <v>0</v>
      </c>
      <c r="X143" s="221"/>
      <c r="Y143" s="222"/>
      <c r="Z143" s="223"/>
      <c r="AA143" s="194"/>
      <c r="AB143" s="195"/>
      <c r="AC143" s="196"/>
      <c r="AD143" s="197"/>
      <c r="AE143" s="198"/>
      <c r="AF143" s="199"/>
      <c r="AG143" s="199">
        <f t="shared" si="7"/>
        <v>0</v>
      </c>
      <c r="AH143" s="199">
        <f t="shared" si="8"/>
        <v>0</v>
      </c>
      <c r="AI143" s="199">
        <f t="shared" si="9"/>
        <v>0</v>
      </c>
      <c r="AJ143" s="199">
        <f t="shared" si="10"/>
        <v>0</v>
      </c>
      <c r="AK143" s="199" t="str">
        <f t="shared" si="11"/>
        <v/>
      </c>
      <c r="AL143" s="200">
        <f t="shared" ca="1" si="12"/>
        <v>1</v>
      </c>
      <c r="AM143" s="200">
        <f t="shared" ca="1" si="13"/>
        <v>21</v>
      </c>
      <c r="AN143" s="200">
        <f t="shared" ca="1" si="14"/>
        <v>0</v>
      </c>
      <c r="AO143" s="200">
        <f t="shared" ca="1" si="15"/>
        <v>0</v>
      </c>
      <c r="AP143" s="200">
        <f t="shared" ca="1" si="16"/>
        <v>0</v>
      </c>
      <c r="AQ143" s="200">
        <f t="shared" ca="1" si="17"/>
        <v>0</v>
      </c>
      <c r="AR143" s="200">
        <f t="shared" ca="1" si="18"/>
        <v>0</v>
      </c>
      <c r="AS143" s="201"/>
      <c r="AT143" s="200">
        <f t="shared" si="19"/>
        <v>1</v>
      </c>
    </row>
    <row r="144" spans="1:46" ht="15.75" customHeight="1">
      <c r="A144" s="178"/>
      <c r="B144" s="179">
        <f t="shared" ca="1" si="0"/>
        <v>1</v>
      </c>
      <c r="C144" s="180">
        <f t="shared" ca="1" si="1"/>
        <v>22</v>
      </c>
      <c r="D144" s="180" t="str">
        <f t="shared" ca="1" si="2"/>
        <v/>
      </c>
      <c r="E144" s="180" t="str">
        <f t="shared" ca="1" si="3"/>
        <v/>
      </c>
      <c r="F144" s="180" t="str">
        <f t="shared" ca="1" si="4"/>
        <v/>
      </c>
      <c r="G144" s="181" t="str">
        <f t="shared" ca="1" si="5"/>
        <v/>
      </c>
      <c r="H144" s="182" t="str">
        <f t="shared" ca="1" si="6"/>
        <v/>
      </c>
      <c r="I144" s="202"/>
      <c r="J144" s="214" t="s">
        <v>135</v>
      </c>
      <c r="K144" s="214"/>
      <c r="L144" s="214"/>
      <c r="M144" s="214"/>
      <c r="N144" s="214"/>
      <c r="O144" s="214"/>
      <c r="P144" s="214"/>
      <c r="Q144" s="215"/>
      <c r="R144" s="216" t="s">
        <v>136</v>
      </c>
      <c r="S144" s="217"/>
      <c r="T144" s="218"/>
      <c r="U144" s="219"/>
      <c r="V144" s="218"/>
      <c r="W144" s="220">
        <v>0</v>
      </c>
      <c r="X144" s="221"/>
      <c r="Y144" s="222"/>
      <c r="Z144" s="223"/>
      <c r="AA144" s="194"/>
      <c r="AB144" s="195"/>
      <c r="AC144" s="196"/>
      <c r="AD144" s="197"/>
      <c r="AE144" s="198"/>
      <c r="AF144" s="199"/>
      <c r="AG144" s="199">
        <f t="shared" si="7"/>
        <v>0</v>
      </c>
      <c r="AH144" s="199">
        <f t="shared" si="8"/>
        <v>0</v>
      </c>
      <c r="AI144" s="199">
        <f t="shared" si="9"/>
        <v>0</v>
      </c>
      <c r="AJ144" s="199">
        <f t="shared" si="10"/>
        <v>0</v>
      </c>
      <c r="AK144" s="199" t="str">
        <f t="shared" si="11"/>
        <v/>
      </c>
      <c r="AL144" s="200">
        <f t="shared" ca="1" si="12"/>
        <v>1</v>
      </c>
      <c r="AM144" s="200">
        <f t="shared" ca="1" si="13"/>
        <v>22</v>
      </c>
      <c r="AN144" s="200">
        <f t="shared" ca="1" si="14"/>
        <v>0</v>
      </c>
      <c r="AO144" s="200">
        <f t="shared" ca="1" si="15"/>
        <v>0</v>
      </c>
      <c r="AP144" s="200">
        <f t="shared" ca="1" si="16"/>
        <v>0</v>
      </c>
      <c r="AQ144" s="200">
        <f t="shared" ca="1" si="17"/>
        <v>0</v>
      </c>
      <c r="AR144" s="200">
        <f t="shared" ca="1" si="18"/>
        <v>0</v>
      </c>
      <c r="AS144" s="201"/>
      <c r="AT144" s="200">
        <f t="shared" si="19"/>
        <v>1</v>
      </c>
    </row>
    <row r="145" spans="1:46" ht="15.75" customHeight="1">
      <c r="A145" s="178"/>
      <c r="B145" s="179">
        <f t="shared" ca="1" si="0"/>
        <v>1</v>
      </c>
      <c r="C145" s="180">
        <f t="shared" ca="1" si="1"/>
        <v>23</v>
      </c>
      <c r="D145" s="180" t="str">
        <f t="shared" ca="1" si="2"/>
        <v/>
      </c>
      <c r="E145" s="180" t="str">
        <f t="shared" ca="1" si="3"/>
        <v/>
      </c>
      <c r="F145" s="180" t="str">
        <f t="shared" ca="1" si="4"/>
        <v/>
      </c>
      <c r="G145" s="181" t="str">
        <f t="shared" ca="1" si="5"/>
        <v/>
      </c>
      <c r="H145" s="182" t="str">
        <f t="shared" ca="1" si="6"/>
        <v/>
      </c>
      <c r="I145" s="202"/>
      <c r="J145" s="214" t="s">
        <v>137</v>
      </c>
      <c r="K145" s="214"/>
      <c r="L145" s="214"/>
      <c r="M145" s="214"/>
      <c r="N145" s="214"/>
      <c r="O145" s="214"/>
      <c r="P145" s="214"/>
      <c r="Q145" s="215"/>
      <c r="R145" s="216" t="s">
        <v>138</v>
      </c>
      <c r="S145" s="217"/>
      <c r="T145" s="218"/>
      <c r="U145" s="219"/>
      <c r="V145" s="218"/>
      <c r="W145" s="220">
        <v>0</v>
      </c>
      <c r="X145" s="221"/>
      <c r="Y145" s="222"/>
      <c r="Z145" s="223"/>
      <c r="AA145" s="194"/>
      <c r="AB145" s="195"/>
      <c r="AC145" s="196"/>
      <c r="AD145" s="197"/>
      <c r="AE145" s="198"/>
      <c r="AF145" s="199"/>
      <c r="AG145" s="199">
        <f t="shared" si="7"/>
        <v>0</v>
      </c>
      <c r="AH145" s="199">
        <f t="shared" si="8"/>
        <v>0</v>
      </c>
      <c r="AI145" s="199">
        <f t="shared" si="9"/>
        <v>0</v>
      </c>
      <c r="AJ145" s="199">
        <f t="shared" si="10"/>
        <v>0</v>
      </c>
      <c r="AK145" s="199" t="str">
        <f t="shared" si="11"/>
        <v/>
      </c>
      <c r="AL145" s="200">
        <f t="shared" ca="1" si="12"/>
        <v>1</v>
      </c>
      <c r="AM145" s="200">
        <f t="shared" ca="1" si="13"/>
        <v>23</v>
      </c>
      <c r="AN145" s="200">
        <f t="shared" ca="1" si="14"/>
        <v>0</v>
      </c>
      <c r="AO145" s="200">
        <f t="shared" ca="1" si="15"/>
        <v>0</v>
      </c>
      <c r="AP145" s="200">
        <f t="shared" ca="1" si="16"/>
        <v>0</v>
      </c>
      <c r="AQ145" s="200">
        <f t="shared" ca="1" si="17"/>
        <v>0</v>
      </c>
      <c r="AR145" s="200">
        <f t="shared" ca="1" si="18"/>
        <v>0</v>
      </c>
      <c r="AS145" s="201"/>
      <c r="AT145" s="200">
        <f t="shared" si="19"/>
        <v>1</v>
      </c>
    </row>
    <row r="146" spans="1:46" ht="15.75" customHeight="1">
      <c r="A146" s="178"/>
      <c r="B146" s="179">
        <f t="shared" ca="1" si="0"/>
        <v>1</v>
      </c>
      <c r="C146" s="180">
        <f t="shared" ca="1" si="1"/>
        <v>24</v>
      </c>
      <c r="D146" s="180" t="str">
        <f t="shared" ca="1" si="2"/>
        <v/>
      </c>
      <c r="E146" s="180" t="str">
        <f t="shared" ca="1" si="3"/>
        <v/>
      </c>
      <c r="F146" s="180" t="str">
        <f t="shared" ca="1" si="4"/>
        <v/>
      </c>
      <c r="G146" s="181" t="str">
        <f t="shared" ca="1" si="5"/>
        <v/>
      </c>
      <c r="H146" s="182" t="str">
        <f t="shared" ca="1" si="6"/>
        <v/>
      </c>
      <c r="I146" s="202"/>
      <c r="J146" s="214" t="s">
        <v>139</v>
      </c>
      <c r="K146" s="214"/>
      <c r="L146" s="214"/>
      <c r="M146" s="214"/>
      <c r="N146" s="214"/>
      <c r="O146" s="214"/>
      <c r="P146" s="214"/>
      <c r="Q146" s="215"/>
      <c r="R146" s="216" t="s">
        <v>140</v>
      </c>
      <c r="S146" s="217"/>
      <c r="T146" s="218"/>
      <c r="U146" s="219"/>
      <c r="V146" s="218"/>
      <c r="W146" s="220">
        <v>0</v>
      </c>
      <c r="X146" s="221"/>
      <c r="Y146" s="222"/>
      <c r="Z146" s="223"/>
      <c r="AA146" s="194"/>
      <c r="AB146" s="195"/>
      <c r="AC146" s="196"/>
      <c r="AD146" s="197"/>
      <c r="AE146" s="198"/>
      <c r="AF146" s="199"/>
      <c r="AG146" s="199">
        <f t="shared" si="7"/>
        <v>0</v>
      </c>
      <c r="AH146" s="199">
        <f t="shared" si="8"/>
        <v>0</v>
      </c>
      <c r="AI146" s="199">
        <f t="shared" si="9"/>
        <v>0</v>
      </c>
      <c r="AJ146" s="199">
        <f t="shared" si="10"/>
        <v>0</v>
      </c>
      <c r="AK146" s="199" t="str">
        <f t="shared" si="11"/>
        <v/>
      </c>
      <c r="AL146" s="200">
        <f t="shared" ca="1" si="12"/>
        <v>1</v>
      </c>
      <c r="AM146" s="200">
        <f t="shared" ca="1" si="13"/>
        <v>24</v>
      </c>
      <c r="AN146" s="200">
        <f t="shared" ca="1" si="14"/>
        <v>0</v>
      </c>
      <c r="AO146" s="200">
        <f t="shared" ca="1" si="15"/>
        <v>0</v>
      </c>
      <c r="AP146" s="200">
        <f t="shared" ca="1" si="16"/>
        <v>0</v>
      </c>
      <c r="AQ146" s="200">
        <f t="shared" ca="1" si="17"/>
        <v>0</v>
      </c>
      <c r="AR146" s="200">
        <f t="shared" ca="1" si="18"/>
        <v>0</v>
      </c>
      <c r="AS146" s="201"/>
      <c r="AT146" s="200">
        <f t="shared" si="19"/>
        <v>1</v>
      </c>
    </row>
    <row r="147" spans="1:46" ht="15.75" customHeight="1"/>
    <row r="148" spans="1:46" ht="15.75" customHeight="1"/>
    <row r="149" spans="1:46" ht="15.75" customHeight="1"/>
    <row r="150" spans="1:46" ht="15.75" customHeight="1"/>
    <row r="151" spans="1:46" ht="15.75" customHeight="1"/>
    <row r="152" spans="1:46" ht="15.75" customHeight="1"/>
    <row r="153" spans="1:46" ht="15.75" customHeight="1"/>
    <row r="154" spans="1:46" ht="15.75" customHeight="1"/>
    <row r="155" spans="1:46" ht="15.75" customHeight="1"/>
    <row r="156" spans="1:46" ht="15.75" customHeight="1"/>
    <row r="157" spans="1:46" ht="15.75" customHeight="1"/>
    <row r="158" spans="1:46" ht="15.75" customHeight="1"/>
    <row r="159" spans="1:46" ht="15.75" customHeight="1"/>
    <row r="160" spans="1:46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B4:AC4"/>
    <mergeCell ref="AF4:AH4"/>
    <mergeCell ref="A1:V2"/>
    <mergeCell ref="B4:H4"/>
    <mergeCell ref="I4:O4"/>
    <mergeCell ref="S4:T4"/>
    <mergeCell ref="U4:V4"/>
    <mergeCell ref="W4:X4"/>
  </mergeCells>
  <phoneticPr fontId="1"/>
  <conditionalFormatting sqref="I6:N6">
    <cfRule type="expression" dxfId="28" priority="2" stopIfTrue="1">
      <formula>IF(I6&lt;&gt;"",IF(#REF!=100%,TRUE,FALSE))</formula>
    </cfRule>
  </conditionalFormatting>
  <conditionalFormatting sqref="U5:V1048576">
    <cfRule type="expression" dxfId="27" priority="1">
      <formula>AND(S5&lt;&gt;"",U5="",S5&lt;=$Z$1)</formula>
    </cfRule>
  </conditionalFormatting>
  <dataValidations count="1">
    <dataValidation type="list" allowBlank="1" showErrorMessage="1" sqref="AE6:AE146" xr:uid="{438877A4-CCD4-4B4F-82EB-B78552CF9765}">
      <formula1>"RD,ED,ID,M/UT,ITa,Itb,ST,UAT,Other"</formula1>
    </dataValidation>
  </dataValidations>
  <pageMargins left="0.23622047244094491" right="0.11811023622047245" top="0.39" bottom="0.32" header="0" footer="0"/>
  <pageSetup paperSize="9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DF776-176A-43D4-8C71-4BB02F2B9BF0}">
  <sheetPr codeName="Sheet12">
    <pageSetUpPr fitToPage="1"/>
  </sheetPr>
  <dimension ref="A1:AT577"/>
  <sheetViews>
    <sheetView showGridLines="0" workbookViewId="0">
      <pane ySplit="5" topLeftCell="A6" activePane="bottomLeft" state="frozen"/>
      <selection pane="bottomLeft" activeCell="U5" sqref="U5:V1048576"/>
    </sheetView>
  </sheetViews>
  <sheetFormatPr defaultColWidth="11.35546875" defaultRowHeight="15" customHeight="1"/>
  <cols>
    <col min="1" max="1" width="2.35546875" style="243" customWidth="1"/>
    <col min="2" max="2" width="3.140625" style="243" customWidth="1"/>
    <col min="3" max="3" width="3.5" style="243" customWidth="1"/>
    <col min="4" max="5" width="2.2109375" style="243" customWidth="1"/>
    <col min="6" max="8" width="2" style="243" customWidth="1"/>
    <col min="9" max="12" width="2.42578125" style="243" customWidth="1"/>
    <col min="13" max="15" width="2.35546875" style="243" customWidth="1"/>
    <col min="16" max="16" width="31" style="243" customWidth="1"/>
    <col min="17" max="17" width="6.92578125" style="243" customWidth="1"/>
    <col min="18" max="18" width="9.85546875" style="243" customWidth="1"/>
    <col min="19" max="22" width="10.0703125" style="243" customWidth="1"/>
    <col min="23" max="24" width="7.92578125" style="243" customWidth="1"/>
    <col min="25" max="25" width="5.5703125" style="243" customWidth="1"/>
    <col min="26" max="26" width="24.7109375" style="243" customWidth="1"/>
    <col min="27" max="27" width="20.85546875" style="243" customWidth="1"/>
    <col min="28" max="29" width="6.92578125" style="243" customWidth="1"/>
    <col min="30" max="30" width="13.78515625" style="243" customWidth="1"/>
    <col min="31" max="31" width="4.35546875" style="243" customWidth="1"/>
    <col min="32" max="34" width="7.7109375" style="243" customWidth="1"/>
    <col min="35" max="37" width="8.5" style="243" customWidth="1"/>
    <col min="38" max="46" width="7.0703125" style="243" customWidth="1"/>
    <col min="47" max="16384" width="11.35546875" style="243"/>
  </cols>
  <sheetData>
    <row r="1" spans="1:46" ht="25.5">
      <c r="A1" s="585" t="s">
        <v>172</v>
      </c>
      <c r="B1" s="586"/>
      <c r="C1" s="586"/>
      <c r="D1" s="586"/>
      <c r="E1" s="586"/>
      <c r="F1" s="586"/>
      <c r="G1" s="586"/>
      <c r="H1" s="586"/>
      <c r="I1" s="586"/>
      <c r="J1" s="586"/>
      <c r="K1" s="586"/>
      <c r="L1" s="586"/>
      <c r="M1" s="586"/>
      <c r="N1" s="586"/>
      <c r="O1" s="586"/>
      <c r="P1" s="586"/>
      <c r="Q1" s="586"/>
      <c r="R1" s="586"/>
      <c r="S1" s="586"/>
      <c r="T1" s="586"/>
      <c r="U1" s="586"/>
      <c r="V1" s="587"/>
      <c r="W1" s="236" t="s">
        <v>26</v>
      </c>
      <c r="X1" s="237"/>
      <c r="Y1" s="238" t="s">
        <v>27</v>
      </c>
      <c r="Z1" s="239">
        <f ca="1">Report_Day</f>
        <v>45821</v>
      </c>
      <c r="AA1" s="240">
        <f ca="1">Z1+7</f>
        <v>45828</v>
      </c>
      <c r="AB1" s="241"/>
      <c r="AC1" s="241"/>
      <c r="AD1" s="241"/>
      <c r="AE1" s="241"/>
      <c r="AF1" s="241"/>
      <c r="AG1" s="242"/>
      <c r="AH1" s="242"/>
      <c r="AI1" s="242"/>
      <c r="AJ1" s="242"/>
      <c r="AK1" s="242"/>
      <c r="AL1" s="241"/>
      <c r="AM1" s="241"/>
      <c r="AN1" s="241"/>
      <c r="AO1" s="241"/>
      <c r="AP1" s="241"/>
      <c r="AQ1" s="241"/>
      <c r="AR1" s="241"/>
      <c r="AS1" s="241"/>
      <c r="AT1" s="241"/>
    </row>
    <row r="2" spans="1:46" ht="26" thickBot="1">
      <c r="A2" s="588"/>
      <c r="B2" s="589"/>
      <c r="C2" s="589"/>
      <c r="D2" s="589"/>
      <c r="E2" s="589"/>
      <c r="F2" s="589"/>
      <c r="G2" s="589"/>
      <c r="H2" s="589"/>
      <c r="I2" s="589"/>
      <c r="J2" s="589"/>
      <c r="K2" s="589"/>
      <c r="L2" s="589"/>
      <c r="M2" s="589"/>
      <c r="N2" s="589"/>
      <c r="O2" s="589"/>
      <c r="P2" s="589"/>
      <c r="Q2" s="589"/>
      <c r="R2" s="589"/>
      <c r="S2" s="589"/>
      <c r="T2" s="589"/>
      <c r="U2" s="589"/>
      <c r="V2" s="590"/>
      <c r="W2" s="244" t="s">
        <v>28</v>
      </c>
      <c r="X2" s="245" t="s">
        <v>29</v>
      </c>
      <c r="Y2" s="246" t="s">
        <v>30</v>
      </c>
      <c r="Z2" s="247">
        <f ca="1">Report_Day</f>
        <v>45821</v>
      </c>
      <c r="AA2" s="242"/>
      <c r="AB2" s="248"/>
      <c r="AC2" s="248"/>
      <c r="AD2" s="248"/>
      <c r="AE2" s="248"/>
      <c r="AF2" s="242"/>
      <c r="AG2" s="242"/>
      <c r="AH2" s="242"/>
      <c r="AI2" s="242"/>
      <c r="AJ2" s="242"/>
      <c r="AK2" s="242"/>
      <c r="AL2" s="248"/>
      <c r="AM2" s="248"/>
      <c r="AN2" s="248"/>
      <c r="AO2" s="248"/>
      <c r="AP2" s="248"/>
      <c r="AQ2" s="248"/>
      <c r="AR2" s="248"/>
      <c r="AS2" s="248"/>
      <c r="AT2" s="248"/>
    </row>
    <row r="3" spans="1:46" ht="18.5">
      <c r="A3" s="249"/>
      <c r="B3" s="248"/>
      <c r="C3" s="248"/>
      <c r="D3" s="248"/>
      <c r="E3" s="248"/>
      <c r="F3" s="248"/>
      <c r="G3" s="248"/>
      <c r="H3" s="248"/>
      <c r="I3" s="248"/>
      <c r="J3" s="248"/>
      <c r="K3" s="248"/>
      <c r="L3" s="250"/>
      <c r="M3" s="250"/>
      <c r="N3" s="250"/>
      <c r="O3" s="250"/>
      <c r="P3" s="248"/>
      <c r="Q3" s="248"/>
      <c r="R3" s="251"/>
      <c r="S3" s="248"/>
      <c r="T3" s="248"/>
      <c r="U3" s="248"/>
      <c r="V3" s="248"/>
      <c r="W3" s="248"/>
      <c r="X3" s="252"/>
      <c r="Y3" s="252"/>
      <c r="Z3" s="253"/>
      <c r="AA3" s="254"/>
      <c r="AB3" s="255"/>
      <c r="AC3" s="255"/>
      <c r="AD3" s="248"/>
      <c r="AE3" s="248"/>
      <c r="AF3" s="254"/>
      <c r="AG3" s="254"/>
      <c r="AH3" s="254"/>
      <c r="AI3" s="254"/>
      <c r="AJ3" s="254"/>
      <c r="AK3" s="254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1:46" ht="18">
      <c r="A4" s="256"/>
      <c r="B4" s="591" t="s">
        <v>31</v>
      </c>
      <c r="C4" s="592"/>
      <c r="D4" s="592"/>
      <c r="E4" s="592"/>
      <c r="F4" s="592"/>
      <c r="G4" s="592"/>
      <c r="H4" s="592"/>
      <c r="I4" s="591" t="s">
        <v>32</v>
      </c>
      <c r="J4" s="592"/>
      <c r="K4" s="592"/>
      <c r="L4" s="592"/>
      <c r="M4" s="592"/>
      <c r="N4" s="592"/>
      <c r="O4" s="592"/>
      <c r="P4" s="257"/>
      <c r="Q4" s="258" t="s">
        <v>33</v>
      </c>
      <c r="R4" s="259" t="s">
        <v>34</v>
      </c>
      <c r="S4" s="593" t="s">
        <v>35</v>
      </c>
      <c r="T4" s="594"/>
      <c r="U4" s="593" t="s">
        <v>36</v>
      </c>
      <c r="V4" s="594"/>
      <c r="W4" s="581" t="s">
        <v>37</v>
      </c>
      <c r="X4" s="582"/>
      <c r="Y4" s="260" t="s">
        <v>38</v>
      </c>
      <c r="Z4" s="261"/>
      <c r="AA4" s="262" t="s">
        <v>39</v>
      </c>
      <c r="AB4" s="581" t="s">
        <v>37</v>
      </c>
      <c r="AC4" s="582"/>
      <c r="AD4" s="263" t="s">
        <v>40</v>
      </c>
      <c r="AE4" s="263" t="s">
        <v>41</v>
      </c>
      <c r="AF4" s="583" t="s">
        <v>42</v>
      </c>
      <c r="AG4" s="584"/>
      <c r="AH4" s="582"/>
      <c r="AI4" s="264" t="s">
        <v>43</v>
      </c>
      <c r="AJ4" s="264" t="s">
        <v>44</v>
      </c>
      <c r="AK4" s="264" t="s">
        <v>45</v>
      </c>
      <c r="AL4" s="265"/>
      <c r="AM4" s="265"/>
      <c r="AN4" s="265"/>
      <c r="AO4" s="265"/>
      <c r="AP4" s="265"/>
      <c r="AQ4" s="265"/>
      <c r="AR4" s="265"/>
      <c r="AS4" s="265"/>
      <c r="AT4" s="265"/>
    </row>
    <row r="5" spans="1:46" ht="18">
      <c r="A5" s="266"/>
      <c r="B5" s="267"/>
      <c r="C5" s="268"/>
      <c r="D5" s="268"/>
      <c r="E5" s="268"/>
      <c r="F5" s="268"/>
      <c r="G5" s="268"/>
      <c r="H5" s="268"/>
      <c r="I5" s="267"/>
      <c r="J5" s="268"/>
      <c r="K5" s="268"/>
      <c r="L5" s="268"/>
      <c r="M5" s="268"/>
      <c r="N5" s="268"/>
      <c r="O5" s="268"/>
      <c r="P5" s="269" t="s">
        <v>46</v>
      </c>
      <c r="Q5" s="270" t="s">
        <v>47</v>
      </c>
      <c r="R5" s="271"/>
      <c r="S5" s="272" t="s">
        <v>48</v>
      </c>
      <c r="T5" s="273" t="s">
        <v>49</v>
      </c>
      <c r="U5" s="272" t="s">
        <v>48</v>
      </c>
      <c r="V5" s="273" t="s">
        <v>49</v>
      </c>
      <c r="W5" s="274" t="s">
        <v>50</v>
      </c>
      <c r="X5" s="275" t="s">
        <v>36</v>
      </c>
      <c r="Y5" s="276" t="s">
        <v>51</v>
      </c>
      <c r="Z5" s="277"/>
      <c r="AA5" s="278"/>
      <c r="AB5" s="279" t="s">
        <v>52</v>
      </c>
      <c r="AC5" s="280" t="s">
        <v>53</v>
      </c>
      <c r="AD5" s="281"/>
      <c r="AE5" s="281"/>
      <c r="AF5" s="282" t="s">
        <v>33</v>
      </c>
      <c r="AG5" s="283" t="s">
        <v>54</v>
      </c>
      <c r="AH5" s="283" t="s">
        <v>55</v>
      </c>
      <c r="AI5" s="281"/>
      <c r="AJ5" s="281"/>
      <c r="AK5" s="281"/>
      <c r="AL5" s="265"/>
      <c r="AM5" s="265"/>
      <c r="AN5" s="265"/>
      <c r="AO5" s="265"/>
      <c r="AP5" s="265"/>
      <c r="AQ5" s="265"/>
      <c r="AR5" s="265"/>
      <c r="AS5" s="265"/>
      <c r="AT5" s="265"/>
    </row>
    <row r="6" spans="1:46" ht="18">
      <c r="A6" s="284"/>
      <c r="B6" s="285">
        <f t="shared" ref="B6:B260" ca="1" si="0">IF(AND(I6="",J6="",K6="",L6="",M6="",N6="",O6=""),"",IF(AL6=0,"",AL6))</f>
        <v>1</v>
      </c>
      <c r="C6" s="286" t="str">
        <f t="shared" ref="C6:C260" ca="1" si="1">IF(AND(I6="",J6="",K6="",L6="",M6="",N6="",O6=""),"",IF(AM6=0,"",AM6))</f>
        <v/>
      </c>
      <c r="D6" s="286" t="str">
        <f t="shared" ref="D6:D260" ca="1" si="2">IF(AND(I6="",J6="",K6="",L6="",M6="",N6="",O6=""),"",IF(AN6=0,"",AN6))</f>
        <v/>
      </c>
      <c r="E6" s="286" t="str">
        <f t="shared" ref="E6:E260" ca="1" si="3">IF(AND(I6="",J6="",K6="",L6="",M6="",N6="",O6=""),"",IF(AO6=0,"",AO6))</f>
        <v/>
      </c>
      <c r="F6" s="286" t="str">
        <f t="shared" ref="F6:F260" ca="1" si="4">IF(AND(I6="",J6="",K6="",L6="",M6="",N6="",O6=""),"",IF(AP6=0,"",AP6))</f>
        <v/>
      </c>
      <c r="G6" s="287" t="str">
        <f t="shared" ref="G6:G260" ca="1" si="5">IF(AND(I6="",J6="",K6="",L6="",M6="",N6="",O6=""),"",IF(AQ6=0,"",AQ6))</f>
        <v/>
      </c>
      <c r="H6" s="288" t="str">
        <f t="shared" ref="H6:H260" ca="1" si="6">IF(AND(I6="",J6="",K6="",L6="",M6="",N6="",O6=""),"",IF(AR6=0,"",AR6))</f>
        <v/>
      </c>
      <c r="I6" s="289" t="s">
        <v>173</v>
      </c>
      <c r="J6" s="290"/>
      <c r="K6" s="290"/>
      <c r="L6" s="291"/>
      <c r="M6" s="290"/>
      <c r="N6" s="290"/>
      <c r="O6" s="290"/>
      <c r="P6" s="290"/>
      <c r="Q6" s="292"/>
      <c r="R6" s="293"/>
      <c r="S6" s="294"/>
      <c r="T6" s="295"/>
      <c r="U6" s="294"/>
      <c r="V6" s="295"/>
      <c r="W6" s="296"/>
      <c r="X6" s="297"/>
      <c r="Y6" s="298"/>
      <c r="Z6" s="299"/>
      <c r="AA6" s="300"/>
      <c r="AB6" s="301"/>
      <c r="AC6" s="302"/>
      <c r="AD6" s="303"/>
      <c r="AE6" s="304"/>
      <c r="AF6" s="305"/>
      <c r="AG6" s="305">
        <f t="shared" ref="AG6:AG260" si="7">IF(T6&lt;&gt;"",IF(Z$1&gt;=T6,IF(S6&lt;&gt;"",IF(T6&gt;=S6,AF6,0),0),IF(S6&lt;&gt;"",IF(Z$1&gt;=S6,AF6*0.25,0),0)),IF(S6&lt;&gt;"",IF(Z$1&gt;=S6,AF6*0.25,0),0))</f>
        <v>0</v>
      </c>
      <c r="AH6" s="305">
        <f t="shared" ref="AH6:AH260" si="8">IF(T6&lt;&gt;"",IF(AA$1&gt;=T6,IF(S6&lt;&gt;"",IF(T6&gt;=S6,AF6,0),0),IF(S6&lt;&gt;"",IF(AA$1&gt;=S6,AF6*0.25,0),0)),IF(S6&lt;&gt;"",IF(AA$1&gt;=S6,AF6*0.25,0),0))</f>
        <v>0</v>
      </c>
      <c r="AI6" s="305">
        <f t="shared" ref="AI6:AI260" si="9">IF(V6&lt;&gt;"",AF6,IF(U6&lt;&gt;"",AF6*0.25,0))</f>
        <v>0</v>
      </c>
      <c r="AJ6" s="305">
        <f t="shared" ref="AJ6:AJ260" si="10">AI6-AG6</f>
        <v>0</v>
      </c>
      <c r="AK6" s="305" t="str">
        <f t="shared" ref="AK6:AK260" si="11">IF(ISERROR(AI6/AG6),"",AI6/AG6)</f>
        <v/>
      </c>
      <c r="AL6" s="306">
        <f t="shared" ref="AL6:AL260" ca="1" si="12">IF(I6="",OFFSET(AL6,-1,0),OFFSET(AL6,-1,0)+1)</f>
        <v>1</v>
      </c>
      <c r="AM6" s="306">
        <f t="shared" ref="AM6:AM260" ca="1" si="13">IF(I6&lt;&gt;"",0,IF(J6="",OFFSET(AM6,-1,0),OFFSET(AM6,-1,0)+1))</f>
        <v>0</v>
      </c>
      <c r="AN6" s="306">
        <f t="shared" ref="AN6:AN260" ca="1" si="14">IF(I6&lt;&gt;"",0,IF(J6&lt;&gt;"",0,IF(K6="",OFFSET(AN6,-1,0),OFFSET(AN6,-1,0)+1)))</f>
        <v>0</v>
      </c>
      <c r="AO6" s="306">
        <f t="shared" ref="AO6:AO260" ca="1" si="15">IF(I6&lt;&gt;"",0,IF(J6&lt;&gt;"",0,IF(K6&lt;&gt;"",0,IF(L6="",OFFSET(AO6,-1,0),OFFSET(AO6,-1,0)+1))))</f>
        <v>0</v>
      </c>
      <c r="AP6" s="306">
        <f t="shared" ref="AP6:AP260" ca="1" si="16">IF(I6&lt;&gt;"",0,IF(J6&lt;&gt;"",0,IF(K6&lt;&gt;"",0,IF(L6&lt;&gt;"",0,IF(M6="",OFFSET(AP6,-1,0),OFFSET(AP6,-1,0)+1)))))</f>
        <v>0</v>
      </c>
      <c r="AQ6" s="306">
        <f t="shared" ref="AQ6:AQ260" ca="1" si="17">IF(I6&lt;&gt;"",0,IF(J6&lt;&gt;"",0,IF(K6&lt;&gt;"",0,IF(L6&lt;&gt;"",0,IF(M6&lt;&gt;"",0,IF(N6="",OFFSET(AQ6,-1,0),OFFSET(AQ6,-1,0)+1))))))</f>
        <v>0</v>
      </c>
      <c r="AR6" s="306">
        <f t="shared" ref="AR6:AR260" ca="1" si="18">IF(I6&lt;&gt;"",0,IF(J6&lt;&gt;"",0,IF(K6&lt;&gt;"",0,IF(L6&lt;&gt;"",0,IF(M6&lt;&gt;"",0,IF(N6&lt;&gt;"",0,IF(O6="",OFFSET(AR6,-1,0),OFFSET(AR6,-1,0)+1)))))))</f>
        <v>0</v>
      </c>
      <c r="AS6" s="307"/>
      <c r="AT6" s="306">
        <f t="shared" ref="AT6:AT260" si="19">IF(((T6-S6)+1)&lt;0,0,((T6-S6)+1))</f>
        <v>1</v>
      </c>
    </row>
    <row r="7" spans="1:46" ht="18">
      <c r="A7" s="284"/>
      <c r="B7" s="285">
        <f t="shared" ca="1" si="0"/>
        <v>1</v>
      </c>
      <c r="C7" s="286">
        <f t="shared" ca="1" si="1"/>
        <v>1</v>
      </c>
      <c r="D7" s="286" t="str">
        <f t="shared" ca="1" si="2"/>
        <v/>
      </c>
      <c r="E7" s="286" t="str">
        <f t="shared" ca="1" si="3"/>
        <v/>
      </c>
      <c r="F7" s="286" t="str">
        <f t="shared" ca="1" si="4"/>
        <v/>
      </c>
      <c r="G7" s="287" t="str">
        <f t="shared" ca="1" si="5"/>
        <v/>
      </c>
      <c r="H7" s="288" t="str">
        <f t="shared" ca="1" si="6"/>
        <v/>
      </c>
      <c r="I7" s="308"/>
      <c r="J7" s="309" t="s">
        <v>174</v>
      </c>
      <c r="K7" s="310"/>
      <c r="L7" s="310"/>
      <c r="M7" s="310"/>
      <c r="N7" s="310"/>
      <c r="O7" s="310"/>
      <c r="P7" s="310"/>
      <c r="Q7" s="311" t="s">
        <v>73</v>
      </c>
      <c r="R7" s="312"/>
      <c r="S7" s="313"/>
      <c r="T7" s="314"/>
      <c r="U7" s="315"/>
      <c r="V7" s="314"/>
      <c r="W7" s="316"/>
      <c r="X7" s="317"/>
      <c r="Y7" s="318"/>
      <c r="Z7" s="319"/>
      <c r="AA7" s="300"/>
      <c r="AB7" s="301"/>
      <c r="AC7" s="302"/>
      <c r="AD7" s="303"/>
      <c r="AE7" s="304"/>
      <c r="AF7" s="305"/>
      <c r="AG7" s="305">
        <f t="shared" si="7"/>
        <v>0</v>
      </c>
      <c r="AH7" s="305">
        <f t="shared" si="8"/>
        <v>0</v>
      </c>
      <c r="AI7" s="305">
        <f t="shared" si="9"/>
        <v>0</v>
      </c>
      <c r="AJ7" s="305">
        <f t="shared" si="10"/>
        <v>0</v>
      </c>
      <c r="AK7" s="305" t="str">
        <f t="shared" si="11"/>
        <v/>
      </c>
      <c r="AL7" s="306">
        <f t="shared" ca="1" si="12"/>
        <v>1</v>
      </c>
      <c r="AM7" s="306">
        <f t="shared" ca="1" si="13"/>
        <v>1</v>
      </c>
      <c r="AN7" s="306">
        <f t="shared" ca="1" si="14"/>
        <v>0</v>
      </c>
      <c r="AO7" s="306">
        <f t="shared" ca="1" si="15"/>
        <v>0</v>
      </c>
      <c r="AP7" s="306">
        <f t="shared" ca="1" si="16"/>
        <v>0</v>
      </c>
      <c r="AQ7" s="306">
        <f t="shared" ca="1" si="17"/>
        <v>0</v>
      </c>
      <c r="AR7" s="306">
        <f t="shared" ca="1" si="18"/>
        <v>0</v>
      </c>
      <c r="AS7" s="307"/>
      <c r="AT7" s="306">
        <f t="shared" si="19"/>
        <v>1</v>
      </c>
    </row>
    <row r="8" spans="1:46" ht="18.5">
      <c r="A8" s="284"/>
      <c r="B8" s="285">
        <f t="shared" ca="1" si="0"/>
        <v>1</v>
      </c>
      <c r="C8" s="286">
        <f t="shared" ca="1" si="1"/>
        <v>1</v>
      </c>
      <c r="D8" s="286">
        <f t="shared" ca="1" si="2"/>
        <v>1</v>
      </c>
      <c r="E8" s="286" t="str">
        <f t="shared" ca="1" si="3"/>
        <v/>
      </c>
      <c r="F8" s="286" t="str">
        <f t="shared" ca="1" si="4"/>
        <v/>
      </c>
      <c r="G8" s="287" t="str">
        <f t="shared" ca="1" si="5"/>
        <v/>
      </c>
      <c r="H8" s="288" t="str">
        <f t="shared" ca="1" si="6"/>
        <v/>
      </c>
      <c r="I8" s="308"/>
      <c r="J8" s="320"/>
      <c r="K8" s="320" t="s">
        <v>59</v>
      </c>
      <c r="L8" s="320"/>
      <c r="M8" s="320"/>
      <c r="N8" s="320"/>
      <c r="O8" s="320"/>
      <c r="P8" s="320"/>
      <c r="Q8" s="321"/>
      <c r="R8" s="322" t="s">
        <v>175</v>
      </c>
      <c r="S8" s="323">
        <v>45819</v>
      </c>
      <c r="T8" s="324">
        <v>45825</v>
      </c>
      <c r="U8" s="325">
        <v>45817</v>
      </c>
      <c r="V8" s="325"/>
      <c r="W8" s="326">
        <v>0.6</v>
      </c>
      <c r="X8" s="327">
        <v>0.75</v>
      </c>
      <c r="Y8" s="328"/>
      <c r="Z8" s="329"/>
      <c r="AA8" s="300"/>
      <c r="AB8" s="301"/>
      <c r="AC8" s="302"/>
      <c r="AD8" s="303"/>
      <c r="AE8" s="304"/>
      <c r="AF8" s="305"/>
      <c r="AG8" s="305">
        <f t="shared" ca="1" si="7"/>
        <v>0</v>
      </c>
      <c r="AH8" s="305">
        <f t="shared" ca="1" si="8"/>
        <v>0</v>
      </c>
      <c r="AI8" s="305">
        <f t="shared" si="9"/>
        <v>0</v>
      </c>
      <c r="AJ8" s="305">
        <f t="shared" ca="1" si="10"/>
        <v>0</v>
      </c>
      <c r="AK8" s="305" t="str">
        <f t="shared" ca="1" si="11"/>
        <v/>
      </c>
      <c r="AL8" s="306">
        <f t="shared" ca="1" si="12"/>
        <v>1</v>
      </c>
      <c r="AM8" s="306">
        <f t="shared" ca="1" si="13"/>
        <v>1</v>
      </c>
      <c r="AN8" s="306">
        <f t="shared" ca="1" si="14"/>
        <v>1</v>
      </c>
      <c r="AO8" s="306">
        <f t="shared" ca="1" si="15"/>
        <v>0</v>
      </c>
      <c r="AP8" s="306">
        <f t="shared" ca="1" si="16"/>
        <v>0</v>
      </c>
      <c r="AQ8" s="306">
        <f t="shared" ca="1" si="17"/>
        <v>0</v>
      </c>
      <c r="AR8" s="306">
        <f t="shared" ca="1" si="18"/>
        <v>0</v>
      </c>
      <c r="AS8" s="307"/>
      <c r="AT8" s="306">
        <f t="shared" si="19"/>
        <v>7</v>
      </c>
    </row>
    <row r="9" spans="1:46" ht="18.5">
      <c r="A9" s="284"/>
      <c r="B9" s="285">
        <f t="shared" ca="1" si="0"/>
        <v>1</v>
      </c>
      <c r="C9" s="286">
        <f t="shared" ca="1" si="1"/>
        <v>1</v>
      </c>
      <c r="D9" s="286">
        <f t="shared" ca="1" si="2"/>
        <v>2</v>
      </c>
      <c r="E9" s="286" t="str">
        <f t="shared" ca="1" si="3"/>
        <v/>
      </c>
      <c r="F9" s="286" t="str">
        <f t="shared" ca="1" si="4"/>
        <v/>
      </c>
      <c r="G9" s="287" t="str">
        <f t="shared" ca="1" si="5"/>
        <v/>
      </c>
      <c r="H9" s="288" t="str">
        <f t="shared" ca="1" si="6"/>
        <v/>
      </c>
      <c r="I9" s="308"/>
      <c r="J9" s="320"/>
      <c r="K9" s="320" t="s">
        <v>145</v>
      </c>
      <c r="L9" s="320"/>
      <c r="M9" s="320"/>
      <c r="N9" s="320"/>
      <c r="O9" s="320"/>
      <c r="P9" s="320"/>
      <c r="Q9" s="321"/>
      <c r="R9" s="322" t="s">
        <v>176</v>
      </c>
      <c r="S9" s="323">
        <v>45826</v>
      </c>
      <c r="T9" s="324">
        <v>45826</v>
      </c>
      <c r="U9" s="330"/>
      <c r="V9" s="325"/>
      <c r="W9" s="326">
        <v>0</v>
      </c>
      <c r="X9" s="327"/>
      <c r="Y9" s="328"/>
      <c r="Z9" s="329"/>
      <c r="AA9" s="300"/>
      <c r="AB9" s="301"/>
      <c r="AC9" s="302"/>
      <c r="AD9" s="303"/>
      <c r="AE9" s="304"/>
      <c r="AF9" s="305"/>
      <c r="AG9" s="305">
        <f t="shared" ca="1" si="7"/>
        <v>0</v>
      </c>
      <c r="AH9" s="305">
        <f t="shared" ca="1" si="8"/>
        <v>0</v>
      </c>
      <c r="AI9" s="305">
        <f t="shared" si="9"/>
        <v>0</v>
      </c>
      <c r="AJ9" s="305">
        <f t="shared" ca="1" si="10"/>
        <v>0</v>
      </c>
      <c r="AK9" s="305" t="str">
        <f t="shared" ca="1" si="11"/>
        <v/>
      </c>
      <c r="AL9" s="306">
        <f t="shared" ca="1" si="12"/>
        <v>1</v>
      </c>
      <c r="AM9" s="306">
        <f t="shared" ca="1" si="13"/>
        <v>1</v>
      </c>
      <c r="AN9" s="306">
        <f t="shared" ca="1" si="14"/>
        <v>2</v>
      </c>
      <c r="AO9" s="306">
        <f t="shared" ca="1" si="15"/>
        <v>0</v>
      </c>
      <c r="AP9" s="306">
        <f t="shared" ca="1" si="16"/>
        <v>0</v>
      </c>
      <c r="AQ9" s="306">
        <f t="shared" ca="1" si="17"/>
        <v>0</v>
      </c>
      <c r="AR9" s="306">
        <f t="shared" ca="1" si="18"/>
        <v>0</v>
      </c>
      <c r="AS9" s="307"/>
      <c r="AT9" s="306">
        <f t="shared" si="19"/>
        <v>1</v>
      </c>
    </row>
    <row r="10" spans="1:46" ht="18">
      <c r="A10" s="284"/>
      <c r="B10" s="285">
        <f t="shared" ca="1" si="0"/>
        <v>1</v>
      </c>
      <c r="C10" s="286">
        <f t="shared" ca="1" si="1"/>
        <v>1</v>
      </c>
      <c r="D10" s="286">
        <f t="shared" ca="1" si="2"/>
        <v>3</v>
      </c>
      <c r="E10" s="286" t="str">
        <f t="shared" ca="1" si="3"/>
        <v/>
      </c>
      <c r="F10" s="286" t="str">
        <f t="shared" ca="1" si="4"/>
        <v/>
      </c>
      <c r="G10" s="287" t="str">
        <f t="shared" ca="1" si="5"/>
        <v/>
      </c>
      <c r="H10" s="288" t="str">
        <f t="shared" ca="1" si="6"/>
        <v/>
      </c>
      <c r="I10" s="308"/>
      <c r="J10" s="320"/>
      <c r="K10" s="320" t="s">
        <v>63</v>
      </c>
      <c r="L10" s="320"/>
      <c r="M10" s="320"/>
      <c r="N10" s="320"/>
      <c r="O10" s="320"/>
      <c r="P10" s="320"/>
      <c r="Q10" s="321"/>
      <c r="R10" s="322" t="s">
        <v>175</v>
      </c>
      <c r="S10" s="331">
        <v>45832</v>
      </c>
      <c r="T10" s="325">
        <v>45833</v>
      </c>
      <c r="U10" s="330"/>
      <c r="V10" s="325"/>
      <c r="W10" s="326">
        <v>0</v>
      </c>
      <c r="X10" s="327"/>
      <c r="Y10" s="328"/>
      <c r="Z10" s="329"/>
      <c r="AA10" s="300"/>
      <c r="AB10" s="301"/>
      <c r="AC10" s="302"/>
      <c r="AD10" s="303"/>
      <c r="AE10" s="304"/>
      <c r="AF10" s="305"/>
      <c r="AG10" s="305">
        <f t="shared" ca="1" si="7"/>
        <v>0</v>
      </c>
      <c r="AH10" s="305">
        <f t="shared" ca="1" si="8"/>
        <v>0</v>
      </c>
      <c r="AI10" s="305">
        <f t="shared" si="9"/>
        <v>0</v>
      </c>
      <c r="AJ10" s="305">
        <f t="shared" ca="1" si="10"/>
        <v>0</v>
      </c>
      <c r="AK10" s="305" t="str">
        <f t="shared" ca="1" si="11"/>
        <v/>
      </c>
      <c r="AL10" s="306">
        <f t="shared" ca="1" si="12"/>
        <v>1</v>
      </c>
      <c r="AM10" s="306">
        <f t="shared" ca="1" si="13"/>
        <v>1</v>
      </c>
      <c r="AN10" s="306">
        <f t="shared" ca="1" si="14"/>
        <v>3</v>
      </c>
      <c r="AO10" s="306">
        <f t="shared" ca="1" si="15"/>
        <v>0</v>
      </c>
      <c r="AP10" s="306">
        <f t="shared" ca="1" si="16"/>
        <v>0</v>
      </c>
      <c r="AQ10" s="306">
        <f t="shared" ca="1" si="17"/>
        <v>0</v>
      </c>
      <c r="AR10" s="306">
        <f t="shared" ca="1" si="18"/>
        <v>0</v>
      </c>
      <c r="AS10" s="307"/>
      <c r="AT10" s="306">
        <f t="shared" si="19"/>
        <v>2</v>
      </c>
    </row>
    <row r="11" spans="1:46" ht="18">
      <c r="A11" s="284"/>
      <c r="B11" s="285">
        <f t="shared" ca="1" si="0"/>
        <v>1</v>
      </c>
      <c r="C11" s="286">
        <f t="shared" ca="1" si="1"/>
        <v>1</v>
      </c>
      <c r="D11" s="286">
        <f t="shared" ca="1" si="2"/>
        <v>4</v>
      </c>
      <c r="E11" s="286" t="str">
        <f t="shared" ca="1" si="3"/>
        <v/>
      </c>
      <c r="F11" s="286" t="str">
        <f t="shared" ca="1" si="4"/>
        <v/>
      </c>
      <c r="G11" s="287" t="str">
        <f t="shared" ca="1" si="5"/>
        <v/>
      </c>
      <c r="H11" s="288" t="str">
        <f t="shared" ca="1" si="6"/>
        <v/>
      </c>
      <c r="I11" s="308"/>
      <c r="J11" s="320"/>
      <c r="K11" s="320" t="s">
        <v>64</v>
      </c>
      <c r="L11" s="320"/>
      <c r="M11" s="320"/>
      <c r="N11" s="320"/>
      <c r="O11" s="320"/>
      <c r="P11" s="320"/>
      <c r="Q11" s="321"/>
      <c r="R11" s="322" t="s">
        <v>176</v>
      </c>
      <c r="S11" s="331">
        <v>45834</v>
      </c>
      <c r="T11" s="325">
        <v>45834</v>
      </c>
      <c r="U11" s="330"/>
      <c r="V11" s="325"/>
      <c r="W11" s="326">
        <v>0</v>
      </c>
      <c r="X11" s="327"/>
      <c r="Y11" s="328"/>
      <c r="Z11" s="329"/>
      <c r="AA11" s="300"/>
      <c r="AB11" s="301"/>
      <c r="AC11" s="302"/>
      <c r="AD11" s="303"/>
      <c r="AE11" s="304"/>
      <c r="AF11" s="305"/>
      <c r="AG11" s="305">
        <f t="shared" ca="1" si="7"/>
        <v>0</v>
      </c>
      <c r="AH11" s="305">
        <f t="shared" ca="1" si="8"/>
        <v>0</v>
      </c>
      <c r="AI11" s="305">
        <f t="shared" si="9"/>
        <v>0</v>
      </c>
      <c r="AJ11" s="305">
        <f t="shared" ca="1" si="10"/>
        <v>0</v>
      </c>
      <c r="AK11" s="305" t="str">
        <f t="shared" ca="1" si="11"/>
        <v/>
      </c>
      <c r="AL11" s="306">
        <f t="shared" ca="1" si="12"/>
        <v>1</v>
      </c>
      <c r="AM11" s="306">
        <f t="shared" ca="1" si="13"/>
        <v>1</v>
      </c>
      <c r="AN11" s="306">
        <f t="shared" ca="1" si="14"/>
        <v>4</v>
      </c>
      <c r="AO11" s="306">
        <f t="shared" ca="1" si="15"/>
        <v>0</v>
      </c>
      <c r="AP11" s="306">
        <f t="shared" ca="1" si="16"/>
        <v>0</v>
      </c>
      <c r="AQ11" s="306">
        <f t="shared" ca="1" si="17"/>
        <v>0</v>
      </c>
      <c r="AR11" s="306">
        <f t="shared" ca="1" si="18"/>
        <v>0</v>
      </c>
      <c r="AS11" s="307"/>
      <c r="AT11" s="306">
        <f t="shared" si="19"/>
        <v>1</v>
      </c>
    </row>
    <row r="12" spans="1:46" ht="18">
      <c r="A12" s="284"/>
      <c r="B12" s="285">
        <f t="shared" ca="1" si="0"/>
        <v>1</v>
      </c>
      <c r="C12" s="286">
        <f t="shared" ca="1" si="1"/>
        <v>1</v>
      </c>
      <c r="D12" s="286">
        <f t="shared" ca="1" si="2"/>
        <v>5</v>
      </c>
      <c r="E12" s="286" t="str">
        <f t="shared" ca="1" si="3"/>
        <v/>
      </c>
      <c r="F12" s="286" t="str">
        <f t="shared" ca="1" si="4"/>
        <v/>
      </c>
      <c r="G12" s="287" t="str">
        <f t="shared" ca="1" si="5"/>
        <v/>
      </c>
      <c r="H12" s="288" t="str">
        <f t="shared" ca="1" si="6"/>
        <v/>
      </c>
      <c r="I12" s="308"/>
      <c r="J12" s="320"/>
      <c r="K12" s="320" t="s">
        <v>65</v>
      </c>
      <c r="L12" s="320"/>
      <c r="M12" s="320"/>
      <c r="N12" s="320"/>
      <c r="O12" s="320"/>
      <c r="P12" s="320"/>
      <c r="Q12" s="321"/>
      <c r="R12" s="322" t="s">
        <v>175</v>
      </c>
      <c r="S12" s="331">
        <v>45835</v>
      </c>
      <c r="T12" s="325">
        <v>45835</v>
      </c>
      <c r="U12" s="330"/>
      <c r="V12" s="325"/>
      <c r="W12" s="326">
        <v>0</v>
      </c>
      <c r="X12" s="327"/>
      <c r="Y12" s="328"/>
      <c r="Z12" s="329"/>
      <c r="AA12" s="300"/>
      <c r="AB12" s="301"/>
      <c r="AC12" s="302"/>
      <c r="AD12" s="303"/>
      <c r="AE12" s="304"/>
      <c r="AF12" s="305"/>
      <c r="AG12" s="305">
        <f t="shared" ca="1" si="7"/>
        <v>0</v>
      </c>
      <c r="AH12" s="305">
        <f t="shared" ca="1" si="8"/>
        <v>0</v>
      </c>
      <c r="AI12" s="305">
        <f t="shared" si="9"/>
        <v>0</v>
      </c>
      <c r="AJ12" s="305">
        <f t="shared" ca="1" si="10"/>
        <v>0</v>
      </c>
      <c r="AK12" s="305" t="str">
        <f t="shared" ca="1" si="11"/>
        <v/>
      </c>
      <c r="AL12" s="306">
        <f t="shared" ca="1" si="12"/>
        <v>1</v>
      </c>
      <c r="AM12" s="306">
        <f t="shared" ca="1" si="13"/>
        <v>1</v>
      </c>
      <c r="AN12" s="306">
        <f t="shared" ca="1" si="14"/>
        <v>5</v>
      </c>
      <c r="AO12" s="306">
        <f t="shared" ca="1" si="15"/>
        <v>0</v>
      </c>
      <c r="AP12" s="306">
        <f t="shared" ca="1" si="16"/>
        <v>0</v>
      </c>
      <c r="AQ12" s="306">
        <f t="shared" ca="1" si="17"/>
        <v>0</v>
      </c>
      <c r="AR12" s="306">
        <f t="shared" ca="1" si="18"/>
        <v>0</v>
      </c>
      <c r="AS12" s="307"/>
      <c r="AT12" s="306">
        <f t="shared" si="19"/>
        <v>1</v>
      </c>
    </row>
    <row r="13" spans="1:46" ht="18">
      <c r="A13" s="284"/>
      <c r="B13" s="285">
        <f t="shared" ca="1" si="0"/>
        <v>1</v>
      </c>
      <c r="C13" s="286">
        <f t="shared" ca="1" si="1"/>
        <v>1</v>
      </c>
      <c r="D13" s="286">
        <f t="shared" ca="1" si="2"/>
        <v>6</v>
      </c>
      <c r="E13" s="286" t="str">
        <f t="shared" ca="1" si="3"/>
        <v/>
      </c>
      <c r="F13" s="286" t="str">
        <f t="shared" ca="1" si="4"/>
        <v/>
      </c>
      <c r="G13" s="287" t="str">
        <f t="shared" ca="1" si="5"/>
        <v/>
      </c>
      <c r="H13" s="288" t="str">
        <f t="shared" ca="1" si="6"/>
        <v/>
      </c>
      <c r="I13" s="308"/>
      <c r="J13" s="320"/>
      <c r="K13" s="320" t="s">
        <v>66</v>
      </c>
      <c r="L13" s="320"/>
      <c r="M13" s="320"/>
      <c r="N13" s="320"/>
      <c r="O13" s="320"/>
      <c r="P13" s="320"/>
      <c r="Q13" s="321"/>
      <c r="R13" s="322" t="s">
        <v>176</v>
      </c>
      <c r="S13" s="331">
        <v>45838</v>
      </c>
      <c r="T13" s="325">
        <v>45838</v>
      </c>
      <c r="U13" s="330"/>
      <c r="V13" s="325"/>
      <c r="W13" s="326">
        <v>0</v>
      </c>
      <c r="X13" s="327"/>
      <c r="Y13" s="328"/>
      <c r="Z13" s="329"/>
      <c r="AA13" s="300"/>
      <c r="AB13" s="301"/>
      <c r="AC13" s="302"/>
      <c r="AD13" s="303"/>
      <c r="AE13" s="304"/>
      <c r="AF13" s="305"/>
      <c r="AG13" s="305">
        <f t="shared" ca="1" si="7"/>
        <v>0</v>
      </c>
      <c r="AH13" s="305">
        <f t="shared" ca="1" si="8"/>
        <v>0</v>
      </c>
      <c r="AI13" s="305">
        <f t="shared" si="9"/>
        <v>0</v>
      </c>
      <c r="AJ13" s="305">
        <f t="shared" ca="1" si="10"/>
        <v>0</v>
      </c>
      <c r="AK13" s="305" t="str">
        <f t="shared" ca="1" si="11"/>
        <v/>
      </c>
      <c r="AL13" s="306">
        <f t="shared" ca="1" si="12"/>
        <v>1</v>
      </c>
      <c r="AM13" s="306">
        <f t="shared" ca="1" si="13"/>
        <v>1</v>
      </c>
      <c r="AN13" s="306">
        <f t="shared" ca="1" si="14"/>
        <v>6</v>
      </c>
      <c r="AO13" s="306">
        <f t="shared" ca="1" si="15"/>
        <v>0</v>
      </c>
      <c r="AP13" s="306">
        <f t="shared" ca="1" si="16"/>
        <v>0</v>
      </c>
      <c r="AQ13" s="306">
        <f t="shared" ca="1" si="17"/>
        <v>0</v>
      </c>
      <c r="AR13" s="306">
        <f t="shared" ca="1" si="18"/>
        <v>0</v>
      </c>
      <c r="AS13" s="307"/>
      <c r="AT13" s="306">
        <f t="shared" si="19"/>
        <v>1</v>
      </c>
    </row>
    <row r="14" spans="1:46" ht="18">
      <c r="A14" s="284"/>
      <c r="B14" s="285">
        <f t="shared" ca="1" si="0"/>
        <v>1</v>
      </c>
      <c r="C14" s="286">
        <f t="shared" ca="1" si="1"/>
        <v>2</v>
      </c>
      <c r="D14" s="286" t="str">
        <f t="shared" ca="1" si="2"/>
        <v/>
      </c>
      <c r="E14" s="286" t="str">
        <f t="shared" ca="1" si="3"/>
        <v/>
      </c>
      <c r="F14" s="286" t="str">
        <f t="shared" ca="1" si="4"/>
        <v/>
      </c>
      <c r="G14" s="287" t="str">
        <f t="shared" ca="1" si="5"/>
        <v/>
      </c>
      <c r="H14" s="288" t="str">
        <f t="shared" ca="1" si="6"/>
        <v/>
      </c>
      <c r="I14" s="308"/>
      <c r="J14" s="309" t="s">
        <v>177</v>
      </c>
      <c r="K14" s="310"/>
      <c r="L14" s="310"/>
      <c r="M14" s="310"/>
      <c r="N14" s="310"/>
      <c r="O14" s="310"/>
      <c r="P14" s="310"/>
      <c r="Q14" s="311" t="s">
        <v>73</v>
      </c>
      <c r="R14" s="312"/>
      <c r="S14" s="313"/>
      <c r="T14" s="314"/>
      <c r="U14" s="315"/>
      <c r="V14" s="314"/>
      <c r="W14" s="316"/>
      <c r="X14" s="317"/>
      <c r="Y14" s="318"/>
      <c r="Z14" s="319"/>
      <c r="AA14" s="300"/>
      <c r="AB14" s="301"/>
      <c r="AC14" s="302"/>
      <c r="AD14" s="303"/>
      <c r="AE14" s="304"/>
      <c r="AF14" s="305"/>
      <c r="AG14" s="305">
        <f t="shared" si="7"/>
        <v>0</v>
      </c>
      <c r="AH14" s="305">
        <f t="shared" si="8"/>
        <v>0</v>
      </c>
      <c r="AI14" s="305">
        <f t="shared" si="9"/>
        <v>0</v>
      </c>
      <c r="AJ14" s="305">
        <f t="shared" si="10"/>
        <v>0</v>
      </c>
      <c r="AK14" s="305" t="str">
        <f t="shared" si="11"/>
        <v/>
      </c>
      <c r="AL14" s="306">
        <f t="shared" ca="1" si="12"/>
        <v>1</v>
      </c>
      <c r="AM14" s="306">
        <f t="shared" ca="1" si="13"/>
        <v>2</v>
      </c>
      <c r="AN14" s="306">
        <f t="shared" ca="1" si="14"/>
        <v>0</v>
      </c>
      <c r="AO14" s="306">
        <f t="shared" ca="1" si="15"/>
        <v>0</v>
      </c>
      <c r="AP14" s="306">
        <f t="shared" ca="1" si="16"/>
        <v>0</v>
      </c>
      <c r="AQ14" s="306">
        <f t="shared" ca="1" si="17"/>
        <v>0</v>
      </c>
      <c r="AR14" s="306">
        <f t="shared" ca="1" si="18"/>
        <v>0</v>
      </c>
      <c r="AS14" s="307"/>
      <c r="AT14" s="306">
        <f t="shared" si="19"/>
        <v>1</v>
      </c>
    </row>
    <row r="15" spans="1:46" ht="18.5">
      <c r="A15" s="284"/>
      <c r="B15" s="285">
        <f t="shared" ca="1" si="0"/>
        <v>1</v>
      </c>
      <c r="C15" s="286">
        <f t="shared" ca="1" si="1"/>
        <v>2</v>
      </c>
      <c r="D15" s="286">
        <f t="shared" ca="1" si="2"/>
        <v>1</v>
      </c>
      <c r="E15" s="286" t="str">
        <f t="shared" ca="1" si="3"/>
        <v/>
      </c>
      <c r="F15" s="286" t="str">
        <f t="shared" ca="1" si="4"/>
        <v/>
      </c>
      <c r="G15" s="287" t="str">
        <f t="shared" ca="1" si="5"/>
        <v/>
      </c>
      <c r="H15" s="288" t="str">
        <f t="shared" ca="1" si="6"/>
        <v/>
      </c>
      <c r="I15" s="308"/>
      <c r="J15" s="320"/>
      <c r="K15" s="320" t="s">
        <v>59</v>
      </c>
      <c r="L15" s="320"/>
      <c r="M15" s="320"/>
      <c r="N15" s="320"/>
      <c r="O15" s="320"/>
      <c r="P15" s="320"/>
      <c r="Q15" s="321"/>
      <c r="R15" s="322" t="s">
        <v>176</v>
      </c>
      <c r="S15" s="323">
        <v>45819</v>
      </c>
      <c r="T15" s="324">
        <v>45825</v>
      </c>
      <c r="U15" s="325">
        <v>45817</v>
      </c>
      <c r="V15" s="325"/>
      <c r="W15" s="326">
        <v>0.6</v>
      </c>
      <c r="X15" s="327">
        <v>0.75</v>
      </c>
      <c r="Y15" s="328"/>
      <c r="Z15" s="329"/>
      <c r="AA15" s="300"/>
      <c r="AB15" s="301"/>
      <c r="AC15" s="302"/>
      <c r="AD15" s="303"/>
      <c r="AE15" s="304"/>
      <c r="AF15" s="305"/>
      <c r="AG15" s="305">
        <f t="shared" ca="1" si="7"/>
        <v>0</v>
      </c>
      <c r="AH15" s="305">
        <f t="shared" ca="1" si="8"/>
        <v>0</v>
      </c>
      <c r="AI15" s="305">
        <f t="shared" si="9"/>
        <v>0</v>
      </c>
      <c r="AJ15" s="305">
        <f t="shared" ca="1" si="10"/>
        <v>0</v>
      </c>
      <c r="AK15" s="305" t="str">
        <f t="shared" ca="1" si="11"/>
        <v/>
      </c>
      <c r="AL15" s="306">
        <f t="shared" ca="1" si="12"/>
        <v>1</v>
      </c>
      <c r="AM15" s="306">
        <f t="shared" ca="1" si="13"/>
        <v>2</v>
      </c>
      <c r="AN15" s="306">
        <f t="shared" ca="1" si="14"/>
        <v>1</v>
      </c>
      <c r="AO15" s="306">
        <f t="shared" ca="1" si="15"/>
        <v>0</v>
      </c>
      <c r="AP15" s="306">
        <f t="shared" ca="1" si="16"/>
        <v>0</v>
      </c>
      <c r="AQ15" s="306">
        <f t="shared" ca="1" si="17"/>
        <v>0</v>
      </c>
      <c r="AR15" s="306">
        <f t="shared" ca="1" si="18"/>
        <v>0</v>
      </c>
      <c r="AS15" s="307"/>
      <c r="AT15" s="306">
        <f t="shared" si="19"/>
        <v>7</v>
      </c>
    </row>
    <row r="16" spans="1:46" ht="18.5">
      <c r="A16" s="284"/>
      <c r="B16" s="285">
        <f t="shared" ca="1" si="0"/>
        <v>1</v>
      </c>
      <c r="C16" s="286">
        <f t="shared" ca="1" si="1"/>
        <v>2</v>
      </c>
      <c r="D16" s="286">
        <f t="shared" ca="1" si="2"/>
        <v>2</v>
      </c>
      <c r="E16" s="286" t="str">
        <f t="shared" ca="1" si="3"/>
        <v/>
      </c>
      <c r="F16" s="286" t="str">
        <f t="shared" ca="1" si="4"/>
        <v/>
      </c>
      <c r="G16" s="287" t="str">
        <f t="shared" ca="1" si="5"/>
        <v/>
      </c>
      <c r="H16" s="288" t="str">
        <f t="shared" ca="1" si="6"/>
        <v/>
      </c>
      <c r="I16" s="308"/>
      <c r="J16" s="320"/>
      <c r="K16" s="320" t="s">
        <v>145</v>
      </c>
      <c r="L16" s="320"/>
      <c r="M16" s="320"/>
      <c r="N16" s="320"/>
      <c r="O16" s="320"/>
      <c r="P16" s="320"/>
      <c r="Q16" s="321"/>
      <c r="R16" s="322" t="s">
        <v>175</v>
      </c>
      <c r="S16" s="323">
        <v>45826</v>
      </c>
      <c r="T16" s="324">
        <v>45826</v>
      </c>
      <c r="U16" s="330"/>
      <c r="V16" s="325"/>
      <c r="W16" s="326">
        <v>0</v>
      </c>
      <c r="X16" s="327"/>
      <c r="Y16" s="328"/>
      <c r="Z16" s="329"/>
      <c r="AA16" s="300"/>
      <c r="AB16" s="301"/>
      <c r="AC16" s="302"/>
      <c r="AD16" s="303"/>
      <c r="AE16" s="304"/>
      <c r="AF16" s="305"/>
      <c r="AG16" s="305">
        <f t="shared" ca="1" si="7"/>
        <v>0</v>
      </c>
      <c r="AH16" s="305">
        <f t="shared" ca="1" si="8"/>
        <v>0</v>
      </c>
      <c r="AI16" s="305">
        <f t="shared" si="9"/>
        <v>0</v>
      </c>
      <c r="AJ16" s="305">
        <f t="shared" ca="1" si="10"/>
        <v>0</v>
      </c>
      <c r="AK16" s="305" t="str">
        <f t="shared" ca="1" si="11"/>
        <v/>
      </c>
      <c r="AL16" s="306">
        <f t="shared" ca="1" si="12"/>
        <v>1</v>
      </c>
      <c r="AM16" s="306">
        <f t="shared" ca="1" si="13"/>
        <v>2</v>
      </c>
      <c r="AN16" s="306">
        <f t="shared" ca="1" si="14"/>
        <v>2</v>
      </c>
      <c r="AO16" s="306">
        <f t="shared" ca="1" si="15"/>
        <v>0</v>
      </c>
      <c r="AP16" s="306">
        <f t="shared" ca="1" si="16"/>
        <v>0</v>
      </c>
      <c r="AQ16" s="306">
        <f t="shared" ca="1" si="17"/>
        <v>0</v>
      </c>
      <c r="AR16" s="306">
        <f t="shared" ca="1" si="18"/>
        <v>0</v>
      </c>
      <c r="AS16" s="307"/>
      <c r="AT16" s="306">
        <f t="shared" si="19"/>
        <v>1</v>
      </c>
    </row>
    <row r="17" spans="1:46" ht="18">
      <c r="A17" s="284"/>
      <c r="B17" s="285">
        <f t="shared" ca="1" si="0"/>
        <v>1</v>
      </c>
      <c r="C17" s="286">
        <f t="shared" ca="1" si="1"/>
        <v>2</v>
      </c>
      <c r="D17" s="286">
        <f t="shared" ca="1" si="2"/>
        <v>3</v>
      </c>
      <c r="E17" s="286" t="str">
        <f t="shared" ca="1" si="3"/>
        <v/>
      </c>
      <c r="F17" s="286" t="str">
        <f t="shared" ca="1" si="4"/>
        <v/>
      </c>
      <c r="G17" s="287" t="str">
        <f t="shared" ca="1" si="5"/>
        <v/>
      </c>
      <c r="H17" s="288" t="str">
        <f t="shared" ca="1" si="6"/>
        <v/>
      </c>
      <c r="I17" s="308"/>
      <c r="J17" s="320"/>
      <c r="K17" s="320" t="s">
        <v>63</v>
      </c>
      <c r="L17" s="320"/>
      <c r="M17" s="320"/>
      <c r="N17" s="320"/>
      <c r="O17" s="320"/>
      <c r="P17" s="320"/>
      <c r="Q17" s="321"/>
      <c r="R17" s="322" t="s">
        <v>176</v>
      </c>
      <c r="S17" s="331">
        <v>45832</v>
      </c>
      <c r="T17" s="325">
        <v>45833</v>
      </c>
      <c r="U17" s="330"/>
      <c r="V17" s="325"/>
      <c r="W17" s="326">
        <v>0</v>
      </c>
      <c r="X17" s="327"/>
      <c r="Y17" s="328"/>
      <c r="Z17" s="329"/>
      <c r="AA17" s="300"/>
      <c r="AB17" s="301"/>
      <c r="AC17" s="302"/>
      <c r="AD17" s="303"/>
      <c r="AE17" s="304"/>
      <c r="AF17" s="305"/>
      <c r="AG17" s="305">
        <f t="shared" ca="1" si="7"/>
        <v>0</v>
      </c>
      <c r="AH17" s="305">
        <f t="shared" ca="1" si="8"/>
        <v>0</v>
      </c>
      <c r="AI17" s="305">
        <f t="shared" si="9"/>
        <v>0</v>
      </c>
      <c r="AJ17" s="305">
        <f t="shared" ca="1" si="10"/>
        <v>0</v>
      </c>
      <c r="AK17" s="305" t="str">
        <f t="shared" ca="1" si="11"/>
        <v/>
      </c>
      <c r="AL17" s="306">
        <f t="shared" ca="1" si="12"/>
        <v>1</v>
      </c>
      <c r="AM17" s="306">
        <f t="shared" ca="1" si="13"/>
        <v>2</v>
      </c>
      <c r="AN17" s="306">
        <f t="shared" ca="1" si="14"/>
        <v>3</v>
      </c>
      <c r="AO17" s="306">
        <f t="shared" ca="1" si="15"/>
        <v>0</v>
      </c>
      <c r="AP17" s="306">
        <f t="shared" ca="1" si="16"/>
        <v>0</v>
      </c>
      <c r="AQ17" s="306">
        <f t="shared" ca="1" si="17"/>
        <v>0</v>
      </c>
      <c r="AR17" s="306">
        <f t="shared" ca="1" si="18"/>
        <v>0</v>
      </c>
      <c r="AS17" s="307"/>
      <c r="AT17" s="306">
        <f t="shared" si="19"/>
        <v>2</v>
      </c>
    </row>
    <row r="18" spans="1:46" ht="18">
      <c r="A18" s="284"/>
      <c r="B18" s="285">
        <f t="shared" ca="1" si="0"/>
        <v>1</v>
      </c>
      <c r="C18" s="286">
        <f t="shared" ca="1" si="1"/>
        <v>2</v>
      </c>
      <c r="D18" s="286">
        <f t="shared" ca="1" si="2"/>
        <v>4</v>
      </c>
      <c r="E18" s="286" t="str">
        <f t="shared" ca="1" si="3"/>
        <v/>
      </c>
      <c r="F18" s="286" t="str">
        <f t="shared" ca="1" si="4"/>
        <v/>
      </c>
      <c r="G18" s="287" t="str">
        <f t="shared" ca="1" si="5"/>
        <v/>
      </c>
      <c r="H18" s="288" t="str">
        <f t="shared" ca="1" si="6"/>
        <v/>
      </c>
      <c r="I18" s="308"/>
      <c r="J18" s="320"/>
      <c r="K18" s="320" t="s">
        <v>64</v>
      </c>
      <c r="L18" s="320"/>
      <c r="M18" s="320"/>
      <c r="N18" s="320"/>
      <c r="O18" s="320"/>
      <c r="P18" s="320"/>
      <c r="Q18" s="321"/>
      <c r="R18" s="322" t="s">
        <v>175</v>
      </c>
      <c r="S18" s="331">
        <v>45834</v>
      </c>
      <c r="T18" s="325">
        <v>45834</v>
      </c>
      <c r="U18" s="330"/>
      <c r="V18" s="325"/>
      <c r="W18" s="326">
        <v>0</v>
      </c>
      <c r="X18" s="327"/>
      <c r="Y18" s="328"/>
      <c r="Z18" s="329"/>
      <c r="AA18" s="300"/>
      <c r="AB18" s="301"/>
      <c r="AC18" s="302"/>
      <c r="AD18" s="303"/>
      <c r="AE18" s="304"/>
      <c r="AF18" s="305"/>
      <c r="AG18" s="305">
        <f t="shared" ca="1" si="7"/>
        <v>0</v>
      </c>
      <c r="AH18" s="305">
        <f t="shared" ca="1" si="8"/>
        <v>0</v>
      </c>
      <c r="AI18" s="305">
        <f t="shared" si="9"/>
        <v>0</v>
      </c>
      <c r="AJ18" s="305">
        <f t="shared" ca="1" si="10"/>
        <v>0</v>
      </c>
      <c r="AK18" s="305" t="str">
        <f t="shared" ca="1" si="11"/>
        <v/>
      </c>
      <c r="AL18" s="306">
        <f t="shared" ca="1" si="12"/>
        <v>1</v>
      </c>
      <c r="AM18" s="306">
        <f t="shared" ca="1" si="13"/>
        <v>2</v>
      </c>
      <c r="AN18" s="306">
        <f t="shared" ca="1" si="14"/>
        <v>4</v>
      </c>
      <c r="AO18" s="306">
        <f t="shared" ca="1" si="15"/>
        <v>0</v>
      </c>
      <c r="AP18" s="306">
        <f t="shared" ca="1" si="16"/>
        <v>0</v>
      </c>
      <c r="AQ18" s="306">
        <f t="shared" ca="1" si="17"/>
        <v>0</v>
      </c>
      <c r="AR18" s="306">
        <f t="shared" ca="1" si="18"/>
        <v>0</v>
      </c>
      <c r="AS18" s="307"/>
      <c r="AT18" s="306">
        <f t="shared" si="19"/>
        <v>1</v>
      </c>
    </row>
    <row r="19" spans="1:46" ht="18">
      <c r="A19" s="284"/>
      <c r="B19" s="285">
        <f t="shared" ca="1" si="0"/>
        <v>1</v>
      </c>
      <c r="C19" s="286">
        <f t="shared" ca="1" si="1"/>
        <v>2</v>
      </c>
      <c r="D19" s="286">
        <f t="shared" ca="1" si="2"/>
        <v>5</v>
      </c>
      <c r="E19" s="286" t="str">
        <f t="shared" ca="1" si="3"/>
        <v/>
      </c>
      <c r="F19" s="286" t="str">
        <f t="shared" ca="1" si="4"/>
        <v/>
      </c>
      <c r="G19" s="287" t="str">
        <f t="shared" ca="1" si="5"/>
        <v/>
      </c>
      <c r="H19" s="288" t="str">
        <f t="shared" ca="1" si="6"/>
        <v/>
      </c>
      <c r="I19" s="308"/>
      <c r="J19" s="320"/>
      <c r="K19" s="320" t="s">
        <v>65</v>
      </c>
      <c r="L19" s="320"/>
      <c r="M19" s="320"/>
      <c r="N19" s="320"/>
      <c r="O19" s="320"/>
      <c r="P19" s="320"/>
      <c r="Q19" s="321"/>
      <c r="R19" s="322" t="s">
        <v>176</v>
      </c>
      <c r="S19" s="331">
        <v>45835</v>
      </c>
      <c r="T19" s="325">
        <v>45835</v>
      </c>
      <c r="U19" s="330"/>
      <c r="V19" s="325"/>
      <c r="W19" s="326">
        <v>0</v>
      </c>
      <c r="X19" s="327"/>
      <c r="Y19" s="328"/>
      <c r="Z19" s="329"/>
      <c r="AA19" s="300"/>
      <c r="AB19" s="301"/>
      <c r="AC19" s="302"/>
      <c r="AD19" s="303"/>
      <c r="AE19" s="304"/>
      <c r="AF19" s="305"/>
      <c r="AG19" s="305">
        <f t="shared" ca="1" si="7"/>
        <v>0</v>
      </c>
      <c r="AH19" s="305">
        <f t="shared" ca="1" si="8"/>
        <v>0</v>
      </c>
      <c r="AI19" s="305">
        <f t="shared" si="9"/>
        <v>0</v>
      </c>
      <c r="AJ19" s="305">
        <f t="shared" ca="1" si="10"/>
        <v>0</v>
      </c>
      <c r="AK19" s="305" t="str">
        <f t="shared" ca="1" si="11"/>
        <v/>
      </c>
      <c r="AL19" s="306">
        <f t="shared" ca="1" si="12"/>
        <v>1</v>
      </c>
      <c r="AM19" s="306">
        <f t="shared" ca="1" si="13"/>
        <v>2</v>
      </c>
      <c r="AN19" s="306">
        <f t="shared" ca="1" si="14"/>
        <v>5</v>
      </c>
      <c r="AO19" s="306">
        <f t="shared" ca="1" si="15"/>
        <v>0</v>
      </c>
      <c r="AP19" s="306">
        <f t="shared" ca="1" si="16"/>
        <v>0</v>
      </c>
      <c r="AQ19" s="306">
        <f t="shared" ca="1" si="17"/>
        <v>0</v>
      </c>
      <c r="AR19" s="306">
        <f t="shared" ca="1" si="18"/>
        <v>0</v>
      </c>
      <c r="AS19" s="307"/>
      <c r="AT19" s="306">
        <f t="shared" si="19"/>
        <v>1</v>
      </c>
    </row>
    <row r="20" spans="1:46" ht="18">
      <c r="A20" s="284"/>
      <c r="B20" s="285">
        <f t="shared" ca="1" si="0"/>
        <v>1</v>
      </c>
      <c r="C20" s="286">
        <f t="shared" ca="1" si="1"/>
        <v>2</v>
      </c>
      <c r="D20" s="286">
        <f t="shared" ca="1" si="2"/>
        <v>6</v>
      </c>
      <c r="E20" s="286" t="str">
        <f t="shared" ca="1" si="3"/>
        <v/>
      </c>
      <c r="F20" s="286" t="str">
        <f t="shared" ca="1" si="4"/>
        <v/>
      </c>
      <c r="G20" s="287" t="str">
        <f t="shared" ca="1" si="5"/>
        <v/>
      </c>
      <c r="H20" s="288" t="str">
        <f t="shared" ca="1" si="6"/>
        <v/>
      </c>
      <c r="I20" s="308"/>
      <c r="J20" s="320"/>
      <c r="K20" s="320" t="s">
        <v>66</v>
      </c>
      <c r="L20" s="320"/>
      <c r="M20" s="320"/>
      <c r="N20" s="320"/>
      <c r="O20" s="320"/>
      <c r="P20" s="320"/>
      <c r="Q20" s="321"/>
      <c r="R20" s="322" t="s">
        <v>175</v>
      </c>
      <c r="S20" s="331">
        <v>45838</v>
      </c>
      <c r="T20" s="325">
        <v>45838</v>
      </c>
      <c r="U20" s="330"/>
      <c r="V20" s="325"/>
      <c r="W20" s="326">
        <v>0</v>
      </c>
      <c r="X20" s="327"/>
      <c r="Y20" s="328"/>
      <c r="Z20" s="329"/>
      <c r="AA20" s="300"/>
      <c r="AB20" s="301"/>
      <c r="AC20" s="302"/>
      <c r="AD20" s="303"/>
      <c r="AE20" s="304"/>
      <c r="AF20" s="305"/>
      <c r="AG20" s="305">
        <f t="shared" ca="1" si="7"/>
        <v>0</v>
      </c>
      <c r="AH20" s="305">
        <f t="shared" ca="1" si="8"/>
        <v>0</v>
      </c>
      <c r="AI20" s="305">
        <f t="shared" si="9"/>
        <v>0</v>
      </c>
      <c r="AJ20" s="305">
        <f t="shared" ca="1" si="10"/>
        <v>0</v>
      </c>
      <c r="AK20" s="305" t="str">
        <f t="shared" ca="1" si="11"/>
        <v/>
      </c>
      <c r="AL20" s="306">
        <f t="shared" ca="1" si="12"/>
        <v>1</v>
      </c>
      <c r="AM20" s="306">
        <f t="shared" ca="1" si="13"/>
        <v>2</v>
      </c>
      <c r="AN20" s="306">
        <f t="shared" ca="1" si="14"/>
        <v>6</v>
      </c>
      <c r="AO20" s="306">
        <f t="shared" ca="1" si="15"/>
        <v>0</v>
      </c>
      <c r="AP20" s="306">
        <f t="shared" ca="1" si="16"/>
        <v>0</v>
      </c>
      <c r="AQ20" s="306">
        <f t="shared" ca="1" si="17"/>
        <v>0</v>
      </c>
      <c r="AR20" s="306">
        <f t="shared" ca="1" si="18"/>
        <v>0</v>
      </c>
      <c r="AS20" s="307"/>
      <c r="AT20" s="306">
        <f t="shared" si="19"/>
        <v>1</v>
      </c>
    </row>
    <row r="21" spans="1:46" ht="15.75" customHeight="1">
      <c r="A21" s="284"/>
      <c r="B21" s="285">
        <f t="shared" ca="1" si="0"/>
        <v>1</v>
      </c>
      <c r="C21" s="286">
        <f t="shared" ca="1" si="1"/>
        <v>3</v>
      </c>
      <c r="D21" s="286" t="str">
        <f t="shared" ca="1" si="2"/>
        <v/>
      </c>
      <c r="E21" s="286" t="str">
        <f t="shared" ca="1" si="3"/>
        <v/>
      </c>
      <c r="F21" s="286" t="str">
        <f t="shared" ca="1" si="4"/>
        <v/>
      </c>
      <c r="G21" s="287" t="str">
        <f t="shared" ca="1" si="5"/>
        <v/>
      </c>
      <c r="H21" s="288" t="str">
        <f t="shared" ca="1" si="6"/>
        <v/>
      </c>
      <c r="I21" s="308"/>
      <c r="J21" s="309" t="s">
        <v>178</v>
      </c>
      <c r="K21" s="310"/>
      <c r="L21" s="310"/>
      <c r="M21" s="310"/>
      <c r="N21" s="310"/>
      <c r="O21" s="310"/>
      <c r="P21" s="310"/>
      <c r="Q21" s="311" t="s">
        <v>81</v>
      </c>
      <c r="R21" s="312"/>
      <c r="S21" s="313"/>
      <c r="T21" s="314"/>
      <c r="U21" s="315"/>
      <c r="V21" s="314"/>
      <c r="W21" s="316"/>
      <c r="X21" s="317"/>
      <c r="Y21" s="318"/>
      <c r="Z21" s="319"/>
      <c r="AA21" s="300"/>
      <c r="AB21" s="301"/>
      <c r="AC21" s="302"/>
      <c r="AD21" s="303"/>
      <c r="AE21" s="304"/>
      <c r="AF21" s="305"/>
      <c r="AG21" s="305">
        <f t="shared" si="7"/>
        <v>0</v>
      </c>
      <c r="AH21" s="305">
        <f t="shared" si="8"/>
        <v>0</v>
      </c>
      <c r="AI21" s="305">
        <f t="shared" si="9"/>
        <v>0</v>
      </c>
      <c r="AJ21" s="305">
        <f t="shared" si="10"/>
        <v>0</v>
      </c>
      <c r="AK21" s="305" t="str">
        <f t="shared" si="11"/>
        <v/>
      </c>
      <c r="AL21" s="306">
        <f t="shared" ca="1" si="12"/>
        <v>1</v>
      </c>
      <c r="AM21" s="306">
        <f t="shared" ca="1" si="13"/>
        <v>3</v>
      </c>
      <c r="AN21" s="306">
        <f t="shared" ca="1" si="14"/>
        <v>0</v>
      </c>
      <c r="AO21" s="306">
        <f t="shared" ca="1" si="15"/>
        <v>0</v>
      </c>
      <c r="AP21" s="306">
        <f t="shared" ca="1" si="16"/>
        <v>0</v>
      </c>
      <c r="AQ21" s="306">
        <f t="shared" ca="1" si="17"/>
        <v>0</v>
      </c>
      <c r="AR21" s="306">
        <f t="shared" ca="1" si="18"/>
        <v>0</v>
      </c>
      <c r="AS21" s="307"/>
      <c r="AT21" s="306">
        <f t="shared" si="19"/>
        <v>1</v>
      </c>
    </row>
    <row r="22" spans="1:46" ht="15.75" customHeight="1">
      <c r="A22" s="284"/>
      <c r="B22" s="285">
        <f t="shared" ca="1" si="0"/>
        <v>1</v>
      </c>
      <c r="C22" s="286">
        <f t="shared" ca="1" si="1"/>
        <v>3</v>
      </c>
      <c r="D22" s="286">
        <f t="shared" ca="1" si="2"/>
        <v>1</v>
      </c>
      <c r="E22" s="286" t="str">
        <f t="shared" ca="1" si="3"/>
        <v/>
      </c>
      <c r="F22" s="286" t="str">
        <f t="shared" ca="1" si="4"/>
        <v/>
      </c>
      <c r="G22" s="287" t="str">
        <f t="shared" ca="1" si="5"/>
        <v/>
      </c>
      <c r="H22" s="288" t="str">
        <f t="shared" ca="1" si="6"/>
        <v/>
      </c>
      <c r="I22" s="308"/>
      <c r="J22" s="320"/>
      <c r="K22" s="320" t="s">
        <v>59</v>
      </c>
      <c r="L22" s="320"/>
      <c r="M22" s="320"/>
      <c r="N22" s="320"/>
      <c r="O22" s="320"/>
      <c r="P22" s="320"/>
      <c r="Q22" s="321"/>
      <c r="R22" s="322" t="s">
        <v>175</v>
      </c>
      <c r="S22" s="331">
        <v>45839</v>
      </c>
      <c r="T22" s="325">
        <v>45842</v>
      </c>
      <c r="U22" s="330"/>
      <c r="V22" s="325"/>
      <c r="W22" s="326">
        <v>0</v>
      </c>
      <c r="X22" s="327"/>
      <c r="Y22" s="328"/>
      <c r="Z22" s="329"/>
      <c r="AA22" s="300"/>
      <c r="AB22" s="301"/>
      <c r="AC22" s="302"/>
      <c r="AD22" s="303"/>
      <c r="AE22" s="304"/>
      <c r="AF22" s="305"/>
      <c r="AG22" s="305">
        <f t="shared" ca="1" si="7"/>
        <v>0</v>
      </c>
      <c r="AH22" s="305">
        <f t="shared" ca="1" si="8"/>
        <v>0</v>
      </c>
      <c r="AI22" s="305">
        <f t="shared" si="9"/>
        <v>0</v>
      </c>
      <c r="AJ22" s="305">
        <f t="shared" ca="1" si="10"/>
        <v>0</v>
      </c>
      <c r="AK22" s="305" t="str">
        <f t="shared" ca="1" si="11"/>
        <v/>
      </c>
      <c r="AL22" s="306">
        <f t="shared" ca="1" si="12"/>
        <v>1</v>
      </c>
      <c r="AM22" s="306">
        <f t="shared" ca="1" si="13"/>
        <v>3</v>
      </c>
      <c r="AN22" s="306">
        <f t="shared" ca="1" si="14"/>
        <v>1</v>
      </c>
      <c r="AO22" s="306">
        <f t="shared" ca="1" si="15"/>
        <v>0</v>
      </c>
      <c r="AP22" s="306">
        <f t="shared" ca="1" si="16"/>
        <v>0</v>
      </c>
      <c r="AQ22" s="306">
        <f t="shared" ca="1" si="17"/>
        <v>0</v>
      </c>
      <c r="AR22" s="306">
        <f t="shared" ca="1" si="18"/>
        <v>0</v>
      </c>
      <c r="AS22" s="307"/>
      <c r="AT22" s="306">
        <f t="shared" si="19"/>
        <v>4</v>
      </c>
    </row>
    <row r="23" spans="1:46" ht="15.75" customHeight="1">
      <c r="A23" s="284"/>
      <c r="B23" s="285">
        <f t="shared" ca="1" si="0"/>
        <v>1</v>
      </c>
      <c r="C23" s="286">
        <f t="shared" ca="1" si="1"/>
        <v>3</v>
      </c>
      <c r="D23" s="286">
        <f t="shared" ca="1" si="2"/>
        <v>2</v>
      </c>
      <c r="E23" s="286" t="str">
        <f t="shared" ca="1" si="3"/>
        <v/>
      </c>
      <c r="F23" s="286" t="str">
        <f t="shared" ca="1" si="4"/>
        <v/>
      </c>
      <c r="G23" s="287" t="str">
        <f t="shared" ca="1" si="5"/>
        <v/>
      </c>
      <c r="H23" s="288" t="str">
        <f t="shared" ca="1" si="6"/>
        <v/>
      </c>
      <c r="I23" s="308"/>
      <c r="J23" s="320"/>
      <c r="K23" s="320" t="s">
        <v>145</v>
      </c>
      <c r="L23" s="320"/>
      <c r="M23" s="320"/>
      <c r="N23" s="320"/>
      <c r="O23" s="320"/>
      <c r="P23" s="320"/>
      <c r="Q23" s="321"/>
      <c r="R23" s="322" t="s">
        <v>176</v>
      </c>
      <c r="S23" s="331">
        <v>45845</v>
      </c>
      <c r="T23" s="325">
        <v>45845</v>
      </c>
      <c r="U23" s="330"/>
      <c r="V23" s="325"/>
      <c r="W23" s="326">
        <v>0</v>
      </c>
      <c r="X23" s="327"/>
      <c r="Y23" s="328"/>
      <c r="Z23" s="329"/>
      <c r="AA23" s="300"/>
      <c r="AB23" s="301"/>
      <c r="AC23" s="302"/>
      <c r="AD23" s="303"/>
      <c r="AE23" s="304"/>
      <c r="AF23" s="305"/>
      <c r="AG23" s="305">
        <f t="shared" ca="1" si="7"/>
        <v>0</v>
      </c>
      <c r="AH23" s="305">
        <f t="shared" ca="1" si="8"/>
        <v>0</v>
      </c>
      <c r="AI23" s="305">
        <f t="shared" si="9"/>
        <v>0</v>
      </c>
      <c r="AJ23" s="305">
        <f t="shared" ca="1" si="10"/>
        <v>0</v>
      </c>
      <c r="AK23" s="305" t="str">
        <f t="shared" ca="1" si="11"/>
        <v/>
      </c>
      <c r="AL23" s="306">
        <f t="shared" ca="1" si="12"/>
        <v>1</v>
      </c>
      <c r="AM23" s="306">
        <f t="shared" ca="1" si="13"/>
        <v>3</v>
      </c>
      <c r="AN23" s="306">
        <f t="shared" ca="1" si="14"/>
        <v>2</v>
      </c>
      <c r="AO23" s="306">
        <f t="shared" ca="1" si="15"/>
        <v>0</v>
      </c>
      <c r="AP23" s="306">
        <f t="shared" ca="1" si="16"/>
        <v>0</v>
      </c>
      <c r="AQ23" s="306">
        <f t="shared" ca="1" si="17"/>
        <v>0</v>
      </c>
      <c r="AR23" s="306">
        <f t="shared" ca="1" si="18"/>
        <v>0</v>
      </c>
      <c r="AS23" s="307"/>
      <c r="AT23" s="306">
        <f t="shared" si="19"/>
        <v>1</v>
      </c>
    </row>
    <row r="24" spans="1:46" ht="15.75" customHeight="1">
      <c r="A24" s="284"/>
      <c r="B24" s="285">
        <f t="shared" ca="1" si="0"/>
        <v>1</v>
      </c>
      <c r="C24" s="286">
        <f t="shared" ca="1" si="1"/>
        <v>3</v>
      </c>
      <c r="D24" s="286">
        <f t="shared" ca="1" si="2"/>
        <v>3</v>
      </c>
      <c r="E24" s="286" t="str">
        <f t="shared" ca="1" si="3"/>
        <v/>
      </c>
      <c r="F24" s="286" t="str">
        <f t="shared" ca="1" si="4"/>
        <v/>
      </c>
      <c r="G24" s="287" t="str">
        <f t="shared" ca="1" si="5"/>
        <v/>
      </c>
      <c r="H24" s="288" t="str">
        <f t="shared" ca="1" si="6"/>
        <v/>
      </c>
      <c r="I24" s="308"/>
      <c r="J24" s="320"/>
      <c r="K24" s="320" t="s">
        <v>63</v>
      </c>
      <c r="L24" s="320"/>
      <c r="M24" s="320"/>
      <c r="N24" s="320"/>
      <c r="O24" s="320"/>
      <c r="P24" s="320"/>
      <c r="Q24" s="321"/>
      <c r="R24" s="322" t="s">
        <v>175</v>
      </c>
      <c r="S24" s="331">
        <v>45846</v>
      </c>
      <c r="T24" s="325">
        <v>45846</v>
      </c>
      <c r="U24" s="330"/>
      <c r="V24" s="325"/>
      <c r="W24" s="326">
        <v>0</v>
      </c>
      <c r="X24" s="327"/>
      <c r="Y24" s="328"/>
      <c r="Z24" s="329"/>
      <c r="AA24" s="300"/>
      <c r="AB24" s="301"/>
      <c r="AC24" s="302"/>
      <c r="AD24" s="303"/>
      <c r="AE24" s="304"/>
      <c r="AF24" s="305"/>
      <c r="AG24" s="305">
        <f t="shared" ca="1" si="7"/>
        <v>0</v>
      </c>
      <c r="AH24" s="305">
        <f t="shared" ca="1" si="8"/>
        <v>0</v>
      </c>
      <c r="AI24" s="305">
        <f t="shared" si="9"/>
        <v>0</v>
      </c>
      <c r="AJ24" s="305">
        <f t="shared" ca="1" si="10"/>
        <v>0</v>
      </c>
      <c r="AK24" s="305" t="str">
        <f t="shared" ca="1" si="11"/>
        <v/>
      </c>
      <c r="AL24" s="306">
        <f t="shared" ca="1" si="12"/>
        <v>1</v>
      </c>
      <c r="AM24" s="306">
        <f t="shared" ca="1" si="13"/>
        <v>3</v>
      </c>
      <c r="AN24" s="306">
        <f t="shared" ca="1" si="14"/>
        <v>3</v>
      </c>
      <c r="AO24" s="306">
        <f t="shared" ca="1" si="15"/>
        <v>0</v>
      </c>
      <c r="AP24" s="306">
        <f t="shared" ca="1" si="16"/>
        <v>0</v>
      </c>
      <c r="AQ24" s="306">
        <f t="shared" ca="1" si="17"/>
        <v>0</v>
      </c>
      <c r="AR24" s="306">
        <f t="shared" ca="1" si="18"/>
        <v>0</v>
      </c>
      <c r="AS24" s="307"/>
      <c r="AT24" s="306">
        <f t="shared" si="19"/>
        <v>1</v>
      </c>
    </row>
    <row r="25" spans="1:46" ht="15.75" customHeight="1">
      <c r="A25" s="284"/>
      <c r="B25" s="285">
        <f t="shared" ca="1" si="0"/>
        <v>1</v>
      </c>
      <c r="C25" s="286">
        <f t="shared" ca="1" si="1"/>
        <v>3</v>
      </c>
      <c r="D25" s="286">
        <f t="shared" ca="1" si="2"/>
        <v>4</v>
      </c>
      <c r="E25" s="286" t="str">
        <f t="shared" ca="1" si="3"/>
        <v/>
      </c>
      <c r="F25" s="286" t="str">
        <f t="shared" ca="1" si="4"/>
        <v/>
      </c>
      <c r="G25" s="287" t="str">
        <f t="shared" ca="1" si="5"/>
        <v/>
      </c>
      <c r="H25" s="288" t="str">
        <f t="shared" ca="1" si="6"/>
        <v/>
      </c>
      <c r="I25" s="308"/>
      <c r="J25" s="320"/>
      <c r="K25" s="320" t="s">
        <v>64</v>
      </c>
      <c r="L25" s="320"/>
      <c r="M25" s="320"/>
      <c r="N25" s="320"/>
      <c r="O25" s="320"/>
      <c r="P25" s="320"/>
      <c r="Q25" s="321"/>
      <c r="R25" s="322" t="s">
        <v>176</v>
      </c>
      <c r="S25" s="331">
        <v>45846</v>
      </c>
      <c r="T25" s="325">
        <v>45846</v>
      </c>
      <c r="U25" s="330"/>
      <c r="V25" s="325"/>
      <c r="W25" s="326">
        <v>0</v>
      </c>
      <c r="X25" s="327"/>
      <c r="Y25" s="328"/>
      <c r="Z25" s="329"/>
      <c r="AA25" s="300"/>
      <c r="AB25" s="301"/>
      <c r="AC25" s="302"/>
      <c r="AD25" s="303"/>
      <c r="AE25" s="304"/>
      <c r="AF25" s="305"/>
      <c r="AG25" s="305">
        <f t="shared" ca="1" si="7"/>
        <v>0</v>
      </c>
      <c r="AH25" s="305">
        <f t="shared" ca="1" si="8"/>
        <v>0</v>
      </c>
      <c r="AI25" s="305">
        <f t="shared" si="9"/>
        <v>0</v>
      </c>
      <c r="AJ25" s="305">
        <f t="shared" ca="1" si="10"/>
        <v>0</v>
      </c>
      <c r="AK25" s="305" t="str">
        <f t="shared" ca="1" si="11"/>
        <v/>
      </c>
      <c r="AL25" s="306">
        <f t="shared" ca="1" si="12"/>
        <v>1</v>
      </c>
      <c r="AM25" s="306">
        <f t="shared" ca="1" si="13"/>
        <v>3</v>
      </c>
      <c r="AN25" s="306">
        <f t="shared" ca="1" si="14"/>
        <v>4</v>
      </c>
      <c r="AO25" s="306">
        <f t="shared" ca="1" si="15"/>
        <v>0</v>
      </c>
      <c r="AP25" s="306">
        <f t="shared" ca="1" si="16"/>
        <v>0</v>
      </c>
      <c r="AQ25" s="306">
        <f t="shared" ca="1" si="17"/>
        <v>0</v>
      </c>
      <c r="AR25" s="306">
        <f t="shared" ca="1" si="18"/>
        <v>0</v>
      </c>
      <c r="AS25" s="307"/>
      <c r="AT25" s="306">
        <f t="shared" si="19"/>
        <v>1</v>
      </c>
    </row>
    <row r="26" spans="1:46" ht="15.75" customHeight="1">
      <c r="A26" s="284"/>
      <c r="B26" s="285">
        <f t="shared" ca="1" si="0"/>
        <v>1</v>
      </c>
      <c r="C26" s="286">
        <f t="shared" ca="1" si="1"/>
        <v>3</v>
      </c>
      <c r="D26" s="286">
        <f t="shared" ca="1" si="2"/>
        <v>5</v>
      </c>
      <c r="E26" s="286" t="str">
        <f t="shared" ca="1" si="3"/>
        <v/>
      </c>
      <c r="F26" s="286" t="str">
        <f t="shared" ca="1" si="4"/>
        <v/>
      </c>
      <c r="G26" s="287" t="str">
        <f t="shared" ca="1" si="5"/>
        <v/>
      </c>
      <c r="H26" s="288" t="str">
        <f t="shared" ca="1" si="6"/>
        <v/>
      </c>
      <c r="I26" s="308"/>
      <c r="J26" s="320"/>
      <c r="K26" s="320" t="s">
        <v>65</v>
      </c>
      <c r="L26" s="320"/>
      <c r="M26" s="320"/>
      <c r="N26" s="320"/>
      <c r="O26" s="320"/>
      <c r="P26" s="320"/>
      <c r="Q26" s="321"/>
      <c r="R26" s="322" t="s">
        <v>175</v>
      </c>
      <c r="S26" s="331">
        <v>45847</v>
      </c>
      <c r="T26" s="325">
        <v>45847</v>
      </c>
      <c r="U26" s="330"/>
      <c r="V26" s="325"/>
      <c r="W26" s="326">
        <v>0</v>
      </c>
      <c r="X26" s="327"/>
      <c r="Y26" s="328"/>
      <c r="Z26" s="329"/>
      <c r="AA26" s="300"/>
      <c r="AB26" s="301"/>
      <c r="AC26" s="302"/>
      <c r="AD26" s="303"/>
      <c r="AE26" s="304"/>
      <c r="AF26" s="305"/>
      <c r="AG26" s="305">
        <f t="shared" ca="1" si="7"/>
        <v>0</v>
      </c>
      <c r="AH26" s="305">
        <f t="shared" ca="1" si="8"/>
        <v>0</v>
      </c>
      <c r="AI26" s="305">
        <f t="shared" si="9"/>
        <v>0</v>
      </c>
      <c r="AJ26" s="305">
        <f t="shared" ca="1" si="10"/>
        <v>0</v>
      </c>
      <c r="AK26" s="305" t="str">
        <f t="shared" ca="1" si="11"/>
        <v/>
      </c>
      <c r="AL26" s="306">
        <f t="shared" ca="1" si="12"/>
        <v>1</v>
      </c>
      <c r="AM26" s="306">
        <f t="shared" ca="1" si="13"/>
        <v>3</v>
      </c>
      <c r="AN26" s="306">
        <f t="shared" ca="1" si="14"/>
        <v>5</v>
      </c>
      <c r="AO26" s="306">
        <f t="shared" ca="1" si="15"/>
        <v>0</v>
      </c>
      <c r="AP26" s="306">
        <f t="shared" ca="1" si="16"/>
        <v>0</v>
      </c>
      <c r="AQ26" s="306">
        <f t="shared" ca="1" si="17"/>
        <v>0</v>
      </c>
      <c r="AR26" s="306">
        <f t="shared" ca="1" si="18"/>
        <v>0</v>
      </c>
      <c r="AS26" s="307"/>
      <c r="AT26" s="306">
        <f t="shared" si="19"/>
        <v>1</v>
      </c>
    </row>
    <row r="27" spans="1:46" ht="15.75" customHeight="1">
      <c r="A27" s="284"/>
      <c r="B27" s="285">
        <f t="shared" ca="1" si="0"/>
        <v>1</v>
      </c>
      <c r="C27" s="286">
        <f t="shared" ca="1" si="1"/>
        <v>3</v>
      </c>
      <c r="D27" s="286">
        <f t="shared" ca="1" si="2"/>
        <v>6</v>
      </c>
      <c r="E27" s="286" t="str">
        <f t="shared" ca="1" si="3"/>
        <v/>
      </c>
      <c r="F27" s="286" t="str">
        <f t="shared" ca="1" si="4"/>
        <v/>
      </c>
      <c r="G27" s="287" t="str">
        <f t="shared" ca="1" si="5"/>
        <v/>
      </c>
      <c r="H27" s="288" t="str">
        <f t="shared" ca="1" si="6"/>
        <v/>
      </c>
      <c r="I27" s="308"/>
      <c r="J27" s="320"/>
      <c r="K27" s="320" t="s">
        <v>66</v>
      </c>
      <c r="L27" s="320"/>
      <c r="M27" s="320"/>
      <c r="N27" s="320"/>
      <c r="O27" s="320"/>
      <c r="P27" s="320"/>
      <c r="Q27" s="321"/>
      <c r="R27" s="322" t="s">
        <v>176</v>
      </c>
      <c r="S27" s="331">
        <v>45848</v>
      </c>
      <c r="T27" s="325">
        <v>45848</v>
      </c>
      <c r="U27" s="330"/>
      <c r="V27" s="325"/>
      <c r="W27" s="326">
        <v>0</v>
      </c>
      <c r="X27" s="327"/>
      <c r="Y27" s="328"/>
      <c r="Z27" s="329"/>
      <c r="AA27" s="300"/>
      <c r="AB27" s="301"/>
      <c r="AC27" s="302"/>
      <c r="AD27" s="303"/>
      <c r="AE27" s="304"/>
      <c r="AF27" s="305"/>
      <c r="AG27" s="305">
        <f t="shared" ca="1" si="7"/>
        <v>0</v>
      </c>
      <c r="AH27" s="305">
        <f t="shared" ca="1" si="8"/>
        <v>0</v>
      </c>
      <c r="AI27" s="305">
        <f t="shared" si="9"/>
        <v>0</v>
      </c>
      <c r="AJ27" s="305">
        <f t="shared" ca="1" si="10"/>
        <v>0</v>
      </c>
      <c r="AK27" s="305" t="str">
        <f t="shared" ca="1" si="11"/>
        <v/>
      </c>
      <c r="AL27" s="306">
        <f t="shared" ca="1" si="12"/>
        <v>1</v>
      </c>
      <c r="AM27" s="306">
        <f t="shared" ca="1" si="13"/>
        <v>3</v>
      </c>
      <c r="AN27" s="306">
        <f t="shared" ca="1" si="14"/>
        <v>6</v>
      </c>
      <c r="AO27" s="306">
        <f t="shared" ca="1" si="15"/>
        <v>0</v>
      </c>
      <c r="AP27" s="306">
        <f t="shared" ca="1" si="16"/>
        <v>0</v>
      </c>
      <c r="AQ27" s="306">
        <f t="shared" ca="1" si="17"/>
        <v>0</v>
      </c>
      <c r="AR27" s="306">
        <f t="shared" ca="1" si="18"/>
        <v>0</v>
      </c>
      <c r="AS27" s="307"/>
      <c r="AT27" s="306">
        <f t="shared" si="19"/>
        <v>1</v>
      </c>
    </row>
    <row r="28" spans="1:46" ht="15.75" customHeight="1">
      <c r="A28" s="284"/>
      <c r="B28" s="285">
        <f t="shared" ca="1" si="0"/>
        <v>1</v>
      </c>
      <c r="C28" s="286">
        <f t="shared" ca="1" si="1"/>
        <v>4</v>
      </c>
      <c r="D28" s="286" t="str">
        <f t="shared" ca="1" si="2"/>
        <v/>
      </c>
      <c r="E28" s="286" t="str">
        <f t="shared" ca="1" si="3"/>
        <v/>
      </c>
      <c r="F28" s="286" t="str">
        <f t="shared" ca="1" si="4"/>
        <v/>
      </c>
      <c r="G28" s="287" t="str">
        <f t="shared" ca="1" si="5"/>
        <v/>
      </c>
      <c r="H28" s="288" t="str">
        <f t="shared" ca="1" si="6"/>
        <v/>
      </c>
      <c r="I28" s="308"/>
      <c r="J28" s="309" t="s">
        <v>179</v>
      </c>
      <c r="K28" s="310"/>
      <c r="L28" s="310"/>
      <c r="M28" s="310"/>
      <c r="N28" s="310"/>
      <c r="O28" s="310"/>
      <c r="P28" s="310"/>
      <c r="Q28" s="311" t="s">
        <v>58</v>
      </c>
      <c r="R28" s="312"/>
      <c r="S28" s="313"/>
      <c r="T28" s="314"/>
      <c r="U28" s="315"/>
      <c r="V28" s="314"/>
      <c r="W28" s="316"/>
      <c r="X28" s="317"/>
      <c r="Y28" s="318"/>
      <c r="Z28" s="319"/>
      <c r="AA28" s="300"/>
      <c r="AB28" s="301"/>
      <c r="AC28" s="302"/>
      <c r="AD28" s="303"/>
      <c r="AE28" s="304"/>
      <c r="AF28" s="305"/>
      <c r="AG28" s="305">
        <f t="shared" si="7"/>
        <v>0</v>
      </c>
      <c r="AH28" s="305">
        <f t="shared" si="8"/>
        <v>0</v>
      </c>
      <c r="AI28" s="305">
        <f t="shared" si="9"/>
        <v>0</v>
      </c>
      <c r="AJ28" s="305">
        <f t="shared" si="10"/>
        <v>0</v>
      </c>
      <c r="AK28" s="305" t="str">
        <f t="shared" si="11"/>
        <v/>
      </c>
      <c r="AL28" s="306">
        <f t="shared" ca="1" si="12"/>
        <v>1</v>
      </c>
      <c r="AM28" s="306">
        <f t="shared" ca="1" si="13"/>
        <v>4</v>
      </c>
      <c r="AN28" s="306">
        <f t="shared" ca="1" si="14"/>
        <v>0</v>
      </c>
      <c r="AO28" s="306">
        <f t="shared" ca="1" si="15"/>
        <v>0</v>
      </c>
      <c r="AP28" s="306">
        <f t="shared" ca="1" si="16"/>
        <v>0</v>
      </c>
      <c r="AQ28" s="306">
        <f t="shared" ca="1" si="17"/>
        <v>0</v>
      </c>
      <c r="AR28" s="306">
        <f t="shared" ca="1" si="18"/>
        <v>0</v>
      </c>
      <c r="AS28" s="307"/>
      <c r="AT28" s="306">
        <f t="shared" si="19"/>
        <v>1</v>
      </c>
    </row>
    <row r="29" spans="1:46" ht="15.75" customHeight="1">
      <c r="A29" s="284"/>
      <c r="B29" s="285">
        <f t="shared" ca="1" si="0"/>
        <v>1</v>
      </c>
      <c r="C29" s="286">
        <f t="shared" ca="1" si="1"/>
        <v>4</v>
      </c>
      <c r="D29" s="286">
        <f t="shared" ca="1" si="2"/>
        <v>1</v>
      </c>
      <c r="E29" s="286" t="str">
        <f t="shared" ca="1" si="3"/>
        <v/>
      </c>
      <c r="F29" s="286" t="str">
        <f t="shared" ca="1" si="4"/>
        <v/>
      </c>
      <c r="G29" s="287" t="str">
        <f t="shared" ca="1" si="5"/>
        <v/>
      </c>
      <c r="H29" s="288" t="str">
        <f t="shared" ca="1" si="6"/>
        <v/>
      </c>
      <c r="I29" s="308"/>
      <c r="J29" s="320"/>
      <c r="K29" s="320" t="s">
        <v>59</v>
      </c>
      <c r="L29" s="320"/>
      <c r="M29" s="320"/>
      <c r="N29" s="320"/>
      <c r="O29" s="320"/>
      <c r="P29" s="320"/>
      <c r="Q29" s="321"/>
      <c r="R29" s="322" t="s">
        <v>180</v>
      </c>
      <c r="S29" s="330">
        <v>45839</v>
      </c>
      <c r="T29" s="325">
        <v>45860</v>
      </c>
      <c r="U29" s="330"/>
      <c r="V29" s="325"/>
      <c r="W29" s="326">
        <v>0</v>
      </c>
      <c r="X29" s="327"/>
      <c r="Y29" s="328"/>
      <c r="Z29" s="329"/>
      <c r="AA29" s="300"/>
      <c r="AB29" s="301"/>
      <c r="AC29" s="302"/>
      <c r="AD29" s="303"/>
      <c r="AE29" s="304"/>
      <c r="AF29" s="305"/>
      <c r="AG29" s="305">
        <f t="shared" ca="1" si="7"/>
        <v>0</v>
      </c>
      <c r="AH29" s="305">
        <f t="shared" ca="1" si="8"/>
        <v>0</v>
      </c>
      <c r="AI29" s="305">
        <f t="shared" si="9"/>
        <v>0</v>
      </c>
      <c r="AJ29" s="305">
        <f t="shared" ca="1" si="10"/>
        <v>0</v>
      </c>
      <c r="AK29" s="305" t="str">
        <f t="shared" ca="1" si="11"/>
        <v/>
      </c>
      <c r="AL29" s="306">
        <f t="shared" ca="1" si="12"/>
        <v>1</v>
      </c>
      <c r="AM29" s="306">
        <f t="shared" ca="1" si="13"/>
        <v>4</v>
      </c>
      <c r="AN29" s="306">
        <f t="shared" ca="1" si="14"/>
        <v>1</v>
      </c>
      <c r="AO29" s="306">
        <f t="shared" ca="1" si="15"/>
        <v>0</v>
      </c>
      <c r="AP29" s="306">
        <f t="shared" ca="1" si="16"/>
        <v>0</v>
      </c>
      <c r="AQ29" s="306">
        <f t="shared" ca="1" si="17"/>
        <v>0</v>
      </c>
      <c r="AR29" s="306">
        <f t="shared" ca="1" si="18"/>
        <v>0</v>
      </c>
      <c r="AS29" s="307"/>
      <c r="AT29" s="306">
        <f t="shared" si="19"/>
        <v>22</v>
      </c>
    </row>
    <row r="30" spans="1:46" ht="15.75" customHeight="1">
      <c r="A30" s="284"/>
      <c r="B30" s="285">
        <f t="shared" ca="1" si="0"/>
        <v>1</v>
      </c>
      <c r="C30" s="286">
        <f t="shared" ca="1" si="1"/>
        <v>4</v>
      </c>
      <c r="D30" s="286">
        <f t="shared" ca="1" si="2"/>
        <v>2</v>
      </c>
      <c r="E30" s="286" t="str">
        <f t="shared" ca="1" si="3"/>
        <v/>
      </c>
      <c r="F30" s="286" t="str">
        <f t="shared" ca="1" si="4"/>
        <v/>
      </c>
      <c r="G30" s="287" t="str">
        <f t="shared" ca="1" si="5"/>
        <v/>
      </c>
      <c r="H30" s="288" t="str">
        <f t="shared" ca="1" si="6"/>
        <v/>
      </c>
      <c r="I30" s="308"/>
      <c r="J30" s="320"/>
      <c r="K30" s="320" t="s">
        <v>145</v>
      </c>
      <c r="L30" s="320"/>
      <c r="M30" s="320"/>
      <c r="N30" s="320"/>
      <c r="O30" s="320"/>
      <c r="P30" s="320"/>
      <c r="Q30" s="321"/>
      <c r="R30" s="322" t="s">
        <v>181</v>
      </c>
      <c r="S30" s="330">
        <v>45861</v>
      </c>
      <c r="T30" s="325">
        <v>45861</v>
      </c>
      <c r="U30" s="330"/>
      <c r="V30" s="325"/>
      <c r="W30" s="326">
        <v>0</v>
      </c>
      <c r="X30" s="327"/>
      <c r="Y30" s="328"/>
      <c r="Z30" s="329"/>
      <c r="AA30" s="300"/>
      <c r="AB30" s="301"/>
      <c r="AC30" s="302"/>
      <c r="AD30" s="303"/>
      <c r="AE30" s="304"/>
      <c r="AF30" s="305"/>
      <c r="AG30" s="305">
        <f t="shared" ca="1" si="7"/>
        <v>0</v>
      </c>
      <c r="AH30" s="305">
        <f t="shared" ca="1" si="8"/>
        <v>0</v>
      </c>
      <c r="AI30" s="305">
        <f t="shared" si="9"/>
        <v>0</v>
      </c>
      <c r="AJ30" s="305">
        <f t="shared" ca="1" si="10"/>
        <v>0</v>
      </c>
      <c r="AK30" s="305" t="str">
        <f t="shared" ca="1" si="11"/>
        <v/>
      </c>
      <c r="AL30" s="306">
        <f t="shared" ca="1" si="12"/>
        <v>1</v>
      </c>
      <c r="AM30" s="306">
        <f t="shared" ca="1" si="13"/>
        <v>4</v>
      </c>
      <c r="AN30" s="306">
        <f t="shared" ca="1" si="14"/>
        <v>2</v>
      </c>
      <c r="AO30" s="306">
        <f t="shared" ca="1" si="15"/>
        <v>0</v>
      </c>
      <c r="AP30" s="306">
        <f t="shared" ca="1" si="16"/>
        <v>0</v>
      </c>
      <c r="AQ30" s="306">
        <f t="shared" ca="1" si="17"/>
        <v>0</v>
      </c>
      <c r="AR30" s="306">
        <f t="shared" ca="1" si="18"/>
        <v>0</v>
      </c>
      <c r="AS30" s="307"/>
      <c r="AT30" s="306">
        <f t="shared" si="19"/>
        <v>1</v>
      </c>
    </row>
    <row r="31" spans="1:46" ht="15.75" customHeight="1">
      <c r="A31" s="284"/>
      <c r="B31" s="285">
        <f t="shared" ca="1" si="0"/>
        <v>1</v>
      </c>
      <c r="C31" s="286">
        <f t="shared" ca="1" si="1"/>
        <v>4</v>
      </c>
      <c r="D31" s="286">
        <f t="shared" ca="1" si="2"/>
        <v>3</v>
      </c>
      <c r="E31" s="286" t="str">
        <f t="shared" ca="1" si="3"/>
        <v/>
      </c>
      <c r="F31" s="286" t="str">
        <f t="shared" ca="1" si="4"/>
        <v/>
      </c>
      <c r="G31" s="287" t="str">
        <f t="shared" ca="1" si="5"/>
        <v/>
      </c>
      <c r="H31" s="288" t="str">
        <f t="shared" ca="1" si="6"/>
        <v/>
      </c>
      <c r="I31" s="308"/>
      <c r="J31" s="320"/>
      <c r="K31" s="320" t="s">
        <v>63</v>
      </c>
      <c r="L31" s="320"/>
      <c r="M31" s="320"/>
      <c r="N31" s="320"/>
      <c r="O31" s="320"/>
      <c r="P31" s="320"/>
      <c r="Q31" s="321"/>
      <c r="R31" s="322" t="s">
        <v>180</v>
      </c>
      <c r="S31" s="330">
        <v>45862</v>
      </c>
      <c r="T31" s="325">
        <v>45866</v>
      </c>
      <c r="U31" s="330"/>
      <c r="V31" s="325"/>
      <c r="W31" s="326">
        <v>0</v>
      </c>
      <c r="X31" s="327"/>
      <c r="Y31" s="328"/>
      <c r="Z31" s="329"/>
      <c r="AA31" s="300"/>
      <c r="AB31" s="301"/>
      <c r="AC31" s="302"/>
      <c r="AD31" s="303"/>
      <c r="AE31" s="304"/>
      <c r="AF31" s="305"/>
      <c r="AG31" s="305">
        <f t="shared" ca="1" si="7"/>
        <v>0</v>
      </c>
      <c r="AH31" s="305">
        <f t="shared" ca="1" si="8"/>
        <v>0</v>
      </c>
      <c r="AI31" s="305">
        <f t="shared" si="9"/>
        <v>0</v>
      </c>
      <c r="AJ31" s="305">
        <f t="shared" ca="1" si="10"/>
        <v>0</v>
      </c>
      <c r="AK31" s="305" t="str">
        <f t="shared" ca="1" si="11"/>
        <v/>
      </c>
      <c r="AL31" s="306">
        <f t="shared" ca="1" si="12"/>
        <v>1</v>
      </c>
      <c r="AM31" s="306">
        <f t="shared" ca="1" si="13"/>
        <v>4</v>
      </c>
      <c r="AN31" s="306">
        <f t="shared" ca="1" si="14"/>
        <v>3</v>
      </c>
      <c r="AO31" s="306">
        <f t="shared" ca="1" si="15"/>
        <v>0</v>
      </c>
      <c r="AP31" s="306">
        <f t="shared" ca="1" si="16"/>
        <v>0</v>
      </c>
      <c r="AQ31" s="306">
        <f t="shared" ca="1" si="17"/>
        <v>0</v>
      </c>
      <c r="AR31" s="306">
        <f t="shared" ca="1" si="18"/>
        <v>0</v>
      </c>
      <c r="AS31" s="307"/>
      <c r="AT31" s="306">
        <f t="shared" si="19"/>
        <v>5</v>
      </c>
    </row>
    <row r="32" spans="1:46" ht="15.75" customHeight="1">
      <c r="A32" s="284"/>
      <c r="B32" s="285">
        <f t="shared" ca="1" si="0"/>
        <v>1</v>
      </c>
      <c r="C32" s="286">
        <f t="shared" ca="1" si="1"/>
        <v>4</v>
      </c>
      <c r="D32" s="286">
        <f t="shared" ca="1" si="2"/>
        <v>4</v>
      </c>
      <c r="E32" s="286" t="str">
        <f t="shared" ca="1" si="3"/>
        <v/>
      </c>
      <c r="F32" s="286" t="str">
        <f t="shared" ca="1" si="4"/>
        <v/>
      </c>
      <c r="G32" s="287" t="str">
        <f t="shared" ca="1" si="5"/>
        <v/>
      </c>
      <c r="H32" s="288" t="str">
        <f t="shared" ca="1" si="6"/>
        <v/>
      </c>
      <c r="I32" s="308"/>
      <c r="J32" s="320"/>
      <c r="K32" s="320" t="s">
        <v>64</v>
      </c>
      <c r="L32" s="320"/>
      <c r="M32" s="320"/>
      <c r="N32" s="320"/>
      <c r="O32" s="320"/>
      <c r="P32" s="320"/>
      <c r="Q32" s="321"/>
      <c r="R32" s="322" t="s">
        <v>181</v>
      </c>
      <c r="S32" s="330">
        <v>45867</v>
      </c>
      <c r="T32" s="325">
        <v>45867</v>
      </c>
      <c r="U32" s="330"/>
      <c r="V32" s="325"/>
      <c r="W32" s="326">
        <v>0</v>
      </c>
      <c r="X32" s="327"/>
      <c r="Y32" s="328"/>
      <c r="Z32" s="329"/>
      <c r="AA32" s="300"/>
      <c r="AB32" s="301"/>
      <c r="AC32" s="302"/>
      <c r="AD32" s="303"/>
      <c r="AE32" s="304"/>
      <c r="AF32" s="305"/>
      <c r="AG32" s="305">
        <f t="shared" ca="1" si="7"/>
        <v>0</v>
      </c>
      <c r="AH32" s="305">
        <f t="shared" ca="1" si="8"/>
        <v>0</v>
      </c>
      <c r="AI32" s="305">
        <f t="shared" si="9"/>
        <v>0</v>
      </c>
      <c r="AJ32" s="305">
        <f t="shared" ca="1" si="10"/>
        <v>0</v>
      </c>
      <c r="AK32" s="305" t="str">
        <f t="shared" ca="1" si="11"/>
        <v/>
      </c>
      <c r="AL32" s="306">
        <f t="shared" ca="1" si="12"/>
        <v>1</v>
      </c>
      <c r="AM32" s="306">
        <f t="shared" ca="1" si="13"/>
        <v>4</v>
      </c>
      <c r="AN32" s="306">
        <f t="shared" ca="1" si="14"/>
        <v>4</v>
      </c>
      <c r="AO32" s="306">
        <f t="shared" ca="1" si="15"/>
        <v>0</v>
      </c>
      <c r="AP32" s="306">
        <f t="shared" ca="1" si="16"/>
        <v>0</v>
      </c>
      <c r="AQ32" s="306">
        <f t="shared" ca="1" si="17"/>
        <v>0</v>
      </c>
      <c r="AR32" s="306">
        <f t="shared" ca="1" si="18"/>
        <v>0</v>
      </c>
      <c r="AS32" s="307"/>
      <c r="AT32" s="306">
        <f t="shared" si="19"/>
        <v>1</v>
      </c>
    </row>
    <row r="33" spans="1:46" ht="15.75" customHeight="1">
      <c r="A33" s="284"/>
      <c r="B33" s="285">
        <f t="shared" ca="1" si="0"/>
        <v>1</v>
      </c>
      <c r="C33" s="286">
        <f t="shared" ca="1" si="1"/>
        <v>4</v>
      </c>
      <c r="D33" s="286">
        <f t="shared" ca="1" si="2"/>
        <v>5</v>
      </c>
      <c r="E33" s="286" t="str">
        <f t="shared" ca="1" si="3"/>
        <v/>
      </c>
      <c r="F33" s="286" t="str">
        <f t="shared" ca="1" si="4"/>
        <v/>
      </c>
      <c r="G33" s="287" t="str">
        <f t="shared" ca="1" si="5"/>
        <v/>
      </c>
      <c r="H33" s="288" t="str">
        <f t="shared" ca="1" si="6"/>
        <v/>
      </c>
      <c r="I33" s="308"/>
      <c r="J33" s="320"/>
      <c r="K33" s="320" t="s">
        <v>65</v>
      </c>
      <c r="L33" s="320"/>
      <c r="M33" s="320"/>
      <c r="N33" s="320"/>
      <c r="O33" s="320"/>
      <c r="P33" s="320"/>
      <c r="Q33" s="321"/>
      <c r="R33" s="322" t="s">
        <v>180</v>
      </c>
      <c r="S33" s="330">
        <v>45868</v>
      </c>
      <c r="T33" s="325">
        <v>45874</v>
      </c>
      <c r="U33" s="330"/>
      <c r="V33" s="325"/>
      <c r="W33" s="326">
        <v>0</v>
      </c>
      <c r="X33" s="327"/>
      <c r="Y33" s="328"/>
      <c r="Z33" s="329"/>
      <c r="AA33" s="300"/>
      <c r="AB33" s="301"/>
      <c r="AC33" s="302"/>
      <c r="AD33" s="303"/>
      <c r="AE33" s="304"/>
      <c r="AF33" s="305"/>
      <c r="AG33" s="305">
        <f t="shared" ca="1" si="7"/>
        <v>0</v>
      </c>
      <c r="AH33" s="305">
        <f t="shared" ca="1" si="8"/>
        <v>0</v>
      </c>
      <c r="AI33" s="305">
        <f t="shared" si="9"/>
        <v>0</v>
      </c>
      <c r="AJ33" s="305">
        <f t="shared" ca="1" si="10"/>
        <v>0</v>
      </c>
      <c r="AK33" s="305" t="str">
        <f t="shared" ca="1" si="11"/>
        <v/>
      </c>
      <c r="AL33" s="306">
        <f t="shared" ca="1" si="12"/>
        <v>1</v>
      </c>
      <c r="AM33" s="306">
        <f t="shared" ca="1" si="13"/>
        <v>4</v>
      </c>
      <c r="AN33" s="306">
        <f t="shared" ca="1" si="14"/>
        <v>5</v>
      </c>
      <c r="AO33" s="306">
        <f t="shared" ca="1" si="15"/>
        <v>0</v>
      </c>
      <c r="AP33" s="306">
        <f t="shared" ca="1" si="16"/>
        <v>0</v>
      </c>
      <c r="AQ33" s="306">
        <f t="shared" ca="1" si="17"/>
        <v>0</v>
      </c>
      <c r="AR33" s="306">
        <f t="shared" ca="1" si="18"/>
        <v>0</v>
      </c>
      <c r="AS33" s="307"/>
      <c r="AT33" s="306">
        <f t="shared" si="19"/>
        <v>7</v>
      </c>
    </row>
    <row r="34" spans="1:46" ht="15.75" customHeight="1">
      <c r="A34" s="284"/>
      <c r="B34" s="285">
        <f t="shared" ca="1" si="0"/>
        <v>1</v>
      </c>
      <c r="C34" s="286">
        <f t="shared" ca="1" si="1"/>
        <v>4</v>
      </c>
      <c r="D34" s="286">
        <f t="shared" ca="1" si="2"/>
        <v>6</v>
      </c>
      <c r="E34" s="286" t="str">
        <f t="shared" ca="1" si="3"/>
        <v/>
      </c>
      <c r="F34" s="286" t="str">
        <f t="shared" ca="1" si="4"/>
        <v/>
      </c>
      <c r="G34" s="287" t="str">
        <f t="shared" ca="1" si="5"/>
        <v/>
      </c>
      <c r="H34" s="288" t="str">
        <f t="shared" ca="1" si="6"/>
        <v/>
      </c>
      <c r="I34" s="308"/>
      <c r="J34" s="320"/>
      <c r="K34" s="320" t="s">
        <v>66</v>
      </c>
      <c r="L34" s="320"/>
      <c r="M34" s="320"/>
      <c r="N34" s="320"/>
      <c r="O34" s="320"/>
      <c r="P34" s="320"/>
      <c r="Q34" s="321"/>
      <c r="R34" s="322" t="s">
        <v>181</v>
      </c>
      <c r="S34" s="330">
        <v>45875</v>
      </c>
      <c r="T34" s="325">
        <v>45875</v>
      </c>
      <c r="U34" s="330"/>
      <c r="V34" s="325"/>
      <c r="W34" s="326">
        <v>0</v>
      </c>
      <c r="X34" s="327"/>
      <c r="Y34" s="328"/>
      <c r="Z34" s="329"/>
      <c r="AA34" s="300"/>
      <c r="AB34" s="301"/>
      <c r="AC34" s="302"/>
      <c r="AD34" s="303"/>
      <c r="AE34" s="304"/>
      <c r="AF34" s="305"/>
      <c r="AG34" s="305">
        <f t="shared" ca="1" si="7"/>
        <v>0</v>
      </c>
      <c r="AH34" s="305">
        <f t="shared" ca="1" si="8"/>
        <v>0</v>
      </c>
      <c r="AI34" s="305">
        <f t="shared" si="9"/>
        <v>0</v>
      </c>
      <c r="AJ34" s="305">
        <f t="shared" ca="1" si="10"/>
        <v>0</v>
      </c>
      <c r="AK34" s="305" t="str">
        <f t="shared" ca="1" si="11"/>
        <v/>
      </c>
      <c r="AL34" s="306">
        <f t="shared" ca="1" si="12"/>
        <v>1</v>
      </c>
      <c r="AM34" s="306">
        <f t="shared" ca="1" si="13"/>
        <v>4</v>
      </c>
      <c r="AN34" s="306">
        <f t="shared" ca="1" si="14"/>
        <v>6</v>
      </c>
      <c r="AO34" s="306">
        <f t="shared" ca="1" si="15"/>
        <v>0</v>
      </c>
      <c r="AP34" s="306">
        <f t="shared" ca="1" si="16"/>
        <v>0</v>
      </c>
      <c r="AQ34" s="306">
        <f t="shared" ca="1" si="17"/>
        <v>0</v>
      </c>
      <c r="AR34" s="306">
        <f t="shared" ca="1" si="18"/>
        <v>0</v>
      </c>
      <c r="AS34" s="307"/>
      <c r="AT34" s="306">
        <f t="shared" si="19"/>
        <v>1</v>
      </c>
    </row>
    <row r="35" spans="1:46" ht="15.75" customHeight="1">
      <c r="A35" s="284"/>
      <c r="B35" s="285">
        <f t="shared" ca="1" si="0"/>
        <v>1</v>
      </c>
      <c r="C35" s="286">
        <f t="shared" ca="1" si="1"/>
        <v>5</v>
      </c>
      <c r="D35" s="286" t="str">
        <f t="shared" ca="1" si="2"/>
        <v/>
      </c>
      <c r="E35" s="286" t="str">
        <f t="shared" ca="1" si="3"/>
        <v/>
      </c>
      <c r="F35" s="286" t="str">
        <f t="shared" ca="1" si="4"/>
        <v/>
      </c>
      <c r="G35" s="287" t="str">
        <f t="shared" ca="1" si="5"/>
        <v/>
      </c>
      <c r="H35" s="288" t="str">
        <f t="shared" ca="1" si="6"/>
        <v/>
      </c>
      <c r="I35" s="308"/>
      <c r="J35" s="309" t="s">
        <v>182</v>
      </c>
      <c r="K35" s="310"/>
      <c r="L35" s="310"/>
      <c r="M35" s="310"/>
      <c r="N35" s="310"/>
      <c r="O35" s="310"/>
      <c r="P35" s="310"/>
      <c r="Q35" s="311" t="s">
        <v>73</v>
      </c>
      <c r="R35" s="312"/>
      <c r="S35" s="313"/>
      <c r="T35" s="314"/>
      <c r="U35" s="315"/>
      <c r="V35" s="314"/>
      <c r="W35" s="316"/>
      <c r="X35" s="317"/>
      <c r="Y35" s="318"/>
      <c r="Z35" s="319"/>
      <c r="AA35" s="300"/>
      <c r="AB35" s="301"/>
      <c r="AC35" s="302"/>
      <c r="AD35" s="303"/>
      <c r="AE35" s="304"/>
      <c r="AF35" s="305"/>
      <c r="AG35" s="305">
        <f t="shared" si="7"/>
        <v>0</v>
      </c>
      <c r="AH35" s="305">
        <f t="shared" si="8"/>
        <v>0</v>
      </c>
      <c r="AI35" s="305">
        <f t="shared" si="9"/>
        <v>0</v>
      </c>
      <c r="AJ35" s="305">
        <f t="shared" si="10"/>
        <v>0</v>
      </c>
      <c r="AK35" s="305" t="str">
        <f t="shared" si="11"/>
        <v/>
      </c>
      <c r="AL35" s="306">
        <f t="shared" ca="1" si="12"/>
        <v>1</v>
      </c>
      <c r="AM35" s="306">
        <f t="shared" ca="1" si="13"/>
        <v>5</v>
      </c>
      <c r="AN35" s="306">
        <f t="shared" ca="1" si="14"/>
        <v>0</v>
      </c>
      <c r="AO35" s="306">
        <f t="shared" ca="1" si="15"/>
        <v>0</v>
      </c>
      <c r="AP35" s="306">
        <f t="shared" ca="1" si="16"/>
        <v>0</v>
      </c>
      <c r="AQ35" s="306">
        <f t="shared" ca="1" si="17"/>
        <v>0</v>
      </c>
      <c r="AR35" s="306">
        <f t="shared" ca="1" si="18"/>
        <v>0</v>
      </c>
      <c r="AS35" s="307"/>
      <c r="AT35" s="306">
        <f t="shared" si="19"/>
        <v>1</v>
      </c>
    </row>
    <row r="36" spans="1:46" ht="15.75" customHeight="1">
      <c r="A36" s="284"/>
      <c r="B36" s="285">
        <f t="shared" ca="1" si="0"/>
        <v>1</v>
      </c>
      <c r="C36" s="286">
        <f t="shared" ca="1" si="1"/>
        <v>5</v>
      </c>
      <c r="D36" s="286">
        <f t="shared" ca="1" si="2"/>
        <v>1</v>
      </c>
      <c r="E36" s="286" t="str">
        <f t="shared" ca="1" si="3"/>
        <v/>
      </c>
      <c r="F36" s="286" t="str">
        <f t="shared" ca="1" si="4"/>
        <v/>
      </c>
      <c r="G36" s="287" t="str">
        <f t="shared" ca="1" si="5"/>
        <v/>
      </c>
      <c r="H36" s="288" t="str">
        <f t="shared" ca="1" si="6"/>
        <v/>
      </c>
      <c r="I36" s="308"/>
      <c r="J36" s="320"/>
      <c r="K36" s="320" t="s">
        <v>59</v>
      </c>
      <c r="L36" s="320"/>
      <c r="M36" s="320"/>
      <c r="N36" s="320"/>
      <c r="O36" s="320"/>
      <c r="P36" s="320"/>
      <c r="Q36" s="321"/>
      <c r="R36" s="332" t="s">
        <v>180</v>
      </c>
      <c r="S36" s="331">
        <v>45819</v>
      </c>
      <c r="T36" s="325">
        <v>45825</v>
      </c>
      <c r="U36" s="330">
        <v>45819</v>
      </c>
      <c r="V36" s="325"/>
      <c r="W36" s="326">
        <v>0.6</v>
      </c>
      <c r="X36" s="326">
        <v>0.6</v>
      </c>
      <c r="Y36" s="328"/>
      <c r="Z36" s="329"/>
      <c r="AA36" s="300"/>
      <c r="AB36" s="301"/>
      <c r="AC36" s="302"/>
      <c r="AD36" s="303"/>
      <c r="AE36" s="304"/>
      <c r="AF36" s="305"/>
      <c r="AG36" s="305">
        <f t="shared" ca="1" si="7"/>
        <v>0</v>
      </c>
      <c r="AH36" s="305">
        <f t="shared" ca="1" si="8"/>
        <v>0</v>
      </c>
      <c r="AI36" s="305">
        <f t="shared" si="9"/>
        <v>0</v>
      </c>
      <c r="AJ36" s="305">
        <f t="shared" ca="1" si="10"/>
        <v>0</v>
      </c>
      <c r="AK36" s="305" t="str">
        <f t="shared" ca="1" si="11"/>
        <v/>
      </c>
      <c r="AL36" s="306">
        <f t="shared" ca="1" si="12"/>
        <v>1</v>
      </c>
      <c r="AM36" s="306">
        <f t="shared" ca="1" si="13"/>
        <v>5</v>
      </c>
      <c r="AN36" s="306">
        <f t="shared" ca="1" si="14"/>
        <v>1</v>
      </c>
      <c r="AO36" s="306">
        <f t="shared" ca="1" si="15"/>
        <v>0</v>
      </c>
      <c r="AP36" s="306">
        <f t="shared" ca="1" si="16"/>
        <v>0</v>
      </c>
      <c r="AQ36" s="306">
        <f t="shared" ca="1" si="17"/>
        <v>0</v>
      </c>
      <c r="AR36" s="306">
        <f t="shared" ca="1" si="18"/>
        <v>0</v>
      </c>
      <c r="AS36" s="307"/>
      <c r="AT36" s="306">
        <f t="shared" si="19"/>
        <v>7</v>
      </c>
    </row>
    <row r="37" spans="1:46" ht="15.75" customHeight="1">
      <c r="A37" s="284"/>
      <c r="B37" s="285">
        <f t="shared" ca="1" si="0"/>
        <v>1</v>
      </c>
      <c r="C37" s="286">
        <f t="shared" ca="1" si="1"/>
        <v>5</v>
      </c>
      <c r="D37" s="286">
        <f t="shared" ca="1" si="2"/>
        <v>2</v>
      </c>
      <c r="E37" s="286" t="str">
        <f t="shared" ca="1" si="3"/>
        <v/>
      </c>
      <c r="F37" s="286" t="str">
        <f t="shared" ca="1" si="4"/>
        <v/>
      </c>
      <c r="G37" s="287" t="str">
        <f t="shared" ca="1" si="5"/>
        <v/>
      </c>
      <c r="H37" s="288" t="str">
        <f t="shared" ca="1" si="6"/>
        <v/>
      </c>
      <c r="I37" s="308"/>
      <c r="J37" s="320"/>
      <c r="K37" s="320" t="s">
        <v>145</v>
      </c>
      <c r="L37" s="320"/>
      <c r="M37" s="320"/>
      <c r="N37" s="320"/>
      <c r="O37" s="320"/>
      <c r="P37" s="320"/>
      <c r="Q37" s="321"/>
      <c r="R37" s="322" t="s">
        <v>181</v>
      </c>
      <c r="S37" s="331">
        <v>45826</v>
      </c>
      <c r="T37" s="331">
        <v>45826</v>
      </c>
      <c r="U37" s="330"/>
      <c r="V37" s="325"/>
      <c r="W37" s="326">
        <v>0</v>
      </c>
      <c r="X37" s="327"/>
      <c r="Y37" s="328"/>
      <c r="Z37" s="329"/>
      <c r="AA37" s="300"/>
      <c r="AB37" s="301"/>
      <c r="AC37" s="302"/>
      <c r="AD37" s="303"/>
      <c r="AE37" s="304"/>
      <c r="AF37" s="305"/>
      <c r="AG37" s="305">
        <f t="shared" ca="1" si="7"/>
        <v>0</v>
      </c>
      <c r="AH37" s="305">
        <f t="shared" ca="1" si="8"/>
        <v>0</v>
      </c>
      <c r="AI37" s="305">
        <f t="shared" si="9"/>
        <v>0</v>
      </c>
      <c r="AJ37" s="305">
        <f t="shared" ca="1" si="10"/>
        <v>0</v>
      </c>
      <c r="AK37" s="305" t="str">
        <f t="shared" ca="1" si="11"/>
        <v/>
      </c>
      <c r="AL37" s="306">
        <f t="shared" ca="1" si="12"/>
        <v>1</v>
      </c>
      <c r="AM37" s="306">
        <f t="shared" ca="1" si="13"/>
        <v>5</v>
      </c>
      <c r="AN37" s="306">
        <f t="shared" ca="1" si="14"/>
        <v>2</v>
      </c>
      <c r="AO37" s="306">
        <f t="shared" ca="1" si="15"/>
        <v>0</v>
      </c>
      <c r="AP37" s="306">
        <f t="shared" ca="1" si="16"/>
        <v>0</v>
      </c>
      <c r="AQ37" s="306">
        <f t="shared" ca="1" si="17"/>
        <v>0</v>
      </c>
      <c r="AR37" s="306">
        <f t="shared" ca="1" si="18"/>
        <v>0</v>
      </c>
      <c r="AS37" s="307"/>
      <c r="AT37" s="306">
        <f t="shared" si="19"/>
        <v>1</v>
      </c>
    </row>
    <row r="38" spans="1:46" ht="15.75" customHeight="1">
      <c r="A38" s="284"/>
      <c r="B38" s="285">
        <f t="shared" ca="1" si="0"/>
        <v>1</v>
      </c>
      <c r="C38" s="286">
        <f t="shared" ca="1" si="1"/>
        <v>5</v>
      </c>
      <c r="D38" s="286">
        <f t="shared" ca="1" si="2"/>
        <v>3</v>
      </c>
      <c r="E38" s="286" t="str">
        <f t="shared" ca="1" si="3"/>
        <v/>
      </c>
      <c r="F38" s="286" t="str">
        <f t="shared" ca="1" si="4"/>
        <v/>
      </c>
      <c r="G38" s="287" t="str">
        <f t="shared" ca="1" si="5"/>
        <v/>
      </c>
      <c r="H38" s="288" t="str">
        <f t="shared" ca="1" si="6"/>
        <v/>
      </c>
      <c r="I38" s="308"/>
      <c r="J38" s="320"/>
      <c r="K38" s="320" t="s">
        <v>63</v>
      </c>
      <c r="L38" s="320"/>
      <c r="M38" s="320"/>
      <c r="N38" s="320"/>
      <c r="O38" s="320"/>
      <c r="P38" s="320"/>
      <c r="Q38" s="321"/>
      <c r="R38" s="322" t="s">
        <v>180</v>
      </c>
      <c r="S38" s="331">
        <v>45832</v>
      </c>
      <c r="T38" s="325">
        <v>45833</v>
      </c>
      <c r="U38" s="330"/>
      <c r="V38" s="325"/>
      <c r="W38" s="326">
        <v>0</v>
      </c>
      <c r="X38" s="327"/>
      <c r="Y38" s="328"/>
      <c r="Z38" s="329"/>
      <c r="AA38" s="300"/>
      <c r="AB38" s="301"/>
      <c r="AC38" s="302"/>
      <c r="AD38" s="303"/>
      <c r="AE38" s="304"/>
      <c r="AF38" s="305"/>
      <c r="AG38" s="305">
        <f t="shared" ca="1" si="7"/>
        <v>0</v>
      </c>
      <c r="AH38" s="305">
        <f t="shared" ca="1" si="8"/>
        <v>0</v>
      </c>
      <c r="AI38" s="305">
        <f t="shared" si="9"/>
        <v>0</v>
      </c>
      <c r="AJ38" s="305">
        <f t="shared" ca="1" si="10"/>
        <v>0</v>
      </c>
      <c r="AK38" s="305" t="str">
        <f t="shared" ca="1" si="11"/>
        <v/>
      </c>
      <c r="AL38" s="306">
        <f t="shared" ca="1" si="12"/>
        <v>1</v>
      </c>
      <c r="AM38" s="306">
        <f t="shared" ca="1" si="13"/>
        <v>5</v>
      </c>
      <c r="AN38" s="306">
        <f t="shared" ca="1" si="14"/>
        <v>3</v>
      </c>
      <c r="AO38" s="306">
        <f t="shared" ca="1" si="15"/>
        <v>0</v>
      </c>
      <c r="AP38" s="306">
        <f t="shared" ca="1" si="16"/>
        <v>0</v>
      </c>
      <c r="AQ38" s="306">
        <f t="shared" ca="1" si="17"/>
        <v>0</v>
      </c>
      <c r="AR38" s="306">
        <f t="shared" ca="1" si="18"/>
        <v>0</v>
      </c>
      <c r="AS38" s="307"/>
      <c r="AT38" s="306">
        <f t="shared" si="19"/>
        <v>2</v>
      </c>
    </row>
    <row r="39" spans="1:46" ht="15.75" customHeight="1">
      <c r="A39" s="284"/>
      <c r="B39" s="285">
        <f t="shared" ca="1" si="0"/>
        <v>1</v>
      </c>
      <c r="C39" s="286">
        <f t="shared" ca="1" si="1"/>
        <v>5</v>
      </c>
      <c r="D39" s="286">
        <f t="shared" ca="1" si="2"/>
        <v>4</v>
      </c>
      <c r="E39" s="286" t="str">
        <f t="shared" ca="1" si="3"/>
        <v/>
      </c>
      <c r="F39" s="286" t="str">
        <f t="shared" ca="1" si="4"/>
        <v/>
      </c>
      <c r="G39" s="287" t="str">
        <f t="shared" ca="1" si="5"/>
        <v/>
      </c>
      <c r="H39" s="288" t="str">
        <f t="shared" ca="1" si="6"/>
        <v/>
      </c>
      <c r="I39" s="308"/>
      <c r="J39" s="320"/>
      <c r="K39" s="320" t="s">
        <v>64</v>
      </c>
      <c r="L39" s="320"/>
      <c r="M39" s="320"/>
      <c r="N39" s="320"/>
      <c r="O39" s="320"/>
      <c r="P39" s="320"/>
      <c r="Q39" s="321"/>
      <c r="R39" s="322" t="s">
        <v>181</v>
      </c>
      <c r="S39" s="331">
        <v>45834</v>
      </c>
      <c r="T39" s="325">
        <v>45834</v>
      </c>
      <c r="U39" s="330"/>
      <c r="V39" s="325"/>
      <c r="W39" s="326">
        <v>0</v>
      </c>
      <c r="X39" s="327"/>
      <c r="Y39" s="328"/>
      <c r="Z39" s="329"/>
      <c r="AA39" s="300"/>
      <c r="AB39" s="301"/>
      <c r="AC39" s="302"/>
      <c r="AD39" s="303"/>
      <c r="AE39" s="304"/>
      <c r="AF39" s="305"/>
      <c r="AG39" s="305">
        <f t="shared" ca="1" si="7"/>
        <v>0</v>
      </c>
      <c r="AH39" s="305">
        <f t="shared" ca="1" si="8"/>
        <v>0</v>
      </c>
      <c r="AI39" s="305">
        <f t="shared" si="9"/>
        <v>0</v>
      </c>
      <c r="AJ39" s="305">
        <f t="shared" ca="1" si="10"/>
        <v>0</v>
      </c>
      <c r="AK39" s="305" t="str">
        <f t="shared" ca="1" si="11"/>
        <v/>
      </c>
      <c r="AL39" s="306">
        <f t="shared" ca="1" si="12"/>
        <v>1</v>
      </c>
      <c r="AM39" s="306">
        <f t="shared" ca="1" si="13"/>
        <v>5</v>
      </c>
      <c r="AN39" s="306">
        <f t="shared" ca="1" si="14"/>
        <v>4</v>
      </c>
      <c r="AO39" s="306">
        <f t="shared" ca="1" si="15"/>
        <v>0</v>
      </c>
      <c r="AP39" s="306">
        <f t="shared" ca="1" si="16"/>
        <v>0</v>
      </c>
      <c r="AQ39" s="306">
        <f t="shared" ca="1" si="17"/>
        <v>0</v>
      </c>
      <c r="AR39" s="306">
        <f t="shared" ca="1" si="18"/>
        <v>0</v>
      </c>
      <c r="AS39" s="307"/>
      <c r="AT39" s="306">
        <f t="shared" si="19"/>
        <v>1</v>
      </c>
    </row>
    <row r="40" spans="1:46" ht="15.75" customHeight="1">
      <c r="A40" s="284"/>
      <c r="B40" s="285">
        <f t="shared" ca="1" si="0"/>
        <v>1</v>
      </c>
      <c r="C40" s="286">
        <f t="shared" ca="1" si="1"/>
        <v>5</v>
      </c>
      <c r="D40" s="286">
        <f t="shared" ca="1" si="2"/>
        <v>5</v>
      </c>
      <c r="E40" s="286" t="str">
        <f t="shared" ca="1" si="3"/>
        <v/>
      </c>
      <c r="F40" s="286" t="str">
        <f t="shared" ca="1" si="4"/>
        <v/>
      </c>
      <c r="G40" s="287" t="str">
        <f t="shared" ca="1" si="5"/>
        <v/>
      </c>
      <c r="H40" s="288" t="str">
        <f t="shared" ca="1" si="6"/>
        <v/>
      </c>
      <c r="I40" s="308"/>
      <c r="J40" s="320"/>
      <c r="K40" s="320" t="s">
        <v>65</v>
      </c>
      <c r="L40" s="320"/>
      <c r="M40" s="320"/>
      <c r="N40" s="320"/>
      <c r="O40" s="320"/>
      <c r="P40" s="320"/>
      <c r="Q40" s="321"/>
      <c r="R40" s="322" t="s">
        <v>180</v>
      </c>
      <c r="S40" s="331">
        <v>45835</v>
      </c>
      <c r="T40" s="325">
        <v>45835</v>
      </c>
      <c r="U40" s="330"/>
      <c r="V40" s="325"/>
      <c r="W40" s="326">
        <v>0</v>
      </c>
      <c r="X40" s="327"/>
      <c r="Y40" s="328"/>
      <c r="Z40" s="329"/>
      <c r="AA40" s="300"/>
      <c r="AB40" s="301"/>
      <c r="AC40" s="302"/>
      <c r="AD40" s="303"/>
      <c r="AE40" s="304"/>
      <c r="AF40" s="305"/>
      <c r="AG40" s="305">
        <f t="shared" ca="1" si="7"/>
        <v>0</v>
      </c>
      <c r="AH40" s="305">
        <f t="shared" ca="1" si="8"/>
        <v>0</v>
      </c>
      <c r="AI40" s="305">
        <f t="shared" si="9"/>
        <v>0</v>
      </c>
      <c r="AJ40" s="305">
        <f t="shared" ca="1" si="10"/>
        <v>0</v>
      </c>
      <c r="AK40" s="305" t="str">
        <f t="shared" ca="1" si="11"/>
        <v/>
      </c>
      <c r="AL40" s="306">
        <f t="shared" ca="1" si="12"/>
        <v>1</v>
      </c>
      <c r="AM40" s="306">
        <f t="shared" ca="1" si="13"/>
        <v>5</v>
      </c>
      <c r="AN40" s="306">
        <f t="shared" ca="1" si="14"/>
        <v>5</v>
      </c>
      <c r="AO40" s="306">
        <f t="shared" ca="1" si="15"/>
        <v>0</v>
      </c>
      <c r="AP40" s="306">
        <f t="shared" ca="1" si="16"/>
        <v>0</v>
      </c>
      <c r="AQ40" s="306">
        <f t="shared" ca="1" si="17"/>
        <v>0</v>
      </c>
      <c r="AR40" s="306">
        <f t="shared" ca="1" si="18"/>
        <v>0</v>
      </c>
      <c r="AS40" s="307"/>
      <c r="AT40" s="306">
        <f t="shared" si="19"/>
        <v>1</v>
      </c>
    </row>
    <row r="41" spans="1:46" ht="15.75" customHeight="1">
      <c r="A41" s="284"/>
      <c r="B41" s="285">
        <f t="shared" ca="1" si="0"/>
        <v>1</v>
      </c>
      <c r="C41" s="286">
        <f t="shared" ca="1" si="1"/>
        <v>5</v>
      </c>
      <c r="D41" s="286">
        <f t="shared" ca="1" si="2"/>
        <v>6</v>
      </c>
      <c r="E41" s="286" t="str">
        <f t="shared" ca="1" si="3"/>
        <v/>
      </c>
      <c r="F41" s="286" t="str">
        <f t="shared" ca="1" si="4"/>
        <v/>
      </c>
      <c r="G41" s="287" t="str">
        <f t="shared" ca="1" si="5"/>
        <v/>
      </c>
      <c r="H41" s="288" t="str">
        <f t="shared" ca="1" si="6"/>
        <v/>
      </c>
      <c r="I41" s="308"/>
      <c r="J41" s="320"/>
      <c r="K41" s="320" t="s">
        <v>66</v>
      </c>
      <c r="L41" s="320"/>
      <c r="M41" s="320"/>
      <c r="N41" s="320"/>
      <c r="O41" s="320"/>
      <c r="P41" s="320"/>
      <c r="Q41" s="321"/>
      <c r="R41" s="322" t="s">
        <v>181</v>
      </c>
      <c r="S41" s="331">
        <v>45838</v>
      </c>
      <c r="T41" s="325">
        <v>45838</v>
      </c>
      <c r="U41" s="330"/>
      <c r="V41" s="325"/>
      <c r="W41" s="326">
        <v>0</v>
      </c>
      <c r="X41" s="327"/>
      <c r="Y41" s="328"/>
      <c r="Z41" s="329"/>
      <c r="AA41" s="300"/>
      <c r="AB41" s="301"/>
      <c r="AC41" s="302"/>
      <c r="AD41" s="303"/>
      <c r="AE41" s="304"/>
      <c r="AF41" s="305"/>
      <c r="AG41" s="305">
        <f t="shared" ca="1" si="7"/>
        <v>0</v>
      </c>
      <c r="AH41" s="305">
        <f t="shared" ca="1" si="8"/>
        <v>0</v>
      </c>
      <c r="AI41" s="305">
        <f t="shared" si="9"/>
        <v>0</v>
      </c>
      <c r="AJ41" s="305">
        <f t="shared" ca="1" si="10"/>
        <v>0</v>
      </c>
      <c r="AK41" s="305" t="str">
        <f t="shared" ca="1" si="11"/>
        <v/>
      </c>
      <c r="AL41" s="306">
        <f t="shared" ca="1" si="12"/>
        <v>1</v>
      </c>
      <c r="AM41" s="306">
        <f t="shared" ca="1" si="13"/>
        <v>5</v>
      </c>
      <c r="AN41" s="306">
        <f t="shared" ca="1" si="14"/>
        <v>6</v>
      </c>
      <c r="AO41" s="306">
        <f t="shared" ca="1" si="15"/>
        <v>0</v>
      </c>
      <c r="AP41" s="306">
        <f t="shared" ca="1" si="16"/>
        <v>0</v>
      </c>
      <c r="AQ41" s="306">
        <f t="shared" ca="1" si="17"/>
        <v>0</v>
      </c>
      <c r="AR41" s="306">
        <f t="shared" ca="1" si="18"/>
        <v>0</v>
      </c>
      <c r="AS41" s="307"/>
      <c r="AT41" s="306">
        <f t="shared" si="19"/>
        <v>1</v>
      </c>
    </row>
    <row r="42" spans="1:46" ht="15.75" customHeight="1">
      <c r="A42" s="284"/>
      <c r="B42" s="285">
        <f t="shared" ca="1" si="0"/>
        <v>1</v>
      </c>
      <c r="C42" s="286">
        <f t="shared" ca="1" si="1"/>
        <v>6</v>
      </c>
      <c r="D42" s="286" t="str">
        <f t="shared" ca="1" si="2"/>
        <v/>
      </c>
      <c r="E42" s="286" t="str">
        <f t="shared" ca="1" si="3"/>
        <v/>
      </c>
      <c r="F42" s="286" t="str">
        <f t="shared" ca="1" si="4"/>
        <v/>
      </c>
      <c r="G42" s="287" t="str">
        <f t="shared" ca="1" si="5"/>
        <v/>
      </c>
      <c r="H42" s="288" t="str">
        <f t="shared" ca="1" si="6"/>
        <v/>
      </c>
      <c r="I42" s="308"/>
      <c r="J42" s="309" t="s">
        <v>183</v>
      </c>
      <c r="K42" s="310"/>
      <c r="L42" s="310"/>
      <c r="M42" s="310"/>
      <c r="N42" s="310"/>
      <c r="O42" s="310"/>
      <c r="P42" s="310"/>
      <c r="Q42" s="311" t="s">
        <v>73</v>
      </c>
      <c r="R42" s="312"/>
      <c r="S42" s="313"/>
      <c r="T42" s="314"/>
      <c r="U42" s="315"/>
      <c r="V42" s="314"/>
      <c r="W42" s="316"/>
      <c r="X42" s="317"/>
      <c r="Y42" s="318"/>
      <c r="Z42" s="319"/>
      <c r="AA42" s="300"/>
      <c r="AB42" s="301"/>
      <c r="AC42" s="302"/>
      <c r="AD42" s="303"/>
      <c r="AE42" s="304"/>
      <c r="AF42" s="305"/>
      <c r="AG42" s="305">
        <f t="shared" si="7"/>
        <v>0</v>
      </c>
      <c r="AH42" s="305">
        <f t="shared" si="8"/>
        <v>0</v>
      </c>
      <c r="AI42" s="305">
        <f t="shared" si="9"/>
        <v>0</v>
      </c>
      <c r="AJ42" s="305">
        <f t="shared" si="10"/>
        <v>0</v>
      </c>
      <c r="AK42" s="305" t="str">
        <f t="shared" si="11"/>
        <v/>
      </c>
      <c r="AL42" s="306">
        <f t="shared" ca="1" si="12"/>
        <v>1</v>
      </c>
      <c r="AM42" s="306">
        <f t="shared" ca="1" si="13"/>
        <v>6</v>
      </c>
      <c r="AN42" s="306">
        <f t="shared" ca="1" si="14"/>
        <v>0</v>
      </c>
      <c r="AO42" s="306">
        <f t="shared" ca="1" si="15"/>
        <v>0</v>
      </c>
      <c r="AP42" s="306">
        <f t="shared" ca="1" si="16"/>
        <v>0</v>
      </c>
      <c r="AQ42" s="306">
        <f t="shared" ca="1" si="17"/>
        <v>0</v>
      </c>
      <c r="AR42" s="306">
        <f t="shared" ca="1" si="18"/>
        <v>0</v>
      </c>
      <c r="AS42" s="307"/>
      <c r="AT42" s="306">
        <f t="shared" si="19"/>
        <v>1</v>
      </c>
    </row>
    <row r="43" spans="1:46" ht="15.75" customHeight="1">
      <c r="A43" s="284"/>
      <c r="B43" s="285">
        <f t="shared" ca="1" si="0"/>
        <v>1</v>
      </c>
      <c r="C43" s="286">
        <f t="shared" ca="1" si="1"/>
        <v>6</v>
      </c>
      <c r="D43" s="286">
        <f t="shared" ca="1" si="2"/>
        <v>1</v>
      </c>
      <c r="E43" s="286" t="str">
        <f t="shared" ca="1" si="3"/>
        <v/>
      </c>
      <c r="F43" s="286" t="str">
        <f t="shared" ca="1" si="4"/>
        <v/>
      </c>
      <c r="G43" s="287" t="str">
        <f t="shared" ca="1" si="5"/>
        <v/>
      </c>
      <c r="H43" s="288" t="str">
        <f t="shared" ca="1" si="6"/>
        <v/>
      </c>
      <c r="I43" s="308"/>
      <c r="J43" s="320"/>
      <c r="K43" s="320" t="s">
        <v>59</v>
      </c>
      <c r="L43" s="320"/>
      <c r="M43" s="320"/>
      <c r="N43" s="320"/>
      <c r="O43" s="320"/>
      <c r="P43" s="320"/>
      <c r="Q43" s="321"/>
      <c r="R43" s="332" t="s">
        <v>181</v>
      </c>
      <c r="S43" s="331">
        <v>45819</v>
      </c>
      <c r="T43" s="325">
        <v>45825</v>
      </c>
      <c r="U43" s="330">
        <v>45814</v>
      </c>
      <c r="V43" s="325"/>
      <c r="W43" s="326">
        <v>0.6</v>
      </c>
      <c r="X43" s="326">
        <v>0.6</v>
      </c>
      <c r="Y43" s="328"/>
      <c r="Z43" s="329"/>
      <c r="AA43" s="300"/>
      <c r="AB43" s="301"/>
      <c r="AC43" s="302"/>
      <c r="AD43" s="303"/>
      <c r="AE43" s="304"/>
      <c r="AF43" s="305"/>
      <c r="AG43" s="305">
        <f t="shared" ca="1" si="7"/>
        <v>0</v>
      </c>
      <c r="AH43" s="305">
        <f t="shared" ca="1" si="8"/>
        <v>0</v>
      </c>
      <c r="AI43" s="305">
        <f t="shared" si="9"/>
        <v>0</v>
      </c>
      <c r="AJ43" s="305">
        <f t="shared" ca="1" si="10"/>
        <v>0</v>
      </c>
      <c r="AK43" s="305" t="str">
        <f t="shared" ca="1" si="11"/>
        <v/>
      </c>
      <c r="AL43" s="306">
        <f t="shared" ca="1" si="12"/>
        <v>1</v>
      </c>
      <c r="AM43" s="306">
        <f t="shared" ca="1" si="13"/>
        <v>6</v>
      </c>
      <c r="AN43" s="306">
        <f t="shared" ca="1" si="14"/>
        <v>1</v>
      </c>
      <c r="AO43" s="306">
        <f t="shared" ca="1" si="15"/>
        <v>0</v>
      </c>
      <c r="AP43" s="306">
        <f t="shared" ca="1" si="16"/>
        <v>0</v>
      </c>
      <c r="AQ43" s="306">
        <f t="shared" ca="1" si="17"/>
        <v>0</v>
      </c>
      <c r="AR43" s="306">
        <f t="shared" ca="1" si="18"/>
        <v>0</v>
      </c>
      <c r="AS43" s="307"/>
      <c r="AT43" s="306">
        <f t="shared" si="19"/>
        <v>7</v>
      </c>
    </row>
    <row r="44" spans="1:46" ht="15.75" customHeight="1">
      <c r="A44" s="284"/>
      <c r="B44" s="285">
        <f t="shared" ca="1" si="0"/>
        <v>1</v>
      </c>
      <c r="C44" s="286">
        <f t="shared" ca="1" si="1"/>
        <v>6</v>
      </c>
      <c r="D44" s="286">
        <f t="shared" ca="1" si="2"/>
        <v>2</v>
      </c>
      <c r="E44" s="286" t="str">
        <f t="shared" ca="1" si="3"/>
        <v/>
      </c>
      <c r="F44" s="286" t="str">
        <f t="shared" ca="1" si="4"/>
        <v/>
      </c>
      <c r="G44" s="287" t="str">
        <f t="shared" ca="1" si="5"/>
        <v/>
      </c>
      <c r="H44" s="288" t="str">
        <f t="shared" ca="1" si="6"/>
        <v/>
      </c>
      <c r="I44" s="308"/>
      <c r="J44" s="320"/>
      <c r="K44" s="320" t="s">
        <v>145</v>
      </c>
      <c r="L44" s="320"/>
      <c r="M44" s="320"/>
      <c r="N44" s="320"/>
      <c r="O44" s="320"/>
      <c r="P44" s="320"/>
      <c r="Q44" s="321"/>
      <c r="R44" s="322" t="s">
        <v>180</v>
      </c>
      <c r="S44" s="331">
        <v>45826</v>
      </c>
      <c r="T44" s="331">
        <v>45826</v>
      </c>
      <c r="U44" s="330"/>
      <c r="V44" s="325"/>
      <c r="W44" s="326">
        <v>0</v>
      </c>
      <c r="X44" s="327"/>
      <c r="Y44" s="328"/>
      <c r="Z44" s="329"/>
      <c r="AA44" s="300"/>
      <c r="AB44" s="301"/>
      <c r="AC44" s="302"/>
      <c r="AD44" s="303"/>
      <c r="AE44" s="304"/>
      <c r="AF44" s="305"/>
      <c r="AG44" s="305">
        <f t="shared" ca="1" si="7"/>
        <v>0</v>
      </c>
      <c r="AH44" s="305">
        <f t="shared" ca="1" si="8"/>
        <v>0</v>
      </c>
      <c r="AI44" s="305">
        <f t="shared" si="9"/>
        <v>0</v>
      </c>
      <c r="AJ44" s="305">
        <f t="shared" ca="1" si="10"/>
        <v>0</v>
      </c>
      <c r="AK44" s="305" t="str">
        <f t="shared" ca="1" si="11"/>
        <v/>
      </c>
      <c r="AL44" s="306">
        <f t="shared" ca="1" si="12"/>
        <v>1</v>
      </c>
      <c r="AM44" s="306">
        <f t="shared" ca="1" si="13"/>
        <v>6</v>
      </c>
      <c r="AN44" s="306">
        <f t="shared" ca="1" si="14"/>
        <v>2</v>
      </c>
      <c r="AO44" s="306">
        <f t="shared" ca="1" si="15"/>
        <v>0</v>
      </c>
      <c r="AP44" s="306">
        <f t="shared" ca="1" si="16"/>
        <v>0</v>
      </c>
      <c r="AQ44" s="306">
        <f t="shared" ca="1" si="17"/>
        <v>0</v>
      </c>
      <c r="AR44" s="306">
        <f t="shared" ca="1" si="18"/>
        <v>0</v>
      </c>
      <c r="AS44" s="307"/>
      <c r="AT44" s="306">
        <f t="shared" si="19"/>
        <v>1</v>
      </c>
    </row>
    <row r="45" spans="1:46" ht="15.75" customHeight="1">
      <c r="A45" s="284"/>
      <c r="B45" s="285">
        <f t="shared" ca="1" si="0"/>
        <v>1</v>
      </c>
      <c r="C45" s="286">
        <f t="shared" ca="1" si="1"/>
        <v>6</v>
      </c>
      <c r="D45" s="286">
        <f t="shared" ca="1" si="2"/>
        <v>3</v>
      </c>
      <c r="E45" s="286" t="str">
        <f t="shared" ca="1" si="3"/>
        <v/>
      </c>
      <c r="F45" s="286" t="str">
        <f t="shared" ca="1" si="4"/>
        <v/>
      </c>
      <c r="G45" s="287" t="str">
        <f t="shared" ca="1" si="5"/>
        <v/>
      </c>
      <c r="H45" s="288" t="str">
        <f t="shared" ca="1" si="6"/>
        <v/>
      </c>
      <c r="I45" s="308"/>
      <c r="J45" s="320"/>
      <c r="K45" s="320" t="s">
        <v>63</v>
      </c>
      <c r="L45" s="320"/>
      <c r="M45" s="320"/>
      <c r="N45" s="320"/>
      <c r="O45" s="320"/>
      <c r="P45" s="320"/>
      <c r="Q45" s="321"/>
      <c r="R45" s="322" t="s">
        <v>181</v>
      </c>
      <c r="S45" s="331">
        <v>45832</v>
      </c>
      <c r="T45" s="325">
        <v>45833</v>
      </c>
      <c r="U45" s="330"/>
      <c r="V45" s="325"/>
      <c r="W45" s="326">
        <v>0</v>
      </c>
      <c r="X45" s="327"/>
      <c r="Y45" s="328"/>
      <c r="Z45" s="329"/>
      <c r="AA45" s="300"/>
      <c r="AB45" s="301"/>
      <c r="AC45" s="302"/>
      <c r="AD45" s="303"/>
      <c r="AE45" s="304"/>
      <c r="AF45" s="305"/>
      <c r="AG45" s="305">
        <f t="shared" ca="1" si="7"/>
        <v>0</v>
      </c>
      <c r="AH45" s="305">
        <f t="shared" ca="1" si="8"/>
        <v>0</v>
      </c>
      <c r="AI45" s="305">
        <f t="shared" si="9"/>
        <v>0</v>
      </c>
      <c r="AJ45" s="305">
        <f t="shared" ca="1" si="10"/>
        <v>0</v>
      </c>
      <c r="AK45" s="305" t="str">
        <f t="shared" ca="1" si="11"/>
        <v/>
      </c>
      <c r="AL45" s="306">
        <f t="shared" ca="1" si="12"/>
        <v>1</v>
      </c>
      <c r="AM45" s="306">
        <f t="shared" ca="1" si="13"/>
        <v>6</v>
      </c>
      <c r="AN45" s="306">
        <f t="shared" ca="1" si="14"/>
        <v>3</v>
      </c>
      <c r="AO45" s="306">
        <f t="shared" ca="1" si="15"/>
        <v>0</v>
      </c>
      <c r="AP45" s="306">
        <f t="shared" ca="1" si="16"/>
        <v>0</v>
      </c>
      <c r="AQ45" s="306">
        <f t="shared" ca="1" si="17"/>
        <v>0</v>
      </c>
      <c r="AR45" s="306">
        <f t="shared" ca="1" si="18"/>
        <v>0</v>
      </c>
      <c r="AS45" s="307"/>
      <c r="AT45" s="306">
        <f t="shared" si="19"/>
        <v>2</v>
      </c>
    </row>
    <row r="46" spans="1:46" ht="15.75" customHeight="1">
      <c r="A46" s="284"/>
      <c r="B46" s="285">
        <f t="shared" ca="1" si="0"/>
        <v>1</v>
      </c>
      <c r="C46" s="286">
        <f t="shared" ca="1" si="1"/>
        <v>6</v>
      </c>
      <c r="D46" s="286">
        <f t="shared" ca="1" si="2"/>
        <v>4</v>
      </c>
      <c r="E46" s="286" t="str">
        <f t="shared" ca="1" si="3"/>
        <v/>
      </c>
      <c r="F46" s="286" t="str">
        <f t="shared" ca="1" si="4"/>
        <v/>
      </c>
      <c r="G46" s="287" t="str">
        <f t="shared" ca="1" si="5"/>
        <v/>
      </c>
      <c r="H46" s="288" t="str">
        <f t="shared" ca="1" si="6"/>
        <v/>
      </c>
      <c r="I46" s="308"/>
      <c r="J46" s="320"/>
      <c r="K46" s="320" t="s">
        <v>64</v>
      </c>
      <c r="L46" s="320"/>
      <c r="M46" s="320"/>
      <c r="N46" s="320"/>
      <c r="O46" s="320"/>
      <c r="P46" s="320"/>
      <c r="Q46" s="321"/>
      <c r="R46" s="322" t="s">
        <v>180</v>
      </c>
      <c r="S46" s="331">
        <v>45834</v>
      </c>
      <c r="T46" s="325">
        <v>45834</v>
      </c>
      <c r="U46" s="330"/>
      <c r="V46" s="325"/>
      <c r="W46" s="326">
        <v>0</v>
      </c>
      <c r="X46" s="327"/>
      <c r="Y46" s="328"/>
      <c r="Z46" s="329"/>
      <c r="AA46" s="300"/>
      <c r="AB46" s="301"/>
      <c r="AC46" s="302"/>
      <c r="AD46" s="303"/>
      <c r="AE46" s="304"/>
      <c r="AF46" s="305"/>
      <c r="AG46" s="305">
        <f t="shared" ca="1" si="7"/>
        <v>0</v>
      </c>
      <c r="AH46" s="305">
        <f t="shared" ca="1" si="8"/>
        <v>0</v>
      </c>
      <c r="AI46" s="305">
        <f t="shared" si="9"/>
        <v>0</v>
      </c>
      <c r="AJ46" s="305">
        <f t="shared" ca="1" si="10"/>
        <v>0</v>
      </c>
      <c r="AK46" s="305" t="str">
        <f t="shared" ca="1" si="11"/>
        <v/>
      </c>
      <c r="AL46" s="306">
        <f t="shared" ca="1" si="12"/>
        <v>1</v>
      </c>
      <c r="AM46" s="306">
        <f t="shared" ca="1" si="13"/>
        <v>6</v>
      </c>
      <c r="AN46" s="306">
        <f t="shared" ca="1" si="14"/>
        <v>4</v>
      </c>
      <c r="AO46" s="306">
        <f t="shared" ca="1" si="15"/>
        <v>0</v>
      </c>
      <c r="AP46" s="306">
        <f t="shared" ca="1" si="16"/>
        <v>0</v>
      </c>
      <c r="AQ46" s="306">
        <f t="shared" ca="1" si="17"/>
        <v>0</v>
      </c>
      <c r="AR46" s="306">
        <f t="shared" ca="1" si="18"/>
        <v>0</v>
      </c>
      <c r="AS46" s="307"/>
      <c r="AT46" s="306">
        <f t="shared" si="19"/>
        <v>1</v>
      </c>
    </row>
    <row r="47" spans="1:46" ht="15.75" customHeight="1">
      <c r="A47" s="284"/>
      <c r="B47" s="285">
        <f t="shared" ca="1" si="0"/>
        <v>1</v>
      </c>
      <c r="C47" s="286">
        <f t="shared" ca="1" si="1"/>
        <v>6</v>
      </c>
      <c r="D47" s="286">
        <f t="shared" ca="1" si="2"/>
        <v>5</v>
      </c>
      <c r="E47" s="286" t="str">
        <f t="shared" ca="1" si="3"/>
        <v/>
      </c>
      <c r="F47" s="286" t="str">
        <f t="shared" ca="1" si="4"/>
        <v/>
      </c>
      <c r="G47" s="287" t="str">
        <f t="shared" ca="1" si="5"/>
        <v/>
      </c>
      <c r="H47" s="288" t="str">
        <f t="shared" ca="1" si="6"/>
        <v/>
      </c>
      <c r="I47" s="308"/>
      <c r="J47" s="320"/>
      <c r="K47" s="320" t="s">
        <v>65</v>
      </c>
      <c r="L47" s="320"/>
      <c r="M47" s="320"/>
      <c r="N47" s="320"/>
      <c r="O47" s="320"/>
      <c r="P47" s="320"/>
      <c r="Q47" s="321"/>
      <c r="R47" s="322" t="s">
        <v>181</v>
      </c>
      <c r="S47" s="331">
        <v>45835</v>
      </c>
      <c r="T47" s="325">
        <v>45835</v>
      </c>
      <c r="U47" s="330"/>
      <c r="V47" s="325"/>
      <c r="W47" s="326">
        <v>0</v>
      </c>
      <c r="X47" s="327"/>
      <c r="Y47" s="328"/>
      <c r="Z47" s="329"/>
      <c r="AA47" s="300"/>
      <c r="AB47" s="301"/>
      <c r="AC47" s="302"/>
      <c r="AD47" s="303"/>
      <c r="AE47" s="304"/>
      <c r="AF47" s="305"/>
      <c r="AG47" s="305">
        <f t="shared" ca="1" si="7"/>
        <v>0</v>
      </c>
      <c r="AH47" s="305">
        <f t="shared" ca="1" si="8"/>
        <v>0</v>
      </c>
      <c r="AI47" s="305">
        <f t="shared" si="9"/>
        <v>0</v>
      </c>
      <c r="AJ47" s="305">
        <f t="shared" ca="1" si="10"/>
        <v>0</v>
      </c>
      <c r="AK47" s="305" t="str">
        <f t="shared" ca="1" si="11"/>
        <v/>
      </c>
      <c r="AL47" s="306">
        <f t="shared" ca="1" si="12"/>
        <v>1</v>
      </c>
      <c r="AM47" s="306">
        <f t="shared" ca="1" si="13"/>
        <v>6</v>
      </c>
      <c r="AN47" s="306">
        <f t="shared" ca="1" si="14"/>
        <v>5</v>
      </c>
      <c r="AO47" s="306">
        <f t="shared" ca="1" si="15"/>
        <v>0</v>
      </c>
      <c r="AP47" s="306">
        <f t="shared" ca="1" si="16"/>
        <v>0</v>
      </c>
      <c r="AQ47" s="306">
        <f t="shared" ca="1" si="17"/>
        <v>0</v>
      </c>
      <c r="AR47" s="306">
        <f t="shared" ca="1" si="18"/>
        <v>0</v>
      </c>
      <c r="AS47" s="307"/>
      <c r="AT47" s="306">
        <f t="shared" si="19"/>
        <v>1</v>
      </c>
    </row>
    <row r="48" spans="1:46" ht="15.75" customHeight="1">
      <c r="A48" s="284"/>
      <c r="B48" s="285">
        <f t="shared" ca="1" si="0"/>
        <v>1</v>
      </c>
      <c r="C48" s="286">
        <f t="shared" ca="1" si="1"/>
        <v>6</v>
      </c>
      <c r="D48" s="286">
        <f t="shared" ca="1" si="2"/>
        <v>6</v>
      </c>
      <c r="E48" s="286" t="str">
        <f t="shared" ca="1" si="3"/>
        <v/>
      </c>
      <c r="F48" s="286" t="str">
        <f t="shared" ca="1" si="4"/>
        <v/>
      </c>
      <c r="G48" s="287" t="str">
        <f t="shared" ca="1" si="5"/>
        <v/>
      </c>
      <c r="H48" s="288" t="str">
        <f t="shared" ca="1" si="6"/>
        <v/>
      </c>
      <c r="I48" s="308"/>
      <c r="J48" s="320"/>
      <c r="K48" s="320" t="s">
        <v>66</v>
      </c>
      <c r="L48" s="320"/>
      <c r="M48" s="320"/>
      <c r="N48" s="320"/>
      <c r="O48" s="320"/>
      <c r="P48" s="320"/>
      <c r="Q48" s="321"/>
      <c r="R48" s="322" t="s">
        <v>180</v>
      </c>
      <c r="S48" s="331">
        <v>45838</v>
      </c>
      <c r="T48" s="325">
        <v>45838</v>
      </c>
      <c r="U48" s="330"/>
      <c r="V48" s="325"/>
      <c r="W48" s="326">
        <v>0</v>
      </c>
      <c r="X48" s="327"/>
      <c r="Y48" s="328"/>
      <c r="Z48" s="329"/>
      <c r="AA48" s="300"/>
      <c r="AB48" s="301"/>
      <c r="AC48" s="302"/>
      <c r="AD48" s="303"/>
      <c r="AE48" s="304"/>
      <c r="AF48" s="305"/>
      <c r="AG48" s="305">
        <f t="shared" ca="1" si="7"/>
        <v>0</v>
      </c>
      <c r="AH48" s="305">
        <f t="shared" ca="1" si="8"/>
        <v>0</v>
      </c>
      <c r="AI48" s="305">
        <f t="shared" si="9"/>
        <v>0</v>
      </c>
      <c r="AJ48" s="305">
        <f t="shared" ca="1" si="10"/>
        <v>0</v>
      </c>
      <c r="AK48" s="305" t="str">
        <f t="shared" ca="1" si="11"/>
        <v/>
      </c>
      <c r="AL48" s="306">
        <f t="shared" ca="1" si="12"/>
        <v>1</v>
      </c>
      <c r="AM48" s="306">
        <f t="shared" ca="1" si="13"/>
        <v>6</v>
      </c>
      <c r="AN48" s="306">
        <f t="shared" ca="1" si="14"/>
        <v>6</v>
      </c>
      <c r="AO48" s="306">
        <f t="shared" ca="1" si="15"/>
        <v>0</v>
      </c>
      <c r="AP48" s="306">
        <f t="shared" ca="1" si="16"/>
        <v>0</v>
      </c>
      <c r="AQ48" s="306">
        <f t="shared" ca="1" si="17"/>
        <v>0</v>
      </c>
      <c r="AR48" s="306">
        <f t="shared" ca="1" si="18"/>
        <v>0</v>
      </c>
      <c r="AS48" s="307"/>
      <c r="AT48" s="306">
        <f t="shared" si="19"/>
        <v>1</v>
      </c>
    </row>
    <row r="49" spans="1:46" ht="15.75" customHeight="1">
      <c r="A49" s="284"/>
      <c r="B49" s="285">
        <f t="shared" ca="1" si="0"/>
        <v>1</v>
      </c>
      <c r="C49" s="286">
        <f t="shared" ca="1" si="1"/>
        <v>7</v>
      </c>
      <c r="D49" s="286" t="str">
        <f t="shared" ca="1" si="2"/>
        <v/>
      </c>
      <c r="E49" s="286" t="str">
        <f t="shared" ca="1" si="3"/>
        <v/>
      </c>
      <c r="F49" s="286" t="str">
        <f t="shared" ca="1" si="4"/>
        <v/>
      </c>
      <c r="G49" s="287" t="str">
        <f t="shared" ca="1" si="5"/>
        <v/>
      </c>
      <c r="H49" s="288" t="str">
        <f t="shared" ca="1" si="6"/>
        <v/>
      </c>
      <c r="I49" s="308"/>
      <c r="J49" s="309" t="s">
        <v>184</v>
      </c>
      <c r="K49" s="310"/>
      <c r="L49" s="310"/>
      <c r="M49" s="310"/>
      <c r="N49" s="310"/>
      <c r="O49" s="310"/>
      <c r="P49" s="310"/>
      <c r="Q49" s="311" t="s">
        <v>58</v>
      </c>
      <c r="R49" s="312"/>
      <c r="S49" s="313"/>
      <c r="T49" s="314"/>
      <c r="U49" s="315"/>
      <c r="V49" s="314"/>
      <c r="W49" s="316"/>
      <c r="X49" s="317"/>
      <c r="Y49" s="318"/>
      <c r="Z49" s="319"/>
      <c r="AA49" s="300"/>
      <c r="AB49" s="301"/>
      <c r="AC49" s="302"/>
      <c r="AD49" s="303"/>
      <c r="AE49" s="304"/>
      <c r="AF49" s="305"/>
      <c r="AG49" s="305">
        <f t="shared" si="7"/>
        <v>0</v>
      </c>
      <c r="AH49" s="305">
        <f t="shared" si="8"/>
        <v>0</v>
      </c>
      <c r="AI49" s="305">
        <f t="shared" si="9"/>
        <v>0</v>
      </c>
      <c r="AJ49" s="305">
        <f t="shared" si="10"/>
        <v>0</v>
      </c>
      <c r="AK49" s="305" t="str">
        <f t="shared" si="11"/>
        <v/>
      </c>
      <c r="AL49" s="306">
        <f t="shared" ca="1" si="12"/>
        <v>1</v>
      </c>
      <c r="AM49" s="306">
        <f t="shared" ca="1" si="13"/>
        <v>7</v>
      </c>
      <c r="AN49" s="306">
        <f t="shared" ca="1" si="14"/>
        <v>0</v>
      </c>
      <c r="AO49" s="306">
        <f t="shared" ca="1" si="15"/>
        <v>0</v>
      </c>
      <c r="AP49" s="306">
        <f t="shared" ca="1" si="16"/>
        <v>0</v>
      </c>
      <c r="AQ49" s="306">
        <f t="shared" ca="1" si="17"/>
        <v>0</v>
      </c>
      <c r="AR49" s="306">
        <f t="shared" ca="1" si="18"/>
        <v>0</v>
      </c>
      <c r="AS49" s="307"/>
      <c r="AT49" s="306">
        <f t="shared" si="19"/>
        <v>1</v>
      </c>
    </row>
    <row r="50" spans="1:46" ht="15.75" customHeight="1">
      <c r="A50" s="284"/>
      <c r="B50" s="285">
        <f t="shared" ca="1" si="0"/>
        <v>1</v>
      </c>
      <c r="C50" s="286">
        <f t="shared" ca="1" si="1"/>
        <v>7</v>
      </c>
      <c r="D50" s="286">
        <f t="shared" ca="1" si="2"/>
        <v>1</v>
      </c>
      <c r="E50" s="286" t="str">
        <f t="shared" ca="1" si="3"/>
        <v/>
      </c>
      <c r="F50" s="286" t="str">
        <f t="shared" ca="1" si="4"/>
        <v/>
      </c>
      <c r="G50" s="287" t="str">
        <f t="shared" ca="1" si="5"/>
        <v/>
      </c>
      <c r="H50" s="288" t="str">
        <f t="shared" ca="1" si="6"/>
        <v/>
      </c>
      <c r="I50" s="308"/>
      <c r="J50" s="320"/>
      <c r="K50" s="320" t="s">
        <v>59</v>
      </c>
      <c r="L50" s="320"/>
      <c r="M50" s="320"/>
      <c r="N50" s="320"/>
      <c r="O50" s="320"/>
      <c r="P50" s="320"/>
      <c r="Q50" s="321"/>
      <c r="R50" s="322" t="s">
        <v>181</v>
      </c>
      <c r="S50" s="330">
        <v>45839</v>
      </c>
      <c r="T50" s="325">
        <v>45860</v>
      </c>
      <c r="U50" s="330"/>
      <c r="V50" s="325"/>
      <c r="W50" s="326">
        <v>0</v>
      </c>
      <c r="X50" s="327"/>
      <c r="Y50" s="328"/>
      <c r="Z50" s="329"/>
      <c r="AA50" s="300"/>
      <c r="AB50" s="301"/>
      <c r="AC50" s="302"/>
      <c r="AD50" s="303"/>
      <c r="AE50" s="304"/>
      <c r="AF50" s="305"/>
      <c r="AG50" s="305">
        <f t="shared" ca="1" si="7"/>
        <v>0</v>
      </c>
      <c r="AH50" s="305">
        <f t="shared" ca="1" si="8"/>
        <v>0</v>
      </c>
      <c r="AI50" s="305">
        <f t="shared" si="9"/>
        <v>0</v>
      </c>
      <c r="AJ50" s="305">
        <f t="shared" ca="1" si="10"/>
        <v>0</v>
      </c>
      <c r="AK50" s="305" t="str">
        <f t="shared" ca="1" si="11"/>
        <v/>
      </c>
      <c r="AL50" s="306">
        <f t="shared" ca="1" si="12"/>
        <v>1</v>
      </c>
      <c r="AM50" s="306">
        <f t="shared" ca="1" si="13"/>
        <v>7</v>
      </c>
      <c r="AN50" s="306">
        <f t="shared" ca="1" si="14"/>
        <v>1</v>
      </c>
      <c r="AO50" s="306">
        <f t="shared" ca="1" si="15"/>
        <v>0</v>
      </c>
      <c r="AP50" s="306">
        <f t="shared" ca="1" si="16"/>
        <v>0</v>
      </c>
      <c r="AQ50" s="306">
        <f t="shared" ca="1" si="17"/>
        <v>0</v>
      </c>
      <c r="AR50" s="306">
        <f t="shared" ca="1" si="18"/>
        <v>0</v>
      </c>
      <c r="AS50" s="307"/>
      <c r="AT50" s="306">
        <f t="shared" si="19"/>
        <v>22</v>
      </c>
    </row>
    <row r="51" spans="1:46" ht="15.75" customHeight="1">
      <c r="A51" s="284"/>
      <c r="B51" s="285">
        <f t="shared" ca="1" si="0"/>
        <v>1</v>
      </c>
      <c r="C51" s="286">
        <f t="shared" ca="1" si="1"/>
        <v>7</v>
      </c>
      <c r="D51" s="286">
        <f t="shared" ca="1" si="2"/>
        <v>2</v>
      </c>
      <c r="E51" s="286" t="str">
        <f t="shared" ca="1" si="3"/>
        <v/>
      </c>
      <c r="F51" s="286" t="str">
        <f t="shared" ca="1" si="4"/>
        <v/>
      </c>
      <c r="G51" s="287" t="str">
        <f t="shared" ca="1" si="5"/>
        <v/>
      </c>
      <c r="H51" s="288" t="str">
        <f t="shared" ca="1" si="6"/>
        <v/>
      </c>
      <c r="I51" s="308"/>
      <c r="J51" s="320"/>
      <c r="K51" s="320" t="s">
        <v>145</v>
      </c>
      <c r="L51" s="320"/>
      <c r="M51" s="320"/>
      <c r="N51" s="320"/>
      <c r="O51" s="320"/>
      <c r="P51" s="320"/>
      <c r="Q51" s="321"/>
      <c r="R51" s="322" t="s">
        <v>185</v>
      </c>
      <c r="S51" s="330">
        <v>45861</v>
      </c>
      <c r="T51" s="325">
        <v>45861</v>
      </c>
      <c r="U51" s="330"/>
      <c r="V51" s="325"/>
      <c r="W51" s="326">
        <v>0</v>
      </c>
      <c r="X51" s="327"/>
      <c r="Y51" s="328"/>
      <c r="Z51" s="329"/>
      <c r="AA51" s="300"/>
      <c r="AB51" s="301"/>
      <c r="AC51" s="302"/>
      <c r="AD51" s="303"/>
      <c r="AE51" s="304"/>
      <c r="AF51" s="305"/>
      <c r="AG51" s="305">
        <f t="shared" ca="1" si="7"/>
        <v>0</v>
      </c>
      <c r="AH51" s="305">
        <f t="shared" ca="1" si="8"/>
        <v>0</v>
      </c>
      <c r="AI51" s="305">
        <f t="shared" si="9"/>
        <v>0</v>
      </c>
      <c r="AJ51" s="305">
        <f t="shared" ca="1" si="10"/>
        <v>0</v>
      </c>
      <c r="AK51" s="305" t="str">
        <f t="shared" ca="1" si="11"/>
        <v/>
      </c>
      <c r="AL51" s="306">
        <f t="shared" ca="1" si="12"/>
        <v>1</v>
      </c>
      <c r="AM51" s="306">
        <f t="shared" ca="1" si="13"/>
        <v>7</v>
      </c>
      <c r="AN51" s="306">
        <f t="shared" ca="1" si="14"/>
        <v>2</v>
      </c>
      <c r="AO51" s="306">
        <f t="shared" ca="1" si="15"/>
        <v>0</v>
      </c>
      <c r="AP51" s="306">
        <f t="shared" ca="1" si="16"/>
        <v>0</v>
      </c>
      <c r="AQ51" s="306">
        <f t="shared" ca="1" si="17"/>
        <v>0</v>
      </c>
      <c r="AR51" s="306">
        <f t="shared" ca="1" si="18"/>
        <v>0</v>
      </c>
      <c r="AS51" s="307"/>
      <c r="AT51" s="306">
        <f t="shared" si="19"/>
        <v>1</v>
      </c>
    </row>
    <row r="52" spans="1:46" ht="15.75" customHeight="1">
      <c r="A52" s="284"/>
      <c r="B52" s="285">
        <f t="shared" ca="1" si="0"/>
        <v>1</v>
      </c>
      <c r="C52" s="286">
        <f t="shared" ca="1" si="1"/>
        <v>7</v>
      </c>
      <c r="D52" s="286">
        <f t="shared" ca="1" si="2"/>
        <v>3</v>
      </c>
      <c r="E52" s="286" t="str">
        <f t="shared" ca="1" si="3"/>
        <v/>
      </c>
      <c r="F52" s="286" t="str">
        <f t="shared" ca="1" si="4"/>
        <v/>
      </c>
      <c r="G52" s="287" t="str">
        <f t="shared" ca="1" si="5"/>
        <v/>
      </c>
      <c r="H52" s="288" t="str">
        <f t="shared" ca="1" si="6"/>
        <v/>
      </c>
      <c r="I52" s="308"/>
      <c r="J52" s="320"/>
      <c r="K52" s="320" t="s">
        <v>63</v>
      </c>
      <c r="L52" s="320"/>
      <c r="M52" s="320"/>
      <c r="N52" s="320"/>
      <c r="O52" s="320"/>
      <c r="P52" s="320"/>
      <c r="Q52" s="321"/>
      <c r="R52" s="322" t="s">
        <v>181</v>
      </c>
      <c r="S52" s="330">
        <v>45862</v>
      </c>
      <c r="T52" s="325">
        <v>45866</v>
      </c>
      <c r="U52" s="330"/>
      <c r="V52" s="325"/>
      <c r="W52" s="326">
        <v>0</v>
      </c>
      <c r="X52" s="327"/>
      <c r="Y52" s="328"/>
      <c r="Z52" s="329"/>
      <c r="AA52" s="300"/>
      <c r="AB52" s="301"/>
      <c r="AC52" s="302"/>
      <c r="AD52" s="303"/>
      <c r="AE52" s="304"/>
      <c r="AF52" s="305"/>
      <c r="AG52" s="305">
        <f t="shared" ca="1" si="7"/>
        <v>0</v>
      </c>
      <c r="AH52" s="305">
        <f t="shared" ca="1" si="8"/>
        <v>0</v>
      </c>
      <c r="AI52" s="305">
        <f t="shared" si="9"/>
        <v>0</v>
      </c>
      <c r="AJ52" s="305">
        <f t="shared" ca="1" si="10"/>
        <v>0</v>
      </c>
      <c r="AK52" s="305" t="str">
        <f t="shared" ca="1" si="11"/>
        <v/>
      </c>
      <c r="AL52" s="306">
        <f t="shared" ca="1" si="12"/>
        <v>1</v>
      </c>
      <c r="AM52" s="306">
        <f t="shared" ca="1" si="13"/>
        <v>7</v>
      </c>
      <c r="AN52" s="306">
        <f t="shared" ca="1" si="14"/>
        <v>3</v>
      </c>
      <c r="AO52" s="306">
        <f t="shared" ca="1" si="15"/>
        <v>0</v>
      </c>
      <c r="AP52" s="306">
        <f t="shared" ca="1" si="16"/>
        <v>0</v>
      </c>
      <c r="AQ52" s="306">
        <f t="shared" ca="1" si="17"/>
        <v>0</v>
      </c>
      <c r="AR52" s="306">
        <f t="shared" ca="1" si="18"/>
        <v>0</v>
      </c>
      <c r="AS52" s="307"/>
      <c r="AT52" s="306">
        <f t="shared" si="19"/>
        <v>5</v>
      </c>
    </row>
    <row r="53" spans="1:46" ht="15.75" customHeight="1">
      <c r="A53" s="284"/>
      <c r="B53" s="285">
        <f t="shared" ca="1" si="0"/>
        <v>1</v>
      </c>
      <c r="C53" s="286">
        <f t="shared" ca="1" si="1"/>
        <v>7</v>
      </c>
      <c r="D53" s="286">
        <f t="shared" ca="1" si="2"/>
        <v>4</v>
      </c>
      <c r="E53" s="286" t="str">
        <f t="shared" ca="1" si="3"/>
        <v/>
      </c>
      <c r="F53" s="286" t="str">
        <f t="shared" ca="1" si="4"/>
        <v/>
      </c>
      <c r="G53" s="287" t="str">
        <f t="shared" ca="1" si="5"/>
        <v/>
      </c>
      <c r="H53" s="288" t="str">
        <f t="shared" ca="1" si="6"/>
        <v/>
      </c>
      <c r="I53" s="308"/>
      <c r="J53" s="320"/>
      <c r="K53" s="320" t="s">
        <v>64</v>
      </c>
      <c r="L53" s="320"/>
      <c r="M53" s="320"/>
      <c r="N53" s="320"/>
      <c r="O53" s="320"/>
      <c r="P53" s="320"/>
      <c r="Q53" s="321"/>
      <c r="R53" s="322" t="s">
        <v>185</v>
      </c>
      <c r="S53" s="330">
        <v>45867</v>
      </c>
      <c r="T53" s="325">
        <v>45867</v>
      </c>
      <c r="U53" s="330"/>
      <c r="V53" s="325"/>
      <c r="W53" s="326">
        <v>0</v>
      </c>
      <c r="X53" s="327"/>
      <c r="Y53" s="328"/>
      <c r="Z53" s="329"/>
      <c r="AA53" s="300"/>
      <c r="AB53" s="301"/>
      <c r="AC53" s="302"/>
      <c r="AD53" s="303"/>
      <c r="AE53" s="304"/>
      <c r="AF53" s="305"/>
      <c r="AG53" s="305">
        <f t="shared" ca="1" si="7"/>
        <v>0</v>
      </c>
      <c r="AH53" s="305">
        <f t="shared" ca="1" si="8"/>
        <v>0</v>
      </c>
      <c r="AI53" s="305">
        <f t="shared" si="9"/>
        <v>0</v>
      </c>
      <c r="AJ53" s="305">
        <f t="shared" ca="1" si="10"/>
        <v>0</v>
      </c>
      <c r="AK53" s="305" t="str">
        <f t="shared" ca="1" si="11"/>
        <v/>
      </c>
      <c r="AL53" s="306">
        <f t="shared" ca="1" si="12"/>
        <v>1</v>
      </c>
      <c r="AM53" s="306">
        <f t="shared" ca="1" si="13"/>
        <v>7</v>
      </c>
      <c r="AN53" s="306">
        <f t="shared" ca="1" si="14"/>
        <v>4</v>
      </c>
      <c r="AO53" s="306">
        <f t="shared" ca="1" si="15"/>
        <v>0</v>
      </c>
      <c r="AP53" s="306">
        <f t="shared" ca="1" si="16"/>
        <v>0</v>
      </c>
      <c r="AQ53" s="306">
        <f t="shared" ca="1" si="17"/>
        <v>0</v>
      </c>
      <c r="AR53" s="306">
        <f t="shared" ca="1" si="18"/>
        <v>0</v>
      </c>
      <c r="AS53" s="307"/>
      <c r="AT53" s="306">
        <f t="shared" si="19"/>
        <v>1</v>
      </c>
    </row>
    <row r="54" spans="1:46" ht="15.75" customHeight="1">
      <c r="A54" s="284"/>
      <c r="B54" s="285">
        <f t="shared" ca="1" si="0"/>
        <v>1</v>
      </c>
      <c r="C54" s="286">
        <f t="shared" ca="1" si="1"/>
        <v>7</v>
      </c>
      <c r="D54" s="286">
        <f t="shared" ca="1" si="2"/>
        <v>5</v>
      </c>
      <c r="E54" s="286" t="str">
        <f t="shared" ca="1" si="3"/>
        <v/>
      </c>
      <c r="F54" s="286" t="str">
        <f t="shared" ca="1" si="4"/>
        <v/>
      </c>
      <c r="G54" s="287" t="str">
        <f t="shared" ca="1" si="5"/>
        <v/>
      </c>
      <c r="H54" s="288" t="str">
        <f t="shared" ca="1" si="6"/>
        <v/>
      </c>
      <c r="I54" s="308"/>
      <c r="J54" s="320"/>
      <c r="K54" s="320" t="s">
        <v>65</v>
      </c>
      <c r="L54" s="320"/>
      <c r="M54" s="320"/>
      <c r="N54" s="320"/>
      <c r="O54" s="320"/>
      <c r="P54" s="320"/>
      <c r="Q54" s="321"/>
      <c r="R54" s="322" t="s">
        <v>181</v>
      </c>
      <c r="S54" s="330">
        <v>45868</v>
      </c>
      <c r="T54" s="325">
        <v>45874</v>
      </c>
      <c r="U54" s="330"/>
      <c r="V54" s="325"/>
      <c r="W54" s="326">
        <v>0</v>
      </c>
      <c r="X54" s="327"/>
      <c r="Y54" s="328"/>
      <c r="Z54" s="329"/>
      <c r="AA54" s="300"/>
      <c r="AB54" s="301"/>
      <c r="AC54" s="302"/>
      <c r="AD54" s="303"/>
      <c r="AE54" s="304"/>
      <c r="AF54" s="305"/>
      <c r="AG54" s="305">
        <f t="shared" ca="1" si="7"/>
        <v>0</v>
      </c>
      <c r="AH54" s="305">
        <f t="shared" ca="1" si="8"/>
        <v>0</v>
      </c>
      <c r="AI54" s="305">
        <f t="shared" si="9"/>
        <v>0</v>
      </c>
      <c r="AJ54" s="305">
        <f t="shared" ca="1" si="10"/>
        <v>0</v>
      </c>
      <c r="AK54" s="305" t="str">
        <f t="shared" ca="1" si="11"/>
        <v/>
      </c>
      <c r="AL54" s="306">
        <f t="shared" ca="1" si="12"/>
        <v>1</v>
      </c>
      <c r="AM54" s="306">
        <f t="shared" ca="1" si="13"/>
        <v>7</v>
      </c>
      <c r="AN54" s="306">
        <f t="shared" ca="1" si="14"/>
        <v>5</v>
      </c>
      <c r="AO54" s="306">
        <f t="shared" ca="1" si="15"/>
        <v>0</v>
      </c>
      <c r="AP54" s="306">
        <f t="shared" ca="1" si="16"/>
        <v>0</v>
      </c>
      <c r="AQ54" s="306">
        <f t="shared" ca="1" si="17"/>
        <v>0</v>
      </c>
      <c r="AR54" s="306">
        <f t="shared" ca="1" si="18"/>
        <v>0</v>
      </c>
      <c r="AS54" s="307"/>
      <c r="AT54" s="306">
        <f t="shared" si="19"/>
        <v>7</v>
      </c>
    </row>
    <row r="55" spans="1:46" ht="15.75" customHeight="1">
      <c r="A55" s="284"/>
      <c r="B55" s="285">
        <f t="shared" ca="1" si="0"/>
        <v>1</v>
      </c>
      <c r="C55" s="286">
        <f t="shared" ca="1" si="1"/>
        <v>7</v>
      </c>
      <c r="D55" s="286">
        <f t="shared" ca="1" si="2"/>
        <v>6</v>
      </c>
      <c r="E55" s="286" t="str">
        <f t="shared" ca="1" si="3"/>
        <v/>
      </c>
      <c r="F55" s="286" t="str">
        <f t="shared" ca="1" si="4"/>
        <v/>
      </c>
      <c r="G55" s="287" t="str">
        <f t="shared" ca="1" si="5"/>
        <v/>
      </c>
      <c r="H55" s="288" t="str">
        <f t="shared" ca="1" si="6"/>
        <v/>
      </c>
      <c r="I55" s="308"/>
      <c r="J55" s="320"/>
      <c r="K55" s="320" t="s">
        <v>66</v>
      </c>
      <c r="L55" s="320"/>
      <c r="M55" s="320"/>
      <c r="N55" s="320"/>
      <c r="O55" s="320"/>
      <c r="P55" s="320"/>
      <c r="Q55" s="321"/>
      <c r="R55" s="322" t="s">
        <v>185</v>
      </c>
      <c r="S55" s="330">
        <v>45875</v>
      </c>
      <c r="T55" s="325">
        <v>45875</v>
      </c>
      <c r="U55" s="330"/>
      <c r="V55" s="325"/>
      <c r="W55" s="326">
        <v>0</v>
      </c>
      <c r="X55" s="327"/>
      <c r="Y55" s="328"/>
      <c r="Z55" s="329"/>
      <c r="AA55" s="300"/>
      <c r="AB55" s="301"/>
      <c r="AC55" s="302"/>
      <c r="AD55" s="303"/>
      <c r="AE55" s="304"/>
      <c r="AF55" s="305"/>
      <c r="AG55" s="305">
        <f t="shared" ca="1" si="7"/>
        <v>0</v>
      </c>
      <c r="AH55" s="305">
        <f t="shared" ca="1" si="8"/>
        <v>0</v>
      </c>
      <c r="AI55" s="305">
        <f t="shared" si="9"/>
        <v>0</v>
      </c>
      <c r="AJ55" s="305">
        <f t="shared" ca="1" si="10"/>
        <v>0</v>
      </c>
      <c r="AK55" s="305" t="str">
        <f t="shared" ca="1" si="11"/>
        <v/>
      </c>
      <c r="AL55" s="306">
        <f t="shared" ca="1" si="12"/>
        <v>1</v>
      </c>
      <c r="AM55" s="306">
        <f t="shared" ca="1" si="13"/>
        <v>7</v>
      </c>
      <c r="AN55" s="306">
        <f t="shared" ca="1" si="14"/>
        <v>6</v>
      </c>
      <c r="AO55" s="306">
        <f t="shared" ca="1" si="15"/>
        <v>0</v>
      </c>
      <c r="AP55" s="306">
        <f t="shared" ca="1" si="16"/>
        <v>0</v>
      </c>
      <c r="AQ55" s="306">
        <f t="shared" ca="1" si="17"/>
        <v>0</v>
      </c>
      <c r="AR55" s="306">
        <f t="shared" ca="1" si="18"/>
        <v>0</v>
      </c>
      <c r="AS55" s="307"/>
      <c r="AT55" s="306">
        <f t="shared" si="19"/>
        <v>1</v>
      </c>
    </row>
    <row r="56" spans="1:46" ht="15.75" customHeight="1">
      <c r="A56" s="284"/>
      <c r="B56" s="285">
        <f t="shared" ca="1" si="0"/>
        <v>1</v>
      </c>
      <c r="C56" s="286">
        <f t="shared" ca="1" si="1"/>
        <v>8</v>
      </c>
      <c r="D56" s="286" t="str">
        <f t="shared" ca="1" si="2"/>
        <v/>
      </c>
      <c r="E56" s="286" t="str">
        <f t="shared" ca="1" si="3"/>
        <v/>
      </c>
      <c r="F56" s="286" t="str">
        <f t="shared" ca="1" si="4"/>
        <v/>
      </c>
      <c r="G56" s="287" t="str">
        <f t="shared" ca="1" si="5"/>
        <v/>
      </c>
      <c r="H56" s="288" t="str">
        <f t="shared" ca="1" si="6"/>
        <v/>
      </c>
      <c r="I56" s="308"/>
      <c r="J56" s="309" t="s">
        <v>186</v>
      </c>
      <c r="K56" s="310"/>
      <c r="L56" s="310"/>
      <c r="M56" s="310"/>
      <c r="N56" s="310"/>
      <c r="O56" s="310"/>
      <c r="P56" s="310"/>
      <c r="Q56" s="311" t="s">
        <v>73</v>
      </c>
      <c r="R56" s="312"/>
      <c r="S56" s="313"/>
      <c r="T56" s="314"/>
      <c r="U56" s="315"/>
      <c r="V56" s="314"/>
      <c r="W56" s="316"/>
      <c r="X56" s="317"/>
      <c r="Y56" s="318"/>
      <c r="Z56" s="319"/>
      <c r="AA56" s="300"/>
      <c r="AB56" s="301"/>
      <c r="AC56" s="302"/>
      <c r="AD56" s="303"/>
      <c r="AE56" s="304"/>
      <c r="AF56" s="305"/>
      <c r="AG56" s="305">
        <f t="shared" si="7"/>
        <v>0</v>
      </c>
      <c r="AH56" s="305">
        <f t="shared" si="8"/>
        <v>0</v>
      </c>
      <c r="AI56" s="305">
        <f t="shared" si="9"/>
        <v>0</v>
      </c>
      <c r="AJ56" s="305">
        <f t="shared" si="10"/>
        <v>0</v>
      </c>
      <c r="AK56" s="305" t="str">
        <f t="shared" si="11"/>
        <v/>
      </c>
      <c r="AL56" s="306">
        <f t="shared" ca="1" si="12"/>
        <v>1</v>
      </c>
      <c r="AM56" s="306">
        <f t="shared" ca="1" si="13"/>
        <v>8</v>
      </c>
      <c r="AN56" s="306">
        <f t="shared" ca="1" si="14"/>
        <v>0</v>
      </c>
      <c r="AO56" s="306">
        <f t="shared" ca="1" si="15"/>
        <v>0</v>
      </c>
      <c r="AP56" s="306">
        <f t="shared" ca="1" si="16"/>
        <v>0</v>
      </c>
      <c r="AQ56" s="306">
        <f t="shared" ca="1" si="17"/>
        <v>0</v>
      </c>
      <c r="AR56" s="306">
        <f t="shared" ca="1" si="18"/>
        <v>0</v>
      </c>
      <c r="AS56" s="307"/>
      <c r="AT56" s="306">
        <f t="shared" si="19"/>
        <v>1</v>
      </c>
    </row>
    <row r="57" spans="1:46" ht="15.75" customHeight="1">
      <c r="A57" s="284"/>
      <c r="B57" s="285">
        <f t="shared" ca="1" si="0"/>
        <v>1</v>
      </c>
      <c r="C57" s="286">
        <f t="shared" ca="1" si="1"/>
        <v>8</v>
      </c>
      <c r="D57" s="286">
        <f t="shared" ca="1" si="2"/>
        <v>1</v>
      </c>
      <c r="E57" s="286" t="str">
        <f t="shared" ca="1" si="3"/>
        <v/>
      </c>
      <c r="F57" s="286" t="str">
        <f t="shared" ca="1" si="4"/>
        <v/>
      </c>
      <c r="G57" s="287" t="str">
        <f t="shared" ca="1" si="5"/>
        <v/>
      </c>
      <c r="H57" s="288" t="str">
        <f t="shared" ca="1" si="6"/>
        <v/>
      </c>
      <c r="I57" s="308"/>
      <c r="J57" s="320"/>
      <c r="K57" s="320" t="s">
        <v>59</v>
      </c>
      <c r="L57" s="320"/>
      <c r="M57" s="320"/>
      <c r="N57" s="320"/>
      <c r="O57" s="320"/>
      <c r="P57" s="320"/>
      <c r="Q57" s="321"/>
      <c r="R57" s="332" t="s">
        <v>185</v>
      </c>
      <c r="S57" s="331">
        <v>45819</v>
      </c>
      <c r="T57" s="325">
        <v>45825</v>
      </c>
      <c r="U57" s="330">
        <v>45818</v>
      </c>
      <c r="V57" s="325"/>
      <c r="W57" s="326">
        <v>0.6</v>
      </c>
      <c r="X57" s="327">
        <v>0.6</v>
      </c>
      <c r="Y57" s="328"/>
      <c r="Z57" s="329"/>
      <c r="AA57" s="300"/>
      <c r="AB57" s="301"/>
      <c r="AC57" s="302"/>
      <c r="AD57" s="303"/>
      <c r="AE57" s="304"/>
      <c r="AF57" s="305"/>
      <c r="AG57" s="305">
        <f t="shared" ca="1" si="7"/>
        <v>0</v>
      </c>
      <c r="AH57" s="305">
        <f t="shared" ca="1" si="8"/>
        <v>0</v>
      </c>
      <c r="AI57" s="305">
        <f t="shared" si="9"/>
        <v>0</v>
      </c>
      <c r="AJ57" s="305">
        <f t="shared" ca="1" si="10"/>
        <v>0</v>
      </c>
      <c r="AK57" s="305" t="str">
        <f t="shared" ca="1" si="11"/>
        <v/>
      </c>
      <c r="AL57" s="306">
        <f t="shared" ca="1" si="12"/>
        <v>1</v>
      </c>
      <c r="AM57" s="306">
        <f t="shared" ca="1" si="13"/>
        <v>8</v>
      </c>
      <c r="AN57" s="306">
        <f t="shared" ca="1" si="14"/>
        <v>1</v>
      </c>
      <c r="AO57" s="306">
        <f t="shared" ca="1" si="15"/>
        <v>0</v>
      </c>
      <c r="AP57" s="306">
        <f t="shared" ca="1" si="16"/>
        <v>0</v>
      </c>
      <c r="AQ57" s="306">
        <f t="shared" ca="1" si="17"/>
        <v>0</v>
      </c>
      <c r="AR57" s="306">
        <f t="shared" ca="1" si="18"/>
        <v>0</v>
      </c>
      <c r="AS57" s="307"/>
      <c r="AT57" s="306">
        <f t="shared" si="19"/>
        <v>7</v>
      </c>
    </row>
    <row r="58" spans="1:46" ht="15.75" customHeight="1">
      <c r="A58" s="284"/>
      <c r="B58" s="285">
        <f t="shared" ca="1" si="0"/>
        <v>1</v>
      </c>
      <c r="C58" s="286">
        <f t="shared" ca="1" si="1"/>
        <v>8</v>
      </c>
      <c r="D58" s="286">
        <f t="shared" ca="1" si="2"/>
        <v>2</v>
      </c>
      <c r="E58" s="286" t="str">
        <f t="shared" ca="1" si="3"/>
        <v/>
      </c>
      <c r="F58" s="286" t="str">
        <f t="shared" ca="1" si="4"/>
        <v/>
      </c>
      <c r="G58" s="287" t="str">
        <f t="shared" ca="1" si="5"/>
        <v/>
      </c>
      <c r="H58" s="288" t="str">
        <f t="shared" ca="1" si="6"/>
        <v/>
      </c>
      <c r="I58" s="308"/>
      <c r="J58" s="320"/>
      <c r="K58" s="320" t="s">
        <v>66</v>
      </c>
      <c r="L58" s="320"/>
      <c r="M58" s="320"/>
      <c r="N58" s="320"/>
      <c r="O58" s="320"/>
      <c r="P58" s="320"/>
      <c r="Q58" s="321"/>
      <c r="R58" s="322" t="s">
        <v>187</v>
      </c>
      <c r="S58" s="331">
        <v>45826</v>
      </c>
      <c r="T58" s="331">
        <v>45826</v>
      </c>
      <c r="U58" s="330"/>
      <c r="V58" s="325"/>
      <c r="W58" s="326">
        <v>0</v>
      </c>
      <c r="X58" s="327"/>
      <c r="Y58" s="328"/>
      <c r="Z58" s="329"/>
      <c r="AA58" s="300"/>
      <c r="AB58" s="301"/>
      <c r="AC58" s="302"/>
      <c r="AD58" s="303"/>
      <c r="AE58" s="304"/>
      <c r="AF58" s="305"/>
      <c r="AG58" s="305">
        <f t="shared" ca="1" si="7"/>
        <v>0</v>
      </c>
      <c r="AH58" s="305">
        <f t="shared" ca="1" si="8"/>
        <v>0</v>
      </c>
      <c r="AI58" s="305">
        <f t="shared" si="9"/>
        <v>0</v>
      </c>
      <c r="AJ58" s="305">
        <f t="shared" ca="1" si="10"/>
        <v>0</v>
      </c>
      <c r="AK58" s="305" t="str">
        <f t="shared" ca="1" si="11"/>
        <v/>
      </c>
      <c r="AL58" s="306">
        <f t="shared" ca="1" si="12"/>
        <v>1</v>
      </c>
      <c r="AM58" s="306">
        <f t="shared" ca="1" si="13"/>
        <v>8</v>
      </c>
      <c r="AN58" s="306">
        <f t="shared" ca="1" si="14"/>
        <v>2</v>
      </c>
      <c r="AO58" s="306">
        <f t="shared" ca="1" si="15"/>
        <v>0</v>
      </c>
      <c r="AP58" s="306">
        <f t="shared" ca="1" si="16"/>
        <v>0</v>
      </c>
      <c r="AQ58" s="306">
        <f t="shared" ca="1" si="17"/>
        <v>0</v>
      </c>
      <c r="AR58" s="306">
        <f t="shared" ca="1" si="18"/>
        <v>0</v>
      </c>
      <c r="AS58" s="307"/>
      <c r="AT58" s="306">
        <f t="shared" si="19"/>
        <v>1</v>
      </c>
    </row>
    <row r="59" spans="1:46" ht="15.75" customHeight="1">
      <c r="A59" s="284"/>
      <c r="B59" s="285">
        <f t="shared" ca="1" si="0"/>
        <v>1</v>
      </c>
      <c r="C59" s="286">
        <f t="shared" ca="1" si="1"/>
        <v>8</v>
      </c>
      <c r="D59" s="286">
        <f t="shared" ca="1" si="2"/>
        <v>3</v>
      </c>
      <c r="E59" s="286" t="str">
        <f t="shared" ca="1" si="3"/>
        <v/>
      </c>
      <c r="F59" s="286" t="str">
        <f t="shared" ca="1" si="4"/>
        <v/>
      </c>
      <c r="G59" s="287" t="str">
        <f t="shared" ca="1" si="5"/>
        <v/>
      </c>
      <c r="H59" s="288" t="str">
        <f t="shared" ca="1" si="6"/>
        <v/>
      </c>
      <c r="I59" s="308"/>
      <c r="J59" s="320"/>
      <c r="K59" s="320" t="s">
        <v>63</v>
      </c>
      <c r="L59" s="320"/>
      <c r="M59" s="320"/>
      <c r="N59" s="320"/>
      <c r="O59" s="320"/>
      <c r="P59" s="320"/>
      <c r="Q59" s="321"/>
      <c r="R59" s="322" t="s">
        <v>185</v>
      </c>
      <c r="S59" s="331">
        <v>45831</v>
      </c>
      <c r="T59" s="325">
        <v>45831</v>
      </c>
      <c r="U59" s="330"/>
      <c r="V59" s="325"/>
      <c r="W59" s="326">
        <v>0</v>
      </c>
      <c r="X59" s="327"/>
      <c r="Y59" s="328"/>
      <c r="Z59" s="329"/>
      <c r="AA59" s="300"/>
      <c r="AB59" s="301"/>
      <c r="AC59" s="302"/>
      <c r="AD59" s="303"/>
      <c r="AE59" s="304"/>
      <c r="AF59" s="305"/>
      <c r="AG59" s="305">
        <f t="shared" ca="1" si="7"/>
        <v>0</v>
      </c>
      <c r="AH59" s="305">
        <f t="shared" ca="1" si="8"/>
        <v>0</v>
      </c>
      <c r="AI59" s="305">
        <f t="shared" si="9"/>
        <v>0</v>
      </c>
      <c r="AJ59" s="305">
        <f t="shared" ca="1" si="10"/>
        <v>0</v>
      </c>
      <c r="AK59" s="305" t="str">
        <f t="shared" ca="1" si="11"/>
        <v/>
      </c>
      <c r="AL59" s="306">
        <f t="shared" ca="1" si="12"/>
        <v>1</v>
      </c>
      <c r="AM59" s="306">
        <f t="shared" ca="1" si="13"/>
        <v>8</v>
      </c>
      <c r="AN59" s="306">
        <f t="shared" ca="1" si="14"/>
        <v>3</v>
      </c>
      <c r="AO59" s="306">
        <f t="shared" ca="1" si="15"/>
        <v>0</v>
      </c>
      <c r="AP59" s="306">
        <f t="shared" ca="1" si="16"/>
        <v>0</v>
      </c>
      <c r="AQ59" s="306">
        <f t="shared" ca="1" si="17"/>
        <v>0</v>
      </c>
      <c r="AR59" s="306">
        <f t="shared" ca="1" si="18"/>
        <v>0</v>
      </c>
      <c r="AS59" s="307"/>
      <c r="AT59" s="306">
        <f t="shared" si="19"/>
        <v>1</v>
      </c>
    </row>
    <row r="60" spans="1:46" ht="15.75" customHeight="1">
      <c r="A60" s="284"/>
      <c r="B60" s="285">
        <f t="shared" ca="1" si="0"/>
        <v>1</v>
      </c>
      <c r="C60" s="286">
        <f t="shared" ca="1" si="1"/>
        <v>8</v>
      </c>
      <c r="D60" s="286">
        <f t="shared" ca="1" si="2"/>
        <v>4</v>
      </c>
      <c r="E60" s="286" t="str">
        <f t="shared" ca="1" si="3"/>
        <v/>
      </c>
      <c r="F60" s="286" t="str">
        <f t="shared" ca="1" si="4"/>
        <v/>
      </c>
      <c r="G60" s="287" t="str">
        <f t="shared" ca="1" si="5"/>
        <v/>
      </c>
      <c r="H60" s="288" t="str">
        <f t="shared" ca="1" si="6"/>
        <v/>
      </c>
      <c r="I60" s="308"/>
      <c r="J60" s="320"/>
      <c r="K60" s="320" t="s">
        <v>65</v>
      </c>
      <c r="L60" s="320"/>
      <c r="M60" s="320"/>
      <c r="N60" s="320"/>
      <c r="O60" s="320"/>
      <c r="P60" s="320"/>
      <c r="Q60" s="321"/>
      <c r="R60" s="322" t="s">
        <v>187</v>
      </c>
      <c r="S60" s="331">
        <v>45834</v>
      </c>
      <c r="T60" s="325">
        <v>45834</v>
      </c>
      <c r="U60" s="330"/>
      <c r="V60" s="325"/>
      <c r="W60" s="326">
        <v>0</v>
      </c>
      <c r="X60" s="327"/>
      <c r="Y60" s="328"/>
      <c r="Z60" s="329"/>
      <c r="AA60" s="300"/>
      <c r="AB60" s="301"/>
      <c r="AC60" s="302"/>
      <c r="AD60" s="303"/>
      <c r="AE60" s="304"/>
      <c r="AF60" s="305"/>
      <c r="AG60" s="305">
        <f t="shared" ca="1" si="7"/>
        <v>0</v>
      </c>
      <c r="AH60" s="305">
        <f t="shared" ca="1" si="8"/>
        <v>0</v>
      </c>
      <c r="AI60" s="305">
        <f t="shared" si="9"/>
        <v>0</v>
      </c>
      <c r="AJ60" s="305">
        <f t="shared" ca="1" si="10"/>
        <v>0</v>
      </c>
      <c r="AK60" s="305" t="str">
        <f t="shared" ca="1" si="11"/>
        <v/>
      </c>
      <c r="AL60" s="306">
        <f t="shared" ca="1" si="12"/>
        <v>1</v>
      </c>
      <c r="AM60" s="306">
        <f t="shared" ca="1" si="13"/>
        <v>8</v>
      </c>
      <c r="AN60" s="306">
        <f t="shared" ca="1" si="14"/>
        <v>4</v>
      </c>
      <c r="AO60" s="306">
        <f t="shared" ca="1" si="15"/>
        <v>0</v>
      </c>
      <c r="AP60" s="306">
        <f t="shared" ca="1" si="16"/>
        <v>0</v>
      </c>
      <c r="AQ60" s="306">
        <f t="shared" ca="1" si="17"/>
        <v>0</v>
      </c>
      <c r="AR60" s="306">
        <f t="shared" ca="1" si="18"/>
        <v>0</v>
      </c>
      <c r="AS60" s="307"/>
      <c r="AT60" s="306">
        <f t="shared" si="19"/>
        <v>1</v>
      </c>
    </row>
    <row r="61" spans="1:46" ht="15.75" customHeight="1">
      <c r="A61" s="284"/>
      <c r="B61" s="285">
        <f t="shared" ca="1" si="0"/>
        <v>1</v>
      </c>
      <c r="C61" s="286">
        <f t="shared" ca="1" si="1"/>
        <v>8</v>
      </c>
      <c r="D61" s="286">
        <f t="shared" ca="1" si="2"/>
        <v>5</v>
      </c>
      <c r="E61" s="286" t="str">
        <f t="shared" ca="1" si="3"/>
        <v/>
      </c>
      <c r="F61" s="286" t="str">
        <f t="shared" ca="1" si="4"/>
        <v/>
      </c>
      <c r="G61" s="287" t="str">
        <f t="shared" ca="1" si="5"/>
        <v/>
      </c>
      <c r="H61" s="288" t="str">
        <f t="shared" ca="1" si="6"/>
        <v/>
      </c>
      <c r="I61" s="308"/>
      <c r="J61" s="320"/>
      <c r="K61" s="320" t="s">
        <v>65</v>
      </c>
      <c r="L61" s="320"/>
      <c r="M61" s="320"/>
      <c r="N61" s="320"/>
      <c r="O61" s="320"/>
      <c r="P61" s="320"/>
      <c r="Q61" s="321"/>
      <c r="R61" s="322" t="s">
        <v>185</v>
      </c>
      <c r="S61" s="331">
        <v>45835</v>
      </c>
      <c r="T61" s="325">
        <v>45835</v>
      </c>
      <c r="U61" s="330"/>
      <c r="V61" s="325"/>
      <c r="W61" s="326">
        <v>0</v>
      </c>
      <c r="X61" s="327"/>
      <c r="Y61" s="328"/>
      <c r="Z61" s="329"/>
      <c r="AA61" s="300"/>
      <c r="AB61" s="301"/>
      <c r="AC61" s="302"/>
      <c r="AD61" s="303"/>
      <c r="AE61" s="304"/>
      <c r="AF61" s="305"/>
      <c r="AG61" s="305">
        <f t="shared" ca="1" si="7"/>
        <v>0</v>
      </c>
      <c r="AH61" s="305">
        <f t="shared" ca="1" si="8"/>
        <v>0</v>
      </c>
      <c r="AI61" s="305">
        <f t="shared" si="9"/>
        <v>0</v>
      </c>
      <c r="AJ61" s="305">
        <f t="shared" ca="1" si="10"/>
        <v>0</v>
      </c>
      <c r="AK61" s="305" t="str">
        <f t="shared" ca="1" si="11"/>
        <v/>
      </c>
      <c r="AL61" s="306">
        <f t="shared" ca="1" si="12"/>
        <v>1</v>
      </c>
      <c r="AM61" s="306">
        <f t="shared" ca="1" si="13"/>
        <v>8</v>
      </c>
      <c r="AN61" s="306">
        <f t="shared" ca="1" si="14"/>
        <v>5</v>
      </c>
      <c r="AO61" s="306">
        <f t="shared" ca="1" si="15"/>
        <v>0</v>
      </c>
      <c r="AP61" s="306">
        <f t="shared" ca="1" si="16"/>
        <v>0</v>
      </c>
      <c r="AQ61" s="306">
        <f t="shared" ca="1" si="17"/>
        <v>0</v>
      </c>
      <c r="AR61" s="306">
        <f t="shared" ca="1" si="18"/>
        <v>0</v>
      </c>
      <c r="AS61" s="307"/>
      <c r="AT61" s="306">
        <f t="shared" si="19"/>
        <v>1</v>
      </c>
    </row>
    <row r="62" spans="1:46" ht="15.75" customHeight="1">
      <c r="A62" s="284"/>
      <c r="B62" s="285">
        <f t="shared" ca="1" si="0"/>
        <v>1</v>
      </c>
      <c r="C62" s="286">
        <f t="shared" ca="1" si="1"/>
        <v>8</v>
      </c>
      <c r="D62" s="286">
        <f t="shared" ca="1" si="2"/>
        <v>6</v>
      </c>
      <c r="E62" s="286" t="str">
        <f t="shared" ca="1" si="3"/>
        <v/>
      </c>
      <c r="F62" s="286" t="str">
        <f t="shared" ca="1" si="4"/>
        <v/>
      </c>
      <c r="G62" s="287" t="str">
        <f t="shared" ca="1" si="5"/>
        <v/>
      </c>
      <c r="H62" s="288" t="str">
        <f t="shared" ca="1" si="6"/>
        <v/>
      </c>
      <c r="I62" s="308"/>
      <c r="J62" s="320"/>
      <c r="K62" s="320" t="s">
        <v>64</v>
      </c>
      <c r="L62" s="320"/>
      <c r="M62" s="320"/>
      <c r="N62" s="320"/>
      <c r="O62" s="320"/>
      <c r="P62" s="320"/>
      <c r="Q62" s="321"/>
      <c r="R62" s="322" t="s">
        <v>187</v>
      </c>
      <c r="S62" s="331">
        <v>45838</v>
      </c>
      <c r="T62" s="325">
        <v>45838</v>
      </c>
      <c r="U62" s="330"/>
      <c r="V62" s="325"/>
      <c r="W62" s="326">
        <v>0</v>
      </c>
      <c r="X62" s="327"/>
      <c r="Y62" s="328"/>
      <c r="Z62" s="329"/>
      <c r="AA62" s="300"/>
      <c r="AB62" s="301"/>
      <c r="AC62" s="302"/>
      <c r="AD62" s="303"/>
      <c r="AE62" s="304"/>
      <c r="AF62" s="305"/>
      <c r="AG62" s="305">
        <f t="shared" ca="1" si="7"/>
        <v>0</v>
      </c>
      <c r="AH62" s="305">
        <f t="shared" ca="1" si="8"/>
        <v>0</v>
      </c>
      <c r="AI62" s="305">
        <f t="shared" si="9"/>
        <v>0</v>
      </c>
      <c r="AJ62" s="305">
        <f t="shared" ca="1" si="10"/>
        <v>0</v>
      </c>
      <c r="AK62" s="305" t="str">
        <f t="shared" ca="1" si="11"/>
        <v/>
      </c>
      <c r="AL62" s="306">
        <f t="shared" ca="1" si="12"/>
        <v>1</v>
      </c>
      <c r="AM62" s="306">
        <f t="shared" ca="1" si="13"/>
        <v>8</v>
      </c>
      <c r="AN62" s="306">
        <f t="shared" ca="1" si="14"/>
        <v>6</v>
      </c>
      <c r="AO62" s="306">
        <f t="shared" ca="1" si="15"/>
        <v>0</v>
      </c>
      <c r="AP62" s="306">
        <f t="shared" ca="1" si="16"/>
        <v>0</v>
      </c>
      <c r="AQ62" s="306">
        <f t="shared" ca="1" si="17"/>
        <v>0</v>
      </c>
      <c r="AR62" s="306">
        <f t="shared" ca="1" si="18"/>
        <v>0</v>
      </c>
      <c r="AS62" s="307"/>
      <c r="AT62" s="306">
        <f t="shared" si="19"/>
        <v>1</v>
      </c>
    </row>
    <row r="63" spans="1:46" ht="15.75" customHeight="1">
      <c r="A63" s="284"/>
      <c r="B63" s="285">
        <f t="shared" ca="1" si="0"/>
        <v>1</v>
      </c>
      <c r="C63" s="286">
        <f t="shared" ca="1" si="1"/>
        <v>9</v>
      </c>
      <c r="D63" s="286" t="str">
        <f t="shared" ca="1" si="2"/>
        <v/>
      </c>
      <c r="E63" s="286" t="str">
        <f t="shared" ca="1" si="3"/>
        <v/>
      </c>
      <c r="F63" s="286" t="str">
        <f t="shared" ca="1" si="4"/>
        <v/>
      </c>
      <c r="G63" s="287" t="str">
        <f t="shared" ca="1" si="5"/>
        <v/>
      </c>
      <c r="H63" s="288" t="str">
        <f t="shared" ca="1" si="6"/>
        <v/>
      </c>
      <c r="I63" s="308"/>
      <c r="J63" s="309" t="s">
        <v>188</v>
      </c>
      <c r="K63" s="310"/>
      <c r="L63" s="310"/>
      <c r="M63" s="310"/>
      <c r="N63" s="310"/>
      <c r="O63" s="310"/>
      <c r="P63" s="310"/>
      <c r="Q63" s="311" t="s">
        <v>73</v>
      </c>
      <c r="R63" s="312"/>
      <c r="S63" s="313"/>
      <c r="T63" s="314"/>
      <c r="U63" s="315"/>
      <c r="V63" s="314"/>
      <c r="W63" s="316"/>
      <c r="X63" s="317"/>
      <c r="Y63" s="318"/>
      <c r="Z63" s="319"/>
      <c r="AA63" s="300"/>
      <c r="AB63" s="301"/>
      <c r="AC63" s="302"/>
      <c r="AD63" s="303"/>
      <c r="AE63" s="304"/>
      <c r="AF63" s="305"/>
      <c r="AG63" s="305">
        <f t="shared" si="7"/>
        <v>0</v>
      </c>
      <c r="AH63" s="305">
        <f t="shared" si="8"/>
        <v>0</v>
      </c>
      <c r="AI63" s="305">
        <f t="shared" si="9"/>
        <v>0</v>
      </c>
      <c r="AJ63" s="305">
        <f t="shared" si="10"/>
        <v>0</v>
      </c>
      <c r="AK63" s="305" t="str">
        <f t="shared" si="11"/>
        <v/>
      </c>
      <c r="AL63" s="306">
        <f t="shared" ca="1" si="12"/>
        <v>1</v>
      </c>
      <c r="AM63" s="306">
        <f t="shared" ca="1" si="13"/>
        <v>9</v>
      </c>
      <c r="AN63" s="306">
        <f t="shared" ca="1" si="14"/>
        <v>0</v>
      </c>
      <c r="AO63" s="306">
        <f t="shared" ca="1" si="15"/>
        <v>0</v>
      </c>
      <c r="AP63" s="306">
        <f t="shared" ca="1" si="16"/>
        <v>0</v>
      </c>
      <c r="AQ63" s="306">
        <f t="shared" ca="1" si="17"/>
        <v>0</v>
      </c>
      <c r="AR63" s="306">
        <f t="shared" ca="1" si="18"/>
        <v>0</v>
      </c>
      <c r="AS63" s="307"/>
      <c r="AT63" s="306">
        <f t="shared" si="19"/>
        <v>1</v>
      </c>
    </row>
    <row r="64" spans="1:46" ht="15.75" customHeight="1">
      <c r="A64" s="284"/>
      <c r="B64" s="285">
        <f t="shared" ca="1" si="0"/>
        <v>1</v>
      </c>
      <c r="C64" s="286">
        <f t="shared" ca="1" si="1"/>
        <v>9</v>
      </c>
      <c r="D64" s="286">
        <f t="shared" ca="1" si="2"/>
        <v>1</v>
      </c>
      <c r="E64" s="286" t="str">
        <f t="shared" ca="1" si="3"/>
        <v/>
      </c>
      <c r="F64" s="286" t="str">
        <f t="shared" ca="1" si="4"/>
        <v/>
      </c>
      <c r="G64" s="287" t="str">
        <f t="shared" ca="1" si="5"/>
        <v/>
      </c>
      <c r="H64" s="288" t="str">
        <f t="shared" ca="1" si="6"/>
        <v/>
      </c>
      <c r="I64" s="308"/>
      <c r="J64" s="320"/>
      <c r="K64" s="320" t="s">
        <v>59</v>
      </c>
      <c r="L64" s="320"/>
      <c r="M64" s="320"/>
      <c r="N64" s="320"/>
      <c r="O64" s="320"/>
      <c r="P64" s="320"/>
      <c r="Q64" s="321"/>
      <c r="R64" s="332" t="s">
        <v>187</v>
      </c>
      <c r="S64" s="331">
        <v>45819</v>
      </c>
      <c r="T64" s="325">
        <v>45825</v>
      </c>
      <c r="U64" s="331">
        <v>45818</v>
      </c>
      <c r="V64" s="325"/>
      <c r="W64" s="326">
        <v>0.4</v>
      </c>
      <c r="X64" s="326">
        <v>0.4</v>
      </c>
      <c r="Y64" s="328"/>
      <c r="Z64" s="329"/>
      <c r="AA64" s="300"/>
      <c r="AB64" s="301"/>
      <c r="AC64" s="302"/>
      <c r="AD64" s="303"/>
      <c r="AE64" s="304"/>
      <c r="AF64" s="305"/>
      <c r="AG64" s="305">
        <f t="shared" ca="1" si="7"/>
        <v>0</v>
      </c>
      <c r="AH64" s="305">
        <f t="shared" ca="1" si="8"/>
        <v>0</v>
      </c>
      <c r="AI64" s="305">
        <f t="shared" si="9"/>
        <v>0</v>
      </c>
      <c r="AJ64" s="305">
        <f t="shared" ca="1" si="10"/>
        <v>0</v>
      </c>
      <c r="AK64" s="305" t="str">
        <f t="shared" ca="1" si="11"/>
        <v/>
      </c>
      <c r="AL64" s="306">
        <f t="shared" ca="1" si="12"/>
        <v>1</v>
      </c>
      <c r="AM64" s="306">
        <f t="shared" ca="1" si="13"/>
        <v>9</v>
      </c>
      <c r="AN64" s="306">
        <f t="shared" ca="1" si="14"/>
        <v>1</v>
      </c>
      <c r="AO64" s="306">
        <f t="shared" ca="1" si="15"/>
        <v>0</v>
      </c>
      <c r="AP64" s="306">
        <f t="shared" ca="1" si="16"/>
        <v>0</v>
      </c>
      <c r="AQ64" s="306">
        <f t="shared" ca="1" si="17"/>
        <v>0</v>
      </c>
      <c r="AR64" s="306">
        <f t="shared" ca="1" si="18"/>
        <v>0</v>
      </c>
      <c r="AS64" s="307"/>
      <c r="AT64" s="306">
        <f t="shared" si="19"/>
        <v>7</v>
      </c>
    </row>
    <row r="65" spans="1:46" ht="15.75" customHeight="1">
      <c r="A65" s="284"/>
      <c r="B65" s="285">
        <f t="shared" ca="1" si="0"/>
        <v>1</v>
      </c>
      <c r="C65" s="286">
        <f t="shared" ca="1" si="1"/>
        <v>9</v>
      </c>
      <c r="D65" s="286">
        <f t="shared" ca="1" si="2"/>
        <v>2</v>
      </c>
      <c r="E65" s="286" t="str">
        <f t="shared" ca="1" si="3"/>
        <v/>
      </c>
      <c r="F65" s="286" t="str">
        <f t="shared" ca="1" si="4"/>
        <v/>
      </c>
      <c r="G65" s="287" t="str">
        <f t="shared" ca="1" si="5"/>
        <v/>
      </c>
      <c r="H65" s="288" t="str">
        <f t="shared" ca="1" si="6"/>
        <v/>
      </c>
      <c r="I65" s="308"/>
      <c r="J65" s="320"/>
      <c r="K65" s="320" t="s">
        <v>64</v>
      </c>
      <c r="L65" s="320"/>
      <c r="M65" s="320"/>
      <c r="N65" s="320"/>
      <c r="O65" s="320"/>
      <c r="P65" s="320"/>
      <c r="Q65" s="321"/>
      <c r="R65" s="322" t="s">
        <v>185</v>
      </c>
      <c r="S65" s="331">
        <v>45826</v>
      </c>
      <c r="T65" s="331">
        <v>45826</v>
      </c>
      <c r="U65" s="330"/>
      <c r="V65" s="325"/>
      <c r="W65" s="326">
        <v>0</v>
      </c>
      <c r="X65" s="327"/>
      <c r="Y65" s="328"/>
      <c r="Z65" s="329"/>
      <c r="AA65" s="300"/>
      <c r="AB65" s="301"/>
      <c r="AC65" s="302"/>
      <c r="AD65" s="303"/>
      <c r="AE65" s="304"/>
      <c r="AF65" s="305"/>
      <c r="AG65" s="305">
        <f t="shared" ca="1" si="7"/>
        <v>0</v>
      </c>
      <c r="AH65" s="305">
        <f t="shared" ca="1" si="8"/>
        <v>0</v>
      </c>
      <c r="AI65" s="305">
        <f t="shared" si="9"/>
        <v>0</v>
      </c>
      <c r="AJ65" s="305">
        <f t="shared" ca="1" si="10"/>
        <v>0</v>
      </c>
      <c r="AK65" s="305" t="str">
        <f t="shared" ca="1" si="11"/>
        <v/>
      </c>
      <c r="AL65" s="306">
        <f t="shared" ca="1" si="12"/>
        <v>1</v>
      </c>
      <c r="AM65" s="306">
        <f t="shared" ca="1" si="13"/>
        <v>9</v>
      </c>
      <c r="AN65" s="306">
        <f t="shared" ca="1" si="14"/>
        <v>2</v>
      </c>
      <c r="AO65" s="306">
        <f t="shared" ca="1" si="15"/>
        <v>0</v>
      </c>
      <c r="AP65" s="306">
        <f t="shared" ca="1" si="16"/>
        <v>0</v>
      </c>
      <c r="AQ65" s="306">
        <f t="shared" ca="1" si="17"/>
        <v>0</v>
      </c>
      <c r="AR65" s="306">
        <f t="shared" ca="1" si="18"/>
        <v>0</v>
      </c>
      <c r="AS65" s="307"/>
      <c r="AT65" s="306">
        <f t="shared" si="19"/>
        <v>1</v>
      </c>
    </row>
    <row r="66" spans="1:46" ht="15.75" customHeight="1">
      <c r="A66" s="284"/>
      <c r="B66" s="285">
        <f t="shared" ca="1" si="0"/>
        <v>1</v>
      </c>
      <c r="C66" s="286">
        <f t="shared" ca="1" si="1"/>
        <v>9</v>
      </c>
      <c r="D66" s="286">
        <f t="shared" ca="1" si="2"/>
        <v>3</v>
      </c>
      <c r="E66" s="286" t="str">
        <f t="shared" ca="1" si="3"/>
        <v/>
      </c>
      <c r="F66" s="286" t="str">
        <f t="shared" ca="1" si="4"/>
        <v/>
      </c>
      <c r="G66" s="287" t="str">
        <f t="shared" ca="1" si="5"/>
        <v/>
      </c>
      <c r="H66" s="288" t="str">
        <f t="shared" ca="1" si="6"/>
        <v/>
      </c>
      <c r="I66" s="308"/>
      <c r="J66" s="320"/>
      <c r="K66" s="320" t="s">
        <v>63</v>
      </c>
      <c r="L66" s="320"/>
      <c r="M66" s="320"/>
      <c r="N66" s="320"/>
      <c r="O66" s="320"/>
      <c r="P66" s="320"/>
      <c r="Q66" s="321"/>
      <c r="R66" s="322" t="s">
        <v>187</v>
      </c>
      <c r="S66" s="331">
        <v>45831</v>
      </c>
      <c r="T66" s="325">
        <v>45831</v>
      </c>
      <c r="U66" s="330"/>
      <c r="V66" s="325"/>
      <c r="W66" s="326">
        <v>0</v>
      </c>
      <c r="X66" s="327"/>
      <c r="Y66" s="328"/>
      <c r="Z66" s="329"/>
      <c r="AA66" s="300"/>
      <c r="AB66" s="301"/>
      <c r="AC66" s="302"/>
      <c r="AD66" s="303"/>
      <c r="AE66" s="304"/>
      <c r="AF66" s="305"/>
      <c r="AG66" s="305">
        <f t="shared" ca="1" si="7"/>
        <v>0</v>
      </c>
      <c r="AH66" s="305">
        <f t="shared" ca="1" si="8"/>
        <v>0</v>
      </c>
      <c r="AI66" s="305">
        <f t="shared" si="9"/>
        <v>0</v>
      </c>
      <c r="AJ66" s="305">
        <f t="shared" ca="1" si="10"/>
        <v>0</v>
      </c>
      <c r="AK66" s="305" t="str">
        <f t="shared" ca="1" si="11"/>
        <v/>
      </c>
      <c r="AL66" s="306">
        <f t="shared" ca="1" si="12"/>
        <v>1</v>
      </c>
      <c r="AM66" s="306">
        <f t="shared" ca="1" si="13"/>
        <v>9</v>
      </c>
      <c r="AN66" s="306">
        <f t="shared" ca="1" si="14"/>
        <v>3</v>
      </c>
      <c r="AO66" s="306">
        <f t="shared" ca="1" si="15"/>
        <v>0</v>
      </c>
      <c r="AP66" s="306">
        <f t="shared" ca="1" si="16"/>
        <v>0</v>
      </c>
      <c r="AQ66" s="306">
        <f t="shared" ca="1" si="17"/>
        <v>0</v>
      </c>
      <c r="AR66" s="306">
        <f t="shared" ca="1" si="18"/>
        <v>0</v>
      </c>
      <c r="AS66" s="307"/>
      <c r="AT66" s="306">
        <f t="shared" si="19"/>
        <v>1</v>
      </c>
    </row>
    <row r="67" spans="1:46" ht="15.75" customHeight="1">
      <c r="A67" s="284"/>
      <c r="B67" s="285">
        <f t="shared" ca="1" si="0"/>
        <v>1</v>
      </c>
      <c r="C67" s="286">
        <f t="shared" ca="1" si="1"/>
        <v>9</v>
      </c>
      <c r="D67" s="286">
        <f t="shared" ca="1" si="2"/>
        <v>4</v>
      </c>
      <c r="E67" s="286" t="str">
        <f t="shared" ca="1" si="3"/>
        <v/>
      </c>
      <c r="F67" s="286" t="str">
        <f t="shared" ca="1" si="4"/>
        <v/>
      </c>
      <c r="G67" s="287" t="str">
        <f t="shared" ca="1" si="5"/>
        <v/>
      </c>
      <c r="H67" s="288" t="str">
        <f t="shared" ca="1" si="6"/>
        <v/>
      </c>
      <c r="I67" s="308"/>
      <c r="J67" s="320"/>
      <c r="K67" s="320" t="s">
        <v>63</v>
      </c>
      <c r="L67" s="320"/>
      <c r="M67" s="320"/>
      <c r="N67" s="320"/>
      <c r="O67" s="320"/>
      <c r="P67" s="320"/>
      <c r="Q67" s="321"/>
      <c r="R67" s="322" t="s">
        <v>185</v>
      </c>
      <c r="S67" s="331">
        <v>45834</v>
      </c>
      <c r="T67" s="325">
        <v>45834</v>
      </c>
      <c r="U67" s="330"/>
      <c r="V67" s="325"/>
      <c r="W67" s="326">
        <v>0</v>
      </c>
      <c r="X67" s="327"/>
      <c r="Y67" s="328"/>
      <c r="Z67" s="329"/>
      <c r="AA67" s="300"/>
      <c r="AB67" s="301"/>
      <c r="AC67" s="302"/>
      <c r="AD67" s="303"/>
      <c r="AE67" s="304"/>
      <c r="AF67" s="305"/>
      <c r="AG67" s="305">
        <f t="shared" ca="1" si="7"/>
        <v>0</v>
      </c>
      <c r="AH67" s="305">
        <f t="shared" ca="1" si="8"/>
        <v>0</v>
      </c>
      <c r="AI67" s="305">
        <f t="shared" si="9"/>
        <v>0</v>
      </c>
      <c r="AJ67" s="305">
        <f t="shared" ca="1" si="10"/>
        <v>0</v>
      </c>
      <c r="AK67" s="305" t="str">
        <f t="shared" ca="1" si="11"/>
        <v/>
      </c>
      <c r="AL67" s="306">
        <f t="shared" ca="1" si="12"/>
        <v>1</v>
      </c>
      <c r="AM67" s="306">
        <f t="shared" ca="1" si="13"/>
        <v>9</v>
      </c>
      <c r="AN67" s="306">
        <f t="shared" ca="1" si="14"/>
        <v>4</v>
      </c>
      <c r="AO67" s="306">
        <f t="shared" ca="1" si="15"/>
        <v>0</v>
      </c>
      <c r="AP67" s="306">
        <f t="shared" ca="1" si="16"/>
        <v>0</v>
      </c>
      <c r="AQ67" s="306">
        <f t="shared" ca="1" si="17"/>
        <v>0</v>
      </c>
      <c r="AR67" s="306">
        <f t="shared" ca="1" si="18"/>
        <v>0</v>
      </c>
      <c r="AS67" s="307"/>
      <c r="AT67" s="306">
        <f t="shared" si="19"/>
        <v>1</v>
      </c>
    </row>
    <row r="68" spans="1:46" ht="15.75" customHeight="1">
      <c r="A68" s="284"/>
      <c r="B68" s="285">
        <f t="shared" ca="1" si="0"/>
        <v>1</v>
      </c>
      <c r="C68" s="286">
        <f t="shared" ca="1" si="1"/>
        <v>9</v>
      </c>
      <c r="D68" s="286">
        <f t="shared" ca="1" si="2"/>
        <v>5</v>
      </c>
      <c r="E68" s="286" t="str">
        <f t="shared" ca="1" si="3"/>
        <v/>
      </c>
      <c r="F68" s="286" t="str">
        <f t="shared" ca="1" si="4"/>
        <v/>
      </c>
      <c r="G68" s="287" t="str">
        <f t="shared" ca="1" si="5"/>
        <v/>
      </c>
      <c r="H68" s="288" t="str">
        <f t="shared" ca="1" si="6"/>
        <v/>
      </c>
      <c r="I68" s="308"/>
      <c r="J68" s="320"/>
      <c r="K68" s="320" t="s">
        <v>65</v>
      </c>
      <c r="L68" s="320"/>
      <c r="M68" s="320"/>
      <c r="N68" s="320"/>
      <c r="O68" s="320"/>
      <c r="P68" s="320"/>
      <c r="Q68" s="321"/>
      <c r="R68" s="332" t="s">
        <v>187</v>
      </c>
      <c r="S68" s="331">
        <v>45835</v>
      </c>
      <c r="T68" s="325">
        <v>45835</v>
      </c>
      <c r="U68" s="330"/>
      <c r="V68" s="325"/>
      <c r="W68" s="326">
        <v>0</v>
      </c>
      <c r="X68" s="327"/>
      <c r="Y68" s="328"/>
      <c r="Z68" s="329"/>
      <c r="AA68" s="300"/>
      <c r="AB68" s="301"/>
      <c r="AC68" s="302"/>
      <c r="AD68" s="303"/>
      <c r="AE68" s="304"/>
      <c r="AF68" s="305"/>
      <c r="AG68" s="305">
        <f t="shared" ca="1" si="7"/>
        <v>0</v>
      </c>
      <c r="AH68" s="305">
        <f t="shared" ca="1" si="8"/>
        <v>0</v>
      </c>
      <c r="AI68" s="305">
        <f t="shared" si="9"/>
        <v>0</v>
      </c>
      <c r="AJ68" s="305">
        <f t="shared" ca="1" si="10"/>
        <v>0</v>
      </c>
      <c r="AK68" s="305" t="str">
        <f t="shared" ca="1" si="11"/>
        <v/>
      </c>
      <c r="AL68" s="306">
        <f t="shared" ca="1" si="12"/>
        <v>1</v>
      </c>
      <c r="AM68" s="306">
        <f t="shared" ca="1" si="13"/>
        <v>9</v>
      </c>
      <c r="AN68" s="306">
        <f t="shared" ca="1" si="14"/>
        <v>5</v>
      </c>
      <c r="AO68" s="306">
        <f t="shared" ca="1" si="15"/>
        <v>0</v>
      </c>
      <c r="AP68" s="306">
        <f t="shared" ca="1" si="16"/>
        <v>0</v>
      </c>
      <c r="AQ68" s="306">
        <f t="shared" ca="1" si="17"/>
        <v>0</v>
      </c>
      <c r="AR68" s="306">
        <f t="shared" ca="1" si="18"/>
        <v>0</v>
      </c>
      <c r="AS68" s="307"/>
      <c r="AT68" s="306">
        <f t="shared" si="19"/>
        <v>1</v>
      </c>
    </row>
    <row r="69" spans="1:46" ht="15.75" customHeight="1">
      <c r="A69" s="284"/>
      <c r="B69" s="285">
        <f t="shared" ca="1" si="0"/>
        <v>1</v>
      </c>
      <c r="C69" s="286">
        <f t="shared" ca="1" si="1"/>
        <v>9</v>
      </c>
      <c r="D69" s="286">
        <f t="shared" ca="1" si="2"/>
        <v>6</v>
      </c>
      <c r="E69" s="286" t="str">
        <f t="shared" ca="1" si="3"/>
        <v/>
      </c>
      <c r="F69" s="286" t="str">
        <f t="shared" ca="1" si="4"/>
        <v/>
      </c>
      <c r="G69" s="287" t="str">
        <f t="shared" ca="1" si="5"/>
        <v/>
      </c>
      <c r="H69" s="288" t="str">
        <f t="shared" ca="1" si="6"/>
        <v/>
      </c>
      <c r="I69" s="308"/>
      <c r="J69" s="320"/>
      <c r="K69" s="320" t="s">
        <v>145</v>
      </c>
      <c r="L69" s="320"/>
      <c r="M69" s="320"/>
      <c r="N69" s="320"/>
      <c r="O69" s="320"/>
      <c r="P69" s="320"/>
      <c r="Q69" s="321"/>
      <c r="R69" s="322" t="s">
        <v>185</v>
      </c>
      <c r="S69" s="331">
        <v>45838</v>
      </c>
      <c r="T69" s="325">
        <v>45838</v>
      </c>
      <c r="U69" s="330"/>
      <c r="V69" s="325"/>
      <c r="W69" s="326">
        <v>0</v>
      </c>
      <c r="X69" s="327"/>
      <c r="Y69" s="328"/>
      <c r="Z69" s="329"/>
      <c r="AA69" s="300"/>
      <c r="AB69" s="301"/>
      <c r="AC69" s="302"/>
      <c r="AD69" s="303"/>
      <c r="AE69" s="304"/>
      <c r="AF69" s="305"/>
      <c r="AG69" s="305">
        <f t="shared" ca="1" si="7"/>
        <v>0</v>
      </c>
      <c r="AH69" s="305">
        <f t="shared" ca="1" si="8"/>
        <v>0</v>
      </c>
      <c r="AI69" s="305">
        <f t="shared" si="9"/>
        <v>0</v>
      </c>
      <c r="AJ69" s="305">
        <f t="shared" ca="1" si="10"/>
        <v>0</v>
      </c>
      <c r="AK69" s="305" t="str">
        <f t="shared" ca="1" si="11"/>
        <v/>
      </c>
      <c r="AL69" s="306">
        <f t="shared" ca="1" si="12"/>
        <v>1</v>
      </c>
      <c r="AM69" s="306">
        <f t="shared" ca="1" si="13"/>
        <v>9</v>
      </c>
      <c r="AN69" s="306">
        <f t="shared" ca="1" si="14"/>
        <v>6</v>
      </c>
      <c r="AO69" s="306">
        <f t="shared" ca="1" si="15"/>
        <v>0</v>
      </c>
      <c r="AP69" s="306">
        <f t="shared" ca="1" si="16"/>
        <v>0</v>
      </c>
      <c r="AQ69" s="306">
        <f t="shared" ca="1" si="17"/>
        <v>0</v>
      </c>
      <c r="AR69" s="306">
        <f t="shared" ca="1" si="18"/>
        <v>0</v>
      </c>
      <c r="AS69" s="307"/>
      <c r="AT69" s="306">
        <f t="shared" si="19"/>
        <v>1</v>
      </c>
    </row>
    <row r="70" spans="1:46" ht="15.75" customHeight="1">
      <c r="A70" s="284"/>
      <c r="B70" s="285">
        <f t="shared" ca="1" si="0"/>
        <v>1</v>
      </c>
      <c r="C70" s="286">
        <f t="shared" ca="1" si="1"/>
        <v>10</v>
      </c>
      <c r="D70" s="286" t="str">
        <f t="shared" ca="1" si="2"/>
        <v/>
      </c>
      <c r="E70" s="286" t="str">
        <f t="shared" ca="1" si="3"/>
        <v/>
      </c>
      <c r="F70" s="286" t="str">
        <f t="shared" ca="1" si="4"/>
        <v/>
      </c>
      <c r="G70" s="287" t="str">
        <f t="shared" ca="1" si="5"/>
        <v/>
      </c>
      <c r="H70" s="288" t="str">
        <f t="shared" ca="1" si="6"/>
        <v/>
      </c>
      <c r="I70" s="308"/>
      <c r="J70" s="309" t="s">
        <v>189</v>
      </c>
      <c r="K70" s="310"/>
      <c r="L70" s="310"/>
      <c r="M70" s="310"/>
      <c r="N70" s="310"/>
      <c r="O70" s="310"/>
      <c r="P70" s="310"/>
      <c r="Q70" s="311" t="s">
        <v>81</v>
      </c>
      <c r="R70" s="312"/>
      <c r="S70" s="313"/>
      <c r="T70" s="314"/>
      <c r="U70" s="315"/>
      <c r="V70" s="314"/>
      <c r="W70" s="316"/>
      <c r="X70" s="317"/>
      <c r="Y70" s="318"/>
      <c r="Z70" s="319"/>
      <c r="AA70" s="300"/>
      <c r="AB70" s="301"/>
      <c r="AC70" s="302"/>
      <c r="AD70" s="303"/>
      <c r="AE70" s="304"/>
      <c r="AF70" s="305"/>
      <c r="AG70" s="305">
        <f t="shared" si="7"/>
        <v>0</v>
      </c>
      <c r="AH70" s="305">
        <f t="shared" si="8"/>
        <v>0</v>
      </c>
      <c r="AI70" s="305">
        <f t="shared" si="9"/>
        <v>0</v>
      </c>
      <c r="AJ70" s="305">
        <f t="shared" si="10"/>
        <v>0</v>
      </c>
      <c r="AK70" s="305" t="str">
        <f t="shared" si="11"/>
        <v/>
      </c>
      <c r="AL70" s="306">
        <f t="shared" ca="1" si="12"/>
        <v>1</v>
      </c>
      <c r="AM70" s="306">
        <f t="shared" ca="1" si="13"/>
        <v>10</v>
      </c>
      <c r="AN70" s="306">
        <f t="shared" ca="1" si="14"/>
        <v>0</v>
      </c>
      <c r="AO70" s="306">
        <f t="shared" ca="1" si="15"/>
        <v>0</v>
      </c>
      <c r="AP70" s="306">
        <f t="shared" ca="1" si="16"/>
        <v>0</v>
      </c>
      <c r="AQ70" s="306">
        <f t="shared" ca="1" si="17"/>
        <v>0</v>
      </c>
      <c r="AR70" s="306">
        <f t="shared" ca="1" si="18"/>
        <v>0</v>
      </c>
      <c r="AS70" s="307"/>
      <c r="AT70" s="306">
        <f t="shared" si="19"/>
        <v>1</v>
      </c>
    </row>
    <row r="71" spans="1:46" ht="15.75" customHeight="1">
      <c r="A71" s="284"/>
      <c r="B71" s="285">
        <f t="shared" ca="1" si="0"/>
        <v>1</v>
      </c>
      <c r="C71" s="286">
        <f t="shared" ca="1" si="1"/>
        <v>10</v>
      </c>
      <c r="D71" s="286">
        <f t="shared" ca="1" si="2"/>
        <v>1</v>
      </c>
      <c r="E71" s="286" t="str">
        <f t="shared" ca="1" si="3"/>
        <v/>
      </c>
      <c r="F71" s="286" t="str">
        <f t="shared" ca="1" si="4"/>
        <v/>
      </c>
      <c r="G71" s="287" t="str">
        <f t="shared" ca="1" si="5"/>
        <v/>
      </c>
      <c r="H71" s="288" t="str">
        <f t="shared" ca="1" si="6"/>
        <v/>
      </c>
      <c r="I71" s="308"/>
      <c r="J71" s="320"/>
      <c r="K71" s="320" t="s">
        <v>59</v>
      </c>
      <c r="L71" s="320"/>
      <c r="M71" s="320"/>
      <c r="N71" s="320"/>
      <c r="O71" s="320"/>
      <c r="P71" s="320"/>
      <c r="Q71" s="321"/>
      <c r="R71" s="322" t="s">
        <v>176</v>
      </c>
      <c r="S71" s="331">
        <v>45839</v>
      </c>
      <c r="T71" s="325">
        <v>45842</v>
      </c>
      <c r="U71" s="330"/>
      <c r="V71" s="325"/>
      <c r="W71" s="326">
        <v>0</v>
      </c>
      <c r="X71" s="327"/>
      <c r="Y71" s="328"/>
      <c r="Z71" s="329"/>
      <c r="AA71" s="300"/>
      <c r="AB71" s="301"/>
      <c r="AC71" s="302"/>
      <c r="AD71" s="303"/>
      <c r="AE71" s="304"/>
      <c r="AF71" s="305"/>
      <c r="AG71" s="305">
        <f t="shared" ca="1" si="7"/>
        <v>0</v>
      </c>
      <c r="AH71" s="305">
        <f t="shared" ca="1" si="8"/>
        <v>0</v>
      </c>
      <c r="AI71" s="305">
        <f t="shared" si="9"/>
        <v>0</v>
      </c>
      <c r="AJ71" s="305">
        <f t="shared" ca="1" si="10"/>
        <v>0</v>
      </c>
      <c r="AK71" s="305" t="str">
        <f t="shared" ca="1" si="11"/>
        <v/>
      </c>
      <c r="AL71" s="306">
        <f t="shared" ca="1" si="12"/>
        <v>1</v>
      </c>
      <c r="AM71" s="306">
        <f t="shared" ca="1" si="13"/>
        <v>10</v>
      </c>
      <c r="AN71" s="306">
        <f t="shared" ca="1" si="14"/>
        <v>1</v>
      </c>
      <c r="AO71" s="306">
        <f t="shared" ca="1" si="15"/>
        <v>0</v>
      </c>
      <c r="AP71" s="306">
        <f t="shared" ca="1" si="16"/>
        <v>0</v>
      </c>
      <c r="AQ71" s="306">
        <f t="shared" ca="1" si="17"/>
        <v>0</v>
      </c>
      <c r="AR71" s="306">
        <f t="shared" ca="1" si="18"/>
        <v>0</v>
      </c>
      <c r="AS71" s="307"/>
      <c r="AT71" s="306">
        <f t="shared" si="19"/>
        <v>4</v>
      </c>
    </row>
    <row r="72" spans="1:46" ht="15.75" customHeight="1">
      <c r="A72" s="284"/>
      <c r="B72" s="285">
        <f t="shared" ca="1" si="0"/>
        <v>1</v>
      </c>
      <c r="C72" s="286">
        <f t="shared" ca="1" si="1"/>
        <v>10</v>
      </c>
      <c r="D72" s="286">
        <f t="shared" ca="1" si="2"/>
        <v>2</v>
      </c>
      <c r="E72" s="286" t="str">
        <f t="shared" ca="1" si="3"/>
        <v/>
      </c>
      <c r="F72" s="286" t="str">
        <f t="shared" ca="1" si="4"/>
        <v/>
      </c>
      <c r="G72" s="287" t="str">
        <f t="shared" ca="1" si="5"/>
        <v/>
      </c>
      <c r="H72" s="288" t="str">
        <f t="shared" ca="1" si="6"/>
        <v/>
      </c>
      <c r="I72" s="308"/>
      <c r="J72" s="320"/>
      <c r="K72" s="320" t="s">
        <v>145</v>
      </c>
      <c r="L72" s="320"/>
      <c r="M72" s="320"/>
      <c r="N72" s="320"/>
      <c r="O72" s="320"/>
      <c r="P72" s="320"/>
      <c r="Q72" s="321"/>
      <c r="R72" s="322" t="s">
        <v>175</v>
      </c>
      <c r="S72" s="331">
        <v>45845</v>
      </c>
      <c r="T72" s="325">
        <v>45845</v>
      </c>
      <c r="U72" s="330"/>
      <c r="V72" s="325"/>
      <c r="W72" s="326">
        <v>0</v>
      </c>
      <c r="X72" s="327"/>
      <c r="Y72" s="328"/>
      <c r="Z72" s="329"/>
      <c r="AA72" s="300"/>
      <c r="AB72" s="301"/>
      <c r="AC72" s="302"/>
      <c r="AD72" s="303"/>
      <c r="AE72" s="304"/>
      <c r="AF72" s="305"/>
      <c r="AG72" s="305">
        <f t="shared" ca="1" si="7"/>
        <v>0</v>
      </c>
      <c r="AH72" s="305">
        <f t="shared" ca="1" si="8"/>
        <v>0</v>
      </c>
      <c r="AI72" s="305">
        <f t="shared" si="9"/>
        <v>0</v>
      </c>
      <c r="AJ72" s="305">
        <f t="shared" ca="1" si="10"/>
        <v>0</v>
      </c>
      <c r="AK72" s="305" t="str">
        <f t="shared" ca="1" si="11"/>
        <v/>
      </c>
      <c r="AL72" s="306">
        <f t="shared" ca="1" si="12"/>
        <v>1</v>
      </c>
      <c r="AM72" s="306">
        <f t="shared" ca="1" si="13"/>
        <v>10</v>
      </c>
      <c r="AN72" s="306">
        <f t="shared" ca="1" si="14"/>
        <v>2</v>
      </c>
      <c r="AO72" s="306">
        <f t="shared" ca="1" si="15"/>
        <v>0</v>
      </c>
      <c r="AP72" s="306">
        <f t="shared" ca="1" si="16"/>
        <v>0</v>
      </c>
      <c r="AQ72" s="306">
        <f t="shared" ca="1" si="17"/>
        <v>0</v>
      </c>
      <c r="AR72" s="306">
        <f t="shared" ca="1" si="18"/>
        <v>0</v>
      </c>
      <c r="AS72" s="307"/>
      <c r="AT72" s="306">
        <f t="shared" si="19"/>
        <v>1</v>
      </c>
    </row>
    <row r="73" spans="1:46" ht="15.75" customHeight="1">
      <c r="A73" s="284"/>
      <c r="B73" s="285">
        <f t="shared" ca="1" si="0"/>
        <v>1</v>
      </c>
      <c r="C73" s="286">
        <f t="shared" ca="1" si="1"/>
        <v>10</v>
      </c>
      <c r="D73" s="286">
        <f t="shared" ca="1" si="2"/>
        <v>3</v>
      </c>
      <c r="E73" s="286" t="str">
        <f t="shared" ca="1" si="3"/>
        <v/>
      </c>
      <c r="F73" s="286" t="str">
        <f t="shared" ca="1" si="4"/>
        <v/>
      </c>
      <c r="G73" s="287" t="str">
        <f t="shared" ca="1" si="5"/>
        <v/>
      </c>
      <c r="H73" s="288" t="str">
        <f t="shared" ca="1" si="6"/>
        <v/>
      </c>
      <c r="I73" s="308"/>
      <c r="J73" s="320"/>
      <c r="K73" s="320" t="s">
        <v>63</v>
      </c>
      <c r="L73" s="320"/>
      <c r="M73" s="320"/>
      <c r="N73" s="320"/>
      <c r="O73" s="320"/>
      <c r="P73" s="320"/>
      <c r="Q73" s="321"/>
      <c r="R73" s="322" t="s">
        <v>176</v>
      </c>
      <c r="S73" s="331">
        <v>45846</v>
      </c>
      <c r="T73" s="325">
        <v>45846</v>
      </c>
      <c r="U73" s="330"/>
      <c r="V73" s="325"/>
      <c r="W73" s="326">
        <v>0</v>
      </c>
      <c r="X73" s="327"/>
      <c r="Y73" s="328"/>
      <c r="Z73" s="329"/>
      <c r="AA73" s="300"/>
      <c r="AB73" s="301"/>
      <c r="AC73" s="302"/>
      <c r="AD73" s="303"/>
      <c r="AE73" s="304"/>
      <c r="AF73" s="305"/>
      <c r="AG73" s="305">
        <f t="shared" ca="1" si="7"/>
        <v>0</v>
      </c>
      <c r="AH73" s="305">
        <f t="shared" ca="1" si="8"/>
        <v>0</v>
      </c>
      <c r="AI73" s="305">
        <f t="shared" si="9"/>
        <v>0</v>
      </c>
      <c r="AJ73" s="305">
        <f t="shared" ca="1" si="10"/>
        <v>0</v>
      </c>
      <c r="AK73" s="305" t="str">
        <f t="shared" ca="1" si="11"/>
        <v/>
      </c>
      <c r="AL73" s="306">
        <f t="shared" ca="1" si="12"/>
        <v>1</v>
      </c>
      <c r="AM73" s="306">
        <f t="shared" ca="1" si="13"/>
        <v>10</v>
      </c>
      <c r="AN73" s="306">
        <f t="shared" ca="1" si="14"/>
        <v>3</v>
      </c>
      <c r="AO73" s="306">
        <f t="shared" ca="1" si="15"/>
        <v>0</v>
      </c>
      <c r="AP73" s="306">
        <f t="shared" ca="1" si="16"/>
        <v>0</v>
      </c>
      <c r="AQ73" s="306">
        <f t="shared" ca="1" si="17"/>
        <v>0</v>
      </c>
      <c r="AR73" s="306">
        <f t="shared" ca="1" si="18"/>
        <v>0</v>
      </c>
      <c r="AS73" s="307"/>
      <c r="AT73" s="306">
        <f t="shared" si="19"/>
        <v>1</v>
      </c>
    </row>
    <row r="74" spans="1:46" ht="15.75" customHeight="1">
      <c r="A74" s="284"/>
      <c r="B74" s="285">
        <f t="shared" ca="1" si="0"/>
        <v>1</v>
      </c>
      <c r="C74" s="286">
        <f t="shared" ca="1" si="1"/>
        <v>10</v>
      </c>
      <c r="D74" s="286">
        <f t="shared" ca="1" si="2"/>
        <v>4</v>
      </c>
      <c r="E74" s="286" t="str">
        <f t="shared" ca="1" si="3"/>
        <v/>
      </c>
      <c r="F74" s="286" t="str">
        <f t="shared" ca="1" si="4"/>
        <v/>
      </c>
      <c r="G74" s="287" t="str">
        <f t="shared" ca="1" si="5"/>
        <v/>
      </c>
      <c r="H74" s="288" t="str">
        <f t="shared" ca="1" si="6"/>
        <v/>
      </c>
      <c r="I74" s="308"/>
      <c r="J74" s="320"/>
      <c r="K74" s="320" t="s">
        <v>64</v>
      </c>
      <c r="L74" s="320"/>
      <c r="M74" s="320"/>
      <c r="N74" s="320"/>
      <c r="O74" s="320"/>
      <c r="P74" s="320"/>
      <c r="Q74" s="321"/>
      <c r="R74" s="322" t="s">
        <v>175</v>
      </c>
      <c r="S74" s="331">
        <v>45846</v>
      </c>
      <c r="T74" s="325">
        <v>45846</v>
      </c>
      <c r="U74" s="330"/>
      <c r="V74" s="325"/>
      <c r="W74" s="326">
        <v>0</v>
      </c>
      <c r="X74" s="327"/>
      <c r="Y74" s="328"/>
      <c r="Z74" s="329"/>
      <c r="AA74" s="300"/>
      <c r="AB74" s="301"/>
      <c r="AC74" s="302"/>
      <c r="AD74" s="303"/>
      <c r="AE74" s="304"/>
      <c r="AF74" s="305"/>
      <c r="AG74" s="305">
        <f t="shared" ca="1" si="7"/>
        <v>0</v>
      </c>
      <c r="AH74" s="305">
        <f t="shared" ca="1" si="8"/>
        <v>0</v>
      </c>
      <c r="AI74" s="305">
        <f t="shared" si="9"/>
        <v>0</v>
      </c>
      <c r="AJ74" s="305">
        <f t="shared" ca="1" si="10"/>
        <v>0</v>
      </c>
      <c r="AK74" s="305" t="str">
        <f t="shared" ca="1" si="11"/>
        <v/>
      </c>
      <c r="AL74" s="306">
        <f t="shared" ca="1" si="12"/>
        <v>1</v>
      </c>
      <c r="AM74" s="306">
        <f t="shared" ca="1" si="13"/>
        <v>10</v>
      </c>
      <c r="AN74" s="306">
        <f t="shared" ca="1" si="14"/>
        <v>4</v>
      </c>
      <c r="AO74" s="306">
        <f t="shared" ca="1" si="15"/>
        <v>0</v>
      </c>
      <c r="AP74" s="306">
        <f t="shared" ca="1" si="16"/>
        <v>0</v>
      </c>
      <c r="AQ74" s="306">
        <f t="shared" ca="1" si="17"/>
        <v>0</v>
      </c>
      <c r="AR74" s="306">
        <f t="shared" ca="1" si="18"/>
        <v>0</v>
      </c>
      <c r="AS74" s="307"/>
      <c r="AT74" s="306">
        <f t="shared" si="19"/>
        <v>1</v>
      </c>
    </row>
    <row r="75" spans="1:46" ht="15.75" customHeight="1">
      <c r="A75" s="284"/>
      <c r="B75" s="285">
        <f t="shared" ca="1" si="0"/>
        <v>1</v>
      </c>
      <c r="C75" s="286">
        <f t="shared" ca="1" si="1"/>
        <v>10</v>
      </c>
      <c r="D75" s="286">
        <f t="shared" ca="1" si="2"/>
        <v>5</v>
      </c>
      <c r="E75" s="286" t="str">
        <f t="shared" ca="1" si="3"/>
        <v/>
      </c>
      <c r="F75" s="286" t="str">
        <f t="shared" ca="1" si="4"/>
        <v/>
      </c>
      <c r="G75" s="287" t="str">
        <f t="shared" ca="1" si="5"/>
        <v/>
      </c>
      <c r="H75" s="288" t="str">
        <f t="shared" ca="1" si="6"/>
        <v/>
      </c>
      <c r="I75" s="308"/>
      <c r="J75" s="320"/>
      <c r="K75" s="320" t="s">
        <v>65</v>
      </c>
      <c r="L75" s="320"/>
      <c r="M75" s="320"/>
      <c r="N75" s="320"/>
      <c r="O75" s="320"/>
      <c r="P75" s="320"/>
      <c r="Q75" s="321"/>
      <c r="R75" s="322" t="s">
        <v>176</v>
      </c>
      <c r="S75" s="331">
        <v>45847</v>
      </c>
      <c r="T75" s="325">
        <v>45847</v>
      </c>
      <c r="U75" s="330"/>
      <c r="V75" s="325"/>
      <c r="W75" s="326">
        <v>0</v>
      </c>
      <c r="X75" s="327"/>
      <c r="Y75" s="328"/>
      <c r="Z75" s="329"/>
      <c r="AA75" s="300"/>
      <c r="AB75" s="301"/>
      <c r="AC75" s="302"/>
      <c r="AD75" s="303"/>
      <c r="AE75" s="304"/>
      <c r="AF75" s="305"/>
      <c r="AG75" s="305">
        <f t="shared" ca="1" si="7"/>
        <v>0</v>
      </c>
      <c r="AH75" s="305">
        <f t="shared" ca="1" si="8"/>
        <v>0</v>
      </c>
      <c r="AI75" s="305">
        <f t="shared" si="9"/>
        <v>0</v>
      </c>
      <c r="AJ75" s="305">
        <f t="shared" ca="1" si="10"/>
        <v>0</v>
      </c>
      <c r="AK75" s="305" t="str">
        <f t="shared" ca="1" si="11"/>
        <v/>
      </c>
      <c r="AL75" s="306">
        <f t="shared" ca="1" si="12"/>
        <v>1</v>
      </c>
      <c r="AM75" s="306">
        <f t="shared" ca="1" si="13"/>
        <v>10</v>
      </c>
      <c r="AN75" s="306">
        <f t="shared" ca="1" si="14"/>
        <v>5</v>
      </c>
      <c r="AO75" s="306">
        <f t="shared" ca="1" si="15"/>
        <v>0</v>
      </c>
      <c r="AP75" s="306">
        <f t="shared" ca="1" si="16"/>
        <v>0</v>
      </c>
      <c r="AQ75" s="306">
        <f t="shared" ca="1" si="17"/>
        <v>0</v>
      </c>
      <c r="AR75" s="306">
        <f t="shared" ca="1" si="18"/>
        <v>0</v>
      </c>
      <c r="AS75" s="307"/>
      <c r="AT75" s="306">
        <f t="shared" si="19"/>
        <v>1</v>
      </c>
    </row>
    <row r="76" spans="1:46" ht="15.75" customHeight="1">
      <c r="A76" s="284"/>
      <c r="B76" s="285">
        <f t="shared" ca="1" si="0"/>
        <v>1</v>
      </c>
      <c r="C76" s="286">
        <f t="shared" ca="1" si="1"/>
        <v>10</v>
      </c>
      <c r="D76" s="286">
        <f t="shared" ca="1" si="2"/>
        <v>6</v>
      </c>
      <c r="E76" s="286" t="str">
        <f t="shared" ca="1" si="3"/>
        <v/>
      </c>
      <c r="F76" s="286" t="str">
        <f t="shared" ca="1" si="4"/>
        <v/>
      </c>
      <c r="G76" s="287" t="str">
        <f t="shared" ca="1" si="5"/>
        <v/>
      </c>
      <c r="H76" s="288" t="str">
        <f t="shared" ca="1" si="6"/>
        <v/>
      </c>
      <c r="I76" s="308"/>
      <c r="J76" s="320"/>
      <c r="K76" s="320" t="s">
        <v>66</v>
      </c>
      <c r="L76" s="320"/>
      <c r="M76" s="320"/>
      <c r="N76" s="320"/>
      <c r="O76" s="320"/>
      <c r="P76" s="320"/>
      <c r="Q76" s="321"/>
      <c r="R76" s="322" t="s">
        <v>175</v>
      </c>
      <c r="S76" s="331">
        <v>45848</v>
      </c>
      <c r="T76" s="325">
        <v>45848</v>
      </c>
      <c r="U76" s="330"/>
      <c r="V76" s="325"/>
      <c r="W76" s="326">
        <v>0</v>
      </c>
      <c r="X76" s="327"/>
      <c r="Y76" s="328"/>
      <c r="Z76" s="329"/>
      <c r="AA76" s="300"/>
      <c r="AB76" s="301"/>
      <c r="AC76" s="302"/>
      <c r="AD76" s="303"/>
      <c r="AE76" s="304"/>
      <c r="AF76" s="305"/>
      <c r="AG76" s="305">
        <f t="shared" ca="1" si="7"/>
        <v>0</v>
      </c>
      <c r="AH76" s="305">
        <f t="shared" ca="1" si="8"/>
        <v>0</v>
      </c>
      <c r="AI76" s="305">
        <f t="shared" si="9"/>
        <v>0</v>
      </c>
      <c r="AJ76" s="305">
        <f t="shared" ca="1" si="10"/>
        <v>0</v>
      </c>
      <c r="AK76" s="305" t="str">
        <f t="shared" ca="1" si="11"/>
        <v/>
      </c>
      <c r="AL76" s="306">
        <f t="shared" ca="1" si="12"/>
        <v>1</v>
      </c>
      <c r="AM76" s="306">
        <f t="shared" ca="1" si="13"/>
        <v>10</v>
      </c>
      <c r="AN76" s="306">
        <f t="shared" ca="1" si="14"/>
        <v>6</v>
      </c>
      <c r="AO76" s="306">
        <f t="shared" ca="1" si="15"/>
        <v>0</v>
      </c>
      <c r="AP76" s="306">
        <f t="shared" ca="1" si="16"/>
        <v>0</v>
      </c>
      <c r="AQ76" s="306">
        <f t="shared" ca="1" si="17"/>
        <v>0</v>
      </c>
      <c r="AR76" s="306">
        <f t="shared" ca="1" si="18"/>
        <v>0</v>
      </c>
      <c r="AS76" s="307"/>
      <c r="AT76" s="306">
        <f t="shared" si="19"/>
        <v>1</v>
      </c>
    </row>
    <row r="77" spans="1:46" ht="15.75" customHeight="1">
      <c r="A77" s="284"/>
      <c r="B77" s="285">
        <f t="shared" ca="1" si="0"/>
        <v>1</v>
      </c>
      <c r="C77" s="286">
        <f t="shared" ca="1" si="1"/>
        <v>11</v>
      </c>
      <c r="D77" s="286" t="str">
        <f t="shared" ca="1" si="2"/>
        <v/>
      </c>
      <c r="E77" s="286" t="str">
        <f t="shared" ca="1" si="3"/>
        <v/>
      </c>
      <c r="F77" s="286" t="str">
        <f t="shared" ca="1" si="4"/>
        <v/>
      </c>
      <c r="G77" s="287" t="str">
        <f t="shared" ca="1" si="5"/>
        <v/>
      </c>
      <c r="H77" s="288" t="str">
        <f t="shared" ca="1" si="6"/>
        <v/>
      </c>
      <c r="I77" s="308"/>
      <c r="J77" s="309" t="s">
        <v>190</v>
      </c>
      <c r="K77" s="310"/>
      <c r="L77" s="310"/>
      <c r="M77" s="310"/>
      <c r="N77" s="310"/>
      <c r="O77" s="310"/>
      <c r="P77" s="310"/>
      <c r="Q77" s="311" t="s">
        <v>73</v>
      </c>
      <c r="R77" s="312"/>
      <c r="S77" s="313"/>
      <c r="T77" s="314"/>
      <c r="U77" s="315"/>
      <c r="V77" s="314"/>
      <c r="W77" s="316"/>
      <c r="X77" s="317"/>
      <c r="Y77" s="318"/>
      <c r="Z77" s="319"/>
      <c r="AA77" s="300"/>
      <c r="AB77" s="301"/>
      <c r="AC77" s="302"/>
      <c r="AD77" s="303"/>
      <c r="AE77" s="304"/>
      <c r="AF77" s="305"/>
      <c r="AG77" s="305">
        <f t="shared" si="7"/>
        <v>0</v>
      </c>
      <c r="AH77" s="305">
        <f t="shared" si="8"/>
        <v>0</v>
      </c>
      <c r="AI77" s="305">
        <f t="shared" si="9"/>
        <v>0</v>
      </c>
      <c r="AJ77" s="305">
        <f t="shared" si="10"/>
        <v>0</v>
      </c>
      <c r="AK77" s="305" t="str">
        <f t="shared" si="11"/>
        <v/>
      </c>
      <c r="AL77" s="306">
        <f t="shared" ca="1" si="12"/>
        <v>1</v>
      </c>
      <c r="AM77" s="306">
        <f t="shared" ca="1" si="13"/>
        <v>11</v>
      </c>
      <c r="AN77" s="306">
        <f t="shared" ca="1" si="14"/>
        <v>0</v>
      </c>
      <c r="AO77" s="306">
        <f t="shared" ca="1" si="15"/>
        <v>0</v>
      </c>
      <c r="AP77" s="306">
        <f t="shared" ca="1" si="16"/>
        <v>0</v>
      </c>
      <c r="AQ77" s="306">
        <f t="shared" ca="1" si="17"/>
        <v>0</v>
      </c>
      <c r="AR77" s="306">
        <f t="shared" ca="1" si="18"/>
        <v>0</v>
      </c>
      <c r="AS77" s="307"/>
      <c r="AT77" s="306">
        <f t="shared" si="19"/>
        <v>1</v>
      </c>
    </row>
    <row r="78" spans="1:46" ht="15.75" customHeight="1">
      <c r="A78" s="284"/>
      <c r="B78" s="285">
        <f t="shared" ca="1" si="0"/>
        <v>1</v>
      </c>
      <c r="C78" s="286">
        <f t="shared" ca="1" si="1"/>
        <v>11</v>
      </c>
      <c r="D78" s="286">
        <f t="shared" ca="1" si="2"/>
        <v>1</v>
      </c>
      <c r="E78" s="286" t="str">
        <f t="shared" ca="1" si="3"/>
        <v/>
      </c>
      <c r="F78" s="286" t="str">
        <f t="shared" ca="1" si="4"/>
        <v/>
      </c>
      <c r="G78" s="287" t="str">
        <f t="shared" ca="1" si="5"/>
        <v/>
      </c>
      <c r="H78" s="288" t="str">
        <f t="shared" ca="1" si="6"/>
        <v/>
      </c>
      <c r="I78" s="308"/>
      <c r="J78" s="320"/>
      <c r="K78" s="320" t="s">
        <v>59</v>
      </c>
      <c r="L78" s="320"/>
      <c r="M78" s="320"/>
      <c r="N78" s="320"/>
      <c r="O78" s="320"/>
      <c r="P78" s="320"/>
      <c r="Q78" s="321"/>
      <c r="R78" s="322"/>
      <c r="S78" s="331"/>
      <c r="T78" s="325"/>
      <c r="U78" s="330"/>
      <c r="V78" s="325"/>
      <c r="W78" s="326">
        <v>0</v>
      </c>
      <c r="X78" s="327"/>
      <c r="Y78" s="328"/>
      <c r="Z78" s="329"/>
      <c r="AA78" s="300"/>
      <c r="AB78" s="301"/>
      <c r="AC78" s="302"/>
      <c r="AD78" s="303"/>
      <c r="AE78" s="304"/>
      <c r="AF78" s="305"/>
      <c r="AG78" s="305">
        <f t="shared" si="7"/>
        <v>0</v>
      </c>
      <c r="AH78" s="305">
        <f t="shared" si="8"/>
        <v>0</v>
      </c>
      <c r="AI78" s="305">
        <f t="shared" si="9"/>
        <v>0</v>
      </c>
      <c r="AJ78" s="305">
        <f t="shared" si="10"/>
        <v>0</v>
      </c>
      <c r="AK78" s="305" t="str">
        <f t="shared" si="11"/>
        <v/>
      </c>
      <c r="AL78" s="306">
        <f t="shared" ca="1" si="12"/>
        <v>1</v>
      </c>
      <c r="AM78" s="306">
        <f t="shared" ca="1" si="13"/>
        <v>11</v>
      </c>
      <c r="AN78" s="306">
        <f t="shared" ca="1" si="14"/>
        <v>1</v>
      </c>
      <c r="AO78" s="306">
        <f t="shared" ca="1" si="15"/>
        <v>0</v>
      </c>
      <c r="AP78" s="306">
        <f t="shared" ca="1" si="16"/>
        <v>0</v>
      </c>
      <c r="AQ78" s="306">
        <f t="shared" ca="1" si="17"/>
        <v>0</v>
      </c>
      <c r="AR78" s="306">
        <f t="shared" ca="1" si="18"/>
        <v>0</v>
      </c>
      <c r="AS78" s="307"/>
      <c r="AT78" s="306">
        <f t="shared" si="19"/>
        <v>1</v>
      </c>
    </row>
    <row r="79" spans="1:46" ht="15.75" customHeight="1">
      <c r="A79" s="284"/>
      <c r="B79" s="285">
        <f t="shared" ca="1" si="0"/>
        <v>1</v>
      </c>
      <c r="C79" s="286">
        <f t="shared" ca="1" si="1"/>
        <v>11</v>
      </c>
      <c r="D79" s="286">
        <f t="shared" ca="1" si="2"/>
        <v>2</v>
      </c>
      <c r="E79" s="286" t="str">
        <f t="shared" ca="1" si="3"/>
        <v/>
      </c>
      <c r="F79" s="286" t="str">
        <f t="shared" ca="1" si="4"/>
        <v/>
      </c>
      <c r="G79" s="287" t="str">
        <f t="shared" ca="1" si="5"/>
        <v/>
      </c>
      <c r="H79" s="288" t="str">
        <f t="shared" ca="1" si="6"/>
        <v/>
      </c>
      <c r="I79" s="308"/>
      <c r="J79" s="320"/>
      <c r="K79" s="320" t="s">
        <v>145</v>
      </c>
      <c r="L79" s="320"/>
      <c r="M79" s="320"/>
      <c r="N79" s="320"/>
      <c r="O79" s="320"/>
      <c r="P79" s="320"/>
      <c r="Q79" s="321"/>
      <c r="R79" s="322"/>
      <c r="S79" s="331"/>
      <c r="T79" s="325"/>
      <c r="U79" s="330"/>
      <c r="V79" s="325"/>
      <c r="W79" s="326">
        <v>0</v>
      </c>
      <c r="X79" s="327"/>
      <c r="Y79" s="328"/>
      <c r="Z79" s="329"/>
      <c r="AA79" s="300"/>
      <c r="AB79" s="301"/>
      <c r="AC79" s="302"/>
      <c r="AD79" s="303"/>
      <c r="AE79" s="304"/>
      <c r="AF79" s="305"/>
      <c r="AG79" s="305">
        <f t="shared" si="7"/>
        <v>0</v>
      </c>
      <c r="AH79" s="305">
        <f t="shared" si="8"/>
        <v>0</v>
      </c>
      <c r="AI79" s="305">
        <f t="shared" si="9"/>
        <v>0</v>
      </c>
      <c r="AJ79" s="305">
        <f t="shared" si="10"/>
        <v>0</v>
      </c>
      <c r="AK79" s="305" t="str">
        <f t="shared" si="11"/>
        <v/>
      </c>
      <c r="AL79" s="306">
        <f t="shared" ca="1" si="12"/>
        <v>1</v>
      </c>
      <c r="AM79" s="306">
        <f t="shared" ca="1" si="13"/>
        <v>11</v>
      </c>
      <c r="AN79" s="306">
        <f t="shared" ca="1" si="14"/>
        <v>2</v>
      </c>
      <c r="AO79" s="306">
        <f t="shared" ca="1" si="15"/>
        <v>0</v>
      </c>
      <c r="AP79" s="306">
        <f t="shared" ca="1" si="16"/>
        <v>0</v>
      </c>
      <c r="AQ79" s="306">
        <f t="shared" ca="1" si="17"/>
        <v>0</v>
      </c>
      <c r="AR79" s="306">
        <f t="shared" ca="1" si="18"/>
        <v>0</v>
      </c>
      <c r="AS79" s="307"/>
      <c r="AT79" s="306">
        <f t="shared" si="19"/>
        <v>1</v>
      </c>
    </row>
    <row r="80" spans="1:46" ht="15.75" customHeight="1">
      <c r="A80" s="284"/>
      <c r="B80" s="285">
        <f t="shared" ca="1" si="0"/>
        <v>1</v>
      </c>
      <c r="C80" s="286">
        <f t="shared" ca="1" si="1"/>
        <v>11</v>
      </c>
      <c r="D80" s="286">
        <f t="shared" ca="1" si="2"/>
        <v>3</v>
      </c>
      <c r="E80" s="286" t="str">
        <f t="shared" ca="1" si="3"/>
        <v/>
      </c>
      <c r="F80" s="286" t="str">
        <f t="shared" ca="1" si="4"/>
        <v/>
      </c>
      <c r="G80" s="287" t="str">
        <f t="shared" ca="1" si="5"/>
        <v/>
      </c>
      <c r="H80" s="288" t="str">
        <f t="shared" ca="1" si="6"/>
        <v/>
      </c>
      <c r="I80" s="308"/>
      <c r="J80" s="320"/>
      <c r="K80" s="320" t="s">
        <v>63</v>
      </c>
      <c r="L80" s="320"/>
      <c r="M80" s="320"/>
      <c r="N80" s="320"/>
      <c r="O80" s="320"/>
      <c r="P80" s="320"/>
      <c r="Q80" s="321"/>
      <c r="R80" s="322"/>
      <c r="S80" s="331"/>
      <c r="T80" s="325"/>
      <c r="U80" s="330"/>
      <c r="V80" s="325"/>
      <c r="W80" s="326">
        <v>0</v>
      </c>
      <c r="X80" s="327"/>
      <c r="Y80" s="328"/>
      <c r="Z80" s="329"/>
      <c r="AA80" s="300"/>
      <c r="AB80" s="301"/>
      <c r="AC80" s="302"/>
      <c r="AD80" s="303"/>
      <c r="AE80" s="304"/>
      <c r="AF80" s="305"/>
      <c r="AG80" s="305">
        <f t="shared" si="7"/>
        <v>0</v>
      </c>
      <c r="AH80" s="305">
        <f t="shared" si="8"/>
        <v>0</v>
      </c>
      <c r="AI80" s="305">
        <f t="shared" si="9"/>
        <v>0</v>
      </c>
      <c r="AJ80" s="305">
        <f t="shared" si="10"/>
        <v>0</v>
      </c>
      <c r="AK80" s="305" t="str">
        <f t="shared" si="11"/>
        <v/>
      </c>
      <c r="AL80" s="306">
        <f t="shared" ca="1" si="12"/>
        <v>1</v>
      </c>
      <c r="AM80" s="306">
        <f t="shared" ca="1" si="13"/>
        <v>11</v>
      </c>
      <c r="AN80" s="306">
        <f t="shared" ca="1" si="14"/>
        <v>3</v>
      </c>
      <c r="AO80" s="306">
        <f t="shared" ca="1" si="15"/>
        <v>0</v>
      </c>
      <c r="AP80" s="306">
        <f t="shared" ca="1" si="16"/>
        <v>0</v>
      </c>
      <c r="AQ80" s="306">
        <f t="shared" ca="1" si="17"/>
        <v>0</v>
      </c>
      <c r="AR80" s="306">
        <f t="shared" ca="1" si="18"/>
        <v>0</v>
      </c>
      <c r="AS80" s="307"/>
      <c r="AT80" s="306">
        <f t="shared" si="19"/>
        <v>1</v>
      </c>
    </row>
    <row r="81" spans="1:46" ht="15.75" customHeight="1">
      <c r="A81" s="284"/>
      <c r="B81" s="285">
        <f t="shared" ca="1" si="0"/>
        <v>1</v>
      </c>
      <c r="C81" s="286">
        <f t="shared" ca="1" si="1"/>
        <v>11</v>
      </c>
      <c r="D81" s="286">
        <f t="shared" ca="1" si="2"/>
        <v>4</v>
      </c>
      <c r="E81" s="286" t="str">
        <f t="shared" ca="1" si="3"/>
        <v/>
      </c>
      <c r="F81" s="286" t="str">
        <f t="shared" ca="1" si="4"/>
        <v/>
      </c>
      <c r="G81" s="287" t="str">
        <f t="shared" ca="1" si="5"/>
        <v/>
      </c>
      <c r="H81" s="288" t="str">
        <f t="shared" ca="1" si="6"/>
        <v/>
      </c>
      <c r="I81" s="308"/>
      <c r="J81" s="320"/>
      <c r="K81" s="320" t="s">
        <v>64</v>
      </c>
      <c r="L81" s="320"/>
      <c r="M81" s="320"/>
      <c r="N81" s="320"/>
      <c r="O81" s="320"/>
      <c r="P81" s="320"/>
      <c r="Q81" s="321"/>
      <c r="R81" s="322"/>
      <c r="S81" s="331"/>
      <c r="T81" s="325"/>
      <c r="U81" s="330"/>
      <c r="V81" s="325"/>
      <c r="W81" s="326">
        <v>0</v>
      </c>
      <c r="X81" s="327"/>
      <c r="Y81" s="328"/>
      <c r="Z81" s="329"/>
      <c r="AA81" s="300"/>
      <c r="AB81" s="301"/>
      <c r="AC81" s="302"/>
      <c r="AD81" s="303"/>
      <c r="AE81" s="304"/>
      <c r="AF81" s="305"/>
      <c r="AG81" s="305">
        <f t="shared" si="7"/>
        <v>0</v>
      </c>
      <c r="AH81" s="305">
        <f t="shared" si="8"/>
        <v>0</v>
      </c>
      <c r="AI81" s="305">
        <f t="shared" si="9"/>
        <v>0</v>
      </c>
      <c r="AJ81" s="305">
        <f t="shared" si="10"/>
        <v>0</v>
      </c>
      <c r="AK81" s="305" t="str">
        <f t="shared" si="11"/>
        <v/>
      </c>
      <c r="AL81" s="306">
        <f t="shared" ca="1" si="12"/>
        <v>1</v>
      </c>
      <c r="AM81" s="306">
        <f t="shared" ca="1" si="13"/>
        <v>11</v>
      </c>
      <c r="AN81" s="306">
        <f t="shared" ca="1" si="14"/>
        <v>4</v>
      </c>
      <c r="AO81" s="306">
        <f t="shared" ca="1" si="15"/>
        <v>0</v>
      </c>
      <c r="AP81" s="306">
        <f t="shared" ca="1" si="16"/>
        <v>0</v>
      </c>
      <c r="AQ81" s="306">
        <f t="shared" ca="1" si="17"/>
        <v>0</v>
      </c>
      <c r="AR81" s="306">
        <f t="shared" ca="1" si="18"/>
        <v>0</v>
      </c>
      <c r="AS81" s="307"/>
      <c r="AT81" s="306">
        <f t="shared" si="19"/>
        <v>1</v>
      </c>
    </row>
    <row r="82" spans="1:46" ht="15.75" customHeight="1">
      <c r="A82" s="284"/>
      <c r="B82" s="285">
        <f t="shared" ca="1" si="0"/>
        <v>1</v>
      </c>
      <c r="C82" s="286">
        <f t="shared" ca="1" si="1"/>
        <v>11</v>
      </c>
      <c r="D82" s="286">
        <f t="shared" ca="1" si="2"/>
        <v>5</v>
      </c>
      <c r="E82" s="286" t="str">
        <f t="shared" ca="1" si="3"/>
        <v/>
      </c>
      <c r="F82" s="286" t="str">
        <f t="shared" ca="1" si="4"/>
        <v/>
      </c>
      <c r="G82" s="287" t="str">
        <f t="shared" ca="1" si="5"/>
        <v/>
      </c>
      <c r="H82" s="288" t="str">
        <f t="shared" ca="1" si="6"/>
        <v/>
      </c>
      <c r="I82" s="308"/>
      <c r="J82" s="320"/>
      <c r="K82" s="320" t="s">
        <v>65</v>
      </c>
      <c r="L82" s="320"/>
      <c r="M82" s="320"/>
      <c r="N82" s="320"/>
      <c r="O82" s="320"/>
      <c r="P82" s="320"/>
      <c r="Q82" s="321"/>
      <c r="R82" s="322"/>
      <c r="S82" s="331"/>
      <c r="T82" s="325"/>
      <c r="U82" s="330"/>
      <c r="V82" s="325"/>
      <c r="W82" s="326">
        <v>0</v>
      </c>
      <c r="X82" s="327"/>
      <c r="Y82" s="328"/>
      <c r="Z82" s="329"/>
      <c r="AA82" s="300"/>
      <c r="AB82" s="301"/>
      <c r="AC82" s="302"/>
      <c r="AD82" s="303"/>
      <c r="AE82" s="304"/>
      <c r="AF82" s="305"/>
      <c r="AG82" s="305">
        <f t="shared" si="7"/>
        <v>0</v>
      </c>
      <c r="AH82" s="305">
        <f t="shared" si="8"/>
        <v>0</v>
      </c>
      <c r="AI82" s="305">
        <f t="shared" si="9"/>
        <v>0</v>
      </c>
      <c r="AJ82" s="305">
        <f t="shared" si="10"/>
        <v>0</v>
      </c>
      <c r="AK82" s="305" t="str">
        <f t="shared" si="11"/>
        <v/>
      </c>
      <c r="AL82" s="306">
        <f t="shared" ca="1" si="12"/>
        <v>1</v>
      </c>
      <c r="AM82" s="306">
        <f t="shared" ca="1" si="13"/>
        <v>11</v>
      </c>
      <c r="AN82" s="306">
        <f t="shared" ca="1" si="14"/>
        <v>5</v>
      </c>
      <c r="AO82" s="306">
        <f t="shared" ca="1" si="15"/>
        <v>0</v>
      </c>
      <c r="AP82" s="306">
        <f t="shared" ca="1" si="16"/>
        <v>0</v>
      </c>
      <c r="AQ82" s="306">
        <f t="shared" ca="1" si="17"/>
        <v>0</v>
      </c>
      <c r="AR82" s="306">
        <f t="shared" ca="1" si="18"/>
        <v>0</v>
      </c>
      <c r="AS82" s="307"/>
      <c r="AT82" s="306">
        <f t="shared" si="19"/>
        <v>1</v>
      </c>
    </row>
    <row r="83" spans="1:46" ht="15.75" customHeight="1">
      <c r="A83" s="284"/>
      <c r="B83" s="285">
        <f t="shared" ca="1" si="0"/>
        <v>1</v>
      </c>
      <c r="C83" s="286">
        <f t="shared" ca="1" si="1"/>
        <v>11</v>
      </c>
      <c r="D83" s="286">
        <f t="shared" ca="1" si="2"/>
        <v>6</v>
      </c>
      <c r="E83" s="286" t="str">
        <f t="shared" ca="1" si="3"/>
        <v/>
      </c>
      <c r="F83" s="286" t="str">
        <f t="shared" ca="1" si="4"/>
        <v/>
      </c>
      <c r="G83" s="287" t="str">
        <f t="shared" ca="1" si="5"/>
        <v/>
      </c>
      <c r="H83" s="288" t="str">
        <f t="shared" ca="1" si="6"/>
        <v/>
      </c>
      <c r="I83" s="308"/>
      <c r="J83" s="320"/>
      <c r="K83" s="320" t="s">
        <v>66</v>
      </c>
      <c r="L83" s="320"/>
      <c r="M83" s="320"/>
      <c r="N83" s="320"/>
      <c r="O83" s="320"/>
      <c r="P83" s="320"/>
      <c r="Q83" s="321"/>
      <c r="R83" s="322"/>
      <c r="S83" s="331"/>
      <c r="T83" s="325"/>
      <c r="U83" s="330"/>
      <c r="V83" s="325"/>
      <c r="W83" s="326">
        <v>0</v>
      </c>
      <c r="X83" s="327"/>
      <c r="Y83" s="328"/>
      <c r="Z83" s="329"/>
      <c r="AA83" s="300"/>
      <c r="AB83" s="301"/>
      <c r="AC83" s="302"/>
      <c r="AD83" s="303"/>
      <c r="AE83" s="304"/>
      <c r="AF83" s="305"/>
      <c r="AG83" s="305">
        <f t="shared" si="7"/>
        <v>0</v>
      </c>
      <c r="AH83" s="305">
        <f t="shared" si="8"/>
        <v>0</v>
      </c>
      <c r="AI83" s="305">
        <f t="shared" si="9"/>
        <v>0</v>
      </c>
      <c r="AJ83" s="305">
        <f t="shared" si="10"/>
        <v>0</v>
      </c>
      <c r="AK83" s="305" t="str">
        <f t="shared" si="11"/>
        <v/>
      </c>
      <c r="AL83" s="306">
        <f t="shared" ca="1" si="12"/>
        <v>1</v>
      </c>
      <c r="AM83" s="306">
        <f t="shared" ca="1" si="13"/>
        <v>11</v>
      </c>
      <c r="AN83" s="306">
        <f t="shared" ca="1" si="14"/>
        <v>6</v>
      </c>
      <c r="AO83" s="306">
        <f t="shared" ca="1" si="15"/>
        <v>0</v>
      </c>
      <c r="AP83" s="306">
        <f t="shared" ca="1" si="16"/>
        <v>0</v>
      </c>
      <c r="AQ83" s="306">
        <f t="shared" ca="1" si="17"/>
        <v>0</v>
      </c>
      <c r="AR83" s="306">
        <f t="shared" ca="1" si="18"/>
        <v>0</v>
      </c>
      <c r="AS83" s="307"/>
      <c r="AT83" s="306">
        <f t="shared" si="19"/>
        <v>1</v>
      </c>
    </row>
    <row r="84" spans="1:46" ht="15.75" customHeight="1">
      <c r="A84" s="284"/>
      <c r="B84" s="285">
        <f t="shared" ca="1" si="0"/>
        <v>1</v>
      </c>
      <c r="C84" s="286">
        <f t="shared" ca="1" si="1"/>
        <v>12</v>
      </c>
      <c r="D84" s="286" t="str">
        <f t="shared" ca="1" si="2"/>
        <v/>
      </c>
      <c r="E84" s="286" t="str">
        <f t="shared" ca="1" si="3"/>
        <v/>
      </c>
      <c r="F84" s="286" t="str">
        <f t="shared" ca="1" si="4"/>
        <v/>
      </c>
      <c r="G84" s="287" t="str">
        <f t="shared" ca="1" si="5"/>
        <v/>
      </c>
      <c r="H84" s="288" t="str">
        <f t="shared" ca="1" si="6"/>
        <v/>
      </c>
      <c r="I84" s="308"/>
      <c r="J84" s="309" t="s">
        <v>191</v>
      </c>
      <c r="K84" s="310"/>
      <c r="L84" s="310"/>
      <c r="M84" s="310"/>
      <c r="N84" s="310"/>
      <c r="O84" s="310"/>
      <c r="P84" s="310"/>
      <c r="Q84" s="311" t="s">
        <v>81</v>
      </c>
      <c r="R84" s="312"/>
      <c r="S84" s="313"/>
      <c r="T84" s="314"/>
      <c r="U84" s="315"/>
      <c r="V84" s="314"/>
      <c r="W84" s="316"/>
      <c r="X84" s="317"/>
      <c r="Y84" s="318"/>
      <c r="Z84" s="319"/>
      <c r="AA84" s="300"/>
      <c r="AB84" s="301"/>
      <c r="AC84" s="302"/>
      <c r="AD84" s="303"/>
      <c r="AE84" s="304"/>
      <c r="AF84" s="305"/>
      <c r="AG84" s="305">
        <f t="shared" si="7"/>
        <v>0</v>
      </c>
      <c r="AH84" s="305">
        <f t="shared" si="8"/>
        <v>0</v>
      </c>
      <c r="AI84" s="305">
        <f t="shared" si="9"/>
        <v>0</v>
      </c>
      <c r="AJ84" s="305">
        <f t="shared" si="10"/>
        <v>0</v>
      </c>
      <c r="AK84" s="305" t="str">
        <f t="shared" si="11"/>
        <v/>
      </c>
      <c r="AL84" s="306">
        <f t="shared" ca="1" si="12"/>
        <v>1</v>
      </c>
      <c r="AM84" s="306">
        <f t="shared" ca="1" si="13"/>
        <v>12</v>
      </c>
      <c r="AN84" s="306">
        <f t="shared" ca="1" si="14"/>
        <v>0</v>
      </c>
      <c r="AO84" s="306">
        <f t="shared" ca="1" si="15"/>
        <v>0</v>
      </c>
      <c r="AP84" s="306">
        <f t="shared" ca="1" si="16"/>
        <v>0</v>
      </c>
      <c r="AQ84" s="306">
        <f t="shared" ca="1" si="17"/>
        <v>0</v>
      </c>
      <c r="AR84" s="306">
        <f t="shared" ca="1" si="18"/>
        <v>0</v>
      </c>
      <c r="AS84" s="307"/>
      <c r="AT84" s="306">
        <f t="shared" si="19"/>
        <v>1</v>
      </c>
    </row>
    <row r="85" spans="1:46" ht="15.75" customHeight="1">
      <c r="A85" s="284"/>
      <c r="B85" s="285">
        <f t="shared" ca="1" si="0"/>
        <v>1</v>
      </c>
      <c r="C85" s="286">
        <f t="shared" ca="1" si="1"/>
        <v>12</v>
      </c>
      <c r="D85" s="286">
        <f t="shared" ca="1" si="2"/>
        <v>1</v>
      </c>
      <c r="E85" s="286" t="str">
        <f t="shared" ca="1" si="3"/>
        <v/>
      </c>
      <c r="F85" s="286" t="str">
        <f t="shared" ca="1" si="4"/>
        <v/>
      </c>
      <c r="G85" s="287" t="str">
        <f t="shared" ca="1" si="5"/>
        <v/>
      </c>
      <c r="H85" s="288" t="str">
        <f t="shared" ca="1" si="6"/>
        <v/>
      </c>
      <c r="I85" s="308"/>
      <c r="J85" s="320"/>
      <c r="K85" s="320" t="s">
        <v>59</v>
      </c>
      <c r="L85" s="320"/>
      <c r="M85" s="320"/>
      <c r="N85" s="320"/>
      <c r="O85" s="320"/>
      <c r="P85" s="320"/>
      <c r="Q85" s="321"/>
      <c r="R85" s="322" t="s">
        <v>175</v>
      </c>
      <c r="S85" s="331">
        <v>45849</v>
      </c>
      <c r="T85" s="325">
        <v>45854</v>
      </c>
      <c r="U85" s="330"/>
      <c r="V85" s="325"/>
      <c r="W85" s="326">
        <v>0</v>
      </c>
      <c r="X85" s="327"/>
      <c r="Y85" s="328"/>
      <c r="Z85" s="329"/>
      <c r="AA85" s="300"/>
      <c r="AB85" s="301"/>
      <c r="AC85" s="302"/>
      <c r="AD85" s="303"/>
      <c r="AE85" s="304"/>
      <c r="AF85" s="305"/>
      <c r="AG85" s="305">
        <f t="shared" ca="1" si="7"/>
        <v>0</v>
      </c>
      <c r="AH85" s="305">
        <f t="shared" ca="1" si="8"/>
        <v>0</v>
      </c>
      <c r="AI85" s="305">
        <f t="shared" si="9"/>
        <v>0</v>
      </c>
      <c r="AJ85" s="305">
        <f t="shared" ca="1" si="10"/>
        <v>0</v>
      </c>
      <c r="AK85" s="305" t="str">
        <f t="shared" ca="1" si="11"/>
        <v/>
      </c>
      <c r="AL85" s="306">
        <f t="shared" ca="1" si="12"/>
        <v>1</v>
      </c>
      <c r="AM85" s="306">
        <f t="shared" ca="1" si="13"/>
        <v>12</v>
      </c>
      <c r="AN85" s="306">
        <f t="shared" ca="1" si="14"/>
        <v>1</v>
      </c>
      <c r="AO85" s="306">
        <f t="shared" ca="1" si="15"/>
        <v>0</v>
      </c>
      <c r="AP85" s="306">
        <f t="shared" ca="1" si="16"/>
        <v>0</v>
      </c>
      <c r="AQ85" s="306">
        <f t="shared" ca="1" si="17"/>
        <v>0</v>
      </c>
      <c r="AR85" s="306">
        <f t="shared" ca="1" si="18"/>
        <v>0</v>
      </c>
      <c r="AS85" s="307"/>
      <c r="AT85" s="306">
        <f t="shared" si="19"/>
        <v>6</v>
      </c>
    </row>
    <row r="86" spans="1:46" ht="15.75" customHeight="1">
      <c r="A86" s="284"/>
      <c r="B86" s="285">
        <f t="shared" ca="1" si="0"/>
        <v>1</v>
      </c>
      <c r="C86" s="286">
        <f t="shared" ca="1" si="1"/>
        <v>12</v>
      </c>
      <c r="D86" s="286">
        <f t="shared" ca="1" si="2"/>
        <v>2</v>
      </c>
      <c r="E86" s="286" t="str">
        <f t="shared" ca="1" si="3"/>
        <v/>
      </c>
      <c r="F86" s="286" t="str">
        <f t="shared" ca="1" si="4"/>
        <v/>
      </c>
      <c r="G86" s="287" t="str">
        <f t="shared" ca="1" si="5"/>
        <v/>
      </c>
      <c r="H86" s="288" t="str">
        <f t="shared" ca="1" si="6"/>
        <v/>
      </c>
      <c r="I86" s="308"/>
      <c r="J86" s="320"/>
      <c r="K86" s="320" t="s">
        <v>145</v>
      </c>
      <c r="L86" s="320"/>
      <c r="M86" s="320"/>
      <c r="N86" s="320"/>
      <c r="O86" s="320"/>
      <c r="P86" s="320"/>
      <c r="Q86" s="321"/>
      <c r="R86" s="322" t="s">
        <v>176</v>
      </c>
      <c r="S86" s="331">
        <v>45855</v>
      </c>
      <c r="T86" s="325">
        <v>45855</v>
      </c>
      <c r="U86" s="330"/>
      <c r="V86" s="325"/>
      <c r="W86" s="326">
        <v>0</v>
      </c>
      <c r="X86" s="327"/>
      <c r="Y86" s="328"/>
      <c r="Z86" s="329"/>
      <c r="AA86" s="300"/>
      <c r="AB86" s="301"/>
      <c r="AC86" s="302"/>
      <c r="AD86" s="303"/>
      <c r="AE86" s="304"/>
      <c r="AF86" s="305"/>
      <c r="AG86" s="305">
        <f t="shared" ca="1" si="7"/>
        <v>0</v>
      </c>
      <c r="AH86" s="305">
        <f t="shared" ca="1" si="8"/>
        <v>0</v>
      </c>
      <c r="AI86" s="305">
        <f t="shared" si="9"/>
        <v>0</v>
      </c>
      <c r="AJ86" s="305">
        <f t="shared" ca="1" si="10"/>
        <v>0</v>
      </c>
      <c r="AK86" s="305" t="str">
        <f t="shared" ca="1" si="11"/>
        <v/>
      </c>
      <c r="AL86" s="306">
        <f t="shared" ca="1" si="12"/>
        <v>1</v>
      </c>
      <c r="AM86" s="306">
        <f t="shared" ca="1" si="13"/>
        <v>12</v>
      </c>
      <c r="AN86" s="306">
        <f t="shared" ca="1" si="14"/>
        <v>2</v>
      </c>
      <c r="AO86" s="306">
        <f t="shared" ca="1" si="15"/>
        <v>0</v>
      </c>
      <c r="AP86" s="306">
        <f t="shared" ca="1" si="16"/>
        <v>0</v>
      </c>
      <c r="AQ86" s="306">
        <f t="shared" ca="1" si="17"/>
        <v>0</v>
      </c>
      <c r="AR86" s="306">
        <f t="shared" ca="1" si="18"/>
        <v>0</v>
      </c>
      <c r="AS86" s="307"/>
      <c r="AT86" s="306">
        <f t="shared" si="19"/>
        <v>1</v>
      </c>
    </row>
    <row r="87" spans="1:46" ht="15.75" customHeight="1">
      <c r="A87" s="284"/>
      <c r="B87" s="285">
        <f t="shared" ca="1" si="0"/>
        <v>1</v>
      </c>
      <c r="C87" s="286">
        <f t="shared" ca="1" si="1"/>
        <v>12</v>
      </c>
      <c r="D87" s="286">
        <f t="shared" ca="1" si="2"/>
        <v>3</v>
      </c>
      <c r="E87" s="286" t="str">
        <f t="shared" ca="1" si="3"/>
        <v/>
      </c>
      <c r="F87" s="286" t="str">
        <f t="shared" ca="1" si="4"/>
        <v/>
      </c>
      <c r="G87" s="287" t="str">
        <f t="shared" ca="1" si="5"/>
        <v/>
      </c>
      <c r="H87" s="288" t="str">
        <f t="shared" ca="1" si="6"/>
        <v/>
      </c>
      <c r="I87" s="308"/>
      <c r="J87" s="320"/>
      <c r="K87" s="320" t="s">
        <v>63</v>
      </c>
      <c r="L87" s="320"/>
      <c r="M87" s="320"/>
      <c r="N87" s="320"/>
      <c r="O87" s="320"/>
      <c r="P87" s="320"/>
      <c r="Q87" s="321"/>
      <c r="R87" s="322" t="s">
        <v>175</v>
      </c>
      <c r="S87" s="331">
        <v>45856</v>
      </c>
      <c r="T87" s="325">
        <v>45856</v>
      </c>
      <c r="U87" s="330"/>
      <c r="V87" s="325"/>
      <c r="W87" s="326">
        <v>0</v>
      </c>
      <c r="X87" s="327"/>
      <c r="Y87" s="328"/>
      <c r="Z87" s="329"/>
      <c r="AA87" s="300"/>
      <c r="AB87" s="301"/>
      <c r="AC87" s="302"/>
      <c r="AD87" s="303"/>
      <c r="AE87" s="304"/>
      <c r="AF87" s="305"/>
      <c r="AG87" s="305">
        <f t="shared" ca="1" si="7"/>
        <v>0</v>
      </c>
      <c r="AH87" s="305">
        <f t="shared" ca="1" si="8"/>
        <v>0</v>
      </c>
      <c r="AI87" s="305">
        <f t="shared" si="9"/>
        <v>0</v>
      </c>
      <c r="AJ87" s="305">
        <f t="shared" ca="1" si="10"/>
        <v>0</v>
      </c>
      <c r="AK87" s="305" t="str">
        <f t="shared" ca="1" si="11"/>
        <v/>
      </c>
      <c r="AL87" s="306">
        <f t="shared" ca="1" si="12"/>
        <v>1</v>
      </c>
      <c r="AM87" s="306">
        <f t="shared" ca="1" si="13"/>
        <v>12</v>
      </c>
      <c r="AN87" s="306">
        <f t="shared" ca="1" si="14"/>
        <v>3</v>
      </c>
      <c r="AO87" s="306">
        <f t="shared" ca="1" si="15"/>
        <v>0</v>
      </c>
      <c r="AP87" s="306">
        <f t="shared" ca="1" si="16"/>
        <v>0</v>
      </c>
      <c r="AQ87" s="306">
        <f t="shared" ca="1" si="17"/>
        <v>0</v>
      </c>
      <c r="AR87" s="306">
        <f t="shared" ca="1" si="18"/>
        <v>0</v>
      </c>
      <c r="AS87" s="307"/>
      <c r="AT87" s="306">
        <f t="shared" si="19"/>
        <v>1</v>
      </c>
    </row>
    <row r="88" spans="1:46" ht="15.75" customHeight="1">
      <c r="A88" s="284"/>
      <c r="B88" s="285">
        <f t="shared" ca="1" si="0"/>
        <v>1</v>
      </c>
      <c r="C88" s="286">
        <f t="shared" ca="1" si="1"/>
        <v>12</v>
      </c>
      <c r="D88" s="286">
        <f t="shared" ca="1" si="2"/>
        <v>4</v>
      </c>
      <c r="E88" s="286" t="str">
        <f t="shared" ca="1" si="3"/>
        <v/>
      </c>
      <c r="F88" s="286" t="str">
        <f t="shared" ca="1" si="4"/>
        <v/>
      </c>
      <c r="G88" s="287" t="str">
        <f t="shared" ca="1" si="5"/>
        <v/>
      </c>
      <c r="H88" s="288" t="str">
        <f t="shared" ca="1" si="6"/>
        <v/>
      </c>
      <c r="I88" s="308"/>
      <c r="J88" s="320"/>
      <c r="K88" s="320" t="s">
        <v>64</v>
      </c>
      <c r="L88" s="320"/>
      <c r="M88" s="320"/>
      <c r="N88" s="320"/>
      <c r="O88" s="320"/>
      <c r="P88" s="320"/>
      <c r="Q88" s="321"/>
      <c r="R88" s="322" t="s">
        <v>176</v>
      </c>
      <c r="S88" s="331">
        <v>45856</v>
      </c>
      <c r="T88" s="325">
        <v>45856</v>
      </c>
      <c r="U88" s="330"/>
      <c r="V88" s="325"/>
      <c r="W88" s="326">
        <v>0</v>
      </c>
      <c r="X88" s="327"/>
      <c r="Y88" s="328"/>
      <c r="Z88" s="329"/>
      <c r="AA88" s="300"/>
      <c r="AB88" s="301"/>
      <c r="AC88" s="302"/>
      <c r="AD88" s="303"/>
      <c r="AE88" s="304"/>
      <c r="AF88" s="305"/>
      <c r="AG88" s="305">
        <f t="shared" ca="1" si="7"/>
        <v>0</v>
      </c>
      <c r="AH88" s="305">
        <f t="shared" ca="1" si="8"/>
        <v>0</v>
      </c>
      <c r="AI88" s="305">
        <f t="shared" si="9"/>
        <v>0</v>
      </c>
      <c r="AJ88" s="305">
        <f t="shared" ca="1" si="10"/>
        <v>0</v>
      </c>
      <c r="AK88" s="305" t="str">
        <f t="shared" ca="1" si="11"/>
        <v/>
      </c>
      <c r="AL88" s="306">
        <f t="shared" ca="1" si="12"/>
        <v>1</v>
      </c>
      <c r="AM88" s="306">
        <f t="shared" ca="1" si="13"/>
        <v>12</v>
      </c>
      <c r="AN88" s="306">
        <f t="shared" ca="1" si="14"/>
        <v>4</v>
      </c>
      <c r="AO88" s="306">
        <f t="shared" ca="1" si="15"/>
        <v>0</v>
      </c>
      <c r="AP88" s="306">
        <f t="shared" ca="1" si="16"/>
        <v>0</v>
      </c>
      <c r="AQ88" s="306">
        <f t="shared" ca="1" si="17"/>
        <v>0</v>
      </c>
      <c r="AR88" s="306">
        <f t="shared" ca="1" si="18"/>
        <v>0</v>
      </c>
      <c r="AS88" s="307"/>
      <c r="AT88" s="306">
        <f t="shared" si="19"/>
        <v>1</v>
      </c>
    </row>
    <row r="89" spans="1:46" ht="15.75" customHeight="1">
      <c r="A89" s="284"/>
      <c r="B89" s="285">
        <f t="shared" ca="1" si="0"/>
        <v>1</v>
      </c>
      <c r="C89" s="286">
        <f t="shared" ca="1" si="1"/>
        <v>12</v>
      </c>
      <c r="D89" s="286">
        <f t="shared" ca="1" si="2"/>
        <v>5</v>
      </c>
      <c r="E89" s="286" t="str">
        <f t="shared" ca="1" si="3"/>
        <v/>
      </c>
      <c r="F89" s="286" t="str">
        <f t="shared" ca="1" si="4"/>
        <v/>
      </c>
      <c r="G89" s="287" t="str">
        <f t="shared" ca="1" si="5"/>
        <v/>
      </c>
      <c r="H89" s="288" t="str">
        <f t="shared" ca="1" si="6"/>
        <v/>
      </c>
      <c r="I89" s="308"/>
      <c r="J89" s="320"/>
      <c r="K89" s="320" t="s">
        <v>65</v>
      </c>
      <c r="L89" s="320"/>
      <c r="M89" s="320"/>
      <c r="N89" s="320"/>
      <c r="O89" s="320"/>
      <c r="P89" s="320"/>
      <c r="Q89" s="321"/>
      <c r="R89" s="322" t="s">
        <v>175</v>
      </c>
      <c r="S89" s="331">
        <v>45860</v>
      </c>
      <c r="T89" s="325">
        <v>45860</v>
      </c>
      <c r="U89" s="330"/>
      <c r="V89" s="325"/>
      <c r="W89" s="326">
        <v>0</v>
      </c>
      <c r="X89" s="327"/>
      <c r="Y89" s="328"/>
      <c r="Z89" s="329"/>
      <c r="AA89" s="300"/>
      <c r="AB89" s="301"/>
      <c r="AC89" s="302"/>
      <c r="AD89" s="303"/>
      <c r="AE89" s="304"/>
      <c r="AF89" s="305"/>
      <c r="AG89" s="305">
        <f t="shared" ca="1" si="7"/>
        <v>0</v>
      </c>
      <c r="AH89" s="305">
        <f t="shared" ca="1" si="8"/>
        <v>0</v>
      </c>
      <c r="AI89" s="305">
        <f t="shared" si="9"/>
        <v>0</v>
      </c>
      <c r="AJ89" s="305">
        <f t="shared" ca="1" si="10"/>
        <v>0</v>
      </c>
      <c r="AK89" s="305" t="str">
        <f t="shared" ca="1" si="11"/>
        <v/>
      </c>
      <c r="AL89" s="306">
        <f t="shared" ca="1" si="12"/>
        <v>1</v>
      </c>
      <c r="AM89" s="306">
        <f t="shared" ca="1" si="13"/>
        <v>12</v>
      </c>
      <c r="AN89" s="306">
        <f t="shared" ca="1" si="14"/>
        <v>5</v>
      </c>
      <c r="AO89" s="306">
        <f t="shared" ca="1" si="15"/>
        <v>0</v>
      </c>
      <c r="AP89" s="306">
        <f t="shared" ca="1" si="16"/>
        <v>0</v>
      </c>
      <c r="AQ89" s="306">
        <f t="shared" ca="1" si="17"/>
        <v>0</v>
      </c>
      <c r="AR89" s="306">
        <f t="shared" ca="1" si="18"/>
        <v>0</v>
      </c>
      <c r="AS89" s="307"/>
      <c r="AT89" s="306">
        <f t="shared" si="19"/>
        <v>1</v>
      </c>
    </row>
    <row r="90" spans="1:46" ht="15.75" customHeight="1">
      <c r="A90" s="284"/>
      <c r="B90" s="285">
        <f t="shared" ca="1" si="0"/>
        <v>1</v>
      </c>
      <c r="C90" s="286">
        <f t="shared" ca="1" si="1"/>
        <v>12</v>
      </c>
      <c r="D90" s="286">
        <f t="shared" ca="1" si="2"/>
        <v>6</v>
      </c>
      <c r="E90" s="286" t="str">
        <f t="shared" ca="1" si="3"/>
        <v/>
      </c>
      <c r="F90" s="286" t="str">
        <f t="shared" ca="1" si="4"/>
        <v/>
      </c>
      <c r="G90" s="287" t="str">
        <f t="shared" ca="1" si="5"/>
        <v/>
      </c>
      <c r="H90" s="288" t="str">
        <f t="shared" ca="1" si="6"/>
        <v/>
      </c>
      <c r="I90" s="308"/>
      <c r="J90" s="320"/>
      <c r="K90" s="320" t="s">
        <v>66</v>
      </c>
      <c r="L90" s="320"/>
      <c r="M90" s="320"/>
      <c r="N90" s="320"/>
      <c r="O90" s="320"/>
      <c r="P90" s="320"/>
      <c r="Q90" s="321"/>
      <c r="R90" s="322" t="s">
        <v>176</v>
      </c>
      <c r="S90" s="331">
        <v>45861</v>
      </c>
      <c r="T90" s="325">
        <v>45861</v>
      </c>
      <c r="U90" s="330"/>
      <c r="V90" s="325"/>
      <c r="W90" s="326">
        <v>0</v>
      </c>
      <c r="X90" s="327"/>
      <c r="Y90" s="328"/>
      <c r="Z90" s="329"/>
      <c r="AA90" s="300"/>
      <c r="AB90" s="301"/>
      <c r="AC90" s="302"/>
      <c r="AD90" s="303"/>
      <c r="AE90" s="304"/>
      <c r="AF90" s="305"/>
      <c r="AG90" s="305">
        <f t="shared" ca="1" si="7"/>
        <v>0</v>
      </c>
      <c r="AH90" s="305">
        <f t="shared" ca="1" si="8"/>
        <v>0</v>
      </c>
      <c r="AI90" s="305">
        <f t="shared" si="9"/>
        <v>0</v>
      </c>
      <c r="AJ90" s="305">
        <f t="shared" ca="1" si="10"/>
        <v>0</v>
      </c>
      <c r="AK90" s="305" t="str">
        <f t="shared" ca="1" si="11"/>
        <v/>
      </c>
      <c r="AL90" s="306">
        <f t="shared" ca="1" si="12"/>
        <v>1</v>
      </c>
      <c r="AM90" s="306">
        <f t="shared" ca="1" si="13"/>
        <v>12</v>
      </c>
      <c r="AN90" s="306">
        <f t="shared" ca="1" si="14"/>
        <v>6</v>
      </c>
      <c r="AO90" s="306">
        <f t="shared" ca="1" si="15"/>
        <v>0</v>
      </c>
      <c r="AP90" s="306">
        <f t="shared" ca="1" si="16"/>
        <v>0</v>
      </c>
      <c r="AQ90" s="306">
        <f t="shared" ca="1" si="17"/>
        <v>0</v>
      </c>
      <c r="AR90" s="306">
        <f t="shared" ca="1" si="18"/>
        <v>0</v>
      </c>
      <c r="AS90" s="307"/>
      <c r="AT90" s="306">
        <f t="shared" si="19"/>
        <v>1</v>
      </c>
    </row>
    <row r="91" spans="1:46" ht="15.75" customHeight="1">
      <c r="A91" s="284"/>
      <c r="B91" s="285">
        <f t="shared" ca="1" si="0"/>
        <v>1</v>
      </c>
      <c r="C91" s="286">
        <f t="shared" ca="1" si="1"/>
        <v>13</v>
      </c>
      <c r="D91" s="286" t="str">
        <f t="shared" ca="1" si="2"/>
        <v/>
      </c>
      <c r="E91" s="286" t="str">
        <f t="shared" ca="1" si="3"/>
        <v/>
      </c>
      <c r="F91" s="286" t="str">
        <f t="shared" ca="1" si="4"/>
        <v/>
      </c>
      <c r="G91" s="287" t="str">
        <f t="shared" ca="1" si="5"/>
        <v/>
      </c>
      <c r="H91" s="288" t="str">
        <f t="shared" ca="1" si="6"/>
        <v/>
      </c>
      <c r="I91" s="308"/>
      <c r="J91" s="309" t="s">
        <v>192</v>
      </c>
      <c r="K91" s="310"/>
      <c r="L91" s="310"/>
      <c r="M91" s="310"/>
      <c r="N91" s="310"/>
      <c r="O91" s="310"/>
      <c r="P91" s="310"/>
      <c r="Q91" s="311" t="s">
        <v>58</v>
      </c>
      <c r="R91" s="312"/>
      <c r="S91" s="313"/>
      <c r="T91" s="314"/>
      <c r="U91" s="315"/>
      <c r="V91" s="314"/>
      <c r="W91" s="316"/>
      <c r="X91" s="317"/>
      <c r="Y91" s="318"/>
      <c r="Z91" s="319"/>
      <c r="AA91" s="300"/>
      <c r="AB91" s="301"/>
      <c r="AC91" s="302"/>
      <c r="AD91" s="303"/>
      <c r="AE91" s="304"/>
      <c r="AF91" s="305"/>
      <c r="AG91" s="305">
        <f t="shared" si="7"/>
        <v>0</v>
      </c>
      <c r="AH91" s="305">
        <f t="shared" si="8"/>
        <v>0</v>
      </c>
      <c r="AI91" s="305">
        <f t="shared" si="9"/>
        <v>0</v>
      </c>
      <c r="AJ91" s="305">
        <f t="shared" si="10"/>
        <v>0</v>
      </c>
      <c r="AK91" s="305" t="str">
        <f t="shared" si="11"/>
        <v/>
      </c>
      <c r="AL91" s="306">
        <f t="shared" ca="1" si="12"/>
        <v>1</v>
      </c>
      <c r="AM91" s="306">
        <f t="shared" ca="1" si="13"/>
        <v>13</v>
      </c>
      <c r="AN91" s="306">
        <f t="shared" ca="1" si="14"/>
        <v>0</v>
      </c>
      <c r="AO91" s="306">
        <f t="shared" ca="1" si="15"/>
        <v>0</v>
      </c>
      <c r="AP91" s="306">
        <f t="shared" ca="1" si="16"/>
        <v>0</v>
      </c>
      <c r="AQ91" s="306">
        <f t="shared" ca="1" si="17"/>
        <v>0</v>
      </c>
      <c r="AR91" s="306">
        <f t="shared" ca="1" si="18"/>
        <v>0</v>
      </c>
      <c r="AS91" s="307"/>
      <c r="AT91" s="306">
        <f t="shared" si="19"/>
        <v>1</v>
      </c>
    </row>
    <row r="92" spans="1:46" ht="15.75" customHeight="1">
      <c r="A92" s="284"/>
      <c r="B92" s="285">
        <f t="shared" ca="1" si="0"/>
        <v>1</v>
      </c>
      <c r="C92" s="286">
        <f t="shared" ca="1" si="1"/>
        <v>13</v>
      </c>
      <c r="D92" s="286">
        <f t="shared" ca="1" si="2"/>
        <v>1</v>
      </c>
      <c r="E92" s="286" t="str">
        <f t="shared" ca="1" si="3"/>
        <v/>
      </c>
      <c r="F92" s="286" t="str">
        <f t="shared" ca="1" si="4"/>
        <v/>
      </c>
      <c r="G92" s="287" t="str">
        <f t="shared" ca="1" si="5"/>
        <v/>
      </c>
      <c r="H92" s="288" t="str">
        <f t="shared" ca="1" si="6"/>
        <v/>
      </c>
      <c r="I92" s="308"/>
      <c r="J92" s="320"/>
      <c r="K92" s="320" t="s">
        <v>59</v>
      </c>
      <c r="L92" s="320"/>
      <c r="M92" s="320"/>
      <c r="N92" s="320"/>
      <c r="O92" s="320"/>
      <c r="P92" s="320"/>
      <c r="Q92" s="321"/>
      <c r="R92" s="322" t="s">
        <v>185</v>
      </c>
      <c r="S92" s="330">
        <v>45839</v>
      </c>
      <c r="T92" s="325">
        <v>45860</v>
      </c>
      <c r="U92" s="330"/>
      <c r="V92" s="325"/>
      <c r="W92" s="326">
        <v>0</v>
      </c>
      <c r="X92" s="327"/>
      <c r="Y92" s="328"/>
      <c r="Z92" s="329"/>
      <c r="AA92" s="300"/>
      <c r="AB92" s="301"/>
      <c r="AC92" s="302"/>
      <c r="AD92" s="303"/>
      <c r="AE92" s="304"/>
      <c r="AF92" s="305"/>
      <c r="AG92" s="305">
        <f t="shared" ca="1" si="7"/>
        <v>0</v>
      </c>
      <c r="AH92" s="305">
        <f t="shared" ca="1" si="8"/>
        <v>0</v>
      </c>
      <c r="AI92" s="305">
        <f t="shared" si="9"/>
        <v>0</v>
      </c>
      <c r="AJ92" s="305">
        <f t="shared" ca="1" si="10"/>
        <v>0</v>
      </c>
      <c r="AK92" s="305" t="str">
        <f t="shared" ca="1" si="11"/>
        <v/>
      </c>
      <c r="AL92" s="306">
        <f t="shared" ca="1" si="12"/>
        <v>1</v>
      </c>
      <c r="AM92" s="306">
        <f t="shared" ca="1" si="13"/>
        <v>13</v>
      </c>
      <c r="AN92" s="306">
        <f t="shared" ca="1" si="14"/>
        <v>1</v>
      </c>
      <c r="AO92" s="306">
        <f t="shared" ca="1" si="15"/>
        <v>0</v>
      </c>
      <c r="AP92" s="306">
        <f t="shared" ca="1" si="16"/>
        <v>0</v>
      </c>
      <c r="AQ92" s="306">
        <f t="shared" ca="1" si="17"/>
        <v>0</v>
      </c>
      <c r="AR92" s="306">
        <f t="shared" ca="1" si="18"/>
        <v>0</v>
      </c>
      <c r="AS92" s="307"/>
      <c r="AT92" s="306">
        <f t="shared" si="19"/>
        <v>22</v>
      </c>
    </row>
    <row r="93" spans="1:46" ht="15.75" customHeight="1">
      <c r="A93" s="284"/>
      <c r="B93" s="285">
        <f t="shared" ca="1" si="0"/>
        <v>1</v>
      </c>
      <c r="C93" s="286">
        <f t="shared" ca="1" si="1"/>
        <v>13</v>
      </c>
      <c r="D93" s="286">
        <f t="shared" ca="1" si="2"/>
        <v>2</v>
      </c>
      <c r="E93" s="286" t="str">
        <f t="shared" ca="1" si="3"/>
        <v/>
      </c>
      <c r="F93" s="286" t="str">
        <f t="shared" ca="1" si="4"/>
        <v/>
      </c>
      <c r="G93" s="287" t="str">
        <f t="shared" ca="1" si="5"/>
        <v/>
      </c>
      <c r="H93" s="288" t="str">
        <f t="shared" ca="1" si="6"/>
        <v/>
      </c>
      <c r="I93" s="308"/>
      <c r="J93" s="320"/>
      <c r="K93" s="320" t="s">
        <v>145</v>
      </c>
      <c r="L93" s="320"/>
      <c r="M93" s="320"/>
      <c r="N93" s="320"/>
      <c r="O93" s="320"/>
      <c r="P93" s="320"/>
      <c r="Q93" s="321"/>
      <c r="R93" s="322" t="s">
        <v>180</v>
      </c>
      <c r="S93" s="330">
        <v>45861</v>
      </c>
      <c r="T93" s="325">
        <v>45861</v>
      </c>
      <c r="U93" s="330"/>
      <c r="V93" s="325"/>
      <c r="W93" s="326">
        <v>0</v>
      </c>
      <c r="X93" s="327"/>
      <c r="Y93" s="328"/>
      <c r="Z93" s="329"/>
      <c r="AA93" s="300"/>
      <c r="AB93" s="301"/>
      <c r="AC93" s="302"/>
      <c r="AD93" s="303"/>
      <c r="AE93" s="304"/>
      <c r="AF93" s="305"/>
      <c r="AG93" s="305">
        <f t="shared" ca="1" si="7"/>
        <v>0</v>
      </c>
      <c r="AH93" s="305">
        <f t="shared" ca="1" si="8"/>
        <v>0</v>
      </c>
      <c r="AI93" s="305">
        <f t="shared" si="9"/>
        <v>0</v>
      </c>
      <c r="AJ93" s="305">
        <f t="shared" ca="1" si="10"/>
        <v>0</v>
      </c>
      <c r="AK93" s="305" t="str">
        <f t="shared" ca="1" si="11"/>
        <v/>
      </c>
      <c r="AL93" s="306">
        <f t="shared" ca="1" si="12"/>
        <v>1</v>
      </c>
      <c r="AM93" s="306">
        <f t="shared" ca="1" si="13"/>
        <v>13</v>
      </c>
      <c r="AN93" s="306">
        <f t="shared" ca="1" si="14"/>
        <v>2</v>
      </c>
      <c r="AO93" s="306">
        <f t="shared" ca="1" si="15"/>
        <v>0</v>
      </c>
      <c r="AP93" s="306">
        <f t="shared" ca="1" si="16"/>
        <v>0</v>
      </c>
      <c r="AQ93" s="306">
        <f t="shared" ca="1" si="17"/>
        <v>0</v>
      </c>
      <c r="AR93" s="306">
        <f t="shared" ca="1" si="18"/>
        <v>0</v>
      </c>
      <c r="AS93" s="307"/>
      <c r="AT93" s="306">
        <f t="shared" si="19"/>
        <v>1</v>
      </c>
    </row>
    <row r="94" spans="1:46" ht="15.75" customHeight="1">
      <c r="A94" s="284"/>
      <c r="B94" s="285">
        <f t="shared" ca="1" si="0"/>
        <v>1</v>
      </c>
      <c r="C94" s="286">
        <f t="shared" ca="1" si="1"/>
        <v>13</v>
      </c>
      <c r="D94" s="286">
        <f t="shared" ca="1" si="2"/>
        <v>3</v>
      </c>
      <c r="E94" s="286" t="str">
        <f t="shared" ca="1" si="3"/>
        <v/>
      </c>
      <c r="F94" s="286" t="str">
        <f t="shared" ca="1" si="4"/>
        <v/>
      </c>
      <c r="G94" s="287" t="str">
        <f t="shared" ca="1" si="5"/>
        <v/>
      </c>
      <c r="H94" s="288" t="str">
        <f t="shared" ca="1" si="6"/>
        <v/>
      </c>
      <c r="I94" s="308"/>
      <c r="J94" s="320"/>
      <c r="K94" s="320" t="s">
        <v>63</v>
      </c>
      <c r="L94" s="320"/>
      <c r="M94" s="320"/>
      <c r="N94" s="320"/>
      <c r="O94" s="320"/>
      <c r="P94" s="320"/>
      <c r="Q94" s="321"/>
      <c r="R94" s="322" t="s">
        <v>185</v>
      </c>
      <c r="S94" s="330">
        <v>45862</v>
      </c>
      <c r="T94" s="325">
        <v>45866</v>
      </c>
      <c r="U94" s="330"/>
      <c r="V94" s="325"/>
      <c r="W94" s="326">
        <v>0</v>
      </c>
      <c r="X94" s="327"/>
      <c r="Y94" s="328"/>
      <c r="Z94" s="329"/>
      <c r="AA94" s="300"/>
      <c r="AB94" s="301"/>
      <c r="AC94" s="302"/>
      <c r="AD94" s="303"/>
      <c r="AE94" s="304"/>
      <c r="AF94" s="305"/>
      <c r="AG94" s="305">
        <f t="shared" ca="1" si="7"/>
        <v>0</v>
      </c>
      <c r="AH94" s="305">
        <f t="shared" ca="1" si="8"/>
        <v>0</v>
      </c>
      <c r="AI94" s="305">
        <f t="shared" si="9"/>
        <v>0</v>
      </c>
      <c r="AJ94" s="305">
        <f t="shared" ca="1" si="10"/>
        <v>0</v>
      </c>
      <c r="AK94" s="305" t="str">
        <f t="shared" ca="1" si="11"/>
        <v/>
      </c>
      <c r="AL94" s="306">
        <f t="shared" ca="1" si="12"/>
        <v>1</v>
      </c>
      <c r="AM94" s="306">
        <f t="shared" ca="1" si="13"/>
        <v>13</v>
      </c>
      <c r="AN94" s="306">
        <f t="shared" ca="1" si="14"/>
        <v>3</v>
      </c>
      <c r="AO94" s="306">
        <f t="shared" ca="1" si="15"/>
        <v>0</v>
      </c>
      <c r="AP94" s="306">
        <f t="shared" ca="1" si="16"/>
        <v>0</v>
      </c>
      <c r="AQ94" s="306">
        <f t="shared" ca="1" si="17"/>
        <v>0</v>
      </c>
      <c r="AR94" s="306">
        <f t="shared" ca="1" si="18"/>
        <v>0</v>
      </c>
      <c r="AS94" s="307"/>
      <c r="AT94" s="306">
        <f t="shared" si="19"/>
        <v>5</v>
      </c>
    </row>
    <row r="95" spans="1:46" ht="15.75" customHeight="1">
      <c r="A95" s="284"/>
      <c r="B95" s="285">
        <f t="shared" ca="1" si="0"/>
        <v>1</v>
      </c>
      <c r="C95" s="286">
        <f t="shared" ca="1" si="1"/>
        <v>13</v>
      </c>
      <c r="D95" s="286">
        <f t="shared" ca="1" si="2"/>
        <v>4</v>
      </c>
      <c r="E95" s="286" t="str">
        <f t="shared" ca="1" si="3"/>
        <v/>
      </c>
      <c r="F95" s="286" t="str">
        <f t="shared" ca="1" si="4"/>
        <v/>
      </c>
      <c r="G95" s="287" t="str">
        <f t="shared" ca="1" si="5"/>
        <v/>
      </c>
      <c r="H95" s="288" t="str">
        <f t="shared" ca="1" si="6"/>
        <v/>
      </c>
      <c r="I95" s="308"/>
      <c r="J95" s="320"/>
      <c r="K95" s="320" t="s">
        <v>64</v>
      </c>
      <c r="L95" s="320"/>
      <c r="M95" s="320"/>
      <c r="N95" s="320"/>
      <c r="O95" s="320"/>
      <c r="P95" s="320"/>
      <c r="Q95" s="321"/>
      <c r="R95" s="322" t="s">
        <v>180</v>
      </c>
      <c r="S95" s="330">
        <v>45867</v>
      </c>
      <c r="T95" s="325">
        <v>45867</v>
      </c>
      <c r="U95" s="330"/>
      <c r="V95" s="325"/>
      <c r="W95" s="326">
        <v>0</v>
      </c>
      <c r="X95" s="327"/>
      <c r="Y95" s="328"/>
      <c r="Z95" s="329"/>
      <c r="AA95" s="300"/>
      <c r="AB95" s="301"/>
      <c r="AC95" s="302"/>
      <c r="AD95" s="303"/>
      <c r="AE95" s="304"/>
      <c r="AF95" s="305"/>
      <c r="AG95" s="305">
        <f t="shared" ca="1" si="7"/>
        <v>0</v>
      </c>
      <c r="AH95" s="305">
        <f t="shared" ca="1" si="8"/>
        <v>0</v>
      </c>
      <c r="AI95" s="305">
        <f t="shared" si="9"/>
        <v>0</v>
      </c>
      <c r="AJ95" s="305">
        <f t="shared" ca="1" si="10"/>
        <v>0</v>
      </c>
      <c r="AK95" s="305" t="str">
        <f t="shared" ca="1" si="11"/>
        <v/>
      </c>
      <c r="AL95" s="306">
        <f t="shared" ca="1" si="12"/>
        <v>1</v>
      </c>
      <c r="AM95" s="306">
        <f t="shared" ca="1" si="13"/>
        <v>13</v>
      </c>
      <c r="AN95" s="306">
        <f t="shared" ca="1" si="14"/>
        <v>4</v>
      </c>
      <c r="AO95" s="306">
        <f t="shared" ca="1" si="15"/>
        <v>0</v>
      </c>
      <c r="AP95" s="306">
        <f t="shared" ca="1" si="16"/>
        <v>0</v>
      </c>
      <c r="AQ95" s="306">
        <f t="shared" ca="1" si="17"/>
        <v>0</v>
      </c>
      <c r="AR95" s="306">
        <f t="shared" ca="1" si="18"/>
        <v>0</v>
      </c>
      <c r="AS95" s="307"/>
      <c r="AT95" s="306">
        <f t="shared" si="19"/>
        <v>1</v>
      </c>
    </row>
    <row r="96" spans="1:46" ht="15.75" customHeight="1">
      <c r="A96" s="284"/>
      <c r="B96" s="285">
        <f t="shared" ca="1" si="0"/>
        <v>1</v>
      </c>
      <c r="C96" s="286">
        <f t="shared" ca="1" si="1"/>
        <v>13</v>
      </c>
      <c r="D96" s="286">
        <f t="shared" ca="1" si="2"/>
        <v>5</v>
      </c>
      <c r="E96" s="286" t="str">
        <f t="shared" ca="1" si="3"/>
        <v/>
      </c>
      <c r="F96" s="286" t="str">
        <f t="shared" ca="1" si="4"/>
        <v/>
      </c>
      <c r="G96" s="287" t="str">
        <f t="shared" ca="1" si="5"/>
        <v/>
      </c>
      <c r="H96" s="288" t="str">
        <f t="shared" ca="1" si="6"/>
        <v/>
      </c>
      <c r="I96" s="308"/>
      <c r="J96" s="320"/>
      <c r="K96" s="320" t="s">
        <v>65</v>
      </c>
      <c r="L96" s="320"/>
      <c r="M96" s="320"/>
      <c r="N96" s="320"/>
      <c r="O96" s="320"/>
      <c r="P96" s="320"/>
      <c r="Q96" s="321"/>
      <c r="R96" s="322" t="s">
        <v>185</v>
      </c>
      <c r="S96" s="330">
        <v>45868</v>
      </c>
      <c r="T96" s="325">
        <v>45874</v>
      </c>
      <c r="U96" s="330"/>
      <c r="V96" s="325"/>
      <c r="W96" s="326">
        <v>0</v>
      </c>
      <c r="X96" s="327"/>
      <c r="Y96" s="328"/>
      <c r="Z96" s="329"/>
      <c r="AA96" s="300"/>
      <c r="AB96" s="301"/>
      <c r="AC96" s="302"/>
      <c r="AD96" s="303"/>
      <c r="AE96" s="304"/>
      <c r="AF96" s="305"/>
      <c r="AG96" s="305">
        <f t="shared" ca="1" si="7"/>
        <v>0</v>
      </c>
      <c r="AH96" s="305">
        <f t="shared" ca="1" si="8"/>
        <v>0</v>
      </c>
      <c r="AI96" s="305">
        <f t="shared" si="9"/>
        <v>0</v>
      </c>
      <c r="AJ96" s="305">
        <f t="shared" ca="1" si="10"/>
        <v>0</v>
      </c>
      <c r="AK96" s="305" t="str">
        <f t="shared" ca="1" si="11"/>
        <v/>
      </c>
      <c r="AL96" s="306">
        <f t="shared" ca="1" si="12"/>
        <v>1</v>
      </c>
      <c r="AM96" s="306">
        <f t="shared" ca="1" si="13"/>
        <v>13</v>
      </c>
      <c r="AN96" s="306">
        <f t="shared" ca="1" si="14"/>
        <v>5</v>
      </c>
      <c r="AO96" s="306">
        <f t="shared" ca="1" si="15"/>
        <v>0</v>
      </c>
      <c r="AP96" s="306">
        <f t="shared" ca="1" si="16"/>
        <v>0</v>
      </c>
      <c r="AQ96" s="306">
        <f t="shared" ca="1" si="17"/>
        <v>0</v>
      </c>
      <c r="AR96" s="306">
        <f t="shared" ca="1" si="18"/>
        <v>0</v>
      </c>
      <c r="AS96" s="307"/>
      <c r="AT96" s="306">
        <f t="shared" si="19"/>
        <v>7</v>
      </c>
    </row>
    <row r="97" spans="1:46" ht="15.75" customHeight="1">
      <c r="A97" s="284"/>
      <c r="B97" s="285">
        <f t="shared" ca="1" si="0"/>
        <v>1</v>
      </c>
      <c r="C97" s="286">
        <f t="shared" ca="1" si="1"/>
        <v>13</v>
      </c>
      <c r="D97" s="286">
        <f t="shared" ca="1" si="2"/>
        <v>6</v>
      </c>
      <c r="E97" s="286" t="str">
        <f t="shared" ca="1" si="3"/>
        <v/>
      </c>
      <c r="F97" s="286" t="str">
        <f t="shared" ca="1" si="4"/>
        <v/>
      </c>
      <c r="G97" s="287" t="str">
        <f t="shared" ca="1" si="5"/>
        <v/>
      </c>
      <c r="H97" s="288" t="str">
        <f t="shared" ca="1" si="6"/>
        <v/>
      </c>
      <c r="I97" s="308"/>
      <c r="J97" s="320"/>
      <c r="K97" s="320" t="s">
        <v>66</v>
      </c>
      <c r="L97" s="320"/>
      <c r="M97" s="320"/>
      <c r="N97" s="320"/>
      <c r="O97" s="320"/>
      <c r="P97" s="320"/>
      <c r="Q97" s="321"/>
      <c r="R97" s="322" t="s">
        <v>180</v>
      </c>
      <c r="S97" s="330">
        <v>45875</v>
      </c>
      <c r="T97" s="325">
        <v>45875</v>
      </c>
      <c r="U97" s="330"/>
      <c r="V97" s="325"/>
      <c r="W97" s="326">
        <v>0</v>
      </c>
      <c r="X97" s="327"/>
      <c r="Y97" s="328"/>
      <c r="Z97" s="329"/>
      <c r="AA97" s="300"/>
      <c r="AB97" s="301"/>
      <c r="AC97" s="302"/>
      <c r="AD97" s="303"/>
      <c r="AE97" s="304"/>
      <c r="AF97" s="305"/>
      <c r="AG97" s="305">
        <f t="shared" ca="1" si="7"/>
        <v>0</v>
      </c>
      <c r="AH97" s="305">
        <f t="shared" ca="1" si="8"/>
        <v>0</v>
      </c>
      <c r="AI97" s="305">
        <f t="shared" si="9"/>
        <v>0</v>
      </c>
      <c r="AJ97" s="305">
        <f t="shared" ca="1" si="10"/>
        <v>0</v>
      </c>
      <c r="AK97" s="305" t="str">
        <f t="shared" ca="1" si="11"/>
        <v/>
      </c>
      <c r="AL97" s="306">
        <f t="shared" ca="1" si="12"/>
        <v>1</v>
      </c>
      <c r="AM97" s="306">
        <f t="shared" ca="1" si="13"/>
        <v>13</v>
      </c>
      <c r="AN97" s="306">
        <f t="shared" ca="1" si="14"/>
        <v>6</v>
      </c>
      <c r="AO97" s="306">
        <f t="shared" ca="1" si="15"/>
        <v>0</v>
      </c>
      <c r="AP97" s="306">
        <f t="shared" ca="1" si="16"/>
        <v>0</v>
      </c>
      <c r="AQ97" s="306">
        <f t="shared" ca="1" si="17"/>
        <v>0</v>
      </c>
      <c r="AR97" s="306">
        <f t="shared" ca="1" si="18"/>
        <v>0</v>
      </c>
      <c r="AS97" s="307"/>
      <c r="AT97" s="306">
        <f t="shared" si="19"/>
        <v>1</v>
      </c>
    </row>
    <row r="98" spans="1:46" ht="15.75" customHeight="1">
      <c r="A98" s="284"/>
      <c r="B98" s="285">
        <f t="shared" ca="1" si="0"/>
        <v>1</v>
      </c>
      <c r="C98" s="286">
        <f t="shared" ca="1" si="1"/>
        <v>14</v>
      </c>
      <c r="D98" s="286" t="str">
        <f t="shared" ca="1" si="2"/>
        <v/>
      </c>
      <c r="E98" s="286" t="str">
        <f t="shared" ca="1" si="3"/>
        <v/>
      </c>
      <c r="F98" s="286" t="str">
        <f t="shared" ca="1" si="4"/>
        <v/>
      </c>
      <c r="G98" s="287" t="str">
        <f t="shared" ca="1" si="5"/>
        <v/>
      </c>
      <c r="H98" s="288" t="str">
        <f t="shared" ca="1" si="6"/>
        <v/>
      </c>
      <c r="I98" s="308"/>
      <c r="J98" s="309" t="s">
        <v>193</v>
      </c>
      <c r="K98" s="310"/>
      <c r="L98" s="310"/>
      <c r="M98" s="310"/>
      <c r="N98" s="310"/>
      <c r="O98" s="310"/>
      <c r="P98" s="310"/>
      <c r="Q98" s="311" t="s">
        <v>81</v>
      </c>
      <c r="R98" s="312"/>
      <c r="S98" s="313"/>
      <c r="T98" s="314"/>
      <c r="U98" s="315"/>
      <c r="V98" s="314"/>
      <c r="W98" s="316"/>
      <c r="X98" s="317"/>
      <c r="Y98" s="318"/>
      <c r="Z98" s="319"/>
      <c r="AA98" s="300"/>
      <c r="AB98" s="301"/>
      <c r="AC98" s="302"/>
      <c r="AD98" s="303"/>
      <c r="AE98" s="304"/>
      <c r="AF98" s="305"/>
      <c r="AG98" s="305">
        <f t="shared" si="7"/>
        <v>0</v>
      </c>
      <c r="AH98" s="305">
        <f t="shared" si="8"/>
        <v>0</v>
      </c>
      <c r="AI98" s="305">
        <f t="shared" si="9"/>
        <v>0</v>
      </c>
      <c r="AJ98" s="305">
        <f t="shared" si="10"/>
        <v>0</v>
      </c>
      <c r="AK98" s="305" t="str">
        <f t="shared" si="11"/>
        <v/>
      </c>
      <c r="AL98" s="306">
        <f t="shared" ca="1" si="12"/>
        <v>1</v>
      </c>
      <c r="AM98" s="306">
        <f t="shared" ca="1" si="13"/>
        <v>14</v>
      </c>
      <c r="AN98" s="306">
        <f t="shared" ca="1" si="14"/>
        <v>0</v>
      </c>
      <c r="AO98" s="306">
        <f t="shared" ca="1" si="15"/>
        <v>0</v>
      </c>
      <c r="AP98" s="306">
        <f t="shared" ca="1" si="16"/>
        <v>0</v>
      </c>
      <c r="AQ98" s="306">
        <f t="shared" ca="1" si="17"/>
        <v>0</v>
      </c>
      <c r="AR98" s="306">
        <f t="shared" ca="1" si="18"/>
        <v>0</v>
      </c>
      <c r="AS98" s="307"/>
      <c r="AT98" s="306">
        <f t="shared" si="19"/>
        <v>1</v>
      </c>
    </row>
    <row r="99" spans="1:46" ht="15.75" customHeight="1">
      <c r="A99" s="284"/>
      <c r="B99" s="285">
        <f t="shared" ca="1" si="0"/>
        <v>1</v>
      </c>
      <c r="C99" s="286">
        <f t="shared" ca="1" si="1"/>
        <v>14</v>
      </c>
      <c r="D99" s="286">
        <f t="shared" ca="1" si="2"/>
        <v>1</v>
      </c>
      <c r="E99" s="286" t="str">
        <f t="shared" ca="1" si="3"/>
        <v/>
      </c>
      <c r="F99" s="286" t="str">
        <f t="shared" ca="1" si="4"/>
        <v/>
      </c>
      <c r="G99" s="287" t="str">
        <f t="shared" ca="1" si="5"/>
        <v/>
      </c>
      <c r="H99" s="288" t="str">
        <f t="shared" ca="1" si="6"/>
        <v/>
      </c>
      <c r="I99" s="308"/>
      <c r="J99" s="320"/>
      <c r="K99" s="320" t="s">
        <v>59</v>
      </c>
      <c r="L99" s="320"/>
      <c r="M99" s="320"/>
      <c r="N99" s="320"/>
      <c r="O99" s="320"/>
      <c r="P99" s="320"/>
      <c r="Q99" s="321"/>
      <c r="R99" s="322" t="s">
        <v>176</v>
      </c>
      <c r="S99" s="331">
        <v>45849</v>
      </c>
      <c r="T99" s="325">
        <v>45854</v>
      </c>
      <c r="U99" s="330"/>
      <c r="V99" s="325"/>
      <c r="W99" s="326">
        <v>0</v>
      </c>
      <c r="X99" s="327"/>
      <c r="Y99" s="328"/>
      <c r="Z99" s="329"/>
      <c r="AA99" s="300"/>
      <c r="AB99" s="301"/>
      <c r="AC99" s="302"/>
      <c r="AD99" s="303"/>
      <c r="AE99" s="304"/>
      <c r="AF99" s="305"/>
      <c r="AG99" s="305">
        <f t="shared" ca="1" si="7"/>
        <v>0</v>
      </c>
      <c r="AH99" s="305">
        <f t="shared" ca="1" si="8"/>
        <v>0</v>
      </c>
      <c r="AI99" s="305">
        <f t="shared" si="9"/>
        <v>0</v>
      </c>
      <c r="AJ99" s="305">
        <f t="shared" ca="1" si="10"/>
        <v>0</v>
      </c>
      <c r="AK99" s="305" t="str">
        <f t="shared" ca="1" si="11"/>
        <v/>
      </c>
      <c r="AL99" s="306">
        <f t="shared" ca="1" si="12"/>
        <v>1</v>
      </c>
      <c r="AM99" s="306">
        <f t="shared" ca="1" si="13"/>
        <v>14</v>
      </c>
      <c r="AN99" s="306">
        <f t="shared" ca="1" si="14"/>
        <v>1</v>
      </c>
      <c r="AO99" s="306">
        <f t="shared" ca="1" si="15"/>
        <v>0</v>
      </c>
      <c r="AP99" s="306">
        <f t="shared" ca="1" si="16"/>
        <v>0</v>
      </c>
      <c r="AQ99" s="306">
        <f t="shared" ca="1" si="17"/>
        <v>0</v>
      </c>
      <c r="AR99" s="306">
        <f t="shared" ca="1" si="18"/>
        <v>0</v>
      </c>
      <c r="AS99" s="307"/>
      <c r="AT99" s="306">
        <f t="shared" si="19"/>
        <v>6</v>
      </c>
    </row>
    <row r="100" spans="1:46" ht="15.75" customHeight="1">
      <c r="A100" s="284"/>
      <c r="B100" s="285">
        <f t="shared" ca="1" si="0"/>
        <v>1</v>
      </c>
      <c r="C100" s="286">
        <f t="shared" ca="1" si="1"/>
        <v>14</v>
      </c>
      <c r="D100" s="286">
        <f t="shared" ca="1" si="2"/>
        <v>2</v>
      </c>
      <c r="E100" s="286" t="str">
        <f t="shared" ca="1" si="3"/>
        <v/>
      </c>
      <c r="F100" s="286" t="str">
        <f t="shared" ca="1" si="4"/>
        <v/>
      </c>
      <c r="G100" s="287" t="str">
        <f t="shared" ca="1" si="5"/>
        <v/>
      </c>
      <c r="H100" s="288" t="str">
        <f t="shared" ca="1" si="6"/>
        <v/>
      </c>
      <c r="I100" s="308"/>
      <c r="J100" s="320"/>
      <c r="K100" s="320" t="s">
        <v>145</v>
      </c>
      <c r="L100" s="320"/>
      <c r="M100" s="320"/>
      <c r="N100" s="320"/>
      <c r="O100" s="320"/>
      <c r="P100" s="320"/>
      <c r="Q100" s="321"/>
      <c r="R100" s="322" t="s">
        <v>175</v>
      </c>
      <c r="S100" s="331">
        <v>45855</v>
      </c>
      <c r="T100" s="325">
        <v>45855</v>
      </c>
      <c r="U100" s="330"/>
      <c r="V100" s="325"/>
      <c r="W100" s="326">
        <v>0</v>
      </c>
      <c r="X100" s="327"/>
      <c r="Y100" s="328"/>
      <c r="Z100" s="329"/>
      <c r="AA100" s="300"/>
      <c r="AB100" s="301"/>
      <c r="AC100" s="302"/>
      <c r="AD100" s="303"/>
      <c r="AE100" s="304"/>
      <c r="AF100" s="305"/>
      <c r="AG100" s="305">
        <f t="shared" ca="1" si="7"/>
        <v>0</v>
      </c>
      <c r="AH100" s="305">
        <f t="shared" ca="1" si="8"/>
        <v>0</v>
      </c>
      <c r="AI100" s="305">
        <f t="shared" si="9"/>
        <v>0</v>
      </c>
      <c r="AJ100" s="305">
        <f t="shared" ca="1" si="10"/>
        <v>0</v>
      </c>
      <c r="AK100" s="305" t="str">
        <f t="shared" ca="1" si="11"/>
        <v/>
      </c>
      <c r="AL100" s="306">
        <f t="shared" ca="1" si="12"/>
        <v>1</v>
      </c>
      <c r="AM100" s="306">
        <f t="shared" ca="1" si="13"/>
        <v>14</v>
      </c>
      <c r="AN100" s="306">
        <f t="shared" ca="1" si="14"/>
        <v>2</v>
      </c>
      <c r="AO100" s="306">
        <f t="shared" ca="1" si="15"/>
        <v>0</v>
      </c>
      <c r="AP100" s="306">
        <f t="shared" ca="1" si="16"/>
        <v>0</v>
      </c>
      <c r="AQ100" s="306">
        <f t="shared" ca="1" si="17"/>
        <v>0</v>
      </c>
      <c r="AR100" s="306">
        <f t="shared" ca="1" si="18"/>
        <v>0</v>
      </c>
      <c r="AS100" s="307"/>
      <c r="AT100" s="306">
        <f t="shared" si="19"/>
        <v>1</v>
      </c>
    </row>
    <row r="101" spans="1:46" ht="15.75" customHeight="1">
      <c r="A101" s="284"/>
      <c r="B101" s="285">
        <f t="shared" ca="1" si="0"/>
        <v>1</v>
      </c>
      <c r="C101" s="286">
        <f t="shared" ca="1" si="1"/>
        <v>14</v>
      </c>
      <c r="D101" s="286">
        <f t="shared" ca="1" si="2"/>
        <v>3</v>
      </c>
      <c r="E101" s="286" t="str">
        <f t="shared" ca="1" si="3"/>
        <v/>
      </c>
      <c r="F101" s="286" t="str">
        <f t="shared" ca="1" si="4"/>
        <v/>
      </c>
      <c r="G101" s="287" t="str">
        <f t="shared" ca="1" si="5"/>
        <v/>
      </c>
      <c r="H101" s="288" t="str">
        <f t="shared" ca="1" si="6"/>
        <v/>
      </c>
      <c r="I101" s="308"/>
      <c r="J101" s="320"/>
      <c r="K101" s="320" t="s">
        <v>63</v>
      </c>
      <c r="L101" s="320"/>
      <c r="M101" s="320"/>
      <c r="N101" s="320"/>
      <c r="O101" s="320"/>
      <c r="P101" s="320"/>
      <c r="Q101" s="321"/>
      <c r="R101" s="322" t="s">
        <v>176</v>
      </c>
      <c r="S101" s="331">
        <v>45856</v>
      </c>
      <c r="T101" s="325">
        <v>45856</v>
      </c>
      <c r="U101" s="330"/>
      <c r="V101" s="325"/>
      <c r="W101" s="326">
        <v>0</v>
      </c>
      <c r="X101" s="327"/>
      <c r="Y101" s="328"/>
      <c r="Z101" s="329"/>
      <c r="AA101" s="300"/>
      <c r="AB101" s="301"/>
      <c r="AC101" s="302"/>
      <c r="AD101" s="303"/>
      <c r="AE101" s="304"/>
      <c r="AF101" s="305"/>
      <c r="AG101" s="305">
        <f t="shared" ca="1" si="7"/>
        <v>0</v>
      </c>
      <c r="AH101" s="305">
        <f t="shared" ca="1" si="8"/>
        <v>0</v>
      </c>
      <c r="AI101" s="305">
        <f t="shared" si="9"/>
        <v>0</v>
      </c>
      <c r="AJ101" s="305">
        <f t="shared" ca="1" si="10"/>
        <v>0</v>
      </c>
      <c r="AK101" s="305" t="str">
        <f t="shared" ca="1" si="11"/>
        <v/>
      </c>
      <c r="AL101" s="306">
        <f t="shared" ca="1" si="12"/>
        <v>1</v>
      </c>
      <c r="AM101" s="306">
        <f t="shared" ca="1" si="13"/>
        <v>14</v>
      </c>
      <c r="AN101" s="306">
        <f t="shared" ca="1" si="14"/>
        <v>3</v>
      </c>
      <c r="AO101" s="306">
        <f t="shared" ca="1" si="15"/>
        <v>0</v>
      </c>
      <c r="AP101" s="306">
        <f t="shared" ca="1" si="16"/>
        <v>0</v>
      </c>
      <c r="AQ101" s="306">
        <f t="shared" ca="1" si="17"/>
        <v>0</v>
      </c>
      <c r="AR101" s="306">
        <f t="shared" ca="1" si="18"/>
        <v>0</v>
      </c>
      <c r="AS101" s="307"/>
      <c r="AT101" s="306">
        <f t="shared" si="19"/>
        <v>1</v>
      </c>
    </row>
    <row r="102" spans="1:46" ht="15.75" customHeight="1">
      <c r="A102" s="284"/>
      <c r="B102" s="285">
        <f t="shared" ca="1" si="0"/>
        <v>1</v>
      </c>
      <c r="C102" s="286">
        <f t="shared" ca="1" si="1"/>
        <v>14</v>
      </c>
      <c r="D102" s="286">
        <f t="shared" ca="1" si="2"/>
        <v>4</v>
      </c>
      <c r="E102" s="286" t="str">
        <f t="shared" ca="1" si="3"/>
        <v/>
      </c>
      <c r="F102" s="286" t="str">
        <f t="shared" ca="1" si="4"/>
        <v/>
      </c>
      <c r="G102" s="287" t="str">
        <f t="shared" ca="1" si="5"/>
        <v/>
      </c>
      <c r="H102" s="288" t="str">
        <f t="shared" ca="1" si="6"/>
        <v/>
      </c>
      <c r="I102" s="308"/>
      <c r="J102" s="320"/>
      <c r="K102" s="320" t="s">
        <v>64</v>
      </c>
      <c r="L102" s="320"/>
      <c r="M102" s="320"/>
      <c r="N102" s="320"/>
      <c r="O102" s="320"/>
      <c r="P102" s="320"/>
      <c r="Q102" s="321"/>
      <c r="R102" s="322" t="s">
        <v>175</v>
      </c>
      <c r="S102" s="331">
        <v>45856</v>
      </c>
      <c r="T102" s="325">
        <v>45856</v>
      </c>
      <c r="U102" s="330"/>
      <c r="V102" s="325"/>
      <c r="W102" s="326">
        <v>0</v>
      </c>
      <c r="X102" s="327"/>
      <c r="Y102" s="328"/>
      <c r="Z102" s="329"/>
      <c r="AA102" s="300"/>
      <c r="AB102" s="301"/>
      <c r="AC102" s="302"/>
      <c r="AD102" s="303"/>
      <c r="AE102" s="304"/>
      <c r="AF102" s="305"/>
      <c r="AG102" s="305">
        <f t="shared" ca="1" si="7"/>
        <v>0</v>
      </c>
      <c r="AH102" s="305">
        <f t="shared" ca="1" si="8"/>
        <v>0</v>
      </c>
      <c r="AI102" s="305">
        <f t="shared" si="9"/>
        <v>0</v>
      </c>
      <c r="AJ102" s="305">
        <f t="shared" ca="1" si="10"/>
        <v>0</v>
      </c>
      <c r="AK102" s="305" t="str">
        <f t="shared" ca="1" si="11"/>
        <v/>
      </c>
      <c r="AL102" s="306">
        <f t="shared" ca="1" si="12"/>
        <v>1</v>
      </c>
      <c r="AM102" s="306">
        <f t="shared" ca="1" si="13"/>
        <v>14</v>
      </c>
      <c r="AN102" s="306">
        <f t="shared" ca="1" si="14"/>
        <v>4</v>
      </c>
      <c r="AO102" s="306">
        <f t="shared" ca="1" si="15"/>
        <v>0</v>
      </c>
      <c r="AP102" s="306">
        <f t="shared" ca="1" si="16"/>
        <v>0</v>
      </c>
      <c r="AQ102" s="306">
        <f t="shared" ca="1" si="17"/>
        <v>0</v>
      </c>
      <c r="AR102" s="306">
        <f t="shared" ca="1" si="18"/>
        <v>0</v>
      </c>
      <c r="AS102" s="307"/>
      <c r="AT102" s="306">
        <f t="shared" si="19"/>
        <v>1</v>
      </c>
    </row>
    <row r="103" spans="1:46" ht="15.75" customHeight="1">
      <c r="A103" s="284"/>
      <c r="B103" s="285">
        <f t="shared" ca="1" si="0"/>
        <v>1</v>
      </c>
      <c r="C103" s="286">
        <f t="shared" ca="1" si="1"/>
        <v>14</v>
      </c>
      <c r="D103" s="286">
        <f t="shared" ca="1" si="2"/>
        <v>5</v>
      </c>
      <c r="E103" s="286" t="str">
        <f t="shared" ca="1" si="3"/>
        <v/>
      </c>
      <c r="F103" s="286" t="str">
        <f t="shared" ca="1" si="4"/>
        <v/>
      </c>
      <c r="G103" s="287" t="str">
        <f t="shared" ca="1" si="5"/>
        <v/>
      </c>
      <c r="H103" s="288" t="str">
        <f t="shared" ca="1" si="6"/>
        <v/>
      </c>
      <c r="I103" s="308"/>
      <c r="J103" s="320"/>
      <c r="K103" s="320" t="s">
        <v>65</v>
      </c>
      <c r="L103" s="320"/>
      <c r="M103" s="320"/>
      <c r="N103" s="320"/>
      <c r="O103" s="320"/>
      <c r="P103" s="320"/>
      <c r="Q103" s="321"/>
      <c r="R103" s="322" t="s">
        <v>176</v>
      </c>
      <c r="S103" s="331">
        <v>45860</v>
      </c>
      <c r="T103" s="325">
        <v>45860</v>
      </c>
      <c r="U103" s="330"/>
      <c r="V103" s="325"/>
      <c r="W103" s="326">
        <v>0</v>
      </c>
      <c r="X103" s="327"/>
      <c r="Y103" s="328"/>
      <c r="Z103" s="329"/>
      <c r="AA103" s="300"/>
      <c r="AB103" s="301"/>
      <c r="AC103" s="302"/>
      <c r="AD103" s="303"/>
      <c r="AE103" s="304"/>
      <c r="AF103" s="305"/>
      <c r="AG103" s="305">
        <f t="shared" ca="1" si="7"/>
        <v>0</v>
      </c>
      <c r="AH103" s="305">
        <f t="shared" ca="1" si="8"/>
        <v>0</v>
      </c>
      <c r="AI103" s="305">
        <f t="shared" si="9"/>
        <v>0</v>
      </c>
      <c r="AJ103" s="305">
        <f t="shared" ca="1" si="10"/>
        <v>0</v>
      </c>
      <c r="AK103" s="305" t="str">
        <f t="shared" ca="1" si="11"/>
        <v/>
      </c>
      <c r="AL103" s="306">
        <f t="shared" ca="1" si="12"/>
        <v>1</v>
      </c>
      <c r="AM103" s="306">
        <f t="shared" ca="1" si="13"/>
        <v>14</v>
      </c>
      <c r="AN103" s="306">
        <f t="shared" ca="1" si="14"/>
        <v>5</v>
      </c>
      <c r="AO103" s="306">
        <f t="shared" ca="1" si="15"/>
        <v>0</v>
      </c>
      <c r="AP103" s="306">
        <f t="shared" ca="1" si="16"/>
        <v>0</v>
      </c>
      <c r="AQ103" s="306">
        <f t="shared" ca="1" si="17"/>
        <v>0</v>
      </c>
      <c r="AR103" s="306">
        <f t="shared" ca="1" si="18"/>
        <v>0</v>
      </c>
      <c r="AS103" s="307"/>
      <c r="AT103" s="306">
        <f t="shared" si="19"/>
        <v>1</v>
      </c>
    </row>
    <row r="104" spans="1:46" ht="15.75" customHeight="1">
      <c r="A104" s="284"/>
      <c r="B104" s="285">
        <f t="shared" ca="1" si="0"/>
        <v>1</v>
      </c>
      <c r="C104" s="286">
        <f t="shared" ca="1" si="1"/>
        <v>14</v>
      </c>
      <c r="D104" s="286">
        <f t="shared" ca="1" si="2"/>
        <v>6</v>
      </c>
      <c r="E104" s="286" t="str">
        <f t="shared" ca="1" si="3"/>
        <v/>
      </c>
      <c r="F104" s="286" t="str">
        <f t="shared" ca="1" si="4"/>
        <v/>
      </c>
      <c r="G104" s="287" t="str">
        <f t="shared" ca="1" si="5"/>
        <v/>
      </c>
      <c r="H104" s="288" t="str">
        <f t="shared" ca="1" si="6"/>
        <v/>
      </c>
      <c r="I104" s="308"/>
      <c r="J104" s="320"/>
      <c r="K104" s="320" t="s">
        <v>66</v>
      </c>
      <c r="L104" s="320"/>
      <c r="M104" s="320"/>
      <c r="N104" s="320"/>
      <c r="O104" s="320"/>
      <c r="P104" s="320"/>
      <c r="Q104" s="321"/>
      <c r="R104" s="322" t="s">
        <v>175</v>
      </c>
      <c r="S104" s="331">
        <v>45861</v>
      </c>
      <c r="T104" s="325">
        <v>45861</v>
      </c>
      <c r="U104" s="330"/>
      <c r="V104" s="325"/>
      <c r="W104" s="326">
        <v>0</v>
      </c>
      <c r="X104" s="327"/>
      <c r="Y104" s="328"/>
      <c r="Z104" s="329"/>
      <c r="AA104" s="300"/>
      <c r="AB104" s="301"/>
      <c r="AC104" s="302"/>
      <c r="AD104" s="303"/>
      <c r="AE104" s="304"/>
      <c r="AF104" s="305"/>
      <c r="AG104" s="305">
        <f t="shared" ca="1" si="7"/>
        <v>0</v>
      </c>
      <c r="AH104" s="305">
        <f t="shared" ca="1" si="8"/>
        <v>0</v>
      </c>
      <c r="AI104" s="305">
        <f t="shared" si="9"/>
        <v>0</v>
      </c>
      <c r="AJ104" s="305">
        <f t="shared" ca="1" si="10"/>
        <v>0</v>
      </c>
      <c r="AK104" s="305" t="str">
        <f t="shared" ca="1" si="11"/>
        <v/>
      </c>
      <c r="AL104" s="306">
        <f t="shared" ca="1" si="12"/>
        <v>1</v>
      </c>
      <c r="AM104" s="306">
        <f t="shared" ca="1" si="13"/>
        <v>14</v>
      </c>
      <c r="AN104" s="306">
        <f t="shared" ca="1" si="14"/>
        <v>6</v>
      </c>
      <c r="AO104" s="306">
        <f t="shared" ca="1" si="15"/>
        <v>0</v>
      </c>
      <c r="AP104" s="306">
        <f t="shared" ca="1" si="16"/>
        <v>0</v>
      </c>
      <c r="AQ104" s="306">
        <f t="shared" ca="1" si="17"/>
        <v>0</v>
      </c>
      <c r="AR104" s="306">
        <f t="shared" ca="1" si="18"/>
        <v>0</v>
      </c>
      <c r="AS104" s="307"/>
      <c r="AT104" s="306">
        <f t="shared" si="19"/>
        <v>1</v>
      </c>
    </row>
    <row r="105" spans="1:46" ht="15.75" customHeight="1">
      <c r="A105" s="284"/>
      <c r="B105" s="285">
        <f t="shared" ca="1" si="0"/>
        <v>1</v>
      </c>
      <c r="C105" s="286">
        <f t="shared" ca="1" si="1"/>
        <v>15</v>
      </c>
      <c r="D105" s="286" t="str">
        <f t="shared" ca="1" si="2"/>
        <v/>
      </c>
      <c r="E105" s="286" t="str">
        <f t="shared" ca="1" si="3"/>
        <v/>
      </c>
      <c r="F105" s="286" t="str">
        <f t="shared" ca="1" si="4"/>
        <v/>
      </c>
      <c r="G105" s="287" t="str">
        <f t="shared" ca="1" si="5"/>
        <v/>
      </c>
      <c r="H105" s="288" t="str">
        <f t="shared" ca="1" si="6"/>
        <v/>
      </c>
      <c r="I105" s="308"/>
      <c r="J105" s="309" t="s">
        <v>194</v>
      </c>
      <c r="K105" s="310"/>
      <c r="L105" s="310"/>
      <c r="M105" s="310"/>
      <c r="N105" s="310"/>
      <c r="O105" s="310"/>
      <c r="P105" s="310"/>
      <c r="Q105" s="311" t="s">
        <v>81</v>
      </c>
      <c r="R105" s="312"/>
      <c r="S105" s="313"/>
      <c r="T105" s="314"/>
      <c r="U105" s="315"/>
      <c r="V105" s="314"/>
      <c r="W105" s="316"/>
      <c r="X105" s="317"/>
      <c r="Y105" s="318"/>
      <c r="Z105" s="319"/>
      <c r="AA105" s="300"/>
      <c r="AB105" s="301"/>
      <c r="AC105" s="302"/>
      <c r="AD105" s="303"/>
      <c r="AE105" s="304"/>
      <c r="AF105" s="305"/>
      <c r="AG105" s="305">
        <f t="shared" si="7"/>
        <v>0</v>
      </c>
      <c r="AH105" s="305">
        <f t="shared" si="8"/>
        <v>0</v>
      </c>
      <c r="AI105" s="305">
        <f t="shared" si="9"/>
        <v>0</v>
      </c>
      <c r="AJ105" s="305">
        <f t="shared" si="10"/>
        <v>0</v>
      </c>
      <c r="AK105" s="305" t="str">
        <f t="shared" si="11"/>
        <v/>
      </c>
      <c r="AL105" s="306">
        <f t="shared" ca="1" si="12"/>
        <v>1</v>
      </c>
      <c r="AM105" s="306">
        <f t="shared" ca="1" si="13"/>
        <v>15</v>
      </c>
      <c r="AN105" s="306">
        <f t="shared" ca="1" si="14"/>
        <v>0</v>
      </c>
      <c r="AO105" s="306">
        <f t="shared" ca="1" si="15"/>
        <v>0</v>
      </c>
      <c r="AP105" s="306">
        <f t="shared" ca="1" si="16"/>
        <v>0</v>
      </c>
      <c r="AQ105" s="306">
        <f t="shared" ca="1" si="17"/>
        <v>0</v>
      </c>
      <c r="AR105" s="306">
        <f t="shared" ca="1" si="18"/>
        <v>0</v>
      </c>
      <c r="AS105" s="307"/>
      <c r="AT105" s="306">
        <f t="shared" si="19"/>
        <v>1</v>
      </c>
    </row>
    <row r="106" spans="1:46" ht="15.75" customHeight="1">
      <c r="A106" s="284"/>
      <c r="B106" s="285">
        <f t="shared" ca="1" si="0"/>
        <v>1</v>
      </c>
      <c r="C106" s="286">
        <f t="shared" ca="1" si="1"/>
        <v>15</v>
      </c>
      <c r="D106" s="286">
        <f t="shared" ca="1" si="2"/>
        <v>1</v>
      </c>
      <c r="E106" s="286" t="str">
        <f t="shared" ca="1" si="3"/>
        <v/>
      </c>
      <c r="F106" s="286" t="str">
        <f t="shared" ca="1" si="4"/>
        <v/>
      </c>
      <c r="G106" s="287" t="str">
        <f t="shared" ca="1" si="5"/>
        <v/>
      </c>
      <c r="H106" s="288" t="str">
        <f t="shared" ca="1" si="6"/>
        <v/>
      </c>
      <c r="I106" s="308"/>
      <c r="J106" s="320"/>
      <c r="K106" s="320" t="s">
        <v>59</v>
      </c>
      <c r="L106" s="320"/>
      <c r="M106" s="320"/>
      <c r="N106" s="320"/>
      <c r="O106" s="320"/>
      <c r="P106" s="320"/>
      <c r="Q106" s="321"/>
      <c r="R106" s="322" t="s">
        <v>175</v>
      </c>
      <c r="S106" s="331">
        <v>45862</v>
      </c>
      <c r="T106" s="325">
        <v>45867</v>
      </c>
      <c r="U106" s="330"/>
      <c r="V106" s="325"/>
      <c r="W106" s="326">
        <v>0</v>
      </c>
      <c r="X106" s="327"/>
      <c r="Y106" s="328"/>
      <c r="Z106" s="329"/>
      <c r="AA106" s="300"/>
      <c r="AB106" s="301"/>
      <c r="AC106" s="302"/>
      <c r="AD106" s="303"/>
      <c r="AE106" s="304"/>
      <c r="AF106" s="305"/>
      <c r="AG106" s="305">
        <f t="shared" ca="1" si="7"/>
        <v>0</v>
      </c>
      <c r="AH106" s="305">
        <f t="shared" ca="1" si="8"/>
        <v>0</v>
      </c>
      <c r="AI106" s="305">
        <f t="shared" si="9"/>
        <v>0</v>
      </c>
      <c r="AJ106" s="305">
        <f t="shared" ca="1" si="10"/>
        <v>0</v>
      </c>
      <c r="AK106" s="305" t="str">
        <f t="shared" ca="1" si="11"/>
        <v/>
      </c>
      <c r="AL106" s="306">
        <f t="shared" ca="1" si="12"/>
        <v>1</v>
      </c>
      <c r="AM106" s="306">
        <f t="shared" ca="1" si="13"/>
        <v>15</v>
      </c>
      <c r="AN106" s="306">
        <f t="shared" ca="1" si="14"/>
        <v>1</v>
      </c>
      <c r="AO106" s="306">
        <f t="shared" ca="1" si="15"/>
        <v>0</v>
      </c>
      <c r="AP106" s="306">
        <f t="shared" ca="1" si="16"/>
        <v>0</v>
      </c>
      <c r="AQ106" s="306">
        <f t="shared" ca="1" si="17"/>
        <v>0</v>
      </c>
      <c r="AR106" s="306">
        <f t="shared" ca="1" si="18"/>
        <v>0</v>
      </c>
      <c r="AS106" s="307"/>
      <c r="AT106" s="306">
        <f t="shared" si="19"/>
        <v>6</v>
      </c>
    </row>
    <row r="107" spans="1:46" ht="15.75" customHeight="1">
      <c r="A107" s="284"/>
      <c r="B107" s="285">
        <f t="shared" ca="1" si="0"/>
        <v>1</v>
      </c>
      <c r="C107" s="286">
        <f t="shared" ca="1" si="1"/>
        <v>15</v>
      </c>
      <c r="D107" s="286">
        <f t="shared" ca="1" si="2"/>
        <v>2</v>
      </c>
      <c r="E107" s="286" t="str">
        <f t="shared" ca="1" si="3"/>
        <v/>
      </c>
      <c r="F107" s="286" t="str">
        <f t="shared" ca="1" si="4"/>
        <v/>
      </c>
      <c r="G107" s="287" t="str">
        <f t="shared" ca="1" si="5"/>
        <v/>
      </c>
      <c r="H107" s="288" t="str">
        <f t="shared" ca="1" si="6"/>
        <v/>
      </c>
      <c r="I107" s="308"/>
      <c r="J107" s="320"/>
      <c r="K107" s="320" t="s">
        <v>145</v>
      </c>
      <c r="L107" s="320"/>
      <c r="M107" s="320"/>
      <c r="N107" s="320"/>
      <c r="O107" s="320"/>
      <c r="P107" s="320"/>
      <c r="Q107" s="321"/>
      <c r="R107" s="322" t="s">
        <v>176</v>
      </c>
      <c r="S107" s="331">
        <v>45868</v>
      </c>
      <c r="T107" s="325">
        <v>45868</v>
      </c>
      <c r="U107" s="330"/>
      <c r="V107" s="325"/>
      <c r="W107" s="326">
        <v>0</v>
      </c>
      <c r="X107" s="327"/>
      <c r="Y107" s="328"/>
      <c r="Z107" s="329"/>
      <c r="AA107" s="300"/>
      <c r="AB107" s="301"/>
      <c r="AC107" s="302"/>
      <c r="AD107" s="303"/>
      <c r="AE107" s="304"/>
      <c r="AF107" s="305"/>
      <c r="AG107" s="305">
        <f t="shared" ca="1" si="7"/>
        <v>0</v>
      </c>
      <c r="AH107" s="305">
        <f t="shared" ca="1" si="8"/>
        <v>0</v>
      </c>
      <c r="AI107" s="305">
        <f t="shared" si="9"/>
        <v>0</v>
      </c>
      <c r="AJ107" s="305">
        <f t="shared" ca="1" si="10"/>
        <v>0</v>
      </c>
      <c r="AK107" s="305" t="str">
        <f t="shared" ca="1" si="11"/>
        <v/>
      </c>
      <c r="AL107" s="306">
        <f t="shared" ca="1" si="12"/>
        <v>1</v>
      </c>
      <c r="AM107" s="306">
        <f t="shared" ca="1" si="13"/>
        <v>15</v>
      </c>
      <c r="AN107" s="306">
        <f t="shared" ca="1" si="14"/>
        <v>2</v>
      </c>
      <c r="AO107" s="306">
        <f t="shared" ca="1" si="15"/>
        <v>0</v>
      </c>
      <c r="AP107" s="306">
        <f t="shared" ca="1" si="16"/>
        <v>0</v>
      </c>
      <c r="AQ107" s="306">
        <f t="shared" ca="1" si="17"/>
        <v>0</v>
      </c>
      <c r="AR107" s="306">
        <f t="shared" ca="1" si="18"/>
        <v>0</v>
      </c>
      <c r="AS107" s="307"/>
      <c r="AT107" s="306">
        <f t="shared" si="19"/>
        <v>1</v>
      </c>
    </row>
    <row r="108" spans="1:46" ht="15.75" customHeight="1">
      <c r="A108" s="284"/>
      <c r="B108" s="285">
        <f t="shared" ca="1" si="0"/>
        <v>1</v>
      </c>
      <c r="C108" s="286">
        <f t="shared" ca="1" si="1"/>
        <v>15</v>
      </c>
      <c r="D108" s="286">
        <f t="shared" ca="1" si="2"/>
        <v>3</v>
      </c>
      <c r="E108" s="286" t="str">
        <f t="shared" ca="1" si="3"/>
        <v/>
      </c>
      <c r="F108" s="286" t="str">
        <f t="shared" ca="1" si="4"/>
        <v/>
      </c>
      <c r="G108" s="287" t="str">
        <f t="shared" ca="1" si="5"/>
        <v/>
      </c>
      <c r="H108" s="288" t="str">
        <f t="shared" ca="1" si="6"/>
        <v/>
      </c>
      <c r="I108" s="308"/>
      <c r="J108" s="320"/>
      <c r="K108" s="320" t="s">
        <v>63</v>
      </c>
      <c r="L108" s="320"/>
      <c r="M108" s="320"/>
      <c r="N108" s="320"/>
      <c r="O108" s="320"/>
      <c r="P108" s="320"/>
      <c r="Q108" s="321"/>
      <c r="R108" s="322" t="s">
        <v>175</v>
      </c>
      <c r="S108" s="331">
        <v>45869</v>
      </c>
      <c r="T108" s="325">
        <v>45869</v>
      </c>
      <c r="U108" s="330"/>
      <c r="V108" s="325"/>
      <c r="W108" s="326">
        <v>0</v>
      </c>
      <c r="X108" s="327"/>
      <c r="Y108" s="328"/>
      <c r="Z108" s="329"/>
      <c r="AA108" s="300"/>
      <c r="AB108" s="301"/>
      <c r="AC108" s="302"/>
      <c r="AD108" s="303"/>
      <c r="AE108" s="304"/>
      <c r="AF108" s="305"/>
      <c r="AG108" s="305">
        <f t="shared" ca="1" si="7"/>
        <v>0</v>
      </c>
      <c r="AH108" s="305">
        <f t="shared" ca="1" si="8"/>
        <v>0</v>
      </c>
      <c r="AI108" s="305">
        <f t="shared" si="9"/>
        <v>0</v>
      </c>
      <c r="AJ108" s="305">
        <f t="shared" ca="1" si="10"/>
        <v>0</v>
      </c>
      <c r="AK108" s="305" t="str">
        <f t="shared" ca="1" si="11"/>
        <v/>
      </c>
      <c r="AL108" s="306">
        <f t="shared" ca="1" si="12"/>
        <v>1</v>
      </c>
      <c r="AM108" s="306">
        <f t="shared" ca="1" si="13"/>
        <v>15</v>
      </c>
      <c r="AN108" s="306">
        <f t="shared" ca="1" si="14"/>
        <v>3</v>
      </c>
      <c r="AO108" s="306">
        <f t="shared" ca="1" si="15"/>
        <v>0</v>
      </c>
      <c r="AP108" s="306">
        <f t="shared" ca="1" si="16"/>
        <v>0</v>
      </c>
      <c r="AQ108" s="306">
        <f t="shared" ca="1" si="17"/>
        <v>0</v>
      </c>
      <c r="AR108" s="306">
        <f t="shared" ca="1" si="18"/>
        <v>0</v>
      </c>
      <c r="AS108" s="307"/>
      <c r="AT108" s="306">
        <f t="shared" si="19"/>
        <v>1</v>
      </c>
    </row>
    <row r="109" spans="1:46" ht="15.75" customHeight="1">
      <c r="A109" s="284"/>
      <c r="B109" s="285">
        <f t="shared" ca="1" si="0"/>
        <v>1</v>
      </c>
      <c r="C109" s="286">
        <f t="shared" ca="1" si="1"/>
        <v>15</v>
      </c>
      <c r="D109" s="286">
        <f t="shared" ca="1" si="2"/>
        <v>4</v>
      </c>
      <c r="E109" s="286" t="str">
        <f t="shared" ca="1" si="3"/>
        <v/>
      </c>
      <c r="F109" s="286" t="str">
        <f t="shared" ca="1" si="4"/>
        <v/>
      </c>
      <c r="G109" s="287" t="str">
        <f t="shared" ca="1" si="5"/>
        <v/>
      </c>
      <c r="H109" s="288" t="str">
        <f t="shared" ca="1" si="6"/>
        <v/>
      </c>
      <c r="I109" s="308"/>
      <c r="J109" s="320"/>
      <c r="K109" s="320" t="s">
        <v>64</v>
      </c>
      <c r="L109" s="320"/>
      <c r="M109" s="320"/>
      <c r="N109" s="320"/>
      <c r="O109" s="320"/>
      <c r="P109" s="320"/>
      <c r="Q109" s="321"/>
      <c r="R109" s="322" t="s">
        <v>176</v>
      </c>
      <c r="S109" s="331">
        <v>45869</v>
      </c>
      <c r="T109" s="325">
        <v>45869</v>
      </c>
      <c r="U109" s="330"/>
      <c r="V109" s="325"/>
      <c r="W109" s="326">
        <v>0</v>
      </c>
      <c r="X109" s="327"/>
      <c r="Y109" s="328"/>
      <c r="Z109" s="329"/>
      <c r="AA109" s="300"/>
      <c r="AB109" s="301"/>
      <c r="AC109" s="302"/>
      <c r="AD109" s="303"/>
      <c r="AE109" s="304"/>
      <c r="AF109" s="305"/>
      <c r="AG109" s="305">
        <f t="shared" ca="1" si="7"/>
        <v>0</v>
      </c>
      <c r="AH109" s="305">
        <f t="shared" ca="1" si="8"/>
        <v>0</v>
      </c>
      <c r="AI109" s="305">
        <f t="shared" si="9"/>
        <v>0</v>
      </c>
      <c r="AJ109" s="305">
        <f t="shared" ca="1" si="10"/>
        <v>0</v>
      </c>
      <c r="AK109" s="305" t="str">
        <f t="shared" ca="1" si="11"/>
        <v/>
      </c>
      <c r="AL109" s="306">
        <f t="shared" ca="1" si="12"/>
        <v>1</v>
      </c>
      <c r="AM109" s="306">
        <f t="shared" ca="1" si="13"/>
        <v>15</v>
      </c>
      <c r="AN109" s="306">
        <f t="shared" ca="1" si="14"/>
        <v>4</v>
      </c>
      <c r="AO109" s="306">
        <f t="shared" ca="1" si="15"/>
        <v>0</v>
      </c>
      <c r="AP109" s="306">
        <f t="shared" ca="1" si="16"/>
        <v>0</v>
      </c>
      <c r="AQ109" s="306">
        <f t="shared" ca="1" si="17"/>
        <v>0</v>
      </c>
      <c r="AR109" s="306">
        <f t="shared" ca="1" si="18"/>
        <v>0</v>
      </c>
      <c r="AS109" s="307"/>
      <c r="AT109" s="306">
        <f t="shared" si="19"/>
        <v>1</v>
      </c>
    </row>
    <row r="110" spans="1:46" ht="15.75" customHeight="1">
      <c r="A110" s="284"/>
      <c r="B110" s="285">
        <f t="shared" ca="1" si="0"/>
        <v>1</v>
      </c>
      <c r="C110" s="286">
        <f t="shared" ca="1" si="1"/>
        <v>15</v>
      </c>
      <c r="D110" s="286">
        <f t="shared" ca="1" si="2"/>
        <v>5</v>
      </c>
      <c r="E110" s="286" t="str">
        <f t="shared" ca="1" si="3"/>
        <v/>
      </c>
      <c r="F110" s="286" t="str">
        <f t="shared" ca="1" si="4"/>
        <v/>
      </c>
      <c r="G110" s="287" t="str">
        <f t="shared" ca="1" si="5"/>
        <v/>
      </c>
      <c r="H110" s="288" t="str">
        <f t="shared" ca="1" si="6"/>
        <v/>
      </c>
      <c r="I110" s="308"/>
      <c r="J110" s="320"/>
      <c r="K110" s="320" t="s">
        <v>65</v>
      </c>
      <c r="L110" s="320"/>
      <c r="M110" s="320"/>
      <c r="N110" s="320"/>
      <c r="O110" s="320"/>
      <c r="P110" s="320"/>
      <c r="Q110" s="321"/>
      <c r="R110" s="322" t="s">
        <v>175</v>
      </c>
      <c r="S110" s="331">
        <v>45870</v>
      </c>
      <c r="T110" s="325">
        <v>45870</v>
      </c>
      <c r="U110" s="330"/>
      <c r="V110" s="325"/>
      <c r="W110" s="326">
        <v>0</v>
      </c>
      <c r="X110" s="327"/>
      <c r="Y110" s="328"/>
      <c r="Z110" s="329"/>
      <c r="AA110" s="300"/>
      <c r="AB110" s="301"/>
      <c r="AC110" s="302"/>
      <c r="AD110" s="303"/>
      <c r="AE110" s="304"/>
      <c r="AF110" s="305"/>
      <c r="AG110" s="305">
        <f t="shared" ca="1" si="7"/>
        <v>0</v>
      </c>
      <c r="AH110" s="305">
        <f t="shared" ca="1" si="8"/>
        <v>0</v>
      </c>
      <c r="AI110" s="305">
        <f t="shared" si="9"/>
        <v>0</v>
      </c>
      <c r="AJ110" s="305">
        <f t="shared" ca="1" si="10"/>
        <v>0</v>
      </c>
      <c r="AK110" s="305" t="str">
        <f t="shared" ca="1" si="11"/>
        <v/>
      </c>
      <c r="AL110" s="306">
        <f t="shared" ca="1" si="12"/>
        <v>1</v>
      </c>
      <c r="AM110" s="306">
        <f t="shared" ca="1" si="13"/>
        <v>15</v>
      </c>
      <c r="AN110" s="306">
        <f t="shared" ca="1" si="14"/>
        <v>5</v>
      </c>
      <c r="AO110" s="306">
        <f t="shared" ca="1" si="15"/>
        <v>0</v>
      </c>
      <c r="AP110" s="306">
        <f t="shared" ca="1" si="16"/>
        <v>0</v>
      </c>
      <c r="AQ110" s="306">
        <f t="shared" ca="1" si="17"/>
        <v>0</v>
      </c>
      <c r="AR110" s="306">
        <f t="shared" ca="1" si="18"/>
        <v>0</v>
      </c>
      <c r="AS110" s="307"/>
      <c r="AT110" s="306">
        <f t="shared" si="19"/>
        <v>1</v>
      </c>
    </row>
    <row r="111" spans="1:46" ht="15.75" customHeight="1">
      <c r="A111" s="284"/>
      <c r="B111" s="285">
        <f t="shared" ca="1" si="0"/>
        <v>1</v>
      </c>
      <c r="C111" s="286">
        <f t="shared" ca="1" si="1"/>
        <v>15</v>
      </c>
      <c r="D111" s="286">
        <f t="shared" ca="1" si="2"/>
        <v>6</v>
      </c>
      <c r="E111" s="286" t="str">
        <f t="shared" ca="1" si="3"/>
        <v/>
      </c>
      <c r="F111" s="286" t="str">
        <f t="shared" ca="1" si="4"/>
        <v/>
      </c>
      <c r="G111" s="287" t="str">
        <f t="shared" ca="1" si="5"/>
        <v/>
      </c>
      <c r="H111" s="288" t="str">
        <f t="shared" ca="1" si="6"/>
        <v/>
      </c>
      <c r="I111" s="308"/>
      <c r="J111" s="320"/>
      <c r="K111" s="320" t="s">
        <v>66</v>
      </c>
      <c r="L111" s="320"/>
      <c r="M111" s="320"/>
      <c r="N111" s="320"/>
      <c r="O111" s="320"/>
      <c r="P111" s="320"/>
      <c r="Q111" s="321"/>
      <c r="R111" s="322" t="s">
        <v>176</v>
      </c>
      <c r="S111" s="331">
        <v>45873</v>
      </c>
      <c r="T111" s="325">
        <v>45873</v>
      </c>
      <c r="U111" s="330"/>
      <c r="V111" s="325"/>
      <c r="W111" s="326">
        <v>0</v>
      </c>
      <c r="X111" s="327"/>
      <c r="Y111" s="328"/>
      <c r="Z111" s="329"/>
      <c r="AA111" s="300"/>
      <c r="AB111" s="301"/>
      <c r="AC111" s="302"/>
      <c r="AD111" s="303"/>
      <c r="AE111" s="304"/>
      <c r="AF111" s="305"/>
      <c r="AG111" s="305">
        <f t="shared" ca="1" si="7"/>
        <v>0</v>
      </c>
      <c r="AH111" s="305">
        <f t="shared" ca="1" si="8"/>
        <v>0</v>
      </c>
      <c r="AI111" s="305">
        <f t="shared" si="9"/>
        <v>0</v>
      </c>
      <c r="AJ111" s="305">
        <f t="shared" ca="1" si="10"/>
        <v>0</v>
      </c>
      <c r="AK111" s="305" t="str">
        <f t="shared" ca="1" si="11"/>
        <v/>
      </c>
      <c r="AL111" s="306">
        <f t="shared" ca="1" si="12"/>
        <v>1</v>
      </c>
      <c r="AM111" s="306">
        <f t="shared" ca="1" si="13"/>
        <v>15</v>
      </c>
      <c r="AN111" s="306">
        <f t="shared" ca="1" si="14"/>
        <v>6</v>
      </c>
      <c r="AO111" s="306">
        <f t="shared" ca="1" si="15"/>
        <v>0</v>
      </c>
      <c r="AP111" s="306">
        <f t="shared" ca="1" si="16"/>
        <v>0</v>
      </c>
      <c r="AQ111" s="306">
        <f t="shared" ca="1" si="17"/>
        <v>0</v>
      </c>
      <c r="AR111" s="306">
        <f t="shared" ca="1" si="18"/>
        <v>0</v>
      </c>
      <c r="AS111" s="307"/>
      <c r="AT111" s="306">
        <f t="shared" si="19"/>
        <v>1</v>
      </c>
    </row>
    <row r="112" spans="1:46" ht="15.75" customHeight="1">
      <c r="A112" s="284"/>
      <c r="B112" s="285">
        <f t="shared" ca="1" si="0"/>
        <v>1</v>
      </c>
      <c r="C112" s="286">
        <f t="shared" ca="1" si="1"/>
        <v>16</v>
      </c>
      <c r="D112" s="286" t="str">
        <f t="shared" ca="1" si="2"/>
        <v/>
      </c>
      <c r="E112" s="286" t="str">
        <f t="shared" ca="1" si="3"/>
        <v/>
      </c>
      <c r="F112" s="286" t="str">
        <f t="shared" ca="1" si="4"/>
        <v/>
      </c>
      <c r="G112" s="287" t="str">
        <f t="shared" ca="1" si="5"/>
        <v/>
      </c>
      <c r="H112" s="288" t="str">
        <f t="shared" ca="1" si="6"/>
        <v/>
      </c>
      <c r="I112" s="308"/>
      <c r="J112" s="309" t="s">
        <v>195</v>
      </c>
      <c r="K112" s="310"/>
      <c r="L112" s="310"/>
      <c r="M112" s="310"/>
      <c r="N112" s="310"/>
      <c r="O112" s="310"/>
      <c r="P112" s="310"/>
      <c r="Q112" s="311" t="s">
        <v>81</v>
      </c>
      <c r="R112" s="312"/>
      <c r="S112" s="313"/>
      <c r="T112" s="314"/>
      <c r="U112" s="315"/>
      <c r="V112" s="314"/>
      <c r="W112" s="316"/>
      <c r="X112" s="317"/>
      <c r="Y112" s="318"/>
      <c r="Z112" s="319"/>
      <c r="AA112" s="300"/>
      <c r="AB112" s="301"/>
      <c r="AC112" s="302"/>
      <c r="AD112" s="303"/>
      <c r="AE112" s="304"/>
      <c r="AF112" s="305"/>
      <c r="AG112" s="305">
        <f t="shared" si="7"/>
        <v>0</v>
      </c>
      <c r="AH112" s="305">
        <f t="shared" si="8"/>
        <v>0</v>
      </c>
      <c r="AI112" s="305">
        <f t="shared" si="9"/>
        <v>0</v>
      </c>
      <c r="AJ112" s="305">
        <f t="shared" si="10"/>
        <v>0</v>
      </c>
      <c r="AK112" s="305" t="str">
        <f t="shared" si="11"/>
        <v/>
      </c>
      <c r="AL112" s="306">
        <f t="shared" ca="1" si="12"/>
        <v>1</v>
      </c>
      <c r="AM112" s="306">
        <f t="shared" ca="1" si="13"/>
        <v>16</v>
      </c>
      <c r="AN112" s="306">
        <f t="shared" ca="1" si="14"/>
        <v>0</v>
      </c>
      <c r="AO112" s="306">
        <f t="shared" ca="1" si="15"/>
        <v>0</v>
      </c>
      <c r="AP112" s="306">
        <f t="shared" ca="1" si="16"/>
        <v>0</v>
      </c>
      <c r="AQ112" s="306">
        <f t="shared" ca="1" si="17"/>
        <v>0</v>
      </c>
      <c r="AR112" s="306">
        <f t="shared" ca="1" si="18"/>
        <v>0</v>
      </c>
      <c r="AS112" s="307"/>
      <c r="AT112" s="306">
        <f t="shared" si="19"/>
        <v>1</v>
      </c>
    </row>
    <row r="113" spans="1:46" ht="15.75" customHeight="1">
      <c r="A113" s="284"/>
      <c r="B113" s="285">
        <f t="shared" ca="1" si="0"/>
        <v>1</v>
      </c>
      <c r="C113" s="286">
        <f t="shared" ca="1" si="1"/>
        <v>16</v>
      </c>
      <c r="D113" s="286">
        <f t="shared" ca="1" si="2"/>
        <v>1</v>
      </c>
      <c r="E113" s="286" t="str">
        <f t="shared" ca="1" si="3"/>
        <v/>
      </c>
      <c r="F113" s="286" t="str">
        <f t="shared" ca="1" si="4"/>
        <v/>
      </c>
      <c r="G113" s="287" t="str">
        <f t="shared" ca="1" si="5"/>
        <v/>
      </c>
      <c r="H113" s="288" t="str">
        <f t="shared" ca="1" si="6"/>
        <v/>
      </c>
      <c r="I113" s="308"/>
      <c r="J113" s="320"/>
      <c r="K113" s="320" t="s">
        <v>59</v>
      </c>
      <c r="L113" s="320"/>
      <c r="M113" s="320"/>
      <c r="N113" s="320"/>
      <c r="O113" s="320"/>
      <c r="P113" s="320"/>
      <c r="Q113" s="321"/>
      <c r="R113" s="322" t="s">
        <v>176</v>
      </c>
      <c r="S113" s="331">
        <v>45862</v>
      </c>
      <c r="T113" s="325">
        <v>45867</v>
      </c>
      <c r="U113" s="330"/>
      <c r="V113" s="325"/>
      <c r="W113" s="326">
        <v>0</v>
      </c>
      <c r="X113" s="327"/>
      <c r="Y113" s="328"/>
      <c r="Z113" s="329"/>
      <c r="AA113" s="300"/>
      <c r="AB113" s="301"/>
      <c r="AC113" s="302"/>
      <c r="AD113" s="303"/>
      <c r="AE113" s="304"/>
      <c r="AF113" s="305"/>
      <c r="AG113" s="305">
        <f t="shared" ca="1" si="7"/>
        <v>0</v>
      </c>
      <c r="AH113" s="305">
        <f t="shared" ca="1" si="8"/>
        <v>0</v>
      </c>
      <c r="AI113" s="305">
        <f t="shared" si="9"/>
        <v>0</v>
      </c>
      <c r="AJ113" s="305">
        <f t="shared" ca="1" si="10"/>
        <v>0</v>
      </c>
      <c r="AK113" s="305" t="str">
        <f t="shared" ca="1" si="11"/>
        <v/>
      </c>
      <c r="AL113" s="306">
        <f t="shared" ca="1" si="12"/>
        <v>1</v>
      </c>
      <c r="AM113" s="306">
        <f t="shared" ca="1" si="13"/>
        <v>16</v>
      </c>
      <c r="AN113" s="306">
        <f t="shared" ca="1" si="14"/>
        <v>1</v>
      </c>
      <c r="AO113" s="306">
        <f t="shared" ca="1" si="15"/>
        <v>0</v>
      </c>
      <c r="AP113" s="306">
        <f t="shared" ca="1" si="16"/>
        <v>0</v>
      </c>
      <c r="AQ113" s="306">
        <f t="shared" ca="1" si="17"/>
        <v>0</v>
      </c>
      <c r="AR113" s="306">
        <f t="shared" ca="1" si="18"/>
        <v>0</v>
      </c>
      <c r="AS113" s="307"/>
      <c r="AT113" s="306">
        <f t="shared" si="19"/>
        <v>6</v>
      </c>
    </row>
    <row r="114" spans="1:46" ht="15.75" customHeight="1">
      <c r="A114" s="284"/>
      <c r="B114" s="285">
        <f t="shared" ca="1" si="0"/>
        <v>1</v>
      </c>
      <c r="C114" s="286">
        <f t="shared" ca="1" si="1"/>
        <v>16</v>
      </c>
      <c r="D114" s="286">
        <f t="shared" ca="1" si="2"/>
        <v>2</v>
      </c>
      <c r="E114" s="286" t="str">
        <f t="shared" ca="1" si="3"/>
        <v/>
      </c>
      <c r="F114" s="286" t="str">
        <f t="shared" ca="1" si="4"/>
        <v/>
      </c>
      <c r="G114" s="287" t="str">
        <f t="shared" ca="1" si="5"/>
        <v/>
      </c>
      <c r="H114" s="288" t="str">
        <f t="shared" ca="1" si="6"/>
        <v/>
      </c>
      <c r="I114" s="308"/>
      <c r="J114" s="320"/>
      <c r="K114" s="320" t="s">
        <v>145</v>
      </c>
      <c r="L114" s="320"/>
      <c r="M114" s="320"/>
      <c r="N114" s="320"/>
      <c r="O114" s="320"/>
      <c r="P114" s="320"/>
      <c r="Q114" s="321"/>
      <c r="R114" s="322" t="s">
        <v>175</v>
      </c>
      <c r="S114" s="331">
        <v>45868</v>
      </c>
      <c r="T114" s="325">
        <v>45868</v>
      </c>
      <c r="U114" s="330"/>
      <c r="V114" s="325"/>
      <c r="W114" s="326">
        <v>0</v>
      </c>
      <c r="X114" s="327"/>
      <c r="Y114" s="328"/>
      <c r="Z114" s="329"/>
      <c r="AA114" s="300"/>
      <c r="AB114" s="301"/>
      <c r="AC114" s="302"/>
      <c r="AD114" s="303"/>
      <c r="AE114" s="304"/>
      <c r="AF114" s="305"/>
      <c r="AG114" s="305">
        <f t="shared" ca="1" si="7"/>
        <v>0</v>
      </c>
      <c r="AH114" s="305">
        <f t="shared" ca="1" si="8"/>
        <v>0</v>
      </c>
      <c r="AI114" s="305">
        <f t="shared" si="9"/>
        <v>0</v>
      </c>
      <c r="AJ114" s="305">
        <f t="shared" ca="1" si="10"/>
        <v>0</v>
      </c>
      <c r="AK114" s="305" t="str">
        <f t="shared" ca="1" si="11"/>
        <v/>
      </c>
      <c r="AL114" s="306">
        <f t="shared" ca="1" si="12"/>
        <v>1</v>
      </c>
      <c r="AM114" s="306">
        <f t="shared" ca="1" si="13"/>
        <v>16</v>
      </c>
      <c r="AN114" s="306">
        <f t="shared" ca="1" si="14"/>
        <v>2</v>
      </c>
      <c r="AO114" s="306">
        <f t="shared" ca="1" si="15"/>
        <v>0</v>
      </c>
      <c r="AP114" s="306">
        <f t="shared" ca="1" si="16"/>
        <v>0</v>
      </c>
      <c r="AQ114" s="306">
        <f t="shared" ca="1" si="17"/>
        <v>0</v>
      </c>
      <c r="AR114" s="306">
        <f t="shared" ca="1" si="18"/>
        <v>0</v>
      </c>
      <c r="AS114" s="307"/>
      <c r="AT114" s="306">
        <f t="shared" si="19"/>
        <v>1</v>
      </c>
    </row>
    <row r="115" spans="1:46" ht="15.75" customHeight="1">
      <c r="A115" s="284"/>
      <c r="B115" s="285">
        <f t="shared" ca="1" si="0"/>
        <v>1</v>
      </c>
      <c r="C115" s="286">
        <f t="shared" ca="1" si="1"/>
        <v>16</v>
      </c>
      <c r="D115" s="286">
        <f t="shared" ca="1" si="2"/>
        <v>3</v>
      </c>
      <c r="E115" s="286" t="str">
        <f t="shared" ca="1" si="3"/>
        <v/>
      </c>
      <c r="F115" s="286" t="str">
        <f t="shared" ca="1" si="4"/>
        <v/>
      </c>
      <c r="G115" s="287" t="str">
        <f t="shared" ca="1" si="5"/>
        <v/>
      </c>
      <c r="H115" s="288" t="str">
        <f t="shared" ca="1" si="6"/>
        <v/>
      </c>
      <c r="I115" s="308"/>
      <c r="J115" s="320"/>
      <c r="K115" s="320" t="s">
        <v>63</v>
      </c>
      <c r="L115" s="320"/>
      <c r="M115" s="320"/>
      <c r="N115" s="320"/>
      <c r="O115" s="320"/>
      <c r="P115" s="320"/>
      <c r="Q115" s="321"/>
      <c r="R115" s="322" t="s">
        <v>176</v>
      </c>
      <c r="S115" s="331">
        <v>45869</v>
      </c>
      <c r="T115" s="325">
        <v>45869</v>
      </c>
      <c r="U115" s="330"/>
      <c r="V115" s="325"/>
      <c r="W115" s="326">
        <v>0</v>
      </c>
      <c r="X115" s="327"/>
      <c r="Y115" s="328"/>
      <c r="Z115" s="329"/>
      <c r="AA115" s="300"/>
      <c r="AB115" s="301"/>
      <c r="AC115" s="302"/>
      <c r="AD115" s="303"/>
      <c r="AE115" s="304"/>
      <c r="AF115" s="305"/>
      <c r="AG115" s="305">
        <f t="shared" ca="1" si="7"/>
        <v>0</v>
      </c>
      <c r="AH115" s="305">
        <f t="shared" ca="1" si="8"/>
        <v>0</v>
      </c>
      <c r="AI115" s="305">
        <f t="shared" si="9"/>
        <v>0</v>
      </c>
      <c r="AJ115" s="305">
        <f t="shared" ca="1" si="10"/>
        <v>0</v>
      </c>
      <c r="AK115" s="305" t="str">
        <f t="shared" ca="1" si="11"/>
        <v/>
      </c>
      <c r="AL115" s="306">
        <f t="shared" ca="1" si="12"/>
        <v>1</v>
      </c>
      <c r="AM115" s="306">
        <f t="shared" ca="1" si="13"/>
        <v>16</v>
      </c>
      <c r="AN115" s="306">
        <f t="shared" ca="1" si="14"/>
        <v>3</v>
      </c>
      <c r="AO115" s="306">
        <f t="shared" ca="1" si="15"/>
        <v>0</v>
      </c>
      <c r="AP115" s="306">
        <f t="shared" ca="1" si="16"/>
        <v>0</v>
      </c>
      <c r="AQ115" s="306">
        <f t="shared" ca="1" si="17"/>
        <v>0</v>
      </c>
      <c r="AR115" s="306">
        <f t="shared" ca="1" si="18"/>
        <v>0</v>
      </c>
      <c r="AS115" s="307"/>
      <c r="AT115" s="306">
        <f t="shared" si="19"/>
        <v>1</v>
      </c>
    </row>
    <row r="116" spans="1:46" ht="15.75" customHeight="1">
      <c r="A116" s="284"/>
      <c r="B116" s="285">
        <f t="shared" ca="1" si="0"/>
        <v>1</v>
      </c>
      <c r="C116" s="286">
        <f t="shared" ca="1" si="1"/>
        <v>16</v>
      </c>
      <c r="D116" s="286">
        <f t="shared" ca="1" si="2"/>
        <v>4</v>
      </c>
      <c r="E116" s="286" t="str">
        <f t="shared" ca="1" si="3"/>
        <v/>
      </c>
      <c r="F116" s="286" t="str">
        <f t="shared" ca="1" si="4"/>
        <v/>
      </c>
      <c r="G116" s="287" t="str">
        <f t="shared" ca="1" si="5"/>
        <v/>
      </c>
      <c r="H116" s="288" t="str">
        <f t="shared" ca="1" si="6"/>
        <v/>
      </c>
      <c r="I116" s="308"/>
      <c r="J116" s="320"/>
      <c r="K116" s="320" t="s">
        <v>64</v>
      </c>
      <c r="L116" s="320"/>
      <c r="M116" s="320"/>
      <c r="N116" s="320"/>
      <c r="O116" s="320"/>
      <c r="P116" s="320"/>
      <c r="Q116" s="321"/>
      <c r="R116" s="322" t="s">
        <v>175</v>
      </c>
      <c r="S116" s="331">
        <v>45869</v>
      </c>
      <c r="T116" s="325">
        <v>45869</v>
      </c>
      <c r="U116" s="330"/>
      <c r="V116" s="325"/>
      <c r="W116" s="326">
        <v>0</v>
      </c>
      <c r="X116" s="327"/>
      <c r="Y116" s="328"/>
      <c r="Z116" s="329"/>
      <c r="AA116" s="300"/>
      <c r="AB116" s="301"/>
      <c r="AC116" s="302"/>
      <c r="AD116" s="303"/>
      <c r="AE116" s="304"/>
      <c r="AF116" s="305"/>
      <c r="AG116" s="305">
        <f t="shared" ca="1" si="7"/>
        <v>0</v>
      </c>
      <c r="AH116" s="305">
        <f t="shared" ca="1" si="8"/>
        <v>0</v>
      </c>
      <c r="AI116" s="305">
        <f t="shared" si="9"/>
        <v>0</v>
      </c>
      <c r="AJ116" s="305">
        <f t="shared" ca="1" si="10"/>
        <v>0</v>
      </c>
      <c r="AK116" s="305" t="str">
        <f t="shared" ca="1" si="11"/>
        <v/>
      </c>
      <c r="AL116" s="306">
        <f t="shared" ca="1" si="12"/>
        <v>1</v>
      </c>
      <c r="AM116" s="306">
        <f t="shared" ca="1" si="13"/>
        <v>16</v>
      </c>
      <c r="AN116" s="306">
        <f t="shared" ca="1" si="14"/>
        <v>4</v>
      </c>
      <c r="AO116" s="306">
        <f t="shared" ca="1" si="15"/>
        <v>0</v>
      </c>
      <c r="AP116" s="306">
        <f t="shared" ca="1" si="16"/>
        <v>0</v>
      </c>
      <c r="AQ116" s="306">
        <f t="shared" ca="1" si="17"/>
        <v>0</v>
      </c>
      <c r="AR116" s="306">
        <f t="shared" ca="1" si="18"/>
        <v>0</v>
      </c>
      <c r="AS116" s="307"/>
      <c r="AT116" s="306">
        <f t="shared" si="19"/>
        <v>1</v>
      </c>
    </row>
    <row r="117" spans="1:46" ht="15.75" customHeight="1">
      <c r="A117" s="284"/>
      <c r="B117" s="285">
        <f t="shared" ca="1" si="0"/>
        <v>1</v>
      </c>
      <c r="C117" s="286">
        <f t="shared" ca="1" si="1"/>
        <v>16</v>
      </c>
      <c r="D117" s="286">
        <f t="shared" ca="1" si="2"/>
        <v>5</v>
      </c>
      <c r="E117" s="286" t="str">
        <f t="shared" ca="1" si="3"/>
        <v/>
      </c>
      <c r="F117" s="286" t="str">
        <f t="shared" ca="1" si="4"/>
        <v/>
      </c>
      <c r="G117" s="287" t="str">
        <f t="shared" ca="1" si="5"/>
        <v/>
      </c>
      <c r="H117" s="288" t="str">
        <f t="shared" ca="1" si="6"/>
        <v/>
      </c>
      <c r="I117" s="308"/>
      <c r="J117" s="320"/>
      <c r="K117" s="320" t="s">
        <v>65</v>
      </c>
      <c r="L117" s="320"/>
      <c r="M117" s="320"/>
      <c r="N117" s="320"/>
      <c r="O117" s="320"/>
      <c r="P117" s="320"/>
      <c r="Q117" s="321"/>
      <c r="R117" s="322" t="s">
        <v>176</v>
      </c>
      <c r="S117" s="331">
        <v>45870</v>
      </c>
      <c r="T117" s="325">
        <v>45870</v>
      </c>
      <c r="U117" s="330"/>
      <c r="V117" s="325"/>
      <c r="W117" s="326">
        <v>0</v>
      </c>
      <c r="X117" s="327"/>
      <c r="Y117" s="328"/>
      <c r="Z117" s="329"/>
      <c r="AA117" s="300"/>
      <c r="AB117" s="301"/>
      <c r="AC117" s="302"/>
      <c r="AD117" s="303"/>
      <c r="AE117" s="304"/>
      <c r="AF117" s="305"/>
      <c r="AG117" s="305">
        <f t="shared" ca="1" si="7"/>
        <v>0</v>
      </c>
      <c r="AH117" s="305">
        <f t="shared" ca="1" si="8"/>
        <v>0</v>
      </c>
      <c r="AI117" s="305">
        <f t="shared" si="9"/>
        <v>0</v>
      </c>
      <c r="AJ117" s="305">
        <f t="shared" ca="1" si="10"/>
        <v>0</v>
      </c>
      <c r="AK117" s="305" t="str">
        <f t="shared" ca="1" si="11"/>
        <v/>
      </c>
      <c r="AL117" s="306">
        <f t="shared" ca="1" si="12"/>
        <v>1</v>
      </c>
      <c r="AM117" s="306">
        <f t="shared" ca="1" si="13"/>
        <v>16</v>
      </c>
      <c r="AN117" s="306">
        <f t="shared" ca="1" si="14"/>
        <v>5</v>
      </c>
      <c r="AO117" s="306">
        <f t="shared" ca="1" si="15"/>
        <v>0</v>
      </c>
      <c r="AP117" s="306">
        <f t="shared" ca="1" si="16"/>
        <v>0</v>
      </c>
      <c r="AQ117" s="306">
        <f t="shared" ca="1" si="17"/>
        <v>0</v>
      </c>
      <c r="AR117" s="306">
        <f t="shared" ca="1" si="18"/>
        <v>0</v>
      </c>
      <c r="AS117" s="307"/>
      <c r="AT117" s="306">
        <f t="shared" si="19"/>
        <v>1</v>
      </c>
    </row>
    <row r="118" spans="1:46" ht="15.75" customHeight="1">
      <c r="A118" s="284"/>
      <c r="B118" s="285">
        <f t="shared" ca="1" si="0"/>
        <v>1</v>
      </c>
      <c r="C118" s="286">
        <f t="shared" ca="1" si="1"/>
        <v>16</v>
      </c>
      <c r="D118" s="286">
        <f t="shared" ca="1" si="2"/>
        <v>6</v>
      </c>
      <c r="E118" s="286" t="str">
        <f t="shared" ca="1" si="3"/>
        <v/>
      </c>
      <c r="F118" s="286" t="str">
        <f t="shared" ca="1" si="4"/>
        <v/>
      </c>
      <c r="G118" s="287" t="str">
        <f t="shared" ca="1" si="5"/>
        <v/>
      </c>
      <c r="H118" s="288" t="str">
        <f t="shared" ca="1" si="6"/>
        <v/>
      </c>
      <c r="I118" s="308"/>
      <c r="J118" s="320"/>
      <c r="K118" s="320" t="s">
        <v>66</v>
      </c>
      <c r="L118" s="320"/>
      <c r="M118" s="320"/>
      <c r="N118" s="320"/>
      <c r="O118" s="320"/>
      <c r="P118" s="320"/>
      <c r="Q118" s="321"/>
      <c r="R118" s="322" t="s">
        <v>175</v>
      </c>
      <c r="S118" s="331">
        <v>45873</v>
      </c>
      <c r="T118" s="325">
        <v>45873</v>
      </c>
      <c r="U118" s="330"/>
      <c r="V118" s="325"/>
      <c r="W118" s="326">
        <v>0</v>
      </c>
      <c r="X118" s="327"/>
      <c r="Y118" s="328"/>
      <c r="Z118" s="329"/>
      <c r="AA118" s="300"/>
      <c r="AB118" s="301"/>
      <c r="AC118" s="302"/>
      <c r="AD118" s="303"/>
      <c r="AE118" s="304"/>
      <c r="AF118" s="305"/>
      <c r="AG118" s="305">
        <f t="shared" ca="1" si="7"/>
        <v>0</v>
      </c>
      <c r="AH118" s="305">
        <f t="shared" ca="1" si="8"/>
        <v>0</v>
      </c>
      <c r="AI118" s="305">
        <f t="shared" si="9"/>
        <v>0</v>
      </c>
      <c r="AJ118" s="305">
        <f t="shared" ca="1" si="10"/>
        <v>0</v>
      </c>
      <c r="AK118" s="305" t="str">
        <f t="shared" ca="1" si="11"/>
        <v/>
      </c>
      <c r="AL118" s="306">
        <f t="shared" ca="1" si="12"/>
        <v>1</v>
      </c>
      <c r="AM118" s="306">
        <f t="shared" ca="1" si="13"/>
        <v>16</v>
      </c>
      <c r="AN118" s="306">
        <f t="shared" ca="1" si="14"/>
        <v>6</v>
      </c>
      <c r="AO118" s="306">
        <f t="shared" ca="1" si="15"/>
        <v>0</v>
      </c>
      <c r="AP118" s="306">
        <f t="shared" ca="1" si="16"/>
        <v>0</v>
      </c>
      <c r="AQ118" s="306">
        <f t="shared" ca="1" si="17"/>
        <v>0</v>
      </c>
      <c r="AR118" s="306">
        <f t="shared" ca="1" si="18"/>
        <v>0</v>
      </c>
      <c r="AS118" s="307"/>
      <c r="AT118" s="306">
        <f t="shared" si="19"/>
        <v>1</v>
      </c>
    </row>
    <row r="119" spans="1:46" ht="15.75" customHeight="1">
      <c r="A119" s="284"/>
      <c r="B119" s="285">
        <f t="shared" ca="1" si="0"/>
        <v>1</v>
      </c>
      <c r="C119" s="286">
        <f t="shared" ca="1" si="1"/>
        <v>17</v>
      </c>
      <c r="D119" s="286" t="str">
        <f t="shared" ca="1" si="2"/>
        <v/>
      </c>
      <c r="E119" s="286" t="str">
        <f t="shared" ca="1" si="3"/>
        <v/>
      </c>
      <c r="F119" s="286" t="str">
        <f t="shared" ca="1" si="4"/>
        <v/>
      </c>
      <c r="G119" s="287" t="str">
        <f t="shared" ca="1" si="5"/>
        <v/>
      </c>
      <c r="H119" s="288" t="str">
        <f t="shared" ca="1" si="6"/>
        <v/>
      </c>
      <c r="I119" s="308"/>
      <c r="J119" s="309" t="s">
        <v>196</v>
      </c>
      <c r="K119" s="310"/>
      <c r="L119" s="310"/>
      <c r="M119" s="310"/>
      <c r="N119" s="310"/>
      <c r="O119" s="310"/>
      <c r="P119" s="310"/>
      <c r="Q119" s="311" t="s">
        <v>81</v>
      </c>
      <c r="R119" s="312"/>
      <c r="S119" s="313"/>
      <c r="T119" s="314"/>
      <c r="U119" s="315"/>
      <c r="V119" s="314"/>
      <c r="W119" s="316"/>
      <c r="X119" s="317"/>
      <c r="Y119" s="318"/>
      <c r="Z119" s="319"/>
      <c r="AA119" s="300"/>
      <c r="AB119" s="301"/>
      <c r="AC119" s="302"/>
      <c r="AD119" s="303"/>
      <c r="AE119" s="304"/>
      <c r="AF119" s="305"/>
      <c r="AG119" s="305">
        <f t="shared" si="7"/>
        <v>0</v>
      </c>
      <c r="AH119" s="305">
        <f t="shared" si="8"/>
        <v>0</v>
      </c>
      <c r="AI119" s="305">
        <f t="shared" si="9"/>
        <v>0</v>
      </c>
      <c r="AJ119" s="305">
        <f t="shared" si="10"/>
        <v>0</v>
      </c>
      <c r="AK119" s="305" t="str">
        <f t="shared" si="11"/>
        <v/>
      </c>
      <c r="AL119" s="306">
        <f t="shared" ca="1" si="12"/>
        <v>1</v>
      </c>
      <c r="AM119" s="306">
        <f t="shared" ca="1" si="13"/>
        <v>17</v>
      </c>
      <c r="AN119" s="306">
        <f t="shared" ca="1" si="14"/>
        <v>0</v>
      </c>
      <c r="AO119" s="306">
        <f t="shared" ca="1" si="15"/>
        <v>0</v>
      </c>
      <c r="AP119" s="306">
        <f t="shared" ca="1" si="16"/>
        <v>0</v>
      </c>
      <c r="AQ119" s="306">
        <f t="shared" ca="1" si="17"/>
        <v>0</v>
      </c>
      <c r="AR119" s="306">
        <f t="shared" ca="1" si="18"/>
        <v>0</v>
      </c>
      <c r="AS119" s="307"/>
      <c r="AT119" s="306">
        <f t="shared" si="19"/>
        <v>1</v>
      </c>
    </row>
    <row r="120" spans="1:46" ht="15.75" customHeight="1">
      <c r="A120" s="284"/>
      <c r="B120" s="285">
        <f t="shared" ca="1" si="0"/>
        <v>1</v>
      </c>
      <c r="C120" s="286">
        <f t="shared" ca="1" si="1"/>
        <v>17</v>
      </c>
      <c r="D120" s="286">
        <f t="shared" ca="1" si="2"/>
        <v>1</v>
      </c>
      <c r="E120" s="286" t="str">
        <f t="shared" ca="1" si="3"/>
        <v/>
      </c>
      <c r="F120" s="286" t="str">
        <f t="shared" ca="1" si="4"/>
        <v/>
      </c>
      <c r="G120" s="287" t="str">
        <f t="shared" ca="1" si="5"/>
        <v/>
      </c>
      <c r="H120" s="288" t="str">
        <f t="shared" ca="1" si="6"/>
        <v/>
      </c>
      <c r="I120" s="308"/>
      <c r="J120" s="320"/>
      <c r="K120" s="320" t="s">
        <v>59</v>
      </c>
      <c r="L120" s="320"/>
      <c r="M120" s="320"/>
      <c r="N120" s="320"/>
      <c r="O120" s="320"/>
      <c r="P120" s="320"/>
      <c r="Q120" s="321"/>
      <c r="R120" s="322" t="s">
        <v>175</v>
      </c>
      <c r="S120" s="331">
        <v>45812</v>
      </c>
      <c r="T120" s="325">
        <v>45817</v>
      </c>
      <c r="U120" s="330">
        <v>45812</v>
      </c>
      <c r="V120" s="325">
        <v>45820</v>
      </c>
      <c r="W120" s="326">
        <v>1</v>
      </c>
      <c r="X120" s="326">
        <v>1</v>
      </c>
      <c r="Y120" s="328" t="s">
        <v>396</v>
      </c>
      <c r="Z120" s="329"/>
      <c r="AA120" s="300"/>
      <c r="AB120" s="301"/>
      <c r="AC120" s="302"/>
      <c r="AD120" s="303"/>
      <c r="AE120" s="304"/>
      <c r="AF120" s="305"/>
      <c r="AG120" s="305">
        <f t="shared" ca="1" si="7"/>
        <v>0</v>
      </c>
      <c r="AH120" s="305">
        <f t="shared" ca="1" si="8"/>
        <v>0</v>
      </c>
      <c r="AI120" s="305">
        <f t="shared" si="9"/>
        <v>0</v>
      </c>
      <c r="AJ120" s="305">
        <f t="shared" ca="1" si="10"/>
        <v>0</v>
      </c>
      <c r="AK120" s="305" t="str">
        <f t="shared" ca="1" si="11"/>
        <v/>
      </c>
      <c r="AL120" s="306">
        <f t="shared" ca="1" si="12"/>
        <v>1</v>
      </c>
      <c r="AM120" s="306">
        <f t="shared" ca="1" si="13"/>
        <v>17</v>
      </c>
      <c r="AN120" s="306">
        <f t="shared" ca="1" si="14"/>
        <v>1</v>
      </c>
      <c r="AO120" s="306">
        <f t="shared" ca="1" si="15"/>
        <v>0</v>
      </c>
      <c r="AP120" s="306">
        <f t="shared" ca="1" si="16"/>
        <v>0</v>
      </c>
      <c r="AQ120" s="306">
        <f t="shared" ca="1" si="17"/>
        <v>0</v>
      </c>
      <c r="AR120" s="306">
        <f t="shared" ca="1" si="18"/>
        <v>0</v>
      </c>
      <c r="AS120" s="307"/>
      <c r="AT120" s="306">
        <f t="shared" si="19"/>
        <v>6</v>
      </c>
    </row>
    <row r="121" spans="1:46" ht="15.75" customHeight="1">
      <c r="A121" s="284"/>
      <c r="B121" s="285">
        <f t="shared" ca="1" si="0"/>
        <v>1</v>
      </c>
      <c r="C121" s="286">
        <f t="shared" ca="1" si="1"/>
        <v>17</v>
      </c>
      <c r="D121" s="286">
        <f t="shared" ca="1" si="2"/>
        <v>2</v>
      </c>
      <c r="E121" s="286" t="str">
        <f t="shared" ca="1" si="3"/>
        <v/>
      </c>
      <c r="F121" s="286" t="str">
        <f t="shared" ca="1" si="4"/>
        <v/>
      </c>
      <c r="G121" s="287" t="str">
        <f t="shared" ca="1" si="5"/>
        <v/>
      </c>
      <c r="H121" s="288" t="str">
        <f t="shared" ca="1" si="6"/>
        <v/>
      </c>
      <c r="I121" s="308"/>
      <c r="J121" s="320"/>
      <c r="K121" s="320" t="s">
        <v>145</v>
      </c>
      <c r="L121" s="320"/>
      <c r="M121" s="320"/>
      <c r="N121" s="320"/>
      <c r="O121" s="320"/>
      <c r="P121" s="320"/>
      <c r="Q121" s="321"/>
      <c r="R121" s="322" t="s">
        <v>176</v>
      </c>
      <c r="S121" s="331">
        <v>45818</v>
      </c>
      <c r="T121" s="325">
        <v>45818</v>
      </c>
      <c r="U121" s="331">
        <v>45818</v>
      </c>
      <c r="V121" s="331">
        <v>45820</v>
      </c>
      <c r="W121" s="326">
        <v>1</v>
      </c>
      <c r="X121" s="326">
        <v>1</v>
      </c>
      <c r="Y121" s="328" t="s">
        <v>396</v>
      </c>
      <c r="Z121" s="329"/>
      <c r="AA121" s="300"/>
      <c r="AB121" s="301"/>
      <c r="AC121" s="302"/>
      <c r="AD121" s="303"/>
      <c r="AE121" s="304"/>
      <c r="AF121" s="305"/>
      <c r="AG121" s="305">
        <f t="shared" ca="1" si="7"/>
        <v>0</v>
      </c>
      <c r="AH121" s="305">
        <f t="shared" ca="1" si="8"/>
        <v>0</v>
      </c>
      <c r="AI121" s="305">
        <f t="shared" si="9"/>
        <v>0</v>
      </c>
      <c r="AJ121" s="305">
        <f t="shared" ca="1" si="10"/>
        <v>0</v>
      </c>
      <c r="AK121" s="305" t="str">
        <f t="shared" ca="1" si="11"/>
        <v/>
      </c>
      <c r="AL121" s="306">
        <f t="shared" ca="1" si="12"/>
        <v>1</v>
      </c>
      <c r="AM121" s="306">
        <f t="shared" ca="1" si="13"/>
        <v>17</v>
      </c>
      <c r="AN121" s="306">
        <f t="shared" ca="1" si="14"/>
        <v>2</v>
      </c>
      <c r="AO121" s="306">
        <f t="shared" ca="1" si="15"/>
        <v>0</v>
      </c>
      <c r="AP121" s="306">
        <f t="shared" ca="1" si="16"/>
        <v>0</v>
      </c>
      <c r="AQ121" s="306">
        <f t="shared" ca="1" si="17"/>
        <v>0</v>
      </c>
      <c r="AR121" s="306">
        <f t="shared" ca="1" si="18"/>
        <v>0</v>
      </c>
      <c r="AS121" s="307"/>
      <c r="AT121" s="306">
        <f t="shared" si="19"/>
        <v>1</v>
      </c>
    </row>
    <row r="122" spans="1:46" ht="15.75" customHeight="1">
      <c r="A122" s="284"/>
      <c r="B122" s="285">
        <f t="shared" ca="1" si="0"/>
        <v>1</v>
      </c>
      <c r="C122" s="286">
        <f t="shared" ca="1" si="1"/>
        <v>17</v>
      </c>
      <c r="D122" s="286">
        <f t="shared" ca="1" si="2"/>
        <v>3</v>
      </c>
      <c r="E122" s="286" t="str">
        <f t="shared" ca="1" si="3"/>
        <v/>
      </c>
      <c r="F122" s="286" t="str">
        <f t="shared" ca="1" si="4"/>
        <v/>
      </c>
      <c r="G122" s="287" t="str">
        <f t="shared" ca="1" si="5"/>
        <v/>
      </c>
      <c r="H122" s="288" t="str">
        <f t="shared" ca="1" si="6"/>
        <v/>
      </c>
      <c r="I122" s="308"/>
      <c r="J122" s="320"/>
      <c r="K122" s="320" t="s">
        <v>63</v>
      </c>
      <c r="L122" s="320"/>
      <c r="M122" s="320"/>
      <c r="N122" s="320"/>
      <c r="O122" s="320"/>
      <c r="P122" s="320"/>
      <c r="Q122" s="321"/>
      <c r="R122" s="322" t="s">
        <v>175</v>
      </c>
      <c r="S122" s="323">
        <v>45827</v>
      </c>
      <c r="T122" s="324">
        <v>45827</v>
      </c>
      <c r="U122" s="330"/>
      <c r="V122" s="325"/>
      <c r="W122" s="326">
        <v>0</v>
      </c>
      <c r="X122" s="327"/>
      <c r="Y122" s="328"/>
      <c r="Z122" s="329"/>
      <c r="AA122" s="300"/>
      <c r="AB122" s="301"/>
      <c r="AC122" s="302"/>
      <c r="AD122" s="303"/>
      <c r="AE122" s="304"/>
      <c r="AF122" s="305"/>
      <c r="AG122" s="305">
        <f t="shared" ca="1" si="7"/>
        <v>0</v>
      </c>
      <c r="AH122" s="305">
        <f t="shared" ca="1" si="8"/>
        <v>0</v>
      </c>
      <c r="AI122" s="305">
        <f t="shared" si="9"/>
        <v>0</v>
      </c>
      <c r="AJ122" s="305">
        <f t="shared" ca="1" si="10"/>
        <v>0</v>
      </c>
      <c r="AK122" s="305" t="str">
        <f t="shared" ca="1" si="11"/>
        <v/>
      </c>
      <c r="AL122" s="306">
        <f t="shared" ca="1" si="12"/>
        <v>1</v>
      </c>
      <c r="AM122" s="306">
        <f t="shared" ca="1" si="13"/>
        <v>17</v>
      </c>
      <c r="AN122" s="306">
        <f t="shared" ca="1" si="14"/>
        <v>3</v>
      </c>
      <c r="AO122" s="306">
        <f t="shared" ca="1" si="15"/>
        <v>0</v>
      </c>
      <c r="AP122" s="306">
        <f t="shared" ca="1" si="16"/>
        <v>0</v>
      </c>
      <c r="AQ122" s="306">
        <f t="shared" ca="1" si="17"/>
        <v>0</v>
      </c>
      <c r="AR122" s="306">
        <f t="shared" ca="1" si="18"/>
        <v>0</v>
      </c>
      <c r="AS122" s="307"/>
      <c r="AT122" s="306">
        <f t="shared" si="19"/>
        <v>1</v>
      </c>
    </row>
    <row r="123" spans="1:46" ht="15.75" customHeight="1">
      <c r="A123" s="284"/>
      <c r="B123" s="285">
        <f t="shared" ca="1" si="0"/>
        <v>1</v>
      </c>
      <c r="C123" s="286">
        <f t="shared" ca="1" si="1"/>
        <v>17</v>
      </c>
      <c r="D123" s="286">
        <f t="shared" ca="1" si="2"/>
        <v>4</v>
      </c>
      <c r="E123" s="286" t="str">
        <f t="shared" ca="1" si="3"/>
        <v/>
      </c>
      <c r="F123" s="286" t="str">
        <f t="shared" ca="1" si="4"/>
        <v/>
      </c>
      <c r="G123" s="287" t="str">
        <f t="shared" ca="1" si="5"/>
        <v/>
      </c>
      <c r="H123" s="288" t="str">
        <f t="shared" ca="1" si="6"/>
        <v/>
      </c>
      <c r="I123" s="308"/>
      <c r="J123" s="320"/>
      <c r="K123" s="320" t="s">
        <v>64</v>
      </c>
      <c r="L123" s="320"/>
      <c r="M123" s="320"/>
      <c r="N123" s="320"/>
      <c r="O123" s="320"/>
      <c r="P123" s="320"/>
      <c r="Q123" s="321"/>
      <c r="R123" s="322" t="s">
        <v>176</v>
      </c>
      <c r="S123" s="323">
        <v>45827</v>
      </c>
      <c r="T123" s="324">
        <v>45827</v>
      </c>
      <c r="U123" s="330"/>
      <c r="V123" s="325"/>
      <c r="W123" s="326">
        <v>0</v>
      </c>
      <c r="X123" s="327"/>
      <c r="Y123" s="328"/>
      <c r="Z123" s="329"/>
      <c r="AA123" s="300"/>
      <c r="AB123" s="301"/>
      <c r="AC123" s="302"/>
      <c r="AD123" s="303"/>
      <c r="AE123" s="304"/>
      <c r="AF123" s="305"/>
      <c r="AG123" s="305">
        <f t="shared" ca="1" si="7"/>
        <v>0</v>
      </c>
      <c r="AH123" s="305">
        <f t="shared" ca="1" si="8"/>
        <v>0</v>
      </c>
      <c r="AI123" s="305">
        <f t="shared" si="9"/>
        <v>0</v>
      </c>
      <c r="AJ123" s="305">
        <f t="shared" ca="1" si="10"/>
        <v>0</v>
      </c>
      <c r="AK123" s="305" t="str">
        <f t="shared" ca="1" si="11"/>
        <v/>
      </c>
      <c r="AL123" s="306">
        <f t="shared" ca="1" si="12"/>
        <v>1</v>
      </c>
      <c r="AM123" s="306">
        <f t="shared" ca="1" si="13"/>
        <v>17</v>
      </c>
      <c r="AN123" s="306">
        <f t="shared" ca="1" si="14"/>
        <v>4</v>
      </c>
      <c r="AO123" s="306">
        <f t="shared" ca="1" si="15"/>
        <v>0</v>
      </c>
      <c r="AP123" s="306">
        <f t="shared" ca="1" si="16"/>
        <v>0</v>
      </c>
      <c r="AQ123" s="306">
        <f t="shared" ca="1" si="17"/>
        <v>0</v>
      </c>
      <c r="AR123" s="306">
        <f t="shared" ca="1" si="18"/>
        <v>0</v>
      </c>
      <c r="AS123" s="307"/>
      <c r="AT123" s="306">
        <f t="shared" si="19"/>
        <v>1</v>
      </c>
    </row>
    <row r="124" spans="1:46" ht="15.75" customHeight="1">
      <c r="A124" s="284"/>
      <c r="B124" s="285">
        <f t="shared" ca="1" si="0"/>
        <v>1</v>
      </c>
      <c r="C124" s="286">
        <f t="shared" ca="1" si="1"/>
        <v>17</v>
      </c>
      <c r="D124" s="286">
        <f t="shared" ca="1" si="2"/>
        <v>5</v>
      </c>
      <c r="E124" s="286" t="str">
        <f t="shared" ca="1" si="3"/>
        <v/>
      </c>
      <c r="F124" s="286" t="str">
        <f t="shared" ca="1" si="4"/>
        <v/>
      </c>
      <c r="G124" s="287" t="str">
        <f t="shared" ca="1" si="5"/>
        <v/>
      </c>
      <c r="H124" s="288" t="str">
        <f t="shared" ca="1" si="6"/>
        <v/>
      </c>
      <c r="I124" s="308"/>
      <c r="J124" s="320"/>
      <c r="K124" s="320" t="s">
        <v>65</v>
      </c>
      <c r="L124" s="320"/>
      <c r="M124" s="320"/>
      <c r="N124" s="320"/>
      <c r="O124" s="320"/>
      <c r="P124" s="320"/>
      <c r="Q124" s="321"/>
      <c r="R124" s="322" t="s">
        <v>175</v>
      </c>
      <c r="S124" s="323">
        <v>45828</v>
      </c>
      <c r="T124" s="324">
        <v>45828</v>
      </c>
      <c r="U124" s="330"/>
      <c r="V124" s="325"/>
      <c r="W124" s="326">
        <v>0</v>
      </c>
      <c r="X124" s="327"/>
      <c r="Y124" s="328"/>
      <c r="Z124" s="329"/>
      <c r="AA124" s="300"/>
      <c r="AB124" s="301"/>
      <c r="AC124" s="302"/>
      <c r="AD124" s="303"/>
      <c r="AE124" s="304"/>
      <c r="AF124" s="305"/>
      <c r="AG124" s="305">
        <f t="shared" ca="1" si="7"/>
        <v>0</v>
      </c>
      <c r="AH124" s="305">
        <f t="shared" ca="1" si="8"/>
        <v>0</v>
      </c>
      <c r="AI124" s="305">
        <f t="shared" si="9"/>
        <v>0</v>
      </c>
      <c r="AJ124" s="305">
        <f t="shared" ca="1" si="10"/>
        <v>0</v>
      </c>
      <c r="AK124" s="305" t="str">
        <f t="shared" ca="1" si="11"/>
        <v/>
      </c>
      <c r="AL124" s="306">
        <f t="shared" ca="1" si="12"/>
        <v>1</v>
      </c>
      <c r="AM124" s="306">
        <f t="shared" ca="1" si="13"/>
        <v>17</v>
      </c>
      <c r="AN124" s="306">
        <f t="shared" ca="1" si="14"/>
        <v>5</v>
      </c>
      <c r="AO124" s="306">
        <f t="shared" ca="1" si="15"/>
        <v>0</v>
      </c>
      <c r="AP124" s="306">
        <f t="shared" ca="1" si="16"/>
        <v>0</v>
      </c>
      <c r="AQ124" s="306">
        <f t="shared" ca="1" si="17"/>
        <v>0</v>
      </c>
      <c r="AR124" s="306">
        <f t="shared" ca="1" si="18"/>
        <v>0</v>
      </c>
      <c r="AS124" s="307"/>
      <c r="AT124" s="306">
        <f t="shared" si="19"/>
        <v>1</v>
      </c>
    </row>
    <row r="125" spans="1:46" ht="15.75" customHeight="1">
      <c r="A125" s="284"/>
      <c r="B125" s="285">
        <f t="shared" ca="1" si="0"/>
        <v>1</v>
      </c>
      <c r="C125" s="286">
        <f t="shared" ca="1" si="1"/>
        <v>17</v>
      </c>
      <c r="D125" s="286">
        <f t="shared" ca="1" si="2"/>
        <v>6</v>
      </c>
      <c r="E125" s="286" t="str">
        <f t="shared" ca="1" si="3"/>
        <v/>
      </c>
      <c r="F125" s="286" t="str">
        <f t="shared" ca="1" si="4"/>
        <v/>
      </c>
      <c r="G125" s="287" t="str">
        <f t="shared" ca="1" si="5"/>
        <v/>
      </c>
      <c r="H125" s="288" t="str">
        <f t="shared" ca="1" si="6"/>
        <v/>
      </c>
      <c r="I125" s="308"/>
      <c r="J125" s="320"/>
      <c r="K125" s="320" t="s">
        <v>66</v>
      </c>
      <c r="L125" s="320"/>
      <c r="M125" s="320"/>
      <c r="N125" s="320"/>
      <c r="O125" s="320"/>
      <c r="P125" s="320"/>
      <c r="Q125" s="321"/>
      <c r="R125" s="322" t="s">
        <v>176</v>
      </c>
      <c r="S125" s="323">
        <v>45831</v>
      </c>
      <c r="T125" s="324">
        <v>45831</v>
      </c>
      <c r="U125" s="330"/>
      <c r="V125" s="325"/>
      <c r="W125" s="326">
        <v>0</v>
      </c>
      <c r="X125" s="327"/>
      <c r="Y125" s="328"/>
      <c r="Z125" s="329"/>
      <c r="AA125" s="300"/>
      <c r="AB125" s="301"/>
      <c r="AC125" s="302"/>
      <c r="AD125" s="303"/>
      <c r="AE125" s="304"/>
      <c r="AF125" s="305"/>
      <c r="AG125" s="305">
        <f t="shared" ca="1" si="7"/>
        <v>0</v>
      </c>
      <c r="AH125" s="305">
        <f t="shared" ca="1" si="8"/>
        <v>0</v>
      </c>
      <c r="AI125" s="305">
        <f t="shared" si="9"/>
        <v>0</v>
      </c>
      <c r="AJ125" s="305">
        <f t="shared" ca="1" si="10"/>
        <v>0</v>
      </c>
      <c r="AK125" s="305" t="str">
        <f t="shared" ca="1" si="11"/>
        <v/>
      </c>
      <c r="AL125" s="306">
        <f t="shared" ca="1" si="12"/>
        <v>1</v>
      </c>
      <c r="AM125" s="306">
        <f t="shared" ca="1" si="13"/>
        <v>17</v>
      </c>
      <c r="AN125" s="306">
        <f t="shared" ca="1" si="14"/>
        <v>6</v>
      </c>
      <c r="AO125" s="306">
        <f t="shared" ca="1" si="15"/>
        <v>0</v>
      </c>
      <c r="AP125" s="306">
        <f t="shared" ca="1" si="16"/>
        <v>0</v>
      </c>
      <c r="AQ125" s="306">
        <f t="shared" ca="1" si="17"/>
        <v>0</v>
      </c>
      <c r="AR125" s="306">
        <f t="shared" ca="1" si="18"/>
        <v>0</v>
      </c>
      <c r="AS125" s="307"/>
      <c r="AT125" s="306">
        <f t="shared" si="19"/>
        <v>1</v>
      </c>
    </row>
    <row r="126" spans="1:46" ht="15.75" customHeight="1">
      <c r="A126" s="284"/>
      <c r="B126" s="285">
        <f t="shared" ca="1" si="0"/>
        <v>1</v>
      </c>
      <c r="C126" s="286">
        <f t="shared" ca="1" si="1"/>
        <v>18</v>
      </c>
      <c r="D126" s="286" t="str">
        <f t="shared" ca="1" si="2"/>
        <v/>
      </c>
      <c r="E126" s="286" t="str">
        <f t="shared" ca="1" si="3"/>
        <v/>
      </c>
      <c r="F126" s="286" t="str">
        <f t="shared" ca="1" si="4"/>
        <v/>
      </c>
      <c r="G126" s="287" t="str">
        <f t="shared" ca="1" si="5"/>
        <v/>
      </c>
      <c r="H126" s="288" t="str">
        <f t="shared" ca="1" si="6"/>
        <v/>
      </c>
      <c r="I126" s="308"/>
      <c r="J126" s="309" t="s">
        <v>197</v>
      </c>
      <c r="K126" s="310"/>
      <c r="L126" s="310"/>
      <c r="M126" s="310"/>
      <c r="N126" s="310"/>
      <c r="O126" s="310"/>
      <c r="P126" s="310"/>
      <c r="Q126" s="311" t="s">
        <v>81</v>
      </c>
      <c r="R126" s="312"/>
      <c r="S126" s="313"/>
      <c r="T126" s="314"/>
      <c r="U126" s="315"/>
      <c r="V126" s="314"/>
      <c r="W126" s="316"/>
      <c r="X126" s="317"/>
      <c r="Y126" s="318"/>
      <c r="Z126" s="319"/>
      <c r="AA126" s="300"/>
      <c r="AB126" s="301"/>
      <c r="AC126" s="302"/>
      <c r="AD126" s="303"/>
      <c r="AE126" s="304"/>
      <c r="AF126" s="305"/>
      <c r="AG126" s="305">
        <f t="shared" si="7"/>
        <v>0</v>
      </c>
      <c r="AH126" s="305">
        <f t="shared" si="8"/>
        <v>0</v>
      </c>
      <c r="AI126" s="305">
        <f t="shared" si="9"/>
        <v>0</v>
      </c>
      <c r="AJ126" s="305">
        <f t="shared" si="10"/>
        <v>0</v>
      </c>
      <c r="AK126" s="305" t="str">
        <f t="shared" si="11"/>
        <v/>
      </c>
      <c r="AL126" s="306">
        <f t="shared" ca="1" si="12"/>
        <v>1</v>
      </c>
      <c r="AM126" s="306">
        <f t="shared" ca="1" si="13"/>
        <v>18</v>
      </c>
      <c r="AN126" s="306">
        <f t="shared" ca="1" si="14"/>
        <v>0</v>
      </c>
      <c r="AO126" s="306">
        <f t="shared" ca="1" si="15"/>
        <v>0</v>
      </c>
      <c r="AP126" s="306">
        <f t="shared" ca="1" si="16"/>
        <v>0</v>
      </c>
      <c r="AQ126" s="306">
        <f t="shared" ca="1" si="17"/>
        <v>0</v>
      </c>
      <c r="AR126" s="306">
        <f t="shared" ca="1" si="18"/>
        <v>0</v>
      </c>
      <c r="AS126" s="307"/>
      <c r="AT126" s="306">
        <f t="shared" si="19"/>
        <v>1</v>
      </c>
    </row>
    <row r="127" spans="1:46" ht="15.75" customHeight="1">
      <c r="A127" s="284"/>
      <c r="B127" s="285">
        <f t="shared" ca="1" si="0"/>
        <v>1</v>
      </c>
      <c r="C127" s="286">
        <f t="shared" ca="1" si="1"/>
        <v>18</v>
      </c>
      <c r="D127" s="286">
        <f t="shared" ca="1" si="2"/>
        <v>1</v>
      </c>
      <c r="E127" s="286" t="str">
        <f t="shared" ca="1" si="3"/>
        <v/>
      </c>
      <c r="F127" s="286" t="str">
        <f t="shared" ca="1" si="4"/>
        <v/>
      </c>
      <c r="G127" s="287" t="str">
        <f t="shared" ca="1" si="5"/>
        <v/>
      </c>
      <c r="H127" s="288" t="str">
        <f t="shared" ca="1" si="6"/>
        <v/>
      </c>
      <c r="I127" s="308"/>
      <c r="J127" s="320"/>
      <c r="K127" s="320" t="s">
        <v>59</v>
      </c>
      <c r="L127" s="320"/>
      <c r="M127" s="320"/>
      <c r="N127" s="320"/>
      <c r="O127" s="320"/>
      <c r="P127" s="320"/>
      <c r="Q127" s="321"/>
      <c r="R127" s="322" t="s">
        <v>176</v>
      </c>
      <c r="S127" s="331">
        <v>45812</v>
      </c>
      <c r="T127" s="325">
        <v>45817</v>
      </c>
      <c r="U127" s="330">
        <v>45812</v>
      </c>
      <c r="V127" s="325">
        <v>45820</v>
      </c>
      <c r="W127" s="326">
        <v>1</v>
      </c>
      <c r="X127" s="326">
        <v>1</v>
      </c>
      <c r="Y127" s="328" t="s">
        <v>396</v>
      </c>
      <c r="Z127" s="329"/>
      <c r="AA127" s="300"/>
      <c r="AB127" s="301"/>
      <c r="AC127" s="302"/>
      <c r="AD127" s="303"/>
      <c r="AE127" s="304"/>
      <c r="AF127" s="305"/>
      <c r="AG127" s="305">
        <f t="shared" ca="1" si="7"/>
        <v>0</v>
      </c>
      <c r="AH127" s="305">
        <f t="shared" ca="1" si="8"/>
        <v>0</v>
      </c>
      <c r="AI127" s="305">
        <f t="shared" si="9"/>
        <v>0</v>
      </c>
      <c r="AJ127" s="305">
        <f t="shared" ca="1" si="10"/>
        <v>0</v>
      </c>
      <c r="AK127" s="305" t="str">
        <f t="shared" ca="1" si="11"/>
        <v/>
      </c>
      <c r="AL127" s="306">
        <f t="shared" ca="1" si="12"/>
        <v>1</v>
      </c>
      <c r="AM127" s="306">
        <f t="shared" ca="1" si="13"/>
        <v>18</v>
      </c>
      <c r="AN127" s="306">
        <f t="shared" ca="1" si="14"/>
        <v>1</v>
      </c>
      <c r="AO127" s="306">
        <f t="shared" ca="1" si="15"/>
        <v>0</v>
      </c>
      <c r="AP127" s="306">
        <f t="shared" ca="1" si="16"/>
        <v>0</v>
      </c>
      <c r="AQ127" s="306">
        <f t="shared" ca="1" si="17"/>
        <v>0</v>
      </c>
      <c r="AR127" s="306">
        <f t="shared" ca="1" si="18"/>
        <v>0</v>
      </c>
      <c r="AS127" s="307"/>
      <c r="AT127" s="306">
        <f t="shared" si="19"/>
        <v>6</v>
      </c>
    </row>
    <row r="128" spans="1:46" ht="15.75" customHeight="1">
      <c r="A128" s="284"/>
      <c r="B128" s="285">
        <f t="shared" ca="1" si="0"/>
        <v>1</v>
      </c>
      <c r="C128" s="286">
        <f t="shared" ca="1" si="1"/>
        <v>18</v>
      </c>
      <c r="D128" s="286">
        <f t="shared" ca="1" si="2"/>
        <v>2</v>
      </c>
      <c r="E128" s="286" t="str">
        <f t="shared" ca="1" si="3"/>
        <v/>
      </c>
      <c r="F128" s="286" t="str">
        <f t="shared" ca="1" si="4"/>
        <v/>
      </c>
      <c r="G128" s="287" t="str">
        <f t="shared" ca="1" si="5"/>
        <v/>
      </c>
      <c r="H128" s="288" t="str">
        <f t="shared" ca="1" si="6"/>
        <v/>
      </c>
      <c r="I128" s="308"/>
      <c r="J128" s="320"/>
      <c r="K128" s="320" t="s">
        <v>145</v>
      </c>
      <c r="L128" s="320"/>
      <c r="M128" s="320"/>
      <c r="N128" s="320"/>
      <c r="O128" s="320"/>
      <c r="P128" s="320"/>
      <c r="Q128" s="321"/>
      <c r="R128" s="322" t="s">
        <v>175</v>
      </c>
      <c r="S128" s="331">
        <v>45818</v>
      </c>
      <c r="T128" s="325">
        <v>45818</v>
      </c>
      <c r="U128" s="331">
        <v>45818</v>
      </c>
      <c r="V128" s="331">
        <v>45820</v>
      </c>
      <c r="W128" s="326">
        <v>1</v>
      </c>
      <c r="X128" s="326">
        <v>1</v>
      </c>
      <c r="Y128" s="328" t="s">
        <v>396</v>
      </c>
      <c r="Z128" s="329"/>
      <c r="AA128" s="300"/>
      <c r="AB128" s="301"/>
      <c r="AC128" s="302"/>
      <c r="AD128" s="303"/>
      <c r="AE128" s="304"/>
      <c r="AF128" s="305"/>
      <c r="AG128" s="305">
        <f t="shared" ca="1" si="7"/>
        <v>0</v>
      </c>
      <c r="AH128" s="305">
        <f t="shared" ca="1" si="8"/>
        <v>0</v>
      </c>
      <c r="AI128" s="305">
        <f t="shared" si="9"/>
        <v>0</v>
      </c>
      <c r="AJ128" s="305">
        <f t="shared" ca="1" si="10"/>
        <v>0</v>
      </c>
      <c r="AK128" s="305" t="str">
        <f t="shared" ca="1" si="11"/>
        <v/>
      </c>
      <c r="AL128" s="306">
        <f t="shared" ca="1" si="12"/>
        <v>1</v>
      </c>
      <c r="AM128" s="306">
        <f t="shared" ca="1" si="13"/>
        <v>18</v>
      </c>
      <c r="AN128" s="306">
        <f t="shared" ca="1" si="14"/>
        <v>2</v>
      </c>
      <c r="AO128" s="306">
        <f t="shared" ca="1" si="15"/>
        <v>0</v>
      </c>
      <c r="AP128" s="306">
        <f t="shared" ca="1" si="16"/>
        <v>0</v>
      </c>
      <c r="AQ128" s="306">
        <f t="shared" ca="1" si="17"/>
        <v>0</v>
      </c>
      <c r="AR128" s="306">
        <f t="shared" ca="1" si="18"/>
        <v>0</v>
      </c>
      <c r="AS128" s="307"/>
      <c r="AT128" s="306">
        <f t="shared" si="19"/>
        <v>1</v>
      </c>
    </row>
    <row r="129" spans="1:46" ht="15.75" customHeight="1">
      <c r="A129" s="284"/>
      <c r="B129" s="285">
        <f t="shared" ca="1" si="0"/>
        <v>1</v>
      </c>
      <c r="C129" s="286">
        <f t="shared" ca="1" si="1"/>
        <v>18</v>
      </c>
      <c r="D129" s="286">
        <f t="shared" ca="1" si="2"/>
        <v>3</v>
      </c>
      <c r="E129" s="286" t="str">
        <f t="shared" ca="1" si="3"/>
        <v/>
      </c>
      <c r="F129" s="286" t="str">
        <f t="shared" ca="1" si="4"/>
        <v/>
      </c>
      <c r="G129" s="287" t="str">
        <f t="shared" ca="1" si="5"/>
        <v/>
      </c>
      <c r="H129" s="288" t="str">
        <f t="shared" ca="1" si="6"/>
        <v/>
      </c>
      <c r="I129" s="308"/>
      <c r="J129" s="320"/>
      <c r="K129" s="320" t="s">
        <v>63</v>
      </c>
      <c r="L129" s="320"/>
      <c r="M129" s="320"/>
      <c r="N129" s="320"/>
      <c r="O129" s="320"/>
      <c r="P129" s="320"/>
      <c r="Q129" s="321"/>
      <c r="R129" s="322" t="s">
        <v>176</v>
      </c>
      <c r="S129" s="323">
        <v>45827</v>
      </c>
      <c r="T129" s="324">
        <v>45827</v>
      </c>
      <c r="U129" s="330"/>
      <c r="V129" s="325"/>
      <c r="W129" s="326">
        <v>0</v>
      </c>
      <c r="X129" s="327"/>
      <c r="Y129" s="328"/>
      <c r="Z129" s="329"/>
      <c r="AA129" s="300"/>
      <c r="AB129" s="301"/>
      <c r="AC129" s="302"/>
      <c r="AD129" s="303"/>
      <c r="AE129" s="304"/>
      <c r="AF129" s="305"/>
      <c r="AG129" s="305">
        <f t="shared" ca="1" si="7"/>
        <v>0</v>
      </c>
      <c r="AH129" s="305">
        <f t="shared" ca="1" si="8"/>
        <v>0</v>
      </c>
      <c r="AI129" s="305">
        <f t="shared" si="9"/>
        <v>0</v>
      </c>
      <c r="AJ129" s="305">
        <f t="shared" ca="1" si="10"/>
        <v>0</v>
      </c>
      <c r="AK129" s="305" t="str">
        <f t="shared" ca="1" si="11"/>
        <v/>
      </c>
      <c r="AL129" s="306">
        <f t="shared" ca="1" si="12"/>
        <v>1</v>
      </c>
      <c r="AM129" s="306">
        <f t="shared" ca="1" si="13"/>
        <v>18</v>
      </c>
      <c r="AN129" s="306">
        <f t="shared" ca="1" si="14"/>
        <v>3</v>
      </c>
      <c r="AO129" s="306">
        <f t="shared" ca="1" si="15"/>
        <v>0</v>
      </c>
      <c r="AP129" s="306">
        <f t="shared" ca="1" si="16"/>
        <v>0</v>
      </c>
      <c r="AQ129" s="306">
        <f t="shared" ca="1" si="17"/>
        <v>0</v>
      </c>
      <c r="AR129" s="306">
        <f t="shared" ca="1" si="18"/>
        <v>0</v>
      </c>
      <c r="AS129" s="307"/>
      <c r="AT129" s="306">
        <f t="shared" si="19"/>
        <v>1</v>
      </c>
    </row>
    <row r="130" spans="1:46" ht="15.75" customHeight="1">
      <c r="A130" s="284"/>
      <c r="B130" s="285">
        <f t="shared" ca="1" si="0"/>
        <v>1</v>
      </c>
      <c r="C130" s="286">
        <f t="shared" ca="1" si="1"/>
        <v>18</v>
      </c>
      <c r="D130" s="286">
        <f t="shared" ca="1" si="2"/>
        <v>4</v>
      </c>
      <c r="E130" s="286" t="str">
        <f t="shared" ca="1" si="3"/>
        <v/>
      </c>
      <c r="F130" s="286" t="str">
        <f t="shared" ca="1" si="4"/>
        <v/>
      </c>
      <c r="G130" s="287" t="str">
        <f t="shared" ca="1" si="5"/>
        <v/>
      </c>
      <c r="H130" s="288" t="str">
        <f t="shared" ca="1" si="6"/>
        <v/>
      </c>
      <c r="I130" s="308"/>
      <c r="J130" s="320"/>
      <c r="K130" s="320" t="s">
        <v>64</v>
      </c>
      <c r="L130" s="320"/>
      <c r="M130" s="320"/>
      <c r="N130" s="320"/>
      <c r="O130" s="320"/>
      <c r="P130" s="320"/>
      <c r="Q130" s="321"/>
      <c r="R130" s="322" t="s">
        <v>175</v>
      </c>
      <c r="S130" s="323">
        <v>45827</v>
      </c>
      <c r="T130" s="324">
        <v>45827</v>
      </c>
      <c r="U130" s="330"/>
      <c r="V130" s="325"/>
      <c r="W130" s="326">
        <v>0</v>
      </c>
      <c r="X130" s="327"/>
      <c r="Y130" s="328"/>
      <c r="Z130" s="329"/>
      <c r="AA130" s="300"/>
      <c r="AB130" s="301"/>
      <c r="AC130" s="302"/>
      <c r="AD130" s="303"/>
      <c r="AE130" s="304"/>
      <c r="AF130" s="305"/>
      <c r="AG130" s="305">
        <f t="shared" ca="1" si="7"/>
        <v>0</v>
      </c>
      <c r="AH130" s="305">
        <f t="shared" ca="1" si="8"/>
        <v>0</v>
      </c>
      <c r="AI130" s="305">
        <f t="shared" si="9"/>
        <v>0</v>
      </c>
      <c r="AJ130" s="305">
        <f t="shared" ca="1" si="10"/>
        <v>0</v>
      </c>
      <c r="AK130" s="305" t="str">
        <f t="shared" ca="1" si="11"/>
        <v/>
      </c>
      <c r="AL130" s="306">
        <f t="shared" ca="1" si="12"/>
        <v>1</v>
      </c>
      <c r="AM130" s="306">
        <f t="shared" ca="1" si="13"/>
        <v>18</v>
      </c>
      <c r="AN130" s="306">
        <f t="shared" ca="1" si="14"/>
        <v>4</v>
      </c>
      <c r="AO130" s="306">
        <f t="shared" ca="1" si="15"/>
        <v>0</v>
      </c>
      <c r="AP130" s="306">
        <f t="shared" ca="1" si="16"/>
        <v>0</v>
      </c>
      <c r="AQ130" s="306">
        <f t="shared" ca="1" si="17"/>
        <v>0</v>
      </c>
      <c r="AR130" s="306">
        <f t="shared" ca="1" si="18"/>
        <v>0</v>
      </c>
      <c r="AS130" s="307"/>
      <c r="AT130" s="306">
        <f t="shared" si="19"/>
        <v>1</v>
      </c>
    </row>
    <row r="131" spans="1:46" ht="15.75" customHeight="1">
      <c r="A131" s="284"/>
      <c r="B131" s="285">
        <f t="shared" ca="1" si="0"/>
        <v>1</v>
      </c>
      <c r="C131" s="286">
        <f t="shared" ca="1" si="1"/>
        <v>18</v>
      </c>
      <c r="D131" s="286">
        <f t="shared" ca="1" si="2"/>
        <v>5</v>
      </c>
      <c r="E131" s="286" t="str">
        <f t="shared" ca="1" si="3"/>
        <v/>
      </c>
      <c r="F131" s="286" t="str">
        <f t="shared" ca="1" si="4"/>
        <v/>
      </c>
      <c r="G131" s="287" t="str">
        <f t="shared" ca="1" si="5"/>
        <v/>
      </c>
      <c r="H131" s="288" t="str">
        <f t="shared" ca="1" si="6"/>
        <v/>
      </c>
      <c r="I131" s="308"/>
      <c r="J131" s="320"/>
      <c r="K131" s="320" t="s">
        <v>65</v>
      </c>
      <c r="L131" s="320"/>
      <c r="M131" s="320"/>
      <c r="N131" s="320"/>
      <c r="O131" s="320"/>
      <c r="P131" s="320"/>
      <c r="Q131" s="321"/>
      <c r="R131" s="322" t="s">
        <v>176</v>
      </c>
      <c r="S131" s="323">
        <v>45828</v>
      </c>
      <c r="T131" s="324">
        <v>45828</v>
      </c>
      <c r="U131" s="330"/>
      <c r="V131" s="325"/>
      <c r="W131" s="326">
        <v>0</v>
      </c>
      <c r="X131" s="327"/>
      <c r="Y131" s="328"/>
      <c r="Z131" s="329"/>
      <c r="AA131" s="300"/>
      <c r="AB131" s="301"/>
      <c r="AC131" s="302"/>
      <c r="AD131" s="303"/>
      <c r="AE131" s="304"/>
      <c r="AF131" s="305"/>
      <c r="AG131" s="305">
        <f t="shared" ca="1" si="7"/>
        <v>0</v>
      </c>
      <c r="AH131" s="305">
        <f t="shared" ca="1" si="8"/>
        <v>0</v>
      </c>
      <c r="AI131" s="305">
        <f t="shared" si="9"/>
        <v>0</v>
      </c>
      <c r="AJ131" s="305">
        <f t="shared" ca="1" si="10"/>
        <v>0</v>
      </c>
      <c r="AK131" s="305" t="str">
        <f t="shared" ca="1" si="11"/>
        <v/>
      </c>
      <c r="AL131" s="306">
        <f t="shared" ca="1" si="12"/>
        <v>1</v>
      </c>
      <c r="AM131" s="306">
        <f t="shared" ca="1" si="13"/>
        <v>18</v>
      </c>
      <c r="AN131" s="306">
        <f t="shared" ca="1" si="14"/>
        <v>5</v>
      </c>
      <c r="AO131" s="306">
        <f t="shared" ca="1" si="15"/>
        <v>0</v>
      </c>
      <c r="AP131" s="306">
        <f t="shared" ca="1" si="16"/>
        <v>0</v>
      </c>
      <c r="AQ131" s="306">
        <f t="shared" ca="1" si="17"/>
        <v>0</v>
      </c>
      <c r="AR131" s="306">
        <f t="shared" ca="1" si="18"/>
        <v>0</v>
      </c>
      <c r="AS131" s="307"/>
      <c r="AT131" s="306">
        <f t="shared" si="19"/>
        <v>1</v>
      </c>
    </row>
    <row r="132" spans="1:46" ht="15.75" customHeight="1">
      <c r="A132" s="284"/>
      <c r="B132" s="285">
        <f t="shared" ca="1" si="0"/>
        <v>1</v>
      </c>
      <c r="C132" s="286">
        <f t="shared" ca="1" si="1"/>
        <v>18</v>
      </c>
      <c r="D132" s="286">
        <f t="shared" ca="1" si="2"/>
        <v>6</v>
      </c>
      <c r="E132" s="286" t="str">
        <f t="shared" ca="1" si="3"/>
        <v/>
      </c>
      <c r="F132" s="286" t="str">
        <f t="shared" ca="1" si="4"/>
        <v/>
      </c>
      <c r="G132" s="287" t="str">
        <f t="shared" ca="1" si="5"/>
        <v/>
      </c>
      <c r="H132" s="288" t="str">
        <f t="shared" ca="1" si="6"/>
        <v/>
      </c>
      <c r="I132" s="308"/>
      <c r="J132" s="320"/>
      <c r="K132" s="320" t="s">
        <v>66</v>
      </c>
      <c r="L132" s="320"/>
      <c r="M132" s="320"/>
      <c r="N132" s="320"/>
      <c r="O132" s="320"/>
      <c r="P132" s="320"/>
      <c r="Q132" s="321"/>
      <c r="R132" s="322" t="s">
        <v>175</v>
      </c>
      <c r="S132" s="323">
        <v>45831</v>
      </c>
      <c r="T132" s="324">
        <v>45831</v>
      </c>
      <c r="U132" s="330"/>
      <c r="V132" s="325"/>
      <c r="W132" s="326">
        <v>0</v>
      </c>
      <c r="X132" s="327"/>
      <c r="Y132" s="328"/>
      <c r="Z132" s="329"/>
      <c r="AA132" s="300"/>
      <c r="AB132" s="301"/>
      <c r="AC132" s="302"/>
      <c r="AD132" s="303"/>
      <c r="AE132" s="304"/>
      <c r="AF132" s="305"/>
      <c r="AG132" s="305">
        <f t="shared" ca="1" si="7"/>
        <v>0</v>
      </c>
      <c r="AH132" s="305">
        <f t="shared" ca="1" si="8"/>
        <v>0</v>
      </c>
      <c r="AI132" s="305">
        <f t="shared" si="9"/>
        <v>0</v>
      </c>
      <c r="AJ132" s="305">
        <f t="shared" ca="1" si="10"/>
        <v>0</v>
      </c>
      <c r="AK132" s="305" t="str">
        <f t="shared" ca="1" si="11"/>
        <v/>
      </c>
      <c r="AL132" s="306">
        <f t="shared" ca="1" si="12"/>
        <v>1</v>
      </c>
      <c r="AM132" s="306">
        <f t="shared" ca="1" si="13"/>
        <v>18</v>
      </c>
      <c r="AN132" s="306">
        <f t="shared" ca="1" si="14"/>
        <v>6</v>
      </c>
      <c r="AO132" s="306">
        <f t="shared" ca="1" si="15"/>
        <v>0</v>
      </c>
      <c r="AP132" s="306">
        <f t="shared" ca="1" si="16"/>
        <v>0</v>
      </c>
      <c r="AQ132" s="306">
        <f t="shared" ca="1" si="17"/>
        <v>0</v>
      </c>
      <c r="AR132" s="306">
        <f t="shared" ca="1" si="18"/>
        <v>0</v>
      </c>
      <c r="AS132" s="307"/>
      <c r="AT132" s="306">
        <f t="shared" si="19"/>
        <v>1</v>
      </c>
    </row>
    <row r="133" spans="1:46" ht="15.75" customHeight="1">
      <c r="A133" s="284"/>
      <c r="B133" s="285">
        <f t="shared" ca="1" si="0"/>
        <v>1</v>
      </c>
      <c r="C133" s="286">
        <f t="shared" ca="1" si="1"/>
        <v>19</v>
      </c>
      <c r="D133" s="286" t="str">
        <f t="shared" ca="1" si="2"/>
        <v/>
      </c>
      <c r="E133" s="286" t="str">
        <f t="shared" ca="1" si="3"/>
        <v/>
      </c>
      <c r="F133" s="286" t="str">
        <f t="shared" ca="1" si="4"/>
        <v/>
      </c>
      <c r="G133" s="287" t="str">
        <f t="shared" ca="1" si="5"/>
        <v/>
      </c>
      <c r="H133" s="288" t="str">
        <f t="shared" ca="1" si="6"/>
        <v/>
      </c>
      <c r="I133" s="308"/>
      <c r="J133" s="309" t="s">
        <v>198</v>
      </c>
      <c r="K133" s="310"/>
      <c r="L133" s="310"/>
      <c r="M133" s="310"/>
      <c r="N133" s="310"/>
      <c r="O133" s="310"/>
      <c r="P133" s="310"/>
      <c r="Q133" s="311" t="s">
        <v>81</v>
      </c>
      <c r="R133" s="312"/>
      <c r="S133" s="313"/>
      <c r="T133" s="314"/>
      <c r="U133" s="315"/>
      <c r="V133" s="314"/>
      <c r="W133" s="316"/>
      <c r="X133" s="317"/>
      <c r="Y133" s="318"/>
      <c r="Z133" s="319"/>
      <c r="AA133" s="300"/>
      <c r="AB133" s="301"/>
      <c r="AC133" s="302"/>
      <c r="AD133" s="303"/>
      <c r="AE133" s="304"/>
      <c r="AF133" s="305"/>
      <c r="AG133" s="305">
        <f t="shared" si="7"/>
        <v>0</v>
      </c>
      <c r="AH133" s="305">
        <f t="shared" si="8"/>
        <v>0</v>
      </c>
      <c r="AI133" s="305">
        <f t="shared" si="9"/>
        <v>0</v>
      </c>
      <c r="AJ133" s="305">
        <f t="shared" si="10"/>
        <v>0</v>
      </c>
      <c r="AK133" s="305" t="str">
        <f t="shared" si="11"/>
        <v/>
      </c>
      <c r="AL133" s="306">
        <f t="shared" ca="1" si="12"/>
        <v>1</v>
      </c>
      <c r="AM133" s="306">
        <f t="shared" ca="1" si="13"/>
        <v>19</v>
      </c>
      <c r="AN133" s="306">
        <f t="shared" ca="1" si="14"/>
        <v>0</v>
      </c>
      <c r="AO133" s="306">
        <f t="shared" ca="1" si="15"/>
        <v>0</v>
      </c>
      <c r="AP133" s="306">
        <f t="shared" ca="1" si="16"/>
        <v>0</v>
      </c>
      <c r="AQ133" s="306">
        <f t="shared" ca="1" si="17"/>
        <v>0</v>
      </c>
      <c r="AR133" s="306">
        <f t="shared" ca="1" si="18"/>
        <v>0</v>
      </c>
      <c r="AS133" s="307"/>
      <c r="AT133" s="306">
        <f t="shared" si="19"/>
        <v>1</v>
      </c>
    </row>
    <row r="134" spans="1:46" ht="15.75" customHeight="1">
      <c r="A134" s="284"/>
      <c r="B134" s="285">
        <f t="shared" ca="1" si="0"/>
        <v>1</v>
      </c>
      <c r="C134" s="286">
        <f t="shared" ca="1" si="1"/>
        <v>19</v>
      </c>
      <c r="D134" s="286">
        <f t="shared" ca="1" si="2"/>
        <v>1</v>
      </c>
      <c r="E134" s="286" t="str">
        <f t="shared" ca="1" si="3"/>
        <v/>
      </c>
      <c r="F134" s="286" t="str">
        <f t="shared" ca="1" si="4"/>
        <v/>
      </c>
      <c r="G134" s="287" t="str">
        <f t="shared" ca="1" si="5"/>
        <v/>
      </c>
      <c r="H134" s="288" t="str">
        <f t="shared" ca="1" si="6"/>
        <v/>
      </c>
      <c r="I134" s="308"/>
      <c r="J134" s="320"/>
      <c r="K134" s="320" t="s">
        <v>59</v>
      </c>
      <c r="L134" s="320"/>
      <c r="M134" s="320"/>
      <c r="N134" s="320"/>
      <c r="O134" s="320"/>
      <c r="P134" s="320"/>
      <c r="Q134" s="321"/>
      <c r="R134" s="332" t="s">
        <v>180</v>
      </c>
      <c r="S134" s="331">
        <v>45812</v>
      </c>
      <c r="T134" s="325">
        <v>45817</v>
      </c>
      <c r="U134" s="330">
        <v>45812</v>
      </c>
      <c r="V134" s="325">
        <v>45817</v>
      </c>
      <c r="W134" s="326">
        <v>1</v>
      </c>
      <c r="X134" s="326">
        <v>1</v>
      </c>
      <c r="Y134" s="333"/>
      <c r="Z134" s="329"/>
      <c r="AA134" s="300"/>
      <c r="AB134" s="301"/>
      <c r="AC134" s="302"/>
      <c r="AD134" s="303"/>
      <c r="AE134" s="304"/>
      <c r="AF134" s="305"/>
      <c r="AG134" s="305">
        <f t="shared" ca="1" si="7"/>
        <v>0</v>
      </c>
      <c r="AH134" s="305">
        <f t="shared" ca="1" si="8"/>
        <v>0</v>
      </c>
      <c r="AI134" s="305">
        <f t="shared" si="9"/>
        <v>0</v>
      </c>
      <c r="AJ134" s="305">
        <f t="shared" ca="1" si="10"/>
        <v>0</v>
      </c>
      <c r="AK134" s="305" t="str">
        <f t="shared" ca="1" si="11"/>
        <v/>
      </c>
      <c r="AL134" s="306">
        <f t="shared" ca="1" si="12"/>
        <v>1</v>
      </c>
      <c r="AM134" s="306">
        <f t="shared" ca="1" si="13"/>
        <v>19</v>
      </c>
      <c r="AN134" s="306">
        <f t="shared" ca="1" si="14"/>
        <v>1</v>
      </c>
      <c r="AO134" s="306">
        <f t="shared" ca="1" si="15"/>
        <v>0</v>
      </c>
      <c r="AP134" s="306">
        <f t="shared" ca="1" si="16"/>
        <v>0</v>
      </c>
      <c r="AQ134" s="306">
        <f t="shared" ca="1" si="17"/>
        <v>0</v>
      </c>
      <c r="AR134" s="306">
        <f t="shared" ca="1" si="18"/>
        <v>0</v>
      </c>
      <c r="AS134" s="307"/>
      <c r="AT134" s="306">
        <f t="shared" si="19"/>
        <v>6</v>
      </c>
    </row>
    <row r="135" spans="1:46" ht="15.75" customHeight="1">
      <c r="A135" s="284"/>
      <c r="B135" s="285">
        <f t="shared" ca="1" si="0"/>
        <v>1</v>
      </c>
      <c r="C135" s="286">
        <f t="shared" ca="1" si="1"/>
        <v>19</v>
      </c>
      <c r="D135" s="286">
        <f t="shared" ca="1" si="2"/>
        <v>2</v>
      </c>
      <c r="E135" s="286" t="str">
        <f t="shared" ca="1" si="3"/>
        <v/>
      </c>
      <c r="F135" s="286" t="str">
        <f t="shared" ca="1" si="4"/>
        <v/>
      </c>
      <c r="G135" s="287" t="str">
        <f t="shared" ca="1" si="5"/>
        <v/>
      </c>
      <c r="H135" s="288" t="str">
        <f t="shared" ca="1" si="6"/>
        <v/>
      </c>
      <c r="I135" s="308"/>
      <c r="J135" s="320"/>
      <c r="K135" s="320" t="s">
        <v>145</v>
      </c>
      <c r="L135" s="320"/>
      <c r="M135" s="320"/>
      <c r="N135" s="320"/>
      <c r="O135" s="320"/>
      <c r="P135" s="320"/>
      <c r="Q135" s="321"/>
      <c r="R135" s="322" t="s">
        <v>181</v>
      </c>
      <c r="S135" s="331">
        <v>45818</v>
      </c>
      <c r="T135" s="325">
        <v>45818</v>
      </c>
      <c r="U135" s="330">
        <v>45818</v>
      </c>
      <c r="V135" s="330">
        <v>45818</v>
      </c>
      <c r="W135" s="326">
        <v>1</v>
      </c>
      <c r="X135" s="326">
        <v>1</v>
      </c>
      <c r="Y135" s="328"/>
      <c r="Z135" s="329"/>
      <c r="AA135" s="300"/>
      <c r="AB135" s="301"/>
      <c r="AC135" s="302"/>
      <c r="AD135" s="303"/>
      <c r="AE135" s="304"/>
      <c r="AF135" s="305"/>
      <c r="AG135" s="305">
        <f t="shared" ca="1" si="7"/>
        <v>0</v>
      </c>
      <c r="AH135" s="305">
        <f t="shared" ca="1" si="8"/>
        <v>0</v>
      </c>
      <c r="AI135" s="305">
        <f t="shared" si="9"/>
        <v>0</v>
      </c>
      <c r="AJ135" s="305">
        <f t="shared" ca="1" si="10"/>
        <v>0</v>
      </c>
      <c r="AK135" s="305" t="str">
        <f t="shared" ca="1" si="11"/>
        <v/>
      </c>
      <c r="AL135" s="306">
        <f t="shared" ca="1" si="12"/>
        <v>1</v>
      </c>
      <c r="AM135" s="306">
        <f t="shared" ca="1" si="13"/>
        <v>19</v>
      </c>
      <c r="AN135" s="306">
        <f t="shared" ca="1" si="14"/>
        <v>2</v>
      </c>
      <c r="AO135" s="306">
        <f t="shared" ca="1" si="15"/>
        <v>0</v>
      </c>
      <c r="AP135" s="306">
        <f t="shared" ca="1" si="16"/>
        <v>0</v>
      </c>
      <c r="AQ135" s="306">
        <f t="shared" ca="1" si="17"/>
        <v>0</v>
      </c>
      <c r="AR135" s="306">
        <f t="shared" ca="1" si="18"/>
        <v>0</v>
      </c>
      <c r="AS135" s="307"/>
      <c r="AT135" s="306">
        <f t="shared" si="19"/>
        <v>1</v>
      </c>
    </row>
    <row r="136" spans="1:46" ht="15.75" customHeight="1">
      <c r="A136" s="284"/>
      <c r="B136" s="285">
        <f t="shared" ca="1" si="0"/>
        <v>1</v>
      </c>
      <c r="C136" s="286">
        <f t="shared" ca="1" si="1"/>
        <v>19</v>
      </c>
      <c r="D136" s="286">
        <f t="shared" ca="1" si="2"/>
        <v>3</v>
      </c>
      <c r="E136" s="286" t="str">
        <f t="shared" ca="1" si="3"/>
        <v/>
      </c>
      <c r="F136" s="286" t="str">
        <f t="shared" ca="1" si="4"/>
        <v/>
      </c>
      <c r="G136" s="287" t="str">
        <f t="shared" ca="1" si="5"/>
        <v/>
      </c>
      <c r="H136" s="288" t="str">
        <f t="shared" ca="1" si="6"/>
        <v/>
      </c>
      <c r="I136" s="308"/>
      <c r="J136" s="320"/>
      <c r="K136" s="320" t="s">
        <v>63</v>
      </c>
      <c r="L136" s="320"/>
      <c r="M136" s="320"/>
      <c r="N136" s="320"/>
      <c r="O136" s="320"/>
      <c r="P136" s="320"/>
      <c r="Q136" s="321"/>
      <c r="R136" s="322" t="s">
        <v>180</v>
      </c>
      <c r="S136" s="331">
        <v>45827</v>
      </c>
      <c r="T136" s="331">
        <v>45827</v>
      </c>
      <c r="U136" s="330"/>
      <c r="V136" s="325"/>
      <c r="W136" s="326">
        <v>0</v>
      </c>
      <c r="X136" s="327"/>
      <c r="Y136" s="328"/>
      <c r="Z136" s="329"/>
      <c r="AA136" s="300"/>
      <c r="AB136" s="301"/>
      <c r="AC136" s="302"/>
      <c r="AD136" s="303"/>
      <c r="AE136" s="304"/>
      <c r="AF136" s="305"/>
      <c r="AG136" s="305">
        <f t="shared" ca="1" si="7"/>
        <v>0</v>
      </c>
      <c r="AH136" s="305">
        <f t="shared" ca="1" si="8"/>
        <v>0</v>
      </c>
      <c r="AI136" s="305">
        <f t="shared" si="9"/>
        <v>0</v>
      </c>
      <c r="AJ136" s="305">
        <f t="shared" ca="1" si="10"/>
        <v>0</v>
      </c>
      <c r="AK136" s="305" t="str">
        <f t="shared" ca="1" si="11"/>
        <v/>
      </c>
      <c r="AL136" s="306">
        <f t="shared" ca="1" si="12"/>
        <v>1</v>
      </c>
      <c r="AM136" s="306">
        <f t="shared" ca="1" si="13"/>
        <v>19</v>
      </c>
      <c r="AN136" s="306">
        <f t="shared" ca="1" si="14"/>
        <v>3</v>
      </c>
      <c r="AO136" s="306">
        <f t="shared" ca="1" si="15"/>
        <v>0</v>
      </c>
      <c r="AP136" s="306">
        <f t="shared" ca="1" si="16"/>
        <v>0</v>
      </c>
      <c r="AQ136" s="306">
        <f t="shared" ca="1" si="17"/>
        <v>0</v>
      </c>
      <c r="AR136" s="306">
        <f t="shared" ca="1" si="18"/>
        <v>0</v>
      </c>
      <c r="AS136" s="307"/>
      <c r="AT136" s="306">
        <f t="shared" si="19"/>
        <v>1</v>
      </c>
    </row>
    <row r="137" spans="1:46" ht="15.75" customHeight="1">
      <c r="A137" s="284"/>
      <c r="B137" s="285">
        <f t="shared" ca="1" si="0"/>
        <v>1</v>
      </c>
      <c r="C137" s="286">
        <f t="shared" ca="1" si="1"/>
        <v>19</v>
      </c>
      <c r="D137" s="286">
        <f t="shared" ca="1" si="2"/>
        <v>4</v>
      </c>
      <c r="E137" s="286" t="str">
        <f t="shared" ca="1" si="3"/>
        <v/>
      </c>
      <c r="F137" s="286" t="str">
        <f t="shared" ca="1" si="4"/>
        <v/>
      </c>
      <c r="G137" s="287" t="str">
        <f t="shared" ca="1" si="5"/>
        <v/>
      </c>
      <c r="H137" s="288" t="str">
        <f t="shared" ca="1" si="6"/>
        <v/>
      </c>
      <c r="I137" s="308"/>
      <c r="J137" s="320"/>
      <c r="K137" s="320" t="s">
        <v>64</v>
      </c>
      <c r="L137" s="320"/>
      <c r="M137" s="320"/>
      <c r="N137" s="320"/>
      <c r="O137" s="320"/>
      <c r="P137" s="320"/>
      <c r="Q137" s="321"/>
      <c r="R137" s="322" t="s">
        <v>181</v>
      </c>
      <c r="S137" s="331">
        <v>45827</v>
      </c>
      <c r="T137" s="331">
        <v>45827</v>
      </c>
      <c r="U137" s="330"/>
      <c r="V137" s="325"/>
      <c r="W137" s="326">
        <v>0</v>
      </c>
      <c r="X137" s="327"/>
      <c r="Y137" s="328"/>
      <c r="Z137" s="329"/>
      <c r="AA137" s="300"/>
      <c r="AB137" s="301"/>
      <c r="AC137" s="302"/>
      <c r="AD137" s="303"/>
      <c r="AE137" s="304"/>
      <c r="AF137" s="305"/>
      <c r="AG137" s="305">
        <f t="shared" ca="1" si="7"/>
        <v>0</v>
      </c>
      <c r="AH137" s="305">
        <f t="shared" ca="1" si="8"/>
        <v>0</v>
      </c>
      <c r="AI137" s="305">
        <f t="shared" si="9"/>
        <v>0</v>
      </c>
      <c r="AJ137" s="305">
        <f t="shared" ca="1" si="10"/>
        <v>0</v>
      </c>
      <c r="AK137" s="305" t="str">
        <f t="shared" ca="1" si="11"/>
        <v/>
      </c>
      <c r="AL137" s="306">
        <f t="shared" ca="1" si="12"/>
        <v>1</v>
      </c>
      <c r="AM137" s="306">
        <f t="shared" ca="1" si="13"/>
        <v>19</v>
      </c>
      <c r="AN137" s="306">
        <f t="shared" ca="1" si="14"/>
        <v>4</v>
      </c>
      <c r="AO137" s="306">
        <f t="shared" ca="1" si="15"/>
        <v>0</v>
      </c>
      <c r="AP137" s="306">
        <f t="shared" ca="1" si="16"/>
        <v>0</v>
      </c>
      <c r="AQ137" s="306">
        <f t="shared" ca="1" si="17"/>
        <v>0</v>
      </c>
      <c r="AR137" s="306">
        <f t="shared" ca="1" si="18"/>
        <v>0</v>
      </c>
      <c r="AS137" s="307"/>
      <c r="AT137" s="306">
        <f t="shared" si="19"/>
        <v>1</v>
      </c>
    </row>
    <row r="138" spans="1:46" ht="15.75" customHeight="1">
      <c r="A138" s="284"/>
      <c r="B138" s="285">
        <f t="shared" ca="1" si="0"/>
        <v>1</v>
      </c>
      <c r="C138" s="286">
        <f t="shared" ca="1" si="1"/>
        <v>19</v>
      </c>
      <c r="D138" s="286">
        <f t="shared" ca="1" si="2"/>
        <v>5</v>
      </c>
      <c r="E138" s="286" t="str">
        <f t="shared" ca="1" si="3"/>
        <v/>
      </c>
      <c r="F138" s="286" t="str">
        <f t="shared" ca="1" si="4"/>
        <v/>
      </c>
      <c r="G138" s="287" t="str">
        <f t="shared" ca="1" si="5"/>
        <v/>
      </c>
      <c r="H138" s="288" t="str">
        <f t="shared" ca="1" si="6"/>
        <v/>
      </c>
      <c r="I138" s="308"/>
      <c r="J138" s="320"/>
      <c r="K138" s="320" t="s">
        <v>65</v>
      </c>
      <c r="L138" s="320"/>
      <c r="M138" s="320"/>
      <c r="N138" s="320"/>
      <c r="O138" s="320"/>
      <c r="P138" s="320"/>
      <c r="Q138" s="321"/>
      <c r="R138" s="322" t="s">
        <v>180</v>
      </c>
      <c r="S138" s="331">
        <v>45828</v>
      </c>
      <c r="T138" s="331">
        <v>45828</v>
      </c>
      <c r="U138" s="330"/>
      <c r="V138" s="325"/>
      <c r="W138" s="326">
        <v>0</v>
      </c>
      <c r="X138" s="327"/>
      <c r="Y138" s="328"/>
      <c r="Z138" s="329"/>
      <c r="AA138" s="300"/>
      <c r="AB138" s="301"/>
      <c r="AC138" s="302"/>
      <c r="AD138" s="303"/>
      <c r="AE138" s="304"/>
      <c r="AF138" s="305"/>
      <c r="AG138" s="305">
        <f t="shared" ca="1" si="7"/>
        <v>0</v>
      </c>
      <c r="AH138" s="305">
        <f t="shared" ca="1" si="8"/>
        <v>0</v>
      </c>
      <c r="AI138" s="305">
        <f t="shared" si="9"/>
        <v>0</v>
      </c>
      <c r="AJ138" s="305">
        <f t="shared" ca="1" si="10"/>
        <v>0</v>
      </c>
      <c r="AK138" s="305" t="str">
        <f t="shared" ca="1" si="11"/>
        <v/>
      </c>
      <c r="AL138" s="306">
        <f t="shared" ca="1" si="12"/>
        <v>1</v>
      </c>
      <c r="AM138" s="306">
        <f t="shared" ca="1" si="13"/>
        <v>19</v>
      </c>
      <c r="AN138" s="306">
        <f t="shared" ca="1" si="14"/>
        <v>5</v>
      </c>
      <c r="AO138" s="306">
        <f t="shared" ca="1" si="15"/>
        <v>0</v>
      </c>
      <c r="AP138" s="306">
        <f t="shared" ca="1" si="16"/>
        <v>0</v>
      </c>
      <c r="AQ138" s="306">
        <f t="shared" ca="1" si="17"/>
        <v>0</v>
      </c>
      <c r="AR138" s="306">
        <f t="shared" ca="1" si="18"/>
        <v>0</v>
      </c>
      <c r="AS138" s="307"/>
      <c r="AT138" s="306">
        <f t="shared" si="19"/>
        <v>1</v>
      </c>
    </row>
    <row r="139" spans="1:46" ht="15.75" customHeight="1">
      <c r="A139" s="284"/>
      <c r="B139" s="285">
        <f t="shared" ca="1" si="0"/>
        <v>1</v>
      </c>
      <c r="C139" s="286">
        <f t="shared" ca="1" si="1"/>
        <v>19</v>
      </c>
      <c r="D139" s="286">
        <f t="shared" ca="1" si="2"/>
        <v>6</v>
      </c>
      <c r="E139" s="286" t="str">
        <f t="shared" ca="1" si="3"/>
        <v/>
      </c>
      <c r="F139" s="286" t="str">
        <f t="shared" ca="1" si="4"/>
        <v/>
      </c>
      <c r="G139" s="287" t="str">
        <f t="shared" ca="1" si="5"/>
        <v/>
      </c>
      <c r="H139" s="288" t="str">
        <f t="shared" ca="1" si="6"/>
        <v/>
      </c>
      <c r="I139" s="308"/>
      <c r="J139" s="320"/>
      <c r="K139" s="320" t="s">
        <v>66</v>
      </c>
      <c r="L139" s="320"/>
      <c r="M139" s="320"/>
      <c r="N139" s="320"/>
      <c r="O139" s="320"/>
      <c r="P139" s="320"/>
      <c r="Q139" s="321"/>
      <c r="R139" s="322" t="s">
        <v>181</v>
      </c>
      <c r="S139" s="331">
        <v>45831</v>
      </c>
      <c r="T139" s="325">
        <v>45831</v>
      </c>
      <c r="U139" s="330"/>
      <c r="V139" s="325"/>
      <c r="W139" s="326">
        <v>0</v>
      </c>
      <c r="X139" s="327"/>
      <c r="Y139" s="328"/>
      <c r="Z139" s="329"/>
      <c r="AA139" s="300"/>
      <c r="AB139" s="301"/>
      <c r="AC139" s="302"/>
      <c r="AD139" s="303"/>
      <c r="AE139" s="304"/>
      <c r="AF139" s="305"/>
      <c r="AG139" s="305">
        <f t="shared" ca="1" si="7"/>
        <v>0</v>
      </c>
      <c r="AH139" s="305">
        <f t="shared" ca="1" si="8"/>
        <v>0</v>
      </c>
      <c r="AI139" s="305">
        <f t="shared" si="9"/>
        <v>0</v>
      </c>
      <c r="AJ139" s="305">
        <f t="shared" ca="1" si="10"/>
        <v>0</v>
      </c>
      <c r="AK139" s="305" t="str">
        <f t="shared" ca="1" si="11"/>
        <v/>
      </c>
      <c r="AL139" s="306">
        <f t="shared" ca="1" si="12"/>
        <v>1</v>
      </c>
      <c r="AM139" s="306">
        <f t="shared" ca="1" si="13"/>
        <v>19</v>
      </c>
      <c r="AN139" s="306">
        <f t="shared" ca="1" si="14"/>
        <v>6</v>
      </c>
      <c r="AO139" s="306">
        <f t="shared" ca="1" si="15"/>
        <v>0</v>
      </c>
      <c r="AP139" s="306">
        <f t="shared" ca="1" si="16"/>
        <v>0</v>
      </c>
      <c r="AQ139" s="306">
        <f t="shared" ca="1" si="17"/>
        <v>0</v>
      </c>
      <c r="AR139" s="306">
        <f t="shared" ca="1" si="18"/>
        <v>0</v>
      </c>
      <c r="AS139" s="307"/>
      <c r="AT139" s="306">
        <f t="shared" si="19"/>
        <v>1</v>
      </c>
    </row>
    <row r="140" spans="1:46" ht="15.75" customHeight="1">
      <c r="A140" s="284"/>
      <c r="B140" s="285">
        <f t="shared" ca="1" si="0"/>
        <v>1</v>
      </c>
      <c r="C140" s="286">
        <f t="shared" ca="1" si="1"/>
        <v>20</v>
      </c>
      <c r="D140" s="286" t="str">
        <f t="shared" ca="1" si="2"/>
        <v/>
      </c>
      <c r="E140" s="286" t="str">
        <f t="shared" ca="1" si="3"/>
        <v/>
      </c>
      <c r="F140" s="286" t="str">
        <f t="shared" ca="1" si="4"/>
        <v/>
      </c>
      <c r="G140" s="287" t="str">
        <f t="shared" ca="1" si="5"/>
        <v/>
      </c>
      <c r="H140" s="288" t="str">
        <f t="shared" ca="1" si="6"/>
        <v/>
      </c>
      <c r="I140" s="308"/>
      <c r="J140" s="309" t="s">
        <v>199</v>
      </c>
      <c r="K140" s="310"/>
      <c r="L140" s="310"/>
      <c r="M140" s="310"/>
      <c r="N140" s="310"/>
      <c r="O140" s="310"/>
      <c r="P140" s="310"/>
      <c r="Q140" s="311" t="s">
        <v>81</v>
      </c>
      <c r="R140" s="312"/>
      <c r="S140" s="313"/>
      <c r="T140" s="314"/>
      <c r="U140" s="315"/>
      <c r="V140" s="314"/>
      <c r="W140" s="316"/>
      <c r="X140" s="317"/>
      <c r="Y140" s="318"/>
      <c r="Z140" s="319"/>
      <c r="AA140" s="300"/>
      <c r="AB140" s="301"/>
      <c r="AC140" s="302"/>
      <c r="AD140" s="303"/>
      <c r="AE140" s="304"/>
      <c r="AF140" s="305"/>
      <c r="AG140" s="305">
        <f t="shared" si="7"/>
        <v>0</v>
      </c>
      <c r="AH140" s="305">
        <f t="shared" si="8"/>
        <v>0</v>
      </c>
      <c r="AI140" s="305">
        <f t="shared" si="9"/>
        <v>0</v>
      </c>
      <c r="AJ140" s="305">
        <f t="shared" si="10"/>
        <v>0</v>
      </c>
      <c r="AK140" s="305" t="str">
        <f t="shared" si="11"/>
        <v/>
      </c>
      <c r="AL140" s="306">
        <f t="shared" ca="1" si="12"/>
        <v>1</v>
      </c>
      <c r="AM140" s="306">
        <f t="shared" ca="1" si="13"/>
        <v>20</v>
      </c>
      <c r="AN140" s="306">
        <f t="shared" ca="1" si="14"/>
        <v>0</v>
      </c>
      <c r="AO140" s="306">
        <f t="shared" ca="1" si="15"/>
        <v>0</v>
      </c>
      <c r="AP140" s="306">
        <f t="shared" ca="1" si="16"/>
        <v>0</v>
      </c>
      <c r="AQ140" s="306">
        <f t="shared" ca="1" si="17"/>
        <v>0</v>
      </c>
      <c r="AR140" s="306">
        <f t="shared" ca="1" si="18"/>
        <v>0</v>
      </c>
      <c r="AS140" s="307"/>
      <c r="AT140" s="306">
        <f t="shared" si="19"/>
        <v>1</v>
      </c>
    </row>
    <row r="141" spans="1:46" ht="15.75" customHeight="1">
      <c r="A141" s="284"/>
      <c r="B141" s="285">
        <f t="shared" ca="1" si="0"/>
        <v>1</v>
      </c>
      <c r="C141" s="286">
        <f t="shared" ca="1" si="1"/>
        <v>20</v>
      </c>
      <c r="D141" s="286">
        <f t="shared" ca="1" si="2"/>
        <v>1</v>
      </c>
      <c r="E141" s="286" t="str">
        <f t="shared" ca="1" si="3"/>
        <v/>
      </c>
      <c r="F141" s="286" t="str">
        <f t="shared" ca="1" si="4"/>
        <v/>
      </c>
      <c r="G141" s="287" t="str">
        <f t="shared" ca="1" si="5"/>
        <v/>
      </c>
      <c r="H141" s="288" t="str">
        <f t="shared" ca="1" si="6"/>
        <v/>
      </c>
      <c r="I141" s="308"/>
      <c r="J141" s="320"/>
      <c r="K141" s="320" t="s">
        <v>59</v>
      </c>
      <c r="L141" s="320"/>
      <c r="M141" s="320"/>
      <c r="N141" s="320"/>
      <c r="O141" s="320"/>
      <c r="P141" s="320"/>
      <c r="Q141" s="321"/>
      <c r="R141" s="332" t="s">
        <v>181</v>
      </c>
      <c r="S141" s="331">
        <v>45812</v>
      </c>
      <c r="T141" s="325">
        <v>45817</v>
      </c>
      <c r="U141" s="330">
        <v>45812</v>
      </c>
      <c r="V141" s="325">
        <v>45820</v>
      </c>
      <c r="W141" s="326">
        <v>1</v>
      </c>
      <c r="X141" s="326">
        <v>1</v>
      </c>
      <c r="Y141" s="333"/>
      <c r="Z141" s="329"/>
      <c r="AA141" s="300"/>
      <c r="AB141" s="301"/>
      <c r="AC141" s="302"/>
      <c r="AD141" s="303"/>
      <c r="AE141" s="304"/>
      <c r="AF141" s="305"/>
      <c r="AG141" s="305">
        <f t="shared" ca="1" si="7"/>
        <v>0</v>
      </c>
      <c r="AH141" s="305">
        <f t="shared" ca="1" si="8"/>
        <v>0</v>
      </c>
      <c r="AI141" s="305">
        <f t="shared" si="9"/>
        <v>0</v>
      </c>
      <c r="AJ141" s="305">
        <f t="shared" ca="1" si="10"/>
        <v>0</v>
      </c>
      <c r="AK141" s="305" t="str">
        <f t="shared" ca="1" si="11"/>
        <v/>
      </c>
      <c r="AL141" s="306">
        <f t="shared" ca="1" si="12"/>
        <v>1</v>
      </c>
      <c r="AM141" s="306">
        <f t="shared" ca="1" si="13"/>
        <v>20</v>
      </c>
      <c r="AN141" s="306">
        <f t="shared" ca="1" si="14"/>
        <v>1</v>
      </c>
      <c r="AO141" s="306">
        <f t="shared" ca="1" si="15"/>
        <v>0</v>
      </c>
      <c r="AP141" s="306">
        <f t="shared" ca="1" si="16"/>
        <v>0</v>
      </c>
      <c r="AQ141" s="306">
        <f t="shared" ca="1" si="17"/>
        <v>0</v>
      </c>
      <c r="AR141" s="306">
        <f t="shared" ca="1" si="18"/>
        <v>0</v>
      </c>
      <c r="AS141" s="307"/>
      <c r="AT141" s="306">
        <f t="shared" si="19"/>
        <v>6</v>
      </c>
    </row>
    <row r="142" spans="1:46" ht="15.75" customHeight="1">
      <c r="A142" s="284"/>
      <c r="B142" s="285">
        <f t="shared" ca="1" si="0"/>
        <v>1</v>
      </c>
      <c r="C142" s="286">
        <f t="shared" ca="1" si="1"/>
        <v>20</v>
      </c>
      <c r="D142" s="286">
        <f t="shared" ca="1" si="2"/>
        <v>2</v>
      </c>
      <c r="E142" s="286" t="str">
        <f t="shared" ca="1" si="3"/>
        <v/>
      </c>
      <c r="F142" s="286" t="str">
        <f t="shared" ca="1" si="4"/>
        <v/>
      </c>
      <c r="G142" s="287" t="str">
        <f t="shared" ca="1" si="5"/>
        <v/>
      </c>
      <c r="H142" s="288" t="str">
        <f t="shared" ca="1" si="6"/>
        <v/>
      </c>
      <c r="I142" s="308"/>
      <c r="J142" s="320"/>
      <c r="K142" s="320" t="s">
        <v>145</v>
      </c>
      <c r="L142" s="320"/>
      <c r="M142" s="320"/>
      <c r="N142" s="320"/>
      <c r="O142" s="320"/>
      <c r="P142" s="320"/>
      <c r="Q142" s="321"/>
      <c r="R142" s="322" t="s">
        <v>180</v>
      </c>
      <c r="S142" s="331">
        <v>45818</v>
      </c>
      <c r="T142" s="325">
        <v>45818</v>
      </c>
      <c r="U142" s="330"/>
      <c r="V142" s="330"/>
      <c r="W142" s="326">
        <v>0</v>
      </c>
      <c r="X142" s="327"/>
      <c r="Y142" s="328"/>
      <c r="Z142" s="329"/>
      <c r="AA142" s="300"/>
      <c r="AB142" s="301"/>
      <c r="AC142" s="302"/>
      <c r="AD142" s="303"/>
      <c r="AE142" s="304"/>
      <c r="AF142" s="305"/>
      <c r="AG142" s="305">
        <f t="shared" ca="1" si="7"/>
        <v>0</v>
      </c>
      <c r="AH142" s="305">
        <f t="shared" ca="1" si="8"/>
        <v>0</v>
      </c>
      <c r="AI142" s="305">
        <f t="shared" si="9"/>
        <v>0</v>
      </c>
      <c r="AJ142" s="305">
        <f t="shared" ca="1" si="10"/>
        <v>0</v>
      </c>
      <c r="AK142" s="305" t="str">
        <f t="shared" ca="1" si="11"/>
        <v/>
      </c>
      <c r="AL142" s="306">
        <f t="shared" ca="1" si="12"/>
        <v>1</v>
      </c>
      <c r="AM142" s="306">
        <f t="shared" ca="1" si="13"/>
        <v>20</v>
      </c>
      <c r="AN142" s="306">
        <f t="shared" ca="1" si="14"/>
        <v>2</v>
      </c>
      <c r="AO142" s="306">
        <f t="shared" ca="1" si="15"/>
        <v>0</v>
      </c>
      <c r="AP142" s="306">
        <f t="shared" ca="1" si="16"/>
        <v>0</v>
      </c>
      <c r="AQ142" s="306">
        <f t="shared" ca="1" si="17"/>
        <v>0</v>
      </c>
      <c r="AR142" s="306">
        <f t="shared" ca="1" si="18"/>
        <v>0</v>
      </c>
      <c r="AS142" s="307"/>
      <c r="AT142" s="306">
        <f t="shared" si="19"/>
        <v>1</v>
      </c>
    </row>
    <row r="143" spans="1:46" ht="15.75" customHeight="1">
      <c r="A143" s="284"/>
      <c r="B143" s="285">
        <f t="shared" ca="1" si="0"/>
        <v>1</v>
      </c>
      <c r="C143" s="286">
        <f t="shared" ca="1" si="1"/>
        <v>20</v>
      </c>
      <c r="D143" s="286">
        <f t="shared" ca="1" si="2"/>
        <v>3</v>
      </c>
      <c r="E143" s="286" t="str">
        <f t="shared" ca="1" si="3"/>
        <v/>
      </c>
      <c r="F143" s="286" t="str">
        <f t="shared" ca="1" si="4"/>
        <v/>
      </c>
      <c r="G143" s="287" t="str">
        <f t="shared" ca="1" si="5"/>
        <v/>
      </c>
      <c r="H143" s="288" t="str">
        <f t="shared" ca="1" si="6"/>
        <v/>
      </c>
      <c r="I143" s="308"/>
      <c r="J143" s="320"/>
      <c r="K143" s="320" t="s">
        <v>63</v>
      </c>
      <c r="L143" s="320"/>
      <c r="M143" s="320"/>
      <c r="N143" s="320"/>
      <c r="O143" s="320"/>
      <c r="P143" s="320"/>
      <c r="Q143" s="321"/>
      <c r="R143" s="322" t="s">
        <v>181</v>
      </c>
      <c r="S143" s="331">
        <v>45827</v>
      </c>
      <c r="T143" s="331">
        <v>45827</v>
      </c>
      <c r="U143" s="330"/>
      <c r="V143" s="325"/>
      <c r="W143" s="326">
        <v>0</v>
      </c>
      <c r="X143" s="327"/>
      <c r="Y143" s="328"/>
      <c r="Z143" s="329"/>
      <c r="AA143" s="300"/>
      <c r="AB143" s="301"/>
      <c r="AC143" s="302"/>
      <c r="AD143" s="303"/>
      <c r="AE143" s="304"/>
      <c r="AF143" s="305"/>
      <c r="AG143" s="305">
        <f t="shared" ca="1" si="7"/>
        <v>0</v>
      </c>
      <c r="AH143" s="305">
        <f t="shared" ca="1" si="8"/>
        <v>0</v>
      </c>
      <c r="AI143" s="305">
        <f t="shared" si="9"/>
        <v>0</v>
      </c>
      <c r="AJ143" s="305">
        <f t="shared" ca="1" si="10"/>
        <v>0</v>
      </c>
      <c r="AK143" s="305" t="str">
        <f t="shared" ca="1" si="11"/>
        <v/>
      </c>
      <c r="AL143" s="306">
        <f t="shared" ca="1" si="12"/>
        <v>1</v>
      </c>
      <c r="AM143" s="306">
        <f t="shared" ca="1" si="13"/>
        <v>20</v>
      </c>
      <c r="AN143" s="306">
        <f t="shared" ca="1" si="14"/>
        <v>3</v>
      </c>
      <c r="AO143" s="306">
        <f t="shared" ca="1" si="15"/>
        <v>0</v>
      </c>
      <c r="AP143" s="306">
        <f t="shared" ca="1" si="16"/>
        <v>0</v>
      </c>
      <c r="AQ143" s="306">
        <f t="shared" ca="1" si="17"/>
        <v>0</v>
      </c>
      <c r="AR143" s="306">
        <f t="shared" ca="1" si="18"/>
        <v>0</v>
      </c>
      <c r="AS143" s="307"/>
      <c r="AT143" s="306">
        <f t="shared" si="19"/>
        <v>1</v>
      </c>
    </row>
    <row r="144" spans="1:46" ht="15.75" customHeight="1">
      <c r="A144" s="284"/>
      <c r="B144" s="285">
        <f t="shared" ca="1" si="0"/>
        <v>1</v>
      </c>
      <c r="C144" s="286">
        <f t="shared" ca="1" si="1"/>
        <v>20</v>
      </c>
      <c r="D144" s="286">
        <f t="shared" ca="1" si="2"/>
        <v>4</v>
      </c>
      <c r="E144" s="286" t="str">
        <f t="shared" ca="1" si="3"/>
        <v/>
      </c>
      <c r="F144" s="286" t="str">
        <f t="shared" ca="1" si="4"/>
        <v/>
      </c>
      <c r="G144" s="287" t="str">
        <f t="shared" ca="1" si="5"/>
        <v/>
      </c>
      <c r="H144" s="288" t="str">
        <f t="shared" ca="1" si="6"/>
        <v/>
      </c>
      <c r="I144" s="308"/>
      <c r="J144" s="320"/>
      <c r="K144" s="320" t="s">
        <v>64</v>
      </c>
      <c r="L144" s="320"/>
      <c r="M144" s="320"/>
      <c r="N144" s="320"/>
      <c r="O144" s="320"/>
      <c r="P144" s="320"/>
      <c r="Q144" s="321"/>
      <c r="R144" s="322" t="s">
        <v>180</v>
      </c>
      <c r="S144" s="331">
        <v>45827</v>
      </c>
      <c r="T144" s="331">
        <v>45827</v>
      </c>
      <c r="U144" s="330"/>
      <c r="V144" s="325"/>
      <c r="W144" s="326">
        <v>0</v>
      </c>
      <c r="X144" s="327"/>
      <c r="Y144" s="328"/>
      <c r="Z144" s="329"/>
      <c r="AA144" s="300"/>
      <c r="AB144" s="301"/>
      <c r="AC144" s="302"/>
      <c r="AD144" s="303"/>
      <c r="AE144" s="304"/>
      <c r="AF144" s="305"/>
      <c r="AG144" s="305">
        <f t="shared" ca="1" si="7"/>
        <v>0</v>
      </c>
      <c r="AH144" s="305">
        <f t="shared" ca="1" si="8"/>
        <v>0</v>
      </c>
      <c r="AI144" s="305">
        <f t="shared" si="9"/>
        <v>0</v>
      </c>
      <c r="AJ144" s="305">
        <f t="shared" ca="1" si="10"/>
        <v>0</v>
      </c>
      <c r="AK144" s="305" t="str">
        <f t="shared" ca="1" si="11"/>
        <v/>
      </c>
      <c r="AL144" s="306">
        <f t="shared" ca="1" si="12"/>
        <v>1</v>
      </c>
      <c r="AM144" s="306">
        <f t="shared" ca="1" si="13"/>
        <v>20</v>
      </c>
      <c r="AN144" s="306">
        <f t="shared" ca="1" si="14"/>
        <v>4</v>
      </c>
      <c r="AO144" s="306">
        <f t="shared" ca="1" si="15"/>
        <v>0</v>
      </c>
      <c r="AP144" s="306">
        <f t="shared" ca="1" si="16"/>
        <v>0</v>
      </c>
      <c r="AQ144" s="306">
        <f t="shared" ca="1" si="17"/>
        <v>0</v>
      </c>
      <c r="AR144" s="306">
        <f t="shared" ca="1" si="18"/>
        <v>0</v>
      </c>
      <c r="AS144" s="307"/>
      <c r="AT144" s="306">
        <f t="shared" si="19"/>
        <v>1</v>
      </c>
    </row>
    <row r="145" spans="1:46" ht="15.75" customHeight="1">
      <c r="A145" s="284"/>
      <c r="B145" s="285">
        <f t="shared" ca="1" si="0"/>
        <v>1</v>
      </c>
      <c r="C145" s="286">
        <f t="shared" ca="1" si="1"/>
        <v>20</v>
      </c>
      <c r="D145" s="286">
        <f t="shared" ca="1" si="2"/>
        <v>5</v>
      </c>
      <c r="E145" s="286" t="str">
        <f t="shared" ca="1" si="3"/>
        <v/>
      </c>
      <c r="F145" s="286" t="str">
        <f t="shared" ca="1" si="4"/>
        <v/>
      </c>
      <c r="G145" s="287" t="str">
        <f t="shared" ca="1" si="5"/>
        <v/>
      </c>
      <c r="H145" s="288" t="str">
        <f t="shared" ca="1" si="6"/>
        <v/>
      </c>
      <c r="I145" s="308"/>
      <c r="J145" s="320"/>
      <c r="K145" s="320" t="s">
        <v>65</v>
      </c>
      <c r="L145" s="320"/>
      <c r="M145" s="320"/>
      <c r="N145" s="320"/>
      <c r="O145" s="320"/>
      <c r="P145" s="320"/>
      <c r="Q145" s="321"/>
      <c r="R145" s="322" t="s">
        <v>181</v>
      </c>
      <c r="S145" s="331">
        <v>45828</v>
      </c>
      <c r="T145" s="331">
        <v>45828</v>
      </c>
      <c r="U145" s="330"/>
      <c r="V145" s="325"/>
      <c r="W145" s="326">
        <v>0</v>
      </c>
      <c r="X145" s="327"/>
      <c r="Y145" s="328"/>
      <c r="Z145" s="329"/>
      <c r="AA145" s="300"/>
      <c r="AB145" s="301"/>
      <c r="AC145" s="302"/>
      <c r="AD145" s="303"/>
      <c r="AE145" s="304"/>
      <c r="AF145" s="305"/>
      <c r="AG145" s="305">
        <f t="shared" ca="1" si="7"/>
        <v>0</v>
      </c>
      <c r="AH145" s="305">
        <f t="shared" ca="1" si="8"/>
        <v>0</v>
      </c>
      <c r="AI145" s="305">
        <f t="shared" si="9"/>
        <v>0</v>
      </c>
      <c r="AJ145" s="305">
        <f t="shared" ca="1" si="10"/>
        <v>0</v>
      </c>
      <c r="AK145" s="305" t="str">
        <f t="shared" ca="1" si="11"/>
        <v/>
      </c>
      <c r="AL145" s="306">
        <f t="shared" ca="1" si="12"/>
        <v>1</v>
      </c>
      <c r="AM145" s="306">
        <f t="shared" ca="1" si="13"/>
        <v>20</v>
      </c>
      <c r="AN145" s="306">
        <f t="shared" ca="1" si="14"/>
        <v>5</v>
      </c>
      <c r="AO145" s="306">
        <f t="shared" ca="1" si="15"/>
        <v>0</v>
      </c>
      <c r="AP145" s="306">
        <f t="shared" ca="1" si="16"/>
        <v>0</v>
      </c>
      <c r="AQ145" s="306">
        <f t="shared" ca="1" si="17"/>
        <v>0</v>
      </c>
      <c r="AR145" s="306">
        <f t="shared" ca="1" si="18"/>
        <v>0</v>
      </c>
      <c r="AS145" s="307"/>
      <c r="AT145" s="306">
        <f t="shared" si="19"/>
        <v>1</v>
      </c>
    </row>
    <row r="146" spans="1:46" ht="15.75" customHeight="1">
      <c r="A146" s="284"/>
      <c r="B146" s="285">
        <f t="shared" ca="1" si="0"/>
        <v>1</v>
      </c>
      <c r="C146" s="286">
        <f t="shared" ca="1" si="1"/>
        <v>20</v>
      </c>
      <c r="D146" s="286">
        <f t="shared" ca="1" si="2"/>
        <v>6</v>
      </c>
      <c r="E146" s="286" t="str">
        <f t="shared" ca="1" si="3"/>
        <v/>
      </c>
      <c r="F146" s="286" t="str">
        <f t="shared" ca="1" si="4"/>
        <v/>
      </c>
      <c r="G146" s="287" t="str">
        <f t="shared" ca="1" si="5"/>
        <v/>
      </c>
      <c r="H146" s="288" t="str">
        <f t="shared" ca="1" si="6"/>
        <v/>
      </c>
      <c r="I146" s="308"/>
      <c r="J146" s="320"/>
      <c r="K146" s="320" t="s">
        <v>66</v>
      </c>
      <c r="L146" s="320"/>
      <c r="M146" s="320"/>
      <c r="N146" s="320"/>
      <c r="O146" s="320"/>
      <c r="P146" s="320"/>
      <c r="Q146" s="321"/>
      <c r="R146" s="322" t="s">
        <v>180</v>
      </c>
      <c r="S146" s="331">
        <v>45831</v>
      </c>
      <c r="T146" s="325">
        <v>45831</v>
      </c>
      <c r="U146" s="330"/>
      <c r="V146" s="325"/>
      <c r="W146" s="326">
        <v>0</v>
      </c>
      <c r="X146" s="327"/>
      <c r="Y146" s="328"/>
      <c r="Z146" s="329"/>
      <c r="AA146" s="300"/>
      <c r="AB146" s="301"/>
      <c r="AC146" s="302"/>
      <c r="AD146" s="303"/>
      <c r="AE146" s="304"/>
      <c r="AF146" s="305"/>
      <c r="AG146" s="305">
        <f t="shared" ca="1" si="7"/>
        <v>0</v>
      </c>
      <c r="AH146" s="305">
        <f t="shared" ca="1" si="8"/>
        <v>0</v>
      </c>
      <c r="AI146" s="305">
        <f t="shared" si="9"/>
        <v>0</v>
      </c>
      <c r="AJ146" s="305">
        <f t="shared" ca="1" si="10"/>
        <v>0</v>
      </c>
      <c r="AK146" s="305" t="str">
        <f t="shared" ca="1" si="11"/>
        <v/>
      </c>
      <c r="AL146" s="306">
        <f t="shared" ca="1" si="12"/>
        <v>1</v>
      </c>
      <c r="AM146" s="306">
        <f t="shared" ca="1" si="13"/>
        <v>20</v>
      </c>
      <c r="AN146" s="306">
        <f t="shared" ca="1" si="14"/>
        <v>6</v>
      </c>
      <c r="AO146" s="306">
        <f t="shared" ca="1" si="15"/>
        <v>0</v>
      </c>
      <c r="AP146" s="306">
        <f t="shared" ca="1" si="16"/>
        <v>0</v>
      </c>
      <c r="AQ146" s="306">
        <f t="shared" ca="1" si="17"/>
        <v>0</v>
      </c>
      <c r="AR146" s="306">
        <f t="shared" ca="1" si="18"/>
        <v>0</v>
      </c>
      <c r="AS146" s="307"/>
      <c r="AT146" s="306">
        <f t="shared" si="19"/>
        <v>1</v>
      </c>
    </row>
    <row r="147" spans="1:46" ht="15.75" customHeight="1">
      <c r="A147" s="284"/>
      <c r="B147" s="285">
        <f t="shared" ca="1" si="0"/>
        <v>1</v>
      </c>
      <c r="C147" s="286">
        <f t="shared" ca="1" si="1"/>
        <v>21</v>
      </c>
      <c r="D147" s="286" t="str">
        <f t="shared" ca="1" si="2"/>
        <v/>
      </c>
      <c r="E147" s="286" t="str">
        <f t="shared" ca="1" si="3"/>
        <v/>
      </c>
      <c r="F147" s="286" t="str">
        <f t="shared" ca="1" si="4"/>
        <v/>
      </c>
      <c r="G147" s="287" t="str">
        <f t="shared" ca="1" si="5"/>
        <v/>
      </c>
      <c r="H147" s="288" t="str">
        <f t="shared" ca="1" si="6"/>
        <v/>
      </c>
      <c r="I147" s="308"/>
      <c r="J147" s="309" t="s">
        <v>200</v>
      </c>
      <c r="K147" s="310"/>
      <c r="L147" s="310"/>
      <c r="M147" s="310"/>
      <c r="N147" s="310"/>
      <c r="O147" s="310"/>
      <c r="P147" s="310"/>
      <c r="Q147" s="311" t="s">
        <v>81</v>
      </c>
      <c r="R147" s="312"/>
      <c r="S147" s="313"/>
      <c r="T147" s="314"/>
      <c r="U147" s="315"/>
      <c r="V147" s="314"/>
      <c r="W147" s="316"/>
      <c r="X147" s="317"/>
      <c r="Y147" s="318"/>
      <c r="Z147" s="319"/>
      <c r="AA147" s="300"/>
      <c r="AB147" s="301"/>
      <c r="AC147" s="302"/>
      <c r="AD147" s="303"/>
      <c r="AE147" s="304"/>
      <c r="AF147" s="305"/>
      <c r="AG147" s="305">
        <f t="shared" si="7"/>
        <v>0</v>
      </c>
      <c r="AH147" s="305">
        <f t="shared" si="8"/>
        <v>0</v>
      </c>
      <c r="AI147" s="305">
        <f t="shared" si="9"/>
        <v>0</v>
      </c>
      <c r="AJ147" s="305">
        <f t="shared" si="10"/>
        <v>0</v>
      </c>
      <c r="AK147" s="305" t="str">
        <f t="shared" si="11"/>
        <v/>
      </c>
      <c r="AL147" s="306">
        <f t="shared" ca="1" si="12"/>
        <v>1</v>
      </c>
      <c r="AM147" s="306">
        <f t="shared" ca="1" si="13"/>
        <v>21</v>
      </c>
      <c r="AN147" s="306">
        <f t="shared" ca="1" si="14"/>
        <v>0</v>
      </c>
      <c r="AO147" s="306">
        <f t="shared" ca="1" si="15"/>
        <v>0</v>
      </c>
      <c r="AP147" s="306">
        <f t="shared" ca="1" si="16"/>
        <v>0</v>
      </c>
      <c r="AQ147" s="306">
        <f t="shared" ca="1" si="17"/>
        <v>0</v>
      </c>
      <c r="AR147" s="306">
        <f t="shared" ca="1" si="18"/>
        <v>0</v>
      </c>
      <c r="AS147" s="307"/>
      <c r="AT147" s="306">
        <f t="shared" si="19"/>
        <v>1</v>
      </c>
    </row>
    <row r="148" spans="1:46" ht="15.75" customHeight="1">
      <c r="A148" s="284"/>
      <c r="B148" s="285">
        <f t="shared" ca="1" si="0"/>
        <v>1</v>
      </c>
      <c r="C148" s="286">
        <f t="shared" ca="1" si="1"/>
        <v>21</v>
      </c>
      <c r="D148" s="286">
        <f t="shared" ca="1" si="2"/>
        <v>1</v>
      </c>
      <c r="E148" s="286" t="str">
        <f t="shared" ca="1" si="3"/>
        <v/>
      </c>
      <c r="F148" s="286" t="str">
        <f t="shared" ca="1" si="4"/>
        <v/>
      </c>
      <c r="G148" s="287" t="str">
        <f t="shared" ca="1" si="5"/>
        <v/>
      </c>
      <c r="H148" s="288" t="str">
        <f t="shared" ca="1" si="6"/>
        <v/>
      </c>
      <c r="I148" s="308"/>
      <c r="J148" s="320"/>
      <c r="K148" s="320" t="s">
        <v>59</v>
      </c>
      <c r="L148" s="320"/>
      <c r="M148" s="320"/>
      <c r="N148" s="320"/>
      <c r="O148" s="320"/>
      <c r="P148" s="320"/>
      <c r="Q148" s="321"/>
      <c r="R148" s="332" t="s">
        <v>185</v>
      </c>
      <c r="S148" s="331">
        <v>45812</v>
      </c>
      <c r="T148" s="325">
        <v>45817</v>
      </c>
      <c r="U148" s="330">
        <v>45812</v>
      </c>
      <c r="V148" s="325">
        <v>45820</v>
      </c>
      <c r="W148" s="326">
        <v>1</v>
      </c>
      <c r="X148" s="327">
        <v>1</v>
      </c>
      <c r="Y148" s="328"/>
      <c r="Z148" s="329"/>
      <c r="AA148" s="300"/>
      <c r="AB148" s="301"/>
      <c r="AC148" s="302"/>
      <c r="AD148" s="303"/>
      <c r="AE148" s="304"/>
      <c r="AF148" s="305"/>
      <c r="AG148" s="305">
        <f t="shared" ca="1" si="7"/>
        <v>0</v>
      </c>
      <c r="AH148" s="305">
        <f t="shared" ca="1" si="8"/>
        <v>0</v>
      </c>
      <c r="AI148" s="305">
        <f t="shared" si="9"/>
        <v>0</v>
      </c>
      <c r="AJ148" s="305">
        <f t="shared" ca="1" si="10"/>
        <v>0</v>
      </c>
      <c r="AK148" s="305" t="str">
        <f t="shared" ca="1" si="11"/>
        <v/>
      </c>
      <c r="AL148" s="306">
        <f t="shared" ca="1" si="12"/>
        <v>1</v>
      </c>
      <c r="AM148" s="306">
        <f t="shared" ca="1" si="13"/>
        <v>21</v>
      </c>
      <c r="AN148" s="306">
        <f t="shared" ca="1" si="14"/>
        <v>1</v>
      </c>
      <c r="AO148" s="306">
        <f t="shared" ca="1" si="15"/>
        <v>0</v>
      </c>
      <c r="AP148" s="306">
        <f t="shared" ca="1" si="16"/>
        <v>0</v>
      </c>
      <c r="AQ148" s="306">
        <f t="shared" ca="1" si="17"/>
        <v>0</v>
      </c>
      <c r="AR148" s="306">
        <f t="shared" ca="1" si="18"/>
        <v>0</v>
      </c>
      <c r="AS148" s="307"/>
      <c r="AT148" s="306">
        <f t="shared" si="19"/>
        <v>6</v>
      </c>
    </row>
    <row r="149" spans="1:46" ht="15.75" customHeight="1">
      <c r="A149" s="284"/>
      <c r="B149" s="285">
        <f t="shared" ca="1" si="0"/>
        <v>1</v>
      </c>
      <c r="C149" s="286">
        <f t="shared" ca="1" si="1"/>
        <v>21</v>
      </c>
      <c r="D149" s="286">
        <f t="shared" ca="1" si="2"/>
        <v>2</v>
      </c>
      <c r="E149" s="286" t="str">
        <f t="shared" ca="1" si="3"/>
        <v/>
      </c>
      <c r="F149" s="286" t="str">
        <f t="shared" ca="1" si="4"/>
        <v/>
      </c>
      <c r="G149" s="287" t="str">
        <f t="shared" ca="1" si="5"/>
        <v/>
      </c>
      <c r="H149" s="288" t="str">
        <f t="shared" ca="1" si="6"/>
        <v/>
      </c>
      <c r="I149" s="308"/>
      <c r="J149" s="320"/>
      <c r="K149" s="320" t="s">
        <v>64</v>
      </c>
      <c r="L149" s="320"/>
      <c r="M149" s="320"/>
      <c r="N149" s="320"/>
      <c r="O149" s="320"/>
      <c r="P149" s="320"/>
      <c r="Q149" s="321"/>
      <c r="R149" s="322" t="s">
        <v>187</v>
      </c>
      <c r="S149" s="331">
        <v>45818</v>
      </c>
      <c r="T149" s="325">
        <v>45818</v>
      </c>
      <c r="U149" s="331">
        <v>45818</v>
      </c>
      <c r="V149" s="325">
        <v>45818</v>
      </c>
      <c r="W149" s="326">
        <v>1</v>
      </c>
      <c r="X149" s="326">
        <v>1</v>
      </c>
      <c r="Y149" s="328"/>
      <c r="Z149" s="329"/>
      <c r="AA149" s="300"/>
      <c r="AB149" s="301"/>
      <c r="AC149" s="302"/>
      <c r="AD149" s="303"/>
      <c r="AE149" s="304"/>
      <c r="AF149" s="305"/>
      <c r="AG149" s="305">
        <f t="shared" ca="1" si="7"/>
        <v>0</v>
      </c>
      <c r="AH149" s="305">
        <f t="shared" ca="1" si="8"/>
        <v>0</v>
      </c>
      <c r="AI149" s="305">
        <f t="shared" si="9"/>
        <v>0</v>
      </c>
      <c r="AJ149" s="305">
        <f t="shared" ca="1" si="10"/>
        <v>0</v>
      </c>
      <c r="AK149" s="305" t="str">
        <f t="shared" ca="1" si="11"/>
        <v/>
      </c>
      <c r="AL149" s="306">
        <f t="shared" ca="1" si="12"/>
        <v>1</v>
      </c>
      <c r="AM149" s="306">
        <f t="shared" ca="1" si="13"/>
        <v>21</v>
      </c>
      <c r="AN149" s="306">
        <f t="shared" ca="1" si="14"/>
        <v>2</v>
      </c>
      <c r="AO149" s="306">
        <f t="shared" ca="1" si="15"/>
        <v>0</v>
      </c>
      <c r="AP149" s="306">
        <f t="shared" ca="1" si="16"/>
        <v>0</v>
      </c>
      <c r="AQ149" s="306">
        <f t="shared" ca="1" si="17"/>
        <v>0</v>
      </c>
      <c r="AR149" s="306">
        <f t="shared" ca="1" si="18"/>
        <v>0</v>
      </c>
      <c r="AS149" s="307"/>
      <c r="AT149" s="306">
        <f t="shared" si="19"/>
        <v>1</v>
      </c>
    </row>
    <row r="150" spans="1:46" ht="15.75" customHeight="1">
      <c r="A150" s="284"/>
      <c r="B150" s="285">
        <f t="shared" ca="1" si="0"/>
        <v>1</v>
      </c>
      <c r="C150" s="286">
        <f t="shared" ca="1" si="1"/>
        <v>21</v>
      </c>
      <c r="D150" s="286">
        <f t="shared" ca="1" si="2"/>
        <v>3</v>
      </c>
      <c r="E150" s="286" t="str">
        <f t="shared" ca="1" si="3"/>
        <v/>
      </c>
      <c r="F150" s="286" t="str">
        <f t="shared" ca="1" si="4"/>
        <v/>
      </c>
      <c r="G150" s="287" t="str">
        <f t="shared" ca="1" si="5"/>
        <v/>
      </c>
      <c r="H150" s="288" t="str">
        <f t="shared" ca="1" si="6"/>
        <v/>
      </c>
      <c r="I150" s="308"/>
      <c r="J150" s="320"/>
      <c r="K150" s="320" t="s">
        <v>63</v>
      </c>
      <c r="L150" s="320"/>
      <c r="M150" s="320"/>
      <c r="N150" s="320"/>
      <c r="O150" s="320"/>
      <c r="P150" s="320"/>
      <c r="Q150" s="321"/>
      <c r="R150" s="322" t="s">
        <v>185</v>
      </c>
      <c r="S150" s="331">
        <v>45827</v>
      </c>
      <c r="T150" s="331">
        <v>45827</v>
      </c>
      <c r="U150" s="330"/>
      <c r="V150" s="325"/>
      <c r="W150" s="326">
        <v>0</v>
      </c>
      <c r="X150" s="327"/>
      <c r="Y150" s="328"/>
      <c r="Z150" s="329"/>
      <c r="AA150" s="300"/>
      <c r="AB150" s="301"/>
      <c r="AC150" s="302"/>
      <c r="AD150" s="303"/>
      <c r="AE150" s="304"/>
      <c r="AF150" s="305"/>
      <c r="AG150" s="305">
        <f t="shared" ca="1" si="7"/>
        <v>0</v>
      </c>
      <c r="AH150" s="305">
        <f t="shared" ca="1" si="8"/>
        <v>0</v>
      </c>
      <c r="AI150" s="305">
        <f t="shared" si="9"/>
        <v>0</v>
      </c>
      <c r="AJ150" s="305">
        <f t="shared" ca="1" si="10"/>
        <v>0</v>
      </c>
      <c r="AK150" s="305" t="str">
        <f t="shared" ca="1" si="11"/>
        <v/>
      </c>
      <c r="AL150" s="306">
        <f t="shared" ca="1" si="12"/>
        <v>1</v>
      </c>
      <c r="AM150" s="306">
        <f t="shared" ca="1" si="13"/>
        <v>21</v>
      </c>
      <c r="AN150" s="306">
        <f t="shared" ca="1" si="14"/>
        <v>3</v>
      </c>
      <c r="AO150" s="306">
        <f t="shared" ca="1" si="15"/>
        <v>0</v>
      </c>
      <c r="AP150" s="306">
        <f t="shared" ca="1" si="16"/>
        <v>0</v>
      </c>
      <c r="AQ150" s="306">
        <f t="shared" ca="1" si="17"/>
        <v>0</v>
      </c>
      <c r="AR150" s="306">
        <f t="shared" ca="1" si="18"/>
        <v>0</v>
      </c>
      <c r="AS150" s="307"/>
      <c r="AT150" s="306">
        <f t="shared" si="19"/>
        <v>1</v>
      </c>
    </row>
    <row r="151" spans="1:46" ht="15.75" customHeight="1">
      <c r="A151" s="284"/>
      <c r="B151" s="285">
        <f t="shared" ca="1" si="0"/>
        <v>1</v>
      </c>
      <c r="C151" s="286">
        <f t="shared" ca="1" si="1"/>
        <v>21</v>
      </c>
      <c r="D151" s="286">
        <f t="shared" ca="1" si="2"/>
        <v>4</v>
      </c>
      <c r="E151" s="286" t="str">
        <f t="shared" ca="1" si="3"/>
        <v/>
      </c>
      <c r="F151" s="286" t="str">
        <f t="shared" ca="1" si="4"/>
        <v/>
      </c>
      <c r="G151" s="287" t="str">
        <f t="shared" ca="1" si="5"/>
        <v/>
      </c>
      <c r="H151" s="288" t="str">
        <f t="shared" ca="1" si="6"/>
        <v/>
      </c>
      <c r="I151" s="308"/>
      <c r="J151" s="320"/>
      <c r="K151" s="320" t="s">
        <v>63</v>
      </c>
      <c r="L151" s="320"/>
      <c r="M151" s="320"/>
      <c r="N151" s="320"/>
      <c r="O151" s="320"/>
      <c r="P151" s="320"/>
      <c r="Q151" s="321"/>
      <c r="R151" s="322" t="s">
        <v>187</v>
      </c>
      <c r="S151" s="331">
        <v>45827</v>
      </c>
      <c r="T151" s="331">
        <v>45827</v>
      </c>
      <c r="U151" s="330"/>
      <c r="V151" s="325"/>
      <c r="W151" s="326">
        <v>0</v>
      </c>
      <c r="X151" s="327"/>
      <c r="Y151" s="328"/>
      <c r="Z151" s="329"/>
      <c r="AA151" s="300"/>
      <c r="AB151" s="301"/>
      <c r="AC151" s="302"/>
      <c r="AD151" s="303"/>
      <c r="AE151" s="304"/>
      <c r="AF151" s="305"/>
      <c r="AG151" s="305">
        <f t="shared" ca="1" si="7"/>
        <v>0</v>
      </c>
      <c r="AH151" s="305">
        <f t="shared" ca="1" si="8"/>
        <v>0</v>
      </c>
      <c r="AI151" s="305">
        <f t="shared" si="9"/>
        <v>0</v>
      </c>
      <c r="AJ151" s="305">
        <f t="shared" ca="1" si="10"/>
        <v>0</v>
      </c>
      <c r="AK151" s="305" t="str">
        <f t="shared" ca="1" si="11"/>
        <v/>
      </c>
      <c r="AL151" s="306">
        <f t="shared" ca="1" si="12"/>
        <v>1</v>
      </c>
      <c r="AM151" s="306">
        <f t="shared" ca="1" si="13"/>
        <v>21</v>
      </c>
      <c r="AN151" s="306">
        <f t="shared" ca="1" si="14"/>
        <v>4</v>
      </c>
      <c r="AO151" s="306">
        <f t="shared" ca="1" si="15"/>
        <v>0</v>
      </c>
      <c r="AP151" s="306">
        <f t="shared" ca="1" si="16"/>
        <v>0</v>
      </c>
      <c r="AQ151" s="306">
        <f t="shared" ca="1" si="17"/>
        <v>0</v>
      </c>
      <c r="AR151" s="306">
        <f t="shared" ca="1" si="18"/>
        <v>0</v>
      </c>
      <c r="AS151" s="307"/>
      <c r="AT151" s="306">
        <f t="shared" si="19"/>
        <v>1</v>
      </c>
    </row>
    <row r="152" spans="1:46" ht="15.75" customHeight="1">
      <c r="A152" s="284"/>
      <c r="B152" s="285">
        <f t="shared" ca="1" si="0"/>
        <v>1</v>
      </c>
      <c r="C152" s="286">
        <f t="shared" ca="1" si="1"/>
        <v>21</v>
      </c>
      <c r="D152" s="286">
        <f t="shared" ca="1" si="2"/>
        <v>5</v>
      </c>
      <c r="E152" s="286" t="str">
        <f t="shared" ca="1" si="3"/>
        <v/>
      </c>
      <c r="F152" s="286" t="str">
        <f t="shared" ca="1" si="4"/>
        <v/>
      </c>
      <c r="G152" s="287" t="str">
        <f t="shared" ca="1" si="5"/>
        <v/>
      </c>
      <c r="H152" s="288" t="str">
        <f t="shared" ca="1" si="6"/>
        <v/>
      </c>
      <c r="I152" s="308"/>
      <c r="J152" s="320"/>
      <c r="K152" s="320" t="s">
        <v>65</v>
      </c>
      <c r="L152" s="320"/>
      <c r="M152" s="320"/>
      <c r="N152" s="320"/>
      <c r="O152" s="320"/>
      <c r="P152" s="320"/>
      <c r="Q152" s="321"/>
      <c r="R152" s="322" t="s">
        <v>185</v>
      </c>
      <c r="S152" s="331">
        <v>45828</v>
      </c>
      <c r="T152" s="331">
        <v>45828</v>
      </c>
      <c r="U152" s="330"/>
      <c r="V152" s="325"/>
      <c r="W152" s="326">
        <v>0</v>
      </c>
      <c r="X152" s="327"/>
      <c r="Y152" s="328"/>
      <c r="Z152" s="329"/>
      <c r="AA152" s="300"/>
      <c r="AB152" s="301"/>
      <c r="AC152" s="302"/>
      <c r="AD152" s="303"/>
      <c r="AE152" s="304"/>
      <c r="AF152" s="305"/>
      <c r="AG152" s="305">
        <f t="shared" ca="1" si="7"/>
        <v>0</v>
      </c>
      <c r="AH152" s="305">
        <f t="shared" ca="1" si="8"/>
        <v>0</v>
      </c>
      <c r="AI152" s="305">
        <f t="shared" si="9"/>
        <v>0</v>
      </c>
      <c r="AJ152" s="305">
        <f t="shared" ca="1" si="10"/>
        <v>0</v>
      </c>
      <c r="AK152" s="305" t="str">
        <f t="shared" ca="1" si="11"/>
        <v/>
      </c>
      <c r="AL152" s="306">
        <f t="shared" ca="1" si="12"/>
        <v>1</v>
      </c>
      <c r="AM152" s="306">
        <f t="shared" ca="1" si="13"/>
        <v>21</v>
      </c>
      <c r="AN152" s="306">
        <f t="shared" ca="1" si="14"/>
        <v>5</v>
      </c>
      <c r="AO152" s="306">
        <f t="shared" ca="1" si="15"/>
        <v>0</v>
      </c>
      <c r="AP152" s="306">
        <f t="shared" ca="1" si="16"/>
        <v>0</v>
      </c>
      <c r="AQ152" s="306">
        <f t="shared" ca="1" si="17"/>
        <v>0</v>
      </c>
      <c r="AR152" s="306">
        <f t="shared" ca="1" si="18"/>
        <v>0</v>
      </c>
      <c r="AS152" s="307"/>
      <c r="AT152" s="306">
        <f t="shared" si="19"/>
        <v>1</v>
      </c>
    </row>
    <row r="153" spans="1:46" ht="15.75" customHeight="1">
      <c r="A153" s="284"/>
      <c r="B153" s="285">
        <f t="shared" ca="1" si="0"/>
        <v>1</v>
      </c>
      <c r="C153" s="286">
        <f t="shared" ca="1" si="1"/>
        <v>21</v>
      </c>
      <c r="D153" s="286">
        <f t="shared" ca="1" si="2"/>
        <v>6</v>
      </c>
      <c r="E153" s="286" t="str">
        <f t="shared" ca="1" si="3"/>
        <v/>
      </c>
      <c r="F153" s="286" t="str">
        <f t="shared" ca="1" si="4"/>
        <v/>
      </c>
      <c r="G153" s="287" t="str">
        <f t="shared" ca="1" si="5"/>
        <v/>
      </c>
      <c r="H153" s="288" t="str">
        <f t="shared" ca="1" si="6"/>
        <v/>
      </c>
      <c r="I153" s="308"/>
      <c r="J153" s="320"/>
      <c r="K153" s="320" t="s">
        <v>145</v>
      </c>
      <c r="L153" s="320"/>
      <c r="M153" s="320"/>
      <c r="N153" s="320"/>
      <c r="O153" s="320"/>
      <c r="P153" s="320"/>
      <c r="Q153" s="321"/>
      <c r="R153" s="322" t="s">
        <v>187</v>
      </c>
      <c r="S153" s="331">
        <v>45831</v>
      </c>
      <c r="T153" s="325">
        <v>45831</v>
      </c>
      <c r="U153" s="330"/>
      <c r="V153" s="325"/>
      <c r="W153" s="326">
        <v>0</v>
      </c>
      <c r="X153" s="327"/>
      <c r="Y153" s="328"/>
      <c r="Z153" s="329"/>
      <c r="AA153" s="300"/>
      <c r="AB153" s="301"/>
      <c r="AC153" s="302"/>
      <c r="AD153" s="303"/>
      <c r="AE153" s="304"/>
      <c r="AF153" s="305"/>
      <c r="AG153" s="305">
        <f t="shared" ca="1" si="7"/>
        <v>0</v>
      </c>
      <c r="AH153" s="305">
        <f t="shared" ca="1" si="8"/>
        <v>0</v>
      </c>
      <c r="AI153" s="305">
        <f t="shared" si="9"/>
        <v>0</v>
      </c>
      <c r="AJ153" s="305">
        <f t="shared" ca="1" si="10"/>
        <v>0</v>
      </c>
      <c r="AK153" s="305" t="str">
        <f t="shared" ca="1" si="11"/>
        <v/>
      </c>
      <c r="AL153" s="306">
        <f t="shared" ca="1" si="12"/>
        <v>1</v>
      </c>
      <c r="AM153" s="306">
        <f t="shared" ca="1" si="13"/>
        <v>21</v>
      </c>
      <c r="AN153" s="306">
        <f t="shared" ca="1" si="14"/>
        <v>6</v>
      </c>
      <c r="AO153" s="306">
        <f t="shared" ca="1" si="15"/>
        <v>0</v>
      </c>
      <c r="AP153" s="306">
        <f t="shared" ca="1" si="16"/>
        <v>0</v>
      </c>
      <c r="AQ153" s="306">
        <f t="shared" ca="1" si="17"/>
        <v>0</v>
      </c>
      <c r="AR153" s="306">
        <f t="shared" ca="1" si="18"/>
        <v>0</v>
      </c>
      <c r="AS153" s="307"/>
      <c r="AT153" s="306">
        <f t="shared" si="19"/>
        <v>1</v>
      </c>
    </row>
    <row r="154" spans="1:46" ht="15.75" customHeight="1">
      <c r="A154" s="284"/>
      <c r="B154" s="285">
        <f t="shared" ca="1" si="0"/>
        <v>1</v>
      </c>
      <c r="C154" s="286">
        <f t="shared" ca="1" si="1"/>
        <v>22</v>
      </c>
      <c r="D154" s="286" t="str">
        <f t="shared" ca="1" si="2"/>
        <v/>
      </c>
      <c r="E154" s="286" t="str">
        <f t="shared" ca="1" si="3"/>
        <v/>
      </c>
      <c r="F154" s="286" t="str">
        <f t="shared" ca="1" si="4"/>
        <v/>
      </c>
      <c r="G154" s="287" t="str">
        <f t="shared" ca="1" si="5"/>
        <v/>
      </c>
      <c r="H154" s="288" t="str">
        <f t="shared" ca="1" si="6"/>
        <v/>
      </c>
      <c r="I154" s="308"/>
      <c r="J154" s="309" t="s">
        <v>201</v>
      </c>
      <c r="K154" s="310"/>
      <c r="L154" s="310"/>
      <c r="M154" s="310"/>
      <c r="N154" s="310"/>
      <c r="O154" s="310"/>
      <c r="P154" s="310"/>
      <c r="Q154" s="311" t="s">
        <v>81</v>
      </c>
      <c r="R154" s="312"/>
      <c r="S154" s="313"/>
      <c r="T154" s="314"/>
      <c r="U154" s="315"/>
      <c r="V154" s="314"/>
      <c r="W154" s="316"/>
      <c r="X154" s="317"/>
      <c r="Y154" s="318"/>
      <c r="Z154" s="319"/>
      <c r="AA154" s="300"/>
      <c r="AB154" s="301"/>
      <c r="AC154" s="302"/>
      <c r="AD154" s="303"/>
      <c r="AE154" s="304"/>
      <c r="AF154" s="305"/>
      <c r="AG154" s="305">
        <f t="shared" si="7"/>
        <v>0</v>
      </c>
      <c r="AH154" s="305">
        <f t="shared" si="8"/>
        <v>0</v>
      </c>
      <c r="AI154" s="305">
        <f t="shared" si="9"/>
        <v>0</v>
      </c>
      <c r="AJ154" s="305">
        <f t="shared" si="10"/>
        <v>0</v>
      </c>
      <c r="AK154" s="305" t="str">
        <f t="shared" si="11"/>
        <v/>
      </c>
      <c r="AL154" s="306">
        <f t="shared" ca="1" si="12"/>
        <v>1</v>
      </c>
      <c r="AM154" s="306">
        <f t="shared" ca="1" si="13"/>
        <v>22</v>
      </c>
      <c r="AN154" s="306">
        <f t="shared" ca="1" si="14"/>
        <v>0</v>
      </c>
      <c r="AO154" s="306">
        <f t="shared" ca="1" si="15"/>
        <v>0</v>
      </c>
      <c r="AP154" s="306">
        <f t="shared" ca="1" si="16"/>
        <v>0</v>
      </c>
      <c r="AQ154" s="306">
        <f t="shared" ca="1" si="17"/>
        <v>0</v>
      </c>
      <c r="AR154" s="306">
        <f t="shared" ca="1" si="18"/>
        <v>0</v>
      </c>
      <c r="AS154" s="307"/>
      <c r="AT154" s="306">
        <f t="shared" si="19"/>
        <v>1</v>
      </c>
    </row>
    <row r="155" spans="1:46" ht="15.75" customHeight="1">
      <c r="A155" s="284"/>
      <c r="B155" s="285">
        <f t="shared" ca="1" si="0"/>
        <v>1</v>
      </c>
      <c r="C155" s="286">
        <f t="shared" ca="1" si="1"/>
        <v>22</v>
      </c>
      <c r="D155" s="286">
        <f t="shared" ca="1" si="2"/>
        <v>1</v>
      </c>
      <c r="E155" s="286" t="str">
        <f t="shared" ca="1" si="3"/>
        <v/>
      </c>
      <c r="F155" s="286" t="str">
        <f t="shared" ca="1" si="4"/>
        <v/>
      </c>
      <c r="G155" s="287" t="str">
        <f t="shared" ca="1" si="5"/>
        <v/>
      </c>
      <c r="H155" s="288" t="str">
        <f t="shared" ca="1" si="6"/>
        <v/>
      </c>
      <c r="I155" s="308"/>
      <c r="J155" s="320"/>
      <c r="K155" s="320" t="s">
        <v>59</v>
      </c>
      <c r="L155" s="320"/>
      <c r="M155" s="320"/>
      <c r="N155" s="320"/>
      <c r="O155" s="320"/>
      <c r="P155" s="320"/>
      <c r="Q155" s="321"/>
      <c r="R155" s="332" t="s">
        <v>187</v>
      </c>
      <c r="S155" s="331">
        <v>45812</v>
      </c>
      <c r="T155" s="325">
        <v>45817</v>
      </c>
      <c r="U155" s="330">
        <v>45814</v>
      </c>
      <c r="V155" s="325">
        <v>45818</v>
      </c>
      <c r="W155" s="326">
        <v>1</v>
      </c>
      <c r="X155" s="326">
        <v>1</v>
      </c>
      <c r="Y155" s="328"/>
      <c r="Z155" s="329"/>
      <c r="AA155" s="300"/>
      <c r="AB155" s="301"/>
      <c r="AC155" s="302"/>
      <c r="AD155" s="303"/>
      <c r="AE155" s="304"/>
      <c r="AF155" s="305"/>
      <c r="AG155" s="305">
        <f t="shared" ca="1" si="7"/>
        <v>0</v>
      </c>
      <c r="AH155" s="305">
        <f t="shared" ca="1" si="8"/>
        <v>0</v>
      </c>
      <c r="AI155" s="305">
        <f t="shared" si="9"/>
        <v>0</v>
      </c>
      <c r="AJ155" s="305">
        <f t="shared" ca="1" si="10"/>
        <v>0</v>
      </c>
      <c r="AK155" s="305" t="str">
        <f t="shared" ca="1" si="11"/>
        <v/>
      </c>
      <c r="AL155" s="306">
        <f t="shared" ca="1" si="12"/>
        <v>1</v>
      </c>
      <c r="AM155" s="306">
        <f t="shared" ca="1" si="13"/>
        <v>22</v>
      </c>
      <c r="AN155" s="306">
        <f t="shared" ca="1" si="14"/>
        <v>1</v>
      </c>
      <c r="AO155" s="306">
        <f t="shared" ca="1" si="15"/>
        <v>0</v>
      </c>
      <c r="AP155" s="306">
        <f t="shared" ca="1" si="16"/>
        <v>0</v>
      </c>
      <c r="AQ155" s="306">
        <f t="shared" ca="1" si="17"/>
        <v>0</v>
      </c>
      <c r="AR155" s="306">
        <f t="shared" ca="1" si="18"/>
        <v>0</v>
      </c>
      <c r="AS155" s="307"/>
      <c r="AT155" s="306">
        <f t="shared" si="19"/>
        <v>6</v>
      </c>
    </row>
    <row r="156" spans="1:46" ht="15.75" customHeight="1">
      <c r="A156" s="284"/>
      <c r="B156" s="285">
        <f t="shared" ca="1" si="0"/>
        <v>1</v>
      </c>
      <c r="C156" s="286">
        <f t="shared" ca="1" si="1"/>
        <v>22</v>
      </c>
      <c r="D156" s="286">
        <f t="shared" ca="1" si="2"/>
        <v>2</v>
      </c>
      <c r="E156" s="286" t="str">
        <f t="shared" ca="1" si="3"/>
        <v/>
      </c>
      <c r="F156" s="286" t="str">
        <f t="shared" ca="1" si="4"/>
        <v/>
      </c>
      <c r="G156" s="287" t="str">
        <f t="shared" ca="1" si="5"/>
        <v/>
      </c>
      <c r="H156" s="288" t="str">
        <f t="shared" ca="1" si="6"/>
        <v/>
      </c>
      <c r="I156" s="308"/>
      <c r="J156" s="320"/>
      <c r="K156" s="320" t="s">
        <v>64</v>
      </c>
      <c r="L156" s="320"/>
      <c r="M156" s="320"/>
      <c r="N156" s="320"/>
      <c r="O156" s="320"/>
      <c r="P156" s="320"/>
      <c r="Q156" s="321"/>
      <c r="R156" s="322" t="s">
        <v>185</v>
      </c>
      <c r="S156" s="331">
        <v>45818</v>
      </c>
      <c r="T156" s="325">
        <v>45818</v>
      </c>
      <c r="U156" s="330">
        <v>45818</v>
      </c>
      <c r="V156" s="325">
        <v>45818</v>
      </c>
      <c r="W156" s="326">
        <v>1</v>
      </c>
      <c r="X156" s="327">
        <v>1</v>
      </c>
      <c r="Y156" s="328"/>
      <c r="Z156" s="329"/>
      <c r="AA156" s="300"/>
      <c r="AB156" s="301"/>
      <c r="AC156" s="302"/>
      <c r="AD156" s="303"/>
      <c r="AE156" s="304"/>
      <c r="AF156" s="305"/>
      <c r="AG156" s="305">
        <f t="shared" ca="1" si="7"/>
        <v>0</v>
      </c>
      <c r="AH156" s="305">
        <f t="shared" ca="1" si="8"/>
        <v>0</v>
      </c>
      <c r="AI156" s="305">
        <f t="shared" si="9"/>
        <v>0</v>
      </c>
      <c r="AJ156" s="305">
        <f t="shared" ca="1" si="10"/>
        <v>0</v>
      </c>
      <c r="AK156" s="305" t="str">
        <f t="shared" ca="1" si="11"/>
        <v/>
      </c>
      <c r="AL156" s="306">
        <f t="shared" ca="1" si="12"/>
        <v>1</v>
      </c>
      <c r="AM156" s="306">
        <f t="shared" ca="1" si="13"/>
        <v>22</v>
      </c>
      <c r="AN156" s="306">
        <f t="shared" ca="1" si="14"/>
        <v>2</v>
      </c>
      <c r="AO156" s="306">
        <f t="shared" ca="1" si="15"/>
        <v>0</v>
      </c>
      <c r="AP156" s="306">
        <f t="shared" ca="1" si="16"/>
        <v>0</v>
      </c>
      <c r="AQ156" s="306">
        <f t="shared" ca="1" si="17"/>
        <v>0</v>
      </c>
      <c r="AR156" s="306">
        <f t="shared" ca="1" si="18"/>
        <v>0</v>
      </c>
      <c r="AS156" s="307"/>
      <c r="AT156" s="306">
        <f t="shared" si="19"/>
        <v>1</v>
      </c>
    </row>
    <row r="157" spans="1:46" ht="15.75" customHeight="1">
      <c r="A157" s="284"/>
      <c r="B157" s="285">
        <f t="shared" ca="1" si="0"/>
        <v>1</v>
      </c>
      <c r="C157" s="286">
        <f t="shared" ca="1" si="1"/>
        <v>22</v>
      </c>
      <c r="D157" s="286">
        <f t="shared" ca="1" si="2"/>
        <v>3</v>
      </c>
      <c r="E157" s="286" t="str">
        <f t="shared" ca="1" si="3"/>
        <v/>
      </c>
      <c r="F157" s="286" t="str">
        <f t="shared" ca="1" si="4"/>
        <v/>
      </c>
      <c r="G157" s="287" t="str">
        <f t="shared" ca="1" si="5"/>
        <v/>
      </c>
      <c r="H157" s="288" t="str">
        <f t="shared" ca="1" si="6"/>
        <v/>
      </c>
      <c r="I157" s="308"/>
      <c r="J157" s="320"/>
      <c r="K157" s="320" t="s">
        <v>63</v>
      </c>
      <c r="L157" s="320"/>
      <c r="M157" s="320"/>
      <c r="N157" s="320"/>
      <c r="O157" s="320"/>
      <c r="P157" s="320"/>
      <c r="Q157" s="321"/>
      <c r="R157" s="322" t="s">
        <v>187</v>
      </c>
      <c r="S157" s="331">
        <v>45827</v>
      </c>
      <c r="T157" s="331">
        <v>45827</v>
      </c>
      <c r="U157" s="330"/>
      <c r="V157" s="325"/>
      <c r="W157" s="326">
        <v>0</v>
      </c>
      <c r="X157" s="327"/>
      <c r="Y157" s="328"/>
      <c r="Z157" s="329"/>
      <c r="AA157" s="300"/>
      <c r="AB157" s="301"/>
      <c r="AC157" s="302"/>
      <c r="AD157" s="303"/>
      <c r="AE157" s="304"/>
      <c r="AF157" s="305"/>
      <c r="AG157" s="305">
        <f t="shared" ca="1" si="7"/>
        <v>0</v>
      </c>
      <c r="AH157" s="305">
        <f t="shared" ca="1" si="8"/>
        <v>0</v>
      </c>
      <c r="AI157" s="305">
        <f t="shared" si="9"/>
        <v>0</v>
      </c>
      <c r="AJ157" s="305">
        <f t="shared" ca="1" si="10"/>
        <v>0</v>
      </c>
      <c r="AK157" s="305" t="str">
        <f t="shared" ca="1" si="11"/>
        <v/>
      </c>
      <c r="AL157" s="306">
        <f t="shared" ca="1" si="12"/>
        <v>1</v>
      </c>
      <c r="AM157" s="306">
        <f t="shared" ca="1" si="13"/>
        <v>22</v>
      </c>
      <c r="AN157" s="306">
        <f t="shared" ca="1" si="14"/>
        <v>3</v>
      </c>
      <c r="AO157" s="306">
        <f t="shared" ca="1" si="15"/>
        <v>0</v>
      </c>
      <c r="AP157" s="306">
        <f t="shared" ca="1" si="16"/>
        <v>0</v>
      </c>
      <c r="AQ157" s="306">
        <f t="shared" ca="1" si="17"/>
        <v>0</v>
      </c>
      <c r="AR157" s="306">
        <f t="shared" ca="1" si="18"/>
        <v>0</v>
      </c>
      <c r="AS157" s="307"/>
      <c r="AT157" s="306">
        <f t="shared" si="19"/>
        <v>1</v>
      </c>
    </row>
    <row r="158" spans="1:46" ht="15.75" customHeight="1">
      <c r="A158" s="284"/>
      <c r="B158" s="285">
        <f t="shared" ca="1" si="0"/>
        <v>1</v>
      </c>
      <c r="C158" s="286">
        <f t="shared" ca="1" si="1"/>
        <v>22</v>
      </c>
      <c r="D158" s="286">
        <f t="shared" ca="1" si="2"/>
        <v>4</v>
      </c>
      <c r="E158" s="286" t="str">
        <f t="shared" ca="1" si="3"/>
        <v/>
      </c>
      <c r="F158" s="286" t="str">
        <f t="shared" ca="1" si="4"/>
        <v/>
      </c>
      <c r="G158" s="287" t="str">
        <f t="shared" ca="1" si="5"/>
        <v/>
      </c>
      <c r="H158" s="288" t="str">
        <f t="shared" ca="1" si="6"/>
        <v/>
      </c>
      <c r="I158" s="308"/>
      <c r="J158" s="320"/>
      <c r="K158" s="320" t="s">
        <v>63</v>
      </c>
      <c r="L158" s="320"/>
      <c r="M158" s="320"/>
      <c r="N158" s="320"/>
      <c r="O158" s="320"/>
      <c r="P158" s="320"/>
      <c r="Q158" s="321"/>
      <c r="R158" s="322" t="s">
        <v>185</v>
      </c>
      <c r="S158" s="331">
        <v>45827</v>
      </c>
      <c r="T158" s="331">
        <v>45827</v>
      </c>
      <c r="U158" s="330"/>
      <c r="V158" s="325"/>
      <c r="W158" s="326">
        <v>0</v>
      </c>
      <c r="X158" s="327"/>
      <c r="Y158" s="328"/>
      <c r="Z158" s="329"/>
      <c r="AA158" s="300"/>
      <c r="AB158" s="301"/>
      <c r="AC158" s="302"/>
      <c r="AD158" s="303"/>
      <c r="AE158" s="304"/>
      <c r="AF158" s="305"/>
      <c r="AG158" s="305">
        <f t="shared" ca="1" si="7"/>
        <v>0</v>
      </c>
      <c r="AH158" s="305">
        <f t="shared" ca="1" si="8"/>
        <v>0</v>
      </c>
      <c r="AI158" s="305">
        <f t="shared" si="9"/>
        <v>0</v>
      </c>
      <c r="AJ158" s="305">
        <f t="shared" ca="1" si="10"/>
        <v>0</v>
      </c>
      <c r="AK158" s="305" t="str">
        <f t="shared" ca="1" si="11"/>
        <v/>
      </c>
      <c r="AL158" s="306">
        <f t="shared" ca="1" si="12"/>
        <v>1</v>
      </c>
      <c r="AM158" s="306">
        <f t="shared" ca="1" si="13"/>
        <v>22</v>
      </c>
      <c r="AN158" s="306">
        <f t="shared" ca="1" si="14"/>
        <v>4</v>
      </c>
      <c r="AO158" s="306">
        <f t="shared" ca="1" si="15"/>
        <v>0</v>
      </c>
      <c r="AP158" s="306">
        <f t="shared" ca="1" si="16"/>
        <v>0</v>
      </c>
      <c r="AQ158" s="306">
        <f t="shared" ca="1" si="17"/>
        <v>0</v>
      </c>
      <c r="AR158" s="306">
        <f t="shared" ca="1" si="18"/>
        <v>0</v>
      </c>
      <c r="AS158" s="307"/>
      <c r="AT158" s="306">
        <f t="shared" si="19"/>
        <v>1</v>
      </c>
    </row>
    <row r="159" spans="1:46" ht="15.75" customHeight="1">
      <c r="A159" s="284"/>
      <c r="B159" s="285">
        <f t="shared" ca="1" si="0"/>
        <v>1</v>
      </c>
      <c r="C159" s="286">
        <f t="shared" ca="1" si="1"/>
        <v>22</v>
      </c>
      <c r="D159" s="286">
        <f t="shared" ca="1" si="2"/>
        <v>5</v>
      </c>
      <c r="E159" s="286" t="str">
        <f t="shared" ca="1" si="3"/>
        <v/>
      </c>
      <c r="F159" s="286" t="str">
        <f t="shared" ca="1" si="4"/>
        <v/>
      </c>
      <c r="G159" s="287" t="str">
        <f t="shared" ca="1" si="5"/>
        <v/>
      </c>
      <c r="H159" s="288" t="str">
        <f t="shared" ca="1" si="6"/>
        <v/>
      </c>
      <c r="I159" s="308"/>
      <c r="J159" s="320"/>
      <c r="K159" s="320" t="s">
        <v>65</v>
      </c>
      <c r="L159" s="320"/>
      <c r="M159" s="320"/>
      <c r="N159" s="320"/>
      <c r="O159" s="320"/>
      <c r="P159" s="320"/>
      <c r="Q159" s="321"/>
      <c r="R159" s="332" t="s">
        <v>187</v>
      </c>
      <c r="S159" s="331">
        <v>45828</v>
      </c>
      <c r="T159" s="331">
        <v>45828</v>
      </c>
      <c r="U159" s="330"/>
      <c r="V159" s="325"/>
      <c r="W159" s="326"/>
      <c r="X159" s="327"/>
      <c r="Y159" s="328"/>
      <c r="Z159" s="329"/>
      <c r="AA159" s="300"/>
      <c r="AB159" s="301"/>
      <c r="AC159" s="302"/>
      <c r="AD159" s="303"/>
      <c r="AE159" s="304"/>
      <c r="AF159" s="305"/>
      <c r="AG159" s="305">
        <f t="shared" ca="1" si="7"/>
        <v>0</v>
      </c>
      <c r="AH159" s="305">
        <f t="shared" ca="1" si="8"/>
        <v>0</v>
      </c>
      <c r="AI159" s="305">
        <f t="shared" si="9"/>
        <v>0</v>
      </c>
      <c r="AJ159" s="305">
        <f t="shared" ca="1" si="10"/>
        <v>0</v>
      </c>
      <c r="AK159" s="305" t="str">
        <f t="shared" ca="1" si="11"/>
        <v/>
      </c>
      <c r="AL159" s="306">
        <f t="shared" ca="1" si="12"/>
        <v>1</v>
      </c>
      <c r="AM159" s="306">
        <f t="shared" ca="1" si="13"/>
        <v>22</v>
      </c>
      <c r="AN159" s="306">
        <f t="shared" ca="1" si="14"/>
        <v>5</v>
      </c>
      <c r="AO159" s="306">
        <f t="shared" ca="1" si="15"/>
        <v>0</v>
      </c>
      <c r="AP159" s="306">
        <f t="shared" ca="1" si="16"/>
        <v>0</v>
      </c>
      <c r="AQ159" s="306">
        <f t="shared" ca="1" si="17"/>
        <v>0</v>
      </c>
      <c r="AR159" s="306">
        <f t="shared" ca="1" si="18"/>
        <v>0</v>
      </c>
      <c r="AS159" s="307"/>
      <c r="AT159" s="306">
        <f t="shared" si="19"/>
        <v>1</v>
      </c>
    </row>
    <row r="160" spans="1:46" ht="15.75" customHeight="1">
      <c r="A160" s="284"/>
      <c r="B160" s="285">
        <f t="shared" ca="1" si="0"/>
        <v>1</v>
      </c>
      <c r="C160" s="286">
        <f t="shared" ca="1" si="1"/>
        <v>22</v>
      </c>
      <c r="D160" s="286">
        <f t="shared" ca="1" si="2"/>
        <v>6</v>
      </c>
      <c r="E160" s="286" t="str">
        <f t="shared" ca="1" si="3"/>
        <v/>
      </c>
      <c r="F160" s="286" t="str">
        <f t="shared" ca="1" si="4"/>
        <v/>
      </c>
      <c r="G160" s="287" t="str">
        <f t="shared" ca="1" si="5"/>
        <v/>
      </c>
      <c r="H160" s="288" t="str">
        <f t="shared" ca="1" si="6"/>
        <v/>
      </c>
      <c r="I160" s="308"/>
      <c r="J160" s="320"/>
      <c r="K160" s="320" t="s">
        <v>145</v>
      </c>
      <c r="L160" s="320"/>
      <c r="M160" s="320"/>
      <c r="N160" s="320"/>
      <c r="O160" s="320"/>
      <c r="P160" s="320"/>
      <c r="Q160" s="321"/>
      <c r="R160" s="322" t="s">
        <v>185</v>
      </c>
      <c r="S160" s="331">
        <v>45831</v>
      </c>
      <c r="T160" s="325">
        <v>45831</v>
      </c>
      <c r="U160" s="330"/>
      <c r="V160" s="325"/>
      <c r="W160" s="326">
        <v>0</v>
      </c>
      <c r="X160" s="327"/>
      <c r="Y160" s="328"/>
      <c r="Z160" s="329"/>
      <c r="AA160" s="300"/>
      <c r="AB160" s="301"/>
      <c r="AC160" s="302"/>
      <c r="AD160" s="303"/>
      <c r="AE160" s="304"/>
      <c r="AF160" s="305"/>
      <c r="AG160" s="305">
        <f t="shared" ca="1" si="7"/>
        <v>0</v>
      </c>
      <c r="AH160" s="305">
        <f t="shared" ca="1" si="8"/>
        <v>0</v>
      </c>
      <c r="AI160" s="305">
        <f t="shared" si="9"/>
        <v>0</v>
      </c>
      <c r="AJ160" s="305">
        <f t="shared" ca="1" si="10"/>
        <v>0</v>
      </c>
      <c r="AK160" s="305" t="str">
        <f t="shared" ca="1" si="11"/>
        <v/>
      </c>
      <c r="AL160" s="306">
        <f t="shared" ca="1" si="12"/>
        <v>1</v>
      </c>
      <c r="AM160" s="306">
        <f t="shared" ca="1" si="13"/>
        <v>22</v>
      </c>
      <c r="AN160" s="306">
        <f t="shared" ca="1" si="14"/>
        <v>6</v>
      </c>
      <c r="AO160" s="306">
        <f t="shared" ca="1" si="15"/>
        <v>0</v>
      </c>
      <c r="AP160" s="306">
        <f t="shared" ca="1" si="16"/>
        <v>0</v>
      </c>
      <c r="AQ160" s="306">
        <f t="shared" ca="1" si="17"/>
        <v>0</v>
      </c>
      <c r="AR160" s="306">
        <f t="shared" ca="1" si="18"/>
        <v>0</v>
      </c>
      <c r="AS160" s="307"/>
      <c r="AT160" s="306">
        <f t="shared" si="19"/>
        <v>1</v>
      </c>
    </row>
    <row r="161" spans="1:46" ht="15.75" customHeight="1">
      <c r="A161" s="284"/>
      <c r="B161" s="285">
        <f t="shared" ca="1" si="0"/>
        <v>1</v>
      </c>
      <c r="C161" s="286">
        <f t="shared" ca="1" si="1"/>
        <v>23</v>
      </c>
      <c r="D161" s="286" t="str">
        <f t="shared" ca="1" si="2"/>
        <v/>
      </c>
      <c r="E161" s="286" t="str">
        <f t="shared" ca="1" si="3"/>
        <v/>
      </c>
      <c r="F161" s="286" t="str">
        <f t="shared" ca="1" si="4"/>
        <v/>
      </c>
      <c r="G161" s="287" t="str">
        <f t="shared" ca="1" si="5"/>
        <v/>
      </c>
      <c r="H161" s="288" t="str">
        <f t="shared" ca="1" si="6"/>
        <v/>
      </c>
      <c r="I161" s="308"/>
      <c r="J161" s="309" t="s">
        <v>202</v>
      </c>
      <c r="K161" s="310"/>
      <c r="L161" s="310"/>
      <c r="M161" s="310"/>
      <c r="N161" s="310"/>
      <c r="O161" s="310"/>
      <c r="P161" s="310"/>
      <c r="Q161" s="311" t="s">
        <v>81</v>
      </c>
      <c r="R161" s="312"/>
      <c r="S161" s="313"/>
      <c r="T161" s="314"/>
      <c r="U161" s="315"/>
      <c r="V161" s="314"/>
      <c r="W161" s="316"/>
      <c r="X161" s="317"/>
      <c r="Y161" s="318"/>
      <c r="Z161" s="319"/>
      <c r="AA161" s="300"/>
      <c r="AB161" s="301"/>
      <c r="AC161" s="302"/>
      <c r="AD161" s="303"/>
      <c r="AE161" s="304"/>
      <c r="AF161" s="305"/>
      <c r="AG161" s="305">
        <f t="shared" si="7"/>
        <v>0</v>
      </c>
      <c r="AH161" s="305">
        <f t="shared" si="8"/>
        <v>0</v>
      </c>
      <c r="AI161" s="305">
        <f t="shared" si="9"/>
        <v>0</v>
      </c>
      <c r="AJ161" s="305">
        <f t="shared" si="10"/>
        <v>0</v>
      </c>
      <c r="AK161" s="305" t="str">
        <f t="shared" si="11"/>
        <v/>
      </c>
      <c r="AL161" s="306">
        <f t="shared" ca="1" si="12"/>
        <v>1</v>
      </c>
      <c r="AM161" s="306">
        <f t="shared" ca="1" si="13"/>
        <v>23</v>
      </c>
      <c r="AN161" s="306">
        <f t="shared" ca="1" si="14"/>
        <v>0</v>
      </c>
      <c r="AO161" s="306">
        <f t="shared" ca="1" si="15"/>
        <v>0</v>
      </c>
      <c r="AP161" s="306">
        <f t="shared" ca="1" si="16"/>
        <v>0</v>
      </c>
      <c r="AQ161" s="306">
        <f t="shared" ca="1" si="17"/>
        <v>0</v>
      </c>
      <c r="AR161" s="306">
        <f t="shared" ca="1" si="18"/>
        <v>0</v>
      </c>
      <c r="AS161" s="307"/>
      <c r="AT161" s="306">
        <f t="shared" si="19"/>
        <v>1</v>
      </c>
    </row>
    <row r="162" spans="1:46" ht="15.75" customHeight="1">
      <c r="A162" s="284"/>
      <c r="B162" s="285">
        <f t="shared" ca="1" si="0"/>
        <v>1</v>
      </c>
      <c r="C162" s="286">
        <f t="shared" ca="1" si="1"/>
        <v>23</v>
      </c>
      <c r="D162" s="286">
        <f t="shared" ca="1" si="2"/>
        <v>1</v>
      </c>
      <c r="E162" s="286" t="str">
        <f t="shared" ca="1" si="3"/>
        <v/>
      </c>
      <c r="F162" s="286" t="str">
        <f t="shared" ca="1" si="4"/>
        <v/>
      </c>
      <c r="G162" s="287" t="str">
        <f t="shared" ca="1" si="5"/>
        <v/>
      </c>
      <c r="H162" s="288" t="str">
        <f t="shared" ca="1" si="6"/>
        <v/>
      </c>
      <c r="I162" s="308"/>
      <c r="J162" s="320"/>
      <c r="K162" s="320" t="s">
        <v>59</v>
      </c>
      <c r="L162" s="320"/>
      <c r="M162" s="320"/>
      <c r="N162" s="320"/>
      <c r="O162" s="320"/>
      <c r="P162" s="320"/>
      <c r="Q162" s="321"/>
      <c r="R162" s="322" t="s">
        <v>175</v>
      </c>
      <c r="S162" s="331">
        <v>45874</v>
      </c>
      <c r="T162" s="325">
        <v>45877</v>
      </c>
      <c r="U162" s="330"/>
      <c r="V162" s="325"/>
      <c r="W162" s="326">
        <v>0</v>
      </c>
      <c r="X162" s="327"/>
      <c r="Y162" s="328"/>
      <c r="Z162" s="329"/>
      <c r="AA162" s="300"/>
      <c r="AB162" s="301"/>
      <c r="AC162" s="302"/>
      <c r="AD162" s="303"/>
      <c r="AE162" s="304"/>
      <c r="AF162" s="305"/>
      <c r="AG162" s="305">
        <f t="shared" ca="1" si="7"/>
        <v>0</v>
      </c>
      <c r="AH162" s="305">
        <f t="shared" ca="1" si="8"/>
        <v>0</v>
      </c>
      <c r="AI162" s="305">
        <f t="shared" si="9"/>
        <v>0</v>
      </c>
      <c r="AJ162" s="305">
        <f t="shared" ca="1" si="10"/>
        <v>0</v>
      </c>
      <c r="AK162" s="305" t="str">
        <f t="shared" ca="1" si="11"/>
        <v/>
      </c>
      <c r="AL162" s="306">
        <f t="shared" ca="1" si="12"/>
        <v>1</v>
      </c>
      <c r="AM162" s="306">
        <f t="shared" ca="1" si="13"/>
        <v>23</v>
      </c>
      <c r="AN162" s="306">
        <f t="shared" ca="1" si="14"/>
        <v>1</v>
      </c>
      <c r="AO162" s="306">
        <f t="shared" ca="1" si="15"/>
        <v>0</v>
      </c>
      <c r="AP162" s="306">
        <f t="shared" ca="1" si="16"/>
        <v>0</v>
      </c>
      <c r="AQ162" s="306">
        <f t="shared" ca="1" si="17"/>
        <v>0</v>
      </c>
      <c r="AR162" s="306">
        <f t="shared" ca="1" si="18"/>
        <v>0</v>
      </c>
      <c r="AS162" s="307"/>
      <c r="AT162" s="306">
        <f t="shared" si="19"/>
        <v>4</v>
      </c>
    </row>
    <row r="163" spans="1:46" ht="15.75" customHeight="1">
      <c r="A163" s="284"/>
      <c r="B163" s="285">
        <f t="shared" ca="1" si="0"/>
        <v>1</v>
      </c>
      <c r="C163" s="286">
        <f t="shared" ca="1" si="1"/>
        <v>23</v>
      </c>
      <c r="D163" s="286">
        <f t="shared" ca="1" si="2"/>
        <v>2</v>
      </c>
      <c r="E163" s="286" t="str">
        <f t="shared" ca="1" si="3"/>
        <v/>
      </c>
      <c r="F163" s="286" t="str">
        <f t="shared" ca="1" si="4"/>
        <v/>
      </c>
      <c r="G163" s="287" t="str">
        <f t="shared" ca="1" si="5"/>
        <v/>
      </c>
      <c r="H163" s="288" t="str">
        <f t="shared" ca="1" si="6"/>
        <v/>
      </c>
      <c r="I163" s="308"/>
      <c r="J163" s="320"/>
      <c r="K163" s="320" t="s">
        <v>145</v>
      </c>
      <c r="L163" s="320"/>
      <c r="M163" s="320"/>
      <c r="N163" s="320"/>
      <c r="O163" s="320"/>
      <c r="P163" s="320"/>
      <c r="Q163" s="321"/>
      <c r="R163" s="322" t="s">
        <v>176</v>
      </c>
      <c r="S163" s="331">
        <v>45881</v>
      </c>
      <c r="T163" s="325">
        <v>45881</v>
      </c>
      <c r="U163" s="330"/>
      <c r="V163" s="325"/>
      <c r="W163" s="326">
        <v>0</v>
      </c>
      <c r="X163" s="327"/>
      <c r="Y163" s="328"/>
      <c r="Z163" s="329"/>
      <c r="AA163" s="300"/>
      <c r="AB163" s="301"/>
      <c r="AC163" s="302"/>
      <c r="AD163" s="303"/>
      <c r="AE163" s="304"/>
      <c r="AF163" s="305"/>
      <c r="AG163" s="305">
        <f t="shared" ca="1" si="7"/>
        <v>0</v>
      </c>
      <c r="AH163" s="305">
        <f t="shared" ca="1" si="8"/>
        <v>0</v>
      </c>
      <c r="AI163" s="305">
        <f t="shared" si="9"/>
        <v>0</v>
      </c>
      <c r="AJ163" s="305">
        <f t="shared" ca="1" si="10"/>
        <v>0</v>
      </c>
      <c r="AK163" s="305" t="str">
        <f t="shared" ca="1" si="11"/>
        <v/>
      </c>
      <c r="AL163" s="306">
        <f t="shared" ca="1" si="12"/>
        <v>1</v>
      </c>
      <c r="AM163" s="306">
        <f t="shared" ca="1" si="13"/>
        <v>23</v>
      </c>
      <c r="AN163" s="306">
        <f t="shared" ca="1" si="14"/>
        <v>2</v>
      </c>
      <c r="AO163" s="306">
        <f t="shared" ca="1" si="15"/>
        <v>0</v>
      </c>
      <c r="AP163" s="306">
        <f t="shared" ca="1" si="16"/>
        <v>0</v>
      </c>
      <c r="AQ163" s="306">
        <f t="shared" ca="1" si="17"/>
        <v>0</v>
      </c>
      <c r="AR163" s="306">
        <f t="shared" ca="1" si="18"/>
        <v>0</v>
      </c>
      <c r="AS163" s="307"/>
      <c r="AT163" s="306">
        <f t="shared" si="19"/>
        <v>1</v>
      </c>
    </row>
    <row r="164" spans="1:46" ht="15.75" customHeight="1">
      <c r="A164" s="284"/>
      <c r="B164" s="285">
        <f t="shared" ca="1" si="0"/>
        <v>1</v>
      </c>
      <c r="C164" s="286">
        <f t="shared" ca="1" si="1"/>
        <v>23</v>
      </c>
      <c r="D164" s="286">
        <f t="shared" ca="1" si="2"/>
        <v>3</v>
      </c>
      <c r="E164" s="286" t="str">
        <f t="shared" ca="1" si="3"/>
        <v/>
      </c>
      <c r="F164" s="286" t="str">
        <f t="shared" ca="1" si="4"/>
        <v/>
      </c>
      <c r="G164" s="287" t="str">
        <f t="shared" ca="1" si="5"/>
        <v/>
      </c>
      <c r="H164" s="288" t="str">
        <f t="shared" ca="1" si="6"/>
        <v/>
      </c>
      <c r="I164" s="308"/>
      <c r="J164" s="320"/>
      <c r="K164" s="320" t="s">
        <v>63</v>
      </c>
      <c r="L164" s="320"/>
      <c r="M164" s="320"/>
      <c r="N164" s="320"/>
      <c r="O164" s="320"/>
      <c r="P164" s="320"/>
      <c r="Q164" s="321"/>
      <c r="R164" s="322" t="s">
        <v>175</v>
      </c>
      <c r="S164" s="331">
        <v>45882</v>
      </c>
      <c r="T164" s="325">
        <v>45882</v>
      </c>
      <c r="U164" s="330"/>
      <c r="V164" s="325"/>
      <c r="W164" s="326">
        <v>0</v>
      </c>
      <c r="X164" s="327"/>
      <c r="Y164" s="328"/>
      <c r="Z164" s="329"/>
      <c r="AA164" s="300"/>
      <c r="AB164" s="301"/>
      <c r="AC164" s="302"/>
      <c r="AD164" s="303"/>
      <c r="AE164" s="304"/>
      <c r="AF164" s="305"/>
      <c r="AG164" s="305">
        <f t="shared" ca="1" si="7"/>
        <v>0</v>
      </c>
      <c r="AH164" s="305">
        <f t="shared" ca="1" si="8"/>
        <v>0</v>
      </c>
      <c r="AI164" s="305">
        <f t="shared" si="9"/>
        <v>0</v>
      </c>
      <c r="AJ164" s="305">
        <f t="shared" ca="1" si="10"/>
        <v>0</v>
      </c>
      <c r="AK164" s="305" t="str">
        <f t="shared" ca="1" si="11"/>
        <v/>
      </c>
      <c r="AL164" s="306">
        <f t="shared" ca="1" si="12"/>
        <v>1</v>
      </c>
      <c r="AM164" s="306">
        <f t="shared" ca="1" si="13"/>
        <v>23</v>
      </c>
      <c r="AN164" s="306">
        <f t="shared" ca="1" si="14"/>
        <v>3</v>
      </c>
      <c r="AO164" s="306">
        <f t="shared" ca="1" si="15"/>
        <v>0</v>
      </c>
      <c r="AP164" s="306">
        <f t="shared" ca="1" si="16"/>
        <v>0</v>
      </c>
      <c r="AQ164" s="306">
        <f t="shared" ca="1" si="17"/>
        <v>0</v>
      </c>
      <c r="AR164" s="306">
        <f t="shared" ca="1" si="18"/>
        <v>0</v>
      </c>
      <c r="AS164" s="307"/>
      <c r="AT164" s="306">
        <f t="shared" si="19"/>
        <v>1</v>
      </c>
    </row>
    <row r="165" spans="1:46" ht="15.75" customHeight="1">
      <c r="A165" s="284"/>
      <c r="B165" s="285">
        <f t="shared" ca="1" si="0"/>
        <v>1</v>
      </c>
      <c r="C165" s="286">
        <f t="shared" ca="1" si="1"/>
        <v>23</v>
      </c>
      <c r="D165" s="286">
        <f t="shared" ca="1" si="2"/>
        <v>4</v>
      </c>
      <c r="E165" s="286" t="str">
        <f t="shared" ca="1" si="3"/>
        <v/>
      </c>
      <c r="F165" s="286" t="str">
        <f t="shared" ca="1" si="4"/>
        <v/>
      </c>
      <c r="G165" s="287" t="str">
        <f t="shared" ca="1" si="5"/>
        <v/>
      </c>
      <c r="H165" s="288" t="str">
        <f t="shared" ca="1" si="6"/>
        <v/>
      </c>
      <c r="I165" s="308"/>
      <c r="J165" s="320"/>
      <c r="K165" s="320" t="s">
        <v>64</v>
      </c>
      <c r="L165" s="320"/>
      <c r="M165" s="320"/>
      <c r="N165" s="320"/>
      <c r="O165" s="320"/>
      <c r="P165" s="320"/>
      <c r="Q165" s="321"/>
      <c r="R165" s="322" t="s">
        <v>176</v>
      </c>
      <c r="S165" s="331">
        <v>45882</v>
      </c>
      <c r="T165" s="325">
        <v>45882</v>
      </c>
      <c r="U165" s="330"/>
      <c r="V165" s="325"/>
      <c r="W165" s="326">
        <v>0</v>
      </c>
      <c r="X165" s="327"/>
      <c r="Y165" s="328"/>
      <c r="Z165" s="329"/>
      <c r="AA165" s="300"/>
      <c r="AB165" s="301"/>
      <c r="AC165" s="302"/>
      <c r="AD165" s="303"/>
      <c r="AE165" s="304"/>
      <c r="AF165" s="305"/>
      <c r="AG165" s="305">
        <f t="shared" ca="1" si="7"/>
        <v>0</v>
      </c>
      <c r="AH165" s="305">
        <f t="shared" ca="1" si="8"/>
        <v>0</v>
      </c>
      <c r="AI165" s="305">
        <f t="shared" si="9"/>
        <v>0</v>
      </c>
      <c r="AJ165" s="305">
        <f t="shared" ca="1" si="10"/>
        <v>0</v>
      </c>
      <c r="AK165" s="305" t="str">
        <f t="shared" ca="1" si="11"/>
        <v/>
      </c>
      <c r="AL165" s="306">
        <f t="shared" ca="1" si="12"/>
        <v>1</v>
      </c>
      <c r="AM165" s="306">
        <f t="shared" ca="1" si="13"/>
        <v>23</v>
      </c>
      <c r="AN165" s="306">
        <f t="shared" ca="1" si="14"/>
        <v>4</v>
      </c>
      <c r="AO165" s="306">
        <f t="shared" ca="1" si="15"/>
        <v>0</v>
      </c>
      <c r="AP165" s="306">
        <f t="shared" ca="1" si="16"/>
        <v>0</v>
      </c>
      <c r="AQ165" s="306">
        <f t="shared" ca="1" si="17"/>
        <v>0</v>
      </c>
      <c r="AR165" s="306">
        <f t="shared" ca="1" si="18"/>
        <v>0</v>
      </c>
      <c r="AS165" s="307"/>
      <c r="AT165" s="306">
        <f t="shared" si="19"/>
        <v>1</v>
      </c>
    </row>
    <row r="166" spans="1:46" ht="15.75" customHeight="1">
      <c r="A166" s="284"/>
      <c r="B166" s="285">
        <f t="shared" ca="1" si="0"/>
        <v>1</v>
      </c>
      <c r="C166" s="286">
        <f t="shared" ca="1" si="1"/>
        <v>23</v>
      </c>
      <c r="D166" s="286">
        <f t="shared" ca="1" si="2"/>
        <v>5</v>
      </c>
      <c r="E166" s="286" t="str">
        <f t="shared" ca="1" si="3"/>
        <v/>
      </c>
      <c r="F166" s="286" t="str">
        <f t="shared" ca="1" si="4"/>
        <v/>
      </c>
      <c r="G166" s="287" t="str">
        <f t="shared" ca="1" si="5"/>
        <v/>
      </c>
      <c r="H166" s="288" t="str">
        <f t="shared" ca="1" si="6"/>
        <v/>
      </c>
      <c r="I166" s="308"/>
      <c r="J166" s="320"/>
      <c r="K166" s="320" t="s">
        <v>65</v>
      </c>
      <c r="L166" s="320"/>
      <c r="M166" s="320"/>
      <c r="N166" s="320"/>
      <c r="O166" s="320"/>
      <c r="P166" s="320"/>
      <c r="Q166" s="321"/>
      <c r="R166" s="322" t="s">
        <v>175</v>
      </c>
      <c r="S166" s="331">
        <v>45883</v>
      </c>
      <c r="T166" s="325">
        <v>45883</v>
      </c>
      <c r="U166" s="330"/>
      <c r="V166" s="325"/>
      <c r="W166" s="326">
        <v>0</v>
      </c>
      <c r="X166" s="327"/>
      <c r="Y166" s="328"/>
      <c r="Z166" s="329"/>
      <c r="AA166" s="300"/>
      <c r="AB166" s="301"/>
      <c r="AC166" s="302"/>
      <c r="AD166" s="303"/>
      <c r="AE166" s="304"/>
      <c r="AF166" s="305"/>
      <c r="AG166" s="305">
        <f t="shared" ca="1" si="7"/>
        <v>0</v>
      </c>
      <c r="AH166" s="305">
        <f t="shared" ca="1" si="8"/>
        <v>0</v>
      </c>
      <c r="AI166" s="305">
        <f t="shared" si="9"/>
        <v>0</v>
      </c>
      <c r="AJ166" s="305">
        <f t="shared" ca="1" si="10"/>
        <v>0</v>
      </c>
      <c r="AK166" s="305" t="str">
        <f t="shared" ca="1" si="11"/>
        <v/>
      </c>
      <c r="AL166" s="306">
        <f t="shared" ca="1" si="12"/>
        <v>1</v>
      </c>
      <c r="AM166" s="306">
        <f t="shared" ca="1" si="13"/>
        <v>23</v>
      </c>
      <c r="AN166" s="306">
        <f t="shared" ca="1" si="14"/>
        <v>5</v>
      </c>
      <c r="AO166" s="306">
        <f t="shared" ca="1" si="15"/>
        <v>0</v>
      </c>
      <c r="AP166" s="306">
        <f t="shared" ca="1" si="16"/>
        <v>0</v>
      </c>
      <c r="AQ166" s="306">
        <f t="shared" ca="1" si="17"/>
        <v>0</v>
      </c>
      <c r="AR166" s="306">
        <f t="shared" ca="1" si="18"/>
        <v>0</v>
      </c>
      <c r="AS166" s="307"/>
      <c r="AT166" s="306">
        <f t="shared" si="19"/>
        <v>1</v>
      </c>
    </row>
    <row r="167" spans="1:46" ht="15.75" customHeight="1">
      <c r="A167" s="284"/>
      <c r="B167" s="285">
        <f t="shared" ca="1" si="0"/>
        <v>1</v>
      </c>
      <c r="C167" s="286">
        <f t="shared" ca="1" si="1"/>
        <v>23</v>
      </c>
      <c r="D167" s="286">
        <f t="shared" ca="1" si="2"/>
        <v>6</v>
      </c>
      <c r="E167" s="286" t="str">
        <f t="shared" ca="1" si="3"/>
        <v/>
      </c>
      <c r="F167" s="286" t="str">
        <f t="shared" ca="1" si="4"/>
        <v/>
      </c>
      <c r="G167" s="287" t="str">
        <f t="shared" ca="1" si="5"/>
        <v/>
      </c>
      <c r="H167" s="288" t="str">
        <f t="shared" ca="1" si="6"/>
        <v/>
      </c>
      <c r="I167" s="308"/>
      <c r="J167" s="320"/>
      <c r="K167" s="320" t="s">
        <v>66</v>
      </c>
      <c r="L167" s="320"/>
      <c r="M167" s="320"/>
      <c r="N167" s="320"/>
      <c r="O167" s="320"/>
      <c r="P167" s="320"/>
      <c r="Q167" s="321"/>
      <c r="R167" s="322" t="s">
        <v>176</v>
      </c>
      <c r="S167" s="331">
        <v>45884</v>
      </c>
      <c r="T167" s="325">
        <v>45884</v>
      </c>
      <c r="U167" s="330"/>
      <c r="V167" s="325"/>
      <c r="W167" s="326">
        <v>0</v>
      </c>
      <c r="X167" s="327"/>
      <c r="Y167" s="328"/>
      <c r="Z167" s="329"/>
      <c r="AA167" s="300"/>
      <c r="AB167" s="301"/>
      <c r="AC167" s="302"/>
      <c r="AD167" s="303"/>
      <c r="AE167" s="304"/>
      <c r="AF167" s="305"/>
      <c r="AG167" s="305">
        <f t="shared" ca="1" si="7"/>
        <v>0</v>
      </c>
      <c r="AH167" s="305">
        <f t="shared" ca="1" si="8"/>
        <v>0</v>
      </c>
      <c r="AI167" s="305">
        <f t="shared" si="9"/>
        <v>0</v>
      </c>
      <c r="AJ167" s="305">
        <f t="shared" ca="1" si="10"/>
        <v>0</v>
      </c>
      <c r="AK167" s="305" t="str">
        <f t="shared" ca="1" si="11"/>
        <v/>
      </c>
      <c r="AL167" s="306">
        <f t="shared" ca="1" si="12"/>
        <v>1</v>
      </c>
      <c r="AM167" s="306">
        <f t="shared" ca="1" si="13"/>
        <v>23</v>
      </c>
      <c r="AN167" s="306">
        <f t="shared" ca="1" si="14"/>
        <v>6</v>
      </c>
      <c r="AO167" s="306">
        <f t="shared" ca="1" si="15"/>
        <v>0</v>
      </c>
      <c r="AP167" s="306">
        <f t="shared" ca="1" si="16"/>
        <v>0</v>
      </c>
      <c r="AQ167" s="306">
        <f t="shared" ca="1" si="17"/>
        <v>0</v>
      </c>
      <c r="AR167" s="306">
        <f t="shared" ca="1" si="18"/>
        <v>0</v>
      </c>
      <c r="AS167" s="307"/>
      <c r="AT167" s="306">
        <f t="shared" si="19"/>
        <v>1</v>
      </c>
    </row>
    <row r="168" spans="1:46" ht="15.75" customHeight="1">
      <c r="A168" s="284"/>
      <c r="B168" s="285">
        <f t="shared" ca="1" si="0"/>
        <v>1</v>
      </c>
      <c r="C168" s="286">
        <f t="shared" ca="1" si="1"/>
        <v>24</v>
      </c>
      <c r="D168" s="286" t="str">
        <f t="shared" ca="1" si="2"/>
        <v/>
      </c>
      <c r="E168" s="286" t="str">
        <f t="shared" ca="1" si="3"/>
        <v/>
      </c>
      <c r="F168" s="286" t="str">
        <f t="shared" ca="1" si="4"/>
        <v/>
      </c>
      <c r="G168" s="287" t="str">
        <f t="shared" ca="1" si="5"/>
        <v/>
      </c>
      <c r="H168" s="288" t="str">
        <f t="shared" ca="1" si="6"/>
        <v/>
      </c>
      <c r="I168" s="308"/>
      <c r="J168" s="309" t="s">
        <v>203</v>
      </c>
      <c r="K168" s="310"/>
      <c r="L168" s="310"/>
      <c r="M168" s="310"/>
      <c r="N168" s="310"/>
      <c r="O168" s="310"/>
      <c r="P168" s="310"/>
      <c r="Q168" s="311" t="s">
        <v>81</v>
      </c>
      <c r="R168" s="312"/>
      <c r="S168" s="313"/>
      <c r="T168" s="314"/>
      <c r="U168" s="315"/>
      <c r="V168" s="314"/>
      <c r="W168" s="316"/>
      <c r="X168" s="317"/>
      <c r="Y168" s="318"/>
      <c r="Z168" s="319"/>
      <c r="AA168" s="300"/>
      <c r="AB168" s="301"/>
      <c r="AC168" s="302"/>
      <c r="AD168" s="303"/>
      <c r="AE168" s="304"/>
      <c r="AF168" s="305"/>
      <c r="AG168" s="305">
        <f t="shared" si="7"/>
        <v>0</v>
      </c>
      <c r="AH168" s="305">
        <f t="shared" si="8"/>
        <v>0</v>
      </c>
      <c r="AI168" s="305">
        <f t="shared" si="9"/>
        <v>0</v>
      </c>
      <c r="AJ168" s="305">
        <f t="shared" si="10"/>
        <v>0</v>
      </c>
      <c r="AK168" s="305" t="str">
        <f t="shared" si="11"/>
        <v/>
      </c>
      <c r="AL168" s="306">
        <f t="shared" ca="1" si="12"/>
        <v>1</v>
      </c>
      <c r="AM168" s="306">
        <f t="shared" ca="1" si="13"/>
        <v>24</v>
      </c>
      <c r="AN168" s="306">
        <f t="shared" ca="1" si="14"/>
        <v>0</v>
      </c>
      <c r="AO168" s="306">
        <f t="shared" ca="1" si="15"/>
        <v>0</v>
      </c>
      <c r="AP168" s="306">
        <f t="shared" ca="1" si="16"/>
        <v>0</v>
      </c>
      <c r="AQ168" s="306">
        <f t="shared" ca="1" si="17"/>
        <v>0</v>
      </c>
      <c r="AR168" s="306">
        <f t="shared" ca="1" si="18"/>
        <v>0</v>
      </c>
      <c r="AS168" s="307"/>
      <c r="AT168" s="306">
        <f t="shared" si="19"/>
        <v>1</v>
      </c>
    </row>
    <row r="169" spans="1:46" ht="15.75" customHeight="1">
      <c r="A169" s="284"/>
      <c r="B169" s="285">
        <f t="shared" ca="1" si="0"/>
        <v>1</v>
      </c>
      <c r="C169" s="286">
        <f t="shared" ca="1" si="1"/>
        <v>24</v>
      </c>
      <c r="D169" s="286">
        <f t="shared" ca="1" si="2"/>
        <v>1</v>
      </c>
      <c r="E169" s="286" t="str">
        <f t="shared" ca="1" si="3"/>
        <v/>
      </c>
      <c r="F169" s="286" t="str">
        <f t="shared" ca="1" si="4"/>
        <v/>
      </c>
      <c r="G169" s="287" t="str">
        <f t="shared" ca="1" si="5"/>
        <v/>
      </c>
      <c r="H169" s="288" t="str">
        <f t="shared" ca="1" si="6"/>
        <v/>
      </c>
      <c r="I169" s="308"/>
      <c r="J169" s="320"/>
      <c r="K169" s="320" t="s">
        <v>59</v>
      </c>
      <c r="L169" s="320"/>
      <c r="M169" s="320"/>
      <c r="N169" s="320"/>
      <c r="O169" s="320"/>
      <c r="P169" s="320"/>
      <c r="Q169" s="321"/>
      <c r="R169" s="322" t="s">
        <v>176</v>
      </c>
      <c r="S169" s="331">
        <v>45874</v>
      </c>
      <c r="T169" s="325">
        <v>45877</v>
      </c>
      <c r="U169" s="330"/>
      <c r="V169" s="325"/>
      <c r="W169" s="326">
        <v>0</v>
      </c>
      <c r="X169" s="327"/>
      <c r="Y169" s="328"/>
      <c r="Z169" s="329"/>
      <c r="AA169" s="300"/>
      <c r="AB169" s="301"/>
      <c r="AC169" s="302"/>
      <c r="AD169" s="303"/>
      <c r="AE169" s="304"/>
      <c r="AF169" s="305"/>
      <c r="AG169" s="305">
        <f t="shared" ca="1" si="7"/>
        <v>0</v>
      </c>
      <c r="AH169" s="305">
        <f t="shared" ca="1" si="8"/>
        <v>0</v>
      </c>
      <c r="AI169" s="305">
        <f t="shared" si="9"/>
        <v>0</v>
      </c>
      <c r="AJ169" s="305">
        <f t="shared" ca="1" si="10"/>
        <v>0</v>
      </c>
      <c r="AK169" s="305" t="str">
        <f t="shared" ca="1" si="11"/>
        <v/>
      </c>
      <c r="AL169" s="306">
        <f t="shared" ca="1" si="12"/>
        <v>1</v>
      </c>
      <c r="AM169" s="306">
        <f t="shared" ca="1" si="13"/>
        <v>24</v>
      </c>
      <c r="AN169" s="306">
        <f t="shared" ca="1" si="14"/>
        <v>1</v>
      </c>
      <c r="AO169" s="306">
        <f t="shared" ca="1" si="15"/>
        <v>0</v>
      </c>
      <c r="AP169" s="306">
        <f t="shared" ca="1" si="16"/>
        <v>0</v>
      </c>
      <c r="AQ169" s="306">
        <f t="shared" ca="1" si="17"/>
        <v>0</v>
      </c>
      <c r="AR169" s="306">
        <f t="shared" ca="1" si="18"/>
        <v>0</v>
      </c>
      <c r="AS169" s="307"/>
      <c r="AT169" s="306">
        <f t="shared" si="19"/>
        <v>4</v>
      </c>
    </row>
    <row r="170" spans="1:46" ht="15.75" customHeight="1">
      <c r="A170" s="284"/>
      <c r="B170" s="285">
        <f t="shared" ca="1" si="0"/>
        <v>1</v>
      </c>
      <c r="C170" s="286">
        <f t="shared" ca="1" si="1"/>
        <v>24</v>
      </c>
      <c r="D170" s="286">
        <f t="shared" ca="1" si="2"/>
        <v>2</v>
      </c>
      <c r="E170" s="286" t="str">
        <f t="shared" ca="1" si="3"/>
        <v/>
      </c>
      <c r="F170" s="286" t="str">
        <f t="shared" ca="1" si="4"/>
        <v/>
      </c>
      <c r="G170" s="287" t="str">
        <f t="shared" ca="1" si="5"/>
        <v/>
      </c>
      <c r="H170" s="288" t="str">
        <f t="shared" ca="1" si="6"/>
        <v/>
      </c>
      <c r="I170" s="308"/>
      <c r="J170" s="320"/>
      <c r="K170" s="320" t="s">
        <v>145</v>
      </c>
      <c r="L170" s="320"/>
      <c r="M170" s="320"/>
      <c r="N170" s="320"/>
      <c r="O170" s="320"/>
      <c r="P170" s="320"/>
      <c r="Q170" s="321"/>
      <c r="R170" s="322" t="s">
        <v>175</v>
      </c>
      <c r="S170" s="331">
        <v>45881</v>
      </c>
      <c r="T170" s="325">
        <v>45881</v>
      </c>
      <c r="U170" s="330"/>
      <c r="V170" s="325"/>
      <c r="W170" s="326">
        <v>0</v>
      </c>
      <c r="X170" s="327"/>
      <c r="Y170" s="328"/>
      <c r="Z170" s="329"/>
      <c r="AA170" s="300"/>
      <c r="AB170" s="301"/>
      <c r="AC170" s="302"/>
      <c r="AD170" s="303"/>
      <c r="AE170" s="304"/>
      <c r="AF170" s="305"/>
      <c r="AG170" s="305">
        <f t="shared" ca="1" si="7"/>
        <v>0</v>
      </c>
      <c r="AH170" s="305">
        <f t="shared" ca="1" si="8"/>
        <v>0</v>
      </c>
      <c r="AI170" s="305">
        <f t="shared" si="9"/>
        <v>0</v>
      </c>
      <c r="AJ170" s="305">
        <f t="shared" ca="1" si="10"/>
        <v>0</v>
      </c>
      <c r="AK170" s="305" t="str">
        <f t="shared" ca="1" si="11"/>
        <v/>
      </c>
      <c r="AL170" s="306">
        <f t="shared" ca="1" si="12"/>
        <v>1</v>
      </c>
      <c r="AM170" s="306">
        <f t="shared" ca="1" si="13"/>
        <v>24</v>
      </c>
      <c r="AN170" s="306">
        <f t="shared" ca="1" si="14"/>
        <v>2</v>
      </c>
      <c r="AO170" s="306">
        <f t="shared" ca="1" si="15"/>
        <v>0</v>
      </c>
      <c r="AP170" s="306">
        <f t="shared" ca="1" si="16"/>
        <v>0</v>
      </c>
      <c r="AQ170" s="306">
        <f t="shared" ca="1" si="17"/>
        <v>0</v>
      </c>
      <c r="AR170" s="306">
        <f t="shared" ca="1" si="18"/>
        <v>0</v>
      </c>
      <c r="AS170" s="307"/>
      <c r="AT170" s="306">
        <f t="shared" si="19"/>
        <v>1</v>
      </c>
    </row>
    <row r="171" spans="1:46" ht="15.75" customHeight="1">
      <c r="A171" s="284"/>
      <c r="B171" s="285">
        <f t="shared" ca="1" si="0"/>
        <v>1</v>
      </c>
      <c r="C171" s="286">
        <f t="shared" ca="1" si="1"/>
        <v>24</v>
      </c>
      <c r="D171" s="286">
        <f t="shared" ca="1" si="2"/>
        <v>3</v>
      </c>
      <c r="E171" s="286" t="str">
        <f t="shared" ca="1" si="3"/>
        <v/>
      </c>
      <c r="F171" s="286" t="str">
        <f t="shared" ca="1" si="4"/>
        <v/>
      </c>
      <c r="G171" s="287" t="str">
        <f t="shared" ca="1" si="5"/>
        <v/>
      </c>
      <c r="H171" s="288" t="str">
        <f t="shared" ca="1" si="6"/>
        <v/>
      </c>
      <c r="I171" s="308"/>
      <c r="J171" s="320"/>
      <c r="K171" s="320" t="s">
        <v>63</v>
      </c>
      <c r="L171" s="320"/>
      <c r="M171" s="320"/>
      <c r="N171" s="320"/>
      <c r="O171" s="320"/>
      <c r="P171" s="320"/>
      <c r="Q171" s="321"/>
      <c r="R171" s="322" t="s">
        <v>176</v>
      </c>
      <c r="S171" s="331">
        <v>45882</v>
      </c>
      <c r="T171" s="325">
        <v>45882</v>
      </c>
      <c r="U171" s="330"/>
      <c r="V171" s="325"/>
      <c r="W171" s="326">
        <v>0</v>
      </c>
      <c r="X171" s="327"/>
      <c r="Y171" s="328"/>
      <c r="Z171" s="329"/>
      <c r="AA171" s="300"/>
      <c r="AB171" s="301"/>
      <c r="AC171" s="302"/>
      <c r="AD171" s="303"/>
      <c r="AE171" s="304"/>
      <c r="AF171" s="305"/>
      <c r="AG171" s="305">
        <f t="shared" ca="1" si="7"/>
        <v>0</v>
      </c>
      <c r="AH171" s="305">
        <f t="shared" ca="1" si="8"/>
        <v>0</v>
      </c>
      <c r="AI171" s="305">
        <f t="shared" si="9"/>
        <v>0</v>
      </c>
      <c r="AJ171" s="305">
        <f t="shared" ca="1" si="10"/>
        <v>0</v>
      </c>
      <c r="AK171" s="305" t="str">
        <f t="shared" ca="1" si="11"/>
        <v/>
      </c>
      <c r="AL171" s="306">
        <f t="shared" ca="1" si="12"/>
        <v>1</v>
      </c>
      <c r="AM171" s="306">
        <f t="shared" ca="1" si="13"/>
        <v>24</v>
      </c>
      <c r="AN171" s="306">
        <f t="shared" ca="1" si="14"/>
        <v>3</v>
      </c>
      <c r="AO171" s="306">
        <f t="shared" ca="1" si="15"/>
        <v>0</v>
      </c>
      <c r="AP171" s="306">
        <f t="shared" ca="1" si="16"/>
        <v>0</v>
      </c>
      <c r="AQ171" s="306">
        <f t="shared" ca="1" si="17"/>
        <v>0</v>
      </c>
      <c r="AR171" s="306">
        <f t="shared" ca="1" si="18"/>
        <v>0</v>
      </c>
      <c r="AS171" s="307"/>
      <c r="AT171" s="306">
        <f t="shared" si="19"/>
        <v>1</v>
      </c>
    </row>
    <row r="172" spans="1:46" ht="15.75" customHeight="1">
      <c r="A172" s="284"/>
      <c r="B172" s="285">
        <f t="shared" ca="1" si="0"/>
        <v>1</v>
      </c>
      <c r="C172" s="286">
        <f t="shared" ca="1" si="1"/>
        <v>24</v>
      </c>
      <c r="D172" s="286">
        <f t="shared" ca="1" si="2"/>
        <v>4</v>
      </c>
      <c r="E172" s="286" t="str">
        <f t="shared" ca="1" si="3"/>
        <v/>
      </c>
      <c r="F172" s="286" t="str">
        <f t="shared" ca="1" si="4"/>
        <v/>
      </c>
      <c r="G172" s="287" t="str">
        <f t="shared" ca="1" si="5"/>
        <v/>
      </c>
      <c r="H172" s="288" t="str">
        <f t="shared" ca="1" si="6"/>
        <v/>
      </c>
      <c r="I172" s="308"/>
      <c r="J172" s="320"/>
      <c r="K172" s="320" t="s">
        <v>64</v>
      </c>
      <c r="L172" s="320"/>
      <c r="M172" s="320"/>
      <c r="N172" s="320"/>
      <c r="O172" s="320"/>
      <c r="P172" s="320"/>
      <c r="Q172" s="321"/>
      <c r="R172" s="322" t="s">
        <v>175</v>
      </c>
      <c r="S172" s="331">
        <v>45882</v>
      </c>
      <c r="T172" s="325">
        <v>45882</v>
      </c>
      <c r="U172" s="330"/>
      <c r="V172" s="325"/>
      <c r="W172" s="326">
        <v>0</v>
      </c>
      <c r="X172" s="327"/>
      <c r="Y172" s="328"/>
      <c r="Z172" s="329"/>
      <c r="AA172" s="300"/>
      <c r="AB172" s="301"/>
      <c r="AC172" s="302"/>
      <c r="AD172" s="303"/>
      <c r="AE172" s="304"/>
      <c r="AF172" s="305"/>
      <c r="AG172" s="305">
        <f t="shared" ca="1" si="7"/>
        <v>0</v>
      </c>
      <c r="AH172" s="305">
        <f t="shared" ca="1" si="8"/>
        <v>0</v>
      </c>
      <c r="AI172" s="305">
        <f t="shared" si="9"/>
        <v>0</v>
      </c>
      <c r="AJ172" s="305">
        <f t="shared" ca="1" si="10"/>
        <v>0</v>
      </c>
      <c r="AK172" s="305" t="str">
        <f t="shared" ca="1" si="11"/>
        <v/>
      </c>
      <c r="AL172" s="306">
        <f t="shared" ca="1" si="12"/>
        <v>1</v>
      </c>
      <c r="AM172" s="306">
        <f t="shared" ca="1" si="13"/>
        <v>24</v>
      </c>
      <c r="AN172" s="306">
        <f t="shared" ca="1" si="14"/>
        <v>4</v>
      </c>
      <c r="AO172" s="306">
        <f t="shared" ca="1" si="15"/>
        <v>0</v>
      </c>
      <c r="AP172" s="306">
        <f t="shared" ca="1" si="16"/>
        <v>0</v>
      </c>
      <c r="AQ172" s="306">
        <f t="shared" ca="1" si="17"/>
        <v>0</v>
      </c>
      <c r="AR172" s="306">
        <f t="shared" ca="1" si="18"/>
        <v>0</v>
      </c>
      <c r="AS172" s="307"/>
      <c r="AT172" s="306">
        <f t="shared" si="19"/>
        <v>1</v>
      </c>
    </row>
    <row r="173" spans="1:46" ht="15.75" customHeight="1">
      <c r="A173" s="284"/>
      <c r="B173" s="285">
        <f t="shared" ca="1" si="0"/>
        <v>1</v>
      </c>
      <c r="C173" s="286">
        <f t="shared" ca="1" si="1"/>
        <v>24</v>
      </c>
      <c r="D173" s="286">
        <f t="shared" ca="1" si="2"/>
        <v>5</v>
      </c>
      <c r="E173" s="286" t="str">
        <f t="shared" ca="1" si="3"/>
        <v/>
      </c>
      <c r="F173" s="286" t="str">
        <f t="shared" ca="1" si="4"/>
        <v/>
      </c>
      <c r="G173" s="287" t="str">
        <f t="shared" ca="1" si="5"/>
        <v/>
      </c>
      <c r="H173" s="288" t="str">
        <f t="shared" ca="1" si="6"/>
        <v/>
      </c>
      <c r="I173" s="308"/>
      <c r="J173" s="320"/>
      <c r="K173" s="320" t="s">
        <v>65</v>
      </c>
      <c r="L173" s="320"/>
      <c r="M173" s="320"/>
      <c r="N173" s="320"/>
      <c r="O173" s="320"/>
      <c r="P173" s="320"/>
      <c r="Q173" s="321"/>
      <c r="R173" s="322" t="s">
        <v>176</v>
      </c>
      <c r="S173" s="331">
        <v>45883</v>
      </c>
      <c r="T173" s="325">
        <v>45883</v>
      </c>
      <c r="U173" s="330"/>
      <c r="V173" s="325"/>
      <c r="W173" s="326">
        <v>0</v>
      </c>
      <c r="X173" s="327"/>
      <c r="Y173" s="328"/>
      <c r="Z173" s="329"/>
      <c r="AA173" s="300"/>
      <c r="AB173" s="301"/>
      <c r="AC173" s="302"/>
      <c r="AD173" s="303"/>
      <c r="AE173" s="304"/>
      <c r="AF173" s="305"/>
      <c r="AG173" s="305">
        <f t="shared" ca="1" si="7"/>
        <v>0</v>
      </c>
      <c r="AH173" s="305">
        <f t="shared" ca="1" si="8"/>
        <v>0</v>
      </c>
      <c r="AI173" s="305">
        <f t="shared" si="9"/>
        <v>0</v>
      </c>
      <c r="AJ173" s="305">
        <f t="shared" ca="1" si="10"/>
        <v>0</v>
      </c>
      <c r="AK173" s="305" t="str">
        <f t="shared" ca="1" si="11"/>
        <v/>
      </c>
      <c r="AL173" s="306">
        <f t="shared" ca="1" si="12"/>
        <v>1</v>
      </c>
      <c r="AM173" s="306">
        <f t="shared" ca="1" si="13"/>
        <v>24</v>
      </c>
      <c r="AN173" s="306">
        <f t="shared" ca="1" si="14"/>
        <v>5</v>
      </c>
      <c r="AO173" s="306">
        <f t="shared" ca="1" si="15"/>
        <v>0</v>
      </c>
      <c r="AP173" s="306">
        <f t="shared" ca="1" si="16"/>
        <v>0</v>
      </c>
      <c r="AQ173" s="306">
        <f t="shared" ca="1" si="17"/>
        <v>0</v>
      </c>
      <c r="AR173" s="306">
        <f t="shared" ca="1" si="18"/>
        <v>0</v>
      </c>
      <c r="AS173" s="307"/>
      <c r="AT173" s="306">
        <f t="shared" si="19"/>
        <v>1</v>
      </c>
    </row>
    <row r="174" spans="1:46" ht="15.75" customHeight="1">
      <c r="A174" s="284"/>
      <c r="B174" s="285">
        <f t="shared" ca="1" si="0"/>
        <v>1</v>
      </c>
      <c r="C174" s="286">
        <f t="shared" ca="1" si="1"/>
        <v>24</v>
      </c>
      <c r="D174" s="286">
        <f t="shared" ca="1" si="2"/>
        <v>6</v>
      </c>
      <c r="E174" s="286" t="str">
        <f t="shared" ca="1" si="3"/>
        <v/>
      </c>
      <c r="F174" s="286" t="str">
        <f t="shared" ca="1" si="4"/>
        <v/>
      </c>
      <c r="G174" s="287" t="str">
        <f t="shared" ca="1" si="5"/>
        <v/>
      </c>
      <c r="H174" s="288" t="str">
        <f t="shared" ca="1" si="6"/>
        <v/>
      </c>
      <c r="I174" s="308"/>
      <c r="J174" s="320"/>
      <c r="K174" s="320" t="s">
        <v>66</v>
      </c>
      <c r="L174" s="320"/>
      <c r="M174" s="320"/>
      <c r="N174" s="320"/>
      <c r="O174" s="320"/>
      <c r="P174" s="320"/>
      <c r="Q174" s="321"/>
      <c r="R174" s="322" t="s">
        <v>175</v>
      </c>
      <c r="S174" s="331">
        <v>45884</v>
      </c>
      <c r="T174" s="325">
        <v>45884</v>
      </c>
      <c r="U174" s="330"/>
      <c r="V174" s="325"/>
      <c r="W174" s="326">
        <v>0</v>
      </c>
      <c r="X174" s="327"/>
      <c r="Y174" s="328"/>
      <c r="Z174" s="329"/>
      <c r="AA174" s="300"/>
      <c r="AB174" s="301"/>
      <c r="AC174" s="302"/>
      <c r="AD174" s="303"/>
      <c r="AE174" s="304"/>
      <c r="AF174" s="305"/>
      <c r="AG174" s="305">
        <f t="shared" ca="1" si="7"/>
        <v>0</v>
      </c>
      <c r="AH174" s="305">
        <f t="shared" ca="1" si="8"/>
        <v>0</v>
      </c>
      <c r="AI174" s="305">
        <f t="shared" si="9"/>
        <v>0</v>
      </c>
      <c r="AJ174" s="305">
        <f t="shared" ca="1" si="10"/>
        <v>0</v>
      </c>
      <c r="AK174" s="305" t="str">
        <f t="shared" ca="1" si="11"/>
        <v/>
      </c>
      <c r="AL174" s="306">
        <f t="shared" ca="1" si="12"/>
        <v>1</v>
      </c>
      <c r="AM174" s="306">
        <f t="shared" ca="1" si="13"/>
        <v>24</v>
      </c>
      <c r="AN174" s="306">
        <f t="shared" ca="1" si="14"/>
        <v>6</v>
      </c>
      <c r="AO174" s="306">
        <f t="shared" ca="1" si="15"/>
        <v>0</v>
      </c>
      <c r="AP174" s="306">
        <f t="shared" ca="1" si="16"/>
        <v>0</v>
      </c>
      <c r="AQ174" s="306">
        <f t="shared" ca="1" si="17"/>
        <v>0</v>
      </c>
      <c r="AR174" s="306">
        <f t="shared" ca="1" si="18"/>
        <v>0</v>
      </c>
      <c r="AS174" s="307"/>
      <c r="AT174" s="306">
        <f t="shared" si="19"/>
        <v>1</v>
      </c>
    </row>
    <row r="175" spans="1:46" ht="15.75" customHeight="1">
      <c r="A175" s="284"/>
      <c r="B175" s="285">
        <f t="shared" ca="1" si="0"/>
        <v>1</v>
      </c>
      <c r="C175" s="286">
        <f t="shared" ca="1" si="1"/>
        <v>25</v>
      </c>
      <c r="D175" s="286" t="str">
        <f t="shared" ca="1" si="2"/>
        <v/>
      </c>
      <c r="E175" s="286" t="str">
        <f t="shared" ca="1" si="3"/>
        <v/>
      </c>
      <c r="F175" s="286" t="str">
        <f t="shared" ca="1" si="4"/>
        <v/>
      </c>
      <c r="G175" s="287" t="str">
        <f t="shared" ca="1" si="5"/>
        <v/>
      </c>
      <c r="H175" s="288" t="str">
        <f t="shared" ca="1" si="6"/>
        <v/>
      </c>
      <c r="I175" s="308"/>
      <c r="J175" s="309" t="s">
        <v>204</v>
      </c>
      <c r="K175" s="310"/>
      <c r="L175" s="310"/>
      <c r="M175" s="310"/>
      <c r="N175" s="310"/>
      <c r="O175" s="310"/>
      <c r="P175" s="310"/>
      <c r="Q175" s="311" t="s">
        <v>81</v>
      </c>
      <c r="R175" s="312"/>
      <c r="S175" s="313"/>
      <c r="T175" s="314"/>
      <c r="U175" s="315"/>
      <c r="V175" s="314"/>
      <c r="W175" s="316"/>
      <c r="X175" s="317"/>
      <c r="Y175" s="318"/>
      <c r="Z175" s="319"/>
      <c r="AA175" s="300"/>
      <c r="AB175" s="301"/>
      <c r="AC175" s="302"/>
      <c r="AD175" s="303"/>
      <c r="AE175" s="304"/>
      <c r="AF175" s="305"/>
      <c r="AG175" s="305">
        <f t="shared" si="7"/>
        <v>0</v>
      </c>
      <c r="AH175" s="305">
        <f t="shared" si="8"/>
        <v>0</v>
      </c>
      <c r="AI175" s="305">
        <f t="shared" si="9"/>
        <v>0</v>
      </c>
      <c r="AJ175" s="305">
        <f t="shared" si="10"/>
        <v>0</v>
      </c>
      <c r="AK175" s="305" t="str">
        <f t="shared" si="11"/>
        <v/>
      </c>
      <c r="AL175" s="306">
        <f t="shared" ca="1" si="12"/>
        <v>1</v>
      </c>
      <c r="AM175" s="306">
        <f t="shared" ca="1" si="13"/>
        <v>25</v>
      </c>
      <c r="AN175" s="306">
        <f t="shared" ca="1" si="14"/>
        <v>0</v>
      </c>
      <c r="AO175" s="306">
        <f t="shared" ca="1" si="15"/>
        <v>0</v>
      </c>
      <c r="AP175" s="306">
        <f t="shared" ca="1" si="16"/>
        <v>0</v>
      </c>
      <c r="AQ175" s="306">
        <f t="shared" ca="1" si="17"/>
        <v>0</v>
      </c>
      <c r="AR175" s="306">
        <f t="shared" ca="1" si="18"/>
        <v>0</v>
      </c>
      <c r="AS175" s="307"/>
      <c r="AT175" s="306">
        <f t="shared" si="19"/>
        <v>1</v>
      </c>
    </row>
    <row r="176" spans="1:46" ht="15.75" customHeight="1">
      <c r="A176" s="284"/>
      <c r="B176" s="285">
        <f t="shared" ca="1" si="0"/>
        <v>1</v>
      </c>
      <c r="C176" s="286">
        <f t="shared" ca="1" si="1"/>
        <v>25</v>
      </c>
      <c r="D176" s="286">
        <f t="shared" ca="1" si="2"/>
        <v>1</v>
      </c>
      <c r="E176" s="286" t="str">
        <f t="shared" ca="1" si="3"/>
        <v/>
      </c>
      <c r="F176" s="286" t="str">
        <f t="shared" ca="1" si="4"/>
        <v/>
      </c>
      <c r="G176" s="287" t="str">
        <f t="shared" ca="1" si="5"/>
        <v/>
      </c>
      <c r="H176" s="288" t="str">
        <f t="shared" ca="1" si="6"/>
        <v/>
      </c>
      <c r="I176" s="308"/>
      <c r="J176" s="320"/>
      <c r="K176" s="320" t="s">
        <v>59</v>
      </c>
      <c r="L176" s="320"/>
      <c r="M176" s="320"/>
      <c r="N176" s="320"/>
      <c r="O176" s="320"/>
      <c r="P176" s="320"/>
      <c r="Q176" s="321"/>
      <c r="R176" s="322" t="s">
        <v>175</v>
      </c>
      <c r="S176" s="331">
        <v>45887</v>
      </c>
      <c r="T176" s="325">
        <v>45890</v>
      </c>
      <c r="U176" s="330"/>
      <c r="V176" s="325"/>
      <c r="W176" s="326">
        <v>0</v>
      </c>
      <c r="X176" s="327"/>
      <c r="Y176" s="328"/>
      <c r="Z176" s="329"/>
      <c r="AA176" s="300"/>
      <c r="AB176" s="301"/>
      <c r="AC176" s="302"/>
      <c r="AD176" s="303"/>
      <c r="AE176" s="304"/>
      <c r="AF176" s="305"/>
      <c r="AG176" s="305">
        <f t="shared" ca="1" si="7"/>
        <v>0</v>
      </c>
      <c r="AH176" s="305">
        <f t="shared" ca="1" si="8"/>
        <v>0</v>
      </c>
      <c r="AI176" s="305">
        <f t="shared" si="9"/>
        <v>0</v>
      </c>
      <c r="AJ176" s="305">
        <f t="shared" ca="1" si="10"/>
        <v>0</v>
      </c>
      <c r="AK176" s="305" t="str">
        <f t="shared" ca="1" si="11"/>
        <v/>
      </c>
      <c r="AL176" s="306">
        <f t="shared" ca="1" si="12"/>
        <v>1</v>
      </c>
      <c r="AM176" s="306">
        <f t="shared" ca="1" si="13"/>
        <v>25</v>
      </c>
      <c r="AN176" s="306">
        <f t="shared" ca="1" si="14"/>
        <v>1</v>
      </c>
      <c r="AO176" s="306">
        <f t="shared" ca="1" si="15"/>
        <v>0</v>
      </c>
      <c r="AP176" s="306">
        <f t="shared" ca="1" si="16"/>
        <v>0</v>
      </c>
      <c r="AQ176" s="306">
        <f t="shared" ca="1" si="17"/>
        <v>0</v>
      </c>
      <c r="AR176" s="306">
        <f t="shared" ca="1" si="18"/>
        <v>0</v>
      </c>
      <c r="AS176" s="307"/>
      <c r="AT176" s="306">
        <f t="shared" si="19"/>
        <v>4</v>
      </c>
    </row>
    <row r="177" spans="1:46" ht="15.75" customHeight="1">
      <c r="A177" s="284"/>
      <c r="B177" s="285">
        <f t="shared" ca="1" si="0"/>
        <v>1</v>
      </c>
      <c r="C177" s="286">
        <f t="shared" ca="1" si="1"/>
        <v>25</v>
      </c>
      <c r="D177" s="286">
        <f t="shared" ca="1" si="2"/>
        <v>2</v>
      </c>
      <c r="E177" s="286" t="str">
        <f t="shared" ca="1" si="3"/>
        <v/>
      </c>
      <c r="F177" s="286" t="str">
        <f t="shared" ca="1" si="4"/>
        <v/>
      </c>
      <c r="G177" s="287" t="str">
        <f t="shared" ca="1" si="5"/>
        <v/>
      </c>
      <c r="H177" s="288" t="str">
        <f t="shared" ca="1" si="6"/>
        <v/>
      </c>
      <c r="I177" s="308"/>
      <c r="J177" s="320"/>
      <c r="K177" s="320" t="s">
        <v>145</v>
      </c>
      <c r="L177" s="320"/>
      <c r="M177" s="320"/>
      <c r="N177" s="320"/>
      <c r="O177" s="320"/>
      <c r="P177" s="320"/>
      <c r="Q177" s="321"/>
      <c r="R177" s="322" t="s">
        <v>176</v>
      </c>
      <c r="S177" s="331">
        <v>45891</v>
      </c>
      <c r="T177" s="325">
        <v>45891</v>
      </c>
      <c r="U177" s="330"/>
      <c r="V177" s="325"/>
      <c r="W177" s="326">
        <v>0</v>
      </c>
      <c r="X177" s="327"/>
      <c r="Y177" s="328"/>
      <c r="Z177" s="329"/>
      <c r="AA177" s="300"/>
      <c r="AB177" s="301"/>
      <c r="AC177" s="302"/>
      <c r="AD177" s="303"/>
      <c r="AE177" s="304"/>
      <c r="AF177" s="305"/>
      <c r="AG177" s="305">
        <f t="shared" ca="1" si="7"/>
        <v>0</v>
      </c>
      <c r="AH177" s="305">
        <f t="shared" ca="1" si="8"/>
        <v>0</v>
      </c>
      <c r="AI177" s="305">
        <f t="shared" si="9"/>
        <v>0</v>
      </c>
      <c r="AJ177" s="305">
        <f t="shared" ca="1" si="10"/>
        <v>0</v>
      </c>
      <c r="AK177" s="305" t="str">
        <f t="shared" ca="1" si="11"/>
        <v/>
      </c>
      <c r="AL177" s="306">
        <f t="shared" ca="1" si="12"/>
        <v>1</v>
      </c>
      <c r="AM177" s="306">
        <f t="shared" ca="1" si="13"/>
        <v>25</v>
      </c>
      <c r="AN177" s="306">
        <f t="shared" ca="1" si="14"/>
        <v>2</v>
      </c>
      <c r="AO177" s="306">
        <f t="shared" ca="1" si="15"/>
        <v>0</v>
      </c>
      <c r="AP177" s="306">
        <f t="shared" ca="1" si="16"/>
        <v>0</v>
      </c>
      <c r="AQ177" s="306">
        <f t="shared" ca="1" si="17"/>
        <v>0</v>
      </c>
      <c r="AR177" s="306">
        <f t="shared" ca="1" si="18"/>
        <v>0</v>
      </c>
      <c r="AS177" s="307"/>
      <c r="AT177" s="306">
        <f t="shared" si="19"/>
        <v>1</v>
      </c>
    </row>
    <row r="178" spans="1:46" ht="15.75" customHeight="1">
      <c r="A178" s="284"/>
      <c r="B178" s="285">
        <f t="shared" ca="1" si="0"/>
        <v>1</v>
      </c>
      <c r="C178" s="286">
        <f t="shared" ca="1" si="1"/>
        <v>25</v>
      </c>
      <c r="D178" s="286">
        <f t="shared" ca="1" si="2"/>
        <v>3</v>
      </c>
      <c r="E178" s="286" t="str">
        <f t="shared" ca="1" si="3"/>
        <v/>
      </c>
      <c r="F178" s="286" t="str">
        <f t="shared" ca="1" si="4"/>
        <v/>
      </c>
      <c r="G178" s="287" t="str">
        <f t="shared" ca="1" si="5"/>
        <v/>
      </c>
      <c r="H178" s="288" t="str">
        <f t="shared" ca="1" si="6"/>
        <v/>
      </c>
      <c r="I178" s="308"/>
      <c r="J178" s="320"/>
      <c r="K178" s="320" t="s">
        <v>63</v>
      </c>
      <c r="L178" s="320"/>
      <c r="M178" s="320"/>
      <c r="N178" s="320"/>
      <c r="O178" s="320"/>
      <c r="P178" s="320"/>
      <c r="Q178" s="321"/>
      <c r="R178" s="322" t="s">
        <v>175</v>
      </c>
      <c r="S178" s="331">
        <v>45894</v>
      </c>
      <c r="T178" s="325">
        <v>45894</v>
      </c>
      <c r="U178" s="330"/>
      <c r="V178" s="325"/>
      <c r="W178" s="326">
        <v>0</v>
      </c>
      <c r="X178" s="327"/>
      <c r="Y178" s="328"/>
      <c r="Z178" s="329"/>
      <c r="AA178" s="300"/>
      <c r="AB178" s="301"/>
      <c r="AC178" s="302"/>
      <c r="AD178" s="303"/>
      <c r="AE178" s="304"/>
      <c r="AF178" s="305"/>
      <c r="AG178" s="305">
        <f t="shared" ca="1" si="7"/>
        <v>0</v>
      </c>
      <c r="AH178" s="305">
        <f t="shared" ca="1" si="8"/>
        <v>0</v>
      </c>
      <c r="AI178" s="305">
        <f t="shared" si="9"/>
        <v>0</v>
      </c>
      <c r="AJ178" s="305">
        <f t="shared" ca="1" si="10"/>
        <v>0</v>
      </c>
      <c r="AK178" s="305" t="str">
        <f t="shared" ca="1" si="11"/>
        <v/>
      </c>
      <c r="AL178" s="306">
        <f t="shared" ca="1" si="12"/>
        <v>1</v>
      </c>
      <c r="AM178" s="306">
        <f t="shared" ca="1" si="13"/>
        <v>25</v>
      </c>
      <c r="AN178" s="306">
        <f t="shared" ca="1" si="14"/>
        <v>3</v>
      </c>
      <c r="AO178" s="306">
        <f t="shared" ca="1" si="15"/>
        <v>0</v>
      </c>
      <c r="AP178" s="306">
        <f t="shared" ca="1" si="16"/>
        <v>0</v>
      </c>
      <c r="AQ178" s="306">
        <f t="shared" ca="1" si="17"/>
        <v>0</v>
      </c>
      <c r="AR178" s="306">
        <f t="shared" ca="1" si="18"/>
        <v>0</v>
      </c>
      <c r="AS178" s="307"/>
      <c r="AT178" s="306">
        <f t="shared" si="19"/>
        <v>1</v>
      </c>
    </row>
    <row r="179" spans="1:46" ht="15.75" customHeight="1">
      <c r="A179" s="284"/>
      <c r="B179" s="285">
        <f t="shared" ca="1" si="0"/>
        <v>1</v>
      </c>
      <c r="C179" s="286">
        <f t="shared" ca="1" si="1"/>
        <v>25</v>
      </c>
      <c r="D179" s="286">
        <f t="shared" ca="1" si="2"/>
        <v>4</v>
      </c>
      <c r="E179" s="286" t="str">
        <f t="shared" ca="1" si="3"/>
        <v/>
      </c>
      <c r="F179" s="286" t="str">
        <f t="shared" ca="1" si="4"/>
        <v/>
      </c>
      <c r="G179" s="287" t="str">
        <f t="shared" ca="1" si="5"/>
        <v/>
      </c>
      <c r="H179" s="288" t="str">
        <f t="shared" ca="1" si="6"/>
        <v/>
      </c>
      <c r="I179" s="308"/>
      <c r="J179" s="320"/>
      <c r="K179" s="320" t="s">
        <v>64</v>
      </c>
      <c r="L179" s="320"/>
      <c r="M179" s="320"/>
      <c r="N179" s="320"/>
      <c r="O179" s="320"/>
      <c r="P179" s="320"/>
      <c r="Q179" s="321"/>
      <c r="R179" s="322" t="s">
        <v>176</v>
      </c>
      <c r="S179" s="331">
        <v>45894</v>
      </c>
      <c r="T179" s="325">
        <v>45894</v>
      </c>
      <c r="U179" s="330"/>
      <c r="V179" s="325"/>
      <c r="W179" s="326">
        <v>0</v>
      </c>
      <c r="X179" s="327"/>
      <c r="Y179" s="328"/>
      <c r="Z179" s="329"/>
      <c r="AA179" s="300"/>
      <c r="AB179" s="301"/>
      <c r="AC179" s="302"/>
      <c r="AD179" s="303"/>
      <c r="AE179" s="304"/>
      <c r="AF179" s="305"/>
      <c r="AG179" s="305">
        <f t="shared" ca="1" si="7"/>
        <v>0</v>
      </c>
      <c r="AH179" s="305">
        <f t="shared" ca="1" si="8"/>
        <v>0</v>
      </c>
      <c r="AI179" s="305">
        <f t="shared" si="9"/>
        <v>0</v>
      </c>
      <c r="AJ179" s="305">
        <f t="shared" ca="1" si="10"/>
        <v>0</v>
      </c>
      <c r="AK179" s="305" t="str">
        <f t="shared" ca="1" si="11"/>
        <v/>
      </c>
      <c r="AL179" s="306">
        <f t="shared" ca="1" si="12"/>
        <v>1</v>
      </c>
      <c r="AM179" s="306">
        <f t="shared" ca="1" si="13"/>
        <v>25</v>
      </c>
      <c r="AN179" s="306">
        <f t="shared" ca="1" si="14"/>
        <v>4</v>
      </c>
      <c r="AO179" s="306">
        <f t="shared" ca="1" si="15"/>
        <v>0</v>
      </c>
      <c r="AP179" s="306">
        <f t="shared" ca="1" si="16"/>
        <v>0</v>
      </c>
      <c r="AQ179" s="306">
        <f t="shared" ca="1" si="17"/>
        <v>0</v>
      </c>
      <c r="AR179" s="306">
        <f t="shared" ca="1" si="18"/>
        <v>0</v>
      </c>
      <c r="AS179" s="307"/>
      <c r="AT179" s="306">
        <f t="shared" si="19"/>
        <v>1</v>
      </c>
    </row>
    <row r="180" spans="1:46" ht="15.75" customHeight="1">
      <c r="A180" s="284"/>
      <c r="B180" s="285">
        <f t="shared" ca="1" si="0"/>
        <v>1</v>
      </c>
      <c r="C180" s="286">
        <f t="shared" ca="1" si="1"/>
        <v>25</v>
      </c>
      <c r="D180" s="286">
        <f t="shared" ca="1" si="2"/>
        <v>5</v>
      </c>
      <c r="E180" s="286" t="str">
        <f t="shared" ca="1" si="3"/>
        <v/>
      </c>
      <c r="F180" s="286" t="str">
        <f t="shared" ca="1" si="4"/>
        <v/>
      </c>
      <c r="G180" s="287" t="str">
        <f t="shared" ca="1" si="5"/>
        <v/>
      </c>
      <c r="H180" s="288" t="str">
        <f t="shared" ca="1" si="6"/>
        <v/>
      </c>
      <c r="I180" s="308"/>
      <c r="J180" s="320"/>
      <c r="K180" s="320" t="s">
        <v>65</v>
      </c>
      <c r="L180" s="320"/>
      <c r="M180" s="320"/>
      <c r="N180" s="320"/>
      <c r="O180" s="320"/>
      <c r="P180" s="320"/>
      <c r="Q180" s="321"/>
      <c r="R180" s="322" t="s">
        <v>175</v>
      </c>
      <c r="S180" s="331">
        <v>45895</v>
      </c>
      <c r="T180" s="325">
        <v>45895</v>
      </c>
      <c r="U180" s="330"/>
      <c r="V180" s="325"/>
      <c r="W180" s="326">
        <v>0</v>
      </c>
      <c r="X180" s="327"/>
      <c r="Y180" s="328"/>
      <c r="Z180" s="329"/>
      <c r="AA180" s="300"/>
      <c r="AB180" s="301"/>
      <c r="AC180" s="302"/>
      <c r="AD180" s="303"/>
      <c r="AE180" s="304"/>
      <c r="AF180" s="305"/>
      <c r="AG180" s="305">
        <f t="shared" ca="1" si="7"/>
        <v>0</v>
      </c>
      <c r="AH180" s="305">
        <f t="shared" ca="1" si="8"/>
        <v>0</v>
      </c>
      <c r="AI180" s="305">
        <f t="shared" si="9"/>
        <v>0</v>
      </c>
      <c r="AJ180" s="305">
        <f t="shared" ca="1" si="10"/>
        <v>0</v>
      </c>
      <c r="AK180" s="305" t="str">
        <f t="shared" ca="1" si="11"/>
        <v/>
      </c>
      <c r="AL180" s="306">
        <f t="shared" ca="1" si="12"/>
        <v>1</v>
      </c>
      <c r="AM180" s="306">
        <f t="shared" ca="1" si="13"/>
        <v>25</v>
      </c>
      <c r="AN180" s="306">
        <f t="shared" ca="1" si="14"/>
        <v>5</v>
      </c>
      <c r="AO180" s="306">
        <f t="shared" ca="1" si="15"/>
        <v>0</v>
      </c>
      <c r="AP180" s="306">
        <f t="shared" ca="1" si="16"/>
        <v>0</v>
      </c>
      <c r="AQ180" s="306">
        <f t="shared" ca="1" si="17"/>
        <v>0</v>
      </c>
      <c r="AR180" s="306">
        <f t="shared" ca="1" si="18"/>
        <v>0</v>
      </c>
      <c r="AS180" s="307"/>
      <c r="AT180" s="306">
        <f t="shared" si="19"/>
        <v>1</v>
      </c>
    </row>
    <row r="181" spans="1:46" ht="15.75" customHeight="1">
      <c r="A181" s="284"/>
      <c r="B181" s="285">
        <f t="shared" ca="1" si="0"/>
        <v>1</v>
      </c>
      <c r="C181" s="286">
        <f t="shared" ca="1" si="1"/>
        <v>25</v>
      </c>
      <c r="D181" s="286">
        <f t="shared" ca="1" si="2"/>
        <v>6</v>
      </c>
      <c r="E181" s="286" t="str">
        <f t="shared" ca="1" si="3"/>
        <v/>
      </c>
      <c r="F181" s="286" t="str">
        <f t="shared" ca="1" si="4"/>
        <v/>
      </c>
      <c r="G181" s="287" t="str">
        <f t="shared" ca="1" si="5"/>
        <v/>
      </c>
      <c r="H181" s="288" t="str">
        <f t="shared" ca="1" si="6"/>
        <v/>
      </c>
      <c r="I181" s="308"/>
      <c r="J181" s="320"/>
      <c r="K181" s="320" t="s">
        <v>66</v>
      </c>
      <c r="L181" s="320"/>
      <c r="M181" s="320"/>
      <c r="N181" s="320"/>
      <c r="O181" s="320"/>
      <c r="P181" s="320"/>
      <c r="Q181" s="321"/>
      <c r="R181" s="322" t="s">
        <v>176</v>
      </c>
      <c r="S181" s="331">
        <v>45896</v>
      </c>
      <c r="T181" s="325">
        <v>45896</v>
      </c>
      <c r="U181" s="330"/>
      <c r="V181" s="325"/>
      <c r="W181" s="326">
        <v>0</v>
      </c>
      <c r="X181" s="327"/>
      <c r="Y181" s="328"/>
      <c r="Z181" s="329"/>
      <c r="AA181" s="300"/>
      <c r="AB181" s="301"/>
      <c r="AC181" s="302"/>
      <c r="AD181" s="303"/>
      <c r="AE181" s="304"/>
      <c r="AF181" s="305"/>
      <c r="AG181" s="305">
        <f t="shared" ca="1" si="7"/>
        <v>0</v>
      </c>
      <c r="AH181" s="305">
        <f t="shared" ca="1" si="8"/>
        <v>0</v>
      </c>
      <c r="AI181" s="305">
        <f t="shared" si="9"/>
        <v>0</v>
      </c>
      <c r="AJ181" s="305">
        <f t="shared" ca="1" si="10"/>
        <v>0</v>
      </c>
      <c r="AK181" s="305" t="str">
        <f t="shared" ca="1" si="11"/>
        <v/>
      </c>
      <c r="AL181" s="306">
        <f t="shared" ca="1" si="12"/>
        <v>1</v>
      </c>
      <c r="AM181" s="306">
        <f t="shared" ca="1" si="13"/>
        <v>25</v>
      </c>
      <c r="AN181" s="306">
        <f t="shared" ca="1" si="14"/>
        <v>6</v>
      </c>
      <c r="AO181" s="306">
        <f t="shared" ca="1" si="15"/>
        <v>0</v>
      </c>
      <c r="AP181" s="306">
        <f t="shared" ca="1" si="16"/>
        <v>0</v>
      </c>
      <c r="AQ181" s="306">
        <f t="shared" ca="1" si="17"/>
        <v>0</v>
      </c>
      <c r="AR181" s="306">
        <f t="shared" ca="1" si="18"/>
        <v>0</v>
      </c>
      <c r="AS181" s="307"/>
      <c r="AT181" s="306">
        <f t="shared" si="19"/>
        <v>1</v>
      </c>
    </row>
    <row r="182" spans="1:46" ht="15.75" customHeight="1">
      <c r="A182" s="284"/>
      <c r="B182" s="285">
        <f t="shared" ca="1" si="0"/>
        <v>1</v>
      </c>
      <c r="C182" s="286">
        <f t="shared" ca="1" si="1"/>
        <v>26</v>
      </c>
      <c r="D182" s="286" t="str">
        <f t="shared" ca="1" si="2"/>
        <v/>
      </c>
      <c r="E182" s="286" t="str">
        <f t="shared" ca="1" si="3"/>
        <v/>
      </c>
      <c r="F182" s="286" t="str">
        <f t="shared" ca="1" si="4"/>
        <v/>
      </c>
      <c r="G182" s="287" t="str">
        <f t="shared" ca="1" si="5"/>
        <v/>
      </c>
      <c r="H182" s="288" t="str">
        <f t="shared" ca="1" si="6"/>
        <v/>
      </c>
      <c r="I182" s="308"/>
      <c r="J182" s="309" t="s">
        <v>205</v>
      </c>
      <c r="K182" s="310"/>
      <c r="L182" s="310"/>
      <c r="M182" s="310"/>
      <c r="N182" s="310"/>
      <c r="O182" s="310"/>
      <c r="P182" s="310"/>
      <c r="Q182" s="311" t="s">
        <v>81</v>
      </c>
      <c r="R182" s="312"/>
      <c r="S182" s="313"/>
      <c r="T182" s="314"/>
      <c r="U182" s="315"/>
      <c r="V182" s="314"/>
      <c r="W182" s="316"/>
      <c r="X182" s="317"/>
      <c r="Y182" s="318"/>
      <c r="Z182" s="319"/>
      <c r="AA182" s="300"/>
      <c r="AB182" s="301"/>
      <c r="AC182" s="302"/>
      <c r="AD182" s="303"/>
      <c r="AE182" s="304"/>
      <c r="AF182" s="305"/>
      <c r="AG182" s="305">
        <f t="shared" si="7"/>
        <v>0</v>
      </c>
      <c r="AH182" s="305">
        <f t="shared" si="8"/>
        <v>0</v>
      </c>
      <c r="AI182" s="305">
        <f t="shared" si="9"/>
        <v>0</v>
      </c>
      <c r="AJ182" s="305">
        <f t="shared" si="10"/>
        <v>0</v>
      </c>
      <c r="AK182" s="305" t="str">
        <f t="shared" si="11"/>
        <v/>
      </c>
      <c r="AL182" s="306">
        <f t="shared" ca="1" si="12"/>
        <v>1</v>
      </c>
      <c r="AM182" s="306">
        <f t="shared" ca="1" si="13"/>
        <v>26</v>
      </c>
      <c r="AN182" s="306">
        <f t="shared" ca="1" si="14"/>
        <v>0</v>
      </c>
      <c r="AO182" s="306">
        <f t="shared" ca="1" si="15"/>
        <v>0</v>
      </c>
      <c r="AP182" s="306">
        <f t="shared" ca="1" si="16"/>
        <v>0</v>
      </c>
      <c r="AQ182" s="306">
        <f t="shared" ca="1" si="17"/>
        <v>0</v>
      </c>
      <c r="AR182" s="306">
        <f t="shared" ca="1" si="18"/>
        <v>0</v>
      </c>
      <c r="AS182" s="307"/>
      <c r="AT182" s="306">
        <f t="shared" si="19"/>
        <v>1</v>
      </c>
    </row>
    <row r="183" spans="1:46" ht="15.75" customHeight="1">
      <c r="A183" s="284"/>
      <c r="B183" s="285">
        <f t="shared" ca="1" si="0"/>
        <v>1</v>
      </c>
      <c r="C183" s="286">
        <f t="shared" ca="1" si="1"/>
        <v>26</v>
      </c>
      <c r="D183" s="286">
        <f t="shared" ca="1" si="2"/>
        <v>1</v>
      </c>
      <c r="E183" s="286" t="str">
        <f t="shared" ca="1" si="3"/>
        <v/>
      </c>
      <c r="F183" s="286" t="str">
        <f t="shared" ca="1" si="4"/>
        <v/>
      </c>
      <c r="G183" s="287" t="str">
        <f t="shared" ca="1" si="5"/>
        <v/>
      </c>
      <c r="H183" s="288" t="str">
        <f t="shared" ca="1" si="6"/>
        <v/>
      </c>
      <c r="I183" s="308"/>
      <c r="J183" s="320"/>
      <c r="K183" s="320" t="s">
        <v>59</v>
      </c>
      <c r="L183" s="320"/>
      <c r="M183" s="320"/>
      <c r="N183" s="320"/>
      <c r="O183" s="320"/>
      <c r="P183" s="320"/>
      <c r="Q183" s="321"/>
      <c r="R183" s="322" t="s">
        <v>176</v>
      </c>
      <c r="S183" s="331">
        <v>45887</v>
      </c>
      <c r="T183" s="325">
        <v>45890</v>
      </c>
      <c r="U183" s="330"/>
      <c r="V183" s="325"/>
      <c r="W183" s="326">
        <v>0</v>
      </c>
      <c r="X183" s="327"/>
      <c r="Y183" s="328"/>
      <c r="Z183" s="329"/>
      <c r="AA183" s="300"/>
      <c r="AB183" s="301"/>
      <c r="AC183" s="302"/>
      <c r="AD183" s="303"/>
      <c r="AE183" s="304"/>
      <c r="AF183" s="305"/>
      <c r="AG183" s="305">
        <f t="shared" ca="1" si="7"/>
        <v>0</v>
      </c>
      <c r="AH183" s="305">
        <f t="shared" ca="1" si="8"/>
        <v>0</v>
      </c>
      <c r="AI183" s="305">
        <f t="shared" si="9"/>
        <v>0</v>
      </c>
      <c r="AJ183" s="305">
        <f t="shared" ca="1" si="10"/>
        <v>0</v>
      </c>
      <c r="AK183" s="305" t="str">
        <f t="shared" ca="1" si="11"/>
        <v/>
      </c>
      <c r="AL183" s="306">
        <f t="shared" ca="1" si="12"/>
        <v>1</v>
      </c>
      <c r="AM183" s="306">
        <f t="shared" ca="1" si="13"/>
        <v>26</v>
      </c>
      <c r="AN183" s="306">
        <f t="shared" ca="1" si="14"/>
        <v>1</v>
      </c>
      <c r="AO183" s="306">
        <f t="shared" ca="1" si="15"/>
        <v>0</v>
      </c>
      <c r="AP183" s="306">
        <f t="shared" ca="1" si="16"/>
        <v>0</v>
      </c>
      <c r="AQ183" s="306">
        <f t="shared" ca="1" si="17"/>
        <v>0</v>
      </c>
      <c r="AR183" s="306">
        <f t="shared" ca="1" si="18"/>
        <v>0</v>
      </c>
      <c r="AS183" s="307"/>
      <c r="AT183" s="306">
        <f t="shared" si="19"/>
        <v>4</v>
      </c>
    </row>
    <row r="184" spans="1:46" ht="15.75" customHeight="1">
      <c r="A184" s="284"/>
      <c r="B184" s="285">
        <f t="shared" ca="1" si="0"/>
        <v>1</v>
      </c>
      <c r="C184" s="286">
        <f t="shared" ca="1" si="1"/>
        <v>26</v>
      </c>
      <c r="D184" s="286">
        <f t="shared" ca="1" si="2"/>
        <v>2</v>
      </c>
      <c r="E184" s="286" t="str">
        <f t="shared" ca="1" si="3"/>
        <v/>
      </c>
      <c r="F184" s="286" t="str">
        <f t="shared" ca="1" si="4"/>
        <v/>
      </c>
      <c r="G184" s="287" t="str">
        <f t="shared" ca="1" si="5"/>
        <v/>
      </c>
      <c r="H184" s="288" t="str">
        <f t="shared" ca="1" si="6"/>
        <v/>
      </c>
      <c r="I184" s="308"/>
      <c r="J184" s="320"/>
      <c r="K184" s="320" t="s">
        <v>145</v>
      </c>
      <c r="L184" s="320"/>
      <c r="M184" s="320"/>
      <c r="N184" s="320"/>
      <c r="O184" s="320"/>
      <c r="P184" s="320"/>
      <c r="Q184" s="321"/>
      <c r="R184" s="322" t="s">
        <v>175</v>
      </c>
      <c r="S184" s="331">
        <v>45891</v>
      </c>
      <c r="T184" s="325">
        <v>45891</v>
      </c>
      <c r="U184" s="330"/>
      <c r="V184" s="325"/>
      <c r="W184" s="326">
        <v>0</v>
      </c>
      <c r="X184" s="327"/>
      <c r="Y184" s="328"/>
      <c r="Z184" s="329"/>
      <c r="AA184" s="300"/>
      <c r="AB184" s="301"/>
      <c r="AC184" s="302"/>
      <c r="AD184" s="303"/>
      <c r="AE184" s="304"/>
      <c r="AF184" s="305"/>
      <c r="AG184" s="305">
        <f t="shared" ca="1" si="7"/>
        <v>0</v>
      </c>
      <c r="AH184" s="305">
        <f t="shared" ca="1" si="8"/>
        <v>0</v>
      </c>
      <c r="AI184" s="305">
        <f t="shared" si="9"/>
        <v>0</v>
      </c>
      <c r="AJ184" s="305">
        <f t="shared" ca="1" si="10"/>
        <v>0</v>
      </c>
      <c r="AK184" s="305" t="str">
        <f t="shared" ca="1" si="11"/>
        <v/>
      </c>
      <c r="AL184" s="306">
        <f t="shared" ca="1" si="12"/>
        <v>1</v>
      </c>
      <c r="AM184" s="306">
        <f t="shared" ca="1" si="13"/>
        <v>26</v>
      </c>
      <c r="AN184" s="306">
        <f t="shared" ca="1" si="14"/>
        <v>2</v>
      </c>
      <c r="AO184" s="306">
        <f t="shared" ca="1" si="15"/>
        <v>0</v>
      </c>
      <c r="AP184" s="306">
        <f t="shared" ca="1" si="16"/>
        <v>0</v>
      </c>
      <c r="AQ184" s="306">
        <f t="shared" ca="1" si="17"/>
        <v>0</v>
      </c>
      <c r="AR184" s="306">
        <f t="shared" ca="1" si="18"/>
        <v>0</v>
      </c>
      <c r="AS184" s="307"/>
      <c r="AT184" s="306">
        <f t="shared" si="19"/>
        <v>1</v>
      </c>
    </row>
    <row r="185" spans="1:46" ht="15.75" customHeight="1">
      <c r="A185" s="284"/>
      <c r="B185" s="285">
        <f t="shared" ca="1" si="0"/>
        <v>1</v>
      </c>
      <c r="C185" s="286">
        <f t="shared" ca="1" si="1"/>
        <v>26</v>
      </c>
      <c r="D185" s="286">
        <f t="shared" ca="1" si="2"/>
        <v>3</v>
      </c>
      <c r="E185" s="286" t="str">
        <f t="shared" ca="1" si="3"/>
        <v/>
      </c>
      <c r="F185" s="286" t="str">
        <f t="shared" ca="1" si="4"/>
        <v/>
      </c>
      <c r="G185" s="287" t="str">
        <f t="shared" ca="1" si="5"/>
        <v/>
      </c>
      <c r="H185" s="288" t="str">
        <f t="shared" ca="1" si="6"/>
        <v/>
      </c>
      <c r="I185" s="308"/>
      <c r="J185" s="320"/>
      <c r="K185" s="320" t="s">
        <v>63</v>
      </c>
      <c r="L185" s="320"/>
      <c r="M185" s="320"/>
      <c r="N185" s="320"/>
      <c r="O185" s="320"/>
      <c r="P185" s="320"/>
      <c r="Q185" s="321"/>
      <c r="R185" s="322" t="s">
        <v>176</v>
      </c>
      <c r="S185" s="331">
        <v>45894</v>
      </c>
      <c r="T185" s="325">
        <v>45894</v>
      </c>
      <c r="U185" s="330"/>
      <c r="V185" s="325"/>
      <c r="W185" s="326">
        <v>0</v>
      </c>
      <c r="X185" s="327"/>
      <c r="Y185" s="328"/>
      <c r="Z185" s="329"/>
      <c r="AA185" s="300"/>
      <c r="AB185" s="301"/>
      <c r="AC185" s="302"/>
      <c r="AD185" s="303"/>
      <c r="AE185" s="304"/>
      <c r="AF185" s="305"/>
      <c r="AG185" s="305">
        <f t="shared" ca="1" si="7"/>
        <v>0</v>
      </c>
      <c r="AH185" s="305">
        <f t="shared" ca="1" si="8"/>
        <v>0</v>
      </c>
      <c r="AI185" s="305">
        <f t="shared" si="9"/>
        <v>0</v>
      </c>
      <c r="AJ185" s="305">
        <f t="shared" ca="1" si="10"/>
        <v>0</v>
      </c>
      <c r="AK185" s="305" t="str">
        <f t="shared" ca="1" si="11"/>
        <v/>
      </c>
      <c r="AL185" s="306">
        <f t="shared" ca="1" si="12"/>
        <v>1</v>
      </c>
      <c r="AM185" s="306">
        <f t="shared" ca="1" si="13"/>
        <v>26</v>
      </c>
      <c r="AN185" s="306">
        <f t="shared" ca="1" si="14"/>
        <v>3</v>
      </c>
      <c r="AO185" s="306">
        <f t="shared" ca="1" si="15"/>
        <v>0</v>
      </c>
      <c r="AP185" s="306">
        <f t="shared" ca="1" si="16"/>
        <v>0</v>
      </c>
      <c r="AQ185" s="306">
        <f t="shared" ca="1" si="17"/>
        <v>0</v>
      </c>
      <c r="AR185" s="306">
        <f t="shared" ca="1" si="18"/>
        <v>0</v>
      </c>
      <c r="AS185" s="307"/>
      <c r="AT185" s="306">
        <f t="shared" si="19"/>
        <v>1</v>
      </c>
    </row>
    <row r="186" spans="1:46" ht="15.75" customHeight="1">
      <c r="A186" s="284"/>
      <c r="B186" s="285">
        <f t="shared" ca="1" si="0"/>
        <v>1</v>
      </c>
      <c r="C186" s="286">
        <f t="shared" ca="1" si="1"/>
        <v>26</v>
      </c>
      <c r="D186" s="286">
        <f t="shared" ca="1" si="2"/>
        <v>4</v>
      </c>
      <c r="E186" s="286" t="str">
        <f t="shared" ca="1" si="3"/>
        <v/>
      </c>
      <c r="F186" s="286" t="str">
        <f t="shared" ca="1" si="4"/>
        <v/>
      </c>
      <c r="G186" s="287" t="str">
        <f t="shared" ca="1" si="5"/>
        <v/>
      </c>
      <c r="H186" s="288" t="str">
        <f t="shared" ca="1" si="6"/>
        <v/>
      </c>
      <c r="I186" s="308"/>
      <c r="J186" s="320"/>
      <c r="K186" s="320" t="s">
        <v>64</v>
      </c>
      <c r="L186" s="320"/>
      <c r="M186" s="320"/>
      <c r="N186" s="320"/>
      <c r="O186" s="320"/>
      <c r="P186" s="320"/>
      <c r="Q186" s="321"/>
      <c r="R186" s="322" t="s">
        <v>175</v>
      </c>
      <c r="S186" s="331">
        <v>45894</v>
      </c>
      <c r="T186" s="325">
        <v>45894</v>
      </c>
      <c r="U186" s="330"/>
      <c r="V186" s="325"/>
      <c r="W186" s="326">
        <v>0</v>
      </c>
      <c r="X186" s="327"/>
      <c r="Y186" s="328"/>
      <c r="Z186" s="329"/>
      <c r="AA186" s="300"/>
      <c r="AB186" s="301"/>
      <c r="AC186" s="302"/>
      <c r="AD186" s="303"/>
      <c r="AE186" s="304"/>
      <c r="AF186" s="305"/>
      <c r="AG186" s="305">
        <f t="shared" ca="1" si="7"/>
        <v>0</v>
      </c>
      <c r="AH186" s="305">
        <f t="shared" ca="1" si="8"/>
        <v>0</v>
      </c>
      <c r="AI186" s="305">
        <f t="shared" si="9"/>
        <v>0</v>
      </c>
      <c r="AJ186" s="305">
        <f t="shared" ca="1" si="10"/>
        <v>0</v>
      </c>
      <c r="AK186" s="305" t="str">
        <f t="shared" ca="1" si="11"/>
        <v/>
      </c>
      <c r="AL186" s="306">
        <f t="shared" ca="1" si="12"/>
        <v>1</v>
      </c>
      <c r="AM186" s="306">
        <f t="shared" ca="1" si="13"/>
        <v>26</v>
      </c>
      <c r="AN186" s="306">
        <f t="shared" ca="1" si="14"/>
        <v>4</v>
      </c>
      <c r="AO186" s="306">
        <f t="shared" ca="1" si="15"/>
        <v>0</v>
      </c>
      <c r="AP186" s="306">
        <f t="shared" ca="1" si="16"/>
        <v>0</v>
      </c>
      <c r="AQ186" s="306">
        <f t="shared" ca="1" si="17"/>
        <v>0</v>
      </c>
      <c r="AR186" s="306">
        <f t="shared" ca="1" si="18"/>
        <v>0</v>
      </c>
      <c r="AS186" s="307"/>
      <c r="AT186" s="306">
        <f t="shared" si="19"/>
        <v>1</v>
      </c>
    </row>
    <row r="187" spans="1:46" ht="15.75" customHeight="1">
      <c r="A187" s="284"/>
      <c r="B187" s="285">
        <f t="shared" ca="1" si="0"/>
        <v>1</v>
      </c>
      <c r="C187" s="286">
        <f t="shared" ca="1" si="1"/>
        <v>26</v>
      </c>
      <c r="D187" s="286">
        <f t="shared" ca="1" si="2"/>
        <v>5</v>
      </c>
      <c r="E187" s="286" t="str">
        <f t="shared" ca="1" si="3"/>
        <v/>
      </c>
      <c r="F187" s="286" t="str">
        <f t="shared" ca="1" si="4"/>
        <v/>
      </c>
      <c r="G187" s="287" t="str">
        <f t="shared" ca="1" si="5"/>
        <v/>
      </c>
      <c r="H187" s="288" t="str">
        <f t="shared" ca="1" si="6"/>
        <v/>
      </c>
      <c r="I187" s="308"/>
      <c r="J187" s="320"/>
      <c r="K187" s="320" t="s">
        <v>65</v>
      </c>
      <c r="L187" s="320"/>
      <c r="M187" s="320"/>
      <c r="N187" s="320"/>
      <c r="O187" s="320"/>
      <c r="P187" s="320"/>
      <c r="Q187" s="321"/>
      <c r="R187" s="322" t="s">
        <v>176</v>
      </c>
      <c r="S187" s="331">
        <v>45895</v>
      </c>
      <c r="T187" s="325">
        <v>45895</v>
      </c>
      <c r="U187" s="330"/>
      <c r="V187" s="325"/>
      <c r="W187" s="326">
        <v>0</v>
      </c>
      <c r="X187" s="327"/>
      <c r="Y187" s="328"/>
      <c r="Z187" s="329"/>
      <c r="AA187" s="300"/>
      <c r="AB187" s="301"/>
      <c r="AC187" s="302"/>
      <c r="AD187" s="303"/>
      <c r="AE187" s="304"/>
      <c r="AF187" s="305"/>
      <c r="AG187" s="305">
        <f t="shared" ca="1" si="7"/>
        <v>0</v>
      </c>
      <c r="AH187" s="305">
        <f t="shared" ca="1" si="8"/>
        <v>0</v>
      </c>
      <c r="AI187" s="305">
        <f t="shared" si="9"/>
        <v>0</v>
      </c>
      <c r="AJ187" s="305">
        <f t="shared" ca="1" si="10"/>
        <v>0</v>
      </c>
      <c r="AK187" s="305" t="str">
        <f t="shared" ca="1" si="11"/>
        <v/>
      </c>
      <c r="AL187" s="306">
        <f t="shared" ca="1" si="12"/>
        <v>1</v>
      </c>
      <c r="AM187" s="306">
        <f t="shared" ca="1" si="13"/>
        <v>26</v>
      </c>
      <c r="AN187" s="306">
        <f t="shared" ca="1" si="14"/>
        <v>5</v>
      </c>
      <c r="AO187" s="306">
        <f t="shared" ca="1" si="15"/>
        <v>0</v>
      </c>
      <c r="AP187" s="306">
        <f t="shared" ca="1" si="16"/>
        <v>0</v>
      </c>
      <c r="AQ187" s="306">
        <f t="shared" ca="1" si="17"/>
        <v>0</v>
      </c>
      <c r="AR187" s="306">
        <f t="shared" ca="1" si="18"/>
        <v>0</v>
      </c>
      <c r="AS187" s="307"/>
      <c r="AT187" s="306">
        <f t="shared" si="19"/>
        <v>1</v>
      </c>
    </row>
    <row r="188" spans="1:46" ht="15.75" customHeight="1">
      <c r="A188" s="284"/>
      <c r="B188" s="285">
        <f t="shared" ca="1" si="0"/>
        <v>1</v>
      </c>
      <c r="C188" s="286">
        <f t="shared" ca="1" si="1"/>
        <v>26</v>
      </c>
      <c r="D188" s="286">
        <f t="shared" ca="1" si="2"/>
        <v>6</v>
      </c>
      <c r="E188" s="286" t="str">
        <f t="shared" ca="1" si="3"/>
        <v/>
      </c>
      <c r="F188" s="286" t="str">
        <f t="shared" ca="1" si="4"/>
        <v/>
      </c>
      <c r="G188" s="287" t="str">
        <f t="shared" ca="1" si="5"/>
        <v/>
      </c>
      <c r="H188" s="288" t="str">
        <f t="shared" ca="1" si="6"/>
        <v/>
      </c>
      <c r="I188" s="308"/>
      <c r="J188" s="320"/>
      <c r="K188" s="320" t="s">
        <v>66</v>
      </c>
      <c r="L188" s="320"/>
      <c r="M188" s="320"/>
      <c r="N188" s="320"/>
      <c r="O188" s="320"/>
      <c r="P188" s="320"/>
      <c r="Q188" s="321"/>
      <c r="R188" s="322" t="s">
        <v>175</v>
      </c>
      <c r="S188" s="331">
        <v>45896</v>
      </c>
      <c r="T188" s="325">
        <v>45896</v>
      </c>
      <c r="U188" s="330"/>
      <c r="V188" s="325"/>
      <c r="W188" s="326">
        <v>0</v>
      </c>
      <c r="X188" s="327"/>
      <c r="Y188" s="328"/>
      <c r="Z188" s="329"/>
      <c r="AA188" s="300"/>
      <c r="AB188" s="301"/>
      <c r="AC188" s="302"/>
      <c r="AD188" s="303"/>
      <c r="AE188" s="304"/>
      <c r="AF188" s="305"/>
      <c r="AG188" s="305">
        <f t="shared" ca="1" si="7"/>
        <v>0</v>
      </c>
      <c r="AH188" s="305">
        <f t="shared" ca="1" si="8"/>
        <v>0</v>
      </c>
      <c r="AI188" s="305">
        <f t="shared" si="9"/>
        <v>0</v>
      </c>
      <c r="AJ188" s="305">
        <f t="shared" ca="1" si="10"/>
        <v>0</v>
      </c>
      <c r="AK188" s="305" t="str">
        <f t="shared" ca="1" si="11"/>
        <v/>
      </c>
      <c r="AL188" s="306">
        <f t="shared" ca="1" si="12"/>
        <v>1</v>
      </c>
      <c r="AM188" s="306">
        <f t="shared" ca="1" si="13"/>
        <v>26</v>
      </c>
      <c r="AN188" s="306">
        <f t="shared" ca="1" si="14"/>
        <v>6</v>
      </c>
      <c r="AO188" s="306">
        <f t="shared" ca="1" si="15"/>
        <v>0</v>
      </c>
      <c r="AP188" s="306">
        <f t="shared" ca="1" si="16"/>
        <v>0</v>
      </c>
      <c r="AQ188" s="306">
        <f t="shared" ca="1" si="17"/>
        <v>0</v>
      </c>
      <c r="AR188" s="306">
        <f t="shared" ca="1" si="18"/>
        <v>0</v>
      </c>
      <c r="AS188" s="307"/>
      <c r="AT188" s="306">
        <f t="shared" si="19"/>
        <v>1</v>
      </c>
    </row>
    <row r="189" spans="1:46" ht="15.75" customHeight="1">
      <c r="A189" s="284"/>
      <c r="B189" s="285">
        <f t="shared" ca="1" si="0"/>
        <v>1</v>
      </c>
      <c r="C189" s="286">
        <f t="shared" ca="1" si="1"/>
        <v>27</v>
      </c>
      <c r="D189" s="286" t="str">
        <f t="shared" ca="1" si="2"/>
        <v/>
      </c>
      <c r="E189" s="286" t="str">
        <f t="shared" ca="1" si="3"/>
        <v/>
      </c>
      <c r="F189" s="286" t="str">
        <f t="shared" ca="1" si="4"/>
        <v/>
      </c>
      <c r="G189" s="287" t="str">
        <f t="shared" ca="1" si="5"/>
        <v/>
      </c>
      <c r="H189" s="288" t="str">
        <f t="shared" ca="1" si="6"/>
        <v/>
      </c>
      <c r="I189" s="308"/>
      <c r="J189" s="309" t="s">
        <v>206</v>
      </c>
      <c r="K189" s="310"/>
      <c r="L189" s="310"/>
      <c r="M189" s="310"/>
      <c r="N189" s="310"/>
      <c r="O189" s="310"/>
      <c r="P189" s="310"/>
      <c r="Q189" s="311" t="s">
        <v>81</v>
      </c>
      <c r="R189" s="312"/>
      <c r="S189" s="313"/>
      <c r="T189" s="314"/>
      <c r="U189" s="315"/>
      <c r="V189" s="314"/>
      <c r="W189" s="316"/>
      <c r="X189" s="317"/>
      <c r="Y189" s="318"/>
      <c r="Z189" s="319"/>
      <c r="AA189" s="300"/>
      <c r="AB189" s="301"/>
      <c r="AC189" s="302"/>
      <c r="AD189" s="303"/>
      <c r="AE189" s="304"/>
      <c r="AF189" s="305"/>
      <c r="AG189" s="305">
        <f t="shared" si="7"/>
        <v>0</v>
      </c>
      <c r="AH189" s="305">
        <f t="shared" si="8"/>
        <v>0</v>
      </c>
      <c r="AI189" s="305">
        <f t="shared" si="9"/>
        <v>0</v>
      </c>
      <c r="AJ189" s="305">
        <f t="shared" si="10"/>
        <v>0</v>
      </c>
      <c r="AK189" s="305" t="str">
        <f t="shared" si="11"/>
        <v/>
      </c>
      <c r="AL189" s="306">
        <f t="shared" ca="1" si="12"/>
        <v>1</v>
      </c>
      <c r="AM189" s="306">
        <f t="shared" ca="1" si="13"/>
        <v>27</v>
      </c>
      <c r="AN189" s="306">
        <f t="shared" ca="1" si="14"/>
        <v>0</v>
      </c>
      <c r="AO189" s="306">
        <f t="shared" ca="1" si="15"/>
        <v>0</v>
      </c>
      <c r="AP189" s="306">
        <f t="shared" ca="1" si="16"/>
        <v>0</v>
      </c>
      <c r="AQ189" s="306">
        <f t="shared" ca="1" si="17"/>
        <v>0</v>
      </c>
      <c r="AR189" s="306">
        <f t="shared" ca="1" si="18"/>
        <v>0</v>
      </c>
      <c r="AS189" s="307"/>
      <c r="AT189" s="306">
        <f t="shared" si="19"/>
        <v>1</v>
      </c>
    </row>
    <row r="190" spans="1:46" ht="15.75" customHeight="1">
      <c r="A190" s="284"/>
      <c r="B190" s="285">
        <f t="shared" ca="1" si="0"/>
        <v>1</v>
      </c>
      <c r="C190" s="286">
        <f t="shared" ca="1" si="1"/>
        <v>27</v>
      </c>
      <c r="D190" s="286">
        <f t="shared" ca="1" si="2"/>
        <v>1</v>
      </c>
      <c r="E190" s="286" t="str">
        <f t="shared" ca="1" si="3"/>
        <v/>
      </c>
      <c r="F190" s="286" t="str">
        <f t="shared" ca="1" si="4"/>
        <v/>
      </c>
      <c r="G190" s="287" t="str">
        <f t="shared" ca="1" si="5"/>
        <v/>
      </c>
      <c r="H190" s="288" t="str">
        <f t="shared" ca="1" si="6"/>
        <v/>
      </c>
      <c r="I190" s="308"/>
      <c r="J190" s="320"/>
      <c r="K190" s="320" t="s">
        <v>59</v>
      </c>
      <c r="L190" s="320"/>
      <c r="M190" s="320"/>
      <c r="N190" s="320"/>
      <c r="O190" s="320"/>
      <c r="P190" s="320"/>
      <c r="Q190" s="321"/>
      <c r="R190" s="322" t="s">
        <v>180</v>
      </c>
      <c r="S190" s="331">
        <v>45876</v>
      </c>
      <c r="T190" s="325">
        <v>45882</v>
      </c>
      <c r="U190" s="330"/>
      <c r="V190" s="325"/>
      <c r="W190" s="326">
        <v>0</v>
      </c>
      <c r="X190" s="327"/>
      <c r="Y190" s="328"/>
      <c r="Z190" s="329"/>
      <c r="AA190" s="300"/>
      <c r="AB190" s="301"/>
      <c r="AC190" s="302"/>
      <c r="AD190" s="303"/>
      <c r="AE190" s="304"/>
      <c r="AF190" s="305"/>
      <c r="AG190" s="305">
        <f t="shared" ca="1" si="7"/>
        <v>0</v>
      </c>
      <c r="AH190" s="305">
        <f t="shared" ca="1" si="8"/>
        <v>0</v>
      </c>
      <c r="AI190" s="305">
        <f t="shared" si="9"/>
        <v>0</v>
      </c>
      <c r="AJ190" s="305">
        <f t="shared" ca="1" si="10"/>
        <v>0</v>
      </c>
      <c r="AK190" s="305" t="str">
        <f t="shared" ca="1" si="11"/>
        <v/>
      </c>
      <c r="AL190" s="306">
        <f t="shared" ca="1" si="12"/>
        <v>1</v>
      </c>
      <c r="AM190" s="306">
        <f t="shared" ca="1" si="13"/>
        <v>27</v>
      </c>
      <c r="AN190" s="306">
        <f t="shared" ca="1" si="14"/>
        <v>1</v>
      </c>
      <c r="AO190" s="306">
        <f t="shared" ca="1" si="15"/>
        <v>0</v>
      </c>
      <c r="AP190" s="306">
        <f t="shared" ca="1" si="16"/>
        <v>0</v>
      </c>
      <c r="AQ190" s="306">
        <f t="shared" ca="1" si="17"/>
        <v>0</v>
      </c>
      <c r="AR190" s="306">
        <f t="shared" ca="1" si="18"/>
        <v>0</v>
      </c>
      <c r="AS190" s="307"/>
      <c r="AT190" s="306">
        <f t="shared" si="19"/>
        <v>7</v>
      </c>
    </row>
    <row r="191" spans="1:46" ht="15.75" customHeight="1">
      <c r="A191" s="284"/>
      <c r="B191" s="285">
        <f t="shared" ca="1" si="0"/>
        <v>1</v>
      </c>
      <c r="C191" s="286">
        <f t="shared" ca="1" si="1"/>
        <v>27</v>
      </c>
      <c r="D191" s="286">
        <f t="shared" ca="1" si="2"/>
        <v>2</v>
      </c>
      <c r="E191" s="286" t="str">
        <f t="shared" ca="1" si="3"/>
        <v/>
      </c>
      <c r="F191" s="286" t="str">
        <f t="shared" ca="1" si="4"/>
        <v/>
      </c>
      <c r="G191" s="287" t="str">
        <f t="shared" ca="1" si="5"/>
        <v/>
      </c>
      <c r="H191" s="288" t="str">
        <f t="shared" ca="1" si="6"/>
        <v/>
      </c>
      <c r="I191" s="308"/>
      <c r="J191" s="320"/>
      <c r="K191" s="320" t="s">
        <v>145</v>
      </c>
      <c r="L191" s="320"/>
      <c r="M191" s="320"/>
      <c r="N191" s="320"/>
      <c r="O191" s="320"/>
      <c r="P191" s="320"/>
      <c r="Q191" s="321"/>
      <c r="R191" s="322" t="s">
        <v>181</v>
      </c>
      <c r="S191" s="331">
        <v>45883</v>
      </c>
      <c r="T191" s="325">
        <v>45883</v>
      </c>
      <c r="U191" s="330"/>
      <c r="V191" s="325"/>
      <c r="W191" s="326">
        <v>0</v>
      </c>
      <c r="X191" s="327"/>
      <c r="Y191" s="328"/>
      <c r="Z191" s="329"/>
      <c r="AA191" s="300"/>
      <c r="AB191" s="301"/>
      <c r="AC191" s="302"/>
      <c r="AD191" s="303"/>
      <c r="AE191" s="304"/>
      <c r="AF191" s="305"/>
      <c r="AG191" s="305">
        <f t="shared" ca="1" si="7"/>
        <v>0</v>
      </c>
      <c r="AH191" s="305">
        <f t="shared" ca="1" si="8"/>
        <v>0</v>
      </c>
      <c r="AI191" s="305">
        <f t="shared" si="9"/>
        <v>0</v>
      </c>
      <c r="AJ191" s="305">
        <f t="shared" ca="1" si="10"/>
        <v>0</v>
      </c>
      <c r="AK191" s="305" t="str">
        <f t="shared" ca="1" si="11"/>
        <v/>
      </c>
      <c r="AL191" s="306">
        <f t="shared" ca="1" si="12"/>
        <v>1</v>
      </c>
      <c r="AM191" s="306">
        <f t="shared" ca="1" si="13"/>
        <v>27</v>
      </c>
      <c r="AN191" s="306">
        <f t="shared" ca="1" si="14"/>
        <v>2</v>
      </c>
      <c r="AO191" s="306">
        <f t="shared" ca="1" si="15"/>
        <v>0</v>
      </c>
      <c r="AP191" s="306">
        <f t="shared" ca="1" si="16"/>
        <v>0</v>
      </c>
      <c r="AQ191" s="306">
        <f t="shared" ca="1" si="17"/>
        <v>0</v>
      </c>
      <c r="AR191" s="306">
        <f t="shared" ca="1" si="18"/>
        <v>0</v>
      </c>
      <c r="AS191" s="307"/>
      <c r="AT191" s="306">
        <f t="shared" si="19"/>
        <v>1</v>
      </c>
    </row>
    <row r="192" spans="1:46" ht="15.75" customHeight="1">
      <c r="A192" s="284"/>
      <c r="B192" s="285">
        <f t="shared" ca="1" si="0"/>
        <v>1</v>
      </c>
      <c r="C192" s="286">
        <f t="shared" ca="1" si="1"/>
        <v>27</v>
      </c>
      <c r="D192" s="286">
        <f t="shared" ca="1" si="2"/>
        <v>3</v>
      </c>
      <c r="E192" s="286" t="str">
        <f t="shared" ca="1" si="3"/>
        <v/>
      </c>
      <c r="F192" s="286" t="str">
        <f t="shared" ca="1" si="4"/>
        <v/>
      </c>
      <c r="G192" s="287" t="str">
        <f t="shared" ca="1" si="5"/>
        <v/>
      </c>
      <c r="H192" s="288" t="str">
        <f t="shared" ca="1" si="6"/>
        <v/>
      </c>
      <c r="I192" s="308"/>
      <c r="J192" s="320"/>
      <c r="K192" s="320" t="s">
        <v>63</v>
      </c>
      <c r="L192" s="320"/>
      <c r="M192" s="320"/>
      <c r="N192" s="320"/>
      <c r="O192" s="320"/>
      <c r="P192" s="320"/>
      <c r="Q192" s="321"/>
      <c r="R192" s="322" t="s">
        <v>180</v>
      </c>
      <c r="S192" s="331">
        <v>45884</v>
      </c>
      <c r="T192" s="325">
        <v>45884</v>
      </c>
      <c r="U192" s="330"/>
      <c r="V192" s="325"/>
      <c r="W192" s="326">
        <v>0</v>
      </c>
      <c r="X192" s="327"/>
      <c r="Y192" s="328"/>
      <c r="Z192" s="329"/>
      <c r="AA192" s="300"/>
      <c r="AB192" s="301"/>
      <c r="AC192" s="302"/>
      <c r="AD192" s="303"/>
      <c r="AE192" s="304"/>
      <c r="AF192" s="305"/>
      <c r="AG192" s="305">
        <f t="shared" ca="1" si="7"/>
        <v>0</v>
      </c>
      <c r="AH192" s="305">
        <f t="shared" ca="1" si="8"/>
        <v>0</v>
      </c>
      <c r="AI192" s="305">
        <f t="shared" si="9"/>
        <v>0</v>
      </c>
      <c r="AJ192" s="305">
        <f t="shared" ca="1" si="10"/>
        <v>0</v>
      </c>
      <c r="AK192" s="305" t="str">
        <f t="shared" ca="1" si="11"/>
        <v/>
      </c>
      <c r="AL192" s="306">
        <f t="shared" ca="1" si="12"/>
        <v>1</v>
      </c>
      <c r="AM192" s="306">
        <f t="shared" ca="1" si="13"/>
        <v>27</v>
      </c>
      <c r="AN192" s="306">
        <f t="shared" ca="1" si="14"/>
        <v>3</v>
      </c>
      <c r="AO192" s="306">
        <f t="shared" ca="1" si="15"/>
        <v>0</v>
      </c>
      <c r="AP192" s="306">
        <f t="shared" ca="1" si="16"/>
        <v>0</v>
      </c>
      <c r="AQ192" s="306">
        <f t="shared" ca="1" si="17"/>
        <v>0</v>
      </c>
      <c r="AR192" s="306">
        <f t="shared" ca="1" si="18"/>
        <v>0</v>
      </c>
      <c r="AS192" s="307"/>
      <c r="AT192" s="306">
        <f t="shared" si="19"/>
        <v>1</v>
      </c>
    </row>
    <row r="193" spans="1:46" ht="15.75" customHeight="1">
      <c r="A193" s="284"/>
      <c r="B193" s="285">
        <f t="shared" ca="1" si="0"/>
        <v>1</v>
      </c>
      <c r="C193" s="286">
        <f t="shared" ca="1" si="1"/>
        <v>27</v>
      </c>
      <c r="D193" s="286">
        <f t="shared" ca="1" si="2"/>
        <v>4</v>
      </c>
      <c r="E193" s="286" t="str">
        <f t="shared" ca="1" si="3"/>
        <v/>
      </c>
      <c r="F193" s="286" t="str">
        <f t="shared" ca="1" si="4"/>
        <v/>
      </c>
      <c r="G193" s="287" t="str">
        <f t="shared" ca="1" si="5"/>
        <v/>
      </c>
      <c r="H193" s="288" t="str">
        <f t="shared" ca="1" si="6"/>
        <v/>
      </c>
      <c r="I193" s="308"/>
      <c r="J193" s="320"/>
      <c r="K193" s="320" t="s">
        <v>64</v>
      </c>
      <c r="L193" s="320"/>
      <c r="M193" s="320"/>
      <c r="N193" s="320"/>
      <c r="O193" s="320"/>
      <c r="P193" s="320"/>
      <c r="Q193" s="321"/>
      <c r="R193" s="322" t="s">
        <v>181</v>
      </c>
      <c r="S193" s="331">
        <v>45884</v>
      </c>
      <c r="T193" s="325">
        <v>45884</v>
      </c>
      <c r="U193" s="330"/>
      <c r="V193" s="325"/>
      <c r="W193" s="326">
        <v>0</v>
      </c>
      <c r="X193" s="327"/>
      <c r="Y193" s="328"/>
      <c r="Z193" s="329"/>
      <c r="AA193" s="300"/>
      <c r="AB193" s="301"/>
      <c r="AC193" s="302"/>
      <c r="AD193" s="303"/>
      <c r="AE193" s="304"/>
      <c r="AF193" s="305"/>
      <c r="AG193" s="305">
        <f t="shared" ca="1" si="7"/>
        <v>0</v>
      </c>
      <c r="AH193" s="305">
        <f t="shared" ca="1" si="8"/>
        <v>0</v>
      </c>
      <c r="AI193" s="305">
        <f t="shared" si="9"/>
        <v>0</v>
      </c>
      <c r="AJ193" s="305">
        <f t="shared" ca="1" si="10"/>
        <v>0</v>
      </c>
      <c r="AK193" s="305" t="str">
        <f t="shared" ca="1" si="11"/>
        <v/>
      </c>
      <c r="AL193" s="306">
        <f t="shared" ca="1" si="12"/>
        <v>1</v>
      </c>
      <c r="AM193" s="306">
        <f t="shared" ca="1" si="13"/>
        <v>27</v>
      </c>
      <c r="AN193" s="306">
        <f t="shared" ca="1" si="14"/>
        <v>4</v>
      </c>
      <c r="AO193" s="306">
        <f t="shared" ca="1" si="15"/>
        <v>0</v>
      </c>
      <c r="AP193" s="306">
        <f t="shared" ca="1" si="16"/>
        <v>0</v>
      </c>
      <c r="AQ193" s="306">
        <f t="shared" ca="1" si="17"/>
        <v>0</v>
      </c>
      <c r="AR193" s="306">
        <f t="shared" ca="1" si="18"/>
        <v>0</v>
      </c>
      <c r="AS193" s="307"/>
      <c r="AT193" s="306">
        <f t="shared" si="19"/>
        <v>1</v>
      </c>
    </row>
    <row r="194" spans="1:46" ht="15.75" customHeight="1">
      <c r="A194" s="284"/>
      <c r="B194" s="285">
        <f t="shared" ca="1" si="0"/>
        <v>1</v>
      </c>
      <c r="C194" s="286">
        <f t="shared" ca="1" si="1"/>
        <v>27</v>
      </c>
      <c r="D194" s="286">
        <f t="shared" ca="1" si="2"/>
        <v>5</v>
      </c>
      <c r="E194" s="286" t="str">
        <f t="shared" ca="1" si="3"/>
        <v/>
      </c>
      <c r="F194" s="286" t="str">
        <f t="shared" ca="1" si="4"/>
        <v/>
      </c>
      <c r="G194" s="287" t="str">
        <f t="shared" ca="1" si="5"/>
        <v/>
      </c>
      <c r="H194" s="288" t="str">
        <f t="shared" ca="1" si="6"/>
        <v/>
      </c>
      <c r="I194" s="308"/>
      <c r="J194" s="320"/>
      <c r="K194" s="320" t="s">
        <v>65</v>
      </c>
      <c r="L194" s="320"/>
      <c r="M194" s="320"/>
      <c r="N194" s="320"/>
      <c r="O194" s="320"/>
      <c r="P194" s="320"/>
      <c r="Q194" s="321"/>
      <c r="R194" s="322" t="s">
        <v>180</v>
      </c>
      <c r="S194" s="331">
        <v>45887</v>
      </c>
      <c r="T194" s="325">
        <v>45887</v>
      </c>
      <c r="U194" s="330"/>
      <c r="V194" s="325"/>
      <c r="W194" s="326">
        <v>0</v>
      </c>
      <c r="X194" s="327"/>
      <c r="Y194" s="328"/>
      <c r="Z194" s="329"/>
      <c r="AA194" s="300"/>
      <c r="AB194" s="301"/>
      <c r="AC194" s="302"/>
      <c r="AD194" s="303"/>
      <c r="AE194" s="304"/>
      <c r="AF194" s="305"/>
      <c r="AG194" s="305">
        <f t="shared" ca="1" si="7"/>
        <v>0</v>
      </c>
      <c r="AH194" s="305">
        <f t="shared" ca="1" si="8"/>
        <v>0</v>
      </c>
      <c r="AI194" s="305">
        <f t="shared" si="9"/>
        <v>0</v>
      </c>
      <c r="AJ194" s="305">
        <f t="shared" ca="1" si="10"/>
        <v>0</v>
      </c>
      <c r="AK194" s="305" t="str">
        <f t="shared" ca="1" si="11"/>
        <v/>
      </c>
      <c r="AL194" s="306">
        <f t="shared" ca="1" si="12"/>
        <v>1</v>
      </c>
      <c r="AM194" s="306">
        <f t="shared" ca="1" si="13"/>
        <v>27</v>
      </c>
      <c r="AN194" s="306">
        <f t="shared" ca="1" si="14"/>
        <v>5</v>
      </c>
      <c r="AO194" s="306">
        <f t="shared" ca="1" si="15"/>
        <v>0</v>
      </c>
      <c r="AP194" s="306">
        <f t="shared" ca="1" si="16"/>
        <v>0</v>
      </c>
      <c r="AQ194" s="306">
        <f t="shared" ca="1" si="17"/>
        <v>0</v>
      </c>
      <c r="AR194" s="306">
        <f t="shared" ca="1" si="18"/>
        <v>0</v>
      </c>
      <c r="AS194" s="307"/>
      <c r="AT194" s="306">
        <f t="shared" si="19"/>
        <v>1</v>
      </c>
    </row>
    <row r="195" spans="1:46" ht="15.75" customHeight="1">
      <c r="A195" s="284"/>
      <c r="B195" s="285">
        <f t="shared" ca="1" si="0"/>
        <v>1</v>
      </c>
      <c r="C195" s="286">
        <f t="shared" ca="1" si="1"/>
        <v>27</v>
      </c>
      <c r="D195" s="286">
        <f t="shared" ca="1" si="2"/>
        <v>6</v>
      </c>
      <c r="E195" s="286" t="str">
        <f t="shared" ca="1" si="3"/>
        <v/>
      </c>
      <c r="F195" s="286" t="str">
        <f t="shared" ca="1" si="4"/>
        <v/>
      </c>
      <c r="G195" s="287" t="str">
        <f t="shared" ca="1" si="5"/>
        <v/>
      </c>
      <c r="H195" s="288" t="str">
        <f t="shared" ca="1" si="6"/>
        <v/>
      </c>
      <c r="I195" s="308"/>
      <c r="J195" s="320"/>
      <c r="K195" s="320" t="s">
        <v>66</v>
      </c>
      <c r="L195" s="320"/>
      <c r="M195" s="320"/>
      <c r="N195" s="320"/>
      <c r="O195" s="320"/>
      <c r="P195" s="320"/>
      <c r="Q195" s="321"/>
      <c r="R195" s="322" t="s">
        <v>181</v>
      </c>
      <c r="S195" s="331">
        <v>45888</v>
      </c>
      <c r="T195" s="325">
        <v>45888</v>
      </c>
      <c r="U195" s="330"/>
      <c r="V195" s="325"/>
      <c r="W195" s="326">
        <v>0</v>
      </c>
      <c r="X195" s="327"/>
      <c r="Y195" s="328"/>
      <c r="Z195" s="329"/>
      <c r="AA195" s="300"/>
      <c r="AB195" s="301"/>
      <c r="AC195" s="302"/>
      <c r="AD195" s="303"/>
      <c r="AE195" s="304"/>
      <c r="AF195" s="305"/>
      <c r="AG195" s="305">
        <f t="shared" ca="1" si="7"/>
        <v>0</v>
      </c>
      <c r="AH195" s="305">
        <f t="shared" ca="1" si="8"/>
        <v>0</v>
      </c>
      <c r="AI195" s="305">
        <f t="shared" si="9"/>
        <v>0</v>
      </c>
      <c r="AJ195" s="305">
        <f t="shared" ca="1" si="10"/>
        <v>0</v>
      </c>
      <c r="AK195" s="305" t="str">
        <f t="shared" ca="1" si="11"/>
        <v/>
      </c>
      <c r="AL195" s="306">
        <f t="shared" ca="1" si="12"/>
        <v>1</v>
      </c>
      <c r="AM195" s="306">
        <f t="shared" ca="1" si="13"/>
        <v>27</v>
      </c>
      <c r="AN195" s="306">
        <f t="shared" ca="1" si="14"/>
        <v>6</v>
      </c>
      <c r="AO195" s="306">
        <f t="shared" ca="1" si="15"/>
        <v>0</v>
      </c>
      <c r="AP195" s="306">
        <f t="shared" ca="1" si="16"/>
        <v>0</v>
      </c>
      <c r="AQ195" s="306">
        <f t="shared" ca="1" si="17"/>
        <v>0</v>
      </c>
      <c r="AR195" s="306">
        <f t="shared" ca="1" si="18"/>
        <v>0</v>
      </c>
      <c r="AS195" s="307"/>
      <c r="AT195" s="306">
        <f t="shared" si="19"/>
        <v>1</v>
      </c>
    </row>
    <row r="196" spans="1:46" ht="15.75" customHeight="1">
      <c r="A196" s="284"/>
      <c r="B196" s="285">
        <f t="shared" ca="1" si="0"/>
        <v>1</v>
      </c>
      <c r="C196" s="286">
        <f t="shared" ca="1" si="1"/>
        <v>28</v>
      </c>
      <c r="D196" s="286" t="str">
        <f t="shared" ca="1" si="2"/>
        <v/>
      </c>
      <c r="E196" s="286" t="str">
        <f t="shared" ca="1" si="3"/>
        <v/>
      </c>
      <c r="F196" s="286" t="str">
        <f t="shared" ca="1" si="4"/>
        <v/>
      </c>
      <c r="G196" s="287" t="str">
        <f t="shared" ca="1" si="5"/>
        <v/>
      </c>
      <c r="H196" s="288" t="str">
        <f t="shared" ca="1" si="6"/>
        <v/>
      </c>
      <c r="I196" s="308"/>
      <c r="J196" s="309" t="s">
        <v>207</v>
      </c>
      <c r="K196" s="310"/>
      <c r="L196" s="310"/>
      <c r="M196" s="310"/>
      <c r="N196" s="310"/>
      <c r="O196" s="310"/>
      <c r="P196" s="310"/>
      <c r="Q196" s="311" t="s">
        <v>81</v>
      </c>
      <c r="R196" s="312"/>
      <c r="S196" s="313"/>
      <c r="T196" s="314"/>
      <c r="U196" s="315"/>
      <c r="V196" s="314"/>
      <c r="W196" s="316"/>
      <c r="X196" s="317"/>
      <c r="Y196" s="318"/>
      <c r="Z196" s="319"/>
      <c r="AA196" s="300"/>
      <c r="AB196" s="301"/>
      <c r="AC196" s="302"/>
      <c r="AD196" s="303"/>
      <c r="AE196" s="304"/>
      <c r="AF196" s="305"/>
      <c r="AG196" s="305">
        <f t="shared" si="7"/>
        <v>0</v>
      </c>
      <c r="AH196" s="305">
        <f t="shared" si="8"/>
        <v>0</v>
      </c>
      <c r="AI196" s="305">
        <f t="shared" si="9"/>
        <v>0</v>
      </c>
      <c r="AJ196" s="305">
        <f t="shared" si="10"/>
        <v>0</v>
      </c>
      <c r="AK196" s="305" t="str">
        <f t="shared" si="11"/>
        <v/>
      </c>
      <c r="AL196" s="306">
        <f t="shared" ca="1" si="12"/>
        <v>1</v>
      </c>
      <c r="AM196" s="306">
        <f t="shared" ca="1" si="13"/>
        <v>28</v>
      </c>
      <c r="AN196" s="306">
        <f t="shared" ca="1" si="14"/>
        <v>0</v>
      </c>
      <c r="AO196" s="306">
        <f t="shared" ca="1" si="15"/>
        <v>0</v>
      </c>
      <c r="AP196" s="306">
        <f t="shared" ca="1" si="16"/>
        <v>0</v>
      </c>
      <c r="AQ196" s="306">
        <f t="shared" ca="1" si="17"/>
        <v>0</v>
      </c>
      <c r="AR196" s="306">
        <f t="shared" ca="1" si="18"/>
        <v>0</v>
      </c>
      <c r="AS196" s="307"/>
      <c r="AT196" s="306">
        <f t="shared" si="19"/>
        <v>1</v>
      </c>
    </row>
    <row r="197" spans="1:46" ht="15.75" customHeight="1">
      <c r="A197" s="284"/>
      <c r="B197" s="285">
        <f t="shared" ca="1" si="0"/>
        <v>1</v>
      </c>
      <c r="C197" s="286">
        <f t="shared" ca="1" si="1"/>
        <v>28</v>
      </c>
      <c r="D197" s="286">
        <f t="shared" ca="1" si="2"/>
        <v>1</v>
      </c>
      <c r="E197" s="286" t="str">
        <f t="shared" ca="1" si="3"/>
        <v/>
      </c>
      <c r="F197" s="286" t="str">
        <f t="shared" ca="1" si="4"/>
        <v/>
      </c>
      <c r="G197" s="287" t="str">
        <f t="shared" ca="1" si="5"/>
        <v/>
      </c>
      <c r="H197" s="288" t="str">
        <f t="shared" ca="1" si="6"/>
        <v/>
      </c>
      <c r="I197" s="308"/>
      <c r="J197" s="320"/>
      <c r="K197" s="320" t="s">
        <v>59</v>
      </c>
      <c r="L197" s="320"/>
      <c r="M197" s="320"/>
      <c r="N197" s="320"/>
      <c r="O197" s="320"/>
      <c r="P197" s="320"/>
      <c r="Q197" s="321"/>
      <c r="R197" s="322" t="s">
        <v>181</v>
      </c>
      <c r="S197" s="331">
        <v>45876</v>
      </c>
      <c r="T197" s="325">
        <v>45882</v>
      </c>
      <c r="U197" s="330"/>
      <c r="V197" s="325"/>
      <c r="W197" s="326">
        <v>0</v>
      </c>
      <c r="X197" s="327"/>
      <c r="Y197" s="328"/>
      <c r="Z197" s="329"/>
      <c r="AA197" s="300"/>
      <c r="AB197" s="301"/>
      <c r="AC197" s="302"/>
      <c r="AD197" s="303"/>
      <c r="AE197" s="304"/>
      <c r="AF197" s="305"/>
      <c r="AG197" s="305">
        <f t="shared" ca="1" si="7"/>
        <v>0</v>
      </c>
      <c r="AH197" s="305">
        <f t="shared" ca="1" si="8"/>
        <v>0</v>
      </c>
      <c r="AI197" s="305">
        <f t="shared" si="9"/>
        <v>0</v>
      </c>
      <c r="AJ197" s="305">
        <f t="shared" ca="1" si="10"/>
        <v>0</v>
      </c>
      <c r="AK197" s="305" t="str">
        <f t="shared" ca="1" si="11"/>
        <v/>
      </c>
      <c r="AL197" s="306">
        <f t="shared" ca="1" si="12"/>
        <v>1</v>
      </c>
      <c r="AM197" s="306">
        <f t="shared" ca="1" si="13"/>
        <v>28</v>
      </c>
      <c r="AN197" s="306">
        <f t="shared" ca="1" si="14"/>
        <v>1</v>
      </c>
      <c r="AO197" s="306">
        <f t="shared" ca="1" si="15"/>
        <v>0</v>
      </c>
      <c r="AP197" s="306">
        <f t="shared" ca="1" si="16"/>
        <v>0</v>
      </c>
      <c r="AQ197" s="306">
        <f t="shared" ca="1" si="17"/>
        <v>0</v>
      </c>
      <c r="AR197" s="306">
        <f t="shared" ca="1" si="18"/>
        <v>0</v>
      </c>
      <c r="AS197" s="307"/>
      <c r="AT197" s="306">
        <f t="shared" si="19"/>
        <v>7</v>
      </c>
    </row>
    <row r="198" spans="1:46" ht="15.75" customHeight="1">
      <c r="A198" s="284"/>
      <c r="B198" s="285">
        <f t="shared" ca="1" si="0"/>
        <v>1</v>
      </c>
      <c r="C198" s="286">
        <f t="shared" ca="1" si="1"/>
        <v>28</v>
      </c>
      <c r="D198" s="286">
        <f t="shared" ca="1" si="2"/>
        <v>2</v>
      </c>
      <c r="E198" s="286" t="str">
        <f t="shared" ca="1" si="3"/>
        <v/>
      </c>
      <c r="F198" s="286" t="str">
        <f t="shared" ca="1" si="4"/>
        <v/>
      </c>
      <c r="G198" s="287" t="str">
        <f t="shared" ca="1" si="5"/>
        <v/>
      </c>
      <c r="H198" s="288" t="str">
        <f t="shared" ca="1" si="6"/>
        <v/>
      </c>
      <c r="I198" s="308"/>
      <c r="J198" s="320"/>
      <c r="K198" s="320" t="s">
        <v>145</v>
      </c>
      <c r="L198" s="320"/>
      <c r="M198" s="320"/>
      <c r="N198" s="320"/>
      <c r="O198" s="320"/>
      <c r="P198" s="320"/>
      <c r="Q198" s="321"/>
      <c r="R198" s="322" t="s">
        <v>185</v>
      </c>
      <c r="S198" s="331">
        <v>45883</v>
      </c>
      <c r="T198" s="325">
        <v>45883</v>
      </c>
      <c r="U198" s="330"/>
      <c r="V198" s="325"/>
      <c r="W198" s="326">
        <v>0</v>
      </c>
      <c r="X198" s="327"/>
      <c r="Y198" s="328"/>
      <c r="Z198" s="329"/>
      <c r="AA198" s="300"/>
      <c r="AB198" s="301"/>
      <c r="AC198" s="302"/>
      <c r="AD198" s="303"/>
      <c r="AE198" s="304"/>
      <c r="AF198" s="305"/>
      <c r="AG198" s="305">
        <f t="shared" ca="1" si="7"/>
        <v>0</v>
      </c>
      <c r="AH198" s="305">
        <f t="shared" ca="1" si="8"/>
        <v>0</v>
      </c>
      <c r="AI198" s="305">
        <f t="shared" si="9"/>
        <v>0</v>
      </c>
      <c r="AJ198" s="305">
        <f t="shared" ca="1" si="10"/>
        <v>0</v>
      </c>
      <c r="AK198" s="305" t="str">
        <f t="shared" ca="1" si="11"/>
        <v/>
      </c>
      <c r="AL198" s="306">
        <f t="shared" ca="1" si="12"/>
        <v>1</v>
      </c>
      <c r="AM198" s="306">
        <f t="shared" ca="1" si="13"/>
        <v>28</v>
      </c>
      <c r="AN198" s="306">
        <f t="shared" ca="1" si="14"/>
        <v>2</v>
      </c>
      <c r="AO198" s="306">
        <f t="shared" ca="1" si="15"/>
        <v>0</v>
      </c>
      <c r="AP198" s="306">
        <f t="shared" ca="1" si="16"/>
        <v>0</v>
      </c>
      <c r="AQ198" s="306">
        <f t="shared" ca="1" si="17"/>
        <v>0</v>
      </c>
      <c r="AR198" s="306">
        <f t="shared" ca="1" si="18"/>
        <v>0</v>
      </c>
      <c r="AS198" s="307"/>
      <c r="AT198" s="306">
        <f t="shared" si="19"/>
        <v>1</v>
      </c>
    </row>
    <row r="199" spans="1:46" ht="15.75" customHeight="1">
      <c r="A199" s="284"/>
      <c r="B199" s="285">
        <f t="shared" ca="1" si="0"/>
        <v>1</v>
      </c>
      <c r="C199" s="286">
        <f t="shared" ca="1" si="1"/>
        <v>28</v>
      </c>
      <c r="D199" s="286">
        <f t="shared" ca="1" si="2"/>
        <v>3</v>
      </c>
      <c r="E199" s="286" t="str">
        <f t="shared" ca="1" si="3"/>
        <v/>
      </c>
      <c r="F199" s="286" t="str">
        <f t="shared" ca="1" si="4"/>
        <v/>
      </c>
      <c r="G199" s="287" t="str">
        <f t="shared" ca="1" si="5"/>
        <v/>
      </c>
      <c r="H199" s="288" t="str">
        <f t="shared" ca="1" si="6"/>
        <v/>
      </c>
      <c r="I199" s="308"/>
      <c r="J199" s="320"/>
      <c r="K199" s="320" t="s">
        <v>63</v>
      </c>
      <c r="L199" s="320"/>
      <c r="M199" s="320"/>
      <c r="N199" s="320"/>
      <c r="O199" s="320"/>
      <c r="P199" s="320"/>
      <c r="Q199" s="321"/>
      <c r="R199" s="322" t="s">
        <v>181</v>
      </c>
      <c r="S199" s="331">
        <v>45884</v>
      </c>
      <c r="T199" s="325">
        <v>45884</v>
      </c>
      <c r="U199" s="330"/>
      <c r="V199" s="325"/>
      <c r="W199" s="326">
        <v>0</v>
      </c>
      <c r="X199" s="327"/>
      <c r="Y199" s="328"/>
      <c r="Z199" s="329"/>
      <c r="AA199" s="300"/>
      <c r="AB199" s="301"/>
      <c r="AC199" s="302"/>
      <c r="AD199" s="303"/>
      <c r="AE199" s="304"/>
      <c r="AF199" s="305"/>
      <c r="AG199" s="305">
        <f t="shared" ca="1" si="7"/>
        <v>0</v>
      </c>
      <c r="AH199" s="305">
        <f t="shared" ca="1" si="8"/>
        <v>0</v>
      </c>
      <c r="AI199" s="305">
        <f t="shared" si="9"/>
        <v>0</v>
      </c>
      <c r="AJ199" s="305">
        <f t="shared" ca="1" si="10"/>
        <v>0</v>
      </c>
      <c r="AK199" s="305" t="str">
        <f t="shared" ca="1" si="11"/>
        <v/>
      </c>
      <c r="AL199" s="306">
        <f t="shared" ca="1" si="12"/>
        <v>1</v>
      </c>
      <c r="AM199" s="306">
        <f t="shared" ca="1" si="13"/>
        <v>28</v>
      </c>
      <c r="AN199" s="306">
        <f t="shared" ca="1" si="14"/>
        <v>3</v>
      </c>
      <c r="AO199" s="306">
        <f t="shared" ca="1" si="15"/>
        <v>0</v>
      </c>
      <c r="AP199" s="306">
        <f t="shared" ca="1" si="16"/>
        <v>0</v>
      </c>
      <c r="AQ199" s="306">
        <f t="shared" ca="1" si="17"/>
        <v>0</v>
      </c>
      <c r="AR199" s="306">
        <f t="shared" ca="1" si="18"/>
        <v>0</v>
      </c>
      <c r="AS199" s="307"/>
      <c r="AT199" s="306">
        <f t="shared" si="19"/>
        <v>1</v>
      </c>
    </row>
    <row r="200" spans="1:46" ht="15.75" customHeight="1">
      <c r="A200" s="284"/>
      <c r="B200" s="285">
        <f t="shared" ca="1" si="0"/>
        <v>1</v>
      </c>
      <c r="C200" s="286">
        <f t="shared" ca="1" si="1"/>
        <v>28</v>
      </c>
      <c r="D200" s="286">
        <f t="shared" ca="1" si="2"/>
        <v>4</v>
      </c>
      <c r="E200" s="286" t="str">
        <f t="shared" ca="1" si="3"/>
        <v/>
      </c>
      <c r="F200" s="286" t="str">
        <f t="shared" ca="1" si="4"/>
        <v/>
      </c>
      <c r="G200" s="287" t="str">
        <f t="shared" ca="1" si="5"/>
        <v/>
      </c>
      <c r="H200" s="288" t="str">
        <f t="shared" ca="1" si="6"/>
        <v/>
      </c>
      <c r="I200" s="308"/>
      <c r="J200" s="320"/>
      <c r="K200" s="320" t="s">
        <v>64</v>
      </c>
      <c r="L200" s="320"/>
      <c r="M200" s="320"/>
      <c r="N200" s="320"/>
      <c r="O200" s="320"/>
      <c r="P200" s="320"/>
      <c r="Q200" s="321"/>
      <c r="R200" s="322" t="s">
        <v>185</v>
      </c>
      <c r="S200" s="331">
        <v>45884</v>
      </c>
      <c r="T200" s="325">
        <v>45884</v>
      </c>
      <c r="U200" s="330"/>
      <c r="V200" s="325"/>
      <c r="W200" s="326">
        <v>0</v>
      </c>
      <c r="X200" s="327"/>
      <c r="Y200" s="328"/>
      <c r="Z200" s="329"/>
      <c r="AA200" s="300"/>
      <c r="AB200" s="301"/>
      <c r="AC200" s="302"/>
      <c r="AD200" s="303"/>
      <c r="AE200" s="304"/>
      <c r="AF200" s="305"/>
      <c r="AG200" s="305">
        <f t="shared" ca="1" si="7"/>
        <v>0</v>
      </c>
      <c r="AH200" s="305">
        <f t="shared" ca="1" si="8"/>
        <v>0</v>
      </c>
      <c r="AI200" s="305">
        <f t="shared" si="9"/>
        <v>0</v>
      </c>
      <c r="AJ200" s="305">
        <f t="shared" ca="1" si="10"/>
        <v>0</v>
      </c>
      <c r="AK200" s="305" t="str">
        <f t="shared" ca="1" si="11"/>
        <v/>
      </c>
      <c r="AL200" s="306">
        <f t="shared" ca="1" si="12"/>
        <v>1</v>
      </c>
      <c r="AM200" s="306">
        <f t="shared" ca="1" si="13"/>
        <v>28</v>
      </c>
      <c r="AN200" s="306">
        <f t="shared" ca="1" si="14"/>
        <v>4</v>
      </c>
      <c r="AO200" s="306">
        <f t="shared" ca="1" si="15"/>
        <v>0</v>
      </c>
      <c r="AP200" s="306">
        <f t="shared" ca="1" si="16"/>
        <v>0</v>
      </c>
      <c r="AQ200" s="306">
        <f t="shared" ca="1" si="17"/>
        <v>0</v>
      </c>
      <c r="AR200" s="306">
        <f t="shared" ca="1" si="18"/>
        <v>0</v>
      </c>
      <c r="AS200" s="307"/>
      <c r="AT200" s="306">
        <f t="shared" si="19"/>
        <v>1</v>
      </c>
    </row>
    <row r="201" spans="1:46" ht="15.75" customHeight="1">
      <c r="A201" s="284"/>
      <c r="B201" s="285">
        <f t="shared" ca="1" si="0"/>
        <v>1</v>
      </c>
      <c r="C201" s="286">
        <f t="shared" ca="1" si="1"/>
        <v>28</v>
      </c>
      <c r="D201" s="286">
        <f t="shared" ca="1" si="2"/>
        <v>5</v>
      </c>
      <c r="E201" s="286" t="str">
        <f t="shared" ca="1" si="3"/>
        <v/>
      </c>
      <c r="F201" s="286" t="str">
        <f t="shared" ca="1" si="4"/>
        <v/>
      </c>
      <c r="G201" s="287" t="str">
        <f t="shared" ca="1" si="5"/>
        <v/>
      </c>
      <c r="H201" s="288" t="str">
        <f t="shared" ca="1" si="6"/>
        <v/>
      </c>
      <c r="I201" s="308"/>
      <c r="J201" s="320"/>
      <c r="K201" s="320" t="s">
        <v>65</v>
      </c>
      <c r="L201" s="320"/>
      <c r="M201" s="320"/>
      <c r="N201" s="320"/>
      <c r="O201" s="320"/>
      <c r="P201" s="320"/>
      <c r="Q201" s="321"/>
      <c r="R201" s="322" t="s">
        <v>181</v>
      </c>
      <c r="S201" s="331">
        <v>45887</v>
      </c>
      <c r="T201" s="325">
        <v>45887</v>
      </c>
      <c r="U201" s="330"/>
      <c r="V201" s="325"/>
      <c r="W201" s="326">
        <v>0</v>
      </c>
      <c r="X201" s="327"/>
      <c r="Y201" s="328"/>
      <c r="Z201" s="329"/>
      <c r="AA201" s="300"/>
      <c r="AB201" s="301"/>
      <c r="AC201" s="302"/>
      <c r="AD201" s="303"/>
      <c r="AE201" s="304"/>
      <c r="AF201" s="305"/>
      <c r="AG201" s="305">
        <f t="shared" ca="1" si="7"/>
        <v>0</v>
      </c>
      <c r="AH201" s="305">
        <f t="shared" ca="1" si="8"/>
        <v>0</v>
      </c>
      <c r="AI201" s="305">
        <f t="shared" si="9"/>
        <v>0</v>
      </c>
      <c r="AJ201" s="305">
        <f t="shared" ca="1" si="10"/>
        <v>0</v>
      </c>
      <c r="AK201" s="305" t="str">
        <f t="shared" ca="1" si="11"/>
        <v/>
      </c>
      <c r="AL201" s="306">
        <f t="shared" ca="1" si="12"/>
        <v>1</v>
      </c>
      <c r="AM201" s="306">
        <f t="shared" ca="1" si="13"/>
        <v>28</v>
      </c>
      <c r="AN201" s="306">
        <f t="shared" ca="1" si="14"/>
        <v>5</v>
      </c>
      <c r="AO201" s="306">
        <f t="shared" ca="1" si="15"/>
        <v>0</v>
      </c>
      <c r="AP201" s="306">
        <f t="shared" ca="1" si="16"/>
        <v>0</v>
      </c>
      <c r="AQ201" s="306">
        <f t="shared" ca="1" si="17"/>
        <v>0</v>
      </c>
      <c r="AR201" s="306">
        <f t="shared" ca="1" si="18"/>
        <v>0</v>
      </c>
      <c r="AS201" s="307"/>
      <c r="AT201" s="306">
        <f t="shared" si="19"/>
        <v>1</v>
      </c>
    </row>
    <row r="202" spans="1:46" ht="15.75" customHeight="1">
      <c r="A202" s="284"/>
      <c r="B202" s="285">
        <f t="shared" ca="1" si="0"/>
        <v>1</v>
      </c>
      <c r="C202" s="286">
        <f t="shared" ca="1" si="1"/>
        <v>28</v>
      </c>
      <c r="D202" s="286">
        <f t="shared" ca="1" si="2"/>
        <v>6</v>
      </c>
      <c r="E202" s="286" t="str">
        <f t="shared" ca="1" si="3"/>
        <v/>
      </c>
      <c r="F202" s="286" t="str">
        <f t="shared" ca="1" si="4"/>
        <v/>
      </c>
      <c r="G202" s="287" t="str">
        <f t="shared" ca="1" si="5"/>
        <v/>
      </c>
      <c r="H202" s="288" t="str">
        <f t="shared" ca="1" si="6"/>
        <v/>
      </c>
      <c r="I202" s="308"/>
      <c r="J202" s="320"/>
      <c r="K202" s="320" t="s">
        <v>66</v>
      </c>
      <c r="L202" s="320"/>
      <c r="M202" s="320"/>
      <c r="N202" s="320"/>
      <c r="O202" s="320"/>
      <c r="P202" s="320"/>
      <c r="Q202" s="321"/>
      <c r="R202" s="322" t="s">
        <v>185</v>
      </c>
      <c r="S202" s="331">
        <v>45888</v>
      </c>
      <c r="T202" s="325">
        <v>45888</v>
      </c>
      <c r="U202" s="330"/>
      <c r="V202" s="325"/>
      <c r="W202" s="326">
        <v>0</v>
      </c>
      <c r="X202" s="327"/>
      <c r="Y202" s="328"/>
      <c r="Z202" s="329"/>
      <c r="AA202" s="300"/>
      <c r="AB202" s="301"/>
      <c r="AC202" s="302"/>
      <c r="AD202" s="303"/>
      <c r="AE202" s="304"/>
      <c r="AF202" s="305"/>
      <c r="AG202" s="305">
        <f t="shared" ca="1" si="7"/>
        <v>0</v>
      </c>
      <c r="AH202" s="305">
        <f t="shared" ca="1" si="8"/>
        <v>0</v>
      </c>
      <c r="AI202" s="305">
        <f t="shared" si="9"/>
        <v>0</v>
      </c>
      <c r="AJ202" s="305">
        <f t="shared" ca="1" si="10"/>
        <v>0</v>
      </c>
      <c r="AK202" s="305" t="str">
        <f t="shared" ca="1" si="11"/>
        <v/>
      </c>
      <c r="AL202" s="306">
        <f t="shared" ca="1" si="12"/>
        <v>1</v>
      </c>
      <c r="AM202" s="306">
        <f t="shared" ca="1" si="13"/>
        <v>28</v>
      </c>
      <c r="AN202" s="306">
        <f t="shared" ca="1" si="14"/>
        <v>6</v>
      </c>
      <c r="AO202" s="306">
        <f t="shared" ca="1" si="15"/>
        <v>0</v>
      </c>
      <c r="AP202" s="306">
        <f t="shared" ca="1" si="16"/>
        <v>0</v>
      </c>
      <c r="AQ202" s="306">
        <f t="shared" ca="1" si="17"/>
        <v>0</v>
      </c>
      <c r="AR202" s="306">
        <f t="shared" ca="1" si="18"/>
        <v>0</v>
      </c>
      <c r="AS202" s="307"/>
      <c r="AT202" s="306">
        <f t="shared" si="19"/>
        <v>1</v>
      </c>
    </row>
    <row r="203" spans="1:46" ht="15.75" customHeight="1">
      <c r="A203" s="284"/>
      <c r="B203" s="285">
        <f t="shared" ca="1" si="0"/>
        <v>1</v>
      </c>
      <c r="C203" s="286">
        <f t="shared" ca="1" si="1"/>
        <v>29</v>
      </c>
      <c r="D203" s="286" t="str">
        <f t="shared" ca="1" si="2"/>
        <v/>
      </c>
      <c r="E203" s="286" t="str">
        <f t="shared" ca="1" si="3"/>
        <v/>
      </c>
      <c r="F203" s="286" t="str">
        <f t="shared" ca="1" si="4"/>
        <v/>
      </c>
      <c r="G203" s="287" t="str">
        <f t="shared" ca="1" si="5"/>
        <v/>
      </c>
      <c r="H203" s="288" t="str">
        <f t="shared" ca="1" si="6"/>
        <v/>
      </c>
      <c r="I203" s="308"/>
      <c r="J203" s="309" t="s">
        <v>208</v>
      </c>
      <c r="K203" s="310"/>
      <c r="L203" s="310"/>
      <c r="M203" s="310"/>
      <c r="N203" s="310"/>
      <c r="O203" s="310"/>
      <c r="P203" s="310"/>
      <c r="Q203" s="311" t="s">
        <v>81</v>
      </c>
      <c r="R203" s="312"/>
      <c r="S203" s="313"/>
      <c r="T203" s="314"/>
      <c r="U203" s="315"/>
      <c r="V203" s="314"/>
      <c r="W203" s="316"/>
      <c r="X203" s="317"/>
      <c r="Y203" s="318"/>
      <c r="Z203" s="319"/>
      <c r="AA203" s="300"/>
      <c r="AB203" s="301"/>
      <c r="AC203" s="302"/>
      <c r="AD203" s="303"/>
      <c r="AE203" s="304"/>
      <c r="AF203" s="305"/>
      <c r="AG203" s="305">
        <f t="shared" si="7"/>
        <v>0</v>
      </c>
      <c r="AH203" s="305">
        <f t="shared" si="8"/>
        <v>0</v>
      </c>
      <c r="AI203" s="305">
        <f t="shared" si="9"/>
        <v>0</v>
      </c>
      <c r="AJ203" s="305">
        <f t="shared" si="10"/>
        <v>0</v>
      </c>
      <c r="AK203" s="305" t="str">
        <f t="shared" si="11"/>
        <v/>
      </c>
      <c r="AL203" s="306">
        <f t="shared" ca="1" si="12"/>
        <v>1</v>
      </c>
      <c r="AM203" s="306">
        <f t="shared" ca="1" si="13"/>
        <v>29</v>
      </c>
      <c r="AN203" s="306">
        <f t="shared" ca="1" si="14"/>
        <v>0</v>
      </c>
      <c r="AO203" s="306">
        <f t="shared" ca="1" si="15"/>
        <v>0</v>
      </c>
      <c r="AP203" s="306">
        <f t="shared" ca="1" si="16"/>
        <v>0</v>
      </c>
      <c r="AQ203" s="306">
        <f t="shared" ca="1" si="17"/>
        <v>0</v>
      </c>
      <c r="AR203" s="306">
        <f t="shared" ca="1" si="18"/>
        <v>0</v>
      </c>
      <c r="AS203" s="307"/>
      <c r="AT203" s="306">
        <f t="shared" si="19"/>
        <v>1</v>
      </c>
    </row>
    <row r="204" spans="1:46" ht="15.75" customHeight="1">
      <c r="A204" s="284"/>
      <c r="B204" s="285">
        <f t="shared" ca="1" si="0"/>
        <v>1</v>
      </c>
      <c r="C204" s="286">
        <f t="shared" ca="1" si="1"/>
        <v>29</v>
      </c>
      <c r="D204" s="286">
        <f t="shared" ca="1" si="2"/>
        <v>1</v>
      </c>
      <c r="E204" s="286" t="str">
        <f t="shared" ca="1" si="3"/>
        <v/>
      </c>
      <c r="F204" s="286" t="str">
        <f t="shared" ca="1" si="4"/>
        <v/>
      </c>
      <c r="G204" s="287" t="str">
        <f t="shared" ca="1" si="5"/>
        <v/>
      </c>
      <c r="H204" s="288" t="str">
        <f t="shared" ca="1" si="6"/>
        <v/>
      </c>
      <c r="I204" s="308"/>
      <c r="J204" s="320"/>
      <c r="K204" s="320" t="s">
        <v>59</v>
      </c>
      <c r="L204" s="320"/>
      <c r="M204" s="320"/>
      <c r="N204" s="320"/>
      <c r="O204" s="320"/>
      <c r="P204" s="320"/>
      <c r="Q204" s="321"/>
      <c r="R204" s="322" t="s">
        <v>185</v>
      </c>
      <c r="S204" s="331">
        <v>45876</v>
      </c>
      <c r="T204" s="325">
        <v>45882</v>
      </c>
      <c r="U204" s="330"/>
      <c r="V204" s="325"/>
      <c r="W204" s="326">
        <v>0</v>
      </c>
      <c r="X204" s="327"/>
      <c r="Y204" s="328"/>
      <c r="Z204" s="329"/>
      <c r="AA204" s="300"/>
      <c r="AB204" s="301"/>
      <c r="AC204" s="302"/>
      <c r="AD204" s="303"/>
      <c r="AE204" s="304"/>
      <c r="AF204" s="305"/>
      <c r="AG204" s="305">
        <f t="shared" ca="1" si="7"/>
        <v>0</v>
      </c>
      <c r="AH204" s="305">
        <f t="shared" ca="1" si="8"/>
        <v>0</v>
      </c>
      <c r="AI204" s="305">
        <f t="shared" si="9"/>
        <v>0</v>
      </c>
      <c r="AJ204" s="305">
        <f t="shared" ca="1" si="10"/>
        <v>0</v>
      </c>
      <c r="AK204" s="305" t="str">
        <f t="shared" ca="1" si="11"/>
        <v/>
      </c>
      <c r="AL204" s="306">
        <f t="shared" ca="1" si="12"/>
        <v>1</v>
      </c>
      <c r="AM204" s="306">
        <f t="shared" ca="1" si="13"/>
        <v>29</v>
      </c>
      <c r="AN204" s="306">
        <f t="shared" ca="1" si="14"/>
        <v>1</v>
      </c>
      <c r="AO204" s="306">
        <f t="shared" ca="1" si="15"/>
        <v>0</v>
      </c>
      <c r="AP204" s="306">
        <f t="shared" ca="1" si="16"/>
        <v>0</v>
      </c>
      <c r="AQ204" s="306">
        <f t="shared" ca="1" si="17"/>
        <v>0</v>
      </c>
      <c r="AR204" s="306">
        <f t="shared" ca="1" si="18"/>
        <v>0</v>
      </c>
      <c r="AS204" s="307"/>
      <c r="AT204" s="306">
        <f t="shared" si="19"/>
        <v>7</v>
      </c>
    </row>
    <row r="205" spans="1:46" ht="15.75" customHeight="1">
      <c r="A205" s="284"/>
      <c r="B205" s="285">
        <f t="shared" ca="1" si="0"/>
        <v>1</v>
      </c>
      <c r="C205" s="286">
        <f t="shared" ca="1" si="1"/>
        <v>29</v>
      </c>
      <c r="D205" s="286">
        <f t="shared" ca="1" si="2"/>
        <v>2</v>
      </c>
      <c r="E205" s="286" t="str">
        <f t="shared" ca="1" si="3"/>
        <v/>
      </c>
      <c r="F205" s="286" t="str">
        <f t="shared" ca="1" si="4"/>
        <v/>
      </c>
      <c r="G205" s="287" t="str">
        <f t="shared" ca="1" si="5"/>
        <v/>
      </c>
      <c r="H205" s="288" t="str">
        <f t="shared" ca="1" si="6"/>
        <v/>
      </c>
      <c r="I205" s="308"/>
      <c r="J205" s="320"/>
      <c r="K205" s="320" t="s">
        <v>145</v>
      </c>
      <c r="L205" s="320"/>
      <c r="M205" s="320"/>
      <c r="N205" s="320"/>
      <c r="O205" s="320"/>
      <c r="P205" s="320"/>
      <c r="Q205" s="321"/>
      <c r="R205" s="322" t="s">
        <v>180</v>
      </c>
      <c r="S205" s="331">
        <v>45883</v>
      </c>
      <c r="T205" s="325">
        <v>45883</v>
      </c>
      <c r="U205" s="330"/>
      <c r="V205" s="325"/>
      <c r="W205" s="326">
        <v>0</v>
      </c>
      <c r="X205" s="327"/>
      <c r="Y205" s="328"/>
      <c r="Z205" s="329"/>
      <c r="AA205" s="300"/>
      <c r="AB205" s="301"/>
      <c r="AC205" s="302"/>
      <c r="AD205" s="303"/>
      <c r="AE205" s="304"/>
      <c r="AF205" s="305"/>
      <c r="AG205" s="305">
        <f t="shared" ca="1" si="7"/>
        <v>0</v>
      </c>
      <c r="AH205" s="305">
        <f t="shared" ca="1" si="8"/>
        <v>0</v>
      </c>
      <c r="AI205" s="305">
        <f t="shared" si="9"/>
        <v>0</v>
      </c>
      <c r="AJ205" s="305">
        <f t="shared" ca="1" si="10"/>
        <v>0</v>
      </c>
      <c r="AK205" s="305" t="str">
        <f t="shared" ca="1" si="11"/>
        <v/>
      </c>
      <c r="AL205" s="306">
        <f t="shared" ca="1" si="12"/>
        <v>1</v>
      </c>
      <c r="AM205" s="306">
        <f t="shared" ca="1" si="13"/>
        <v>29</v>
      </c>
      <c r="AN205" s="306">
        <f t="shared" ca="1" si="14"/>
        <v>2</v>
      </c>
      <c r="AO205" s="306">
        <f t="shared" ca="1" si="15"/>
        <v>0</v>
      </c>
      <c r="AP205" s="306">
        <f t="shared" ca="1" si="16"/>
        <v>0</v>
      </c>
      <c r="AQ205" s="306">
        <f t="shared" ca="1" si="17"/>
        <v>0</v>
      </c>
      <c r="AR205" s="306">
        <f t="shared" ca="1" si="18"/>
        <v>0</v>
      </c>
      <c r="AS205" s="307"/>
      <c r="AT205" s="306">
        <f t="shared" si="19"/>
        <v>1</v>
      </c>
    </row>
    <row r="206" spans="1:46" ht="15.75" customHeight="1">
      <c r="A206" s="284"/>
      <c r="B206" s="285">
        <f t="shared" ca="1" si="0"/>
        <v>1</v>
      </c>
      <c r="C206" s="286">
        <f t="shared" ca="1" si="1"/>
        <v>29</v>
      </c>
      <c r="D206" s="286">
        <f t="shared" ca="1" si="2"/>
        <v>3</v>
      </c>
      <c r="E206" s="286" t="str">
        <f t="shared" ca="1" si="3"/>
        <v/>
      </c>
      <c r="F206" s="286" t="str">
        <f t="shared" ca="1" si="4"/>
        <v/>
      </c>
      <c r="G206" s="287" t="str">
        <f t="shared" ca="1" si="5"/>
        <v/>
      </c>
      <c r="H206" s="288" t="str">
        <f t="shared" ca="1" si="6"/>
        <v/>
      </c>
      <c r="I206" s="308"/>
      <c r="J206" s="320"/>
      <c r="K206" s="320" t="s">
        <v>63</v>
      </c>
      <c r="L206" s="320"/>
      <c r="M206" s="320"/>
      <c r="N206" s="320"/>
      <c r="O206" s="320"/>
      <c r="P206" s="320"/>
      <c r="Q206" s="321"/>
      <c r="R206" s="322" t="s">
        <v>185</v>
      </c>
      <c r="S206" s="331">
        <v>45884</v>
      </c>
      <c r="T206" s="325">
        <v>45884</v>
      </c>
      <c r="U206" s="330"/>
      <c r="V206" s="325"/>
      <c r="W206" s="326">
        <v>0</v>
      </c>
      <c r="X206" s="327"/>
      <c r="Y206" s="328"/>
      <c r="Z206" s="329"/>
      <c r="AA206" s="300"/>
      <c r="AB206" s="301"/>
      <c r="AC206" s="302"/>
      <c r="AD206" s="303"/>
      <c r="AE206" s="304"/>
      <c r="AF206" s="305"/>
      <c r="AG206" s="305">
        <f t="shared" ca="1" si="7"/>
        <v>0</v>
      </c>
      <c r="AH206" s="305">
        <f t="shared" ca="1" si="8"/>
        <v>0</v>
      </c>
      <c r="AI206" s="305">
        <f t="shared" si="9"/>
        <v>0</v>
      </c>
      <c r="AJ206" s="305">
        <f t="shared" ca="1" si="10"/>
        <v>0</v>
      </c>
      <c r="AK206" s="305" t="str">
        <f t="shared" ca="1" si="11"/>
        <v/>
      </c>
      <c r="AL206" s="306">
        <f t="shared" ca="1" si="12"/>
        <v>1</v>
      </c>
      <c r="AM206" s="306">
        <f t="shared" ca="1" si="13"/>
        <v>29</v>
      </c>
      <c r="AN206" s="306">
        <f t="shared" ca="1" si="14"/>
        <v>3</v>
      </c>
      <c r="AO206" s="306">
        <f t="shared" ca="1" si="15"/>
        <v>0</v>
      </c>
      <c r="AP206" s="306">
        <f t="shared" ca="1" si="16"/>
        <v>0</v>
      </c>
      <c r="AQ206" s="306">
        <f t="shared" ca="1" si="17"/>
        <v>0</v>
      </c>
      <c r="AR206" s="306">
        <f t="shared" ca="1" si="18"/>
        <v>0</v>
      </c>
      <c r="AS206" s="307"/>
      <c r="AT206" s="306">
        <f t="shared" si="19"/>
        <v>1</v>
      </c>
    </row>
    <row r="207" spans="1:46" ht="15.75" customHeight="1">
      <c r="A207" s="284"/>
      <c r="B207" s="285">
        <f t="shared" ca="1" si="0"/>
        <v>1</v>
      </c>
      <c r="C207" s="286">
        <f t="shared" ca="1" si="1"/>
        <v>29</v>
      </c>
      <c r="D207" s="286">
        <f t="shared" ca="1" si="2"/>
        <v>4</v>
      </c>
      <c r="E207" s="286" t="str">
        <f t="shared" ca="1" si="3"/>
        <v/>
      </c>
      <c r="F207" s="286" t="str">
        <f t="shared" ca="1" si="4"/>
        <v/>
      </c>
      <c r="G207" s="287" t="str">
        <f t="shared" ca="1" si="5"/>
        <v/>
      </c>
      <c r="H207" s="288" t="str">
        <f t="shared" ca="1" si="6"/>
        <v/>
      </c>
      <c r="I207" s="308"/>
      <c r="J207" s="320"/>
      <c r="K207" s="320" t="s">
        <v>64</v>
      </c>
      <c r="L207" s="320"/>
      <c r="M207" s="320"/>
      <c r="N207" s="320"/>
      <c r="O207" s="320"/>
      <c r="P207" s="320"/>
      <c r="Q207" s="321"/>
      <c r="R207" s="322" t="s">
        <v>180</v>
      </c>
      <c r="S207" s="331">
        <v>45884</v>
      </c>
      <c r="T207" s="325">
        <v>45884</v>
      </c>
      <c r="U207" s="330"/>
      <c r="V207" s="325"/>
      <c r="W207" s="326">
        <v>0</v>
      </c>
      <c r="X207" s="327"/>
      <c r="Y207" s="328"/>
      <c r="Z207" s="329"/>
      <c r="AA207" s="300"/>
      <c r="AB207" s="301"/>
      <c r="AC207" s="302"/>
      <c r="AD207" s="303"/>
      <c r="AE207" s="304"/>
      <c r="AF207" s="305"/>
      <c r="AG207" s="305">
        <f t="shared" ca="1" si="7"/>
        <v>0</v>
      </c>
      <c r="AH207" s="305">
        <f t="shared" ca="1" si="8"/>
        <v>0</v>
      </c>
      <c r="AI207" s="305">
        <f t="shared" si="9"/>
        <v>0</v>
      </c>
      <c r="AJ207" s="305">
        <f t="shared" ca="1" si="10"/>
        <v>0</v>
      </c>
      <c r="AK207" s="305" t="str">
        <f t="shared" ca="1" si="11"/>
        <v/>
      </c>
      <c r="AL207" s="306">
        <f t="shared" ca="1" si="12"/>
        <v>1</v>
      </c>
      <c r="AM207" s="306">
        <f t="shared" ca="1" si="13"/>
        <v>29</v>
      </c>
      <c r="AN207" s="306">
        <f t="shared" ca="1" si="14"/>
        <v>4</v>
      </c>
      <c r="AO207" s="306">
        <f t="shared" ca="1" si="15"/>
        <v>0</v>
      </c>
      <c r="AP207" s="306">
        <f t="shared" ca="1" si="16"/>
        <v>0</v>
      </c>
      <c r="AQ207" s="306">
        <f t="shared" ca="1" si="17"/>
        <v>0</v>
      </c>
      <c r="AR207" s="306">
        <f t="shared" ca="1" si="18"/>
        <v>0</v>
      </c>
      <c r="AS207" s="307"/>
      <c r="AT207" s="306">
        <f t="shared" si="19"/>
        <v>1</v>
      </c>
    </row>
    <row r="208" spans="1:46" ht="15.75" customHeight="1">
      <c r="A208" s="284"/>
      <c r="B208" s="285">
        <f t="shared" ca="1" si="0"/>
        <v>1</v>
      </c>
      <c r="C208" s="286">
        <f t="shared" ca="1" si="1"/>
        <v>29</v>
      </c>
      <c r="D208" s="286">
        <f t="shared" ca="1" si="2"/>
        <v>5</v>
      </c>
      <c r="E208" s="286" t="str">
        <f t="shared" ca="1" si="3"/>
        <v/>
      </c>
      <c r="F208" s="286" t="str">
        <f t="shared" ca="1" si="4"/>
        <v/>
      </c>
      <c r="G208" s="287" t="str">
        <f t="shared" ca="1" si="5"/>
        <v/>
      </c>
      <c r="H208" s="288" t="str">
        <f t="shared" ca="1" si="6"/>
        <v/>
      </c>
      <c r="I208" s="308"/>
      <c r="J208" s="320"/>
      <c r="K208" s="320" t="s">
        <v>65</v>
      </c>
      <c r="L208" s="320"/>
      <c r="M208" s="320"/>
      <c r="N208" s="320"/>
      <c r="O208" s="320"/>
      <c r="P208" s="320"/>
      <c r="Q208" s="321"/>
      <c r="R208" s="322" t="s">
        <v>185</v>
      </c>
      <c r="S208" s="331">
        <v>45887</v>
      </c>
      <c r="T208" s="325">
        <v>45887</v>
      </c>
      <c r="U208" s="330"/>
      <c r="V208" s="325"/>
      <c r="W208" s="326">
        <v>0</v>
      </c>
      <c r="X208" s="327"/>
      <c r="Y208" s="328"/>
      <c r="Z208" s="329"/>
      <c r="AA208" s="300"/>
      <c r="AB208" s="301"/>
      <c r="AC208" s="302"/>
      <c r="AD208" s="303"/>
      <c r="AE208" s="304"/>
      <c r="AF208" s="305"/>
      <c r="AG208" s="305">
        <f t="shared" ca="1" si="7"/>
        <v>0</v>
      </c>
      <c r="AH208" s="305">
        <f t="shared" ca="1" si="8"/>
        <v>0</v>
      </c>
      <c r="AI208" s="305">
        <f t="shared" si="9"/>
        <v>0</v>
      </c>
      <c r="AJ208" s="305">
        <f t="shared" ca="1" si="10"/>
        <v>0</v>
      </c>
      <c r="AK208" s="305" t="str">
        <f t="shared" ca="1" si="11"/>
        <v/>
      </c>
      <c r="AL208" s="306">
        <f t="shared" ca="1" si="12"/>
        <v>1</v>
      </c>
      <c r="AM208" s="306">
        <f t="shared" ca="1" si="13"/>
        <v>29</v>
      </c>
      <c r="AN208" s="306">
        <f t="shared" ca="1" si="14"/>
        <v>5</v>
      </c>
      <c r="AO208" s="306">
        <f t="shared" ca="1" si="15"/>
        <v>0</v>
      </c>
      <c r="AP208" s="306">
        <f t="shared" ca="1" si="16"/>
        <v>0</v>
      </c>
      <c r="AQ208" s="306">
        <f t="shared" ca="1" si="17"/>
        <v>0</v>
      </c>
      <c r="AR208" s="306">
        <f t="shared" ca="1" si="18"/>
        <v>0</v>
      </c>
      <c r="AS208" s="307"/>
      <c r="AT208" s="306">
        <f t="shared" si="19"/>
        <v>1</v>
      </c>
    </row>
    <row r="209" spans="1:46" ht="15.75" customHeight="1">
      <c r="A209" s="284"/>
      <c r="B209" s="285">
        <f t="shared" ca="1" si="0"/>
        <v>1</v>
      </c>
      <c r="C209" s="286">
        <f t="shared" ca="1" si="1"/>
        <v>29</v>
      </c>
      <c r="D209" s="286">
        <f t="shared" ca="1" si="2"/>
        <v>6</v>
      </c>
      <c r="E209" s="286" t="str">
        <f t="shared" ca="1" si="3"/>
        <v/>
      </c>
      <c r="F209" s="286" t="str">
        <f t="shared" ca="1" si="4"/>
        <v/>
      </c>
      <c r="G209" s="287" t="str">
        <f t="shared" ca="1" si="5"/>
        <v/>
      </c>
      <c r="H209" s="288" t="str">
        <f t="shared" ca="1" si="6"/>
        <v/>
      </c>
      <c r="I209" s="308"/>
      <c r="J209" s="320"/>
      <c r="K209" s="320" t="s">
        <v>66</v>
      </c>
      <c r="L209" s="320"/>
      <c r="M209" s="320"/>
      <c r="N209" s="320"/>
      <c r="O209" s="320"/>
      <c r="P209" s="320"/>
      <c r="Q209" s="321"/>
      <c r="R209" s="322" t="s">
        <v>180</v>
      </c>
      <c r="S209" s="331">
        <v>45888</v>
      </c>
      <c r="T209" s="325">
        <v>45888</v>
      </c>
      <c r="U209" s="330"/>
      <c r="V209" s="325"/>
      <c r="W209" s="326">
        <v>0</v>
      </c>
      <c r="X209" s="327"/>
      <c r="Y209" s="328"/>
      <c r="Z209" s="329"/>
      <c r="AA209" s="300"/>
      <c r="AB209" s="301"/>
      <c r="AC209" s="302"/>
      <c r="AD209" s="303"/>
      <c r="AE209" s="304"/>
      <c r="AF209" s="305"/>
      <c r="AG209" s="305">
        <f t="shared" ca="1" si="7"/>
        <v>0</v>
      </c>
      <c r="AH209" s="305">
        <f t="shared" ca="1" si="8"/>
        <v>0</v>
      </c>
      <c r="AI209" s="305">
        <f t="shared" si="9"/>
        <v>0</v>
      </c>
      <c r="AJ209" s="305">
        <f t="shared" ca="1" si="10"/>
        <v>0</v>
      </c>
      <c r="AK209" s="305" t="str">
        <f t="shared" ca="1" si="11"/>
        <v/>
      </c>
      <c r="AL209" s="306">
        <f t="shared" ca="1" si="12"/>
        <v>1</v>
      </c>
      <c r="AM209" s="306">
        <f t="shared" ca="1" si="13"/>
        <v>29</v>
      </c>
      <c r="AN209" s="306">
        <f t="shared" ca="1" si="14"/>
        <v>6</v>
      </c>
      <c r="AO209" s="306">
        <f t="shared" ca="1" si="15"/>
        <v>0</v>
      </c>
      <c r="AP209" s="306">
        <f t="shared" ca="1" si="16"/>
        <v>0</v>
      </c>
      <c r="AQ209" s="306">
        <f t="shared" ca="1" si="17"/>
        <v>0</v>
      </c>
      <c r="AR209" s="306">
        <f t="shared" ca="1" si="18"/>
        <v>0</v>
      </c>
      <c r="AS209" s="307"/>
      <c r="AT209" s="306">
        <f t="shared" si="19"/>
        <v>1</v>
      </c>
    </row>
    <row r="210" spans="1:46" ht="15.75" customHeight="1">
      <c r="A210" s="284"/>
      <c r="B210" s="285">
        <f t="shared" ca="1" si="0"/>
        <v>1</v>
      </c>
      <c r="C210" s="286">
        <f t="shared" ca="1" si="1"/>
        <v>30</v>
      </c>
      <c r="D210" s="286" t="str">
        <f t="shared" ca="1" si="2"/>
        <v/>
      </c>
      <c r="E210" s="286" t="str">
        <f t="shared" ca="1" si="3"/>
        <v/>
      </c>
      <c r="F210" s="286" t="str">
        <f t="shared" ca="1" si="4"/>
        <v/>
      </c>
      <c r="G210" s="287" t="str">
        <f t="shared" ca="1" si="5"/>
        <v/>
      </c>
      <c r="H210" s="288" t="str">
        <f t="shared" ca="1" si="6"/>
        <v/>
      </c>
      <c r="I210" s="308"/>
      <c r="J210" s="309" t="s">
        <v>209</v>
      </c>
      <c r="K210" s="310"/>
      <c r="L210" s="310"/>
      <c r="M210" s="310"/>
      <c r="N210" s="310"/>
      <c r="O210" s="310"/>
      <c r="P210" s="310"/>
      <c r="Q210" s="311" t="s">
        <v>81</v>
      </c>
      <c r="R210" s="312"/>
      <c r="S210" s="313"/>
      <c r="T210" s="314"/>
      <c r="U210" s="315"/>
      <c r="V210" s="314"/>
      <c r="W210" s="316"/>
      <c r="X210" s="317"/>
      <c r="Y210" s="318"/>
      <c r="Z210" s="319"/>
      <c r="AA210" s="300"/>
      <c r="AB210" s="301"/>
      <c r="AC210" s="302"/>
      <c r="AD210" s="303"/>
      <c r="AE210" s="304"/>
      <c r="AF210" s="305"/>
      <c r="AG210" s="305">
        <f t="shared" si="7"/>
        <v>0</v>
      </c>
      <c r="AH210" s="305">
        <f t="shared" si="8"/>
        <v>0</v>
      </c>
      <c r="AI210" s="305">
        <f t="shared" si="9"/>
        <v>0</v>
      </c>
      <c r="AJ210" s="305">
        <f t="shared" si="10"/>
        <v>0</v>
      </c>
      <c r="AK210" s="305" t="str">
        <f t="shared" si="11"/>
        <v/>
      </c>
      <c r="AL210" s="306">
        <f t="shared" ca="1" si="12"/>
        <v>1</v>
      </c>
      <c r="AM210" s="306">
        <f t="shared" ca="1" si="13"/>
        <v>30</v>
      </c>
      <c r="AN210" s="306">
        <f t="shared" ca="1" si="14"/>
        <v>0</v>
      </c>
      <c r="AO210" s="306">
        <f t="shared" ca="1" si="15"/>
        <v>0</v>
      </c>
      <c r="AP210" s="306">
        <f t="shared" ca="1" si="16"/>
        <v>0</v>
      </c>
      <c r="AQ210" s="306">
        <f t="shared" ca="1" si="17"/>
        <v>0</v>
      </c>
      <c r="AR210" s="306">
        <f t="shared" ca="1" si="18"/>
        <v>0</v>
      </c>
      <c r="AS210" s="307"/>
      <c r="AT210" s="306">
        <f t="shared" si="19"/>
        <v>1</v>
      </c>
    </row>
    <row r="211" spans="1:46" ht="15.75" customHeight="1">
      <c r="A211" s="284"/>
      <c r="B211" s="285">
        <f t="shared" ca="1" si="0"/>
        <v>1</v>
      </c>
      <c r="C211" s="286">
        <f t="shared" ca="1" si="1"/>
        <v>30</v>
      </c>
      <c r="D211" s="286">
        <f t="shared" ca="1" si="2"/>
        <v>1</v>
      </c>
      <c r="E211" s="286" t="str">
        <f t="shared" ca="1" si="3"/>
        <v/>
      </c>
      <c r="F211" s="286" t="str">
        <f t="shared" ca="1" si="4"/>
        <v/>
      </c>
      <c r="G211" s="287" t="str">
        <f t="shared" ca="1" si="5"/>
        <v/>
      </c>
      <c r="H211" s="288" t="str">
        <f t="shared" ca="1" si="6"/>
        <v/>
      </c>
      <c r="I211" s="308"/>
      <c r="J211" s="320"/>
      <c r="K211" s="320" t="s">
        <v>59</v>
      </c>
      <c r="L211" s="320"/>
      <c r="M211" s="320"/>
      <c r="N211" s="320"/>
      <c r="O211" s="320"/>
      <c r="P211" s="320"/>
      <c r="Q211" s="321"/>
      <c r="R211" s="322" t="s">
        <v>180</v>
      </c>
      <c r="S211" s="331">
        <v>45889</v>
      </c>
      <c r="T211" s="325">
        <v>45894</v>
      </c>
      <c r="U211" s="330"/>
      <c r="V211" s="325"/>
      <c r="W211" s="326">
        <v>0</v>
      </c>
      <c r="X211" s="327"/>
      <c r="Y211" s="328"/>
      <c r="Z211" s="329"/>
      <c r="AA211" s="300"/>
      <c r="AB211" s="301"/>
      <c r="AC211" s="302"/>
      <c r="AD211" s="303"/>
      <c r="AE211" s="304"/>
      <c r="AF211" s="305"/>
      <c r="AG211" s="305">
        <f t="shared" ca="1" si="7"/>
        <v>0</v>
      </c>
      <c r="AH211" s="305">
        <f t="shared" ca="1" si="8"/>
        <v>0</v>
      </c>
      <c r="AI211" s="305">
        <f t="shared" si="9"/>
        <v>0</v>
      </c>
      <c r="AJ211" s="305">
        <f t="shared" ca="1" si="10"/>
        <v>0</v>
      </c>
      <c r="AK211" s="305" t="str">
        <f t="shared" ca="1" si="11"/>
        <v/>
      </c>
      <c r="AL211" s="306">
        <f t="shared" ca="1" si="12"/>
        <v>1</v>
      </c>
      <c r="AM211" s="306">
        <f t="shared" ca="1" si="13"/>
        <v>30</v>
      </c>
      <c r="AN211" s="306">
        <f t="shared" ca="1" si="14"/>
        <v>1</v>
      </c>
      <c r="AO211" s="306">
        <f t="shared" ca="1" si="15"/>
        <v>0</v>
      </c>
      <c r="AP211" s="306">
        <f t="shared" ca="1" si="16"/>
        <v>0</v>
      </c>
      <c r="AQ211" s="306">
        <f t="shared" ca="1" si="17"/>
        <v>0</v>
      </c>
      <c r="AR211" s="306">
        <f t="shared" ca="1" si="18"/>
        <v>0</v>
      </c>
      <c r="AS211" s="307"/>
      <c r="AT211" s="306">
        <f t="shared" si="19"/>
        <v>6</v>
      </c>
    </row>
    <row r="212" spans="1:46" ht="15.75" customHeight="1">
      <c r="A212" s="284"/>
      <c r="B212" s="285">
        <f t="shared" ca="1" si="0"/>
        <v>1</v>
      </c>
      <c r="C212" s="286">
        <f t="shared" ca="1" si="1"/>
        <v>30</v>
      </c>
      <c r="D212" s="286">
        <f t="shared" ca="1" si="2"/>
        <v>2</v>
      </c>
      <c r="E212" s="286" t="str">
        <f t="shared" ca="1" si="3"/>
        <v/>
      </c>
      <c r="F212" s="286" t="str">
        <f t="shared" ca="1" si="4"/>
        <v/>
      </c>
      <c r="G212" s="287" t="str">
        <f t="shared" ca="1" si="5"/>
        <v/>
      </c>
      <c r="H212" s="288" t="str">
        <f t="shared" ca="1" si="6"/>
        <v/>
      </c>
      <c r="I212" s="308"/>
      <c r="J212" s="320"/>
      <c r="K212" s="320" t="s">
        <v>145</v>
      </c>
      <c r="L212" s="320"/>
      <c r="M212" s="320"/>
      <c r="N212" s="320"/>
      <c r="O212" s="320"/>
      <c r="P212" s="320"/>
      <c r="Q212" s="321"/>
      <c r="R212" s="322" t="s">
        <v>181</v>
      </c>
      <c r="S212" s="331">
        <v>45895</v>
      </c>
      <c r="T212" s="325">
        <v>45895</v>
      </c>
      <c r="U212" s="330"/>
      <c r="V212" s="325"/>
      <c r="W212" s="326">
        <v>0</v>
      </c>
      <c r="X212" s="327"/>
      <c r="Y212" s="328"/>
      <c r="Z212" s="329"/>
      <c r="AA212" s="300"/>
      <c r="AB212" s="301"/>
      <c r="AC212" s="302"/>
      <c r="AD212" s="303"/>
      <c r="AE212" s="304"/>
      <c r="AF212" s="305"/>
      <c r="AG212" s="305">
        <f t="shared" ca="1" si="7"/>
        <v>0</v>
      </c>
      <c r="AH212" s="305">
        <f t="shared" ca="1" si="8"/>
        <v>0</v>
      </c>
      <c r="AI212" s="305">
        <f t="shared" si="9"/>
        <v>0</v>
      </c>
      <c r="AJ212" s="305">
        <f t="shared" ca="1" si="10"/>
        <v>0</v>
      </c>
      <c r="AK212" s="305" t="str">
        <f t="shared" ca="1" si="11"/>
        <v/>
      </c>
      <c r="AL212" s="306">
        <f t="shared" ca="1" si="12"/>
        <v>1</v>
      </c>
      <c r="AM212" s="306">
        <f t="shared" ca="1" si="13"/>
        <v>30</v>
      </c>
      <c r="AN212" s="306">
        <f t="shared" ca="1" si="14"/>
        <v>2</v>
      </c>
      <c r="AO212" s="306">
        <f t="shared" ca="1" si="15"/>
        <v>0</v>
      </c>
      <c r="AP212" s="306">
        <f t="shared" ca="1" si="16"/>
        <v>0</v>
      </c>
      <c r="AQ212" s="306">
        <f t="shared" ca="1" si="17"/>
        <v>0</v>
      </c>
      <c r="AR212" s="306">
        <f t="shared" ca="1" si="18"/>
        <v>0</v>
      </c>
      <c r="AS212" s="307"/>
      <c r="AT212" s="306">
        <f t="shared" si="19"/>
        <v>1</v>
      </c>
    </row>
    <row r="213" spans="1:46" ht="15.75" customHeight="1">
      <c r="A213" s="284"/>
      <c r="B213" s="285">
        <f t="shared" ca="1" si="0"/>
        <v>1</v>
      </c>
      <c r="C213" s="286">
        <f t="shared" ca="1" si="1"/>
        <v>30</v>
      </c>
      <c r="D213" s="286">
        <f t="shared" ca="1" si="2"/>
        <v>3</v>
      </c>
      <c r="E213" s="286" t="str">
        <f t="shared" ca="1" si="3"/>
        <v/>
      </c>
      <c r="F213" s="286" t="str">
        <f t="shared" ca="1" si="4"/>
        <v/>
      </c>
      <c r="G213" s="287" t="str">
        <f t="shared" ca="1" si="5"/>
        <v/>
      </c>
      <c r="H213" s="288" t="str">
        <f t="shared" ca="1" si="6"/>
        <v/>
      </c>
      <c r="I213" s="308"/>
      <c r="J213" s="320"/>
      <c r="K213" s="320" t="s">
        <v>63</v>
      </c>
      <c r="L213" s="320"/>
      <c r="M213" s="320"/>
      <c r="N213" s="320"/>
      <c r="O213" s="320"/>
      <c r="P213" s="320"/>
      <c r="Q213" s="321"/>
      <c r="R213" s="322" t="s">
        <v>180</v>
      </c>
      <c r="S213" s="331">
        <v>45896</v>
      </c>
      <c r="T213" s="325">
        <v>45896</v>
      </c>
      <c r="U213" s="330"/>
      <c r="V213" s="325"/>
      <c r="W213" s="326">
        <v>0</v>
      </c>
      <c r="X213" s="327"/>
      <c r="Y213" s="328"/>
      <c r="Z213" s="329"/>
      <c r="AA213" s="300"/>
      <c r="AB213" s="301"/>
      <c r="AC213" s="302"/>
      <c r="AD213" s="303"/>
      <c r="AE213" s="304"/>
      <c r="AF213" s="305"/>
      <c r="AG213" s="305">
        <f t="shared" ca="1" si="7"/>
        <v>0</v>
      </c>
      <c r="AH213" s="305">
        <f t="shared" ca="1" si="8"/>
        <v>0</v>
      </c>
      <c r="AI213" s="305">
        <f t="shared" si="9"/>
        <v>0</v>
      </c>
      <c r="AJ213" s="305">
        <f t="shared" ca="1" si="10"/>
        <v>0</v>
      </c>
      <c r="AK213" s="305" t="str">
        <f t="shared" ca="1" si="11"/>
        <v/>
      </c>
      <c r="AL213" s="306">
        <f t="shared" ca="1" si="12"/>
        <v>1</v>
      </c>
      <c r="AM213" s="306">
        <f t="shared" ca="1" si="13"/>
        <v>30</v>
      </c>
      <c r="AN213" s="306">
        <f t="shared" ca="1" si="14"/>
        <v>3</v>
      </c>
      <c r="AO213" s="306">
        <f t="shared" ca="1" si="15"/>
        <v>0</v>
      </c>
      <c r="AP213" s="306">
        <f t="shared" ca="1" si="16"/>
        <v>0</v>
      </c>
      <c r="AQ213" s="306">
        <f t="shared" ca="1" si="17"/>
        <v>0</v>
      </c>
      <c r="AR213" s="306">
        <f t="shared" ca="1" si="18"/>
        <v>0</v>
      </c>
      <c r="AS213" s="307"/>
      <c r="AT213" s="306">
        <f t="shared" si="19"/>
        <v>1</v>
      </c>
    </row>
    <row r="214" spans="1:46" ht="15.75" customHeight="1">
      <c r="A214" s="284"/>
      <c r="B214" s="285">
        <f t="shared" ca="1" si="0"/>
        <v>1</v>
      </c>
      <c r="C214" s="286">
        <f t="shared" ca="1" si="1"/>
        <v>30</v>
      </c>
      <c r="D214" s="286">
        <f t="shared" ca="1" si="2"/>
        <v>4</v>
      </c>
      <c r="E214" s="286" t="str">
        <f t="shared" ca="1" si="3"/>
        <v/>
      </c>
      <c r="F214" s="286" t="str">
        <f t="shared" ca="1" si="4"/>
        <v/>
      </c>
      <c r="G214" s="287" t="str">
        <f t="shared" ca="1" si="5"/>
        <v/>
      </c>
      <c r="H214" s="288" t="str">
        <f t="shared" ca="1" si="6"/>
        <v/>
      </c>
      <c r="I214" s="308"/>
      <c r="J214" s="320"/>
      <c r="K214" s="320" t="s">
        <v>64</v>
      </c>
      <c r="L214" s="320"/>
      <c r="M214" s="320"/>
      <c r="N214" s="320"/>
      <c r="O214" s="320"/>
      <c r="P214" s="320"/>
      <c r="Q214" s="321"/>
      <c r="R214" s="322" t="s">
        <v>181</v>
      </c>
      <c r="S214" s="331">
        <v>45896</v>
      </c>
      <c r="T214" s="325">
        <v>45896</v>
      </c>
      <c r="U214" s="330"/>
      <c r="V214" s="325"/>
      <c r="W214" s="326">
        <v>0</v>
      </c>
      <c r="X214" s="327"/>
      <c r="Y214" s="328"/>
      <c r="Z214" s="329"/>
      <c r="AA214" s="300"/>
      <c r="AB214" s="301"/>
      <c r="AC214" s="302"/>
      <c r="AD214" s="303"/>
      <c r="AE214" s="304"/>
      <c r="AF214" s="305"/>
      <c r="AG214" s="305">
        <f t="shared" ca="1" si="7"/>
        <v>0</v>
      </c>
      <c r="AH214" s="305">
        <f t="shared" ca="1" si="8"/>
        <v>0</v>
      </c>
      <c r="AI214" s="305">
        <f t="shared" si="9"/>
        <v>0</v>
      </c>
      <c r="AJ214" s="305">
        <f t="shared" ca="1" si="10"/>
        <v>0</v>
      </c>
      <c r="AK214" s="305" t="str">
        <f t="shared" ca="1" si="11"/>
        <v/>
      </c>
      <c r="AL214" s="306">
        <f t="shared" ca="1" si="12"/>
        <v>1</v>
      </c>
      <c r="AM214" s="306">
        <f t="shared" ca="1" si="13"/>
        <v>30</v>
      </c>
      <c r="AN214" s="306">
        <f t="shared" ca="1" si="14"/>
        <v>4</v>
      </c>
      <c r="AO214" s="306">
        <f t="shared" ca="1" si="15"/>
        <v>0</v>
      </c>
      <c r="AP214" s="306">
        <f t="shared" ca="1" si="16"/>
        <v>0</v>
      </c>
      <c r="AQ214" s="306">
        <f t="shared" ca="1" si="17"/>
        <v>0</v>
      </c>
      <c r="AR214" s="306">
        <f t="shared" ca="1" si="18"/>
        <v>0</v>
      </c>
      <c r="AS214" s="307"/>
      <c r="AT214" s="306">
        <f t="shared" si="19"/>
        <v>1</v>
      </c>
    </row>
    <row r="215" spans="1:46" ht="15.75" customHeight="1">
      <c r="A215" s="284"/>
      <c r="B215" s="285">
        <f t="shared" ca="1" si="0"/>
        <v>1</v>
      </c>
      <c r="C215" s="286">
        <f t="shared" ca="1" si="1"/>
        <v>30</v>
      </c>
      <c r="D215" s="286">
        <f t="shared" ca="1" si="2"/>
        <v>5</v>
      </c>
      <c r="E215" s="286" t="str">
        <f t="shared" ca="1" si="3"/>
        <v/>
      </c>
      <c r="F215" s="286" t="str">
        <f t="shared" ca="1" si="4"/>
        <v/>
      </c>
      <c r="G215" s="287" t="str">
        <f t="shared" ca="1" si="5"/>
        <v/>
      </c>
      <c r="H215" s="288" t="str">
        <f t="shared" ca="1" si="6"/>
        <v/>
      </c>
      <c r="I215" s="308"/>
      <c r="J215" s="320"/>
      <c r="K215" s="320" t="s">
        <v>65</v>
      </c>
      <c r="L215" s="320"/>
      <c r="M215" s="320"/>
      <c r="N215" s="320"/>
      <c r="O215" s="320"/>
      <c r="P215" s="320"/>
      <c r="Q215" s="321"/>
      <c r="R215" s="322" t="s">
        <v>180</v>
      </c>
      <c r="S215" s="331">
        <v>45897</v>
      </c>
      <c r="T215" s="325">
        <v>45897</v>
      </c>
      <c r="U215" s="330"/>
      <c r="V215" s="325"/>
      <c r="W215" s="326">
        <v>0</v>
      </c>
      <c r="X215" s="327"/>
      <c r="Y215" s="328"/>
      <c r="Z215" s="329"/>
      <c r="AA215" s="300"/>
      <c r="AB215" s="301"/>
      <c r="AC215" s="302"/>
      <c r="AD215" s="303"/>
      <c r="AE215" s="304"/>
      <c r="AF215" s="305"/>
      <c r="AG215" s="305">
        <f t="shared" ca="1" si="7"/>
        <v>0</v>
      </c>
      <c r="AH215" s="305">
        <f t="shared" ca="1" si="8"/>
        <v>0</v>
      </c>
      <c r="AI215" s="305">
        <f t="shared" si="9"/>
        <v>0</v>
      </c>
      <c r="AJ215" s="305">
        <f t="shared" ca="1" si="10"/>
        <v>0</v>
      </c>
      <c r="AK215" s="305" t="str">
        <f t="shared" ca="1" si="11"/>
        <v/>
      </c>
      <c r="AL215" s="306">
        <f t="shared" ca="1" si="12"/>
        <v>1</v>
      </c>
      <c r="AM215" s="306">
        <f t="shared" ca="1" si="13"/>
        <v>30</v>
      </c>
      <c r="AN215" s="306">
        <f t="shared" ca="1" si="14"/>
        <v>5</v>
      </c>
      <c r="AO215" s="306">
        <f t="shared" ca="1" si="15"/>
        <v>0</v>
      </c>
      <c r="AP215" s="306">
        <f t="shared" ca="1" si="16"/>
        <v>0</v>
      </c>
      <c r="AQ215" s="306">
        <f t="shared" ca="1" si="17"/>
        <v>0</v>
      </c>
      <c r="AR215" s="306">
        <f t="shared" ca="1" si="18"/>
        <v>0</v>
      </c>
      <c r="AS215" s="307"/>
      <c r="AT215" s="306">
        <f t="shared" si="19"/>
        <v>1</v>
      </c>
    </row>
    <row r="216" spans="1:46" ht="15.75" customHeight="1">
      <c r="A216" s="284"/>
      <c r="B216" s="285">
        <f t="shared" ca="1" si="0"/>
        <v>1</v>
      </c>
      <c r="C216" s="286">
        <f t="shared" ca="1" si="1"/>
        <v>30</v>
      </c>
      <c r="D216" s="286">
        <f t="shared" ca="1" si="2"/>
        <v>6</v>
      </c>
      <c r="E216" s="286" t="str">
        <f t="shared" ca="1" si="3"/>
        <v/>
      </c>
      <c r="F216" s="286" t="str">
        <f t="shared" ca="1" si="4"/>
        <v/>
      </c>
      <c r="G216" s="287" t="str">
        <f t="shared" ca="1" si="5"/>
        <v/>
      </c>
      <c r="H216" s="288" t="str">
        <f t="shared" ca="1" si="6"/>
        <v/>
      </c>
      <c r="I216" s="308"/>
      <c r="J216" s="320"/>
      <c r="K216" s="320" t="s">
        <v>66</v>
      </c>
      <c r="L216" s="320"/>
      <c r="M216" s="320"/>
      <c r="N216" s="320"/>
      <c r="O216" s="320"/>
      <c r="P216" s="320"/>
      <c r="Q216" s="321"/>
      <c r="R216" s="322" t="s">
        <v>181</v>
      </c>
      <c r="S216" s="331">
        <v>45898</v>
      </c>
      <c r="T216" s="325">
        <v>45898</v>
      </c>
      <c r="U216" s="330"/>
      <c r="V216" s="325"/>
      <c r="W216" s="326">
        <v>0</v>
      </c>
      <c r="X216" s="327"/>
      <c r="Y216" s="328"/>
      <c r="Z216" s="329"/>
      <c r="AA216" s="300"/>
      <c r="AB216" s="301"/>
      <c r="AC216" s="302"/>
      <c r="AD216" s="303"/>
      <c r="AE216" s="304"/>
      <c r="AF216" s="305"/>
      <c r="AG216" s="305">
        <f t="shared" ca="1" si="7"/>
        <v>0</v>
      </c>
      <c r="AH216" s="305">
        <f t="shared" ca="1" si="8"/>
        <v>0</v>
      </c>
      <c r="AI216" s="305">
        <f t="shared" si="9"/>
        <v>0</v>
      </c>
      <c r="AJ216" s="305">
        <f t="shared" ca="1" si="10"/>
        <v>0</v>
      </c>
      <c r="AK216" s="305" t="str">
        <f t="shared" ca="1" si="11"/>
        <v/>
      </c>
      <c r="AL216" s="306">
        <f t="shared" ca="1" si="12"/>
        <v>1</v>
      </c>
      <c r="AM216" s="306">
        <f t="shared" ca="1" si="13"/>
        <v>30</v>
      </c>
      <c r="AN216" s="306">
        <f t="shared" ca="1" si="14"/>
        <v>6</v>
      </c>
      <c r="AO216" s="306">
        <f t="shared" ca="1" si="15"/>
        <v>0</v>
      </c>
      <c r="AP216" s="306">
        <f t="shared" ca="1" si="16"/>
        <v>0</v>
      </c>
      <c r="AQ216" s="306">
        <f t="shared" ca="1" si="17"/>
        <v>0</v>
      </c>
      <c r="AR216" s="306">
        <f t="shared" ca="1" si="18"/>
        <v>0</v>
      </c>
      <c r="AS216" s="307"/>
      <c r="AT216" s="306">
        <f t="shared" si="19"/>
        <v>1</v>
      </c>
    </row>
    <row r="217" spans="1:46" ht="15.75" customHeight="1">
      <c r="A217" s="284"/>
      <c r="B217" s="285">
        <f t="shared" ca="1" si="0"/>
        <v>1</v>
      </c>
      <c r="C217" s="286">
        <f t="shared" ca="1" si="1"/>
        <v>31</v>
      </c>
      <c r="D217" s="286" t="str">
        <f t="shared" ca="1" si="2"/>
        <v/>
      </c>
      <c r="E217" s="286" t="str">
        <f t="shared" ca="1" si="3"/>
        <v/>
      </c>
      <c r="F217" s="286" t="str">
        <f t="shared" ca="1" si="4"/>
        <v/>
      </c>
      <c r="G217" s="287" t="str">
        <f t="shared" ca="1" si="5"/>
        <v/>
      </c>
      <c r="H217" s="288" t="str">
        <f t="shared" ca="1" si="6"/>
        <v/>
      </c>
      <c r="I217" s="308"/>
      <c r="J217" s="309" t="s">
        <v>210</v>
      </c>
      <c r="K217" s="310"/>
      <c r="L217" s="310"/>
      <c r="M217" s="310"/>
      <c r="N217" s="310"/>
      <c r="O217" s="310"/>
      <c r="P217" s="310"/>
      <c r="Q217" s="311" t="s">
        <v>81</v>
      </c>
      <c r="R217" s="312"/>
      <c r="S217" s="313"/>
      <c r="T217" s="314"/>
      <c r="U217" s="315"/>
      <c r="V217" s="314"/>
      <c r="W217" s="316"/>
      <c r="X217" s="317"/>
      <c r="Y217" s="318"/>
      <c r="Z217" s="319"/>
      <c r="AA217" s="300"/>
      <c r="AB217" s="301"/>
      <c r="AC217" s="302"/>
      <c r="AD217" s="303"/>
      <c r="AE217" s="304"/>
      <c r="AF217" s="305"/>
      <c r="AG217" s="305">
        <f t="shared" si="7"/>
        <v>0</v>
      </c>
      <c r="AH217" s="305">
        <f t="shared" si="8"/>
        <v>0</v>
      </c>
      <c r="AI217" s="305">
        <f t="shared" si="9"/>
        <v>0</v>
      </c>
      <c r="AJ217" s="305">
        <f t="shared" si="10"/>
        <v>0</v>
      </c>
      <c r="AK217" s="305" t="str">
        <f t="shared" si="11"/>
        <v/>
      </c>
      <c r="AL217" s="306">
        <f t="shared" ca="1" si="12"/>
        <v>1</v>
      </c>
      <c r="AM217" s="306">
        <f t="shared" ca="1" si="13"/>
        <v>31</v>
      </c>
      <c r="AN217" s="306">
        <f t="shared" ca="1" si="14"/>
        <v>0</v>
      </c>
      <c r="AO217" s="306">
        <f t="shared" ca="1" si="15"/>
        <v>0</v>
      </c>
      <c r="AP217" s="306">
        <f t="shared" ca="1" si="16"/>
        <v>0</v>
      </c>
      <c r="AQ217" s="306">
        <f t="shared" ca="1" si="17"/>
        <v>0</v>
      </c>
      <c r="AR217" s="306">
        <f t="shared" ca="1" si="18"/>
        <v>0</v>
      </c>
      <c r="AS217" s="307"/>
      <c r="AT217" s="306">
        <f t="shared" si="19"/>
        <v>1</v>
      </c>
    </row>
    <row r="218" spans="1:46" ht="15.75" customHeight="1">
      <c r="A218" s="284"/>
      <c r="B218" s="285">
        <f t="shared" ca="1" si="0"/>
        <v>1</v>
      </c>
      <c r="C218" s="286">
        <f t="shared" ca="1" si="1"/>
        <v>31</v>
      </c>
      <c r="D218" s="286">
        <f t="shared" ca="1" si="2"/>
        <v>1</v>
      </c>
      <c r="E218" s="286" t="str">
        <f t="shared" ca="1" si="3"/>
        <v/>
      </c>
      <c r="F218" s="286" t="str">
        <f t="shared" ca="1" si="4"/>
        <v/>
      </c>
      <c r="G218" s="287" t="str">
        <f t="shared" ca="1" si="5"/>
        <v/>
      </c>
      <c r="H218" s="288" t="str">
        <f t="shared" ca="1" si="6"/>
        <v/>
      </c>
      <c r="I218" s="308"/>
      <c r="J218" s="320"/>
      <c r="K218" s="320" t="s">
        <v>59</v>
      </c>
      <c r="L218" s="320"/>
      <c r="M218" s="320"/>
      <c r="N218" s="320"/>
      <c r="O218" s="320"/>
      <c r="P218" s="320"/>
      <c r="Q218" s="321"/>
      <c r="R218" s="322" t="s">
        <v>181</v>
      </c>
      <c r="S218" s="331">
        <v>45889</v>
      </c>
      <c r="T218" s="325">
        <v>45894</v>
      </c>
      <c r="U218" s="330"/>
      <c r="V218" s="325"/>
      <c r="W218" s="326">
        <v>0</v>
      </c>
      <c r="X218" s="327"/>
      <c r="Y218" s="328"/>
      <c r="Z218" s="329"/>
      <c r="AA218" s="300"/>
      <c r="AB218" s="301"/>
      <c r="AC218" s="302"/>
      <c r="AD218" s="303"/>
      <c r="AE218" s="304"/>
      <c r="AF218" s="305"/>
      <c r="AG218" s="305">
        <f t="shared" ca="1" si="7"/>
        <v>0</v>
      </c>
      <c r="AH218" s="305">
        <f t="shared" ca="1" si="8"/>
        <v>0</v>
      </c>
      <c r="AI218" s="305">
        <f t="shared" si="9"/>
        <v>0</v>
      </c>
      <c r="AJ218" s="305">
        <f t="shared" ca="1" si="10"/>
        <v>0</v>
      </c>
      <c r="AK218" s="305" t="str">
        <f t="shared" ca="1" si="11"/>
        <v/>
      </c>
      <c r="AL218" s="306">
        <f t="shared" ca="1" si="12"/>
        <v>1</v>
      </c>
      <c r="AM218" s="306">
        <f t="shared" ca="1" si="13"/>
        <v>31</v>
      </c>
      <c r="AN218" s="306">
        <f t="shared" ca="1" si="14"/>
        <v>1</v>
      </c>
      <c r="AO218" s="306">
        <f t="shared" ca="1" si="15"/>
        <v>0</v>
      </c>
      <c r="AP218" s="306">
        <f t="shared" ca="1" si="16"/>
        <v>0</v>
      </c>
      <c r="AQ218" s="306">
        <f t="shared" ca="1" si="17"/>
        <v>0</v>
      </c>
      <c r="AR218" s="306">
        <f t="shared" ca="1" si="18"/>
        <v>0</v>
      </c>
      <c r="AS218" s="307"/>
      <c r="AT218" s="306">
        <f t="shared" si="19"/>
        <v>6</v>
      </c>
    </row>
    <row r="219" spans="1:46" ht="15.75" customHeight="1">
      <c r="A219" s="284"/>
      <c r="B219" s="285">
        <f t="shared" ca="1" si="0"/>
        <v>1</v>
      </c>
      <c r="C219" s="286">
        <f t="shared" ca="1" si="1"/>
        <v>31</v>
      </c>
      <c r="D219" s="286">
        <f t="shared" ca="1" si="2"/>
        <v>2</v>
      </c>
      <c r="E219" s="286" t="str">
        <f t="shared" ca="1" si="3"/>
        <v/>
      </c>
      <c r="F219" s="286" t="str">
        <f t="shared" ca="1" si="4"/>
        <v/>
      </c>
      <c r="G219" s="287" t="str">
        <f t="shared" ca="1" si="5"/>
        <v/>
      </c>
      <c r="H219" s="288" t="str">
        <f t="shared" ca="1" si="6"/>
        <v/>
      </c>
      <c r="I219" s="308"/>
      <c r="J219" s="320"/>
      <c r="K219" s="320" t="s">
        <v>145</v>
      </c>
      <c r="L219" s="320"/>
      <c r="M219" s="320"/>
      <c r="N219" s="320"/>
      <c r="O219" s="320"/>
      <c r="P219" s="320"/>
      <c r="Q219" s="321"/>
      <c r="R219" s="322" t="s">
        <v>185</v>
      </c>
      <c r="S219" s="331">
        <v>45895</v>
      </c>
      <c r="T219" s="325">
        <v>45895</v>
      </c>
      <c r="U219" s="330"/>
      <c r="V219" s="325"/>
      <c r="W219" s="326">
        <v>0</v>
      </c>
      <c r="X219" s="327"/>
      <c r="Y219" s="328"/>
      <c r="Z219" s="329"/>
      <c r="AA219" s="300"/>
      <c r="AB219" s="301"/>
      <c r="AC219" s="302"/>
      <c r="AD219" s="303"/>
      <c r="AE219" s="304"/>
      <c r="AF219" s="305"/>
      <c r="AG219" s="305">
        <f t="shared" ca="1" si="7"/>
        <v>0</v>
      </c>
      <c r="AH219" s="305">
        <f t="shared" ca="1" si="8"/>
        <v>0</v>
      </c>
      <c r="AI219" s="305">
        <f t="shared" si="9"/>
        <v>0</v>
      </c>
      <c r="AJ219" s="305">
        <f t="shared" ca="1" si="10"/>
        <v>0</v>
      </c>
      <c r="AK219" s="305" t="str">
        <f t="shared" ca="1" si="11"/>
        <v/>
      </c>
      <c r="AL219" s="306">
        <f t="shared" ca="1" si="12"/>
        <v>1</v>
      </c>
      <c r="AM219" s="306">
        <f t="shared" ca="1" si="13"/>
        <v>31</v>
      </c>
      <c r="AN219" s="306">
        <f t="shared" ca="1" si="14"/>
        <v>2</v>
      </c>
      <c r="AO219" s="306">
        <f t="shared" ca="1" si="15"/>
        <v>0</v>
      </c>
      <c r="AP219" s="306">
        <f t="shared" ca="1" si="16"/>
        <v>0</v>
      </c>
      <c r="AQ219" s="306">
        <f t="shared" ca="1" si="17"/>
        <v>0</v>
      </c>
      <c r="AR219" s="306">
        <f t="shared" ca="1" si="18"/>
        <v>0</v>
      </c>
      <c r="AS219" s="307"/>
      <c r="AT219" s="306">
        <f t="shared" si="19"/>
        <v>1</v>
      </c>
    </row>
    <row r="220" spans="1:46" ht="15.75" customHeight="1">
      <c r="A220" s="284"/>
      <c r="B220" s="285">
        <f t="shared" ca="1" si="0"/>
        <v>1</v>
      </c>
      <c r="C220" s="286">
        <f t="shared" ca="1" si="1"/>
        <v>31</v>
      </c>
      <c r="D220" s="286">
        <f t="shared" ca="1" si="2"/>
        <v>3</v>
      </c>
      <c r="E220" s="286" t="str">
        <f t="shared" ca="1" si="3"/>
        <v/>
      </c>
      <c r="F220" s="286" t="str">
        <f t="shared" ca="1" si="4"/>
        <v/>
      </c>
      <c r="G220" s="287" t="str">
        <f t="shared" ca="1" si="5"/>
        <v/>
      </c>
      <c r="H220" s="288" t="str">
        <f t="shared" ca="1" si="6"/>
        <v/>
      </c>
      <c r="I220" s="308"/>
      <c r="J220" s="320"/>
      <c r="K220" s="320" t="s">
        <v>63</v>
      </c>
      <c r="L220" s="320"/>
      <c r="M220" s="320"/>
      <c r="N220" s="320"/>
      <c r="O220" s="320"/>
      <c r="P220" s="320"/>
      <c r="Q220" s="321"/>
      <c r="R220" s="322" t="s">
        <v>181</v>
      </c>
      <c r="S220" s="331">
        <v>45896</v>
      </c>
      <c r="T220" s="325">
        <v>45896</v>
      </c>
      <c r="U220" s="330"/>
      <c r="V220" s="325"/>
      <c r="W220" s="326">
        <v>0</v>
      </c>
      <c r="X220" s="327"/>
      <c r="Y220" s="328"/>
      <c r="Z220" s="329"/>
      <c r="AA220" s="300"/>
      <c r="AB220" s="301"/>
      <c r="AC220" s="302"/>
      <c r="AD220" s="303"/>
      <c r="AE220" s="304"/>
      <c r="AF220" s="305"/>
      <c r="AG220" s="305">
        <f t="shared" ca="1" si="7"/>
        <v>0</v>
      </c>
      <c r="AH220" s="305">
        <f t="shared" ca="1" si="8"/>
        <v>0</v>
      </c>
      <c r="AI220" s="305">
        <f t="shared" si="9"/>
        <v>0</v>
      </c>
      <c r="AJ220" s="305">
        <f t="shared" ca="1" si="10"/>
        <v>0</v>
      </c>
      <c r="AK220" s="305" t="str">
        <f t="shared" ca="1" si="11"/>
        <v/>
      </c>
      <c r="AL220" s="306">
        <f t="shared" ca="1" si="12"/>
        <v>1</v>
      </c>
      <c r="AM220" s="306">
        <f t="shared" ca="1" si="13"/>
        <v>31</v>
      </c>
      <c r="AN220" s="306">
        <f t="shared" ca="1" si="14"/>
        <v>3</v>
      </c>
      <c r="AO220" s="306">
        <f t="shared" ca="1" si="15"/>
        <v>0</v>
      </c>
      <c r="AP220" s="306">
        <f t="shared" ca="1" si="16"/>
        <v>0</v>
      </c>
      <c r="AQ220" s="306">
        <f t="shared" ca="1" si="17"/>
        <v>0</v>
      </c>
      <c r="AR220" s="306">
        <f t="shared" ca="1" si="18"/>
        <v>0</v>
      </c>
      <c r="AS220" s="307"/>
      <c r="AT220" s="306">
        <f t="shared" si="19"/>
        <v>1</v>
      </c>
    </row>
    <row r="221" spans="1:46" ht="15.75" customHeight="1">
      <c r="A221" s="284"/>
      <c r="B221" s="285">
        <f t="shared" ca="1" si="0"/>
        <v>1</v>
      </c>
      <c r="C221" s="286">
        <f t="shared" ca="1" si="1"/>
        <v>31</v>
      </c>
      <c r="D221" s="286">
        <f t="shared" ca="1" si="2"/>
        <v>4</v>
      </c>
      <c r="E221" s="286" t="str">
        <f t="shared" ca="1" si="3"/>
        <v/>
      </c>
      <c r="F221" s="286" t="str">
        <f t="shared" ca="1" si="4"/>
        <v/>
      </c>
      <c r="G221" s="287" t="str">
        <f t="shared" ca="1" si="5"/>
        <v/>
      </c>
      <c r="H221" s="288" t="str">
        <f t="shared" ca="1" si="6"/>
        <v/>
      </c>
      <c r="I221" s="308"/>
      <c r="J221" s="320"/>
      <c r="K221" s="320" t="s">
        <v>64</v>
      </c>
      <c r="L221" s="320"/>
      <c r="M221" s="320"/>
      <c r="N221" s="320"/>
      <c r="O221" s="320"/>
      <c r="P221" s="320"/>
      <c r="Q221" s="321"/>
      <c r="R221" s="322" t="s">
        <v>185</v>
      </c>
      <c r="S221" s="331">
        <v>45896</v>
      </c>
      <c r="T221" s="325">
        <v>45896</v>
      </c>
      <c r="U221" s="330"/>
      <c r="V221" s="325"/>
      <c r="W221" s="326">
        <v>0</v>
      </c>
      <c r="X221" s="327"/>
      <c r="Y221" s="328"/>
      <c r="Z221" s="329"/>
      <c r="AA221" s="300"/>
      <c r="AB221" s="301"/>
      <c r="AC221" s="302"/>
      <c r="AD221" s="303"/>
      <c r="AE221" s="304"/>
      <c r="AF221" s="305"/>
      <c r="AG221" s="305">
        <f t="shared" ca="1" si="7"/>
        <v>0</v>
      </c>
      <c r="AH221" s="305">
        <f t="shared" ca="1" si="8"/>
        <v>0</v>
      </c>
      <c r="AI221" s="305">
        <f t="shared" si="9"/>
        <v>0</v>
      </c>
      <c r="AJ221" s="305">
        <f t="shared" ca="1" si="10"/>
        <v>0</v>
      </c>
      <c r="AK221" s="305" t="str">
        <f t="shared" ca="1" si="11"/>
        <v/>
      </c>
      <c r="AL221" s="306">
        <f t="shared" ca="1" si="12"/>
        <v>1</v>
      </c>
      <c r="AM221" s="306">
        <f t="shared" ca="1" si="13"/>
        <v>31</v>
      </c>
      <c r="AN221" s="306">
        <f t="shared" ca="1" si="14"/>
        <v>4</v>
      </c>
      <c r="AO221" s="306">
        <f t="shared" ca="1" si="15"/>
        <v>0</v>
      </c>
      <c r="AP221" s="306">
        <f t="shared" ca="1" si="16"/>
        <v>0</v>
      </c>
      <c r="AQ221" s="306">
        <f t="shared" ca="1" si="17"/>
        <v>0</v>
      </c>
      <c r="AR221" s="306">
        <f t="shared" ca="1" si="18"/>
        <v>0</v>
      </c>
      <c r="AS221" s="307"/>
      <c r="AT221" s="306">
        <f t="shared" si="19"/>
        <v>1</v>
      </c>
    </row>
    <row r="222" spans="1:46" ht="15.75" customHeight="1">
      <c r="A222" s="284"/>
      <c r="B222" s="285">
        <f t="shared" ca="1" si="0"/>
        <v>1</v>
      </c>
      <c r="C222" s="286">
        <f t="shared" ca="1" si="1"/>
        <v>31</v>
      </c>
      <c r="D222" s="286">
        <f t="shared" ca="1" si="2"/>
        <v>5</v>
      </c>
      <c r="E222" s="286" t="str">
        <f t="shared" ca="1" si="3"/>
        <v/>
      </c>
      <c r="F222" s="286" t="str">
        <f t="shared" ca="1" si="4"/>
        <v/>
      </c>
      <c r="G222" s="287" t="str">
        <f t="shared" ca="1" si="5"/>
        <v/>
      </c>
      <c r="H222" s="288" t="str">
        <f t="shared" ca="1" si="6"/>
        <v/>
      </c>
      <c r="I222" s="308"/>
      <c r="J222" s="320"/>
      <c r="K222" s="320" t="s">
        <v>65</v>
      </c>
      <c r="L222" s="320"/>
      <c r="M222" s="320"/>
      <c r="N222" s="320"/>
      <c r="O222" s="320"/>
      <c r="P222" s="320"/>
      <c r="Q222" s="321"/>
      <c r="R222" s="322" t="s">
        <v>181</v>
      </c>
      <c r="S222" s="331">
        <v>45897</v>
      </c>
      <c r="T222" s="325">
        <v>45897</v>
      </c>
      <c r="U222" s="330"/>
      <c r="V222" s="325"/>
      <c r="W222" s="326">
        <v>0</v>
      </c>
      <c r="X222" s="327"/>
      <c r="Y222" s="328"/>
      <c r="Z222" s="329"/>
      <c r="AA222" s="300"/>
      <c r="AB222" s="301"/>
      <c r="AC222" s="302"/>
      <c r="AD222" s="303"/>
      <c r="AE222" s="304"/>
      <c r="AF222" s="305"/>
      <c r="AG222" s="305">
        <f t="shared" ca="1" si="7"/>
        <v>0</v>
      </c>
      <c r="AH222" s="305">
        <f t="shared" ca="1" si="8"/>
        <v>0</v>
      </c>
      <c r="AI222" s="305">
        <f t="shared" si="9"/>
        <v>0</v>
      </c>
      <c r="AJ222" s="305">
        <f t="shared" ca="1" si="10"/>
        <v>0</v>
      </c>
      <c r="AK222" s="305" t="str">
        <f t="shared" ca="1" si="11"/>
        <v/>
      </c>
      <c r="AL222" s="306">
        <f t="shared" ca="1" si="12"/>
        <v>1</v>
      </c>
      <c r="AM222" s="306">
        <f t="shared" ca="1" si="13"/>
        <v>31</v>
      </c>
      <c r="AN222" s="306">
        <f t="shared" ca="1" si="14"/>
        <v>5</v>
      </c>
      <c r="AO222" s="306">
        <f t="shared" ca="1" si="15"/>
        <v>0</v>
      </c>
      <c r="AP222" s="306">
        <f t="shared" ca="1" si="16"/>
        <v>0</v>
      </c>
      <c r="AQ222" s="306">
        <f t="shared" ca="1" si="17"/>
        <v>0</v>
      </c>
      <c r="AR222" s="306">
        <f t="shared" ca="1" si="18"/>
        <v>0</v>
      </c>
      <c r="AS222" s="307"/>
      <c r="AT222" s="306">
        <f t="shared" si="19"/>
        <v>1</v>
      </c>
    </row>
    <row r="223" spans="1:46" ht="15.75" customHeight="1">
      <c r="A223" s="284"/>
      <c r="B223" s="285">
        <f t="shared" ca="1" si="0"/>
        <v>1</v>
      </c>
      <c r="C223" s="286">
        <f t="shared" ca="1" si="1"/>
        <v>31</v>
      </c>
      <c r="D223" s="286">
        <f t="shared" ca="1" si="2"/>
        <v>6</v>
      </c>
      <c r="E223" s="286" t="str">
        <f t="shared" ca="1" si="3"/>
        <v/>
      </c>
      <c r="F223" s="286" t="str">
        <f t="shared" ca="1" si="4"/>
        <v/>
      </c>
      <c r="G223" s="287" t="str">
        <f t="shared" ca="1" si="5"/>
        <v/>
      </c>
      <c r="H223" s="288" t="str">
        <f t="shared" ca="1" si="6"/>
        <v/>
      </c>
      <c r="I223" s="308"/>
      <c r="J223" s="320"/>
      <c r="K223" s="320" t="s">
        <v>66</v>
      </c>
      <c r="L223" s="320"/>
      <c r="M223" s="320"/>
      <c r="N223" s="320"/>
      <c r="O223" s="320"/>
      <c r="P223" s="320"/>
      <c r="Q223" s="321"/>
      <c r="R223" s="322" t="s">
        <v>185</v>
      </c>
      <c r="S223" s="331">
        <v>45898</v>
      </c>
      <c r="T223" s="325">
        <v>45898</v>
      </c>
      <c r="U223" s="330"/>
      <c r="V223" s="325"/>
      <c r="W223" s="326">
        <v>0</v>
      </c>
      <c r="X223" s="327"/>
      <c r="Y223" s="328"/>
      <c r="Z223" s="329"/>
      <c r="AA223" s="300"/>
      <c r="AB223" s="301"/>
      <c r="AC223" s="302"/>
      <c r="AD223" s="303"/>
      <c r="AE223" s="304"/>
      <c r="AF223" s="305"/>
      <c r="AG223" s="305">
        <f t="shared" ca="1" si="7"/>
        <v>0</v>
      </c>
      <c r="AH223" s="305">
        <f t="shared" ca="1" si="8"/>
        <v>0</v>
      </c>
      <c r="AI223" s="305">
        <f t="shared" si="9"/>
        <v>0</v>
      </c>
      <c r="AJ223" s="305">
        <f t="shared" ca="1" si="10"/>
        <v>0</v>
      </c>
      <c r="AK223" s="305" t="str">
        <f t="shared" ca="1" si="11"/>
        <v/>
      </c>
      <c r="AL223" s="306">
        <f t="shared" ca="1" si="12"/>
        <v>1</v>
      </c>
      <c r="AM223" s="306">
        <f t="shared" ca="1" si="13"/>
        <v>31</v>
      </c>
      <c r="AN223" s="306">
        <f t="shared" ca="1" si="14"/>
        <v>6</v>
      </c>
      <c r="AO223" s="306">
        <f t="shared" ca="1" si="15"/>
        <v>0</v>
      </c>
      <c r="AP223" s="306">
        <f t="shared" ca="1" si="16"/>
        <v>0</v>
      </c>
      <c r="AQ223" s="306">
        <f t="shared" ca="1" si="17"/>
        <v>0</v>
      </c>
      <c r="AR223" s="306">
        <f t="shared" ca="1" si="18"/>
        <v>0</v>
      </c>
      <c r="AS223" s="307"/>
      <c r="AT223" s="306">
        <f t="shared" si="19"/>
        <v>1</v>
      </c>
    </row>
    <row r="224" spans="1:46" ht="15.75" customHeight="1">
      <c r="A224" s="284"/>
      <c r="B224" s="285">
        <f t="shared" ca="1" si="0"/>
        <v>1</v>
      </c>
      <c r="C224" s="286">
        <f t="shared" ca="1" si="1"/>
        <v>32</v>
      </c>
      <c r="D224" s="286" t="str">
        <f t="shared" ca="1" si="2"/>
        <v/>
      </c>
      <c r="E224" s="286" t="str">
        <f t="shared" ca="1" si="3"/>
        <v/>
      </c>
      <c r="F224" s="286" t="str">
        <f t="shared" ca="1" si="4"/>
        <v/>
      </c>
      <c r="G224" s="287" t="str">
        <f t="shared" ca="1" si="5"/>
        <v/>
      </c>
      <c r="H224" s="288" t="str">
        <f t="shared" ca="1" si="6"/>
        <v/>
      </c>
      <c r="I224" s="308"/>
      <c r="J224" s="309" t="s">
        <v>211</v>
      </c>
      <c r="K224" s="310"/>
      <c r="L224" s="310"/>
      <c r="M224" s="310"/>
      <c r="N224" s="310"/>
      <c r="O224" s="310"/>
      <c r="P224" s="310"/>
      <c r="Q224" s="311" t="s">
        <v>81</v>
      </c>
      <c r="R224" s="312"/>
      <c r="S224" s="313"/>
      <c r="T224" s="314"/>
      <c r="U224" s="315"/>
      <c r="V224" s="314"/>
      <c r="W224" s="316"/>
      <c r="X224" s="317"/>
      <c r="Y224" s="318"/>
      <c r="Z224" s="319"/>
      <c r="AA224" s="300"/>
      <c r="AB224" s="301"/>
      <c r="AC224" s="302"/>
      <c r="AD224" s="303"/>
      <c r="AE224" s="304"/>
      <c r="AF224" s="305"/>
      <c r="AG224" s="305">
        <f t="shared" si="7"/>
        <v>0</v>
      </c>
      <c r="AH224" s="305">
        <f t="shared" si="8"/>
        <v>0</v>
      </c>
      <c r="AI224" s="305">
        <f t="shared" si="9"/>
        <v>0</v>
      </c>
      <c r="AJ224" s="305">
        <f t="shared" si="10"/>
        <v>0</v>
      </c>
      <c r="AK224" s="305" t="str">
        <f t="shared" si="11"/>
        <v/>
      </c>
      <c r="AL224" s="306">
        <f t="shared" ca="1" si="12"/>
        <v>1</v>
      </c>
      <c r="AM224" s="306">
        <f t="shared" ca="1" si="13"/>
        <v>32</v>
      </c>
      <c r="AN224" s="306">
        <f t="shared" ca="1" si="14"/>
        <v>0</v>
      </c>
      <c r="AO224" s="306">
        <f t="shared" ca="1" si="15"/>
        <v>0</v>
      </c>
      <c r="AP224" s="306">
        <f t="shared" ca="1" si="16"/>
        <v>0</v>
      </c>
      <c r="AQ224" s="306">
        <f t="shared" ca="1" si="17"/>
        <v>0</v>
      </c>
      <c r="AR224" s="306">
        <f t="shared" ca="1" si="18"/>
        <v>0</v>
      </c>
      <c r="AS224" s="307"/>
      <c r="AT224" s="306">
        <f t="shared" si="19"/>
        <v>1</v>
      </c>
    </row>
    <row r="225" spans="1:46" ht="15.75" customHeight="1">
      <c r="A225" s="284"/>
      <c r="B225" s="285">
        <f t="shared" ca="1" si="0"/>
        <v>1</v>
      </c>
      <c r="C225" s="286">
        <f t="shared" ca="1" si="1"/>
        <v>32</v>
      </c>
      <c r="D225" s="286">
        <f t="shared" ca="1" si="2"/>
        <v>1</v>
      </c>
      <c r="E225" s="286" t="str">
        <f t="shared" ca="1" si="3"/>
        <v/>
      </c>
      <c r="F225" s="286" t="str">
        <f t="shared" ca="1" si="4"/>
        <v/>
      </c>
      <c r="G225" s="287" t="str">
        <f t="shared" ca="1" si="5"/>
        <v/>
      </c>
      <c r="H225" s="288" t="str">
        <f t="shared" ca="1" si="6"/>
        <v/>
      </c>
      <c r="I225" s="308"/>
      <c r="J225" s="320"/>
      <c r="K225" s="320" t="s">
        <v>59</v>
      </c>
      <c r="L225" s="320"/>
      <c r="M225" s="320"/>
      <c r="N225" s="320"/>
      <c r="O225" s="320"/>
      <c r="P225" s="320"/>
      <c r="Q225" s="321"/>
      <c r="R225" s="322" t="s">
        <v>185</v>
      </c>
      <c r="S225" s="331">
        <v>45889</v>
      </c>
      <c r="T225" s="325">
        <v>45894</v>
      </c>
      <c r="U225" s="330"/>
      <c r="V225" s="325"/>
      <c r="W225" s="326">
        <v>0</v>
      </c>
      <c r="X225" s="327"/>
      <c r="Y225" s="328"/>
      <c r="Z225" s="329"/>
      <c r="AA225" s="300"/>
      <c r="AB225" s="301"/>
      <c r="AC225" s="302"/>
      <c r="AD225" s="303"/>
      <c r="AE225" s="304"/>
      <c r="AF225" s="305"/>
      <c r="AG225" s="305">
        <f t="shared" ca="1" si="7"/>
        <v>0</v>
      </c>
      <c r="AH225" s="305">
        <f t="shared" ca="1" si="8"/>
        <v>0</v>
      </c>
      <c r="AI225" s="305">
        <f t="shared" si="9"/>
        <v>0</v>
      </c>
      <c r="AJ225" s="305">
        <f t="shared" ca="1" si="10"/>
        <v>0</v>
      </c>
      <c r="AK225" s="305" t="str">
        <f t="shared" ca="1" si="11"/>
        <v/>
      </c>
      <c r="AL225" s="306">
        <f t="shared" ca="1" si="12"/>
        <v>1</v>
      </c>
      <c r="AM225" s="306">
        <f t="shared" ca="1" si="13"/>
        <v>32</v>
      </c>
      <c r="AN225" s="306">
        <f t="shared" ca="1" si="14"/>
        <v>1</v>
      </c>
      <c r="AO225" s="306">
        <f t="shared" ca="1" si="15"/>
        <v>0</v>
      </c>
      <c r="AP225" s="306">
        <f t="shared" ca="1" si="16"/>
        <v>0</v>
      </c>
      <c r="AQ225" s="306">
        <f t="shared" ca="1" si="17"/>
        <v>0</v>
      </c>
      <c r="AR225" s="306">
        <f t="shared" ca="1" si="18"/>
        <v>0</v>
      </c>
      <c r="AS225" s="307"/>
      <c r="AT225" s="306">
        <f t="shared" si="19"/>
        <v>6</v>
      </c>
    </row>
    <row r="226" spans="1:46" ht="15.75" customHeight="1">
      <c r="A226" s="284"/>
      <c r="B226" s="285">
        <f t="shared" ca="1" si="0"/>
        <v>1</v>
      </c>
      <c r="C226" s="286">
        <f t="shared" ca="1" si="1"/>
        <v>32</v>
      </c>
      <c r="D226" s="286">
        <f t="shared" ca="1" si="2"/>
        <v>2</v>
      </c>
      <c r="E226" s="286" t="str">
        <f t="shared" ca="1" si="3"/>
        <v/>
      </c>
      <c r="F226" s="286" t="str">
        <f t="shared" ca="1" si="4"/>
        <v/>
      </c>
      <c r="G226" s="287" t="str">
        <f t="shared" ca="1" si="5"/>
        <v/>
      </c>
      <c r="H226" s="288" t="str">
        <f t="shared" ca="1" si="6"/>
        <v/>
      </c>
      <c r="I226" s="308"/>
      <c r="J226" s="320"/>
      <c r="K226" s="320" t="s">
        <v>145</v>
      </c>
      <c r="L226" s="320"/>
      <c r="M226" s="320"/>
      <c r="N226" s="320"/>
      <c r="O226" s="320"/>
      <c r="P226" s="320"/>
      <c r="Q226" s="321"/>
      <c r="R226" s="322" t="s">
        <v>180</v>
      </c>
      <c r="S226" s="331">
        <v>45895</v>
      </c>
      <c r="T226" s="325">
        <v>45895</v>
      </c>
      <c r="U226" s="330"/>
      <c r="V226" s="325"/>
      <c r="W226" s="326">
        <v>0</v>
      </c>
      <c r="X226" s="327"/>
      <c r="Y226" s="328"/>
      <c r="Z226" s="329"/>
      <c r="AA226" s="300"/>
      <c r="AB226" s="301"/>
      <c r="AC226" s="302"/>
      <c r="AD226" s="303"/>
      <c r="AE226" s="304"/>
      <c r="AF226" s="305"/>
      <c r="AG226" s="305">
        <f t="shared" ca="1" si="7"/>
        <v>0</v>
      </c>
      <c r="AH226" s="305">
        <f t="shared" ca="1" si="8"/>
        <v>0</v>
      </c>
      <c r="AI226" s="305">
        <f t="shared" si="9"/>
        <v>0</v>
      </c>
      <c r="AJ226" s="305">
        <f t="shared" ca="1" si="10"/>
        <v>0</v>
      </c>
      <c r="AK226" s="305" t="str">
        <f t="shared" ca="1" si="11"/>
        <v/>
      </c>
      <c r="AL226" s="306">
        <f t="shared" ca="1" si="12"/>
        <v>1</v>
      </c>
      <c r="AM226" s="306">
        <f t="shared" ca="1" si="13"/>
        <v>32</v>
      </c>
      <c r="AN226" s="306">
        <f t="shared" ca="1" si="14"/>
        <v>2</v>
      </c>
      <c r="AO226" s="306">
        <f t="shared" ca="1" si="15"/>
        <v>0</v>
      </c>
      <c r="AP226" s="306">
        <f t="shared" ca="1" si="16"/>
        <v>0</v>
      </c>
      <c r="AQ226" s="306">
        <f t="shared" ca="1" si="17"/>
        <v>0</v>
      </c>
      <c r="AR226" s="306">
        <f t="shared" ca="1" si="18"/>
        <v>0</v>
      </c>
      <c r="AS226" s="307"/>
      <c r="AT226" s="306">
        <f t="shared" si="19"/>
        <v>1</v>
      </c>
    </row>
    <row r="227" spans="1:46" ht="15.75" customHeight="1">
      <c r="A227" s="284"/>
      <c r="B227" s="285">
        <f t="shared" ca="1" si="0"/>
        <v>1</v>
      </c>
      <c r="C227" s="286">
        <f t="shared" ca="1" si="1"/>
        <v>32</v>
      </c>
      <c r="D227" s="286">
        <f t="shared" ca="1" si="2"/>
        <v>3</v>
      </c>
      <c r="E227" s="286" t="str">
        <f t="shared" ca="1" si="3"/>
        <v/>
      </c>
      <c r="F227" s="286" t="str">
        <f t="shared" ca="1" si="4"/>
        <v/>
      </c>
      <c r="G227" s="287" t="str">
        <f t="shared" ca="1" si="5"/>
        <v/>
      </c>
      <c r="H227" s="288" t="str">
        <f t="shared" ca="1" si="6"/>
        <v/>
      </c>
      <c r="I227" s="308"/>
      <c r="J227" s="320"/>
      <c r="K227" s="320" t="s">
        <v>63</v>
      </c>
      <c r="L227" s="320"/>
      <c r="M227" s="320"/>
      <c r="N227" s="320"/>
      <c r="O227" s="320"/>
      <c r="P227" s="320"/>
      <c r="Q227" s="321"/>
      <c r="R227" s="322" t="s">
        <v>185</v>
      </c>
      <c r="S227" s="331">
        <v>45896</v>
      </c>
      <c r="T227" s="325">
        <v>45896</v>
      </c>
      <c r="U227" s="330"/>
      <c r="V227" s="325"/>
      <c r="W227" s="326">
        <v>0</v>
      </c>
      <c r="X227" s="327"/>
      <c r="Y227" s="328"/>
      <c r="Z227" s="329"/>
      <c r="AA227" s="300"/>
      <c r="AB227" s="301"/>
      <c r="AC227" s="302"/>
      <c r="AD227" s="303"/>
      <c r="AE227" s="304"/>
      <c r="AF227" s="305"/>
      <c r="AG227" s="305">
        <f t="shared" ca="1" si="7"/>
        <v>0</v>
      </c>
      <c r="AH227" s="305">
        <f t="shared" ca="1" si="8"/>
        <v>0</v>
      </c>
      <c r="AI227" s="305">
        <f t="shared" si="9"/>
        <v>0</v>
      </c>
      <c r="AJ227" s="305">
        <f t="shared" ca="1" si="10"/>
        <v>0</v>
      </c>
      <c r="AK227" s="305" t="str">
        <f t="shared" ca="1" si="11"/>
        <v/>
      </c>
      <c r="AL227" s="306">
        <f t="shared" ca="1" si="12"/>
        <v>1</v>
      </c>
      <c r="AM227" s="306">
        <f t="shared" ca="1" si="13"/>
        <v>32</v>
      </c>
      <c r="AN227" s="306">
        <f t="shared" ca="1" si="14"/>
        <v>3</v>
      </c>
      <c r="AO227" s="306">
        <f t="shared" ca="1" si="15"/>
        <v>0</v>
      </c>
      <c r="AP227" s="306">
        <f t="shared" ca="1" si="16"/>
        <v>0</v>
      </c>
      <c r="AQ227" s="306">
        <f t="shared" ca="1" si="17"/>
        <v>0</v>
      </c>
      <c r="AR227" s="306">
        <f t="shared" ca="1" si="18"/>
        <v>0</v>
      </c>
      <c r="AS227" s="307"/>
      <c r="AT227" s="306">
        <f t="shared" si="19"/>
        <v>1</v>
      </c>
    </row>
    <row r="228" spans="1:46" ht="15.75" customHeight="1">
      <c r="A228" s="284"/>
      <c r="B228" s="285">
        <f t="shared" ca="1" si="0"/>
        <v>1</v>
      </c>
      <c r="C228" s="286">
        <f t="shared" ca="1" si="1"/>
        <v>32</v>
      </c>
      <c r="D228" s="286">
        <f t="shared" ca="1" si="2"/>
        <v>4</v>
      </c>
      <c r="E228" s="286" t="str">
        <f t="shared" ca="1" si="3"/>
        <v/>
      </c>
      <c r="F228" s="286" t="str">
        <f t="shared" ca="1" si="4"/>
        <v/>
      </c>
      <c r="G228" s="287" t="str">
        <f t="shared" ca="1" si="5"/>
        <v/>
      </c>
      <c r="H228" s="288" t="str">
        <f t="shared" ca="1" si="6"/>
        <v/>
      </c>
      <c r="I228" s="308"/>
      <c r="J228" s="320"/>
      <c r="K228" s="320" t="s">
        <v>64</v>
      </c>
      <c r="L228" s="320"/>
      <c r="M228" s="320"/>
      <c r="N228" s="320"/>
      <c r="O228" s="320"/>
      <c r="P228" s="320"/>
      <c r="Q228" s="321"/>
      <c r="R228" s="322" t="s">
        <v>180</v>
      </c>
      <c r="S228" s="331">
        <v>45896</v>
      </c>
      <c r="T228" s="325">
        <v>45896</v>
      </c>
      <c r="U228" s="330"/>
      <c r="V228" s="325"/>
      <c r="W228" s="326">
        <v>0</v>
      </c>
      <c r="X228" s="327"/>
      <c r="Y228" s="328"/>
      <c r="Z228" s="329"/>
      <c r="AA228" s="300"/>
      <c r="AB228" s="301"/>
      <c r="AC228" s="302"/>
      <c r="AD228" s="303"/>
      <c r="AE228" s="304"/>
      <c r="AF228" s="305"/>
      <c r="AG228" s="305">
        <f t="shared" ca="1" si="7"/>
        <v>0</v>
      </c>
      <c r="AH228" s="305">
        <f t="shared" ca="1" si="8"/>
        <v>0</v>
      </c>
      <c r="AI228" s="305">
        <f t="shared" si="9"/>
        <v>0</v>
      </c>
      <c r="AJ228" s="305">
        <f t="shared" ca="1" si="10"/>
        <v>0</v>
      </c>
      <c r="AK228" s="305" t="str">
        <f t="shared" ca="1" si="11"/>
        <v/>
      </c>
      <c r="AL228" s="306">
        <f t="shared" ca="1" si="12"/>
        <v>1</v>
      </c>
      <c r="AM228" s="306">
        <f t="shared" ca="1" si="13"/>
        <v>32</v>
      </c>
      <c r="AN228" s="306">
        <f t="shared" ca="1" si="14"/>
        <v>4</v>
      </c>
      <c r="AO228" s="306">
        <f t="shared" ca="1" si="15"/>
        <v>0</v>
      </c>
      <c r="AP228" s="306">
        <f t="shared" ca="1" si="16"/>
        <v>0</v>
      </c>
      <c r="AQ228" s="306">
        <f t="shared" ca="1" si="17"/>
        <v>0</v>
      </c>
      <c r="AR228" s="306">
        <f t="shared" ca="1" si="18"/>
        <v>0</v>
      </c>
      <c r="AS228" s="307"/>
      <c r="AT228" s="306">
        <f t="shared" si="19"/>
        <v>1</v>
      </c>
    </row>
    <row r="229" spans="1:46" ht="15.75" customHeight="1">
      <c r="A229" s="284"/>
      <c r="B229" s="285">
        <f t="shared" ca="1" si="0"/>
        <v>1</v>
      </c>
      <c r="C229" s="286">
        <f t="shared" ca="1" si="1"/>
        <v>32</v>
      </c>
      <c r="D229" s="286">
        <f t="shared" ca="1" si="2"/>
        <v>5</v>
      </c>
      <c r="E229" s="286" t="str">
        <f t="shared" ca="1" si="3"/>
        <v/>
      </c>
      <c r="F229" s="286" t="str">
        <f t="shared" ca="1" si="4"/>
        <v/>
      </c>
      <c r="G229" s="287" t="str">
        <f t="shared" ca="1" si="5"/>
        <v/>
      </c>
      <c r="H229" s="288" t="str">
        <f t="shared" ca="1" si="6"/>
        <v/>
      </c>
      <c r="I229" s="308"/>
      <c r="J229" s="320"/>
      <c r="K229" s="320" t="s">
        <v>65</v>
      </c>
      <c r="L229" s="320"/>
      <c r="M229" s="320"/>
      <c r="N229" s="320"/>
      <c r="O229" s="320"/>
      <c r="P229" s="320"/>
      <c r="Q229" s="321"/>
      <c r="R229" s="322" t="s">
        <v>185</v>
      </c>
      <c r="S229" s="331">
        <v>45897</v>
      </c>
      <c r="T229" s="325">
        <v>45897</v>
      </c>
      <c r="U229" s="330"/>
      <c r="V229" s="325"/>
      <c r="W229" s="326">
        <v>0</v>
      </c>
      <c r="X229" s="327"/>
      <c r="Y229" s="328"/>
      <c r="Z229" s="329"/>
      <c r="AA229" s="300"/>
      <c r="AB229" s="301"/>
      <c r="AC229" s="302"/>
      <c r="AD229" s="303"/>
      <c r="AE229" s="304"/>
      <c r="AF229" s="305"/>
      <c r="AG229" s="305">
        <f t="shared" ca="1" si="7"/>
        <v>0</v>
      </c>
      <c r="AH229" s="305">
        <f t="shared" ca="1" si="8"/>
        <v>0</v>
      </c>
      <c r="AI229" s="305">
        <f t="shared" si="9"/>
        <v>0</v>
      </c>
      <c r="AJ229" s="305">
        <f t="shared" ca="1" si="10"/>
        <v>0</v>
      </c>
      <c r="AK229" s="305" t="str">
        <f t="shared" ca="1" si="11"/>
        <v/>
      </c>
      <c r="AL229" s="306">
        <f t="shared" ca="1" si="12"/>
        <v>1</v>
      </c>
      <c r="AM229" s="306">
        <f t="shared" ca="1" si="13"/>
        <v>32</v>
      </c>
      <c r="AN229" s="306">
        <f t="shared" ca="1" si="14"/>
        <v>5</v>
      </c>
      <c r="AO229" s="306">
        <f t="shared" ca="1" si="15"/>
        <v>0</v>
      </c>
      <c r="AP229" s="306">
        <f t="shared" ca="1" si="16"/>
        <v>0</v>
      </c>
      <c r="AQ229" s="306">
        <f t="shared" ca="1" si="17"/>
        <v>0</v>
      </c>
      <c r="AR229" s="306">
        <f t="shared" ca="1" si="18"/>
        <v>0</v>
      </c>
      <c r="AS229" s="307"/>
      <c r="AT229" s="306">
        <f t="shared" si="19"/>
        <v>1</v>
      </c>
    </row>
    <row r="230" spans="1:46" ht="15.75" customHeight="1">
      <c r="A230" s="284"/>
      <c r="B230" s="285">
        <f t="shared" ca="1" si="0"/>
        <v>1</v>
      </c>
      <c r="C230" s="286">
        <f t="shared" ca="1" si="1"/>
        <v>32</v>
      </c>
      <c r="D230" s="286">
        <f t="shared" ca="1" si="2"/>
        <v>6</v>
      </c>
      <c r="E230" s="286" t="str">
        <f t="shared" ca="1" si="3"/>
        <v/>
      </c>
      <c r="F230" s="286" t="str">
        <f t="shared" ca="1" si="4"/>
        <v/>
      </c>
      <c r="G230" s="287" t="str">
        <f t="shared" ca="1" si="5"/>
        <v/>
      </c>
      <c r="H230" s="288" t="str">
        <f t="shared" ca="1" si="6"/>
        <v/>
      </c>
      <c r="I230" s="308"/>
      <c r="J230" s="320"/>
      <c r="K230" s="320" t="s">
        <v>66</v>
      </c>
      <c r="L230" s="320"/>
      <c r="M230" s="320"/>
      <c r="N230" s="320"/>
      <c r="O230" s="320"/>
      <c r="P230" s="320"/>
      <c r="Q230" s="321"/>
      <c r="R230" s="322" t="s">
        <v>180</v>
      </c>
      <c r="S230" s="331">
        <v>45898</v>
      </c>
      <c r="T230" s="325">
        <v>45898</v>
      </c>
      <c r="U230" s="330"/>
      <c r="V230" s="325"/>
      <c r="W230" s="326">
        <v>0</v>
      </c>
      <c r="X230" s="327"/>
      <c r="Y230" s="328"/>
      <c r="Z230" s="329"/>
      <c r="AA230" s="300"/>
      <c r="AB230" s="301"/>
      <c r="AC230" s="302"/>
      <c r="AD230" s="303"/>
      <c r="AE230" s="304"/>
      <c r="AF230" s="305"/>
      <c r="AG230" s="305">
        <f t="shared" ca="1" si="7"/>
        <v>0</v>
      </c>
      <c r="AH230" s="305">
        <f t="shared" ca="1" si="8"/>
        <v>0</v>
      </c>
      <c r="AI230" s="305">
        <f t="shared" si="9"/>
        <v>0</v>
      </c>
      <c r="AJ230" s="305">
        <f t="shared" ca="1" si="10"/>
        <v>0</v>
      </c>
      <c r="AK230" s="305" t="str">
        <f t="shared" ca="1" si="11"/>
        <v/>
      </c>
      <c r="AL230" s="306">
        <f t="shared" ca="1" si="12"/>
        <v>1</v>
      </c>
      <c r="AM230" s="306">
        <f t="shared" ca="1" si="13"/>
        <v>32</v>
      </c>
      <c r="AN230" s="306">
        <f t="shared" ca="1" si="14"/>
        <v>6</v>
      </c>
      <c r="AO230" s="306">
        <f t="shared" ca="1" si="15"/>
        <v>0</v>
      </c>
      <c r="AP230" s="306">
        <f t="shared" ca="1" si="16"/>
        <v>0</v>
      </c>
      <c r="AQ230" s="306">
        <f t="shared" ca="1" si="17"/>
        <v>0</v>
      </c>
      <c r="AR230" s="306">
        <f t="shared" ca="1" si="18"/>
        <v>0</v>
      </c>
      <c r="AS230" s="307"/>
      <c r="AT230" s="306">
        <f t="shared" si="19"/>
        <v>1</v>
      </c>
    </row>
    <row r="231" spans="1:46" ht="15.75" customHeight="1">
      <c r="A231" s="284"/>
      <c r="B231" s="285">
        <f t="shared" ca="1" si="0"/>
        <v>1</v>
      </c>
      <c r="C231" s="286">
        <f t="shared" ca="1" si="1"/>
        <v>33</v>
      </c>
      <c r="D231" s="286" t="str">
        <f t="shared" ca="1" si="2"/>
        <v/>
      </c>
      <c r="E231" s="286" t="str">
        <f t="shared" ca="1" si="3"/>
        <v/>
      </c>
      <c r="F231" s="286" t="str">
        <f t="shared" ca="1" si="4"/>
        <v/>
      </c>
      <c r="G231" s="287" t="str">
        <f t="shared" ca="1" si="5"/>
        <v/>
      </c>
      <c r="H231" s="288" t="str">
        <f t="shared" ca="1" si="6"/>
        <v/>
      </c>
      <c r="I231" s="308"/>
      <c r="J231" s="309" t="s">
        <v>212</v>
      </c>
      <c r="K231" s="310"/>
      <c r="L231" s="310"/>
      <c r="M231" s="310"/>
      <c r="N231" s="310"/>
      <c r="O231" s="310"/>
      <c r="P231" s="310"/>
      <c r="Q231" s="311" t="s">
        <v>81</v>
      </c>
      <c r="R231" s="312"/>
      <c r="S231" s="313"/>
      <c r="T231" s="314"/>
      <c r="U231" s="315"/>
      <c r="V231" s="314"/>
      <c r="W231" s="316"/>
      <c r="X231" s="317"/>
      <c r="Y231" s="318"/>
      <c r="Z231" s="319"/>
      <c r="AA231" s="300"/>
      <c r="AB231" s="301"/>
      <c r="AC231" s="302"/>
      <c r="AD231" s="303"/>
      <c r="AE231" s="304"/>
      <c r="AF231" s="305"/>
      <c r="AG231" s="305">
        <f t="shared" si="7"/>
        <v>0</v>
      </c>
      <c r="AH231" s="305">
        <f t="shared" si="8"/>
        <v>0</v>
      </c>
      <c r="AI231" s="305">
        <f t="shared" si="9"/>
        <v>0</v>
      </c>
      <c r="AJ231" s="305">
        <f t="shared" si="10"/>
        <v>0</v>
      </c>
      <c r="AK231" s="305" t="str">
        <f t="shared" si="11"/>
        <v/>
      </c>
      <c r="AL231" s="306">
        <f t="shared" ca="1" si="12"/>
        <v>1</v>
      </c>
      <c r="AM231" s="306">
        <f t="shared" ca="1" si="13"/>
        <v>33</v>
      </c>
      <c r="AN231" s="306">
        <f t="shared" ca="1" si="14"/>
        <v>0</v>
      </c>
      <c r="AO231" s="306">
        <f t="shared" ca="1" si="15"/>
        <v>0</v>
      </c>
      <c r="AP231" s="306">
        <f t="shared" ca="1" si="16"/>
        <v>0</v>
      </c>
      <c r="AQ231" s="306">
        <f t="shared" ca="1" si="17"/>
        <v>0</v>
      </c>
      <c r="AR231" s="306">
        <f t="shared" ca="1" si="18"/>
        <v>0</v>
      </c>
      <c r="AS231" s="307"/>
      <c r="AT231" s="306">
        <f t="shared" si="19"/>
        <v>1</v>
      </c>
    </row>
    <row r="232" spans="1:46" ht="15.75" customHeight="1">
      <c r="A232" s="284"/>
      <c r="B232" s="285">
        <f t="shared" ca="1" si="0"/>
        <v>1</v>
      </c>
      <c r="C232" s="286">
        <f t="shared" ca="1" si="1"/>
        <v>33</v>
      </c>
      <c r="D232" s="286">
        <f t="shared" ca="1" si="2"/>
        <v>1</v>
      </c>
      <c r="E232" s="286" t="str">
        <f t="shared" ca="1" si="3"/>
        <v/>
      </c>
      <c r="F232" s="286" t="str">
        <f t="shared" ca="1" si="4"/>
        <v/>
      </c>
      <c r="G232" s="287" t="str">
        <f t="shared" ca="1" si="5"/>
        <v/>
      </c>
      <c r="H232" s="288" t="str">
        <f t="shared" ca="1" si="6"/>
        <v/>
      </c>
      <c r="I232" s="308"/>
      <c r="J232" s="320"/>
      <c r="K232" s="320" t="s">
        <v>59</v>
      </c>
      <c r="L232" s="320"/>
      <c r="M232" s="320"/>
      <c r="N232" s="320"/>
      <c r="O232" s="320"/>
      <c r="P232" s="320"/>
      <c r="Q232" s="321"/>
      <c r="R232" s="322"/>
      <c r="S232" s="331"/>
      <c r="T232" s="325"/>
      <c r="U232" s="330"/>
      <c r="V232" s="325"/>
      <c r="W232" s="326">
        <v>0</v>
      </c>
      <c r="X232" s="327"/>
      <c r="Y232" s="328"/>
      <c r="Z232" s="329"/>
      <c r="AA232" s="300"/>
      <c r="AB232" s="301"/>
      <c r="AC232" s="302"/>
      <c r="AD232" s="303"/>
      <c r="AE232" s="304"/>
      <c r="AF232" s="305"/>
      <c r="AG232" s="305">
        <f t="shared" si="7"/>
        <v>0</v>
      </c>
      <c r="AH232" s="305">
        <f t="shared" si="8"/>
        <v>0</v>
      </c>
      <c r="AI232" s="305">
        <f t="shared" si="9"/>
        <v>0</v>
      </c>
      <c r="AJ232" s="305">
        <f t="shared" si="10"/>
        <v>0</v>
      </c>
      <c r="AK232" s="305" t="str">
        <f t="shared" si="11"/>
        <v/>
      </c>
      <c r="AL232" s="306">
        <f t="shared" ca="1" si="12"/>
        <v>1</v>
      </c>
      <c r="AM232" s="306">
        <f t="shared" ca="1" si="13"/>
        <v>33</v>
      </c>
      <c r="AN232" s="306">
        <f t="shared" ca="1" si="14"/>
        <v>1</v>
      </c>
      <c r="AO232" s="306">
        <f t="shared" ca="1" si="15"/>
        <v>0</v>
      </c>
      <c r="AP232" s="306">
        <f t="shared" ca="1" si="16"/>
        <v>0</v>
      </c>
      <c r="AQ232" s="306">
        <f t="shared" ca="1" si="17"/>
        <v>0</v>
      </c>
      <c r="AR232" s="306">
        <f t="shared" ca="1" si="18"/>
        <v>0</v>
      </c>
      <c r="AS232" s="307"/>
      <c r="AT232" s="306">
        <f t="shared" si="19"/>
        <v>1</v>
      </c>
    </row>
    <row r="233" spans="1:46" ht="15.75" customHeight="1">
      <c r="A233" s="284"/>
      <c r="B233" s="285">
        <f t="shared" ca="1" si="0"/>
        <v>1</v>
      </c>
      <c r="C233" s="286">
        <f t="shared" ca="1" si="1"/>
        <v>33</v>
      </c>
      <c r="D233" s="286">
        <f t="shared" ca="1" si="2"/>
        <v>2</v>
      </c>
      <c r="E233" s="286" t="str">
        <f t="shared" ca="1" si="3"/>
        <v/>
      </c>
      <c r="F233" s="286" t="str">
        <f t="shared" ca="1" si="4"/>
        <v/>
      </c>
      <c r="G233" s="287" t="str">
        <f t="shared" ca="1" si="5"/>
        <v/>
      </c>
      <c r="H233" s="288" t="str">
        <f t="shared" ca="1" si="6"/>
        <v/>
      </c>
      <c r="I233" s="308"/>
      <c r="J233" s="320"/>
      <c r="K233" s="320" t="s">
        <v>145</v>
      </c>
      <c r="L233" s="320"/>
      <c r="M233" s="320"/>
      <c r="N233" s="320"/>
      <c r="O233" s="320"/>
      <c r="P233" s="320"/>
      <c r="Q233" s="321"/>
      <c r="R233" s="322"/>
      <c r="S233" s="331"/>
      <c r="T233" s="325"/>
      <c r="U233" s="330"/>
      <c r="V233" s="325"/>
      <c r="W233" s="326">
        <v>0</v>
      </c>
      <c r="X233" s="327"/>
      <c r="Y233" s="328"/>
      <c r="Z233" s="329"/>
      <c r="AA233" s="300"/>
      <c r="AB233" s="301"/>
      <c r="AC233" s="302"/>
      <c r="AD233" s="303"/>
      <c r="AE233" s="304"/>
      <c r="AF233" s="305"/>
      <c r="AG233" s="305">
        <f t="shared" si="7"/>
        <v>0</v>
      </c>
      <c r="AH233" s="305">
        <f t="shared" si="8"/>
        <v>0</v>
      </c>
      <c r="AI233" s="305">
        <f t="shared" si="9"/>
        <v>0</v>
      </c>
      <c r="AJ233" s="305">
        <f t="shared" si="10"/>
        <v>0</v>
      </c>
      <c r="AK233" s="305" t="str">
        <f t="shared" si="11"/>
        <v/>
      </c>
      <c r="AL233" s="306">
        <f t="shared" ca="1" si="12"/>
        <v>1</v>
      </c>
      <c r="AM233" s="306">
        <f t="shared" ca="1" si="13"/>
        <v>33</v>
      </c>
      <c r="AN233" s="306">
        <f t="shared" ca="1" si="14"/>
        <v>2</v>
      </c>
      <c r="AO233" s="306">
        <f t="shared" ca="1" si="15"/>
        <v>0</v>
      </c>
      <c r="AP233" s="306">
        <f t="shared" ca="1" si="16"/>
        <v>0</v>
      </c>
      <c r="AQ233" s="306">
        <f t="shared" ca="1" si="17"/>
        <v>0</v>
      </c>
      <c r="AR233" s="306">
        <f t="shared" ca="1" si="18"/>
        <v>0</v>
      </c>
      <c r="AS233" s="307"/>
      <c r="AT233" s="306">
        <f t="shared" si="19"/>
        <v>1</v>
      </c>
    </row>
    <row r="234" spans="1:46" ht="15.75" customHeight="1">
      <c r="A234" s="284"/>
      <c r="B234" s="285">
        <f t="shared" ca="1" si="0"/>
        <v>1</v>
      </c>
      <c r="C234" s="286">
        <f t="shared" ca="1" si="1"/>
        <v>33</v>
      </c>
      <c r="D234" s="286">
        <f t="shared" ca="1" si="2"/>
        <v>3</v>
      </c>
      <c r="E234" s="286" t="str">
        <f t="shared" ca="1" si="3"/>
        <v/>
      </c>
      <c r="F234" s="286" t="str">
        <f t="shared" ca="1" si="4"/>
        <v/>
      </c>
      <c r="G234" s="287" t="str">
        <f t="shared" ca="1" si="5"/>
        <v/>
      </c>
      <c r="H234" s="288" t="str">
        <f t="shared" ca="1" si="6"/>
        <v/>
      </c>
      <c r="I234" s="308"/>
      <c r="J234" s="320"/>
      <c r="K234" s="320" t="s">
        <v>63</v>
      </c>
      <c r="L234" s="320"/>
      <c r="M234" s="320"/>
      <c r="N234" s="320"/>
      <c r="O234" s="320"/>
      <c r="P234" s="320"/>
      <c r="Q234" s="321"/>
      <c r="R234" s="322"/>
      <c r="S234" s="331"/>
      <c r="T234" s="325"/>
      <c r="U234" s="330"/>
      <c r="V234" s="325"/>
      <c r="W234" s="326">
        <v>0</v>
      </c>
      <c r="X234" s="327"/>
      <c r="Y234" s="328"/>
      <c r="Z234" s="329"/>
      <c r="AA234" s="300"/>
      <c r="AB234" s="301"/>
      <c r="AC234" s="302"/>
      <c r="AD234" s="303"/>
      <c r="AE234" s="304"/>
      <c r="AF234" s="305"/>
      <c r="AG234" s="305">
        <f t="shared" si="7"/>
        <v>0</v>
      </c>
      <c r="AH234" s="305">
        <f t="shared" si="8"/>
        <v>0</v>
      </c>
      <c r="AI234" s="305">
        <f t="shared" si="9"/>
        <v>0</v>
      </c>
      <c r="AJ234" s="305">
        <f t="shared" si="10"/>
        <v>0</v>
      </c>
      <c r="AK234" s="305" t="str">
        <f t="shared" si="11"/>
        <v/>
      </c>
      <c r="AL234" s="306">
        <f t="shared" ca="1" si="12"/>
        <v>1</v>
      </c>
      <c r="AM234" s="306">
        <f t="shared" ca="1" si="13"/>
        <v>33</v>
      </c>
      <c r="AN234" s="306">
        <f t="shared" ca="1" si="14"/>
        <v>3</v>
      </c>
      <c r="AO234" s="306">
        <f t="shared" ca="1" si="15"/>
        <v>0</v>
      </c>
      <c r="AP234" s="306">
        <f t="shared" ca="1" si="16"/>
        <v>0</v>
      </c>
      <c r="AQ234" s="306">
        <f t="shared" ca="1" si="17"/>
        <v>0</v>
      </c>
      <c r="AR234" s="306">
        <f t="shared" ca="1" si="18"/>
        <v>0</v>
      </c>
      <c r="AS234" s="307"/>
      <c r="AT234" s="306">
        <f t="shared" si="19"/>
        <v>1</v>
      </c>
    </row>
    <row r="235" spans="1:46" ht="15.75" customHeight="1">
      <c r="A235" s="284"/>
      <c r="B235" s="285">
        <f t="shared" ca="1" si="0"/>
        <v>1</v>
      </c>
      <c r="C235" s="286">
        <f t="shared" ca="1" si="1"/>
        <v>33</v>
      </c>
      <c r="D235" s="286">
        <f t="shared" ca="1" si="2"/>
        <v>4</v>
      </c>
      <c r="E235" s="286" t="str">
        <f t="shared" ca="1" si="3"/>
        <v/>
      </c>
      <c r="F235" s="286" t="str">
        <f t="shared" ca="1" si="4"/>
        <v/>
      </c>
      <c r="G235" s="287" t="str">
        <f t="shared" ca="1" si="5"/>
        <v/>
      </c>
      <c r="H235" s="288" t="str">
        <f t="shared" ca="1" si="6"/>
        <v/>
      </c>
      <c r="I235" s="308"/>
      <c r="J235" s="320"/>
      <c r="K235" s="320" t="s">
        <v>64</v>
      </c>
      <c r="L235" s="320"/>
      <c r="M235" s="320"/>
      <c r="N235" s="320"/>
      <c r="O235" s="320"/>
      <c r="P235" s="320"/>
      <c r="Q235" s="321"/>
      <c r="R235" s="322"/>
      <c r="S235" s="331"/>
      <c r="T235" s="325"/>
      <c r="U235" s="330"/>
      <c r="V235" s="325"/>
      <c r="W235" s="326">
        <v>0</v>
      </c>
      <c r="X235" s="327"/>
      <c r="Y235" s="328"/>
      <c r="Z235" s="329"/>
      <c r="AA235" s="300"/>
      <c r="AB235" s="301"/>
      <c r="AC235" s="302"/>
      <c r="AD235" s="303"/>
      <c r="AE235" s="304"/>
      <c r="AF235" s="305"/>
      <c r="AG235" s="305">
        <f t="shared" si="7"/>
        <v>0</v>
      </c>
      <c r="AH235" s="305">
        <f t="shared" si="8"/>
        <v>0</v>
      </c>
      <c r="AI235" s="305">
        <f t="shared" si="9"/>
        <v>0</v>
      </c>
      <c r="AJ235" s="305">
        <f t="shared" si="10"/>
        <v>0</v>
      </c>
      <c r="AK235" s="305" t="str">
        <f t="shared" si="11"/>
        <v/>
      </c>
      <c r="AL235" s="306">
        <f t="shared" ca="1" si="12"/>
        <v>1</v>
      </c>
      <c r="AM235" s="306">
        <f t="shared" ca="1" si="13"/>
        <v>33</v>
      </c>
      <c r="AN235" s="306">
        <f t="shared" ca="1" si="14"/>
        <v>4</v>
      </c>
      <c r="AO235" s="306">
        <f t="shared" ca="1" si="15"/>
        <v>0</v>
      </c>
      <c r="AP235" s="306">
        <f t="shared" ca="1" si="16"/>
        <v>0</v>
      </c>
      <c r="AQ235" s="306">
        <f t="shared" ca="1" si="17"/>
        <v>0</v>
      </c>
      <c r="AR235" s="306">
        <f t="shared" ca="1" si="18"/>
        <v>0</v>
      </c>
      <c r="AS235" s="307"/>
      <c r="AT235" s="306">
        <f t="shared" si="19"/>
        <v>1</v>
      </c>
    </row>
    <row r="236" spans="1:46" ht="15.75" customHeight="1">
      <c r="A236" s="284"/>
      <c r="B236" s="285">
        <f t="shared" ca="1" si="0"/>
        <v>1</v>
      </c>
      <c r="C236" s="286">
        <f t="shared" ca="1" si="1"/>
        <v>33</v>
      </c>
      <c r="D236" s="286">
        <f t="shared" ca="1" si="2"/>
        <v>5</v>
      </c>
      <c r="E236" s="286" t="str">
        <f t="shared" ca="1" si="3"/>
        <v/>
      </c>
      <c r="F236" s="286" t="str">
        <f t="shared" ca="1" si="4"/>
        <v/>
      </c>
      <c r="G236" s="287" t="str">
        <f t="shared" ca="1" si="5"/>
        <v/>
      </c>
      <c r="H236" s="288" t="str">
        <f t="shared" ca="1" si="6"/>
        <v/>
      </c>
      <c r="I236" s="308"/>
      <c r="J236" s="320"/>
      <c r="K236" s="320" t="s">
        <v>65</v>
      </c>
      <c r="L236" s="320"/>
      <c r="M236" s="320"/>
      <c r="N236" s="320"/>
      <c r="O236" s="320"/>
      <c r="P236" s="320"/>
      <c r="Q236" s="321"/>
      <c r="R236" s="322"/>
      <c r="S236" s="331"/>
      <c r="T236" s="325"/>
      <c r="U236" s="330"/>
      <c r="V236" s="325"/>
      <c r="W236" s="326">
        <v>0</v>
      </c>
      <c r="X236" s="327"/>
      <c r="Y236" s="328"/>
      <c r="Z236" s="329"/>
      <c r="AA236" s="300"/>
      <c r="AB236" s="301"/>
      <c r="AC236" s="302"/>
      <c r="AD236" s="303"/>
      <c r="AE236" s="304"/>
      <c r="AF236" s="305"/>
      <c r="AG236" s="305">
        <f t="shared" si="7"/>
        <v>0</v>
      </c>
      <c r="AH236" s="305">
        <f t="shared" si="8"/>
        <v>0</v>
      </c>
      <c r="AI236" s="305">
        <f t="shared" si="9"/>
        <v>0</v>
      </c>
      <c r="AJ236" s="305">
        <f t="shared" si="10"/>
        <v>0</v>
      </c>
      <c r="AK236" s="305" t="str">
        <f t="shared" si="11"/>
        <v/>
      </c>
      <c r="AL236" s="306">
        <f t="shared" ca="1" si="12"/>
        <v>1</v>
      </c>
      <c r="AM236" s="306">
        <f t="shared" ca="1" si="13"/>
        <v>33</v>
      </c>
      <c r="AN236" s="306">
        <f t="shared" ca="1" si="14"/>
        <v>5</v>
      </c>
      <c r="AO236" s="306">
        <f t="shared" ca="1" si="15"/>
        <v>0</v>
      </c>
      <c r="AP236" s="306">
        <f t="shared" ca="1" si="16"/>
        <v>0</v>
      </c>
      <c r="AQ236" s="306">
        <f t="shared" ca="1" si="17"/>
        <v>0</v>
      </c>
      <c r="AR236" s="306">
        <f t="shared" ca="1" si="18"/>
        <v>0</v>
      </c>
      <c r="AS236" s="307"/>
      <c r="AT236" s="306">
        <f t="shared" si="19"/>
        <v>1</v>
      </c>
    </row>
    <row r="237" spans="1:46" ht="15.75" customHeight="1">
      <c r="A237" s="284"/>
      <c r="B237" s="285">
        <f t="shared" ca="1" si="0"/>
        <v>1</v>
      </c>
      <c r="C237" s="286">
        <f t="shared" ca="1" si="1"/>
        <v>33</v>
      </c>
      <c r="D237" s="286">
        <f t="shared" ca="1" si="2"/>
        <v>6</v>
      </c>
      <c r="E237" s="286" t="str">
        <f t="shared" ca="1" si="3"/>
        <v/>
      </c>
      <c r="F237" s="286" t="str">
        <f t="shared" ca="1" si="4"/>
        <v/>
      </c>
      <c r="G237" s="287" t="str">
        <f t="shared" ca="1" si="5"/>
        <v/>
      </c>
      <c r="H237" s="288" t="str">
        <f t="shared" ca="1" si="6"/>
        <v/>
      </c>
      <c r="I237" s="308"/>
      <c r="J237" s="320"/>
      <c r="K237" s="320" t="s">
        <v>66</v>
      </c>
      <c r="L237" s="320"/>
      <c r="M237" s="320"/>
      <c r="N237" s="320"/>
      <c r="O237" s="320"/>
      <c r="P237" s="320"/>
      <c r="Q237" s="321"/>
      <c r="R237" s="322"/>
      <c r="S237" s="331"/>
      <c r="T237" s="325"/>
      <c r="U237" s="330"/>
      <c r="V237" s="325"/>
      <c r="W237" s="326">
        <v>0</v>
      </c>
      <c r="X237" s="327"/>
      <c r="Y237" s="328"/>
      <c r="Z237" s="329"/>
      <c r="AA237" s="300"/>
      <c r="AB237" s="301"/>
      <c r="AC237" s="302"/>
      <c r="AD237" s="303"/>
      <c r="AE237" s="304"/>
      <c r="AF237" s="305"/>
      <c r="AG237" s="305">
        <f t="shared" si="7"/>
        <v>0</v>
      </c>
      <c r="AH237" s="305">
        <f t="shared" si="8"/>
        <v>0</v>
      </c>
      <c r="AI237" s="305">
        <f t="shared" si="9"/>
        <v>0</v>
      </c>
      <c r="AJ237" s="305">
        <f t="shared" si="10"/>
        <v>0</v>
      </c>
      <c r="AK237" s="305" t="str">
        <f t="shared" si="11"/>
        <v/>
      </c>
      <c r="AL237" s="306">
        <f t="shared" ca="1" si="12"/>
        <v>1</v>
      </c>
      <c r="AM237" s="306">
        <f t="shared" ca="1" si="13"/>
        <v>33</v>
      </c>
      <c r="AN237" s="306">
        <f t="shared" ca="1" si="14"/>
        <v>6</v>
      </c>
      <c r="AO237" s="306">
        <f t="shared" ca="1" si="15"/>
        <v>0</v>
      </c>
      <c r="AP237" s="306">
        <f t="shared" ca="1" si="16"/>
        <v>0</v>
      </c>
      <c r="AQ237" s="306">
        <f t="shared" ca="1" si="17"/>
        <v>0</v>
      </c>
      <c r="AR237" s="306">
        <f t="shared" ca="1" si="18"/>
        <v>0</v>
      </c>
      <c r="AS237" s="307"/>
      <c r="AT237" s="306">
        <f t="shared" si="19"/>
        <v>1</v>
      </c>
    </row>
    <row r="238" spans="1:46" ht="15.75" customHeight="1">
      <c r="A238" s="284"/>
      <c r="B238" s="285">
        <f t="shared" ca="1" si="0"/>
        <v>1</v>
      </c>
      <c r="C238" s="286">
        <f t="shared" ca="1" si="1"/>
        <v>34</v>
      </c>
      <c r="D238" s="286" t="str">
        <f t="shared" ca="1" si="2"/>
        <v/>
      </c>
      <c r="E238" s="286" t="str">
        <f t="shared" ca="1" si="3"/>
        <v/>
      </c>
      <c r="F238" s="286" t="str">
        <f t="shared" ca="1" si="4"/>
        <v/>
      </c>
      <c r="G238" s="287" t="str">
        <f t="shared" ca="1" si="5"/>
        <v/>
      </c>
      <c r="H238" s="288" t="str">
        <f t="shared" ca="1" si="6"/>
        <v/>
      </c>
      <c r="I238" s="308"/>
      <c r="J238" s="309" t="s">
        <v>213</v>
      </c>
      <c r="K238" s="310"/>
      <c r="L238" s="310"/>
      <c r="M238" s="310"/>
      <c r="N238" s="310"/>
      <c r="O238" s="310"/>
      <c r="P238" s="310"/>
      <c r="Q238" s="311" t="s">
        <v>81</v>
      </c>
      <c r="R238" s="312"/>
      <c r="S238" s="313"/>
      <c r="T238" s="314"/>
      <c r="U238" s="315"/>
      <c r="V238" s="314"/>
      <c r="W238" s="316"/>
      <c r="X238" s="317"/>
      <c r="Y238" s="318"/>
      <c r="Z238" s="319"/>
      <c r="AA238" s="300"/>
      <c r="AB238" s="301"/>
      <c r="AC238" s="302"/>
      <c r="AD238" s="303"/>
      <c r="AE238" s="304"/>
      <c r="AF238" s="305"/>
      <c r="AG238" s="305">
        <f t="shared" si="7"/>
        <v>0</v>
      </c>
      <c r="AH238" s="305">
        <f t="shared" si="8"/>
        <v>0</v>
      </c>
      <c r="AI238" s="305">
        <f t="shared" si="9"/>
        <v>0</v>
      </c>
      <c r="AJ238" s="305">
        <f t="shared" si="10"/>
        <v>0</v>
      </c>
      <c r="AK238" s="305" t="str">
        <f t="shared" si="11"/>
        <v/>
      </c>
      <c r="AL238" s="306">
        <f t="shared" ca="1" si="12"/>
        <v>1</v>
      </c>
      <c r="AM238" s="306">
        <f t="shared" ca="1" si="13"/>
        <v>34</v>
      </c>
      <c r="AN238" s="306">
        <f t="shared" ca="1" si="14"/>
        <v>0</v>
      </c>
      <c r="AO238" s="306">
        <f t="shared" ca="1" si="15"/>
        <v>0</v>
      </c>
      <c r="AP238" s="306">
        <f t="shared" ca="1" si="16"/>
        <v>0</v>
      </c>
      <c r="AQ238" s="306">
        <f t="shared" ca="1" si="17"/>
        <v>0</v>
      </c>
      <c r="AR238" s="306">
        <f t="shared" ca="1" si="18"/>
        <v>0</v>
      </c>
      <c r="AS238" s="307"/>
      <c r="AT238" s="306">
        <f t="shared" si="19"/>
        <v>1</v>
      </c>
    </row>
    <row r="239" spans="1:46" ht="15.75" customHeight="1">
      <c r="A239" s="284"/>
      <c r="B239" s="285">
        <f t="shared" ca="1" si="0"/>
        <v>1</v>
      </c>
      <c r="C239" s="286">
        <f t="shared" ca="1" si="1"/>
        <v>34</v>
      </c>
      <c r="D239" s="286">
        <f t="shared" ca="1" si="2"/>
        <v>1</v>
      </c>
      <c r="E239" s="286" t="str">
        <f t="shared" ca="1" si="3"/>
        <v/>
      </c>
      <c r="F239" s="286" t="str">
        <f t="shared" ca="1" si="4"/>
        <v/>
      </c>
      <c r="G239" s="287" t="str">
        <f t="shared" ca="1" si="5"/>
        <v/>
      </c>
      <c r="H239" s="288" t="str">
        <f t="shared" ca="1" si="6"/>
        <v/>
      </c>
      <c r="I239" s="308"/>
      <c r="J239" s="320"/>
      <c r="K239" s="320" t="s">
        <v>59</v>
      </c>
      <c r="L239" s="320"/>
      <c r="M239" s="320"/>
      <c r="N239" s="320"/>
      <c r="O239" s="320"/>
      <c r="P239" s="320"/>
      <c r="Q239" s="321"/>
      <c r="R239" s="322"/>
      <c r="S239" s="331"/>
      <c r="T239" s="325"/>
      <c r="U239" s="330"/>
      <c r="V239" s="325"/>
      <c r="W239" s="326">
        <v>0</v>
      </c>
      <c r="X239" s="327"/>
      <c r="Y239" s="328"/>
      <c r="Z239" s="329"/>
      <c r="AA239" s="300"/>
      <c r="AB239" s="301"/>
      <c r="AC239" s="302"/>
      <c r="AD239" s="303"/>
      <c r="AE239" s="304"/>
      <c r="AF239" s="305"/>
      <c r="AG239" s="305">
        <f t="shared" si="7"/>
        <v>0</v>
      </c>
      <c r="AH239" s="305">
        <f t="shared" si="8"/>
        <v>0</v>
      </c>
      <c r="AI239" s="305">
        <f t="shared" si="9"/>
        <v>0</v>
      </c>
      <c r="AJ239" s="305">
        <f t="shared" si="10"/>
        <v>0</v>
      </c>
      <c r="AK239" s="305" t="str">
        <f t="shared" si="11"/>
        <v/>
      </c>
      <c r="AL239" s="306">
        <f t="shared" ca="1" si="12"/>
        <v>1</v>
      </c>
      <c r="AM239" s="306">
        <f t="shared" ca="1" si="13"/>
        <v>34</v>
      </c>
      <c r="AN239" s="306">
        <f t="shared" ca="1" si="14"/>
        <v>1</v>
      </c>
      <c r="AO239" s="306">
        <f t="shared" ca="1" si="15"/>
        <v>0</v>
      </c>
      <c r="AP239" s="306">
        <f t="shared" ca="1" si="16"/>
        <v>0</v>
      </c>
      <c r="AQ239" s="306">
        <f t="shared" ca="1" si="17"/>
        <v>0</v>
      </c>
      <c r="AR239" s="306">
        <f t="shared" ca="1" si="18"/>
        <v>0</v>
      </c>
      <c r="AS239" s="307"/>
      <c r="AT239" s="306">
        <f t="shared" si="19"/>
        <v>1</v>
      </c>
    </row>
    <row r="240" spans="1:46" ht="15.75" customHeight="1">
      <c r="A240" s="284"/>
      <c r="B240" s="285">
        <f t="shared" ca="1" si="0"/>
        <v>1</v>
      </c>
      <c r="C240" s="286">
        <f t="shared" ca="1" si="1"/>
        <v>34</v>
      </c>
      <c r="D240" s="286">
        <f t="shared" ca="1" si="2"/>
        <v>2</v>
      </c>
      <c r="E240" s="286" t="str">
        <f t="shared" ca="1" si="3"/>
        <v/>
      </c>
      <c r="F240" s="286" t="str">
        <f t="shared" ca="1" si="4"/>
        <v/>
      </c>
      <c r="G240" s="287" t="str">
        <f t="shared" ca="1" si="5"/>
        <v/>
      </c>
      <c r="H240" s="288" t="str">
        <f t="shared" ca="1" si="6"/>
        <v/>
      </c>
      <c r="I240" s="308"/>
      <c r="J240" s="320"/>
      <c r="K240" s="320" t="s">
        <v>145</v>
      </c>
      <c r="L240" s="320"/>
      <c r="M240" s="320"/>
      <c r="N240" s="320"/>
      <c r="O240" s="320"/>
      <c r="P240" s="320"/>
      <c r="Q240" s="321"/>
      <c r="R240" s="322"/>
      <c r="S240" s="331"/>
      <c r="T240" s="325"/>
      <c r="U240" s="330"/>
      <c r="V240" s="325"/>
      <c r="W240" s="326">
        <v>0</v>
      </c>
      <c r="X240" s="327"/>
      <c r="Y240" s="328"/>
      <c r="Z240" s="329"/>
      <c r="AA240" s="300"/>
      <c r="AB240" s="301"/>
      <c r="AC240" s="302"/>
      <c r="AD240" s="303"/>
      <c r="AE240" s="304"/>
      <c r="AF240" s="305"/>
      <c r="AG240" s="305">
        <f t="shared" si="7"/>
        <v>0</v>
      </c>
      <c r="AH240" s="305">
        <f t="shared" si="8"/>
        <v>0</v>
      </c>
      <c r="AI240" s="305">
        <f t="shared" si="9"/>
        <v>0</v>
      </c>
      <c r="AJ240" s="305">
        <f t="shared" si="10"/>
        <v>0</v>
      </c>
      <c r="AK240" s="305" t="str">
        <f t="shared" si="11"/>
        <v/>
      </c>
      <c r="AL240" s="306">
        <f t="shared" ca="1" si="12"/>
        <v>1</v>
      </c>
      <c r="AM240" s="306">
        <f t="shared" ca="1" si="13"/>
        <v>34</v>
      </c>
      <c r="AN240" s="306">
        <f t="shared" ca="1" si="14"/>
        <v>2</v>
      </c>
      <c r="AO240" s="306">
        <f t="shared" ca="1" si="15"/>
        <v>0</v>
      </c>
      <c r="AP240" s="306">
        <f t="shared" ca="1" si="16"/>
        <v>0</v>
      </c>
      <c r="AQ240" s="306">
        <f t="shared" ca="1" si="17"/>
        <v>0</v>
      </c>
      <c r="AR240" s="306">
        <f t="shared" ca="1" si="18"/>
        <v>0</v>
      </c>
      <c r="AS240" s="307"/>
      <c r="AT240" s="306">
        <f t="shared" si="19"/>
        <v>1</v>
      </c>
    </row>
    <row r="241" spans="1:46" ht="15.75" customHeight="1">
      <c r="A241" s="284"/>
      <c r="B241" s="285">
        <f t="shared" ca="1" si="0"/>
        <v>1</v>
      </c>
      <c r="C241" s="286">
        <f t="shared" ca="1" si="1"/>
        <v>34</v>
      </c>
      <c r="D241" s="286">
        <f t="shared" ca="1" si="2"/>
        <v>3</v>
      </c>
      <c r="E241" s="286" t="str">
        <f t="shared" ca="1" si="3"/>
        <v/>
      </c>
      <c r="F241" s="286" t="str">
        <f t="shared" ca="1" si="4"/>
        <v/>
      </c>
      <c r="G241" s="287" t="str">
        <f t="shared" ca="1" si="5"/>
        <v/>
      </c>
      <c r="H241" s="288" t="str">
        <f t="shared" ca="1" si="6"/>
        <v/>
      </c>
      <c r="I241" s="308"/>
      <c r="J241" s="320"/>
      <c r="K241" s="320" t="s">
        <v>63</v>
      </c>
      <c r="L241" s="320"/>
      <c r="M241" s="320"/>
      <c r="N241" s="320"/>
      <c r="O241" s="320"/>
      <c r="P241" s="320"/>
      <c r="Q241" s="321"/>
      <c r="R241" s="322"/>
      <c r="S241" s="331"/>
      <c r="T241" s="325"/>
      <c r="U241" s="330"/>
      <c r="V241" s="325"/>
      <c r="W241" s="326">
        <v>0</v>
      </c>
      <c r="X241" s="327"/>
      <c r="Y241" s="328"/>
      <c r="Z241" s="329"/>
      <c r="AA241" s="300"/>
      <c r="AB241" s="301"/>
      <c r="AC241" s="302"/>
      <c r="AD241" s="303"/>
      <c r="AE241" s="304"/>
      <c r="AF241" s="305"/>
      <c r="AG241" s="305">
        <f t="shared" si="7"/>
        <v>0</v>
      </c>
      <c r="AH241" s="305">
        <f t="shared" si="8"/>
        <v>0</v>
      </c>
      <c r="AI241" s="305">
        <f t="shared" si="9"/>
        <v>0</v>
      </c>
      <c r="AJ241" s="305">
        <f t="shared" si="10"/>
        <v>0</v>
      </c>
      <c r="AK241" s="305" t="str">
        <f t="shared" si="11"/>
        <v/>
      </c>
      <c r="AL241" s="306">
        <f t="shared" ca="1" si="12"/>
        <v>1</v>
      </c>
      <c r="AM241" s="306">
        <f t="shared" ca="1" si="13"/>
        <v>34</v>
      </c>
      <c r="AN241" s="306">
        <f t="shared" ca="1" si="14"/>
        <v>3</v>
      </c>
      <c r="AO241" s="306">
        <f t="shared" ca="1" si="15"/>
        <v>0</v>
      </c>
      <c r="AP241" s="306">
        <f t="shared" ca="1" si="16"/>
        <v>0</v>
      </c>
      <c r="AQ241" s="306">
        <f t="shared" ca="1" si="17"/>
        <v>0</v>
      </c>
      <c r="AR241" s="306">
        <f t="shared" ca="1" si="18"/>
        <v>0</v>
      </c>
      <c r="AS241" s="307"/>
      <c r="AT241" s="306">
        <f t="shared" si="19"/>
        <v>1</v>
      </c>
    </row>
    <row r="242" spans="1:46" ht="15.75" customHeight="1">
      <c r="A242" s="284"/>
      <c r="B242" s="285">
        <f t="shared" ca="1" si="0"/>
        <v>1</v>
      </c>
      <c r="C242" s="286">
        <f t="shared" ca="1" si="1"/>
        <v>34</v>
      </c>
      <c r="D242" s="286">
        <f t="shared" ca="1" si="2"/>
        <v>4</v>
      </c>
      <c r="E242" s="286" t="str">
        <f t="shared" ca="1" si="3"/>
        <v/>
      </c>
      <c r="F242" s="286" t="str">
        <f t="shared" ca="1" si="4"/>
        <v/>
      </c>
      <c r="G242" s="287" t="str">
        <f t="shared" ca="1" si="5"/>
        <v/>
      </c>
      <c r="H242" s="288" t="str">
        <f t="shared" ca="1" si="6"/>
        <v/>
      </c>
      <c r="I242" s="308"/>
      <c r="J242" s="320"/>
      <c r="K242" s="320" t="s">
        <v>64</v>
      </c>
      <c r="L242" s="320"/>
      <c r="M242" s="320"/>
      <c r="N242" s="320"/>
      <c r="O242" s="320"/>
      <c r="P242" s="320"/>
      <c r="Q242" s="321"/>
      <c r="R242" s="322"/>
      <c r="S242" s="331"/>
      <c r="T242" s="325"/>
      <c r="U242" s="330"/>
      <c r="V242" s="325"/>
      <c r="W242" s="326">
        <v>0</v>
      </c>
      <c r="X242" s="327"/>
      <c r="Y242" s="328"/>
      <c r="Z242" s="329"/>
      <c r="AA242" s="300"/>
      <c r="AB242" s="301"/>
      <c r="AC242" s="302"/>
      <c r="AD242" s="303"/>
      <c r="AE242" s="304"/>
      <c r="AF242" s="305"/>
      <c r="AG242" s="305">
        <f t="shared" si="7"/>
        <v>0</v>
      </c>
      <c r="AH242" s="305">
        <f t="shared" si="8"/>
        <v>0</v>
      </c>
      <c r="AI242" s="305">
        <f t="shared" si="9"/>
        <v>0</v>
      </c>
      <c r="AJ242" s="305">
        <f t="shared" si="10"/>
        <v>0</v>
      </c>
      <c r="AK242" s="305" t="str">
        <f t="shared" si="11"/>
        <v/>
      </c>
      <c r="AL242" s="306">
        <f t="shared" ca="1" si="12"/>
        <v>1</v>
      </c>
      <c r="AM242" s="306">
        <f t="shared" ca="1" si="13"/>
        <v>34</v>
      </c>
      <c r="AN242" s="306">
        <f t="shared" ca="1" si="14"/>
        <v>4</v>
      </c>
      <c r="AO242" s="306">
        <f t="shared" ca="1" si="15"/>
        <v>0</v>
      </c>
      <c r="AP242" s="306">
        <f t="shared" ca="1" si="16"/>
        <v>0</v>
      </c>
      <c r="AQ242" s="306">
        <f t="shared" ca="1" si="17"/>
        <v>0</v>
      </c>
      <c r="AR242" s="306">
        <f t="shared" ca="1" si="18"/>
        <v>0</v>
      </c>
      <c r="AS242" s="307"/>
      <c r="AT242" s="306">
        <f t="shared" si="19"/>
        <v>1</v>
      </c>
    </row>
    <row r="243" spans="1:46" ht="15.75" customHeight="1">
      <c r="A243" s="284"/>
      <c r="B243" s="285">
        <f t="shared" ca="1" si="0"/>
        <v>1</v>
      </c>
      <c r="C243" s="286">
        <f t="shared" ca="1" si="1"/>
        <v>34</v>
      </c>
      <c r="D243" s="286">
        <f t="shared" ca="1" si="2"/>
        <v>5</v>
      </c>
      <c r="E243" s="286" t="str">
        <f t="shared" ca="1" si="3"/>
        <v/>
      </c>
      <c r="F243" s="286" t="str">
        <f t="shared" ca="1" si="4"/>
        <v/>
      </c>
      <c r="G243" s="287" t="str">
        <f t="shared" ca="1" si="5"/>
        <v/>
      </c>
      <c r="H243" s="288" t="str">
        <f t="shared" ca="1" si="6"/>
        <v/>
      </c>
      <c r="I243" s="308"/>
      <c r="J243" s="320"/>
      <c r="K243" s="320" t="s">
        <v>65</v>
      </c>
      <c r="L243" s="320"/>
      <c r="M243" s="320"/>
      <c r="N243" s="320"/>
      <c r="O243" s="320"/>
      <c r="P243" s="320"/>
      <c r="Q243" s="321"/>
      <c r="R243" s="322"/>
      <c r="S243" s="331"/>
      <c r="T243" s="325"/>
      <c r="U243" s="330"/>
      <c r="V243" s="325"/>
      <c r="W243" s="326">
        <v>0</v>
      </c>
      <c r="X243" s="327"/>
      <c r="Y243" s="328"/>
      <c r="Z243" s="329"/>
      <c r="AA243" s="300"/>
      <c r="AB243" s="301"/>
      <c r="AC243" s="302"/>
      <c r="AD243" s="303"/>
      <c r="AE243" s="304"/>
      <c r="AF243" s="305"/>
      <c r="AG243" s="305">
        <f t="shared" si="7"/>
        <v>0</v>
      </c>
      <c r="AH243" s="305">
        <f t="shared" si="8"/>
        <v>0</v>
      </c>
      <c r="AI243" s="305">
        <f t="shared" si="9"/>
        <v>0</v>
      </c>
      <c r="AJ243" s="305">
        <f t="shared" si="10"/>
        <v>0</v>
      </c>
      <c r="AK243" s="305" t="str">
        <f t="shared" si="11"/>
        <v/>
      </c>
      <c r="AL243" s="306">
        <f t="shared" ca="1" si="12"/>
        <v>1</v>
      </c>
      <c r="AM243" s="306">
        <f t="shared" ca="1" si="13"/>
        <v>34</v>
      </c>
      <c r="AN243" s="306">
        <f t="shared" ca="1" si="14"/>
        <v>5</v>
      </c>
      <c r="AO243" s="306">
        <f t="shared" ca="1" si="15"/>
        <v>0</v>
      </c>
      <c r="AP243" s="306">
        <f t="shared" ca="1" si="16"/>
        <v>0</v>
      </c>
      <c r="AQ243" s="306">
        <f t="shared" ca="1" si="17"/>
        <v>0</v>
      </c>
      <c r="AR243" s="306">
        <f t="shared" ca="1" si="18"/>
        <v>0</v>
      </c>
      <c r="AS243" s="307"/>
      <c r="AT243" s="306">
        <f t="shared" si="19"/>
        <v>1</v>
      </c>
    </row>
    <row r="244" spans="1:46" ht="15.75" customHeight="1">
      <c r="A244" s="284"/>
      <c r="B244" s="285">
        <f t="shared" ca="1" si="0"/>
        <v>1</v>
      </c>
      <c r="C244" s="286">
        <f t="shared" ca="1" si="1"/>
        <v>34</v>
      </c>
      <c r="D244" s="286">
        <f t="shared" ca="1" si="2"/>
        <v>6</v>
      </c>
      <c r="E244" s="286" t="str">
        <f t="shared" ca="1" si="3"/>
        <v/>
      </c>
      <c r="F244" s="286" t="str">
        <f t="shared" ca="1" si="4"/>
        <v/>
      </c>
      <c r="G244" s="287" t="str">
        <f t="shared" ca="1" si="5"/>
        <v/>
      </c>
      <c r="H244" s="288" t="str">
        <f t="shared" ca="1" si="6"/>
        <v/>
      </c>
      <c r="I244" s="308"/>
      <c r="J244" s="320"/>
      <c r="K244" s="320" t="s">
        <v>66</v>
      </c>
      <c r="L244" s="320"/>
      <c r="M244" s="320"/>
      <c r="N244" s="320"/>
      <c r="O244" s="320"/>
      <c r="P244" s="320"/>
      <c r="Q244" s="321"/>
      <c r="R244" s="322"/>
      <c r="S244" s="331"/>
      <c r="T244" s="325"/>
      <c r="U244" s="330"/>
      <c r="V244" s="325"/>
      <c r="W244" s="326">
        <v>0</v>
      </c>
      <c r="X244" s="327"/>
      <c r="Y244" s="328"/>
      <c r="Z244" s="329"/>
      <c r="AA244" s="300"/>
      <c r="AB244" s="301"/>
      <c r="AC244" s="302"/>
      <c r="AD244" s="303"/>
      <c r="AE244" s="304"/>
      <c r="AF244" s="305"/>
      <c r="AG244" s="305">
        <f t="shared" si="7"/>
        <v>0</v>
      </c>
      <c r="AH244" s="305">
        <f t="shared" si="8"/>
        <v>0</v>
      </c>
      <c r="AI244" s="305">
        <f t="shared" si="9"/>
        <v>0</v>
      </c>
      <c r="AJ244" s="305">
        <f t="shared" si="10"/>
        <v>0</v>
      </c>
      <c r="AK244" s="305" t="str">
        <f t="shared" si="11"/>
        <v/>
      </c>
      <c r="AL244" s="306">
        <f t="shared" ca="1" si="12"/>
        <v>1</v>
      </c>
      <c r="AM244" s="306">
        <f t="shared" ca="1" si="13"/>
        <v>34</v>
      </c>
      <c r="AN244" s="306">
        <f t="shared" ca="1" si="14"/>
        <v>6</v>
      </c>
      <c r="AO244" s="306">
        <f t="shared" ca="1" si="15"/>
        <v>0</v>
      </c>
      <c r="AP244" s="306">
        <f t="shared" ca="1" si="16"/>
        <v>0</v>
      </c>
      <c r="AQ244" s="306">
        <f t="shared" ca="1" si="17"/>
        <v>0</v>
      </c>
      <c r="AR244" s="306">
        <f t="shared" ca="1" si="18"/>
        <v>0</v>
      </c>
      <c r="AS244" s="307"/>
      <c r="AT244" s="306">
        <f t="shared" si="19"/>
        <v>1</v>
      </c>
    </row>
    <row r="245" spans="1:46" ht="15.75" customHeight="1">
      <c r="A245" s="284"/>
      <c r="B245" s="285">
        <f t="shared" ca="1" si="0"/>
        <v>1</v>
      </c>
      <c r="C245" s="286">
        <f t="shared" ca="1" si="1"/>
        <v>35</v>
      </c>
      <c r="D245" s="286" t="str">
        <f t="shared" ca="1" si="2"/>
        <v/>
      </c>
      <c r="E245" s="286" t="str">
        <f t="shared" ca="1" si="3"/>
        <v/>
      </c>
      <c r="F245" s="286" t="str">
        <f t="shared" ca="1" si="4"/>
        <v/>
      </c>
      <c r="G245" s="287" t="str">
        <f t="shared" ca="1" si="5"/>
        <v/>
      </c>
      <c r="H245" s="288" t="str">
        <f t="shared" ca="1" si="6"/>
        <v/>
      </c>
      <c r="I245" s="308"/>
      <c r="J245" s="309" t="s">
        <v>214</v>
      </c>
      <c r="K245" s="310"/>
      <c r="L245" s="310"/>
      <c r="M245" s="310"/>
      <c r="N245" s="310"/>
      <c r="O245" s="310"/>
      <c r="P245" s="310"/>
      <c r="Q245" s="311" t="s">
        <v>81</v>
      </c>
      <c r="R245" s="312"/>
      <c r="S245" s="313"/>
      <c r="T245" s="314"/>
      <c r="U245" s="315"/>
      <c r="V245" s="314"/>
      <c r="W245" s="316"/>
      <c r="X245" s="317"/>
      <c r="Y245" s="318"/>
      <c r="Z245" s="319"/>
      <c r="AA245" s="300"/>
      <c r="AB245" s="301"/>
      <c r="AC245" s="302"/>
      <c r="AD245" s="303"/>
      <c r="AE245" s="304"/>
      <c r="AF245" s="305"/>
      <c r="AG245" s="305">
        <f t="shared" si="7"/>
        <v>0</v>
      </c>
      <c r="AH245" s="305">
        <f t="shared" si="8"/>
        <v>0</v>
      </c>
      <c r="AI245" s="305">
        <f t="shared" si="9"/>
        <v>0</v>
      </c>
      <c r="AJ245" s="305">
        <f t="shared" si="10"/>
        <v>0</v>
      </c>
      <c r="AK245" s="305" t="str">
        <f t="shared" si="11"/>
        <v/>
      </c>
      <c r="AL245" s="306">
        <f t="shared" ca="1" si="12"/>
        <v>1</v>
      </c>
      <c r="AM245" s="306">
        <f t="shared" ca="1" si="13"/>
        <v>35</v>
      </c>
      <c r="AN245" s="306">
        <f t="shared" ca="1" si="14"/>
        <v>0</v>
      </c>
      <c r="AO245" s="306">
        <f t="shared" ca="1" si="15"/>
        <v>0</v>
      </c>
      <c r="AP245" s="306">
        <f t="shared" ca="1" si="16"/>
        <v>0</v>
      </c>
      <c r="AQ245" s="306">
        <f t="shared" ca="1" si="17"/>
        <v>0</v>
      </c>
      <c r="AR245" s="306">
        <f t="shared" ca="1" si="18"/>
        <v>0</v>
      </c>
      <c r="AS245" s="307"/>
      <c r="AT245" s="306">
        <f t="shared" si="19"/>
        <v>1</v>
      </c>
    </row>
    <row r="246" spans="1:46" ht="15.75" customHeight="1">
      <c r="A246" s="284"/>
      <c r="B246" s="285">
        <f t="shared" ca="1" si="0"/>
        <v>1</v>
      </c>
      <c r="C246" s="286">
        <f t="shared" ca="1" si="1"/>
        <v>35</v>
      </c>
      <c r="D246" s="286">
        <f t="shared" ca="1" si="2"/>
        <v>1</v>
      </c>
      <c r="E246" s="286" t="str">
        <f t="shared" ca="1" si="3"/>
        <v/>
      </c>
      <c r="F246" s="286" t="str">
        <f t="shared" ca="1" si="4"/>
        <v/>
      </c>
      <c r="G246" s="287" t="str">
        <f t="shared" ca="1" si="5"/>
        <v/>
      </c>
      <c r="H246" s="288" t="str">
        <f t="shared" ca="1" si="6"/>
        <v/>
      </c>
      <c r="I246" s="308"/>
      <c r="J246" s="320"/>
      <c r="K246" s="320" t="s">
        <v>59</v>
      </c>
      <c r="L246" s="320"/>
      <c r="M246" s="320"/>
      <c r="N246" s="320"/>
      <c r="O246" s="320"/>
      <c r="P246" s="320"/>
      <c r="Q246" s="321"/>
      <c r="R246" s="322"/>
      <c r="S246" s="331"/>
      <c r="T246" s="325"/>
      <c r="U246" s="330"/>
      <c r="V246" s="325"/>
      <c r="W246" s="326">
        <v>0</v>
      </c>
      <c r="X246" s="327"/>
      <c r="Y246" s="328"/>
      <c r="Z246" s="329"/>
      <c r="AA246" s="300"/>
      <c r="AB246" s="301"/>
      <c r="AC246" s="302"/>
      <c r="AD246" s="303"/>
      <c r="AE246" s="304"/>
      <c r="AF246" s="305"/>
      <c r="AG246" s="305">
        <f t="shared" si="7"/>
        <v>0</v>
      </c>
      <c r="AH246" s="305">
        <f t="shared" si="8"/>
        <v>0</v>
      </c>
      <c r="AI246" s="305">
        <f t="shared" si="9"/>
        <v>0</v>
      </c>
      <c r="AJ246" s="305">
        <f t="shared" si="10"/>
        <v>0</v>
      </c>
      <c r="AK246" s="305" t="str">
        <f t="shared" si="11"/>
        <v/>
      </c>
      <c r="AL246" s="306">
        <f t="shared" ca="1" si="12"/>
        <v>1</v>
      </c>
      <c r="AM246" s="306">
        <f t="shared" ca="1" si="13"/>
        <v>35</v>
      </c>
      <c r="AN246" s="306">
        <f t="shared" ca="1" si="14"/>
        <v>1</v>
      </c>
      <c r="AO246" s="306">
        <f t="shared" ca="1" si="15"/>
        <v>0</v>
      </c>
      <c r="AP246" s="306">
        <f t="shared" ca="1" si="16"/>
        <v>0</v>
      </c>
      <c r="AQ246" s="306">
        <f t="shared" ca="1" si="17"/>
        <v>0</v>
      </c>
      <c r="AR246" s="306">
        <f t="shared" ca="1" si="18"/>
        <v>0</v>
      </c>
      <c r="AS246" s="307"/>
      <c r="AT246" s="306">
        <f t="shared" si="19"/>
        <v>1</v>
      </c>
    </row>
    <row r="247" spans="1:46" ht="15.75" customHeight="1">
      <c r="A247" s="284"/>
      <c r="B247" s="285">
        <f t="shared" ca="1" si="0"/>
        <v>1</v>
      </c>
      <c r="C247" s="286">
        <f t="shared" ca="1" si="1"/>
        <v>35</v>
      </c>
      <c r="D247" s="286">
        <f t="shared" ca="1" si="2"/>
        <v>2</v>
      </c>
      <c r="E247" s="286" t="str">
        <f t="shared" ca="1" si="3"/>
        <v/>
      </c>
      <c r="F247" s="286" t="str">
        <f t="shared" ca="1" si="4"/>
        <v/>
      </c>
      <c r="G247" s="287" t="str">
        <f t="shared" ca="1" si="5"/>
        <v/>
      </c>
      <c r="H247" s="288" t="str">
        <f t="shared" ca="1" si="6"/>
        <v/>
      </c>
      <c r="I247" s="308"/>
      <c r="J247" s="320"/>
      <c r="K247" s="320" t="s">
        <v>145</v>
      </c>
      <c r="L247" s="320"/>
      <c r="M247" s="320"/>
      <c r="N247" s="320"/>
      <c r="O247" s="320"/>
      <c r="P247" s="320"/>
      <c r="Q247" s="321"/>
      <c r="R247" s="322"/>
      <c r="S247" s="331"/>
      <c r="T247" s="325"/>
      <c r="U247" s="330"/>
      <c r="V247" s="325"/>
      <c r="W247" s="326">
        <v>0</v>
      </c>
      <c r="X247" s="327"/>
      <c r="Y247" s="328"/>
      <c r="Z247" s="329"/>
      <c r="AA247" s="300"/>
      <c r="AB247" s="301"/>
      <c r="AC247" s="302"/>
      <c r="AD247" s="303"/>
      <c r="AE247" s="304"/>
      <c r="AF247" s="305"/>
      <c r="AG247" s="305">
        <f t="shared" si="7"/>
        <v>0</v>
      </c>
      <c r="AH247" s="305">
        <f t="shared" si="8"/>
        <v>0</v>
      </c>
      <c r="AI247" s="305">
        <f t="shared" si="9"/>
        <v>0</v>
      </c>
      <c r="AJ247" s="305">
        <f t="shared" si="10"/>
        <v>0</v>
      </c>
      <c r="AK247" s="305" t="str">
        <f t="shared" si="11"/>
        <v/>
      </c>
      <c r="AL247" s="306">
        <f t="shared" ca="1" si="12"/>
        <v>1</v>
      </c>
      <c r="AM247" s="306">
        <f t="shared" ca="1" si="13"/>
        <v>35</v>
      </c>
      <c r="AN247" s="306">
        <f t="shared" ca="1" si="14"/>
        <v>2</v>
      </c>
      <c r="AO247" s="306">
        <f t="shared" ca="1" si="15"/>
        <v>0</v>
      </c>
      <c r="AP247" s="306">
        <f t="shared" ca="1" si="16"/>
        <v>0</v>
      </c>
      <c r="AQ247" s="306">
        <f t="shared" ca="1" si="17"/>
        <v>0</v>
      </c>
      <c r="AR247" s="306">
        <f t="shared" ca="1" si="18"/>
        <v>0</v>
      </c>
      <c r="AS247" s="307"/>
      <c r="AT247" s="306">
        <f t="shared" si="19"/>
        <v>1</v>
      </c>
    </row>
    <row r="248" spans="1:46" ht="15.75" customHeight="1">
      <c r="A248" s="284"/>
      <c r="B248" s="285">
        <f t="shared" ca="1" si="0"/>
        <v>1</v>
      </c>
      <c r="C248" s="286">
        <f t="shared" ca="1" si="1"/>
        <v>35</v>
      </c>
      <c r="D248" s="286">
        <f t="shared" ca="1" si="2"/>
        <v>3</v>
      </c>
      <c r="E248" s="286" t="str">
        <f t="shared" ca="1" si="3"/>
        <v/>
      </c>
      <c r="F248" s="286" t="str">
        <f t="shared" ca="1" si="4"/>
        <v/>
      </c>
      <c r="G248" s="287" t="str">
        <f t="shared" ca="1" si="5"/>
        <v/>
      </c>
      <c r="H248" s="288" t="str">
        <f t="shared" ca="1" si="6"/>
        <v/>
      </c>
      <c r="I248" s="308"/>
      <c r="J248" s="320"/>
      <c r="K248" s="320" t="s">
        <v>63</v>
      </c>
      <c r="L248" s="320"/>
      <c r="M248" s="320"/>
      <c r="N248" s="320"/>
      <c r="O248" s="320"/>
      <c r="P248" s="320"/>
      <c r="Q248" s="321"/>
      <c r="R248" s="322"/>
      <c r="S248" s="331"/>
      <c r="T248" s="325"/>
      <c r="U248" s="330"/>
      <c r="V248" s="325"/>
      <c r="W248" s="326">
        <v>0</v>
      </c>
      <c r="X248" s="327"/>
      <c r="Y248" s="328"/>
      <c r="Z248" s="329"/>
      <c r="AA248" s="300"/>
      <c r="AB248" s="301"/>
      <c r="AC248" s="302"/>
      <c r="AD248" s="303"/>
      <c r="AE248" s="304"/>
      <c r="AF248" s="305"/>
      <c r="AG248" s="305">
        <f t="shared" si="7"/>
        <v>0</v>
      </c>
      <c r="AH248" s="305">
        <f t="shared" si="8"/>
        <v>0</v>
      </c>
      <c r="AI248" s="305">
        <f t="shared" si="9"/>
        <v>0</v>
      </c>
      <c r="AJ248" s="305">
        <f t="shared" si="10"/>
        <v>0</v>
      </c>
      <c r="AK248" s="305" t="str">
        <f t="shared" si="11"/>
        <v/>
      </c>
      <c r="AL248" s="306">
        <f t="shared" ca="1" si="12"/>
        <v>1</v>
      </c>
      <c r="AM248" s="306">
        <f t="shared" ca="1" si="13"/>
        <v>35</v>
      </c>
      <c r="AN248" s="306">
        <f t="shared" ca="1" si="14"/>
        <v>3</v>
      </c>
      <c r="AO248" s="306">
        <f t="shared" ca="1" si="15"/>
        <v>0</v>
      </c>
      <c r="AP248" s="306">
        <f t="shared" ca="1" si="16"/>
        <v>0</v>
      </c>
      <c r="AQ248" s="306">
        <f t="shared" ca="1" si="17"/>
        <v>0</v>
      </c>
      <c r="AR248" s="306">
        <f t="shared" ca="1" si="18"/>
        <v>0</v>
      </c>
      <c r="AS248" s="307"/>
      <c r="AT248" s="306">
        <f t="shared" si="19"/>
        <v>1</v>
      </c>
    </row>
    <row r="249" spans="1:46" ht="15.75" customHeight="1">
      <c r="A249" s="284"/>
      <c r="B249" s="285">
        <f t="shared" ca="1" si="0"/>
        <v>1</v>
      </c>
      <c r="C249" s="286">
        <f t="shared" ca="1" si="1"/>
        <v>35</v>
      </c>
      <c r="D249" s="286">
        <f t="shared" ca="1" si="2"/>
        <v>4</v>
      </c>
      <c r="E249" s="286" t="str">
        <f t="shared" ca="1" si="3"/>
        <v/>
      </c>
      <c r="F249" s="286" t="str">
        <f t="shared" ca="1" si="4"/>
        <v/>
      </c>
      <c r="G249" s="287" t="str">
        <f t="shared" ca="1" si="5"/>
        <v/>
      </c>
      <c r="H249" s="288" t="str">
        <f t="shared" ca="1" si="6"/>
        <v/>
      </c>
      <c r="I249" s="308"/>
      <c r="J249" s="320"/>
      <c r="K249" s="320" t="s">
        <v>64</v>
      </c>
      <c r="L249" s="320"/>
      <c r="M249" s="320"/>
      <c r="N249" s="320"/>
      <c r="O249" s="320"/>
      <c r="P249" s="320"/>
      <c r="Q249" s="321"/>
      <c r="R249" s="322"/>
      <c r="S249" s="331"/>
      <c r="T249" s="325"/>
      <c r="U249" s="330"/>
      <c r="V249" s="325"/>
      <c r="W249" s="326">
        <v>0</v>
      </c>
      <c r="X249" s="327"/>
      <c r="Y249" s="328"/>
      <c r="Z249" s="329"/>
      <c r="AA249" s="300"/>
      <c r="AB249" s="301"/>
      <c r="AC249" s="302"/>
      <c r="AD249" s="303"/>
      <c r="AE249" s="304"/>
      <c r="AF249" s="305"/>
      <c r="AG249" s="305">
        <f t="shared" si="7"/>
        <v>0</v>
      </c>
      <c r="AH249" s="305">
        <f t="shared" si="8"/>
        <v>0</v>
      </c>
      <c r="AI249" s="305">
        <f t="shared" si="9"/>
        <v>0</v>
      </c>
      <c r="AJ249" s="305">
        <f t="shared" si="10"/>
        <v>0</v>
      </c>
      <c r="AK249" s="305" t="str">
        <f t="shared" si="11"/>
        <v/>
      </c>
      <c r="AL249" s="306">
        <f t="shared" ca="1" si="12"/>
        <v>1</v>
      </c>
      <c r="AM249" s="306">
        <f t="shared" ca="1" si="13"/>
        <v>35</v>
      </c>
      <c r="AN249" s="306">
        <f t="shared" ca="1" si="14"/>
        <v>4</v>
      </c>
      <c r="AO249" s="306">
        <f t="shared" ca="1" si="15"/>
        <v>0</v>
      </c>
      <c r="AP249" s="306">
        <f t="shared" ca="1" si="16"/>
        <v>0</v>
      </c>
      <c r="AQ249" s="306">
        <f t="shared" ca="1" si="17"/>
        <v>0</v>
      </c>
      <c r="AR249" s="306">
        <f t="shared" ca="1" si="18"/>
        <v>0</v>
      </c>
      <c r="AS249" s="307"/>
      <c r="AT249" s="306">
        <f t="shared" si="19"/>
        <v>1</v>
      </c>
    </row>
    <row r="250" spans="1:46" ht="15.75" customHeight="1">
      <c r="A250" s="284"/>
      <c r="B250" s="285">
        <f t="shared" ca="1" si="0"/>
        <v>1</v>
      </c>
      <c r="C250" s="286">
        <f t="shared" ca="1" si="1"/>
        <v>35</v>
      </c>
      <c r="D250" s="286">
        <f t="shared" ca="1" si="2"/>
        <v>5</v>
      </c>
      <c r="E250" s="286" t="str">
        <f t="shared" ca="1" si="3"/>
        <v/>
      </c>
      <c r="F250" s="286" t="str">
        <f t="shared" ca="1" si="4"/>
        <v/>
      </c>
      <c r="G250" s="287" t="str">
        <f t="shared" ca="1" si="5"/>
        <v/>
      </c>
      <c r="H250" s="288" t="str">
        <f t="shared" ca="1" si="6"/>
        <v/>
      </c>
      <c r="I250" s="308"/>
      <c r="J250" s="320"/>
      <c r="K250" s="320" t="s">
        <v>65</v>
      </c>
      <c r="L250" s="320"/>
      <c r="M250" s="320"/>
      <c r="N250" s="320"/>
      <c r="O250" s="320"/>
      <c r="P250" s="320"/>
      <c r="Q250" s="321"/>
      <c r="R250" s="322"/>
      <c r="S250" s="331"/>
      <c r="T250" s="325"/>
      <c r="U250" s="330"/>
      <c r="V250" s="325"/>
      <c r="W250" s="326">
        <v>0</v>
      </c>
      <c r="X250" s="327"/>
      <c r="Y250" s="328"/>
      <c r="Z250" s="329"/>
      <c r="AA250" s="300"/>
      <c r="AB250" s="301"/>
      <c r="AC250" s="302"/>
      <c r="AD250" s="303"/>
      <c r="AE250" s="304"/>
      <c r="AF250" s="305"/>
      <c r="AG250" s="305">
        <f t="shared" si="7"/>
        <v>0</v>
      </c>
      <c r="AH250" s="305">
        <f t="shared" si="8"/>
        <v>0</v>
      </c>
      <c r="AI250" s="305">
        <f t="shared" si="9"/>
        <v>0</v>
      </c>
      <c r="AJ250" s="305">
        <f t="shared" si="10"/>
        <v>0</v>
      </c>
      <c r="AK250" s="305" t="str">
        <f t="shared" si="11"/>
        <v/>
      </c>
      <c r="AL250" s="306">
        <f t="shared" ca="1" si="12"/>
        <v>1</v>
      </c>
      <c r="AM250" s="306">
        <f t="shared" ca="1" si="13"/>
        <v>35</v>
      </c>
      <c r="AN250" s="306">
        <f t="shared" ca="1" si="14"/>
        <v>5</v>
      </c>
      <c r="AO250" s="306">
        <f t="shared" ca="1" si="15"/>
        <v>0</v>
      </c>
      <c r="AP250" s="306">
        <f t="shared" ca="1" si="16"/>
        <v>0</v>
      </c>
      <c r="AQ250" s="306">
        <f t="shared" ca="1" si="17"/>
        <v>0</v>
      </c>
      <c r="AR250" s="306">
        <f t="shared" ca="1" si="18"/>
        <v>0</v>
      </c>
      <c r="AS250" s="307"/>
      <c r="AT250" s="306">
        <f t="shared" si="19"/>
        <v>1</v>
      </c>
    </row>
    <row r="251" spans="1:46" ht="15.75" customHeight="1">
      <c r="A251" s="284"/>
      <c r="B251" s="285">
        <f t="shared" ca="1" si="0"/>
        <v>1</v>
      </c>
      <c r="C251" s="286">
        <f t="shared" ca="1" si="1"/>
        <v>35</v>
      </c>
      <c r="D251" s="286">
        <f t="shared" ca="1" si="2"/>
        <v>6</v>
      </c>
      <c r="E251" s="286" t="str">
        <f t="shared" ca="1" si="3"/>
        <v/>
      </c>
      <c r="F251" s="286" t="str">
        <f t="shared" ca="1" si="4"/>
        <v/>
      </c>
      <c r="G251" s="287" t="str">
        <f t="shared" ca="1" si="5"/>
        <v/>
      </c>
      <c r="H251" s="288" t="str">
        <f t="shared" ca="1" si="6"/>
        <v/>
      </c>
      <c r="I251" s="308"/>
      <c r="J251" s="320"/>
      <c r="K251" s="320" t="s">
        <v>66</v>
      </c>
      <c r="L251" s="320"/>
      <c r="M251" s="320"/>
      <c r="N251" s="320"/>
      <c r="O251" s="320"/>
      <c r="P251" s="320"/>
      <c r="Q251" s="321"/>
      <c r="R251" s="322"/>
      <c r="S251" s="331"/>
      <c r="T251" s="325"/>
      <c r="U251" s="330"/>
      <c r="V251" s="325"/>
      <c r="W251" s="326">
        <v>0</v>
      </c>
      <c r="X251" s="327"/>
      <c r="Y251" s="328"/>
      <c r="Z251" s="329"/>
      <c r="AA251" s="300"/>
      <c r="AB251" s="301"/>
      <c r="AC251" s="302"/>
      <c r="AD251" s="303"/>
      <c r="AE251" s="304"/>
      <c r="AF251" s="305"/>
      <c r="AG251" s="305">
        <f t="shared" si="7"/>
        <v>0</v>
      </c>
      <c r="AH251" s="305">
        <f t="shared" si="8"/>
        <v>0</v>
      </c>
      <c r="AI251" s="305">
        <f t="shared" si="9"/>
        <v>0</v>
      </c>
      <c r="AJ251" s="305">
        <f t="shared" si="10"/>
        <v>0</v>
      </c>
      <c r="AK251" s="305" t="str">
        <f t="shared" si="11"/>
        <v/>
      </c>
      <c r="AL251" s="306">
        <f t="shared" ca="1" si="12"/>
        <v>1</v>
      </c>
      <c r="AM251" s="306">
        <f t="shared" ca="1" si="13"/>
        <v>35</v>
      </c>
      <c r="AN251" s="306">
        <f t="shared" ca="1" si="14"/>
        <v>6</v>
      </c>
      <c r="AO251" s="306">
        <f t="shared" ca="1" si="15"/>
        <v>0</v>
      </c>
      <c r="AP251" s="306">
        <f t="shared" ca="1" si="16"/>
        <v>0</v>
      </c>
      <c r="AQ251" s="306">
        <f t="shared" ca="1" si="17"/>
        <v>0</v>
      </c>
      <c r="AR251" s="306">
        <f t="shared" ca="1" si="18"/>
        <v>0</v>
      </c>
      <c r="AS251" s="307"/>
      <c r="AT251" s="306">
        <f t="shared" si="19"/>
        <v>1</v>
      </c>
    </row>
    <row r="252" spans="1:46" ht="15.75" customHeight="1">
      <c r="A252" s="284"/>
      <c r="B252" s="285">
        <f t="shared" ca="1" si="0"/>
        <v>1</v>
      </c>
      <c r="C252" s="286">
        <f t="shared" ca="1" si="1"/>
        <v>36</v>
      </c>
      <c r="D252" s="286" t="str">
        <f t="shared" ca="1" si="2"/>
        <v/>
      </c>
      <c r="E252" s="286" t="str">
        <f t="shared" ca="1" si="3"/>
        <v/>
      </c>
      <c r="F252" s="286" t="str">
        <f t="shared" ca="1" si="4"/>
        <v/>
      </c>
      <c r="G252" s="287" t="str">
        <f t="shared" ca="1" si="5"/>
        <v/>
      </c>
      <c r="H252" s="288" t="str">
        <f t="shared" ca="1" si="6"/>
        <v/>
      </c>
      <c r="I252" s="308"/>
      <c r="J252" s="309" t="s">
        <v>215</v>
      </c>
      <c r="K252" s="310"/>
      <c r="L252" s="310"/>
      <c r="M252" s="310"/>
      <c r="N252" s="310"/>
      <c r="O252" s="310"/>
      <c r="P252" s="310"/>
      <c r="Q252" s="311" t="s">
        <v>81</v>
      </c>
      <c r="R252" s="312"/>
      <c r="S252" s="313"/>
      <c r="T252" s="314"/>
      <c r="U252" s="315"/>
      <c r="V252" s="314"/>
      <c r="W252" s="316"/>
      <c r="X252" s="317"/>
      <c r="Y252" s="318"/>
      <c r="Z252" s="319"/>
      <c r="AA252" s="300"/>
      <c r="AB252" s="301"/>
      <c r="AC252" s="302"/>
      <c r="AD252" s="303"/>
      <c r="AE252" s="304"/>
      <c r="AF252" s="305"/>
      <c r="AG252" s="305">
        <f t="shared" si="7"/>
        <v>0</v>
      </c>
      <c r="AH252" s="305">
        <f t="shared" si="8"/>
        <v>0</v>
      </c>
      <c r="AI252" s="305">
        <f t="shared" si="9"/>
        <v>0</v>
      </c>
      <c r="AJ252" s="305">
        <f t="shared" si="10"/>
        <v>0</v>
      </c>
      <c r="AK252" s="305" t="str">
        <f t="shared" si="11"/>
        <v/>
      </c>
      <c r="AL252" s="306">
        <f t="shared" ca="1" si="12"/>
        <v>1</v>
      </c>
      <c r="AM252" s="306">
        <f t="shared" ca="1" si="13"/>
        <v>36</v>
      </c>
      <c r="AN252" s="306">
        <f t="shared" ca="1" si="14"/>
        <v>0</v>
      </c>
      <c r="AO252" s="306">
        <f t="shared" ca="1" si="15"/>
        <v>0</v>
      </c>
      <c r="AP252" s="306">
        <f t="shared" ca="1" si="16"/>
        <v>0</v>
      </c>
      <c r="AQ252" s="306">
        <f t="shared" ca="1" si="17"/>
        <v>0</v>
      </c>
      <c r="AR252" s="306">
        <f t="shared" ca="1" si="18"/>
        <v>0</v>
      </c>
      <c r="AS252" s="307"/>
      <c r="AT252" s="306">
        <f t="shared" si="19"/>
        <v>1</v>
      </c>
    </row>
    <row r="253" spans="1:46" ht="15.75" customHeight="1">
      <c r="A253" s="284"/>
      <c r="B253" s="285">
        <f t="shared" ca="1" si="0"/>
        <v>1</v>
      </c>
      <c r="C253" s="286">
        <f t="shared" ca="1" si="1"/>
        <v>36</v>
      </c>
      <c r="D253" s="286">
        <f t="shared" ca="1" si="2"/>
        <v>1</v>
      </c>
      <c r="E253" s="286" t="str">
        <f t="shared" ca="1" si="3"/>
        <v/>
      </c>
      <c r="F253" s="286" t="str">
        <f t="shared" ca="1" si="4"/>
        <v/>
      </c>
      <c r="G253" s="287" t="str">
        <f t="shared" ca="1" si="5"/>
        <v/>
      </c>
      <c r="H253" s="288" t="str">
        <f t="shared" ca="1" si="6"/>
        <v/>
      </c>
      <c r="I253" s="308"/>
      <c r="J253" s="320"/>
      <c r="K253" s="320" t="s">
        <v>59</v>
      </c>
      <c r="L253" s="320"/>
      <c r="M253" s="320"/>
      <c r="N253" s="320"/>
      <c r="O253" s="320"/>
      <c r="P253" s="320"/>
      <c r="Q253" s="321"/>
      <c r="R253" s="322"/>
      <c r="S253" s="331"/>
      <c r="T253" s="325"/>
      <c r="U253" s="330"/>
      <c r="V253" s="325"/>
      <c r="W253" s="326">
        <v>0</v>
      </c>
      <c r="X253" s="327"/>
      <c r="Y253" s="328"/>
      <c r="Z253" s="329"/>
      <c r="AA253" s="300"/>
      <c r="AB253" s="301"/>
      <c r="AC253" s="302"/>
      <c r="AD253" s="303"/>
      <c r="AE253" s="304"/>
      <c r="AF253" s="305"/>
      <c r="AG253" s="305">
        <f t="shared" si="7"/>
        <v>0</v>
      </c>
      <c r="AH253" s="305">
        <f t="shared" si="8"/>
        <v>0</v>
      </c>
      <c r="AI253" s="305">
        <f t="shared" si="9"/>
        <v>0</v>
      </c>
      <c r="AJ253" s="305">
        <f t="shared" si="10"/>
        <v>0</v>
      </c>
      <c r="AK253" s="305" t="str">
        <f t="shared" si="11"/>
        <v/>
      </c>
      <c r="AL253" s="306">
        <f t="shared" ca="1" si="12"/>
        <v>1</v>
      </c>
      <c r="AM253" s="306">
        <f t="shared" ca="1" si="13"/>
        <v>36</v>
      </c>
      <c r="AN253" s="306">
        <f t="shared" ca="1" si="14"/>
        <v>1</v>
      </c>
      <c r="AO253" s="306">
        <f t="shared" ca="1" si="15"/>
        <v>0</v>
      </c>
      <c r="AP253" s="306">
        <f t="shared" ca="1" si="16"/>
        <v>0</v>
      </c>
      <c r="AQ253" s="306">
        <f t="shared" ca="1" si="17"/>
        <v>0</v>
      </c>
      <c r="AR253" s="306">
        <f t="shared" ca="1" si="18"/>
        <v>0</v>
      </c>
      <c r="AS253" s="307"/>
      <c r="AT253" s="306">
        <f t="shared" si="19"/>
        <v>1</v>
      </c>
    </row>
    <row r="254" spans="1:46" ht="15.75" customHeight="1">
      <c r="A254" s="284"/>
      <c r="B254" s="285">
        <f t="shared" ca="1" si="0"/>
        <v>1</v>
      </c>
      <c r="C254" s="286">
        <f t="shared" ca="1" si="1"/>
        <v>36</v>
      </c>
      <c r="D254" s="286">
        <f t="shared" ca="1" si="2"/>
        <v>2</v>
      </c>
      <c r="E254" s="286" t="str">
        <f t="shared" ca="1" si="3"/>
        <v/>
      </c>
      <c r="F254" s="286" t="str">
        <f t="shared" ca="1" si="4"/>
        <v/>
      </c>
      <c r="G254" s="287" t="str">
        <f t="shared" ca="1" si="5"/>
        <v/>
      </c>
      <c r="H254" s="288" t="str">
        <f t="shared" ca="1" si="6"/>
        <v/>
      </c>
      <c r="I254" s="308"/>
      <c r="J254" s="320"/>
      <c r="K254" s="320" t="s">
        <v>145</v>
      </c>
      <c r="L254" s="320"/>
      <c r="M254" s="320"/>
      <c r="N254" s="320"/>
      <c r="O254" s="320"/>
      <c r="P254" s="320"/>
      <c r="Q254" s="321"/>
      <c r="R254" s="322"/>
      <c r="S254" s="331"/>
      <c r="T254" s="325"/>
      <c r="U254" s="330"/>
      <c r="V254" s="325"/>
      <c r="W254" s="326">
        <v>0</v>
      </c>
      <c r="X254" s="327"/>
      <c r="Y254" s="328"/>
      <c r="Z254" s="329"/>
      <c r="AA254" s="300"/>
      <c r="AB254" s="301"/>
      <c r="AC254" s="302"/>
      <c r="AD254" s="303"/>
      <c r="AE254" s="304"/>
      <c r="AF254" s="305"/>
      <c r="AG254" s="305">
        <f t="shared" si="7"/>
        <v>0</v>
      </c>
      <c r="AH254" s="305">
        <f t="shared" si="8"/>
        <v>0</v>
      </c>
      <c r="AI254" s="305">
        <f t="shared" si="9"/>
        <v>0</v>
      </c>
      <c r="AJ254" s="305">
        <f t="shared" si="10"/>
        <v>0</v>
      </c>
      <c r="AK254" s="305" t="str">
        <f t="shared" si="11"/>
        <v/>
      </c>
      <c r="AL254" s="306">
        <f t="shared" ca="1" si="12"/>
        <v>1</v>
      </c>
      <c r="AM254" s="306">
        <f t="shared" ca="1" si="13"/>
        <v>36</v>
      </c>
      <c r="AN254" s="306">
        <f t="shared" ca="1" si="14"/>
        <v>2</v>
      </c>
      <c r="AO254" s="306">
        <f t="shared" ca="1" si="15"/>
        <v>0</v>
      </c>
      <c r="AP254" s="306">
        <f t="shared" ca="1" si="16"/>
        <v>0</v>
      </c>
      <c r="AQ254" s="306">
        <f t="shared" ca="1" si="17"/>
        <v>0</v>
      </c>
      <c r="AR254" s="306">
        <f t="shared" ca="1" si="18"/>
        <v>0</v>
      </c>
      <c r="AS254" s="307"/>
      <c r="AT254" s="306">
        <f t="shared" si="19"/>
        <v>1</v>
      </c>
    </row>
    <row r="255" spans="1:46" ht="15.75" customHeight="1">
      <c r="A255" s="284"/>
      <c r="B255" s="285">
        <f t="shared" ca="1" si="0"/>
        <v>1</v>
      </c>
      <c r="C255" s="286">
        <f t="shared" ca="1" si="1"/>
        <v>36</v>
      </c>
      <c r="D255" s="286">
        <f t="shared" ca="1" si="2"/>
        <v>3</v>
      </c>
      <c r="E255" s="286" t="str">
        <f t="shared" ca="1" si="3"/>
        <v/>
      </c>
      <c r="F255" s="286" t="str">
        <f t="shared" ca="1" si="4"/>
        <v/>
      </c>
      <c r="G255" s="287" t="str">
        <f t="shared" ca="1" si="5"/>
        <v/>
      </c>
      <c r="H255" s="288" t="str">
        <f t="shared" ca="1" si="6"/>
        <v/>
      </c>
      <c r="I255" s="308"/>
      <c r="J255" s="320"/>
      <c r="K255" s="320" t="s">
        <v>63</v>
      </c>
      <c r="L255" s="320"/>
      <c r="M255" s="320"/>
      <c r="N255" s="320"/>
      <c r="O255" s="320"/>
      <c r="P255" s="320"/>
      <c r="Q255" s="321"/>
      <c r="R255" s="322"/>
      <c r="S255" s="331"/>
      <c r="T255" s="325"/>
      <c r="U255" s="330"/>
      <c r="V255" s="325"/>
      <c r="W255" s="326">
        <v>0</v>
      </c>
      <c r="X255" s="327"/>
      <c r="Y255" s="328"/>
      <c r="Z255" s="329"/>
      <c r="AA255" s="300"/>
      <c r="AB255" s="301"/>
      <c r="AC255" s="302"/>
      <c r="AD255" s="303"/>
      <c r="AE255" s="304"/>
      <c r="AF255" s="305"/>
      <c r="AG255" s="305">
        <f t="shared" si="7"/>
        <v>0</v>
      </c>
      <c r="AH255" s="305">
        <f t="shared" si="8"/>
        <v>0</v>
      </c>
      <c r="AI255" s="305">
        <f t="shared" si="9"/>
        <v>0</v>
      </c>
      <c r="AJ255" s="305">
        <f t="shared" si="10"/>
        <v>0</v>
      </c>
      <c r="AK255" s="305" t="str">
        <f t="shared" si="11"/>
        <v/>
      </c>
      <c r="AL255" s="306">
        <f t="shared" ca="1" si="12"/>
        <v>1</v>
      </c>
      <c r="AM255" s="306">
        <f t="shared" ca="1" si="13"/>
        <v>36</v>
      </c>
      <c r="AN255" s="306">
        <f t="shared" ca="1" si="14"/>
        <v>3</v>
      </c>
      <c r="AO255" s="306">
        <f t="shared" ca="1" si="15"/>
        <v>0</v>
      </c>
      <c r="AP255" s="306">
        <f t="shared" ca="1" si="16"/>
        <v>0</v>
      </c>
      <c r="AQ255" s="306">
        <f t="shared" ca="1" si="17"/>
        <v>0</v>
      </c>
      <c r="AR255" s="306">
        <f t="shared" ca="1" si="18"/>
        <v>0</v>
      </c>
      <c r="AS255" s="307"/>
      <c r="AT255" s="306">
        <f t="shared" si="19"/>
        <v>1</v>
      </c>
    </row>
    <row r="256" spans="1:46" ht="15.75" customHeight="1">
      <c r="A256" s="284"/>
      <c r="B256" s="285">
        <f t="shared" ca="1" si="0"/>
        <v>1</v>
      </c>
      <c r="C256" s="286">
        <f t="shared" ca="1" si="1"/>
        <v>36</v>
      </c>
      <c r="D256" s="286">
        <f t="shared" ca="1" si="2"/>
        <v>4</v>
      </c>
      <c r="E256" s="286" t="str">
        <f t="shared" ca="1" si="3"/>
        <v/>
      </c>
      <c r="F256" s="286" t="str">
        <f t="shared" ca="1" si="4"/>
        <v/>
      </c>
      <c r="G256" s="287" t="str">
        <f t="shared" ca="1" si="5"/>
        <v/>
      </c>
      <c r="H256" s="288" t="str">
        <f t="shared" ca="1" si="6"/>
        <v/>
      </c>
      <c r="I256" s="308"/>
      <c r="J256" s="320"/>
      <c r="K256" s="320" t="s">
        <v>64</v>
      </c>
      <c r="L256" s="320"/>
      <c r="M256" s="320"/>
      <c r="N256" s="320"/>
      <c r="O256" s="320"/>
      <c r="P256" s="320"/>
      <c r="Q256" s="321"/>
      <c r="R256" s="322"/>
      <c r="S256" s="331"/>
      <c r="T256" s="325"/>
      <c r="U256" s="330"/>
      <c r="V256" s="325"/>
      <c r="W256" s="326">
        <v>0</v>
      </c>
      <c r="X256" s="327"/>
      <c r="Y256" s="328"/>
      <c r="Z256" s="329"/>
      <c r="AA256" s="300"/>
      <c r="AB256" s="301"/>
      <c r="AC256" s="302"/>
      <c r="AD256" s="303"/>
      <c r="AE256" s="304"/>
      <c r="AF256" s="305"/>
      <c r="AG256" s="305">
        <f t="shared" si="7"/>
        <v>0</v>
      </c>
      <c r="AH256" s="305">
        <f t="shared" si="8"/>
        <v>0</v>
      </c>
      <c r="AI256" s="305">
        <f t="shared" si="9"/>
        <v>0</v>
      </c>
      <c r="AJ256" s="305">
        <f t="shared" si="10"/>
        <v>0</v>
      </c>
      <c r="AK256" s="305" t="str">
        <f t="shared" si="11"/>
        <v/>
      </c>
      <c r="AL256" s="306">
        <f t="shared" ca="1" si="12"/>
        <v>1</v>
      </c>
      <c r="AM256" s="306">
        <f t="shared" ca="1" si="13"/>
        <v>36</v>
      </c>
      <c r="AN256" s="306">
        <f t="shared" ca="1" si="14"/>
        <v>4</v>
      </c>
      <c r="AO256" s="306">
        <f t="shared" ca="1" si="15"/>
        <v>0</v>
      </c>
      <c r="AP256" s="306">
        <f t="shared" ca="1" si="16"/>
        <v>0</v>
      </c>
      <c r="AQ256" s="306">
        <f t="shared" ca="1" si="17"/>
        <v>0</v>
      </c>
      <c r="AR256" s="306">
        <f t="shared" ca="1" si="18"/>
        <v>0</v>
      </c>
      <c r="AS256" s="307"/>
      <c r="AT256" s="306">
        <f t="shared" si="19"/>
        <v>1</v>
      </c>
    </row>
    <row r="257" spans="1:46" ht="15.75" customHeight="1">
      <c r="A257" s="284"/>
      <c r="B257" s="285">
        <f t="shared" ca="1" si="0"/>
        <v>1</v>
      </c>
      <c r="C257" s="286">
        <f t="shared" ca="1" si="1"/>
        <v>36</v>
      </c>
      <c r="D257" s="286">
        <f t="shared" ca="1" si="2"/>
        <v>5</v>
      </c>
      <c r="E257" s="286" t="str">
        <f t="shared" ca="1" si="3"/>
        <v/>
      </c>
      <c r="F257" s="286" t="str">
        <f t="shared" ca="1" si="4"/>
        <v/>
      </c>
      <c r="G257" s="287" t="str">
        <f t="shared" ca="1" si="5"/>
        <v/>
      </c>
      <c r="H257" s="288" t="str">
        <f t="shared" ca="1" si="6"/>
        <v/>
      </c>
      <c r="I257" s="308"/>
      <c r="J257" s="320"/>
      <c r="K257" s="320" t="s">
        <v>65</v>
      </c>
      <c r="L257" s="320"/>
      <c r="M257" s="320"/>
      <c r="N257" s="320"/>
      <c r="O257" s="320"/>
      <c r="P257" s="320"/>
      <c r="Q257" s="321"/>
      <c r="R257" s="322"/>
      <c r="S257" s="331"/>
      <c r="T257" s="325"/>
      <c r="U257" s="330"/>
      <c r="V257" s="325"/>
      <c r="W257" s="326">
        <v>0</v>
      </c>
      <c r="X257" s="327"/>
      <c r="Y257" s="328"/>
      <c r="Z257" s="329"/>
      <c r="AA257" s="300"/>
      <c r="AB257" s="301"/>
      <c r="AC257" s="302"/>
      <c r="AD257" s="303"/>
      <c r="AE257" s="304"/>
      <c r="AF257" s="305"/>
      <c r="AG257" s="305">
        <f t="shared" si="7"/>
        <v>0</v>
      </c>
      <c r="AH257" s="305">
        <f t="shared" si="8"/>
        <v>0</v>
      </c>
      <c r="AI257" s="305">
        <f t="shared" si="9"/>
        <v>0</v>
      </c>
      <c r="AJ257" s="305">
        <f t="shared" si="10"/>
        <v>0</v>
      </c>
      <c r="AK257" s="305" t="str">
        <f t="shared" si="11"/>
        <v/>
      </c>
      <c r="AL257" s="306">
        <f t="shared" ca="1" si="12"/>
        <v>1</v>
      </c>
      <c r="AM257" s="306">
        <f t="shared" ca="1" si="13"/>
        <v>36</v>
      </c>
      <c r="AN257" s="306">
        <f t="shared" ca="1" si="14"/>
        <v>5</v>
      </c>
      <c r="AO257" s="306">
        <f t="shared" ca="1" si="15"/>
        <v>0</v>
      </c>
      <c r="AP257" s="306">
        <f t="shared" ca="1" si="16"/>
        <v>0</v>
      </c>
      <c r="AQ257" s="306">
        <f t="shared" ca="1" si="17"/>
        <v>0</v>
      </c>
      <c r="AR257" s="306">
        <f t="shared" ca="1" si="18"/>
        <v>0</v>
      </c>
      <c r="AS257" s="307"/>
      <c r="AT257" s="306">
        <f t="shared" si="19"/>
        <v>1</v>
      </c>
    </row>
    <row r="258" spans="1:46" ht="15.75" customHeight="1">
      <c r="A258" s="284"/>
      <c r="B258" s="285">
        <f t="shared" ca="1" si="0"/>
        <v>1</v>
      </c>
      <c r="C258" s="286">
        <f t="shared" ca="1" si="1"/>
        <v>36</v>
      </c>
      <c r="D258" s="286">
        <f t="shared" ca="1" si="2"/>
        <v>6</v>
      </c>
      <c r="E258" s="286" t="str">
        <f t="shared" ca="1" si="3"/>
        <v/>
      </c>
      <c r="F258" s="286" t="str">
        <f t="shared" ca="1" si="4"/>
        <v/>
      </c>
      <c r="G258" s="287" t="str">
        <f t="shared" ca="1" si="5"/>
        <v/>
      </c>
      <c r="H258" s="288" t="str">
        <f t="shared" ca="1" si="6"/>
        <v/>
      </c>
      <c r="I258" s="308"/>
      <c r="J258" s="320"/>
      <c r="K258" s="320" t="s">
        <v>66</v>
      </c>
      <c r="L258" s="320"/>
      <c r="M258" s="320"/>
      <c r="N258" s="320"/>
      <c r="O258" s="320"/>
      <c r="P258" s="320"/>
      <c r="Q258" s="321"/>
      <c r="R258" s="322"/>
      <c r="S258" s="331"/>
      <c r="T258" s="325"/>
      <c r="U258" s="330"/>
      <c r="V258" s="325"/>
      <c r="W258" s="326">
        <v>0</v>
      </c>
      <c r="X258" s="327"/>
      <c r="Y258" s="328"/>
      <c r="Z258" s="329"/>
      <c r="AA258" s="300"/>
      <c r="AB258" s="301"/>
      <c r="AC258" s="302"/>
      <c r="AD258" s="303"/>
      <c r="AE258" s="304"/>
      <c r="AF258" s="305"/>
      <c r="AG258" s="305">
        <f t="shared" si="7"/>
        <v>0</v>
      </c>
      <c r="AH258" s="305">
        <f t="shared" si="8"/>
        <v>0</v>
      </c>
      <c r="AI258" s="305">
        <f t="shared" si="9"/>
        <v>0</v>
      </c>
      <c r="AJ258" s="305">
        <f t="shared" si="10"/>
        <v>0</v>
      </c>
      <c r="AK258" s="305" t="str">
        <f t="shared" si="11"/>
        <v/>
      </c>
      <c r="AL258" s="306">
        <f t="shared" ca="1" si="12"/>
        <v>1</v>
      </c>
      <c r="AM258" s="306">
        <f t="shared" ca="1" si="13"/>
        <v>36</v>
      </c>
      <c r="AN258" s="306">
        <f t="shared" ca="1" si="14"/>
        <v>6</v>
      </c>
      <c r="AO258" s="306">
        <f t="shared" ca="1" si="15"/>
        <v>0</v>
      </c>
      <c r="AP258" s="306">
        <f t="shared" ca="1" si="16"/>
        <v>0</v>
      </c>
      <c r="AQ258" s="306">
        <f t="shared" ca="1" si="17"/>
        <v>0</v>
      </c>
      <c r="AR258" s="306">
        <f t="shared" ca="1" si="18"/>
        <v>0</v>
      </c>
      <c r="AS258" s="307"/>
      <c r="AT258" s="306">
        <f t="shared" si="19"/>
        <v>1</v>
      </c>
    </row>
    <row r="259" spans="1:46" ht="15.75" customHeight="1">
      <c r="A259" s="284"/>
      <c r="B259" s="285">
        <f t="shared" ca="1" si="0"/>
        <v>1</v>
      </c>
      <c r="C259" s="286">
        <f t="shared" ca="1" si="1"/>
        <v>37</v>
      </c>
      <c r="D259" s="286" t="str">
        <f t="shared" ca="1" si="2"/>
        <v/>
      </c>
      <c r="E259" s="286" t="str">
        <f t="shared" ca="1" si="3"/>
        <v/>
      </c>
      <c r="F259" s="286" t="str">
        <f t="shared" ca="1" si="4"/>
        <v/>
      </c>
      <c r="G259" s="287" t="str">
        <f t="shared" ca="1" si="5"/>
        <v/>
      </c>
      <c r="H259" s="288" t="str">
        <f t="shared" ca="1" si="6"/>
        <v/>
      </c>
      <c r="I259" s="308"/>
      <c r="J259" s="309" t="s">
        <v>216</v>
      </c>
      <c r="K259" s="310"/>
      <c r="L259" s="310"/>
      <c r="M259" s="310"/>
      <c r="N259" s="310"/>
      <c r="O259" s="310"/>
      <c r="P259" s="310"/>
      <c r="Q259" s="311" t="s">
        <v>81</v>
      </c>
      <c r="R259" s="312"/>
      <c r="S259" s="313"/>
      <c r="T259" s="314"/>
      <c r="U259" s="315"/>
      <c r="V259" s="314"/>
      <c r="W259" s="316"/>
      <c r="X259" s="317"/>
      <c r="Y259" s="318"/>
      <c r="Z259" s="319"/>
      <c r="AA259" s="300"/>
      <c r="AB259" s="301"/>
      <c r="AC259" s="302"/>
      <c r="AD259" s="303"/>
      <c r="AE259" s="304"/>
      <c r="AF259" s="305"/>
      <c r="AG259" s="305">
        <f t="shared" si="7"/>
        <v>0</v>
      </c>
      <c r="AH259" s="305">
        <f t="shared" si="8"/>
        <v>0</v>
      </c>
      <c r="AI259" s="305">
        <f t="shared" si="9"/>
        <v>0</v>
      </c>
      <c r="AJ259" s="305">
        <f t="shared" si="10"/>
        <v>0</v>
      </c>
      <c r="AK259" s="305" t="str">
        <f t="shared" si="11"/>
        <v/>
      </c>
      <c r="AL259" s="306">
        <f t="shared" ca="1" si="12"/>
        <v>1</v>
      </c>
      <c r="AM259" s="306">
        <f t="shared" ca="1" si="13"/>
        <v>37</v>
      </c>
      <c r="AN259" s="306">
        <f t="shared" ca="1" si="14"/>
        <v>0</v>
      </c>
      <c r="AO259" s="306">
        <f t="shared" ca="1" si="15"/>
        <v>0</v>
      </c>
      <c r="AP259" s="306">
        <f t="shared" ca="1" si="16"/>
        <v>0</v>
      </c>
      <c r="AQ259" s="306">
        <f t="shared" ca="1" si="17"/>
        <v>0</v>
      </c>
      <c r="AR259" s="306">
        <f t="shared" ca="1" si="18"/>
        <v>0</v>
      </c>
      <c r="AS259" s="307"/>
      <c r="AT259" s="306">
        <f t="shared" si="19"/>
        <v>1</v>
      </c>
    </row>
    <row r="260" spans="1:46" ht="15.75" customHeight="1">
      <c r="A260" s="284"/>
      <c r="B260" s="285">
        <f t="shared" ca="1" si="0"/>
        <v>1</v>
      </c>
      <c r="C260" s="286">
        <f t="shared" ca="1" si="1"/>
        <v>37</v>
      </c>
      <c r="D260" s="286">
        <f t="shared" ca="1" si="2"/>
        <v>1</v>
      </c>
      <c r="E260" s="286" t="str">
        <f t="shared" ca="1" si="3"/>
        <v/>
      </c>
      <c r="F260" s="286" t="str">
        <f t="shared" ca="1" si="4"/>
        <v/>
      </c>
      <c r="G260" s="287" t="str">
        <f t="shared" ca="1" si="5"/>
        <v/>
      </c>
      <c r="H260" s="288" t="str">
        <f t="shared" ca="1" si="6"/>
        <v/>
      </c>
      <c r="I260" s="308"/>
      <c r="J260" s="320"/>
      <c r="K260" s="320" t="s">
        <v>59</v>
      </c>
      <c r="L260" s="320"/>
      <c r="M260" s="320"/>
      <c r="N260" s="320"/>
      <c r="O260" s="320"/>
      <c r="P260" s="320"/>
      <c r="Q260" s="321"/>
      <c r="R260" s="322"/>
      <c r="S260" s="331"/>
      <c r="T260" s="325"/>
      <c r="U260" s="330"/>
      <c r="V260" s="325"/>
      <c r="W260" s="326">
        <v>0</v>
      </c>
      <c r="X260" s="327"/>
      <c r="Y260" s="328"/>
      <c r="Z260" s="329"/>
      <c r="AA260" s="300"/>
      <c r="AB260" s="301"/>
      <c r="AC260" s="302"/>
      <c r="AD260" s="303"/>
      <c r="AE260" s="304"/>
      <c r="AF260" s="305"/>
      <c r="AG260" s="305">
        <f t="shared" si="7"/>
        <v>0</v>
      </c>
      <c r="AH260" s="305">
        <f t="shared" si="8"/>
        <v>0</v>
      </c>
      <c r="AI260" s="305">
        <f t="shared" si="9"/>
        <v>0</v>
      </c>
      <c r="AJ260" s="305">
        <f t="shared" si="10"/>
        <v>0</v>
      </c>
      <c r="AK260" s="305" t="str">
        <f t="shared" si="11"/>
        <v/>
      </c>
      <c r="AL260" s="306">
        <f t="shared" ca="1" si="12"/>
        <v>1</v>
      </c>
      <c r="AM260" s="306">
        <f t="shared" ca="1" si="13"/>
        <v>37</v>
      </c>
      <c r="AN260" s="306">
        <f t="shared" ca="1" si="14"/>
        <v>1</v>
      </c>
      <c r="AO260" s="306">
        <f t="shared" ca="1" si="15"/>
        <v>0</v>
      </c>
      <c r="AP260" s="306">
        <f t="shared" ca="1" si="16"/>
        <v>0</v>
      </c>
      <c r="AQ260" s="306">
        <f t="shared" ca="1" si="17"/>
        <v>0</v>
      </c>
      <c r="AR260" s="306">
        <f t="shared" ca="1" si="18"/>
        <v>0</v>
      </c>
      <c r="AS260" s="307"/>
      <c r="AT260" s="306">
        <f t="shared" si="19"/>
        <v>1</v>
      </c>
    </row>
    <row r="261" spans="1:46" ht="15.75" customHeight="1">
      <c r="A261" s="284"/>
      <c r="B261" s="285">
        <f t="shared" ref="B261:B377" ca="1" si="20">IF(AND(I261="",J261="",K261="",L261="",M261="",N261="",O261=""),"",IF(AL261=0,"",AL261))</f>
        <v>1</v>
      </c>
      <c r="C261" s="286">
        <f t="shared" ref="C261:C377" ca="1" si="21">IF(AND(I261="",J261="",K261="",L261="",M261="",N261="",O261=""),"",IF(AM261=0,"",AM261))</f>
        <v>37</v>
      </c>
      <c r="D261" s="286">
        <f t="shared" ref="D261:D377" ca="1" si="22">IF(AND(I261="",J261="",K261="",L261="",M261="",N261="",O261=""),"",IF(AN261=0,"",AN261))</f>
        <v>2</v>
      </c>
      <c r="E261" s="286" t="str">
        <f t="shared" ref="E261:E377" ca="1" si="23">IF(AND(I261="",J261="",K261="",L261="",M261="",N261="",O261=""),"",IF(AO261=0,"",AO261))</f>
        <v/>
      </c>
      <c r="F261" s="286" t="str">
        <f t="shared" ref="F261:F377" ca="1" si="24">IF(AND(I261="",J261="",K261="",L261="",M261="",N261="",O261=""),"",IF(AP261=0,"",AP261))</f>
        <v/>
      </c>
      <c r="G261" s="287" t="str">
        <f t="shared" ref="G261:G377" ca="1" si="25">IF(AND(I261="",J261="",K261="",L261="",M261="",N261="",O261=""),"",IF(AQ261=0,"",AQ261))</f>
        <v/>
      </c>
      <c r="H261" s="288" t="str">
        <f t="shared" ref="H261:H377" ca="1" si="26">IF(AND(I261="",J261="",K261="",L261="",M261="",N261="",O261=""),"",IF(AR261=0,"",AR261))</f>
        <v/>
      </c>
      <c r="I261" s="308"/>
      <c r="J261" s="320"/>
      <c r="K261" s="320" t="s">
        <v>145</v>
      </c>
      <c r="L261" s="320"/>
      <c r="M261" s="320"/>
      <c r="N261" s="320"/>
      <c r="O261" s="320"/>
      <c r="P261" s="320"/>
      <c r="Q261" s="321"/>
      <c r="R261" s="322"/>
      <c r="S261" s="331"/>
      <c r="T261" s="325"/>
      <c r="U261" s="330"/>
      <c r="V261" s="325"/>
      <c r="W261" s="326">
        <v>0</v>
      </c>
      <c r="X261" s="327"/>
      <c r="Y261" s="328"/>
      <c r="Z261" s="329"/>
      <c r="AA261" s="300"/>
      <c r="AB261" s="301"/>
      <c r="AC261" s="302"/>
      <c r="AD261" s="303"/>
      <c r="AE261" s="304"/>
      <c r="AF261" s="305"/>
      <c r="AG261" s="305">
        <f t="shared" ref="AG261:AG377" si="27">IF(T261&lt;&gt;"",IF(Z$1&gt;=T261,IF(S261&lt;&gt;"",IF(T261&gt;=S261,AF261,0),0),IF(S261&lt;&gt;"",IF(Z$1&gt;=S261,AF261*0.25,0),0)),IF(S261&lt;&gt;"",IF(Z$1&gt;=S261,AF261*0.25,0),0))</f>
        <v>0</v>
      </c>
      <c r="AH261" s="305">
        <f t="shared" ref="AH261:AH377" si="28">IF(T261&lt;&gt;"",IF(AA$1&gt;=T261,IF(S261&lt;&gt;"",IF(T261&gt;=S261,AF261,0),0),IF(S261&lt;&gt;"",IF(AA$1&gt;=S261,AF261*0.25,0),0)),IF(S261&lt;&gt;"",IF(AA$1&gt;=S261,AF261*0.25,0),0))</f>
        <v>0</v>
      </c>
      <c r="AI261" s="305">
        <f t="shared" ref="AI261:AI377" si="29">IF(V261&lt;&gt;"",AF261,IF(U261&lt;&gt;"",AF261*0.25,0))</f>
        <v>0</v>
      </c>
      <c r="AJ261" s="305">
        <f t="shared" ref="AJ261:AJ377" si="30">AI261-AG261</f>
        <v>0</v>
      </c>
      <c r="AK261" s="305" t="str">
        <f t="shared" ref="AK261:AK377" si="31">IF(ISERROR(AI261/AG261),"",AI261/AG261)</f>
        <v/>
      </c>
      <c r="AL261" s="306">
        <f t="shared" ref="AL261:AL377" ca="1" si="32">IF(I261="",OFFSET(AL261,-1,0),OFFSET(AL261,-1,0)+1)</f>
        <v>1</v>
      </c>
      <c r="AM261" s="306">
        <f t="shared" ref="AM261:AM377" ca="1" si="33">IF(I261&lt;&gt;"",0,IF(J261="",OFFSET(AM261,-1,0),OFFSET(AM261,-1,0)+1))</f>
        <v>37</v>
      </c>
      <c r="AN261" s="306">
        <f t="shared" ref="AN261:AN377" ca="1" si="34">IF(I261&lt;&gt;"",0,IF(J261&lt;&gt;"",0,IF(K261="",OFFSET(AN261,-1,0),OFFSET(AN261,-1,0)+1)))</f>
        <v>2</v>
      </c>
      <c r="AO261" s="306">
        <f t="shared" ref="AO261:AO377" ca="1" si="35">IF(I261&lt;&gt;"",0,IF(J261&lt;&gt;"",0,IF(K261&lt;&gt;"",0,IF(L261="",OFFSET(AO261,-1,0),OFFSET(AO261,-1,0)+1))))</f>
        <v>0</v>
      </c>
      <c r="AP261" s="306">
        <f t="shared" ref="AP261:AP377" ca="1" si="36">IF(I261&lt;&gt;"",0,IF(J261&lt;&gt;"",0,IF(K261&lt;&gt;"",0,IF(L261&lt;&gt;"",0,IF(M261="",OFFSET(AP261,-1,0),OFFSET(AP261,-1,0)+1)))))</f>
        <v>0</v>
      </c>
      <c r="AQ261" s="306">
        <f t="shared" ref="AQ261:AQ377" ca="1" si="37">IF(I261&lt;&gt;"",0,IF(J261&lt;&gt;"",0,IF(K261&lt;&gt;"",0,IF(L261&lt;&gt;"",0,IF(M261&lt;&gt;"",0,IF(N261="",OFFSET(AQ261,-1,0),OFFSET(AQ261,-1,0)+1))))))</f>
        <v>0</v>
      </c>
      <c r="AR261" s="306">
        <f t="shared" ref="AR261:AR377" ca="1" si="38">IF(I261&lt;&gt;"",0,IF(J261&lt;&gt;"",0,IF(K261&lt;&gt;"",0,IF(L261&lt;&gt;"",0,IF(M261&lt;&gt;"",0,IF(N261&lt;&gt;"",0,IF(O261="",OFFSET(AR261,-1,0),OFFSET(AR261,-1,0)+1)))))))</f>
        <v>0</v>
      </c>
      <c r="AS261" s="307"/>
      <c r="AT261" s="306">
        <f t="shared" ref="AT261:AT377" si="39">IF(((T261-S261)+1)&lt;0,0,((T261-S261)+1))</f>
        <v>1</v>
      </c>
    </row>
    <row r="262" spans="1:46" ht="15.75" customHeight="1">
      <c r="A262" s="284"/>
      <c r="B262" s="285">
        <f t="shared" ca="1" si="20"/>
        <v>1</v>
      </c>
      <c r="C262" s="286">
        <f t="shared" ca="1" si="21"/>
        <v>37</v>
      </c>
      <c r="D262" s="286">
        <f t="shared" ca="1" si="22"/>
        <v>3</v>
      </c>
      <c r="E262" s="286" t="str">
        <f t="shared" ca="1" si="23"/>
        <v/>
      </c>
      <c r="F262" s="286" t="str">
        <f t="shared" ca="1" si="24"/>
        <v/>
      </c>
      <c r="G262" s="287" t="str">
        <f t="shared" ca="1" si="25"/>
        <v/>
      </c>
      <c r="H262" s="288" t="str">
        <f t="shared" ca="1" si="26"/>
        <v/>
      </c>
      <c r="I262" s="308"/>
      <c r="J262" s="320"/>
      <c r="K262" s="320" t="s">
        <v>63</v>
      </c>
      <c r="L262" s="320"/>
      <c r="M262" s="320"/>
      <c r="N262" s="320"/>
      <c r="O262" s="320"/>
      <c r="P262" s="320"/>
      <c r="Q262" s="321"/>
      <c r="R262" s="322"/>
      <c r="S262" s="331"/>
      <c r="T262" s="325"/>
      <c r="U262" s="330"/>
      <c r="V262" s="325"/>
      <c r="W262" s="326">
        <v>0</v>
      </c>
      <c r="X262" s="327"/>
      <c r="Y262" s="328"/>
      <c r="Z262" s="329"/>
      <c r="AA262" s="300"/>
      <c r="AB262" s="301"/>
      <c r="AC262" s="302"/>
      <c r="AD262" s="303"/>
      <c r="AE262" s="304"/>
      <c r="AF262" s="305"/>
      <c r="AG262" s="305">
        <f t="shared" si="27"/>
        <v>0</v>
      </c>
      <c r="AH262" s="305">
        <f t="shared" si="28"/>
        <v>0</v>
      </c>
      <c r="AI262" s="305">
        <f t="shared" si="29"/>
        <v>0</v>
      </c>
      <c r="AJ262" s="305">
        <f t="shared" si="30"/>
        <v>0</v>
      </c>
      <c r="AK262" s="305" t="str">
        <f t="shared" si="31"/>
        <v/>
      </c>
      <c r="AL262" s="306">
        <f t="shared" ca="1" si="32"/>
        <v>1</v>
      </c>
      <c r="AM262" s="306">
        <f t="shared" ca="1" si="33"/>
        <v>37</v>
      </c>
      <c r="AN262" s="306">
        <f t="shared" ca="1" si="34"/>
        <v>3</v>
      </c>
      <c r="AO262" s="306">
        <f t="shared" ca="1" si="35"/>
        <v>0</v>
      </c>
      <c r="AP262" s="306">
        <f t="shared" ca="1" si="36"/>
        <v>0</v>
      </c>
      <c r="AQ262" s="306">
        <f t="shared" ca="1" si="37"/>
        <v>0</v>
      </c>
      <c r="AR262" s="306">
        <f t="shared" ca="1" si="38"/>
        <v>0</v>
      </c>
      <c r="AS262" s="307"/>
      <c r="AT262" s="306">
        <f t="shared" si="39"/>
        <v>1</v>
      </c>
    </row>
    <row r="263" spans="1:46" ht="15.75" customHeight="1">
      <c r="A263" s="284"/>
      <c r="B263" s="285">
        <f t="shared" ca="1" si="20"/>
        <v>1</v>
      </c>
      <c r="C263" s="286">
        <f t="shared" ca="1" si="21"/>
        <v>37</v>
      </c>
      <c r="D263" s="286">
        <f t="shared" ca="1" si="22"/>
        <v>4</v>
      </c>
      <c r="E263" s="286" t="str">
        <f t="shared" ca="1" si="23"/>
        <v/>
      </c>
      <c r="F263" s="286" t="str">
        <f t="shared" ca="1" si="24"/>
        <v/>
      </c>
      <c r="G263" s="287" t="str">
        <f t="shared" ca="1" si="25"/>
        <v/>
      </c>
      <c r="H263" s="288" t="str">
        <f t="shared" ca="1" si="26"/>
        <v/>
      </c>
      <c r="I263" s="308"/>
      <c r="J263" s="320"/>
      <c r="K263" s="320" t="s">
        <v>64</v>
      </c>
      <c r="L263" s="320"/>
      <c r="M263" s="320"/>
      <c r="N263" s="320"/>
      <c r="O263" s="320"/>
      <c r="P263" s="320"/>
      <c r="Q263" s="321"/>
      <c r="R263" s="322"/>
      <c r="S263" s="331"/>
      <c r="T263" s="325"/>
      <c r="U263" s="330"/>
      <c r="V263" s="325"/>
      <c r="W263" s="326">
        <v>0</v>
      </c>
      <c r="X263" s="327"/>
      <c r="Y263" s="328"/>
      <c r="Z263" s="329"/>
      <c r="AA263" s="300"/>
      <c r="AB263" s="301"/>
      <c r="AC263" s="302"/>
      <c r="AD263" s="303"/>
      <c r="AE263" s="304"/>
      <c r="AF263" s="305"/>
      <c r="AG263" s="305">
        <f t="shared" si="27"/>
        <v>0</v>
      </c>
      <c r="AH263" s="305">
        <f t="shared" si="28"/>
        <v>0</v>
      </c>
      <c r="AI263" s="305">
        <f t="shared" si="29"/>
        <v>0</v>
      </c>
      <c r="AJ263" s="305">
        <f t="shared" si="30"/>
        <v>0</v>
      </c>
      <c r="AK263" s="305" t="str">
        <f t="shared" si="31"/>
        <v/>
      </c>
      <c r="AL263" s="306">
        <f t="shared" ca="1" si="32"/>
        <v>1</v>
      </c>
      <c r="AM263" s="306">
        <f t="shared" ca="1" si="33"/>
        <v>37</v>
      </c>
      <c r="AN263" s="306">
        <f t="shared" ca="1" si="34"/>
        <v>4</v>
      </c>
      <c r="AO263" s="306">
        <f t="shared" ca="1" si="35"/>
        <v>0</v>
      </c>
      <c r="AP263" s="306">
        <f t="shared" ca="1" si="36"/>
        <v>0</v>
      </c>
      <c r="AQ263" s="306">
        <f t="shared" ca="1" si="37"/>
        <v>0</v>
      </c>
      <c r="AR263" s="306">
        <f t="shared" ca="1" si="38"/>
        <v>0</v>
      </c>
      <c r="AS263" s="307"/>
      <c r="AT263" s="306">
        <f t="shared" si="39"/>
        <v>1</v>
      </c>
    </row>
    <row r="264" spans="1:46" ht="15.75" customHeight="1">
      <c r="A264" s="284"/>
      <c r="B264" s="285">
        <f t="shared" ca="1" si="20"/>
        <v>1</v>
      </c>
      <c r="C264" s="286">
        <f t="shared" ca="1" si="21"/>
        <v>37</v>
      </c>
      <c r="D264" s="286">
        <f t="shared" ca="1" si="22"/>
        <v>5</v>
      </c>
      <c r="E264" s="286" t="str">
        <f t="shared" ca="1" si="23"/>
        <v/>
      </c>
      <c r="F264" s="286" t="str">
        <f t="shared" ca="1" si="24"/>
        <v/>
      </c>
      <c r="G264" s="287" t="str">
        <f t="shared" ca="1" si="25"/>
        <v/>
      </c>
      <c r="H264" s="288" t="str">
        <f t="shared" ca="1" si="26"/>
        <v/>
      </c>
      <c r="I264" s="308"/>
      <c r="J264" s="320"/>
      <c r="K264" s="320" t="s">
        <v>65</v>
      </c>
      <c r="L264" s="320"/>
      <c r="M264" s="320"/>
      <c r="N264" s="320"/>
      <c r="O264" s="320"/>
      <c r="P264" s="320"/>
      <c r="Q264" s="321"/>
      <c r="R264" s="322"/>
      <c r="S264" s="331"/>
      <c r="T264" s="325"/>
      <c r="U264" s="330"/>
      <c r="V264" s="325"/>
      <c r="W264" s="326">
        <v>0</v>
      </c>
      <c r="X264" s="327"/>
      <c r="Y264" s="328"/>
      <c r="Z264" s="329"/>
      <c r="AA264" s="300"/>
      <c r="AB264" s="301"/>
      <c r="AC264" s="302"/>
      <c r="AD264" s="303"/>
      <c r="AE264" s="304"/>
      <c r="AF264" s="305"/>
      <c r="AG264" s="305">
        <f t="shared" si="27"/>
        <v>0</v>
      </c>
      <c r="AH264" s="305">
        <f t="shared" si="28"/>
        <v>0</v>
      </c>
      <c r="AI264" s="305">
        <f t="shared" si="29"/>
        <v>0</v>
      </c>
      <c r="AJ264" s="305">
        <f t="shared" si="30"/>
        <v>0</v>
      </c>
      <c r="AK264" s="305" t="str">
        <f t="shared" si="31"/>
        <v/>
      </c>
      <c r="AL264" s="306">
        <f t="shared" ca="1" si="32"/>
        <v>1</v>
      </c>
      <c r="AM264" s="306">
        <f t="shared" ca="1" si="33"/>
        <v>37</v>
      </c>
      <c r="AN264" s="306">
        <f t="shared" ca="1" si="34"/>
        <v>5</v>
      </c>
      <c r="AO264" s="306">
        <f t="shared" ca="1" si="35"/>
        <v>0</v>
      </c>
      <c r="AP264" s="306">
        <f t="shared" ca="1" si="36"/>
        <v>0</v>
      </c>
      <c r="AQ264" s="306">
        <f t="shared" ca="1" si="37"/>
        <v>0</v>
      </c>
      <c r="AR264" s="306">
        <f t="shared" ca="1" si="38"/>
        <v>0</v>
      </c>
      <c r="AS264" s="307"/>
      <c r="AT264" s="306">
        <f t="shared" si="39"/>
        <v>1</v>
      </c>
    </row>
    <row r="265" spans="1:46" ht="15.75" customHeight="1">
      <c r="A265" s="284"/>
      <c r="B265" s="285">
        <f t="shared" ca="1" si="20"/>
        <v>1</v>
      </c>
      <c r="C265" s="286">
        <f t="shared" ca="1" si="21"/>
        <v>37</v>
      </c>
      <c r="D265" s="286">
        <f t="shared" ca="1" si="22"/>
        <v>6</v>
      </c>
      <c r="E265" s="286" t="str">
        <f t="shared" ca="1" si="23"/>
        <v/>
      </c>
      <c r="F265" s="286" t="str">
        <f t="shared" ca="1" si="24"/>
        <v/>
      </c>
      <c r="G265" s="287" t="str">
        <f t="shared" ca="1" si="25"/>
        <v/>
      </c>
      <c r="H265" s="288" t="str">
        <f t="shared" ca="1" si="26"/>
        <v/>
      </c>
      <c r="I265" s="308"/>
      <c r="J265" s="320"/>
      <c r="K265" s="320" t="s">
        <v>66</v>
      </c>
      <c r="L265" s="320"/>
      <c r="M265" s="320"/>
      <c r="N265" s="320"/>
      <c r="O265" s="320"/>
      <c r="P265" s="320"/>
      <c r="Q265" s="321"/>
      <c r="R265" s="322"/>
      <c r="S265" s="331"/>
      <c r="T265" s="325"/>
      <c r="U265" s="330"/>
      <c r="V265" s="325"/>
      <c r="W265" s="326">
        <v>0</v>
      </c>
      <c r="X265" s="327"/>
      <c r="Y265" s="328"/>
      <c r="Z265" s="329"/>
      <c r="AA265" s="300"/>
      <c r="AB265" s="301"/>
      <c r="AC265" s="302"/>
      <c r="AD265" s="303"/>
      <c r="AE265" s="304"/>
      <c r="AF265" s="305"/>
      <c r="AG265" s="305">
        <f t="shared" si="27"/>
        <v>0</v>
      </c>
      <c r="AH265" s="305">
        <f t="shared" si="28"/>
        <v>0</v>
      </c>
      <c r="AI265" s="305">
        <f t="shared" si="29"/>
        <v>0</v>
      </c>
      <c r="AJ265" s="305">
        <f t="shared" si="30"/>
        <v>0</v>
      </c>
      <c r="AK265" s="305" t="str">
        <f t="shared" si="31"/>
        <v/>
      </c>
      <c r="AL265" s="306">
        <f t="shared" ca="1" si="32"/>
        <v>1</v>
      </c>
      <c r="AM265" s="306">
        <f t="shared" ca="1" si="33"/>
        <v>37</v>
      </c>
      <c r="AN265" s="306">
        <f t="shared" ca="1" si="34"/>
        <v>6</v>
      </c>
      <c r="AO265" s="306">
        <f t="shared" ca="1" si="35"/>
        <v>0</v>
      </c>
      <c r="AP265" s="306">
        <f t="shared" ca="1" si="36"/>
        <v>0</v>
      </c>
      <c r="AQ265" s="306">
        <f t="shared" ca="1" si="37"/>
        <v>0</v>
      </c>
      <c r="AR265" s="306">
        <f t="shared" ca="1" si="38"/>
        <v>0</v>
      </c>
      <c r="AS265" s="307"/>
      <c r="AT265" s="306">
        <f t="shared" si="39"/>
        <v>1</v>
      </c>
    </row>
    <row r="266" spans="1:46" ht="15.75" customHeight="1">
      <c r="A266" s="284"/>
      <c r="B266" s="285">
        <f t="shared" ca="1" si="20"/>
        <v>1</v>
      </c>
      <c r="C266" s="286">
        <f t="shared" ca="1" si="21"/>
        <v>38</v>
      </c>
      <c r="D266" s="286" t="str">
        <f t="shared" ca="1" si="22"/>
        <v/>
      </c>
      <c r="E266" s="286" t="str">
        <f t="shared" ca="1" si="23"/>
        <v/>
      </c>
      <c r="F266" s="286" t="str">
        <f t="shared" ca="1" si="24"/>
        <v/>
      </c>
      <c r="G266" s="287" t="str">
        <f t="shared" ca="1" si="25"/>
        <v/>
      </c>
      <c r="H266" s="288" t="str">
        <f t="shared" ca="1" si="26"/>
        <v/>
      </c>
      <c r="I266" s="308"/>
      <c r="J266" s="309" t="s">
        <v>217</v>
      </c>
      <c r="K266" s="310"/>
      <c r="L266" s="310"/>
      <c r="M266" s="310"/>
      <c r="N266" s="310"/>
      <c r="O266" s="310"/>
      <c r="P266" s="310"/>
      <c r="Q266" s="311" t="s">
        <v>81</v>
      </c>
      <c r="R266" s="312"/>
      <c r="S266" s="313"/>
      <c r="T266" s="314"/>
      <c r="U266" s="315"/>
      <c r="V266" s="314"/>
      <c r="W266" s="316"/>
      <c r="X266" s="317"/>
      <c r="Y266" s="318"/>
      <c r="Z266" s="319"/>
      <c r="AA266" s="300"/>
      <c r="AB266" s="301"/>
      <c r="AC266" s="302"/>
      <c r="AD266" s="303"/>
      <c r="AE266" s="304"/>
      <c r="AF266" s="305"/>
      <c r="AG266" s="305">
        <f t="shared" si="27"/>
        <v>0</v>
      </c>
      <c r="AH266" s="305">
        <f t="shared" si="28"/>
        <v>0</v>
      </c>
      <c r="AI266" s="305">
        <f t="shared" si="29"/>
        <v>0</v>
      </c>
      <c r="AJ266" s="305">
        <f t="shared" si="30"/>
        <v>0</v>
      </c>
      <c r="AK266" s="305" t="str">
        <f t="shared" si="31"/>
        <v/>
      </c>
      <c r="AL266" s="306">
        <f t="shared" ca="1" si="32"/>
        <v>1</v>
      </c>
      <c r="AM266" s="306">
        <f t="shared" ca="1" si="33"/>
        <v>38</v>
      </c>
      <c r="AN266" s="306">
        <f t="shared" ca="1" si="34"/>
        <v>0</v>
      </c>
      <c r="AO266" s="306">
        <f t="shared" ca="1" si="35"/>
        <v>0</v>
      </c>
      <c r="AP266" s="306">
        <f t="shared" ca="1" si="36"/>
        <v>0</v>
      </c>
      <c r="AQ266" s="306">
        <f t="shared" ca="1" si="37"/>
        <v>0</v>
      </c>
      <c r="AR266" s="306">
        <f t="shared" ca="1" si="38"/>
        <v>0</v>
      </c>
      <c r="AS266" s="307"/>
      <c r="AT266" s="306">
        <f t="shared" si="39"/>
        <v>1</v>
      </c>
    </row>
    <row r="267" spans="1:46" ht="15.75" customHeight="1">
      <c r="A267" s="284"/>
      <c r="B267" s="285">
        <f t="shared" ca="1" si="20"/>
        <v>1</v>
      </c>
      <c r="C267" s="286">
        <f t="shared" ca="1" si="21"/>
        <v>38</v>
      </c>
      <c r="D267" s="286">
        <f t="shared" ca="1" si="22"/>
        <v>1</v>
      </c>
      <c r="E267" s="286" t="str">
        <f t="shared" ca="1" si="23"/>
        <v/>
      </c>
      <c r="F267" s="286" t="str">
        <f t="shared" ca="1" si="24"/>
        <v/>
      </c>
      <c r="G267" s="287" t="str">
        <f t="shared" ca="1" si="25"/>
        <v/>
      </c>
      <c r="H267" s="288" t="str">
        <f t="shared" ca="1" si="26"/>
        <v/>
      </c>
      <c r="I267" s="308"/>
      <c r="J267" s="320"/>
      <c r="K267" s="320" t="s">
        <v>59</v>
      </c>
      <c r="L267" s="320"/>
      <c r="M267" s="320"/>
      <c r="N267" s="320"/>
      <c r="O267" s="320"/>
      <c r="P267" s="320"/>
      <c r="Q267" s="321"/>
      <c r="R267" s="322"/>
      <c r="S267" s="331"/>
      <c r="T267" s="325"/>
      <c r="U267" s="330"/>
      <c r="V267" s="325"/>
      <c r="W267" s="326">
        <v>0</v>
      </c>
      <c r="X267" s="327"/>
      <c r="Y267" s="328"/>
      <c r="Z267" s="329"/>
      <c r="AA267" s="300"/>
      <c r="AB267" s="301"/>
      <c r="AC267" s="302"/>
      <c r="AD267" s="303"/>
      <c r="AE267" s="304"/>
      <c r="AF267" s="305"/>
      <c r="AG267" s="305">
        <f t="shared" si="27"/>
        <v>0</v>
      </c>
      <c r="AH267" s="305">
        <f t="shared" si="28"/>
        <v>0</v>
      </c>
      <c r="AI267" s="305">
        <f t="shared" si="29"/>
        <v>0</v>
      </c>
      <c r="AJ267" s="305">
        <f t="shared" si="30"/>
        <v>0</v>
      </c>
      <c r="AK267" s="305" t="str">
        <f t="shared" si="31"/>
        <v/>
      </c>
      <c r="AL267" s="306">
        <f t="shared" ca="1" si="32"/>
        <v>1</v>
      </c>
      <c r="AM267" s="306">
        <f t="shared" ca="1" si="33"/>
        <v>38</v>
      </c>
      <c r="AN267" s="306">
        <f t="shared" ca="1" si="34"/>
        <v>1</v>
      </c>
      <c r="AO267" s="306">
        <f t="shared" ca="1" si="35"/>
        <v>0</v>
      </c>
      <c r="AP267" s="306">
        <f t="shared" ca="1" si="36"/>
        <v>0</v>
      </c>
      <c r="AQ267" s="306">
        <f t="shared" ca="1" si="37"/>
        <v>0</v>
      </c>
      <c r="AR267" s="306">
        <f t="shared" ca="1" si="38"/>
        <v>0</v>
      </c>
      <c r="AS267" s="307"/>
      <c r="AT267" s="306">
        <f t="shared" si="39"/>
        <v>1</v>
      </c>
    </row>
    <row r="268" spans="1:46" ht="15.75" customHeight="1">
      <c r="A268" s="284"/>
      <c r="B268" s="285">
        <f t="shared" ca="1" si="20"/>
        <v>1</v>
      </c>
      <c r="C268" s="286">
        <f t="shared" ca="1" si="21"/>
        <v>38</v>
      </c>
      <c r="D268" s="286">
        <f t="shared" ca="1" si="22"/>
        <v>2</v>
      </c>
      <c r="E268" s="286" t="str">
        <f t="shared" ca="1" si="23"/>
        <v/>
      </c>
      <c r="F268" s="286" t="str">
        <f t="shared" ca="1" si="24"/>
        <v/>
      </c>
      <c r="G268" s="287" t="str">
        <f t="shared" ca="1" si="25"/>
        <v/>
      </c>
      <c r="H268" s="288" t="str">
        <f t="shared" ca="1" si="26"/>
        <v/>
      </c>
      <c r="I268" s="308"/>
      <c r="J268" s="320"/>
      <c r="K268" s="320" t="s">
        <v>145</v>
      </c>
      <c r="L268" s="320"/>
      <c r="M268" s="320"/>
      <c r="N268" s="320"/>
      <c r="O268" s="320"/>
      <c r="P268" s="320"/>
      <c r="Q268" s="321"/>
      <c r="R268" s="322"/>
      <c r="S268" s="331"/>
      <c r="T268" s="325"/>
      <c r="U268" s="330"/>
      <c r="V268" s="325"/>
      <c r="W268" s="326">
        <v>0</v>
      </c>
      <c r="X268" s="327"/>
      <c r="Y268" s="328"/>
      <c r="Z268" s="329"/>
      <c r="AA268" s="300"/>
      <c r="AB268" s="301"/>
      <c r="AC268" s="302"/>
      <c r="AD268" s="303"/>
      <c r="AE268" s="304"/>
      <c r="AF268" s="305"/>
      <c r="AG268" s="305">
        <f t="shared" si="27"/>
        <v>0</v>
      </c>
      <c r="AH268" s="305">
        <f t="shared" si="28"/>
        <v>0</v>
      </c>
      <c r="AI268" s="305">
        <f t="shared" si="29"/>
        <v>0</v>
      </c>
      <c r="AJ268" s="305">
        <f t="shared" si="30"/>
        <v>0</v>
      </c>
      <c r="AK268" s="305" t="str">
        <f t="shared" si="31"/>
        <v/>
      </c>
      <c r="AL268" s="306">
        <f t="shared" ca="1" si="32"/>
        <v>1</v>
      </c>
      <c r="AM268" s="306">
        <f t="shared" ca="1" si="33"/>
        <v>38</v>
      </c>
      <c r="AN268" s="306">
        <f t="shared" ca="1" si="34"/>
        <v>2</v>
      </c>
      <c r="AO268" s="306">
        <f t="shared" ca="1" si="35"/>
        <v>0</v>
      </c>
      <c r="AP268" s="306">
        <f t="shared" ca="1" si="36"/>
        <v>0</v>
      </c>
      <c r="AQ268" s="306">
        <f t="shared" ca="1" si="37"/>
        <v>0</v>
      </c>
      <c r="AR268" s="306">
        <f t="shared" ca="1" si="38"/>
        <v>0</v>
      </c>
      <c r="AS268" s="307"/>
      <c r="AT268" s="306">
        <f t="shared" si="39"/>
        <v>1</v>
      </c>
    </row>
    <row r="269" spans="1:46" ht="15.75" customHeight="1">
      <c r="A269" s="284"/>
      <c r="B269" s="285">
        <f t="shared" ca="1" si="20"/>
        <v>1</v>
      </c>
      <c r="C269" s="286">
        <f t="shared" ca="1" si="21"/>
        <v>38</v>
      </c>
      <c r="D269" s="286">
        <f t="shared" ca="1" si="22"/>
        <v>3</v>
      </c>
      <c r="E269" s="286" t="str">
        <f t="shared" ca="1" si="23"/>
        <v/>
      </c>
      <c r="F269" s="286" t="str">
        <f t="shared" ca="1" si="24"/>
        <v/>
      </c>
      <c r="G269" s="287" t="str">
        <f t="shared" ca="1" si="25"/>
        <v/>
      </c>
      <c r="H269" s="288" t="str">
        <f t="shared" ca="1" si="26"/>
        <v/>
      </c>
      <c r="I269" s="308"/>
      <c r="J269" s="320"/>
      <c r="K269" s="320" t="s">
        <v>63</v>
      </c>
      <c r="L269" s="320"/>
      <c r="M269" s="320"/>
      <c r="N269" s="320"/>
      <c r="O269" s="320"/>
      <c r="P269" s="320"/>
      <c r="Q269" s="321"/>
      <c r="R269" s="322"/>
      <c r="S269" s="331"/>
      <c r="T269" s="325"/>
      <c r="U269" s="330"/>
      <c r="V269" s="325"/>
      <c r="W269" s="326">
        <v>0</v>
      </c>
      <c r="X269" s="327"/>
      <c r="Y269" s="328"/>
      <c r="Z269" s="329"/>
      <c r="AA269" s="300"/>
      <c r="AB269" s="301"/>
      <c r="AC269" s="302"/>
      <c r="AD269" s="303"/>
      <c r="AE269" s="304"/>
      <c r="AF269" s="305"/>
      <c r="AG269" s="305">
        <f t="shared" si="27"/>
        <v>0</v>
      </c>
      <c r="AH269" s="305">
        <f t="shared" si="28"/>
        <v>0</v>
      </c>
      <c r="AI269" s="305">
        <f t="shared" si="29"/>
        <v>0</v>
      </c>
      <c r="AJ269" s="305">
        <f t="shared" si="30"/>
        <v>0</v>
      </c>
      <c r="AK269" s="305" t="str">
        <f t="shared" si="31"/>
        <v/>
      </c>
      <c r="AL269" s="306">
        <f t="shared" ca="1" si="32"/>
        <v>1</v>
      </c>
      <c r="AM269" s="306">
        <f t="shared" ca="1" si="33"/>
        <v>38</v>
      </c>
      <c r="AN269" s="306">
        <f t="shared" ca="1" si="34"/>
        <v>3</v>
      </c>
      <c r="AO269" s="306">
        <f t="shared" ca="1" si="35"/>
        <v>0</v>
      </c>
      <c r="AP269" s="306">
        <f t="shared" ca="1" si="36"/>
        <v>0</v>
      </c>
      <c r="AQ269" s="306">
        <f t="shared" ca="1" si="37"/>
        <v>0</v>
      </c>
      <c r="AR269" s="306">
        <f t="shared" ca="1" si="38"/>
        <v>0</v>
      </c>
      <c r="AS269" s="307"/>
      <c r="AT269" s="306">
        <f t="shared" si="39"/>
        <v>1</v>
      </c>
    </row>
    <row r="270" spans="1:46" ht="15.75" customHeight="1">
      <c r="A270" s="284"/>
      <c r="B270" s="285">
        <f t="shared" ca="1" si="20"/>
        <v>1</v>
      </c>
      <c r="C270" s="286">
        <f t="shared" ca="1" si="21"/>
        <v>38</v>
      </c>
      <c r="D270" s="286">
        <f t="shared" ca="1" si="22"/>
        <v>4</v>
      </c>
      <c r="E270" s="286" t="str">
        <f t="shared" ca="1" si="23"/>
        <v/>
      </c>
      <c r="F270" s="286" t="str">
        <f t="shared" ca="1" si="24"/>
        <v/>
      </c>
      <c r="G270" s="287" t="str">
        <f t="shared" ca="1" si="25"/>
        <v/>
      </c>
      <c r="H270" s="288" t="str">
        <f t="shared" ca="1" si="26"/>
        <v/>
      </c>
      <c r="I270" s="308"/>
      <c r="J270" s="320"/>
      <c r="K270" s="320" t="s">
        <v>64</v>
      </c>
      <c r="L270" s="320"/>
      <c r="M270" s="320"/>
      <c r="N270" s="320"/>
      <c r="O270" s="320"/>
      <c r="P270" s="320"/>
      <c r="Q270" s="321"/>
      <c r="R270" s="322"/>
      <c r="S270" s="331"/>
      <c r="T270" s="325"/>
      <c r="U270" s="330"/>
      <c r="V270" s="325"/>
      <c r="W270" s="326">
        <v>0</v>
      </c>
      <c r="X270" s="327"/>
      <c r="Y270" s="328"/>
      <c r="Z270" s="329"/>
      <c r="AA270" s="300"/>
      <c r="AB270" s="301"/>
      <c r="AC270" s="302"/>
      <c r="AD270" s="303"/>
      <c r="AE270" s="304"/>
      <c r="AF270" s="305"/>
      <c r="AG270" s="305">
        <f t="shared" si="27"/>
        <v>0</v>
      </c>
      <c r="AH270" s="305">
        <f t="shared" si="28"/>
        <v>0</v>
      </c>
      <c r="AI270" s="305">
        <f t="shared" si="29"/>
        <v>0</v>
      </c>
      <c r="AJ270" s="305">
        <f t="shared" si="30"/>
        <v>0</v>
      </c>
      <c r="AK270" s="305" t="str">
        <f t="shared" si="31"/>
        <v/>
      </c>
      <c r="AL270" s="306">
        <f t="shared" ca="1" si="32"/>
        <v>1</v>
      </c>
      <c r="AM270" s="306">
        <f t="shared" ca="1" si="33"/>
        <v>38</v>
      </c>
      <c r="AN270" s="306">
        <f t="shared" ca="1" si="34"/>
        <v>4</v>
      </c>
      <c r="AO270" s="306">
        <f t="shared" ca="1" si="35"/>
        <v>0</v>
      </c>
      <c r="AP270" s="306">
        <f t="shared" ca="1" si="36"/>
        <v>0</v>
      </c>
      <c r="AQ270" s="306">
        <f t="shared" ca="1" si="37"/>
        <v>0</v>
      </c>
      <c r="AR270" s="306">
        <f t="shared" ca="1" si="38"/>
        <v>0</v>
      </c>
      <c r="AS270" s="307"/>
      <c r="AT270" s="306">
        <f t="shared" si="39"/>
        <v>1</v>
      </c>
    </row>
    <row r="271" spans="1:46" ht="15.75" customHeight="1">
      <c r="A271" s="284"/>
      <c r="B271" s="285">
        <f t="shared" ca="1" si="20"/>
        <v>1</v>
      </c>
      <c r="C271" s="286">
        <f t="shared" ca="1" si="21"/>
        <v>38</v>
      </c>
      <c r="D271" s="286">
        <f t="shared" ca="1" si="22"/>
        <v>5</v>
      </c>
      <c r="E271" s="286" t="str">
        <f t="shared" ca="1" si="23"/>
        <v/>
      </c>
      <c r="F271" s="286" t="str">
        <f t="shared" ca="1" si="24"/>
        <v/>
      </c>
      <c r="G271" s="287" t="str">
        <f t="shared" ca="1" si="25"/>
        <v/>
      </c>
      <c r="H271" s="288" t="str">
        <f t="shared" ca="1" si="26"/>
        <v/>
      </c>
      <c r="I271" s="308"/>
      <c r="J271" s="320"/>
      <c r="K271" s="320" t="s">
        <v>65</v>
      </c>
      <c r="L271" s="320"/>
      <c r="M271" s="320"/>
      <c r="N271" s="320"/>
      <c r="O271" s="320"/>
      <c r="P271" s="320"/>
      <c r="Q271" s="321"/>
      <c r="R271" s="322"/>
      <c r="S271" s="331"/>
      <c r="T271" s="325"/>
      <c r="U271" s="330"/>
      <c r="V271" s="325"/>
      <c r="W271" s="326">
        <v>0</v>
      </c>
      <c r="X271" s="327"/>
      <c r="Y271" s="328"/>
      <c r="Z271" s="329"/>
      <c r="AA271" s="300"/>
      <c r="AB271" s="301"/>
      <c r="AC271" s="302"/>
      <c r="AD271" s="303"/>
      <c r="AE271" s="304"/>
      <c r="AF271" s="305"/>
      <c r="AG271" s="305">
        <f t="shared" si="27"/>
        <v>0</v>
      </c>
      <c r="AH271" s="305">
        <f t="shared" si="28"/>
        <v>0</v>
      </c>
      <c r="AI271" s="305">
        <f t="shared" si="29"/>
        <v>0</v>
      </c>
      <c r="AJ271" s="305">
        <f t="shared" si="30"/>
        <v>0</v>
      </c>
      <c r="AK271" s="305" t="str">
        <f t="shared" si="31"/>
        <v/>
      </c>
      <c r="AL271" s="306">
        <f t="shared" ca="1" si="32"/>
        <v>1</v>
      </c>
      <c r="AM271" s="306">
        <f t="shared" ca="1" si="33"/>
        <v>38</v>
      </c>
      <c r="AN271" s="306">
        <f t="shared" ca="1" si="34"/>
        <v>5</v>
      </c>
      <c r="AO271" s="306">
        <f t="shared" ca="1" si="35"/>
        <v>0</v>
      </c>
      <c r="AP271" s="306">
        <f t="shared" ca="1" si="36"/>
        <v>0</v>
      </c>
      <c r="AQ271" s="306">
        <f t="shared" ca="1" si="37"/>
        <v>0</v>
      </c>
      <c r="AR271" s="306">
        <f t="shared" ca="1" si="38"/>
        <v>0</v>
      </c>
      <c r="AS271" s="307"/>
      <c r="AT271" s="306">
        <f t="shared" si="39"/>
        <v>1</v>
      </c>
    </row>
    <row r="272" spans="1:46" ht="15.75" customHeight="1">
      <c r="A272" s="284"/>
      <c r="B272" s="285">
        <f t="shared" ca="1" si="20"/>
        <v>1</v>
      </c>
      <c r="C272" s="286">
        <f t="shared" ca="1" si="21"/>
        <v>38</v>
      </c>
      <c r="D272" s="286">
        <f t="shared" ca="1" si="22"/>
        <v>6</v>
      </c>
      <c r="E272" s="286" t="str">
        <f t="shared" ca="1" si="23"/>
        <v/>
      </c>
      <c r="F272" s="286" t="str">
        <f t="shared" ca="1" si="24"/>
        <v/>
      </c>
      <c r="G272" s="287" t="str">
        <f t="shared" ca="1" si="25"/>
        <v/>
      </c>
      <c r="H272" s="288" t="str">
        <f t="shared" ca="1" si="26"/>
        <v/>
      </c>
      <c r="I272" s="308"/>
      <c r="J272" s="320"/>
      <c r="K272" s="320" t="s">
        <v>66</v>
      </c>
      <c r="L272" s="320"/>
      <c r="M272" s="320"/>
      <c r="N272" s="320"/>
      <c r="O272" s="320"/>
      <c r="P272" s="320"/>
      <c r="Q272" s="321"/>
      <c r="R272" s="322"/>
      <c r="S272" s="331"/>
      <c r="T272" s="325"/>
      <c r="U272" s="330"/>
      <c r="V272" s="325"/>
      <c r="W272" s="326">
        <v>0</v>
      </c>
      <c r="X272" s="327"/>
      <c r="Y272" s="328"/>
      <c r="Z272" s="329"/>
      <c r="AA272" s="300"/>
      <c r="AB272" s="301"/>
      <c r="AC272" s="302"/>
      <c r="AD272" s="303"/>
      <c r="AE272" s="304"/>
      <c r="AF272" s="305"/>
      <c r="AG272" s="305">
        <f t="shared" si="27"/>
        <v>0</v>
      </c>
      <c r="AH272" s="305">
        <f t="shared" si="28"/>
        <v>0</v>
      </c>
      <c r="AI272" s="305">
        <f t="shared" si="29"/>
        <v>0</v>
      </c>
      <c r="AJ272" s="305">
        <f t="shared" si="30"/>
        <v>0</v>
      </c>
      <c r="AK272" s="305" t="str">
        <f t="shared" si="31"/>
        <v/>
      </c>
      <c r="AL272" s="306">
        <f t="shared" ca="1" si="32"/>
        <v>1</v>
      </c>
      <c r="AM272" s="306">
        <f t="shared" ca="1" si="33"/>
        <v>38</v>
      </c>
      <c r="AN272" s="306">
        <f t="shared" ca="1" si="34"/>
        <v>6</v>
      </c>
      <c r="AO272" s="306">
        <f t="shared" ca="1" si="35"/>
        <v>0</v>
      </c>
      <c r="AP272" s="306">
        <f t="shared" ca="1" si="36"/>
        <v>0</v>
      </c>
      <c r="AQ272" s="306">
        <f t="shared" ca="1" si="37"/>
        <v>0</v>
      </c>
      <c r="AR272" s="306">
        <f t="shared" ca="1" si="38"/>
        <v>0</v>
      </c>
      <c r="AS272" s="307"/>
      <c r="AT272" s="306">
        <f t="shared" si="39"/>
        <v>1</v>
      </c>
    </row>
    <row r="273" spans="1:46" ht="15.75" customHeight="1">
      <c r="A273" s="284"/>
      <c r="B273" s="285">
        <f t="shared" ca="1" si="20"/>
        <v>1</v>
      </c>
      <c r="C273" s="286">
        <f t="shared" ca="1" si="21"/>
        <v>39</v>
      </c>
      <c r="D273" s="286" t="str">
        <f t="shared" ca="1" si="22"/>
        <v/>
      </c>
      <c r="E273" s="286" t="str">
        <f t="shared" ca="1" si="23"/>
        <v/>
      </c>
      <c r="F273" s="286" t="str">
        <f t="shared" ca="1" si="24"/>
        <v/>
      </c>
      <c r="G273" s="287" t="str">
        <f t="shared" ca="1" si="25"/>
        <v/>
      </c>
      <c r="H273" s="288" t="str">
        <f t="shared" ca="1" si="26"/>
        <v/>
      </c>
      <c r="I273" s="308"/>
      <c r="J273" s="309" t="s">
        <v>218</v>
      </c>
      <c r="K273" s="310"/>
      <c r="L273" s="310"/>
      <c r="M273" s="310"/>
      <c r="N273" s="310"/>
      <c r="O273" s="310"/>
      <c r="P273" s="310"/>
      <c r="Q273" s="311" t="s">
        <v>81</v>
      </c>
      <c r="R273" s="312"/>
      <c r="S273" s="313"/>
      <c r="T273" s="314"/>
      <c r="U273" s="315"/>
      <c r="V273" s="314"/>
      <c r="W273" s="316"/>
      <c r="X273" s="317"/>
      <c r="Y273" s="318"/>
      <c r="Z273" s="319"/>
      <c r="AA273" s="300"/>
      <c r="AB273" s="301"/>
      <c r="AC273" s="302"/>
      <c r="AD273" s="303"/>
      <c r="AE273" s="304"/>
      <c r="AF273" s="305"/>
      <c r="AG273" s="305">
        <f t="shared" si="27"/>
        <v>0</v>
      </c>
      <c r="AH273" s="305">
        <f t="shared" si="28"/>
        <v>0</v>
      </c>
      <c r="AI273" s="305">
        <f t="shared" si="29"/>
        <v>0</v>
      </c>
      <c r="AJ273" s="305">
        <f t="shared" si="30"/>
        <v>0</v>
      </c>
      <c r="AK273" s="305" t="str">
        <f t="shared" si="31"/>
        <v/>
      </c>
      <c r="AL273" s="306">
        <f t="shared" ca="1" si="32"/>
        <v>1</v>
      </c>
      <c r="AM273" s="306">
        <f t="shared" ca="1" si="33"/>
        <v>39</v>
      </c>
      <c r="AN273" s="306">
        <f t="shared" ca="1" si="34"/>
        <v>0</v>
      </c>
      <c r="AO273" s="306">
        <f t="shared" ca="1" si="35"/>
        <v>0</v>
      </c>
      <c r="AP273" s="306">
        <f t="shared" ca="1" si="36"/>
        <v>0</v>
      </c>
      <c r="AQ273" s="306">
        <f t="shared" ca="1" si="37"/>
        <v>0</v>
      </c>
      <c r="AR273" s="306">
        <f t="shared" ca="1" si="38"/>
        <v>0</v>
      </c>
      <c r="AS273" s="307"/>
      <c r="AT273" s="306">
        <f t="shared" si="39"/>
        <v>1</v>
      </c>
    </row>
    <row r="274" spans="1:46" ht="15.75" customHeight="1">
      <c r="A274" s="284"/>
      <c r="B274" s="285">
        <f t="shared" ca="1" si="20"/>
        <v>1</v>
      </c>
      <c r="C274" s="286">
        <f t="shared" ca="1" si="21"/>
        <v>39</v>
      </c>
      <c r="D274" s="286">
        <f t="shared" ca="1" si="22"/>
        <v>1</v>
      </c>
      <c r="E274" s="286" t="str">
        <f t="shared" ca="1" si="23"/>
        <v/>
      </c>
      <c r="F274" s="286" t="str">
        <f t="shared" ca="1" si="24"/>
        <v/>
      </c>
      <c r="G274" s="287" t="str">
        <f t="shared" ca="1" si="25"/>
        <v/>
      </c>
      <c r="H274" s="288" t="str">
        <f t="shared" ca="1" si="26"/>
        <v/>
      </c>
      <c r="I274" s="308"/>
      <c r="J274" s="320"/>
      <c r="K274" s="320" t="s">
        <v>59</v>
      </c>
      <c r="L274" s="320"/>
      <c r="M274" s="320"/>
      <c r="N274" s="320"/>
      <c r="O274" s="320"/>
      <c r="P274" s="320"/>
      <c r="Q274" s="321"/>
      <c r="R274" s="322"/>
      <c r="S274" s="331"/>
      <c r="T274" s="325"/>
      <c r="U274" s="330"/>
      <c r="V274" s="325"/>
      <c r="W274" s="326">
        <v>0</v>
      </c>
      <c r="X274" s="327"/>
      <c r="Y274" s="328"/>
      <c r="Z274" s="329"/>
      <c r="AA274" s="300"/>
      <c r="AB274" s="301"/>
      <c r="AC274" s="302"/>
      <c r="AD274" s="303"/>
      <c r="AE274" s="304"/>
      <c r="AF274" s="305"/>
      <c r="AG274" s="305">
        <f t="shared" si="27"/>
        <v>0</v>
      </c>
      <c r="AH274" s="305">
        <f t="shared" si="28"/>
        <v>0</v>
      </c>
      <c r="AI274" s="305">
        <f t="shared" si="29"/>
        <v>0</v>
      </c>
      <c r="AJ274" s="305">
        <f t="shared" si="30"/>
        <v>0</v>
      </c>
      <c r="AK274" s="305" t="str">
        <f t="shared" si="31"/>
        <v/>
      </c>
      <c r="AL274" s="306">
        <f t="shared" ca="1" si="32"/>
        <v>1</v>
      </c>
      <c r="AM274" s="306">
        <f t="shared" ca="1" si="33"/>
        <v>39</v>
      </c>
      <c r="AN274" s="306">
        <f t="shared" ca="1" si="34"/>
        <v>1</v>
      </c>
      <c r="AO274" s="306">
        <f t="shared" ca="1" si="35"/>
        <v>0</v>
      </c>
      <c r="AP274" s="306">
        <f t="shared" ca="1" si="36"/>
        <v>0</v>
      </c>
      <c r="AQ274" s="306">
        <f t="shared" ca="1" si="37"/>
        <v>0</v>
      </c>
      <c r="AR274" s="306">
        <f t="shared" ca="1" si="38"/>
        <v>0</v>
      </c>
      <c r="AS274" s="307"/>
      <c r="AT274" s="306">
        <f t="shared" si="39"/>
        <v>1</v>
      </c>
    </row>
    <row r="275" spans="1:46" ht="15.75" customHeight="1">
      <c r="A275" s="284"/>
      <c r="B275" s="285">
        <f t="shared" ca="1" si="20"/>
        <v>1</v>
      </c>
      <c r="C275" s="286">
        <f t="shared" ca="1" si="21"/>
        <v>39</v>
      </c>
      <c r="D275" s="286">
        <f t="shared" ca="1" si="22"/>
        <v>2</v>
      </c>
      <c r="E275" s="286" t="str">
        <f t="shared" ca="1" si="23"/>
        <v/>
      </c>
      <c r="F275" s="286" t="str">
        <f t="shared" ca="1" si="24"/>
        <v/>
      </c>
      <c r="G275" s="287" t="str">
        <f t="shared" ca="1" si="25"/>
        <v/>
      </c>
      <c r="H275" s="288" t="str">
        <f t="shared" ca="1" si="26"/>
        <v/>
      </c>
      <c r="I275" s="308"/>
      <c r="J275" s="320"/>
      <c r="K275" s="320" t="s">
        <v>145</v>
      </c>
      <c r="L275" s="320"/>
      <c r="M275" s="320"/>
      <c r="N275" s="320"/>
      <c r="O275" s="320"/>
      <c r="P275" s="320"/>
      <c r="Q275" s="321"/>
      <c r="R275" s="322"/>
      <c r="S275" s="331"/>
      <c r="T275" s="325"/>
      <c r="U275" s="330"/>
      <c r="V275" s="325"/>
      <c r="W275" s="326">
        <v>0</v>
      </c>
      <c r="X275" s="327"/>
      <c r="Y275" s="328"/>
      <c r="Z275" s="329"/>
      <c r="AA275" s="300"/>
      <c r="AB275" s="301"/>
      <c r="AC275" s="302"/>
      <c r="AD275" s="303"/>
      <c r="AE275" s="304"/>
      <c r="AF275" s="305"/>
      <c r="AG275" s="305">
        <f t="shared" si="27"/>
        <v>0</v>
      </c>
      <c r="AH275" s="305">
        <f t="shared" si="28"/>
        <v>0</v>
      </c>
      <c r="AI275" s="305">
        <f t="shared" si="29"/>
        <v>0</v>
      </c>
      <c r="AJ275" s="305">
        <f t="shared" si="30"/>
        <v>0</v>
      </c>
      <c r="AK275" s="305" t="str">
        <f t="shared" si="31"/>
        <v/>
      </c>
      <c r="AL275" s="306">
        <f t="shared" ca="1" si="32"/>
        <v>1</v>
      </c>
      <c r="AM275" s="306">
        <f t="shared" ca="1" si="33"/>
        <v>39</v>
      </c>
      <c r="AN275" s="306">
        <f t="shared" ca="1" si="34"/>
        <v>2</v>
      </c>
      <c r="AO275" s="306">
        <f t="shared" ca="1" si="35"/>
        <v>0</v>
      </c>
      <c r="AP275" s="306">
        <f t="shared" ca="1" si="36"/>
        <v>0</v>
      </c>
      <c r="AQ275" s="306">
        <f t="shared" ca="1" si="37"/>
        <v>0</v>
      </c>
      <c r="AR275" s="306">
        <f t="shared" ca="1" si="38"/>
        <v>0</v>
      </c>
      <c r="AS275" s="307"/>
      <c r="AT275" s="306">
        <f t="shared" si="39"/>
        <v>1</v>
      </c>
    </row>
    <row r="276" spans="1:46" ht="15.75" customHeight="1">
      <c r="A276" s="284"/>
      <c r="B276" s="285">
        <f t="shared" ca="1" si="20"/>
        <v>1</v>
      </c>
      <c r="C276" s="286">
        <f t="shared" ca="1" si="21"/>
        <v>39</v>
      </c>
      <c r="D276" s="286">
        <f t="shared" ca="1" si="22"/>
        <v>3</v>
      </c>
      <c r="E276" s="286" t="str">
        <f t="shared" ca="1" si="23"/>
        <v/>
      </c>
      <c r="F276" s="286" t="str">
        <f t="shared" ca="1" si="24"/>
        <v/>
      </c>
      <c r="G276" s="287" t="str">
        <f t="shared" ca="1" si="25"/>
        <v/>
      </c>
      <c r="H276" s="288" t="str">
        <f t="shared" ca="1" si="26"/>
        <v/>
      </c>
      <c r="I276" s="308"/>
      <c r="J276" s="320"/>
      <c r="K276" s="320" t="s">
        <v>63</v>
      </c>
      <c r="L276" s="320"/>
      <c r="M276" s="320"/>
      <c r="N276" s="320"/>
      <c r="O276" s="320"/>
      <c r="P276" s="320"/>
      <c r="Q276" s="321"/>
      <c r="R276" s="322"/>
      <c r="S276" s="331"/>
      <c r="T276" s="325"/>
      <c r="U276" s="330"/>
      <c r="V276" s="325"/>
      <c r="W276" s="326">
        <v>0</v>
      </c>
      <c r="X276" s="327"/>
      <c r="Y276" s="328"/>
      <c r="Z276" s="329"/>
      <c r="AA276" s="300"/>
      <c r="AB276" s="301"/>
      <c r="AC276" s="302"/>
      <c r="AD276" s="303"/>
      <c r="AE276" s="304"/>
      <c r="AF276" s="305"/>
      <c r="AG276" s="305">
        <f t="shared" si="27"/>
        <v>0</v>
      </c>
      <c r="AH276" s="305">
        <f t="shared" si="28"/>
        <v>0</v>
      </c>
      <c r="AI276" s="305">
        <f t="shared" si="29"/>
        <v>0</v>
      </c>
      <c r="AJ276" s="305">
        <f t="shared" si="30"/>
        <v>0</v>
      </c>
      <c r="AK276" s="305" t="str">
        <f t="shared" si="31"/>
        <v/>
      </c>
      <c r="AL276" s="306">
        <f t="shared" ca="1" si="32"/>
        <v>1</v>
      </c>
      <c r="AM276" s="306">
        <f t="shared" ca="1" si="33"/>
        <v>39</v>
      </c>
      <c r="AN276" s="306">
        <f t="shared" ca="1" si="34"/>
        <v>3</v>
      </c>
      <c r="AO276" s="306">
        <f t="shared" ca="1" si="35"/>
        <v>0</v>
      </c>
      <c r="AP276" s="306">
        <f t="shared" ca="1" si="36"/>
        <v>0</v>
      </c>
      <c r="AQ276" s="306">
        <f t="shared" ca="1" si="37"/>
        <v>0</v>
      </c>
      <c r="AR276" s="306">
        <f t="shared" ca="1" si="38"/>
        <v>0</v>
      </c>
      <c r="AS276" s="307"/>
      <c r="AT276" s="306">
        <f t="shared" si="39"/>
        <v>1</v>
      </c>
    </row>
    <row r="277" spans="1:46" ht="15.75" customHeight="1">
      <c r="A277" s="284"/>
      <c r="B277" s="285">
        <f t="shared" ca="1" si="20"/>
        <v>1</v>
      </c>
      <c r="C277" s="286">
        <f t="shared" ca="1" si="21"/>
        <v>39</v>
      </c>
      <c r="D277" s="286">
        <f t="shared" ca="1" si="22"/>
        <v>4</v>
      </c>
      <c r="E277" s="286" t="str">
        <f t="shared" ca="1" si="23"/>
        <v/>
      </c>
      <c r="F277" s="286" t="str">
        <f t="shared" ca="1" si="24"/>
        <v/>
      </c>
      <c r="G277" s="287" t="str">
        <f t="shared" ca="1" si="25"/>
        <v/>
      </c>
      <c r="H277" s="288" t="str">
        <f t="shared" ca="1" si="26"/>
        <v/>
      </c>
      <c r="I277" s="308"/>
      <c r="J277" s="320"/>
      <c r="K277" s="320" t="s">
        <v>64</v>
      </c>
      <c r="L277" s="320"/>
      <c r="M277" s="320"/>
      <c r="N277" s="320"/>
      <c r="O277" s="320"/>
      <c r="P277" s="320"/>
      <c r="Q277" s="321"/>
      <c r="R277" s="322"/>
      <c r="S277" s="331"/>
      <c r="T277" s="325"/>
      <c r="U277" s="330"/>
      <c r="V277" s="325"/>
      <c r="W277" s="326">
        <v>0</v>
      </c>
      <c r="X277" s="327"/>
      <c r="Y277" s="328"/>
      <c r="Z277" s="329"/>
      <c r="AA277" s="300"/>
      <c r="AB277" s="301"/>
      <c r="AC277" s="302"/>
      <c r="AD277" s="303"/>
      <c r="AE277" s="304"/>
      <c r="AF277" s="305"/>
      <c r="AG277" s="305">
        <f t="shared" si="27"/>
        <v>0</v>
      </c>
      <c r="AH277" s="305">
        <f t="shared" si="28"/>
        <v>0</v>
      </c>
      <c r="AI277" s="305">
        <f t="shared" si="29"/>
        <v>0</v>
      </c>
      <c r="AJ277" s="305">
        <f t="shared" si="30"/>
        <v>0</v>
      </c>
      <c r="AK277" s="305" t="str">
        <f t="shared" si="31"/>
        <v/>
      </c>
      <c r="AL277" s="306">
        <f t="shared" ca="1" si="32"/>
        <v>1</v>
      </c>
      <c r="AM277" s="306">
        <f t="shared" ca="1" si="33"/>
        <v>39</v>
      </c>
      <c r="AN277" s="306">
        <f t="shared" ca="1" si="34"/>
        <v>4</v>
      </c>
      <c r="AO277" s="306">
        <f t="shared" ca="1" si="35"/>
        <v>0</v>
      </c>
      <c r="AP277" s="306">
        <f t="shared" ca="1" si="36"/>
        <v>0</v>
      </c>
      <c r="AQ277" s="306">
        <f t="shared" ca="1" si="37"/>
        <v>0</v>
      </c>
      <c r="AR277" s="306">
        <f t="shared" ca="1" si="38"/>
        <v>0</v>
      </c>
      <c r="AS277" s="307"/>
      <c r="AT277" s="306">
        <f t="shared" si="39"/>
        <v>1</v>
      </c>
    </row>
    <row r="278" spans="1:46" ht="15.75" customHeight="1">
      <c r="A278" s="284"/>
      <c r="B278" s="285">
        <f t="shared" ca="1" si="20"/>
        <v>1</v>
      </c>
      <c r="C278" s="286">
        <f t="shared" ca="1" si="21"/>
        <v>39</v>
      </c>
      <c r="D278" s="286">
        <f t="shared" ca="1" si="22"/>
        <v>5</v>
      </c>
      <c r="E278" s="286" t="str">
        <f t="shared" ca="1" si="23"/>
        <v/>
      </c>
      <c r="F278" s="286" t="str">
        <f t="shared" ca="1" si="24"/>
        <v/>
      </c>
      <c r="G278" s="287" t="str">
        <f t="shared" ca="1" si="25"/>
        <v/>
      </c>
      <c r="H278" s="288" t="str">
        <f t="shared" ca="1" si="26"/>
        <v/>
      </c>
      <c r="I278" s="308"/>
      <c r="J278" s="320"/>
      <c r="K278" s="320" t="s">
        <v>65</v>
      </c>
      <c r="L278" s="320"/>
      <c r="M278" s="320"/>
      <c r="N278" s="320"/>
      <c r="O278" s="320"/>
      <c r="P278" s="320"/>
      <c r="Q278" s="321"/>
      <c r="R278" s="322"/>
      <c r="S278" s="331"/>
      <c r="T278" s="325"/>
      <c r="U278" s="330"/>
      <c r="V278" s="325"/>
      <c r="W278" s="326">
        <v>0</v>
      </c>
      <c r="X278" s="327"/>
      <c r="Y278" s="328"/>
      <c r="Z278" s="329"/>
      <c r="AA278" s="300"/>
      <c r="AB278" s="301"/>
      <c r="AC278" s="302"/>
      <c r="AD278" s="303"/>
      <c r="AE278" s="304"/>
      <c r="AF278" s="305"/>
      <c r="AG278" s="305">
        <f t="shared" si="27"/>
        <v>0</v>
      </c>
      <c r="AH278" s="305">
        <f t="shared" si="28"/>
        <v>0</v>
      </c>
      <c r="AI278" s="305">
        <f t="shared" si="29"/>
        <v>0</v>
      </c>
      <c r="AJ278" s="305">
        <f t="shared" si="30"/>
        <v>0</v>
      </c>
      <c r="AK278" s="305" t="str">
        <f t="shared" si="31"/>
        <v/>
      </c>
      <c r="AL278" s="306">
        <f t="shared" ca="1" si="32"/>
        <v>1</v>
      </c>
      <c r="AM278" s="306">
        <f t="shared" ca="1" si="33"/>
        <v>39</v>
      </c>
      <c r="AN278" s="306">
        <f t="shared" ca="1" si="34"/>
        <v>5</v>
      </c>
      <c r="AO278" s="306">
        <f t="shared" ca="1" si="35"/>
        <v>0</v>
      </c>
      <c r="AP278" s="306">
        <f t="shared" ca="1" si="36"/>
        <v>0</v>
      </c>
      <c r="AQ278" s="306">
        <f t="shared" ca="1" si="37"/>
        <v>0</v>
      </c>
      <c r="AR278" s="306">
        <f t="shared" ca="1" si="38"/>
        <v>0</v>
      </c>
      <c r="AS278" s="307"/>
      <c r="AT278" s="306">
        <f t="shared" si="39"/>
        <v>1</v>
      </c>
    </row>
    <row r="279" spans="1:46" ht="15.75" customHeight="1">
      <c r="A279" s="284"/>
      <c r="B279" s="285">
        <f t="shared" ca="1" si="20"/>
        <v>1</v>
      </c>
      <c r="C279" s="286">
        <f t="shared" ca="1" si="21"/>
        <v>39</v>
      </c>
      <c r="D279" s="286">
        <f t="shared" ca="1" si="22"/>
        <v>6</v>
      </c>
      <c r="E279" s="286" t="str">
        <f t="shared" ca="1" si="23"/>
        <v/>
      </c>
      <c r="F279" s="286" t="str">
        <f t="shared" ca="1" si="24"/>
        <v/>
      </c>
      <c r="G279" s="287" t="str">
        <f t="shared" ca="1" si="25"/>
        <v/>
      </c>
      <c r="H279" s="288" t="str">
        <f t="shared" ca="1" si="26"/>
        <v/>
      </c>
      <c r="I279" s="308"/>
      <c r="J279" s="320"/>
      <c r="K279" s="320" t="s">
        <v>66</v>
      </c>
      <c r="L279" s="320"/>
      <c r="M279" s="320"/>
      <c r="N279" s="320"/>
      <c r="O279" s="320"/>
      <c r="P279" s="320"/>
      <c r="Q279" s="321"/>
      <c r="R279" s="322"/>
      <c r="S279" s="331"/>
      <c r="T279" s="325"/>
      <c r="U279" s="330"/>
      <c r="V279" s="325"/>
      <c r="W279" s="326">
        <v>0</v>
      </c>
      <c r="X279" s="327"/>
      <c r="Y279" s="328"/>
      <c r="Z279" s="329"/>
      <c r="AA279" s="300"/>
      <c r="AB279" s="301"/>
      <c r="AC279" s="302"/>
      <c r="AD279" s="303"/>
      <c r="AE279" s="304"/>
      <c r="AF279" s="305"/>
      <c r="AG279" s="305">
        <f t="shared" si="27"/>
        <v>0</v>
      </c>
      <c r="AH279" s="305">
        <f t="shared" si="28"/>
        <v>0</v>
      </c>
      <c r="AI279" s="305">
        <f t="shared" si="29"/>
        <v>0</v>
      </c>
      <c r="AJ279" s="305">
        <f t="shared" si="30"/>
        <v>0</v>
      </c>
      <c r="AK279" s="305" t="str">
        <f t="shared" si="31"/>
        <v/>
      </c>
      <c r="AL279" s="306">
        <f t="shared" ca="1" si="32"/>
        <v>1</v>
      </c>
      <c r="AM279" s="306">
        <f t="shared" ca="1" si="33"/>
        <v>39</v>
      </c>
      <c r="AN279" s="306">
        <f t="shared" ca="1" si="34"/>
        <v>6</v>
      </c>
      <c r="AO279" s="306">
        <f t="shared" ca="1" si="35"/>
        <v>0</v>
      </c>
      <c r="AP279" s="306">
        <f t="shared" ca="1" si="36"/>
        <v>0</v>
      </c>
      <c r="AQ279" s="306">
        <f t="shared" ca="1" si="37"/>
        <v>0</v>
      </c>
      <c r="AR279" s="306">
        <f t="shared" ca="1" si="38"/>
        <v>0</v>
      </c>
      <c r="AS279" s="307"/>
      <c r="AT279" s="306">
        <f t="shared" si="39"/>
        <v>1</v>
      </c>
    </row>
    <row r="280" spans="1:46" ht="15.75" customHeight="1">
      <c r="A280" s="284"/>
      <c r="B280" s="285">
        <f t="shared" ca="1" si="20"/>
        <v>1</v>
      </c>
      <c r="C280" s="286">
        <f t="shared" ca="1" si="21"/>
        <v>40</v>
      </c>
      <c r="D280" s="286" t="str">
        <f t="shared" ca="1" si="22"/>
        <v/>
      </c>
      <c r="E280" s="286" t="str">
        <f t="shared" ca="1" si="23"/>
        <v/>
      </c>
      <c r="F280" s="286" t="str">
        <f t="shared" ca="1" si="24"/>
        <v/>
      </c>
      <c r="G280" s="287" t="str">
        <f t="shared" ca="1" si="25"/>
        <v/>
      </c>
      <c r="H280" s="288" t="str">
        <f t="shared" ca="1" si="26"/>
        <v/>
      </c>
      <c r="I280" s="308"/>
      <c r="J280" s="309" t="s">
        <v>219</v>
      </c>
      <c r="K280" s="310"/>
      <c r="L280" s="310"/>
      <c r="M280" s="310"/>
      <c r="N280" s="310"/>
      <c r="O280" s="310"/>
      <c r="P280" s="310"/>
      <c r="Q280" s="311" t="s">
        <v>81</v>
      </c>
      <c r="R280" s="312"/>
      <c r="S280" s="313"/>
      <c r="T280" s="314"/>
      <c r="U280" s="315"/>
      <c r="V280" s="314"/>
      <c r="W280" s="316"/>
      <c r="X280" s="317"/>
      <c r="Y280" s="318"/>
      <c r="Z280" s="319"/>
      <c r="AA280" s="300"/>
      <c r="AB280" s="301"/>
      <c r="AC280" s="302"/>
      <c r="AD280" s="303"/>
      <c r="AE280" s="304"/>
      <c r="AF280" s="305"/>
      <c r="AG280" s="305">
        <f t="shared" si="27"/>
        <v>0</v>
      </c>
      <c r="AH280" s="305">
        <f t="shared" si="28"/>
        <v>0</v>
      </c>
      <c r="AI280" s="305">
        <f t="shared" si="29"/>
        <v>0</v>
      </c>
      <c r="AJ280" s="305">
        <f t="shared" si="30"/>
        <v>0</v>
      </c>
      <c r="AK280" s="305" t="str">
        <f t="shared" si="31"/>
        <v/>
      </c>
      <c r="AL280" s="306">
        <f t="shared" ca="1" si="32"/>
        <v>1</v>
      </c>
      <c r="AM280" s="306">
        <f t="shared" ca="1" si="33"/>
        <v>40</v>
      </c>
      <c r="AN280" s="306">
        <f t="shared" ca="1" si="34"/>
        <v>0</v>
      </c>
      <c r="AO280" s="306">
        <f t="shared" ca="1" si="35"/>
        <v>0</v>
      </c>
      <c r="AP280" s="306">
        <f t="shared" ca="1" si="36"/>
        <v>0</v>
      </c>
      <c r="AQ280" s="306">
        <f t="shared" ca="1" si="37"/>
        <v>0</v>
      </c>
      <c r="AR280" s="306">
        <f t="shared" ca="1" si="38"/>
        <v>0</v>
      </c>
      <c r="AS280" s="307"/>
      <c r="AT280" s="306">
        <f t="shared" si="39"/>
        <v>1</v>
      </c>
    </row>
    <row r="281" spans="1:46" ht="15.75" customHeight="1">
      <c r="A281" s="284"/>
      <c r="B281" s="285">
        <f t="shared" ca="1" si="20"/>
        <v>1</v>
      </c>
      <c r="C281" s="286">
        <f t="shared" ca="1" si="21"/>
        <v>40</v>
      </c>
      <c r="D281" s="286">
        <f t="shared" ca="1" si="22"/>
        <v>1</v>
      </c>
      <c r="E281" s="286" t="str">
        <f t="shared" ca="1" si="23"/>
        <v/>
      </c>
      <c r="F281" s="286" t="str">
        <f t="shared" ca="1" si="24"/>
        <v/>
      </c>
      <c r="G281" s="287" t="str">
        <f t="shared" ca="1" si="25"/>
        <v/>
      </c>
      <c r="H281" s="288" t="str">
        <f t="shared" ca="1" si="26"/>
        <v/>
      </c>
      <c r="I281" s="308"/>
      <c r="J281" s="320"/>
      <c r="K281" s="320" t="s">
        <v>59</v>
      </c>
      <c r="L281" s="320"/>
      <c r="M281" s="320"/>
      <c r="N281" s="320"/>
      <c r="O281" s="320"/>
      <c r="P281" s="320"/>
      <c r="Q281" s="321"/>
      <c r="R281" s="322"/>
      <c r="S281" s="331"/>
      <c r="T281" s="325"/>
      <c r="U281" s="330"/>
      <c r="V281" s="325"/>
      <c r="W281" s="326">
        <v>0</v>
      </c>
      <c r="X281" s="327"/>
      <c r="Y281" s="328"/>
      <c r="Z281" s="329"/>
      <c r="AA281" s="300"/>
      <c r="AB281" s="301"/>
      <c r="AC281" s="302"/>
      <c r="AD281" s="303"/>
      <c r="AE281" s="304"/>
      <c r="AF281" s="305"/>
      <c r="AG281" s="305">
        <f t="shared" si="27"/>
        <v>0</v>
      </c>
      <c r="AH281" s="305">
        <f t="shared" si="28"/>
        <v>0</v>
      </c>
      <c r="AI281" s="305">
        <f t="shared" si="29"/>
        <v>0</v>
      </c>
      <c r="AJ281" s="305">
        <f t="shared" si="30"/>
        <v>0</v>
      </c>
      <c r="AK281" s="305" t="str">
        <f t="shared" si="31"/>
        <v/>
      </c>
      <c r="AL281" s="306">
        <f t="shared" ca="1" si="32"/>
        <v>1</v>
      </c>
      <c r="AM281" s="306">
        <f t="shared" ca="1" si="33"/>
        <v>40</v>
      </c>
      <c r="AN281" s="306">
        <f t="shared" ca="1" si="34"/>
        <v>1</v>
      </c>
      <c r="AO281" s="306">
        <f t="shared" ca="1" si="35"/>
        <v>0</v>
      </c>
      <c r="AP281" s="306">
        <f t="shared" ca="1" si="36"/>
        <v>0</v>
      </c>
      <c r="AQ281" s="306">
        <f t="shared" ca="1" si="37"/>
        <v>0</v>
      </c>
      <c r="AR281" s="306">
        <f t="shared" ca="1" si="38"/>
        <v>0</v>
      </c>
      <c r="AS281" s="307"/>
      <c r="AT281" s="306">
        <f t="shared" si="39"/>
        <v>1</v>
      </c>
    </row>
    <row r="282" spans="1:46" ht="15.75" customHeight="1">
      <c r="A282" s="284"/>
      <c r="B282" s="285">
        <f t="shared" ca="1" si="20"/>
        <v>1</v>
      </c>
      <c r="C282" s="286">
        <f t="shared" ca="1" si="21"/>
        <v>40</v>
      </c>
      <c r="D282" s="286">
        <f t="shared" ca="1" si="22"/>
        <v>2</v>
      </c>
      <c r="E282" s="286" t="str">
        <f t="shared" ca="1" si="23"/>
        <v/>
      </c>
      <c r="F282" s="286" t="str">
        <f t="shared" ca="1" si="24"/>
        <v/>
      </c>
      <c r="G282" s="287" t="str">
        <f t="shared" ca="1" si="25"/>
        <v/>
      </c>
      <c r="H282" s="288" t="str">
        <f t="shared" ca="1" si="26"/>
        <v/>
      </c>
      <c r="I282" s="308"/>
      <c r="J282" s="320"/>
      <c r="K282" s="320" t="s">
        <v>145</v>
      </c>
      <c r="L282" s="320"/>
      <c r="M282" s="320"/>
      <c r="N282" s="320"/>
      <c r="O282" s="320"/>
      <c r="P282" s="320"/>
      <c r="Q282" s="321"/>
      <c r="R282" s="322"/>
      <c r="S282" s="331"/>
      <c r="T282" s="325"/>
      <c r="U282" s="330"/>
      <c r="V282" s="325"/>
      <c r="W282" s="326">
        <v>0</v>
      </c>
      <c r="X282" s="327"/>
      <c r="Y282" s="328"/>
      <c r="Z282" s="329"/>
      <c r="AA282" s="300"/>
      <c r="AB282" s="301"/>
      <c r="AC282" s="302"/>
      <c r="AD282" s="303"/>
      <c r="AE282" s="304"/>
      <c r="AF282" s="305"/>
      <c r="AG282" s="305">
        <f t="shared" si="27"/>
        <v>0</v>
      </c>
      <c r="AH282" s="305">
        <f t="shared" si="28"/>
        <v>0</v>
      </c>
      <c r="AI282" s="305">
        <f t="shared" si="29"/>
        <v>0</v>
      </c>
      <c r="AJ282" s="305">
        <f t="shared" si="30"/>
        <v>0</v>
      </c>
      <c r="AK282" s="305" t="str">
        <f t="shared" si="31"/>
        <v/>
      </c>
      <c r="AL282" s="306">
        <f t="shared" ca="1" si="32"/>
        <v>1</v>
      </c>
      <c r="AM282" s="306">
        <f t="shared" ca="1" si="33"/>
        <v>40</v>
      </c>
      <c r="AN282" s="306">
        <f t="shared" ca="1" si="34"/>
        <v>2</v>
      </c>
      <c r="AO282" s="306">
        <f t="shared" ca="1" si="35"/>
        <v>0</v>
      </c>
      <c r="AP282" s="306">
        <f t="shared" ca="1" si="36"/>
        <v>0</v>
      </c>
      <c r="AQ282" s="306">
        <f t="shared" ca="1" si="37"/>
        <v>0</v>
      </c>
      <c r="AR282" s="306">
        <f t="shared" ca="1" si="38"/>
        <v>0</v>
      </c>
      <c r="AS282" s="307"/>
      <c r="AT282" s="306">
        <f t="shared" si="39"/>
        <v>1</v>
      </c>
    </row>
    <row r="283" spans="1:46" ht="15.75" customHeight="1">
      <c r="A283" s="284"/>
      <c r="B283" s="285">
        <f t="shared" ca="1" si="20"/>
        <v>1</v>
      </c>
      <c r="C283" s="286">
        <f t="shared" ca="1" si="21"/>
        <v>40</v>
      </c>
      <c r="D283" s="286">
        <f t="shared" ca="1" si="22"/>
        <v>3</v>
      </c>
      <c r="E283" s="286" t="str">
        <f t="shared" ca="1" si="23"/>
        <v/>
      </c>
      <c r="F283" s="286" t="str">
        <f t="shared" ca="1" si="24"/>
        <v/>
      </c>
      <c r="G283" s="287" t="str">
        <f t="shared" ca="1" si="25"/>
        <v/>
      </c>
      <c r="H283" s="288" t="str">
        <f t="shared" ca="1" si="26"/>
        <v/>
      </c>
      <c r="I283" s="308"/>
      <c r="J283" s="320"/>
      <c r="K283" s="320" t="s">
        <v>63</v>
      </c>
      <c r="L283" s="320"/>
      <c r="M283" s="320"/>
      <c r="N283" s="320"/>
      <c r="O283" s="320"/>
      <c r="P283" s="320"/>
      <c r="Q283" s="321"/>
      <c r="R283" s="322"/>
      <c r="S283" s="331"/>
      <c r="T283" s="325"/>
      <c r="U283" s="330"/>
      <c r="V283" s="325"/>
      <c r="W283" s="326">
        <v>0</v>
      </c>
      <c r="X283" s="327"/>
      <c r="Y283" s="328"/>
      <c r="Z283" s="329"/>
      <c r="AA283" s="300"/>
      <c r="AB283" s="301"/>
      <c r="AC283" s="302"/>
      <c r="AD283" s="303"/>
      <c r="AE283" s="304"/>
      <c r="AF283" s="305"/>
      <c r="AG283" s="305">
        <f t="shared" si="27"/>
        <v>0</v>
      </c>
      <c r="AH283" s="305">
        <f t="shared" si="28"/>
        <v>0</v>
      </c>
      <c r="AI283" s="305">
        <f t="shared" si="29"/>
        <v>0</v>
      </c>
      <c r="AJ283" s="305">
        <f t="shared" si="30"/>
        <v>0</v>
      </c>
      <c r="AK283" s="305" t="str">
        <f t="shared" si="31"/>
        <v/>
      </c>
      <c r="AL283" s="306">
        <f t="shared" ca="1" si="32"/>
        <v>1</v>
      </c>
      <c r="AM283" s="306">
        <f t="shared" ca="1" si="33"/>
        <v>40</v>
      </c>
      <c r="AN283" s="306">
        <f t="shared" ca="1" si="34"/>
        <v>3</v>
      </c>
      <c r="AO283" s="306">
        <f t="shared" ca="1" si="35"/>
        <v>0</v>
      </c>
      <c r="AP283" s="306">
        <f t="shared" ca="1" si="36"/>
        <v>0</v>
      </c>
      <c r="AQ283" s="306">
        <f t="shared" ca="1" si="37"/>
        <v>0</v>
      </c>
      <c r="AR283" s="306">
        <f t="shared" ca="1" si="38"/>
        <v>0</v>
      </c>
      <c r="AS283" s="307"/>
      <c r="AT283" s="306">
        <f t="shared" si="39"/>
        <v>1</v>
      </c>
    </row>
    <row r="284" spans="1:46" ht="15.75" customHeight="1">
      <c r="A284" s="284"/>
      <c r="B284" s="285">
        <f t="shared" ca="1" si="20"/>
        <v>1</v>
      </c>
      <c r="C284" s="286">
        <f t="shared" ca="1" si="21"/>
        <v>40</v>
      </c>
      <c r="D284" s="286">
        <f t="shared" ca="1" si="22"/>
        <v>4</v>
      </c>
      <c r="E284" s="286" t="str">
        <f t="shared" ca="1" si="23"/>
        <v/>
      </c>
      <c r="F284" s="286" t="str">
        <f t="shared" ca="1" si="24"/>
        <v/>
      </c>
      <c r="G284" s="287" t="str">
        <f t="shared" ca="1" si="25"/>
        <v/>
      </c>
      <c r="H284" s="288" t="str">
        <f t="shared" ca="1" si="26"/>
        <v/>
      </c>
      <c r="I284" s="308"/>
      <c r="J284" s="320"/>
      <c r="K284" s="320" t="s">
        <v>64</v>
      </c>
      <c r="L284" s="320"/>
      <c r="M284" s="320"/>
      <c r="N284" s="320"/>
      <c r="O284" s="320"/>
      <c r="P284" s="320"/>
      <c r="Q284" s="321"/>
      <c r="R284" s="322"/>
      <c r="S284" s="331"/>
      <c r="T284" s="325"/>
      <c r="U284" s="330"/>
      <c r="V284" s="325"/>
      <c r="W284" s="326">
        <v>0</v>
      </c>
      <c r="X284" s="327"/>
      <c r="Y284" s="328"/>
      <c r="Z284" s="329"/>
      <c r="AA284" s="300"/>
      <c r="AB284" s="301"/>
      <c r="AC284" s="302"/>
      <c r="AD284" s="303"/>
      <c r="AE284" s="304"/>
      <c r="AF284" s="305"/>
      <c r="AG284" s="305">
        <f t="shared" si="27"/>
        <v>0</v>
      </c>
      <c r="AH284" s="305">
        <f t="shared" si="28"/>
        <v>0</v>
      </c>
      <c r="AI284" s="305">
        <f t="shared" si="29"/>
        <v>0</v>
      </c>
      <c r="AJ284" s="305">
        <f t="shared" si="30"/>
        <v>0</v>
      </c>
      <c r="AK284" s="305" t="str">
        <f t="shared" si="31"/>
        <v/>
      </c>
      <c r="AL284" s="306">
        <f t="shared" ca="1" si="32"/>
        <v>1</v>
      </c>
      <c r="AM284" s="306">
        <f t="shared" ca="1" si="33"/>
        <v>40</v>
      </c>
      <c r="AN284" s="306">
        <f t="shared" ca="1" si="34"/>
        <v>4</v>
      </c>
      <c r="AO284" s="306">
        <f t="shared" ca="1" si="35"/>
        <v>0</v>
      </c>
      <c r="AP284" s="306">
        <f t="shared" ca="1" si="36"/>
        <v>0</v>
      </c>
      <c r="AQ284" s="306">
        <f t="shared" ca="1" si="37"/>
        <v>0</v>
      </c>
      <c r="AR284" s="306">
        <f t="shared" ca="1" si="38"/>
        <v>0</v>
      </c>
      <c r="AS284" s="307"/>
      <c r="AT284" s="306">
        <f t="shared" si="39"/>
        <v>1</v>
      </c>
    </row>
    <row r="285" spans="1:46" ht="15.75" customHeight="1">
      <c r="A285" s="284"/>
      <c r="B285" s="285">
        <f t="shared" ca="1" si="20"/>
        <v>1</v>
      </c>
      <c r="C285" s="286">
        <f t="shared" ca="1" si="21"/>
        <v>40</v>
      </c>
      <c r="D285" s="286">
        <f t="shared" ca="1" si="22"/>
        <v>5</v>
      </c>
      <c r="E285" s="286" t="str">
        <f t="shared" ca="1" si="23"/>
        <v/>
      </c>
      <c r="F285" s="286" t="str">
        <f t="shared" ca="1" si="24"/>
        <v/>
      </c>
      <c r="G285" s="287" t="str">
        <f t="shared" ca="1" si="25"/>
        <v/>
      </c>
      <c r="H285" s="288" t="str">
        <f t="shared" ca="1" si="26"/>
        <v/>
      </c>
      <c r="I285" s="308"/>
      <c r="J285" s="320"/>
      <c r="K285" s="320" t="s">
        <v>65</v>
      </c>
      <c r="L285" s="320"/>
      <c r="M285" s="320"/>
      <c r="N285" s="320"/>
      <c r="O285" s="320"/>
      <c r="P285" s="320"/>
      <c r="Q285" s="321"/>
      <c r="R285" s="322"/>
      <c r="S285" s="331"/>
      <c r="T285" s="325"/>
      <c r="U285" s="330"/>
      <c r="V285" s="325"/>
      <c r="W285" s="326">
        <v>0</v>
      </c>
      <c r="X285" s="327"/>
      <c r="Y285" s="328"/>
      <c r="Z285" s="329"/>
      <c r="AA285" s="300"/>
      <c r="AB285" s="301"/>
      <c r="AC285" s="302"/>
      <c r="AD285" s="303"/>
      <c r="AE285" s="304"/>
      <c r="AF285" s="305"/>
      <c r="AG285" s="305">
        <f t="shared" si="27"/>
        <v>0</v>
      </c>
      <c r="AH285" s="305">
        <f t="shared" si="28"/>
        <v>0</v>
      </c>
      <c r="AI285" s="305">
        <f t="shared" si="29"/>
        <v>0</v>
      </c>
      <c r="AJ285" s="305">
        <f t="shared" si="30"/>
        <v>0</v>
      </c>
      <c r="AK285" s="305" t="str">
        <f t="shared" si="31"/>
        <v/>
      </c>
      <c r="AL285" s="306">
        <f t="shared" ca="1" si="32"/>
        <v>1</v>
      </c>
      <c r="AM285" s="306">
        <f t="shared" ca="1" si="33"/>
        <v>40</v>
      </c>
      <c r="AN285" s="306">
        <f t="shared" ca="1" si="34"/>
        <v>5</v>
      </c>
      <c r="AO285" s="306">
        <f t="shared" ca="1" si="35"/>
        <v>0</v>
      </c>
      <c r="AP285" s="306">
        <f t="shared" ca="1" si="36"/>
        <v>0</v>
      </c>
      <c r="AQ285" s="306">
        <f t="shared" ca="1" si="37"/>
        <v>0</v>
      </c>
      <c r="AR285" s="306">
        <f t="shared" ca="1" si="38"/>
        <v>0</v>
      </c>
      <c r="AS285" s="307"/>
      <c r="AT285" s="306">
        <f t="shared" si="39"/>
        <v>1</v>
      </c>
    </row>
    <row r="286" spans="1:46" ht="15.75" customHeight="1">
      <c r="A286" s="284"/>
      <c r="B286" s="285">
        <f t="shared" ca="1" si="20"/>
        <v>1</v>
      </c>
      <c r="C286" s="286">
        <f t="shared" ca="1" si="21"/>
        <v>40</v>
      </c>
      <c r="D286" s="286">
        <f t="shared" ca="1" si="22"/>
        <v>6</v>
      </c>
      <c r="E286" s="286" t="str">
        <f t="shared" ca="1" si="23"/>
        <v/>
      </c>
      <c r="F286" s="286" t="str">
        <f t="shared" ca="1" si="24"/>
        <v/>
      </c>
      <c r="G286" s="287" t="str">
        <f t="shared" ca="1" si="25"/>
        <v/>
      </c>
      <c r="H286" s="288" t="str">
        <f t="shared" ca="1" si="26"/>
        <v/>
      </c>
      <c r="I286" s="308"/>
      <c r="J286" s="320"/>
      <c r="K286" s="320" t="s">
        <v>66</v>
      </c>
      <c r="L286" s="320"/>
      <c r="M286" s="320"/>
      <c r="N286" s="320"/>
      <c r="O286" s="320"/>
      <c r="P286" s="320"/>
      <c r="Q286" s="321"/>
      <c r="R286" s="322"/>
      <c r="S286" s="331"/>
      <c r="T286" s="325"/>
      <c r="U286" s="330"/>
      <c r="V286" s="325"/>
      <c r="W286" s="326">
        <v>0</v>
      </c>
      <c r="X286" s="327"/>
      <c r="Y286" s="328"/>
      <c r="Z286" s="329"/>
      <c r="AA286" s="300"/>
      <c r="AB286" s="301"/>
      <c r="AC286" s="302"/>
      <c r="AD286" s="303"/>
      <c r="AE286" s="304"/>
      <c r="AF286" s="305"/>
      <c r="AG286" s="305">
        <f t="shared" si="27"/>
        <v>0</v>
      </c>
      <c r="AH286" s="305">
        <f t="shared" si="28"/>
        <v>0</v>
      </c>
      <c r="AI286" s="305">
        <f t="shared" si="29"/>
        <v>0</v>
      </c>
      <c r="AJ286" s="305">
        <f t="shared" si="30"/>
        <v>0</v>
      </c>
      <c r="AK286" s="305" t="str">
        <f t="shared" si="31"/>
        <v/>
      </c>
      <c r="AL286" s="306">
        <f t="shared" ca="1" si="32"/>
        <v>1</v>
      </c>
      <c r="AM286" s="306">
        <f t="shared" ca="1" si="33"/>
        <v>40</v>
      </c>
      <c r="AN286" s="306">
        <f t="shared" ca="1" si="34"/>
        <v>6</v>
      </c>
      <c r="AO286" s="306">
        <f t="shared" ca="1" si="35"/>
        <v>0</v>
      </c>
      <c r="AP286" s="306">
        <f t="shared" ca="1" si="36"/>
        <v>0</v>
      </c>
      <c r="AQ286" s="306">
        <f t="shared" ca="1" si="37"/>
        <v>0</v>
      </c>
      <c r="AR286" s="306">
        <f t="shared" ca="1" si="38"/>
        <v>0</v>
      </c>
      <c r="AS286" s="307"/>
      <c r="AT286" s="306">
        <f t="shared" si="39"/>
        <v>1</v>
      </c>
    </row>
    <row r="287" spans="1:46" ht="15.75" customHeight="1">
      <c r="A287" s="284"/>
      <c r="B287" s="285">
        <f t="shared" ca="1" si="20"/>
        <v>1</v>
      </c>
      <c r="C287" s="286">
        <f t="shared" ca="1" si="21"/>
        <v>41</v>
      </c>
      <c r="D287" s="286" t="str">
        <f t="shared" ca="1" si="22"/>
        <v/>
      </c>
      <c r="E287" s="286" t="str">
        <f t="shared" ca="1" si="23"/>
        <v/>
      </c>
      <c r="F287" s="286" t="str">
        <f t="shared" ca="1" si="24"/>
        <v/>
      </c>
      <c r="G287" s="287" t="str">
        <f t="shared" ca="1" si="25"/>
        <v/>
      </c>
      <c r="H287" s="288" t="str">
        <f t="shared" ca="1" si="26"/>
        <v/>
      </c>
      <c r="I287" s="308"/>
      <c r="J287" s="309" t="s">
        <v>220</v>
      </c>
      <c r="K287" s="310"/>
      <c r="L287" s="310"/>
      <c r="M287" s="310"/>
      <c r="N287" s="310"/>
      <c r="O287" s="310"/>
      <c r="P287" s="310"/>
      <c r="Q287" s="311" t="s">
        <v>81</v>
      </c>
      <c r="R287" s="312"/>
      <c r="S287" s="313"/>
      <c r="T287" s="314"/>
      <c r="U287" s="315"/>
      <c r="V287" s="314"/>
      <c r="W287" s="316"/>
      <c r="X287" s="317"/>
      <c r="Y287" s="318"/>
      <c r="Z287" s="319"/>
      <c r="AA287" s="300"/>
      <c r="AB287" s="301"/>
      <c r="AC287" s="302"/>
      <c r="AD287" s="303"/>
      <c r="AE287" s="304"/>
      <c r="AF287" s="305"/>
      <c r="AG287" s="305">
        <f t="shared" si="27"/>
        <v>0</v>
      </c>
      <c r="AH287" s="305">
        <f t="shared" si="28"/>
        <v>0</v>
      </c>
      <c r="AI287" s="305">
        <f t="shared" si="29"/>
        <v>0</v>
      </c>
      <c r="AJ287" s="305">
        <f t="shared" si="30"/>
        <v>0</v>
      </c>
      <c r="AK287" s="305" t="str">
        <f t="shared" si="31"/>
        <v/>
      </c>
      <c r="AL287" s="306">
        <f t="shared" ca="1" si="32"/>
        <v>1</v>
      </c>
      <c r="AM287" s="306">
        <f t="shared" ca="1" si="33"/>
        <v>41</v>
      </c>
      <c r="AN287" s="306">
        <f t="shared" ca="1" si="34"/>
        <v>0</v>
      </c>
      <c r="AO287" s="306">
        <f t="shared" ca="1" si="35"/>
        <v>0</v>
      </c>
      <c r="AP287" s="306">
        <f t="shared" ca="1" si="36"/>
        <v>0</v>
      </c>
      <c r="AQ287" s="306">
        <f t="shared" ca="1" si="37"/>
        <v>0</v>
      </c>
      <c r="AR287" s="306">
        <f t="shared" ca="1" si="38"/>
        <v>0</v>
      </c>
      <c r="AS287" s="307"/>
      <c r="AT287" s="306">
        <f t="shared" si="39"/>
        <v>1</v>
      </c>
    </row>
    <row r="288" spans="1:46" ht="15.75" customHeight="1">
      <c r="A288" s="284"/>
      <c r="B288" s="285">
        <f t="shared" ca="1" si="20"/>
        <v>1</v>
      </c>
      <c r="C288" s="286">
        <f t="shared" ca="1" si="21"/>
        <v>41</v>
      </c>
      <c r="D288" s="286">
        <f t="shared" ca="1" si="22"/>
        <v>1</v>
      </c>
      <c r="E288" s="286" t="str">
        <f t="shared" ca="1" si="23"/>
        <v/>
      </c>
      <c r="F288" s="286" t="str">
        <f t="shared" ca="1" si="24"/>
        <v/>
      </c>
      <c r="G288" s="287" t="str">
        <f t="shared" ca="1" si="25"/>
        <v/>
      </c>
      <c r="H288" s="288" t="str">
        <f t="shared" ca="1" si="26"/>
        <v/>
      </c>
      <c r="I288" s="308"/>
      <c r="J288" s="320"/>
      <c r="K288" s="320" t="s">
        <v>59</v>
      </c>
      <c r="L288" s="320"/>
      <c r="M288" s="320"/>
      <c r="N288" s="320"/>
      <c r="O288" s="320"/>
      <c r="P288" s="320"/>
      <c r="Q288" s="321"/>
      <c r="R288" s="322"/>
      <c r="S288" s="331"/>
      <c r="T288" s="325"/>
      <c r="U288" s="330"/>
      <c r="V288" s="325"/>
      <c r="W288" s="326">
        <v>0</v>
      </c>
      <c r="X288" s="327"/>
      <c r="Y288" s="328"/>
      <c r="Z288" s="329"/>
      <c r="AA288" s="300"/>
      <c r="AB288" s="301"/>
      <c r="AC288" s="302"/>
      <c r="AD288" s="303"/>
      <c r="AE288" s="304"/>
      <c r="AF288" s="305"/>
      <c r="AG288" s="305">
        <f t="shared" si="27"/>
        <v>0</v>
      </c>
      <c r="AH288" s="305">
        <f t="shared" si="28"/>
        <v>0</v>
      </c>
      <c r="AI288" s="305">
        <f t="shared" si="29"/>
        <v>0</v>
      </c>
      <c r="AJ288" s="305">
        <f t="shared" si="30"/>
        <v>0</v>
      </c>
      <c r="AK288" s="305" t="str">
        <f t="shared" si="31"/>
        <v/>
      </c>
      <c r="AL288" s="306">
        <f t="shared" ca="1" si="32"/>
        <v>1</v>
      </c>
      <c r="AM288" s="306">
        <f t="shared" ca="1" si="33"/>
        <v>41</v>
      </c>
      <c r="AN288" s="306">
        <f t="shared" ca="1" si="34"/>
        <v>1</v>
      </c>
      <c r="AO288" s="306">
        <f t="shared" ca="1" si="35"/>
        <v>0</v>
      </c>
      <c r="AP288" s="306">
        <f t="shared" ca="1" si="36"/>
        <v>0</v>
      </c>
      <c r="AQ288" s="306">
        <f t="shared" ca="1" si="37"/>
        <v>0</v>
      </c>
      <c r="AR288" s="306">
        <f t="shared" ca="1" si="38"/>
        <v>0</v>
      </c>
      <c r="AS288" s="307"/>
      <c r="AT288" s="306">
        <f t="shared" si="39"/>
        <v>1</v>
      </c>
    </row>
    <row r="289" spans="1:46" ht="15.75" customHeight="1">
      <c r="A289" s="284"/>
      <c r="B289" s="285">
        <f t="shared" ca="1" si="20"/>
        <v>1</v>
      </c>
      <c r="C289" s="286">
        <f t="shared" ca="1" si="21"/>
        <v>41</v>
      </c>
      <c r="D289" s="286">
        <f t="shared" ca="1" si="22"/>
        <v>2</v>
      </c>
      <c r="E289" s="286" t="str">
        <f t="shared" ca="1" si="23"/>
        <v/>
      </c>
      <c r="F289" s="286" t="str">
        <f t="shared" ca="1" si="24"/>
        <v/>
      </c>
      <c r="G289" s="287" t="str">
        <f t="shared" ca="1" si="25"/>
        <v/>
      </c>
      <c r="H289" s="288" t="str">
        <f t="shared" ca="1" si="26"/>
        <v/>
      </c>
      <c r="I289" s="308"/>
      <c r="J289" s="320"/>
      <c r="K289" s="320" t="s">
        <v>145</v>
      </c>
      <c r="L289" s="320"/>
      <c r="M289" s="320"/>
      <c r="N289" s="320"/>
      <c r="O289" s="320"/>
      <c r="P289" s="320"/>
      <c r="Q289" s="321"/>
      <c r="R289" s="322"/>
      <c r="S289" s="331"/>
      <c r="T289" s="325"/>
      <c r="U289" s="330"/>
      <c r="V289" s="325"/>
      <c r="W289" s="326">
        <v>0</v>
      </c>
      <c r="X289" s="327"/>
      <c r="Y289" s="328"/>
      <c r="Z289" s="329"/>
      <c r="AA289" s="300"/>
      <c r="AB289" s="301"/>
      <c r="AC289" s="302"/>
      <c r="AD289" s="303"/>
      <c r="AE289" s="304"/>
      <c r="AF289" s="305"/>
      <c r="AG289" s="305">
        <f t="shared" si="27"/>
        <v>0</v>
      </c>
      <c r="AH289" s="305">
        <f t="shared" si="28"/>
        <v>0</v>
      </c>
      <c r="AI289" s="305">
        <f t="shared" si="29"/>
        <v>0</v>
      </c>
      <c r="AJ289" s="305">
        <f t="shared" si="30"/>
        <v>0</v>
      </c>
      <c r="AK289" s="305" t="str">
        <f t="shared" si="31"/>
        <v/>
      </c>
      <c r="AL289" s="306">
        <f t="shared" ca="1" si="32"/>
        <v>1</v>
      </c>
      <c r="AM289" s="306">
        <f t="shared" ca="1" si="33"/>
        <v>41</v>
      </c>
      <c r="AN289" s="306">
        <f t="shared" ca="1" si="34"/>
        <v>2</v>
      </c>
      <c r="AO289" s="306">
        <f t="shared" ca="1" si="35"/>
        <v>0</v>
      </c>
      <c r="AP289" s="306">
        <f t="shared" ca="1" si="36"/>
        <v>0</v>
      </c>
      <c r="AQ289" s="306">
        <f t="shared" ca="1" si="37"/>
        <v>0</v>
      </c>
      <c r="AR289" s="306">
        <f t="shared" ca="1" si="38"/>
        <v>0</v>
      </c>
      <c r="AS289" s="307"/>
      <c r="AT289" s="306">
        <f t="shared" si="39"/>
        <v>1</v>
      </c>
    </row>
    <row r="290" spans="1:46" ht="15.75" customHeight="1">
      <c r="A290" s="284"/>
      <c r="B290" s="285">
        <f t="shared" ca="1" si="20"/>
        <v>1</v>
      </c>
      <c r="C290" s="286">
        <f t="shared" ca="1" si="21"/>
        <v>41</v>
      </c>
      <c r="D290" s="286">
        <f t="shared" ca="1" si="22"/>
        <v>3</v>
      </c>
      <c r="E290" s="286" t="str">
        <f t="shared" ca="1" si="23"/>
        <v/>
      </c>
      <c r="F290" s="286" t="str">
        <f t="shared" ca="1" si="24"/>
        <v/>
      </c>
      <c r="G290" s="287" t="str">
        <f t="shared" ca="1" si="25"/>
        <v/>
      </c>
      <c r="H290" s="288" t="str">
        <f t="shared" ca="1" si="26"/>
        <v/>
      </c>
      <c r="I290" s="308"/>
      <c r="J290" s="320"/>
      <c r="K290" s="320" t="s">
        <v>63</v>
      </c>
      <c r="L290" s="320"/>
      <c r="M290" s="320"/>
      <c r="N290" s="320"/>
      <c r="O290" s="320"/>
      <c r="P290" s="320"/>
      <c r="Q290" s="321"/>
      <c r="R290" s="322"/>
      <c r="S290" s="331"/>
      <c r="T290" s="325"/>
      <c r="U290" s="330"/>
      <c r="V290" s="325"/>
      <c r="W290" s="326">
        <v>0</v>
      </c>
      <c r="X290" s="327"/>
      <c r="Y290" s="328"/>
      <c r="Z290" s="329"/>
      <c r="AA290" s="300"/>
      <c r="AB290" s="301"/>
      <c r="AC290" s="302"/>
      <c r="AD290" s="303"/>
      <c r="AE290" s="304"/>
      <c r="AF290" s="305"/>
      <c r="AG290" s="305">
        <f t="shared" si="27"/>
        <v>0</v>
      </c>
      <c r="AH290" s="305">
        <f t="shared" si="28"/>
        <v>0</v>
      </c>
      <c r="AI290" s="305">
        <f t="shared" si="29"/>
        <v>0</v>
      </c>
      <c r="AJ290" s="305">
        <f t="shared" si="30"/>
        <v>0</v>
      </c>
      <c r="AK290" s="305" t="str">
        <f t="shared" si="31"/>
        <v/>
      </c>
      <c r="AL290" s="306">
        <f t="shared" ca="1" si="32"/>
        <v>1</v>
      </c>
      <c r="AM290" s="306">
        <f t="shared" ca="1" si="33"/>
        <v>41</v>
      </c>
      <c r="AN290" s="306">
        <f t="shared" ca="1" si="34"/>
        <v>3</v>
      </c>
      <c r="AO290" s="306">
        <f t="shared" ca="1" si="35"/>
        <v>0</v>
      </c>
      <c r="AP290" s="306">
        <f t="shared" ca="1" si="36"/>
        <v>0</v>
      </c>
      <c r="AQ290" s="306">
        <f t="shared" ca="1" si="37"/>
        <v>0</v>
      </c>
      <c r="AR290" s="306">
        <f t="shared" ca="1" si="38"/>
        <v>0</v>
      </c>
      <c r="AS290" s="307"/>
      <c r="AT290" s="306">
        <f t="shared" si="39"/>
        <v>1</v>
      </c>
    </row>
    <row r="291" spans="1:46" ht="15.75" customHeight="1">
      <c r="A291" s="284"/>
      <c r="B291" s="285">
        <f t="shared" ca="1" si="20"/>
        <v>1</v>
      </c>
      <c r="C291" s="286">
        <f t="shared" ca="1" si="21"/>
        <v>41</v>
      </c>
      <c r="D291" s="286">
        <f t="shared" ca="1" si="22"/>
        <v>4</v>
      </c>
      <c r="E291" s="286" t="str">
        <f t="shared" ca="1" si="23"/>
        <v/>
      </c>
      <c r="F291" s="286" t="str">
        <f t="shared" ca="1" si="24"/>
        <v/>
      </c>
      <c r="G291" s="287" t="str">
        <f t="shared" ca="1" si="25"/>
        <v/>
      </c>
      <c r="H291" s="288" t="str">
        <f t="shared" ca="1" si="26"/>
        <v/>
      </c>
      <c r="I291" s="308"/>
      <c r="J291" s="320"/>
      <c r="K291" s="320" t="s">
        <v>64</v>
      </c>
      <c r="L291" s="320"/>
      <c r="M291" s="320"/>
      <c r="N291" s="320"/>
      <c r="O291" s="320"/>
      <c r="P291" s="320"/>
      <c r="Q291" s="321"/>
      <c r="R291" s="322"/>
      <c r="S291" s="331"/>
      <c r="T291" s="325"/>
      <c r="U291" s="330"/>
      <c r="V291" s="325"/>
      <c r="W291" s="326">
        <v>0</v>
      </c>
      <c r="X291" s="327"/>
      <c r="Y291" s="328"/>
      <c r="Z291" s="329"/>
      <c r="AA291" s="300"/>
      <c r="AB291" s="301"/>
      <c r="AC291" s="302"/>
      <c r="AD291" s="303"/>
      <c r="AE291" s="304"/>
      <c r="AF291" s="305"/>
      <c r="AG291" s="305">
        <f t="shared" si="27"/>
        <v>0</v>
      </c>
      <c r="AH291" s="305">
        <f t="shared" si="28"/>
        <v>0</v>
      </c>
      <c r="AI291" s="305">
        <f t="shared" si="29"/>
        <v>0</v>
      </c>
      <c r="AJ291" s="305">
        <f t="shared" si="30"/>
        <v>0</v>
      </c>
      <c r="AK291" s="305" t="str">
        <f t="shared" si="31"/>
        <v/>
      </c>
      <c r="AL291" s="306">
        <f t="shared" ca="1" si="32"/>
        <v>1</v>
      </c>
      <c r="AM291" s="306">
        <f t="shared" ca="1" si="33"/>
        <v>41</v>
      </c>
      <c r="AN291" s="306">
        <f t="shared" ca="1" si="34"/>
        <v>4</v>
      </c>
      <c r="AO291" s="306">
        <f t="shared" ca="1" si="35"/>
        <v>0</v>
      </c>
      <c r="AP291" s="306">
        <f t="shared" ca="1" si="36"/>
        <v>0</v>
      </c>
      <c r="AQ291" s="306">
        <f t="shared" ca="1" si="37"/>
        <v>0</v>
      </c>
      <c r="AR291" s="306">
        <f t="shared" ca="1" si="38"/>
        <v>0</v>
      </c>
      <c r="AS291" s="307"/>
      <c r="AT291" s="306">
        <f t="shared" si="39"/>
        <v>1</v>
      </c>
    </row>
    <row r="292" spans="1:46" ht="15.75" customHeight="1">
      <c r="A292" s="284"/>
      <c r="B292" s="285">
        <f t="shared" ca="1" si="20"/>
        <v>1</v>
      </c>
      <c r="C292" s="286">
        <f t="shared" ca="1" si="21"/>
        <v>41</v>
      </c>
      <c r="D292" s="286">
        <f t="shared" ca="1" si="22"/>
        <v>5</v>
      </c>
      <c r="E292" s="286" t="str">
        <f t="shared" ca="1" si="23"/>
        <v/>
      </c>
      <c r="F292" s="286" t="str">
        <f t="shared" ca="1" si="24"/>
        <v/>
      </c>
      <c r="G292" s="287" t="str">
        <f t="shared" ca="1" si="25"/>
        <v/>
      </c>
      <c r="H292" s="288" t="str">
        <f t="shared" ca="1" si="26"/>
        <v/>
      </c>
      <c r="I292" s="308"/>
      <c r="J292" s="320"/>
      <c r="K292" s="320" t="s">
        <v>65</v>
      </c>
      <c r="L292" s="320"/>
      <c r="M292" s="320"/>
      <c r="N292" s="320"/>
      <c r="O292" s="320"/>
      <c r="P292" s="320"/>
      <c r="Q292" s="321"/>
      <c r="R292" s="322"/>
      <c r="S292" s="331"/>
      <c r="T292" s="325"/>
      <c r="U292" s="330"/>
      <c r="V292" s="325"/>
      <c r="W292" s="326">
        <v>0</v>
      </c>
      <c r="X292" s="327"/>
      <c r="Y292" s="328"/>
      <c r="Z292" s="329"/>
      <c r="AA292" s="300"/>
      <c r="AB292" s="301"/>
      <c r="AC292" s="302"/>
      <c r="AD292" s="303"/>
      <c r="AE292" s="304"/>
      <c r="AF292" s="305"/>
      <c r="AG292" s="305">
        <f t="shared" si="27"/>
        <v>0</v>
      </c>
      <c r="AH292" s="305">
        <f t="shared" si="28"/>
        <v>0</v>
      </c>
      <c r="AI292" s="305">
        <f t="shared" si="29"/>
        <v>0</v>
      </c>
      <c r="AJ292" s="305">
        <f t="shared" si="30"/>
        <v>0</v>
      </c>
      <c r="AK292" s="305" t="str">
        <f t="shared" si="31"/>
        <v/>
      </c>
      <c r="AL292" s="306">
        <f t="shared" ca="1" si="32"/>
        <v>1</v>
      </c>
      <c r="AM292" s="306">
        <f t="shared" ca="1" si="33"/>
        <v>41</v>
      </c>
      <c r="AN292" s="306">
        <f t="shared" ca="1" si="34"/>
        <v>5</v>
      </c>
      <c r="AO292" s="306">
        <f t="shared" ca="1" si="35"/>
        <v>0</v>
      </c>
      <c r="AP292" s="306">
        <f t="shared" ca="1" si="36"/>
        <v>0</v>
      </c>
      <c r="AQ292" s="306">
        <f t="shared" ca="1" si="37"/>
        <v>0</v>
      </c>
      <c r="AR292" s="306">
        <f t="shared" ca="1" si="38"/>
        <v>0</v>
      </c>
      <c r="AS292" s="307"/>
      <c r="AT292" s="306">
        <f t="shared" si="39"/>
        <v>1</v>
      </c>
    </row>
    <row r="293" spans="1:46" ht="15.75" customHeight="1">
      <c r="A293" s="284"/>
      <c r="B293" s="285">
        <f t="shared" ca="1" si="20"/>
        <v>1</v>
      </c>
      <c r="C293" s="286">
        <f t="shared" ca="1" si="21"/>
        <v>41</v>
      </c>
      <c r="D293" s="286">
        <f t="shared" ca="1" si="22"/>
        <v>6</v>
      </c>
      <c r="E293" s="286" t="str">
        <f t="shared" ca="1" si="23"/>
        <v/>
      </c>
      <c r="F293" s="286" t="str">
        <f t="shared" ca="1" si="24"/>
        <v/>
      </c>
      <c r="G293" s="287" t="str">
        <f t="shared" ca="1" si="25"/>
        <v/>
      </c>
      <c r="H293" s="288" t="str">
        <f t="shared" ca="1" si="26"/>
        <v/>
      </c>
      <c r="I293" s="308"/>
      <c r="J293" s="320"/>
      <c r="K293" s="320" t="s">
        <v>66</v>
      </c>
      <c r="L293" s="320"/>
      <c r="M293" s="320"/>
      <c r="N293" s="320"/>
      <c r="O293" s="320"/>
      <c r="P293" s="320"/>
      <c r="Q293" s="321"/>
      <c r="R293" s="322"/>
      <c r="S293" s="331"/>
      <c r="T293" s="325"/>
      <c r="U293" s="330"/>
      <c r="V293" s="325"/>
      <c r="W293" s="326">
        <v>0</v>
      </c>
      <c r="X293" s="327"/>
      <c r="Y293" s="328"/>
      <c r="Z293" s="329"/>
      <c r="AA293" s="300"/>
      <c r="AB293" s="301"/>
      <c r="AC293" s="302"/>
      <c r="AD293" s="303"/>
      <c r="AE293" s="304"/>
      <c r="AF293" s="305"/>
      <c r="AG293" s="305">
        <f t="shared" si="27"/>
        <v>0</v>
      </c>
      <c r="AH293" s="305">
        <f t="shared" si="28"/>
        <v>0</v>
      </c>
      <c r="AI293" s="305">
        <f t="shared" si="29"/>
        <v>0</v>
      </c>
      <c r="AJ293" s="305">
        <f t="shared" si="30"/>
        <v>0</v>
      </c>
      <c r="AK293" s="305" t="str">
        <f t="shared" si="31"/>
        <v/>
      </c>
      <c r="AL293" s="306">
        <f t="shared" ca="1" si="32"/>
        <v>1</v>
      </c>
      <c r="AM293" s="306">
        <f t="shared" ca="1" si="33"/>
        <v>41</v>
      </c>
      <c r="AN293" s="306">
        <f t="shared" ca="1" si="34"/>
        <v>6</v>
      </c>
      <c r="AO293" s="306">
        <f t="shared" ca="1" si="35"/>
        <v>0</v>
      </c>
      <c r="AP293" s="306">
        <f t="shared" ca="1" si="36"/>
        <v>0</v>
      </c>
      <c r="AQ293" s="306">
        <f t="shared" ca="1" si="37"/>
        <v>0</v>
      </c>
      <c r="AR293" s="306">
        <f t="shared" ca="1" si="38"/>
        <v>0</v>
      </c>
      <c r="AS293" s="307"/>
      <c r="AT293" s="306">
        <f t="shared" si="39"/>
        <v>1</v>
      </c>
    </row>
    <row r="294" spans="1:46" ht="15.75" customHeight="1">
      <c r="A294" s="284"/>
      <c r="B294" s="285">
        <f t="shared" ca="1" si="20"/>
        <v>1</v>
      </c>
      <c r="C294" s="286">
        <f t="shared" ca="1" si="21"/>
        <v>42</v>
      </c>
      <c r="D294" s="286" t="str">
        <f t="shared" ca="1" si="22"/>
        <v/>
      </c>
      <c r="E294" s="286" t="str">
        <f t="shared" ca="1" si="23"/>
        <v/>
      </c>
      <c r="F294" s="286" t="str">
        <f t="shared" ca="1" si="24"/>
        <v/>
      </c>
      <c r="G294" s="287" t="str">
        <f t="shared" ca="1" si="25"/>
        <v/>
      </c>
      <c r="H294" s="288" t="str">
        <f t="shared" ca="1" si="26"/>
        <v/>
      </c>
      <c r="I294" s="308"/>
      <c r="J294" s="309" t="s">
        <v>221</v>
      </c>
      <c r="K294" s="310"/>
      <c r="L294" s="310"/>
      <c r="M294" s="310"/>
      <c r="N294" s="310"/>
      <c r="O294" s="310"/>
      <c r="P294" s="310"/>
      <c r="Q294" s="311" t="s">
        <v>81</v>
      </c>
      <c r="R294" s="312"/>
      <c r="S294" s="313"/>
      <c r="T294" s="314"/>
      <c r="U294" s="315"/>
      <c r="V294" s="314"/>
      <c r="W294" s="316"/>
      <c r="X294" s="317"/>
      <c r="Y294" s="318"/>
      <c r="Z294" s="319"/>
      <c r="AA294" s="300"/>
      <c r="AB294" s="301"/>
      <c r="AC294" s="302"/>
      <c r="AD294" s="303"/>
      <c r="AE294" s="304"/>
      <c r="AF294" s="305"/>
      <c r="AG294" s="305">
        <f t="shared" si="27"/>
        <v>0</v>
      </c>
      <c r="AH294" s="305">
        <f t="shared" si="28"/>
        <v>0</v>
      </c>
      <c r="AI294" s="305">
        <f t="shared" si="29"/>
        <v>0</v>
      </c>
      <c r="AJ294" s="305">
        <f t="shared" si="30"/>
        <v>0</v>
      </c>
      <c r="AK294" s="305" t="str">
        <f t="shared" si="31"/>
        <v/>
      </c>
      <c r="AL294" s="306">
        <f t="shared" ca="1" si="32"/>
        <v>1</v>
      </c>
      <c r="AM294" s="306">
        <f t="shared" ca="1" si="33"/>
        <v>42</v>
      </c>
      <c r="AN294" s="306">
        <f t="shared" ca="1" si="34"/>
        <v>0</v>
      </c>
      <c r="AO294" s="306">
        <f t="shared" ca="1" si="35"/>
        <v>0</v>
      </c>
      <c r="AP294" s="306">
        <f t="shared" ca="1" si="36"/>
        <v>0</v>
      </c>
      <c r="AQ294" s="306">
        <f t="shared" ca="1" si="37"/>
        <v>0</v>
      </c>
      <c r="AR294" s="306">
        <f t="shared" ca="1" si="38"/>
        <v>0</v>
      </c>
      <c r="AS294" s="307"/>
      <c r="AT294" s="306">
        <f t="shared" si="39"/>
        <v>1</v>
      </c>
    </row>
    <row r="295" spans="1:46" ht="15.75" customHeight="1">
      <c r="A295" s="284"/>
      <c r="B295" s="285">
        <f t="shared" ca="1" si="20"/>
        <v>1</v>
      </c>
      <c r="C295" s="286">
        <f t="shared" ca="1" si="21"/>
        <v>42</v>
      </c>
      <c r="D295" s="286">
        <f t="shared" ca="1" si="22"/>
        <v>1</v>
      </c>
      <c r="E295" s="286" t="str">
        <f t="shared" ca="1" si="23"/>
        <v/>
      </c>
      <c r="F295" s="286" t="str">
        <f t="shared" ca="1" si="24"/>
        <v/>
      </c>
      <c r="G295" s="287" t="str">
        <f t="shared" ca="1" si="25"/>
        <v/>
      </c>
      <c r="H295" s="288" t="str">
        <f t="shared" ca="1" si="26"/>
        <v/>
      </c>
      <c r="I295" s="308"/>
      <c r="J295" s="320"/>
      <c r="K295" s="320" t="s">
        <v>59</v>
      </c>
      <c r="L295" s="320"/>
      <c r="M295" s="320"/>
      <c r="N295" s="320"/>
      <c r="O295" s="320"/>
      <c r="P295" s="320"/>
      <c r="Q295" s="321"/>
      <c r="R295" s="322"/>
      <c r="S295" s="331"/>
      <c r="T295" s="325"/>
      <c r="U295" s="330"/>
      <c r="V295" s="325"/>
      <c r="W295" s="326">
        <v>0</v>
      </c>
      <c r="X295" s="327"/>
      <c r="Y295" s="328"/>
      <c r="Z295" s="329"/>
      <c r="AA295" s="300"/>
      <c r="AB295" s="301"/>
      <c r="AC295" s="302"/>
      <c r="AD295" s="303"/>
      <c r="AE295" s="304"/>
      <c r="AF295" s="305"/>
      <c r="AG295" s="305">
        <f t="shared" si="27"/>
        <v>0</v>
      </c>
      <c r="AH295" s="305">
        <f t="shared" si="28"/>
        <v>0</v>
      </c>
      <c r="AI295" s="305">
        <f t="shared" si="29"/>
        <v>0</v>
      </c>
      <c r="AJ295" s="305">
        <f t="shared" si="30"/>
        <v>0</v>
      </c>
      <c r="AK295" s="305" t="str">
        <f t="shared" si="31"/>
        <v/>
      </c>
      <c r="AL295" s="306">
        <f t="shared" ca="1" si="32"/>
        <v>1</v>
      </c>
      <c r="AM295" s="306">
        <f t="shared" ca="1" si="33"/>
        <v>42</v>
      </c>
      <c r="AN295" s="306">
        <f t="shared" ca="1" si="34"/>
        <v>1</v>
      </c>
      <c r="AO295" s="306">
        <f t="shared" ca="1" si="35"/>
        <v>0</v>
      </c>
      <c r="AP295" s="306">
        <f t="shared" ca="1" si="36"/>
        <v>0</v>
      </c>
      <c r="AQ295" s="306">
        <f t="shared" ca="1" si="37"/>
        <v>0</v>
      </c>
      <c r="AR295" s="306">
        <f t="shared" ca="1" si="38"/>
        <v>0</v>
      </c>
      <c r="AS295" s="307"/>
      <c r="AT295" s="306">
        <f t="shared" si="39"/>
        <v>1</v>
      </c>
    </row>
    <row r="296" spans="1:46" ht="15.75" customHeight="1">
      <c r="A296" s="284"/>
      <c r="B296" s="285">
        <f t="shared" ca="1" si="20"/>
        <v>1</v>
      </c>
      <c r="C296" s="286">
        <f t="shared" ca="1" si="21"/>
        <v>42</v>
      </c>
      <c r="D296" s="286">
        <f t="shared" ca="1" si="22"/>
        <v>2</v>
      </c>
      <c r="E296" s="286" t="str">
        <f t="shared" ca="1" si="23"/>
        <v/>
      </c>
      <c r="F296" s="286" t="str">
        <f t="shared" ca="1" si="24"/>
        <v/>
      </c>
      <c r="G296" s="287" t="str">
        <f t="shared" ca="1" si="25"/>
        <v/>
      </c>
      <c r="H296" s="288" t="str">
        <f t="shared" ca="1" si="26"/>
        <v/>
      </c>
      <c r="I296" s="308"/>
      <c r="J296" s="320"/>
      <c r="K296" s="320" t="s">
        <v>145</v>
      </c>
      <c r="L296" s="320"/>
      <c r="M296" s="320"/>
      <c r="N296" s="320"/>
      <c r="O296" s="320"/>
      <c r="P296" s="320"/>
      <c r="Q296" s="321"/>
      <c r="R296" s="322"/>
      <c r="S296" s="331"/>
      <c r="T296" s="325"/>
      <c r="U296" s="330"/>
      <c r="V296" s="325"/>
      <c r="W296" s="326">
        <v>0</v>
      </c>
      <c r="X296" s="327"/>
      <c r="Y296" s="328"/>
      <c r="Z296" s="329"/>
      <c r="AA296" s="300"/>
      <c r="AB296" s="301"/>
      <c r="AC296" s="302"/>
      <c r="AD296" s="303"/>
      <c r="AE296" s="304"/>
      <c r="AF296" s="305"/>
      <c r="AG296" s="305">
        <f t="shared" si="27"/>
        <v>0</v>
      </c>
      <c r="AH296" s="305">
        <f t="shared" si="28"/>
        <v>0</v>
      </c>
      <c r="AI296" s="305">
        <f t="shared" si="29"/>
        <v>0</v>
      </c>
      <c r="AJ296" s="305">
        <f t="shared" si="30"/>
        <v>0</v>
      </c>
      <c r="AK296" s="305" t="str">
        <f t="shared" si="31"/>
        <v/>
      </c>
      <c r="AL296" s="306">
        <f t="shared" ca="1" si="32"/>
        <v>1</v>
      </c>
      <c r="AM296" s="306">
        <f t="shared" ca="1" si="33"/>
        <v>42</v>
      </c>
      <c r="AN296" s="306">
        <f t="shared" ca="1" si="34"/>
        <v>2</v>
      </c>
      <c r="AO296" s="306">
        <f t="shared" ca="1" si="35"/>
        <v>0</v>
      </c>
      <c r="AP296" s="306">
        <f t="shared" ca="1" si="36"/>
        <v>0</v>
      </c>
      <c r="AQ296" s="306">
        <f t="shared" ca="1" si="37"/>
        <v>0</v>
      </c>
      <c r="AR296" s="306">
        <f t="shared" ca="1" si="38"/>
        <v>0</v>
      </c>
      <c r="AS296" s="307"/>
      <c r="AT296" s="306">
        <f t="shared" si="39"/>
        <v>1</v>
      </c>
    </row>
    <row r="297" spans="1:46" ht="15.75" customHeight="1">
      <c r="A297" s="284"/>
      <c r="B297" s="285">
        <f t="shared" ca="1" si="20"/>
        <v>1</v>
      </c>
      <c r="C297" s="286">
        <f t="shared" ca="1" si="21"/>
        <v>42</v>
      </c>
      <c r="D297" s="286">
        <f t="shared" ca="1" si="22"/>
        <v>3</v>
      </c>
      <c r="E297" s="286" t="str">
        <f t="shared" ca="1" si="23"/>
        <v/>
      </c>
      <c r="F297" s="286" t="str">
        <f t="shared" ca="1" si="24"/>
        <v/>
      </c>
      <c r="G297" s="287" t="str">
        <f t="shared" ca="1" si="25"/>
        <v/>
      </c>
      <c r="H297" s="288" t="str">
        <f t="shared" ca="1" si="26"/>
        <v/>
      </c>
      <c r="I297" s="308"/>
      <c r="J297" s="320"/>
      <c r="K297" s="320" t="s">
        <v>63</v>
      </c>
      <c r="L297" s="320"/>
      <c r="M297" s="320"/>
      <c r="N297" s="320"/>
      <c r="O297" s="320"/>
      <c r="P297" s="320"/>
      <c r="Q297" s="321"/>
      <c r="R297" s="322"/>
      <c r="S297" s="331"/>
      <c r="T297" s="325"/>
      <c r="U297" s="330"/>
      <c r="V297" s="325"/>
      <c r="W297" s="326">
        <v>0</v>
      </c>
      <c r="X297" s="327"/>
      <c r="Y297" s="328"/>
      <c r="Z297" s="329"/>
      <c r="AA297" s="300"/>
      <c r="AB297" s="301"/>
      <c r="AC297" s="302"/>
      <c r="AD297" s="303"/>
      <c r="AE297" s="304"/>
      <c r="AF297" s="305"/>
      <c r="AG297" s="305">
        <f t="shared" si="27"/>
        <v>0</v>
      </c>
      <c r="AH297" s="305">
        <f t="shared" si="28"/>
        <v>0</v>
      </c>
      <c r="AI297" s="305">
        <f t="shared" si="29"/>
        <v>0</v>
      </c>
      <c r="AJ297" s="305">
        <f t="shared" si="30"/>
        <v>0</v>
      </c>
      <c r="AK297" s="305" t="str">
        <f t="shared" si="31"/>
        <v/>
      </c>
      <c r="AL297" s="306">
        <f t="shared" ca="1" si="32"/>
        <v>1</v>
      </c>
      <c r="AM297" s="306">
        <f t="shared" ca="1" si="33"/>
        <v>42</v>
      </c>
      <c r="AN297" s="306">
        <f t="shared" ca="1" si="34"/>
        <v>3</v>
      </c>
      <c r="AO297" s="306">
        <f t="shared" ca="1" si="35"/>
        <v>0</v>
      </c>
      <c r="AP297" s="306">
        <f t="shared" ca="1" si="36"/>
        <v>0</v>
      </c>
      <c r="AQ297" s="306">
        <f t="shared" ca="1" si="37"/>
        <v>0</v>
      </c>
      <c r="AR297" s="306">
        <f t="shared" ca="1" si="38"/>
        <v>0</v>
      </c>
      <c r="AS297" s="307"/>
      <c r="AT297" s="306">
        <f t="shared" si="39"/>
        <v>1</v>
      </c>
    </row>
    <row r="298" spans="1:46" ht="15.75" customHeight="1">
      <c r="A298" s="284"/>
      <c r="B298" s="285">
        <f t="shared" ca="1" si="20"/>
        <v>1</v>
      </c>
      <c r="C298" s="286">
        <f t="shared" ca="1" si="21"/>
        <v>42</v>
      </c>
      <c r="D298" s="286">
        <f t="shared" ca="1" si="22"/>
        <v>4</v>
      </c>
      <c r="E298" s="286" t="str">
        <f t="shared" ca="1" si="23"/>
        <v/>
      </c>
      <c r="F298" s="286" t="str">
        <f t="shared" ca="1" si="24"/>
        <v/>
      </c>
      <c r="G298" s="287" t="str">
        <f t="shared" ca="1" si="25"/>
        <v/>
      </c>
      <c r="H298" s="288" t="str">
        <f t="shared" ca="1" si="26"/>
        <v/>
      </c>
      <c r="I298" s="308"/>
      <c r="J298" s="320"/>
      <c r="K298" s="320" t="s">
        <v>64</v>
      </c>
      <c r="L298" s="320"/>
      <c r="M298" s="320"/>
      <c r="N298" s="320"/>
      <c r="O298" s="320"/>
      <c r="P298" s="320"/>
      <c r="Q298" s="321"/>
      <c r="R298" s="322"/>
      <c r="S298" s="331"/>
      <c r="T298" s="325"/>
      <c r="U298" s="330"/>
      <c r="V298" s="325"/>
      <c r="W298" s="326">
        <v>0</v>
      </c>
      <c r="X298" s="327"/>
      <c r="Y298" s="328"/>
      <c r="Z298" s="329"/>
      <c r="AA298" s="300"/>
      <c r="AB298" s="301"/>
      <c r="AC298" s="302"/>
      <c r="AD298" s="303"/>
      <c r="AE298" s="304"/>
      <c r="AF298" s="305"/>
      <c r="AG298" s="305">
        <f t="shared" si="27"/>
        <v>0</v>
      </c>
      <c r="AH298" s="305">
        <f t="shared" si="28"/>
        <v>0</v>
      </c>
      <c r="AI298" s="305">
        <f t="shared" si="29"/>
        <v>0</v>
      </c>
      <c r="AJ298" s="305">
        <f t="shared" si="30"/>
        <v>0</v>
      </c>
      <c r="AK298" s="305" t="str">
        <f t="shared" si="31"/>
        <v/>
      </c>
      <c r="AL298" s="306">
        <f t="shared" ca="1" si="32"/>
        <v>1</v>
      </c>
      <c r="AM298" s="306">
        <f t="shared" ca="1" si="33"/>
        <v>42</v>
      </c>
      <c r="AN298" s="306">
        <f t="shared" ca="1" si="34"/>
        <v>4</v>
      </c>
      <c r="AO298" s="306">
        <f t="shared" ca="1" si="35"/>
        <v>0</v>
      </c>
      <c r="AP298" s="306">
        <f t="shared" ca="1" si="36"/>
        <v>0</v>
      </c>
      <c r="AQ298" s="306">
        <f t="shared" ca="1" si="37"/>
        <v>0</v>
      </c>
      <c r="AR298" s="306">
        <f t="shared" ca="1" si="38"/>
        <v>0</v>
      </c>
      <c r="AS298" s="307"/>
      <c r="AT298" s="306">
        <f t="shared" si="39"/>
        <v>1</v>
      </c>
    </row>
    <row r="299" spans="1:46" ht="15.75" customHeight="1">
      <c r="A299" s="284"/>
      <c r="B299" s="285">
        <f t="shared" ca="1" si="20"/>
        <v>1</v>
      </c>
      <c r="C299" s="286">
        <f t="shared" ca="1" si="21"/>
        <v>42</v>
      </c>
      <c r="D299" s="286">
        <f t="shared" ca="1" si="22"/>
        <v>5</v>
      </c>
      <c r="E299" s="286" t="str">
        <f t="shared" ca="1" si="23"/>
        <v/>
      </c>
      <c r="F299" s="286" t="str">
        <f t="shared" ca="1" si="24"/>
        <v/>
      </c>
      <c r="G299" s="287" t="str">
        <f t="shared" ca="1" si="25"/>
        <v/>
      </c>
      <c r="H299" s="288" t="str">
        <f t="shared" ca="1" si="26"/>
        <v/>
      </c>
      <c r="I299" s="308"/>
      <c r="J299" s="320"/>
      <c r="K299" s="320" t="s">
        <v>65</v>
      </c>
      <c r="L299" s="320"/>
      <c r="M299" s="320"/>
      <c r="N299" s="320"/>
      <c r="O299" s="320"/>
      <c r="P299" s="320"/>
      <c r="Q299" s="321"/>
      <c r="R299" s="322"/>
      <c r="S299" s="331"/>
      <c r="T299" s="325"/>
      <c r="U299" s="330"/>
      <c r="V299" s="325"/>
      <c r="W299" s="326">
        <v>0</v>
      </c>
      <c r="X299" s="327"/>
      <c r="Y299" s="328"/>
      <c r="Z299" s="329"/>
      <c r="AA299" s="300"/>
      <c r="AB299" s="301"/>
      <c r="AC299" s="302"/>
      <c r="AD299" s="303"/>
      <c r="AE299" s="304"/>
      <c r="AF299" s="305"/>
      <c r="AG299" s="305">
        <f t="shared" si="27"/>
        <v>0</v>
      </c>
      <c r="AH299" s="305">
        <f t="shared" si="28"/>
        <v>0</v>
      </c>
      <c r="AI299" s="305">
        <f t="shared" si="29"/>
        <v>0</v>
      </c>
      <c r="AJ299" s="305">
        <f t="shared" si="30"/>
        <v>0</v>
      </c>
      <c r="AK299" s="305" t="str">
        <f t="shared" si="31"/>
        <v/>
      </c>
      <c r="AL299" s="306">
        <f t="shared" ca="1" si="32"/>
        <v>1</v>
      </c>
      <c r="AM299" s="306">
        <f t="shared" ca="1" si="33"/>
        <v>42</v>
      </c>
      <c r="AN299" s="306">
        <f t="shared" ca="1" si="34"/>
        <v>5</v>
      </c>
      <c r="AO299" s="306">
        <f t="shared" ca="1" si="35"/>
        <v>0</v>
      </c>
      <c r="AP299" s="306">
        <f t="shared" ca="1" si="36"/>
        <v>0</v>
      </c>
      <c r="AQ299" s="306">
        <f t="shared" ca="1" si="37"/>
        <v>0</v>
      </c>
      <c r="AR299" s="306">
        <f t="shared" ca="1" si="38"/>
        <v>0</v>
      </c>
      <c r="AS299" s="307"/>
      <c r="AT299" s="306">
        <f t="shared" si="39"/>
        <v>1</v>
      </c>
    </row>
    <row r="300" spans="1:46" ht="15.75" customHeight="1">
      <c r="A300" s="284"/>
      <c r="B300" s="285">
        <f t="shared" ca="1" si="20"/>
        <v>1</v>
      </c>
      <c r="C300" s="286">
        <f t="shared" ca="1" si="21"/>
        <v>42</v>
      </c>
      <c r="D300" s="286">
        <f t="shared" ca="1" si="22"/>
        <v>6</v>
      </c>
      <c r="E300" s="286" t="str">
        <f t="shared" ca="1" si="23"/>
        <v/>
      </c>
      <c r="F300" s="286" t="str">
        <f t="shared" ca="1" si="24"/>
        <v/>
      </c>
      <c r="G300" s="287" t="str">
        <f t="shared" ca="1" si="25"/>
        <v/>
      </c>
      <c r="H300" s="288" t="str">
        <f t="shared" ca="1" si="26"/>
        <v/>
      </c>
      <c r="I300" s="308"/>
      <c r="J300" s="320"/>
      <c r="K300" s="320" t="s">
        <v>66</v>
      </c>
      <c r="L300" s="320"/>
      <c r="M300" s="320"/>
      <c r="N300" s="320"/>
      <c r="O300" s="320"/>
      <c r="P300" s="320"/>
      <c r="Q300" s="321"/>
      <c r="R300" s="322"/>
      <c r="S300" s="331"/>
      <c r="T300" s="325"/>
      <c r="U300" s="330"/>
      <c r="V300" s="325"/>
      <c r="W300" s="326">
        <v>0</v>
      </c>
      <c r="X300" s="327"/>
      <c r="Y300" s="328"/>
      <c r="Z300" s="329"/>
      <c r="AA300" s="300"/>
      <c r="AB300" s="301"/>
      <c r="AC300" s="302"/>
      <c r="AD300" s="303"/>
      <c r="AE300" s="304"/>
      <c r="AF300" s="305"/>
      <c r="AG300" s="305">
        <f t="shared" si="27"/>
        <v>0</v>
      </c>
      <c r="AH300" s="305">
        <f t="shared" si="28"/>
        <v>0</v>
      </c>
      <c r="AI300" s="305">
        <f t="shared" si="29"/>
        <v>0</v>
      </c>
      <c r="AJ300" s="305">
        <f t="shared" si="30"/>
        <v>0</v>
      </c>
      <c r="AK300" s="305" t="str">
        <f t="shared" si="31"/>
        <v/>
      </c>
      <c r="AL300" s="306">
        <f t="shared" ca="1" si="32"/>
        <v>1</v>
      </c>
      <c r="AM300" s="306">
        <f t="shared" ca="1" si="33"/>
        <v>42</v>
      </c>
      <c r="AN300" s="306">
        <f t="shared" ca="1" si="34"/>
        <v>6</v>
      </c>
      <c r="AO300" s="306">
        <f t="shared" ca="1" si="35"/>
        <v>0</v>
      </c>
      <c r="AP300" s="306">
        <f t="shared" ca="1" si="36"/>
        <v>0</v>
      </c>
      <c r="AQ300" s="306">
        <f t="shared" ca="1" si="37"/>
        <v>0</v>
      </c>
      <c r="AR300" s="306">
        <f t="shared" ca="1" si="38"/>
        <v>0</v>
      </c>
      <c r="AS300" s="307"/>
      <c r="AT300" s="306">
        <f t="shared" si="39"/>
        <v>1</v>
      </c>
    </row>
    <row r="301" spans="1:46" ht="15.75" customHeight="1">
      <c r="A301" s="284"/>
      <c r="B301" s="285">
        <f t="shared" ca="1" si="20"/>
        <v>1</v>
      </c>
      <c r="C301" s="286">
        <f t="shared" ca="1" si="21"/>
        <v>43</v>
      </c>
      <c r="D301" s="286" t="str">
        <f t="shared" ca="1" si="22"/>
        <v/>
      </c>
      <c r="E301" s="286" t="str">
        <f t="shared" ca="1" si="23"/>
        <v/>
      </c>
      <c r="F301" s="286" t="str">
        <f t="shared" ca="1" si="24"/>
        <v/>
      </c>
      <c r="G301" s="287" t="str">
        <f t="shared" ca="1" si="25"/>
        <v/>
      </c>
      <c r="H301" s="288" t="str">
        <f t="shared" ca="1" si="26"/>
        <v/>
      </c>
      <c r="I301" s="308"/>
      <c r="J301" s="309" t="s">
        <v>222</v>
      </c>
      <c r="K301" s="310"/>
      <c r="L301" s="310"/>
      <c r="M301" s="310"/>
      <c r="N301" s="310"/>
      <c r="O301" s="310"/>
      <c r="P301" s="310"/>
      <c r="Q301" s="311" t="s">
        <v>81</v>
      </c>
      <c r="R301" s="312"/>
      <c r="S301" s="313"/>
      <c r="T301" s="314"/>
      <c r="U301" s="315"/>
      <c r="V301" s="314"/>
      <c r="W301" s="316"/>
      <c r="X301" s="317"/>
      <c r="Y301" s="318"/>
      <c r="Z301" s="319"/>
      <c r="AA301" s="300"/>
      <c r="AB301" s="301"/>
      <c r="AC301" s="302"/>
      <c r="AD301" s="303"/>
      <c r="AE301" s="304"/>
      <c r="AF301" s="305"/>
      <c r="AG301" s="305">
        <f t="shared" si="27"/>
        <v>0</v>
      </c>
      <c r="AH301" s="305">
        <f t="shared" si="28"/>
        <v>0</v>
      </c>
      <c r="AI301" s="305">
        <f t="shared" si="29"/>
        <v>0</v>
      </c>
      <c r="AJ301" s="305">
        <f t="shared" si="30"/>
        <v>0</v>
      </c>
      <c r="AK301" s="305" t="str">
        <f t="shared" si="31"/>
        <v/>
      </c>
      <c r="AL301" s="306">
        <f t="shared" ca="1" si="32"/>
        <v>1</v>
      </c>
      <c r="AM301" s="306">
        <f t="shared" ca="1" si="33"/>
        <v>43</v>
      </c>
      <c r="AN301" s="306">
        <f t="shared" ca="1" si="34"/>
        <v>0</v>
      </c>
      <c r="AO301" s="306">
        <f t="shared" ca="1" si="35"/>
        <v>0</v>
      </c>
      <c r="AP301" s="306">
        <f t="shared" ca="1" si="36"/>
        <v>0</v>
      </c>
      <c r="AQ301" s="306">
        <f t="shared" ca="1" si="37"/>
        <v>0</v>
      </c>
      <c r="AR301" s="306">
        <f t="shared" ca="1" si="38"/>
        <v>0</v>
      </c>
      <c r="AS301" s="307"/>
      <c r="AT301" s="306">
        <f t="shared" si="39"/>
        <v>1</v>
      </c>
    </row>
    <row r="302" spans="1:46" ht="15.75" customHeight="1">
      <c r="A302" s="284"/>
      <c r="B302" s="285">
        <f t="shared" ca="1" si="20"/>
        <v>1</v>
      </c>
      <c r="C302" s="286">
        <f t="shared" ca="1" si="21"/>
        <v>43</v>
      </c>
      <c r="D302" s="286">
        <f t="shared" ca="1" si="22"/>
        <v>1</v>
      </c>
      <c r="E302" s="286" t="str">
        <f t="shared" ca="1" si="23"/>
        <v/>
      </c>
      <c r="F302" s="286" t="str">
        <f t="shared" ca="1" si="24"/>
        <v/>
      </c>
      <c r="G302" s="287" t="str">
        <f t="shared" ca="1" si="25"/>
        <v/>
      </c>
      <c r="H302" s="288" t="str">
        <f t="shared" ca="1" si="26"/>
        <v/>
      </c>
      <c r="I302" s="308"/>
      <c r="J302" s="320"/>
      <c r="K302" s="320" t="s">
        <v>59</v>
      </c>
      <c r="L302" s="320"/>
      <c r="M302" s="320"/>
      <c r="N302" s="320"/>
      <c r="O302" s="320"/>
      <c r="P302" s="320"/>
      <c r="Q302" s="321"/>
      <c r="R302" s="322"/>
      <c r="S302" s="331"/>
      <c r="T302" s="325"/>
      <c r="U302" s="330"/>
      <c r="V302" s="325"/>
      <c r="W302" s="326">
        <v>0</v>
      </c>
      <c r="X302" s="327"/>
      <c r="Y302" s="328"/>
      <c r="Z302" s="329"/>
      <c r="AA302" s="300"/>
      <c r="AB302" s="301"/>
      <c r="AC302" s="302"/>
      <c r="AD302" s="303"/>
      <c r="AE302" s="304"/>
      <c r="AF302" s="305"/>
      <c r="AG302" s="305">
        <f t="shared" si="27"/>
        <v>0</v>
      </c>
      <c r="AH302" s="305">
        <f t="shared" si="28"/>
        <v>0</v>
      </c>
      <c r="AI302" s="305">
        <f t="shared" si="29"/>
        <v>0</v>
      </c>
      <c r="AJ302" s="305">
        <f t="shared" si="30"/>
        <v>0</v>
      </c>
      <c r="AK302" s="305" t="str">
        <f t="shared" si="31"/>
        <v/>
      </c>
      <c r="AL302" s="306">
        <f t="shared" ca="1" si="32"/>
        <v>1</v>
      </c>
      <c r="AM302" s="306">
        <f t="shared" ca="1" si="33"/>
        <v>43</v>
      </c>
      <c r="AN302" s="306">
        <f t="shared" ca="1" si="34"/>
        <v>1</v>
      </c>
      <c r="AO302" s="306">
        <f t="shared" ca="1" si="35"/>
        <v>0</v>
      </c>
      <c r="AP302" s="306">
        <f t="shared" ca="1" si="36"/>
        <v>0</v>
      </c>
      <c r="AQ302" s="306">
        <f t="shared" ca="1" si="37"/>
        <v>0</v>
      </c>
      <c r="AR302" s="306">
        <f t="shared" ca="1" si="38"/>
        <v>0</v>
      </c>
      <c r="AS302" s="307"/>
      <c r="AT302" s="306">
        <f t="shared" si="39"/>
        <v>1</v>
      </c>
    </row>
    <row r="303" spans="1:46" ht="15.75" customHeight="1">
      <c r="A303" s="284"/>
      <c r="B303" s="285">
        <f t="shared" ca="1" si="20"/>
        <v>1</v>
      </c>
      <c r="C303" s="286">
        <f t="shared" ca="1" si="21"/>
        <v>43</v>
      </c>
      <c r="D303" s="286">
        <f t="shared" ca="1" si="22"/>
        <v>2</v>
      </c>
      <c r="E303" s="286" t="str">
        <f t="shared" ca="1" si="23"/>
        <v/>
      </c>
      <c r="F303" s="286" t="str">
        <f t="shared" ca="1" si="24"/>
        <v/>
      </c>
      <c r="G303" s="287" t="str">
        <f t="shared" ca="1" si="25"/>
        <v/>
      </c>
      <c r="H303" s="288" t="str">
        <f t="shared" ca="1" si="26"/>
        <v/>
      </c>
      <c r="I303" s="308"/>
      <c r="J303" s="320"/>
      <c r="K303" s="320" t="s">
        <v>145</v>
      </c>
      <c r="L303" s="320"/>
      <c r="M303" s="320"/>
      <c r="N303" s="320"/>
      <c r="O303" s="320"/>
      <c r="P303" s="320"/>
      <c r="Q303" s="321"/>
      <c r="R303" s="322"/>
      <c r="S303" s="331"/>
      <c r="T303" s="325"/>
      <c r="U303" s="330"/>
      <c r="V303" s="325"/>
      <c r="W303" s="326">
        <v>0</v>
      </c>
      <c r="X303" s="327"/>
      <c r="Y303" s="328"/>
      <c r="Z303" s="329"/>
      <c r="AA303" s="300"/>
      <c r="AB303" s="301"/>
      <c r="AC303" s="302"/>
      <c r="AD303" s="303"/>
      <c r="AE303" s="304"/>
      <c r="AF303" s="305"/>
      <c r="AG303" s="305">
        <f t="shared" si="27"/>
        <v>0</v>
      </c>
      <c r="AH303" s="305">
        <f t="shared" si="28"/>
        <v>0</v>
      </c>
      <c r="AI303" s="305">
        <f t="shared" si="29"/>
        <v>0</v>
      </c>
      <c r="AJ303" s="305">
        <f t="shared" si="30"/>
        <v>0</v>
      </c>
      <c r="AK303" s="305" t="str">
        <f t="shared" si="31"/>
        <v/>
      </c>
      <c r="AL303" s="306">
        <f t="shared" ca="1" si="32"/>
        <v>1</v>
      </c>
      <c r="AM303" s="306">
        <f t="shared" ca="1" si="33"/>
        <v>43</v>
      </c>
      <c r="AN303" s="306">
        <f t="shared" ca="1" si="34"/>
        <v>2</v>
      </c>
      <c r="AO303" s="306">
        <f t="shared" ca="1" si="35"/>
        <v>0</v>
      </c>
      <c r="AP303" s="306">
        <f t="shared" ca="1" si="36"/>
        <v>0</v>
      </c>
      <c r="AQ303" s="306">
        <f t="shared" ca="1" si="37"/>
        <v>0</v>
      </c>
      <c r="AR303" s="306">
        <f t="shared" ca="1" si="38"/>
        <v>0</v>
      </c>
      <c r="AS303" s="307"/>
      <c r="AT303" s="306">
        <f t="shared" si="39"/>
        <v>1</v>
      </c>
    </row>
    <row r="304" spans="1:46" ht="15.75" customHeight="1">
      <c r="A304" s="284"/>
      <c r="B304" s="285">
        <f t="shared" ca="1" si="20"/>
        <v>1</v>
      </c>
      <c r="C304" s="286">
        <f t="shared" ca="1" si="21"/>
        <v>43</v>
      </c>
      <c r="D304" s="286">
        <f t="shared" ca="1" si="22"/>
        <v>3</v>
      </c>
      <c r="E304" s="286" t="str">
        <f t="shared" ca="1" si="23"/>
        <v/>
      </c>
      <c r="F304" s="286" t="str">
        <f t="shared" ca="1" si="24"/>
        <v/>
      </c>
      <c r="G304" s="287" t="str">
        <f t="shared" ca="1" si="25"/>
        <v/>
      </c>
      <c r="H304" s="288" t="str">
        <f t="shared" ca="1" si="26"/>
        <v/>
      </c>
      <c r="I304" s="308"/>
      <c r="J304" s="320"/>
      <c r="K304" s="320" t="s">
        <v>63</v>
      </c>
      <c r="L304" s="320"/>
      <c r="M304" s="320"/>
      <c r="N304" s="320"/>
      <c r="O304" s="320"/>
      <c r="P304" s="320"/>
      <c r="Q304" s="321"/>
      <c r="R304" s="322"/>
      <c r="S304" s="331"/>
      <c r="T304" s="325"/>
      <c r="U304" s="330"/>
      <c r="V304" s="325"/>
      <c r="W304" s="326">
        <v>0</v>
      </c>
      <c r="X304" s="327"/>
      <c r="Y304" s="328"/>
      <c r="Z304" s="329"/>
      <c r="AA304" s="300"/>
      <c r="AB304" s="301"/>
      <c r="AC304" s="302"/>
      <c r="AD304" s="303"/>
      <c r="AE304" s="304"/>
      <c r="AF304" s="305"/>
      <c r="AG304" s="305">
        <f t="shared" si="27"/>
        <v>0</v>
      </c>
      <c r="AH304" s="305">
        <f t="shared" si="28"/>
        <v>0</v>
      </c>
      <c r="AI304" s="305">
        <f t="shared" si="29"/>
        <v>0</v>
      </c>
      <c r="AJ304" s="305">
        <f t="shared" si="30"/>
        <v>0</v>
      </c>
      <c r="AK304" s="305" t="str">
        <f t="shared" si="31"/>
        <v/>
      </c>
      <c r="AL304" s="306">
        <f t="shared" ca="1" si="32"/>
        <v>1</v>
      </c>
      <c r="AM304" s="306">
        <f t="shared" ca="1" si="33"/>
        <v>43</v>
      </c>
      <c r="AN304" s="306">
        <f t="shared" ca="1" si="34"/>
        <v>3</v>
      </c>
      <c r="AO304" s="306">
        <f t="shared" ca="1" si="35"/>
        <v>0</v>
      </c>
      <c r="AP304" s="306">
        <f t="shared" ca="1" si="36"/>
        <v>0</v>
      </c>
      <c r="AQ304" s="306">
        <f t="shared" ca="1" si="37"/>
        <v>0</v>
      </c>
      <c r="AR304" s="306">
        <f t="shared" ca="1" si="38"/>
        <v>0</v>
      </c>
      <c r="AS304" s="307"/>
      <c r="AT304" s="306">
        <f t="shared" si="39"/>
        <v>1</v>
      </c>
    </row>
    <row r="305" spans="1:46" ht="15.75" customHeight="1">
      <c r="A305" s="284"/>
      <c r="B305" s="285">
        <f t="shared" ca="1" si="20"/>
        <v>1</v>
      </c>
      <c r="C305" s="286">
        <f t="shared" ca="1" si="21"/>
        <v>43</v>
      </c>
      <c r="D305" s="286">
        <f t="shared" ca="1" si="22"/>
        <v>4</v>
      </c>
      <c r="E305" s="286" t="str">
        <f t="shared" ca="1" si="23"/>
        <v/>
      </c>
      <c r="F305" s="286" t="str">
        <f t="shared" ca="1" si="24"/>
        <v/>
      </c>
      <c r="G305" s="287" t="str">
        <f t="shared" ca="1" si="25"/>
        <v/>
      </c>
      <c r="H305" s="288" t="str">
        <f t="shared" ca="1" si="26"/>
        <v/>
      </c>
      <c r="I305" s="308"/>
      <c r="J305" s="320"/>
      <c r="K305" s="320" t="s">
        <v>64</v>
      </c>
      <c r="L305" s="320"/>
      <c r="M305" s="320"/>
      <c r="N305" s="320"/>
      <c r="O305" s="320"/>
      <c r="P305" s="320"/>
      <c r="Q305" s="321"/>
      <c r="R305" s="322"/>
      <c r="S305" s="331"/>
      <c r="T305" s="325"/>
      <c r="U305" s="330"/>
      <c r="V305" s="325"/>
      <c r="W305" s="326">
        <v>0</v>
      </c>
      <c r="X305" s="327"/>
      <c r="Y305" s="328"/>
      <c r="Z305" s="329"/>
      <c r="AA305" s="300"/>
      <c r="AB305" s="301"/>
      <c r="AC305" s="302"/>
      <c r="AD305" s="303"/>
      <c r="AE305" s="304"/>
      <c r="AF305" s="305"/>
      <c r="AG305" s="305">
        <f t="shared" si="27"/>
        <v>0</v>
      </c>
      <c r="AH305" s="305">
        <f t="shared" si="28"/>
        <v>0</v>
      </c>
      <c r="AI305" s="305">
        <f t="shared" si="29"/>
        <v>0</v>
      </c>
      <c r="AJ305" s="305">
        <f t="shared" si="30"/>
        <v>0</v>
      </c>
      <c r="AK305" s="305" t="str">
        <f t="shared" si="31"/>
        <v/>
      </c>
      <c r="AL305" s="306">
        <f t="shared" ca="1" si="32"/>
        <v>1</v>
      </c>
      <c r="AM305" s="306">
        <f t="shared" ca="1" si="33"/>
        <v>43</v>
      </c>
      <c r="AN305" s="306">
        <f t="shared" ca="1" si="34"/>
        <v>4</v>
      </c>
      <c r="AO305" s="306">
        <f t="shared" ca="1" si="35"/>
        <v>0</v>
      </c>
      <c r="AP305" s="306">
        <f t="shared" ca="1" si="36"/>
        <v>0</v>
      </c>
      <c r="AQ305" s="306">
        <f t="shared" ca="1" si="37"/>
        <v>0</v>
      </c>
      <c r="AR305" s="306">
        <f t="shared" ca="1" si="38"/>
        <v>0</v>
      </c>
      <c r="AS305" s="307"/>
      <c r="AT305" s="306">
        <f t="shared" si="39"/>
        <v>1</v>
      </c>
    </row>
    <row r="306" spans="1:46" ht="15.75" customHeight="1">
      <c r="A306" s="284"/>
      <c r="B306" s="285">
        <f t="shared" ca="1" si="20"/>
        <v>1</v>
      </c>
      <c r="C306" s="286">
        <f t="shared" ca="1" si="21"/>
        <v>43</v>
      </c>
      <c r="D306" s="286">
        <f t="shared" ca="1" si="22"/>
        <v>5</v>
      </c>
      <c r="E306" s="286" t="str">
        <f t="shared" ca="1" si="23"/>
        <v/>
      </c>
      <c r="F306" s="286" t="str">
        <f t="shared" ca="1" si="24"/>
        <v/>
      </c>
      <c r="G306" s="287" t="str">
        <f t="shared" ca="1" si="25"/>
        <v/>
      </c>
      <c r="H306" s="288" t="str">
        <f t="shared" ca="1" si="26"/>
        <v/>
      </c>
      <c r="I306" s="308"/>
      <c r="J306" s="320"/>
      <c r="K306" s="320" t="s">
        <v>65</v>
      </c>
      <c r="L306" s="320"/>
      <c r="M306" s="320"/>
      <c r="N306" s="320"/>
      <c r="O306" s="320"/>
      <c r="P306" s="320"/>
      <c r="Q306" s="321"/>
      <c r="R306" s="322"/>
      <c r="S306" s="331"/>
      <c r="T306" s="325"/>
      <c r="U306" s="330"/>
      <c r="V306" s="325"/>
      <c r="W306" s="326">
        <v>0</v>
      </c>
      <c r="X306" s="327"/>
      <c r="Y306" s="328"/>
      <c r="Z306" s="329"/>
      <c r="AA306" s="300"/>
      <c r="AB306" s="301"/>
      <c r="AC306" s="302"/>
      <c r="AD306" s="303"/>
      <c r="AE306" s="304"/>
      <c r="AF306" s="305"/>
      <c r="AG306" s="305">
        <f t="shared" si="27"/>
        <v>0</v>
      </c>
      <c r="AH306" s="305">
        <f t="shared" si="28"/>
        <v>0</v>
      </c>
      <c r="AI306" s="305">
        <f t="shared" si="29"/>
        <v>0</v>
      </c>
      <c r="AJ306" s="305">
        <f t="shared" si="30"/>
        <v>0</v>
      </c>
      <c r="AK306" s="305" t="str">
        <f t="shared" si="31"/>
        <v/>
      </c>
      <c r="AL306" s="306">
        <f t="shared" ca="1" si="32"/>
        <v>1</v>
      </c>
      <c r="AM306" s="306">
        <f t="shared" ca="1" si="33"/>
        <v>43</v>
      </c>
      <c r="AN306" s="306">
        <f t="shared" ca="1" si="34"/>
        <v>5</v>
      </c>
      <c r="AO306" s="306">
        <f t="shared" ca="1" si="35"/>
        <v>0</v>
      </c>
      <c r="AP306" s="306">
        <f t="shared" ca="1" si="36"/>
        <v>0</v>
      </c>
      <c r="AQ306" s="306">
        <f t="shared" ca="1" si="37"/>
        <v>0</v>
      </c>
      <c r="AR306" s="306">
        <f t="shared" ca="1" si="38"/>
        <v>0</v>
      </c>
      <c r="AS306" s="307"/>
      <c r="AT306" s="306">
        <f t="shared" si="39"/>
        <v>1</v>
      </c>
    </row>
    <row r="307" spans="1:46" ht="15.75" customHeight="1">
      <c r="A307" s="284"/>
      <c r="B307" s="285">
        <f t="shared" ca="1" si="20"/>
        <v>1</v>
      </c>
      <c r="C307" s="286">
        <f t="shared" ca="1" si="21"/>
        <v>43</v>
      </c>
      <c r="D307" s="286">
        <f t="shared" ca="1" si="22"/>
        <v>6</v>
      </c>
      <c r="E307" s="286" t="str">
        <f t="shared" ca="1" si="23"/>
        <v/>
      </c>
      <c r="F307" s="286" t="str">
        <f t="shared" ca="1" si="24"/>
        <v/>
      </c>
      <c r="G307" s="287" t="str">
        <f t="shared" ca="1" si="25"/>
        <v/>
      </c>
      <c r="H307" s="288" t="str">
        <f t="shared" ca="1" si="26"/>
        <v/>
      </c>
      <c r="I307" s="308"/>
      <c r="J307" s="320"/>
      <c r="K307" s="320" t="s">
        <v>66</v>
      </c>
      <c r="L307" s="320"/>
      <c r="M307" s="320"/>
      <c r="N307" s="320"/>
      <c r="O307" s="320"/>
      <c r="P307" s="320"/>
      <c r="Q307" s="321"/>
      <c r="R307" s="322"/>
      <c r="S307" s="331"/>
      <c r="T307" s="325"/>
      <c r="U307" s="330"/>
      <c r="V307" s="325"/>
      <c r="W307" s="326">
        <v>0</v>
      </c>
      <c r="X307" s="327"/>
      <c r="Y307" s="328"/>
      <c r="Z307" s="329"/>
      <c r="AA307" s="300"/>
      <c r="AB307" s="301"/>
      <c r="AC307" s="302"/>
      <c r="AD307" s="303"/>
      <c r="AE307" s="304"/>
      <c r="AF307" s="305"/>
      <c r="AG307" s="305">
        <f t="shared" si="27"/>
        <v>0</v>
      </c>
      <c r="AH307" s="305">
        <f t="shared" si="28"/>
        <v>0</v>
      </c>
      <c r="AI307" s="305">
        <f t="shared" si="29"/>
        <v>0</v>
      </c>
      <c r="AJ307" s="305">
        <f t="shared" si="30"/>
        <v>0</v>
      </c>
      <c r="AK307" s="305" t="str">
        <f t="shared" si="31"/>
        <v/>
      </c>
      <c r="AL307" s="306">
        <f t="shared" ca="1" si="32"/>
        <v>1</v>
      </c>
      <c r="AM307" s="306">
        <f t="shared" ca="1" si="33"/>
        <v>43</v>
      </c>
      <c r="AN307" s="306">
        <f t="shared" ca="1" si="34"/>
        <v>6</v>
      </c>
      <c r="AO307" s="306">
        <f t="shared" ca="1" si="35"/>
        <v>0</v>
      </c>
      <c r="AP307" s="306">
        <f t="shared" ca="1" si="36"/>
        <v>0</v>
      </c>
      <c r="AQ307" s="306">
        <f t="shared" ca="1" si="37"/>
        <v>0</v>
      </c>
      <c r="AR307" s="306">
        <f t="shared" ca="1" si="38"/>
        <v>0</v>
      </c>
      <c r="AS307" s="307"/>
      <c r="AT307" s="306">
        <f t="shared" si="39"/>
        <v>1</v>
      </c>
    </row>
    <row r="308" spans="1:46" ht="15.75" customHeight="1">
      <c r="A308" s="284"/>
      <c r="B308" s="285">
        <f t="shared" ca="1" si="20"/>
        <v>1</v>
      </c>
      <c r="C308" s="286">
        <f t="shared" ca="1" si="21"/>
        <v>44</v>
      </c>
      <c r="D308" s="286" t="str">
        <f t="shared" ca="1" si="22"/>
        <v/>
      </c>
      <c r="E308" s="286" t="str">
        <f t="shared" ca="1" si="23"/>
        <v/>
      </c>
      <c r="F308" s="286" t="str">
        <f t="shared" ca="1" si="24"/>
        <v/>
      </c>
      <c r="G308" s="287" t="str">
        <f t="shared" ca="1" si="25"/>
        <v/>
      </c>
      <c r="H308" s="288" t="str">
        <f t="shared" ca="1" si="26"/>
        <v/>
      </c>
      <c r="I308" s="308"/>
      <c r="J308" s="309" t="s">
        <v>223</v>
      </c>
      <c r="K308" s="310"/>
      <c r="L308" s="310"/>
      <c r="M308" s="310"/>
      <c r="N308" s="310"/>
      <c r="O308" s="310"/>
      <c r="P308" s="310"/>
      <c r="Q308" s="311" t="s">
        <v>81</v>
      </c>
      <c r="R308" s="312"/>
      <c r="S308" s="313"/>
      <c r="T308" s="314"/>
      <c r="U308" s="315"/>
      <c r="V308" s="314"/>
      <c r="W308" s="316"/>
      <c r="X308" s="317"/>
      <c r="Y308" s="318"/>
      <c r="Z308" s="319"/>
      <c r="AA308" s="300"/>
      <c r="AB308" s="301"/>
      <c r="AC308" s="302"/>
      <c r="AD308" s="303"/>
      <c r="AE308" s="304"/>
      <c r="AF308" s="305"/>
      <c r="AG308" s="305">
        <f t="shared" si="27"/>
        <v>0</v>
      </c>
      <c r="AH308" s="305">
        <f t="shared" si="28"/>
        <v>0</v>
      </c>
      <c r="AI308" s="305">
        <f t="shared" si="29"/>
        <v>0</v>
      </c>
      <c r="AJ308" s="305">
        <f t="shared" si="30"/>
        <v>0</v>
      </c>
      <c r="AK308" s="305" t="str">
        <f t="shared" si="31"/>
        <v/>
      </c>
      <c r="AL308" s="306">
        <f t="shared" ca="1" si="32"/>
        <v>1</v>
      </c>
      <c r="AM308" s="306">
        <f t="shared" ca="1" si="33"/>
        <v>44</v>
      </c>
      <c r="AN308" s="306">
        <f t="shared" ca="1" si="34"/>
        <v>0</v>
      </c>
      <c r="AO308" s="306">
        <f t="shared" ca="1" si="35"/>
        <v>0</v>
      </c>
      <c r="AP308" s="306">
        <f t="shared" ca="1" si="36"/>
        <v>0</v>
      </c>
      <c r="AQ308" s="306">
        <f t="shared" ca="1" si="37"/>
        <v>0</v>
      </c>
      <c r="AR308" s="306">
        <f t="shared" ca="1" si="38"/>
        <v>0</v>
      </c>
      <c r="AS308" s="307"/>
      <c r="AT308" s="306">
        <f t="shared" si="39"/>
        <v>1</v>
      </c>
    </row>
    <row r="309" spans="1:46" ht="15.75" customHeight="1">
      <c r="A309" s="284"/>
      <c r="B309" s="285">
        <f t="shared" ca="1" si="20"/>
        <v>1</v>
      </c>
      <c r="C309" s="286">
        <f t="shared" ca="1" si="21"/>
        <v>44</v>
      </c>
      <c r="D309" s="286">
        <f t="shared" ca="1" si="22"/>
        <v>1</v>
      </c>
      <c r="E309" s="286" t="str">
        <f t="shared" ca="1" si="23"/>
        <v/>
      </c>
      <c r="F309" s="286" t="str">
        <f t="shared" ca="1" si="24"/>
        <v/>
      </c>
      <c r="G309" s="287" t="str">
        <f t="shared" ca="1" si="25"/>
        <v/>
      </c>
      <c r="H309" s="288" t="str">
        <f t="shared" ca="1" si="26"/>
        <v/>
      </c>
      <c r="I309" s="308"/>
      <c r="J309" s="320"/>
      <c r="K309" s="320" t="s">
        <v>59</v>
      </c>
      <c r="L309" s="320"/>
      <c r="M309" s="320"/>
      <c r="N309" s="320"/>
      <c r="O309" s="320"/>
      <c r="P309" s="320"/>
      <c r="Q309" s="321"/>
      <c r="R309" s="322"/>
      <c r="S309" s="331"/>
      <c r="T309" s="325"/>
      <c r="U309" s="330"/>
      <c r="V309" s="325"/>
      <c r="W309" s="326">
        <v>0</v>
      </c>
      <c r="X309" s="327"/>
      <c r="Y309" s="328"/>
      <c r="Z309" s="329"/>
      <c r="AA309" s="300"/>
      <c r="AB309" s="301"/>
      <c r="AC309" s="302"/>
      <c r="AD309" s="303"/>
      <c r="AE309" s="304"/>
      <c r="AF309" s="305"/>
      <c r="AG309" s="305">
        <f t="shared" si="27"/>
        <v>0</v>
      </c>
      <c r="AH309" s="305">
        <f t="shared" si="28"/>
        <v>0</v>
      </c>
      <c r="AI309" s="305">
        <f t="shared" si="29"/>
        <v>0</v>
      </c>
      <c r="AJ309" s="305">
        <f t="shared" si="30"/>
        <v>0</v>
      </c>
      <c r="AK309" s="305" t="str">
        <f t="shared" si="31"/>
        <v/>
      </c>
      <c r="AL309" s="306">
        <f t="shared" ca="1" si="32"/>
        <v>1</v>
      </c>
      <c r="AM309" s="306">
        <f t="shared" ca="1" si="33"/>
        <v>44</v>
      </c>
      <c r="AN309" s="306">
        <f t="shared" ca="1" si="34"/>
        <v>1</v>
      </c>
      <c r="AO309" s="306">
        <f t="shared" ca="1" si="35"/>
        <v>0</v>
      </c>
      <c r="AP309" s="306">
        <f t="shared" ca="1" si="36"/>
        <v>0</v>
      </c>
      <c r="AQ309" s="306">
        <f t="shared" ca="1" si="37"/>
        <v>0</v>
      </c>
      <c r="AR309" s="306">
        <f t="shared" ca="1" si="38"/>
        <v>0</v>
      </c>
      <c r="AS309" s="307"/>
      <c r="AT309" s="306">
        <f t="shared" si="39"/>
        <v>1</v>
      </c>
    </row>
    <row r="310" spans="1:46" ht="15.75" customHeight="1">
      <c r="A310" s="284"/>
      <c r="B310" s="285">
        <f t="shared" ca="1" si="20"/>
        <v>1</v>
      </c>
      <c r="C310" s="286">
        <f t="shared" ca="1" si="21"/>
        <v>44</v>
      </c>
      <c r="D310" s="286">
        <f t="shared" ca="1" si="22"/>
        <v>2</v>
      </c>
      <c r="E310" s="286" t="str">
        <f t="shared" ca="1" si="23"/>
        <v/>
      </c>
      <c r="F310" s="286" t="str">
        <f t="shared" ca="1" si="24"/>
        <v/>
      </c>
      <c r="G310" s="287" t="str">
        <f t="shared" ca="1" si="25"/>
        <v/>
      </c>
      <c r="H310" s="288" t="str">
        <f t="shared" ca="1" si="26"/>
        <v/>
      </c>
      <c r="I310" s="308"/>
      <c r="J310" s="320"/>
      <c r="K310" s="320" t="s">
        <v>145</v>
      </c>
      <c r="L310" s="320"/>
      <c r="M310" s="320"/>
      <c r="N310" s="320"/>
      <c r="O310" s="320"/>
      <c r="P310" s="320"/>
      <c r="Q310" s="321"/>
      <c r="R310" s="322"/>
      <c r="S310" s="331"/>
      <c r="T310" s="325"/>
      <c r="U310" s="330"/>
      <c r="V310" s="325"/>
      <c r="W310" s="326">
        <v>0</v>
      </c>
      <c r="X310" s="327"/>
      <c r="Y310" s="328"/>
      <c r="Z310" s="329"/>
      <c r="AA310" s="300"/>
      <c r="AB310" s="301"/>
      <c r="AC310" s="302"/>
      <c r="AD310" s="303"/>
      <c r="AE310" s="304"/>
      <c r="AF310" s="305"/>
      <c r="AG310" s="305">
        <f t="shared" si="27"/>
        <v>0</v>
      </c>
      <c r="AH310" s="305">
        <f t="shared" si="28"/>
        <v>0</v>
      </c>
      <c r="AI310" s="305">
        <f t="shared" si="29"/>
        <v>0</v>
      </c>
      <c r="AJ310" s="305">
        <f t="shared" si="30"/>
        <v>0</v>
      </c>
      <c r="AK310" s="305" t="str">
        <f t="shared" si="31"/>
        <v/>
      </c>
      <c r="AL310" s="306">
        <f t="shared" ca="1" si="32"/>
        <v>1</v>
      </c>
      <c r="AM310" s="306">
        <f t="shared" ca="1" si="33"/>
        <v>44</v>
      </c>
      <c r="AN310" s="306">
        <f t="shared" ca="1" si="34"/>
        <v>2</v>
      </c>
      <c r="AO310" s="306">
        <f t="shared" ca="1" si="35"/>
        <v>0</v>
      </c>
      <c r="AP310" s="306">
        <f t="shared" ca="1" si="36"/>
        <v>0</v>
      </c>
      <c r="AQ310" s="306">
        <f t="shared" ca="1" si="37"/>
        <v>0</v>
      </c>
      <c r="AR310" s="306">
        <f t="shared" ca="1" si="38"/>
        <v>0</v>
      </c>
      <c r="AS310" s="307"/>
      <c r="AT310" s="306">
        <f t="shared" si="39"/>
        <v>1</v>
      </c>
    </row>
    <row r="311" spans="1:46" ht="15.75" customHeight="1">
      <c r="A311" s="284"/>
      <c r="B311" s="285">
        <f t="shared" ca="1" si="20"/>
        <v>1</v>
      </c>
      <c r="C311" s="286">
        <f t="shared" ca="1" si="21"/>
        <v>44</v>
      </c>
      <c r="D311" s="286">
        <f t="shared" ca="1" si="22"/>
        <v>3</v>
      </c>
      <c r="E311" s="286" t="str">
        <f t="shared" ca="1" si="23"/>
        <v/>
      </c>
      <c r="F311" s="286" t="str">
        <f t="shared" ca="1" si="24"/>
        <v/>
      </c>
      <c r="G311" s="287" t="str">
        <f t="shared" ca="1" si="25"/>
        <v/>
      </c>
      <c r="H311" s="288" t="str">
        <f t="shared" ca="1" si="26"/>
        <v/>
      </c>
      <c r="I311" s="308"/>
      <c r="J311" s="320"/>
      <c r="K311" s="320" t="s">
        <v>63</v>
      </c>
      <c r="L311" s="320"/>
      <c r="M311" s="320"/>
      <c r="N311" s="320"/>
      <c r="O311" s="320"/>
      <c r="P311" s="320"/>
      <c r="Q311" s="321"/>
      <c r="R311" s="322"/>
      <c r="S311" s="331"/>
      <c r="T311" s="325"/>
      <c r="U311" s="330"/>
      <c r="V311" s="325"/>
      <c r="W311" s="326">
        <v>0</v>
      </c>
      <c r="X311" s="327"/>
      <c r="Y311" s="328"/>
      <c r="Z311" s="329"/>
      <c r="AA311" s="300"/>
      <c r="AB311" s="301"/>
      <c r="AC311" s="302"/>
      <c r="AD311" s="303"/>
      <c r="AE311" s="304"/>
      <c r="AF311" s="305"/>
      <c r="AG311" s="305">
        <f t="shared" si="27"/>
        <v>0</v>
      </c>
      <c r="AH311" s="305">
        <f t="shared" si="28"/>
        <v>0</v>
      </c>
      <c r="AI311" s="305">
        <f t="shared" si="29"/>
        <v>0</v>
      </c>
      <c r="AJ311" s="305">
        <f t="shared" si="30"/>
        <v>0</v>
      </c>
      <c r="AK311" s="305" t="str">
        <f t="shared" si="31"/>
        <v/>
      </c>
      <c r="AL311" s="306">
        <f t="shared" ca="1" si="32"/>
        <v>1</v>
      </c>
      <c r="AM311" s="306">
        <f t="shared" ca="1" si="33"/>
        <v>44</v>
      </c>
      <c r="AN311" s="306">
        <f t="shared" ca="1" si="34"/>
        <v>3</v>
      </c>
      <c r="AO311" s="306">
        <f t="shared" ca="1" si="35"/>
        <v>0</v>
      </c>
      <c r="AP311" s="306">
        <f t="shared" ca="1" si="36"/>
        <v>0</v>
      </c>
      <c r="AQ311" s="306">
        <f t="shared" ca="1" si="37"/>
        <v>0</v>
      </c>
      <c r="AR311" s="306">
        <f t="shared" ca="1" si="38"/>
        <v>0</v>
      </c>
      <c r="AS311" s="307"/>
      <c r="AT311" s="306">
        <f t="shared" si="39"/>
        <v>1</v>
      </c>
    </row>
    <row r="312" spans="1:46" ht="15.75" customHeight="1">
      <c r="A312" s="284"/>
      <c r="B312" s="285">
        <f t="shared" ca="1" si="20"/>
        <v>1</v>
      </c>
      <c r="C312" s="286">
        <f t="shared" ca="1" si="21"/>
        <v>44</v>
      </c>
      <c r="D312" s="286">
        <f t="shared" ca="1" si="22"/>
        <v>4</v>
      </c>
      <c r="E312" s="286" t="str">
        <f t="shared" ca="1" si="23"/>
        <v/>
      </c>
      <c r="F312" s="286" t="str">
        <f t="shared" ca="1" si="24"/>
        <v/>
      </c>
      <c r="G312" s="287" t="str">
        <f t="shared" ca="1" si="25"/>
        <v/>
      </c>
      <c r="H312" s="288" t="str">
        <f t="shared" ca="1" si="26"/>
        <v/>
      </c>
      <c r="I312" s="308"/>
      <c r="J312" s="320"/>
      <c r="K312" s="320" t="s">
        <v>64</v>
      </c>
      <c r="L312" s="320"/>
      <c r="M312" s="320"/>
      <c r="N312" s="320"/>
      <c r="O312" s="320"/>
      <c r="P312" s="320"/>
      <c r="Q312" s="321"/>
      <c r="R312" s="322"/>
      <c r="S312" s="331"/>
      <c r="T312" s="325"/>
      <c r="U312" s="330"/>
      <c r="V312" s="325"/>
      <c r="W312" s="326">
        <v>0</v>
      </c>
      <c r="X312" s="327"/>
      <c r="Y312" s="328"/>
      <c r="Z312" s="329"/>
      <c r="AA312" s="300"/>
      <c r="AB312" s="301"/>
      <c r="AC312" s="302"/>
      <c r="AD312" s="303"/>
      <c r="AE312" s="304"/>
      <c r="AF312" s="305"/>
      <c r="AG312" s="305">
        <f t="shared" si="27"/>
        <v>0</v>
      </c>
      <c r="AH312" s="305">
        <f t="shared" si="28"/>
        <v>0</v>
      </c>
      <c r="AI312" s="305">
        <f t="shared" si="29"/>
        <v>0</v>
      </c>
      <c r="AJ312" s="305">
        <f t="shared" si="30"/>
        <v>0</v>
      </c>
      <c r="AK312" s="305" t="str">
        <f t="shared" si="31"/>
        <v/>
      </c>
      <c r="AL312" s="306">
        <f t="shared" ca="1" si="32"/>
        <v>1</v>
      </c>
      <c r="AM312" s="306">
        <f t="shared" ca="1" si="33"/>
        <v>44</v>
      </c>
      <c r="AN312" s="306">
        <f t="shared" ca="1" si="34"/>
        <v>4</v>
      </c>
      <c r="AO312" s="306">
        <f t="shared" ca="1" si="35"/>
        <v>0</v>
      </c>
      <c r="AP312" s="306">
        <f t="shared" ca="1" si="36"/>
        <v>0</v>
      </c>
      <c r="AQ312" s="306">
        <f t="shared" ca="1" si="37"/>
        <v>0</v>
      </c>
      <c r="AR312" s="306">
        <f t="shared" ca="1" si="38"/>
        <v>0</v>
      </c>
      <c r="AS312" s="307"/>
      <c r="AT312" s="306">
        <f t="shared" si="39"/>
        <v>1</v>
      </c>
    </row>
    <row r="313" spans="1:46" ht="15.75" customHeight="1">
      <c r="A313" s="284"/>
      <c r="B313" s="285">
        <f t="shared" ca="1" si="20"/>
        <v>1</v>
      </c>
      <c r="C313" s="286">
        <f t="shared" ca="1" si="21"/>
        <v>44</v>
      </c>
      <c r="D313" s="286">
        <f t="shared" ca="1" si="22"/>
        <v>5</v>
      </c>
      <c r="E313" s="286" t="str">
        <f t="shared" ca="1" si="23"/>
        <v/>
      </c>
      <c r="F313" s="286" t="str">
        <f t="shared" ca="1" si="24"/>
        <v/>
      </c>
      <c r="G313" s="287" t="str">
        <f t="shared" ca="1" si="25"/>
        <v/>
      </c>
      <c r="H313" s="288" t="str">
        <f t="shared" ca="1" si="26"/>
        <v/>
      </c>
      <c r="I313" s="308"/>
      <c r="J313" s="320"/>
      <c r="K313" s="320" t="s">
        <v>65</v>
      </c>
      <c r="L313" s="320"/>
      <c r="M313" s="320"/>
      <c r="N313" s="320"/>
      <c r="O313" s="320"/>
      <c r="P313" s="320"/>
      <c r="Q313" s="321"/>
      <c r="R313" s="322"/>
      <c r="S313" s="331"/>
      <c r="T313" s="325"/>
      <c r="U313" s="330"/>
      <c r="V313" s="325"/>
      <c r="W313" s="326">
        <v>0</v>
      </c>
      <c r="X313" s="327"/>
      <c r="Y313" s="328"/>
      <c r="Z313" s="329"/>
      <c r="AA313" s="300"/>
      <c r="AB313" s="301"/>
      <c r="AC313" s="302"/>
      <c r="AD313" s="303"/>
      <c r="AE313" s="304"/>
      <c r="AF313" s="305"/>
      <c r="AG313" s="305">
        <f t="shared" si="27"/>
        <v>0</v>
      </c>
      <c r="AH313" s="305">
        <f t="shared" si="28"/>
        <v>0</v>
      </c>
      <c r="AI313" s="305">
        <f t="shared" si="29"/>
        <v>0</v>
      </c>
      <c r="AJ313" s="305">
        <f t="shared" si="30"/>
        <v>0</v>
      </c>
      <c r="AK313" s="305" t="str">
        <f t="shared" si="31"/>
        <v/>
      </c>
      <c r="AL313" s="306">
        <f t="shared" ca="1" si="32"/>
        <v>1</v>
      </c>
      <c r="AM313" s="306">
        <f t="shared" ca="1" si="33"/>
        <v>44</v>
      </c>
      <c r="AN313" s="306">
        <f t="shared" ca="1" si="34"/>
        <v>5</v>
      </c>
      <c r="AO313" s="306">
        <f t="shared" ca="1" si="35"/>
        <v>0</v>
      </c>
      <c r="AP313" s="306">
        <f t="shared" ca="1" si="36"/>
        <v>0</v>
      </c>
      <c r="AQ313" s="306">
        <f t="shared" ca="1" si="37"/>
        <v>0</v>
      </c>
      <c r="AR313" s="306">
        <f t="shared" ca="1" si="38"/>
        <v>0</v>
      </c>
      <c r="AS313" s="307"/>
      <c r="AT313" s="306">
        <f t="shared" si="39"/>
        <v>1</v>
      </c>
    </row>
    <row r="314" spans="1:46" ht="15.75" customHeight="1">
      <c r="A314" s="284"/>
      <c r="B314" s="285">
        <f t="shared" ca="1" si="20"/>
        <v>1</v>
      </c>
      <c r="C314" s="286">
        <f t="shared" ca="1" si="21"/>
        <v>44</v>
      </c>
      <c r="D314" s="286">
        <f t="shared" ca="1" si="22"/>
        <v>6</v>
      </c>
      <c r="E314" s="286" t="str">
        <f t="shared" ca="1" si="23"/>
        <v/>
      </c>
      <c r="F314" s="286" t="str">
        <f t="shared" ca="1" si="24"/>
        <v/>
      </c>
      <c r="G314" s="287" t="str">
        <f t="shared" ca="1" si="25"/>
        <v/>
      </c>
      <c r="H314" s="288" t="str">
        <f t="shared" ca="1" si="26"/>
        <v/>
      </c>
      <c r="I314" s="308"/>
      <c r="J314" s="320"/>
      <c r="K314" s="320" t="s">
        <v>66</v>
      </c>
      <c r="L314" s="320"/>
      <c r="M314" s="320"/>
      <c r="N314" s="320"/>
      <c r="O314" s="320"/>
      <c r="P314" s="320"/>
      <c r="Q314" s="321"/>
      <c r="R314" s="322"/>
      <c r="S314" s="331"/>
      <c r="T314" s="325"/>
      <c r="U314" s="330"/>
      <c r="V314" s="325"/>
      <c r="W314" s="326">
        <v>0</v>
      </c>
      <c r="X314" s="327"/>
      <c r="Y314" s="328"/>
      <c r="Z314" s="329"/>
      <c r="AA314" s="300"/>
      <c r="AB314" s="301"/>
      <c r="AC314" s="302"/>
      <c r="AD314" s="303"/>
      <c r="AE314" s="304"/>
      <c r="AF314" s="305"/>
      <c r="AG314" s="305">
        <f t="shared" si="27"/>
        <v>0</v>
      </c>
      <c r="AH314" s="305">
        <f t="shared" si="28"/>
        <v>0</v>
      </c>
      <c r="AI314" s="305">
        <f t="shared" si="29"/>
        <v>0</v>
      </c>
      <c r="AJ314" s="305">
        <f t="shared" si="30"/>
        <v>0</v>
      </c>
      <c r="AK314" s="305" t="str">
        <f t="shared" si="31"/>
        <v/>
      </c>
      <c r="AL314" s="306">
        <f t="shared" ca="1" si="32"/>
        <v>1</v>
      </c>
      <c r="AM314" s="306">
        <f t="shared" ca="1" si="33"/>
        <v>44</v>
      </c>
      <c r="AN314" s="306">
        <f t="shared" ca="1" si="34"/>
        <v>6</v>
      </c>
      <c r="AO314" s="306">
        <f t="shared" ca="1" si="35"/>
        <v>0</v>
      </c>
      <c r="AP314" s="306">
        <f t="shared" ca="1" si="36"/>
        <v>0</v>
      </c>
      <c r="AQ314" s="306">
        <f t="shared" ca="1" si="37"/>
        <v>0</v>
      </c>
      <c r="AR314" s="306">
        <f t="shared" ca="1" si="38"/>
        <v>0</v>
      </c>
      <c r="AS314" s="307"/>
      <c r="AT314" s="306">
        <f t="shared" si="39"/>
        <v>1</v>
      </c>
    </row>
    <row r="315" spans="1:46" ht="15.75" customHeight="1">
      <c r="A315" s="284"/>
      <c r="B315" s="285">
        <f t="shared" ca="1" si="20"/>
        <v>1</v>
      </c>
      <c r="C315" s="286">
        <f t="shared" ca="1" si="21"/>
        <v>45</v>
      </c>
      <c r="D315" s="286" t="str">
        <f t="shared" ca="1" si="22"/>
        <v/>
      </c>
      <c r="E315" s="286" t="str">
        <f t="shared" ca="1" si="23"/>
        <v/>
      </c>
      <c r="F315" s="286" t="str">
        <f t="shared" ca="1" si="24"/>
        <v/>
      </c>
      <c r="G315" s="287" t="str">
        <f t="shared" ca="1" si="25"/>
        <v/>
      </c>
      <c r="H315" s="288" t="str">
        <f t="shared" ca="1" si="26"/>
        <v/>
      </c>
      <c r="I315" s="308"/>
      <c r="J315" s="309" t="s">
        <v>224</v>
      </c>
      <c r="K315" s="310"/>
      <c r="L315" s="310"/>
      <c r="M315" s="310"/>
      <c r="N315" s="310"/>
      <c r="O315" s="310"/>
      <c r="P315" s="310"/>
      <c r="Q315" s="311" t="s">
        <v>81</v>
      </c>
      <c r="R315" s="312"/>
      <c r="S315" s="313"/>
      <c r="T315" s="314"/>
      <c r="U315" s="315"/>
      <c r="V315" s="314"/>
      <c r="W315" s="316"/>
      <c r="X315" s="317"/>
      <c r="Y315" s="318"/>
      <c r="Z315" s="319"/>
      <c r="AA315" s="300"/>
      <c r="AB315" s="301"/>
      <c r="AC315" s="302"/>
      <c r="AD315" s="303"/>
      <c r="AE315" s="304"/>
      <c r="AF315" s="305"/>
      <c r="AG315" s="305">
        <f t="shared" si="27"/>
        <v>0</v>
      </c>
      <c r="AH315" s="305">
        <f t="shared" si="28"/>
        <v>0</v>
      </c>
      <c r="AI315" s="305">
        <f t="shared" si="29"/>
        <v>0</v>
      </c>
      <c r="AJ315" s="305">
        <f t="shared" si="30"/>
        <v>0</v>
      </c>
      <c r="AK315" s="305" t="str">
        <f t="shared" si="31"/>
        <v/>
      </c>
      <c r="AL315" s="306">
        <f t="shared" ca="1" si="32"/>
        <v>1</v>
      </c>
      <c r="AM315" s="306">
        <f t="shared" ca="1" si="33"/>
        <v>45</v>
      </c>
      <c r="AN315" s="306">
        <f t="shared" ca="1" si="34"/>
        <v>0</v>
      </c>
      <c r="AO315" s="306">
        <f t="shared" ca="1" si="35"/>
        <v>0</v>
      </c>
      <c r="AP315" s="306">
        <f t="shared" ca="1" si="36"/>
        <v>0</v>
      </c>
      <c r="AQ315" s="306">
        <f t="shared" ca="1" si="37"/>
        <v>0</v>
      </c>
      <c r="AR315" s="306">
        <f t="shared" ca="1" si="38"/>
        <v>0</v>
      </c>
      <c r="AS315" s="307"/>
      <c r="AT315" s="306">
        <f t="shared" si="39"/>
        <v>1</v>
      </c>
    </row>
    <row r="316" spans="1:46" ht="15.75" customHeight="1">
      <c r="A316" s="284"/>
      <c r="B316" s="285">
        <f t="shared" ca="1" si="20"/>
        <v>1</v>
      </c>
      <c r="C316" s="286">
        <f t="shared" ca="1" si="21"/>
        <v>45</v>
      </c>
      <c r="D316" s="286">
        <f t="shared" ca="1" si="22"/>
        <v>1</v>
      </c>
      <c r="E316" s="286" t="str">
        <f t="shared" ca="1" si="23"/>
        <v/>
      </c>
      <c r="F316" s="286" t="str">
        <f t="shared" ca="1" si="24"/>
        <v/>
      </c>
      <c r="G316" s="287" t="str">
        <f t="shared" ca="1" si="25"/>
        <v/>
      </c>
      <c r="H316" s="288" t="str">
        <f t="shared" ca="1" si="26"/>
        <v/>
      </c>
      <c r="I316" s="308"/>
      <c r="J316" s="320"/>
      <c r="K316" s="320" t="s">
        <v>59</v>
      </c>
      <c r="L316" s="320"/>
      <c r="M316" s="320"/>
      <c r="N316" s="320"/>
      <c r="O316" s="320"/>
      <c r="P316" s="320"/>
      <c r="Q316" s="321"/>
      <c r="R316" s="322"/>
      <c r="S316" s="331"/>
      <c r="T316" s="325"/>
      <c r="U316" s="330"/>
      <c r="V316" s="325"/>
      <c r="W316" s="326">
        <v>0</v>
      </c>
      <c r="X316" s="327"/>
      <c r="Y316" s="328"/>
      <c r="Z316" s="329"/>
      <c r="AA316" s="300"/>
      <c r="AB316" s="301"/>
      <c r="AC316" s="302"/>
      <c r="AD316" s="303"/>
      <c r="AE316" s="304"/>
      <c r="AF316" s="305"/>
      <c r="AG316" s="305">
        <f t="shared" si="27"/>
        <v>0</v>
      </c>
      <c r="AH316" s="305">
        <f t="shared" si="28"/>
        <v>0</v>
      </c>
      <c r="AI316" s="305">
        <f t="shared" si="29"/>
        <v>0</v>
      </c>
      <c r="AJ316" s="305">
        <f t="shared" si="30"/>
        <v>0</v>
      </c>
      <c r="AK316" s="305" t="str">
        <f t="shared" si="31"/>
        <v/>
      </c>
      <c r="AL316" s="306">
        <f t="shared" ca="1" si="32"/>
        <v>1</v>
      </c>
      <c r="AM316" s="306">
        <f t="shared" ca="1" si="33"/>
        <v>45</v>
      </c>
      <c r="AN316" s="306">
        <f t="shared" ca="1" si="34"/>
        <v>1</v>
      </c>
      <c r="AO316" s="306">
        <f t="shared" ca="1" si="35"/>
        <v>0</v>
      </c>
      <c r="AP316" s="306">
        <f t="shared" ca="1" si="36"/>
        <v>0</v>
      </c>
      <c r="AQ316" s="306">
        <f t="shared" ca="1" si="37"/>
        <v>0</v>
      </c>
      <c r="AR316" s="306">
        <f t="shared" ca="1" si="38"/>
        <v>0</v>
      </c>
      <c r="AS316" s="307"/>
      <c r="AT316" s="306">
        <f t="shared" si="39"/>
        <v>1</v>
      </c>
    </row>
    <row r="317" spans="1:46" ht="15.75" customHeight="1">
      <c r="A317" s="284"/>
      <c r="B317" s="285">
        <f t="shared" ca="1" si="20"/>
        <v>1</v>
      </c>
      <c r="C317" s="286">
        <f t="shared" ca="1" si="21"/>
        <v>45</v>
      </c>
      <c r="D317" s="286">
        <f t="shared" ca="1" si="22"/>
        <v>2</v>
      </c>
      <c r="E317" s="286" t="str">
        <f t="shared" ca="1" si="23"/>
        <v/>
      </c>
      <c r="F317" s="286" t="str">
        <f t="shared" ca="1" si="24"/>
        <v/>
      </c>
      <c r="G317" s="287" t="str">
        <f t="shared" ca="1" si="25"/>
        <v/>
      </c>
      <c r="H317" s="288" t="str">
        <f t="shared" ca="1" si="26"/>
        <v/>
      </c>
      <c r="I317" s="308"/>
      <c r="J317" s="320"/>
      <c r="K317" s="320" t="s">
        <v>145</v>
      </c>
      <c r="L317" s="320"/>
      <c r="M317" s="320"/>
      <c r="N317" s="320"/>
      <c r="O317" s="320"/>
      <c r="P317" s="320"/>
      <c r="Q317" s="321"/>
      <c r="R317" s="322"/>
      <c r="S317" s="331"/>
      <c r="T317" s="325"/>
      <c r="U317" s="330"/>
      <c r="V317" s="325"/>
      <c r="W317" s="326">
        <v>0</v>
      </c>
      <c r="X317" s="327"/>
      <c r="Y317" s="328"/>
      <c r="Z317" s="329"/>
      <c r="AA317" s="300"/>
      <c r="AB317" s="301"/>
      <c r="AC317" s="302"/>
      <c r="AD317" s="303"/>
      <c r="AE317" s="304"/>
      <c r="AF317" s="305"/>
      <c r="AG317" s="305">
        <f t="shared" si="27"/>
        <v>0</v>
      </c>
      <c r="AH317" s="305">
        <f t="shared" si="28"/>
        <v>0</v>
      </c>
      <c r="AI317" s="305">
        <f t="shared" si="29"/>
        <v>0</v>
      </c>
      <c r="AJ317" s="305">
        <f t="shared" si="30"/>
        <v>0</v>
      </c>
      <c r="AK317" s="305" t="str">
        <f t="shared" si="31"/>
        <v/>
      </c>
      <c r="AL317" s="306">
        <f t="shared" ca="1" si="32"/>
        <v>1</v>
      </c>
      <c r="AM317" s="306">
        <f t="shared" ca="1" si="33"/>
        <v>45</v>
      </c>
      <c r="AN317" s="306">
        <f t="shared" ca="1" si="34"/>
        <v>2</v>
      </c>
      <c r="AO317" s="306">
        <f t="shared" ca="1" si="35"/>
        <v>0</v>
      </c>
      <c r="AP317" s="306">
        <f t="shared" ca="1" si="36"/>
        <v>0</v>
      </c>
      <c r="AQ317" s="306">
        <f t="shared" ca="1" si="37"/>
        <v>0</v>
      </c>
      <c r="AR317" s="306">
        <f t="shared" ca="1" si="38"/>
        <v>0</v>
      </c>
      <c r="AS317" s="307"/>
      <c r="AT317" s="306">
        <f t="shared" si="39"/>
        <v>1</v>
      </c>
    </row>
    <row r="318" spans="1:46" ht="15.75" customHeight="1">
      <c r="A318" s="284"/>
      <c r="B318" s="285">
        <f t="shared" ca="1" si="20"/>
        <v>1</v>
      </c>
      <c r="C318" s="286">
        <f t="shared" ca="1" si="21"/>
        <v>45</v>
      </c>
      <c r="D318" s="286">
        <f t="shared" ca="1" si="22"/>
        <v>3</v>
      </c>
      <c r="E318" s="286" t="str">
        <f t="shared" ca="1" si="23"/>
        <v/>
      </c>
      <c r="F318" s="286" t="str">
        <f t="shared" ca="1" si="24"/>
        <v/>
      </c>
      <c r="G318" s="287" t="str">
        <f t="shared" ca="1" si="25"/>
        <v/>
      </c>
      <c r="H318" s="288" t="str">
        <f t="shared" ca="1" si="26"/>
        <v/>
      </c>
      <c r="I318" s="308"/>
      <c r="J318" s="320"/>
      <c r="K318" s="320" t="s">
        <v>63</v>
      </c>
      <c r="L318" s="320"/>
      <c r="M318" s="320"/>
      <c r="N318" s="320"/>
      <c r="O318" s="320"/>
      <c r="P318" s="320"/>
      <c r="Q318" s="321"/>
      <c r="R318" s="322"/>
      <c r="S318" s="331"/>
      <c r="T318" s="325"/>
      <c r="U318" s="330"/>
      <c r="V318" s="325"/>
      <c r="W318" s="326">
        <v>0</v>
      </c>
      <c r="X318" s="327"/>
      <c r="Y318" s="328"/>
      <c r="Z318" s="329"/>
      <c r="AA318" s="300"/>
      <c r="AB318" s="301"/>
      <c r="AC318" s="302"/>
      <c r="AD318" s="303"/>
      <c r="AE318" s="304"/>
      <c r="AF318" s="305"/>
      <c r="AG318" s="305">
        <f t="shared" si="27"/>
        <v>0</v>
      </c>
      <c r="AH318" s="305">
        <f t="shared" si="28"/>
        <v>0</v>
      </c>
      <c r="AI318" s="305">
        <f t="shared" si="29"/>
        <v>0</v>
      </c>
      <c r="AJ318" s="305">
        <f t="shared" si="30"/>
        <v>0</v>
      </c>
      <c r="AK318" s="305" t="str">
        <f t="shared" si="31"/>
        <v/>
      </c>
      <c r="AL318" s="306">
        <f t="shared" ca="1" si="32"/>
        <v>1</v>
      </c>
      <c r="AM318" s="306">
        <f t="shared" ca="1" si="33"/>
        <v>45</v>
      </c>
      <c r="AN318" s="306">
        <f t="shared" ca="1" si="34"/>
        <v>3</v>
      </c>
      <c r="AO318" s="306">
        <f t="shared" ca="1" si="35"/>
        <v>0</v>
      </c>
      <c r="AP318" s="306">
        <f t="shared" ca="1" si="36"/>
        <v>0</v>
      </c>
      <c r="AQ318" s="306">
        <f t="shared" ca="1" si="37"/>
        <v>0</v>
      </c>
      <c r="AR318" s="306">
        <f t="shared" ca="1" si="38"/>
        <v>0</v>
      </c>
      <c r="AS318" s="307"/>
      <c r="AT318" s="306">
        <f t="shared" si="39"/>
        <v>1</v>
      </c>
    </row>
    <row r="319" spans="1:46" ht="15.75" customHeight="1">
      <c r="A319" s="284"/>
      <c r="B319" s="285">
        <f t="shared" ca="1" si="20"/>
        <v>1</v>
      </c>
      <c r="C319" s="286">
        <f t="shared" ca="1" si="21"/>
        <v>45</v>
      </c>
      <c r="D319" s="286">
        <f t="shared" ca="1" si="22"/>
        <v>4</v>
      </c>
      <c r="E319" s="286" t="str">
        <f t="shared" ca="1" si="23"/>
        <v/>
      </c>
      <c r="F319" s="286" t="str">
        <f t="shared" ca="1" si="24"/>
        <v/>
      </c>
      <c r="G319" s="287" t="str">
        <f t="shared" ca="1" si="25"/>
        <v/>
      </c>
      <c r="H319" s="288" t="str">
        <f t="shared" ca="1" si="26"/>
        <v/>
      </c>
      <c r="I319" s="308"/>
      <c r="J319" s="320"/>
      <c r="K319" s="320" t="s">
        <v>64</v>
      </c>
      <c r="L319" s="320"/>
      <c r="M319" s="320"/>
      <c r="N319" s="320"/>
      <c r="O319" s="320"/>
      <c r="P319" s="320"/>
      <c r="Q319" s="321"/>
      <c r="R319" s="322"/>
      <c r="S319" s="331"/>
      <c r="T319" s="325"/>
      <c r="U319" s="330"/>
      <c r="V319" s="325"/>
      <c r="W319" s="326">
        <v>0</v>
      </c>
      <c r="X319" s="327"/>
      <c r="Y319" s="328"/>
      <c r="Z319" s="329"/>
      <c r="AA319" s="300"/>
      <c r="AB319" s="301"/>
      <c r="AC319" s="302"/>
      <c r="AD319" s="303"/>
      <c r="AE319" s="304"/>
      <c r="AF319" s="305"/>
      <c r="AG319" s="305">
        <f t="shared" si="27"/>
        <v>0</v>
      </c>
      <c r="AH319" s="305">
        <f t="shared" si="28"/>
        <v>0</v>
      </c>
      <c r="AI319" s="305">
        <f t="shared" si="29"/>
        <v>0</v>
      </c>
      <c r="AJ319" s="305">
        <f t="shared" si="30"/>
        <v>0</v>
      </c>
      <c r="AK319" s="305" t="str">
        <f t="shared" si="31"/>
        <v/>
      </c>
      <c r="AL319" s="306">
        <f t="shared" ca="1" si="32"/>
        <v>1</v>
      </c>
      <c r="AM319" s="306">
        <f t="shared" ca="1" si="33"/>
        <v>45</v>
      </c>
      <c r="AN319" s="306">
        <f t="shared" ca="1" si="34"/>
        <v>4</v>
      </c>
      <c r="AO319" s="306">
        <f t="shared" ca="1" si="35"/>
        <v>0</v>
      </c>
      <c r="AP319" s="306">
        <f t="shared" ca="1" si="36"/>
        <v>0</v>
      </c>
      <c r="AQ319" s="306">
        <f t="shared" ca="1" si="37"/>
        <v>0</v>
      </c>
      <c r="AR319" s="306">
        <f t="shared" ca="1" si="38"/>
        <v>0</v>
      </c>
      <c r="AS319" s="307"/>
      <c r="AT319" s="306">
        <f t="shared" si="39"/>
        <v>1</v>
      </c>
    </row>
    <row r="320" spans="1:46" ht="15.75" customHeight="1">
      <c r="A320" s="284"/>
      <c r="B320" s="285">
        <f t="shared" ca="1" si="20"/>
        <v>1</v>
      </c>
      <c r="C320" s="286">
        <f t="shared" ca="1" si="21"/>
        <v>45</v>
      </c>
      <c r="D320" s="286">
        <f t="shared" ca="1" si="22"/>
        <v>5</v>
      </c>
      <c r="E320" s="286" t="str">
        <f t="shared" ca="1" si="23"/>
        <v/>
      </c>
      <c r="F320" s="286" t="str">
        <f t="shared" ca="1" si="24"/>
        <v/>
      </c>
      <c r="G320" s="287" t="str">
        <f t="shared" ca="1" si="25"/>
        <v/>
      </c>
      <c r="H320" s="288" t="str">
        <f t="shared" ca="1" si="26"/>
        <v/>
      </c>
      <c r="I320" s="308"/>
      <c r="J320" s="320"/>
      <c r="K320" s="320" t="s">
        <v>65</v>
      </c>
      <c r="L320" s="320"/>
      <c r="M320" s="320"/>
      <c r="N320" s="320"/>
      <c r="O320" s="320"/>
      <c r="P320" s="320"/>
      <c r="Q320" s="321"/>
      <c r="R320" s="322"/>
      <c r="S320" s="331"/>
      <c r="T320" s="325"/>
      <c r="U320" s="330"/>
      <c r="V320" s="325"/>
      <c r="W320" s="326">
        <v>0</v>
      </c>
      <c r="X320" s="327"/>
      <c r="Y320" s="328"/>
      <c r="Z320" s="329"/>
      <c r="AA320" s="300"/>
      <c r="AB320" s="301"/>
      <c r="AC320" s="302"/>
      <c r="AD320" s="303"/>
      <c r="AE320" s="304"/>
      <c r="AF320" s="305"/>
      <c r="AG320" s="305">
        <f t="shared" si="27"/>
        <v>0</v>
      </c>
      <c r="AH320" s="305">
        <f t="shared" si="28"/>
        <v>0</v>
      </c>
      <c r="AI320" s="305">
        <f t="shared" si="29"/>
        <v>0</v>
      </c>
      <c r="AJ320" s="305">
        <f t="shared" si="30"/>
        <v>0</v>
      </c>
      <c r="AK320" s="305" t="str">
        <f t="shared" si="31"/>
        <v/>
      </c>
      <c r="AL320" s="306">
        <f t="shared" ca="1" si="32"/>
        <v>1</v>
      </c>
      <c r="AM320" s="306">
        <f t="shared" ca="1" si="33"/>
        <v>45</v>
      </c>
      <c r="AN320" s="306">
        <f t="shared" ca="1" si="34"/>
        <v>5</v>
      </c>
      <c r="AO320" s="306">
        <f t="shared" ca="1" si="35"/>
        <v>0</v>
      </c>
      <c r="AP320" s="306">
        <f t="shared" ca="1" si="36"/>
        <v>0</v>
      </c>
      <c r="AQ320" s="306">
        <f t="shared" ca="1" si="37"/>
        <v>0</v>
      </c>
      <c r="AR320" s="306">
        <f t="shared" ca="1" si="38"/>
        <v>0</v>
      </c>
      <c r="AS320" s="307"/>
      <c r="AT320" s="306">
        <f t="shared" si="39"/>
        <v>1</v>
      </c>
    </row>
    <row r="321" spans="1:46" ht="15.75" customHeight="1">
      <c r="A321" s="284"/>
      <c r="B321" s="285">
        <f t="shared" ca="1" si="20"/>
        <v>1</v>
      </c>
      <c r="C321" s="286">
        <f t="shared" ca="1" si="21"/>
        <v>45</v>
      </c>
      <c r="D321" s="286">
        <f t="shared" ca="1" si="22"/>
        <v>6</v>
      </c>
      <c r="E321" s="286" t="str">
        <f t="shared" ca="1" si="23"/>
        <v/>
      </c>
      <c r="F321" s="286" t="str">
        <f t="shared" ca="1" si="24"/>
        <v/>
      </c>
      <c r="G321" s="287" t="str">
        <f t="shared" ca="1" si="25"/>
        <v/>
      </c>
      <c r="H321" s="288" t="str">
        <f t="shared" ca="1" si="26"/>
        <v/>
      </c>
      <c r="I321" s="308"/>
      <c r="J321" s="320"/>
      <c r="K321" s="320" t="s">
        <v>66</v>
      </c>
      <c r="L321" s="320"/>
      <c r="M321" s="320"/>
      <c r="N321" s="320"/>
      <c r="O321" s="320"/>
      <c r="P321" s="320"/>
      <c r="Q321" s="321"/>
      <c r="R321" s="322"/>
      <c r="S321" s="331"/>
      <c r="T321" s="325"/>
      <c r="U321" s="330"/>
      <c r="V321" s="325"/>
      <c r="W321" s="326">
        <v>0</v>
      </c>
      <c r="X321" s="327"/>
      <c r="Y321" s="328"/>
      <c r="Z321" s="329"/>
      <c r="AA321" s="300"/>
      <c r="AB321" s="301"/>
      <c r="AC321" s="302"/>
      <c r="AD321" s="303"/>
      <c r="AE321" s="304"/>
      <c r="AF321" s="305"/>
      <c r="AG321" s="305">
        <f t="shared" si="27"/>
        <v>0</v>
      </c>
      <c r="AH321" s="305">
        <f t="shared" si="28"/>
        <v>0</v>
      </c>
      <c r="AI321" s="305">
        <f t="shared" si="29"/>
        <v>0</v>
      </c>
      <c r="AJ321" s="305">
        <f t="shared" si="30"/>
        <v>0</v>
      </c>
      <c r="AK321" s="305" t="str">
        <f t="shared" si="31"/>
        <v/>
      </c>
      <c r="AL321" s="306">
        <f t="shared" ca="1" si="32"/>
        <v>1</v>
      </c>
      <c r="AM321" s="306">
        <f t="shared" ca="1" si="33"/>
        <v>45</v>
      </c>
      <c r="AN321" s="306">
        <f t="shared" ca="1" si="34"/>
        <v>6</v>
      </c>
      <c r="AO321" s="306">
        <f t="shared" ca="1" si="35"/>
        <v>0</v>
      </c>
      <c r="AP321" s="306">
        <f t="shared" ca="1" si="36"/>
        <v>0</v>
      </c>
      <c r="AQ321" s="306">
        <f t="shared" ca="1" si="37"/>
        <v>0</v>
      </c>
      <c r="AR321" s="306">
        <f t="shared" ca="1" si="38"/>
        <v>0</v>
      </c>
      <c r="AS321" s="307"/>
      <c r="AT321" s="306">
        <f t="shared" si="39"/>
        <v>1</v>
      </c>
    </row>
    <row r="322" spans="1:46" ht="15.75" customHeight="1">
      <c r="A322" s="284"/>
      <c r="B322" s="285">
        <f t="shared" ca="1" si="20"/>
        <v>1</v>
      </c>
      <c r="C322" s="286">
        <f t="shared" ca="1" si="21"/>
        <v>46</v>
      </c>
      <c r="D322" s="286" t="str">
        <f t="shared" ca="1" si="22"/>
        <v/>
      </c>
      <c r="E322" s="286" t="str">
        <f t="shared" ca="1" si="23"/>
        <v/>
      </c>
      <c r="F322" s="286" t="str">
        <f t="shared" ca="1" si="24"/>
        <v/>
      </c>
      <c r="G322" s="287" t="str">
        <f t="shared" ca="1" si="25"/>
        <v/>
      </c>
      <c r="H322" s="288" t="str">
        <f t="shared" ca="1" si="26"/>
        <v/>
      </c>
      <c r="I322" s="308"/>
      <c r="J322" s="309" t="s">
        <v>225</v>
      </c>
      <c r="K322" s="310"/>
      <c r="L322" s="310"/>
      <c r="M322" s="310"/>
      <c r="N322" s="310"/>
      <c r="O322" s="310"/>
      <c r="P322" s="310"/>
      <c r="Q322" s="311" t="s">
        <v>81</v>
      </c>
      <c r="R322" s="312"/>
      <c r="S322" s="313"/>
      <c r="T322" s="314"/>
      <c r="U322" s="315"/>
      <c r="V322" s="314"/>
      <c r="W322" s="316"/>
      <c r="X322" s="317"/>
      <c r="Y322" s="318"/>
      <c r="Z322" s="319"/>
      <c r="AA322" s="300"/>
      <c r="AB322" s="301"/>
      <c r="AC322" s="302"/>
      <c r="AD322" s="303"/>
      <c r="AE322" s="304"/>
      <c r="AF322" s="305"/>
      <c r="AG322" s="305">
        <f t="shared" si="27"/>
        <v>0</v>
      </c>
      <c r="AH322" s="305">
        <f t="shared" si="28"/>
        <v>0</v>
      </c>
      <c r="AI322" s="305">
        <f t="shared" si="29"/>
        <v>0</v>
      </c>
      <c r="AJ322" s="305">
        <f t="shared" si="30"/>
        <v>0</v>
      </c>
      <c r="AK322" s="305" t="str">
        <f t="shared" si="31"/>
        <v/>
      </c>
      <c r="AL322" s="306">
        <f t="shared" ca="1" si="32"/>
        <v>1</v>
      </c>
      <c r="AM322" s="306">
        <f t="shared" ca="1" si="33"/>
        <v>46</v>
      </c>
      <c r="AN322" s="306">
        <f t="shared" ca="1" si="34"/>
        <v>0</v>
      </c>
      <c r="AO322" s="306">
        <f t="shared" ca="1" si="35"/>
        <v>0</v>
      </c>
      <c r="AP322" s="306">
        <f t="shared" ca="1" si="36"/>
        <v>0</v>
      </c>
      <c r="AQ322" s="306">
        <f t="shared" ca="1" si="37"/>
        <v>0</v>
      </c>
      <c r="AR322" s="306">
        <f t="shared" ca="1" si="38"/>
        <v>0</v>
      </c>
      <c r="AS322" s="307"/>
      <c r="AT322" s="306">
        <f t="shared" si="39"/>
        <v>1</v>
      </c>
    </row>
    <row r="323" spans="1:46" ht="15.75" customHeight="1">
      <c r="A323" s="284"/>
      <c r="B323" s="285">
        <f t="shared" ca="1" si="20"/>
        <v>1</v>
      </c>
      <c r="C323" s="286">
        <f t="shared" ca="1" si="21"/>
        <v>46</v>
      </c>
      <c r="D323" s="286">
        <f t="shared" ca="1" si="22"/>
        <v>1</v>
      </c>
      <c r="E323" s="286" t="str">
        <f t="shared" ca="1" si="23"/>
        <v/>
      </c>
      <c r="F323" s="286" t="str">
        <f t="shared" ca="1" si="24"/>
        <v/>
      </c>
      <c r="G323" s="287" t="str">
        <f t="shared" ca="1" si="25"/>
        <v/>
      </c>
      <c r="H323" s="288" t="str">
        <f t="shared" ca="1" si="26"/>
        <v/>
      </c>
      <c r="I323" s="308"/>
      <c r="J323" s="320"/>
      <c r="K323" s="320" t="s">
        <v>59</v>
      </c>
      <c r="L323" s="320"/>
      <c r="M323" s="320"/>
      <c r="N323" s="320"/>
      <c r="O323" s="320"/>
      <c r="P323" s="320"/>
      <c r="Q323" s="321"/>
      <c r="R323" s="322"/>
      <c r="S323" s="331"/>
      <c r="T323" s="325"/>
      <c r="U323" s="330"/>
      <c r="V323" s="325"/>
      <c r="W323" s="326">
        <v>0</v>
      </c>
      <c r="X323" s="327"/>
      <c r="Y323" s="328"/>
      <c r="Z323" s="329"/>
      <c r="AA323" s="300"/>
      <c r="AB323" s="301"/>
      <c r="AC323" s="302"/>
      <c r="AD323" s="303"/>
      <c r="AE323" s="304"/>
      <c r="AF323" s="305"/>
      <c r="AG323" s="305">
        <f t="shared" si="27"/>
        <v>0</v>
      </c>
      <c r="AH323" s="305">
        <f t="shared" si="28"/>
        <v>0</v>
      </c>
      <c r="AI323" s="305">
        <f t="shared" si="29"/>
        <v>0</v>
      </c>
      <c r="AJ323" s="305">
        <f t="shared" si="30"/>
        <v>0</v>
      </c>
      <c r="AK323" s="305" t="str">
        <f t="shared" si="31"/>
        <v/>
      </c>
      <c r="AL323" s="306">
        <f t="shared" ca="1" si="32"/>
        <v>1</v>
      </c>
      <c r="AM323" s="306">
        <f t="shared" ca="1" si="33"/>
        <v>46</v>
      </c>
      <c r="AN323" s="306">
        <f t="shared" ca="1" si="34"/>
        <v>1</v>
      </c>
      <c r="AO323" s="306">
        <f t="shared" ca="1" si="35"/>
        <v>0</v>
      </c>
      <c r="AP323" s="306">
        <f t="shared" ca="1" si="36"/>
        <v>0</v>
      </c>
      <c r="AQ323" s="306">
        <f t="shared" ca="1" si="37"/>
        <v>0</v>
      </c>
      <c r="AR323" s="306">
        <f t="shared" ca="1" si="38"/>
        <v>0</v>
      </c>
      <c r="AS323" s="307"/>
      <c r="AT323" s="306">
        <f t="shared" si="39"/>
        <v>1</v>
      </c>
    </row>
    <row r="324" spans="1:46" ht="15.75" customHeight="1">
      <c r="A324" s="284"/>
      <c r="B324" s="285">
        <f t="shared" ca="1" si="20"/>
        <v>1</v>
      </c>
      <c r="C324" s="286">
        <f t="shared" ca="1" si="21"/>
        <v>46</v>
      </c>
      <c r="D324" s="286">
        <f t="shared" ca="1" si="22"/>
        <v>2</v>
      </c>
      <c r="E324" s="286" t="str">
        <f t="shared" ca="1" si="23"/>
        <v/>
      </c>
      <c r="F324" s="286" t="str">
        <f t="shared" ca="1" si="24"/>
        <v/>
      </c>
      <c r="G324" s="287" t="str">
        <f t="shared" ca="1" si="25"/>
        <v/>
      </c>
      <c r="H324" s="288" t="str">
        <f t="shared" ca="1" si="26"/>
        <v/>
      </c>
      <c r="I324" s="308"/>
      <c r="J324" s="320"/>
      <c r="K324" s="320" t="s">
        <v>145</v>
      </c>
      <c r="L324" s="320"/>
      <c r="M324" s="320"/>
      <c r="N324" s="320"/>
      <c r="O324" s="320"/>
      <c r="P324" s="320"/>
      <c r="Q324" s="321"/>
      <c r="R324" s="322"/>
      <c r="S324" s="331"/>
      <c r="T324" s="325"/>
      <c r="U324" s="330"/>
      <c r="V324" s="325"/>
      <c r="W324" s="326">
        <v>0</v>
      </c>
      <c r="X324" s="327"/>
      <c r="Y324" s="328"/>
      <c r="Z324" s="329"/>
      <c r="AA324" s="300"/>
      <c r="AB324" s="301"/>
      <c r="AC324" s="302"/>
      <c r="AD324" s="303"/>
      <c r="AE324" s="304"/>
      <c r="AF324" s="305"/>
      <c r="AG324" s="305">
        <f t="shared" si="27"/>
        <v>0</v>
      </c>
      <c r="AH324" s="305">
        <f t="shared" si="28"/>
        <v>0</v>
      </c>
      <c r="AI324" s="305">
        <f t="shared" si="29"/>
        <v>0</v>
      </c>
      <c r="AJ324" s="305">
        <f t="shared" si="30"/>
        <v>0</v>
      </c>
      <c r="AK324" s="305" t="str">
        <f t="shared" si="31"/>
        <v/>
      </c>
      <c r="AL324" s="306">
        <f t="shared" ca="1" si="32"/>
        <v>1</v>
      </c>
      <c r="AM324" s="306">
        <f t="shared" ca="1" si="33"/>
        <v>46</v>
      </c>
      <c r="AN324" s="306">
        <f t="shared" ca="1" si="34"/>
        <v>2</v>
      </c>
      <c r="AO324" s="306">
        <f t="shared" ca="1" si="35"/>
        <v>0</v>
      </c>
      <c r="AP324" s="306">
        <f t="shared" ca="1" si="36"/>
        <v>0</v>
      </c>
      <c r="AQ324" s="306">
        <f t="shared" ca="1" si="37"/>
        <v>0</v>
      </c>
      <c r="AR324" s="306">
        <f t="shared" ca="1" si="38"/>
        <v>0</v>
      </c>
      <c r="AS324" s="307"/>
      <c r="AT324" s="306">
        <f t="shared" si="39"/>
        <v>1</v>
      </c>
    </row>
    <row r="325" spans="1:46" ht="15.75" customHeight="1">
      <c r="A325" s="284"/>
      <c r="B325" s="285">
        <f t="shared" ca="1" si="20"/>
        <v>1</v>
      </c>
      <c r="C325" s="286">
        <f t="shared" ca="1" si="21"/>
        <v>46</v>
      </c>
      <c r="D325" s="286">
        <f t="shared" ca="1" si="22"/>
        <v>3</v>
      </c>
      <c r="E325" s="286" t="str">
        <f t="shared" ca="1" si="23"/>
        <v/>
      </c>
      <c r="F325" s="286" t="str">
        <f t="shared" ca="1" si="24"/>
        <v/>
      </c>
      <c r="G325" s="287" t="str">
        <f t="shared" ca="1" si="25"/>
        <v/>
      </c>
      <c r="H325" s="288" t="str">
        <f t="shared" ca="1" si="26"/>
        <v/>
      </c>
      <c r="I325" s="308"/>
      <c r="J325" s="320"/>
      <c r="K325" s="320" t="s">
        <v>63</v>
      </c>
      <c r="L325" s="320"/>
      <c r="M325" s="320"/>
      <c r="N325" s="320"/>
      <c r="O325" s="320"/>
      <c r="P325" s="320"/>
      <c r="Q325" s="321"/>
      <c r="R325" s="322"/>
      <c r="S325" s="331"/>
      <c r="T325" s="325"/>
      <c r="U325" s="330"/>
      <c r="V325" s="325"/>
      <c r="W325" s="326">
        <v>0</v>
      </c>
      <c r="X325" s="327"/>
      <c r="Y325" s="328"/>
      <c r="Z325" s="329"/>
      <c r="AA325" s="300"/>
      <c r="AB325" s="301"/>
      <c r="AC325" s="302"/>
      <c r="AD325" s="303"/>
      <c r="AE325" s="304"/>
      <c r="AF325" s="305"/>
      <c r="AG325" s="305">
        <f t="shared" si="27"/>
        <v>0</v>
      </c>
      <c r="AH325" s="305">
        <f t="shared" si="28"/>
        <v>0</v>
      </c>
      <c r="AI325" s="305">
        <f t="shared" si="29"/>
        <v>0</v>
      </c>
      <c r="AJ325" s="305">
        <f t="shared" si="30"/>
        <v>0</v>
      </c>
      <c r="AK325" s="305" t="str">
        <f t="shared" si="31"/>
        <v/>
      </c>
      <c r="AL325" s="306">
        <f t="shared" ca="1" si="32"/>
        <v>1</v>
      </c>
      <c r="AM325" s="306">
        <f t="shared" ca="1" si="33"/>
        <v>46</v>
      </c>
      <c r="AN325" s="306">
        <f t="shared" ca="1" si="34"/>
        <v>3</v>
      </c>
      <c r="AO325" s="306">
        <f t="shared" ca="1" si="35"/>
        <v>0</v>
      </c>
      <c r="AP325" s="306">
        <f t="shared" ca="1" si="36"/>
        <v>0</v>
      </c>
      <c r="AQ325" s="306">
        <f t="shared" ca="1" si="37"/>
        <v>0</v>
      </c>
      <c r="AR325" s="306">
        <f t="shared" ca="1" si="38"/>
        <v>0</v>
      </c>
      <c r="AS325" s="307"/>
      <c r="AT325" s="306">
        <f t="shared" si="39"/>
        <v>1</v>
      </c>
    </row>
    <row r="326" spans="1:46" ht="15.75" customHeight="1">
      <c r="A326" s="284"/>
      <c r="B326" s="285">
        <f t="shared" ca="1" si="20"/>
        <v>1</v>
      </c>
      <c r="C326" s="286">
        <f t="shared" ca="1" si="21"/>
        <v>46</v>
      </c>
      <c r="D326" s="286">
        <f t="shared" ca="1" si="22"/>
        <v>4</v>
      </c>
      <c r="E326" s="286" t="str">
        <f t="shared" ca="1" si="23"/>
        <v/>
      </c>
      <c r="F326" s="286" t="str">
        <f t="shared" ca="1" si="24"/>
        <v/>
      </c>
      <c r="G326" s="287" t="str">
        <f t="shared" ca="1" si="25"/>
        <v/>
      </c>
      <c r="H326" s="288" t="str">
        <f t="shared" ca="1" si="26"/>
        <v/>
      </c>
      <c r="I326" s="308"/>
      <c r="J326" s="320"/>
      <c r="K326" s="320" t="s">
        <v>64</v>
      </c>
      <c r="L326" s="320"/>
      <c r="M326" s="320"/>
      <c r="N326" s="320"/>
      <c r="O326" s="320"/>
      <c r="P326" s="320"/>
      <c r="Q326" s="321"/>
      <c r="R326" s="322"/>
      <c r="S326" s="331"/>
      <c r="T326" s="325"/>
      <c r="U326" s="330"/>
      <c r="V326" s="325"/>
      <c r="W326" s="326">
        <v>0</v>
      </c>
      <c r="X326" s="327"/>
      <c r="Y326" s="328"/>
      <c r="Z326" s="329"/>
      <c r="AA326" s="300"/>
      <c r="AB326" s="301"/>
      <c r="AC326" s="302"/>
      <c r="AD326" s="303"/>
      <c r="AE326" s="304"/>
      <c r="AF326" s="305"/>
      <c r="AG326" s="305">
        <f t="shared" si="27"/>
        <v>0</v>
      </c>
      <c r="AH326" s="305">
        <f t="shared" si="28"/>
        <v>0</v>
      </c>
      <c r="AI326" s="305">
        <f t="shared" si="29"/>
        <v>0</v>
      </c>
      <c r="AJ326" s="305">
        <f t="shared" si="30"/>
        <v>0</v>
      </c>
      <c r="AK326" s="305" t="str">
        <f t="shared" si="31"/>
        <v/>
      </c>
      <c r="AL326" s="306">
        <f t="shared" ca="1" si="32"/>
        <v>1</v>
      </c>
      <c r="AM326" s="306">
        <f t="shared" ca="1" si="33"/>
        <v>46</v>
      </c>
      <c r="AN326" s="306">
        <f t="shared" ca="1" si="34"/>
        <v>4</v>
      </c>
      <c r="AO326" s="306">
        <f t="shared" ca="1" si="35"/>
        <v>0</v>
      </c>
      <c r="AP326" s="306">
        <f t="shared" ca="1" si="36"/>
        <v>0</v>
      </c>
      <c r="AQ326" s="306">
        <f t="shared" ca="1" si="37"/>
        <v>0</v>
      </c>
      <c r="AR326" s="306">
        <f t="shared" ca="1" si="38"/>
        <v>0</v>
      </c>
      <c r="AS326" s="307"/>
      <c r="AT326" s="306">
        <f t="shared" si="39"/>
        <v>1</v>
      </c>
    </row>
    <row r="327" spans="1:46" ht="15.75" customHeight="1">
      <c r="A327" s="284"/>
      <c r="B327" s="285">
        <f t="shared" ca="1" si="20"/>
        <v>1</v>
      </c>
      <c r="C327" s="286">
        <f t="shared" ca="1" si="21"/>
        <v>46</v>
      </c>
      <c r="D327" s="286">
        <f t="shared" ca="1" si="22"/>
        <v>5</v>
      </c>
      <c r="E327" s="286" t="str">
        <f t="shared" ca="1" si="23"/>
        <v/>
      </c>
      <c r="F327" s="286" t="str">
        <f t="shared" ca="1" si="24"/>
        <v/>
      </c>
      <c r="G327" s="287" t="str">
        <f t="shared" ca="1" si="25"/>
        <v/>
      </c>
      <c r="H327" s="288" t="str">
        <f t="shared" ca="1" si="26"/>
        <v/>
      </c>
      <c r="I327" s="308"/>
      <c r="J327" s="320"/>
      <c r="K327" s="320" t="s">
        <v>65</v>
      </c>
      <c r="L327" s="320"/>
      <c r="M327" s="320"/>
      <c r="N327" s="320"/>
      <c r="O327" s="320"/>
      <c r="P327" s="320"/>
      <c r="Q327" s="321"/>
      <c r="R327" s="322"/>
      <c r="S327" s="331"/>
      <c r="T327" s="325"/>
      <c r="U327" s="330"/>
      <c r="V327" s="325"/>
      <c r="W327" s="326">
        <v>0</v>
      </c>
      <c r="X327" s="327"/>
      <c r="Y327" s="328"/>
      <c r="Z327" s="329"/>
      <c r="AA327" s="300"/>
      <c r="AB327" s="301"/>
      <c r="AC327" s="302"/>
      <c r="AD327" s="303"/>
      <c r="AE327" s="304"/>
      <c r="AF327" s="305"/>
      <c r="AG327" s="305">
        <f t="shared" si="27"/>
        <v>0</v>
      </c>
      <c r="AH327" s="305">
        <f t="shared" si="28"/>
        <v>0</v>
      </c>
      <c r="AI327" s="305">
        <f t="shared" si="29"/>
        <v>0</v>
      </c>
      <c r="AJ327" s="305">
        <f t="shared" si="30"/>
        <v>0</v>
      </c>
      <c r="AK327" s="305" t="str">
        <f t="shared" si="31"/>
        <v/>
      </c>
      <c r="AL327" s="306">
        <f t="shared" ca="1" si="32"/>
        <v>1</v>
      </c>
      <c r="AM327" s="306">
        <f t="shared" ca="1" si="33"/>
        <v>46</v>
      </c>
      <c r="AN327" s="306">
        <f t="shared" ca="1" si="34"/>
        <v>5</v>
      </c>
      <c r="AO327" s="306">
        <f t="shared" ca="1" si="35"/>
        <v>0</v>
      </c>
      <c r="AP327" s="306">
        <f t="shared" ca="1" si="36"/>
        <v>0</v>
      </c>
      <c r="AQ327" s="306">
        <f t="shared" ca="1" si="37"/>
        <v>0</v>
      </c>
      <c r="AR327" s="306">
        <f t="shared" ca="1" si="38"/>
        <v>0</v>
      </c>
      <c r="AS327" s="307"/>
      <c r="AT327" s="306">
        <f t="shared" si="39"/>
        <v>1</v>
      </c>
    </row>
    <row r="328" spans="1:46" ht="15.75" customHeight="1">
      <c r="A328" s="284"/>
      <c r="B328" s="285">
        <f t="shared" ca="1" si="20"/>
        <v>1</v>
      </c>
      <c r="C328" s="286">
        <f t="shared" ca="1" si="21"/>
        <v>46</v>
      </c>
      <c r="D328" s="286">
        <f t="shared" ca="1" si="22"/>
        <v>6</v>
      </c>
      <c r="E328" s="286" t="str">
        <f t="shared" ca="1" si="23"/>
        <v/>
      </c>
      <c r="F328" s="286" t="str">
        <f t="shared" ca="1" si="24"/>
        <v/>
      </c>
      <c r="G328" s="287" t="str">
        <f t="shared" ca="1" si="25"/>
        <v/>
      </c>
      <c r="H328" s="288" t="str">
        <f t="shared" ca="1" si="26"/>
        <v/>
      </c>
      <c r="I328" s="308"/>
      <c r="J328" s="320"/>
      <c r="K328" s="320" t="s">
        <v>66</v>
      </c>
      <c r="L328" s="320"/>
      <c r="M328" s="320"/>
      <c r="N328" s="320"/>
      <c r="O328" s="320"/>
      <c r="P328" s="320"/>
      <c r="Q328" s="321"/>
      <c r="R328" s="322"/>
      <c r="S328" s="331"/>
      <c r="T328" s="325"/>
      <c r="U328" s="330"/>
      <c r="V328" s="325"/>
      <c r="W328" s="326">
        <v>0</v>
      </c>
      <c r="X328" s="327"/>
      <c r="Y328" s="328"/>
      <c r="Z328" s="329"/>
      <c r="AA328" s="300"/>
      <c r="AB328" s="301"/>
      <c r="AC328" s="302"/>
      <c r="AD328" s="303"/>
      <c r="AE328" s="304"/>
      <c r="AF328" s="305"/>
      <c r="AG328" s="305">
        <f t="shared" si="27"/>
        <v>0</v>
      </c>
      <c r="AH328" s="305">
        <f t="shared" si="28"/>
        <v>0</v>
      </c>
      <c r="AI328" s="305">
        <f t="shared" si="29"/>
        <v>0</v>
      </c>
      <c r="AJ328" s="305">
        <f t="shared" si="30"/>
        <v>0</v>
      </c>
      <c r="AK328" s="305" t="str">
        <f t="shared" si="31"/>
        <v/>
      </c>
      <c r="AL328" s="306">
        <f t="shared" ca="1" si="32"/>
        <v>1</v>
      </c>
      <c r="AM328" s="306">
        <f t="shared" ca="1" si="33"/>
        <v>46</v>
      </c>
      <c r="AN328" s="306">
        <f t="shared" ca="1" si="34"/>
        <v>6</v>
      </c>
      <c r="AO328" s="306">
        <f t="shared" ca="1" si="35"/>
        <v>0</v>
      </c>
      <c r="AP328" s="306">
        <f t="shared" ca="1" si="36"/>
        <v>0</v>
      </c>
      <c r="AQ328" s="306">
        <f t="shared" ca="1" si="37"/>
        <v>0</v>
      </c>
      <c r="AR328" s="306">
        <f t="shared" ca="1" si="38"/>
        <v>0</v>
      </c>
      <c r="AS328" s="307"/>
      <c r="AT328" s="306">
        <f t="shared" si="39"/>
        <v>1</v>
      </c>
    </row>
    <row r="329" spans="1:46" ht="15.75" customHeight="1">
      <c r="A329" s="284"/>
      <c r="B329" s="285">
        <f t="shared" ca="1" si="20"/>
        <v>1</v>
      </c>
      <c r="C329" s="286">
        <f t="shared" ca="1" si="21"/>
        <v>47</v>
      </c>
      <c r="D329" s="286" t="str">
        <f t="shared" ca="1" si="22"/>
        <v/>
      </c>
      <c r="E329" s="286" t="str">
        <f t="shared" ca="1" si="23"/>
        <v/>
      </c>
      <c r="F329" s="286" t="str">
        <f t="shared" ca="1" si="24"/>
        <v/>
      </c>
      <c r="G329" s="287" t="str">
        <f t="shared" ca="1" si="25"/>
        <v/>
      </c>
      <c r="H329" s="288" t="str">
        <f t="shared" ca="1" si="26"/>
        <v/>
      </c>
      <c r="I329" s="308"/>
      <c r="J329" s="309" t="s">
        <v>226</v>
      </c>
      <c r="K329" s="310"/>
      <c r="L329" s="310"/>
      <c r="M329" s="310"/>
      <c r="N329" s="310"/>
      <c r="O329" s="310"/>
      <c r="P329" s="310"/>
      <c r="Q329" s="311" t="s">
        <v>81</v>
      </c>
      <c r="R329" s="312"/>
      <c r="S329" s="313"/>
      <c r="T329" s="314"/>
      <c r="U329" s="315"/>
      <c r="V329" s="314"/>
      <c r="W329" s="316"/>
      <c r="X329" s="317"/>
      <c r="Y329" s="318"/>
      <c r="Z329" s="319"/>
      <c r="AA329" s="300"/>
      <c r="AB329" s="301"/>
      <c r="AC329" s="302"/>
      <c r="AD329" s="303"/>
      <c r="AE329" s="304"/>
      <c r="AF329" s="305"/>
      <c r="AG329" s="305">
        <f t="shared" si="27"/>
        <v>0</v>
      </c>
      <c r="AH329" s="305">
        <f t="shared" si="28"/>
        <v>0</v>
      </c>
      <c r="AI329" s="305">
        <f t="shared" si="29"/>
        <v>0</v>
      </c>
      <c r="AJ329" s="305">
        <f t="shared" si="30"/>
        <v>0</v>
      </c>
      <c r="AK329" s="305" t="str">
        <f t="shared" si="31"/>
        <v/>
      </c>
      <c r="AL329" s="306">
        <f t="shared" ca="1" si="32"/>
        <v>1</v>
      </c>
      <c r="AM329" s="306">
        <f t="shared" ca="1" si="33"/>
        <v>47</v>
      </c>
      <c r="AN329" s="306">
        <f t="shared" ca="1" si="34"/>
        <v>0</v>
      </c>
      <c r="AO329" s="306">
        <f t="shared" ca="1" si="35"/>
        <v>0</v>
      </c>
      <c r="AP329" s="306">
        <f t="shared" ca="1" si="36"/>
        <v>0</v>
      </c>
      <c r="AQ329" s="306">
        <f t="shared" ca="1" si="37"/>
        <v>0</v>
      </c>
      <c r="AR329" s="306">
        <f t="shared" ca="1" si="38"/>
        <v>0</v>
      </c>
      <c r="AS329" s="307"/>
      <c r="AT329" s="306">
        <f t="shared" si="39"/>
        <v>1</v>
      </c>
    </row>
    <row r="330" spans="1:46" ht="15.75" customHeight="1">
      <c r="A330" s="284"/>
      <c r="B330" s="285">
        <f t="shared" ca="1" si="20"/>
        <v>1</v>
      </c>
      <c r="C330" s="286">
        <f t="shared" ca="1" si="21"/>
        <v>47</v>
      </c>
      <c r="D330" s="286">
        <f t="shared" ca="1" si="22"/>
        <v>1</v>
      </c>
      <c r="E330" s="286" t="str">
        <f t="shared" ca="1" si="23"/>
        <v/>
      </c>
      <c r="F330" s="286" t="str">
        <f t="shared" ca="1" si="24"/>
        <v/>
      </c>
      <c r="G330" s="287" t="str">
        <f t="shared" ca="1" si="25"/>
        <v/>
      </c>
      <c r="H330" s="288" t="str">
        <f t="shared" ca="1" si="26"/>
        <v/>
      </c>
      <c r="I330" s="308"/>
      <c r="J330" s="320"/>
      <c r="K330" s="320" t="s">
        <v>59</v>
      </c>
      <c r="L330" s="320"/>
      <c r="M330" s="320"/>
      <c r="N330" s="320"/>
      <c r="O330" s="320"/>
      <c r="P330" s="320"/>
      <c r="Q330" s="321"/>
      <c r="R330" s="322"/>
      <c r="S330" s="331"/>
      <c r="T330" s="325"/>
      <c r="U330" s="330"/>
      <c r="V330" s="325"/>
      <c r="W330" s="326">
        <v>0</v>
      </c>
      <c r="X330" s="327"/>
      <c r="Y330" s="328"/>
      <c r="Z330" s="329"/>
      <c r="AA330" s="300"/>
      <c r="AB330" s="301"/>
      <c r="AC330" s="302"/>
      <c r="AD330" s="303"/>
      <c r="AE330" s="304"/>
      <c r="AF330" s="305"/>
      <c r="AG330" s="305">
        <f t="shared" si="27"/>
        <v>0</v>
      </c>
      <c r="AH330" s="305">
        <f t="shared" si="28"/>
        <v>0</v>
      </c>
      <c r="AI330" s="305">
        <f t="shared" si="29"/>
        <v>0</v>
      </c>
      <c r="AJ330" s="305">
        <f t="shared" si="30"/>
        <v>0</v>
      </c>
      <c r="AK330" s="305" t="str">
        <f t="shared" si="31"/>
        <v/>
      </c>
      <c r="AL330" s="306">
        <f t="shared" ca="1" si="32"/>
        <v>1</v>
      </c>
      <c r="AM330" s="306">
        <f t="shared" ca="1" si="33"/>
        <v>47</v>
      </c>
      <c r="AN330" s="306">
        <f t="shared" ca="1" si="34"/>
        <v>1</v>
      </c>
      <c r="AO330" s="306">
        <f t="shared" ca="1" si="35"/>
        <v>0</v>
      </c>
      <c r="AP330" s="306">
        <f t="shared" ca="1" si="36"/>
        <v>0</v>
      </c>
      <c r="AQ330" s="306">
        <f t="shared" ca="1" si="37"/>
        <v>0</v>
      </c>
      <c r="AR330" s="306">
        <f t="shared" ca="1" si="38"/>
        <v>0</v>
      </c>
      <c r="AS330" s="307"/>
      <c r="AT330" s="306">
        <f t="shared" si="39"/>
        <v>1</v>
      </c>
    </row>
    <row r="331" spans="1:46" ht="15.75" customHeight="1">
      <c r="A331" s="284"/>
      <c r="B331" s="285">
        <f t="shared" ca="1" si="20"/>
        <v>1</v>
      </c>
      <c r="C331" s="286">
        <f t="shared" ca="1" si="21"/>
        <v>47</v>
      </c>
      <c r="D331" s="286">
        <f t="shared" ca="1" si="22"/>
        <v>2</v>
      </c>
      <c r="E331" s="286" t="str">
        <f t="shared" ca="1" si="23"/>
        <v/>
      </c>
      <c r="F331" s="286" t="str">
        <f t="shared" ca="1" si="24"/>
        <v/>
      </c>
      <c r="G331" s="287" t="str">
        <f t="shared" ca="1" si="25"/>
        <v/>
      </c>
      <c r="H331" s="288" t="str">
        <f t="shared" ca="1" si="26"/>
        <v/>
      </c>
      <c r="I331" s="308"/>
      <c r="J331" s="320"/>
      <c r="K331" s="320" t="s">
        <v>145</v>
      </c>
      <c r="L331" s="320"/>
      <c r="M331" s="320"/>
      <c r="N331" s="320"/>
      <c r="O331" s="320"/>
      <c r="P331" s="320"/>
      <c r="Q331" s="321"/>
      <c r="R331" s="322"/>
      <c r="S331" s="331"/>
      <c r="T331" s="325"/>
      <c r="U331" s="330"/>
      <c r="V331" s="325"/>
      <c r="W331" s="326">
        <v>0</v>
      </c>
      <c r="X331" s="327"/>
      <c r="Y331" s="328"/>
      <c r="Z331" s="329"/>
      <c r="AA331" s="300"/>
      <c r="AB331" s="301"/>
      <c r="AC331" s="302"/>
      <c r="AD331" s="303"/>
      <c r="AE331" s="304"/>
      <c r="AF331" s="305"/>
      <c r="AG331" s="305">
        <f t="shared" si="27"/>
        <v>0</v>
      </c>
      <c r="AH331" s="305">
        <f t="shared" si="28"/>
        <v>0</v>
      </c>
      <c r="AI331" s="305">
        <f t="shared" si="29"/>
        <v>0</v>
      </c>
      <c r="AJ331" s="305">
        <f t="shared" si="30"/>
        <v>0</v>
      </c>
      <c r="AK331" s="305" t="str">
        <f t="shared" si="31"/>
        <v/>
      </c>
      <c r="AL331" s="306">
        <f t="shared" ca="1" si="32"/>
        <v>1</v>
      </c>
      <c r="AM331" s="306">
        <f t="shared" ca="1" si="33"/>
        <v>47</v>
      </c>
      <c r="AN331" s="306">
        <f t="shared" ca="1" si="34"/>
        <v>2</v>
      </c>
      <c r="AO331" s="306">
        <f t="shared" ca="1" si="35"/>
        <v>0</v>
      </c>
      <c r="AP331" s="306">
        <f t="shared" ca="1" si="36"/>
        <v>0</v>
      </c>
      <c r="AQ331" s="306">
        <f t="shared" ca="1" si="37"/>
        <v>0</v>
      </c>
      <c r="AR331" s="306">
        <f t="shared" ca="1" si="38"/>
        <v>0</v>
      </c>
      <c r="AS331" s="307"/>
      <c r="AT331" s="306">
        <f t="shared" si="39"/>
        <v>1</v>
      </c>
    </row>
    <row r="332" spans="1:46" ht="15.75" customHeight="1">
      <c r="A332" s="284"/>
      <c r="B332" s="285">
        <f t="shared" ca="1" si="20"/>
        <v>1</v>
      </c>
      <c r="C332" s="286">
        <f t="shared" ca="1" si="21"/>
        <v>47</v>
      </c>
      <c r="D332" s="286">
        <f t="shared" ca="1" si="22"/>
        <v>3</v>
      </c>
      <c r="E332" s="286" t="str">
        <f t="shared" ca="1" si="23"/>
        <v/>
      </c>
      <c r="F332" s="286" t="str">
        <f t="shared" ca="1" si="24"/>
        <v/>
      </c>
      <c r="G332" s="287" t="str">
        <f t="shared" ca="1" si="25"/>
        <v/>
      </c>
      <c r="H332" s="288" t="str">
        <f t="shared" ca="1" si="26"/>
        <v/>
      </c>
      <c r="I332" s="308"/>
      <c r="J332" s="320"/>
      <c r="K332" s="320" t="s">
        <v>63</v>
      </c>
      <c r="L332" s="320"/>
      <c r="M332" s="320"/>
      <c r="N332" s="320"/>
      <c r="O332" s="320"/>
      <c r="P332" s="320"/>
      <c r="Q332" s="321"/>
      <c r="R332" s="322"/>
      <c r="S332" s="331"/>
      <c r="T332" s="325"/>
      <c r="U332" s="330"/>
      <c r="V332" s="325"/>
      <c r="W332" s="326">
        <v>0</v>
      </c>
      <c r="X332" s="327"/>
      <c r="Y332" s="328"/>
      <c r="Z332" s="329"/>
      <c r="AA332" s="300"/>
      <c r="AB332" s="301"/>
      <c r="AC332" s="302"/>
      <c r="AD332" s="303"/>
      <c r="AE332" s="304"/>
      <c r="AF332" s="305"/>
      <c r="AG332" s="305">
        <f t="shared" si="27"/>
        <v>0</v>
      </c>
      <c r="AH332" s="305">
        <f t="shared" si="28"/>
        <v>0</v>
      </c>
      <c r="AI332" s="305">
        <f t="shared" si="29"/>
        <v>0</v>
      </c>
      <c r="AJ332" s="305">
        <f t="shared" si="30"/>
        <v>0</v>
      </c>
      <c r="AK332" s="305" t="str">
        <f t="shared" si="31"/>
        <v/>
      </c>
      <c r="AL332" s="306">
        <f t="shared" ca="1" si="32"/>
        <v>1</v>
      </c>
      <c r="AM332" s="306">
        <f t="shared" ca="1" si="33"/>
        <v>47</v>
      </c>
      <c r="AN332" s="306">
        <f t="shared" ca="1" si="34"/>
        <v>3</v>
      </c>
      <c r="AO332" s="306">
        <f t="shared" ca="1" si="35"/>
        <v>0</v>
      </c>
      <c r="AP332" s="306">
        <f t="shared" ca="1" si="36"/>
        <v>0</v>
      </c>
      <c r="AQ332" s="306">
        <f t="shared" ca="1" si="37"/>
        <v>0</v>
      </c>
      <c r="AR332" s="306">
        <f t="shared" ca="1" si="38"/>
        <v>0</v>
      </c>
      <c r="AS332" s="307"/>
      <c r="AT332" s="306">
        <f t="shared" si="39"/>
        <v>1</v>
      </c>
    </row>
    <row r="333" spans="1:46" ht="15.75" customHeight="1">
      <c r="A333" s="284"/>
      <c r="B333" s="285">
        <f t="shared" ca="1" si="20"/>
        <v>1</v>
      </c>
      <c r="C333" s="286">
        <f t="shared" ca="1" si="21"/>
        <v>47</v>
      </c>
      <c r="D333" s="286">
        <f t="shared" ca="1" si="22"/>
        <v>4</v>
      </c>
      <c r="E333" s="286" t="str">
        <f t="shared" ca="1" si="23"/>
        <v/>
      </c>
      <c r="F333" s="286" t="str">
        <f t="shared" ca="1" si="24"/>
        <v/>
      </c>
      <c r="G333" s="287" t="str">
        <f t="shared" ca="1" si="25"/>
        <v/>
      </c>
      <c r="H333" s="288" t="str">
        <f t="shared" ca="1" si="26"/>
        <v/>
      </c>
      <c r="I333" s="308"/>
      <c r="J333" s="320"/>
      <c r="K333" s="320" t="s">
        <v>64</v>
      </c>
      <c r="L333" s="320"/>
      <c r="M333" s="320"/>
      <c r="N333" s="320"/>
      <c r="O333" s="320"/>
      <c r="P333" s="320"/>
      <c r="Q333" s="321"/>
      <c r="R333" s="322"/>
      <c r="S333" s="331"/>
      <c r="T333" s="325"/>
      <c r="U333" s="330"/>
      <c r="V333" s="325"/>
      <c r="W333" s="326">
        <v>0</v>
      </c>
      <c r="X333" s="327"/>
      <c r="Y333" s="328"/>
      <c r="Z333" s="329"/>
      <c r="AA333" s="300"/>
      <c r="AB333" s="301"/>
      <c r="AC333" s="302"/>
      <c r="AD333" s="303"/>
      <c r="AE333" s="304"/>
      <c r="AF333" s="305"/>
      <c r="AG333" s="305">
        <f t="shared" si="27"/>
        <v>0</v>
      </c>
      <c r="AH333" s="305">
        <f t="shared" si="28"/>
        <v>0</v>
      </c>
      <c r="AI333" s="305">
        <f t="shared" si="29"/>
        <v>0</v>
      </c>
      <c r="AJ333" s="305">
        <f t="shared" si="30"/>
        <v>0</v>
      </c>
      <c r="AK333" s="305" t="str">
        <f t="shared" si="31"/>
        <v/>
      </c>
      <c r="AL333" s="306">
        <f t="shared" ca="1" si="32"/>
        <v>1</v>
      </c>
      <c r="AM333" s="306">
        <f t="shared" ca="1" si="33"/>
        <v>47</v>
      </c>
      <c r="AN333" s="306">
        <f t="shared" ca="1" si="34"/>
        <v>4</v>
      </c>
      <c r="AO333" s="306">
        <f t="shared" ca="1" si="35"/>
        <v>0</v>
      </c>
      <c r="AP333" s="306">
        <f t="shared" ca="1" si="36"/>
        <v>0</v>
      </c>
      <c r="AQ333" s="306">
        <f t="shared" ca="1" si="37"/>
        <v>0</v>
      </c>
      <c r="AR333" s="306">
        <f t="shared" ca="1" si="38"/>
        <v>0</v>
      </c>
      <c r="AS333" s="307"/>
      <c r="AT333" s="306">
        <f t="shared" si="39"/>
        <v>1</v>
      </c>
    </row>
    <row r="334" spans="1:46" ht="15.75" customHeight="1">
      <c r="A334" s="284"/>
      <c r="B334" s="285">
        <f t="shared" ca="1" si="20"/>
        <v>1</v>
      </c>
      <c r="C334" s="286">
        <f t="shared" ca="1" si="21"/>
        <v>47</v>
      </c>
      <c r="D334" s="286">
        <f t="shared" ca="1" si="22"/>
        <v>5</v>
      </c>
      <c r="E334" s="286" t="str">
        <f t="shared" ca="1" si="23"/>
        <v/>
      </c>
      <c r="F334" s="286" t="str">
        <f t="shared" ca="1" si="24"/>
        <v/>
      </c>
      <c r="G334" s="287" t="str">
        <f t="shared" ca="1" si="25"/>
        <v/>
      </c>
      <c r="H334" s="288" t="str">
        <f t="shared" ca="1" si="26"/>
        <v/>
      </c>
      <c r="I334" s="308"/>
      <c r="J334" s="320"/>
      <c r="K334" s="320" t="s">
        <v>65</v>
      </c>
      <c r="L334" s="320"/>
      <c r="M334" s="320"/>
      <c r="N334" s="320"/>
      <c r="O334" s="320"/>
      <c r="P334" s="320"/>
      <c r="Q334" s="321"/>
      <c r="R334" s="322"/>
      <c r="S334" s="331"/>
      <c r="T334" s="325"/>
      <c r="U334" s="330"/>
      <c r="V334" s="325"/>
      <c r="W334" s="326">
        <v>0</v>
      </c>
      <c r="X334" s="327"/>
      <c r="Y334" s="328"/>
      <c r="Z334" s="329"/>
      <c r="AA334" s="300"/>
      <c r="AB334" s="301"/>
      <c r="AC334" s="302"/>
      <c r="AD334" s="303"/>
      <c r="AE334" s="304"/>
      <c r="AF334" s="305"/>
      <c r="AG334" s="305">
        <f t="shared" si="27"/>
        <v>0</v>
      </c>
      <c r="AH334" s="305">
        <f t="shared" si="28"/>
        <v>0</v>
      </c>
      <c r="AI334" s="305">
        <f t="shared" si="29"/>
        <v>0</v>
      </c>
      <c r="AJ334" s="305">
        <f t="shared" si="30"/>
        <v>0</v>
      </c>
      <c r="AK334" s="305" t="str">
        <f t="shared" si="31"/>
        <v/>
      </c>
      <c r="AL334" s="306">
        <f t="shared" ca="1" si="32"/>
        <v>1</v>
      </c>
      <c r="AM334" s="306">
        <f t="shared" ca="1" si="33"/>
        <v>47</v>
      </c>
      <c r="AN334" s="306">
        <f t="shared" ca="1" si="34"/>
        <v>5</v>
      </c>
      <c r="AO334" s="306">
        <f t="shared" ca="1" si="35"/>
        <v>0</v>
      </c>
      <c r="AP334" s="306">
        <f t="shared" ca="1" si="36"/>
        <v>0</v>
      </c>
      <c r="AQ334" s="306">
        <f t="shared" ca="1" si="37"/>
        <v>0</v>
      </c>
      <c r="AR334" s="306">
        <f t="shared" ca="1" si="38"/>
        <v>0</v>
      </c>
      <c r="AS334" s="307"/>
      <c r="AT334" s="306">
        <f t="shared" si="39"/>
        <v>1</v>
      </c>
    </row>
    <row r="335" spans="1:46" ht="15.75" customHeight="1">
      <c r="A335" s="284"/>
      <c r="B335" s="285">
        <f t="shared" ca="1" si="20"/>
        <v>1</v>
      </c>
      <c r="C335" s="286">
        <f t="shared" ca="1" si="21"/>
        <v>47</v>
      </c>
      <c r="D335" s="286">
        <f t="shared" ca="1" si="22"/>
        <v>6</v>
      </c>
      <c r="E335" s="286" t="str">
        <f t="shared" ca="1" si="23"/>
        <v/>
      </c>
      <c r="F335" s="286" t="str">
        <f t="shared" ca="1" si="24"/>
        <v/>
      </c>
      <c r="G335" s="287" t="str">
        <f t="shared" ca="1" si="25"/>
        <v/>
      </c>
      <c r="H335" s="288" t="str">
        <f t="shared" ca="1" si="26"/>
        <v/>
      </c>
      <c r="I335" s="308"/>
      <c r="J335" s="320"/>
      <c r="K335" s="320" t="s">
        <v>66</v>
      </c>
      <c r="L335" s="320"/>
      <c r="M335" s="320"/>
      <c r="N335" s="320"/>
      <c r="O335" s="320"/>
      <c r="P335" s="320"/>
      <c r="Q335" s="321"/>
      <c r="R335" s="322"/>
      <c r="S335" s="331"/>
      <c r="T335" s="325"/>
      <c r="U335" s="330"/>
      <c r="V335" s="325"/>
      <c r="W335" s="326">
        <v>0</v>
      </c>
      <c r="X335" s="327"/>
      <c r="Y335" s="328"/>
      <c r="Z335" s="329"/>
      <c r="AA335" s="300"/>
      <c r="AB335" s="301"/>
      <c r="AC335" s="302"/>
      <c r="AD335" s="303"/>
      <c r="AE335" s="304"/>
      <c r="AF335" s="305"/>
      <c r="AG335" s="305">
        <f t="shared" si="27"/>
        <v>0</v>
      </c>
      <c r="AH335" s="305">
        <f t="shared" si="28"/>
        <v>0</v>
      </c>
      <c r="AI335" s="305">
        <f t="shared" si="29"/>
        <v>0</v>
      </c>
      <c r="AJ335" s="305">
        <f t="shared" si="30"/>
        <v>0</v>
      </c>
      <c r="AK335" s="305" t="str">
        <f t="shared" si="31"/>
        <v/>
      </c>
      <c r="AL335" s="306">
        <f t="shared" ca="1" si="32"/>
        <v>1</v>
      </c>
      <c r="AM335" s="306">
        <f t="shared" ca="1" si="33"/>
        <v>47</v>
      </c>
      <c r="AN335" s="306">
        <f t="shared" ca="1" si="34"/>
        <v>6</v>
      </c>
      <c r="AO335" s="306">
        <f t="shared" ca="1" si="35"/>
        <v>0</v>
      </c>
      <c r="AP335" s="306">
        <f t="shared" ca="1" si="36"/>
        <v>0</v>
      </c>
      <c r="AQ335" s="306">
        <f t="shared" ca="1" si="37"/>
        <v>0</v>
      </c>
      <c r="AR335" s="306">
        <f t="shared" ca="1" si="38"/>
        <v>0</v>
      </c>
      <c r="AS335" s="307"/>
      <c r="AT335" s="306">
        <f t="shared" si="39"/>
        <v>1</v>
      </c>
    </row>
    <row r="336" spans="1:46" ht="15.75" customHeight="1">
      <c r="A336" s="284"/>
      <c r="B336" s="285">
        <f t="shared" ca="1" si="20"/>
        <v>1</v>
      </c>
      <c r="C336" s="286">
        <f t="shared" ca="1" si="21"/>
        <v>48</v>
      </c>
      <c r="D336" s="286" t="str">
        <f t="shared" ca="1" si="22"/>
        <v/>
      </c>
      <c r="E336" s="286" t="str">
        <f t="shared" ca="1" si="23"/>
        <v/>
      </c>
      <c r="F336" s="286" t="str">
        <f t="shared" ca="1" si="24"/>
        <v/>
      </c>
      <c r="G336" s="287" t="str">
        <f t="shared" ca="1" si="25"/>
        <v/>
      </c>
      <c r="H336" s="288" t="str">
        <f t="shared" ca="1" si="26"/>
        <v/>
      </c>
      <c r="I336" s="308"/>
      <c r="J336" s="309" t="s">
        <v>227</v>
      </c>
      <c r="K336" s="310"/>
      <c r="L336" s="310"/>
      <c r="M336" s="310"/>
      <c r="N336" s="310"/>
      <c r="O336" s="310"/>
      <c r="P336" s="310"/>
      <c r="Q336" s="311" t="s">
        <v>81</v>
      </c>
      <c r="R336" s="312"/>
      <c r="S336" s="313"/>
      <c r="T336" s="314"/>
      <c r="U336" s="315"/>
      <c r="V336" s="314"/>
      <c r="W336" s="316"/>
      <c r="X336" s="317"/>
      <c r="Y336" s="318"/>
      <c r="Z336" s="319"/>
      <c r="AA336" s="300"/>
      <c r="AB336" s="301"/>
      <c r="AC336" s="302"/>
      <c r="AD336" s="303"/>
      <c r="AE336" s="304"/>
      <c r="AF336" s="305"/>
      <c r="AG336" s="305">
        <f t="shared" si="27"/>
        <v>0</v>
      </c>
      <c r="AH336" s="305">
        <f t="shared" si="28"/>
        <v>0</v>
      </c>
      <c r="AI336" s="305">
        <f t="shared" si="29"/>
        <v>0</v>
      </c>
      <c r="AJ336" s="305">
        <f t="shared" si="30"/>
        <v>0</v>
      </c>
      <c r="AK336" s="305" t="str">
        <f t="shared" si="31"/>
        <v/>
      </c>
      <c r="AL336" s="306">
        <f t="shared" ca="1" si="32"/>
        <v>1</v>
      </c>
      <c r="AM336" s="306">
        <f t="shared" ca="1" si="33"/>
        <v>48</v>
      </c>
      <c r="AN336" s="306">
        <f t="shared" ca="1" si="34"/>
        <v>0</v>
      </c>
      <c r="AO336" s="306">
        <f t="shared" ca="1" si="35"/>
        <v>0</v>
      </c>
      <c r="AP336" s="306">
        <f t="shared" ca="1" si="36"/>
        <v>0</v>
      </c>
      <c r="AQ336" s="306">
        <f t="shared" ca="1" si="37"/>
        <v>0</v>
      </c>
      <c r="AR336" s="306">
        <f t="shared" ca="1" si="38"/>
        <v>0</v>
      </c>
      <c r="AS336" s="307"/>
      <c r="AT336" s="306">
        <f t="shared" si="39"/>
        <v>1</v>
      </c>
    </row>
    <row r="337" spans="1:46" ht="15.75" customHeight="1">
      <c r="A337" s="284"/>
      <c r="B337" s="285">
        <f t="shared" ca="1" si="20"/>
        <v>1</v>
      </c>
      <c r="C337" s="286">
        <f t="shared" ca="1" si="21"/>
        <v>48</v>
      </c>
      <c r="D337" s="286">
        <f t="shared" ca="1" si="22"/>
        <v>1</v>
      </c>
      <c r="E337" s="286" t="str">
        <f t="shared" ca="1" si="23"/>
        <v/>
      </c>
      <c r="F337" s="286" t="str">
        <f t="shared" ca="1" si="24"/>
        <v/>
      </c>
      <c r="G337" s="287" t="str">
        <f t="shared" ca="1" si="25"/>
        <v/>
      </c>
      <c r="H337" s="288" t="str">
        <f t="shared" ca="1" si="26"/>
        <v/>
      </c>
      <c r="I337" s="308"/>
      <c r="J337" s="320"/>
      <c r="K337" s="320" t="s">
        <v>59</v>
      </c>
      <c r="L337" s="320"/>
      <c r="M337" s="320"/>
      <c r="N337" s="320"/>
      <c r="O337" s="320"/>
      <c r="P337" s="320"/>
      <c r="Q337" s="321"/>
      <c r="R337" s="322"/>
      <c r="S337" s="331"/>
      <c r="T337" s="325"/>
      <c r="U337" s="330"/>
      <c r="V337" s="325"/>
      <c r="W337" s="326">
        <v>0</v>
      </c>
      <c r="X337" s="327"/>
      <c r="Y337" s="328"/>
      <c r="Z337" s="329"/>
      <c r="AA337" s="300"/>
      <c r="AB337" s="301"/>
      <c r="AC337" s="302"/>
      <c r="AD337" s="303"/>
      <c r="AE337" s="304"/>
      <c r="AF337" s="305"/>
      <c r="AG337" s="305">
        <f t="shared" si="27"/>
        <v>0</v>
      </c>
      <c r="AH337" s="305">
        <f t="shared" si="28"/>
        <v>0</v>
      </c>
      <c r="AI337" s="305">
        <f t="shared" si="29"/>
        <v>0</v>
      </c>
      <c r="AJ337" s="305">
        <f t="shared" si="30"/>
        <v>0</v>
      </c>
      <c r="AK337" s="305" t="str">
        <f t="shared" si="31"/>
        <v/>
      </c>
      <c r="AL337" s="306">
        <f t="shared" ca="1" si="32"/>
        <v>1</v>
      </c>
      <c r="AM337" s="306">
        <f t="shared" ca="1" si="33"/>
        <v>48</v>
      </c>
      <c r="AN337" s="306">
        <f t="shared" ca="1" si="34"/>
        <v>1</v>
      </c>
      <c r="AO337" s="306">
        <f t="shared" ca="1" si="35"/>
        <v>0</v>
      </c>
      <c r="AP337" s="306">
        <f t="shared" ca="1" si="36"/>
        <v>0</v>
      </c>
      <c r="AQ337" s="306">
        <f t="shared" ca="1" si="37"/>
        <v>0</v>
      </c>
      <c r="AR337" s="306">
        <f t="shared" ca="1" si="38"/>
        <v>0</v>
      </c>
      <c r="AS337" s="307"/>
      <c r="AT337" s="306">
        <f t="shared" si="39"/>
        <v>1</v>
      </c>
    </row>
    <row r="338" spans="1:46" ht="15.75" customHeight="1">
      <c r="A338" s="284"/>
      <c r="B338" s="285">
        <f t="shared" ca="1" si="20"/>
        <v>1</v>
      </c>
      <c r="C338" s="286">
        <f t="shared" ca="1" si="21"/>
        <v>48</v>
      </c>
      <c r="D338" s="286">
        <f t="shared" ca="1" si="22"/>
        <v>2</v>
      </c>
      <c r="E338" s="286" t="str">
        <f t="shared" ca="1" si="23"/>
        <v/>
      </c>
      <c r="F338" s="286" t="str">
        <f t="shared" ca="1" si="24"/>
        <v/>
      </c>
      <c r="G338" s="287" t="str">
        <f t="shared" ca="1" si="25"/>
        <v/>
      </c>
      <c r="H338" s="288" t="str">
        <f t="shared" ca="1" si="26"/>
        <v/>
      </c>
      <c r="I338" s="308"/>
      <c r="J338" s="320"/>
      <c r="K338" s="320" t="s">
        <v>145</v>
      </c>
      <c r="L338" s="320"/>
      <c r="M338" s="320"/>
      <c r="N338" s="320"/>
      <c r="O338" s="320"/>
      <c r="P338" s="320"/>
      <c r="Q338" s="321"/>
      <c r="R338" s="322"/>
      <c r="S338" s="331"/>
      <c r="T338" s="325"/>
      <c r="U338" s="330"/>
      <c r="V338" s="325"/>
      <c r="W338" s="326">
        <v>0</v>
      </c>
      <c r="X338" s="327"/>
      <c r="Y338" s="328"/>
      <c r="Z338" s="329"/>
      <c r="AA338" s="300"/>
      <c r="AB338" s="301"/>
      <c r="AC338" s="302"/>
      <c r="AD338" s="303"/>
      <c r="AE338" s="304"/>
      <c r="AF338" s="305"/>
      <c r="AG338" s="305">
        <f t="shared" si="27"/>
        <v>0</v>
      </c>
      <c r="AH338" s="305">
        <f t="shared" si="28"/>
        <v>0</v>
      </c>
      <c r="AI338" s="305">
        <f t="shared" si="29"/>
        <v>0</v>
      </c>
      <c r="AJ338" s="305">
        <f t="shared" si="30"/>
        <v>0</v>
      </c>
      <c r="AK338" s="305" t="str">
        <f t="shared" si="31"/>
        <v/>
      </c>
      <c r="AL338" s="306">
        <f t="shared" ca="1" si="32"/>
        <v>1</v>
      </c>
      <c r="AM338" s="306">
        <f t="shared" ca="1" si="33"/>
        <v>48</v>
      </c>
      <c r="AN338" s="306">
        <f t="shared" ca="1" si="34"/>
        <v>2</v>
      </c>
      <c r="AO338" s="306">
        <f t="shared" ca="1" si="35"/>
        <v>0</v>
      </c>
      <c r="AP338" s="306">
        <f t="shared" ca="1" si="36"/>
        <v>0</v>
      </c>
      <c r="AQ338" s="306">
        <f t="shared" ca="1" si="37"/>
        <v>0</v>
      </c>
      <c r="AR338" s="306">
        <f t="shared" ca="1" si="38"/>
        <v>0</v>
      </c>
      <c r="AS338" s="307"/>
      <c r="AT338" s="306">
        <f t="shared" si="39"/>
        <v>1</v>
      </c>
    </row>
    <row r="339" spans="1:46" ht="15.75" customHeight="1">
      <c r="A339" s="284"/>
      <c r="B339" s="285">
        <f t="shared" ca="1" si="20"/>
        <v>1</v>
      </c>
      <c r="C339" s="286">
        <f t="shared" ca="1" si="21"/>
        <v>48</v>
      </c>
      <c r="D339" s="286">
        <f t="shared" ca="1" si="22"/>
        <v>3</v>
      </c>
      <c r="E339" s="286" t="str">
        <f t="shared" ca="1" si="23"/>
        <v/>
      </c>
      <c r="F339" s="286" t="str">
        <f t="shared" ca="1" si="24"/>
        <v/>
      </c>
      <c r="G339" s="287" t="str">
        <f t="shared" ca="1" si="25"/>
        <v/>
      </c>
      <c r="H339" s="288" t="str">
        <f t="shared" ca="1" si="26"/>
        <v/>
      </c>
      <c r="I339" s="308"/>
      <c r="J339" s="320"/>
      <c r="K339" s="320" t="s">
        <v>63</v>
      </c>
      <c r="L339" s="320"/>
      <c r="M339" s="320"/>
      <c r="N339" s="320"/>
      <c r="O339" s="320"/>
      <c r="P339" s="320"/>
      <c r="Q339" s="321"/>
      <c r="R339" s="322"/>
      <c r="S339" s="331"/>
      <c r="T339" s="325"/>
      <c r="U339" s="330"/>
      <c r="V339" s="325"/>
      <c r="W339" s="326">
        <v>0</v>
      </c>
      <c r="X339" s="327"/>
      <c r="Y339" s="328"/>
      <c r="Z339" s="329"/>
      <c r="AA339" s="300"/>
      <c r="AB339" s="301"/>
      <c r="AC339" s="302"/>
      <c r="AD339" s="303"/>
      <c r="AE339" s="304"/>
      <c r="AF339" s="305"/>
      <c r="AG339" s="305">
        <f t="shared" si="27"/>
        <v>0</v>
      </c>
      <c r="AH339" s="305">
        <f t="shared" si="28"/>
        <v>0</v>
      </c>
      <c r="AI339" s="305">
        <f t="shared" si="29"/>
        <v>0</v>
      </c>
      <c r="AJ339" s="305">
        <f t="shared" si="30"/>
        <v>0</v>
      </c>
      <c r="AK339" s="305" t="str">
        <f t="shared" si="31"/>
        <v/>
      </c>
      <c r="AL339" s="306">
        <f t="shared" ca="1" si="32"/>
        <v>1</v>
      </c>
      <c r="AM339" s="306">
        <f t="shared" ca="1" si="33"/>
        <v>48</v>
      </c>
      <c r="AN339" s="306">
        <f t="shared" ca="1" si="34"/>
        <v>3</v>
      </c>
      <c r="AO339" s="306">
        <f t="shared" ca="1" si="35"/>
        <v>0</v>
      </c>
      <c r="AP339" s="306">
        <f t="shared" ca="1" si="36"/>
        <v>0</v>
      </c>
      <c r="AQ339" s="306">
        <f t="shared" ca="1" si="37"/>
        <v>0</v>
      </c>
      <c r="AR339" s="306">
        <f t="shared" ca="1" si="38"/>
        <v>0</v>
      </c>
      <c r="AS339" s="307"/>
      <c r="AT339" s="306">
        <f t="shared" si="39"/>
        <v>1</v>
      </c>
    </row>
    <row r="340" spans="1:46" ht="15.75" customHeight="1">
      <c r="A340" s="284"/>
      <c r="B340" s="285">
        <f t="shared" ca="1" si="20"/>
        <v>1</v>
      </c>
      <c r="C340" s="286">
        <f t="shared" ca="1" si="21"/>
        <v>48</v>
      </c>
      <c r="D340" s="286">
        <f t="shared" ca="1" si="22"/>
        <v>4</v>
      </c>
      <c r="E340" s="286" t="str">
        <f t="shared" ca="1" si="23"/>
        <v/>
      </c>
      <c r="F340" s="286" t="str">
        <f t="shared" ca="1" si="24"/>
        <v/>
      </c>
      <c r="G340" s="287" t="str">
        <f t="shared" ca="1" si="25"/>
        <v/>
      </c>
      <c r="H340" s="288" t="str">
        <f t="shared" ca="1" si="26"/>
        <v/>
      </c>
      <c r="I340" s="308"/>
      <c r="J340" s="320"/>
      <c r="K340" s="320" t="s">
        <v>64</v>
      </c>
      <c r="L340" s="320"/>
      <c r="M340" s="320"/>
      <c r="N340" s="320"/>
      <c r="O340" s="320"/>
      <c r="P340" s="320"/>
      <c r="Q340" s="321"/>
      <c r="R340" s="322"/>
      <c r="S340" s="331"/>
      <c r="T340" s="325"/>
      <c r="U340" s="330"/>
      <c r="V340" s="325"/>
      <c r="W340" s="326">
        <v>0</v>
      </c>
      <c r="X340" s="327"/>
      <c r="Y340" s="328"/>
      <c r="Z340" s="329"/>
      <c r="AA340" s="300"/>
      <c r="AB340" s="301"/>
      <c r="AC340" s="302"/>
      <c r="AD340" s="303"/>
      <c r="AE340" s="304"/>
      <c r="AF340" s="305"/>
      <c r="AG340" s="305">
        <f t="shared" si="27"/>
        <v>0</v>
      </c>
      <c r="AH340" s="305">
        <f t="shared" si="28"/>
        <v>0</v>
      </c>
      <c r="AI340" s="305">
        <f t="shared" si="29"/>
        <v>0</v>
      </c>
      <c r="AJ340" s="305">
        <f t="shared" si="30"/>
        <v>0</v>
      </c>
      <c r="AK340" s="305" t="str">
        <f t="shared" si="31"/>
        <v/>
      </c>
      <c r="AL340" s="306">
        <f t="shared" ca="1" si="32"/>
        <v>1</v>
      </c>
      <c r="AM340" s="306">
        <f t="shared" ca="1" si="33"/>
        <v>48</v>
      </c>
      <c r="AN340" s="306">
        <f t="shared" ca="1" si="34"/>
        <v>4</v>
      </c>
      <c r="AO340" s="306">
        <f t="shared" ca="1" si="35"/>
        <v>0</v>
      </c>
      <c r="AP340" s="306">
        <f t="shared" ca="1" si="36"/>
        <v>0</v>
      </c>
      <c r="AQ340" s="306">
        <f t="shared" ca="1" si="37"/>
        <v>0</v>
      </c>
      <c r="AR340" s="306">
        <f t="shared" ca="1" si="38"/>
        <v>0</v>
      </c>
      <c r="AS340" s="307"/>
      <c r="AT340" s="306">
        <f t="shared" si="39"/>
        <v>1</v>
      </c>
    </row>
    <row r="341" spans="1:46" ht="15.75" customHeight="1">
      <c r="A341" s="284"/>
      <c r="B341" s="285">
        <f t="shared" ca="1" si="20"/>
        <v>1</v>
      </c>
      <c r="C341" s="286">
        <f t="shared" ca="1" si="21"/>
        <v>48</v>
      </c>
      <c r="D341" s="286">
        <f t="shared" ca="1" si="22"/>
        <v>5</v>
      </c>
      <c r="E341" s="286" t="str">
        <f t="shared" ca="1" si="23"/>
        <v/>
      </c>
      <c r="F341" s="286" t="str">
        <f t="shared" ca="1" si="24"/>
        <v/>
      </c>
      <c r="G341" s="287" t="str">
        <f t="shared" ca="1" si="25"/>
        <v/>
      </c>
      <c r="H341" s="288" t="str">
        <f t="shared" ca="1" si="26"/>
        <v/>
      </c>
      <c r="I341" s="308"/>
      <c r="J341" s="320"/>
      <c r="K341" s="320" t="s">
        <v>65</v>
      </c>
      <c r="L341" s="320"/>
      <c r="M341" s="320"/>
      <c r="N341" s="320"/>
      <c r="O341" s="320"/>
      <c r="P341" s="320"/>
      <c r="Q341" s="321"/>
      <c r="R341" s="322"/>
      <c r="S341" s="331"/>
      <c r="T341" s="325"/>
      <c r="U341" s="330"/>
      <c r="V341" s="325"/>
      <c r="W341" s="326">
        <v>0</v>
      </c>
      <c r="X341" s="327"/>
      <c r="Y341" s="328"/>
      <c r="Z341" s="329"/>
      <c r="AA341" s="300"/>
      <c r="AB341" s="301"/>
      <c r="AC341" s="302"/>
      <c r="AD341" s="303"/>
      <c r="AE341" s="304"/>
      <c r="AF341" s="305"/>
      <c r="AG341" s="305">
        <f t="shared" si="27"/>
        <v>0</v>
      </c>
      <c r="AH341" s="305">
        <f t="shared" si="28"/>
        <v>0</v>
      </c>
      <c r="AI341" s="305">
        <f t="shared" si="29"/>
        <v>0</v>
      </c>
      <c r="AJ341" s="305">
        <f t="shared" si="30"/>
        <v>0</v>
      </c>
      <c r="AK341" s="305" t="str">
        <f t="shared" si="31"/>
        <v/>
      </c>
      <c r="AL341" s="306">
        <f t="shared" ca="1" si="32"/>
        <v>1</v>
      </c>
      <c r="AM341" s="306">
        <f t="shared" ca="1" si="33"/>
        <v>48</v>
      </c>
      <c r="AN341" s="306">
        <f t="shared" ca="1" si="34"/>
        <v>5</v>
      </c>
      <c r="AO341" s="306">
        <f t="shared" ca="1" si="35"/>
        <v>0</v>
      </c>
      <c r="AP341" s="306">
        <f t="shared" ca="1" si="36"/>
        <v>0</v>
      </c>
      <c r="AQ341" s="306">
        <f t="shared" ca="1" si="37"/>
        <v>0</v>
      </c>
      <c r="AR341" s="306">
        <f t="shared" ca="1" si="38"/>
        <v>0</v>
      </c>
      <c r="AS341" s="307"/>
      <c r="AT341" s="306">
        <f t="shared" si="39"/>
        <v>1</v>
      </c>
    </row>
    <row r="342" spans="1:46" ht="15.75" customHeight="1">
      <c r="A342" s="284"/>
      <c r="B342" s="285">
        <f t="shared" ca="1" si="20"/>
        <v>1</v>
      </c>
      <c r="C342" s="286">
        <f t="shared" ca="1" si="21"/>
        <v>48</v>
      </c>
      <c r="D342" s="286">
        <f t="shared" ca="1" si="22"/>
        <v>6</v>
      </c>
      <c r="E342" s="286" t="str">
        <f t="shared" ca="1" si="23"/>
        <v/>
      </c>
      <c r="F342" s="286" t="str">
        <f t="shared" ca="1" si="24"/>
        <v/>
      </c>
      <c r="G342" s="287" t="str">
        <f t="shared" ca="1" si="25"/>
        <v/>
      </c>
      <c r="H342" s="288" t="str">
        <f t="shared" ca="1" si="26"/>
        <v/>
      </c>
      <c r="I342" s="308"/>
      <c r="J342" s="320"/>
      <c r="K342" s="320" t="s">
        <v>66</v>
      </c>
      <c r="L342" s="320"/>
      <c r="M342" s="320"/>
      <c r="N342" s="320"/>
      <c r="O342" s="320"/>
      <c r="P342" s="320"/>
      <c r="Q342" s="321"/>
      <c r="R342" s="322"/>
      <c r="S342" s="331"/>
      <c r="T342" s="325"/>
      <c r="U342" s="330"/>
      <c r="V342" s="325"/>
      <c r="W342" s="326">
        <v>0</v>
      </c>
      <c r="X342" s="327"/>
      <c r="Y342" s="328"/>
      <c r="Z342" s="329"/>
      <c r="AA342" s="300"/>
      <c r="AB342" s="301"/>
      <c r="AC342" s="302"/>
      <c r="AD342" s="303"/>
      <c r="AE342" s="304"/>
      <c r="AF342" s="305"/>
      <c r="AG342" s="305">
        <f t="shared" si="27"/>
        <v>0</v>
      </c>
      <c r="AH342" s="305">
        <f t="shared" si="28"/>
        <v>0</v>
      </c>
      <c r="AI342" s="305">
        <f t="shared" si="29"/>
        <v>0</v>
      </c>
      <c r="AJ342" s="305">
        <f t="shared" si="30"/>
        <v>0</v>
      </c>
      <c r="AK342" s="305" t="str">
        <f t="shared" si="31"/>
        <v/>
      </c>
      <c r="AL342" s="306">
        <f t="shared" ca="1" si="32"/>
        <v>1</v>
      </c>
      <c r="AM342" s="306">
        <f t="shared" ca="1" si="33"/>
        <v>48</v>
      </c>
      <c r="AN342" s="306">
        <f t="shared" ca="1" si="34"/>
        <v>6</v>
      </c>
      <c r="AO342" s="306">
        <f t="shared" ca="1" si="35"/>
        <v>0</v>
      </c>
      <c r="AP342" s="306">
        <f t="shared" ca="1" si="36"/>
        <v>0</v>
      </c>
      <c r="AQ342" s="306">
        <f t="shared" ca="1" si="37"/>
        <v>0</v>
      </c>
      <c r="AR342" s="306">
        <f t="shared" ca="1" si="38"/>
        <v>0</v>
      </c>
      <c r="AS342" s="307"/>
      <c r="AT342" s="306">
        <f t="shared" si="39"/>
        <v>1</v>
      </c>
    </row>
    <row r="343" spans="1:46" ht="15.75" customHeight="1">
      <c r="A343" s="284"/>
      <c r="B343" s="285">
        <f t="shared" ca="1" si="20"/>
        <v>1</v>
      </c>
      <c r="C343" s="286">
        <f t="shared" ca="1" si="21"/>
        <v>49</v>
      </c>
      <c r="D343" s="286" t="str">
        <f t="shared" ca="1" si="22"/>
        <v/>
      </c>
      <c r="E343" s="286" t="str">
        <f t="shared" ca="1" si="23"/>
        <v/>
      </c>
      <c r="F343" s="286" t="str">
        <f t="shared" ca="1" si="24"/>
        <v/>
      </c>
      <c r="G343" s="287" t="str">
        <f t="shared" ca="1" si="25"/>
        <v/>
      </c>
      <c r="H343" s="288" t="str">
        <f t="shared" ca="1" si="26"/>
        <v/>
      </c>
      <c r="I343" s="308"/>
      <c r="J343" s="309" t="s">
        <v>228</v>
      </c>
      <c r="K343" s="310"/>
      <c r="L343" s="310"/>
      <c r="M343" s="310"/>
      <c r="N343" s="310"/>
      <c r="O343" s="310"/>
      <c r="P343" s="310"/>
      <c r="Q343" s="311" t="s">
        <v>81</v>
      </c>
      <c r="R343" s="312"/>
      <c r="S343" s="313"/>
      <c r="T343" s="314"/>
      <c r="U343" s="315"/>
      <c r="V343" s="314"/>
      <c r="W343" s="316"/>
      <c r="X343" s="317"/>
      <c r="Y343" s="318"/>
      <c r="Z343" s="319"/>
      <c r="AA343" s="300"/>
      <c r="AB343" s="301"/>
      <c r="AC343" s="302"/>
      <c r="AD343" s="303"/>
      <c r="AE343" s="304"/>
      <c r="AF343" s="305"/>
      <c r="AG343" s="305">
        <f t="shared" si="27"/>
        <v>0</v>
      </c>
      <c r="AH343" s="305">
        <f t="shared" si="28"/>
        <v>0</v>
      </c>
      <c r="AI343" s="305">
        <f t="shared" si="29"/>
        <v>0</v>
      </c>
      <c r="AJ343" s="305">
        <f t="shared" si="30"/>
        <v>0</v>
      </c>
      <c r="AK343" s="305" t="str">
        <f t="shared" si="31"/>
        <v/>
      </c>
      <c r="AL343" s="306">
        <f t="shared" ca="1" si="32"/>
        <v>1</v>
      </c>
      <c r="AM343" s="306">
        <f t="shared" ca="1" si="33"/>
        <v>49</v>
      </c>
      <c r="AN343" s="306">
        <f t="shared" ca="1" si="34"/>
        <v>0</v>
      </c>
      <c r="AO343" s="306">
        <f t="shared" ca="1" si="35"/>
        <v>0</v>
      </c>
      <c r="AP343" s="306">
        <f t="shared" ca="1" si="36"/>
        <v>0</v>
      </c>
      <c r="AQ343" s="306">
        <f t="shared" ca="1" si="37"/>
        <v>0</v>
      </c>
      <c r="AR343" s="306">
        <f t="shared" ca="1" si="38"/>
        <v>0</v>
      </c>
      <c r="AS343" s="307"/>
      <c r="AT343" s="306">
        <f t="shared" si="39"/>
        <v>1</v>
      </c>
    </row>
    <row r="344" spans="1:46" ht="15.75" customHeight="1">
      <c r="A344" s="284"/>
      <c r="B344" s="285">
        <f t="shared" ca="1" si="20"/>
        <v>1</v>
      </c>
      <c r="C344" s="286">
        <f t="shared" ca="1" si="21"/>
        <v>49</v>
      </c>
      <c r="D344" s="286">
        <f t="shared" ca="1" si="22"/>
        <v>1</v>
      </c>
      <c r="E344" s="286" t="str">
        <f t="shared" ca="1" si="23"/>
        <v/>
      </c>
      <c r="F344" s="286" t="str">
        <f t="shared" ca="1" si="24"/>
        <v/>
      </c>
      <c r="G344" s="287" t="str">
        <f t="shared" ca="1" si="25"/>
        <v/>
      </c>
      <c r="H344" s="288" t="str">
        <f t="shared" ca="1" si="26"/>
        <v/>
      </c>
      <c r="I344" s="308"/>
      <c r="J344" s="320"/>
      <c r="K344" s="320" t="s">
        <v>59</v>
      </c>
      <c r="L344" s="320"/>
      <c r="M344" s="320"/>
      <c r="N344" s="320"/>
      <c r="O344" s="320"/>
      <c r="P344" s="320"/>
      <c r="Q344" s="321"/>
      <c r="R344" s="322"/>
      <c r="S344" s="331"/>
      <c r="T344" s="325"/>
      <c r="U344" s="330"/>
      <c r="V344" s="325"/>
      <c r="W344" s="326">
        <v>0</v>
      </c>
      <c r="X344" s="327"/>
      <c r="Y344" s="328"/>
      <c r="Z344" s="329"/>
      <c r="AA344" s="300"/>
      <c r="AB344" s="301"/>
      <c r="AC344" s="302"/>
      <c r="AD344" s="303"/>
      <c r="AE344" s="304"/>
      <c r="AF344" s="305"/>
      <c r="AG344" s="305">
        <f t="shared" si="27"/>
        <v>0</v>
      </c>
      <c r="AH344" s="305">
        <f t="shared" si="28"/>
        <v>0</v>
      </c>
      <c r="AI344" s="305">
        <f t="shared" si="29"/>
        <v>0</v>
      </c>
      <c r="AJ344" s="305">
        <f t="shared" si="30"/>
        <v>0</v>
      </c>
      <c r="AK344" s="305" t="str">
        <f t="shared" si="31"/>
        <v/>
      </c>
      <c r="AL344" s="306">
        <f t="shared" ca="1" si="32"/>
        <v>1</v>
      </c>
      <c r="AM344" s="306">
        <f t="shared" ca="1" si="33"/>
        <v>49</v>
      </c>
      <c r="AN344" s="306">
        <f t="shared" ca="1" si="34"/>
        <v>1</v>
      </c>
      <c r="AO344" s="306">
        <f t="shared" ca="1" si="35"/>
        <v>0</v>
      </c>
      <c r="AP344" s="306">
        <f t="shared" ca="1" si="36"/>
        <v>0</v>
      </c>
      <c r="AQ344" s="306">
        <f t="shared" ca="1" si="37"/>
        <v>0</v>
      </c>
      <c r="AR344" s="306">
        <f t="shared" ca="1" si="38"/>
        <v>0</v>
      </c>
      <c r="AS344" s="307"/>
      <c r="AT344" s="306">
        <f t="shared" si="39"/>
        <v>1</v>
      </c>
    </row>
    <row r="345" spans="1:46" ht="15.75" customHeight="1">
      <c r="A345" s="284"/>
      <c r="B345" s="285">
        <f t="shared" ca="1" si="20"/>
        <v>1</v>
      </c>
      <c r="C345" s="286">
        <f t="shared" ca="1" si="21"/>
        <v>49</v>
      </c>
      <c r="D345" s="286">
        <f t="shared" ca="1" si="22"/>
        <v>2</v>
      </c>
      <c r="E345" s="286" t="str">
        <f t="shared" ca="1" si="23"/>
        <v/>
      </c>
      <c r="F345" s="286" t="str">
        <f t="shared" ca="1" si="24"/>
        <v/>
      </c>
      <c r="G345" s="287" t="str">
        <f t="shared" ca="1" si="25"/>
        <v/>
      </c>
      <c r="H345" s="288" t="str">
        <f t="shared" ca="1" si="26"/>
        <v/>
      </c>
      <c r="I345" s="308"/>
      <c r="J345" s="320"/>
      <c r="K345" s="320" t="s">
        <v>145</v>
      </c>
      <c r="L345" s="320"/>
      <c r="M345" s="320"/>
      <c r="N345" s="320"/>
      <c r="O345" s="320"/>
      <c r="P345" s="320"/>
      <c r="Q345" s="321"/>
      <c r="R345" s="322"/>
      <c r="S345" s="331"/>
      <c r="T345" s="325"/>
      <c r="U345" s="330"/>
      <c r="V345" s="325"/>
      <c r="W345" s="326">
        <v>0</v>
      </c>
      <c r="X345" s="327"/>
      <c r="Y345" s="328"/>
      <c r="Z345" s="329"/>
      <c r="AA345" s="300"/>
      <c r="AB345" s="301"/>
      <c r="AC345" s="302"/>
      <c r="AD345" s="303"/>
      <c r="AE345" s="304"/>
      <c r="AF345" s="305"/>
      <c r="AG345" s="305">
        <f t="shared" si="27"/>
        <v>0</v>
      </c>
      <c r="AH345" s="305">
        <f t="shared" si="28"/>
        <v>0</v>
      </c>
      <c r="AI345" s="305">
        <f t="shared" si="29"/>
        <v>0</v>
      </c>
      <c r="AJ345" s="305">
        <f t="shared" si="30"/>
        <v>0</v>
      </c>
      <c r="AK345" s="305" t="str">
        <f t="shared" si="31"/>
        <v/>
      </c>
      <c r="AL345" s="306">
        <f t="shared" ca="1" si="32"/>
        <v>1</v>
      </c>
      <c r="AM345" s="306">
        <f t="shared" ca="1" si="33"/>
        <v>49</v>
      </c>
      <c r="AN345" s="306">
        <f t="shared" ca="1" si="34"/>
        <v>2</v>
      </c>
      <c r="AO345" s="306">
        <f t="shared" ca="1" si="35"/>
        <v>0</v>
      </c>
      <c r="AP345" s="306">
        <f t="shared" ca="1" si="36"/>
        <v>0</v>
      </c>
      <c r="AQ345" s="306">
        <f t="shared" ca="1" si="37"/>
        <v>0</v>
      </c>
      <c r="AR345" s="306">
        <f t="shared" ca="1" si="38"/>
        <v>0</v>
      </c>
      <c r="AS345" s="307"/>
      <c r="AT345" s="306">
        <f t="shared" si="39"/>
        <v>1</v>
      </c>
    </row>
    <row r="346" spans="1:46" ht="15.75" customHeight="1">
      <c r="A346" s="284"/>
      <c r="B346" s="285">
        <f t="shared" ca="1" si="20"/>
        <v>1</v>
      </c>
      <c r="C346" s="286">
        <f t="shared" ca="1" si="21"/>
        <v>49</v>
      </c>
      <c r="D346" s="286">
        <f t="shared" ca="1" si="22"/>
        <v>3</v>
      </c>
      <c r="E346" s="286" t="str">
        <f t="shared" ca="1" si="23"/>
        <v/>
      </c>
      <c r="F346" s="286" t="str">
        <f t="shared" ca="1" si="24"/>
        <v/>
      </c>
      <c r="G346" s="287" t="str">
        <f t="shared" ca="1" si="25"/>
        <v/>
      </c>
      <c r="H346" s="288" t="str">
        <f t="shared" ca="1" si="26"/>
        <v/>
      </c>
      <c r="I346" s="308"/>
      <c r="J346" s="320"/>
      <c r="K346" s="320" t="s">
        <v>63</v>
      </c>
      <c r="L346" s="320"/>
      <c r="M346" s="320"/>
      <c r="N346" s="320"/>
      <c r="O346" s="320"/>
      <c r="P346" s="320"/>
      <c r="Q346" s="321"/>
      <c r="R346" s="322"/>
      <c r="S346" s="331"/>
      <c r="T346" s="325"/>
      <c r="U346" s="330"/>
      <c r="V346" s="325"/>
      <c r="W346" s="326">
        <v>0</v>
      </c>
      <c r="X346" s="327"/>
      <c r="Y346" s="328"/>
      <c r="Z346" s="329"/>
      <c r="AA346" s="300"/>
      <c r="AB346" s="301"/>
      <c r="AC346" s="302"/>
      <c r="AD346" s="303"/>
      <c r="AE346" s="304"/>
      <c r="AF346" s="305"/>
      <c r="AG346" s="305">
        <f t="shared" si="27"/>
        <v>0</v>
      </c>
      <c r="AH346" s="305">
        <f t="shared" si="28"/>
        <v>0</v>
      </c>
      <c r="AI346" s="305">
        <f t="shared" si="29"/>
        <v>0</v>
      </c>
      <c r="AJ346" s="305">
        <f t="shared" si="30"/>
        <v>0</v>
      </c>
      <c r="AK346" s="305" t="str">
        <f t="shared" si="31"/>
        <v/>
      </c>
      <c r="AL346" s="306">
        <f t="shared" ca="1" si="32"/>
        <v>1</v>
      </c>
      <c r="AM346" s="306">
        <f t="shared" ca="1" si="33"/>
        <v>49</v>
      </c>
      <c r="AN346" s="306">
        <f t="shared" ca="1" si="34"/>
        <v>3</v>
      </c>
      <c r="AO346" s="306">
        <f t="shared" ca="1" si="35"/>
        <v>0</v>
      </c>
      <c r="AP346" s="306">
        <f t="shared" ca="1" si="36"/>
        <v>0</v>
      </c>
      <c r="AQ346" s="306">
        <f t="shared" ca="1" si="37"/>
        <v>0</v>
      </c>
      <c r="AR346" s="306">
        <f t="shared" ca="1" si="38"/>
        <v>0</v>
      </c>
      <c r="AS346" s="307"/>
      <c r="AT346" s="306">
        <f t="shared" si="39"/>
        <v>1</v>
      </c>
    </row>
    <row r="347" spans="1:46" ht="15.75" customHeight="1">
      <c r="A347" s="284"/>
      <c r="B347" s="285">
        <f t="shared" ca="1" si="20"/>
        <v>1</v>
      </c>
      <c r="C347" s="286">
        <f t="shared" ca="1" si="21"/>
        <v>49</v>
      </c>
      <c r="D347" s="286">
        <f t="shared" ca="1" si="22"/>
        <v>4</v>
      </c>
      <c r="E347" s="286" t="str">
        <f t="shared" ca="1" si="23"/>
        <v/>
      </c>
      <c r="F347" s="286" t="str">
        <f t="shared" ca="1" si="24"/>
        <v/>
      </c>
      <c r="G347" s="287" t="str">
        <f t="shared" ca="1" si="25"/>
        <v/>
      </c>
      <c r="H347" s="288" t="str">
        <f t="shared" ca="1" si="26"/>
        <v/>
      </c>
      <c r="I347" s="308"/>
      <c r="J347" s="320"/>
      <c r="K347" s="320" t="s">
        <v>64</v>
      </c>
      <c r="L347" s="320"/>
      <c r="M347" s="320"/>
      <c r="N347" s="320"/>
      <c r="O347" s="320"/>
      <c r="P347" s="320"/>
      <c r="Q347" s="321"/>
      <c r="R347" s="322"/>
      <c r="S347" s="331"/>
      <c r="T347" s="325"/>
      <c r="U347" s="330"/>
      <c r="V347" s="325"/>
      <c r="W347" s="326">
        <v>0</v>
      </c>
      <c r="X347" s="327"/>
      <c r="Y347" s="328"/>
      <c r="Z347" s="329"/>
      <c r="AA347" s="300"/>
      <c r="AB347" s="301"/>
      <c r="AC347" s="302"/>
      <c r="AD347" s="303"/>
      <c r="AE347" s="304"/>
      <c r="AF347" s="305"/>
      <c r="AG347" s="305">
        <f t="shared" si="27"/>
        <v>0</v>
      </c>
      <c r="AH347" s="305">
        <f t="shared" si="28"/>
        <v>0</v>
      </c>
      <c r="AI347" s="305">
        <f t="shared" si="29"/>
        <v>0</v>
      </c>
      <c r="AJ347" s="305">
        <f t="shared" si="30"/>
        <v>0</v>
      </c>
      <c r="AK347" s="305" t="str">
        <f t="shared" si="31"/>
        <v/>
      </c>
      <c r="AL347" s="306">
        <f t="shared" ca="1" si="32"/>
        <v>1</v>
      </c>
      <c r="AM347" s="306">
        <f t="shared" ca="1" si="33"/>
        <v>49</v>
      </c>
      <c r="AN347" s="306">
        <f t="shared" ca="1" si="34"/>
        <v>4</v>
      </c>
      <c r="AO347" s="306">
        <f t="shared" ca="1" si="35"/>
        <v>0</v>
      </c>
      <c r="AP347" s="306">
        <f t="shared" ca="1" si="36"/>
        <v>0</v>
      </c>
      <c r="AQ347" s="306">
        <f t="shared" ca="1" si="37"/>
        <v>0</v>
      </c>
      <c r="AR347" s="306">
        <f t="shared" ca="1" si="38"/>
        <v>0</v>
      </c>
      <c r="AS347" s="307"/>
      <c r="AT347" s="306">
        <f t="shared" si="39"/>
        <v>1</v>
      </c>
    </row>
    <row r="348" spans="1:46" ht="15.75" customHeight="1">
      <c r="A348" s="284"/>
      <c r="B348" s="285">
        <f t="shared" ca="1" si="20"/>
        <v>1</v>
      </c>
      <c r="C348" s="286">
        <f t="shared" ca="1" si="21"/>
        <v>49</v>
      </c>
      <c r="D348" s="286">
        <f t="shared" ca="1" si="22"/>
        <v>5</v>
      </c>
      <c r="E348" s="286" t="str">
        <f t="shared" ca="1" si="23"/>
        <v/>
      </c>
      <c r="F348" s="286" t="str">
        <f t="shared" ca="1" si="24"/>
        <v/>
      </c>
      <c r="G348" s="287" t="str">
        <f t="shared" ca="1" si="25"/>
        <v/>
      </c>
      <c r="H348" s="288" t="str">
        <f t="shared" ca="1" si="26"/>
        <v/>
      </c>
      <c r="I348" s="308"/>
      <c r="J348" s="320"/>
      <c r="K348" s="320" t="s">
        <v>65</v>
      </c>
      <c r="L348" s="320"/>
      <c r="M348" s="320"/>
      <c r="N348" s="320"/>
      <c r="O348" s="320"/>
      <c r="P348" s="320"/>
      <c r="Q348" s="321"/>
      <c r="R348" s="322"/>
      <c r="S348" s="331"/>
      <c r="T348" s="325"/>
      <c r="U348" s="330"/>
      <c r="V348" s="325"/>
      <c r="W348" s="326">
        <v>0</v>
      </c>
      <c r="X348" s="327"/>
      <c r="Y348" s="328"/>
      <c r="Z348" s="329"/>
      <c r="AA348" s="300"/>
      <c r="AB348" s="301"/>
      <c r="AC348" s="302"/>
      <c r="AD348" s="303"/>
      <c r="AE348" s="304"/>
      <c r="AF348" s="305"/>
      <c r="AG348" s="305">
        <f t="shared" si="27"/>
        <v>0</v>
      </c>
      <c r="AH348" s="305">
        <f t="shared" si="28"/>
        <v>0</v>
      </c>
      <c r="AI348" s="305">
        <f t="shared" si="29"/>
        <v>0</v>
      </c>
      <c r="AJ348" s="305">
        <f t="shared" si="30"/>
        <v>0</v>
      </c>
      <c r="AK348" s="305" t="str">
        <f t="shared" si="31"/>
        <v/>
      </c>
      <c r="AL348" s="306">
        <f t="shared" ca="1" si="32"/>
        <v>1</v>
      </c>
      <c r="AM348" s="306">
        <f t="shared" ca="1" si="33"/>
        <v>49</v>
      </c>
      <c r="AN348" s="306">
        <f t="shared" ca="1" si="34"/>
        <v>5</v>
      </c>
      <c r="AO348" s="306">
        <f t="shared" ca="1" si="35"/>
        <v>0</v>
      </c>
      <c r="AP348" s="306">
        <f t="shared" ca="1" si="36"/>
        <v>0</v>
      </c>
      <c r="AQ348" s="306">
        <f t="shared" ca="1" si="37"/>
        <v>0</v>
      </c>
      <c r="AR348" s="306">
        <f t="shared" ca="1" si="38"/>
        <v>0</v>
      </c>
      <c r="AS348" s="307"/>
      <c r="AT348" s="306">
        <f t="shared" si="39"/>
        <v>1</v>
      </c>
    </row>
    <row r="349" spans="1:46" ht="15.75" customHeight="1">
      <c r="A349" s="284"/>
      <c r="B349" s="285">
        <f t="shared" ca="1" si="20"/>
        <v>1</v>
      </c>
      <c r="C349" s="286">
        <f t="shared" ca="1" si="21"/>
        <v>49</v>
      </c>
      <c r="D349" s="286">
        <f t="shared" ca="1" si="22"/>
        <v>6</v>
      </c>
      <c r="E349" s="286" t="str">
        <f t="shared" ca="1" si="23"/>
        <v/>
      </c>
      <c r="F349" s="286" t="str">
        <f t="shared" ca="1" si="24"/>
        <v/>
      </c>
      <c r="G349" s="287" t="str">
        <f t="shared" ca="1" si="25"/>
        <v/>
      </c>
      <c r="H349" s="288" t="str">
        <f t="shared" ca="1" si="26"/>
        <v/>
      </c>
      <c r="I349" s="308"/>
      <c r="J349" s="320"/>
      <c r="K349" s="320" t="s">
        <v>66</v>
      </c>
      <c r="L349" s="320"/>
      <c r="M349" s="320"/>
      <c r="N349" s="320"/>
      <c r="O349" s="320"/>
      <c r="P349" s="320"/>
      <c r="Q349" s="321"/>
      <c r="R349" s="322"/>
      <c r="S349" s="331"/>
      <c r="T349" s="325"/>
      <c r="U349" s="330"/>
      <c r="V349" s="325"/>
      <c r="W349" s="326">
        <v>0</v>
      </c>
      <c r="X349" s="327"/>
      <c r="Y349" s="328"/>
      <c r="Z349" s="329"/>
      <c r="AA349" s="300"/>
      <c r="AB349" s="301"/>
      <c r="AC349" s="302"/>
      <c r="AD349" s="303"/>
      <c r="AE349" s="304"/>
      <c r="AF349" s="305"/>
      <c r="AG349" s="305">
        <f t="shared" si="27"/>
        <v>0</v>
      </c>
      <c r="AH349" s="305">
        <f t="shared" si="28"/>
        <v>0</v>
      </c>
      <c r="AI349" s="305">
        <f t="shared" si="29"/>
        <v>0</v>
      </c>
      <c r="AJ349" s="305">
        <f t="shared" si="30"/>
        <v>0</v>
      </c>
      <c r="AK349" s="305" t="str">
        <f t="shared" si="31"/>
        <v/>
      </c>
      <c r="AL349" s="306">
        <f t="shared" ca="1" si="32"/>
        <v>1</v>
      </c>
      <c r="AM349" s="306">
        <f t="shared" ca="1" si="33"/>
        <v>49</v>
      </c>
      <c r="AN349" s="306">
        <f t="shared" ca="1" si="34"/>
        <v>6</v>
      </c>
      <c r="AO349" s="306">
        <f t="shared" ca="1" si="35"/>
        <v>0</v>
      </c>
      <c r="AP349" s="306">
        <f t="shared" ca="1" si="36"/>
        <v>0</v>
      </c>
      <c r="AQ349" s="306">
        <f t="shared" ca="1" si="37"/>
        <v>0</v>
      </c>
      <c r="AR349" s="306">
        <f t="shared" ca="1" si="38"/>
        <v>0</v>
      </c>
      <c r="AS349" s="307"/>
      <c r="AT349" s="306">
        <f t="shared" si="39"/>
        <v>1</v>
      </c>
    </row>
    <row r="350" spans="1:46" ht="15.75" customHeight="1">
      <c r="A350" s="284"/>
      <c r="B350" s="285">
        <f t="shared" ca="1" si="20"/>
        <v>1</v>
      </c>
      <c r="C350" s="286">
        <f t="shared" ca="1" si="21"/>
        <v>50</v>
      </c>
      <c r="D350" s="286" t="str">
        <f t="shared" ca="1" si="22"/>
        <v/>
      </c>
      <c r="E350" s="286" t="str">
        <f t="shared" ca="1" si="23"/>
        <v/>
      </c>
      <c r="F350" s="286" t="str">
        <f t="shared" ca="1" si="24"/>
        <v/>
      </c>
      <c r="G350" s="287" t="str">
        <f t="shared" ca="1" si="25"/>
        <v/>
      </c>
      <c r="H350" s="288" t="str">
        <f t="shared" ca="1" si="26"/>
        <v/>
      </c>
      <c r="I350" s="308"/>
      <c r="J350" s="309" t="s">
        <v>229</v>
      </c>
      <c r="K350" s="310"/>
      <c r="L350" s="310"/>
      <c r="M350" s="310"/>
      <c r="N350" s="310"/>
      <c r="O350" s="310"/>
      <c r="P350" s="310"/>
      <c r="Q350" s="311" t="s">
        <v>81</v>
      </c>
      <c r="R350" s="312"/>
      <c r="S350" s="313"/>
      <c r="T350" s="314"/>
      <c r="U350" s="315"/>
      <c r="V350" s="314"/>
      <c r="W350" s="316"/>
      <c r="X350" s="317"/>
      <c r="Y350" s="318"/>
      <c r="Z350" s="319"/>
      <c r="AA350" s="300"/>
      <c r="AB350" s="301"/>
      <c r="AC350" s="302"/>
      <c r="AD350" s="303"/>
      <c r="AE350" s="304"/>
      <c r="AF350" s="305"/>
      <c r="AG350" s="305">
        <f t="shared" si="27"/>
        <v>0</v>
      </c>
      <c r="AH350" s="305">
        <f t="shared" si="28"/>
        <v>0</v>
      </c>
      <c r="AI350" s="305">
        <f t="shared" si="29"/>
        <v>0</v>
      </c>
      <c r="AJ350" s="305">
        <f t="shared" si="30"/>
        <v>0</v>
      </c>
      <c r="AK350" s="305" t="str">
        <f t="shared" si="31"/>
        <v/>
      </c>
      <c r="AL350" s="306">
        <f t="shared" ca="1" si="32"/>
        <v>1</v>
      </c>
      <c r="AM350" s="306">
        <f t="shared" ca="1" si="33"/>
        <v>50</v>
      </c>
      <c r="AN350" s="306">
        <f t="shared" ca="1" si="34"/>
        <v>0</v>
      </c>
      <c r="AO350" s="306">
        <f t="shared" ca="1" si="35"/>
        <v>0</v>
      </c>
      <c r="AP350" s="306">
        <f t="shared" ca="1" si="36"/>
        <v>0</v>
      </c>
      <c r="AQ350" s="306">
        <f t="shared" ca="1" si="37"/>
        <v>0</v>
      </c>
      <c r="AR350" s="306">
        <f t="shared" ca="1" si="38"/>
        <v>0</v>
      </c>
      <c r="AS350" s="307"/>
      <c r="AT350" s="306">
        <f t="shared" si="39"/>
        <v>1</v>
      </c>
    </row>
    <row r="351" spans="1:46" ht="15.75" customHeight="1">
      <c r="A351" s="284"/>
      <c r="B351" s="285">
        <f t="shared" ca="1" si="20"/>
        <v>1</v>
      </c>
      <c r="C351" s="286">
        <f t="shared" ca="1" si="21"/>
        <v>50</v>
      </c>
      <c r="D351" s="286">
        <f t="shared" ca="1" si="22"/>
        <v>1</v>
      </c>
      <c r="E351" s="286" t="str">
        <f t="shared" ca="1" si="23"/>
        <v/>
      </c>
      <c r="F351" s="286" t="str">
        <f t="shared" ca="1" si="24"/>
        <v/>
      </c>
      <c r="G351" s="287" t="str">
        <f t="shared" ca="1" si="25"/>
        <v/>
      </c>
      <c r="H351" s="288" t="str">
        <f t="shared" ca="1" si="26"/>
        <v/>
      </c>
      <c r="I351" s="308"/>
      <c r="J351" s="320"/>
      <c r="K351" s="320" t="s">
        <v>59</v>
      </c>
      <c r="L351" s="320"/>
      <c r="M351" s="320"/>
      <c r="N351" s="320"/>
      <c r="O351" s="320"/>
      <c r="P351" s="320"/>
      <c r="Q351" s="321"/>
      <c r="R351" s="322"/>
      <c r="S351" s="331"/>
      <c r="T351" s="325"/>
      <c r="U351" s="330"/>
      <c r="V351" s="325"/>
      <c r="W351" s="326">
        <v>0</v>
      </c>
      <c r="X351" s="327"/>
      <c r="Y351" s="328"/>
      <c r="Z351" s="329"/>
      <c r="AA351" s="300"/>
      <c r="AB351" s="301"/>
      <c r="AC351" s="302"/>
      <c r="AD351" s="303"/>
      <c r="AE351" s="304"/>
      <c r="AF351" s="305"/>
      <c r="AG351" s="305">
        <f t="shared" si="27"/>
        <v>0</v>
      </c>
      <c r="AH351" s="305">
        <f t="shared" si="28"/>
        <v>0</v>
      </c>
      <c r="AI351" s="305">
        <f t="shared" si="29"/>
        <v>0</v>
      </c>
      <c r="AJ351" s="305">
        <f t="shared" si="30"/>
        <v>0</v>
      </c>
      <c r="AK351" s="305" t="str">
        <f t="shared" si="31"/>
        <v/>
      </c>
      <c r="AL351" s="306">
        <f t="shared" ca="1" si="32"/>
        <v>1</v>
      </c>
      <c r="AM351" s="306">
        <f t="shared" ca="1" si="33"/>
        <v>50</v>
      </c>
      <c r="AN351" s="306">
        <f t="shared" ca="1" si="34"/>
        <v>1</v>
      </c>
      <c r="AO351" s="306">
        <f t="shared" ca="1" si="35"/>
        <v>0</v>
      </c>
      <c r="AP351" s="306">
        <f t="shared" ca="1" si="36"/>
        <v>0</v>
      </c>
      <c r="AQ351" s="306">
        <f t="shared" ca="1" si="37"/>
        <v>0</v>
      </c>
      <c r="AR351" s="306">
        <f t="shared" ca="1" si="38"/>
        <v>0</v>
      </c>
      <c r="AS351" s="307"/>
      <c r="AT351" s="306">
        <f t="shared" si="39"/>
        <v>1</v>
      </c>
    </row>
    <row r="352" spans="1:46" ht="15.75" customHeight="1">
      <c r="A352" s="284"/>
      <c r="B352" s="285">
        <f t="shared" ca="1" si="20"/>
        <v>1</v>
      </c>
      <c r="C352" s="286">
        <f t="shared" ca="1" si="21"/>
        <v>50</v>
      </c>
      <c r="D352" s="286">
        <f t="shared" ca="1" si="22"/>
        <v>2</v>
      </c>
      <c r="E352" s="286" t="str">
        <f t="shared" ca="1" si="23"/>
        <v/>
      </c>
      <c r="F352" s="286" t="str">
        <f t="shared" ca="1" si="24"/>
        <v/>
      </c>
      <c r="G352" s="287" t="str">
        <f t="shared" ca="1" si="25"/>
        <v/>
      </c>
      <c r="H352" s="288" t="str">
        <f t="shared" ca="1" si="26"/>
        <v/>
      </c>
      <c r="I352" s="308"/>
      <c r="J352" s="320"/>
      <c r="K352" s="320" t="s">
        <v>145</v>
      </c>
      <c r="L352" s="320"/>
      <c r="M352" s="320"/>
      <c r="N352" s="320"/>
      <c r="O352" s="320"/>
      <c r="P352" s="320"/>
      <c r="Q352" s="321"/>
      <c r="R352" s="322"/>
      <c r="S352" s="331"/>
      <c r="T352" s="325"/>
      <c r="U352" s="330"/>
      <c r="V352" s="325"/>
      <c r="W352" s="326">
        <v>0</v>
      </c>
      <c r="X352" s="327"/>
      <c r="Y352" s="328"/>
      <c r="Z352" s="329"/>
      <c r="AA352" s="300"/>
      <c r="AB352" s="301"/>
      <c r="AC352" s="302"/>
      <c r="AD352" s="303"/>
      <c r="AE352" s="304"/>
      <c r="AF352" s="305"/>
      <c r="AG352" s="305">
        <f t="shared" si="27"/>
        <v>0</v>
      </c>
      <c r="AH352" s="305">
        <f t="shared" si="28"/>
        <v>0</v>
      </c>
      <c r="AI352" s="305">
        <f t="shared" si="29"/>
        <v>0</v>
      </c>
      <c r="AJ352" s="305">
        <f t="shared" si="30"/>
        <v>0</v>
      </c>
      <c r="AK352" s="305" t="str">
        <f t="shared" si="31"/>
        <v/>
      </c>
      <c r="AL352" s="306">
        <f t="shared" ca="1" si="32"/>
        <v>1</v>
      </c>
      <c r="AM352" s="306">
        <f t="shared" ca="1" si="33"/>
        <v>50</v>
      </c>
      <c r="AN352" s="306">
        <f t="shared" ca="1" si="34"/>
        <v>2</v>
      </c>
      <c r="AO352" s="306">
        <f t="shared" ca="1" si="35"/>
        <v>0</v>
      </c>
      <c r="AP352" s="306">
        <f t="shared" ca="1" si="36"/>
        <v>0</v>
      </c>
      <c r="AQ352" s="306">
        <f t="shared" ca="1" si="37"/>
        <v>0</v>
      </c>
      <c r="AR352" s="306">
        <f t="shared" ca="1" si="38"/>
        <v>0</v>
      </c>
      <c r="AS352" s="307"/>
      <c r="AT352" s="306">
        <f t="shared" si="39"/>
        <v>1</v>
      </c>
    </row>
    <row r="353" spans="1:46" ht="15.75" customHeight="1">
      <c r="A353" s="284"/>
      <c r="B353" s="285">
        <f t="shared" ca="1" si="20"/>
        <v>1</v>
      </c>
      <c r="C353" s="286">
        <f t="shared" ca="1" si="21"/>
        <v>50</v>
      </c>
      <c r="D353" s="286">
        <f t="shared" ca="1" si="22"/>
        <v>3</v>
      </c>
      <c r="E353" s="286" t="str">
        <f t="shared" ca="1" si="23"/>
        <v/>
      </c>
      <c r="F353" s="286" t="str">
        <f t="shared" ca="1" si="24"/>
        <v/>
      </c>
      <c r="G353" s="287" t="str">
        <f t="shared" ca="1" si="25"/>
        <v/>
      </c>
      <c r="H353" s="288" t="str">
        <f t="shared" ca="1" si="26"/>
        <v/>
      </c>
      <c r="I353" s="308"/>
      <c r="J353" s="320"/>
      <c r="K353" s="320" t="s">
        <v>63</v>
      </c>
      <c r="L353" s="320"/>
      <c r="M353" s="320"/>
      <c r="N353" s="320"/>
      <c r="O353" s="320"/>
      <c r="P353" s="320"/>
      <c r="Q353" s="321"/>
      <c r="R353" s="322"/>
      <c r="S353" s="331"/>
      <c r="T353" s="325"/>
      <c r="U353" s="330"/>
      <c r="V353" s="325"/>
      <c r="W353" s="326">
        <v>0</v>
      </c>
      <c r="X353" s="327"/>
      <c r="Y353" s="328"/>
      <c r="Z353" s="329"/>
      <c r="AA353" s="300"/>
      <c r="AB353" s="301"/>
      <c r="AC353" s="302"/>
      <c r="AD353" s="303"/>
      <c r="AE353" s="304"/>
      <c r="AF353" s="305"/>
      <c r="AG353" s="305">
        <f t="shared" si="27"/>
        <v>0</v>
      </c>
      <c r="AH353" s="305">
        <f t="shared" si="28"/>
        <v>0</v>
      </c>
      <c r="AI353" s="305">
        <f t="shared" si="29"/>
        <v>0</v>
      </c>
      <c r="AJ353" s="305">
        <f t="shared" si="30"/>
        <v>0</v>
      </c>
      <c r="AK353" s="305" t="str">
        <f t="shared" si="31"/>
        <v/>
      </c>
      <c r="AL353" s="306">
        <f t="shared" ca="1" si="32"/>
        <v>1</v>
      </c>
      <c r="AM353" s="306">
        <f t="shared" ca="1" si="33"/>
        <v>50</v>
      </c>
      <c r="AN353" s="306">
        <f t="shared" ca="1" si="34"/>
        <v>3</v>
      </c>
      <c r="AO353" s="306">
        <f t="shared" ca="1" si="35"/>
        <v>0</v>
      </c>
      <c r="AP353" s="306">
        <f t="shared" ca="1" si="36"/>
        <v>0</v>
      </c>
      <c r="AQ353" s="306">
        <f t="shared" ca="1" si="37"/>
        <v>0</v>
      </c>
      <c r="AR353" s="306">
        <f t="shared" ca="1" si="38"/>
        <v>0</v>
      </c>
      <c r="AS353" s="307"/>
      <c r="AT353" s="306">
        <f t="shared" si="39"/>
        <v>1</v>
      </c>
    </row>
    <row r="354" spans="1:46" ht="15.75" customHeight="1">
      <c r="A354" s="284"/>
      <c r="B354" s="285">
        <f t="shared" ca="1" si="20"/>
        <v>1</v>
      </c>
      <c r="C354" s="286">
        <f t="shared" ca="1" si="21"/>
        <v>50</v>
      </c>
      <c r="D354" s="286">
        <f t="shared" ca="1" si="22"/>
        <v>4</v>
      </c>
      <c r="E354" s="286" t="str">
        <f t="shared" ca="1" si="23"/>
        <v/>
      </c>
      <c r="F354" s="286" t="str">
        <f t="shared" ca="1" si="24"/>
        <v/>
      </c>
      <c r="G354" s="287" t="str">
        <f t="shared" ca="1" si="25"/>
        <v/>
      </c>
      <c r="H354" s="288" t="str">
        <f t="shared" ca="1" si="26"/>
        <v/>
      </c>
      <c r="I354" s="308"/>
      <c r="J354" s="320"/>
      <c r="K354" s="320" t="s">
        <v>64</v>
      </c>
      <c r="L354" s="320"/>
      <c r="M354" s="320"/>
      <c r="N354" s="320"/>
      <c r="O354" s="320"/>
      <c r="P354" s="320"/>
      <c r="Q354" s="321"/>
      <c r="R354" s="322"/>
      <c r="S354" s="331"/>
      <c r="T354" s="325"/>
      <c r="U354" s="330"/>
      <c r="V354" s="325"/>
      <c r="W354" s="326">
        <v>0</v>
      </c>
      <c r="X354" s="327"/>
      <c r="Y354" s="328"/>
      <c r="Z354" s="329"/>
      <c r="AA354" s="300"/>
      <c r="AB354" s="301"/>
      <c r="AC354" s="302"/>
      <c r="AD354" s="303"/>
      <c r="AE354" s="304"/>
      <c r="AF354" s="305"/>
      <c r="AG354" s="305">
        <f t="shared" si="27"/>
        <v>0</v>
      </c>
      <c r="AH354" s="305">
        <f t="shared" si="28"/>
        <v>0</v>
      </c>
      <c r="AI354" s="305">
        <f t="shared" si="29"/>
        <v>0</v>
      </c>
      <c r="AJ354" s="305">
        <f t="shared" si="30"/>
        <v>0</v>
      </c>
      <c r="AK354" s="305" t="str">
        <f t="shared" si="31"/>
        <v/>
      </c>
      <c r="AL354" s="306">
        <f t="shared" ca="1" si="32"/>
        <v>1</v>
      </c>
      <c r="AM354" s="306">
        <f t="shared" ca="1" si="33"/>
        <v>50</v>
      </c>
      <c r="AN354" s="306">
        <f t="shared" ca="1" si="34"/>
        <v>4</v>
      </c>
      <c r="AO354" s="306">
        <f t="shared" ca="1" si="35"/>
        <v>0</v>
      </c>
      <c r="AP354" s="306">
        <f t="shared" ca="1" si="36"/>
        <v>0</v>
      </c>
      <c r="AQ354" s="306">
        <f t="shared" ca="1" si="37"/>
        <v>0</v>
      </c>
      <c r="AR354" s="306">
        <f t="shared" ca="1" si="38"/>
        <v>0</v>
      </c>
      <c r="AS354" s="307"/>
      <c r="AT354" s="306">
        <f t="shared" si="39"/>
        <v>1</v>
      </c>
    </row>
    <row r="355" spans="1:46" ht="15.75" customHeight="1">
      <c r="A355" s="284"/>
      <c r="B355" s="285">
        <f t="shared" ca="1" si="20"/>
        <v>1</v>
      </c>
      <c r="C355" s="286">
        <f t="shared" ca="1" si="21"/>
        <v>50</v>
      </c>
      <c r="D355" s="286">
        <f t="shared" ca="1" si="22"/>
        <v>5</v>
      </c>
      <c r="E355" s="286" t="str">
        <f t="shared" ca="1" si="23"/>
        <v/>
      </c>
      <c r="F355" s="286" t="str">
        <f t="shared" ca="1" si="24"/>
        <v/>
      </c>
      <c r="G355" s="287" t="str">
        <f t="shared" ca="1" si="25"/>
        <v/>
      </c>
      <c r="H355" s="288" t="str">
        <f t="shared" ca="1" si="26"/>
        <v/>
      </c>
      <c r="I355" s="308"/>
      <c r="J355" s="320"/>
      <c r="K355" s="320" t="s">
        <v>65</v>
      </c>
      <c r="L355" s="320"/>
      <c r="M355" s="320"/>
      <c r="N355" s="320"/>
      <c r="O355" s="320"/>
      <c r="P355" s="320"/>
      <c r="Q355" s="321"/>
      <c r="R355" s="322"/>
      <c r="S355" s="331"/>
      <c r="T355" s="325"/>
      <c r="U355" s="330"/>
      <c r="V355" s="325"/>
      <c r="W355" s="326">
        <v>0</v>
      </c>
      <c r="X355" s="327"/>
      <c r="Y355" s="328"/>
      <c r="Z355" s="329"/>
      <c r="AA355" s="300"/>
      <c r="AB355" s="301"/>
      <c r="AC355" s="302"/>
      <c r="AD355" s="303"/>
      <c r="AE355" s="304"/>
      <c r="AF355" s="305"/>
      <c r="AG355" s="305">
        <f t="shared" si="27"/>
        <v>0</v>
      </c>
      <c r="AH355" s="305">
        <f t="shared" si="28"/>
        <v>0</v>
      </c>
      <c r="AI355" s="305">
        <f t="shared" si="29"/>
        <v>0</v>
      </c>
      <c r="AJ355" s="305">
        <f t="shared" si="30"/>
        <v>0</v>
      </c>
      <c r="AK355" s="305" t="str">
        <f t="shared" si="31"/>
        <v/>
      </c>
      <c r="AL355" s="306">
        <f t="shared" ca="1" si="32"/>
        <v>1</v>
      </c>
      <c r="AM355" s="306">
        <f t="shared" ca="1" si="33"/>
        <v>50</v>
      </c>
      <c r="AN355" s="306">
        <f t="shared" ca="1" si="34"/>
        <v>5</v>
      </c>
      <c r="AO355" s="306">
        <f t="shared" ca="1" si="35"/>
        <v>0</v>
      </c>
      <c r="AP355" s="306">
        <f t="shared" ca="1" si="36"/>
        <v>0</v>
      </c>
      <c r="AQ355" s="306">
        <f t="shared" ca="1" si="37"/>
        <v>0</v>
      </c>
      <c r="AR355" s="306">
        <f t="shared" ca="1" si="38"/>
        <v>0</v>
      </c>
      <c r="AS355" s="307"/>
      <c r="AT355" s="306">
        <f t="shared" si="39"/>
        <v>1</v>
      </c>
    </row>
    <row r="356" spans="1:46" ht="15.75" customHeight="1">
      <c r="A356" s="284"/>
      <c r="B356" s="285">
        <f t="shared" ca="1" si="20"/>
        <v>1</v>
      </c>
      <c r="C356" s="286">
        <f t="shared" ca="1" si="21"/>
        <v>50</v>
      </c>
      <c r="D356" s="286">
        <f t="shared" ca="1" si="22"/>
        <v>6</v>
      </c>
      <c r="E356" s="286" t="str">
        <f t="shared" ca="1" si="23"/>
        <v/>
      </c>
      <c r="F356" s="286" t="str">
        <f t="shared" ca="1" si="24"/>
        <v/>
      </c>
      <c r="G356" s="287" t="str">
        <f t="shared" ca="1" si="25"/>
        <v/>
      </c>
      <c r="H356" s="288" t="str">
        <f t="shared" ca="1" si="26"/>
        <v/>
      </c>
      <c r="I356" s="308"/>
      <c r="J356" s="320"/>
      <c r="K356" s="320" t="s">
        <v>66</v>
      </c>
      <c r="L356" s="320"/>
      <c r="M356" s="320"/>
      <c r="N356" s="320"/>
      <c r="O356" s="320"/>
      <c r="P356" s="320"/>
      <c r="Q356" s="321"/>
      <c r="R356" s="322"/>
      <c r="S356" s="331"/>
      <c r="T356" s="325"/>
      <c r="U356" s="330"/>
      <c r="V356" s="325"/>
      <c r="W356" s="326">
        <v>0</v>
      </c>
      <c r="X356" s="327"/>
      <c r="Y356" s="328"/>
      <c r="Z356" s="329"/>
      <c r="AA356" s="300"/>
      <c r="AB356" s="301"/>
      <c r="AC356" s="302"/>
      <c r="AD356" s="303"/>
      <c r="AE356" s="304"/>
      <c r="AF356" s="305"/>
      <c r="AG356" s="305">
        <f t="shared" si="27"/>
        <v>0</v>
      </c>
      <c r="AH356" s="305">
        <f t="shared" si="28"/>
        <v>0</v>
      </c>
      <c r="AI356" s="305">
        <f t="shared" si="29"/>
        <v>0</v>
      </c>
      <c r="AJ356" s="305">
        <f t="shared" si="30"/>
        <v>0</v>
      </c>
      <c r="AK356" s="305" t="str">
        <f t="shared" si="31"/>
        <v/>
      </c>
      <c r="AL356" s="306">
        <f t="shared" ca="1" si="32"/>
        <v>1</v>
      </c>
      <c r="AM356" s="306">
        <f t="shared" ca="1" si="33"/>
        <v>50</v>
      </c>
      <c r="AN356" s="306">
        <f t="shared" ca="1" si="34"/>
        <v>6</v>
      </c>
      <c r="AO356" s="306">
        <f t="shared" ca="1" si="35"/>
        <v>0</v>
      </c>
      <c r="AP356" s="306">
        <f t="shared" ca="1" si="36"/>
        <v>0</v>
      </c>
      <c r="AQ356" s="306">
        <f t="shared" ca="1" si="37"/>
        <v>0</v>
      </c>
      <c r="AR356" s="306">
        <f t="shared" ca="1" si="38"/>
        <v>0</v>
      </c>
      <c r="AS356" s="307"/>
      <c r="AT356" s="306">
        <f t="shared" si="39"/>
        <v>1</v>
      </c>
    </row>
    <row r="357" spans="1:46" ht="15.75" customHeight="1">
      <c r="A357" s="284"/>
      <c r="B357" s="285">
        <f t="shared" ca="1" si="20"/>
        <v>1</v>
      </c>
      <c r="C357" s="286">
        <f t="shared" ca="1" si="21"/>
        <v>51</v>
      </c>
      <c r="D357" s="286" t="str">
        <f t="shared" ca="1" si="22"/>
        <v/>
      </c>
      <c r="E357" s="286" t="str">
        <f t="shared" ca="1" si="23"/>
        <v/>
      </c>
      <c r="F357" s="286" t="str">
        <f t="shared" ca="1" si="24"/>
        <v/>
      </c>
      <c r="G357" s="287" t="str">
        <f t="shared" ca="1" si="25"/>
        <v/>
      </c>
      <c r="H357" s="288" t="str">
        <f t="shared" ca="1" si="26"/>
        <v/>
      </c>
      <c r="I357" s="308"/>
      <c r="J357" s="309" t="s">
        <v>230</v>
      </c>
      <c r="K357" s="310"/>
      <c r="L357" s="310"/>
      <c r="M357" s="310"/>
      <c r="N357" s="310"/>
      <c r="O357" s="310"/>
      <c r="P357" s="310"/>
      <c r="Q357" s="311" t="s">
        <v>81</v>
      </c>
      <c r="R357" s="312"/>
      <c r="S357" s="313"/>
      <c r="T357" s="314"/>
      <c r="U357" s="315"/>
      <c r="V357" s="314"/>
      <c r="W357" s="316"/>
      <c r="X357" s="317"/>
      <c r="Y357" s="318"/>
      <c r="Z357" s="319"/>
      <c r="AA357" s="300"/>
      <c r="AB357" s="301"/>
      <c r="AC357" s="302"/>
      <c r="AD357" s="303"/>
      <c r="AE357" s="304"/>
      <c r="AF357" s="305"/>
      <c r="AG357" s="305">
        <f t="shared" si="27"/>
        <v>0</v>
      </c>
      <c r="AH357" s="305">
        <f t="shared" si="28"/>
        <v>0</v>
      </c>
      <c r="AI357" s="305">
        <f t="shared" si="29"/>
        <v>0</v>
      </c>
      <c r="AJ357" s="305">
        <f t="shared" si="30"/>
        <v>0</v>
      </c>
      <c r="AK357" s="305" t="str">
        <f t="shared" si="31"/>
        <v/>
      </c>
      <c r="AL357" s="306">
        <f t="shared" ca="1" si="32"/>
        <v>1</v>
      </c>
      <c r="AM357" s="306">
        <f t="shared" ca="1" si="33"/>
        <v>51</v>
      </c>
      <c r="AN357" s="306">
        <f t="shared" ca="1" si="34"/>
        <v>0</v>
      </c>
      <c r="AO357" s="306">
        <f t="shared" ca="1" si="35"/>
        <v>0</v>
      </c>
      <c r="AP357" s="306">
        <f t="shared" ca="1" si="36"/>
        <v>0</v>
      </c>
      <c r="AQ357" s="306">
        <f t="shared" ca="1" si="37"/>
        <v>0</v>
      </c>
      <c r="AR357" s="306">
        <f t="shared" ca="1" si="38"/>
        <v>0</v>
      </c>
      <c r="AS357" s="307"/>
      <c r="AT357" s="306">
        <f t="shared" si="39"/>
        <v>1</v>
      </c>
    </row>
    <row r="358" spans="1:46" ht="15.75" customHeight="1">
      <c r="A358" s="284"/>
      <c r="B358" s="285">
        <f t="shared" ca="1" si="20"/>
        <v>1</v>
      </c>
      <c r="C358" s="286">
        <f t="shared" ca="1" si="21"/>
        <v>51</v>
      </c>
      <c r="D358" s="286">
        <f t="shared" ca="1" si="22"/>
        <v>1</v>
      </c>
      <c r="E358" s="286" t="str">
        <f t="shared" ca="1" si="23"/>
        <v/>
      </c>
      <c r="F358" s="286" t="str">
        <f t="shared" ca="1" si="24"/>
        <v/>
      </c>
      <c r="G358" s="287" t="str">
        <f t="shared" ca="1" si="25"/>
        <v/>
      </c>
      <c r="H358" s="288" t="str">
        <f t="shared" ca="1" si="26"/>
        <v/>
      </c>
      <c r="I358" s="308"/>
      <c r="J358" s="320"/>
      <c r="K358" s="320" t="s">
        <v>59</v>
      </c>
      <c r="L358" s="320"/>
      <c r="M358" s="320"/>
      <c r="N358" s="320"/>
      <c r="O358" s="320"/>
      <c r="P358" s="320"/>
      <c r="Q358" s="321"/>
      <c r="R358" s="322"/>
      <c r="S358" s="331"/>
      <c r="T358" s="325"/>
      <c r="U358" s="330"/>
      <c r="V358" s="325"/>
      <c r="W358" s="326">
        <v>0</v>
      </c>
      <c r="X358" s="327"/>
      <c r="Y358" s="328"/>
      <c r="Z358" s="329"/>
      <c r="AA358" s="300"/>
      <c r="AB358" s="301"/>
      <c r="AC358" s="302"/>
      <c r="AD358" s="303"/>
      <c r="AE358" s="304"/>
      <c r="AF358" s="305"/>
      <c r="AG358" s="305">
        <f t="shared" si="27"/>
        <v>0</v>
      </c>
      <c r="AH358" s="305">
        <f t="shared" si="28"/>
        <v>0</v>
      </c>
      <c r="AI358" s="305">
        <f t="shared" si="29"/>
        <v>0</v>
      </c>
      <c r="AJ358" s="305">
        <f t="shared" si="30"/>
        <v>0</v>
      </c>
      <c r="AK358" s="305" t="str">
        <f t="shared" si="31"/>
        <v/>
      </c>
      <c r="AL358" s="306">
        <f t="shared" ca="1" si="32"/>
        <v>1</v>
      </c>
      <c r="AM358" s="306">
        <f t="shared" ca="1" si="33"/>
        <v>51</v>
      </c>
      <c r="AN358" s="306">
        <f t="shared" ca="1" si="34"/>
        <v>1</v>
      </c>
      <c r="AO358" s="306">
        <f t="shared" ca="1" si="35"/>
        <v>0</v>
      </c>
      <c r="AP358" s="306">
        <f t="shared" ca="1" si="36"/>
        <v>0</v>
      </c>
      <c r="AQ358" s="306">
        <f t="shared" ca="1" si="37"/>
        <v>0</v>
      </c>
      <c r="AR358" s="306">
        <f t="shared" ca="1" si="38"/>
        <v>0</v>
      </c>
      <c r="AS358" s="307"/>
      <c r="AT358" s="306">
        <f t="shared" si="39"/>
        <v>1</v>
      </c>
    </row>
    <row r="359" spans="1:46" ht="15.75" customHeight="1">
      <c r="A359" s="284"/>
      <c r="B359" s="285">
        <f t="shared" ca="1" si="20"/>
        <v>1</v>
      </c>
      <c r="C359" s="286">
        <f t="shared" ca="1" si="21"/>
        <v>51</v>
      </c>
      <c r="D359" s="286">
        <f t="shared" ca="1" si="22"/>
        <v>2</v>
      </c>
      <c r="E359" s="286" t="str">
        <f t="shared" ca="1" si="23"/>
        <v/>
      </c>
      <c r="F359" s="286" t="str">
        <f t="shared" ca="1" si="24"/>
        <v/>
      </c>
      <c r="G359" s="287" t="str">
        <f t="shared" ca="1" si="25"/>
        <v/>
      </c>
      <c r="H359" s="288" t="str">
        <f t="shared" ca="1" si="26"/>
        <v/>
      </c>
      <c r="I359" s="308"/>
      <c r="J359" s="320"/>
      <c r="K359" s="320" t="s">
        <v>145</v>
      </c>
      <c r="L359" s="320"/>
      <c r="M359" s="320"/>
      <c r="N359" s="320"/>
      <c r="O359" s="320"/>
      <c r="P359" s="320"/>
      <c r="Q359" s="321"/>
      <c r="R359" s="322"/>
      <c r="S359" s="331"/>
      <c r="T359" s="325"/>
      <c r="U359" s="330"/>
      <c r="V359" s="325"/>
      <c r="W359" s="326">
        <v>0</v>
      </c>
      <c r="X359" s="327"/>
      <c r="Y359" s="328"/>
      <c r="Z359" s="329"/>
      <c r="AA359" s="300"/>
      <c r="AB359" s="301"/>
      <c r="AC359" s="302"/>
      <c r="AD359" s="303"/>
      <c r="AE359" s="304"/>
      <c r="AF359" s="305"/>
      <c r="AG359" s="305">
        <f t="shared" si="27"/>
        <v>0</v>
      </c>
      <c r="AH359" s="305">
        <f t="shared" si="28"/>
        <v>0</v>
      </c>
      <c r="AI359" s="305">
        <f t="shared" si="29"/>
        <v>0</v>
      </c>
      <c r="AJ359" s="305">
        <f t="shared" si="30"/>
        <v>0</v>
      </c>
      <c r="AK359" s="305" t="str">
        <f t="shared" si="31"/>
        <v/>
      </c>
      <c r="AL359" s="306">
        <f t="shared" ca="1" si="32"/>
        <v>1</v>
      </c>
      <c r="AM359" s="306">
        <f t="shared" ca="1" si="33"/>
        <v>51</v>
      </c>
      <c r="AN359" s="306">
        <f t="shared" ca="1" si="34"/>
        <v>2</v>
      </c>
      <c r="AO359" s="306">
        <f t="shared" ca="1" si="35"/>
        <v>0</v>
      </c>
      <c r="AP359" s="306">
        <f t="shared" ca="1" si="36"/>
        <v>0</v>
      </c>
      <c r="AQ359" s="306">
        <f t="shared" ca="1" si="37"/>
        <v>0</v>
      </c>
      <c r="AR359" s="306">
        <f t="shared" ca="1" si="38"/>
        <v>0</v>
      </c>
      <c r="AS359" s="307"/>
      <c r="AT359" s="306">
        <f t="shared" si="39"/>
        <v>1</v>
      </c>
    </row>
    <row r="360" spans="1:46" ht="15.75" customHeight="1">
      <c r="A360" s="284"/>
      <c r="B360" s="285">
        <f t="shared" ca="1" si="20"/>
        <v>1</v>
      </c>
      <c r="C360" s="286">
        <f t="shared" ca="1" si="21"/>
        <v>51</v>
      </c>
      <c r="D360" s="286">
        <f t="shared" ca="1" si="22"/>
        <v>3</v>
      </c>
      <c r="E360" s="286" t="str">
        <f t="shared" ca="1" si="23"/>
        <v/>
      </c>
      <c r="F360" s="286" t="str">
        <f t="shared" ca="1" si="24"/>
        <v/>
      </c>
      <c r="G360" s="287" t="str">
        <f t="shared" ca="1" si="25"/>
        <v/>
      </c>
      <c r="H360" s="288" t="str">
        <f t="shared" ca="1" si="26"/>
        <v/>
      </c>
      <c r="I360" s="308"/>
      <c r="J360" s="320"/>
      <c r="K360" s="320" t="s">
        <v>63</v>
      </c>
      <c r="L360" s="320"/>
      <c r="M360" s="320"/>
      <c r="N360" s="320"/>
      <c r="O360" s="320"/>
      <c r="P360" s="320"/>
      <c r="Q360" s="321"/>
      <c r="R360" s="322"/>
      <c r="S360" s="331"/>
      <c r="T360" s="325"/>
      <c r="U360" s="330"/>
      <c r="V360" s="325"/>
      <c r="W360" s="326">
        <v>0</v>
      </c>
      <c r="X360" s="327"/>
      <c r="Y360" s="328"/>
      <c r="Z360" s="329"/>
      <c r="AA360" s="300"/>
      <c r="AB360" s="301"/>
      <c r="AC360" s="302"/>
      <c r="AD360" s="303"/>
      <c r="AE360" s="304"/>
      <c r="AF360" s="305"/>
      <c r="AG360" s="305">
        <f t="shared" si="27"/>
        <v>0</v>
      </c>
      <c r="AH360" s="305">
        <f t="shared" si="28"/>
        <v>0</v>
      </c>
      <c r="AI360" s="305">
        <f t="shared" si="29"/>
        <v>0</v>
      </c>
      <c r="AJ360" s="305">
        <f t="shared" si="30"/>
        <v>0</v>
      </c>
      <c r="AK360" s="305" t="str">
        <f t="shared" si="31"/>
        <v/>
      </c>
      <c r="AL360" s="306">
        <f t="shared" ca="1" si="32"/>
        <v>1</v>
      </c>
      <c r="AM360" s="306">
        <f t="shared" ca="1" si="33"/>
        <v>51</v>
      </c>
      <c r="AN360" s="306">
        <f t="shared" ca="1" si="34"/>
        <v>3</v>
      </c>
      <c r="AO360" s="306">
        <f t="shared" ca="1" si="35"/>
        <v>0</v>
      </c>
      <c r="AP360" s="306">
        <f t="shared" ca="1" si="36"/>
        <v>0</v>
      </c>
      <c r="AQ360" s="306">
        <f t="shared" ca="1" si="37"/>
        <v>0</v>
      </c>
      <c r="AR360" s="306">
        <f t="shared" ca="1" si="38"/>
        <v>0</v>
      </c>
      <c r="AS360" s="307"/>
      <c r="AT360" s="306">
        <f t="shared" si="39"/>
        <v>1</v>
      </c>
    </row>
    <row r="361" spans="1:46" ht="15.75" customHeight="1">
      <c r="A361" s="284"/>
      <c r="B361" s="285">
        <f t="shared" ca="1" si="20"/>
        <v>1</v>
      </c>
      <c r="C361" s="286">
        <f t="shared" ca="1" si="21"/>
        <v>51</v>
      </c>
      <c r="D361" s="286">
        <f t="shared" ca="1" si="22"/>
        <v>4</v>
      </c>
      <c r="E361" s="286" t="str">
        <f t="shared" ca="1" si="23"/>
        <v/>
      </c>
      <c r="F361" s="286" t="str">
        <f t="shared" ca="1" si="24"/>
        <v/>
      </c>
      <c r="G361" s="287" t="str">
        <f t="shared" ca="1" si="25"/>
        <v/>
      </c>
      <c r="H361" s="288" t="str">
        <f t="shared" ca="1" si="26"/>
        <v/>
      </c>
      <c r="I361" s="308"/>
      <c r="J361" s="320"/>
      <c r="K361" s="320" t="s">
        <v>64</v>
      </c>
      <c r="L361" s="320"/>
      <c r="M361" s="320"/>
      <c r="N361" s="320"/>
      <c r="O361" s="320"/>
      <c r="P361" s="320"/>
      <c r="Q361" s="321"/>
      <c r="R361" s="322"/>
      <c r="S361" s="331"/>
      <c r="T361" s="325"/>
      <c r="U361" s="330"/>
      <c r="V361" s="325"/>
      <c r="W361" s="326">
        <v>0</v>
      </c>
      <c r="X361" s="327"/>
      <c r="Y361" s="328"/>
      <c r="Z361" s="329"/>
      <c r="AA361" s="300"/>
      <c r="AB361" s="301"/>
      <c r="AC361" s="302"/>
      <c r="AD361" s="303"/>
      <c r="AE361" s="304"/>
      <c r="AF361" s="305"/>
      <c r="AG361" s="305">
        <f t="shared" si="27"/>
        <v>0</v>
      </c>
      <c r="AH361" s="305">
        <f t="shared" si="28"/>
        <v>0</v>
      </c>
      <c r="AI361" s="305">
        <f t="shared" si="29"/>
        <v>0</v>
      </c>
      <c r="AJ361" s="305">
        <f t="shared" si="30"/>
        <v>0</v>
      </c>
      <c r="AK361" s="305" t="str">
        <f t="shared" si="31"/>
        <v/>
      </c>
      <c r="AL361" s="306">
        <f t="shared" ca="1" si="32"/>
        <v>1</v>
      </c>
      <c r="AM361" s="306">
        <f t="shared" ca="1" si="33"/>
        <v>51</v>
      </c>
      <c r="AN361" s="306">
        <f t="shared" ca="1" si="34"/>
        <v>4</v>
      </c>
      <c r="AO361" s="306">
        <f t="shared" ca="1" si="35"/>
        <v>0</v>
      </c>
      <c r="AP361" s="306">
        <f t="shared" ca="1" si="36"/>
        <v>0</v>
      </c>
      <c r="AQ361" s="306">
        <f t="shared" ca="1" si="37"/>
        <v>0</v>
      </c>
      <c r="AR361" s="306">
        <f t="shared" ca="1" si="38"/>
        <v>0</v>
      </c>
      <c r="AS361" s="307"/>
      <c r="AT361" s="306">
        <f t="shared" si="39"/>
        <v>1</v>
      </c>
    </row>
    <row r="362" spans="1:46" ht="15.75" customHeight="1">
      <c r="A362" s="284"/>
      <c r="B362" s="285">
        <f t="shared" ca="1" si="20"/>
        <v>1</v>
      </c>
      <c r="C362" s="286">
        <f t="shared" ca="1" si="21"/>
        <v>51</v>
      </c>
      <c r="D362" s="286">
        <f t="shared" ca="1" si="22"/>
        <v>5</v>
      </c>
      <c r="E362" s="286" t="str">
        <f t="shared" ca="1" si="23"/>
        <v/>
      </c>
      <c r="F362" s="286" t="str">
        <f t="shared" ca="1" si="24"/>
        <v/>
      </c>
      <c r="G362" s="287" t="str">
        <f t="shared" ca="1" si="25"/>
        <v/>
      </c>
      <c r="H362" s="288" t="str">
        <f t="shared" ca="1" si="26"/>
        <v/>
      </c>
      <c r="I362" s="308"/>
      <c r="J362" s="320"/>
      <c r="K362" s="320" t="s">
        <v>65</v>
      </c>
      <c r="L362" s="320"/>
      <c r="M362" s="320"/>
      <c r="N362" s="320"/>
      <c r="O362" s="320"/>
      <c r="P362" s="320"/>
      <c r="Q362" s="321"/>
      <c r="R362" s="322"/>
      <c r="S362" s="331"/>
      <c r="T362" s="325"/>
      <c r="U362" s="330"/>
      <c r="V362" s="325"/>
      <c r="W362" s="326">
        <v>0</v>
      </c>
      <c r="X362" s="327"/>
      <c r="Y362" s="328"/>
      <c r="Z362" s="329"/>
      <c r="AA362" s="300"/>
      <c r="AB362" s="301"/>
      <c r="AC362" s="302"/>
      <c r="AD362" s="303"/>
      <c r="AE362" s="304"/>
      <c r="AF362" s="305"/>
      <c r="AG362" s="305">
        <f t="shared" si="27"/>
        <v>0</v>
      </c>
      <c r="AH362" s="305">
        <f t="shared" si="28"/>
        <v>0</v>
      </c>
      <c r="AI362" s="305">
        <f t="shared" si="29"/>
        <v>0</v>
      </c>
      <c r="AJ362" s="305">
        <f t="shared" si="30"/>
        <v>0</v>
      </c>
      <c r="AK362" s="305" t="str">
        <f t="shared" si="31"/>
        <v/>
      </c>
      <c r="AL362" s="306">
        <f t="shared" ca="1" si="32"/>
        <v>1</v>
      </c>
      <c r="AM362" s="306">
        <f t="shared" ca="1" si="33"/>
        <v>51</v>
      </c>
      <c r="AN362" s="306">
        <f t="shared" ca="1" si="34"/>
        <v>5</v>
      </c>
      <c r="AO362" s="306">
        <f t="shared" ca="1" si="35"/>
        <v>0</v>
      </c>
      <c r="AP362" s="306">
        <f t="shared" ca="1" si="36"/>
        <v>0</v>
      </c>
      <c r="AQ362" s="306">
        <f t="shared" ca="1" si="37"/>
        <v>0</v>
      </c>
      <c r="AR362" s="306">
        <f t="shared" ca="1" si="38"/>
        <v>0</v>
      </c>
      <c r="AS362" s="307"/>
      <c r="AT362" s="306">
        <f t="shared" si="39"/>
        <v>1</v>
      </c>
    </row>
    <row r="363" spans="1:46" ht="15.75" customHeight="1">
      <c r="A363" s="284"/>
      <c r="B363" s="285">
        <f t="shared" ca="1" si="20"/>
        <v>1</v>
      </c>
      <c r="C363" s="286">
        <f t="shared" ca="1" si="21"/>
        <v>51</v>
      </c>
      <c r="D363" s="286">
        <f t="shared" ca="1" si="22"/>
        <v>6</v>
      </c>
      <c r="E363" s="286" t="str">
        <f t="shared" ca="1" si="23"/>
        <v/>
      </c>
      <c r="F363" s="286" t="str">
        <f t="shared" ca="1" si="24"/>
        <v/>
      </c>
      <c r="G363" s="287" t="str">
        <f t="shared" ca="1" si="25"/>
        <v/>
      </c>
      <c r="H363" s="288" t="str">
        <f t="shared" ca="1" si="26"/>
        <v/>
      </c>
      <c r="I363" s="308"/>
      <c r="J363" s="320"/>
      <c r="K363" s="320" t="s">
        <v>66</v>
      </c>
      <c r="L363" s="320"/>
      <c r="M363" s="320"/>
      <c r="N363" s="320"/>
      <c r="O363" s="320"/>
      <c r="P363" s="320"/>
      <c r="Q363" s="321"/>
      <c r="R363" s="322"/>
      <c r="S363" s="331"/>
      <c r="T363" s="325"/>
      <c r="U363" s="330"/>
      <c r="V363" s="325"/>
      <c r="W363" s="326">
        <v>0</v>
      </c>
      <c r="X363" s="327"/>
      <c r="Y363" s="328"/>
      <c r="Z363" s="329"/>
      <c r="AA363" s="300"/>
      <c r="AB363" s="301"/>
      <c r="AC363" s="302"/>
      <c r="AD363" s="303"/>
      <c r="AE363" s="304"/>
      <c r="AF363" s="305"/>
      <c r="AG363" s="305">
        <f t="shared" si="27"/>
        <v>0</v>
      </c>
      <c r="AH363" s="305">
        <f t="shared" si="28"/>
        <v>0</v>
      </c>
      <c r="AI363" s="305">
        <f t="shared" si="29"/>
        <v>0</v>
      </c>
      <c r="AJ363" s="305">
        <f t="shared" si="30"/>
        <v>0</v>
      </c>
      <c r="AK363" s="305" t="str">
        <f t="shared" si="31"/>
        <v/>
      </c>
      <c r="AL363" s="306">
        <f t="shared" ca="1" si="32"/>
        <v>1</v>
      </c>
      <c r="AM363" s="306">
        <f t="shared" ca="1" si="33"/>
        <v>51</v>
      </c>
      <c r="AN363" s="306">
        <f t="shared" ca="1" si="34"/>
        <v>6</v>
      </c>
      <c r="AO363" s="306">
        <f t="shared" ca="1" si="35"/>
        <v>0</v>
      </c>
      <c r="AP363" s="306">
        <f t="shared" ca="1" si="36"/>
        <v>0</v>
      </c>
      <c r="AQ363" s="306">
        <f t="shared" ca="1" si="37"/>
        <v>0</v>
      </c>
      <c r="AR363" s="306">
        <f t="shared" ca="1" si="38"/>
        <v>0</v>
      </c>
      <c r="AS363" s="307"/>
      <c r="AT363" s="306">
        <f t="shared" si="39"/>
        <v>1</v>
      </c>
    </row>
    <row r="364" spans="1:46" ht="15.75" customHeight="1">
      <c r="A364" s="284"/>
      <c r="B364" s="285">
        <f t="shared" ca="1" si="20"/>
        <v>1</v>
      </c>
      <c r="C364" s="286">
        <f t="shared" ca="1" si="21"/>
        <v>52</v>
      </c>
      <c r="D364" s="286" t="str">
        <f t="shared" ca="1" si="22"/>
        <v/>
      </c>
      <c r="E364" s="286" t="str">
        <f t="shared" ca="1" si="23"/>
        <v/>
      </c>
      <c r="F364" s="286" t="str">
        <f t="shared" ca="1" si="24"/>
        <v/>
      </c>
      <c r="G364" s="287" t="str">
        <f t="shared" ca="1" si="25"/>
        <v/>
      </c>
      <c r="H364" s="288" t="str">
        <f t="shared" ca="1" si="26"/>
        <v/>
      </c>
      <c r="I364" s="308"/>
      <c r="J364" s="309" t="s">
        <v>231</v>
      </c>
      <c r="K364" s="310"/>
      <c r="L364" s="310"/>
      <c r="M364" s="310"/>
      <c r="N364" s="310"/>
      <c r="O364" s="310"/>
      <c r="P364" s="310"/>
      <c r="Q364" s="311" t="s">
        <v>81</v>
      </c>
      <c r="R364" s="312"/>
      <c r="S364" s="313"/>
      <c r="T364" s="314"/>
      <c r="U364" s="315"/>
      <c r="V364" s="314"/>
      <c r="W364" s="316"/>
      <c r="X364" s="317"/>
      <c r="Y364" s="318"/>
      <c r="Z364" s="319"/>
      <c r="AA364" s="300"/>
      <c r="AB364" s="301"/>
      <c r="AC364" s="302"/>
      <c r="AD364" s="303"/>
      <c r="AE364" s="304"/>
      <c r="AF364" s="305"/>
      <c r="AG364" s="305">
        <f t="shared" si="27"/>
        <v>0</v>
      </c>
      <c r="AH364" s="305">
        <f t="shared" si="28"/>
        <v>0</v>
      </c>
      <c r="AI364" s="305">
        <f t="shared" si="29"/>
        <v>0</v>
      </c>
      <c r="AJ364" s="305">
        <f t="shared" si="30"/>
        <v>0</v>
      </c>
      <c r="AK364" s="305" t="str">
        <f t="shared" si="31"/>
        <v/>
      </c>
      <c r="AL364" s="306">
        <f t="shared" ca="1" si="32"/>
        <v>1</v>
      </c>
      <c r="AM364" s="306">
        <f t="shared" ca="1" si="33"/>
        <v>52</v>
      </c>
      <c r="AN364" s="306">
        <f t="shared" ca="1" si="34"/>
        <v>0</v>
      </c>
      <c r="AO364" s="306">
        <f t="shared" ca="1" si="35"/>
        <v>0</v>
      </c>
      <c r="AP364" s="306">
        <f t="shared" ca="1" si="36"/>
        <v>0</v>
      </c>
      <c r="AQ364" s="306">
        <f t="shared" ca="1" si="37"/>
        <v>0</v>
      </c>
      <c r="AR364" s="306">
        <f t="shared" ca="1" si="38"/>
        <v>0</v>
      </c>
      <c r="AS364" s="307"/>
      <c r="AT364" s="306">
        <f t="shared" si="39"/>
        <v>1</v>
      </c>
    </row>
    <row r="365" spans="1:46" ht="15.75" customHeight="1">
      <c r="A365" s="284"/>
      <c r="B365" s="285">
        <f t="shared" ca="1" si="20"/>
        <v>1</v>
      </c>
      <c r="C365" s="286">
        <f t="shared" ca="1" si="21"/>
        <v>52</v>
      </c>
      <c r="D365" s="286">
        <f t="shared" ca="1" si="22"/>
        <v>1</v>
      </c>
      <c r="E365" s="286" t="str">
        <f t="shared" ca="1" si="23"/>
        <v/>
      </c>
      <c r="F365" s="286" t="str">
        <f t="shared" ca="1" si="24"/>
        <v/>
      </c>
      <c r="G365" s="287" t="str">
        <f t="shared" ca="1" si="25"/>
        <v/>
      </c>
      <c r="H365" s="288" t="str">
        <f t="shared" ca="1" si="26"/>
        <v/>
      </c>
      <c r="I365" s="308"/>
      <c r="J365" s="320"/>
      <c r="K365" s="320" t="s">
        <v>59</v>
      </c>
      <c r="L365" s="320"/>
      <c r="M365" s="320"/>
      <c r="N365" s="320"/>
      <c r="O365" s="320"/>
      <c r="P365" s="320"/>
      <c r="Q365" s="321"/>
      <c r="R365" s="322"/>
      <c r="S365" s="331"/>
      <c r="T365" s="325"/>
      <c r="U365" s="330"/>
      <c r="V365" s="325"/>
      <c r="W365" s="326">
        <v>0</v>
      </c>
      <c r="X365" s="327"/>
      <c r="Y365" s="328"/>
      <c r="Z365" s="329"/>
      <c r="AA365" s="300"/>
      <c r="AB365" s="301"/>
      <c r="AC365" s="302"/>
      <c r="AD365" s="303"/>
      <c r="AE365" s="304"/>
      <c r="AF365" s="305"/>
      <c r="AG365" s="305">
        <f t="shared" si="27"/>
        <v>0</v>
      </c>
      <c r="AH365" s="305">
        <f t="shared" si="28"/>
        <v>0</v>
      </c>
      <c r="AI365" s="305">
        <f t="shared" si="29"/>
        <v>0</v>
      </c>
      <c r="AJ365" s="305">
        <f t="shared" si="30"/>
        <v>0</v>
      </c>
      <c r="AK365" s="305" t="str">
        <f t="shared" si="31"/>
        <v/>
      </c>
      <c r="AL365" s="306">
        <f t="shared" ca="1" si="32"/>
        <v>1</v>
      </c>
      <c r="AM365" s="306">
        <f t="shared" ca="1" si="33"/>
        <v>52</v>
      </c>
      <c r="AN365" s="306">
        <f t="shared" ca="1" si="34"/>
        <v>1</v>
      </c>
      <c r="AO365" s="306">
        <f t="shared" ca="1" si="35"/>
        <v>0</v>
      </c>
      <c r="AP365" s="306">
        <f t="shared" ca="1" si="36"/>
        <v>0</v>
      </c>
      <c r="AQ365" s="306">
        <f t="shared" ca="1" si="37"/>
        <v>0</v>
      </c>
      <c r="AR365" s="306">
        <f t="shared" ca="1" si="38"/>
        <v>0</v>
      </c>
      <c r="AS365" s="307"/>
      <c r="AT365" s="306">
        <f t="shared" si="39"/>
        <v>1</v>
      </c>
    </row>
    <row r="366" spans="1:46" ht="15.75" customHeight="1">
      <c r="A366" s="284"/>
      <c r="B366" s="285">
        <f t="shared" ca="1" si="20"/>
        <v>1</v>
      </c>
      <c r="C366" s="286">
        <f t="shared" ca="1" si="21"/>
        <v>52</v>
      </c>
      <c r="D366" s="286">
        <f t="shared" ca="1" si="22"/>
        <v>2</v>
      </c>
      <c r="E366" s="286" t="str">
        <f t="shared" ca="1" si="23"/>
        <v/>
      </c>
      <c r="F366" s="286" t="str">
        <f t="shared" ca="1" si="24"/>
        <v/>
      </c>
      <c r="G366" s="287" t="str">
        <f t="shared" ca="1" si="25"/>
        <v/>
      </c>
      <c r="H366" s="288" t="str">
        <f t="shared" ca="1" si="26"/>
        <v/>
      </c>
      <c r="I366" s="308"/>
      <c r="J366" s="320"/>
      <c r="K366" s="320" t="s">
        <v>145</v>
      </c>
      <c r="L366" s="320"/>
      <c r="M366" s="320"/>
      <c r="N366" s="320"/>
      <c r="O366" s="320"/>
      <c r="P366" s="320"/>
      <c r="Q366" s="321"/>
      <c r="R366" s="322"/>
      <c r="S366" s="331"/>
      <c r="T366" s="325"/>
      <c r="U366" s="330"/>
      <c r="V366" s="325"/>
      <c r="W366" s="326">
        <v>0</v>
      </c>
      <c r="X366" s="327"/>
      <c r="Y366" s="328"/>
      <c r="Z366" s="329"/>
      <c r="AA366" s="300"/>
      <c r="AB366" s="301"/>
      <c r="AC366" s="302"/>
      <c r="AD366" s="303"/>
      <c r="AE366" s="304"/>
      <c r="AF366" s="305"/>
      <c r="AG366" s="305">
        <f t="shared" si="27"/>
        <v>0</v>
      </c>
      <c r="AH366" s="305">
        <f t="shared" si="28"/>
        <v>0</v>
      </c>
      <c r="AI366" s="305">
        <f t="shared" si="29"/>
        <v>0</v>
      </c>
      <c r="AJ366" s="305">
        <f t="shared" si="30"/>
        <v>0</v>
      </c>
      <c r="AK366" s="305" t="str">
        <f t="shared" si="31"/>
        <v/>
      </c>
      <c r="AL366" s="306">
        <f t="shared" ca="1" si="32"/>
        <v>1</v>
      </c>
      <c r="AM366" s="306">
        <f t="shared" ca="1" si="33"/>
        <v>52</v>
      </c>
      <c r="AN366" s="306">
        <f t="shared" ca="1" si="34"/>
        <v>2</v>
      </c>
      <c r="AO366" s="306">
        <f t="shared" ca="1" si="35"/>
        <v>0</v>
      </c>
      <c r="AP366" s="306">
        <f t="shared" ca="1" si="36"/>
        <v>0</v>
      </c>
      <c r="AQ366" s="306">
        <f t="shared" ca="1" si="37"/>
        <v>0</v>
      </c>
      <c r="AR366" s="306">
        <f t="shared" ca="1" si="38"/>
        <v>0</v>
      </c>
      <c r="AS366" s="307"/>
      <c r="AT366" s="306">
        <f t="shared" si="39"/>
        <v>1</v>
      </c>
    </row>
    <row r="367" spans="1:46" ht="15.75" customHeight="1">
      <c r="A367" s="284"/>
      <c r="B367" s="285">
        <f t="shared" ca="1" si="20"/>
        <v>1</v>
      </c>
      <c r="C367" s="286">
        <f t="shared" ca="1" si="21"/>
        <v>52</v>
      </c>
      <c r="D367" s="286">
        <f t="shared" ca="1" si="22"/>
        <v>3</v>
      </c>
      <c r="E367" s="286" t="str">
        <f t="shared" ca="1" si="23"/>
        <v/>
      </c>
      <c r="F367" s="286" t="str">
        <f t="shared" ca="1" si="24"/>
        <v/>
      </c>
      <c r="G367" s="287" t="str">
        <f t="shared" ca="1" si="25"/>
        <v/>
      </c>
      <c r="H367" s="288" t="str">
        <f t="shared" ca="1" si="26"/>
        <v/>
      </c>
      <c r="I367" s="308"/>
      <c r="J367" s="320"/>
      <c r="K367" s="320" t="s">
        <v>63</v>
      </c>
      <c r="L367" s="320"/>
      <c r="M367" s="320"/>
      <c r="N367" s="320"/>
      <c r="O367" s="320"/>
      <c r="P367" s="320"/>
      <c r="Q367" s="321"/>
      <c r="R367" s="322"/>
      <c r="S367" s="331"/>
      <c r="T367" s="325"/>
      <c r="U367" s="330"/>
      <c r="V367" s="325"/>
      <c r="W367" s="326">
        <v>0</v>
      </c>
      <c r="X367" s="327"/>
      <c r="Y367" s="328"/>
      <c r="Z367" s="329"/>
      <c r="AA367" s="300"/>
      <c r="AB367" s="301"/>
      <c r="AC367" s="302"/>
      <c r="AD367" s="303"/>
      <c r="AE367" s="304"/>
      <c r="AF367" s="305"/>
      <c r="AG367" s="305">
        <f t="shared" si="27"/>
        <v>0</v>
      </c>
      <c r="AH367" s="305">
        <f t="shared" si="28"/>
        <v>0</v>
      </c>
      <c r="AI367" s="305">
        <f t="shared" si="29"/>
        <v>0</v>
      </c>
      <c r="AJ367" s="305">
        <f t="shared" si="30"/>
        <v>0</v>
      </c>
      <c r="AK367" s="305" t="str">
        <f t="shared" si="31"/>
        <v/>
      </c>
      <c r="AL367" s="306">
        <f t="shared" ca="1" si="32"/>
        <v>1</v>
      </c>
      <c r="AM367" s="306">
        <f t="shared" ca="1" si="33"/>
        <v>52</v>
      </c>
      <c r="AN367" s="306">
        <f t="shared" ca="1" si="34"/>
        <v>3</v>
      </c>
      <c r="AO367" s="306">
        <f t="shared" ca="1" si="35"/>
        <v>0</v>
      </c>
      <c r="AP367" s="306">
        <f t="shared" ca="1" si="36"/>
        <v>0</v>
      </c>
      <c r="AQ367" s="306">
        <f t="shared" ca="1" si="37"/>
        <v>0</v>
      </c>
      <c r="AR367" s="306">
        <f t="shared" ca="1" si="38"/>
        <v>0</v>
      </c>
      <c r="AS367" s="307"/>
      <c r="AT367" s="306">
        <f t="shared" si="39"/>
        <v>1</v>
      </c>
    </row>
    <row r="368" spans="1:46" ht="15.75" customHeight="1">
      <c r="A368" s="284"/>
      <c r="B368" s="285">
        <f t="shared" ca="1" si="20"/>
        <v>1</v>
      </c>
      <c r="C368" s="286">
        <f t="shared" ca="1" si="21"/>
        <v>52</v>
      </c>
      <c r="D368" s="286">
        <f t="shared" ca="1" si="22"/>
        <v>4</v>
      </c>
      <c r="E368" s="286" t="str">
        <f t="shared" ca="1" si="23"/>
        <v/>
      </c>
      <c r="F368" s="286" t="str">
        <f t="shared" ca="1" si="24"/>
        <v/>
      </c>
      <c r="G368" s="287" t="str">
        <f t="shared" ca="1" si="25"/>
        <v/>
      </c>
      <c r="H368" s="288" t="str">
        <f t="shared" ca="1" si="26"/>
        <v/>
      </c>
      <c r="I368" s="308"/>
      <c r="J368" s="320"/>
      <c r="K368" s="320" t="s">
        <v>64</v>
      </c>
      <c r="L368" s="320"/>
      <c r="M368" s="320"/>
      <c r="N368" s="320"/>
      <c r="O368" s="320"/>
      <c r="P368" s="320"/>
      <c r="Q368" s="321"/>
      <c r="R368" s="322"/>
      <c r="S368" s="331"/>
      <c r="T368" s="325"/>
      <c r="U368" s="330"/>
      <c r="V368" s="325"/>
      <c r="W368" s="326">
        <v>0</v>
      </c>
      <c r="X368" s="327"/>
      <c r="Y368" s="328"/>
      <c r="Z368" s="329"/>
      <c r="AA368" s="300"/>
      <c r="AB368" s="301"/>
      <c r="AC368" s="302"/>
      <c r="AD368" s="303"/>
      <c r="AE368" s="304"/>
      <c r="AF368" s="305"/>
      <c r="AG368" s="305">
        <f t="shared" si="27"/>
        <v>0</v>
      </c>
      <c r="AH368" s="305">
        <f t="shared" si="28"/>
        <v>0</v>
      </c>
      <c r="AI368" s="305">
        <f t="shared" si="29"/>
        <v>0</v>
      </c>
      <c r="AJ368" s="305">
        <f t="shared" si="30"/>
        <v>0</v>
      </c>
      <c r="AK368" s="305" t="str">
        <f t="shared" si="31"/>
        <v/>
      </c>
      <c r="AL368" s="306">
        <f t="shared" ca="1" si="32"/>
        <v>1</v>
      </c>
      <c r="AM368" s="306">
        <f t="shared" ca="1" si="33"/>
        <v>52</v>
      </c>
      <c r="AN368" s="306">
        <f t="shared" ca="1" si="34"/>
        <v>4</v>
      </c>
      <c r="AO368" s="306">
        <f t="shared" ca="1" si="35"/>
        <v>0</v>
      </c>
      <c r="AP368" s="306">
        <f t="shared" ca="1" si="36"/>
        <v>0</v>
      </c>
      <c r="AQ368" s="306">
        <f t="shared" ca="1" si="37"/>
        <v>0</v>
      </c>
      <c r="AR368" s="306">
        <f t="shared" ca="1" si="38"/>
        <v>0</v>
      </c>
      <c r="AS368" s="307"/>
      <c r="AT368" s="306">
        <f t="shared" si="39"/>
        <v>1</v>
      </c>
    </row>
    <row r="369" spans="1:46" ht="15.75" customHeight="1">
      <c r="A369" s="284"/>
      <c r="B369" s="285">
        <f t="shared" ca="1" si="20"/>
        <v>1</v>
      </c>
      <c r="C369" s="286">
        <f t="shared" ca="1" si="21"/>
        <v>52</v>
      </c>
      <c r="D369" s="286">
        <f t="shared" ca="1" si="22"/>
        <v>5</v>
      </c>
      <c r="E369" s="286" t="str">
        <f t="shared" ca="1" si="23"/>
        <v/>
      </c>
      <c r="F369" s="286" t="str">
        <f t="shared" ca="1" si="24"/>
        <v/>
      </c>
      <c r="G369" s="287" t="str">
        <f t="shared" ca="1" si="25"/>
        <v/>
      </c>
      <c r="H369" s="288" t="str">
        <f t="shared" ca="1" si="26"/>
        <v/>
      </c>
      <c r="I369" s="308"/>
      <c r="J369" s="320"/>
      <c r="K369" s="320" t="s">
        <v>65</v>
      </c>
      <c r="L369" s="320"/>
      <c r="M369" s="320"/>
      <c r="N369" s="320"/>
      <c r="O369" s="320"/>
      <c r="P369" s="320"/>
      <c r="Q369" s="321"/>
      <c r="R369" s="322"/>
      <c r="S369" s="331"/>
      <c r="T369" s="325"/>
      <c r="U369" s="330"/>
      <c r="V369" s="325"/>
      <c r="W369" s="326">
        <v>0</v>
      </c>
      <c r="X369" s="327"/>
      <c r="Y369" s="328"/>
      <c r="Z369" s="329"/>
      <c r="AA369" s="300"/>
      <c r="AB369" s="301"/>
      <c r="AC369" s="302"/>
      <c r="AD369" s="303"/>
      <c r="AE369" s="304"/>
      <c r="AF369" s="305"/>
      <c r="AG369" s="305">
        <f t="shared" si="27"/>
        <v>0</v>
      </c>
      <c r="AH369" s="305">
        <f t="shared" si="28"/>
        <v>0</v>
      </c>
      <c r="AI369" s="305">
        <f t="shared" si="29"/>
        <v>0</v>
      </c>
      <c r="AJ369" s="305">
        <f t="shared" si="30"/>
        <v>0</v>
      </c>
      <c r="AK369" s="305" t="str">
        <f t="shared" si="31"/>
        <v/>
      </c>
      <c r="AL369" s="306">
        <f t="shared" ca="1" si="32"/>
        <v>1</v>
      </c>
      <c r="AM369" s="306">
        <f t="shared" ca="1" si="33"/>
        <v>52</v>
      </c>
      <c r="AN369" s="306">
        <f t="shared" ca="1" si="34"/>
        <v>5</v>
      </c>
      <c r="AO369" s="306">
        <f t="shared" ca="1" si="35"/>
        <v>0</v>
      </c>
      <c r="AP369" s="306">
        <f t="shared" ca="1" si="36"/>
        <v>0</v>
      </c>
      <c r="AQ369" s="306">
        <f t="shared" ca="1" si="37"/>
        <v>0</v>
      </c>
      <c r="AR369" s="306">
        <f t="shared" ca="1" si="38"/>
        <v>0</v>
      </c>
      <c r="AS369" s="307"/>
      <c r="AT369" s="306">
        <f t="shared" si="39"/>
        <v>1</v>
      </c>
    </row>
    <row r="370" spans="1:46" ht="15.75" customHeight="1">
      <c r="A370" s="284"/>
      <c r="B370" s="285">
        <f t="shared" ca="1" si="20"/>
        <v>1</v>
      </c>
      <c r="C370" s="286">
        <f t="shared" ca="1" si="21"/>
        <v>52</v>
      </c>
      <c r="D370" s="286">
        <f t="shared" ca="1" si="22"/>
        <v>6</v>
      </c>
      <c r="E370" s="286" t="str">
        <f t="shared" ca="1" si="23"/>
        <v/>
      </c>
      <c r="F370" s="286" t="str">
        <f t="shared" ca="1" si="24"/>
        <v/>
      </c>
      <c r="G370" s="287" t="str">
        <f t="shared" ca="1" si="25"/>
        <v/>
      </c>
      <c r="H370" s="288" t="str">
        <f t="shared" ca="1" si="26"/>
        <v/>
      </c>
      <c r="I370" s="308"/>
      <c r="J370" s="320"/>
      <c r="K370" s="320" t="s">
        <v>66</v>
      </c>
      <c r="L370" s="320"/>
      <c r="M370" s="320"/>
      <c r="N370" s="320"/>
      <c r="O370" s="320"/>
      <c r="P370" s="320"/>
      <c r="Q370" s="321"/>
      <c r="R370" s="322"/>
      <c r="S370" s="331"/>
      <c r="T370" s="325"/>
      <c r="U370" s="330"/>
      <c r="V370" s="325"/>
      <c r="W370" s="326">
        <v>0</v>
      </c>
      <c r="X370" s="327"/>
      <c r="Y370" s="328"/>
      <c r="Z370" s="329"/>
      <c r="AA370" s="300"/>
      <c r="AB370" s="301"/>
      <c r="AC370" s="302"/>
      <c r="AD370" s="303"/>
      <c r="AE370" s="304"/>
      <c r="AF370" s="305"/>
      <c r="AG370" s="305">
        <f t="shared" si="27"/>
        <v>0</v>
      </c>
      <c r="AH370" s="305">
        <f t="shared" si="28"/>
        <v>0</v>
      </c>
      <c r="AI370" s="305">
        <f t="shared" si="29"/>
        <v>0</v>
      </c>
      <c r="AJ370" s="305">
        <f t="shared" si="30"/>
        <v>0</v>
      </c>
      <c r="AK370" s="305" t="str">
        <f t="shared" si="31"/>
        <v/>
      </c>
      <c r="AL370" s="306">
        <f t="shared" ca="1" si="32"/>
        <v>1</v>
      </c>
      <c r="AM370" s="306">
        <f t="shared" ca="1" si="33"/>
        <v>52</v>
      </c>
      <c r="AN370" s="306">
        <f t="shared" ca="1" si="34"/>
        <v>6</v>
      </c>
      <c r="AO370" s="306">
        <f t="shared" ca="1" si="35"/>
        <v>0</v>
      </c>
      <c r="AP370" s="306">
        <f t="shared" ca="1" si="36"/>
        <v>0</v>
      </c>
      <c r="AQ370" s="306">
        <f t="shared" ca="1" si="37"/>
        <v>0</v>
      </c>
      <c r="AR370" s="306">
        <f t="shared" ca="1" si="38"/>
        <v>0</v>
      </c>
      <c r="AS370" s="307"/>
      <c r="AT370" s="306">
        <f t="shared" si="39"/>
        <v>1</v>
      </c>
    </row>
    <row r="371" spans="1:46" ht="15.75" customHeight="1">
      <c r="A371" s="284"/>
      <c r="B371" s="285">
        <f t="shared" ca="1" si="20"/>
        <v>1</v>
      </c>
      <c r="C371" s="286">
        <f t="shared" ca="1" si="21"/>
        <v>53</v>
      </c>
      <c r="D371" s="286" t="str">
        <f t="shared" ca="1" si="22"/>
        <v/>
      </c>
      <c r="E371" s="286" t="str">
        <f t="shared" ca="1" si="23"/>
        <v/>
      </c>
      <c r="F371" s="286" t="str">
        <f t="shared" ca="1" si="24"/>
        <v/>
      </c>
      <c r="G371" s="287" t="str">
        <f t="shared" ca="1" si="25"/>
        <v/>
      </c>
      <c r="H371" s="288" t="str">
        <f t="shared" ca="1" si="26"/>
        <v/>
      </c>
      <c r="I371" s="308"/>
      <c r="J371" s="309" t="s">
        <v>232</v>
      </c>
      <c r="K371" s="310"/>
      <c r="L371" s="310"/>
      <c r="M371" s="310"/>
      <c r="N371" s="310"/>
      <c r="O371" s="310"/>
      <c r="P371" s="310"/>
      <c r="Q371" s="311" t="s">
        <v>81</v>
      </c>
      <c r="R371" s="312"/>
      <c r="S371" s="313"/>
      <c r="T371" s="314"/>
      <c r="U371" s="315"/>
      <c r="V371" s="314"/>
      <c r="W371" s="316"/>
      <c r="X371" s="317"/>
      <c r="Y371" s="318"/>
      <c r="Z371" s="319"/>
      <c r="AA371" s="300"/>
      <c r="AB371" s="301"/>
      <c r="AC371" s="302"/>
      <c r="AD371" s="303"/>
      <c r="AE371" s="304"/>
      <c r="AF371" s="305"/>
      <c r="AG371" s="305">
        <f t="shared" si="27"/>
        <v>0</v>
      </c>
      <c r="AH371" s="305">
        <f t="shared" si="28"/>
        <v>0</v>
      </c>
      <c r="AI371" s="305">
        <f t="shared" si="29"/>
        <v>0</v>
      </c>
      <c r="AJ371" s="305">
        <f t="shared" si="30"/>
        <v>0</v>
      </c>
      <c r="AK371" s="305" t="str">
        <f t="shared" si="31"/>
        <v/>
      </c>
      <c r="AL371" s="306">
        <f t="shared" ca="1" si="32"/>
        <v>1</v>
      </c>
      <c r="AM371" s="306">
        <f t="shared" ca="1" si="33"/>
        <v>53</v>
      </c>
      <c r="AN371" s="306">
        <f t="shared" ca="1" si="34"/>
        <v>0</v>
      </c>
      <c r="AO371" s="306">
        <f t="shared" ca="1" si="35"/>
        <v>0</v>
      </c>
      <c r="AP371" s="306">
        <f t="shared" ca="1" si="36"/>
        <v>0</v>
      </c>
      <c r="AQ371" s="306">
        <f t="shared" ca="1" si="37"/>
        <v>0</v>
      </c>
      <c r="AR371" s="306">
        <f t="shared" ca="1" si="38"/>
        <v>0</v>
      </c>
      <c r="AS371" s="307"/>
      <c r="AT371" s="306">
        <f t="shared" si="39"/>
        <v>1</v>
      </c>
    </row>
    <row r="372" spans="1:46" ht="15.75" customHeight="1">
      <c r="A372" s="284"/>
      <c r="B372" s="285">
        <f t="shared" ca="1" si="20"/>
        <v>1</v>
      </c>
      <c r="C372" s="286">
        <f t="shared" ca="1" si="21"/>
        <v>53</v>
      </c>
      <c r="D372" s="286">
        <f t="shared" ca="1" si="22"/>
        <v>1</v>
      </c>
      <c r="E372" s="286" t="str">
        <f t="shared" ca="1" si="23"/>
        <v/>
      </c>
      <c r="F372" s="286" t="str">
        <f t="shared" ca="1" si="24"/>
        <v/>
      </c>
      <c r="G372" s="287" t="str">
        <f t="shared" ca="1" si="25"/>
        <v/>
      </c>
      <c r="H372" s="288" t="str">
        <f t="shared" ca="1" si="26"/>
        <v/>
      </c>
      <c r="I372" s="308"/>
      <c r="J372" s="320"/>
      <c r="K372" s="320" t="s">
        <v>59</v>
      </c>
      <c r="L372" s="320"/>
      <c r="M372" s="320"/>
      <c r="N372" s="320"/>
      <c r="O372" s="320"/>
      <c r="P372" s="320"/>
      <c r="Q372" s="321"/>
      <c r="R372" s="322"/>
      <c r="S372" s="331"/>
      <c r="T372" s="325"/>
      <c r="U372" s="330"/>
      <c r="V372" s="325"/>
      <c r="W372" s="326">
        <v>0</v>
      </c>
      <c r="X372" s="327"/>
      <c r="Y372" s="328"/>
      <c r="Z372" s="329"/>
      <c r="AA372" s="300"/>
      <c r="AB372" s="301"/>
      <c r="AC372" s="302"/>
      <c r="AD372" s="303"/>
      <c r="AE372" s="304"/>
      <c r="AF372" s="305"/>
      <c r="AG372" s="305">
        <f t="shared" si="27"/>
        <v>0</v>
      </c>
      <c r="AH372" s="305">
        <f t="shared" si="28"/>
        <v>0</v>
      </c>
      <c r="AI372" s="305">
        <f t="shared" si="29"/>
        <v>0</v>
      </c>
      <c r="AJ372" s="305">
        <f t="shared" si="30"/>
        <v>0</v>
      </c>
      <c r="AK372" s="305" t="str">
        <f t="shared" si="31"/>
        <v/>
      </c>
      <c r="AL372" s="306">
        <f t="shared" ca="1" si="32"/>
        <v>1</v>
      </c>
      <c r="AM372" s="306">
        <f t="shared" ca="1" si="33"/>
        <v>53</v>
      </c>
      <c r="AN372" s="306">
        <f t="shared" ca="1" si="34"/>
        <v>1</v>
      </c>
      <c r="AO372" s="306">
        <f t="shared" ca="1" si="35"/>
        <v>0</v>
      </c>
      <c r="AP372" s="306">
        <f t="shared" ca="1" si="36"/>
        <v>0</v>
      </c>
      <c r="AQ372" s="306">
        <f t="shared" ca="1" si="37"/>
        <v>0</v>
      </c>
      <c r="AR372" s="306">
        <f t="shared" ca="1" si="38"/>
        <v>0</v>
      </c>
      <c r="AS372" s="307"/>
      <c r="AT372" s="306">
        <f t="shared" si="39"/>
        <v>1</v>
      </c>
    </row>
    <row r="373" spans="1:46" ht="15.75" customHeight="1">
      <c r="A373" s="284"/>
      <c r="B373" s="285">
        <f t="shared" ca="1" si="20"/>
        <v>1</v>
      </c>
      <c r="C373" s="286">
        <f t="shared" ca="1" si="21"/>
        <v>53</v>
      </c>
      <c r="D373" s="286">
        <f t="shared" ca="1" si="22"/>
        <v>2</v>
      </c>
      <c r="E373" s="286" t="str">
        <f t="shared" ca="1" si="23"/>
        <v/>
      </c>
      <c r="F373" s="286" t="str">
        <f t="shared" ca="1" si="24"/>
        <v/>
      </c>
      <c r="G373" s="287" t="str">
        <f t="shared" ca="1" si="25"/>
        <v/>
      </c>
      <c r="H373" s="288" t="str">
        <f t="shared" ca="1" si="26"/>
        <v/>
      </c>
      <c r="I373" s="308"/>
      <c r="J373" s="320"/>
      <c r="K373" s="320" t="s">
        <v>145</v>
      </c>
      <c r="L373" s="320"/>
      <c r="M373" s="320"/>
      <c r="N373" s="320"/>
      <c r="O373" s="320"/>
      <c r="P373" s="320"/>
      <c r="Q373" s="321"/>
      <c r="R373" s="322"/>
      <c r="S373" s="331"/>
      <c r="T373" s="325"/>
      <c r="U373" s="330"/>
      <c r="V373" s="325"/>
      <c r="W373" s="326">
        <v>0</v>
      </c>
      <c r="X373" s="327"/>
      <c r="Y373" s="328"/>
      <c r="Z373" s="329"/>
      <c r="AA373" s="300"/>
      <c r="AB373" s="301"/>
      <c r="AC373" s="302"/>
      <c r="AD373" s="303"/>
      <c r="AE373" s="304"/>
      <c r="AF373" s="305"/>
      <c r="AG373" s="305">
        <f t="shared" si="27"/>
        <v>0</v>
      </c>
      <c r="AH373" s="305">
        <f t="shared" si="28"/>
        <v>0</v>
      </c>
      <c r="AI373" s="305">
        <f t="shared" si="29"/>
        <v>0</v>
      </c>
      <c r="AJ373" s="305">
        <f t="shared" si="30"/>
        <v>0</v>
      </c>
      <c r="AK373" s="305" t="str">
        <f t="shared" si="31"/>
        <v/>
      </c>
      <c r="AL373" s="306">
        <f t="shared" ca="1" si="32"/>
        <v>1</v>
      </c>
      <c r="AM373" s="306">
        <f t="shared" ca="1" si="33"/>
        <v>53</v>
      </c>
      <c r="AN373" s="306">
        <f t="shared" ca="1" si="34"/>
        <v>2</v>
      </c>
      <c r="AO373" s="306">
        <f t="shared" ca="1" si="35"/>
        <v>0</v>
      </c>
      <c r="AP373" s="306">
        <f t="shared" ca="1" si="36"/>
        <v>0</v>
      </c>
      <c r="AQ373" s="306">
        <f t="shared" ca="1" si="37"/>
        <v>0</v>
      </c>
      <c r="AR373" s="306">
        <f t="shared" ca="1" si="38"/>
        <v>0</v>
      </c>
      <c r="AS373" s="307"/>
      <c r="AT373" s="306">
        <f t="shared" si="39"/>
        <v>1</v>
      </c>
    </row>
    <row r="374" spans="1:46" ht="15.75" customHeight="1">
      <c r="A374" s="284"/>
      <c r="B374" s="285">
        <f t="shared" ca="1" si="20"/>
        <v>1</v>
      </c>
      <c r="C374" s="286">
        <f t="shared" ca="1" si="21"/>
        <v>53</v>
      </c>
      <c r="D374" s="286">
        <f t="shared" ca="1" si="22"/>
        <v>3</v>
      </c>
      <c r="E374" s="286" t="str">
        <f t="shared" ca="1" si="23"/>
        <v/>
      </c>
      <c r="F374" s="286" t="str">
        <f t="shared" ca="1" si="24"/>
        <v/>
      </c>
      <c r="G374" s="287" t="str">
        <f t="shared" ca="1" si="25"/>
        <v/>
      </c>
      <c r="H374" s="288" t="str">
        <f t="shared" ca="1" si="26"/>
        <v/>
      </c>
      <c r="I374" s="308"/>
      <c r="J374" s="320"/>
      <c r="K374" s="320" t="s">
        <v>63</v>
      </c>
      <c r="L374" s="320"/>
      <c r="M374" s="320"/>
      <c r="N374" s="320"/>
      <c r="O374" s="320"/>
      <c r="P374" s="320"/>
      <c r="Q374" s="321"/>
      <c r="R374" s="322"/>
      <c r="S374" s="331"/>
      <c r="T374" s="325"/>
      <c r="U374" s="330"/>
      <c r="V374" s="325"/>
      <c r="W374" s="326">
        <v>0</v>
      </c>
      <c r="X374" s="327"/>
      <c r="Y374" s="328"/>
      <c r="Z374" s="329"/>
      <c r="AA374" s="300"/>
      <c r="AB374" s="301"/>
      <c r="AC374" s="302"/>
      <c r="AD374" s="303"/>
      <c r="AE374" s="304"/>
      <c r="AF374" s="305"/>
      <c r="AG374" s="305">
        <f t="shared" si="27"/>
        <v>0</v>
      </c>
      <c r="AH374" s="305">
        <f t="shared" si="28"/>
        <v>0</v>
      </c>
      <c r="AI374" s="305">
        <f t="shared" si="29"/>
        <v>0</v>
      </c>
      <c r="AJ374" s="305">
        <f t="shared" si="30"/>
        <v>0</v>
      </c>
      <c r="AK374" s="305" t="str">
        <f t="shared" si="31"/>
        <v/>
      </c>
      <c r="AL374" s="306">
        <f t="shared" ca="1" si="32"/>
        <v>1</v>
      </c>
      <c r="AM374" s="306">
        <f t="shared" ca="1" si="33"/>
        <v>53</v>
      </c>
      <c r="AN374" s="306">
        <f t="shared" ca="1" si="34"/>
        <v>3</v>
      </c>
      <c r="AO374" s="306">
        <f t="shared" ca="1" si="35"/>
        <v>0</v>
      </c>
      <c r="AP374" s="306">
        <f t="shared" ca="1" si="36"/>
        <v>0</v>
      </c>
      <c r="AQ374" s="306">
        <f t="shared" ca="1" si="37"/>
        <v>0</v>
      </c>
      <c r="AR374" s="306">
        <f t="shared" ca="1" si="38"/>
        <v>0</v>
      </c>
      <c r="AS374" s="307"/>
      <c r="AT374" s="306">
        <f t="shared" si="39"/>
        <v>1</v>
      </c>
    </row>
    <row r="375" spans="1:46" ht="15.75" customHeight="1">
      <c r="A375" s="284"/>
      <c r="B375" s="285">
        <f t="shared" ca="1" si="20"/>
        <v>1</v>
      </c>
      <c r="C375" s="286">
        <f t="shared" ca="1" si="21"/>
        <v>53</v>
      </c>
      <c r="D375" s="286">
        <f t="shared" ca="1" si="22"/>
        <v>4</v>
      </c>
      <c r="E375" s="286" t="str">
        <f t="shared" ca="1" si="23"/>
        <v/>
      </c>
      <c r="F375" s="286" t="str">
        <f t="shared" ca="1" si="24"/>
        <v/>
      </c>
      <c r="G375" s="287" t="str">
        <f t="shared" ca="1" si="25"/>
        <v/>
      </c>
      <c r="H375" s="288" t="str">
        <f t="shared" ca="1" si="26"/>
        <v/>
      </c>
      <c r="I375" s="308"/>
      <c r="J375" s="320"/>
      <c r="K375" s="320" t="s">
        <v>64</v>
      </c>
      <c r="L375" s="320"/>
      <c r="M375" s="320"/>
      <c r="N375" s="320"/>
      <c r="O375" s="320"/>
      <c r="P375" s="320"/>
      <c r="Q375" s="321"/>
      <c r="R375" s="322"/>
      <c r="S375" s="331"/>
      <c r="T375" s="325"/>
      <c r="U375" s="330"/>
      <c r="V375" s="325"/>
      <c r="W375" s="326">
        <v>0</v>
      </c>
      <c r="X375" s="327"/>
      <c r="Y375" s="328"/>
      <c r="Z375" s="329"/>
      <c r="AA375" s="300"/>
      <c r="AB375" s="301"/>
      <c r="AC375" s="302"/>
      <c r="AD375" s="303"/>
      <c r="AE375" s="304"/>
      <c r="AF375" s="305"/>
      <c r="AG375" s="305">
        <f t="shared" si="27"/>
        <v>0</v>
      </c>
      <c r="AH375" s="305">
        <f t="shared" si="28"/>
        <v>0</v>
      </c>
      <c r="AI375" s="305">
        <f t="shared" si="29"/>
        <v>0</v>
      </c>
      <c r="AJ375" s="305">
        <f t="shared" si="30"/>
        <v>0</v>
      </c>
      <c r="AK375" s="305" t="str">
        <f t="shared" si="31"/>
        <v/>
      </c>
      <c r="AL375" s="306">
        <f t="shared" ca="1" si="32"/>
        <v>1</v>
      </c>
      <c r="AM375" s="306">
        <f t="shared" ca="1" si="33"/>
        <v>53</v>
      </c>
      <c r="AN375" s="306">
        <f t="shared" ca="1" si="34"/>
        <v>4</v>
      </c>
      <c r="AO375" s="306">
        <f t="shared" ca="1" si="35"/>
        <v>0</v>
      </c>
      <c r="AP375" s="306">
        <f t="shared" ca="1" si="36"/>
        <v>0</v>
      </c>
      <c r="AQ375" s="306">
        <f t="shared" ca="1" si="37"/>
        <v>0</v>
      </c>
      <c r="AR375" s="306">
        <f t="shared" ca="1" si="38"/>
        <v>0</v>
      </c>
      <c r="AS375" s="307"/>
      <c r="AT375" s="306">
        <f t="shared" si="39"/>
        <v>1</v>
      </c>
    </row>
    <row r="376" spans="1:46" ht="15.75" customHeight="1">
      <c r="A376" s="284"/>
      <c r="B376" s="285">
        <f t="shared" ca="1" si="20"/>
        <v>1</v>
      </c>
      <c r="C376" s="286">
        <f t="shared" ca="1" si="21"/>
        <v>53</v>
      </c>
      <c r="D376" s="286">
        <f t="shared" ca="1" si="22"/>
        <v>5</v>
      </c>
      <c r="E376" s="286" t="str">
        <f t="shared" ca="1" si="23"/>
        <v/>
      </c>
      <c r="F376" s="286" t="str">
        <f t="shared" ca="1" si="24"/>
        <v/>
      </c>
      <c r="G376" s="287" t="str">
        <f t="shared" ca="1" si="25"/>
        <v/>
      </c>
      <c r="H376" s="288" t="str">
        <f t="shared" ca="1" si="26"/>
        <v/>
      </c>
      <c r="I376" s="308"/>
      <c r="J376" s="320"/>
      <c r="K376" s="320" t="s">
        <v>65</v>
      </c>
      <c r="L376" s="320"/>
      <c r="M376" s="320"/>
      <c r="N376" s="320"/>
      <c r="O376" s="320"/>
      <c r="P376" s="320"/>
      <c r="Q376" s="321"/>
      <c r="R376" s="322"/>
      <c r="S376" s="331"/>
      <c r="T376" s="325"/>
      <c r="U376" s="330"/>
      <c r="V376" s="325"/>
      <c r="W376" s="326">
        <v>0</v>
      </c>
      <c r="X376" s="327"/>
      <c r="Y376" s="328"/>
      <c r="Z376" s="329"/>
      <c r="AA376" s="300"/>
      <c r="AB376" s="301"/>
      <c r="AC376" s="302"/>
      <c r="AD376" s="303"/>
      <c r="AE376" s="304"/>
      <c r="AF376" s="305"/>
      <c r="AG376" s="305">
        <f t="shared" si="27"/>
        <v>0</v>
      </c>
      <c r="AH376" s="305">
        <f t="shared" si="28"/>
        <v>0</v>
      </c>
      <c r="AI376" s="305">
        <f t="shared" si="29"/>
        <v>0</v>
      </c>
      <c r="AJ376" s="305">
        <f t="shared" si="30"/>
        <v>0</v>
      </c>
      <c r="AK376" s="305" t="str">
        <f t="shared" si="31"/>
        <v/>
      </c>
      <c r="AL376" s="306">
        <f t="shared" ca="1" si="32"/>
        <v>1</v>
      </c>
      <c r="AM376" s="306">
        <f t="shared" ca="1" si="33"/>
        <v>53</v>
      </c>
      <c r="AN376" s="306">
        <f t="shared" ca="1" si="34"/>
        <v>5</v>
      </c>
      <c r="AO376" s="306">
        <f t="shared" ca="1" si="35"/>
        <v>0</v>
      </c>
      <c r="AP376" s="306">
        <f t="shared" ca="1" si="36"/>
        <v>0</v>
      </c>
      <c r="AQ376" s="306">
        <f t="shared" ca="1" si="37"/>
        <v>0</v>
      </c>
      <c r="AR376" s="306">
        <f t="shared" ca="1" si="38"/>
        <v>0</v>
      </c>
      <c r="AS376" s="307"/>
      <c r="AT376" s="306">
        <f t="shared" si="39"/>
        <v>1</v>
      </c>
    </row>
    <row r="377" spans="1:46" ht="15.75" customHeight="1">
      <c r="A377" s="284"/>
      <c r="B377" s="285">
        <f t="shared" ca="1" si="20"/>
        <v>1</v>
      </c>
      <c r="C377" s="286">
        <f t="shared" ca="1" si="21"/>
        <v>53</v>
      </c>
      <c r="D377" s="286">
        <f t="shared" ca="1" si="22"/>
        <v>6</v>
      </c>
      <c r="E377" s="286" t="str">
        <f t="shared" ca="1" si="23"/>
        <v/>
      </c>
      <c r="F377" s="286" t="str">
        <f t="shared" ca="1" si="24"/>
        <v/>
      </c>
      <c r="G377" s="287" t="str">
        <f t="shared" ca="1" si="25"/>
        <v/>
      </c>
      <c r="H377" s="288" t="str">
        <f t="shared" ca="1" si="26"/>
        <v/>
      </c>
      <c r="I377" s="308"/>
      <c r="J377" s="320"/>
      <c r="K377" s="320" t="s">
        <v>66</v>
      </c>
      <c r="L377" s="320"/>
      <c r="M377" s="320"/>
      <c r="N377" s="320"/>
      <c r="O377" s="320"/>
      <c r="P377" s="320"/>
      <c r="Q377" s="321"/>
      <c r="R377" s="322"/>
      <c r="S377" s="331"/>
      <c r="T377" s="325"/>
      <c r="U377" s="330"/>
      <c r="V377" s="325"/>
      <c r="W377" s="326">
        <v>0</v>
      </c>
      <c r="X377" s="327"/>
      <c r="Y377" s="328"/>
      <c r="Z377" s="329"/>
      <c r="AA377" s="300"/>
      <c r="AB377" s="301"/>
      <c r="AC377" s="302"/>
      <c r="AD377" s="303"/>
      <c r="AE377" s="304"/>
      <c r="AF377" s="305"/>
      <c r="AG377" s="305">
        <f t="shared" si="27"/>
        <v>0</v>
      </c>
      <c r="AH377" s="305">
        <f t="shared" si="28"/>
        <v>0</v>
      </c>
      <c r="AI377" s="305">
        <f t="shared" si="29"/>
        <v>0</v>
      </c>
      <c r="AJ377" s="305">
        <f t="shared" si="30"/>
        <v>0</v>
      </c>
      <c r="AK377" s="305" t="str">
        <f t="shared" si="31"/>
        <v/>
      </c>
      <c r="AL377" s="306">
        <f t="shared" ca="1" si="32"/>
        <v>1</v>
      </c>
      <c r="AM377" s="306">
        <f t="shared" ca="1" si="33"/>
        <v>53</v>
      </c>
      <c r="AN377" s="306">
        <f t="shared" ca="1" si="34"/>
        <v>6</v>
      </c>
      <c r="AO377" s="306">
        <f t="shared" ca="1" si="35"/>
        <v>0</v>
      </c>
      <c r="AP377" s="306">
        <f t="shared" ca="1" si="36"/>
        <v>0</v>
      </c>
      <c r="AQ377" s="306">
        <f t="shared" ca="1" si="37"/>
        <v>0</v>
      </c>
      <c r="AR377" s="306">
        <f t="shared" ca="1" si="38"/>
        <v>0</v>
      </c>
      <c r="AS377" s="307"/>
      <c r="AT377" s="306">
        <f t="shared" si="39"/>
        <v>1</v>
      </c>
    </row>
    <row r="378" spans="1:46" ht="15.75" customHeight="1"/>
    <row r="379" spans="1:46" ht="15.75" customHeight="1"/>
    <row r="380" spans="1:46" ht="15.75" customHeight="1"/>
    <row r="381" spans="1:46" ht="15.75" customHeight="1"/>
    <row r="382" spans="1:46" ht="15.75" customHeight="1"/>
    <row r="383" spans="1:46" ht="15.75" customHeight="1"/>
    <row r="384" spans="1:46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</sheetData>
  <autoFilter ref="A5:AT377" xr:uid="{00000000-0009-0000-0000-000000000000}"/>
  <mergeCells count="8">
    <mergeCell ref="AB4:AC4"/>
    <mergeCell ref="AF4:AH4"/>
    <mergeCell ref="A1:V2"/>
    <mergeCell ref="B4:H4"/>
    <mergeCell ref="I4:O4"/>
    <mergeCell ref="S4:T4"/>
    <mergeCell ref="U4:V4"/>
    <mergeCell ref="W4:X4"/>
  </mergeCells>
  <phoneticPr fontId="1"/>
  <conditionalFormatting sqref="I6:N6">
    <cfRule type="expression" dxfId="22" priority="2" stopIfTrue="1">
      <formula>IF(I6&lt;&gt;"",IF(#REF!=100%,TRUE,FALSE))</formula>
    </cfRule>
  </conditionalFormatting>
  <conditionalFormatting sqref="U5:V1048576">
    <cfRule type="expression" dxfId="21" priority="1">
      <formula>AND(S5&lt;&gt;"",U5="",S5&lt;=$Z$1)</formula>
    </cfRule>
  </conditionalFormatting>
  <dataValidations count="1">
    <dataValidation type="list" allowBlank="1" showErrorMessage="1" sqref="AE6:AE377" xr:uid="{53AA338C-12BA-4B40-9890-DBE4E5FF8154}">
      <formula1>"RD,ED,ID,M/UT,ITa,Itb,ST,UAT,Other"</formula1>
    </dataValidation>
  </dataValidations>
  <pageMargins left="0.23622047244094491" right="0.11811023622047245" top="0.39" bottom="0.32" header="0" footer="0"/>
  <pageSetup paperSize="9" fitToHeight="0"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9582-F1FA-462D-8642-3DDEF7C0B319}">
  <sheetPr codeName="Sheet2">
    <tabColor rgb="FFF2F2F2"/>
    <pageSetUpPr fitToPage="1"/>
  </sheetPr>
  <dimension ref="A1:AT932"/>
  <sheetViews>
    <sheetView showGridLines="0" workbookViewId="0">
      <pane ySplit="5" topLeftCell="A6" activePane="bottomLeft" state="frozen"/>
      <selection pane="bottomLeft" activeCell="U5" sqref="U5:V1048576"/>
    </sheetView>
  </sheetViews>
  <sheetFormatPr defaultColWidth="11.35546875" defaultRowHeight="15" customHeight="1"/>
  <cols>
    <col min="1" max="1" width="2.35546875" style="341" customWidth="1"/>
    <col min="2" max="2" width="3.140625" style="341" customWidth="1"/>
    <col min="3" max="3" width="3.5" style="341" customWidth="1"/>
    <col min="4" max="5" width="2.2109375" style="341" customWidth="1"/>
    <col min="6" max="8" width="2" style="341" customWidth="1"/>
    <col min="9" max="12" width="2.42578125" style="341" customWidth="1"/>
    <col min="13" max="15" width="2.35546875" style="341" customWidth="1"/>
    <col min="16" max="16" width="31" style="341" customWidth="1"/>
    <col min="17" max="17" width="6.92578125" style="341" customWidth="1"/>
    <col min="18" max="18" width="9.85546875" style="341" customWidth="1"/>
    <col min="19" max="22" width="10.0703125" style="341" customWidth="1"/>
    <col min="23" max="24" width="7.92578125" style="341" customWidth="1"/>
    <col min="25" max="25" width="5.5703125" style="341" customWidth="1"/>
    <col min="26" max="26" width="24.7109375" style="341" customWidth="1"/>
    <col min="27" max="27" width="20.85546875" style="341" customWidth="1"/>
    <col min="28" max="29" width="6.92578125" style="341" customWidth="1"/>
    <col min="30" max="30" width="13.78515625" style="341" customWidth="1"/>
    <col min="31" max="31" width="4.35546875" style="341" customWidth="1"/>
    <col min="32" max="34" width="7.7109375" style="341" customWidth="1"/>
    <col min="35" max="37" width="8.5" style="341" customWidth="1"/>
    <col min="38" max="46" width="7.0703125" style="341" customWidth="1"/>
    <col min="47" max="16384" width="11.35546875" style="341"/>
  </cols>
  <sheetData>
    <row r="1" spans="1:46" ht="25.5">
      <c r="A1" s="599" t="s">
        <v>269</v>
      </c>
      <c r="B1" s="600"/>
      <c r="C1" s="600"/>
      <c r="D1" s="600"/>
      <c r="E1" s="600"/>
      <c r="F1" s="600"/>
      <c r="G1" s="600"/>
      <c r="H1" s="600"/>
      <c r="I1" s="600"/>
      <c r="J1" s="600"/>
      <c r="K1" s="600"/>
      <c r="L1" s="600"/>
      <c r="M1" s="600"/>
      <c r="N1" s="600"/>
      <c r="O1" s="600"/>
      <c r="P1" s="600"/>
      <c r="Q1" s="600"/>
      <c r="R1" s="600"/>
      <c r="S1" s="600"/>
      <c r="T1" s="600"/>
      <c r="U1" s="600"/>
      <c r="V1" s="601"/>
      <c r="W1" s="334" t="s">
        <v>26</v>
      </c>
      <c r="X1" s="335"/>
      <c r="Y1" s="336" t="s">
        <v>27</v>
      </c>
      <c r="Z1" s="337">
        <f ca="1">Report_Day</f>
        <v>45821</v>
      </c>
      <c r="AA1" s="338">
        <f ca="1">Z1+7</f>
        <v>45828</v>
      </c>
      <c r="AB1" s="339"/>
      <c r="AC1" s="339"/>
      <c r="AD1" s="339"/>
      <c r="AE1" s="339"/>
      <c r="AF1" s="339"/>
      <c r="AG1" s="340"/>
      <c r="AH1" s="340"/>
      <c r="AI1" s="340"/>
      <c r="AJ1" s="340"/>
      <c r="AK1" s="340"/>
      <c r="AL1" s="339"/>
      <c r="AM1" s="339"/>
      <c r="AN1" s="339"/>
      <c r="AO1" s="339"/>
      <c r="AP1" s="339"/>
      <c r="AQ1" s="339"/>
      <c r="AR1" s="339"/>
      <c r="AS1" s="339"/>
      <c r="AT1" s="339"/>
    </row>
    <row r="2" spans="1:46" ht="26" thickBot="1">
      <c r="A2" s="602"/>
      <c r="B2" s="603"/>
      <c r="C2" s="603"/>
      <c r="D2" s="603"/>
      <c r="E2" s="603"/>
      <c r="F2" s="603"/>
      <c r="G2" s="603"/>
      <c r="H2" s="603"/>
      <c r="I2" s="603"/>
      <c r="J2" s="603"/>
      <c r="K2" s="603"/>
      <c r="L2" s="603"/>
      <c r="M2" s="603"/>
      <c r="N2" s="603"/>
      <c r="O2" s="603"/>
      <c r="P2" s="603"/>
      <c r="Q2" s="603"/>
      <c r="R2" s="603"/>
      <c r="S2" s="603"/>
      <c r="T2" s="603"/>
      <c r="U2" s="603"/>
      <c r="V2" s="604"/>
      <c r="W2" s="342" t="s">
        <v>28</v>
      </c>
      <c r="X2" s="343" t="s">
        <v>29</v>
      </c>
      <c r="Y2" s="344" t="s">
        <v>30</v>
      </c>
      <c r="Z2" s="345">
        <f ca="1">Report_Day</f>
        <v>45821</v>
      </c>
      <c r="AA2" s="340"/>
      <c r="AB2" s="346"/>
      <c r="AC2" s="346"/>
      <c r="AD2" s="346"/>
      <c r="AE2" s="346"/>
      <c r="AF2" s="340"/>
      <c r="AG2" s="340"/>
      <c r="AH2" s="340"/>
      <c r="AI2" s="340"/>
      <c r="AJ2" s="340"/>
      <c r="AK2" s="340"/>
      <c r="AL2" s="346"/>
      <c r="AM2" s="346"/>
      <c r="AN2" s="346"/>
      <c r="AO2" s="346"/>
      <c r="AP2" s="346"/>
      <c r="AQ2" s="346"/>
      <c r="AR2" s="346"/>
      <c r="AS2" s="346"/>
      <c r="AT2" s="346"/>
    </row>
    <row r="3" spans="1:46" ht="18.5">
      <c r="A3" s="347"/>
      <c r="B3" s="346"/>
      <c r="C3" s="346"/>
      <c r="D3" s="346"/>
      <c r="E3" s="346"/>
      <c r="F3" s="346"/>
      <c r="G3" s="346"/>
      <c r="H3" s="346"/>
      <c r="I3" s="346"/>
      <c r="J3" s="346"/>
      <c r="K3" s="346"/>
      <c r="L3" s="348"/>
      <c r="M3" s="348"/>
      <c r="N3" s="348"/>
      <c r="O3" s="348"/>
      <c r="P3" s="346"/>
      <c r="Q3" s="346"/>
      <c r="R3" s="349"/>
      <c r="S3" s="346"/>
      <c r="T3" s="346"/>
      <c r="U3" s="346"/>
      <c r="V3" s="346"/>
      <c r="W3" s="346"/>
      <c r="X3" s="350"/>
      <c r="Y3" s="350"/>
      <c r="Z3" s="351"/>
      <c r="AA3" s="352"/>
      <c r="AB3" s="353"/>
      <c r="AC3" s="353"/>
      <c r="AD3" s="346"/>
      <c r="AE3" s="346"/>
      <c r="AF3" s="352"/>
      <c r="AG3" s="352"/>
      <c r="AH3" s="352"/>
      <c r="AI3" s="352"/>
      <c r="AJ3" s="352"/>
      <c r="AK3" s="352"/>
      <c r="AL3" s="346"/>
      <c r="AM3" s="346"/>
      <c r="AN3" s="346"/>
      <c r="AO3" s="346"/>
      <c r="AP3" s="346"/>
      <c r="AQ3" s="346"/>
      <c r="AR3" s="346"/>
      <c r="AS3" s="346"/>
      <c r="AT3" s="346"/>
    </row>
    <row r="4" spans="1:46" ht="18">
      <c r="A4" s="354"/>
      <c r="B4" s="605" t="s">
        <v>31</v>
      </c>
      <c r="C4" s="606"/>
      <c r="D4" s="606"/>
      <c r="E4" s="606"/>
      <c r="F4" s="606"/>
      <c r="G4" s="606"/>
      <c r="H4" s="606"/>
      <c r="I4" s="605" t="s">
        <v>32</v>
      </c>
      <c r="J4" s="606"/>
      <c r="K4" s="606"/>
      <c r="L4" s="606"/>
      <c r="M4" s="606"/>
      <c r="N4" s="606"/>
      <c r="O4" s="606"/>
      <c r="P4" s="355"/>
      <c r="Q4" s="356" t="s">
        <v>33</v>
      </c>
      <c r="R4" s="357" t="s">
        <v>34</v>
      </c>
      <c r="S4" s="607" t="s">
        <v>35</v>
      </c>
      <c r="T4" s="608"/>
      <c r="U4" s="607" t="s">
        <v>36</v>
      </c>
      <c r="V4" s="608"/>
      <c r="W4" s="595" t="s">
        <v>37</v>
      </c>
      <c r="X4" s="596"/>
      <c r="Y4" s="358" t="s">
        <v>38</v>
      </c>
      <c r="Z4" s="359"/>
      <c r="AA4" s="360" t="s">
        <v>39</v>
      </c>
      <c r="AB4" s="595" t="s">
        <v>37</v>
      </c>
      <c r="AC4" s="596"/>
      <c r="AD4" s="361" t="s">
        <v>40</v>
      </c>
      <c r="AE4" s="361" t="s">
        <v>41</v>
      </c>
      <c r="AF4" s="597" t="s">
        <v>42</v>
      </c>
      <c r="AG4" s="598"/>
      <c r="AH4" s="596"/>
      <c r="AI4" s="362" t="s">
        <v>43</v>
      </c>
      <c r="AJ4" s="362" t="s">
        <v>44</v>
      </c>
      <c r="AK4" s="362" t="s">
        <v>45</v>
      </c>
      <c r="AL4" s="363"/>
      <c r="AM4" s="363"/>
      <c r="AN4" s="363"/>
      <c r="AO4" s="363"/>
      <c r="AP4" s="363"/>
      <c r="AQ4" s="363"/>
      <c r="AR4" s="363"/>
      <c r="AS4" s="363"/>
      <c r="AT4" s="363"/>
    </row>
    <row r="5" spans="1:46" ht="18">
      <c r="A5" s="364"/>
      <c r="B5" s="365"/>
      <c r="C5" s="366"/>
      <c r="D5" s="366"/>
      <c r="E5" s="366"/>
      <c r="F5" s="366"/>
      <c r="G5" s="366"/>
      <c r="H5" s="366"/>
      <c r="I5" s="365"/>
      <c r="J5" s="366"/>
      <c r="K5" s="366"/>
      <c r="L5" s="366"/>
      <c r="M5" s="366"/>
      <c r="N5" s="366"/>
      <c r="O5" s="366"/>
      <c r="P5" s="367" t="s">
        <v>46</v>
      </c>
      <c r="Q5" s="368" t="s">
        <v>47</v>
      </c>
      <c r="R5" s="369"/>
      <c r="S5" s="370" t="s">
        <v>48</v>
      </c>
      <c r="T5" s="371" t="s">
        <v>49</v>
      </c>
      <c r="U5" s="370" t="s">
        <v>48</v>
      </c>
      <c r="V5" s="371" t="s">
        <v>49</v>
      </c>
      <c r="W5" s="372" t="s">
        <v>50</v>
      </c>
      <c r="X5" s="373" t="s">
        <v>36</v>
      </c>
      <c r="Y5" s="374" t="s">
        <v>51</v>
      </c>
      <c r="Z5" s="375"/>
      <c r="AA5" s="376"/>
      <c r="AB5" s="377" t="s">
        <v>52</v>
      </c>
      <c r="AC5" s="378" t="s">
        <v>53</v>
      </c>
      <c r="AD5" s="379"/>
      <c r="AE5" s="379"/>
      <c r="AF5" s="380" t="s">
        <v>33</v>
      </c>
      <c r="AG5" s="381" t="s">
        <v>54</v>
      </c>
      <c r="AH5" s="381" t="s">
        <v>55</v>
      </c>
      <c r="AI5" s="379"/>
      <c r="AJ5" s="379"/>
      <c r="AK5" s="379"/>
      <c r="AL5" s="363"/>
      <c r="AM5" s="363"/>
      <c r="AN5" s="363"/>
      <c r="AO5" s="363"/>
      <c r="AP5" s="363"/>
      <c r="AQ5" s="363"/>
      <c r="AR5" s="363"/>
      <c r="AS5" s="363"/>
      <c r="AT5" s="363"/>
    </row>
    <row r="6" spans="1:46" ht="13.5" customHeight="1">
      <c r="A6" s="382"/>
      <c r="B6" s="383">
        <f t="shared" ref="B6:B260" ca="1" si="0">IF(AND(I6="",J6="",K6="",L6="",M6="",N6="",O6=""),"",IF(AL6=0,"",AL6))</f>
        <v>1</v>
      </c>
      <c r="C6" s="384" t="str">
        <f t="shared" ref="C6:C260" ca="1" si="1">IF(AND(I6="",J6="",K6="",L6="",M6="",N6="",O6=""),"",IF(AM6=0,"",AM6))</f>
        <v/>
      </c>
      <c r="D6" s="384" t="str">
        <f t="shared" ref="D6:D260" ca="1" si="2">IF(AND(I6="",J6="",K6="",L6="",M6="",N6="",O6=""),"",IF(AN6=0,"",AN6))</f>
        <v/>
      </c>
      <c r="E6" s="384" t="str">
        <f t="shared" ref="E6:E260" ca="1" si="3">IF(AND(I6="",J6="",K6="",L6="",M6="",N6="",O6=""),"",IF(AO6=0,"",AO6))</f>
        <v/>
      </c>
      <c r="F6" s="384" t="str">
        <f t="shared" ref="F6:F260" ca="1" si="4">IF(AND(I6="",J6="",K6="",L6="",M6="",N6="",O6=""),"",IF(AP6=0,"",AP6))</f>
        <v/>
      </c>
      <c r="G6" s="385" t="str">
        <f t="shared" ref="G6:G260" ca="1" si="5">IF(AND(I6="",J6="",K6="",L6="",M6="",N6="",O6=""),"",IF(AQ6=0,"",AQ6))</f>
        <v/>
      </c>
      <c r="H6" s="386" t="str">
        <f t="shared" ref="H6:H260" ca="1" si="6">IF(AND(I6="",J6="",K6="",L6="",M6="",N6="",O6=""),"",IF(AR6=0,"",AR6))</f>
        <v/>
      </c>
      <c r="I6" s="387" t="s">
        <v>270</v>
      </c>
      <c r="J6" s="388"/>
      <c r="K6" s="388"/>
      <c r="L6" s="388"/>
      <c r="M6" s="388"/>
      <c r="N6" s="388"/>
      <c r="O6" s="388"/>
      <c r="P6" s="388"/>
      <c r="Q6" s="389"/>
      <c r="R6" s="389"/>
      <c r="S6" s="390"/>
      <c r="T6" s="391"/>
      <c r="U6" s="390"/>
      <c r="V6" s="391"/>
      <c r="W6" s="392"/>
      <c r="X6" s="393"/>
      <c r="Y6" s="394"/>
      <c r="Z6" s="395"/>
      <c r="AA6" s="396"/>
      <c r="AB6" s="397"/>
      <c r="AC6" s="398"/>
      <c r="AD6" s="399"/>
      <c r="AE6" s="400"/>
      <c r="AF6" s="401"/>
      <c r="AG6" s="401">
        <f t="shared" ref="AG6:AG260" si="7">IF(T6&lt;&gt;"",IF(Z$1&gt;=T6,IF(S6&lt;&gt;"",IF(T6&gt;=S6,AF6,0),0),IF(S6&lt;&gt;"",IF(Z$1&gt;=S6,AF6*0.25,0),0)),IF(S6&lt;&gt;"",IF(Z$1&gt;=S6,AF6*0.25,0),0))</f>
        <v>0</v>
      </c>
      <c r="AH6" s="401">
        <f t="shared" ref="AH6:AH260" si="8">IF(T6&lt;&gt;"",IF(AA$1&gt;=T6,IF(S6&lt;&gt;"",IF(T6&gt;=S6,AF6,0),0),IF(S6&lt;&gt;"",IF(AA$1&gt;=S6,AF6*0.25,0),0)),IF(S6&lt;&gt;"",IF(AA$1&gt;=S6,AF6*0.25,0),0))</f>
        <v>0</v>
      </c>
      <c r="AI6" s="401">
        <f t="shared" ref="AI6:AI260" si="9">IF(V6&lt;&gt;"",AF6,IF(U6&lt;&gt;"",AF6*0.25,0))</f>
        <v>0</v>
      </c>
      <c r="AJ6" s="401">
        <f t="shared" ref="AJ6:AJ260" si="10">AI6-AG6</f>
        <v>0</v>
      </c>
      <c r="AK6" s="401" t="str">
        <f t="shared" ref="AK6:AK260" si="11">IF(ISERROR(AI6/AG6),"",AI6/AG6)</f>
        <v/>
      </c>
      <c r="AL6" s="402">
        <f t="shared" ref="AL6:AL260" ca="1" si="12">IF(I6="",OFFSET(AL6,-1,0),OFFSET(AL6,-1,0)+1)</f>
        <v>1</v>
      </c>
      <c r="AM6" s="402">
        <f t="shared" ref="AM6:AM260" ca="1" si="13">IF(I6&lt;&gt;"",0,IF(J6="",OFFSET(AM6,-1,0),OFFSET(AM6,-1,0)+1))</f>
        <v>0</v>
      </c>
      <c r="AN6" s="402">
        <f t="shared" ref="AN6:AN260" ca="1" si="14">IF(I6&lt;&gt;"",0,IF(J6&lt;&gt;"",0,IF(K6="",OFFSET(AN6,-1,0),OFFSET(AN6,-1,0)+1)))</f>
        <v>0</v>
      </c>
      <c r="AO6" s="402">
        <f t="shared" ref="AO6:AO260" ca="1" si="15">IF(I6&lt;&gt;"",0,IF(J6&lt;&gt;"",0,IF(K6&lt;&gt;"",0,IF(L6="",OFFSET(AO6,-1,0),OFFSET(AO6,-1,0)+1))))</f>
        <v>0</v>
      </c>
      <c r="AP6" s="402">
        <f t="shared" ref="AP6:AP260" ca="1" si="16">IF(I6&lt;&gt;"",0,IF(J6&lt;&gt;"",0,IF(K6&lt;&gt;"",0,IF(L6&lt;&gt;"",0,IF(M6="",OFFSET(AP6,-1,0),OFFSET(AP6,-1,0)+1)))))</f>
        <v>0</v>
      </c>
      <c r="AQ6" s="402">
        <f t="shared" ref="AQ6:AQ260" ca="1" si="17">IF(I6&lt;&gt;"",0,IF(J6&lt;&gt;"",0,IF(K6&lt;&gt;"",0,IF(L6&lt;&gt;"",0,IF(M6&lt;&gt;"",0,IF(N6="",OFFSET(AQ6,-1,0),OFFSET(AQ6,-1,0)+1))))))</f>
        <v>0</v>
      </c>
      <c r="AR6" s="402">
        <f t="shared" ref="AR6:AR260" ca="1" si="18">IF(I6&lt;&gt;"",0,IF(J6&lt;&gt;"",0,IF(K6&lt;&gt;"",0,IF(L6&lt;&gt;"",0,IF(M6&lt;&gt;"",0,IF(N6&lt;&gt;"",0,IF(O6="",OFFSET(AR6,-1,0),OFFSET(AR6,-1,0)+1)))))))</f>
        <v>0</v>
      </c>
      <c r="AS6" s="403"/>
      <c r="AT6" s="402">
        <f t="shared" ref="AT6:AT260" si="19">IF(((T6-S6)+1)&lt;0,0,((T6-S6)+1))</f>
        <v>1</v>
      </c>
    </row>
    <row r="7" spans="1:46" ht="15.75" customHeight="1">
      <c r="A7" s="382"/>
      <c r="B7" s="383">
        <f t="shared" ca="1" si="0"/>
        <v>1</v>
      </c>
      <c r="C7" s="384">
        <f t="shared" ca="1" si="1"/>
        <v>1</v>
      </c>
      <c r="D7" s="384" t="str">
        <f t="shared" ca="1" si="2"/>
        <v/>
      </c>
      <c r="E7" s="384" t="str">
        <f t="shared" ca="1" si="3"/>
        <v/>
      </c>
      <c r="F7" s="384" t="str">
        <f t="shared" ca="1" si="4"/>
        <v/>
      </c>
      <c r="G7" s="385" t="str">
        <f t="shared" ca="1" si="5"/>
        <v/>
      </c>
      <c r="H7" s="386" t="str">
        <f t="shared" ca="1" si="6"/>
        <v/>
      </c>
      <c r="I7" s="404"/>
      <c r="J7" s="405" t="s">
        <v>378</v>
      </c>
      <c r="K7" s="405"/>
      <c r="L7" s="405"/>
      <c r="M7" s="405"/>
      <c r="N7" s="405"/>
      <c r="O7" s="405"/>
      <c r="P7" s="405"/>
      <c r="Q7" s="406"/>
      <c r="R7" s="407"/>
      <c r="S7" s="408"/>
      <c r="T7" s="409"/>
      <c r="U7" s="410"/>
      <c r="V7" s="409"/>
      <c r="W7" s="411"/>
      <c r="X7" s="412"/>
      <c r="Y7" s="413"/>
      <c r="Z7" s="414"/>
      <c r="AA7" s="396"/>
      <c r="AB7" s="397"/>
      <c r="AC7" s="398"/>
      <c r="AD7" s="399"/>
      <c r="AE7" s="400"/>
      <c r="AF7" s="401"/>
      <c r="AG7" s="401">
        <f t="shared" si="7"/>
        <v>0</v>
      </c>
      <c r="AH7" s="401">
        <f t="shared" si="8"/>
        <v>0</v>
      </c>
      <c r="AI7" s="401">
        <f t="shared" si="9"/>
        <v>0</v>
      </c>
      <c r="AJ7" s="401">
        <f t="shared" si="10"/>
        <v>0</v>
      </c>
      <c r="AK7" s="401" t="str">
        <f t="shared" si="11"/>
        <v/>
      </c>
      <c r="AL7" s="402">
        <f t="shared" ca="1" si="12"/>
        <v>1</v>
      </c>
      <c r="AM7" s="402">
        <f t="shared" ca="1" si="13"/>
        <v>1</v>
      </c>
      <c r="AN7" s="402">
        <f t="shared" ca="1" si="14"/>
        <v>0</v>
      </c>
      <c r="AO7" s="402">
        <f t="shared" ca="1" si="15"/>
        <v>0</v>
      </c>
      <c r="AP7" s="402">
        <f t="shared" ca="1" si="16"/>
        <v>0</v>
      </c>
      <c r="AQ7" s="402">
        <f t="shared" ca="1" si="17"/>
        <v>0</v>
      </c>
      <c r="AR7" s="402">
        <f t="shared" ca="1" si="18"/>
        <v>0</v>
      </c>
      <c r="AS7" s="403"/>
      <c r="AT7" s="402">
        <f t="shared" si="19"/>
        <v>1</v>
      </c>
    </row>
    <row r="8" spans="1:46" ht="15.75" customHeight="1">
      <c r="A8" s="382"/>
      <c r="B8" s="383">
        <f t="shared" ca="1" si="0"/>
        <v>1</v>
      </c>
      <c r="C8" s="384">
        <f t="shared" ca="1" si="1"/>
        <v>1</v>
      </c>
      <c r="D8" s="384">
        <f t="shared" ca="1" si="2"/>
        <v>1</v>
      </c>
      <c r="E8" s="384" t="str">
        <f t="shared" ca="1" si="3"/>
        <v/>
      </c>
      <c r="F8" s="384" t="str">
        <f t="shared" ca="1" si="4"/>
        <v/>
      </c>
      <c r="G8" s="385" t="str">
        <f t="shared" ca="1" si="5"/>
        <v/>
      </c>
      <c r="H8" s="386" t="str">
        <f t="shared" ca="1" si="6"/>
        <v/>
      </c>
      <c r="I8" s="404"/>
      <c r="J8" s="415"/>
      <c r="K8" s="415" t="s">
        <v>271</v>
      </c>
      <c r="L8" s="415"/>
      <c r="M8" s="415"/>
      <c r="N8" s="415"/>
      <c r="O8" s="415"/>
      <c r="P8" s="415"/>
      <c r="Q8" s="416"/>
      <c r="R8" s="417" t="s">
        <v>272</v>
      </c>
      <c r="S8" s="418">
        <v>45796</v>
      </c>
      <c r="T8" s="419">
        <v>45810</v>
      </c>
      <c r="U8" s="418">
        <v>45796</v>
      </c>
      <c r="V8" s="419">
        <v>45810</v>
      </c>
      <c r="W8" s="420">
        <v>1</v>
      </c>
      <c r="X8" s="421">
        <v>1</v>
      </c>
      <c r="Y8" s="422"/>
      <c r="Z8" s="423"/>
      <c r="AA8" s="396"/>
      <c r="AB8" s="397"/>
      <c r="AC8" s="398"/>
      <c r="AD8" s="399"/>
      <c r="AE8" s="400"/>
      <c r="AF8" s="401"/>
      <c r="AG8" s="401">
        <f t="shared" ca="1" si="7"/>
        <v>0</v>
      </c>
      <c r="AH8" s="401">
        <f t="shared" ca="1" si="8"/>
        <v>0</v>
      </c>
      <c r="AI8" s="401">
        <f t="shared" si="9"/>
        <v>0</v>
      </c>
      <c r="AJ8" s="401">
        <f t="shared" ca="1" si="10"/>
        <v>0</v>
      </c>
      <c r="AK8" s="401" t="str">
        <f t="shared" ca="1" si="11"/>
        <v/>
      </c>
      <c r="AL8" s="402">
        <f t="shared" ca="1" si="12"/>
        <v>1</v>
      </c>
      <c r="AM8" s="402">
        <f t="shared" ca="1" si="13"/>
        <v>1</v>
      </c>
      <c r="AN8" s="402">
        <f t="shared" ca="1" si="14"/>
        <v>1</v>
      </c>
      <c r="AO8" s="402">
        <f t="shared" ca="1" si="15"/>
        <v>0</v>
      </c>
      <c r="AP8" s="402">
        <f t="shared" ca="1" si="16"/>
        <v>0</v>
      </c>
      <c r="AQ8" s="402">
        <f t="shared" ca="1" si="17"/>
        <v>0</v>
      </c>
      <c r="AR8" s="402">
        <f t="shared" ca="1" si="18"/>
        <v>0</v>
      </c>
      <c r="AS8" s="403"/>
      <c r="AT8" s="402">
        <f t="shared" si="19"/>
        <v>15</v>
      </c>
    </row>
    <row r="9" spans="1:46" ht="15.75" customHeight="1">
      <c r="A9" s="382"/>
      <c r="B9" s="383">
        <f t="shared" ca="1" si="0"/>
        <v>1</v>
      </c>
      <c r="C9" s="384">
        <f t="shared" ca="1" si="1"/>
        <v>1</v>
      </c>
      <c r="D9" s="384">
        <f t="shared" ca="1" si="2"/>
        <v>2</v>
      </c>
      <c r="E9" s="384" t="str">
        <f t="shared" ca="1" si="3"/>
        <v/>
      </c>
      <c r="F9" s="384" t="str">
        <f t="shared" ca="1" si="4"/>
        <v/>
      </c>
      <c r="G9" s="385" t="str">
        <f t="shared" ca="1" si="5"/>
        <v/>
      </c>
      <c r="H9" s="386" t="str">
        <f t="shared" ca="1" si="6"/>
        <v/>
      </c>
      <c r="I9" s="404"/>
      <c r="J9" s="415"/>
      <c r="K9" s="415" t="s">
        <v>273</v>
      </c>
      <c r="L9" s="415"/>
      <c r="M9" s="415"/>
      <c r="N9" s="415"/>
      <c r="O9" s="415"/>
      <c r="P9" s="415"/>
      <c r="Q9" s="416"/>
      <c r="R9" s="417" t="s">
        <v>272</v>
      </c>
      <c r="S9" s="418">
        <v>45796</v>
      </c>
      <c r="T9" s="419">
        <v>45810</v>
      </c>
      <c r="U9" s="418">
        <v>45796</v>
      </c>
      <c r="V9" s="419">
        <v>45810</v>
      </c>
      <c r="W9" s="420">
        <v>1</v>
      </c>
      <c r="X9" s="421">
        <v>1</v>
      </c>
      <c r="Y9" s="422"/>
      <c r="Z9" s="423"/>
      <c r="AA9" s="396"/>
      <c r="AB9" s="397"/>
      <c r="AC9" s="398"/>
      <c r="AD9" s="399"/>
      <c r="AE9" s="400"/>
      <c r="AF9" s="401"/>
      <c r="AG9" s="401">
        <f t="shared" ca="1" si="7"/>
        <v>0</v>
      </c>
      <c r="AH9" s="401">
        <f t="shared" ca="1" si="8"/>
        <v>0</v>
      </c>
      <c r="AI9" s="401">
        <f t="shared" si="9"/>
        <v>0</v>
      </c>
      <c r="AJ9" s="401">
        <f t="shared" ca="1" si="10"/>
        <v>0</v>
      </c>
      <c r="AK9" s="401" t="str">
        <f t="shared" ca="1" si="11"/>
        <v/>
      </c>
      <c r="AL9" s="402">
        <f t="shared" ca="1" si="12"/>
        <v>1</v>
      </c>
      <c r="AM9" s="402">
        <f t="shared" ca="1" si="13"/>
        <v>1</v>
      </c>
      <c r="AN9" s="402">
        <f t="shared" ca="1" si="14"/>
        <v>2</v>
      </c>
      <c r="AO9" s="402">
        <f t="shared" ca="1" si="15"/>
        <v>0</v>
      </c>
      <c r="AP9" s="402">
        <f t="shared" ca="1" si="16"/>
        <v>0</v>
      </c>
      <c r="AQ9" s="402">
        <f t="shared" ca="1" si="17"/>
        <v>0</v>
      </c>
      <c r="AR9" s="402">
        <f t="shared" ca="1" si="18"/>
        <v>0</v>
      </c>
      <c r="AS9" s="403"/>
      <c r="AT9" s="402">
        <f t="shared" si="19"/>
        <v>15</v>
      </c>
    </row>
    <row r="10" spans="1:46" ht="18">
      <c r="A10" s="382"/>
      <c r="B10" s="383" t="str">
        <f t="shared" si="0"/>
        <v/>
      </c>
      <c r="C10" s="384" t="str">
        <f t="shared" si="1"/>
        <v/>
      </c>
      <c r="D10" s="384" t="str">
        <f t="shared" si="2"/>
        <v/>
      </c>
      <c r="E10" s="384" t="str">
        <f t="shared" si="3"/>
        <v/>
      </c>
      <c r="F10" s="384" t="str">
        <f t="shared" si="4"/>
        <v/>
      </c>
      <c r="G10" s="385" t="str">
        <f t="shared" si="5"/>
        <v/>
      </c>
      <c r="H10" s="386" t="str">
        <f t="shared" si="6"/>
        <v/>
      </c>
      <c r="I10" s="404"/>
      <c r="J10" s="415"/>
      <c r="K10" s="415"/>
      <c r="L10" s="415"/>
      <c r="M10" s="415"/>
      <c r="N10" s="415"/>
      <c r="O10" s="415"/>
      <c r="P10" s="415"/>
      <c r="Q10" s="416"/>
      <c r="R10" s="424"/>
      <c r="S10" s="418"/>
      <c r="T10" s="419"/>
      <c r="U10" s="425"/>
      <c r="V10" s="426"/>
      <c r="W10" s="420"/>
      <c r="X10" s="421"/>
      <c r="Y10" s="422"/>
      <c r="Z10" s="423"/>
      <c r="AA10" s="396"/>
      <c r="AB10" s="397"/>
      <c r="AC10" s="398"/>
      <c r="AD10" s="399"/>
      <c r="AE10" s="400"/>
      <c r="AF10" s="401"/>
      <c r="AG10" s="401">
        <f t="shared" si="7"/>
        <v>0</v>
      </c>
      <c r="AH10" s="401">
        <f t="shared" si="8"/>
        <v>0</v>
      </c>
      <c r="AI10" s="401">
        <f t="shared" si="9"/>
        <v>0</v>
      </c>
      <c r="AJ10" s="401">
        <f t="shared" si="10"/>
        <v>0</v>
      </c>
      <c r="AK10" s="401" t="str">
        <f t="shared" si="11"/>
        <v/>
      </c>
      <c r="AL10" s="402">
        <f t="shared" ca="1" si="12"/>
        <v>1</v>
      </c>
      <c r="AM10" s="402">
        <f t="shared" ca="1" si="13"/>
        <v>1</v>
      </c>
      <c r="AN10" s="402">
        <f t="shared" ca="1" si="14"/>
        <v>2</v>
      </c>
      <c r="AO10" s="402">
        <f t="shared" ca="1" si="15"/>
        <v>0</v>
      </c>
      <c r="AP10" s="402">
        <f t="shared" ca="1" si="16"/>
        <v>0</v>
      </c>
      <c r="AQ10" s="402">
        <f t="shared" ca="1" si="17"/>
        <v>0</v>
      </c>
      <c r="AR10" s="402">
        <f t="shared" ca="1" si="18"/>
        <v>0</v>
      </c>
      <c r="AS10" s="403"/>
      <c r="AT10" s="402">
        <f t="shared" si="19"/>
        <v>1</v>
      </c>
    </row>
    <row r="11" spans="1:46" ht="15.75" customHeight="1">
      <c r="A11" s="382"/>
      <c r="B11" s="383">
        <f t="shared" ca="1" si="0"/>
        <v>2</v>
      </c>
      <c r="C11" s="384" t="str">
        <f t="shared" ca="1" si="1"/>
        <v/>
      </c>
      <c r="D11" s="384" t="str">
        <f t="shared" ca="1" si="2"/>
        <v/>
      </c>
      <c r="E11" s="384" t="str">
        <f t="shared" ca="1" si="3"/>
        <v/>
      </c>
      <c r="F11" s="384" t="str">
        <f t="shared" ca="1" si="4"/>
        <v/>
      </c>
      <c r="G11" s="385" t="str">
        <f t="shared" ca="1" si="5"/>
        <v/>
      </c>
      <c r="H11" s="386" t="str">
        <f t="shared" ca="1" si="6"/>
        <v/>
      </c>
      <c r="I11" s="387" t="s">
        <v>274</v>
      </c>
      <c r="J11" s="388"/>
      <c r="K11" s="388"/>
      <c r="L11" s="388"/>
      <c r="M11" s="388"/>
      <c r="N11" s="388"/>
      <c r="O11" s="388"/>
      <c r="P11" s="388"/>
      <c r="Q11" s="427"/>
      <c r="R11" s="389"/>
      <c r="S11" s="390"/>
      <c r="T11" s="391"/>
      <c r="U11" s="390"/>
      <c r="V11" s="391"/>
      <c r="W11" s="392"/>
      <c r="X11" s="393"/>
      <c r="Y11" s="394"/>
      <c r="Z11" s="395"/>
      <c r="AA11" s="396"/>
      <c r="AB11" s="397"/>
      <c r="AC11" s="398"/>
      <c r="AD11" s="399"/>
      <c r="AE11" s="400"/>
      <c r="AF11" s="401"/>
      <c r="AG11" s="401">
        <f t="shared" si="7"/>
        <v>0</v>
      </c>
      <c r="AH11" s="401">
        <f t="shared" si="8"/>
        <v>0</v>
      </c>
      <c r="AI11" s="401">
        <f t="shared" si="9"/>
        <v>0</v>
      </c>
      <c r="AJ11" s="401">
        <f t="shared" si="10"/>
        <v>0</v>
      </c>
      <c r="AK11" s="401" t="str">
        <f t="shared" si="11"/>
        <v/>
      </c>
      <c r="AL11" s="402">
        <f t="shared" ca="1" si="12"/>
        <v>2</v>
      </c>
      <c r="AM11" s="402">
        <f t="shared" ca="1" si="13"/>
        <v>0</v>
      </c>
      <c r="AN11" s="402">
        <f t="shared" ca="1" si="14"/>
        <v>0</v>
      </c>
      <c r="AO11" s="402">
        <f t="shared" ca="1" si="15"/>
        <v>0</v>
      </c>
      <c r="AP11" s="402">
        <f t="shared" ca="1" si="16"/>
        <v>0</v>
      </c>
      <c r="AQ11" s="402">
        <f t="shared" ca="1" si="17"/>
        <v>0</v>
      </c>
      <c r="AR11" s="402">
        <f t="shared" ca="1" si="18"/>
        <v>0</v>
      </c>
      <c r="AS11" s="403"/>
      <c r="AT11" s="402">
        <f t="shared" si="19"/>
        <v>1</v>
      </c>
    </row>
    <row r="12" spans="1:46" ht="15.75" customHeight="1">
      <c r="A12" s="382"/>
      <c r="B12" s="383">
        <f t="shared" ca="1" si="0"/>
        <v>2</v>
      </c>
      <c r="C12" s="384">
        <f t="shared" ca="1" si="1"/>
        <v>1</v>
      </c>
      <c r="D12" s="384" t="str">
        <f t="shared" ca="1" si="2"/>
        <v/>
      </c>
      <c r="E12" s="384" t="str">
        <f t="shared" ca="1" si="3"/>
        <v/>
      </c>
      <c r="F12" s="384" t="str">
        <f t="shared" ca="1" si="4"/>
        <v/>
      </c>
      <c r="G12" s="385" t="str">
        <f t="shared" ca="1" si="5"/>
        <v/>
      </c>
      <c r="H12" s="386" t="str">
        <f t="shared" ca="1" si="6"/>
        <v/>
      </c>
      <c r="I12" s="404"/>
      <c r="J12" s="405" t="s">
        <v>274</v>
      </c>
      <c r="K12" s="405"/>
      <c r="L12" s="405"/>
      <c r="M12" s="405"/>
      <c r="N12" s="405"/>
      <c r="O12" s="405"/>
      <c r="P12" s="405"/>
      <c r="Q12" s="406"/>
      <c r="R12" s="407"/>
      <c r="S12" s="408"/>
      <c r="T12" s="409"/>
      <c r="U12" s="410"/>
      <c r="V12" s="409"/>
      <c r="W12" s="411"/>
      <c r="X12" s="412"/>
      <c r="Y12" s="413"/>
      <c r="Z12" s="414"/>
      <c r="AA12" s="396"/>
      <c r="AB12" s="397"/>
      <c r="AC12" s="398"/>
      <c r="AD12" s="399"/>
      <c r="AE12" s="400"/>
      <c r="AF12" s="401"/>
      <c r="AG12" s="401">
        <f t="shared" si="7"/>
        <v>0</v>
      </c>
      <c r="AH12" s="401">
        <f t="shared" si="8"/>
        <v>0</v>
      </c>
      <c r="AI12" s="401">
        <f t="shared" si="9"/>
        <v>0</v>
      </c>
      <c r="AJ12" s="401">
        <f t="shared" si="10"/>
        <v>0</v>
      </c>
      <c r="AK12" s="401" t="str">
        <f t="shared" si="11"/>
        <v/>
      </c>
      <c r="AL12" s="402">
        <f t="shared" ca="1" si="12"/>
        <v>2</v>
      </c>
      <c r="AM12" s="402">
        <f t="shared" ca="1" si="13"/>
        <v>1</v>
      </c>
      <c r="AN12" s="402">
        <f t="shared" ca="1" si="14"/>
        <v>0</v>
      </c>
      <c r="AO12" s="402">
        <f t="shared" ca="1" si="15"/>
        <v>0</v>
      </c>
      <c r="AP12" s="402">
        <f t="shared" ca="1" si="16"/>
        <v>0</v>
      </c>
      <c r="AQ12" s="402">
        <f t="shared" ca="1" si="17"/>
        <v>0</v>
      </c>
      <c r="AR12" s="402">
        <f t="shared" ca="1" si="18"/>
        <v>0</v>
      </c>
      <c r="AS12" s="403"/>
      <c r="AT12" s="402">
        <f t="shared" si="19"/>
        <v>1</v>
      </c>
    </row>
    <row r="13" spans="1:46" ht="15.75" customHeight="1">
      <c r="A13" s="382"/>
      <c r="B13" s="383">
        <f t="shared" ca="1" si="0"/>
        <v>2</v>
      </c>
      <c r="C13" s="384">
        <f t="shared" ca="1" si="1"/>
        <v>1</v>
      </c>
      <c r="D13" s="384">
        <f t="shared" ca="1" si="2"/>
        <v>1</v>
      </c>
      <c r="E13" s="384" t="str">
        <f t="shared" ca="1" si="3"/>
        <v/>
      </c>
      <c r="F13" s="384" t="str">
        <f t="shared" ca="1" si="4"/>
        <v/>
      </c>
      <c r="G13" s="385" t="str">
        <f t="shared" ca="1" si="5"/>
        <v/>
      </c>
      <c r="H13" s="386" t="str">
        <f t="shared" ca="1" si="6"/>
        <v/>
      </c>
      <c r="I13" s="404"/>
      <c r="J13" s="415"/>
      <c r="K13" s="428" t="s">
        <v>275</v>
      </c>
      <c r="L13" s="428"/>
      <c r="M13" s="428"/>
      <c r="N13" s="428"/>
      <c r="O13" s="428"/>
      <c r="P13" s="428"/>
      <c r="Q13" s="429"/>
      <c r="R13" s="417" t="s">
        <v>276</v>
      </c>
      <c r="S13" s="418">
        <v>45811</v>
      </c>
      <c r="T13" s="419">
        <v>45811</v>
      </c>
      <c r="U13" s="418">
        <v>45811</v>
      </c>
      <c r="V13" s="419">
        <v>45811</v>
      </c>
      <c r="W13" s="430">
        <v>1</v>
      </c>
      <c r="X13" s="431">
        <v>1</v>
      </c>
      <c r="Y13" s="432"/>
      <c r="Z13" s="433"/>
      <c r="AA13" s="396"/>
      <c r="AB13" s="397"/>
      <c r="AC13" s="398"/>
      <c r="AD13" s="399"/>
      <c r="AE13" s="400"/>
      <c r="AF13" s="401"/>
      <c r="AG13" s="401">
        <f t="shared" ca="1" si="7"/>
        <v>0</v>
      </c>
      <c r="AH13" s="401">
        <f t="shared" ca="1" si="8"/>
        <v>0</v>
      </c>
      <c r="AI13" s="401">
        <f t="shared" si="9"/>
        <v>0</v>
      </c>
      <c r="AJ13" s="401">
        <f t="shared" ca="1" si="10"/>
        <v>0</v>
      </c>
      <c r="AK13" s="401" t="str">
        <f t="shared" ca="1" si="11"/>
        <v/>
      </c>
      <c r="AL13" s="402">
        <f t="shared" ca="1" si="12"/>
        <v>2</v>
      </c>
      <c r="AM13" s="402">
        <f t="shared" ca="1" si="13"/>
        <v>1</v>
      </c>
      <c r="AN13" s="402">
        <f t="shared" ca="1" si="14"/>
        <v>1</v>
      </c>
      <c r="AO13" s="402">
        <f t="shared" ca="1" si="15"/>
        <v>0</v>
      </c>
      <c r="AP13" s="402">
        <f t="shared" ca="1" si="16"/>
        <v>0</v>
      </c>
      <c r="AQ13" s="402">
        <f t="shared" ca="1" si="17"/>
        <v>0</v>
      </c>
      <c r="AR13" s="402">
        <f t="shared" ca="1" si="18"/>
        <v>0</v>
      </c>
      <c r="AS13" s="403"/>
      <c r="AT13" s="402">
        <f t="shared" si="19"/>
        <v>1</v>
      </c>
    </row>
    <row r="14" spans="1:46" ht="15.75" customHeight="1">
      <c r="A14" s="382"/>
      <c r="B14" s="383">
        <f t="shared" ca="1" si="0"/>
        <v>2</v>
      </c>
      <c r="C14" s="384">
        <f t="shared" ca="1" si="1"/>
        <v>1</v>
      </c>
      <c r="D14" s="384">
        <f t="shared" ca="1" si="2"/>
        <v>2</v>
      </c>
      <c r="E14" s="384" t="str">
        <f t="shared" ca="1" si="3"/>
        <v/>
      </c>
      <c r="F14" s="384" t="str">
        <f t="shared" ca="1" si="4"/>
        <v/>
      </c>
      <c r="G14" s="385" t="str">
        <f t="shared" ca="1" si="5"/>
        <v/>
      </c>
      <c r="H14" s="386" t="str">
        <f t="shared" ca="1" si="6"/>
        <v/>
      </c>
      <c r="I14" s="404"/>
      <c r="J14" s="415"/>
      <c r="K14" s="428" t="s">
        <v>277</v>
      </c>
      <c r="L14" s="428"/>
      <c r="M14" s="428"/>
      <c r="N14" s="428"/>
      <c r="O14" s="428"/>
      <c r="P14" s="428"/>
      <c r="Q14" s="429"/>
      <c r="R14" s="417" t="s">
        <v>276</v>
      </c>
      <c r="S14" s="418">
        <v>45811</v>
      </c>
      <c r="T14" s="419">
        <v>45811</v>
      </c>
      <c r="U14" s="418">
        <v>45811</v>
      </c>
      <c r="V14" s="419">
        <v>45811</v>
      </c>
      <c r="W14" s="430">
        <v>1</v>
      </c>
      <c r="X14" s="431">
        <v>1</v>
      </c>
      <c r="Y14" s="432"/>
      <c r="Z14" s="433"/>
      <c r="AA14" s="396"/>
      <c r="AB14" s="397"/>
      <c r="AC14" s="398"/>
      <c r="AD14" s="399"/>
      <c r="AE14" s="400"/>
      <c r="AF14" s="401"/>
      <c r="AG14" s="401">
        <f t="shared" ca="1" si="7"/>
        <v>0</v>
      </c>
      <c r="AH14" s="401">
        <f t="shared" ca="1" si="8"/>
        <v>0</v>
      </c>
      <c r="AI14" s="401">
        <f t="shared" si="9"/>
        <v>0</v>
      </c>
      <c r="AJ14" s="401">
        <f t="shared" ca="1" si="10"/>
        <v>0</v>
      </c>
      <c r="AK14" s="401" t="str">
        <f t="shared" ca="1" si="11"/>
        <v/>
      </c>
      <c r="AL14" s="402">
        <f t="shared" ca="1" si="12"/>
        <v>2</v>
      </c>
      <c r="AM14" s="402">
        <f t="shared" ca="1" si="13"/>
        <v>1</v>
      </c>
      <c r="AN14" s="402">
        <f t="shared" ca="1" si="14"/>
        <v>2</v>
      </c>
      <c r="AO14" s="402">
        <f t="shared" ca="1" si="15"/>
        <v>0</v>
      </c>
      <c r="AP14" s="402">
        <f t="shared" ca="1" si="16"/>
        <v>0</v>
      </c>
      <c r="AQ14" s="402">
        <f t="shared" ca="1" si="17"/>
        <v>0</v>
      </c>
      <c r="AR14" s="402">
        <f t="shared" ca="1" si="18"/>
        <v>0</v>
      </c>
      <c r="AS14" s="403"/>
      <c r="AT14" s="402">
        <f t="shared" si="19"/>
        <v>1</v>
      </c>
    </row>
    <row r="15" spans="1:46" ht="18">
      <c r="A15" s="382"/>
      <c r="B15" s="383" t="str">
        <f t="shared" si="0"/>
        <v/>
      </c>
      <c r="C15" s="384" t="str">
        <f t="shared" si="1"/>
        <v/>
      </c>
      <c r="D15" s="384" t="str">
        <f t="shared" si="2"/>
        <v/>
      </c>
      <c r="E15" s="384" t="str">
        <f t="shared" si="3"/>
        <v/>
      </c>
      <c r="F15" s="384" t="str">
        <f t="shared" si="4"/>
        <v/>
      </c>
      <c r="G15" s="385" t="str">
        <f t="shared" si="5"/>
        <v/>
      </c>
      <c r="H15" s="386" t="str">
        <f t="shared" si="6"/>
        <v/>
      </c>
      <c r="I15" s="404"/>
      <c r="J15" s="415"/>
      <c r="K15" s="415"/>
      <c r="L15" s="415"/>
      <c r="M15" s="415"/>
      <c r="N15" s="415"/>
      <c r="O15" s="415"/>
      <c r="P15" s="415"/>
      <c r="Q15" s="416"/>
      <c r="R15" s="424"/>
      <c r="S15" s="418"/>
      <c r="T15" s="419"/>
      <c r="U15" s="425"/>
      <c r="V15" s="426"/>
      <c r="W15" s="420"/>
      <c r="X15" s="421"/>
      <c r="Y15" s="422"/>
      <c r="Z15" s="423"/>
      <c r="AA15" s="396"/>
      <c r="AB15" s="397"/>
      <c r="AC15" s="398"/>
      <c r="AD15" s="399"/>
      <c r="AE15" s="400"/>
      <c r="AF15" s="401"/>
      <c r="AG15" s="401">
        <f t="shared" si="7"/>
        <v>0</v>
      </c>
      <c r="AH15" s="401">
        <f t="shared" si="8"/>
        <v>0</v>
      </c>
      <c r="AI15" s="401">
        <f t="shared" si="9"/>
        <v>0</v>
      </c>
      <c r="AJ15" s="401">
        <f t="shared" si="10"/>
        <v>0</v>
      </c>
      <c r="AK15" s="401" t="str">
        <f t="shared" si="11"/>
        <v/>
      </c>
      <c r="AL15" s="402">
        <f t="shared" ca="1" si="12"/>
        <v>2</v>
      </c>
      <c r="AM15" s="402">
        <f t="shared" ca="1" si="13"/>
        <v>1</v>
      </c>
      <c r="AN15" s="402">
        <f t="shared" ca="1" si="14"/>
        <v>2</v>
      </c>
      <c r="AO15" s="402">
        <f t="shared" ca="1" si="15"/>
        <v>0</v>
      </c>
      <c r="AP15" s="402">
        <f t="shared" ca="1" si="16"/>
        <v>0</v>
      </c>
      <c r="AQ15" s="402">
        <f t="shared" ca="1" si="17"/>
        <v>0</v>
      </c>
      <c r="AR15" s="402">
        <f t="shared" ca="1" si="18"/>
        <v>0</v>
      </c>
      <c r="AS15" s="403"/>
      <c r="AT15" s="402">
        <f t="shared" si="19"/>
        <v>1</v>
      </c>
    </row>
    <row r="16" spans="1:46" ht="18">
      <c r="A16" s="382"/>
      <c r="B16" s="383">
        <f t="shared" ca="1" si="0"/>
        <v>3</v>
      </c>
      <c r="C16" s="384" t="str">
        <f t="shared" ca="1" si="1"/>
        <v/>
      </c>
      <c r="D16" s="384" t="str">
        <f t="shared" ca="1" si="2"/>
        <v/>
      </c>
      <c r="E16" s="384" t="str">
        <f t="shared" ca="1" si="3"/>
        <v/>
      </c>
      <c r="F16" s="384" t="str">
        <f t="shared" ca="1" si="4"/>
        <v/>
      </c>
      <c r="G16" s="385" t="str">
        <f t="shared" ca="1" si="5"/>
        <v/>
      </c>
      <c r="H16" s="386" t="str">
        <f t="shared" ca="1" si="6"/>
        <v/>
      </c>
      <c r="I16" s="387" t="s">
        <v>278</v>
      </c>
      <c r="J16" s="388"/>
      <c r="K16" s="388"/>
      <c r="L16" s="388"/>
      <c r="M16" s="388"/>
      <c r="N16" s="388"/>
      <c r="O16" s="388"/>
      <c r="P16" s="388"/>
      <c r="Q16" s="427"/>
      <c r="R16" s="389"/>
      <c r="S16" s="390"/>
      <c r="T16" s="391"/>
      <c r="U16" s="390"/>
      <c r="V16" s="391"/>
      <c r="W16" s="392"/>
      <c r="X16" s="393"/>
      <c r="Y16" s="394"/>
      <c r="Z16" s="395"/>
      <c r="AA16" s="396"/>
      <c r="AB16" s="397"/>
      <c r="AC16" s="398"/>
      <c r="AD16" s="399"/>
      <c r="AE16" s="400"/>
      <c r="AF16" s="401"/>
      <c r="AG16" s="401">
        <f t="shared" si="7"/>
        <v>0</v>
      </c>
      <c r="AH16" s="401">
        <f t="shared" si="8"/>
        <v>0</v>
      </c>
      <c r="AI16" s="401">
        <f t="shared" si="9"/>
        <v>0</v>
      </c>
      <c r="AJ16" s="401">
        <f t="shared" si="10"/>
        <v>0</v>
      </c>
      <c r="AK16" s="401" t="str">
        <f t="shared" si="11"/>
        <v/>
      </c>
      <c r="AL16" s="402">
        <f t="shared" ca="1" si="12"/>
        <v>3</v>
      </c>
      <c r="AM16" s="402">
        <f t="shared" ca="1" si="13"/>
        <v>0</v>
      </c>
      <c r="AN16" s="402">
        <f t="shared" ca="1" si="14"/>
        <v>0</v>
      </c>
      <c r="AO16" s="402">
        <f t="shared" ca="1" si="15"/>
        <v>0</v>
      </c>
      <c r="AP16" s="402">
        <f t="shared" ca="1" si="16"/>
        <v>0</v>
      </c>
      <c r="AQ16" s="402">
        <f t="shared" ca="1" si="17"/>
        <v>0</v>
      </c>
      <c r="AR16" s="402">
        <f t="shared" ca="1" si="18"/>
        <v>0</v>
      </c>
      <c r="AS16" s="403"/>
      <c r="AT16" s="402">
        <f t="shared" si="19"/>
        <v>1</v>
      </c>
    </row>
    <row r="17" spans="1:46" ht="18">
      <c r="A17" s="382"/>
      <c r="B17" s="383">
        <f t="shared" ca="1" si="0"/>
        <v>3</v>
      </c>
      <c r="C17" s="384">
        <f t="shared" ca="1" si="1"/>
        <v>1</v>
      </c>
      <c r="D17" s="384" t="str">
        <f t="shared" ca="1" si="2"/>
        <v/>
      </c>
      <c r="E17" s="384" t="str">
        <f t="shared" ca="1" si="3"/>
        <v/>
      </c>
      <c r="F17" s="384" t="str">
        <f t="shared" ca="1" si="4"/>
        <v/>
      </c>
      <c r="G17" s="385" t="str">
        <f t="shared" ca="1" si="5"/>
        <v/>
      </c>
      <c r="H17" s="386" t="str">
        <f t="shared" ca="1" si="6"/>
        <v/>
      </c>
      <c r="I17" s="404"/>
      <c r="J17" s="405" t="s">
        <v>291</v>
      </c>
      <c r="K17" s="405"/>
      <c r="L17" s="405"/>
      <c r="M17" s="405"/>
      <c r="N17" s="405"/>
      <c r="O17" s="405"/>
      <c r="P17" s="405"/>
      <c r="Q17" s="406" t="s">
        <v>279</v>
      </c>
      <c r="R17" s="407"/>
      <c r="S17" s="408"/>
      <c r="T17" s="409"/>
      <c r="U17" s="410"/>
      <c r="V17" s="409"/>
      <c r="W17" s="411"/>
      <c r="X17" s="412"/>
      <c r="Y17" s="413"/>
      <c r="Z17" s="414"/>
      <c r="AA17" s="396"/>
      <c r="AB17" s="397"/>
      <c r="AC17" s="398"/>
      <c r="AD17" s="399"/>
      <c r="AE17" s="400"/>
      <c r="AF17" s="401"/>
      <c r="AG17" s="401">
        <f t="shared" si="7"/>
        <v>0</v>
      </c>
      <c r="AH17" s="401">
        <f t="shared" si="8"/>
        <v>0</v>
      </c>
      <c r="AI17" s="401">
        <f t="shared" si="9"/>
        <v>0</v>
      </c>
      <c r="AJ17" s="401">
        <f t="shared" si="10"/>
        <v>0</v>
      </c>
      <c r="AK17" s="401" t="str">
        <f t="shared" si="11"/>
        <v/>
      </c>
      <c r="AL17" s="402">
        <f t="shared" ca="1" si="12"/>
        <v>3</v>
      </c>
      <c r="AM17" s="402">
        <f t="shared" ca="1" si="13"/>
        <v>1</v>
      </c>
      <c r="AN17" s="402">
        <f t="shared" ca="1" si="14"/>
        <v>0</v>
      </c>
      <c r="AO17" s="402">
        <f t="shared" ca="1" si="15"/>
        <v>0</v>
      </c>
      <c r="AP17" s="402">
        <f t="shared" ca="1" si="16"/>
        <v>0</v>
      </c>
      <c r="AQ17" s="402">
        <f t="shared" ca="1" si="17"/>
        <v>0</v>
      </c>
      <c r="AR17" s="402">
        <f t="shared" ca="1" si="18"/>
        <v>0</v>
      </c>
      <c r="AS17" s="403"/>
      <c r="AT17" s="402">
        <f t="shared" si="19"/>
        <v>1</v>
      </c>
    </row>
    <row r="18" spans="1:46" ht="15.75" customHeight="1">
      <c r="A18" s="382"/>
      <c r="B18" s="383">
        <f t="shared" ca="1" si="0"/>
        <v>3</v>
      </c>
      <c r="C18" s="384">
        <f t="shared" ca="1" si="1"/>
        <v>1</v>
      </c>
      <c r="D18" s="384">
        <f t="shared" ca="1" si="2"/>
        <v>1</v>
      </c>
      <c r="E18" s="384" t="str">
        <f t="shared" ca="1" si="3"/>
        <v/>
      </c>
      <c r="F18" s="384" t="str">
        <f t="shared" ca="1" si="4"/>
        <v/>
      </c>
      <c r="G18" s="385" t="str">
        <f t="shared" ca="1" si="5"/>
        <v/>
      </c>
      <c r="H18" s="386" t="str">
        <f t="shared" ca="1" si="6"/>
        <v/>
      </c>
      <c r="I18" s="404"/>
      <c r="J18" s="415"/>
      <c r="K18" s="428" t="s">
        <v>292</v>
      </c>
      <c r="L18" s="428"/>
      <c r="M18" s="428"/>
      <c r="N18" s="428"/>
      <c r="O18" s="428"/>
      <c r="P18" s="428"/>
      <c r="Q18" s="429"/>
      <c r="R18" s="417"/>
      <c r="S18" s="418"/>
      <c r="T18" s="419"/>
      <c r="U18" s="418"/>
      <c r="V18" s="419"/>
      <c r="W18" s="430"/>
      <c r="X18" s="431"/>
      <c r="Y18" s="434"/>
      <c r="Z18" s="433"/>
      <c r="AA18" s="396"/>
      <c r="AB18" s="397"/>
      <c r="AC18" s="398"/>
      <c r="AD18" s="399"/>
      <c r="AE18" s="400"/>
      <c r="AF18" s="401"/>
      <c r="AG18" s="401">
        <f t="shared" si="7"/>
        <v>0</v>
      </c>
      <c r="AH18" s="401">
        <f t="shared" si="8"/>
        <v>0</v>
      </c>
      <c r="AI18" s="401">
        <f t="shared" si="9"/>
        <v>0</v>
      </c>
      <c r="AJ18" s="401">
        <f t="shared" si="10"/>
        <v>0</v>
      </c>
      <c r="AK18" s="401" t="str">
        <f t="shared" si="11"/>
        <v/>
      </c>
      <c r="AL18" s="402">
        <f t="shared" ca="1" si="12"/>
        <v>3</v>
      </c>
      <c r="AM18" s="402">
        <f t="shared" ca="1" si="13"/>
        <v>1</v>
      </c>
      <c r="AN18" s="402">
        <f t="shared" ca="1" si="14"/>
        <v>1</v>
      </c>
      <c r="AO18" s="402">
        <f t="shared" ca="1" si="15"/>
        <v>0</v>
      </c>
      <c r="AP18" s="402">
        <f t="shared" ca="1" si="16"/>
        <v>0</v>
      </c>
      <c r="AQ18" s="402">
        <f t="shared" ca="1" si="17"/>
        <v>0</v>
      </c>
      <c r="AR18" s="402">
        <f t="shared" ca="1" si="18"/>
        <v>0</v>
      </c>
      <c r="AS18" s="403"/>
      <c r="AT18" s="402">
        <f t="shared" si="19"/>
        <v>1</v>
      </c>
    </row>
    <row r="19" spans="1:46" ht="15.75" customHeight="1">
      <c r="A19" s="382"/>
      <c r="B19" s="383">
        <f t="shared" ca="1" si="0"/>
        <v>3</v>
      </c>
      <c r="C19" s="384">
        <f t="shared" ca="1" si="1"/>
        <v>1</v>
      </c>
      <c r="D19" s="384">
        <f t="shared" ca="1" si="2"/>
        <v>1</v>
      </c>
      <c r="E19" s="384">
        <f t="shared" ca="1" si="3"/>
        <v>1</v>
      </c>
      <c r="F19" s="384" t="str">
        <f t="shared" ca="1" si="4"/>
        <v/>
      </c>
      <c r="G19" s="385" t="str">
        <f t="shared" ca="1" si="5"/>
        <v/>
      </c>
      <c r="H19" s="386" t="str">
        <f t="shared" ca="1" si="6"/>
        <v/>
      </c>
      <c r="I19" s="404"/>
      <c r="J19" s="415"/>
      <c r="K19" s="428"/>
      <c r="L19" s="428" t="s">
        <v>59</v>
      </c>
      <c r="M19" s="428"/>
      <c r="N19" s="428"/>
      <c r="O19" s="428"/>
      <c r="P19" s="428"/>
      <c r="Q19" s="429"/>
      <c r="R19" s="424" t="s">
        <v>238</v>
      </c>
      <c r="S19" s="418">
        <v>45867</v>
      </c>
      <c r="T19" s="419">
        <v>45873</v>
      </c>
      <c r="U19" s="418"/>
      <c r="V19" s="419"/>
      <c r="W19" s="430"/>
      <c r="X19" s="431"/>
      <c r="Y19" s="434"/>
      <c r="Z19" s="433"/>
      <c r="AA19" s="396"/>
      <c r="AB19" s="397"/>
      <c r="AC19" s="398"/>
      <c r="AD19" s="399"/>
      <c r="AE19" s="400"/>
      <c r="AF19" s="401"/>
      <c r="AG19" s="401">
        <f t="shared" ca="1" si="7"/>
        <v>0</v>
      </c>
      <c r="AH19" s="401">
        <f t="shared" ca="1" si="8"/>
        <v>0</v>
      </c>
      <c r="AI19" s="401">
        <f t="shared" si="9"/>
        <v>0</v>
      </c>
      <c r="AJ19" s="401">
        <f t="shared" ca="1" si="10"/>
        <v>0</v>
      </c>
      <c r="AK19" s="401" t="str">
        <f t="shared" ca="1" si="11"/>
        <v/>
      </c>
      <c r="AL19" s="402">
        <f t="shared" ca="1" si="12"/>
        <v>3</v>
      </c>
      <c r="AM19" s="402">
        <f t="shared" ca="1" si="13"/>
        <v>1</v>
      </c>
      <c r="AN19" s="402">
        <f t="shared" ca="1" si="14"/>
        <v>1</v>
      </c>
      <c r="AO19" s="402">
        <f t="shared" ca="1" si="15"/>
        <v>1</v>
      </c>
      <c r="AP19" s="402">
        <f t="shared" ca="1" si="16"/>
        <v>0</v>
      </c>
      <c r="AQ19" s="402">
        <f t="shared" ca="1" si="17"/>
        <v>0</v>
      </c>
      <c r="AR19" s="402">
        <f t="shared" ca="1" si="18"/>
        <v>0</v>
      </c>
      <c r="AS19" s="403"/>
      <c r="AT19" s="402">
        <f t="shared" si="19"/>
        <v>7</v>
      </c>
    </row>
    <row r="20" spans="1:46" ht="15.75" customHeight="1">
      <c r="A20" s="382"/>
      <c r="B20" s="383">
        <f t="shared" ca="1" si="0"/>
        <v>3</v>
      </c>
      <c r="C20" s="384">
        <f t="shared" ca="1" si="1"/>
        <v>1</v>
      </c>
      <c r="D20" s="384">
        <f t="shared" ca="1" si="2"/>
        <v>1</v>
      </c>
      <c r="E20" s="384">
        <f t="shared" ca="1" si="3"/>
        <v>2</v>
      </c>
      <c r="F20" s="384" t="str">
        <f t="shared" ca="1" si="4"/>
        <v/>
      </c>
      <c r="G20" s="385" t="str">
        <f t="shared" ca="1" si="5"/>
        <v/>
      </c>
      <c r="H20" s="386" t="str">
        <f t="shared" ca="1" si="6"/>
        <v/>
      </c>
      <c r="I20" s="404"/>
      <c r="J20" s="415"/>
      <c r="K20" s="428"/>
      <c r="L20" s="428" t="s">
        <v>61</v>
      </c>
      <c r="M20" s="428"/>
      <c r="N20" s="428"/>
      <c r="O20" s="428"/>
      <c r="P20" s="428"/>
      <c r="Q20" s="429"/>
      <c r="R20" s="424" t="s">
        <v>242</v>
      </c>
      <c r="S20" s="418">
        <v>45874</v>
      </c>
      <c r="T20" s="419">
        <v>45874</v>
      </c>
      <c r="U20" s="418"/>
      <c r="V20" s="419"/>
      <c r="W20" s="430"/>
      <c r="X20" s="431"/>
      <c r="Y20" s="434"/>
      <c r="Z20" s="433"/>
      <c r="AA20" s="396"/>
      <c r="AB20" s="397"/>
      <c r="AC20" s="398"/>
      <c r="AD20" s="399"/>
      <c r="AE20" s="400"/>
      <c r="AF20" s="401"/>
      <c r="AG20" s="401">
        <f t="shared" ca="1" si="7"/>
        <v>0</v>
      </c>
      <c r="AH20" s="401">
        <f t="shared" ca="1" si="8"/>
        <v>0</v>
      </c>
      <c r="AI20" s="401">
        <f t="shared" si="9"/>
        <v>0</v>
      </c>
      <c r="AJ20" s="401">
        <f t="shared" ca="1" si="10"/>
        <v>0</v>
      </c>
      <c r="AK20" s="401" t="str">
        <f t="shared" ca="1" si="11"/>
        <v/>
      </c>
      <c r="AL20" s="402">
        <f t="shared" ca="1" si="12"/>
        <v>3</v>
      </c>
      <c r="AM20" s="402">
        <f t="shared" ca="1" si="13"/>
        <v>1</v>
      </c>
      <c r="AN20" s="402">
        <f t="shared" ca="1" si="14"/>
        <v>1</v>
      </c>
      <c r="AO20" s="402">
        <f t="shared" ca="1" si="15"/>
        <v>2</v>
      </c>
      <c r="AP20" s="402">
        <f t="shared" ca="1" si="16"/>
        <v>0</v>
      </c>
      <c r="AQ20" s="402">
        <f t="shared" ca="1" si="17"/>
        <v>0</v>
      </c>
      <c r="AR20" s="402">
        <f t="shared" ca="1" si="18"/>
        <v>0</v>
      </c>
      <c r="AS20" s="403"/>
      <c r="AT20" s="402">
        <f t="shared" si="19"/>
        <v>1</v>
      </c>
    </row>
    <row r="21" spans="1:46" ht="15.75" customHeight="1">
      <c r="A21" s="382"/>
      <c r="B21" s="383">
        <f t="shared" ca="1" si="0"/>
        <v>3</v>
      </c>
      <c r="C21" s="384">
        <f t="shared" ca="1" si="1"/>
        <v>1</v>
      </c>
      <c r="D21" s="384">
        <f t="shared" ca="1" si="2"/>
        <v>1</v>
      </c>
      <c r="E21" s="384">
        <f t="shared" ca="1" si="3"/>
        <v>3</v>
      </c>
      <c r="F21" s="384" t="str">
        <f t="shared" ca="1" si="4"/>
        <v/>
      </c>
      <c r="G21" s="385" t="str">
        <f t="shared" ca="1" si="5"/>
        <v/>
      </c>
      <c r="H21" s="386" t="str">
        <f t="shared" ca="1" si="6"/>
        <v/>
      </c>
      <c r="I21" s="404"/>
      <c r="J21" s="415"/>
      <c r="K21" s="428"/>
      <c r="L21" s="428" t="s">
        <v>63</v>
      </c>
      <c r="M21" s="428"/>
      <c r="N21" s="428"/>
      <c r="O21" s="428"/>
      <c r="P21" s="428"/>
      <c r="Q21" s="429"/>
      <c r="R21" s="424" t="s">
        <v>238</v>
      </c>
      <c r="S21" s="418">
        <v>45875</v>
      </c>
      <c r="T21" s="419">
        <v>45875</v>
      </c>
      <c r="U21" s="418"/>
      <c r="V21" s="419"/>
      <c r="W21" s="430"/>
      <c r="X21" s="431"/>
      <c r="Y21" s="434"/>
      <c r="Z21" s="433"/>
      <c r="AA21" s="396"/>
      <c r="AB21" s="397"/>
      <c r="AC21" s="398"/>
      <c r="AD21" s="399"/>
      <c r="AE21" s="400"/>
      <c r="AF21" s="401"/>
      <c r="AG21" s="401">
        <f t="shared" ca="1" si="7"/>
        <v>0</v>
      </c>
      <c r="AH21" s="401">
        <f t="shared" ca="1" si="8"/>
        <v>0</v>
      </c>
      <c r="AI21" s="401">
        <f t="shared" si="9"/>
        <v>0</v>
      </c>
      <c r="AJ21" s="401">
        <f t="shared" ca="1" si="10"/>
        <v>0</v>
      </c>
      <c r="AK21" s="401" t="str">
        <f t="shared" ca="1" si="11"/>
        <v/>
      </c>
      <c r="AL21" s="402">
        <f t="shared" ca="1" si="12"/>
        <v>3</v>
      </c>
      <c r="AM21" s="402">
        <f t="shared" ca="1" si="13"/>
        <v>1</v>
      </c>
      <c r="AN21" s="402">
        <f t="shared" ca="1" si="14"/>
        <v>1</v>
      </c>
      <c r="AO21" s="402">
        <f t="shared" ca="1" si="15"/>
        <v>3</v>
      </c>
      <c r="AP21" s="402">
        <f t="shared" ca="1" si="16"/>
        <v>0</v>
      </c>
      <c r="AQ21" s="402">
        <f t="shared" ca="1" si="17"/>
        <v>0</v>
      </c>
      <c r="AR21" s="402">
        <f t="shared" ca="1" si="18"/>
        <v>0</v>
      </c>
      <c r="AS21" s="403"/>
      <c r="AT21" s="402">
        <f t="shared" si="19"/>
        <v>1</v>
      </c>
    </row>
    <row r="22" spans="1:46" ht="15.75" customHeight="1">
      <c r="A22" s="382"/>
      <c r="B22" s="383">
        <f t="shared" ca="1" si="0"/>
        <v>3</v>
      </c>
      <c r="C22" s="384">
        <f t="shared" ca="1" si="1"/>
        <v>1</v>
      </c>
      <c r="D22" s="384">
        <f t="shared" ca="1" si="2"/>
        <v>1</v>
      </c>
      <c r="E22" s="384">
        <f t="shared" ca="1" si="3"/>
        <v>4</v>
      </c>
      <c r="F22" s="384" t="str">
        <f t="shared" ca="1" si="4"/>
        <v/>
      </c>
      <c r="G22" s="385" t="str">
        <f t="shared" ca="1" si="5"/>
        <v/>
      </c>
      <c r="H22" s="386" t="str">
        <f t="shared" ca="1" si="6"/>
        <v/>
      </c>
      <c r="I22" s="404"/>
      <c r="J22" s="415"/>
      <c r="K22" s="428"/>
      <c r="L22" s="428" t="s">
        <v>64</v>
      </c>
      <c r="M22" s="428"/>
      <c r="N22" s="428"/>
      <c r="O22" s="428"/>
      <c r="P22" s="428"/>
      <c r="Q22" s="429"/>
      <c r="R22" s="424" t="s">
        <v>242</v>
      </c>
      <c r="S22" s="418">
        <v>45875</v>
      </c>
      <c r="T22" s="419">
        <v>45875</v>
      </c>
      <c r="U22" s="418"/>
      <c r="V22" s="419"/>
      <c r="W22" s="430"/>
      <c r="X22" s="431"/>
      <c r="Y22" s="434"/>
      <c r="Z22" s="433"/>
      <c r="AA22" s="396"/>
      <c r="AB22" s="397"/>
      <c r="AC22" s="398"/>
      <c r="AD22" s="399"/>
      <c r="AE22" s="400"/>
      <c r="AF22" s="401"/>
      <c r="AG22" s="401">
        <f t="shared" ca="1" si="7"/>
        <v>0</v>
      </c>
      <c r="AH22" s="401">
        <f t="shared" ca="1" si="8"/>
        <v>0</v>
      </c>
      <c r="AI22" s="401">
        <f t="shared" si="9"/>
        <v>0</v>
      </c>
      <c r="AJ22" s="401">
        <f t="shared" ca="1" si="10"/>
        <v>0</v>
      </c>
      <c r="AK22" s="401" t="str">
        <f t="shared" ca="1" si="11"/>
        <v/>
      </c>
      <c r="AL22" s="402">
        <f t="shared" ca="1" si="12"/>
        <v>3</v>
      </c>
      <c r="AM22" s="402">
        <f t="shared" ca="1" si="13"/>
        <v>1</v>
      </c>
      <c r="AN22" s="402">
        <f t="shared" ca="1" si="14"/>
        <v>1</v>
      </c>
      <c r="AO22" s="402">
        <f t="shared" ca="1" si="15"/>
        <v>4</v>
      </c>
      <c r="AP22" s="402">
        <f t="shared" ca="1" si="16"/>
        <v>0</v>
      </c>
      <c r="AQ22" s="402">
        <f t="shared" ca="1" si="17"/>
        <v>0</v>
      </c>
      <c r="AR22" s="402">
        <f t="shared" ca="1" si="18"/>
        <v>0</v>
      </c>
      <c r="AS22" s="403"/>
      <c r="AT22" s="402">
        <f t="shared" si="19"/>
        <v>1</v>
      </c>
    </row>
    <row r="23" spans="1:46" ht="15.75" customHeight="1">
      <c r="A23" s="382"/>
      <c r="B23" s="383">
        <f t="shared" ca="1" si="0"/>
        <v>3</v>
      </c>
      <c r="C23" s="384">
        <f t="shared" ca="1" si="1"/>
        <v>1</v>
      </c>
      <c r="D23" s="384">
        <f t="shared" ca="1" si="2"/>
        <v>1</v>
      </c>
      <c r="E23" s="384">
        <f t="shared" ca="1" si="3"/>
        <v>5</v>
      </c>
      <c r="F23" s="384" t="str">
        <f t="shared" ca="1" si="4"/>
        <v/>
      </c>
      <c r="G23" s="385" t="str">
        <f t="shared" ca="1" si="5"/>
        <v/>
      </c>
      <c r="H23" s="386" t="str">
        <f t="shared" ca="1" si="6"/>
        <v/>
      </c>
      <c r="I23" s="404"/>
      <c r="J23" s="415"/>
      <c r="K23" s="428"/>
      <c r="L23" s="428" t="s">
        <v>65</v>
      </c>
      <c r="M23" s="428"/>
      <c r="N23" s="428"/>
      <c r="O23" s="428"/>
      <c r="P23" s="428"/>
      <c r="Q23" s="429"/>
      <c r="R23" s="424" t="s">
        <v>238</v>
      </c>
      <c r="S23" s="418">
        <v>45876</v>
      </c>
      <c r="T23" s="419">
        <v>45876</v>
      </c>
      <c r="U23" s="418"/>
      <c r="V23" s="419"/>
      <c r="W23" s="430"/>
      <c r="X23" s="431"/>
      <c r="Y23" s="434"/>
      <c r="Z23" s="433"/>
      <c r="AA23" s="396"/>
      <c r="AB23" s="397"/>
      <c r="AC23" s="398"/>
      <c r="AD23" s="399"/>
      <c r="AE23" s="400"/>
      <c r="AF23" s="401"/>
      <c r="AG23" s="401">
        <f t="shared" ca="1" si="7"/>
        <v>0</v>
      </c>
      <c r="AH23" s="401">
        <f t="shared" ca="1" si="8"/>
        <v>0</v>
      </c>
      <c r="AI23" s="401">
        <f t="shared" si="9"/>
        <v>0</v>
      </c>
      <c r="AJ23" s="401">
        <f t="shared" ca="1" si="10"/>
        <v>0</v>
      </c>
      <c r="AK23" s="401" t="str">
        <f t="shared" ca="1" si="11"/>
        <v/>
      </c>
      <c r="AL23" s="402">
        <f t="shared" ca="1" si="12"/>
        <v>3</v>
      </c>
      <c r="AM23" s="402">
        <f t="shared" ca="1" si="13"/>
        <v>1</v>
      </c>
      <c r="AN23" s="402">
        <f t="shared" ca="1" si="14"/>
        <v>1</v>
      </c>
      <c r="AO23" s="402">
        <f t="shared" ca="1" si="15"/>
        <v>5</v>
      </c>
      <c r="AP23" s="402">
        <f t="shared" ca="1" si="16"/>
        <v>0</v>
      </c>
      <c r="AQ23" s="402">
        <f t="shared" ca="1" si="17"/>
        <v>0</v>
      </c>
      <c r="AR23" s="402">
        <f t="shared" ca="1" si="18"/>
        <v>0</v>
      </c>
      <c r="AS23" s="403"/>
      <c r="AT23" s="402">
        <f t="shared" si="19"/>
        <v>1</v>
      </c>
    </row>
    <row r="24" spans="1:46" ht="15.75" customHeight="1">
      <c r="A24" s="382"/>
      <c r="B24" s="383">
        <f t="shared" ca="1" si="0"/>
        <v>3</v>
      </c>
      <c r="C24" s="384">
        <f t="shared" ca="1" si="1"/>
        <v>1</v>
      </c>
      <c r="D24" s="384">
        <f t="shared" ca="1" si="2"/>
        <v>1</v>
      </c>
      <c r="E24" s="384">
        <f t="shared" ca="1" si="3"/>
        <v>6</v>
      </c>
      <c r="F24" s="384" t="str">
        <f t="shared" ca="1" si="4"/>
        <v/>
      </c>
      <c r="G24" s="385" t="str">
        <f t="shared" ca="1" si="5"/>
        <v/>
      </c>
      <c r="H24" s="386" t="str">
        <f t="shared" ca="1" si="6"/>
        <v/>
      </c>
      <c r="I24" s="404"/>
      <c r="J24" s="415"/>
      <c r="K24" s="428"/>
      <c r="L24" s="428" t="s">
        <v>66</v>
      </c>
      <c r="M24" s="428"/>
      <c r="N24" s="428"/>
      <c r="O24" s="428"/>
      <c r="P24" s="428"/>
      <c r="Q24" s="429"/>
      <c r="R24" s="424" t="s">
        <v>242</v>
      </c>
      <c r="S24" s="418">
        <v>45877</v>
      </c>
      <c r="T24" s="419">
        <v>45877</v>
      </c>
      <c r="U24" s="418"/>
      <c r="V24" s="419"/>
      <c r="W24" s="430"/>
      <c r="X24" s="431"/>
      <c r="Y24" s="434"/>
      <c r="Z24" s="433"/>
      <c r="AA24" s="396"/>
      <c r="AB24" s="397"/>
      <c r="AC24" s="398"/>
      <c r="AD24" s="399"/>
      <c r="AE24" s="400"/>
      <c r="AF24" s="401"/>
      <c r="AG24" s="401">
        <f t="shared" ca="1" si="7"/>
        <v>0</v>
      </c>
      <c r="AH24" s="401">
        <f t="shared" ca="1" si="8"/>
        <v>0</v>
      </c>
      <c r="AI24" s="401">
        <f t="shared" si="9"/>
        <v>0</v>
      </c>
      <c r="AJ24" s="401">
        <f t="shared" ca="1" si="10"/>
        <v>0</v>
      </c>
      <c r="AK24" s="401" t="str">
        <f t="shared" ca="1" si="11"/>
        <v/>
      </c>
      <c r="AL24" s="402">
        <f t="shared" ca="1" si="12"/>
        <v>3</v>
      </c>
      <c r="AM24" s="402">
        <f t="shared" ca="1" si="13"/>
        <v>1</v>
      </c>
      <c r="AN24" s="402">
        <f t="shared" ca="1" si="14"/>
        <v>1</v>
      </c>
      <c r="AO24" s="402">
        <f t="shared" ca="1" si="15"/>
        <v>6</v>
      </c>
      <c r="AP24" s="402">
        <f t="shared" ca="1" si="16"/>
        <v>0</v>
      </c>
      <c r="AQ24" s="402">
        <f t="shared" ca="1" si="17"/>
        <v>0</v>
      </c>
      <c r="AR24" s="402">
        <f t="shared" ca="1" si="18"/>
        <v>0</v>
      </c>
      <c r="AS24" s="403"/>
      <c r="AT24" s="402">
        <f t="shared" si="19"/>
        <v>1</v>
      </c>
    </row>
    <row r="25" spans="1:46" ht="15.75" customHeight="1">
      <c r="A25" s="382"/>
      <c r="B25" s="383">
        <f t="shared" ca="1" si="0"/>
        <v>3</v>
      </c>
      <c r="C25" s="384">
        <f t="shared" ca="1" si="1"/>
        <v>1</v>
      </c>
      <c r="D25" s="384">
        <f t="shared" ca="1" si="2"/>
        <v>2</v>
      </c>
      <c r="E25" s="384" t="str">
        <f t="shared" ca="1" si="3"/>
        <v/>
      </c>
      <c r="F25" s="384" t="str">
        <f t="shared" ca="1" si="4"/>
        <v/>
      </c>
      <c r="G25" s="385" t="str">
        <f t="shared" ca="1" si="5"/>
        <v/>
      </c>
      <c r="H25" s="386" t="str">
        <f t="shared" ca="1" si="6"/>
        <v/>
      </c>
      <c r="I25" s="404"/>
      <c r="J25" s="415"/>
      <c r="K25" s="428" t="s">
        <v>293</v>
      </c>
      <c r="L25" s="428"/>
      <c r="M25" s="428"/>
      <c r="N25" s="428"/>
      <c r="O25" s="428"/>
      <c r="P25" s="428"/>
      <c r="Q25" s="429"/>
      <c r="R25" s="417"/>
      <c r="S25" s="418"/>
      <c r="T25" s="419"/>
      <c r="U25" s="418"/>
      <c r="V25" s="419"/>
      <c r="W25" s="430"/>
      <c r="X25" s="431"/>
      <c r="Y25" s="434"/>
      <c r="Z25" s="433"/>
      <c r="AA25" s="396"/>
      <c r="AB25" s="397"/>
      <c r="AC25" s="398"/>
      <c r="AD25" s="399"/>
      <c r="AE25" s="400"/>
      <c r="AF25" s="401"/>
      <c r="AG25" s="401">
        <f t="shared" si="7"/>
        <v>0</v>
      </c>
      <c r="AH25" s="401">
        <f t="shared" si="8"/>
        <v>0</v>
      </c>
      <c r="AI25" s="401">
        <f t="shared" si="9"/>
        <v>0</v>
      </c>
      <c r="AJ25" s="401">
        <f t="shared" si="10"/>
        <v>0</v>
      </c>
      <c r="AK25" s="401" t="str">
        <f t="shared" si="11"/>
        <v/>
      </c>
      <c r="AL25" s="402">
        <f t="shared" ca="1" si="12"/>
        <v>3</v>
      </c>
      <c r="AM25" s="402">
        <f t="shared" ca="1" si="13"/>
        <v>1</v>
      </c>
      <c r="AN25" s="402">
        <f t="shared" ca="1" si="14"/>
        <v>2</v>
      </c>
      <c r="AO25" s="402">
        <f t="shared" ca="1" si="15"/>
        <v>0</v>
      </c>
      <c r="AP25" s="402">
        <f t="shared" ca="1" si="16"/>
        <v>0</v>
      </c>
      <c r="AQ25" s="402">
        <f t="shared" ca="1" si="17"/>
        <v>0</v>
      </c>
      <c r="AR25" s="402">
        <f t="shared" ca="1" si="18"/>
        <v>0</v>
      </c>
      <c r="AS25" s="403"/>
      <c r="AT25" s="402">
        <f t="shared" si="19"/>
        <v>1</v>
      </c>
    </row>
    <row r="26" spans="1:46" ht="15.75" customHeight="1">
      <c r="A26" s="382"/>
      <c r="B26" s="383">
        <f t="shared" ca="1" si="0"/>
        <v>3</v>
      </c>
      <c r="C26" s="384">
        <f t="shared" ca="1" si="1"/>
        <v>1</v>
      </c>
      <c r="D26" s="384">
        <f t="shared" ca="1" si="2"/>
        <v>2</v>
      </c>
      <c r="E26" s="384">
        <f t="shared" ca="1" si="3"/>
        <v>1</v>
      </c>
      <c r="F26" s="384" t="str">
        <f t="shared" ca="1" si="4"/>
        <v/>
      </c>
      <c r="G26" s="385" t="str">
        <f t="shared" ca="1" si="5"/>
        <v/>
      </c>
      <c r="H26" s="386" t="str">
        <f t="shared" ca="1" si="6"/>
        <v/>
      </c>
      <c r="I26" s="404"/>
      <c r="J26" s="415"/>
      <c r="K26" s="428"/>
      <c r="L26" s="428" t="s">
        <v>59</v>
      </c>
      <c r="M26" s="428"/>
      <c r="N26" s="428"/>
      <c r="O26" s="428"/>
      <c r="P26" s="428"/>
      <c r="Q26" s="429"/>
      <c r="R26" s="424" t="s">
        <v>239</v>
      </c>
      <c r="S26" s="418">
        <v>45867</v>
      </c>
      <c r="T26" s="419">
        <v>45873</v>
      </c>
      <c r="U26" s="418"/>
      <c r="V26" s="419"/>
      <c r="W26" s="430"/>
      <c r="X26" s="431"/>
      <c r="Y26" s="434"/>
      <c r="Z26" s="433"/>
      <c r="AA26" s="396"/>
      <c r="AB26" s="397"/>
      <c r="AC26" s="398"/>
      <c r="AD26" s="399"/>
      <c r="AE26" s="400"/>
      <c r="AF26" s="401"/>
      <c r="AG26" s="401">
        <f t="shared" ca="1" si="7"/>
        <v>0</v>
      </c>
      <c r="AH26" s="401">
        <f t="shared" ca="1" si="8"/>
        <v>0</v>
      </c>
      <c r="AI26" s="401">
        <f t="shared" si="9"/>
        <v>0</v>
      </c>
      <c r="AJ26" s="401">
        <f t="shared" ca="1" si="10"/>
        <v>0</v>
      </c>
      <c r="AK26" s="401" t="str">
        <f t="shared" ca="1" si="11"/>
        <v/>
      </c>
      <c r="AL26" s="402">
        <f t="shared" ca="1" si="12"/>
        <v>3</v>
      </c>
      <c r="AM26" s="402">
        <f t="shared" ca="1" si="13"/>
        <v>1</v>
      </c>
      <c r="AN26" s="402">
        <f t="shared" ca="1" si="14"/>
        <v>2</v>
      </c>
      <c r="AO26" s="402">
        <f t="shared" ca="1" si="15"/>
        <v>1</v>
      </c>
      <c r="AP26" s="402">
        <f t="shared" ca="1" si="16"/>
        <v>0</v>
      </c>
      <c r="AQ26" s="402">
        <f t="shared" ca="1" si="17"/>
        <v>0</v>
      </c>
      <c r="AR26" s="402">
        <f t="shared" ca="1" si="18"/>
        <v>0</v>
      </c>
      <c r="AS26" s="403"/>
      <c r="AT26" s="402">
        <f t="shared" si="19"/>
        <v>7</v>
      </c>
    </row>
    <row r="27" spans="1:46" ht="15.75" customHeight="1">
      <c r="A27" s="382"/>
      <c r="B27" s="383">
        <f t="shared" ca="1" si="0"/>
        <v>3</v>
      </c>
      <c r="C27" s="384">
        <f t="shared" ca="1" si="1"/>
        <v>1</v>
      </c>
      <c r="D27" s="384">
        <f t="shared" ca="1" si="2"/>
        <v>2</v>
      </c>
      <c r="E27" s="384">
        <f t="shared" ca="1" si="3"/>
        <v>2</v>
      </c>
      <c r="F27" s="384" t="str">
        <f t="shared" ca="1" si="4"/>
        <v/>
      </c>
      <c r="G27" s="385" t="str">
        <f t="shared" ca="1" si="5"/>
        <v/>
      </c>
      <c r="H27" s="386" t="str">
        <f t="shared" ca="1" si="6"/>
        <v/>
      </c>
      <c r="I27" s="404"/>
      <c r="J27" s="415"/>
      <c r="K27" s="428"/>
      <c r="L27" s="428" t="s">
        <v>61</v>
      </c>
      <c r="M27" s="428"/>
      <c r="N27" s="428"/>
      <c r="O27" s="428"/>
      <c r="P27" s="428"/>
      <c r="Q27" s="429"/>
      <c r="R27" s="424" t="s">
        <v>238</v>
      </c>
      <c r="S27" s="418">
        <v>45874</v>
      </c>
      <c r="T27" s="419">
        <v>45874</v>
      </c>
      <c r="U27" s="418"/>
      <c r="V27" s="419"/>
      <c r="W27" s="430"/>
      <c r="X27" s="431"/>
      <c r="Y27" s="434"/>
      <c r="Z27" s="433"/>
      <c r="AA27" s="396"/>
      <c r="AB27" s="397"/>
      <c r="AC27" s="398"/>
      <c r="AD27" s="399"/>
      <c r="AE27" s="400"/>
      <c r="AF27" s="401"/>
      <c r="AG27" s="401">
        <f t="shared" ca="1" si="7"/>
        <v>0</v>
      </c>
      <c r="AH27" s="401">
        <f t="shared" ca="1" si="8"/>
        <v>0</v>
      </c>
      <c r="AI27" s="401">
        <f t="shared" si="9"/>
        <v>0</v>
      </c>
      <c r="AJ27" s="401">
        <f t="shared" ca="1" si="10"/>
        <v>0</v>
      </c>
      <c r="AK27" s="401" t="str">
        <f t="shared" ca="1" si="11"/>
        <v/>
      </c>
      <c r="AL27" s="402">
        <f t="shared" ca="1" si="12"/>
        <v>3</v>
      </c>
      <c r="AM27" s="402">
        <f t="shared" ca="1" si="13"/>
        <v>1</v>
      </c>
      <c r="AN27" s="402">
        <f t="shared" ca="1" si="14"/>
        <v>2</v>
      </c>
      <c r="AO27" s="402">
        <f t="shared" ca="1" si="15"/>
        <v>2</v>
      </c>
      <c r="AP27" s="402">
        <f t="shared" ca="1" si="16"/>
        <v>0</v>
      </c>
      <c r="AQ27" s="402">
        <f t="shared" ca="1" si="17"/>
        <v>0</v>
      </c>
      <c r="AR27" s="402">
        <f t="shared" ca="1" si="18"/>
        <v>0</v>
      </c>
      <c r="AS27" s="403"/>
      <c r="AT27" s="402">
        <f t="shared" si="19"/>
        <v>1</v>
      </c>
    </row>
    <row r="28" spans="1:46" ht="15.75" customHeight="1">
      <c r="A28" s="382"/>
      <c r="B28" s="383">
        <f t="shared" ca="1" si="0"/>
        <v>3</v>
      </c>
      <c r="C28" s="384">
        <f t="shared" ca="1" si="1"/>
        <v>1</v>
      </c>
      <c r="D28" s="384">
        <f t="shared" ca="1" si="2"/>
        <v>2</v>
      </c>
      <c r="E28" s="384">
        <f t="shared" ca="1" si="3"/>
        <v>3</v>
      </c>
      <c r="F28" s="384" t="str">
        <f t="shared" ca="1" si="4"/>
        <v/>
      </c>
      <c r="G28" s="385" t="str">
        <f t="shared" ca="1" si="5"/>
        <v/>
      </c>
      <c r="H28" s="386" t="str">
        <f t="shared" ca="1" si="6"/>
        <v/>
      </c>
      <c r="I28" s="404"/>
      <c r="J28" s="415"/>
      <c r="K28" s="428"/>
      <c r="L28" s="428" t="s">
        <v>63</v>
      </c>
      <c r="M28" s="428"/>
      <c r="N28" s="428"/>
      <c r="O28" s="428"/>
      <c r="P28" s="428"/>
      <c r="Q28" s="429"/>
      <c r="R28" s="424" t="s">
        <v>239</v>
      </c>
      <c r="S28" s="418">
        <v>45875</v>
      </c>
      <c r="T28" s="419">
        <v>45875</v>
      </c>
      <c r="U28" s="418"/>
      <c r="V28" s="419"/>
      <c r="W28" s="430"/>
      <c r="X28" s="431"/>
      <c r="Y28" s="434"/>
      <c r="Z28" s="433"/>
      <c r="AA28" s="396"/>
      <c r="AB28" s="397"/>
      <c r="AC28" s="398"/>
      <c r="AD28" s="399"/>
      <c r="AE28" s="400"/>
      <c r="AF28" s="401"/>
      <c r="AG28" s="401">
        <f t="shared" ca="1" si="7"/>
        <v>0</v>
      </c>
      <c r="AH28" s="401">
        <f t="shared" ca="1" si="8"/>
        <v>0</v>
      </c>
      <c r="AI28" s="401">
        <f t="shared" si="9"/>
        <v>0</v>
      </c>
      <c r="AJ28" s="401">
        <f t="shared" ca="1" si="10"/>
        <v>0</v>
      </c>
      <c r="AK28" s="401" t="str">
        <f t="shared" ca="1" si="11"/>
        <v/>
      </c>
      <c r="AL28" s="402">
        <f t="shared" ca="1" si="12"/>
        <v>3</v>
      </c>
      <c r="AM28" s="402">
        <f t="shared" ca="1" si="13"/>
        <v>1</v>
      </c>
      <c r="AN28" s="402">
        <f t="shared" ca="1" si="14"/>
        <v>2</v>
      </c>
      <c r="AO28" s="402">
        <f t="shared" ca="1" si="15"/>
        <v>3</v>
      </c>
      <c r="AP28" s="402">
        <f t="shared" ca="1" si="16"/>
        <v>0</v>
      </c>
      <c r="AQ28" s="402">
        <f t="shared" ca="1" si="17"/>
        <v>0</v>
      </c>
      <c r="AR28" s="402">
        <f t="shared" ca="1" si="18"/>
        <v>0</v>
      </c>
      <c r="AS28" s="403"/>
      <c r="AT28" s="402">
        <f t="shared" si="19"/>
        <v>1</v>
      </c>
    </row>
    <row r="29" spans="1:46" ht="15.75" customHeight="1">
      <c r="A29" s="382"/>
      <c r="B29" s="383">
        <f t="shared" ca="1" si="0"/>
        <v>3</v>
      </c>
      <c r="C29" s="384">
        <f t="shared" ca="1" si="1"/>
        <v>1</v>
      </c>
      <c r="D29" s="384">
        <f t="shared" ca="1" si="2"/>
        <v>2</v>
      </c>
      <c r="E29" s="384">
        <f t="shared" ca="1" si="3"/>
        <v>4</v>
      </c>
      <c r="F29" s="384" t="str">
        <f t="shared" ca="1" si="4"/>
        <v/>
      </c>
      <c r="G29" s="385" t="str">
        <f t="shared" ca="1" si="5"/>
        <v/>
      </c>
      <c r="H29" s="386" t="str">
        <f t="shared" ca="1" si="6"/>
        <v/>
      </c>
      <c r="I29" s="404"/>
      <c r="J29" s="415"/>
      <c r="K29" s="428"/>
      <c r="L29" s="428" t="s">
        <v>64</v>
      </c>
      <c r="M29" s="428"/>
      <c r="N29" s="428"/>
      <c r="O29" s="428"/>
      <c r="P29" s="428"/>
      <c r="Q29" s="429"/>
      <c r="R29" s="424" t="s">
        <v>238</v>
      </c>
      <c r="S29" s="418">
        <v>45875</v>
      </c>
      <c r="T29" s="419">
        <v>45875</v>
      </c>
      <c r="U29" s="418"/>
      <c r="V29" s="419"/>
      <c r="W29" s="430"/>
      <c r="X29" s="431"/>
      <c r="Y29" s="434"/>
      <c r="Z29" s="433"/>
      <c r="AA29" s="396"/>
      <c r="AB29" s="397"/>
      <c r="AC29" s="398"/>
      <c r="AD29" s="399"/>
      <c r="AE29" s="400"/>
      <c r="AF29" s="401"/>
      <c r="AG29" s="401">
        <f t="shared" ca="1" si="7"/>
        <v>0</v>
      </c>
      <c r="AH29" s="401">
        <f t="shared" ca="1" si="8"/>
        <v>0</v>
      </c>
      <c r="AI29" s="401">
        <f t="shared" si="9"/>
        <v>0</v>
      </c>
      <c r="AJ29" s="401">
        <f t="shared" ca="1" si="10"/>
        <v>0</v>
      </c>
      <c r="AK29" s="401" t="str">
        <f t="shared" ca="1" si="11"/>
        <v/>
      </c>
      <c r="AL29" s="402">
        <f t="shared" ca="1" si="12"/>
        <v>3</v>
      </c>
      <c r="AM29" s="402">
        <f t="shared" ca="1" si="13"/>
        <v>1</v>
      </c>
      <c r="AN29" s="402">
        <f t="shared" ca="1" si="14"/>
        <v>2</v>
      </c>
      <c r="AO29" s="402">
        <f t="shared" ca="1" si="15"/>
        <v>4</v>
      </c>
      <c r="AP29" s="402">
        <f t="shared" ca="1" si="16"/>
        <v>0</v>
      </c>
      <c r="AQ29" s="402">
        <f t="shared" ca="1" si="17"/>
        <v>0</v>
      </c>
      <c r="AR29" s="402">
        <f t="shared" ca="1" si="18"/>
        <v>0</v>
      </c>
      <c r="AS29" s="403"/>
      <c r="AT29" s="402">
        <f t="shared" si="19"/>
        <v>1</v>
      </c>
    </row>
    <row r="30" spans="1:46" ht="15.75" customHeight="1">
      <c r="A30" s="382"/>
      <c r="B30" s="383">
        <f t="shared" ca="1" si="0"/>
        <v>3</v>
      </c>
      <c r="C30" s="384">
        <f t="shared" ca="1" si="1"/>
        <v>1</v>
      </c>
      <c r="D30" s="384">
        <f t="shared" ca="1" si="2"/>
        <v>2</v>
      </c>
      <c r="E30" s="384">
        <f t="shared" ca="1" si="3"/>
        <v>5</v>
      </c>
      <c r="F30" s="384" t="str">
        <f t="shared" ca="1" si="4"/>
        <v/>
      </c>
      <c r="G30" s="385" t="str">
        <f t="shared" ca="1" si="5"/>
        <v/>
      </c>
      <c r="H30" s="386" t="str">
        <f t="shared" ca="1" si="6"/>
        <v/>
      </c>
      <c r="I30" s="404"/>
      <c r="J30" s="415"/>
      <c r="K30" s="428"/>
      <c r="L30" s="428" t="s">
        <v>65</v>
      </c>
      <c r="M30" s="428"/>
      <c r="N30" s="428"/>
      <c r="O30" s="428"/>
      <c r="P30" s="428"/>
      <c r="Q30" s="429"/>
      <c r="R30" s="424" t="s">
        <v>239</v>
      </c>
      <c r="S30" s="418">
        <v>45876</v>
      </c>
      <c r="T30" s="419">
        <v>45876</v>
      </c>
      <c r="U30" s="418"/>
      <c r="V30" s="419"/>
      <c r="W30" s="430"/>
      <c r="X30" s="431"/>
      <c r="Y30" s="434"/>
      <c r="Z30" s="433"/>
      <c r="AA30" s="396"/>
      <c r="AB30" s="397"/>
      <c r="AC30" s="398"/>
      <c r="AD30" s="399"/>
      <c r="AE30" s="400"/>
      <c r="AF30" s="401"/>
      <c r="AG30" s="401">
        <f t="shared" ca="1" si="7"/>
        <v>0</v>
      </c>
      <c r="AH30" s="401">
        <f t="shared" ca="1" si="8"/>
        <v>0</v>
      </c>
      <c r="AI30" s="401">
        <f t="shared" si="9"/>
        <v>0</v>
      </c>
      <c r="AJ30" s="401">
        <f t="shared" ca="1" si="10"/>
        <v>0</v>
      </c>
      <c r="AK30" s="401" t="str">
        <f t="shared" ca="1" si="11"/>
        <v/>
      </c>
      <c r="AL30" s="402">
        <f t="shared" ca="1" si="12"/>
        <v>3</v>
      </c>
      <c r="AM30" s="402">
        <f t="shared" ca="1" si="13"/>
        <v>1</v>
      </c>
      <c r="AN30" s="402">
        <f t="shared" ca="1" si="14"/>
        <v>2</v>
      </c>
      <c r="AO30" s="402">
        <f t="shared" ca="1" si="15"/>
        <v>5</v>
      </c>
      <c r="AP30" s="402">
        <f t="shared" ca="1" si="16"/>
        <v>0</v>
      </c>
      <c r="AQ30" s="402">
        <f t="shared" ca="1" si="17"/>
        <v>0</v>
      </c>
      <c r="AR30" s="402">
        <f t="shared" ca="1" si="18"/>
        <v>0</v>
      </c>
      <c r="AS30" s="403"/>
      <c r="AT30" s="402">
        <f t="shared" si="19"/>
        <v>1</v>
      </c>
    </row>
    <row r="31" spans="1:46" ht="15.75" customHeight="1">
      <c r="A31" s="382"/>
      <c r="B31" s="383">
        <f t="shared" ca="1" si="0"/>
        <v>3</v>
      </c>
      <c r="C31" s="384">
        <f t="shared" ca="1" si="1"/>
        <v>1</v>
      </c>
      <c r="D31" s="384">
        <f t="shared" ca="1" si="2"/>
        <v>2</v>
      </c>
      <c r="E31" s="384">
        <f t="shared" ca="1" si="3"/>
        <v>6</v>
      </c>
      <c r="F31" s="384" t="str">
        <f t="shared" ca="1" si="4"/>
        <v/>
      </c>
      <c r="G31" s="385" t="str">
        <f t="shared" ca="1" si="5"/>
        <v/>
      </c>
      <c r="H31" s="386" t="str">
        <f t="shared" ca="1" si="6"/>
        <v/>
      </c>
      <c r="I31" s="404"/>
      <c r="J31" s="415"/>
      <c r="K31" s="428"/>
      <c r="L31" s="428" t="s">
        <v>66</v>
      </c>
      <c r="M31" s="428"/>
      <c r="N31" s="428"/>
      <c r="O31" s="428"/>
      <c r="P31" s="428"/>
      <c r="Q31" s="429"/>
      <c r="R31" s="424" t="s">
        <v>238</v>
      </c>
      <c r="S31" s="418">
        <v>45877</v>
      </c>
      <c r="T31" s="419">
        <v>45877</v>
      </c>
      <c r="U31" s="418"/>
      <c r="V31" s="419"/>
      <c r="W31" s="430"/>
      <c r="X31" s="431"/>
      <c r="Y31" s="434"/>
      <c r="Z31" s="433"/>
      <c r="AA31" s="396"/>
      <c r="AB31" s="397"/>
      <c r="AC31" s="398"/>
      <c r="AD31" s="399"/>
      <c r="AE31" s="400"/>
      <c r="AF31" s="401"/>
      <c r="AG31" s="401">
        <f t="shared" ca="1" si="7"/>
        <v>0</v>
      </c>
      <c r="AH31" s="401">
        <f t="shared" ca="1" si="8"/>
        <v>0</v>
      </c>
      <c r="AI31" s="401">
        <f t="shared" si="9"/>
        <v>0</v>
      </c>
      <c r="AJ31" s="401">
        <f t="shared" ca="1" si="10"/>
        <v>0</v>
      </c>
      <c r="AK31" s="401" t="str">
        <f t="shared" ca="1" si="11"/>
        <v/>
      </c>
      <c r="AL31" s="402">
        <f t="shared" ca="1" si="12"/>
        <v>3</v>
      </c>
      <c r="AM31" s="402">
        <f t="shared" ca="1" si="13"/>
        <v>1</v>
      </c>
      <c r="AN31" s="402">
        <f t="shared" ca="1" si="14"/>
        <v>2</v>
      </c>
      <c r="AO31" s="402">
        <f t="shared" ca="1" si="15"/>
        <v>6</v>
      </c>
      <c r="AP31" s="402">
        <f t="shared" ca="1" si="16"/>
        <v>0</v>
      </c>
      <c r="AQ31" s="402">
        <f t="shared" ca="1" si="17"/>
        <v>0</v>
      </c>
      <c r="AR31" s="402">
        <f t="shared" ca="1" si="18"/>
        <v>0</v>
      </c>
      <c r="AS31" s="403"/>
      <c r="AT31" s="402">
        <f t="shared" si="19"/>
        <v>1</v>
      </c>
    </row>
    <row r="32" spans="1:46" ht="15.75" customHeight="1">
      <c r="A32" s="382"/>
      <c r="B32" s="383">
        <f t="shared" ca="1" si="0"/>
        <v>3</v>
      </c>
      <c r="C32" s="384">
        <f t="shared" ca="1" si="1"/>
        <v>1</v>
      </c>
      <c r="D32" s="384">
        <f t="shared" ca="1" si="2"/>
        <v>3</v>
      </c>
      <c r="E32" s="384" t="str">
        <f t="shared" ca="1" si="3"/>
        <v/>
      </c>
      <c r="F32" s="384" t="str">
        <f t="shared" ca="1" si="4"/>
        <v/>
      </c>
      <c r="G32" s="385" t="str">
        <f t="shared" ca="1" si="5"/>
        <v/>
      </c>
      <c r="H32" s="386" t="str">
        <f t="shared" ca="1" si="6"/>
        <v/>
      </c>
      <c r="I32" s="404"/>
      <c r="J32" s="415"/>
      <c r="K32" s="428" t="s">
        <v>294</v>
      </c>
      <c r="L32" s="428"/>
      <c r="M32" s="428"/>
      <c r="N32" s="428"/>
      <c r="O32" s="428"/>
      <c r="P32" s="428"/>
      <c r="Q32" s="429"/>
      <c r="R32" s="417"/>
      <c r="S32" s="418"/>
      <c r="T32" s="419"/>
      <c r="U32" s="418"/>
      <c r="V32" s="419"/>
      <c r="W32" s="430"/>
      <c r="X32" s="431"/>
      <c r="Y32" s="434"/>
      <c r="Z32" s="433"/>
      <c r="AA32" s="396"/>
      <c r="AB32" s="397"/>
      <c r="AC32" s="398"/>
      <c r="AD32" s="399"/>
      <c r="AE32" s="400"/>
      <c r="AF32" s="401"/>
      <c r="AG32" s="401">
        <f t="shared" si="7"/>
        <v>0</v>
      </c>
      <c r="AH32" s="401">
        <f t="shared" si="8"/>
        <v>0</v>
      </c>
      <c r="AI32" s="401">
        <f t="shared" si="9"/>
        <v>0</v>
      </c>
      <c r="AJ32" s="401">
        <f t="shared" si="10"/>
        <v>0</v>
      </c>
      <c r="AK32" s="401" t="str">
        <f t="shared" si="11"/>
        <v/>
      </c>
      <c r="AL32" s="402">
        <f t="shared" ca="1" si="12"/>
        <v>3</v>
      </c>
      <c r="AM32" s="402">
        <f t="shared" ca="1" si="13"/>
        <v>1</v>
      </c>
      <c r="AN32" s="402">
        <f t="shared" ca="1" si="14"/>
        <v>3</v>
      </c>
      <c r="AO32" s="402">
        <f t="shared" ca="1" si="15"/>
        <v>0</v>
      </c>
      <c r="AP32" s="402">
        <f t="shared" ca="1" si="16"/>
        <v>0</v>
      </c>
      <c r="AQ32" s="402">
        <f t="shared" ca="1" si="17"/>
        <v>0</v>
      </c>
      <c r="AR32" s="402">
        <f t="shared" ca="1" si="18"/>
        <v>0</v>
      </c>
      <c r="AS32" s="403"/>
      <c r="AT32" s="402">
        <f t="shared" si="19"/>
        <v>1</v>
      </c>
    </row>
    <row r="33" spans="1:46" ht="15.75" customHeight="1">
      <c r="A33" s="382"/>
      <c r="B33" s="383">
        <f t="shared" ca="1" si="0"/>
        <v>3</v>
      </c>
      <c r="C33" s="384">
        <f t="shared" ca="1" si="1"/>
        <v>1</v>
      </c>
      <c r="D33" s="384">
        <f t="shared" ca="1" si="2"/>
        <v>3</v>
      </c>
      <c r="E33" s="384">
        <f t="shared" ca="1" si="3"/>
        <v>1</v>
      </c>
      <c r="F33" s="384" t="str">
        <f t="shared" ca="1" si="4"/>
        <v/>
      </c>
      <c r="G33" s="385" t="str">
        <f t="shared" ca="1" si="5"/>
        <v/>
      </c>
      <c r="H33" s="386" t="str">
        <f t="shared" ca="1" si="6"/>
        <v/>
      </c>
      <c r="I33" s="404"/>
      <c r="J33" s="415"/>
      <c r="K33" s="428"/>
      <c r="L33" s="428" t="s">
        <v>59</v>
      </c>
      <c r="M33" s="428"/>
      <c r="N33" s="428"/>
      <c r="O33" s="428"/>
      <c r="P33" s="428"/>
      <c r="Q33" s="429"/>
      <c r="R33" s="424" t="s">
        <v>242</v>
      </c>
      <c r="S33" s="418">
        <v>45867</v>
      </c>
      <c r="T33" s="419">
        <v>45873</v>
      </c>
      <c r="U33" s="418"/>
      <c r="V33" s="419"/>
      <c r="W33" s="430"/>
      <c r="X33" s="431"/>
      <c r="Y33" s="434"/>
      <c r="Z33" s="433"/>
      <c r="AA33" s="396"/>
      <c r="AB33" s="397"/>
      <c r="AC33" s="398"/>
      <c r="AD33" s="399"/>
      <c r="AE33" s="400"/>
      <c r="AF33" s="401"/>
      <c r="AG33" s="401">
        <f t="shared" ca="1" si="7"/>
        <v>0</v>
      </c>
      <c r="AH33" s="401">
        <f t="shared" ca="1" si="8"/>
        <v>0</v>
      </c>
      <c r="AI33" s="401">
        <f t="shared" si="9"/>
        <v>0</v>
      </c>
      <c r="AJ33" s="401">
        <f t="shared" ca="1" si="10"/>
        <v>0</v>
      </c>
      <c r="AK33" s="401" t="str">
        <f t="shared" ca="1" si="11"/>
        <v/>
      </c>
      <c r="AL33" s="402">
        <f t="shared" ca="1" si="12"/>
        <v>3</v>
      </c>
      <c r="AM33" s="402">
        <f t="shared" ca="1" si="13"/>
        <v>1</v>
      </c>
      <c r="AN33" s="402">
        <f t="shared" ca="1" si="14"/>
        <v>3</v>
      </c>
      <c r="AO33" s="402">
        <f t="shared" ca="1" si="15"/>
        <v>1</v>
      </c>
      <c r="AP33" s="402">
        <f t="shared" ca="1" si="16"/>
        <v>0</v>
      </c>
      <c r="AQ33" s="402">
        <f t="shared" ca="1" si="17"/>
        <v>0</v>
      </c>
      <c r="AR33" s="402">
        <f t="shared" ca="1" si="18"/>
        <v>0</v>
      </c>
      <c r="AS33" s="403"/>
      <c r="AT33" s="402">
        <f t="shared" si="19"/>
        <v>7</v>
      </c>
    </row>
    <row r="34" spans="1:46" ht="15.75" customHeight="1">
      <c r="A34" s="382"/>
      <c r="B34" s="383">
        <f t="shared" ca="1" si="0"/>
        <v>3</v>
      </c>
      <c r="C34" s="384">
        <f t="shared" ca="1" si="1"/>
        <v>1</v>
      </c>
      <c r="D34" s="384">
        <f t="shared" ca="1" si="2"/>
        <v>3</v>
      </c>
      <c r="E34" s="384">
        <f t="shared" ca="1" si="3"/>
        <v>2</v>
      </c>
      <c r="F34" s="384" t="str">
        <f t="shared" ca="1" si="4"/>
        <v/>
      </c>
      <c r="G34" s="385" t="str">
        <f t="shared" ca="1" si="5"/>
        <v/>
      </c>
      <c r="H34" s="386" t="str">
        <f t="shared" ca="1" si="6"/>
        <v/>
      </c>
      <c r="I34" s="404"/>
      <c r="J34" s="415"/>
      <c r="K34" s="428"/>
      <c r="L34" s="428" t="s">
        <v>61</v>
      </c>
      <c r="M34" s="428"/>
      <c r="N34" s="428"/>
      <c r="O34" s="428"/>
      <c r="P34" s="428"/>
      <c r="Q34" s="429"/>
      <c r="R34" s="424" t="s">
        <v>239</v>
      </c>
      <c r="S34" s="418">
        <v>45874</v>
      </c>
      <c r="T34" s="419">
        <v>45874</v>
      </c>
      <c r="U34" s="418"/>
      <c r="V34" s="419"/>
      <c r="W34" s="430"/>
      <c r="X34" s="431"/>
      <c r="Y34" s="434"/>
      <c r="Z34" s="433"/>
      <c r="AA34" s="396"/>
      <c r="AB34" s="397"/>
      <c r="AC34" s="398"/>
      <c r="AD34" s="399"/>
      <c r="AE34" s="400"/>
      <c r="AF34" s="401"/>
      <c r="AG34" s="401">
        <f t="shared" ca="1" si="7"/>
        <v>0</v>
      </c>
      <c r="AH34" s="401">
        <f t="shared" ca="1" si="8"/>
        <v>0</v>
      </c>
      <c r="AI34" s="401">
        <f t="shared" si="9"/>
        <v>0</v>
      </c>
      <c r="AJ34" s="401">
        <f t="shared" ca="1" si="10"/>
        <v>0</v>
      </c>
      <c r="AK34" s="401" t="str">
        <f t="shared" ca="1" si="11"/>
        <v/>
      </c>
      <c r="AL34" s="402">
        <f t="shared" ca="1" si="12"/>
        <v>3</v>
      </c>
      <c r="AM34" s="402">
        <f t="shared" ca="1" si="13"/>
        <v>1</v>
      </c>
      <c r="AN34" s="402">
        <f t="shared" ca="1" si="14"/>
        <v>3</v>
      </c>
      <c r="AO34" s="402">
        <f t="shared" ca="1" si="15"/>
        <v>2</v>
      </c>
      <c r="AP34" s="402">
        <f t="shared" ca="1" si="16"/>
        <v>0</v>
      </c>
      <c r="AQ34" s="402">
        <f t="shared" ca="1" si="17"/>
        <v>0</v>
      </c>
      <c r="AR34" s="402">
        <f t="shared" ca="1" si="18"/>
        <v>0</v>
      </c>
      <c r="AS34" s="403"/>
      <c r="AT34" s="402">
        <f t="shared" si="19"/>
        <v>1</v>
      </c>
    </row>
    <row r="35" spans="1:46" ht="15.75" customHeight="1">
      <c r="A35" s="382"/>
      <c r="B35" s="383">
        <f t="shared" ca="1" si="0"/>
        <v>3</v>
      </c>
      <c r="C35" s="384">
        <f t="shared" ca="1" si="1"/>
        <v>1</v>
      </c>
      <c r="D35" s="384">
        <f t="shared" ca="1" si="2"/>
        <v>3</v>
      </c>
      <c r="E35" s="384">
        <f t="shared" ca="1" si="3"/>
        <v>3</v>
      </c>
      <c r="F35" s="384" t="str">
        <f t="shared" ca="1" si="4"/>
        <v/>
      </c>
      <c r="G35" s="385" t="str">
        <f t="shared" ca="1" si="5"/>
        <v/>
      </c>
      <c r="H35" s="386" t="str">
        <f t="shared" ca="1" si="6"/>
        <v/>
      </c>
      <c r="I35" s="404"/>
      <c r="J35" s="415"/>
      <c r="K35" s="428"/>
      <c r="L35" s="428" t="s">
        <v>63</v>
      </c>
      <c r="M35" s="428"/>
      <c r="N35" s="428"/>
      <c r="O35" s="428"/>
      <c r="P35" s="428"/>
      <c r="Q35" s="429"/>
      <c r="R35" s="424" t="s">
        <v>242</v>
      </c>
      <c r="S35" s="418">
        <v>45875</v>
      </c>
      <c r="T35" s="419">
        <v>45875</v>
      </c>
      <c r="U35" s="418"/>
      <c r="V35" s="419"/>
      <c r="W35" s="430"/>
      <c r="X35" s="431"/>
      <c r="Y35" s="434"/>
      <c r="Z35" s="433"/>
      <c r="AA35" s="396"/>
      <c r="AB35" s="397"/>
      <c r="AC35" s="398"/>
      <c r="AD35" s="399"/>
      <c r="AE35" s="400"/>
      <c r="AF35" s="401"/>
      <c r="AG35" s="401">
        <f t="shared" ca="1" si="7"/>
        <v>0</v>
      </c>
      <c r="AH35" s="401">
        <f t="shared" ca="1" si="8"/>
        <v>0</v>
      </c>
      <c r="AI35" s="401">
        <f t="shared" si="9"/>
        <v>0</v>
      </c>
      <c r="AJ35" s="401">
        <f t="shared" ca="1" si="10"/>
        <v>0</v>
      </c>
      <c r="AK35" s="401" t="str">
        <f t="shared" ca="1" si="11"/>
        <v/>
      </c>
      <c r="AL35" s="402">
        <f t="shared" ca="1" si="12"/>
        <v>3</v>
      </c>
      <c r="AM35" s="402">
        <f t="shared" ca="1" si="13"/>
        <v>1</v>
      </c>
      <c r="AN35" s="402">
        <f t="shared" ca="1" si="14"/>
        <v>3</v>
      </c>
      <c r="AO35" s="402">
        <f t="shared" ca="1" si="15"/>
        <v>3</v>
      </c>
      <c r="AP35" s="402">
        <f t="shared" ca="1" si="16"/>
        <v>0</v>
      </c>
      <c r="AQ35" s="402">
        <f t="shared" ca="1" si="17"/>
        <v>0</v>
      </c>
      <c r="AR35" s="402">
        <f t="shared" ca="1" si="18"/>
        <v>0</v>
      </c>
      <c r="AS35" s="403"/>
      <c r="AT35" s="402">
        <f t="shared" si="19"/>
        <v>1</v>
      </c>
    </row>
    <row r="36" spans="1:46" ht="15.75" customHeight="1">
      <c r="A36" s="382"/>
      <c r="B36" s="383">
        <f t="shared" ca="1" si="0"/>
        <v>3</v>
      </c>
      <c r="C36" s="384">
        <f t="shared" ca="1" si="1"/>
        <v>1</v>
      </c>
      <c r="D36" s="384">
        <f t="shared" ca="1" si="2"/>
        <v>3</v>
      </c>
      <c r="E36" s="384">
        <f t="shared" ca="1" si="3"/>
        <v>4</v>
      </c>
      <c r="F36" s="384" t="str">
        <f t="shared" ca="1" si="4"/>
        <v/>
      </c>
      <c r="G36" s="385" t="str">
        <f t="shared" ca="1" si="5"/>
        <v/>
      </c>
      <c r="H36" s="386" t="str">
        <f t="shared" ca="1" si="6"/>
        <v/>
      </c>
      <c r="I36" s="404"/>
      <c r="J36" s="415"/>
      <c r="K36" s="428"/>
      <c r="L36" s="428" t="s">
        <v>64</v>
      </c>
      <c r="M36" s="428"/>
      <c r="N36" s="428"/>
      <c r="O36" s="428"/>
      <c r="P36" s="428"/>
      <c r="Q36" s="429"/>
      <c r="R36" s="424" t="s">
        <v>239</v>
      </c>
      <c r="S36" s="418">
        <v>45875</v>
      </c>
      <c r="T36" s="419">
        <v>45875</v>
      </c>
      <c r="U36" s="418"/>
      <c r="V36" s="419"/>
      <c r="W36" s="430"/>
      <c r="X36" s="431"/>
      <c r="Y36" s="434"/>
      <c r="Z36" s="433"/>
      <c r="AA36" s="396"/>
      <c r="AB36" s="397"/>
      <c r="AC36" s="398"/>
      <c r="AD36" s="399"/>
      <c r="AE36" s="400"/>
      <c r="AF36" s="401"/>
      <c r="AG36" s="401">
        <f t="shared" ca="1" si="7"/>
        <v>0</v>
      </c>
      <c r="AH36" s="401">
        <f t="shared" ca="1" si="8"/>
        <v>0</v>
      </c>
      <c r="AI36" s="401">
        <f t="shared" si="9"/>
        <v>0</v>
      </c>
      <c r="AJ36" s="401">
        <f t="shared" ca="1" si="10"/>
        <v>0</v>
      </c>
      <c r="AK36" s="401" t="str">
        <f t="shared" ca="1" si="11"/>
        <v/>
      </c>
      <c r="AL36" s="402">
        <f t="shared" ca="1" si="12"/>
        <v>3</v>
      </c>
      <c r="AM36" s="402">
        <f t="shared" ca="1" si="13"/>
        <v>1</v>
      </c>
      <c r="AN36" s="402">
        <f t="shared" ca="1" si="14"/>
        <v>3</v>
      </c>
      <c r="AO36" s="402">
        <f t="shared" ca="1" si="15"/>
        <v>4</v>
      </c>
      <c r="AP36" s="402">
        <f t="shared" ca="1" si="16"/>
        <v>0</v>
      </c>
      <c r="AQ36" s="402">
        <f t="shared" ca="1" si="17"/>
        <v>0</v>
      </c>
      <c r="AR36" s="402">
        <f t="shared" ca="1" si="18"/>
        <v>0</v>
      </c>
      <c r="AS36" s="403"/>
      <c r="AT36" s="402">
        <f t="shared" si="19"/>
        <v>1</v>
      </c>
    </row>
    <row r="37" spans="1:46" ht="15.75" customHeight="1">
      <c r="A37" s="382"/>
      <c r="B37" s="383">
        <f t="shared" ca="1" si="0"/>
        <v>3</v>
      </c>
      <c r="C37" s="384">
        <f t="shared" ca="1" si="1"/>
        <v>1</v>
      </c>
      <c r="D37" s="384">
        <f t="shared" ca="1" si="2"/>
        <v>3</v>
      </c>
      <c r="E37" s="384">
        <f t="shared" ca="1" si="3"/>
        <v>5</v>
      </c>
      <c r="F37" s="384" t="str">
        <f t="shared" ca="1" si="4"/>
        <v/>
      </c>
      <c r="G37" s="385" t="str">
        <f t="shared" ca="1" si="5"/>
        <v/>
      </c>
      <c r="H37" s="386" t="str">
        <f t="shared" ca="1" si="6"/>
        <v/>
      </c>
      <c r="I37" s="404"/>
      <c r="J37" s="415"/>
      <c r="K37" s="428"/>
      <c r="L37" s="428" t="s">
        <v>65</v>
      </c>
      <c r="M37" s="428"/>
      <c r="N37" s="428"/>
      <c r="O37" s="428"/>
      <c r="P37" s="428"/>
      <c r="Q37" s="429"/>
      <c r="R37" s="424" t="s">
        <v>242</v>
      </c>
      <c r="S37" s="418">
        <v>45876</v>
      </c>
      <c r="T37" s="419">
        <v>45876</v>
      </c>
      <c r="U37" s="418"/>
      <c r="V37" s="419"/>
      <c r="W37" s="430"/>
      <c r="X37" s="431"/>
      <c r="Y37" s="434"/>
      <c r="Z37" s="433"/>
      <c r="AA37" s="396"/>
      <c r="AB37" s="397"/>
      <c r="AC37" s="398"/>
      <c r="AD37" s="399"/>
      <c r="AE37" s="400"/>
      <c r="AF37" s="401"/>
      <c r="AG37" s="401">
        <f t="shared" ca="1" si="7"/>
        <v>0</v>
      </c>
      <c r="AH37" s="401">
        <f t="shared" ca="1" si="8"/>
        <v>0</v>
      </c>
      <c r="AI37" s="401">
        <f t="shared" si="9"/>
        <v>0</v>
      </c>
      <c r="AJ37" s="401">
        <f t="shared" ca="1" si="10"/>
        <v>0</v>
      </c>
      <c r="AK37" s="401" t="str">
        <f t="shared" ca="1" si="11"/>
        <v/>
      </c>
      <c r="AL37" s="402">
        <f t="shared" ca="1" si="12"/>
        <v>3</v>
      </c>
      <c r="AM37" s="402">
        <f t="shared" ca="1" si="13"/>
        <v>1</v>
      </c>
      <c r="AN37" s="402">
        <f t="shared" ca="1" si="14"/>
        <v>3</v>
      </c>
      <c r="AO37" s="402">
        <f t="shared" ca="1" si="15"/>
        <v>5</v>
      </c>
      <c r="AP37" s="402">
        <f t="shared" ca="1" si="16"/>
        <v>0</v>
      </c>
      <c r="AQ37" s="402">
        <f t="shared" ca="1" si="17"/>
        <v>0</v>
      </c>
      <c r="AR37" s="402">
        <f t="shared" ca="1" si="18"/>
        <v>0</v>
      </c>
      <c r="AS37" s="403"/>
      <c r="AT37" s="402">
        <f t="shared" si="19"/>
        <v>1</v>
      </c>
    </row>
    <row r="38" spans="1:46" ht="15.75" customHeight="1">
      <c r="A38" s="382"/>
      <c r="B38" s="383">
        <f t="shared" ca="1" si="0"/>
        <v>3</v>
      </c>
      <c r="C38" s="384">
        <f t="shared" ca="1" si="1"/>
        <v>1</v>
      </c>
      <c r="D38" s="384">
        <f t="shared" ca="1" si="2"/>
        <v>3</v>
      </c>
      <c r="E38" s="384">
        <f t="shared" ca="1" si="3"/>
        <v>6</v>
      </c>
      <c r="F38" s="384" t="str">
        <f t="shared" ca="1" si="4"/>
        <v/>
      </c>
      <c r="G38" s="385" t="str">
        <f t="shared" ca="1" si="5"/>
        <v/>
      </c>
      <c r="H38" s="386" t="str">
        <f t="shared" ca="1" si="6"/>
        <v/>
      </c>
      <c r="I38" s="404"/>
      <c r="J38" s="415"/>
      <c r="K38" s="428"/>
      <c r="L38" s="428" t="s">
        <v>66</v>
      </c>
      <c r="M38" s="428"/>
      <c r="N38" s="428"/>
      <c r="O38" s="428"/>
      <c r="P38" s="428"/>
      <c r="Q38" s="429"/>
      <c r="R38" s="424" t="s">
        <v>239</v>
      </c>
      <c r="S38" s="418">
        <v>45877</v>
      </c>
      <c r="T38" s="419">
        <v>45877</v>
      </c>
      <c r="U38" s="418"/>
      <c r="V38" s="419"/>
      <c r="W38" s="430"/>
      <c r="X38" s="431"/>
      <c r="Y38" s="434"/>
      <c r="Z38" s="433"/>
      <c r="AA38" s="396"/>
      <c r="AB38" s="397"/>
      <c r="AC38" s="398"/>
      <c r="AD38" s="399"/>
      <c r="AE38" s="400"/>
      <c r="AF38" s="401"/>
      <c r="AG38" s="401">
        <f t="shared" ca="1" si="7"/>
        <v>0</v>
      </c>
      <c r="AH38" s="401">
        <f t="shared" ca="1" si="8"/>
        <v>0</v>
      </c>
      <c r="AI38" s="401">
        <f t="shared" si="9"/>
        <v>0</v>
      </c>
      <c r="AJ38" s="401">
        <f t="shared" ca="1" si="10"/>
        <v>0</v>
      </c>
      <c r="AK38" s="401" t="str">
        <f t="shared" ca="1" si="11"/>
        <v/>
      </c>
      <c r="AL38" s="402">
        <f t="shared" ca="1" si="12"/>
        <v>3</v>
      </c>
      <c r="AM38" s="402">
        <f t="shared" ca="1" si="13"/>
        <v>1</v>
      </c>
      <c r="AN38" s="402">
        <f t="shared" ca="1" si="14"/>
        <v>3</v>
      </c>
      <c r="AO38" s="402">
        <f t="shared" ca="1" si="15"/>
        <v>6</v>
      </c>
      <c r="AP38" s="402">
        <f t="shared" ca="1" si="16"/>
        <v>0</v>
      </c>
      <c r="AQ38" s="402">
        <f t="shared" ca="1" si="17"/>
        <v>0</v>
      </c>
      <c r="AR38" s="402">
        <f t="shared" ca="1" si="18"/>
        <v>0</v>
      </c>
      <c r="AS38" s="403"/>
      <c r="AT38" s="402">
        <f t="shared" si="19"/>
        <v>1</v>
      </c>
    </row>
    <row r="39" spans="1:46" ht="15.75" customHeight="1">
      <c r="A39" s="382"/>
      <c r="B39" s="383">
        <f t="shared" ca="1" si="0"/>
        <v>3</v>
      </c>
      <c r="C39" s="384">
        <f t="shared" ca="1" si="1"/>
        <v>1</v>
      </c>
      <c r="D39" s="384">
        <f t="shared" ca="1" si="2"/>
        <v>4</v>
      </c>
      <c r="E39" s="384" t="str">
        <f t="shared" ca="1" si="3"/>
        <v/>
      </c>
      <c r="F39" s="384" t="str">
        <f t="shared" ca="1" si="4"/>
        <v/>
      </c>
      <c r="G39" s="385" t="str">
        <f t="shared" ca="1" si="5"/>
        <v/>
      </c>
      <c r="H39" s="386" t="str">
        <f t="shared" ca="1" si="6"/>
        <v/>
      </c>
      <c r="I39" s="404"/>
      <c r="J39" s="415"/>
      <c r="K39" s="428" t="s">
        <v>295</v>
      </c>
      <c r="L39" s="428"/>
      <c r="M39" s="428"/>
      <c r="N39" s="428"/>
      <c r="O39" s="428"/>
      <c r="P39" s="428"/>
      <c r="Q39" s="429"/>
      <c r="R39" s="417"/>
      <c r="S39" s="418"/>
      <c r="T39" s="419"/>
      <c r="U39" s="418"/>
      <c r="V39" s="419"/>
      <c r="W39" s="430"/>
      <c r="X39" s="431"/>
      <c r="Y39" s="434"/>
      <c r="Z39" s="433"/>
      <c r="AA39" s="396"/>
      <c r="AB39" s="397"/>
      <c r="AC39" s="398"/>
      <c r="AD39" s="399"/>
      <c r="AE39" s="400"/>
      <c r="AF39" s="401"/>
      <c r="AG39" s="401">
        <f t="shared" si="7"/>
        <v>0</v>
      </c>
      <c r="AH39" s="401">
        <f t="shared" si="8"/>
        <v>0</v>
      </c>
      <c r="AI39" s="401">
        <f t="shared" si="9"/>
        <v>0</v>
      </c>
      <c r="AJ39" s="401">
        <f t="shared" si="10"/>
        <v>0</v>
      </c>
      <c r="AK39" s="401" t="str">
        <f t="shared" si="11"/>
        <v/>
      </c>
      <c r="AL39" s="402">
        <f t="shared" ca="1" si="12"/>
        <v>3</v>
      </c>
      <c r="AM39" s="402">
        <f t="shared" ca="1" si="13"/>
        <v>1</v>
      </c>
      <c r="AN39" s="402">
        <f t="shared" ca="1" si="14"/>
        <v>4</v>
      </c>
      <c r="AO39" s="402">
        <f t="shared" ca="1" si="15"/>
        <v>0</v>
      </c>
      <c r="AP39" s="402">
        <f t="shared" ca="1" si="16"/>
        <v>0</v>
      </c>
      <c r="AQ39" s="402">
        <f t="shared" ca="1" si="17"/>
        <v>0</v>
      </c>
      <c r="AR39" s="402">
        <f t="shared" ca="1" si="18"/>
        <v>0</v>
      </c>
      <c r="AS39" s="403"/>
      <c r="AT39" s="402">
        <f t="shared" si="19"/>
        <v>1</v>
      </c>
    </row>
    <row r="40" spans="1:46" ht="15.75" customHeight="1">
      <c r="A40" s="382"/>
      <c r="B40" s="383">
        <f t="shared" ca="1" si="0"/>
        <v>3</v>
      </c>
      <c r="C40" s="384">
        <f t="shared" ca="1" si="1"/>
        <v>1</v>
      </c>
      <c r="D40" s="384">
        <f t="shared" ca="1" si="2"/>
        <v>4</v>
      </c>
      <c r="E40" s="384">
        <f t="shared" ca="1" si="3"/>
        <v>1</v>
      </c>
      <c r="F40" s="384" t="str">
        <f t="shared" ca="1" si="4"/>
        <v/>
      </c>
      <c r="G40" s="385" t="str">
        <f t="shared" ca="1" si="5"/>
        <v/>
      </c>
      <c r="H40" s="386" t="str">
        <f t="shared" ca="1" si="6"/>
        <v/>
      </c>
      <c r="I40" s="404"/>
      <c r="J40" s="415"/>
      <c r="K40" s="428"/>
      <c r="L40" s="428" t="s">
        <v>59</v>
      </c>
      <c r="M40" s="428"/>
      <c r="N40" s="428"/>
      <c r="O40" s="428"/>
      <c r="P40" s="428"/>
      <c r="Q40" s="429"/>
      <c r="R40" s="424" t="s">
        <v>238</v>
      </c>
      <c r="S40" s="418">
        <v>45881</v>
      </c>
      <c r="T40" s="419">
        <v>45884</v>
      </c>
      <c r="U40" s="418"/>
      <c r="V40" s="419"/>
      <c r="W40" s="430"/>
      <c r="X40" s="431"/>
      <c r="Y40" s="434"/>
      <c r="Z40" s="433"/>
      <c r="AA40" s="396"/>
      <c r="AB40" s="397"/>
      <c r="AC40" s="398"/>
      <c r="AD40" s="399"/>
      <c r="AE40" s="400"/>
      <c r="AF40" s="401"/>
      <c r="AG40" s="401">
        <f t="shared" ca="1" si="7"/>
        <v>0</v>
      </c>
      <c r="AH40" s="401">
        <f t="shared" ca="1" si="8"/>
        <v>0</v>
      </c>
      <c r="AI40" s="401">
        <f t="shared" si="9"/>
        <v>0</v>
      </c>
      <c r="AJ40" s="401">
        <f t="shared" ca="1" si="10"/>
        <v>0</v>
      </c>
      <c r="AK40" s="401" t="str">
        <f t="shared" ca="1" si="11"/>
        <v/>
      </c>
      <c r="AL40" s="402">
        <f t="shared" ca="1" si="12"/>
        <v>3</v>
      </c>
      <c r="AM40" s="402">
        <f t="shared" ca="1" si="13"/>
        <v>1</v>
      </c>
      <c r="AN40" s="402">
        <f t="shared" ca="1" si="14"/>
        <v>4</v>
      </c>
      <c r="AO40" s="402">
        <f t="shared" ca="1" si="15"/>
        <v>1</v>
      </c>
      <c r="AP40" s="402">
        <f t="shared" ca="1" si="16"/>
        <v>0</v>
      </c>
      <c r="AQ40" s="402">
        <f t="shared" ca="1" si="17"/>
        <v>0</v>
      </c>
      <c r="AR40" s="402">
        <f t="shared" ca="1" si="18"/>
        <v>0</v>
      </c>
      <c r="AS40" s="403"/>
      <c r="AT40" s="402">
        <f t="shared" si="19"/>
        <v>4</v>
      </c>
    </row>
    <row r="41" spans="1:46" ht="15.75" customHeight="1">
      <c r="A41" s="382"/>
      <c r="B41" s="383">
        <f t="shared" ca="1" si="0"/>
        <v>3</v>
      </c>
      <c r="C41" s="384">
        <f t="shared" ca="1" si="1"/>
        <v>1</v>
      </c>
      <c r="D41" s="384">
        <f t="shared" ca="1" si="2"/>
        <v>4</v>
      </c>
      <c r="E41" s="384">
        <f t="shared" ca="1" si="3"/>
        <v>2</v>
      </c>
      <c r="F41" s="384" t="str">
        <f t="shared" ca="1" si="4"/>
        <v/>
      </c>
      <c r="G41" s="385" t="str">
        <f t="shared" ca="1" si="5"/>
        <v/>
      </c>
      <c r="H41" s="386" t="str">
        <f t="shared" ca="1" si="6"/>
        <v/>
      </c>
      <c r="I41" s="404"/>
      <c r="J41" s="415"/>
      <c r="K41" s="428"/>
      <c r="L41" s="428" t="s">
        <v>61</v>
      </c>
      <c r="M41" s="428"/>
      <c r="N41" s="428"/>
      <c r="O41" s="428"/>
      <c r="P41" s="428"/>
      <c r="Q41" s="429"/>
      <c r="R41" s="424" t="s">
        <v>242</v>
      </c>
      <c r="S41" s="418">
        <v>45887</v>
      </c>
      <c r="T41" s="419">
        <v>45887</v>
      </c>
      <c r="U41" s="418"/>
      <c r="V41" s="419"/>
      <c r="W41" s="430"/>
      <c r="X41" s="431"/>
      <c r="Y41" s="434"/>
      <c r="Z41" s="433"/>
      <c r="AA41" s="396"/>
      <c r="AB41" s="397"/>
      <c r="AC41" s="398"/>
      <c r="AD41" s="399"/>
      <c r="AE41" s="400"/>
      <c r="AF41" s="401"/>
      <c r="AG41" s="401">
        <f t="shared" ca="1" si="7"/>
        <v>0</v>
      </c>
      <c r="AH41" s="401">
        <f t="shared" ca="1" si="8"/>
        <v>0</v>
      </c>
      <c r="AI41" s="401">
        <f t="shared" si="9"/>
        <v>0</v>
      </c>
      <c r="AJ41" s="401">
        <f t="shared" ca="1" si="10"/>
        <v>0</v>
      </c>
      <c r="AK41" s="401" t="str">
        <f t="shared" ca="1" si="11"/>
        <v/>
      </c>
      <c r="AL41" s="402">
        <f t="shared" ca="1" si="12"/>
        <v>3</v>
      </c>
      <c r="AM41" s="402">
        <f t="shared" ca="1" si="13"/>
        <v>1</v>
      </c>
      <c r="AN41" s="402">
        <f t="shared" ca="1" si="14"/>
        <v>4</v>
      </c>
      <c r="AO41" s="402">
        <f t="shared" ca="1" si="15"/>
        <v>2</v>
      </c>
      <c r="AP41" s="402">
        <f t="shared" ca="1" si="16"/>
        <v>0</v>
      </c>
      <c r="AQ41" s="402">
        <f t="shared" ca="1" si="17"/>
        <v>0</v>
      </c>
      <c r="AR41" s="402">
        <f t="shared" ca="1" si="18"/>
        <v>0</v>
      </c>
      <c r="AS41" s="403"/>
      <c r="AT41" s="402">
        <f t="shared" si="19"/>
        <v>1</v>
      </c>
    </row>
    <row r="42" spans="1:46" ht="15.75" customHeight="1">
      <c r="A42" s="382"/>
      <c r="B42" s="383">
        <f t="shared" ca="1" si="0"/>
        <v>3</v>
      </c>
      <c r="C42" s="384">
        <f t="shared" ca="1" si="1"/>
        <v>1</v>
      </c>
      <c r="D42" s="384">
        <f t="shared" ca="1" si="2"/>
        <v>4</v>
      </c>
      <c r="E42" s="384">
        <f t="shared" ca="1" si="3"/>
        <v>3</v>
      </c>
      <c r="F42" s="384" t="str">
        <f t="shared" ca="1" si="4"/>
        <v/>
      </c>
      <c r="G42" s="385" t="str">
        <f t="shared" ca="1" si="5"/>
        <v/>
      </c>
      <c r="H42" s="386" t="str">
        <f t="shared" ca="1" si="6"/>
        <v/>
      </c>
      <c r="I42" s="404"/>
      <c r="J42" s="415"/>
      <c r="K42" s="428"/>
      <c r="L42" s="428" t="s">
        <v>63</v>
      </c>
      <c r="M42" s="428"/>
      <c r="N42" s="428"/>
      <c r="O42" s="428"/>
      <c r="P42" s="428"/>
      <c r="Q42" s="429"/>
      <c r="R42" s="424" t="s">
        <v>238</v>
      </c>
      <c r="S42" s="418">
        <v>45888</v>
      </c>
      <c r="T42" s="419">
        <v>45888</v>
      </c>
      <c r="U42" s="418"/>
      <c r="V42" s="419"/>
      <c r="W42" s="430"/>
      <c r="X42" s="431"/>
      <c r="Y42" s="434"/>
      <c r="Z42" s="433"/>
      <c r="AA42" s="396"/>
      <c r="AB42" s="397"/>
      <c r="AC42" s="398"/>
      <c r="AD42" s="399"/>
      <c r="AE42" s="400"/>
      <c r="AF42" s="401"/>
      <c r="AG42" s="401">
        <f t="shared" ca="1" si="7"/>
        <v>0</v>
      </c>
      <c r="AH42" s="401">
        <f t="shared" ca="1" si="8"/>
        <v>0</v>
      </c>
      <c r="AI42" s="401">
        <f t="shared" si="9"/>
        <v>0</v>
      </c>
      <c r="AJ42" s="401">
        <f t="shared" ca="1" si="10"/>
        <v>0</v>
      </c>
      <c r="AK42" s="401" t="str">
        <f t="shared" ca="1" si="11"/>
        <v/>
      </c>
      <c r="AL42" s="402">
        <f t="shared" ca="1" si="12"/>
        <v>3</v>
      </c>
      <c r="AM42" s="402">
        <f t="shared" ca="1" si="13"/>
        <v>1</v>
      </c>
      <c r="AN42" s="402">
        <f t="shared" ca="1" si="14"/>
        <v>4</v>
      </c>
      <c r="AO42" s="402">
        <f t="shared" ca="1" si="15"/>
        <v>3</v>
      </c>
      <c r="AP42" s="402">
        <f t="shared" ca="1" si="16"/>
        <v>0</v>
      </c>
      <c r="AQ42" s="402">
        <f t="shared" ca="1" si="17"/>
        <v>0</v>
      </c>
      <c r="AR42" s="402">
        <f t="shared" ca="1" si="18"/>
        <v>0</v>
      </c>
      <c r="AS42" s="403"/>
      <c r="AT42" s="402">
        <f t="shared" si="19"/>
        <v>1</v>
      </c>
    </row>
    <row r="43" spans="1:46" ht="15.75" customHeight="1">
      <c r="A43" s="382"/>
      <c r="B43" s="383">
        <f t="shared" ca="1" si="0"/>
        <v>3</v>
      </c>
      <c r="C43" s="384">
        <f t="shared" ca="1" si="1"/>
        <v>1</v>
      </c>
      <c r="D43" s="384">
        <f t="shared" ca="1" si="2"/>
        <v>4</v>
      </c>
      <c r="E43" s="384">
        <f t="shared" ca="1" si="3"/>
        <v>4</v>
      </c>
      <c r="F43" s="384" t="str">
        <f t="shared" ca="1" si="4"/>
        <v/>
      </c>
      <c r="G43" s="385" t="str">
        <f t="shared" ca="1" si="5"/>
        <v/>
      </c>
      <c r="H43" s="386" t="str">
        <f t="shared" ca="1" si="6"/>
        <v/>
      </c>
      <c r="I43" s="404"/>
      <c r="J43" s="415"/>
      <c r="K43" s="428"/>
      <c r="L43" s="428" t="s">
        <v>64</v>
      </c>
      <c r="M43" s="428"/>
      <c r="N43" s="428"/>
      <c r="O43" s="428"/>
      <c r="P43" s="428"/>
      <c r="Q43" s="429"/>
      <c r="R43" s="424" t="s">
        <v>242</v>
      </c>
      <c r="S43" s="418">
        <v>45888</v>
      </c>
      <c r="T43" s="419">
        <v>45888</v>
      </c>
      <c r="U43" s="418"/>
      <c r="V43" s="419"/>
      <c r="W43" s="430"/>
      <c r="X43" s="431"/>
      <c r="Y43" s="434"/>
      <c r="Z43" s="433"/>
      <c r="AA43" s="396"/>
      <c r="AB43" s="397"/>
      <c r="AC43" s="398"/>
      <c r="AD43" s="399"/>
      <c r="AE43" s="400"/>
      <c r="AF43" s="401"/>
      <c r="AG43" s="401">
        <f t="shared" ca="1" si="7"/>
        <v>0</v>
      </c>
      <c r="AH43" s="401">
        <f t="shared" ca="1" si="8"/>
        <v>0</v>
      </c>
      <c r="AI43" s="401">
        <f t="shared" si="9"/>
        <v>0</v>
      </c>
      <c r="AJ43" s="401">
        <f t="shared" ca="1" si="10"/>
        <v>0</v>
      </c>
      <c r="AK43" s="401" t="str">
        <f t="shared" ca="1" si="11"/>
        <v/>
      </c>
      <c r="AL43" s="402">
        <f t="shared" ca="1" si="12"/>
        <v>3</v>
      </c>
      <c r="AM43" s="402">
        <f t="shared" ca="1" si="13"/>
        <v>1</v>
      </c>
      <c r="AN43" s="402">
        <f t="shared" ca="1" si="14"/>
        <v>4</v>
      </c>
      <c r="AO43" s="402">
        <f t="shared" ca="1" si="15"/>
        <v>4</v>
      </c>
      <c r="AP43" s="402">
        <f t="shared" ca="1" si="16"/>
        <v>0</v>
      </c>
      <c r="AQ43" s="402">
        <f t="shared" ca="1" si="17"/>
        <v>0</v>
      </c>
      <c r="AR43" s="402">
        <f t="shared" ca="1" si="18"/>
        <v>0</v>
      </c>
      <c r="AS43" s="403"/>
      <c r="AT43" s="402">
        <f t="shared" si="19"/>
        <v>1</v>
      </c>
    </row>
    <row r="44" spans="1:46" ht="15.75" customHeight="1">
      <c r="A44" s="382"/>
      <c r="B44" s="383">
        <f t="shared" ca="1" si="0"/>
        <v>3</v>
      </c>
      <c r="C44" s="384">
        <f t="shared" ca="1" si="1"/>
        <v>1</v>
      </c>
      <c r="D44" s="384">
        <f t="shared" ca="1" si="2"/>
        <v>4</v>
      </c>
      <c r="E44" s="384">
        <f t="shared" ca="1" si="3"/>
        <v>5</v>
      </c>
      <c r="F44" s="384" t="str">
        <f t="shared" ca="1" si="4"/>
        <v/>
      </c>
      <c r="G44" s="385" t="str">
        <f t="shared" ca="1" si="5"/>
        <v/>
      </c>
      <c r="H44" s="386" t="str">
        <f t="shared" ca="1" si="6"/>
        <v/>
      </c>
      <c r="I44" s="404"/>
      <c r="J44" s="415"/>
      <c r="K44" s="428"/>
      <c r="L44" s="428" t="s">
        <v>65</v>
      </c>
      <c r="M44" s="428"/>
      <c r="N44" s="428"/>
      <c r="O44" s="428"/>
      <c r="P44" s="428"/>
      <c r="Q44" s="429"/>
      <c r="R44" s="424" t="s">
        <v>238</v>
      </c>
      <c r="S44" s="418">
        <v>45889</v>
      </c>
      <c r="T44" s="419">
        <v>45889</v>
      </c>
      <c r="U44" s="418"/>
      <c r="V44" s="419"/>
      <c r="W44" s="430"/>
      <c r="X44" s="431"/>
      <c r="Y44" s="434"/>
      <c r="Z44" s="433"/>
      <c r="AA44" s="396"/>
      <c r="AB44" s="397"/>
      <c r="AC44" s="398"/>
      <c r="AD44" s="399"/>
      <c r="AE44" s="400"/>
      <c r="AF44" s="401"/>
      <c r="AG44" s="401">
        <f t="shared" ca="1" si="7"/>
        <v>0</v>
      </c>
      <c r="AH44" s="401">
        <f t="shared" ca="1" si="8"/>
        <v>0</v>
      </c>
      <c r="AI44" s="401">
        <f t="shared" si="9"/>
        <v>0</v>
      </c>
      <c r="AJ44" s="401">
        <f t="shared" ca="1" si="10"/>
        <v>0</v>
      </c>
      <c r="AK44" s="401" t="str">
        <f t="shared" ca="1" si="11"/>
        <v/>
      </c>
      <c r="AL44" s="402">
        <f t="shared" ca="1" si="12"/>
        <v>3</v>
      </c>
      <c r="AM44" s="402">
        <f t="shared" ca="1" si="13"/>
        <v>1</v>
      </c>
      <c r="AN44" s="402">
        <f t="shared" ca="1" si="14"/>
        <v>4</v>
      </c>
      <c r="AO44" s="402">
        <f t="shared" ca="1" si="15"/>
        <v>5</v>
      </c>
      <c r="AP44" s="402">
        <f t="shared" ca="1" si="16"/>
        <v>0</v>
      </c>
      <c r="AQ44" s="402">
        <f t="shared" ca="1" si="17"/>
        <v>0</v>
      </c>
      <c r="AR44" s="402">
        <f t="shared" ca="1" si="18"/>
        <v>0</v>
      </c>
      <c r="AS44" s="403"/>
      <c r="AT44" s="402">
        <f t="shared" si="19"/>
        <v>1</v>
      </c>
    </row>
    <row r="45" spans="1:46" ht="15.75" customHeight="1">
      <c r="A45" s="382"/>
      <c r="B45" s="383">
        <f t="shared" ca="1" si="0"/>
        <v>3</v>
      </c>
      <c r="C45" s="384">
        <f t="shared" ca="1" si="1"/>
        <v>1</v>
      </c>
      <c r="D45" s="384">
        <f t="shared" ca="1" si="2"/>
        <v>4</v>
      </c>
      <c r="E45" s="384">
        <f t="shared" ca="1" si="3"/>
        <v>6</v>
      </c>
      <c r="F45" s="384" t="str">
        <f t="shared" ca="1" si="4"/>
        <v/>
      </c>
      <c r="G45" s="385" t="str">
        <f t="shared" ca="1" si="5"/>
        <v/>
      </c>
      <c r="H45" s="386" t="str">
        <f t="shared" ca="1" si="6"/>
        <v/>
      </c>
      <c r="I45" s="404"/>
      <c r="J45" s="415"/>
      <c r="K45" s="428"/>
      <c r="L45" s="428" t="s">
        <v>66</v>
      </c>
      <c r="M45" s="428"/>
      <c r="N45" s="428"/>
      <c r="O45" s="428"/>
      <c r="P45" s="428"/>
      <c r="Q45" s="429"/>
      <c r="R45" s="424" t="s">
        <v>242</v>
      </c>
      <c r="S45" s="418">
        <v>45890</v>
      </c>
      <c r="T45" s="419">
        <v>45890</v>
      </c>
      <c r="U45" s="418"/>
      <c r="V45" s="419"/>
      <c r="W45" s="430"/>
      <c r="X45" s="431"/>
      <c r="Y45" s="434"/>
      <c r="Z45" s="433"/>
      <c r="AA45" s="396"/>
      <c r="AB45" s="397"/>
      <c r="AC45" s="398"/>
      <c r="AD45" s="399"/>
      <c r="AE45" s="400"/>
      <c r="AF45" s="401"/>
      <c r="AG45" s="401">
        <f t="shared" ca="1" si="7"/>
        <v>0</v>
      </c>
      <c r="AH45" s="401">
        <f t="shared" ca="1" si="8"/>
        <v>0</v>
      </c>
      <c r="AI45" s="401">
        <f t="shared" si="9"/>
        <v>0</v>
      </c>
      <c r="AJ45" s="401">
        <f t="shared" ca="1" si="10"/>
        <v>0</v>
      </c>
      <c r="AK45" s="401" t="str">
        <f t="shared" ca="1" si="11"/>
        <v/>
      </c>
      <c r="AL45" s="402">
        <f t="shared" ca="1" si="12"/>
        <v>3</v>
      </c>
      <c r="AM45" s="402">
        <f t="shared" ca="1" si="13"/>
        <v>1</v>
      </c>
      <c r="AN45" s="402">
        <f t="shared" ca="1" si="14"/>
        <v>4</v>
      </c>
      <c r="AO45" s="402">
        <f t="shared" ca="1" si="15"/>
        <v>6</v>
      </c>
      <c r="AP45" s="402">
        <f t="shared" ca="1" si="16"/>
        <v>0</v>
      </c>
      <c r="AQ45" s="402">
        <f t="shared" ca="1" si="17"/>
        <v>0</v>
      </c>
      <c r="AR45" s="402">
        <f t="shared" ca="1" si="18"/>
        <v>0</v>
      </c>
      <c r="AS45" s="403"/>
      <c r="AT45" s="402">
        <f t="shared" si="19"/>
        <v>1</v>
      </c>
    </row>
    <row r="46" spans="1:46" ht="15.75" customHeight="1">
      <c r="A46" s="382"/>
      <c r="B46" s="383">
        <f t="shared" ca="1" si="0"/>
        <v>3</v>
      </c>
      <c r="C46" s="384">
        <f t="shared" ca="1" si="1"/>
        <v>1</v>
      </c>
      <c r="D46" s="384">
        <f t="shared" ca="1" si="2"/>
        <v>5</v>
      </c>
      <c r="E46" s="384" t="str">
        <f t="shared" ca="1" si="3"/>
        <v/>
      </c>
      <c r="F46" s="384" t="str">
        <f t="shared" ca="1" si="4"/>
        <v/>
      </c>
      <c r="G46" s="385" t="str">
        <f t="shared" ca="1" si="5"/>
        <v/>
      </c>
      <c r="H46" s="386" t="str">
        <f t="shared" ca="1" si="6"/>
        <v/>
      </c>
      <c r="I46" s="404"/>
      <c r="J46" s="415"/>
      <c r="K46" s="428" t="s">
        <v>296</v>
      </c>
      <c r="L46" s="428"/>
      <c r="M46" s="428"/>
      <c r="N46" s="428"/>
      <c r="O46" s="428"/>
      <c r="P46" s="428"/>
      <c r="Q46" s="429"/>
      <c r="R46" s="417"/>
      <c r="S46" s="418"/>
      <c r="T46" s="419"/>
      <c r="U46" s="418"/>
      <c r="V46" s="419"/>
      <c r="W46" s="430"/>
      <c r="X46" s="431"/>
      <c r="Y46" s="434"/>
      <c r="Z46" s="433"/>
      <c r="AA46" s="396"/>
      <c r="AB46" s="397"/>
      <c r="AC46" s="398"/>
      <c r="AD46" s="399"/>
      <c r="AE46" s="400"/>
      <c r="AF46" s="401"/>
      <c r="AG46" s="401">
        <f t="shared" si="7"/>
        <v>0</v>
      </c>
      <c r="AH46" s="401">
        <f t="shared" si="8"/>
        <v>0</v>
      </c>
      <c r="AI46" s="401">
        <f t="shared" si="9"/>
        <v>0</v>
      </c>
      <c r="AJ46" s="401">
        <f t="shared" si="10"/>
        <v>0</v>
      </c>
      <c r="AK46" s="401" t="str">
        <f t="shared" si="11"/>
        <v/>
      </c>
      <c r="AL46" s="402">
        <f t="shared" ca="1" si="12"/>
        <v>3</v>
      </c>
      <c r="AM46" s="402">
        <f t="shared" ca="1" si="13"/>
        <v>1</v>
      </c>
      <c r="AN46" s="402">
        <f t="shared" ca="1" si="14"/>
        <v>5</v>
      </c>
      <c r="AO46" s="402">
        <f t="shared" ca="1" si="15"/>
        <v>0</v>
      </c>
      <c r="AP46" s="402">
        <f t="shared" ca="1" si="16"/>
        <v>0</v>
      </c>
      <c r="AQ46" s="402">
        <f t="shared" ca="1" si="17"/>
        <v>0</v>
      </c>
      <c r="AR46" s="402">
        <f t="shared" ca="1" si="18"/>
        <v>0</v>
      </c>
      <c r="AS46" s="403"/>
      <c r="AT46" s="402">
        <f t="shared" si="19"/>
        <v>1</v>
      </c>
    </row>
    <row r="47" spans="1:46" ht="15.75" customHeight="1">
      <c r="A47" s="382"/>
      <c r="B47" s="383">
        <f t="shared" ca="1" si="0"/>
        <v>3</v>
      </c>
      <c r="C47" s="384">
        <f t="shared" ca="1" si="1"/>
        <v>1</v>
      </c>
      <c r="D47" s="384">
        <f t="shared" ca="1" si="2"/>
        <v>5</v>
      </c>
      <c r="E47" s="384">
        <f t="shared" ca="1" si="3"/>
        <v>1</v>
      </c>
      <c r="F47" s="384" t="str">
        <f t="shared" ca="1" si="4"/>
        <v/>
      </c>
      <c r="G47" s="385" t="str">
        <f t="shared" ca="1" si="5"/>
        <v/>
      </c>
      <c r="H47" s="386" t="str">
        <f t="shared" ca="1" si="6"/>
        <v/>
      </c>
      <c r="I47" s="404"/>
      <c r="J47" s="415"/>
      <c r="K47" s="428"/>
      <c r="L47" s="428" t="s">
        <v>59</v>
      </c>
      <c r="M47" s="428"/>
      <c r="N47" s="428"/>
      <c r="O47" s="428"/>
      <c r="P47" s="428"/>
      <c r="Q47" s="429"/>
      <c r="R47" s="424" t="s">
        <v>239</v>
      </c>
      <c r="S47" s="418">
        <v>45881</v>
      </c>
      <c r="T47" s="419">
        <v>45884</v>
      </c>
      <c r="U47" s="418"/>
      <c r="V47" s="419"/>
      <c r="W47" s="430"/>
      <c r="X47" s="431"/>
      <c r="Y47" s="434"/>
      <c r="Z47" s="433"/>
      <c r="AA47" s="396"/>
      <c r="AB47" s="397"/>
      <c r="AC47" s="398"/>
      <c r="AD47" s="399"/>
      <c r="AE47" s="400"/>
      <c r="AF47" s="401"/>
      <c r="AG47" s="401">
        <f t="shared" ca="1" si="7"/>
        <v>0</v>
      </c>
      <c r="AH47" s="401">
        <f t="shared" ca="1" si="8"/>
        <v>0</v>
      </c>
      <c r="AI47" s="401">
        <f t="shared" si="9"/>
        <v>0</v>
      </c>
      <c r="AJ47" s="401">
        <f t="shared" ca="1" si="10"/>
        <v>0</v>
      </c>
      <c r="AK47" s="401" t="str">
        <f t="shared" ca="1" si="11"/>
        <v/>
      </c>
      <c r="AL47" s="402">
        <f t="shared" ca="1" si="12"/>
        <v>3</v>
      </c>
      <c r="AM47" s="402">
        <f t="shared" ca="1" si="13"/>
        <v>1</v>
      </c>
      <c r="AN47" s="402">
        <f t="shared" ca="1" si="14"/>
        <v>5</v>
      </c>
      <c r="AO47" s="402">
        <f t="shared" ca="1" si="15"/>
        <v>1</v>
      </c>
      <c r="AP47" s="402">
        <f t="shared" ca="1" si="16"/>
        <v>0</v>
      </c>
      <c r="AQ47" s="402">
        <f t="shared" ca="1" si="17"/>
        <v>0</v>
      </c>
      <c r="AR47" s="402">
        <f t="shared" ca="1" si="18"/>
        <v>0</v>
      </c>
      <c r="AS47" s="403"/>
      <c r="AT47" s="402">
        <f t="shared" si="19"/>
        <v>4</v>
      </c>
    </row>
    <row r="48" spans="1:46" ht="15.75" customHeight="1">
      <c r="A48" s="382"/>
      <c r="B48" s="383">
        <f t="shared" ca="1" si="0"/>
        <v>3</v>
      </c>
      <c r="C48" s="384">
        <f t="shared" ca="1" si="1"/>
        <v>1</v>
      </c>
      <c r="D48" s="384">
        <f t="shared" ca="1" si="2"/>
        <v>5</v>
      </c>
      <c r="E48" s="384">
        <f t="shared" ca="1" si="3"/>
        <v>2</v>
      </c>
      <c r="F48" s="384" t="str">
        <f t="shared" ca="1" si="4"/>
        <v/>
      </c>
      <c r="G48" s="385" t="str">
        <f t="shared" ca="1" si="5"/>
        <v/>
      </c>
      <c r="H48" s="386" t="str">
        <f t="shared" ca="1" si="6"/>
        <v/>
      </c>
      <c r="I48" s="404"/>
      <c r="J48" s="415"/>
      <c r="K48" s="428"/>
      <c r="L48" s="428" t="s">
        <v>61</v>
      </c>
      <c r="M48" s="428"/>
      <c r="N48" s="428"/>
      <c r="O48" s="428"/>
      <c r="P48" s="428"/>
      <c r="Q48" s="429"/>
      <c r="R48" s="424" t="s">
        <v>238</v>
      </c>
      <c r="S48" s="418">
        <v>45887</v>
      </c>
      <c r="T48" s="419">
        <v>45887</v>
      </c>
      <c r="U48" s="418"/>
      <c r="V48" s="419"/>
      <c r="W48" s="430"/>
      <c r="X48" s="431"/>
      <c r="Y48" s="434"/>
      <c r="Z48" s="433"/>
      <c r="AA48" s="396"/>
      <c r="AB48" s="397"/>
      <c r="AC48" s="398"/>
      <c r="AD48" s="399"/>
      <c r="AE48" s="400"/>
      <c r="AF48" s="401"/>
      <c r="AG48" s="401">
        <f t="shared" ca="1" si="7"/>
        <v>0</v>
      </c>
      <c r="AH48" s="401">
        <f t="shared" ca="1" si="8"/>
        <v>0</v>
      </c>
      <c r="AI48" s="401">
        <f t="shared" si="9"/>
        <v>0</v>
      </c>
      <c r="AJ48" s="401">
        <f t="shared" ca="1" si="10"/>
        <v>0</v>
      </c>
      <c r="AK48" s="401" t="str">
        <f t="shared" ca="1" si="11"/>
        <v/>
      </c>
      <c r="AL48" s="402">
        <f t="shared" ca="1" si="12"/>
        <v>3</v>
      </c>
      <c r="AM48" s="402">
        <f t="shared" ca="1" si="13"/>
        <v>1</v>
      </c>
      <c r="AN48" s="402">
        <f t="shared" ca="1" si="14"/>
        <v>5</v>
      </c>
      <c r="AO48" s="402">
        <f t="shared" ca="1" si="15"/>
        <v>2</v>
      </c>
      <c r="AP48" s="402">
        <f t="shared" ca="1" si="16"/>
        <v>0</v>
      </c>
      <c r="AQ48" s="402">
        <f t="shared" ca="1" si="17"/>
        <v>0</v>
      </c>
      <c r="AR48" s="402">
        <f t="shared" ca="1" si="18"/>
        <v>0</v>
      </c>
      <c r="AS48" s="403"/>
      <c r="AT48" s="402">
        <f t="shared" si="19"/>
        <v>1</v>
      </c>
    </row>
    <row r="49" spans="1:46" ht="15.75" customHeight="1">
      <c r="A49" s="382"/>
      <c r="B49" s="383">
        <f t="shared" ca="1" si="0"/>
        <v>3</v>
      </c>
      <c r="C49" s="384">
        <f t="shared" ca="1" si="1"/>
        <v>1</v>
      </c>
      <c r="D49" s="384">
        <f t="shared" ca="1" si="2"/>
        <v>5</v>
      </c>
      <c r="E49" s="384">
        <f t="shared" ca="1" si="3"/>
        <v>3</v>
      </c>
      <c r="F49" s="384" t="str">
        <f t="shared" ca="1" si="4"/>
        <v/>
      </c>
      <c r="G49" s="385" t="str">
        <f t="shared" ca="1" si="5"/>
        <v/>
      </c>
      <c r="H49" s="386" t="str">
        <f t="shared" ca="1" si="6"/>
        <v/>
      </c>
      <c r="I49" s="404"/>
      <c r="J49" s="415"/>
      <c r="K49" s="428"/>
      <c r="L49" s="428" t="s">
        <v>63</v>
      </c>
      <c r="M49" s="428"/>
      <c r="N49" s="428"/>
      <c r="O49" s="428"/>
      <c r="P49" s="428"/>
      <c r="Q49" s="429"/>
      <c r="R49" s="424" t="s">
        <v>239</v>
      </c>
      <c r="S49" s="418">
        <v>45888</v>
      </c>
      <c r="T49" s="419">
        <v>45888</v>
      </c>
      <c r="U49" s="418"/>
      <c r="V49" s="419"/>
      <c r="W49" s="430"/>
      <c r="X49" s="431"/>
      <c r="Y49" s="434"/>
      <c r="Z49" s="433"/>
      <c r="AA49" s="396"/>
      <c r="AB49" s="397"/>
      <c r="AC49" s="398"/>
      <c r="AD49" s="399"/>
      <c r="AE49" s="400"/>
      <c r="AF49" s="401"/>
      <c r="AG49" s="401">
        <f t="shared" ca="1" si="7"/>
        <v>0</v>
      </c>
      <c r="AH49" s="401">
        <f t="shared" ca="1" si="8"/>
        <v>0</v>
      </c>
      <c r="AI49" s="401">
        <f t="shared" si="9"/>
        <v>0</v>
      </c>
      <c r="AJ49" s="401">
        <f t="shared" ca="1" si="10"/>
        <v>0</v>
      </c>
      <c r="AK49" s="401" t="str">
        <f t="shared" ca="1" si="11"/>
        <v/>
      </c>
      <c r="AL49" s="402">
        <f t="shared" ca="1" si="12"/>
        <v>3</v>
      </c>
      <c r="AM49" s="402">
        <f t="shared" ca="1" si="13"/>
        <v>1</v>
      </c>
      <c r="AN49" s="402">
        <f t="shared" ca="1" si="14"/>
        <v>5</v>
      </c>
      <c r="AO49" s="402">
        <f t="shared" ca="1" si="15"/>
        <v>3</v>
      </c>
      <c r="AP49" s="402">
        <f t="shared" ca="1" si="16"/>
        <v>0</v>
      </c>
      <c r="AQ49" s="402">
        <f t="shared" ca="1" si="17"/>
        <v>0</v>
      </c>
      <c r="AR49" s="402">
        <f t="shared" ca="1" si="18"/>
        <v>0</v>
      </c>
      <c r="AS49" s="403"/>
      <c r="AT49" s="402">
        <f t="shared" si="19"/>
        <v>1</v>
      </c>
    </row>
    <row r="50" spans="1:46" ht="15.75" customHeight="1">
      <c r="A50" s="382"/>
      <c r="B50" s="383">
        <f t="shared" ca="1" si="0"/>
        <v>3</v>
      </c>
      <c r="C50" s="384">
        <f t="shared" ca="1" si="1"/>
        <v>1</v>
      </c>
      <c r="D50" s="384">
        <f t="shared" ca="1" si="2"/>
        <v>5</v>
      </c>
      <c r="E50" s="384">
        <f t="shared" ca="1" si="3"/>
        <v>4</v>
      </c>
      <c r="F50" s="384" t="str">
        <f t="shared" ca="1" si="4"/>
        <v/>
      </c>
      <c r="G50" s="385" t="str">
        <f t="shared" ca="1" si="5"/>
        <v/>
      </c>
      <c r="H50" s="386" t="str">
        <f t="shared" ca="1" si="6"/>
        <v/>
      </c>
      <c r="I50" s="404"/>
      <c r="J50" s="415"/>
      <c r="K50" s="428"/>
      <c r="L50" s="428" t="s">
        <v>64</v>
      </c>
      <c r="M50" s="428"/>
      <c r="N50" s="428"/>
      <c r="O50" s="428"/>
      <c r="P50" s="428"/>
      <c r="Q50" s="429"/>
      <c r="R50" s="424" t="s">
        <v>238</v>
      </c>
      <c r="S50" s="418">
        <v>45888</v>
      </c>
      <c r="T50" s="419">
        <v>45888</v>
      </c>
      <c r="U50" s="418"/>
      <c r="V50" s="419"/>
      <c r="W50" s="430"/>
      <c r="X50" s="431"/>
      <c r="Y50" s="434"/>
      <c r="Z50" s="433"/>
      <c r="AA50" s="396"/>
      <c r="AB50" s="397"/>
      <c r="AC50" s="398"/>
      <c r="AD50" s="399"/>
      <c r="AE50" s="400"/>
      <c r="AF50" s="401"/>
      <c r="AG50" s="401">
        <f t="shared" ca="1" si="7"/>
        <v>0</v>
      </c>
      <c r="AH50" s="401">
        <f t="shared" ca="1" si="8"/>
        <v>0</v>
      </c>
      <c r="AI50" s="401">
        <f t="shared" si="9"/>
        <v>0</v>
      </c>
      <c r="AJ50" s="401">
        <f t="shared" ca="1" si="10"/>
        <v>0</v>
      </c>
      <c r="AK50" s="401" t="str">
        <f t="shared" ca="1" si="11"/>
        <v/>
      </c>
      <c r="AL50" s="402">
        <f t="shared" ca="1" si="12"/>
        <v>3</v>
      </c>
      <c r="AM50" s="402">
        <f t="shared" ca="1" si="13"/>
        <v>1</v>
      </c>
      <c r="AN50" s="402">
        <f t="shared" ca="1" si="14"/>
        <v>5</v>
      </c>
      <c r="AO50" s="402">
        <f t="shared" ca="1" si="15"/>
        <v>4</v>
      </c>
      <c r="AP50" s="402">
        <f t="shared" ca="1" si="16"/>
        <v>0</v>
      </c>
      <c r="AQ50" s="402">
        <f t="shared" ca="1" si="17"/>
        <v>0</v>
      </c>
      <c r="AR50" s="402">
        <f t="shared" ca="1" si="18"/>
        <v>0</v>
      </c>
      <c r="AS50" s="403"/>
      <c r="AT50" s="402">
        <f t="shared" si="19"/>
        <v>1</v>
      </c>
    </row>
    <row r="51" spans="1:46" ht="15.75" customHeight="1">
      <c r="A51" s="382"/>
      <c r="B51" s="383">
        <f t="shared" ca="1" si="0"/>
        <v>3</v>
      </c>
      <c r="C51" s="384">
        <f t="shared" ca="1" si="1"/>
        <v>1</v>
      </c>
      <c r="D51" s="384">
        <f t="shared" ca="1" si="2"/>
        <v>5</v>
      </c>
      <c r="E51" s="384">
        <f t="shared" ca="1" si="3"/>
        <v>5</v>
      </c>
      <c r="F51" s="384" t="str">
        <f t="shared" ca="1" si="4"/>
        <v/>
      </c>
      <c r="G51" s="385" t="str">
        <f t="shared" ca="1" si="5"/>
        <v/>
      </c>
      <c r="H51" s="386" t="str">
        <f t="shared" ca="1" si="6"/>
        <v/>
      </c>
      <c r="I51" s="404"/>
      <c r="J51" s="415"/>
      <c r="K51" s="428"/>
      <c r="L51" s="428" t="s">
        <v>65</v>
      </c>
      <c r="M51" s="428"/>
      <c r="N51" s="428"/>
      <c r="O51" s="428"/>
      <c r="P51" s="428"/>
      <c r="Q51" s="429"/>
      <c r="R51" s="424" t="s">
        <v>239</v>
      </c>
      <c r="S51" s="418">
        <v>45889</v>
      </c>
      <c r="T51" s="419">
        <v>45889</v>
      </c>
      <c r="U51" s="418"/>
      <c r="V51" s="419"/>
      <c r="W51" s="430"/>
      <c r="X51" s="431"/>
      <c r="Y51" s="434"/>
      <c r="Z51" s="433"/>
      <c r="AA51" s="396"/>
      <c r="AB51" s="397"/>
      <c r="AC51" s="398"/>
      <c r="AD51" s="399"/>
      <c r="AE51" s="400"/>
      <c r="AF51" s="401"/>
      <c r="AG51" s="401">
        <f t="shared" ca="1" si="7"/>
        <v>0</v>
      </c>
      <c r="AH51" s="401">
        <f t="shared" ca="1" si="8"/>
        <v>0</v>
      </c>
      <c r="AI51" s="401">
        <f t="shared" si="9"/>
        <v>0</v>
      </c>
      <c r="AJ51" s="401">
        <f t="shared" ca="1" si="10"/>
        <v>0</v>
      </c>
      <c r="AK51" s="401" t="str">
        <f t="shared" ca="1" si="11"/>
        <v/>
      </c>
      <c r="AL51" s="402">
        <f t="shared" ca="1" si="12"/>
        <v>3</v>
      </c>
      <c r="AM51" s="402">
        <f t="shared" ca="1" si="13"/>
        <v>1</v>
      </c>
      <c r="AN51" s="402">
        <f t="shared" ca="1" si="14"/>
        <v>5</v>
      </c>
      <c r="AO51" s="402">
        <f t="shared" ca="1" si="15"/>
        <v>5</v>
      </c>
      <c r="AP51" s="402">
        <f t="shared" ca="1" si="16"/>
        <v>0</v>
      </c>
      <c r="AQ51" s="402">
        <f t="shared" ca="1" si="17"/>
        <v>0</v>
      </c>
      <c r="AR51" s="402">
        <f t="shared" ca="1" si="18"/>
        <v>0</v>
      </c>
      <c r="AS51" s="403"/>
      <c r="AT51" s="402">
        <f t="shared" si="19"/>
        <v>1</v>
      </c>
    </row>
    <row r="52" spans="1:46" ht="15.75" customHeight="1">
      <c r="A52" s="382"/>
      <c r="B52" s="383">
        <f t="shared" ca="1" si="0"/>
        <v>3</v>
      </c>
      <c r="C52" s="384">
        <f t="shared" ca="1" si="1"/>
        <v>1</v>
      </c>
      <c r="D52" s="384">
        <f t="shared" ca="1" si="2"/>
        <v>5</v>
      </c>
      <c r="E52" s="384">
        <f t="shared" ca="1" si="3"/>
        <v>6</v>
      </c>
      <c r="F52" s="384" t="str">
        <f t="shared" ca="1" si="4"/>
        <v/>
      </c>
      <c r="G52" s="385" t="str">
        <f t="shared" ca="1" si="5"/>
        <v/>
      </c>
      <c r="H52" s="386" t="str">
        <f t="shared" ca="1" si="6"/>
        <v/>
      </c>
      <c r="I52" s="404"/>
      <c r="J52" s="415"/>
      <c r="K52" s="428"/>
      <c r="L52" s="428" t="s">
        <v>66</v>
      </c>
      <c r="M52" s="428"/>
      <c r="N52" s="428"/>
      <c r="O52" s="428"/>
      <c r="P52" s="428"/>
      <c r="Q52" s="429"/>
      <c r="R52" s="424" t="s">
        <v>238</v>
      </c>
      <c r="S52" s="418">
        <v>45890</v>
      </c>
      <c r="T52" s="419">
        <v>45890</v>
      </c>
      <c r="U52" s="418"/>
      <c r="V52" s="419"/>
      <c r="W52" s="430"/>
      <c r="X52" s="431"/>
      <c r="Y52" s="434"/>
      <c r="Z52" s="433"/>
      <c r="AA52" s="396"/>
      <c r="AB52" s="397"/>
      <c r="AC52" s="398"/>
      <c r="AD52" s="399"/>
      <c r="AE52" s="400"/>
      <c r="AF52" s="401"/>
      <c r="AG52" s="401">
        <f t="shared" ca="1" si="7"/>
        <v>0</v>
      </c>
      <c r="AH52" s="401">
        <f t="shared" ca="1" si="8"/>
        <v>0</v>
      </c>
      <c r="AI52" s="401">
        <f t="shared" si="9"/>
        <v>0</v>
      </c>
      <c r="AJ52" s="401">
        <f t="shared" ca="1" si="10"/>
        <v>0</v>
      </c>
      <c r="AK52" s="401" t="str">
        <f t="shared" ca="1" si="11"/>
        <v/>
      </c>
      <c r="AL52" s="402">
        <f t="shared" ca="1" si="12"/>
        <v>3</v>
      </c>
      <c r="AM52" s="402">
        <f t="shared" ca="1" si="13"/>
        <v>1</v>
      </c>
      <c r="AN52" s="402">
        <f t="shared" ca="1" si="14"/>
        <v>5</v>
      </c>
      <c r="AO52" s="402">
        <f t="shared" ca="1" si="15"/>
        <v>6</v>
      </c>
      <c r="AP52" s="402">
        <f t="shared" ca="1" si="16"/>
        <v>0</v>
      </c>
      <c r="AQ52" s="402">
        <f t="shared" ca="1" si="17"/>
        <v>0</v>
      </c>
      <c r="AR52" s="402">
        <f t="shared" ca="1" si="18"/>
        <v>0</v>
      </c>
      <c r="AS52" s="403"/>
      <c r="AT52" s="402">
        <f t="shared" si="19"/>
        <v>1</v>
      </c>
    </row>
    <row r="53" spans="1:46" ht="15.75" customHeight="1">
      <c r="A53" s="382"/>
      <c r="B53" s="383">
        <f t="shared" ca="1" si="0"/>
        <v>3</v>
      </c>
      <c r="C53" s="384">
        <f t="shared" ca="1" si="1"/>
        <v>1</v>
      </c>
      <c r="D53" s="384">
        <f t="shared" ca="1" si="2"/>
        <v>6</v>
      </c>
      <c r="E53" s="384" t="str">
        <f t="shared" ca="1" si="3"/>
        <v/>
      </c>
      <c r="F53" s="384" t="str">
        <f t="shared" ca="1" si="4"/>
        <v/>
      </c>
      <c r="G53" s="385" t="str">
        <f t="shared" ca="1" si="5"/>
        <v/>
      </c>
      <c r="H53" s="386" t="str">
        <f t="shared" ca="1" si="6"/>
        <v/>
      </c>
      <c r="I53" s="404"/>
      <c r="J53" s="415"/>
      <c r="K53" s="428" t="s">
        <v>297</v>
      </c>
      <c r="L53" s="428"/>
      <c r="M53" s="428"/>
      <c r="N53" s="428"/>
      <c r="O53" s="428"/>
      <c r="P53" s="428"/>
      <c r="Q53" s="429"/>
      <c r="R53" s="417"/>
      <c r="S53" s="418"/>
      <c r="T53" s="419"/>
      <c r="U53" s="418"/>
      <c r="V53" s="419"/>
      <c r="W53" s="430"/>
      <c r="X53" s="431"/>
      <c r="Y53" s="434"/>
      <c r="Z53" s="433"/>
      <c r="AA53" s="396"/>
      <c r="AB53" s="397"/>
      <c r="AC53" s="398"/>
      <c r="AD53" s="399"/>
      <c r="AE53" s="400"/>
      <c r="AF53" s="401"/>
      <c r="AG53" s="401">
        <f t="shared" si="7"/>
        <v>0</v>
      </c>
      <c r="AH53" s="401">
        <f t="shared" si="8"/>
        <v>0</v>
      </c>
      <c r="AI53" s="401">
        <f t="shared" si="9"/>
        <v>0</v>
      </c>
      <c r="AJ53" s="401">
        <f t="shared" si="10"/>
        <v>0</v>
      </c>
      <c r="AK53" s="401" t="str">
        <f t="shared" si="11"/>
        <v/>
      </c>
      <c r="AL53" s="402">
        <f t="shared" ca="1" si="12"/>
        <v>3</v>
      </c>
      <c r="AM53" s="402">
        <f t="shared" ca="1" si="13"/>
        <v>1</v>
      </c>
      <c r="AN53" s="402">
        <f t="shared" ca="1" si="14"/>
        <v>6</v>
      </c>
      <c r="AO53" s="402">
        <f t="shared" ca="1" si="15"/>
        <v>0</v>
      </c>
      <c r="AP53" s="402">
        <f t="shared" ca="1" si="16"/>
        <v>0</v>
      </c>
      <c r="AQ53" s="402">
        <f t="shared" ca="1" si="17"/>
        <v>0</v>
      </c>
      <c r="AR53" s="402">
        <f t="shared" ca="1" si="18"/>
        <v>0</v>
      </c>
      <c r="AS53" s="403"/>
      <c r="AT53" s="402">
        <f t="shared" si="19"/>
        <v>1</v>
      </c>
    </row>
    <row r="54" spans="1:46" ht="15.75" customHeight="1">
      <c r="A54" s="382"/>
      <c r="B54" s="383">
        <f t="shared" ca="1" si="0"/>
        <v>3</v>
      </c>
      <c r="C54" s="384">
        <f t="shared" ca="1" si="1"/>
        <v>1</v>
      </c>
      <c r="D54" s="384">
        <f t="shared" ca="1" si="2"/>
        <v>6</v>
      </c>
      <c r="E54" s="384">
        <f t="shared" ca="1" si="3"/>
        <v>1</v>
      </c>
      <c r="F54" s="384" t="str">
        <f t="shared" ca="1" si="4"/>
        <v/>
      </c>
      <c r="G54" s="385" t="str">
        <f t="shared" ca="1" si="5"/>
        <v/>
      </c>
      <c r="H54" s="386" t="str">
        <f t="shared" ca="1" si="6"/>
        <v/>
      </c>
      <c r="I54" s="404"/>
      <c r="J54" s="415"/>
      <c r="K54" s="428"/>
      <c r="L54" s="428" t="s">
        <v>59</v>
      </c>
      <c r="M54" s="428"/>
      <c r="N54" s="428"/>
      <c r="O54" s="428"/>
      <c r="P54" s="428"/>
      <c r="Q54" s="429"/>
      <c r="R54" s="424" t="s">
        <v>242</v>
      </c>
      <c r="S54" s="418">
        <v>45881</v>
      </c>
      <c r="T54" s="419">
        <v>45884</v>
      </c>
      <c r="U54" s="418"/>
      <c r="V54" s="419"/>
      <c r="W54" s="430"/>
      <c r="X54" s="431"/>
      <c r="Y54" s="434"/>
      <c r="Z54" s="433"/>
      <c r="AA54" s="396"/>
      <c r="AB54" s="397"/>
      <c r="AC54" s="398"/>
      <c r="AD54" s="399"/>
      <c r="AE54" s="400"/>
      <c r="AF54" s="401"/>
      <c r="AG54" s="401">
        <f t="shared" ca="1" si="7"/>
        <v>0</v>
      </c>
      <c r="AH54" s="401">
        <f t="shared" ca="1" si="8"/>
        <v>0</v>
      </c>
      <c r="AI54" s="401">
        <f t="shared" si="9"/>
        <v>0</v>
      </c>
      <c r="AJ54" s="401">
        <f t="shared" ca="1" si="10"/>
        <v>0</v>
      </c>
      <c r="AK54" s="401" t="str">
        <f t="shared" ca="1" si="11"/>
        <v/>
      </c>
      <c r="AL54" s="402">
        <f t="shared" ca="1" si="12"/>
        <v>3</v>
      </c>
      <c r="AM54" s="402">
        <f t="shared" ca="1" si="13"/>
        <v>1</v>
      </c>
      <c r="AN54" s="402">
        <f t="shared" ca="1" si="14"/>
        <v>6</v>
      </c>
      <c r="AO54" s="402">
        <f t="shared" ca="1" si="15"/>
        <v>1</v>
      </c>
      <c r="AP54" s="402">
        <f t="shared" ca="1" si="16"/>
        <v>0</v>
      </c>
      <c r="AQ54" s="402">
        <f t="shared" ca="1" si="17"/>
        <v>0</v>
      </c>
      <c r="AR54" s="402">
        <f t="shared" ca="1" si="18"/>
        <v>0</v>
      </c>
      <c r="AS54" s="403"/>
      <c r="AT54" s="402">
        <f t="shared" si="19"/>
        <v>4</v>
      </c>
    </row>
    <row r="55" spans="1:46" ht="15.75" customHeight="1">
      <c r="A55" s="382"/>
      <c r="B55" s="383">
        <f t="shared" ca="1" si="0"/>
        <v>3</v>
      </c>
      <c r="C55" s="384">
        <f t="shared" ca="1" si="1"/>
        <v>1</v>
      </c>
      <c r="D55" s="384">
        <f t="shared" ca="1" si="2"/>
        <v>6</v>
      </c>
      <c r="E55" s="384">
        <f t="shared" ca="1" si="3"/>
        <v>2</v>
      </c>
      <c r="F55" s="384" t="str">
        <f t="shared" ca="1" si="4"/>
        <v/>
      </c>
      <c r="G55" s="385" t="str">
        <f t="shared" ca="1" si="5"/>
        <v/>
      </c>
      <c r="H55" s="386" t="str">
        <f t="shared" ca="1" si="6"/>
        <v/>
      </c>
      <c r="I55" s="404"/>
      <c r="J55" s="415"/>
      <c r="K55" s="428"/>
      <c r="L55" s="428" t="s">
        <v>61</v>
      </c>
      <c r="M55" s="428"/>
      <c r="N55" s="428"/>
      <c r="O55" s="428"/>
      <c r="P55" s="428"/>
      <c r="Q55" s="429"/>
      <c r="R55" s="424" t="s">
        <v>239</v>
      </c>
      <c r="S55" s="418">
        <v>45887</v>
      </c>
      <c r="T55" s="419">
        <v>45887</v>
      </c>
      <c r="U55" s="418"/>
      <c r="V55" s="419"/>
      <c r="W55" s="430"/>
      <c r="X55" s="431"/>
      <c r="Y55" s="434"/>
      <c r="Z55" s="433"/>
      <c r="AA55" s="396"/>
      <c r="AB55" s="397"/>
      <c r="AC55" s="398"/>
      <c r="AD55" s="399"/>
      <c r="AE55" s="400"/>
      <c r="AF55" s="401"/>
      <c r="AG55" s="401">
        <f t="shared" ca="1" si="7"/>
        <v>0</v>
      </c>
      <c r="AH55" s="401">
        <f t="shared" ca="1" si="8"/>
        <v>0</v>
      </c>
      <c r="AI55" s="401">
        <f t="shared" si="9"/>
        <v>0</v>
      </c>
      <c r="AJ55" s="401">
        <f t="shared" ca="1" si="10"/>
        <v>0</v>
      </c>
      <c r="AK55" s="401" t="str">
        <f t="shared" ca="1" si="11"/>
        <v/>
      </c>
      <c r="AL55" s="402">
        <f t="shared" ca="1" si="12"/>
        <v>3</v>
      </c>
      <c r="AM55" s="402">
        <f t="shared" ca="1" si="13"/>
        <v>1</v>
      </c>
      <c r="AN55" s="402">
        <f t="shared" ca="1" si="14"/>
        <v>6</v>
      </c>
      <c r="AO55" s="402">
        <f t="shared" ca="1" si="15"/>
        <v>2</v>
      </c>
      <c r="AP55" s="402">
        <f t="shared" ca="1" si="16"/>
        <v>0</v>
      </c>
      <c r="AQ55" s="402">
        <f t="shared" ca="1" si="17"/>
        <v>0</v>
      </c>
      <c r="AR55" s="402">
        <f t="shared" ca="1" si="18"/>
        <v>0</v>
      </c>
      <c r="AS55" s="403"/>
      <c r="AT55" s="402">
        <f t="shared" si="19"/>
        <v>1</v>
      </c>
    </row>
    <row r="56" spans="1:46" ht="15.75" customHeight="1">
      <c r="A56" s="382"/>
      <c r="B56" s="383">
        <f t="shared" ca="1" si="0"/>
        <v>3</v>
      </c>
      <c r="C56" s="384">
        <f t="shared" ca="1" si="1"/>
        <v>1</v>
      </c>
      <c r="D56" s="384">
        <f t="shared" ca="1" si="2"/>
        <v>6</v>
      </c>
      <c r="E56" s="384">
        <f t="shared" ca="1" si="3"/>
        <v>3</v>
      </c>
      <c r="F56" s="384" t="str">
        <f t="shared" ca="1" si="4"/>
        <v/>
      </c>
      <c r="G56" s="385" t="str">
        <f t="shared" ca="1" si="5"/>
        <v/>
      </c>
      <c r="H56" s="386" t="str">
        <f t="shared" ca="1" si="6"/>
        <v/>
      </c>
      <c r="I56" s="404"/>
      <c r="J56" s="415"/>
      <c r="K56" s="428"/>
      <c r="L56" s="428" t="s">
        <v>63</v>
      </c>
      <c r="M56" s="428"/>
      <c r="N56" s="428"/>
      <c r="O56" s="428"/>
      <c r="P56" s="428"/>
      <c r="Q56" s="429"/>
      <c r="R56" s="424" t="s">
        <v>242</v>
      </c>
      <c r="S56" s="418">
        <v>45888</v>
      </c>
      <c r="T56" s="419">
        <v>45888</v>
      </c>
      <c r="U56" s="418"/>
      <c r="V56" s="419"/>
      <c r="W56" s="430"/>
      <c r="X56" s="431"/>
      <c r="Y56" s="434"/>
      <c r="Z56" s="433"/>
      <c r="AA56" s="396"/>
      <c r="AB56" s="397"/>
      <c r="AC56" s="398"/>
      <c r="AD56" s="399"/>
      <c r="AE56" s="400"/>
      <c r="AF56" s="401"/>
      <c r="AG56" s="401">
        <f t="shared" ca="1" si="7"/>
        <v>0</v>
      </c>
      <c r="AH56" s="401">
        <f t="shared" ca="1" si="8"/>
        <v>0</v>
      </c>
      <c r="AI56" s="401">
        <f t="shared" si="9"/>
        <v>0</v>
      </c>
      <c r="AJ56" s="401">
        <f t="shared" ca="1" si="10"/>
        <v>0</v>
      </c>
      <c r="AK56" s="401" t="str">
        <f t="shared" ca="1" si="11"/>
        <v/>
      </c>
      <c r="AL56" s="402">
        <f t="shared" ca="1" si="12"/>
        <v>3</v>
      </c>
      <c r="AM56" s="402">
        <f t="shared" ca="1" si="13"/>
        <v>1</v>
      </c>
      <c r="AN56" s="402">
        <f t="shared" ca="1" si="14"/>
        <v>6</v>
      </c>
      <c r="AO56" s="402">
        <f t="shared" ca="1" si="15"/>
        <v>3</v>
      </c>
      <c r="AP56" s="402">
        <f t="shared" ca="1" si="16"/>
        <v>0</v>
      </c>
      <c r="AQ56" s="402">
        <f t="shared" ca="1" si="17"/>
        <v>0</v>
      </c>
      <c r="AR56" s="402">
        <f t="shared" ca="1" si="18"/>
        <v>0</v>
      </c>
      <c r="AS56" s="403"/>
      <c r="AT56" s="402">
        <f t="shared" si="19"/>
        <v>1</v>
      </c>
    </row>
    <row r="57" spans="1:46" ht="15.75" customHeight="1">
      <c r="A57" s="382"/>
      <c r="B57" s="383">
        <f t="shared" ca="1" si="0"/>
        <v>3</v>
      </c>
      <c r="C57" s="384">
        <f t="shared" ca="1" si="1"/>
        <v>1</v>
      </c>
      <c r="D57" s="384">
        <f t="shared" ca="1" si="2"/>
        <v>6</v>
      </c>
      <c r="E57" s="384">
        <f t="shared" ca="1" si="3"/>
        <v>4</v>
      </c>
      <c r="F57" s="384" t="str">
        <f t="shared" ca="1" si="4"/>
        <v/>
      </c>
      <c r="G57" s="385" t="str">
        <f t="shared" ca="1" si="5"/>
        <v/>
      </c>
      <c r="H57" s="386" t="str">
        <f t="shared" ca="1" si="6"/>
        <v/>
      </c>
      <c r="I57" s="404"/>
      <c r="J57" s="415"/>
      <c r="K57" s="428"/>
      <c r="L57" s="428" t="s">
        <v>64</v>
      </c>
      <c r="M57" s="428"/>
      <c r="N57" s="428"/>
      <c r="O57" s="428"/>
      <c r="P57" s="428"/>
      <c r="Q57" s="429"/>
      <c r="R57" s="424" t="s">
        <v>239</v>
      </c>
      <c r="S57" s="418">
        <v>45888</v>
      </c>
      <c r="T57" s="419">
        <v>45888</v>
      </c>
      <c r="U57" s="418"/>
      <c r="V57" s="419"/>
      <c r="W57" s="430"/>
      <c r="X57" s="431"/>
      <c r="Y57" s="434"/>
      <c r="Z57" s="433"/>
      <c r="AA57" s="396"/>
      <c r="AB57" s="397"/>
      <c r="AC57" s="398"/>
      <c r="AD57" s="399"/>
      <c r="AE57" s="400"/>
      <c r="AF57" s="401"/>
      <c r="AG57" s="401">
        <f t="shared" ca="1" si="7"/>
        <v>0</v>
      </c>
      <c r="AH57" s="401">
        <f t="shared" ca="1" si="8"/>
        <v>0</v>
      </c>
      <c r="AI57" s="401">
        <f t="shared" si="9"/>
        <v>0</v>
      </c>
      <c r="AJ57" s="401">
        <f t="shared" ca="1" si="10"/>
        <v>0</v>
      </c>
      <c r="AK57" s="401" t="str">
        <f t="shared" ca="1" si="11"/>
        <v/>
      </c>
      <c r="AL57" s="402">
        <f t="shared" ca="1" si="12"/>
        <v>3</v>
      </c>
      <c r="AM57" s="402">
        <f t="shared" ca="1" si="13"/>
        <v>1</v>
      </c>
      <c r="AN57" s="402">
        <f t="shared" ca="1" si="14"/>
        <v>6</v>
      </c>
      <c r="AO57" s="402">
        <f t="shared" ca="1" si="15"/>
        <v>4</v>
      </c>
      <c r="AP57" s="402">
        <f t="shared" ca="1" si="16"/>
        <v>0</v>
      </c>
      <c r="AQ57" s="402">
        <f t="shared" ca="1" si="17"/>
        <v>0</v>
      </c>
      <c r="AR57" s="402">
        <f t="shared" ca="1" si="18"/>
        <v>0</v>
      </c>
      <c r="AS57" s="403"/>
      <c r="AT57" s="402">
        <f t="shared" si="19"/>
        <v>1</v>
      </c>
    </row>
    <row r="58" spans="1:46" ht="15.75" customHeight="1">
      <c r="A58" s="382"/>
      <c r="B58" s="383">
        <f t="shared" ca="1" si="0"/>
        <v>3</v>
      </c>
      <c r="C58" s="384">
        <f t="shared" ca="1" si="1"/>
        <v>1</v>
      </c>
      <c r="D58" s="384">
        <f t="shared" ca="1" si="2"/>
        <v>6</v>
      </c>
      <c r="E58" s="384">
        <f t="shared" ca="1" si="3"/>
        <v>5</v>
      </c>
      <c r="F58" s="384" t="str">
        <f t="shared" ca="1" si="4"/>
        <v/>
      </c>
      <c r="G58" s="385" t="str">
        <f t="shared" ca="1" si="5"/>
        <v/>
      </c>
      <c r="H58" s="386" t="str">
        <f t="shared" ca="1" si="6"/>
        <v/>
      </c>
      <c r="I58" s="404"/>
      <c r="J58" s="415"/>
      <c r="K58" s="428"/>
      <c r="L58" s="428" t="s">
        <v>65</v>
      </c>
      <c r="M58" s="428"/>
      <c r="N58" s="428"/>
      <c r="O58" s="428"/>
      <c r="P58" s="428"/>
      <c r="Q58" s="429"/>
      <c r="R58" s="424" t="s">
        <v>242</v>
      </c>
      <c r="S58" s="418">
        <v>45889</v>
      </c>
      <c r="T58" s="419">
        <v>45889</v>
      </c>
      <c r="U58" s="418"/>
      <c r="V58" s="419"/>
      <c r="W58" s="430"/>
      <c r="X58" s="431"/>
      <c r="Y58" s="434"/>
      <c r="Z58" s="433"/>
      <c r="AA58" s="396"/>
      <c r="AB58" s="397"/>
      <c r="AC58" s="398"/>
      <c r="AD58" s="399"/>
      <c r="AE58" s="400"/>
      <c r="AF58" s="401"/>
      <c r="AG58" s="401">
        <f t="shared" ca="1" si="7"/>
        <v>0</v>
      </c>
      <c r="AH58" s="401">
        <f t="shared" ca="1" si="8"/>
        <v>0</v>
      </c>
      <c r="AI58" s="401">
        <f t="shared" si="9"/>
        <v>0</v>
      </c>
      <c r="AJ58" s="401">
        <f t="shared" ca="1" si="10"/>
        <v>0</v>
      </c>
      <c r="AK58" s="401" t="str">
        <f t="shared" ca="1" si="11"/>
        <v/>
      </c>
      <c r="AL58" s="402">
        <f t="shared" ca="1" si="12"/>
        <v>3</v>
      </c>
      <c r="AM58" s="402">
        <f t="shared" ca="1" si="13"/>
        <v>1</v>
      </c>
      <c r="AN58" s="402">
        <f t="shared" ca="1" si="14"/>
        <v>6</v>
      </c>
      <c r="AO58" s="402">
        <f t="shared" ca="1" si="15"/>
        <v>5</v>
      </c>
      <c r="AP58" s="402">
        <f t="shared" ca="1" si="16"/>
        <v>0</v>
      </c>
      <c r="AQ58" s="402">
        <f t="shared" ca="1" si="17"/>
        <v>0</v>
      </c>
      <c r="AR58" s="402">
        <f t="shared" ca="1" si="18"/>
        <v>0</v>
      </c>
      <c r="AS58" s="403"/>
      <c r="AT58" s="402">
        <f t="shared" si="19"/>
        <v>1</v>
      </c>
    </row>
    <row r="59" spans="1:46" ht="15.75" customHeight="1">
      <c r="A59" s="382"/>
      <c r="B59" s="383">
        <f t="shared" ca="1" si="0"/>
        <v>3</v>
      </c>
      <c r="C59" s="384">
        <f t="shared" ca="1" si="1"/>
        <v>1</v>
      </c>
      <c r="D59" s="384">
        <f t="shared" ca="1" si="2"/>
        <v>6</v>
      </c>
      <c r="E59" s="384">
        <f t="shared" ca="1" si="3"/>
        <v>6</v>
      </c>
      <c r="F59" s="384" t="str">
        <f t="shared" ca="1" si="4"/>
        <v/>
      </c>
      <c r="G59" s="385" t="str">
        <f t="shared" ca="1" si="5"/>
        <v/>
      </c>
      <c r="H59" s="386" t="str">
        <f t="shared" ca="1" si="6"/>
        <v/>
      </c>
      <c r="I59" s="404"/>
      <c r="J59" s="415"/>
      <c r="K59" s="428"/>
      <c r="L59" s="428" t="s">
        <v>66</v>
      </c>
      <c r="M59" s="428"/>
      <c r="N59" s="428"/>
      <c r="O59" s="428"/>
      <c r="P59" s="428"/>
      <c r="Q59" s="429"/>
      <c r="R59" s="424" t="s">
        <v>239</v>
      </c>
      <c r="S59" s="418">
        <v>45890</v>
      </c>
      <c r="T59" s="419">
        <v>45890</v>
      </c>
      <c r="U59" s="418"/>
      <c r="V59" s="419"/>
      <c r="W59" s="430"/>
      <c r="X59" s="431"/>
      <c r="Y59" s="434"/>
      <c r="Z59" s="433"/>
      <c r="AA59" s="396"/>
      <c r="AB59" s="397"/>
      <c r="AC59" s="398"/>
      <c r="AD59" s="399"/>
      <c r="AE59" s="400"/>
      <c r="AF59" s="401"/>
      <c r="AG59" s="401">
        <f t="shared" ca="1" si="7"/>
        <v>0</v>
      </c>
      <c r="AH59" s="401">
        <f t="shared" ca="1" si="8"/>
        <v>0</v>
      </c>
      <c r="AI59" s="401">
        <f t="shared" si="9"/>
        <v>0</v>
      </c>
      <c r="AJ59" s="401">
        <f t="shared" ca="1" si="10"/>
        <v>0</v>
      </c>
      <c r="AK59" s="401" t="str">
        <f t="shared" ca="1" si="11"/>
        <v/>
      </c>
      <c r="AL59" s="402">
        <f t="shared" ca="1" si="12"/>
        <v>3</v>
      </c>
      <c r="AM59" s="402">
        <f t="shared" ca="1" si="13"/>
        <v>1</v>
      </c>
      <c r="AN59" s="402">
        <f t="shared" ca="1" si="14"/>
        <v>6</v>
      </c>
      <c r="AO59" s="402">
        <f t="shared" ca="1" si="15"/>
        <v>6</v>
      </c>
      <c r="AP59" s="402">
        <f t="shared" ca="1" si="16"/>
        <v>0</v>
      </c>
      <c r="AQ59" s="402">
        <f t="shared" ca="1" si="17"/>
        <v>0</v>
      </c>
      <c r="AR59" s="402">
        <f t="shared" ca="1" si="18"/>
        <v>0</v>
      </c>
      <c r="AS59" s="403"/>
      <c r="AT59" s="402">
        <f t="shared" si="19"/>
        <v>1</v>
      </c>
    </row>
    <row r="60" spans="1:46" ht="15.75" customHeight="1">
      <c r="A60" s="382"/>
      <c r="B60" s="383">
        <f t="shared" ca="1" si="0"/>
        <v>3</v>
      </c>
      <c r="C60" s="384">
        <f t="shared" ca="1" si="1"/>
        <v>1</v>
      </c>
      <c r="D60" s="384">
        <f t="shared" ca="1" si="2"/>
        <v>7</v>
      </c>
      <c r="E60" s="384" t="str">
        <f t="shared" ca="1" si="3"/>
        <v/>
      </c>
      <c r="F60" s="384" t="str">
        <f t="shared" ca="1" si="4"/>
        <v/>
      </c>
      <c r="G60" s="385" t="str">
        <f t="shared" ca="1" si="5"/>
        <v/>
      </c>
      <c r="H60" s="386" t="str">
        <f t="shared" ca="1" si="6"/>
        <v/>
      </c>
      <c r="I60" s="404"/>
      <c r="J60" s="415"/>
      <c r="K60" s="428" t="s">
        <v>298</v>
      </c>
      <c r="L60" s="428"/>
      <c r="M60" s="428"/>
      <c r="N60" s="428"/>
      <c r="O60" s="428"/>
      <c r="P60" s="428"/>
      <c r="Q60" s="429"/>
      <c r="R60" s="417"/>
      <c r="S60" s="418"/>
      <c r="T60" s="419"/>
      <c r="U60" s="418"/>
      <c r="V60" s="419"/>
      <c r="W60" s="430"/>
      <c r="X60" s="431"/>
      <c r="Y60" s="434"/>
      <c r="Z60" s="433"/>
      <c r="AA60" s="396"/>
      <c r="AB60" s="397"/>
      <c r="AC60" s="398"/>
      <c r="AD60" s="399"/>
      <c r="AE60" s="400"/>
      <c r="AF60" s="401"/>
      <c r="AG60" s="401">
        <f t="shared" si="7"/>
        <v>0</v>
      </c>
      <c r="AH60" s="401">
        <f t="shared" si="8"/>
        <v>0</v>
      </c>
      <c r="AI60" s="401">
        <f t="shared" si="9"/>
        <v>0</v>
      </c>
      <c r="AJ60" s="401">
        <f t="shared" si="10"/>
        <v>0</v>
      </c>
      <c r="AK60" s="401" t="str">
        <f t="shared" si="11"/>
        <v/>
      </c>
      <c r="AL60" s="402">
        <f t="shared" ca="1" si="12"/>
        <v>3</v>
      </c>
      <c r="AM60" s="402">
        <f t="shared" ca="1" si="13"/>
        <v>1</v>
      </c>
      <c r="AN60" s="402">
        <f t="shared" ca="1" si="14"/>
        <v>7</v>
      </c>
      <c r="AO60" s="402">
        <f t="shared" ca="1" si="15"/>
        <v>0</v>
      </c>
      <c r="AP60" s="402">
        <f t="shared" ca="1" si="16"/>
        <v>0</v>
      </c>
      <c r="AQ60" s="402">
        <f t="shared" ca="1" si="17"/>
        <v>0</v>
      </c>
      <c r="AR60" s="402">
        <f t="shared" ca="1" si="18"/>
        <v>0</v>
      </c>
      <c r="AS60" s="403"/>
      <c r="AT60" s="402">
        <f t="shared" si="19"/>
        <v>1</v>
      </c>
    </row>
    <row r="61" spans="1:46" ht="15.75" customHeight="1">
      <c r="A61" s="382"/>
      <c r="B61" s="383">
        <f t="shared" ca="1" si="0"/>
        <v>3</v>
      </c>
      <c r="C61" s="384">
        <f t="shared" ca="1" si="1"/>
        <v>1</v>
      </c>
      <c r="D61" s="384">
        <f t="shared" ca="1" si="2"/>
        <v>7</v>
      </c>
      <c r="E61" s="384">
        <f t="shared" ca="1" si="3"/>
        <v>1</v>
      </c>
      <c r="F61" s="384" t="str">
        <f t="shared" ca="1" si="4"/>
        <v/>
      </c>
      <c r="G61" s="385" t="str">
        <f t="shared" ca="1" si="5"/>
        <v/>
      </c>
      <c r="H61" s="386" t="str">
        <f t="shared" ca="1" si="6"/>
        <v/>
      </c>
      <c r="I61" s="404"/>
      <c r="J61" s="415"/>
      <c r="K61" s="428"/>
      <c r="L61" s="428" t="s">
        <v>59</v>
      </c>
      <c r="M61" s="428"/>
      <c r="N61" s="428"/>
      <c r="O61" s="428"/>
      <c r="P61" s="428"/>
      <c r="Q61" s="429"/>
      <c r="R61" s="424" t="s">
        <v>238</v>
      </c>
      <c r="S61" s="418">
        <v>45891</v>
      </c>
      <c r="T61" s="419">
        <v>45896</v>
      </c>
      <c r="U61" s="418"/>
      <c r="V61" s="419"/>
      <c r="W61" s="430"/>
      <c r="X61" s="431"/>
      <c r="Y61" s="434"/>
      <c r="Z61" s="433"/>
      <c r="AA61" s="396"/>
      <c r="AB61" s="397"/>
      <c r="AC61" s="398"/>
      <c r="AD61" s="399"/>
      <c r="AE61" s="400"/>
      <c r="AF61" s="401"/>
      <c r="AG61" s="401">
        <f t="shared" ca="1" si="7"/>
        <v>0</v>
      </c>
      <c r="AH61" s="401">
        <f t="shared" ca="1" si="8"/>
        <v>0</v>
      </c>
      <c r="AI61" s="401">
        <f t="shared" si="9"/>
        <v>0</v>
      </c>
      <c r="AJ61" s="401">
        <f t="shared" ca="1" si="10"/>
        <v>0</v>
      </c>
      <c r="AK61" s="401" t="str">
        <f t="shared" ca="1" si="11"/>
        <v/>
      </c>
      <c r="AL61" s="402">
        <f t="shared" ca="1" si="12"/>
        <v>3</v>
      </c>
      <c r="AM61" s="402">
        <f t="shared" ca="1" si="13"/>
        <v>1</v>
      </c>
      <c r="AN61" s="402">
        <f t="shared" ca="1" si="14"/>
        <v>7</v>
      </c>
      <c r="AO61" s="402">
        <f t="shared" ca="1" si="15"/>
        <v>1</v>
      </c>
      <c r="AP61" s="402">
        <f t="shared" ca="1" si="16"/>
        <v>0</v>
      </c>
      <c r="AQ61" s="402">
        <f t="shared" ca="1" si="17"/>
        <v>0</v>
      </c>
      <c r="AR61" s="402">
        <f t="shared" ca="1" si="18"/>
        <v>0</v>
      </c>
      <c r="AS61" s="403"/>
      <c r="AT61" s="402">
        <f t="shared" si="19"/>
        <v>6</v>
      </c>
    </row>
    <row r="62" spans="1:46" ht="15.75" customHeight="1">
      <c r="A62" s="382"/>
      <c r="B62" s="383">
        <f t="shared" ca="1" si="0"/>
        <v>3</v>
      </c>
      <c r="C62" s="384">
        <f t="shared" ca="1" si="1"/>
        <v>1</v>
      </c>
      <c r="D62" s="384">
        <f t="shared" ca="1" si="2"/>
        <v>7</v>
      </c>
      <c r="E62" s="384">
        <f t="shared" ca="1" si="3"/>
        <v>2</v>
      </c>
      <c r="F62" s="384" t="str">
        <f t="shared" ca="1" si="4"/>
        <v/>
      </c>
      <c r="G62" s="385" t="str">
        <f t="shared" ca="1" si="5"/>
        <v/>
      </c>
      <c r="H62" s="386" t="str">
        <f t="shared" ca="1" si="6"/>
        <v/>
      </c>
      <c r="I62" s="404"/>
      <c r="J62" s="415"/>
      <c r="K62" s="428"/>
      <c r="L62" s="428" t="s">
        <v>61</v>
      </c>
      <c r="M62" s="428"/>
      <c r="N62" s="428"/>
      <c r="O62" s="428"/>
      <c r="P62" s="428"/>
      <c r="Q62" s="429"/>
      <c r="R62" s="424" t="s">
        <v>242</v>
      </c>
      <c r="S62" s="418">
        <v>45897</v>
      </c>
      <c r="T62" s="419">
        <v>45897</v>
      </c>
      <c r="U62" s="418"/>
      <c r="V62" s="419"/>
      <c r="W62" s="430"/>
      <c r="X62" s="431"/>
      <c r="Y62" s="434"/>
      <c r="Z62" s="433"/>
      <c r="AA62" s="396"/>
      <c r="AB62" s="397"/>
      <c r="AC62" s="398"/>
      <c r="AD62" s="399"/>
      <c r="AE62" s="400"/>
      <c r="AF62" s="401"/>
      <c r="AG62" s="401">
        <f t="shared" ca="1" si="7"/>
        <v>0</v>
      </c>
      <c r="AH62" s="401">
        <f t="shared" ca="1" si="8"/>
        <v>0</v>
      </c>
      <c r="AI62" s="401">
        <f t="shared" si="9"/>
        <v>0</v>
      </c>
      <c r="AJ62" s="401">
        <f t="shared" ca="1" si="10"/>
        <v>0</v>
      </c>
      <c r="AK62" s="401" t="str">
        <f t="shared" ca="1" si="11"/>
        <v/>
      </c>
      <c r="AL62" s="402">
        <f t="shared" ca="1" si="12"/>
        <v>3</v>
      </c>
      <c r="AM62" s="402">
        <f t="shared" ca="1" si="13"/>
        <v>1</v>
      </c>
      <c r="AN62" s="402">
        <f t="shared" ca="1" si="14"/>
        <v>7</v>
      </c>
      <c r="AO62" s="402">
        <f t="shared" ca="1" si="15"/>
        <v>2</v>
      </c>
      <c r="AP62" s="402">
        <f t="shared" ca="1" si="16"/>
        <v>0</v>
      </c>
      <c r="AQ62" s="402">
        <f t="shared" ca="1" si="17"/>
        <v>0</v>
      </c>
      <c r="AR62" s="402">
        <f t="shared" ca="1" si="18"/>
        <v>0</v>
      </c>
      <c r="AS62" s="403"/>
      <c r="AT62" s="402">
        <f t="shared" si="19"/>
        <v>1</v>
      </c>
    </row>
    <row r="63" spans="1:46" ht="15.75" customHeight="1">
      <c r="A63" s="382"/>
      <c r="B63" s="383">
        <f t="shared" ca="1" si="0"/>
        <v>3</v>
      </c>
      <c r="C63" s="384">
        <f t="shared" ca="1" si="1"/>
        <v>1</v>
      </c>
      <c r="D63" s="384">
        <f t="shared" ca="1" si="2"/>
        <v>7</v>
      </c>
      <c r="E63" s="384">
        <f t="shared" ca="1" si="3"/>
        <v>3</v>
      </c>
      <c r="F63" s="384" t="str">
        <f t="shared" ca="1" si="4"/>
        <v/>
      </c>
      <c r="G63" s="385" t="str">
        <f t="shared" ca="1" si="5"/>
        <v/>
      </c>
      <c r="H63" s="386" t="str">
        <f t="shared" ca="1" si="6"/>
        <v/>
      </c>
      <c r="I63" s="404"/>
      <c r="J63" s="415"/>
      <c r="K63" s="428"/>
      <c r="L63" s="428" t="s">
        <v>63</v>
      </c>
      <c r="M63" s="428"/>
      <c r="N63" s="428"/>
      <c r="O63" s="428"/>
      <c r="P63" s="428"/>
      <c r="Q63" s="429"/>
      <c r="R63" s="424" t="s">
        <v>238</v>
      </c>
      <c r="S63" s="418">
        <v>45898</v>
      </c>
      <c r="T63" s="419">
        <v>45898</v>
      </c>
      <c r="U63" s="418"/>
      <c r="V63" s="419"/>
      <c r="W63" s="430"/>
      <c r="X63" s="431"/>
      <c r="Y63" s="434"/>
      <c r="Z63" s="433"/>
      <c r="AA63" s="396"/>
      <c r="AB63" s="397"/>
      <c r="AC63" s="398"/>
      <c r="AD63" s="399"/>
      <c r="AE63" s="400"/>
      <c r="AF63" s="401"/>
      <c r="AG63" s="401">
        <f t="shared" ca="1" si="7"/>
        <v>0</v>
      </c>
      <c r="AH63" s="401">
        <f t="shared" ca="1" si="8"/>
        <v>0</v>
      </c>
      <c r="AI63" s="401">
        <f t="shared" si="9"/>
        <v>0</v>
      </c>
      <c r="AJ63" s="401">
        <f t="shared" ca="1" si="10"/>
        <v>0</v>
      </c>
      <c r="AK63" s="401" t="str">
        <f t="shared" ca="1" si="11"/>
        <v/>
      </c>
      <c r="AL63" s="402">
        <f t="shared" ca="1" si="12"/>
        <v>3</v>
      </c>
      <c r="AM63" s="402">
        <f t="shared" ca="1" si="13"/>
        <v>1</v>
      </c>
      <c r="AN63" s="402">
        <f t="shared" ca="1" si="14"/>
        <v>7</v>
      </c>
      <c r="AO63" s="402">
        <f t="shared" ca="1" si="15"/>
        <v>3</v>
      </c>
      <c r="AP63" s="402">
        <f t="shared" ca="1" si="16"/>
        <v>0</v>
      </c>
      <c r="AQ63" s="402">
        <f t="shared" ca="1" si="17"/>
        <v>0</v>
      </c>
      <c r="AR63" s="402">
        <f t="shared" ca="1" si="18"/>
        <v>0</v>
      </c>
      <c r="AS63" s="403"/>
      <c r="AT63" s="402">
        <f t="shared" si="19"/>
        <v>1</v>
      </c>
    </row>
    <row r="64" spans="1:46" ht="15.75" customHeight="1">
      <c r="A64" s="382"/>
      <c r="B64" s="383">
        <f t="shared" ca="1" si="0"/>
        <v>3</v>
      </c>
      <c r="C64" s="384">
        <f t="shared" ca="1" si="1"/>
        <v>1</v>
      </c>
      <c r="D64" s="384">
        <f t="shared" ca="1" si="2"/>
        <v>7</v>
      </c>
      <c r="E64" s="384">
        <f t="shared" ca="1" si="3"/>
        <v>4</v>
      </c>
      <c r="F64" s="384" t="str">
        <f t="shared" ca="1" si="4"/>
        <v/>
      </c>
      <c r="G64" s="385" t="str">
        <f t="shared" ca="1" si="5"/>
        <v/>
      </c>
      <c r="H64" s="386" t="str">
        <f t="shared" ca="1" si="6"/>
        <v/>
      </c>
      <c r="I64" s="404"/>
      <c r="J64" s="415"/>
      <c r="K64" s="428"/>
      <c r="L64" s="428" t="s">
        <v>64</v>
      </c>
      <c r="M64" s="428"/>
      <c r="N64" s="428"/>
      <c r="O64" s="428"/>
      <c r="P64" s="428"/>
      <c r="Q64" s="429"/>
      <c r="R64" s="424" t="s">
        <v>242</v>
      </c>
      <c r="S64" s="418">
        <v>45898</v>
      </c>
      <c r="T64" s="419">
        <v>45898</v>
      </c>
      <c r="U64" s="418"/>
      <c r="V64" s="419"/>
      <c r="W64" s="430"/>
      <c r="X64" s="431"/>
      <c r="Y64" s="434"/>
      <c r="Z64" s="433"/>
      <c r="AA64" s="396"/>
      <c r="AB64" s="397"/>
      <c r="AC64" s="398"/>
      <c r="AD64" s="399"/>
      <c r="AE64" s="400"/>
      <c r="AF64" s="401"/>
      <c r="AG64" s="401">
        <f t="shared" ca="1" si="7"/>
        <v>0</v>
      </c>
      <c r="AH64" s="401">
        <f t="shared" ca="1" si="8"/>
        <v>0</v>
      </c>
      <c r="AI64" s="401">
        <f t="shared" si="9"/>
        <v>0</v>
      </c>
      <c r="AJ64" s="401">
        <f t="shared" ca="1" si="10"/>
        <v>0</v>
      </c>
      <c r="AK64" s="401" t="str">
        <f t="shared" ca="1" si="11"/>
        <v/>
      </c>
      <c r="AL64" s="402">
        <f t="shared" ca="1" si="12"/>
        <v>3</v>
      </c>
      <c r="AM64" s="402">
        <f t="shared" ca="1" si="13"/>
        <v>1</v>
      </c>
      <c r="AN64" s="402">
        <f t="shared" ca="1" si="14"/>
        <v>7</v>
      </c>
      <c r="AO64" s="402">
        <f t="shared" ca="1" si="15"/>
        <v>4</v>
      </c>
      <c r="AP64" s="402">
        <f t="shared" ca="1" si="16"/>
        <v>0</v>
      </c>
      <c r="AQ64" s="402">
        <f t="shared" ca="1" si="17"/>
        <v>0</v>
      </c>
      <c r="AR64" s="402">
        <f t="shared" ca="1" si="18"/>
        <v>0</v>
      </c>
      <c r="AS64" s="403"/>
      <c r="AT64" s="402">
        <f t="shared" si="19"/>
        <v>1</v>
      </c>
    </row>
    <row r="65" spans="1:46" ht="15.75" customHeight="1">
      <c r="A65" s="382"/>
      <c r="B65" s="383">
        <f t="shared" ca="1" si="0"/>
        <v>3</v>
      </c>
      <c r="C65" s="384">
        <f t="shared" ca="1" si="1"/>
        <v>1</v>
      </c>
      <c r="D65" s="384">
        <f t="shared" ca="1" si="2"/>
        <v>7</v>
      </c>
      <c r="E65" s="384">
        <f t="shared" ca="1" si="3"/>
        <v>5</v>
      </c>
      <c r="F65" s="384" t="str">
        <f t="shared" ca="1" si="4"/>
        <v/>
      </c>
      <c r="G65" s="385" t="str">
        <f t="shared" ca="1" si="5"/>
        <v/>
      </c>
      <c r="H65" s="386" t="str">
        <f t="shared" ca="1" si="6"/>
        <v/>
      </c>
      <c r="I65" s="404"/>
      <c r="J65" s="415"/>
      <c r="K65" s="428"/>
      <c r="L65" s="428" t="s">
        <v>65</v>
      </c>
      <c r="M65" s="428"/>
      <c r="N65" s="428"/>
      <c r="O65" s="428"/>
      <c r="P65" s="428"/>
      <c r="Q65" s="429"/>
      <c r="R65" s="424" t="s">
        <v>238</v>
      </c>
      <c r="S65" s="418">
        <v>45901</v>
      </c>
      <c r="T65" s="419">
        <v>45901</v>
      </c>
      <c r="U65" s="418"/>
      <c r="V65" s="419"/>
      <c r="W65" s="430"/>
      <c r="X65" s="431"/>
      <c r="Y65" s="434"/>
      <c r="Z65" s="433"/>
      <c r="AA65" s="396"/>
      <c r="AB65" s="397"/>
      <c r="AC65" s="398"/>
      <c r="AD65" s="399"/>
      <c r="AE65" s="400"/>
      <c r="AF65" s="401"/>
      <c r="AG65" s="401">
        <f t="shared" ca="1" si="7"/>
        <v>0</v>
      </c>
      <c r="AH65" s="401">
        <f t="shared" ca="1" si="8"/>
        <v>0</v>
      </c>
      <c r="AI65" s="401">
        <f t="shared" si="9"/>
        <v>0</v>
      </c>
      <c r="AJ65" s="401">
        <f t="shared" ca="1" si="10"/>
        <v>0</v>
      </c>
      <c r="AK65" s="401" t="str">
        <f t="shared" ca="1" si="11"/>
        <v/>
      </c>
      <c r="AL65" s="402">
        <f t="shared" ca="1" si="12"/>
        <v>3</v>
      </c>
      <c r="AM65" s="402">
        <f t="shared" ca="1" si="13"/>
        <v>1</v>
      </c>
      <c r="AN65" s="402">
        <f t="shared" ca="1" si="14"/>
        <v>7</v>
      </c>
      <c r="AO65" s="402">
        <f t="shared" ca="1" si="15"/>
        <v>5</v>
      </c>
      <c r="AP65" s="402">
        <f t="shared" ca="1" si="16"/>
        <v>0</v>
      </c>
      <c r="AQ65" s="402">
        <f t="shared" ca="1" si="17"/>
        <v>0</v>
      </c>
      <c r="AR65" s="402">
        <f t="shared" ca="1" si="18"/>
        <v>0</v>
      </c>
      <c r="AS65" s="403"/>
      <c r="AT65" s="402">
        <f t="shared" si="19"/>
        <v>1</v>
      </c>
    </row>
    <row r="66" spans="1:46" ht="15.75" customHeight="1">
      <c r="A66" s="382"/>
      <c r="B66" s="383">
        <f t="shared" ca="1" si="0"/>
        <v>3</v>
      </c>
      <c r="C66" s="384">
        <f t="shared" ca="1" si="1"/>
        <v>1</v>
      </c>
      <c r="D66" s="384">
        <f t="shared" ca="1" si="2"/>
        <v>7</v>
      </c>
      <c r="E66" s="384">
        <f t="shared" ca="1" si="3"/>
        <v>6</v>
      </c>
      <c r="F66" s="384" t="str">
        <f t="shared" ca="1" si="4"/>
        <v/>
      </c>
      <c r="G66" s="385" t="str">
        <f t="shared" ca="1" si="5"/>
        <v/>
      </c>
      <c r="H66" s="386" t="str">
        <f t="shared" ca="1" si="6"/>
        <v/>
      </c>
      <c r="I66" s="404"/>
      <c r="J66" s="415"/>
      <c r="K66" s="428"/>
      <c r="L66" s="428" t="s">
        <v>66</v>
      </c>
      <c r="M66" s="428"/>
      <c r="N66" s="428"/>
      <c r="O66" s="428"/>
      <c r="P66" s="428"/>
      <c r="Q66" s="429"/>
      <c r="R66" s="424" t="s">
        <v>242</v>
      </c>
      <c r="S66" s="418">
        <v>45902</v>
      </c>
      <c r="T66" s="419">
        <v>45902</v>
      </c>
      <c r="U66" s="418"/>
      <c r="V66" s="419"/>
      <c r="W66" s="430"/>
      <c r="X66" s="431"/>
      <c r="Y66" s="434"/>
      <c r="Z66" s="433"/>
      <c r="AA66" s="396"/>
      <c r="AB66" s="397"/>
      <c r="AC66" s="398"/>
      <c r="AD66" s="399"/>
      <c r="AE66" s="400"/>
      <c r="AF66" s="401"/>
      <c r="AG66" s="401">
        <f t="shared" ca="1" si="7"/>
        <v>0</v>
      </c>
      <c r="AH66" s="401">
        <f t="shared" ca="1" si="8"/>
        <v>0</v>
      </c>
      <c r="AI66" s="401">
        <f t="shared" si="9"/>
        <v>0</v>
      </c>
      <c r="AJ66" s="401">
        <f t="shared" ca="1" si="10"/>
        <v>0</v>
      </c>
      <c r="AK66" s="401" t="str">
        <f t="shared" ca="1" si="11"/>
        <v/>
      </c>
      <c r="AL66" s="402">
        <f t="shared" ca="1" si="12"/>
        <v>3</v>
      </c>
      <c r="AM66" s="402">
        <f t="shared" ca="1" si="13"/>
        <v>1</v>
      </c>
      <c r="AN66" s="402">
        <f t="shared" ca="1" si="14"/>
        <v>7</v>
      </c>
      <c r="AO66" s="402">
        <f t="shared" ca="1" si="15"/>
        <v>6</v>
      </c>
      <c r="AP66" s="402">
        <f t="shared" ca="1" si="16"/>
        <v>0</v>
      </c>
      <c r="AQ66" s="402">
        <f t="shared" ca="1" si="17"/>
        <v>0</v>
      </c>
      <c r="AR66" s="402">
        <f t="shared" ca="1" si="18"/>
        <v>0</v>
      </c>
      <c r="AS66" s="403"/>
      <c r="AT66" s="402">
        <f t="shared" si="19"/>
        <v>1</v>
      </c>
    </row>
    <row r="67" spans="1:46" ht="15.75" customHeight="1">
      <c r="A67" s="382"/>
      <c r="B67" s="383">
        <f t="shared" ca="1" si="0"/>
        <v>3</v>
      </c>
      <c r="C67" s="384">
        <f t="shared" ca="1" si="1"/>
        <v>1</v>
      </c>
      <c r="D67" s="384">
        <f t="shared" ca="1" si="2"/>
        <v>8</v>
      </c>
      <c r="E67" s="384" t="str">
        <f t="shared" ca="1" si="3"/>
        <v/>
      </c>
      <c r="F67" s="384" t="str">
        <f t="shared" ca="1" si="4"/>
        <v/>
      </c>
      <c r="G67" s="385" t="str">
        <f t="shared" ca="1" si="5"/>
        <v/>
      </c>
      <c r="H67" s="386" t="str">
        <f t="shared" ca="1" si="6"/>
        <v/>
      </c>
      <c r="I67" s="404"/>
      <c r="J67" s="415"/>
      <c r="K67" s="428" t="s">
        <v>299</v>
      </c>
      <c r="L67" s="428"/>
      <c r="M67" s="428"/>
      <c r="N67" s="428"/>
      <c r="O67" s="428"/>
      <c r="P67" s="428"/>
      <c r="Q67" s="429"/>
      <c r="R67" s="417"/>
      <c r="S67" s="418"/>
      <c r="T67" s="419"/>
      <c r="U67" s="418"/>
      <c r="V67" s="419"/>
      <c r="W67" s="430"/>
      <c r="X67" s="431"/>
      <c r="Y67" s="434"/>
      <c r="Z67" s="433"/>
      <c r="AA67" s="396"/>
      <c r="AB67" s="397"/>
      <c r="AC67" s="398"/>
      <c r="AD67" s="399"/>
      <c r="AE67" s="400"/>
      <c r="AF67" s="401"/>
      <c r="AG67" s="401">
        <f t="shared" si="7"/>
        <v>0</v>
      </c>
      <c r="AH67" s="401">
        <f t="shared" si="8"/>
        <v>0</v>
      </c>
      <c r="AI67" s="401">
        <f t="shared" si="9"/>
        <v>0</v>
      </c>
      <c r="AJ67" s="401">
        <f t="shared" si="10"/>
        <v>0</v>
      </c>
      <c r="AK67" s="401" t="str">
        <f t="shared" si="11"/>
        <v/>
      </c>
      <c r="AL67" s="402">
        <f t="shared" ca="1" si="12"/>
        <v>3</v>
      </c>
      <c r="AM67" s="402">
        <f t="shared" ca="1" si="13"/>
        <v>1</v>
      </c>
      <c r="AN67" s="402">
        <f t="shared" ca="1" si="14"/>
        <v>8</v>
      </c>
      <c r="AO67" s="402">
        <f t="shared" ca="1" si="15"/>
        <v>0</v>
      </c>
      <c r="AP67" s="402">
        <f t="shared" ca="1" si="16"/>
        <v>0</v>
      </c>
      <c r="AQ67" s="402">
        <f t="shared" ca="1" si="17"/>
        <v>0</v>
      </c>
      <c r="AR67" s="402">
        <f t="shared" ca="1" si="18"/>
        <v>0</v>
      </c>
      <c r="AS67" s="403"/>
      <c r="AT67" s="402">
        <f t="shared" si="19"/>
        <v>1</v>
      </c>
    </row>
    <row r="68" spans="1:46" ht="15.75" customHeight="1">
      <c r="A68" s="382"/>
      <c r="B68" s="383">
        <f t="shared" ca="1" si="0"/>
        <v>3</v>
      </c>
      <c r="C68" s="384">
        <f t="shared" ca="1" si="1"/>
        <v>1</v>
      </c>
      <c r="D68" s="384">
        <f t="shared" ca="1" si="2"/>
        <v>8</v>
      </c>
      <c r="E68" s="384">
        <f t="shared" ca="1" si="3"/>
        <v>1</v>
      </c>
      <c r="F68" s="384" t="str">
        <f t="shared" ca="1" si="4"/>
        <v/>
      </c>
      <c r="G68" s="385" t="str">
        <f t="shared" ca="1" si="5"/>
        <v/>
      </c>
      <c r="H68" s="386" t="str">
        <f t="shared" ca="1" si="6"/>
        <v/>
      </c>
      <c r="I68" s="404"/>
      <c r="J68" s="415"/>
      <c r="K68" s="428"/>
      <c r="L68" s="428" t="s">
        <v>59</v>
      </c>
      <c r="M68" s="428"/>
      <c r="N68" s="428"/>
      <c r="O68" s="428"/>
      <c r="P68" s="428"/>
      <c r="Q68" s="429"/>
      <c r="R68" s="424" t="s">
        <v>239</v>
      </c>
      <c r="S68" s="418">
        <v>45891</v>
      </c>
      <c r="T68" s="419">
        <v>45896</v>
      </c>
      <c r="U68" s="418"/>
      <c r="V68" s="419"/>
      <c r="W68" s="430"/>
      <c r="X68" s="431"/>
      <c r="Y68" s="434"/>
      <c r="Z68" s="433"/>
      <c r="AA68" s="396"/>
      <c r="AB68" s="397"/>
      <c r="AC68" s="398"/>
      <c r="AD68" s="399"/>
      <c r="AE68" s="400"/>
      <c r="AF68" s="401"/>
      <c r="AG68" s="401">
        <f t="shared" ca="1" si="7"/>
        <v>0</v>
      </c>
      <c r="AH68" s="401">
        <f t="shared" ca="1" si="8"/>
        <v>0</v>
      </c>
      <c r="AI68" s="401">
        <f t="shared" si="9"/>
        <v>0</v>
      </c>
      <c r="AJ68" s="401">
        <f t="shared" ca="1" si="10"/>
        <v>0</v>
      </c>
      <c r="AK68" s="401" t="str">
        <f t="shared" ca="1" si="11"/>
        <v/>
      </c>
      <c r="AL68" s="402">
        <f t="shared" ca="1" si="12"/>
        <v>3</v>
      </c>
      <c r="AM68" s="402">
        <f t="shared" ca="1" si="13"/>
        <v>1</v>
      </c>
      <c r="AN68" s="402">
        <f t="shared" ca="1" si="14"/>
        <v>8</v>
      </c>
      <c r="AO68" s="402">
        <f t="shared" ca="1" si="15"/>
        <v>1</v>
      </c>
      <c r="AP68" s="402">
        <f t="shared" ca="1" si="16"/>
        <v>0</v>
      </c>
      <c r="AQ68" s="402">
        <f t="shared" ca="1" si="17"/>
        <v>0</v>
      </c>
      <c r="AR68" s="402">
        <f t="shared" ca="1" si="18"/>
        <v>0</v>
      </c>
      <c r="AS68" s="403"/>
      <c r="AT68" s="402">
        <f t="shared" si="19"/>
        <v>6</v>
      </c>
    </row>
    <row r="69" spans="1:46" ht="15.75" customHeight="1">
      <c r="A69" s="382"/>
      <c r="B69" s="383">
        <f t="shared" ca="1" si="0"/>
        <v>3</v>
      </c>
      <c r="C69" s="384">
        <f t="shared" ca="1" si="1"/>
        <v>1</v>
      </c>
      <c r="D69" s="384">
        <f t="shared" ca="1" si="2"/>
        <v>8</v>
      </c>
      <c r="E69" s="384">
        <f t="shared" ca="1" si="3"/>
        <v>2</v>
      </c>
      <c r="F69" s="384" t="str">
        <f t="shared" ca="1" si="4"/>
        <v/>
      </c>
      <c r="G69" s="385" t="str">
        <f t="shared" ca="1" si="5"/>
        <v/>
      </c>
      <c r="H69" s="386" t="str">
        <f t="shared" ca="1" si="6"/>
        <v/>
      </c>
      <c r="I69" s="404"/>
      <c r="J69" s="415"/>
      <c r="K69" s="428"/>
      <c r="L69" s="428" t="s">
        <v>61</v>
      </c>
      <c r="M69" s="428"/>
      <c r="N69" s="428"/>
      <c r="O69" s="428"/>
      <c r="P69" s="428"/>
      <c r="Q69" s="429"/>
      <c r="R69" s="424" t="s">
        <v>238</v>
      </c>
      <c r="S69" s="418">
        <v>45897</v>
      </c>
      <c r="T69" s="419">
        <v>45897</v>
      </c>
      <c r="U69" s="418"/>
      <c r="V69" s="419"/>
      <c r="W69" s="430"/>
      <c r="X69" s="431"/>
      <c r="Y69" s="434"/>
      <c r="Z69" s="433"/>
      <c r="AA69" s="396"/>
      <c r="AB69" s="397"/>
      <c r="AC69" s="398"/>
      <c r="AD69" s="399"/>
      <c r="AE69" s="400"/>
      <c r="AF69" s="401"/>
      <c r="AG69" s="401">
        <f t="shared" ca="1" si="7"/>
        <v>0</v>
      </c>
      <c r="AH69" s="401">
        <f t="shared" ca="1" si="8"/>
        <v>0</v>
      </c>
      <c r="AI69" s="401">
        <f t="shared" si="9"/>
        <v>0</v>
      </c>
      <c r="AJ69" s="401">
        <f t="shared" ca="1" si="10"/>
        <v>0</v>
      </c>
      <c r="AK69" s="401" t="str">
        <f t="shared" ca="1" si="11"/>
        <v/>
      </c>
      <c r="AL69" s="402">
        <f t="shared" ca="1" si="12"/>
        <v>3</v>
      </c>
      <c r="AM69" s="402">
        <f t="shared" ca="1" si="13"/>
        <v>1</v>
      </c>
      <c r="AN69" s="402">
        <f t="shared" ca="1" si="14"/>
        <v>8</v>
      </c>
      <c r="AO69" s="402">
        <f t="shared" ca="1" si="15"/>
        <v>2</v>
      </c>
      <c r="AP69" s="402">
        <f t="shared" ca="1" si="16"/>
        <v>0</v>
      </c>
      <c r="AQ69" s="402">
        <f t="shared" ca="1" si="17"/>
        <v>0</v>
      </c>
      <c r="AR69" s="402">
        <f t="shared" ca="1" si="18"/>
        <v>0</v>
      </c>
      <c r="AS69" s="403"/>
      <c r="AT69" s="402">
        <f t="shared" si="19"/>
        <v>1</v>
      </c>
    </row>
    <row r="70" spans="1:46" ht="15.75" customHeight="1">
      <c r="A70" s="382"/>
      <c r="B70" s="383">
        <f t="shared" ca="1" si="0"/>
        <v>3</v>
      </c>
      <c r="C70" s="384">
        <f t="shared" ca="1" si="1"/>
        <v>1</v>
      </c>
      <c r="D70" s="384">
        <f t="shared" ca="1" si="2"/>
        <v>8</v>
      </c>
      <c r="E70" s="384">
        <f t="shared" ca="1" si="3"/>
        <v>3</v>
      </c>
      <c r="F70" s="384" t="str">
        <f t="shared" ca="1" si="4"/>
        <v/>
      </c>
      <c r="G70" s="385" t="str">
        <f t="shared" ca="1" si="5"/>
        <v/>
      </c>
      <c r="H70" s="386" t="str">
        <f t="shared" ca="1" si="6"/>
        <v/>
      </c>
      <c r="I70" s="404"/>
      <c r="J70" s="415"/>
      <c r="K70" s="428"/>
      <c r="L70" s="428" t="s">
        <v>63</v>
      </c>
      <c r="M70" s="428"/>
      <c r="N70" s="428"/>
      <c r="O70" s="428"/>
      <c r="P70" s="428"/>
      <c r="Q70" s="429"/>
      <c r="R70" s="424" t="s">
        <v>239</v>
      </c>
      <c r="S70" s="418">
        <v>45898</v>
      </c>
      <c r="T70" s="419">
        <v>45898</v>
      </c>
      <c r="U70" s="418"/>
      <c r="V70" s="419"/>
      <c r="W70" s="430"/>
      <c r="X70" s="431"/>
      <c r="Y70" s="434"/>
      <c r="Z70" s="433"/>
      <c r="AA70" s="396"/>
      <c r="AB70" s="397"/>
      <c r="AC70" s="398"/>
      <c r="AD70" s="399"/>
      <c r="AE70" s="400"/>
      <c r="AF70" s="401"/>
      <c r="AG70" s="401">
        <f t="shared" ca="1" si="7"/>
        <v>0</v>
      </c>
      <c r="AH70" s="401">
        <f t="shared" ca="1" si="8"/>
        <v>0</v>
      </c>
      <c r="AI70" s="401">
        <f t="shared" si="9"/>
        <v>0</v>
      </c>
      <c r="AJ70" s="401">
        <f t="shared" ca="1" si="10"/>
        <v>0</v>
      </c>
      <c r="AK70" s="401" t="str">
        <f t="shared" ca="1" si="11"/>
        <v/>
      </c>
      <c r="AL70" s="402">
        <f t="shared" ca="1" si="12"/>
        <v>3</v>
      </c>
      <c r="AM70" s="402">
        <f t="shared" ca="1" si="13"/>
        <v>1</v>
      </c>
      <c r="AN70" s="402">
        <f t="shared" ca="1" si="14"/>
        <v>8</v>
      </c>
      <c r="AO70" s="402">
        <f t="shared" ca="1" si="15"/>
        <v>3</v>
      </c>
      <c r="AP70" s="402">
        <f t="shared" ca="1" si="16"/>
        <v>0</v>
      </c>
      <c r="AQ70" s="402">
        <f t="shared" ca="1" si="17"/>
        <v>0</v>
      </c>
      <c r="AR70" s="402">
        <f t="shared" ca="1" si="18"/>
        <v>0</v>
      </c>
      <c r="AS70" s="403"/>
      <c r="AT70" s="402">
        <f t="shared" si="19"/>
        <v>1</v>
      </c>
    </row>
    <row r="71" spans="1:46" ht="15.75" customHeight="1">
      <c r="A71" s="382"/>
      <c r="B71" s="383">
        <f t="shared" ca="1" si="0"/>
        <v>3</v>
      </c>
      <c r="C71" s="384">
        <f t="shared" ca="1" si="1"/>
        <v>1</v>
      </c>
      <c r="D71" s="384">
        <f t="shared" ca="1" si="2"/>
        <v>8</v>
      </c>
      <c r="E71" s="384">
        <f t="shared" ca="1" si="3"/>
        <v>4</v>
      </c>
      <c r="F71" s="384" t="str">
        <f t="shared" ca="1" si="4"/>
        <v/>
      </c>
      <c r="G71" s="385" t="str">
        <f t="shared" ca="1" si="5"/>
        <v/>
      </c>
      <c r="H71" s="386" t="str">
        <f t="shared" ca="1" si="6"/>
        <v/>
      </c>
      <c r="I71" s="404"/>
      <c r="J71" s="415"/>
      <c r="K71" s="428"/>
      <c r="L71" s="428" t="s">
        <v>64</v>
      </c>
      <c r="M71" s="428"/>
      <c r="N71" s="428"/>
      <c r="O71" s="428"/>
      <c r="P71" s="428"/>
      <c r="Q71" s="429"/>
      <c r="R71" s="424" t="s">
        <v>238</v>
      </c>
      <c r="S71" s="418">
        <v>45898</v>
      </c>
      <c r="T71" s="419">
        <v>45898</v>
      </c>
      <c r="U71" s="418"/>
      <c r="V71" s="419"/>
      <c r="W71" s="430"/>
      <c r="X71" s="431"/>
      <c r="Y71" s="434"/>
      <c r="Z71" s="433"/>
      <c r="AA71" s="396"/>
      <c r="AB71" s="397"/>
      <c r="AC71" s="398"/>
      <c r="AD71" s="399"/>
      <c r="AE71" s="400"/>
      <c r="AF71" s="401"/>
      <c r="AG71" s="401">
        <f t="shared" ca="1" si="7"/>
        <v>0</v>
      </c>
      <c r="AH71" s="401">
        <f t="shared" ca="1" si="8"/>
        <v>0</v>
      </c>
      <c r="AI71" s="401">
        <f t="shared" si="9"/>
        <v>0</v>
      </c>
      <c r="AJ71" s="401">
        <f t="shared" ca="1" si="10"/>
        <v>0</v>
      </c>
      <c r="AK71" s="401" t="str">
        <f t="shared" ca="1" si="11"/>
        <v/>
      </c>
      <c r="AL71" s="402">
        <f t="shared" ca="1" si="12"/>
        <v>3</v>
      </c>
      <c r="AM71" s="402">
        <f t="shared" ca="1" si="13"/>
        <v>1</v>
      </c>
      <c r="AN71" s="402">
        <f t="shared" ca="1" si="14"/>
        <v>8</v>
      </c>
      <c r="AO71" s="402">
        <f t="shared" ca="1" si="15"/>
        <v>4</v>
      </c>
      <c r="AP71" s="402">
        <f t="shared" ca="1" si="16"/>
        <v>0</v>
      </c>
      <c r="AQ71" s="402">
        <f t="shared" ca="1" si="17"/>
        <v>0</v>
      </c>
      <c r="AR71" s="402">
        <f t="shared" ca="1" si="18"/>
        <v>0</v>
      </c>
      <c r="AS71" s="403"/>
      <c r="AT71" s="402">
        <f t="shared" si="19"/>
        <v>1</v>
      </c>
    </row>
    <row r="72" spans="1:46" ht="15.75" customHeight="1">
      <c r="A72" s="382"/>
      <c r="B72" s="383">
        <f t="shared" ca="1" si="0"/>
        <v>3</v>
      </c>
      <c r="C72" s="384">
        <f t="shared" ca="1" si="1"/>
        <v>1</v>
      </c>
      <c r="D72" s="384">
        <f t="shared" ca="1" si="2"/>
        <v>8</v>
      </c>
      <c r="E72" s="384">
        <f t="shared" ca="1" si="3"/>
        <v>5</v>
      </c>
      <c r="F72" s="384" t="str">
        <f t="shared" ca="1" si="4"/>
        <v/>
      </c>
      <c r="G72" s="385" t="str">
        <f t="shared" ca="1" si="5"/>
        <v/>
      </c>
      <c r="H72" s="386" t="str">
        <f t="shared" ca="1" si="6"/>
        <v/>
      </c>
      <c r="I72" s="404"/>
      <c r="J72" s="415"/>
      <c r="K72" s="428"/>
      <c r="L72" s="428" t="s">
        <v>65</v>
      </c>
      <c r="M72" s="428"/>
      <c r="N72" s="428"/>
      <c r="O72" s="428"/>
      <c r="P72" s="428"/>
      <c r="Q72" s="429"/>
      <c r="R72" s="424" t="s">
        <v>239</v>
      </c>
      <c r="S72" s="418">
        <v>45901</v>
      </c>
      <c r="T72" s="419">
        <v>45901</v>
      </c>
      <c r="U72" s="418"/>
      <c r="V72" s="419"/>
      <c r="W72" s="430"/>
      <c r="X72" s="431"/>
      <c r="Y72" s="434"/>
      <c r="Z72" s="433"/>
      <c r="AA72" s="396"/>
      <c r="AB72" s="397"/>
      <c r="AC72" s="398"/>
      <c r="AD72" s="399"/>
      <c r="AE72" s="400"/>
      <c r="AF72" s="401"/>
      <c r="AG72" s="401">
        <f t="shared" ca="1" si="7"/>
        <v>0</v>
      </c>
      <c r="AH72" s="401">
        <f t="shared" ca="1" si="8"/>
        <v>0</v>
      </c>
      <c r="AI72" s="401">
        <f t="shared" si="9"/>
        <v>0</v>
      </c>
      <c r="AJ72" s="401">
        <f t="shared" ca="1" si="10"/>
        <v>0</v>
      </c>
      <c r="AK72" s="401" t="str">
        <f t="shared" ca="1" si="11"/>
        <v/>
      </c>
      <c r="AL72" s="402">
        <f t="shared" ca="1" si="12"/>
        <v>3</v>
      </c>
      <c r="AM72" s="402">
        <f t="shared" ca="1" si="13"/>
        <v>1</v>
      </c>
      <c r="AN72" s="402">
        <f t="shared" ca="1" si="14"/>
        <v>8</v>
      </c>
      <c r="AO72" s="402">
        <f t="shared" ca="1" si="15"/>
        <v>5</v>
      </c>
      <c r="AP72" s="402">
        <f t="shared" ca="1" si="16"/>
        <v>0</v>
      </c>
      <c r="AQ72" s="402">
        <f t="shared" ca="1" si="17"/>
        <v>0</v>
      </c>
      <c r="AR72" s="402">
        <f t="shared" ca="1" si="18"/>
        <v>0</v>
      </c>
      <c r="AS72" s="403"/>
      <c r="AT72" s="402">
        <f t="shared" si="19"/>
        <v>1</v>
      </c>
    </row>
    <row r="73" spans="1:46" ht="15.75" customHeight="1">
      <c r="A73" s="382"/>
      <c r="B73" s="383">
        <f t="shared" ca="1" si="0"/>
        <v>3</v>
      </c>
      <c r="C73" s="384">
        <f t="shared" ca="1" si="1"/>
        <v>1</v>
      </c>
      <c r="D73" s="384">
        <f t="shared" ca="1" si="2"/>
        <v>8</v>
      </c>
      <c r="E73" s="384">
        <f t="shared" ca="1" si="3"/>
        <v>6</v>
      </c>
      <c r="F73" s="384" t="str">
        <f t="shared" ca="1" si="4"/>
        <v/>
      </c>
      <c r="G73" s="385" t="str">
        <f t="shared" ca="1" si="5"/>
        <v/>
      </c>
      <c r="H73" s="386" t="str">
        <f t="shared" ca="1" si="6"/>
        <v/>
      </c>
      <c r="I73" s="404"/>
      <c r="J73" s="415"/>
      <c r="K73" s="428"/>
      <c r="L73" s="428" t="s">
        <v>66</v>
      </c>
      <c r="M73" s="428"/>
      <c r="N73" s="428"/>
      <c r="O73" s="428"/>
      <c r="P73" s="428"/>
      <c r="Q73" s="429"/>
      <c r="R73" s="424" t="s">
        <v>238</v>
      </c>
      <c r="S73" s="418">
        <v>45902</v>
      </c>
      <c r="T73" s="419">
        <v>45902</v>
      </c>
      <c r="U73" s="418"/>
      <c r="V73" s="419"/>
      <c r="W73" s="430"/>
      <c r="X73" s="431"/>
      <c r="Y73" s="434"/>
      <c r="Z73" s="433"/>
      <c r="AA73" s="396"/>
      <c r="AB73" s="397"/>
      <c r="AC73" s="398"/>
      <c r="AD73" s="399"/>
      <c r="AE73" s="400"/>
      <c r="AF73" s="401"/>
      <c r="AG73" s="401">
        <f t="shared" ca="1" si="7"/>
        <v>0</v>
      </c>
      <c r="AH73" s="401">
        <f t="shared" ca="1" si="8"/>
        <v>0</v>
      </c>
      <c r="AI73" s="401">
        <f t="shared" si="9"/>
        <v>0</v>
      </c>
      <c r="AJ73" s="401">
        <f t="shared" ca="1" si="10"/>
        <v>0</v>
      </c>
      <c r="AK73" s="401" t="str">
        <f t="shared" ca="1" si="11"/>
        <v/>
      </c>
      <c r="AL73" s="402">
        <f t="shared" ca="1" si="12"/>
        <v>3</v>
      </c>
      <c r="AM73" s="402">
        <f t="shared" ca="1" si="13"/>
        <v>1</v>
      </c>
      <c r="AN73" s="402">
        <f t="shared" ca="1" si="14"/>
        <v>8</v>
      </c>
      <c r="AO73" s="402">
        <f t="shared" ca="1" si="15"/>
        <v>6</v>
      </c>
      <c r="AP73" s="402">
        <f t="shared" ca="1" si="16"/>
        <v>0</v>
      </c>
      <c r="AQ73" s="402">
        <f t="shared" ca="1" si="17"/>
        <v>0</v>
      </c>
      <c r="AR73" s="402">
        <f t="shared" ca="1" si="18"/>
        <v>0</v>
      </c>
      <c r="AS73" s="403"/>
      <c r="AT73" s="402">
        <f t="shared" si="19"/>
        <v>1</v>
      </c>
    </row>
    <row r="74" spans="1:46" ht="15.75" customHeight="1">
      <c r="A74" s="382"/>
      <c r="B74" s="383">
        <f t="shared" ca="1" si="0"/>
        <v>3</v>
      </c>
      <c r="C74" s="384">
        <f t="shared" ca="1" si="1"/>
        <v>1</v>
      </c>
      <c r="D74" s="384">
        <f t="shared" ca="1" si="2"/>
        <v>9</v>
      </c>
      <c r="E74" s="384" t="str">
        <f t="shared" ca="1" si="3"/>
        <v/>
      </c>
      <c r="F74" s="384" t="str">
        <f t="shared" ca="1" si="4"/>
        <v/>
      </c>
      <c r="G74" s="385" t="str">
        <f t="shared" ca="1" si="5"/>
        <v/>
      </c>
      <c r="H74" s="386" t="str">
        <f t="shared" ca="1" si="6"/>
        <v/>
      </c>
      <c r="I74" s="404"/>
      <c r="J74" s="415"/>
      <c r="K74" s="428" t="s">
        <v>300</v>
      </c>
      <c r="L74" s="428"/>
      <c r="M74" s="428"/>
      <c r="N74" s="428"/>
      <c r="O74" s="428"/>
      <c r="P74" s="428"/>
      <c r="Q74" s="429"/>
      <c r="R74" s="417"/>
      <c r="S74" s="418"/>
      <c r="T74" s="419"/>
      <c r="U74" s="418"/>
      <c r="V74" s="419"/>
      <c r="W74" s="430"/>
      <c r="X74" s="431"/>
      <c r="Y74" s="434"/>
      <c r="Z74" s="433"/>
      <c r="AA74" s="396"/>
      <c r="AB74" s="397"/>
      <c r="AC74" s="398"/>
      <c r="AD74" s="399"/>
      <c r="AE74" s="400"/>
      <c r="AF74" s="401"/>
      <c r="AG74" s="401">
        <f t="shared" si="7"/>
        <v>0</v>
      </c>
      <c r="AH74" s="401">
        <f t="shared" si="8"/>
        <v>0</v>
      </c>
      <c r="AI74" s="401">
        <f t="shared" si="9"/>
        <v>0</v>
      </c>
      <c r="AJ74" s="401">
        <f t="shared" si="10"/>
        <v>0</v>
      </c>
      <c r="AK74" s="401" t="str">
        <f t="shared" si="11"/>
        <v/>
      </c>
      <c r="AL74" s="402">
        <f t="shared" ca="1" si="12"/>
        <v>3</v>
      </c>
      <c r="AM74" s="402">
        <f t="shared" ca="1" si="13"/>
        <v>1</v>
      </c>
      <c r="AN74" s="402">
        <f t="shared" ca="1" si="14"/>
        <v>9</v>
      </c>
      <c r="AO74" s="402">
        <f t="shared" ca="1" si="15"/>
        <v>0</v>
      </c>
      <c r="AP74" s="402">
        <f t="shared" ca="1" si="16"/>
        <v>0</v>
      </c>
      <c r="AQ74" s="402">
        <f t="shared" ca="1" si="17"/>
        <v>0</v>
      </c>
      <c r="AR74" s="402">
        <f t="shared" ca="1" si="18"/>
        <v>0</v>
      </c>
      <c r="AS74" s="403"/>
      <c r="AT74" s="402">
        <f t="shared" si="19"/>
        <v>1</v>
      </c>
    </row>
    <row r="75" spans="1:46" ht="15.75" customHeight="1">
      <c r="A75" s="382"/>
      <c r="B75" s="383">
        <f t="shared" ca="1" si="0"/>
        <v>3</v>
      </c>
      <c r="C75" s="384">
        <f t="shared" ca="1" si="1"/>
        <v>1</v>
      </c>
      <c r="D75" s="384">
        <f t="shared" ca="1" si="2"/>
        <v>9</v>
      </c>
      <c r="E75" s="384">
        <f t="shared" ca="1" si="3"/>
        <v>1</v>
      </c>
      <c r="F75" s="384" t="str">
        <f t="shared" ca="1" si="4"/>
        <v/>
      </c>
      <c r="G75" s="385" t="str">
        <f t="shared" ca="1" si="5"/>
        <v/>
      </c>
      <c r="H75" s="386" t="str">
        <f t="shared" ca="1" si="6"/>
        <v/>
      </c>
      <c r="I75" s="404"/>
      <c r="J75" s="415"/>
      <c r="K75" s="428"/>
      <c r="L75" s="428" t="s">
        <v>59</v>
      </c>
      <c r="M75" s="428"/>
      <c r="N75" s="428"/>
      <c r="O75" s="428"/>
      <c r="P75" s="428"/>
      <c r="Q75" s="429"/>
      <c r="R75" s="424" t="s">
        <v>242</v>
      </c>
      <c r="S75" s="418">
        <v>45891</v>
      </c>
      <c r="T75" s="419">
        <v>45896</v>
      </c>
      <c r="U75" s="418"/>
      <c r="V75" s="419"/>
      <c r="W75" s="430"/>
      <c r="X75" s="431"/>
      <c r="Y75" s="434"/>
      <c r="Z75" s="433"/>
      <c r="AA75" s="396"/>
      <c r="AB75" s="397"/>
      <c r="AC75" s="398"/>
      <c r="AD75" s="399"/>
      <c r="AE75" s="400"/>
      <c r="AF75" s="401"/>
      <c r="AG75" s="401">
        <f t="shared" ca="1" si="7"/>
        <v>0</v>
      </c>
      <c r="AH75" s="401">
        <f t="shared" ca="1" si="8"/>
        <v>0</v>
      </c>
      <c r="AI75" s="401">
        <f t="shared" si="9"/>
        <v>0</v>
      </c>
      <c r="AJ75" s="401">
        <f t="shared" ca="1" si="10"/>
        <v>0</v>
      </c>
      <c r="AK75" s="401" t="str">
        <f t="shared" ca="1" si="11"/>
        <v/>
      </c>
      <c r="AL75" s="402">
        <f t="shared" ca="1" si="12"/>
        <v>3</v>
      </c>
      <c r="AM75" s="402">
        <f t="shared" ca="1" si="13"/>
        <v>1</v>
      </c>
      <c r="AN75" s="402">
        <f t="shared" ca="1" si="14"/>
        <v>9</v>
      </c>
      <c r="AO75" s="402">
        <f t="shared" ca="1" si="15"/>
        <v>1</v>
      </c>
      <c r="AP75" s="402">
        <f t="shared" ca="1" si="16"/>
        <v>0</v>
      </c>
      <c r="AQ75" s="402">
        <f t="shared" ca="1" si="17"/>
        <v>0</v>
      </c>
      <c r="AR75" s="402">
        <f t="shared" ca="1" si="18"/>
        <v>0</v>
      </c>
      <c r="AS75" s="403"/>
      <c r="AT75" s="402">
        <f t="shared" si="19"/>
        <v>6</v>
      </c>
    </row>
    <row r="76" spans="1:46" ht="15.75" customHeight="1">
      <c r="A76" s="382"/>
      <c r="B76" s="383">
        <f t="shared" ca="1" si="0"/>
        <v>3</v>
      </c>
      <c r="C76" s="384">
        <f t="shared" ca="1" si="1"/>
        <v>1</v>
      </c>
      <c r="D76" s="384">
        <f t="shared" ca="1" si="2"/>
        <v>9</v>
      </c>
      <c r="E76" s="384">
        <f t="shared" ca="1" si="3"/>
        <v>2</v>
      </c>
      <c r="F76" s="384" t="str">
        <f t="shared" ca="1" si="4"/>
        <v/>
      </c>
      <c r="G76" s="385" t="str">
        <f t="shared" ca="1" si="5"/>
        <v/>
      </c>
      <c r="H76" s="386" t="str">
        <f t="shared" ca="1" si="6"/>
        <v/>
      </c>
      <c r="I76" s="404"/>
      <c r="J76" s="415"/>
      <c r="K76" s="428"/>
      <c r="L76" s="428" t="s">
        <v>61</v>
      </c>
      <c r="M76" s="428"/>
      <c r="N76" s="428"/>
      <c r="O76" s="428"/>
      <c r="P76" s="428"/>
      <c r="Q76" s="429"/>
      <c r="R76" s="424" t="s">
        <v>239</v>
      </c>
      <c r="S76" s="418">
        <v>45897</v>
      </c>
      <c r="T76" s="419">
        <v>45897</v>
      </c>
      <c r="U76" s="418"/>
      <c r="V76" s="419"/>
      <c r="W76" s="430"/>
      <c r="X76" s="431"/>
      <c r="Y76" s="434"/>
      <c r="Z76" s="433"/>
      <c r="AA76" s="396"/>
      <c r="AB76" s="397"/>
      <c r="AC76" s="398"/>
      <c r="AD76" s="399"/>
      <c r="AE76" s="400"/>
      <c r="AF76" s="401"/>
      <c r="AG76" s="401">
        <f t="shared" ca="1" si="7"/>
        <v>0</v>
      </c>
      <c r="AH76" s="401">
        <f t="shared" ca="1" si="8"/>
        <v>0</v>
      </c>
      <c r="AI76" s="401">
        <f t="shared" si="9"/>
        <v>0</v>
      </c>
      <c r="AJ76" s="401">
        <f t="shared" ca="1" si="10"/>
        <v>0</v>
      </c>
      <c r="AK76" s="401" t="str">
        <f t="shared" ca="1" si="11"/>
        <v/>
      </c>
      <c r="AL76" s="402">
        <f t="shared" ca="1" si="12"/>
        <v>3</v>
      </c>
      <c r="AM76" s="402">
        <f t="shared" ca="1" si="13"/>
        <v>1</v>
      </c>
      <c r="AN76" s="402">
        <f t="shared" ca="1" si="14"/>
        <v>9</v>
      </c>
      <c r="AO76" s="402">
        <f t="shared" ca="1" si="15"/>
        <v>2</v>
      </c>
      <c r="AP76" s="402">
        <f t="shared" ca="1" si="16"/>
        <v>0</v>
      </c>
      <c r="AQ76" s="402">
        <f t="shared" ca="1" si="17"/>
        <v>0</v>
      </c>
      <c r="AR76" s="402">
        <f t="shared" ca="1" si="18"/>
        <v>0</v>
      </c>
      <c r="AS76" s="403"/>
      <c r="AT76" s="402">
        <f t="shared" si="19"/>
        <v>1</v>
      </c>
    </row>
    <row r="77" spans="1:46" ht="15.75" customHeight="1">
      <c r="A77" s="382"/>
      <c r="B77" s="383">
        <f t="shared" ca="1" si="0"/>
        <v>3</v>
      </c>
      <c r="C77" s="384">
        <f t="shared" ca="1" si="1"/>
        <v>1</v>
      </c>
      <c r="D77" s="384">
        <f t="shared" ca="1" si="2"/>
        <v>9</v>
      </c>
      <c r="E77" s="384">
        <f t="shared" ca="1" si="3"/>
        <v>3</v>
      </c>
      <c r="F77" s="384" t="str">
        <f t="shared" ca="1" si="4"/>
        <v/>
      </c>
      <c r="G77" s="385" t="str">
        <f t="shared" ca="1" si="5"/>
        <v/>
      </c>
      <c r="H77" s="386" t="str">
        <f t="shared" ca="1" si="6"/>
        <v/>
      </c>
      <c r="I77" s="404"/>
      <c r="J77" s="415"/>
      <c r="K77" s="428"/>
      <c r="L77" s="428" t="s">
        <v>63</v>
      </c>
      <c r="M77" s="428"/>
      <c r="N77" s="428"/>
      <c r="O77" s="428"/>
      <c r="P77" s="428"/>
      <c r="Q77" s="429"/>
      <c r="R77" s="424" t="s">
        <v>242</v>
      </c>
      <c r="S77" s="418">
        <v>45898</v>
      </c>
      <c r="T77" s="419">
        <v>45898</v>
      </c>
      <c r="U77" s="418"/>
      <c r="V77" s="419"/>
      <c r="W77" s="430"/>
      <c r="X77" s="431"/>
      <c r="Y77" s="434"/>
      <c r="Z77" s="433"/>
      <c r="AA77" s="396"/>
      <c r="AB77" s="397"/>
      <c r="AC77" s="398"/>
      <c r="AD77" s="399"/>
      <c r="AE77" s="400"/>
      <c r="AF77" s="401"/>
      <c r="AG77" s="401">
        <f t="shared" ca="1" si="7"/>
        <v>0</v>
      </c>
      <c r="AH77" s="401">
        <f t="shared" ca="1" si="8"/>
        <v>0</v>
      </c>
      <c r="AI77" s="401">
        <f t="shared" si="9"/>
        <v>0</v>
      </c>
      <c r="AJ77" s="401">
        <f t="shared" ca="1" si="10"/>
        <v>0</v>
      </c>
      <c r="AK77" s="401" t="str">
        <f t="shared" ca="1" si="11"/>
        <v/>
      </c>
      <c r="AL77" s="402">
        <f t="shared" ca="1" si="12"/>
        <v>3</v>
      </c>
      <c r="AM77" s="402">
        <f t="shared" ca="1" si="13"/>
        <v>1</v>
      </c>
      <c r="AN77" s="402">
        <f t="shared" ca="1" si="14"/>
        <v>9</v>
      </c>
      <c r="AO77" s="402">
        <f t="shared" ca="1" si="15"/>
        <v>3</v>
      </c>
      <c r="AP77" s="402">
        <f t="shared" ca="1" si="16"/>
        <v>0</v>
      </c>
      <c r="AQ77" s="402">
        <f t="shared" ca="1" si="17"/>
        <v>0</v>
      </c>
      <c r="AR77" s="402">
        <f t="shared" ca="1" si="18"/>
        <v>0</v>
      </c>
      <c r="AS77" s="403"/>
      <c r="AT77" s="402">
        <f t="shared" si="19"/>
        <v>1</v>
      </c>
    </row>
    <row r="78" spans="1:46" ht="15.75" customHeight="1">
      <c r="A78" s="382"/>
      <c r="B78" s="383">
        <f t="shared" ca="1" si="0"/>
        <v>3</v>
      </c>
      <c r="C78" s="384">
        <f t="shared" ca="1" si="1"/>
        <v>1</v>
      </c>
      <c r="D78" s="384">
        <f t="shared" ca="1" si="2"/>
        <v>9</v>
      </c>
      <c r="E78" s="384">
        <f t="shared" ca="1" si="3"/>
        <v>4</v>
      </c>
      <c r="F78" s="384" t="str">
        <f t="shared" ca="1" si="4"/>
        <v/>
      </c>
      <c r="G78" s="385" t="str">
        <f t="shared" ca="1" si="5"/>
        <v/>
      </c>
      <c r="H78" s="386" t="str">
        <f t="shared" ca="1" si="6"/>
        <v/>
      </c>
      <c r="I78" s="404"/>
      <c r="J78" s="415"/>
      <c r="K78" s="428"/>
      <c r="L78" s="428" t="s">
        <v>64</v>
      </c>
      <c r="M78" s="428"/>
      <c r="N78" s="428"/>
      <c r="O78" s="428"/>
      <c r="P78" s="428"/>
      <c r="Q78" s="429"/>
      <c r="R78" s="424" t="s">
        <v>239</v>
      </c>
      <c r="S78" s="418">
        <v>45898</v>
      </c>
      <c r="T78" s="419">
        <v>45898</v>
      </c>
      <c r="U78" s="418"/>
      <c r="V78" s="419"/>
      <c r="W78" s="430"/>
      <c r="X78" s="431"/>
      <c r="Y78" s="434"/>
      <c r="Z78" s="433"/>
      <c r="AA78" s="396"/>
      <c r="AB78" s="397"/>
      <c r="AC78" s="398"/>
      <c r="AD78" s="399"/>
      <c r="AE78" s="400"/>
      <c r="AF78" s="401"/>
      <c r="AG78" s="401">
        <f t="shared" ca="1" si="7"/>
        <v>0</v>
      </c>
      <c r="AH78" s="401">
        <f t="shared" ca="1" si="8"/>
        <v>0</v>
      </c>
      <c r="AI78" s="401">
        <f t="shared" si="9"/>
        <v>0</v>
      </c>
      <c r="AJ78" s="401">
        <f t="shared" ca="1" si="10"/>
        <v>0</v>
      </c>
      <c r="AK78" s="401" t="str">
        <f t="shared" ca="1" si="11"/>
        <v/>
      </c>
      <c r="AL78" s="402">
        <f t="shared" ca="1" si="12"/>
        <v>3</v>
      </c>
      <c r="AM78" s="402">
        <f t="shared" ca="1" si="13"/>
        <v>1</v>
      </c>
      <c r="AN78" s="402">
        <f t="shared" ca="1" si="14"/>
        <v>9</v>
      </c>
      <c r="AO78" s="402">
        <f t="shared" ca="1" si="15"/>
        <v>4</v>
      </c>
      <c r="AP78" s="402">
        <f t="shared" ca="1" si="16"/>
        <v>0</v>
      </c>
      <c r="AQ78" s="402">
        <f t="shared" ca="1" si="17"/>
        <v>0</v>
      </c>
      <c r="AR78" s="402">
        <f t="shared" ca="1" si="18"/>
        <v>0</v>
      </c>
      <c r="AS78" s="403"/>
      <c r="AT78" s="402">
        <f t="shared" si="19"/>
        <v>1</v>
      </c>
    </row>
    <row r="79" spans="1:46" ht="15.75" customHeight="1">
      <c r="A79" s="382"/>
      <c r="B79" s="383">
        <f t="shared" ca="1" si="0"/>
        <v>3</v>
      </c>
      <c r="C79" s="384">
        <f t="shared" ca="1" si="1"/>
        <v>1</v>
      </c>
      <c r="D79" s="384">
        <f t="shared" ca="1" si="2"/>
        <v>9</v>
      </c>
      <c r="E79" s="384">
        <f t="shared" ca="1" si="3"/>
        <v>5</v>
      </c>
      <c r="F79" s="384" t="str">
        <f t="shared" ca="1" si="4"/>
        <v/>
      </c>
      <c r="G79" s="385" t="str">
        <f t="shared" ca="1" si="5"/>
        <v/>
      </c>
      <c r="H79" s="386" t="str">
        <f t="shared" ca="1" si="6"/>
        <v/>
      </c>
      <c r="I79" s="404"/>
      <c r="J79" s="415"/>
      <c r="K79" s="428"/>
      <c r="L79" s="428" t="s">
        <v>65</v>
      </c>
      <c r="M79" s="428"/>
      <c r="N79" s="428"/>
      <c r="O79" s="428"/>
      <c r="P79" s="428"/>
      <c r="Q79" s="429"/>
      <c r="R79" s="424" t="s">
        <v>242</v>
      </c>
      <c r="S79" s="418">
        <v>45901</v>
      </c>
      <c r="T79" s="419">
        <v>45901</v>
      </c>
      <c r="U79" s="418"/>
      <c r="V79" s="419"/>
      <c r="W79" s="430"/>
      <c r="X79" s="431"/>
      <c r="Y79" s="434"/>
      <c r="Z79" s="433"/>
      <c r="AA79" s="396"/>
      <c r="AB79" s="397"/>
      <c r="AC79" s="398"/>
      <c r="AD79" s="399"/>
      <c r="AE79" s="400"/>
      <c r="AF79" s="401"/>
      <c r="AG79" s="401">
        <f t="shared" ca="1" si="7"/>
        <v>0</v>
      </c>
      <c r="AH79" s="401">
        <f t="shared" ca="1" si="8"/>
        <v>0</v>
      </c>
      <c r="AI79" s="401">
        <f t="shared" si="9"/>
        <v>0</v>
      </c>
      <c r="AJ79" s="401">
        <f t="shared" ca="1" si="10"/>
        <v>0</v>
      </c>
      <c r="AK79" s="401" t="str">
        <f t="shared" ca="1" si="11"/>
        <v/>
      </c>
      <c r="AL79" s="402">
        <f t="shared" ca="1" si="12"/>
        <v>3</v>
      </c>
      <c r="AM79" s="402">
        <f t="shared" ca="1" si="13"/>
        <v>1</v>
      </c>
      <c r="AN79" s="402">
        <f t="shared" ca="1" si="14"/>
        <v>9</v>
      </c>
      <c r="AO79" s="402">
        <f t="shared" ca="1" si="15"/>
        <v>5</v>
      </c>
      <c r="AP79" s="402">
        <f t="shared" ca="1" si="16"/>
        <v>0</v>
      </c>
      <c r="AQ79" s="402">
        <f t="shared" ca="1" si="17"/>
        <v>0</v>
      </c>
      <c r="AR79" s="402">
        <f t="shared" ca="1" si="18"/>
        <v>0</v>
      </c>
      <c r="AS79" s="403"/>
      <c r="AT79" s="402">
        <f t="shared" si="19"/>
        <v>1</v>
      </c>
    </row>
    <row r="80" spans="1:46" ht="15.75" customHeight="1">
      <c r="A80" s="382"/>
      <c r="B80" s="383">
        <f t="shared" ca="1" si="0"/>
        <v>3</v>
      </c>
      <c r="C80" s="384">
        <f t="shared" ca="1" si="1"/>
        <v>1</v>
      </c>
      <c r="D80" s="384">
        <f t="shared" ca="1" si="2"/>
        <v>9</v>
      </c>
      <c r="E80" s="384">
        <f t="shared" ca="1" si="3"/>
        <v>6</v>
      </c>
      <c r="F80" s="384" t="str">
        <f t="shared" ca="1" si="4"/>
        <v/>
      </c>
      <c r="G80" s="385" t="str">
        <f t="shared" ca="1" si="5"/>
        <v/>
      </c>
      <c r="H80" s="386" t="str">
        <f t="shared" ca="1" si="6"/>
        <v/>
      </c>
      <c r="I80" s="404"/>
      <c r="J80" s="415"/>
      <c r="K80" s="428"/>
      <c r="L80" s="428" t="s">
        <v>66</v>
      </c>
      <c r="M80" s="428"/>
      <c r="N80" s="428"/>
      <c r="O80" s="428"/>
      <c r="P80" s="428"/>
      <c r="Q80" s="429"/>
      <c r="R80" s="424" t="s">
        <v>239</v>
      </c>
      <c r="S80" s="418">
        <v>45902</v>
      </c>
      <c r="T80" s="419">
        <v>45902</v>
      </c>
      <c r="U80" s="418"/>
      <c r="V80" s="419"/>
      <c r="W80" s="430"/>
      <c r="X80" s="431"/>
      <c r="Y80" s="434"/>
      <c r="Z80" s="433"/>
      <c r="AA80" s="396"/>
      <c r="AB80" s="397"/>
      <c r="AC80" s="398"/>
      <c r="AD80" s="399"/>
      <c r="AE80" s="400"/>
      <c r="AF80" s="401"/>
      <c r="AG80" s="401">
        <f t="shared" ca="1" si="7"/>
        <v>0</v>
      </c>
      <c r="AH80" s="401">
        <f t="shared" ca="1" si="8"/>
        <v>0</v>
      </c>
      <c r="AI80" s="401">
        <f t="shared" si="9"/>
        <v>0</v>
      </c>
      <c r="AJ80" s="401">
        <f t="shared" ca="1" si="10"/>
        <v>0</v>
      </c>
      <c r="AK80" s="401" t="str">
        <f t="shared" ca="1" si="11"/>
        <v/>
      </c>
      <c r="AL80" s="402">
        <f t="shared" ca="1" si="12"/>
        <v>3</v>
      </c>
      <c r="AM80" s="402">
        <f t="shared" ca="1" si="13"/>
        <v>1</v>
      </c>
      <c r="AN80" s="402">
        <f t="shared" ca="1" si="14"/>
        <v>9</v>
      </c>
      <c r="AO80" s="402">
        <f t="shared" ca="1" si="15"/>
        <v>6</v>
      </c>
      <c r="AP80" s="402">
        <f t="shared" ca="1" si="16"/>
        <v>0</v>
      </c>
      <c r="AQ80" s="402">
        <f t="shared" ca="1" si="17"/>
        <v>0</v>
      </c>
      <c r="AR80" s="402">
        <f t="shared" ca="1" si="18"/>
        <v>0</v>
      </c>
      <c r="AS80" s="403"/>
      <c r="AT80" s="402">
        <f t="shared" si="19"/>
        <v>1</v>
      </c>
    </row>
    <row r="81" spans="1:46" ht="15.75" customHeight="1">
      <c r="A81" s="382"/>
      <c r="B81" s="383">
        <f t="shared" ca="1" si="0"/>
        <v>3</v>
      </c>
      <c r="C81" s="384">
        <f t="shared" ca="1" si="1"/>
        <v>1</v>
      </c>
      <c r="D81" s="384">
        <f t="shared" ca="1" si="2"/>
        <v>10</v>
      </c>
      <c r="E81" s="384" t="str">
        <f t="shared" ca="1" si="3"/>
        <v/>
      </c>
      <c r="F81" s="384" t="str">
        <f t="shared" ca="1" si="4"/>
        <v/>
      </c>
      <c r="G81" s="385" t="str">
        <f t="shared" ca="1" si="5"/>
        <v/>
      </c>
      <c r="H81" s="386" t="str">
        <f t="shared" ca="1" si="6"/>
        <v/>
      </c>
      <c r="I81" s="404"/>
      <c r="J81" s="415"/>
      <c r="K81" s="428" t="s">
        <v>301</v>
      </c>
      <c r="L81" s="428"/>
      <c r="M81" s="428"/>
      <c r="N81" s="428"/>
      <c r="O81" s="428"/>
      <c r="P81" s="428"/>
      <c r="Q81" s="429"/>
      <c r="R81" s="417"/>
      <c r="S81" s="418"/>
      <c r="T81" s="419"/>
      <c r="U81" s="418"/>
      <c r="V81" s="419"/>
      <c r="W81" s="430"/>
      <c r="X81" s="431"/>
      <c r="Y81" s="434"/>
      <c r="Z81" s="433"/>
      <c r="AA81" s="396"/>
      <c r="AB81" s="397"/>
      <c r="AC81" s="398"/>
      <c r="AD81" s="399"/>
      <c r="AE81" s="400"/>
      <c r="AF81" s="401"/>
      <c r="AG81" s="401">
        <f t="shared" si="7"/>
        <v>0</v>
      </c>
      <c r="AH81" s="401">
        <f t="shared" si="8"/>
        <v>0</v>
      </c>
      <c r="AI81" s="401">
        <f t="shared" si="9"/>
        <v>0</v>
      </c>
      <c r="AJ81" s="401">
        <f t="shared" si="10"/>
        <v>0</v>
      </c>
      <c r="AK81" s="401" t="str">
        <f t="shared" si="11"/>
        <v/>
      </c>
      <c r="AL81" s="402">
        <f t="shared" ca="1" si="12"/>
        <v>3</v>
      </c>
      <c r="AM81" s="402">
        <f t="shared" ca="1" si="13"/>
        <v>1</v>
      </c>
      <c r="AN81" s="402">
        <f t="shared" ca="1" si="14"/>
        <v>10</v>
      </c>
      <c r="AO81" s="402">
        <f t="shared" ca="1" si="15"/>
        <v>0</v>
      </c>
      <c r="AP81" s="402">
        <f t="shared" ca="1" si="16"/>
        <v>0</v>
      </c>
      <c r="AQ81" s="402">
        <f t="shared" ca="1" si="17"/>
        <v>0</v>
      </c>
      <c r="AR81" s="402">
        <f t="shared" ca="1" si="18"/>
        <v>0</v>
      </c>
      <c r="AS81" s="403"/>
      <c r="AT81" s="402">
        <f t="shared" si="19"/>
        <v>1</v>
      </c>
    </row>
    <row r="82" spans="1:46" ht="15.75" customHeight="1">
      <c r="A82" s="382"/>
      <c r="B82" s="383">
        <f t="shared" ca="1" si="0"/>
        <v>3</v>
      </c>
      <c r="C82" s="384">
        <f t="shared" ca="1" si="1"/>
        <v>1</v>
      </c>
      <c r="D82" s="384">
        <f t="shared" ca="1" si="2"/>
        <v>10</v>
      </c>
      <c r="E82" s="384">
        <f t="shared" ca="1" si="3"/>
        <v>1</v>
      </c>
      <c r="F82" s="384" t="str">
        <f t="shared" ca="1" si="4"/>
        <v/>
      </c>
      <c r="G82" s="385" t="str">
        <f t="shared" ca="1" si="5"/>
        <v/>
      </c>
      <c r="H82" s="386" t="str">
        <f t="shared" ca="1" si="6"/>
        <v/>
      </c>
      <c r="I82" s="404"/>
      <c r="J82" s="415"/>
      <c r="K82" s="428"/>
      <c r="L82" s="428" t="s">
        <v>59</v>
      </c>
      <c r="M82" s="428"/>
      <c r="N82" s="428"/>
      <c r="O82" s="428"/>
      <c r="P82" s="428"/>
      <c r="Q82" s="429"/>
      <c r="R82" s="424" t="s">
        <v>238</v>
      </c>
      <c r="S82" s="418">
        <v>45903</v>
      </c>
      <c r="T82" s="419">
        <v>45908</v>
      </c>
      <c r="U82" s="418"/>
      <c r="V82" s="419"/>
      <c r="W82" s="430"/>
      <c r="X82" s="431"/>
      <c r="Y82" s="434"/>
      <c r="Z82" s="433"/>
      <c r="AA82" s="396"/>
      <c r="AB82" s="397"/>
      <c r="AC82" s="398"/>
      <c r="AD82" s="399"/>
      <c r="AE82" s="400"/>
      <c r="AF82" s="401"/>
      <c r="AG82" s="401">
        <f t="shared" ca="1" si="7"/>
        <v>0</v>
      </c>
      <c r="AH82" s="401">
        <f t="shared" ca="1" si="8"/>
        <v>0</v>
      </c>
      <c r="AI82" s="401">
        <f t="shared" si="9"/>
        <v>0</v>
      </c>
      <c r="AJ82" s="401">
        <f t="shared" ca="1" si="10"/>
        <v>0</v>
      </c>
      <c r="AK82" s="401" t="str">
        <f t="shared" ca="1" si="11"/>
        <v/>
      </c>
      <c r="AL82" s="402">
        <f t="shared" ca="1" si="12"/>
        <v>3</v>
      </c>
      <c r="AM82" s="402">
        <f t="shared" ca="1" si="13"/>
        <v>1</v>
      </c>
      <c r="AN82" s="402">
        <f t="shared" ca="1" si="14"/>
        <v>10</v>
      </c>
      <c r="AO82" s="402">
        <f t="shared" ca="1" si="15"/>
        <v>1</v>
      </c>
      <c r="AP82" s="402">
        <f t="shared" ca="1" si="16"/>
        <v>0</v>
      </c>
      <c r="AQ82" s="402">
        <f t="shared" ca="1" si="17"/>
        <v>0</v>
      </c>
      <c r="AR82" s="402">
        <f t="shared" ca="1" si="18"/>
        <v>0</v>
      </c>
      <c r="AS82" s="403"/>
      <c r="AT82" s="402">
        <f t="shared" si="19"/>
        <v>6</v>
      </c>
    </row>
    <row r="83" spans="1:46" ht="15.75" customHeight="1">
      <c r="A83" s="382"/>
      <c r="B83" s="383">
        <f t="shared" ca="1" si="0"/>
        <v>3</v>
      </c>
      <c r="C83" s="384">
        <f t="shared" ca="1" si="1"/>
        <v>1</v>
      </c>
      <c r="D83" s="384">
        <f t="shared" ca="1" si="2"/>
        <v>10</v>
      </c>
      <c r="E83" s="384">
        <f t="shared" ca="1" si="3"/>
        <v>2</v>
      </c>
      <c r="F83" s="384" t="str">
        <f t="shared" ca="1" si="4"/>
        <v/>
      </c>
      <c r="G83" s="385" t="str">
        <f t="shared" ca="1" si="5"/>
        <v/>
      </c>
      <c r="H83" s="386" t="str">
        <f t="shared" ca="1" si="6"/>
        <v/>
      </c>
      <c r="I83" s="404"/>
      <c r="J83" s="415"/>
      <c r="K83" s="428"/>
      <c r="L83" s="428" t="s">
        <v>61</v>
      </c>
      <c r="M83" s="428"/>
      <c r="N83" s="428"/>
      <c r="O83" s="428"/>
      <c r="P83" s="428"/>
      <c r="Q83" s="429"/>
      <c r="R83" s="424" t="s">
        <v>242</v>
      </c>
      <c r="S83" s="418">
        <v>45909</v>
      </c>
      <c r="T83" s="419">
        <v>45909</v>
      </c>
      <c r="U83" s="418"/>
      <c r="V83" s="419"/>
      <c r="W83" s="430"/>
      <c r="X83" s="431"/>
      <c r="Y83" s="434"/>
      <c r="Z83" s="433"/>
      <c r="AA83" s="396"/>
      <c r="AB83" s="397"/>
      <c r="AC83" s="398"/>
      <c r="AD83" s="399"/>
      <c r="AE83" s="400"/>
      <c r="AF83" s="401"/>
      <c r="AG83" s="401">
        <f t="shared" ca="1" si="7"/>
        <v>0</v>
      </c>
      <c r="AH83" s="401">
        <f t="shared" ca="1" si="8"/>
        <v>0</v>
      </c>
      <c r="AI83" s="401">
        <f t="shared" si="9"/>
        <v>0</v>
      </c>
      <c r="AJ83" s="401">
        <f t="shared" ca="1" si="10"/>
        <v>0</v>
      </c>
      <c r="AK83" s="401" t="str">
        <f t="shared" ca="1" si="11"/>
        <v/>
      </c>
      <c r="AL83" s="402">
        <f t="shared" ca="1" si="12"/>
        <v>3</v>
      </c>
      <c r="AM83" s="402">
        <f t="shared" ca="1" si="13"/>
        <v>1</v>
      </c>
      <c r="AN83" s="402">
        <f t="shared" ca="1" si="14"/>
        <v>10</v>
      </c>
      <c r="AO83" s="402">
        <f t="shared" ca="1" si="15"/>
        <v>2</v>
      </c>
      <c r="AP83" s="402">
        <f t="shared" ca="1" si="16"/>
        <v>0</v>
      </c>
      <c r="AQ83" s="402">
        <f t="shared" ca="1" si="17"/>
        <v>0</v>
      </c>
      <c r="AR83" s="402">
        <f t="shared" ca="1" si="18"/>
        <v>0</v>
      </c>
      <c r="AS83" s="403"/>
      <c r="AT83" s="402">
        <f t="shared" si="19"/>
        <v>1</v>
      </c>
    </row>
    <row r="84" spans="1:46" ht="15.75" customHeight="1">
      <c r="A84" s="382"/>
      <c r="B84" s="383">
        <f t="shared" ca="1" si="0"/>
        <v>3</v>
      </c>
      <c r="C84" s="384">
        <f t="shared" ca="1" si="1"/>
        <v>1</v>
      </c>
      <c r="D84" s="384">
        <f t="shared" ca="1" si="2"/>
        <v>10</v>
      </c>
      <c r="E84" s="384">
        <f t="shared" ca="1" si="3"/>
        <v>3</v>
      </c>
      <c r="F84" s="384" t="str">
        <f t="shared" ca="1" si="4"/>
        <v/>
      </c>
      <c r="G84" s="385" t="str">
        <f t="shared" ca="1" si="5"/>
        <v/>
      </c>
      <c r="H84" s="386" t="str">
        <f t="shared" ca="1" si="6"/>
        <v/>
      </c>
      <c r="I84" s="404"/>
      <c r="J84" s="415"/>
      <c r="K84" s="428"/>
      <c r="L84" s="428" t="s">
        <v>63</v>
      </c>
      <c r="M84" s="428"/>
      <c r="N84" s="428"/>
      <c r="O84" s="428"/>
      <c r="P84" s="428"/>
      <c r="Q84" s="429"/>
      <c r="R84" s="424" t="s">
        <v>238</v>
      </c>
      <c r="S84" s="418">
        <v>45910</v>
      </c>
      <c r="T84" s="419">
        <v>45910</v>
      </c>
      <c r="U84" s="418"/>
      <c r="V84" s="419"/>
      <c r="W84" s="430"/>
      <c r="X84" s="431"/>
      <c r="Y84" s="434"/>
      <c r="Z84" s="433"/>
      <c r="AA84" s="396"/>
      <c r="AB84" s="397"/>
      <c r="AC84" s="398"/>
      <c r="AD84" s="399"/>
      <c r="AE84" s="400"/>
      <c r="AF84" s="401"/>
      <c r="AG84" s="401">
        <f t="shared" ca="1" si="7"/>
        <v>0</v>
      </c>
      <c r="AH84" s="401">
        <f t="shared" ca="1" si="8"/>
        <v>0</v>
      </c>
      <c r="AI84" s="401">
        <f t="shared" si="9"/>
        <v>0</v>
      </c>
      <c r="AJ84" s="401">
        <f t="shared" ca="1" si="10"/>
        <v>0</v>
      </c>
      <c r="AK84" s="401" t="str">
        <f t="shared" ca="1" si="11"/>
        <v/>
      </c>
      <c r="AL84" s="402">
        <f t="shared" ca="1" si="12"/>
        <v>3</v>
      </c>
      <c r="AM84" s="402">
        <f t="shared" ca="1" si="13"/>
        <v>1</v>
      </c>
      <c r="AN84" s="402">
        <f t="shared" ca="1" si="14"/>
        <v>10</v>
      </c>
      <c r="AO84" s="402">
        <f t="shared" ca="1" si="15"/>
        <v>3</v>
      </c>
      <c r="AP84" s="402">
        <f t="shared" ca="1" si="16"/>
        <v>0</v>
      </c>
      <c r="AQ84" s="402">
        <f t="shared" ca="1" si="17"/>
        <v>0</v>
      </c>
      <c r="AR84" s="402">
        <f t="shared" ca="1" si="18"/>
        <v>0</v>
      </c>
      <c r="AS84" s="403"/>
      <c r="AT84" s="402">
        <f t="shared" si="19"/>
        <v>1</v>
      </c>
    </row>
    <row r="85" spans="1:46" ht="15.75" customHeight="1">
      <c r="A85" s="382"/>
      <c r="B85" s="383">
        <f t="shared" ca="1" si="0"/>
        <v>3</v>
      </c>
      <c r="C85" s="384">
        <f t="shared" ca="1" si="1"/>
        <v>1</v>
      </c>
      <c r="D85" s="384">
        <f t="shared" ca="1" si="2"/>
        <v>10</v>
      </c>
      <c r="E85" s="384">
        <f t="shared" ca="1" si="3"/>
        <v>4</v>
      </c>
      <c r="F85" s="384" t="str">
        <f t="shared" ca="1" si="4"/>
        <v/>
      </c>
      <c r="G85" s="385" t="str">
        <f t="shared" ca="1" si="5"/>
        <v/>
      </c>
      <c r="H85" s="386" t="str">
        <f t="shared" ca="1" si="6"/>
        <v/>
      </c>
      <c r="I85" s="404"/>
      <c r="J85" s="415"/>
      <c r="K85" s="428"/>
      <c r="L85" s="428" t="s">
        <v>64</v>
      </c>
      <c r="M85" s="428"/>
      <c r="N85" s="428"/>
      <c r="O85" s="428"/>
      <c r="P85" s="428"/>
      <c r="Q85" s="429"/>
      <c r="R85" s="424" t="s">
        <v>242</v>
      </c>
      <c r="S85" s="418">
        <v>45910</v>
      </c>
      <c r="T85" s="419">
        <v>45910</v>
      </c>
      <c r="U85" s="418"/>
      <c r="V85" s="419"/>
      <c r="W85" s="430"/>
      <c r="X85" s="431"/>
      <c r="Y85" s="434"/>
      <c r="Z85" s="433"/>
      <c r="AA85" s="396"/>
      <c r="AB85" s="397"/>
      <c r="AC85" s="398"/>
      <c r="AD85" s="399"/>
      <c r="AE85" s="400"/>
      <c r="AF85" s="401"/>
      <c r="AG85" s="401">
        <f t="shared" ca="1" si="7"/>
        <v>0</v>
      </c>
      <c r="AH85" s="401">
        <f t="shared" ca="1" si="8"/>
        <v>0</v>
      </c>
      <c r="AI85" s="401">
        <f t="shared" si="9"/>
        <v>0</v>
      </c>
      <c r="AJ85" s="401">
        <f t="shared" ca="1" si="10"/>
        <v>0</v>
      </c>
      <c r="AK85" s="401" t="str">
        <f t="shared" ca="1" si="11"/>
        <v/>
      </c>
      <c r="AL85" s="402">
        <f t="shared" ca="1" si="12"/>
        <v>3</v>
      </c>
      <c r="AM85" s="402">
        <f t="shared" ca="1" si="13"/>
        <v>1</v>
      </c>
      <c r="AN85" s="402">
        <f t="shared" ca="1" si="14"/>
        <v>10</v>
      </c>
      <c r="AO85" s="402">
        <f t="shared" ca="1" si="15"/>
        <v>4</v>
      </c>
      <c r="AP85" s="402">
        <f t="shared" ca="1" si="16"/>
        <v>0</v>
      </c>
      <c r="AQ85" s="402">
        <f t="shared" ca="1" si="17"/>
        <v>0</v>
      </c>
      <c r="AR85" s="402">
        <f t="shared" ca="1" si="18"/>
        <v>0</v>
      </c>
      <c r="AS85" s="403"/>
      <c r="AT85" s="402">
        <f t="shared" si="19"/>
        <v>1</v>
      </c>
    </row>
    <row r="86" spans="1:46" ht="15.75" customHeight="1">
      <c r="A86" s="382"/>
      <c r="B86" s="383">
        <f t="shared" ca="1" si="0"/>
        <v>3</v>
      </c>
      <c r="C86" s="384">
        <f t="shared" ca="1" si="1"/>
        <v>1</v>
      </c>
      <c r="D86" s="384">
        <f t="shared" ca="1" si="2"/>
        <v>10</v>
      </c>
      <c r="E86" s="384">
        <f t="shared" ca="1" si="3"/>
        <v>5</v>
      </c>
      <c r="F86" s="384" t="str">
        <f t="shared" ca="1" si="4"/>
        <v/>
      </c>
      <c r="G86" s="385" t="str">
        <f t="shared" ca="1" si="5"/>
        <v/>
      </c>
      <c r="H86" s="386" t="str">
        <f t="shared" ca="1" si="6"/>
        <v/>
      </c>
      <c r="I86" s="404"/>
      <c r="J86" s="415"/>
      <c r="K86" s="428"/>
      <c r="L86" s="428" t="s">
        <v>65</v>
      </c>
      <c r="M86" s="428"/>
      <c r="N86" s="428"/>
      <c r="O86" s="428"/>
      <c r="P86" s="428"/>
      <c r="Q86" s="429"/>
      <c r="R86" s="424" t="s">
        <v>238</v>
      </c>
      <c r="S86" s="418">
        <v>45911</v>
      </c>
      <c r="T86" s="419">
        <v>45911</v>
      </c>
      <c r="U86" s="418"/>
      <c r="V86" s="419"/>
      <c r="W86" s="430"/>
      <c r="X86" s="431"/>
      <c r="Y86" s="434"/>
      <c r="Z86" s="433"/>
      <c r="AA86" s="396"/>
      <c r="AB86" s="397"/>
      <c r="AC86" s="398"/>
      <c r="AD86" s="399"/>
      <c r="AE86" s="400"/>
      <c r="AF86" s="401"/>
      <c r="AG86" s="401">
        <f t="shared" ca="1" si="7"/>
        <v>0</v>
      </c>
      <c r="AH86" s="401">
        <f t="shared" ca="1" si="8"/>
        <v>0</v>
      </c>
      <c r="AI86" s="401">
        <f t="shared" si="9"/>
        <v>0</v>
      </c>
      <c r="AJ86" s="401">
        <f t="shared" ca="1" si="10"/>
        <v>0</v>
      </c>
      <c r="AK86" s="401" t="str">
        <f t="shared" ca="1" si="11"/>
        <v/>
      </c>
      <c r="AL86" s="402">
        <f t="shared" ca="1" si="12"/>
        <v>3</v>
      </c>
      <c r="AM86" s="402">
        <f t="shared" ca="1" si="13"/>
        <v>1</v>
      </c>
      <c r="AN86" s="402">
        <f t="shared" ca="1" si="14"/>
        <v>10</v>
      </c>
      <c r="AO86" s="402">
        <f t="shared" ca="1" si="15"/>
        <v>5</v>
      </c>
      <c r="AP86" s="402">
        <f t="shared" ca="1" si="16"/>
        <v>0</v>
      </c>
      <c r="AQ86" s="402">
        <f t="shared" ca="1" si="17"/>
        <v>0</v>
      </c>
      <c r="AR86" s="402">
        <f t="shared" ca="1" si="18"/>
        <v>0</v>
      </c>
      <c r="AS86" s="403"/>
      <c r="AT86" s="402">
        <f t="shared" si="19"/>
        <v>1</v>
      </c>
    </row>
    <row r="87" spans="1:46" ht="15.75" customHeight="1">
      <c r="A87" s="382"/>
      <c r="B87" s="383">
        <f t="shared" ca="1" si="0"/>
        <v>3</v>
      </c>
      <c r="C87" s="384">
        <f t="shared" ca="1" si="1"/>
        <v>1</v>
      </c>
      <c r="D87" s="384">
        <f t="shared" ca="1" si="2"/>
        <v>10</v>
      </c>
      <c r="E87" s="384">
        <f t="shared" ca="1" si="3"/>
        <v>6</v>
      </c>
      <c r="F87" s="384" t="str">
        <f t="shared" ca="1" si="4"/>
        <v/>
      </c>
      <c r="G87" s="385" t="str">
        <f t="shared" ca="1" si="5"/>
        <v/>
      </c>
      <c r="H87" s="386" t="str">
        <f t="shared" ca="1" si="6"/>
        <v/>
      </c>
      <c r="I87" s="404"/>
      <c r="J87" s="415"/>
      <c r="K87" s="428"/>
      <c r="L87" s="428" t="s">
        <v>66</v>
      </c>
      <c r="M87" s="428"/>
      <c r="N87" s="428"/>
      <c r="O87" s="428"/>
      <c r="P87" s="428"/>
      <c r="Q87" s="429"/>
      <c r="R87" s="424" t="s">
        <v>242</v>
      </c>
      <c r="S87" s="418">
        <v>45912</v>
      </c>
      <c r="T87" s="419">
        <v>45912</v>
      </c>
      <c r="U87" s="418"/>
      <c r="V87" s="419"/>
      <c r="W87" s="430"/>
      <c r="X87" s="431"/>
      <c r="Y87" s="434"/>
      <c r="Z87" s="433"/>
      <c r="AA87" s="396"/>
      <c r="AB87" s="397"/>
      <c r="AC87" s="398"/>
      <c r="AD87" s="399"/>
      <c r="AE87" s="400"/>
      <c r="AF87" s="401"/>
      <c r="AG87" s="401">
        <f t="shared" ca="1" si="7"/>
        <v>0</v>
      </c>
      <c r="AH87" s="401">
        <f t="shared" ca="1" si="8"/>
        <v>0</v>
      </c>
      <c r="AI87" s="401">
        <f t="shared" si="9"/>
        <v>0</v>
      </c>
      <c r="AJ87" s="401">
        <f t="shared" ca="1" si="10"/>
        <v>0</v>
      </c>
      <c r="AK87" s="401" t="str">
        <f t="shared" ca="1" si="11"/>
        <v/>
      </c>
      <c r="AL87" s="402">
        <f t="shared" ca="1" si="12"/>
        <v>3</v>
      </c>
      <c r="AM87" s="402">
        <f t="shared" ca="1" si="13"/>
        <v>1</v>
      </c>
      <c r="AN87" s="402">
        <f t="shared" ca="1" si="14"/>
        <v>10</v>
      </c>
      <c r="AO87" s="402">
        <f t="shared" ca="1" si="15"/>
        <v>6</v>
      </c>
      <c r="AP87" s="402">
        <f t="shared" ca="1" si="16"/>
        <v>0</v>
      </c>
      <c r="AQ87" s="402">
        <f t="shared" ca="1" si="17"/>
        <v>0</v>
      </c>
      <c r="AR87" s="402">
        <f t="shared" ca="1" si="18"/>
        <v>0</v>
      </c>
      <c r="AS87" s="403"/>
      <c r="AT87" s="402">
        <f t="shared" si="19"/>
        <v>1</v>
      </c>
    </row>
    <row r="88" spans="1:46" ht="15.75" customHeight="1">
      <c r="A88" s="382"/>
      <c r="B88" s="383">
        <f t="shared" ca="1" si="0"/>
        <v>3</v>
      </c>
      <c r="C88" s="384">
        <f t="shared" ca="1" si="1"/>
        <v>1</v>
      </c>
      <c r="D88" s="384">
        <f t="shared" ca="1" si="2"/>
        <v>11</v>
      </c>
      <c r="E88" s="384" t="str">
        <f t="shared" ca="1" si="3"/>
        <v/>
      </c>
      <c r="F88" s="384" t="str">
        <f t="shared" ca="1" si="4"/>
        <v/>
      </c>
      <c r="G88" s="385" t="str">
        <f t="shared" ca="1" si="5"/>
        <v/>
      </c>
      <c r="H88" s="386" t="str">
        <f t="shared" ca="1" si="6"/>
        <v/>
      </c>
      <c r="I88" s="404"/>
      <c r="J88" s="415"/>
      <c r="K88" s="428" t="s">
        <v>302</v>
      </c>
      <c r="L88" s="428"/>
      <c r="M88" s="428"/>
      <c r="N88" s="428"/>
      <c r="O88" s="428"/>
      <c r="P88" s="428"/>
      <c r="Q88" s="429"/>
      <c r="R88" s="417"/>
      <c r="S88" s="418"/>
      <c r="T88" s="419"/>
      <c r="U88" s="418"/>
      <c r="V88" s="419"/>
      <c r="W88" s="430"/>
      <c r="X88" s="431"/>
      <c r="Y88" s="434"/>
      <c r="Z88" s="433"/>
      <c r="AA88" s="396"/>
      <c r="AB88" s="397"/>
      <c r="AC88" s="398"/>
      <c r="AD88" s="399"/>
      <c r="AE88" s="400"/>
      <c r="AF88" s="401"/>
      <c r="AG88" s="401">
        <f t="shared" si="7"/>
        <v>0</v>
      </c>
      <c r="AH88" s="401">
        <f t="shared" si="8"/>
        <v>0</v>
      </c>
      <c r="AI88" s="401">
        <f t="shared" si="9"/>
        <v>0</v>
      </c>
      <c r="AJ88" s="401">
        <f t="shared" si="10"/>
        <v>0</v>
      </c>
      <c r="AK88" s="401" t="str">
        <f t="shared" si="11"/>
        <v/>
      </c>
      <c r="AL88" s="402">
        <f t="shared" ca="1" si="12"/>
        <v>3</v>
      </c>
      <c r="AM88" s="402">
        <f t="shared" ca="1" si="13"/>
        <v>1</v>
      </c>
      <c r="AN88" s="402">
        <f t="shared" ca="1" si="14"/>
        <v>11</v>
      </c>
      <c r="AO88" s="402">
        <f t="shared" ca="1" si="15"/>
        <v>0</v>
      </c>
      <c r="AP88" s="402">
        <f t="shared" ca="1" si="16"/>
        <v>0</v>
      </c>
      <c r="AQ88" s="402">
        <f t="shared" ca="1" si="17"/>
        <v>0</v>
      </c>
      <c r="AR88" s="402">
        <f t="shared" ca="1" si="18"/>
        <v>0</v>
      </c>
      <c r="AS88" s="403"/>
      <c r="AT88" s="402">
        <f t="shared" si="19"/>
        <v>1</v>
      </c>
    </row>
    <row r="89" spans="1:46" ht="15.75" customHeight="1">
      <c r="A89" s="382"/>
      <c r="B89" s="383">
        <f t="shared" ca="1" si="0"/>
        <v>3</v>
      </c>
      <c r="C89" s="384">
        <f t="shared" ca="1" si="1"/>
        <v>1</v>
      </c>
      <c r="D89" s="384">
        <f t="shared" ca="1" si="2"/>
        <v>11</v>
      </c>
      <c r="E89" s="384">
        <f t="shared" ca="1" si="3"/>
        <v>1</v>
      </c>
      <c r="F89" s="384" t="str">
        <f t="shared" ca="1" si="4"/>
        <v/>
      </c>
      <c r="G89" s="385" t="str">
        <f t="shared" ca="1" si="5"/>
        <v/>
      </c>
      <c r="H89" s="386" t="str">
        <f t="shared" ca="1" si="6"/>
        <v/>
      </c>
      <c r="I89" s="404"/>
      <c r="J89" s="415"/>
      <c r="K89" s="428"/>
      <c r="L89" s="428" t="s">
        <v>59</v>
      </c>
      <c r="M89" s="428"/>
      <c r="N89" s="428"/>
      <c r="O89" s="428"/>
      <c r="P89" s="428"/>
      <c r="Q89" s="429"/>
      <c r="R89" s="424" t="s">
        <v>239</v>
      </c>
      <c r="S89" s="418">
        <v>45903</v>
      </c>
      <c r="T89" s="419">
        <v>45908</v>
      </c>
      <c r="U89" s="418"/>
      <c r="V89" s="419"/>
      <c r="W89" s="430"/>
      <c r="X89" s="431"/>
      <c r="Y89" s="434"/>
      <c r="Z89" s="433"/>
      <c r="AA89" s="396"/>
      <c r="AB89" s="397"/>
      <c r="AC89" s="398"/>
      <c r="AD89" s="399"/>
      <c r="AE89" s="400"/>
      <c r="AF89" s="401"/>
      <c r="AG89" s="401">
        <f t="shared" ca="1" si="7"/>
        <v>0</v>
      </c>
      <c r="AH89" s="401">
        <f t="shared" ca="1" si="8"/>
        <v>0</v>
      </c>
      <c r="AI89" s="401">
        <f t="shared" si="9"/>
        <v>0</v>
      </c>
      <c r="AJ89" s="401">
        <f t="shared" ca="1" si="10"/>
        <v>0</v>
      </c>
      <c r="AK89" s="401" t="str">
        <f t="shared" ca="1" si="11"/>
        <v/>
      </c>
      <c r="AL89" s="402">
        <f t="shared" ca="1" si="12"/>
        <v>3</v>
      </c>
      <c r="AM89" s="402">
        <f t="shared" ca="1" si="13"/>
        <v>1</v>
      </c>
      <c r="AN89" s="402">
        <f t="shared" ca="1" si="14"/>
        <v>11</v>
      </c>
      <c r="AO89" s="402">
        <f t="shared" ca="1" si="15"/>
        <v>1</v>
      </c>
      <c r="AP89" s="402">
        <f t="shared" ca="1" si="16"/>
        <v>0</v>
      </c>
      <c r="AQ89" s="402">
        <f t="shared" ca="1" si="17"/>
        <v>0</v>
      </c>
      <c r="AR89" s="402">
        <f t="shared" ca="1" si="18"/>
        <v>0</v>
      </c>
      <c r="AS89" s="403"/>
      <c r="AT89" s="402">
        <f t="shared" si="19"/>
        <v>6</v>
      </c>
    </row>
    <row r="90" spans="1:46" ht="15.75" customHeight="1">
      <c r="A90" s="382"/>
      <c r="B90" s="383">
        <f t="shared" ca="1" si="0"/>
        <v>3</v>
      </c>
      <c r="C90" s="384">
        <f t="shared" ca="1" si="1"/>
        <v>1</v>
      </c>
      <c r="D90" s="384">
        <f t="shared" ca="1" si="2"/>
        <v>11</v>
      </c>
      <c r="E90" s="384">
        <f t="shared" ca="1" si="3"/>
        <v>2</v>
      </c>
      <c r="F90" s="384" t="str">
        <f t="shared" ca="1" si="4"/>
        <v/>
      </c>
      <c r="G90" s="385" t="str">
        <f t="shared" ca="1" si="5"/>
        <v/>
      </c>
      <c r="H90" s="386" t="str">
        <f t="shared" ca="1" si="6"/>
        <v/>
      </c>
      <c r="I90" s="404"/>
      <c r="J90" s="415"/>
      <c r="K90" s="428"/>
      <c r="L90" s="428" t="s">
        <v>61</v>
      </c>
      <c r="M90" s="428"/>
      <c r="N90" s="428"/>
      <c r="O90" s="428"/>
      <c r="P90" s="428"/>
      <c r="Q90" s="429"/>
      <c r="R90" s="424" t="s">
        <v>238</v>
      </c>
      <c r="S90" s="418">
        <v>45909</v>
      </c>
      <c r="T90" s="419">
        <v>45909</v>
      </c>
      <c r="U90" s="418"/>
      <c r="V90" s="419"/>
      <c r="W90" s="430"/>
      <c r="X90" s="431"/>
      <c r="Y90" s="434"/>
      <c r="Z90" s="433"/>
      <c r="AA90" s="396"/>
      <c r="AB90" s="397"/>
      <c r="AC90" s="398"/>
      <c r="AD90" s="399"/>
      <c r="AE90" s="400"/>
      <c r="AF90" s="401"/>
      <c r="AG90" s="401">
        <f t="shared" ca="1" si="7"/>
        <v>0</v>
      </c>
      <c r="AH90" s="401">
        <f t="shared" ca="1" si="8"/>
        <v>0</v>
      </c>
      <c r="AI90" s="401">
        <f t="shared" si="9"/>
        <v>0</v>
      </c>
      <c r="AJ90" s="401">
        <f t="shared" ca="1" si="10"/>
        <v>0</v>
      </c>
      <c r="AK90" s="401" t="str">
        <f t="shared" ca="1" si="11"/>
        <v/>
      </c>
      <c r="AL90" s="402">
        <f t="shared" ca="1" si="12"/>
        <v>3</v>
      </c>
      <c r="AM90" s="402">
        <f t="shared" ca="1" si="13"/>
        <v>1</v>
      </c>
      <c r="AN90" s="402">
        <f t="shared" ca="1" si="14"/>
        <v>11</v>
      </c>
      <c r="AO90" s="402">
        <f t="shared" ca="1" si="15"/>
        <v>2</v>
      </c>
      <c r="AP90" s="402">
        <f t="shared" ca="1" si="16"/>
        <v>0</v>
      </c>
      <c r="AQ90" s="402">
        <f t="shared" ca="1" si="17"/>
        <v>0</v>
      </c>
      <c r="AR90" s="402">
        <f t="shared" ca="1" si="18"/>
        <v>0</v>
      </c>
      <c r="AS90" s="403"/>
      <c r="AT90" s="402">
        <f t="shared" si="19"/>
        <v>1</v>
      </c>
    </row>
    <row r="91" spans="1:46" ht="15.75" customHeight="1">
      <c r="A91" s="382"/>
      <c r="B91" s="383">
        <f t="shared" ca="1" si="0"/>
        <v>3</v>
      </c>
      <c r="C91" s="384">
        <f t="shared" ca="1" si="1"/>
        <v>1</v>
      </c>
      <c r="D91" s="384">
        <f t="shared" ca="1" si="2"/>
        <v>11</v>
      </c>
      <c r="E91" s="384">
        <f t="shared" ca="1" si="3"/>
        <v>3</v>
      </c>
      <c r="F91" s="384" t="str">
        <f t="shared" ca="1" si="4"/>
        <v/>
      </c>
      <c r="G91" s="385" t="str">
        <f t="shared" ca="1" si="5"/>
        <v/>
      </c>
      <c r="H91" s="386" t="str">
        <f t="shared" ca="1" si="6"/>
        <v/>
      </c>
      <c r="I91" s="404"/>
      <c r="J91" s="415"/>
      <c r="K91" s="428"/>
      <c r="L91" s="428" t="s">
        <v>63</v>
      </c>
      <c r="M91" s="428"/>
      <c r="N91" s="428"/>
      <c r="O91" s="428"/>
      <c r="P91" s="428"/>
      <c r="Q91" s="429"/>
      <c r="R91" s="424" t="s">
        <v>239</v>
      </c>
      <c r="S91" s="418">
        <v>45910</v>
      </c>
      <c r="T91" s="419">
        <v>45910</v>
      </c>
      <c r="U91" s="418"/>
      <c r="V91" s="419"/>
      <c r="W91" s="430"/>
      <c r="X91" s="431"/>
      <c r="Y91" s="434"/>
      <c r="Z91" s="433"/>
      <c r="AA91" s="396"/>
      <c r="AB91" s="397"/>
      <c r="AC91" s="398"/>
      <c r="AD91" s="399"/>
      <c r="AE91" s="400"/>
      <c r="AF91" s="401"/>
      <c r="AG91" s="401">
        <f t="shared" ca="1" si="7"/>
        <v>0</v>
      </c>
      <c r="AH91" s="401">
        <f t="shared" ca="1" si="8"/>
        <v>0</v>
      </c>
      <c r="AI91" s="401">
        <f t="shared" si="9"/>
        <v>0</v>
      </c>
      <c r="AJ91" s="401">
        <f t="shared" ca="1" si="10"/>
        <v>0</v>
      </c>
      <c r="AK91" s="401" t="str">
        <f t="shared" ca="1" si="11"/>
        <v/>
      </c>
      <c r="AL91" s="402">
        <f t="shared" ca="1" si="12"/>
        <v>3</v>
      </c>
      <c r="AM91" s="402">
        <f t="shared" ca="1" si="13"/>
        <v>1</v>
      </c>
      <c r="AN91" s="402">
        <f t="shared" ca="1" si="14"/>
        <v>11</v>
      </c>
      <c r="AO91" s="402">
        <f t="shared" ca="1" si="15"/>
        <v>3</v>
      </c>
      <c r="AP91" s="402">
        <f t="shared" ca="1" si="16"/>
        <v>0</v>
      </c>
      <c r="AQ91" s="402">
        <f t="shared" ca="1" si="17"/>
        <v>0</v>
      </c>
      <c r="AR91" s="402">
        <f t="shared" ca="1" si="18"/>
        <v>0</v>
      </c>
      <c r="AS91" s="403"/>
      <c r="AT91" s="402">
        <f t="shared" si="19"/>
        <v>1</v>
      </c>
    </row>
    <row r="92" spans="1:46" ht="15.75" customHeight="1">
      <c r="A92" s="382"/>
      <c r="B92" s="383">
        <f t="shared" ca="1" si="0"/>
        <v>3</v>
      </c>
      <c r="C92" s="384">
        <f t="shared" ca="1" si="1"/>
        <v>1</v>
      </c>
      <c r="D92" s="384">
        <f t="shared" ca="1" si="2"/>
        <v>11</v>
      </c>
      <c r="E92" s="384">
        <f t="shared" ca="1" si="3"/>
        <v>4</v>
      </c>
      <c r="F92" s="384" t="str">
        <f t="shared" ca="1" si="4"/>
        <v/>
      </c>
      <c r="G92" s="385" t="str">
        <f t="shared" ca="1" si="5"/>
        <v/>
      </c>
      <c r="H92" s="386" t="str">
        <f t="shared" ca="1" si="6"/>
        <v/>
      </c>
      <c r="I92" s="404"/>
      <c r="J92" s="415"/>
      <c r="K92" s="428"/>
      <c r="L92" s="428" t="s">
        <v>64</v>
      </c>
      <c r="M92" s="428"/>
      <c r="N92" s="428"/>
      <c r="O92" s="428"/>
      <c r="P92" s="428"/>
      <c r="Q92" s="429"/>
      <c r="R92" s="424" t="s">
        <v>238</v>
      </c>
      <c r="S92" s="418">
        <v>45910</v>
      </c>
      <c r="T92" s="419">
        <v>45910</v>
      </c>
      <c r="U92" s="418"/>
      <c r="V92" s="419"/>
      <c r="W92" s="430"/>
      <c r="X92" s="431"/>
      <c r="Y92" s="434"/>
      <c r="Z92" s="433"/>
      <c r="AA92" s="396"/>
      <c r="AB92" s="397"/>
      <c r="AC92" s="398"/>
      <c r="AD92" s="399"/>
      <c r="AE92" s="400"/>
      <c r="AF92" s="401"/>
      <c r="AG92" s="401">
        <f t="shared" ca="1" si="7"/>
        <v>0</v>
      </c>
      <c r="AH92" s="401">
        <f t="shared" ca="1" si="8"/>
        <v>0</v>
      </c>
      <c r="AI92" s="401">
        <f t="shared" si="9"/>
        <v>0</v>
      </c>
      <c r="AJ92" s="401">
        <f t="shared" ca="1" si="10"/>
        <v>0</v>
      </c>
      <c r="AK92" s="401" t="str">
        <f t="shared" ca="1" si="11"/>
        <v/>
      </c>
      <c r="AL92" s="402">
        <f t="shared" ca="1" si="12"/>
        <v>3</v>
      </c>
      <c r="AM92" s="402">
        <f t="shared" ca="1" si="13"/>
        <v>1</v>
      </c>
      <c r="AN92" s="402">
        <f t="shared" ca="1" si="14"/>
        <v>11</v>
      </c>
      <c r="AO92" s="402">
        <f t="shared" ca="1" si="15"/>
        <v>4</v>
      </c>
      <c r="AP92" s="402">
        <f t="shared" ca="1" si="16"/>
        <v>0</v>
      </c>
      <c r="AQ92" s="402">
        <f t="shared" ca="1" si="17"/>
        <v>0</v>
      </c>
      <c r="AR92" s="402">
        <f t="shared" ca="1" si="18"/>
        <v>0</v>
      </c>
      <c r="AS92" s="403"/>
      <c r="AT92" s="402">
        <f t="shared" si="19"/>
        <v>1</v>
      </c>
    </row>
    <row r="93" spans="1:46" ht="15.75" customHeight="1">
      <c r="A93" s="382"/>
      <c r="B93" s="383">
        <f t="shared" ca="1" si="0"/>
        <v>3</v>
      </c>
      <c r="C93" s="384">
        <f t="shared" ca="1" si="1"/>
        <v>1</v>
      </c>
      <c r="D93" s="384">
        <f t="shared" ca="1" si="2"/>
        <v>11</v>
      </c>
      <c r="E93" s="384">
        <f t="shared" ca="1" si="3"/>
        <v>5</v>
      </c>
      <c r="F93" s="384" t="str">
        <f t="shared" ca="1" si="4"/>
        <v/>
      </c>
      <c r="G93" s="385" t="str">
        <f t="shared" ca="1" si="5"/>
        <v/>
      </c>
      <c r="H93" s="386" t="str">
        <f t="shared" ca="1" si="6"/>
        <v/>
      </c>
      <c r="I93" s="404"/>
      <c r="J93" s="415"/>
      <c r="K93" s="428"/>
      <c r="L93" s="428" t="s">
        <v>65</v>
      </c>
      <c r="M93" s="428"/>
      <c r="N93" s="428"/>
      <c r="O93" s="428"/>
      <c r="P93" s="428"/>
      <c r="Q93" s="429"/>
      <c r="R93" s="424" t="s">
        <v>239</v>
      </c>
      <c r="S93" s="418">
        <v>45911</v>
      </c>
      <c r="T93" s="419">
        <v>45911</v>
      </c>
      <c r="U93" s="418"/>
      <c r="V93" s="419"/>
      <c r="W93" s="430"/>
      <c r="X93" s="431"/>
      <c r="Y93" s="434"/>
      <c r="Z93" s="433"/>
      <c r="AA93" s="396"/>
      <c r="AB93" s="397"/>
      <c r="AC93" s="398"/>
      <c r="AD93" s="399"/>
      <c r="AE93" s="400"/>
      <c r="AF93" s="401"/>
      <c r="AG93" s="401">
        <f t="shared" ca="1" si="7"/>
        <v>0</v>
      </c>
      <c r="AH93" s="401">
        <f t="shared" ca="1" si="8"/>
        <v>0</v>
      </c>
      <c r="AI93" s="401">
        <f t="shared" si="9"/>
        <v>0</v>
      </c>
      <c r="AJ93" s="401">
        <f t="shared" ca="1" si="10"/>
        <v>0</v>
      </c>
      <c r="AK93" s="401" t="str">
        <f t="shared" ca="1" si="11"/>
        <v/>
      </c>
      <c r="AL93" s="402">
        <f t="shared" ca="1" si="12"/>
        <v>3</v>
      </c>
      <c r="AM93" s="402">
        <f t="shared" ca="1" si="13"/>
        <v>1</v>
      </c>
      <c r="AN93" s="402">
        <f t="shared" ca="1" si="14"/>
        <v>11</v>
      </c>
      <c r="AO93" s="402">
        <f t="shared" ca="1" si="15"/>
        <v>5</v>
      </c>
      <c r="AP93" s="402">
        <f t="shared" ca="1" si="16"/>
        <v>0</v>
      </c>
      <c r="AQ93" s="402">
        <f t="shared" ca="1" si="17"/>
        <v>0</v>
      </c>
      <c r="AR93" s="402">
        <f t="shared" ca="1" si="18"/>
        <v>0</v>
      </c>
      <c r="AS93" s="403"/>
      <c r="AT93" s="402">
        <f t="shared" si="19"/>
        <v>1</v>
      </c>
    </row>
    <row r="94" spans="1:46" ht="15.75" customHeight="1">
      <c r="A94" s="382"/>
      <c r="B94" s="383">
        <f t="shared" ca="1" si="0"/>
        <v>3</v>
      </c>
      <c r="C94" s="384">
        <f t="shared" ca="1" si="1"/>
        <v>1</v>
      </c>
      <c r="D94" s="384">
        <f t="shared" ca="1" si="2"/>
        <v>11</v>
      </c>
      <c r="E94" s="384">
        <f t="shared" ca="1" si="3"/>
        <v>6</v>
      </c>
      <c r="F94" s="384" t="str">
        <f t="shared" ca="1" si="4"/>
        <v/>
      </c>
      <c r="G94" s="385" t="str">
        <f t="shared" ca="1" si="5"/>
        <v/>
      </c>
      <c r="H94" s="386" t="str">
        <f t="shared" ca="1" si="6"/>
        <v/>
      </c>
      <c r="I94" s="404"/>
      <c r="J94" s="415"/>
      <c r="K94" s="428"/>
      <c r="L94" s="428" t="s">
        <v>66</v>
      </c>
      <c r="M94" s="428"/>
      <c r="N94" s="428"/>
      <c r="O94" s="428"/>
      <c r="P94" s="428"/>
      <c r="Q94" s="429"/>
      <c r="R94" s="424" t="s">
        <v>238</v>
      </c>
      <c r="S94" s="418">
        <v>45912</v>
      </c>
      <c r="T94" s="419">
        <v>45912</v>
      </c>
      <c r="U94" s="418"/>
      <c r="V94" s="419"/>
      <c r="W94" s="430"/>
      <c r="X94" s="431"/>
      <c r="Y94" s="434"/>
      <c r="Z94" s="433"/>
      <c r="AA94" s="396"/>
      <c r="AB94" s="397"/>
      <c r="AC94" s="398"/>
      <c r="AD94" s="399"/>
      <c r="AE94" s="400"/>
      <c r="AF94" s="401"/>
      <c r="AG94" s="401">
        <f t="shared" ca="1" si="7"/>
        <v>0</v>
      </c>
      <c r="AH94" s="401">
        <f t="shared" ca="1" si="8"/>
        <v>0</v>
      </c>
      <c r="AI94" s="401">
        <f t="shared" si="9"/>
        <v>0</v>
      </c>
      <c r="AJ94" s="401">
        <f t="shared" ca="1" si="10"/>
        <v>0</v>
      </c>
      <c r="AK94" s="401" t="str">
        <f t="shared" ca="1" si="11"/>
        <v/>
      </c>
      <c r="AL94" s="402">
        <f t="shared" ca="1" si="12"/>
        <v>3</v>
      </c>
      <c r="AM94" s="402">
        <f t="shared" ca="1" si="13"/>
        <v>1</v>
      </c>
      <c r="AN94" s="402">
        <f t="shared" ca="1" si="14"/>
        <v>11</v>
      </c>
      <c r="AO94" s="402">
        <f t="shared" ca="1" si="15"/>
        <v>6</v>
      </c>
      <c r="AP94" s="402">
        <f t="shared" ca="1" si="16"/>
        <v>0</v>
      </c>
      <c r="AQ94" s="402">
        <f t="shared" ca="1" si="17"/>
        <v>0</v>
      </c>
      <c r="AR94" s="402">
        <f t="shared" ca="1" si="18"/>
        <v>0</v>
      </c>
      <c r="AS94" s="403"/>
      <c r="AT94" s="402">
        <f t="shared" si="19"/>
        <v>1</v>
      </c>
    </row>
    <row r="95" spans="1:46" ht="15.75" customHeight="1">
      <c r="A95" s="382"/>
      <c r="B95" s="383">
        <f t="shared" ca="1" si="0"/>
        <v>3</v>
      </c>
      <c r="C95" s="384">
        <f t="shared" ca="1" si="1"/>
        <v>1</v>
      </c>
      <c r="D95" s="384">
        <f t="shared" ca="1" si="2"/>
        <v>12</v>
      </c>
      <c r="E95" s="384" t="str">
        <f t="shared" ca="1" si="3"/>
        <v/>
      </c>
      <c r="F95" s="384" t="str">
        <f t="shared" ca="1" si="4"/>
        <v/>
      </c>
      <c r="G95" s="385" t="str">
        <f t="shared" ca="1" si="5"/>
        <v/>
      </c>
      <c r="H95" s="386" t="str">
        <f t="shared" ca="1" si="6"/>
        <v/>
      </c>
      <c r="I95" s="404"/>
      <c r="J95" s="415"/>
      <c r="K95" s="428" t="s">
        <v>303</v>
      </c>
      <c r="L95" s="428"/>
      <c r="M95" s="428"/>
      <c r="N95" s="428"/>
      <c r="O95" s="428"/>
      <c r="P95" s="428"/>
      <c r="Q95" s="429"/>
      <c r="R95" s="417"/>
      <c r="S95" s="418"/>
      <c r="T95" s="419"/>
      <c r="U95" s="418"/>
      <c r="V95" s="419"/>
      <c r="W95" s="430"/>
      <c r="X95" s="431"/>
      <c r="Y95" s="434"/>
      <c r="Z95" s="433"/>
      <c r="AA95" s="396"/>
      <c r="AB95" s="397"/>
      <c r="AC95" s="398"/>
      <c r="AD95" s="399"/>
      <c r="AE95" s="400"/>
      <c r="AF95" s="401"/>
      <c r="AG95" s="401">
        <f t="shared" si="7"/>
        <v>0</v>
      </c>
      <c r="AH95" s="401">
        <f t="shared" si="8"/>
        <v>0</v>
      </c>
      <c r="AI95" s="401">
        <f t="shared" si="9"/>
        <v>0</v>
      </c>
      <c r="AJ95" s="401">
        <f t="shared" si="10"/>
        <v>0</v>
      </c>
      <c r="AK95" s="401" t="str">
        <f t="shared" si="11"/>
        <v/>
      </c>
      <c r="AL95" s="402">
        <f t="shared" ca="1" si="12"/>
        <v>3</v>
      </c>
      <c r="AM95" s="402">
        <f t="shared" ca="1" si="13"/>
        <v>1</v>
      </c>
      <c r="AN95" s="402">
        <f t="shared" ca="1" si="14"/>
        <v>12</v>
      </c>
      <c r="AO95" s="402">
        <f t="shared" ca="1" si="15"/>
        <v>0</v>
      </c>
      <c r="AP95" s="402">
        <f t="shared" ca="1" si="16"/>
        <v>0</v>
      </c>
      <c r="AQ95" s="402">
        <f t="shared" ca="1" si="17"/>
        <v>0</v>
      </c>
      <c r="AR95" s="402">
        <f t="shared" ca="1" si="18"/>
        <v>0</v>
      </c>
      <c r="AS95" s="403"/>
      <c r="AT95" s="402">
        <f t="shared" si="19"/>
        <v>1</v>
      </c>
    </row>
    <row r="96" spans="1:46" ht="15.75" customHeight="1">
      <c r="A96" s="382"/>
      <c r="B96" s="383">
        <f t="shared" ca="1" si="0"/>
        <v>3</v>
      </c>
      <c r="C96" s="384">
        <f t="shared" ca="1" si="1"/>
        <v>1</v>
      </c>
      <c r="D96" s="384">
        <f t="shared" ca="1" si="2"/>
        <v>12</v>
      </c>
      <c r="E96" s="384">
        <f t="shared" ca="1" si="3"/>
        <v>1</v>
      </c>
      <c r="F96" s="384" t="str">
        <f t="shared" ca="1" si="4"/>
        <v/>
      </c>
      <c r="G96" s="385" t="str">
        <f t="shared" ca="1" si="5"/>
        <v/>
      </c>
      <c r="H96" s="386" t="str">
        <f t="shared" ca="1" si="6"/>
        <v/>
      </c>
      <c r="I96" s="404"/>
      <c r="J96" s="415"/>
      <c r="K96" s="428"/>
      <c r="L96" s="428" t="s">
        <v>59</v>
      </c>
      <c r="M96" s="428"/>
      <c r="N96" s="428"/>
      <c r="O96" s="428"/>
      <c r="P96" s="428"/>
      <c r="Q96" s="429"/>
      <c r="R96" s="417" t="s">
        <v>304</v>
      </c>
      <c r="S96" s="418">
        <v>45796</v>
      </c>
      <c r="T96" s="419">
        <v>45799</v>
      </c>
      <c r="U96" s="418">
        <v>45796</v>
      </c>
      <c r="V96" s="419">
        <v>45799</v>
      </c>
      <c r="W96" s="420">
        <v>1</v>
      </c>
      <c r="X96" s="421">
        <v>1</v>
      </c>
      <c r="Y96" s="434"/>
      <c r="Z96" s="433"/>
      <c r="AA96" s="396"/>
      <c r="AB96" s="397"/>
      <c r="AC96" s="398"/>
      <c r="AD96" s="399"/>
      <c r="AE96" s="400"/>
      <c r="AF96" s="401"/>
      <c r="AG96" s="401">
        <f t="shared" ca="1" si="7"/>
        <v>0</v>
      </c>
      <c r="AH96" s="401">
        <f t="shared" ca="1" si="8"/>
        <v>0</v>
      </c>
      <c r="AI96" s="401">
        <f t="shared" si="9"/>
        <v>0</v>
      </c>
      <c r="AJ96" s="401">
        <f t="shared" ca="1" si="10"/>
        <v>0</v>
      </c>
      <c r="AK96" s="401" t="str">
        <f t="shared" ca="1" si="11"/>
        <v/>
      </c>
      <c r="AL96" s="402">
        <f t="shared" ca="1" si="12"/>
        <v>3</v>
      </c>
      <c r="AM96" s="402">
        <f t="shared" ca="1" si="13"/>
        <v>1</v>
      </c>
      <c r="AN96" s="402">
        <f t="shared" ca="1" si="14"/>
        <v>12</v>
      </c>
      <c r="AO96" s="402">
        <f t="shared" ca="1" si="15"/>
        <v>1</v>
      </c>
      <c r="AP96" s="402">
        <f t="shared" ca="1" si="16"/>
        <v>0</v>
      </c>
      <c r="AQ96" s="402">
        <f t="shared" ca="1" si="17"/>
        <v>0</v>
      </c>
      <c r="AR96" s="402">
        <f t="shared" ca="1" si="18"/>
        <v>0</v>
      </c>
      <c r="AS96" s="403"/>
      <c r="AT96" s="402">
        <f t="shared" si="19"/>
        <v>4</v>
      </c>
    </row>
    <row r="97" spans="1:46" ht="15.75" customHeight="1">
      <c r="A97" s="382"/>
      <c r="B97" s="383">
        <f t="shared" ca="1" si="0"/>
        <v>3</v>
      </c>
      <c r="C97" s="384">
        <f t="shared" ca="1" si="1"/>
        <v>1</v>
      </c>
      <c r="D97" s="384">
        <f t="shared" ca="1" si="2"/>
        <v>12</v>
      </c>
      <c r="E97" s="384">
        <f t="shared" ca="1" si="3"/>
        <v>2</v>
      </c>
      <c r="F97" s="384" t="str">
        <f t="shared" ca="1" si="4"/>
        <v/>
      </c>
      <c r="G97" s="385" t="str">
        <f t="shared" ca="1" si="5"/>
        <v/>
      </c>
      <c r="H97" s="386" t="str">
        <f t="shared" ca="1" si="6"/>
        <v/>
      </c>
      <c r="I97" s="404"/>
      <c r="J97" s="415"/>
      <c r="K97" s="428"/>
      <c r="L97" s="428" t="s">
        <v>61</v>
      </c>
      <c r="M97" s="428"/>
      <c r="N97" s="428"/>
      <c r="O97" s="428"/>
      <c r="P97" s="428"/>
      <c r="Q97" s="429"/>
      <c r="R97" s="417" t="s">
        <v>284</v>
      </c>
      <c r="S97" s="418">
        <v>45800</v>
      </c>
      <c r="T97" s="419">
        <v>45800</v>
      </c>
      <c r="U97" s="418">
        <v>45800</v>
      </c>
      <c r="V97" s="419">
        <v>45800</v>
      </c>
      <c r="W97" s="420">
        <v>1</v>
      </c>
      <c r="X97" s="421">
        <v>1</v>
      </c>
      <c r="Y97" s="434"/>
      <c r="Z97" s="433"/>
      <c r="AA97" s="396"/>
      <c r="AB97" s="397"/>
      <c r="AC97" s="398"/>
      <c r="AD97" s="399"/>
      <c r="AE97" s="400"/>
      <c r="AF97" s="401"/>
      <c r="AG97" s="401">
        <f t="shared" ca="1" si="7"/>
        <v>0</v>
      </c>
      <c r="AH97" s="401">
        <f t="shared" ca="1" si="8"/>
        <v>0</v>
      </c>
      <c r="AI97" s="401">
        <f t="shared" si="9"/>
        <v>0</v>
      </c>
      <c r="AJ97" s="401">
        <f t="shared" ca="1" si="10"/>
        <v>0</v>
      </c>
      <c r="AK97" s="401" t="str">
        <f t="shared" ca="1" si="11"/>
        <v/>
      </c>
      <c r="AL97" s="402">
        <f t="shared" ca="1" si="12"/>
        <v>3</v>
      </c>
      <c r="AM97" s="402">
        <f t="shared" ca="1" si="13"/>
        <v>1</v>
      </c>
      <c r="AN97" s="402">
        <f t="shared" ca="1" si="14"/>
        <v>12</v>
      </c>
      <c r="AO97" s="402">
        <f t="shared" ca="1" si="15"/>
        <v>2</v>
      </c>
      <c r="AP97" s="402">
        <f t="shared" ca="1" si="16"/>
        <v>0</v>
      </c>
      <c r="AQ97" s="402">
        <f t="shared" ca="1" si="17"/>
        <v>0</v>
      </c>
      <c r="AR97" s="402">
        <f t="shared" ca="1" si="18"/>
        <v>0</v>
      </c>
      <c r="AS97" s="403"/>
      <c r="AT97" s="402">
        <f t="shared" si="19"/>
        <v>1</v>
      </c>
    </row>
    <row r="98" spans="1:46" ht="15.75" customHeight="1">
      <c r="A98" s="382"/>
      <c r="B98" s="383">
        <f t="shared" ca="1" si="0"/>
        <v>3</v>
      </c>
      <c r="C98" s="384">
        <f t="shared" ca="1" si="1"/>
        <v>1</v>
      </c>
      <c r="D98" s="384">
        <f t="shared" ca="1" si="2"/>
        <v>13</v>
      </c>
      <c r="E98" s="384" t="str">
        <f t="shared" ca="1" si="3"/>
        <v/>
      </c>
      <c r="F98" s="384" t="str">
        <f t="shared" ca="1" si="4"/>
        <v/>
      </c>
      <c r="G98" s="385" t="str">
        <f t="shared" ca="1" si="5"/>
        <v/>
      </c>
      <c r="H98" s="386" t="str">
        <f t="shared" ca="1" si="6"/>
        <v/>
      </c>
      <c r="I98" s="404"/>
      <c r="J98" s="415"/>
      <c r="K98" s="428" t="s">
        <v>305</v>
      </c>
      <c r="L98" s="428"/>
      <c r="M98" s="428"/>
      <c r="N98" s="428"/>
      <c r="O98" s="428"/>
      <c r="P98" s="428"/>
      <c r="Q98" s="429"/>
      <c r="R98" s="417"/>
      <c r="S98" s="418"/>
      <c r="T98" s="419"/>
      <c r="U98" s="418"/>
      <c r="V98" s="419"/>
      <c r="W98" s="430"/>
      <c r="X98" s="431"/>
      <c r="Y98" s="434"/>
      <c r="Z98" s="433"/>
      <c r="AA98" s="396"/>
      <c r="AB98" s="397"/>
      <c r="AC98" s="398"/>
      <c r="AD98" s="399"/>
      <c r="AE98" s="400"/>
      <c r="AF98" s="401"/>
      <c r="AG98" s="401">
        <f t="shared" si="7"/>
        <v>0</v>
      </c>
      <c r="AH98" s="401">
        <f t="shared" si="8"/>
        <v>0</v>
      </c>
      <c r="AI98" s="401">
        <f t="shared" si="9"/>
        <v>0</v>
      </c>
      <c r="AJ98" s="401">
        <f t="shared" si="10"/>
        <v>0</v>
      </c>
      <c r="AK98" s="401" t="str">
        <f t="shared" si="11"/>
        <v/>
      </c>
      <c r="AL98" s="402">
        <f t="shared" ca="1" si="12"/>
        <v>3</v>
      </c>
      <c r="AM98" s="402">
        <f t="shared" ca="1" si="13"/>
        <v>1</v>
      </c>
      <c r="AN98" s="402">
        <f t="shared" ca="1" si="14"/>
        <v>13</v>
      </c>
      <c r="AO98" s="402">
        <f t="shared" ca="1" si="15"/>
        <v>0</v>
      </c>
      <c r="AP98" s="402">
        <f t="shared" ca="1" si="16"/>
        <v>0</v>
      </c>
      <c r="AQ98" s="402">
        <f t="shared" ca="1" si="17"/>
        <v>0</v>
      </c>
      <c r="AR98" s="402">
        <f t="shared" ca="1" si="18"/>
        <v>0</v>
      </c>
      <c r="AS98" s="403"/>
      <c r="AT98" s="402">
        <f t="shared" si="19"/>
        <v>1</v>
      </c>
    </row>
    <row r="99" spans="1:46" ht="15.75" customHeight="1">
      <c r="A99" s="382"/>
      <c r="B99" s="383">
        <f t="shared" ca="1" si="0"/>
        <v>3</v>
      </c>
      <c r="C99" s="384">
        <f t="shared" ca="1" si="1"/>
        <v>1</v>
      </c>
      <c r="D99" s="384">
        <f t="shared" ca="1" si="2"/>
        <v>13</v>
      </c>
      <c r="E99" s="384">
        <f t="shared" ca="1" si="3"/>
        <v>1</v>
      </c>
      <c r="F99" s="384" t="str">
        <f t="shared" ca="1" si="4"/>
        <v/>
      </c>
      <c r="G99" s="385" t="str">
        <f t="shared" ca="1" si="5"/>
        <v/>
      </c>
      <c r="H99" s="386" t="str">
        <f t="shared" ca="1" si="6"/>
        <v/>
      </c>
      <c r="I99" s="404"/>
      <c r="J99" s="415"/>
      <c r="K99" s="428"/>
      <c r="L99" s="428" t="s">
        <v>59</v>
      </c>
      <c r="M99" s="428"/>
      <c r="N99" s="428"/>
      <c r="O99" s="428"/>
      <c r="P99" s="428"/>
      <c r="Q99" s="429"/>
      <c r="R99" s="417" t="s">
        <v>304</v>
      </c>
      <c r="S99" s="418">
        <v>45800</v>
      </c>
      <c r="T99" s="419">
        <v>45805</v>
      </c>
      <c r="U99" s="418">
        <v>45800</v>
      </c>
      <c r="V99" s="419">
        <v>45805</v>
      </c>
      <c r="W99" s="420">
        <v>1</v>
      </c>
      <c r="X99" s="421">
        <v>1</v>
      </c>
      <c r="Y99" s="434"/>
      <c r="Z99" s="433"/>
      <c r="AA99" s="396"/>
      <c r="AB99" s="397"/>
      <c r="AC99" s="398"/>
      <c r="AD99" s="399"/>
      <c r="AE99" s="400"/>
      <c r="AF99" s="401"/>
      <c r="AG99" s="401">
        <f t="shared" ca="1" si="7"/>
        <v>0</v>
      </c>
      <c r="AH99" s="401">
        <f t="shared" ca="1" si="8"/>
        <v>0</v>
      </c>
      <c r="AI99" s="401">
        <f t="shared" si="9"/>
        <v>0</v>
      </c>
      <c r="AJ99" s="401">
        <f t="shared" ca="1" si="10"/>
        <v>0</v>
      </c>
      <c r="AK99" s="401" t="str">
        <f t="shared" ca="1" si="11"/>
        <v/>
      </c>
      <c r="AL99" s="402">
        <f t="shared" ca="1" si="12"/>
        <v>3</v>
      </c>
      <c r="AM99" s="402">
        <f t="shared" ca="1" si="13"/>
        <v>1</v>
      </c>
      <c r="AN99" s="402">
        <f t="shared" ca="1" si="14"/>
        <v>13</v>
      </c>
      <c r="AO99" s="402">
        <f t="shared" ca="1" si="15"/>
        <v>1</v>
      </c>
      <c r="AP99" s="402">
        <f t="shared" ca="1" si="16"/>
        <v>0</v>
      </c>
      <c r="AQ99" s="402">
        <f t="shared" ca="1" si="17"/>
        <v>0</v>
      </c>
      <c r="AR99" s="402">
        <f t="shared" ca="1" si="18"/>
        <v>0</v>
      </c>
      <c r="AS99" s="403"/>
      <c r="AT99" s="402">
        <f t="shared" si="19"/>
        <v>6</v>
      </c>
    </row>
    <row r="100" spans="1:46" ht="15.75" customHeight="1">
      <c r="A100" s="382"/>
      <c r="B100" s="383">
        <f t="shared" ca="1" si="0"/>
        <v>3</v>
      </c>
      <c r="C100" s="384">
        <f t="shared" ca="1" si="1"/>
        <v>1</v>
      </c>
      <c r="D100" s="384">
        <f t="shared" ca="1" si="2"/>
        <v>13</v>
      </c>
      <c r="E100" s="384">
        <f t="shared" ca="1" si="3"/>
        <v>2</v>
      </c>
      <c r="F100" s="384" t="str">
        <f t="shared" ca="1" si="4"/>
        <v/>
      </c>
      <c r="G100" s="385" t="str">
        <f t="shared" ca="1" si="5"/>
        <v/>
      </c>
      <c r="H100" s="386" t="str">
        <f t="shared" ca="1" si="6"/>
        <v/>
      </c>
      <c r="I100" s="404"/>
      <c r="J100" s="415"/>
      <c r="K100" s="428"/>
      <c r="L100" s="428" t="s">
        <v>61</v>
      </c>
      <c r="M100" s="428"/>
      <c r="N100" s="428"/>
      <c r="O100" s="428"/>
      <c r="P100" s="428"/>
      <c r="Q100" s="429"/>
      <c r="R100" s="417" t="s">
        <v>284</v>
      </c>
      <c r="S100" s="418">
        <v>45806</v>
      </c>
      <c r="T100" s="419">
        <v>45806</v>
      </c>
      <c r="U100" s="418">
        <v>45806</v>
      </c>
      <c r="V100" s="419">
        <v>45806</v>
      </c>
      <c r="W100" s="420">
        <v>1</v>
      </c>
      <c r="X100" s="421">
        <v>1</v>
      </c>
      <c r="Y100" s="434"/>
      <c r="Z100" s="433"/>
      <c r="AA100" s="396"/>
      <c r="AB100" s="397"/>
      <c r="AC100" s="398"/>
      <c r="AD100" s="399"/>
      <c r="AE100" s="400"/>
      <c r="AF100" s="401"/>
      <c r="AG100" s="401">
        <f t="shared" ca="1" si="7"/>
        <v>0</v>
      </c>
      <c r="AH100" s="401">
        <f t="shared" ca="1" si="8"/>
        <v>0</v>
      </c>
      <c r="AI100" s="401">
        <f t="shared" si="9"/>
        <v>0</v>
      </c>
      <c r="AJ100" s="401">
        <f t="shared" ca="1" si="10"/>
        <v>0</v>
      </c>
      <c r="AK100" s="401" t="str">
        <f t="shared" ca="1" si="11"/>
        <v/>
      </c>
      <c r="AL100" s="402">
        <f t="shared" ca="1" si="12"/>
        <v>3</v>
      </c>
      <c r="AM100" s="402">
        <f t="shared" ca="1" si="13"/>
        <v>1</v>
      </c>
      <c r="AN100" s="402">
        <f t="shared" ca="1" si="14"/>
        <v>13</v>
      </c>
      <c r="AO100" s="402">
        <f t="shared" ca="1" si="15"/>
        <v>2</v>
      </c>
      <c r="AP100" s="402">
        <f t="shared" ca="1" si="16"/>
        <v>0</v>
      </c>
      <c r="AQ100" s="402">
        <f t="shared" ca="1" si="17"/>
        <v>0</v>
      </c>
      <c r="AR100" s="402">
        <f t="shared" ca="1" si="18"/>
        <v>0</v>
      </c>
      <c r="AS100" s="403"/>
      <c r="AT100" s="402">
        <f t="shared" si="19"/>
        <v>1</v>
      </c>
    </row>
    <row r="101" spans="1:46" ht="15.75" customHeight="1">
      <c r="A101" s="382"/>
      <c r="B101" s="383">
        <f t="shared" ca="1" si="0"/>
        <v>3</v>
      </c>
      <c r="C101" s="384">
        <f t="shared" ca="1" si="1"/>
        <v>1</v>
      </c>
      <c r="D101" s="384">
        <f t="shared" ca="1" si="2"/>
        <v>14</v>
      </c>
      <c r="E101" s="384" t="str">
        <f t="shared" ca="1" si="3"/>
        <v/>
      </c>
      <c r="F101" s="384" t="str">
        <f t="shared" ca="1" si="4"/>
        <v/>
      </c>
      <c r="G101" s="385" t="str">
        <f t="shared" ca="1" si="5"/>
        <v/>
      </c>
      <c r="H101" s="386" t="str">
        <f t="shared" ca="1" si="6"/>
        <v/>
      </c>
      <c r="I101" s="404"/>
      <c r="J101" s="415"/>
      <c r="K101" s="428" t="s">
        <v>306</v>
      </c>
      <c r="L101" s="428"/>
      <c r="M101" s="428"/>
      <c r="N101" s="428"/>
      <c r="O101" s="428"/>
      <c r="P101" s="428"/>
      <c r="Q101" s="429"/>
      <c r="R101" s="417"/>
      <c r="S101" s="418"/>
      <c r="T101" s="419"/>
      <c r="U101" s="418"/>
      <c r="V101" s="419"/>
      <c r="W101" s="430"/>
      <c r="X101" s="431"/>
      <c r="Y101" s="434"/>
      <c r="Z101" s="433"/>
      <c r="AA101" s="396"/>
      <c r="AB101" s="397"/>
      <c r="AC101" s="398"/>
      <c r="AD101" s="399"/>
      <c r="AE101" s="400"/>
      <c r="AF101" s="401"/>
      <c r="AG101" s="401">
        <f t="shared" si="7"/>
        <v>0</v>
      </c>
      <c r="AH101" s="401">
        <f t="shared" si="8"/>
        <v>0</v>
      </c>
      <c r="AI101" s="401">
        <f t="shared" si="9"/>
        <v>0</v>
      </c>
      <c r="AJ101" s="401">
        <f t="shared" si="10"/>
        <v>0</v>
      </c>
      <c r="AK101" s="401" t="str">
        <f t="shared" si="11"/>
        <v/>
      </c>
      <c r="AL101" s="402">
        <f t="shared" ca="1" si="12"/>
        <v>3</v>
      </c>
      <c r="AM101" s="402">
        <f t="shared" ca="1" si="13"/>
        <v>1</v>
      </c>
      <c r="AN101" s="402">
        <f t="shared" ca="1" si="14"/>
        <v>14</v>
      </c>
      <c r="AO101" s="402">
        <f t="shared" ca="1" si="15"/>
        <v>0</v>
      </c>
      <c r="AP101" s="402">
        <f t="shared" ca="1" si="16"/>
        <v>0</v>
      </c>
      <c r="AQ101" s="402">
        <f t="shared" ca="1" si="17"/>
        <v>0</v>
      </c>
      <c r="AR101" s="402">
        <f t="shared" ca="1" si="18"/>
        <v>0</v>
      </c>
      <c r="AS101" s="403"/>
      <c r="AT101" s="402">
        <f t="shared" si="19"/>
        <v>1</v>
      </c>
    </row>
    <row r="102" spans="1:46" ht="15.75" customHeight="1">
      <c r="A102" s="382"/>
      <c r="B102" s="383">
        <f t="shared" ca="1" si="0"/>
        <v>3</v>
      </c>
      <c r="C102" s="384">
        <f t="shared" ca="1" si="1"/>
        <v>1</v>
      </c>
      <c r="D102" s="384">
        <f t="shared" ca="1" si="2"/>
        <v>14</v>
      </c>
      <c r="E102" s="384">
        <f t="shared" ca="1" si="3"/>
        <v>1</v>
      </c>
      <c r="F102" s="384" t="str">
        <f t="shared" ca="1" si="4"/>
        <v/>
      </c>
      <c r="G102" s="385" t="str">
        <f t="shared" ca="1" si="5"/>
        <v/>
      </c>
      <c r="H102" s="386" t="str">
        <f t="shared" ca="1" si="6"/>
        <v/>
      </c>
      <c r="I102" s="404"/>
      <c r="J102" s="415"/>
      <c r="K102" s="428"/>
      <c r="L102" s="428" t="s">
        <v>59</v>
      </c>
      <c r="M102" s="428"/>
      <c r="N102" s="428"/>
      <c r="O102" s="428"/>
      <c r="P102" s="428"/>
      <c r="Q102" s="429"/>
      <c r="R102" s="417" t="s">
        <v>304</v>
      </c>
      <c r="S102" s="418">
        <v>45806</v>
      </c>
      <c r="T102" s="419">
        <v>45811</v>
      </c>
      <c r="U102" s="418">
        <v>45806</v>
      </c>
      <c r="V102" s="419">
        <v>45811</v>
      </c>
      <c r="W102" s="420">
        <v>1</v>
      </c>
      <c r="X102" s="421">
        <v>1</v>
      </c>
      <c r="Y102" s="434"/>
      <c r="Z102" s="433"/>
      <c r="AA102" s="396"/>
      <c r="AB102" s="397"/>
      <c r="AC102" s="398"/>
      <c r="AD102" s="399"/>
      <c r="AE102" s="400"/>
      <c r="AF102" s="401"/>
      <c r="AG102" s="401">
        <f t="shared" ca="1" si="7"/>
        <v>0</v>
      </c>
      <c r="AH102" s="401">
        <f t="shared" ca="1" si="8"/>
        <v>0</v>
      </c>
      <c r="AI102" s="401">
        <f t="shared" si="9"/>
        <v>0</v>
      </c>
      <c r="AJ102" s="401">
        <f t="shared" ca="1" si="10"/>
        <v>0</v>
      </c>
      <c r="AK102" s="401" t="str">
        <f t="shared" ca="1" si="11"/>
        <v/>
      </c>
      <c r="AL102" s="402">
        <f t="shared" ca="1" si="12"/>
        <v>3</v>
      </c>
      <c r="AM102" s="402">
        <f t="shared" ca="1" si="13"/>
        <v>1</v>
      </c>
      <c r="AN102" s="402">
        <f t="shared" ca="1" si="14"/>
        <v>14</v>
      </c>
      <c r="AO102" s="402">
        <f t="shared" ca="1" si="15"/>
        <v>1</v>
      </c>
      <c r="AP102" s="402">
        <f t="shared" ca="1" si="16"/>
        <v>0</v>
      </c>
      <c r="AQ102" s="402">
        <f t="shared" ca="1" si="17"/>
        <v>0</v>
      </c>
      <c r="AR102" s="402">
        <f t="shared" ca="1" si="18"/>
        <v>0</v>
      </c>
      <c r="AS102" s="403"/>
      <c r="AT102" s="402">
        <f t="shared" si="19"/>
        <v>6</v>
      </c>
    </row>
    <row r="103" spans="1:46" ht="15.75" customHeight="1">
      <c r="A103" s="382"/>
      <c r="B103" s="383">
        <f t="shared" ca="1" si="0"/>
        <v>3</v>
      </c>
      <c r="C103" s="384">
        <f t="shared" ca="1" si="1"/>
        <v>1</v>
      </c>
      <c r="D103" s="384">
        <f t="shared" ca="1" si="2"/>
        <v>14</v>
      </c>
      <c r="E103" s="384">
        <f t="shared" ca="1" si="3"/>
        <v>2</v>
      </c>
      <c r="F103" s="384" t="str">
        <f t="shared" ca="1" si="4"/>
        <v/>
      </c>
      <c r="G103" s="385" t="str">
        <f t="shared" ca="1" si="5"/>
        <v/>
      </c>
      <c r="H103" s="386" t="str">
        <f t="shared" ca="1" si="6"/>
        <v/>
      </c>
      <c r="I103" s="404"/>
      <c r="J103" s="415"/>
      <c r="K103" s="428"/>
      <c r="L103" s="428" t="s">
        <v>61</v>
      </c>
      <c r="M103" s="428"/>
      <c r="N103" s="428"/>
      <c r="O103" s="428"/>
      <c r="P103" s="428"/>
      <c r="Q103" s="429"/>
      <c r="R103" s="424" t="s">
        <v>284</v>
      </c>
      <c r="S103" s="418">
        <v>45812</v>
      </c>
      <c r="T103" s="419">
        <v>45812</v>
      </c>
      <c r="U103" s="418">
        <v>45812</v>
      </c>
      <c r="V103" s="419">
        <v>45812</v>
      </c>
      <c r="W103" s="420">
        <v>1</v>
      </c>
      <c r="X103" s="421">
        <v>1</v>
      </c>
      <c r="Y103" s="434"/>
      <c r="Z103" s="433"/>
      <c r="AA103" s="396"/>
      <c r="AB103" s="397"/>
      <c r="AC103" s="398"/>
      <c r="AD103" s="399"/>
      <c r="AE103" s="400"/>
      <c r="AF103" s="401"/>
      <c r="AG103" s="401">
        <f t="shared" ca="1" si="7"/>
        <v>0</v>
      </c>
      <c r="AH103" s="401">
        <f t="shared" ca="1" si="8"/>
        <v>0</v>
      </c>
      <c r="AI103" s="401">
        <f t="shared" si="9"/>
        <v>0</v>
      </c>
      <c r="AJ103" s="401">
        <f t="shared" ca="1" si="10"/>
        <v>0</v>
      </c>
      <c r="AK103" s="401" t="str">
        <f t="shared" ca="1" si="11"/>
        <v/>
      </c>
      <c r="AL103" s="402">
        <f t="shared" ca="1" si="12"/>
        <v>3</v>
      </c>
      <c r="AM103" s="402">
        <f t="shared" ca="1" si="13"/>
        <v>1</v>
      </c>
      <c r="AN103" s="402">
        <f t="shared" ca="1" si="14"/>
        <v>14</v>
      </c>
      <c r="AO103" s="402">
        <f t="shared" ca="1" si="15"/>
        <v>2</v>
      </c>
      <c r="AP103" s="402">
        <f t="shared" ca="1" si="16"/>
        <v>0</v>
      </c>
      <c r="AQ103" s="402">
        <f t="shared" ca="1" si="17"/>
        <v>0</v>
      </c>
      <c r="AR103" s="402">
        <f t="shared" ca="1" si="18"/>
        <v>0</v>
      </c>
      <c r="AS103" s="403"/>
      <c r="AT103" s="402">
        <f t="shared" si="19"/>
        <v>1</v>
      </c>
    </row>
    <row r="104" spans="1:46" ht="15.75" customHeight="1">
      <c r="A104" s="382"/>
      <c r="B104" s="383">
        <f t="shared" ca="1" si="0"/>
        <v>3</v>
      </c>
      <c r="C104" s="384">
        <f t="shared" ca="1" si="1"/>
        <v>1</v>
      </c>
      <c r="D104" s="384">
        <f t="shared" ca="1" si="2"/>
        <v>15</v>
      </c>
      <c r="E104" s="384" t="str">
        <f t="shared" ca="1" si="3"/>
        <v/>
      </c>
      <c r="F104" s="384" t="str">
        <f t="shared" ca="1" si="4"/>
        <v/>
      </c>
      <c r="G104" s="385" t="str">
        <f t="shared" ca="1" si="5"/>
        <v/>
      </c>
      <c r="H104" s="386" t="str">
        <f t="shared" ca="1" si="6"/>
        <v/>
      </c>
      <c r="I104" s="404"/>
      <c r="J104" s="415"/>
      <c r="K104" s="428" t="s">
        <v>307</v>
      </c>
      <c r="L104" s="428"/>
      <c r="M104" s="428"/>
      <c r="N104" s="428"/>
      <c r="O104" s="428"/>
      <c r="P104" s="428"/>
      <c r="Q104" s="429"/>
      <c r="R104" s="417"/>
      <c r="S104" s="418"/>
      <c r="T104" s="419"/>
      <c r="U104" s="418"/>
      <c r="V104" s="419"/>
      <c r="W104" s="430"/>
      <c r="X104" s="431"/>
      <c r="Y104" s="434"/>
      <c r="Z104" s="433"/>
      <c r="AA104" s="396"/>
      <c r="AB104" s="397"/>
      <c r="AC104" s="398"/>
      <c r="AD104" s="399"/>
      <c r="AE104" s="400"/>
      <c r="AF104" s="401"/>
      <c r="AG104" s="401">
        <f t="shared" si="7"/>
        <v>0</v>
      </c>
      <c r="AH104" s="401">
        <f t="shared" si="8"/>
        <v>0</v>
      </c>
      <c r="AI104" s="401">
        <f t="shared" si="9"/>
        <v>0</v>
      </c>
      <c r="AJ104" s="401">
        <f t="shared" si="10"/>
        <v>0</v>
      </c>
      <c r="AK104" s="401" t="str">
        <f t="shared" si="11"/>
        <v/>
      </c>
      <c r="AL104" s="402">
        <f t="shared" ca="1" si="12"/>
        <v>3</v>
      </c>
      <c r="AM104" s="402">
        <f t="shared" ca="1" si="13"/>
        <v>1</v>
      </c>
      <c r="AN104" s="402">
        <f t="shared" ca="1" si="14"/>
        <v>15</v>
      </c>
      <c r="AO104" s="402">
        <f t="shared" ca="1" si="15"/>
        <v>0</v>
      </c>
      <c r="AP104" s="402">
        <f t="shared" ca="1" si="16"/>
        <v>0</v>
      </c>
      <c r="AQ104" s="402">
        <f t="shared" ca="1" si="17"/>
        <v>0</v>
      </c>
      <c r="AR104" s="402">
        <f t="shared" ca="1" si="18"/>
        <v>0</v>
      </c>
      <c r="AS104" s="403"/>
      <c r="AT104" s="402">
        <f t="shared" si="19"/>
        <v>1</v>
      </c>
    </row>
    <row r="105" spans="1:46" ht="15.75" customHeight="1">
      <c r="A105" s="382"/>
      <c r="B105" s="383">
        <f t="shared" ca="1" si="0"/>
        <v>3</v>
      </c>
      <c r="C105" s="384">
        <f t="shared" ca="1" si="1"/>
        <v>1</v>
      </c>
      <c r="D105" s="384">
        <f t="shared" ca="1" si="2"/>
        <v>15</v>
      </c>
      <c r="E105" s="384">
        <f t="shared" ca="1" si="3"/>
        <v>1</v>
      </c>
      <c r="F105" s="384" t="str">
        <f t="shared" ca="1" si="4"/>
        <v/>
      </c>
      <c r="G105" s="385" t="str">
        <f t="shared" ca="1" si="5"/>
        <v/>
      </c>
      <c r="H105" s="386" t="str">
        <f t="shared" ca="1" si="6"/>
        <v/>
      </c>
      <c r="I105" s="404"/>
      <c r="J105" s="415"/>
      <c r="K105" s="428"/>
      <c r="L105" s="428" t="s">
        <v>59</v>
      </c>
      <c r="M105" s="428"/>
      <c r="N105" s="428"/>
      <c r="O105" s="428"/>
      <c r="P105" s="428"/>
      <c r="Q105" s="429"/>
      <c r="R105" s="424" t="s">
        <v>304</v>
      </c>
      <c r="S105" s="418">
        <v>45812</v>
      </c>
      <c r="T105" s="419">
        <v>45817</v>
      </c>
      <c r="U105" s="418">
        <v>45812</v>
      </c>
      <c r="V105" s="419">
        <v>45817</v>
      </c>
      <c r="W105" s="420">
        <v>1</v>
      </c>
      <c r="X105" s="421">
        <v>1</v>
      </c>
      <c r="Y105" s="434"/>
      <c r="Z105" s="433"/>
      <c r="AA105" s="396"/>
      <c r="AB105" s="397"/>
      <c r="AC105" s="398"/>
      <c r="AD105" s="399"/>
      <c r="AE105" s="400"/>
      <c r="AF105" s="401"/>
      <c r="AG105" s="401">
        <f t="shared" ca="1" si="7"/>
        <v>0</v>
      </c>
      <c r="AH105" s="401">
        <f t="shared" ca="1" si="8"/>
        <v>0</v>
      </c>
      <c r="AI105" s="401">
        <f t="shared" si="9"/>
        <v>0</v>
      </c>
      <c r="AJ105" s="401">
        <f t="shared" ca="1" si="10"/>
        <v>0</v>
      </c>
      <c r="AK105" s="401" t="str">
        <f t="shared" ca="1" si="11"/>
        <v/>
      </c>
      <c r="AL105" s="402">
        <f t="shared" ca="1" si="12"/>
        <v>3</v>
      </c>
      <c r="AM105" s="402">
        <f t="shared" ca="1" si="13"/>
        <v>1</v>
      </c>
      <c r="AN105" s="402">
        <f t="shared" ca="1" si="14"/>
        <v>15</v>
      </c>
      <c r="AO105" s="402">
        <f t="shared" ca="1" si="15"/>
        <v>1</v>
      </c>
      <c r="AP105" s="402">
        <f t="shared" ca="1" si="16"/>
        <v>0</v>
      </c>
      <c r="AQ105" s="402">
        <f t="shared" ca="1" si="17"/>
        <v>0</v>
      </c>
      <c r="AR105" s="402">
        <f t="shared" ca="1" si="18"/>
        <v>0</v>
      </c>
      <c r="AS105" s="403"/>
      <c r="AT105" s="402">
        <f t="shared" si="19"/>
        <v>6</v>
      </c>
    </row>
    <row r="106" spans="1:46" ht="15.75" customHeight="1">
      <c r="A106" s="382"/>
      <c r="B106" s="383">
        <f t="shared" ca="1" si="0"/>
        <v>3</v>
      </c>
      <c r="C106" s="384">
        <f t="shared" ca="1" si="1"/>
        <v>1</v>
      </c>
      <c r="D106" s="384">
        <f t="shared" ca="1" si="2"/>
        <v>15</v>
      </c>
      <c r="E106" s="384">
        <f t="shared" ca="1" si="3"/>
        <v>2</v>
      </c>
      <c r="F106" s="384" t="str">
        <f t="shared" ca="1" si="4"/>
        <v/>
      </c>
      <c r="G106" s="385" t="str">
        <f t="shared" ca="1" si="5"/>
        <v/>
      </c>
      <c r="H106" s="386" t="str">
        <f t="shared" ca="1" si="6"/>
        <v/>
      </c>
      <c r="I106" s="404"/>
      <c r="J106" s="415"/>
      <c r="K106" s="428"/>
      <c r="L106" s="428" t="s">
        <v>61</v>
      </c>
      <c r="M106" s="428"/>
      <c r="N106" s="428"/>
      <c r="O106" s="428"/>
      <c r="P106" s="428"/>
      <c r="Q106" s="429"/>
      <c r="R106" s="417" t="s">
        <v>284</v>
      </c>
      <c r="S106" s="418">
        <v>45818</v>
      </c>
      <c r="T106" s="419">
        <v>45818</v>
      </c>
      <c r="U106" s="418">
        <v>45818</v>
      </c>
      <c r="V106" s="419">
        <v>45818</v>
      </c>
      <c r="W106" s="430">
        <v>1</v>
      </c>
      <c r="X106" s="431">
        <v>1</v>
      </c>
      <c r="Y106" s="434"/>
      <c r="Z106" s="433"/>
      <c r="AA106" s="396"/>
      <c r="AB106" s="397"/>
      <c r="AC106" s="398"/>
      <c r="AD106" s="399"/>
      <c r="AE106" s="400"/>
      <c r="AF106" s="401"/>
      <c r="AG106" s="401">
        <f t="shared" ca="1" si="7"/>
        <v>0</v>
      </c>
      <c r="AH106" s="401">
        <f t="shared" ca="1" si="8"/>
        <v>0</v>
      </c>
      <c r="AI106" s="401">
        <f t="shared" si="9"/>
        <v>0</v>
      </c>
      <c r="AJ106" s="401">
        <f t="shared" ca="1" si="10"/>
        <v>0</v>
      </c>
      <c r="AK106" s="401" t="str">
        <f t="shared" ca="1" si="11"/>
        <v/>
      </c>
      <c r="AL106" s="402">
        <f t="shared" ca="1" si="12"/>
        <v>3</v>
      </c>
      <c r="AM106" s="402">
        <f t="shared" ca="1" si="13"/>
        <v>1</v>
      </c>
      <c r="AN106" s="402">
        <f t="shared" ca="1" si="14"/>
        <v>15</v>
      </c>
      <c r="AO106" s="402">
        <f t="shared" ca="1" si="15"/>
        <v>2</v>
      </c>
      <c r="AP106" s="402">
        <f t="shared" ca="1" si="16"/>
        <v>0</v>
      </c>
      <c r="AQ106" s="402">
        <f t="shared" ca="1" si="17"/>
        <v>0</v>
      </c>
      <c r="AR106" s="402">
        <f t="shared" ca="1" si="18"/>
        <v>0</v>
      </c>
      <c r="AS106" s="403"/>
      <c r="AT106" s="402">
        <f t="shared" si="19"/>
        <v>1</v>
      </c>
    </row>
    <row r="107" spans="1:46" ht="15.75" customHeight="1">
      <c r="A107" s="382"/>
      <c r="B107" s="383">
        <f t="shared" ca="1" si="0"/>
        <v>3</v>
      </c>
      <c r="C107" s="384">
        <f t="shared" ca="1" si="1"/>
        <v>1</v>
      </c>
      <c r="D107" s="384">
        <f t="shared" ca="1" si="2"/>
        <v>16</v>
      </c>
      <c r="E107" s="384" t="str">
        <f t="shared" ca="1" si="3"/>
        <v/>
      </c>
      <c r="F107" s="384" t="str">
        <f t="shared" ca="1" si="4"/>
        <v/>
      </c>
      <c r="G107" s="385" t="str">
        <f t="shared" ca="1" si="5"/>
        <v/>
      </c>
      <c r="H107" s="386" t="str">
        <f t="shared" ca="1" si="6"/>
        <v/>
      </c>
      <c r="I107" s="404"/>
      <c r="J107" s="415"/>
      <c r="K107" s="428" t="s">
        <v>308</v>
      </c>
      <c r="L107" s="428"/>
      <c r="M107" s="428"/>
      <c r="N107" s="428"/>
      <c r="O107" s="428"/>
      <c r="P107" s="428"/>
      <c r="Q107" s="429"/>
      <c r="R107" s="417"/>
      <c r="S107" s="418"/>
      <c r="T107" s="419"/>
      <c r="U107" s="418"/>
      <c r="V107" s="419"/>
      <c r="W107" s="430"/>
      <c r="X107" s="431"/>
      <c r="Y107" s="434"/>
      <c r="Z107" s="433"/>
      <c r="AA107" s="396"/>
      <c r="AB107" s="397"/>
      <c r="AC107" s="398"/>
      <c r="AD107" s="399"/>
      <c r="AE107" s="400"/>
      <c r="AF107" s="401"/>
      <c r="AG107" s="401">
        <f t="shared" si="7"/>
        <v>0</v>
      </c>
      <c r="AH107" s="401">
        <f t="shared" si="8"/>
        <v>0</v>
      </c>
      <c r="AI107" s="401">
        <f t="shared" si="9"/>
        <v>0</v>
      </c>
      <c r="AJ107" s="401">
        <f t="shared" si="10"/>
        <v>0</v>
      </c>
      <c r="AK107" s="401" t="str">
        <f t="shared" si="11"/>
        <v/>
      </c>
      <c r="AL107" s="402">
        <f t="shared" ca="1" si="12"/>
        <v>3</v>
      </c>
      <c r="AM107" s="402">
        <f t="shared" ca="1" si="13"/>
        <v>1</v>
      </c>
      <c r="AN107" s="402">
        <f t="shared" ca="1" si="14"/>
        <v>16</v>
      </c>
      <c r="AO107" s="402">
        <f t="shared" ca="1" si="15"/>
        <v>0</v>
      </c>
      <c r="AP107" s="402">
        <f t="shared" ca="1" si="16"/>
        <v>0</v>
      </c>
      <c r="AQ107" s="402">
        <f t="shared" ca="1" si="17"/>
        <v>0</v>
      </c>
      <c r="AR107" s="402">
        <f t="shared" ca="1" si="18"/>
        <v>0</v>
      </c>
      <c r="AS107" s="403"/>
      <c r="AT107" s="402">
        <f t="shared" si="19"/>
        <v>1</v>
      </c>
    </row>
    <row r="108" spans="1:46" ht="15.75" customHeight="1">
      <c r="A108" s="382"/>
      <c r="B108" s="383">
        <f t="shared" ca="1" si="0"/>
        <v>3</v>
      </c>
      <c r="C108" s="384">
        <f t="shared" ca="1" si="1"/>
        <v>1</v>
      </c>
      <c r="D108" s="384">
        <f t="shared" ca="1" si="2"/>
        <v>16</v>
      </c>
      <c r="E108" s="384">
        <f t="shared" ca="1" si="3"/>
        <v>1</v>
      </c>
      <c r="F108" s="384" t="str">
        <f t="shared" ca="1" si="4"/>
        <v/>
      </c>
      <c r="G108" s="385" t="str">
        <f t="shared" ca="1" si="5"/>
        <v/>
      </c>
      <c r="H108" s="386" t="str">
        <f t="shared" ca="1" si="6"/>
        <v/>
      </c>
      <c r="I108" s="404"/>
      <c r="J108" s="415"/>
      <c r="K108" s="428"/>
      <c r="L108" s="428" t="s">
        <v>59</v>
      </c>
      <c r="M108" s="428"/>
      <c r="N108" s="428"/>
      <c r="O108" s="428"/>
      <c r="P108" s="428"/>
      <c r="Q108" s="429"/>
      <c r="R108" s="417" t="s">
        <v>304</v>
      </c>
      <c r="S108" s="418">
        <v>45818</v>
      </c>
      <c r="T108" s="419">
        <v>45821</v>
      </c>
      <c r="U108" s="418">
        <v>45818</v>
      </c>
      <c r="V108" s="419">
        <v>45821</v>
      </c>
      <c r="W108" s="430">
        <v>1</v>
      </c>
      <c r="X108" s="431">
        <v>1</v>
      </c>
      <c r="Y108" s="434"/>
      <c r="Z108" s="433"/>
      <c r="AA108" s="396"/>
      <c r="AB108" s="397"/>
      <c r="AC108" s="398"/>
      <c r="AD108" s="399"/>
      <c r="AE108" s="400"/>
      <c r="AF108" s="401"/>
      <c r="AG108" s="401">
        <f t="shared" ca="1" si="7"/>
        <v>0</v>
      </c>
      <c r="AH108" s="401">
        <f t="shared" ca="1" si="8"/>
        <v>0</v>
      </c>
      <c r="AI108" s="401">
        <f t="shared" si="9"/>
        <v>0</v>
      </c>
      <c r="AJ108" s="401">
        <f t="shared" ca="1" si="10"/>
        <v>0</v>
      </c>
      <c r="AK108" s="401" t="str">
        <f t="shared" ca="1" si="11"/>
        <v/>
      </c>
      <c r="AL108" s="402">
        <f t="shared" ca="1" si="12"/>
        <v>3</v>
      </c>
      <c r="AM108" s="402">
        <f t="shared" ca="1" si="13"/>
        <v>1</v>
      </c>
      <c r="AN108" s="402">
        <f t="shared" ca="1" si="14"/>
        <v>16</v>
      </c>
      <c r="AO108" s="402">
        <f t="shared" ca="1" si="15"/>
        <v>1</v>
      </c>
      <c r="AP108" s="402">
        <f t="shared" ca="1" si="16"/>
        <v>0</v>
      </c>
      <c r="AQ108" s="402">
        <f t="shared" ca="1" si="17"/>
        <v>0</v>
      </c>
      <c r="AR108" s="402">
        <f t="shared" ca="1" si="18"/>
        <v>0</v>
      </c>
      <c r="AS108" s="403"/>
      <c r="AT108" s="402">
        <f t="shared" si="19"/>
        <v>4</v>
      </c>
    </row>
    <row r="109" spans="1:46" ht="15.75" customHeight="1">
      <c r="A109" s="382"/>
      <c r="B109" s="383">
        <f t="shared" ca="1" si="0"/>
        <v>3</v>
      </c>
      <c r="C109" s="384">
        <f t="shared" ca="1" si="1"/>
        <v>1</v>
      </c>
      <c r="D109" s="384">
        <f t="shared" ca="1" si="2"/>
        <v>16</v>
      </c>
      <c r="E109" s="384">
        <f t="shared" ca="1" si="3"/>
        <v>2</v>
      </c>
      <c r="F109" s="384" t="str">
        <f t="shared" ca="1" si="4"/>
        <v/>
      </c>
      <c r="G109" s="385" t="str">
        <f t="shared" ca="1" si="5"/>
        <v/>
      </c>
      <c r="H109" s="386" t="str">
        <f t="shared" ca="1" si="6"/>
        <v/>
      </c>
      <c r="I109" s="404"/>
      <c r="J109" s="415"/>
      <c r="K109" s="428"/>
      <c r="L109" s="428" t="s">
        <v>61</v>
      </c>
      <c r="M109" s="428"/>
      <c r="N109" s="428"/>
      <c r="O109" s="428"/>
      <c r="P109" s="428"/>
      <c r="Q109" s="429"/>
      <c r="R109" s="417" t="s">
        <v>284</v>
      </c>
      <c r="S109" s="418">
        <v>45824</v>
      </c>
      <c r="T109" s="419">
        <v>45824</v>
      </c>
      <c r="U109" s="418"/>
      <c r="V109" s="419"/>
      <c r="W109" s="430"/>
      <c r="X109" s="431"/>
      <c r="Y109" s="434"/>
      <c r="Z109" s="433"/>
      <c r="AA109" s="396"/>
      <c r="AB109" s="397"/>
      <c r="AC109" s="398"/>
      <c r="AD109" s="399"/>
      <c r="AE109" s="400"/>
      <c r="AF109" s="401"/>
      <c r="AG109" s="401">
        <f t="shared" ca="1" si="7"/>
        <v>0</v>
      </c>
      <c r="AH109" s="401">
        <f t="shared" ca="1" si="8"/>
        <v>0</v>
      </c>
      <c r="AI109" s="401">
        <f t="shared" si="9"/>
        <v>0</v>
      </c>
      <c r="AJ109" s="401">
        <f t="shared" ca="1" si="10"/>
        <v>0</v>
      </c>
      <c r="AK109" s="401" t="str">
        <f t="shared" ca="1" si="11"/>
        <v/>
      </c>
      <c r="AL109" s="402">
        <f t="shared" ca="1" si="12"/>
        <v>3</v>
      </c>
      <c r="AM109" s="402">
        <f t="shared" ca="1" si="13"/>
        <v>1</v>
      </c>
      <c r="AN109" s="402">
        <f t="shared" ca="1" si="14"/>
        <v>16</v>
      </c>
      <c r="AO109" s="402">
        <f t="shared" ca="1" si="15"/>
        <v>2</v>
      </c>
      <c r="AP109" s="402">
        <f t="shared" ca="1" si="16"/>
        <v>0</v>
      </c>
      <c r="AQ109" s="402">
        <f t="shared" ca="1" si="17"/>
        <v>0</v>
      </c>
      <c r="AR109" s="402">
        <f t="shared" ca="1" si="18"/>
        <v>0</v>
      </c>
      <c r="AS109" s="403"/>
      <c r="AT109" s="402">
        <f t="shared" si="19"/>
        <v>1</v>
      </c>
    </row>
    <row r="110" spans="1:46" ht="15.75" customHeight="1">
      <c r="A110" s="382"/>
      <c r="B110" s="383">
        <f t="shared" ca="1" si="0"/>
        <v>3</v>
      </c>
      <c r="C110" s="384">
        <f t="shared" ca="1" si="1"/>
        <v>1</v>
      </c>
      <c r="D110" s="384">
        <f t="shared" ca="1" si="2"/>
        <v>17</v>
      </c>
      <c r="E110" s="384" t="str">
        <f t="shared" ca="1" si="3"/>
        <v/>
      </c>
      <c r="F110" s="384" t="str">
        <f t="shared" ca="1" si="4"/>
        <v/>
      </c>
      <c r="G110" s="385" t="str">
        <f t="shared" ca="1" si="5"/>
        <v/>
      </c>
      <c r="H110" s="386" t="str">
        <f t="shared" ca="1" si="6"/>
        <v/>
      </c>
      <c r="I110" s="404"/>
      <c r="J110" s="415"/>
      <c r="K110" s="428" t="s">
        <v>309</v>
      </c>
      <c r="L110" s="428"/>
      <c r="M110" s="428"/>
      <c r="N110" s="428"/>
      <c r="O110" s="428"/>
      <c r="P110" s="428"/>
      <c r="Q110" s="429"/>
      <c r="R110" s="417"/>
      <c r="S110" s="418"/>
      <c r="T110" s="419"/>
      <c r="U110" s="418"/>
      <c r="V110" s="419"/>
      <c r="W110" s="430"/>
      <c r="X110" s="431"/>
      <c r="Y110" s="434"/>
      <c r="Z110" s="433"/>
      <c r="AA110" s="396"/>
      <c r="AB110" s="397"/>
      <c r="AC110" s="398"/>
      <c r="AD110" s="399"/>
      <c r="AE110" s="400"/>
      <c r="AF110" s="401"/>
      <c r="AG110" s="401">
        <f t="shared" si="7"/>
        <v>0</v>
      </c>
      <c r="AH110" s="401">
        <f t="shared" si="8"/>
        <v>0</v>
      </c>
      <c r="AI110" s="401">
        <f t="shared" si="9"/>
        <v>0</v>
      </c>
      <c r="AJ110" s="401">
        <f t="shared" si="10"/>
        <v>0</v>
      </c>
      <c r="AK110" s="401" t="str">
        <f t="shared" si="11"/>
        <v/>
      </c>
      <c r="AL110" s="402">
        <f t="shared" ca="1" si="12"/>
        <v>3</v>
      </c>
      <c r="AM110" s="402">
        <f t="shared" ca="1" si="13"/>
        <v>1</v>
      </c>
      <c r="AN110" s="402">
        <f t="shared" ca="1" si="14"/>
        <v>17</v>
      </c>
      <c r="AO110" s="402">
        <f t="shared" ca="1" si="15"/>
        <v>0</v>
      </c>
      <c r="AP110" s="402">
        <f t="shared" ca="1" si="16"/>
        <v>0</v>
      </c>
      <c r="AQ110" s="402">
        <f t="shared" ca="1" si="17"/>
        <v>0</v>
      </c>
      <c r="AR110" s="402">
        <f t="shared" ca="1" si="18"/>
        <v>0</v>
      </c>
      <c r="AS110" s="403"/>
      <c r="AT110" s="402">
        <f t="shared" si="19"/>
        <v>1</v>
      </c>
    </row>
    <row r="111" spans="1:46" ht="15.75" customHeight="1">
      <c r="A111" s="382"/>
      <c r="B111" s="383">
        <f t="shared" ca="1" si="0"/>
        <v>3</v>
      </c>
      <c r="C111" s="384">
        <f t="shared" ca="1" si="1"/>
        <v>1</v>
      </c>
      <c r="D111" s="384">
        <f t="shared" ca="1" si="2"/>
        <v>17</v>
      </c>
      <c r="E111" s="384">
        <f t="shared" ca="1" si="3"/>
        <v>1</v>
      </c>
      <c r="F111" s="384" t="str">
        <f t="shared" ca="1" si="4"/>
        <v/>
      </c>
      <c r="G111" s="385" t="str">
        <f t="shared" ca="1" si="5"/>
        <v/>
      </c>
      <c r="H111" s="386" t="str">
        <f t="shared" ca="1" si="6"/>
        <v/>
      </c>
      <c r="I111" s="404"/>
      <c r="J111" s="415"/>
      <c r="K111" s="428"/>
      <c r="L111" s="428" t="s">
        <v>59</v>
      </c>
      <c r="M111" s="428"/>
      <c r="N111" s="428"/>
      <c r="O111" s="428"/>
      <c r="P111" s="428"/>
      <c r="Q111" s="429"/>
      <c r="R111" s="417" t="s">
        <v>304</v>
      </c>
      <c r="S111" s="418">
        <v>45824</v>
      </c>
      <c r="T111" s="419">
        <v>45827</v>
      </c>
      <c r="U111" s="418"/>
      <c r="V111" s="419"/>
      <c r="W111" s="430"/>
      <c r="X111" s="431"/>
      <c r="Y111" s="434"/>
      <c r="Z111" s="433"/>
      <c r="AA111" s="396"/>
      <c r="AB111" s="397"/>
      <c r="AC111" s="398"/>
      <c r="AD111" s="399"/>
      <c r="AE111" s="400"/>
      <c r="AF111" s="401"/>
      <c r="AG111" s="401">
        <f t="shared" ca="1" si="7"/>
        <v>0</v>
      </c>
      <c r="AH111" s="401">
        <f t="shared" ca="1" si="8"/>
        <v>0</v>
      </c>
      <c r="AI111" s="401">
        <f t="shared" si="9"/>
        <v>0</v>
      </c>
      <c r="AJ111" s="401">
        <f t="shared" ca="1" si="10"/>
        <v>0</v>
      </c>
      <c r="AK111" s="401" t="str">
        <f t="shared" ca="1" si="11"/>
        <v/>
      </c>
      <c r="AL111" s="402">
        <f t="shared" ca="1" si="12"/>
        <v>3</v>
      </c>
      <c r="AM111" s="402">
        <f t="shared" ca="1" si="13"/>
        <v>1</v>
      </c>
      <c r="AN111" s="402">
        <f t="shared" ca="1" si="14"/>
        <v>17</v>
      </c>
      <c r="AO111" s="402">
        <f t="shared" ca="1" si="15"/>
        <v>1</v>
      </c>
      <c r="AP111" s="402">
        <f t="shared" ca="1" si="16"/>
        <v>0</v>
      </c>
      <c r="AQ111" s="402">
        <f t="shared" ca="1" si="17"/>
        <v>0</v>
      </c>
      <c r="AR111" s="402">
        <f t="shared" ca="1" si="18"/>
        <v>0</v>
      </c>
      <c r="AS111" s="403"/>
      <c r="AT111" s="402">
        <f t="shared" si="19"/>
        <v>4</v>
      </c>
    </row>
    <row r="112" spans="1:46" ht="15.75" customHeight="1">
      <c r="A112" s="382"/>
      <c r="B112" s="383">
        <f t="shared" ca="1" si="0"/>
        <v>3</v>
      </c>
      <c r="C112" s="384">
        <f t="shared" ca="1" si="1"/>
        <v>1</v>
      </c>
      <c r="D112" s="384">
        <f t="shared" ca="1" si="2"/>
        <v>17</v>
      </c>
      <c r="E112" s="384">
        <f t="shared" ca="1" si="3"/>
        <v>2</v>
      </c>
      <c r="F112" s="384" t="str">
        <f t="shared" ca="1" si="4"/>
        <v/>
      </c>
      <c r="G112" s="385" t="str">
        <f t="shared" ca="1" si="5"/>
        <v/>
      </c>
      <c r="H112" s="386" t="str">
        <f t="shared" ca="1" si="6"/>
        <v/>
      </c>
      <c r="I112" s="404"/>
      <c r="J112" s="415"/>
      <c r="K112" s="428"/>
      <c r="L112" s="428" t="s">
        <v>61</v>
      </c>
      <c r="M112" s="428"/>
      <c r="N112" s="428"/>
      <c r="O112" s="428"/>
      <c r="P112" s="428"/>
      <c r="Q112" s="429"/>
      <c r="R112" s="417" t="s">
        <v>284</v>
      </c>
      <c r="S112" s="418">
        <v>45828</v>
      </c>
      <c r="T112" s="419">
        <v>45828</v>
      </c>
      <c r="U112" s="418"/>
      <c r="V112" s="419"/>
      <c r="W112" s="430"/>
      <c r="X112" s="431"/>
      <c r="Y112" s="434"/>
      <c r="Z112" s="433"/>
      <c r="AA112" s="396"/>
      <c r="AB112" s="397"/>
      <c r="AC112" s="398"/>
      <c r="AD112" s="399"/>
      <c r="AE112" s="400"/>
      <c r="AF112" s="401"/>
      <c r="AG112" s="401">
        <f t="shared" ca="1" si="7"/>
        <v>0</v>
      </c>
      <c r="AH112" s="401">
        <f t="shared" ca="1" si="8"/>
        <v>0</v>
      </c>
      <c r="AI112" s="401">
        <f t="shared" si="9"/>
        <v>0</v>
      </c>
      <c r="AJ112" s="401">
        <f t="shared" ca="1" si="10"/>
        <v>0</v>
      </c>
      <c r="AK112" s="401" t="str">
        <f t="shared" ca="1" si="11"/>
        <v/>
      </c>
      <c r="AL112" s="402">
        <f t="shared" ca="1" si="12"/>
        <v>3</v>
      </c>
      <c r="AM112" s="402">
        <f t="shared" ca="1" si="13"/>
        <v>1</v>
      </c>
      <c r="AN112" s="402">
        <f t="shared" ca="1" si="14"/>
        <v>17</v>
      </c>
      <c r="AO112" s="402">
        <f t="shared" ca="1" si="15"/>
        <v>2</v>
      </c>
      <c r="AP112" s="402">
        <f t="shared" ca="1" si="16"/>
        <v>0</v>
      </c>
      <c r="AQ112" s="402">
        <f t="shared" ca="1" si="17"/>
        <v>0</v>
      </c>
      <c r="AR112" s="402">
        <f t="shared" ca="1" si="18"/>
        <v>0</v>
      </c>
      <c r="AS112" s="403"/>
      <c r="AT112" s="402">
        <f t="shared" si="19"/>
        <v>1</v>
      </c>
    </row>
    <row r="113" spans="1:46" ht="15.75" customHeight="1">
      <c r="A113" s="382"/>
      <c r="B113" s="383">
        <f t="shared" ca="1" si="0"/>
        <v>3</v>
      </c>
      <c r="C113" s="384">
        <f t="shared" ca="1" si="1"/>
        <v>1</v>
      </c>
      <c r="D113" s="384">
        <f t="shared" ca="1" si="2"/>
        <v>18</v>
      </c>
      <c r="E113" s="384" t="str">
        <f t="shared" ca="1" si="3"/>
        <v/>
      </c>
      <c r="F113" s="384" t="str">
        <f t="shared" ca="1" si="4"/>
        <v/>
      </c>
      <c r="G113" s="385" t="str">
        <f t="shared" ca="1" si="5"/>
        <v/>
      </c>
      <c r="H113" s="386" t="str">
        <f t="shared" ca="1" si="6"/>
        <v/>
      </c>
      <c r="I113" s="404"/>
      <c r="J113" s="415"/>
      <c r="K113" s="428" t="s">
        <v>310</v>
      </c>
      <c r="L113" s="428"/>
      <c r="M113" s="428"/>
      <c r="N113" s="428"/>
      <c r="O113" s="428"/>
      <c r="P113" s="428"/>
      <c r="Q113" s="429"/>
      <c r="R113" s="417"/>
      <c r="S113" s="418"/>
      <c r="T113" s="419"/>
      <c r="U113" s="418"/>
      <c r="V113" s="419"/>
      <c r="W113" s="430"/>
      <c r="X113" s="431"/>
      <c r="Y113" s="434"/>
      <c r="Z113" s="433"/>
      <c r="AA113" s="396"/>
      <c r="AB113" s="397"/>
      <c r="AC113" s="398"/>
      <c r="AD113" s="399"/>
      <c r="AE113" s="400"/>
      <c r="AF113" s="401"/>
      <c r="AG113" s="401">
        <f t="shared" si="7"/>
        <v>0</v>
      </c>
      <c r="AH113" s="401">
        <f t="shared" si="8"/>
        <v>0</v>
      </c>
      <c r="AI113" s="401">
        <f t="shared" si="9"/>
        <v>0</v>
      </c>
      <c r="AJ113" s="401">
        <f t="shared" si="10"/>
        <v>0</v>
      </c>
      <c r="AK113" s="401" t="str">
        <f t="shared" si="11"/>
        <v/>
      </c>
      <c r="AL113" s="402">
        <f t="shared" ca="1" si="12"/>
        <v>3</v>
      </c>
      <c r="AM113" s="402">
        <f t="shared" ca="1" si="13"/>
        <v>1</v>
      </c>
      <c r="AN113" s="402">
        <f t="shared" ca="1" si="14"/>
        <v>18</v>
      </c>
      <c r="AO113" s="402">
        <f t="shared" ca="1" si="15"/>
        <v>0</v>
      </c>
      <c r="AP113" s="402">
        <f t="shared" ca="1" si="16"/>
        <v>0</v>
      </c>
      <c r="AQ113" s="402">
        <f t="shared" ca="1" si="17"/>
        <v>0</v>
      </c>
      <c r="AR113" s="402">
        <f t="shared" ca="1" si="18"/>
        <v>0</v>
      </c>
      <c r="AS113" s="403"/>
      <c r="AT113" s="402">
        <f t="shared" si="19"/>
        <v>1</v>
      </c>
    </row>
    <row r="114" spans="1:46" ht="15.75" customHeight="1">
      <c r="A114" s="382"/>
      <c r="B114" s="383">
        <f t="shared" ca="1" si="0"/>
        <v>3</v>
      </c>
      <c r="C114" s="384">
        <f t="shared" ca="1" si="1"/>
        <v>1</v>
      </c>
      <c r="D114" s="384">
        <f t="shared" ca="1" si="2"/>
        <v>18</v>
      </c>
      <c r="E114" s="384">
        <f t="shared" ca="1" si="3"/>
        <v>1</v>
      </c>
      <c r="F114" s="384" t="str">
        <f t="shared" ca="1" si="4"/>
        <v/>
      </c>
      <c r="G114" s="385" t="str">
        <f t="shared" ca="1" si="5"/>
        <v/>
      </c>
      <c r="H114" s="386" t="str">
        <f t="shared" ca="1" si="6"/>
        <v/>
      </c>
      <c r="I114" s="404"/>
      <c r="J114" s="415"/>
      <c r="K114" s="428"/>
      <c r="L114" s="428" t="s">
        <v>59</v>
      </c>
      <c r="M114" s="428"/>
      <c r="N114" s="428"/>
      <c r="O114" s="428"/>
      <c r="P114" s="428"/>
      <c r="Q114" s="429"/>
      <c r="R114" s="417" t="s">
        <v>304</v>
      </c>
      <c r="S114" s="418">
        <v>45831</v>
      </c>
      <c r="T114" s="419">
        <v>45834</v>
      </c>
      <c r="U114" s="418"/>
      <c r="V114" s="419"/>
      <c r="W114" s="430"/>
      <c r="X114" s="431"/>
      <c r="Y114" s="434"/>
      <c r="Z114" s="433"/>
      <c r="AA114" s="396"/>
      <c r="AB114" s="397"/>
      <c r="AC114" s="398"/>
      <c r="AD114" s="399"/>
      <c r="AE114" s="400"/>
      <c r="AF114" s="401"/>
      <c r="AG114" s="401">
        <f t="shared" ca="1" si="7"/>
        <v>0</v>
      </c>
      <c r="AH114" s="401">
        <f t="shared" ca="1" si="8"/>
        <v>0</v>
      </c>
      <c r="AI114" s="401">
        <f t="shared" si="9"/>
        <v>0</v>
      </c>
      <c r="AJ114" s="401">
        <f t="shared" ca="1" si="10"/>
        <v>0</v>
      </c>
      <c r="AK114" s="401" t="str">
        <f t="shared" ca="1" si="11"/>
        <v/>
      </c>
      <c r="AL114" s="402">
        <f t="shared" ca="1" si="12"/>
        <v>3</v>
      </c>
      <c r="AM114" s="402">
        <f t="shared" ca="1" si="13"/>
        <v>1</v>
      </c>
      <c r="AN114" s="402">
        <f t="shared" ca="1" si="14"/>
        <v>18</v>
      </c>
      <c r="AO114" s="402">
        <f t="shared" ca="1" si="15"/>
        <v>1</v>
      </c>
      <c r="AP114" s="402">
        <f t="shared" ca="1" si="16"/>
        <v>0</v>
      </c>
      <c r="AQ114" s="402">
        <f t="shared" ca="1" si="17"/>
        <v>0</v>
      </c>
      <c r="AR114" s="402">
        <f t="shared" ca="1" si="18"/>
        <v>0</v>
      </c>
      <c r="AS114" s="403"/>
      <c r="AT114" s="402">
        <f t="shared" si="19"/>
        <v>4</v>
      </c>
    </row>
    <row r="115" spans="1:46" ht="15.75" customHeight="1">
      <c r="A115" s="382"/>
      <c r="B115" s="383">
        <f t="shared" ca="1" si="0"/>
        <v>3</v>
      </c>
      <c r="C115" s="384">
        <f t="shared" ca="1" si="1"/>
        <v>1</v>
      </c>
      <c r="D115" s="384">
        <f t="shared" ca="1" si="2"/>
        <v>18</v>
      </c>
      <c r="E115" s="384">
        <f t="shared" ca="1" si="3"/>
        <v>2</v>
      </c>
      <c r="F115" s="384" t="str">
        <f t="shared" ca="1" si="4"/>
        <v/>
      </c>
      <c r="G115" s="385" t="str">
        <f t="shared" ca="1" si="5"/>
        <v/>
      </c>
      <c r="H115" s="386" t="str">
        <f t="shared" ca="1" si="6"/>
        <v/>
      </c>
      <c r="I115" s="404"/>
      <c r="J115" s="415"/>
      <c r="K115" s="428"/>
      <c r="L115" s="428" t="s">
        <v>61</v>
      </c>
      <c r="M115" s="428"/>
      <c r="N115" s="428"/>
      <c r="O115" s="428"/>
      <c r="P115" s="428"/>
      <c r="Q115" s="429"/>
      <c r="R115" s="417" t="s">
        <v>284</v>
      </c>
      <c r="S115" s="418">
        <v>45835</v>
      </c>
      <c r="T115" s="419">
        <v>45835</v>
      </c>
      <c r="U115" s="418"/>
      <c r="V115" s="419"/>
      <c r="W115" s="430"/>
      <c r="X115" s="431"/>
      <c r="Y115" s="434"/>
      <c r="Z115" s="433"/>
      <c r="AA115" s="396"/>
      <c r="AB115" s="397"/>
      <c r="AC115" s="398"/>
      <c r="AD115" s="399"/>
      <c r="AE115" s="400"/>
      <c r="AF115" s="401"/>
      <c r="AG115" s="401">
        <f t="shared" ca="1" si="7"/>
        <v>0</v>
      </c>
      <c r="AH115" s="401">
        <f t="shared" ca="1" si="8"/>
        <v>0</v>
      </c>
      <c r="AI115" s="401">
        <f t="shared" si="9"/>
        <v>0</v>
      </c>
      <c r="AJ115" s="401">
        <f t="shared" ca="1" si="10"/>
        <v>0</v>
      </c>
      <c r="AK115" s="401" t="str">
        <f t="shared" ca="1" si="11"/>
        <v/>
      </c>
      <c r="AL115" s="402">
        <f t="shared" ca="1" si="12"/>
        <v>3</v>
      </c>
      <c r="AM115" s="402">
        <f t="shared" ca="1" si="13"/>
        <v>1</v>
      </c>
      <c r="AN115" s="402">
        <f t="shared" ca="1" si="14"/>
        <v>18</v>
      </c>
      <c r="AO115" s="402">
        <f t="shared" ca="1" si="15"/>
        <v>2</v>
      </c>
      <c r="AP115" s="402">
        <f t="shared" ca="1" si="16"/>
        <v>0</v>
      </c>
      <c r="AQ115" s="402">
        <f t="shared" ca="1" si="17"/>
        <v>0</v>
      </c>
      <c r="AR115" s="402">
        <f t="shared" ca="1" si="18"/>
        <v>0</v>
      </c>
      <c r="AS115" s="403"/>
      <c r="AT115" s="402">
        <f t="shared" si="19"/>
        <v>1</v>
      </c>
    </row>
    <row r="116" spans="1:46" ht="15.75" customHeight="1">
      <c r="A116" s="382"/>
      <c r="B116" s="383">
        <f t="shared" ca="1" si="0"/>
        <v>3</v>
      </c>
      <c r="C116" s="384">
        <f t="shared" ca="1" si="1"/>
        <v>1</v>
      </c>
      <c r="D116" s="384">
        <f t="shared" ca="1" si="2"/>
        <v>19</v>
      </c>
      <c r="E116" s="384" t="str">
        <f t="shared" ca="1" si="3"/>
        <v/>
      </c>
      <c r="F116" s="384" t="str">
        <f t="shared" ca="1" si="4"/>
        <v/>
      </c>
      <c r="G116" s="385" t="str">
        <f t="shared" ca="1" si="5"/>
        <v/>
      </c>
      <c r="H116" s="386" t="str">
        <f t="shared" ca="1" si="6"/>
        <v/>
      </c>
      <c r="I116" s="404"/>
      <c r="J116" s="415"/>
      <c r="K116" s="428" t="s">
        <v>311</v>
      </c>
      <c r="L116" s="428"/>
      <c r="M116" s="428"/>
      <c r="N116" s="428"/>
      <c r="O116" s="428"/>
      <c r="P116" s="428"/>
      <c r="Q116" s="429"/>
      <c r="R116" s="417"/>
      <c r="S116" s="418"/>
      <c r="T116" s="419"/>
      <c r="U116" s="418"/>
      <c r="V116" s="419"/>
      <c r="W116" s="430"/>
      <c r="X116" s="431"/>
      <c r="Y116" s="434"/>
      <c r="Z116" s="433"/>
      <c r="AA116" s="396"/>
      <c r="AB116" s="397"/>
      <c r="AC116" s="398"/>
      <c r="AD116" s="399"/>
      <c r="AE116" s="400"/>
      <c r="AF116" s="401"/>
      <c r="AG116" s="401">
        <f t="shared" si="7"/>
        <v>0</v>
      </c>
      <c r="AH116" s="401">
        <f t="shared" si="8"/>
        <v>0</v>
      </c>
      <c r="AI116" s="401">
        <f t="shared" si="9"/>
        <v>0</v>
      </c>
      <c r="AJ116" s="401">
        <f t="shared" si="10"/>
        <v>0</v>
      </c>
      <c r="AK116" s="401" t="str">
        <f t="shared" si="11"/>
        <v/>
      </c>
      <c r="AL116" s="402">
        <f t="shared" ca="1" si="12"/>
        <v>3</v>
      </c>
      <c r="AM116" s="402">
        <f t="shared" ca="1" si="13"/>
        <v>1</v>
      </c>
      <c r="AN116" s="402">
        <f t="shared" ca="1" si="14"/>
        <v>19</v>
      </c>
      <c r="AO116" s="402">
        <f t="shared" ca="1" si="15"/>
        <v>0</v>
      </c>
      <c r="AP116" s="402">
        <f t="shared" ca="1" si="16"/>
        <v>0</v>
      </c>
      <c r="AQ116" s="402">
        <f t="shared" ca="1" si="17"/>
        <v>0</v>
      </c>
      <c r="AR116" s="402">
        <f t="shared" ca="1" si="18"/>
        <v>0</v>
      </c>
      <c r="AS116" s="403"/>
      <c r="AT116" s="402">
        <f t="shared" si="19"/>
        <v>1</v>
      </c>
    </row>
    <row r="117" spans="1:46" ht="15.75" customHeight="1">
      <c r="A117" s="382"/>
      <c r="B117" s="383">
        <f t="shared" ca="1" si="0"/>
        <v>3</v>
      </c>
      <c r="C117" s="384">
        <f t="shared" ca="1" si="1"/>
        <v>1</v>
      </c>
      <c r="D117" s="384">
        <f t="shared" ca="1" si="2"/>
        <v>19</v>
      </c>
      <c r="E117" s="384">
        <f t="shared" ca="1" si="3"/>
        <v>1</v>
      </c>
      <c r="F117" s="384" t="str">
        <f t="shared" ca="1" si="4"/>
        <v/>
      </c>
      <c r="G117" s="385" t="str">
        <f t="shared" ca="1" si="5"/>
        <v/>
      </c>
      <c r="H117" s="386" t="str">
        <f t="shared" ca="1" si="6"/>
        <v/>
      </c>
      <c r="I117" s="404"/>
      <c r="J117" s="415"/>
      <c r="K117" s="428"/>
      <c r="L117" s="428" t="s">
        <v>59</v>
      </c>
      <c r="M117" s="428"/>
      <c r="N117" s="428"/>
      <c r="O117" s="428"/>
      <c r="P117" s="428"/>
      <c r="Q117" s="429"/>
      <c r="R117" s="417" t="s">
        <v>304</v>
      </c>
      <c r="S117" s="418">
        <v>45835</v>
      </c>
      <c r="T117" s="419">
        <v>45840</v>
      </c>
      <c r="U117" s="418"/>
      <c r="V117" s="419"/>
      <c r="W117" s="430"/>
      <c r="X117" s="431"/>
      <c r="Y117" s="434"/>
      <c r="Z117" s="433"/>
      <c r="AA117" s="396"/>
      <c r="AB117" s="397"/>
      <c r="AC117" s="398"/>
      <c r="AD117" s="399"/>
      <c r="AE117" s="400"/>
      <c r="AF117" s="401"/>
      <c r="AG117" s="401">
        <f t="shared" ca="1" si="7"/>
        <v>0</v>
      </c>
      <c r="AH117" s="401">
        <f t="shared" ca="1" si="8"/>
        <v>0</v>
      </c>
      <c r="AI117" s="401">
        <f t="shared" si="9"/>
        <v>0</v>
      </c>
      <c r="AJ117" s="401">
        <f t="shared" ca="1" si="10"/>
        <v>0</v>
      </c>
      <c r="AK117" s="401" t="str">
        <f t="shared" ca="1" si="11"/>
        <v/>
      </c>
      <c r="AL117" s="402">
        <f t="shared" ca="1" si="12"/>
        <v>3</v>
      </c>
      <c r="AM117" s="402">
        <f t="shared" ca="1" si="13"/>
        <v>1</v>
      </c>
      <c r="AN117" s="402">
        <f t="shared" ca="1" si="14"/>
        <v>19</v>
      </c>
      <c r="AO117" s="402">
        <f t="shared" ca="1" si="15"/>
        <v>1</v>
      </c>
      <c r="AP117" s="402">
        <f t="shared" ca="1" si="16"/>
        <v>0</v>
      </c>
      <c r="AQ117" s="402">
        <f t="shared" ca="1" si="17"/>
        <v>0</v>
      </c>
      <c r="AR117" s="402">
        <f t="shared" ca="1" si="18"/>
        <v>0</v>
      </c>
      <c r="AS117" s="403"/>
      <c r="AT117" s="402">
        <f t="shared" si="19"/>
        <v>6</v>
      </c>
    </row>
    <row r="118" spans="1:46" ht="15.75" customHeight="1">
      <c r="A118" s="382"/>
      <c r="B118" s="383">
        <f t="shared" ca="1" si="0"/>
        <v>3</v>
      </c>
      <c r="C118" s="384">
        <f t="shared" ca="1" si="1"/>
        <v>1</v>
      </c>
      <c r="D118" s="384">
        <f t="shared" ca="1" si="2"/>
        <v>19</v>
      </c>
      <c r="E118" s="384">
        <f t="shared" ca="1" si="3"/>
        <v>2</v>
      </c>
      <c r="F118" s="384" t="str">
        <f t="shared" ca="1" si="4"/>
        <v/>
      </c>
      <c r="G118" s="385" t="str">
        <f t="shared" ca="1" si="5"/>
        <v/>
      </c>
      <c r="H118" s="386" t="str">
        <f t="shared" ca="1" si="6"/>
        <v/>
      </c>
      <c r="I118" s="404"/>
      <c r="J118" s="415"/>
      <c r="K118" s="428"/>
      <c r="L118" s="428" t="s">
        <v>61</v>
      </c>
      <c r="M118" s="428"/>
      <c r="N118" s="428"/>
      <c r="O118" s="428"/>
      <c r="P118" s="428"/>
      <c r="Q118" s="429"/>
      <c r="R118" s="417" t="s">
        <v>284</v>
      </c>
      <c r="S118" s="418">
        <v>45841</v>
      </c>
      <c r="T118" s="419">
        <v>45841</v>
      </c>
      <c r="U118" s="418"/>
      <c r="V118" s="419"/>
      <c r="W118" s="430"/>
      <c r="X118" s="431"/>
      <c r="Y118" s="434"/>
      <c r="Z118" s="433"/>
      <c r="AA118" s="396"/>
      <c r="AB118" s="397"/>
      <c r="AC118" s="398"/>
      <c r="AD118" s="399"/>
      <c r="AE118" s="400"/>
      <c r="AF118" s="401"/>
      <c r="AG118" s="401">
        <f t="shared" ca="1" si="7"/>
        <v>0</v>
      </c>
      <c r="AH118" s="401">
        <f t="shared" ca="1" si="8"/>
        <v>0</v>
      </c>
      <c r="AI118" s="401">
        <f t="shared" si="9"/>
        <v>0</v>
      </c>
      <c r="AJ118" s="401">
        <f t="shared" ca="1" si="10"/>
        <v>0</v>
      </c>
      <c r="AK118" s="401" t="str">
        <f t="shared" ca="1" si="11"/>
        <v/>
      </c>
      <c r="AL118" s="402">
        <f t="shared" ca="1" si="12"/>
        <v>3</v>
      </c>
      <c r="AM118" s="402">
        <f t="shared" ca="1" si="13"/>
        <v>1</v>
      </c>
      <c r="AN118" s="402">
        <f t="shared" ca="1" si="14"/>
        <v>19</v>
      </c>
      <c r="AO118" s="402">
        <f t="shared" ca="1" si="15"/>
        <v>2</v>
      </c>
      <c r="AP118" s="402">
        <f t="shared" ca="1" si="16"/>
        <v>0</v>
      </c>
      <c r="AQ118" s="402">
        <f t="shared" ca="1" si="17"/>
        <v>0</v>
      </c>
      <c r="AR118" s="402">
        <f t="shared" ca="1" si="18"/>
        <v>0</v>
      </c>
      <c r="AS118" s="403"/>
      <c r="AT118" s="402">
        <f t="shared" si="19"/>
        <v>1</v>
      </c>
    </row>
    <row r="119" spans="1:46" ht="15.75" customHeight="1">
      <c r="A119" s="382"/>
      <c r="B119" s="383">
        <f t="shared" ca="1" si="0"/>
        <v>3</v>
      </c>
      <c r="C119" s="384">
        <f t="shared" ca="1" si="1"/>
        <v>1</v>
      </c>
      <c r="D119" s="384">
        <f t="shared" ca="1" si="2"/>
        <v>20</v>
      </c>
      <c r="E119" s="384" t="str">
        <f t="shared" ca="1" si="3"/>
        <v/>
      </c>
      <c r="F119" s="384" t="str">
        <f t="shared" ca="1" si="4"/>
        <v/>
      </c>
      <c r="G119" s="385" t="str">
        <f t="shared" ca="1" si="5"/>
        <v/>
      </c>
      <c r="H119" s="386" t="str">
        <f t="shared" ca="1" si="6"/>
        <v/>
      </c>
      <c r="I119" s="404"/>
      <c r="J119" s="415"/>
      <c r="K119" s="428" t="s">
        <v>312</v>
      </c>
      <c r="L119" s="428"/>
      <c r="M119" s="428"/>
      <c r="N119" s="428"/>
      <c r="O119" s="428"/>
      <c r="P119" s="428"/>
      <c r="Q119" s="429"/>
      <c r="R119" s="417"/>
      <c r="S119" s="418"/>
      <c r="T119" s="419"/>
      <c r="U119" s="418"/>
      <c r="V119" s="419"/>
      <c r="W119" s="430"/>
      <c r="X119" s="431"/>
      <c r="Y119" s="434"/>
      <c r="Z119" s="433"/>
      <c r="AA119" s="396"/>
      <c r="AB119" s="397"/>
      <c r="AC119" s="398"/>
      <c r="AD119" s="399"/>
      <c r="AE119" s="400"/>
      <c r="AF119" s="401"/>
      <c r="AG119" s="401">
        <f t="shared" si="7"/>
        <v>0</v>
      </c>
      <c r="AH119" s="401">
        <f t="shared" si="8"/>
        <v>0</v>
      </c>
      <c r="AI119" s="401">
        <f t="shared" si="9"/>
        <v>0</v>
      </c>
      <c r="AJ119" s="401">
        <f t="shared" si="10"/>
        <v>0</v>
      </c>
      <c r="AK119" s="401" t="str">
        <f t="shared" si="11"/>
        <v/>
      </c>
      <c r="AL119" s="402">
        <f t="shared" ca="1" si="12"/>
        <v>3</v>
      </c>
      <c r="AM119" s="402">
        <f t="shared" ca="1" si="13"/>
        <v>1</v>
      </c>
      <c r="AN119" s="402">
        <f t="shared" ca="1" si="14"/>
        <v>20</v>
      </c>
      <c r="AO119" s="402">
        <f t="shared" ca="1" si="15"/>
        <v>0</v>
      </c>
      <c r="AP119" s="402">
        <f t="shared" ca="1" si="16"/>
        <v>0</v>
      </c>
      <c r="AQ119" s="402">
        <f t="shared" ca="1" si="17"/>
        <v>0</v>
      </c>
      <c r="AR119" s="402">
        <f t="shared" ca="1" si="18"/>
        <v>0</v>
      </c>
      <c r="AS119" s="403"/>
      <c r="AT119" s="402">
        <f t="shared" si="19"/>
        <v>1</v>
      </c>
    </row>
    <row r="120" spans="1:46" ht="15.75" customHeight="1">
      <c r="A120" s="382"/>
      <c r="B120" s="383">
        <f t="shared" ca="1" si="0"/>
        <v>3</v>
      </c>
      <c r="C120" s="384">
        <f t="shared" ca="1" si="1"/>
        <v>1</v>
      </c>
      <c r="D120" s="384">
        <f t="shared" ca="1" si="2"/>
        <v>20</v>
      </c>
      <c r="E120" s="384">
        <f t="shared" ca="1" si="3"/>
        <v>1</v>
      </c>
      <c r="F120" s="384" t="str">
        <f t="shared" ca="1" si="4"/>
        <v/>
      </c>
      <c r="G120" s="385" t="str">
        <f t="shared" ca="1" si="5"/>
        <v/>
      </c>
      <c r="H120" s="386" t="str">
        <f t="shared" ca="1" si="6"/>
        <v/>
      </c>
      <c r="I120" s="404"/>
      <c r="J120" s="415"/>
      <c r="K120" s="428"/>
      <c r="L120" s="428" t="s">
        <v>59</v>
      </c>
      <c r="M120" s="428"/>
      <c r="N120" s="428"/>
      <c r="O120" s="428"/>
      <c r="P120" s="428"/>
      <c r="Q120" s="429"/>
      <c r="R120" s="417" t="s">
        <v>304</v>
      </c>
      <c r="S120" s="418">
        <v>45841</v>
      </c>
      <c r="T120" s="419">
        <v>45846</v>
      </c>
      <c r="U120" s="418"/>
      <c r="V120" s="419"/>
      <c r="W120" s="430"/>
      <c r="X120" s="431"/>
      <c r="Y120" s="434"/>
      <c r="Z120" s="433"/>
      <c r="AA120" s="396"/>
      <c r="AB120" s="397"/>
      <c r="AC120" s="398"/>
      <c r="AD120" s="399"/>
      <c r="AE120" s="400"/>
      <c r="AF120" s="401"/>
      <c r="AG120" s="401">
        <f t="shared" ca="1" si="7"/>
        <v>0</v>
      </c>
      <c r="AH120" s="401">
        <f t="shared" ca="1" si="8"/>
        <v>0</v>
      </c>
      <c r="AI120" s="401">
        <f t="shared" si="9"/>
        <v>0</v>
      </c>
      <c r="AJ120" s="401">
        <f t="shared" ca="1" si="10"/>
        <v>0</v>
      </c>
      <c r="AK120" s="401" t="str">
        <f t="shared" ca="1" si="11"/>
        <v/>
      </c>
      <c r="AL120" s="402">
        <f t="shared" ca="1" si="12"/>
        <v>3</v>
      </c>
      <c r="AM120" s="402">
        <f t="shared" ca="1" si="13"/>
        <v>1</v>
      </c>
      <c r="AN120" s="402">
        <f t="shared" ca="1" si="14"/>
        <v>20</v>
      </c>
      <c r="AO120" s="402">
        <f t="shared" ca="1" si="15"/>
        <v>1</v>
      </c>
      <c r="AP120" s="402">
        <f t="shared" ca="1" si="16"/>
        <v>0</v>
      </c>
      <c r="AQ120" s="402">
        <f t="shared" ca="1" si="17"/>
        <v>0</v>
      </c>
      <c r="AR120" s="402">
        <f t="shared" ca="1" si="18"/>
        <v>0</v>
      </c>
      <c r="AS120" s="403"/>
      <c r="AT120" s="402">
        <f t="shared" si="19"/>
        <v>6</v>
      </c>
    </row>
    <row r="121" spans="1:46" ht="15.75" customHeight="1">
      <c r="A121" s="382"/>
      <c r="B121" s="383">
        <f t="shared" ca="1" si="0"/>
        <v>3</v>
      </c>
      <c r="C121" s="384">
        <f t="shared" ca="1" si="1"/>
        <v>1</v>
      </c>
      <c r="D121" s="384">
        <f t="shared" ca="1" si="2"/>
        <v>20</v>
      </c>
      <c r="E121" s="384">
        <f t="shared" ca="1" si="3"/>
        <v>2</v>
      </c>
      <c r="F121" s="384" t="str">
        <f t="shared" ca="1" si="4"/>
        <v/>
      </c>
      <c r="G121" s="385" t="str">
        <f t="shared" ca="1" si="5"/>
        <v/>
      </c>
      <c r="H121" s="386" t="str">
        <f t="shared" ca="1" si="6"/>
        <v/>
      </c>
      <c r="I121" s="404"/>
      <c r="J121" s="415"/>
      <c r="K121" s="428"/>
      <c r="L121" s="428" t="s">
        <v>61</v>
      </c>
      <c r="M121" s="428"/>
      <c r="N121" s="428"/>
      <c r="O121" s="428"/>
      <c r="P121" s="428"/>
      <c r="Q121" s="429"/>
      <c r="R121" s="417" t="s">
        <v>284</v>
      </c>
      <c r="S121" s="418">
        <v>45847</v>
      </c>
      <c r="T121" s="419">
        <v>45847</v>
      </c>
      <c r="U121" s="418"/>
      <c r="V121" s="419"/>
      <c r="W121" s="430"/>
      <c r="X121" s="431"/>
      <c r="Y121" s="434"/>
      <c r="Z121" s="433"/>
      <c r="AA121" s="396"/>
      <c r="AB121" s="397"/>
      <c r="AC121" s="398"/>
      <c r="AD121" s="399"/>
      <c r="AE121" s="400"/>
      <c r="AF121" s="401"/>
      <c r="AG121" s="401">
        <f t="shared" ca="1" si="7"/>
        <v>0</v>
      </c>
      <c r="AH121" s="401">
        <f t="shared" ca="1" si="8"/>
        <v>0</v>
      </c>
      <c r="AI121" s="401">
        <f t="shared" si="9"/>
        <v>0</v>
      </c>
      <c r="AJ121" s="401">
        <f t="shared" ca="1" si="10"/>
        <v>0</v>
      </c>
      <c r="AK121" s="401" t="str">
        <f t="shared" ca="1" si="11"/>
        <v/>
      </c>
      <c r="AL121" s="402">
        <f t="shared" ca="1" si="12"/>
        <v>3</v>
      </c>
      <c r="AM121" s="402">
        <f t="shared" ca="1" si="13"/>
        <v>1</v>
      </c>
      <c r="AN121" s="402">
        <f t="shared" ca="1" si="14"/>
        <v>20</v>
      </c>
      <c r="AO121" s="402">
        <f t="shared" ca="1" si="15"/>
        <v>2</v>
      </c>
      <c r="AP121" s="402">
        <f t="shared" ca="1" si="16"/>
        <v>0</v>
      </c>
      <c r="AQ121" s="402">
        <f t="shared" ca="1" si="17"/>
        <v>0</v>
      </c>
      <c r="AR121" s="402">
        <f t="shared" ca="1" si="18"/>
        <v>0</v>
      </c>
      <c r="AS121" s="403"/>
      <c r="AT121" s="402">
        <f t="shared" si="19"/>
        <v>1</v>
      </c>
    </row>
    <row r="122" spans="1:46" ht="15.75" customHeight="1">
      <c r="A122" s="382"/>
      <c r="B122" s="383">
        <f t="shared" ca="1" si="0"/>
        <v>3</v>
      </c>
      <c r="C122" s="384">
        <f t="shared" ca="1" si="1"/>
        <v>1</v>
      </c>
      <c r="D122" s="384">
        <f t="shared" ca="1" si="2"/>
        <v>21</v>
      </c>
      <c r="E122" s="384" t="str">
        <f t="shared" ca="1" si="3"/>
        <v/>
      </c>
      <c r="F122" s="384" t="str">
        <f t="shared" ca="1" si="4"/>
        <v/>
      </c>
      <c r="G122" s="385" t="str">
        <f t="shared" ca="1" si="5"/>
        <v/>
      </c>
      <c r="H122" s="386" t="str">
        <f t="shared" ca="1" si="6"/>
        <v/>
      </c>
      <c r="I122" s="404"/>
      <c r="J122" s="415"/>
      <c r="K122" s="428" t="s">
        <v>313</v>
      </c>
      <c r="L122" s="428"/>
      <c r="M122" s="428"/>
      <c r="N122" s="428"/>
      <c r="O122" s="428"/>
      <c r="P122" s="428"/>
      <c r="Q122" s="429"/>
      <c r="R122" s="417"/>
      <c r="S122" s="418"/>
      <c r="T122" s="419"/>
      <c r="U122" s="418"/>
      <c r="V122" s="419"/>
      <c r="W122" s="430"/>
      <c r="X122" s="431"/>
      <c r="Y122" s="434"/>
      <c r="Z122" s="433"/>
      <c r="AA122" s="396"/>
      <c r="AB122" s="397"/>
      <c r="AC122" s="398"/>
      <c r="AD122" s="399"/>
      <c r="AE122" s="400"/>
      <c r="AF122" s="401"/>
      <c r="AG122" s="401">
        <f t="shared" si="7"/>
        <v>0</v>
      </c>
      <c r="AH122" s="401">
        <f t="shared" si="8"/>
        <v>0</v>
      </c>
      <c r="AI122" s="401">
        <f t="shared" si="9"/>
        <v>0</v>
      </c>
      <c r="AJ122" s="401">
        <f t="shared" si="10"/>
        <v>0</v>
      </c>
      <c r="AK122" s="401" t="str">
        <f t="shared" si="11"/>
        <v/>
      </c>
      <c r="AL122" s="402">
        <f t="shared" ca="1" si="12"/>
        <v>3</v>
      </c>
      <c r="AM122" s="402">
        <f t="shared" ca="1" si="13"/>
        <v>1</v>
      </c>
      <c r="AN122" s="402">
        <f t="shared" ca="1" si="14"/>
        <v>21</v>
      </c>
      <c r="AO122" s="402">
        <f t="shared" ca="1" si="15"/>
        <v>0</v>
      </c>
      <c r="AP122" s="402">
        <f t="shared" ca="1" si="16"/>
        <v>0</v>
      </c>
      <c r="AQ122" s="402">
        <f t="shared" ca="1" si="17"/>
        <v>0</v>
      </c>
      <c r="AR122" s="402">
        <f t="shared" ca="1" si="18"/>
        <v>0</v>
      </c>
      <c r="AS122" s="403"/>
      <c r="AT122" s="402">
        <f t="shared" si="19"/>
        <v>1</v>
      </c>
    </row>
    <row r="123" spans="1:46" ht="15.75" customHeight="1">
      <c r="A123" s="382"/>
      <c r="B123" s="383">
        <f t="shared" ca="1" si="0"/>
        <v>3</v>
      </c>
      <c r="C123" s="384">
        <f t="shared" ca="1" si="1"/>
        <v>1</v>
      </c>
      <c r="D123" s="384">
        <f t="shared" ca="1" si="2"/>
        <v>21</v>
      </c>
      <c r="E123" s="384">
        <f t="shared" ca="1" si="3"/>
        <v>1</v>
      </c>
      <c r="F123" s="384" t="str">
        <f t="shared" ca="1" si="4"/>
        <v/>
      </c>
      <c r="G123" s="385" t="str">
        <f t="shared" ca="1" si="5"/>
        <v/>
      </c>
      <c r="H123" s="386" t="str">
        <f t="shared" ca="1" si="6"/>
        <v/>
      </c>
      <c r="I123" s="404"/>
      <c r="J123" s="415"/>
      <c r="K123" s="428"/>
      <c r="L123" s="428" t="s">
        <v>59</v>
      </c>
      <c r="M123" s="428"/>
      <c r="N123" s="428"/>
      <c r="O123" s="428"/>
      <c r="P123" s="428"/>
      <c r="Q123" s="429"/>
      <c r="R123" s="417" t="s">
        <v>304</v>
      </c>
      <c r="S123" s="418">
        <v>45847</v>
      </c>
      <c r="T123" s="419">
        <v>45852</v>
      </c>
      <c r="U123" s="418"/>
      <c r="V123" s="419"/>
      <c r="W123" s="430"/>
      <c r="X123" s="431"/>
      <c r="Y123" s="434"/>
      <c r="Z123" s="433"/>
      <c r="AA123" s="396"/>
      <c r="AB123" s="397"/>
      <c r="AC123" s="398"/>
      <c r="AD123" s="399"/>
      <c r="AE123" s="400"/>
      <c r="AF123" s="401"/>
      <c r="AG123" s="401">
        <f t="shared" ca="1" si="7"/>
        <v>0</v>
      </c>
      <c r="AH123" s="401">
        <f t="shared" ca="1" si="8"/>
        <v>0</v>
      </c>
      <c r="AI123" s="401">
        <f t="shared" si="9"/>
        <v>0</v>
      </c>
      <c r="AJ123" s="401">
        <f t="shared" ca="1" si="10"/>
        <v>0</v>
      </c>
      <c r="AK123" s="401" t="str">
        <f t="shared" ca="1" si="11"/>
        <v/>
      </c>
      <c r="AL123" s="402">
        <f t="shared" ca="1" si="12"/>
        <v>3</v>
      </c>
      <c r="AM123" s="402">
        <f t="shared" ca="1" si="13"/>
        <v>1</v>
      </c>
      <c r="AN123" s="402">
        <f t="shared" ca="1" si="14"/>
        <v>21</v>
      </c>
      <c r="AO123" s="402">
        <f t="shared" ca="1" si="15"/>
        <v>1</v>
      </c>
      <c r="AP123" s="402">
        <f t="shared" ca="1" si="16"/>
        <v>0</v>
      </c>
      <c r="AQ123" s="402">
        <f t="shared" ca="1" si="17"/>
        <v>0</v>
      </c>
      <c r="AR123" s="402">
        <f t="shared" ca="1" si="18"/>
        <v>0</v>
      </c>
      <c r="AS123" s="403"/>
      <c r="AT123" s="402">
        <f t="shared" si="19"/>
        <v>6</v>
      </c>
    </row>
    <row r="124" spans="1:46" ht="15.75" customHeight="1">
      <c r="A124" s="382"/>
      <c r="B124" s="383">
        <f t="shared" ca="1" si="0"/>
        <v>3</v>
      </c>
      <c r="C124" s="384">
        <f t="shared" ca="1" si="1"/>
        <v>1</v>
      </c>
      <c r="D124" s="384">
        <f t="shared" ca="1" si="2"/>
        <v>21</v>
      </c>
      <c r="E124" s="384">
        <f t="shared" ca="1" si="3"/>
        <v>2</v>
      </c>
      <c r="F124" s="384" t="str">
        <f t="shared" ca="1" si="4"/>
        <v/>
      </c>
      <c r="G124" s="385" t="str">
        <f t="shared" ca="1" si="5"/>
        <v/>
      </c>
      <c r="H124" s="386" t="str">
        <f t="shared" ca="1" si="6"/>
        <v/>
      </c>
      <c r="I124" s="404"/>
      <c r="J124" s="415"/>
      <c r="K124" s="428"/>
      <c r="L124" s="428" t="s">
        <v>61</v>
      </c>
      <c r="M124" s="428"/>
      <c r="N124" s="428"/>
      <c r="O124" s="428"/>
      <c r="P124" s="428"/>
      <c r="Q124" s="429"/>
      <c r="R124" s="417" t="s">
        <v>284</v>
      </c>
      <c r="S124" s="418">
        <v>45853</v>
      </c>
      <c r="T124" s="419">
        <v>45853</v>
      </c>
      <c r="U124" s="418"/>
      <c r="V124" s="419"/>
      <c r="W124" s="430"/>
      <c r="X124" s="431"/>
      <c r="Y124" s="434"/>
      <c r="Z124" s="433"/>
      <c r="AA124" s="396"/>
      <c r="AB124" s="397"/>
      <c r="AC124" s="398"/>
      <c r="AD124" s="399"/>
      <c r="AE124" s="400"/>
      <c r="AF124" s="401"/>
      <c r="AG124" s="401">
        <f t="shared" ca="1" si="7"/>
        <v>0</v>
      </c>
      <c r="AH124" s="401">
        <f t="shared" ca="1" si="8"/>
        <v>0</v>
      </c>
      <c r="AI124" s="401">
        <f t="shared" si="9"/>
        <v>0</v>
      </c>
      <c r="AJ124" s="401">
        <f t="shared" ca="1" si="10"/>
        <v>0</v>
      </c>
      <c r="AK124" s="401" t="str">
        <f t="shared" ca="1" si="11"/>
        <v/>
      </c>
      <c r="AL124" s="402">
        <f t="shared" ca="1" si="12"/>
        <v>3</v>
      </c>
      <c r="AM124" s="402">
        <f t="shared" ca="1" si="13"/>
        <v>1</v>
      </c>
      <c r="AN124" s="402">
        <f t="shared" ca="1" si="14"/>
        <v>21</v>
      </c>
      <c r="AO124" s="402">
        <f t="shared" ca="1" si="15"/>
        <v>2</v>
      </c>
      <c r="AP124" s="402">
        <f t="shared" ca="1" si="16"/>
        <v>0</v>
      </c>
      <c r="AQ124" s="402">
        <f t="shared" ca="1" si="17"/>
        <v>0</v>
      </c>
      <c r="AR124" s="402">
        <f t="shared" ca="1" si="18"/>
        <v>0</v>
      </c>
      <c r="AS124" s="403"/>
      <c r="AT124" s="402">
        <f t="shared" si="19"/>
        <v>1</v>
      </c>
    </row>
    <row r="125" spans="1:46" ht="15.75" customHeight="1">
      <c r="A125" s="382"/>
      <c r="B125" s="383">
        <f t="shared" ca="1" si="0"/>
        <v>3</v>
      </c>
      <c r="C125" s="384">
        <f t="shared" ca="1" si="1"/>
        <v>1</v>
      </c>
      <c r="D125" s="384">
        <f t="shared" ca="1" si="2"/>
        <v>22</v>
      </c>
      <c r="E125" s="384" t="str">
        <f t="shared" ca="1" si="3"/>
        <v/>
      </c>
      <c r="F125" s="384" t="str">
        <f t="shared" ca="1" si="4"/>
        <v/>
      </c>
      <c r="G125" s="385" t="str">
        <f t="shared" ca="1" si="5"/>
        <v/>
      </c>
      <c r="H125" s="386" t="str">
        <f t="shared" ca="1" si="6"/>
        <v/>
      </c>
      <c r="I125" s="404"/>
      <c r="J125" s="415"/>
      <c r="K125" s="428" t="s">
        <v>314</v>
      </c>
      <c r="L125" s="428"/>
      <c r="M125" s="428"/>
      <c r="N125" s="428"/>
      <c r="O125" s="428"/>
      <c r="P125" s="428"/>
      <c r="Q125" s="429"/>
      <c r="R125" s="417"/>
      <c r="S125" s="418"/>
      <c r="T125" s="419"/>
      <c r="U125" s="418"/>
      <c r="V125" s="419"/>
      <c r="W125" s="430"/>
      <c r="X125" s="431"/>
      <c r="Y125" s="434"/>
      <c r="Z125" s="433"/>
      <c r="AA125" s="396"/>
      <c r="AB125" s="397"/>
      <c r="AC125" s="398"/>
      <c r="AD125" s="399"/>
      <c r="AE125" s="400"/>
      <c r="AF125" s="401"/>
      <c r="AG125" s="401">
        <f t="shared" si="7"/>
        <v>0</v>
      </c>
      <c r="AH125" s="401">
        <f t="shared" si="8"/>
        <v>0</v>
      </c>
      <c r="AI125" s="401">
        <f t="shared" si="9"/>
        <v>0</v>
      </c>
      <c r="AJ125" s="401">
        <f t="shared" si="10"/>
        <v>0</v>
      </c>
      <c r="AK125" s="401" t="str">
        <f t="shared" si="11"/>
        <v/>
      </c>
      <c r="AL125" s="402">
        <f t="shared" ca="1" si="12"/>
        <v>3</v>
      </c>
      <c r="AM125" s="402">
        <f t="shared" ca="1" si="13"/>
        <v>1</v>
      </c>
      <c r="AN125" s="402">
        <f t="shared" ca="1" si="14"/>
        <v>22</v>
      </c>
      <c r="AO125" s="402">
        <f t="shared" ca="1" si="15"/>
        <v>0</v>
      </c>
      <c r="AP125" s="402">
        <f t="shared" ca="1" si="16"/>
        <v>0</v>
      </c>
      <c r="AQ125" s="402">
        <f t="shared" ca="1" si="17"/>
        <v>0</v>
      </c>
      <c r="AR125" s="402">
        <f t="shared" ca="1" si="18"/>
        <v>0</v>
      </c>
      <c r="AS125" s="403"/>
      <c r="AT125" s="402">
        <f t="shared" si="19"/>
        <v>1</v>
      </c>
    </row>
    <row r="126" spans="1:46" ht="15.75" customHeight="1">
      <c r="A126" s="382"/>
      <c r="B126" s="383">
        <f t="shared" ca="1" si="0"/>
        <v>3</v>
      </c>
      <c r="C126" s="384">
        <f t="shared" ca="1" si="1"/>
        <v>1</v>
      </c>
      <c r="D126" s="384">
        <f t="shared" ca="1" si="2"/>
        <v>22</v>
      </c>
      <c r="E126" s="384">
        <f t="shared" ca="1" si="3"/>
        <v>1</v>
      </c>
      <c r="F126" s="384" t="str">
        <f t="shared" ca="1" si="4"/>
        <v/>
      </c>
      <c r="G126" s="385" t="str">
        <f t="shared" ca="1" si="5"/>
        <v/>
      </c>
      <c r="H126" s="386" t="str">
        <f t="shared" ca="1" si="6"/>
        <v/>
      </c>
      <c r="I126" s="404"/>
      <c r="J126" s="415"/>
      <c r="K126" s="428"/>
      <c r="L126" s="428" t="s">
        <v>59</v>
      </c>
      <c r="M126" s="428"/>
      <c r="N126" s="428"/>
      <c r="O126" s="428"/>
      <c r="P126" s="428"/>
      <c r="Q126" s="429"/>
      <c r="R126" s="417" t="s">
        <v>304</v>
      </c>
      <c r="S126" s="418">
        <v>45853</v>
      </c>
      <c r="T126" s="419">
        <v>45856</v>
      </c>
      <c r="U126" s="418"/>
      <c r="V126" s="419"/>
      <c r="W126" s="430"/>
      <c r="X126" s="431"/>
      <c r="Y126" s="434"/>
      <c r="Z126" s="433"/>
      <c r="AA126" s="396"/>
      <c r="AB126" s="397"/>
      <c r="AC126" s="398"/>
      <c r="AD126" s="399"/>
      <c r="AE126" s="400"/>
      <c r="AF126" s="401"/>
      <c r="AG126" s="401">
        <f t="shared" ca="1" si="7"/>
        <v>0</v>
      </c>
      <c r="AH126" s="401">
        <f t="shared" ca="1" si="8"/>
        <v>0</v>
      </c>
      <c r="AI126" s="401">
        <f t="shared" si="9"/>
        <v>0</v>
      </c>
      <c r="AJ126" s="401">
        <f t="shared" ca="1" si="10"/>
        <v>0</v>
      </c>
      <c r="AK126" s="401" t="str">
        <f t="shared" ca="1" si="11"/>
        <v/>
      </c>
      <c r="AL126" s="402">
        <f t="shared" ca="1" si="12"/>
        <v>3</v>
      </c>
      <c r="AM126" s="402">
        <f t="shared" ca="1" si="13"/>
        <v>1</v>
      </c>
      <c r="AN126" s="402">
        <f t="shared" ca="1" si="14"/>
        <v>22</v>
      </c>
      <c r="AO126" s="402">
        <f t="shared" ca="1" si="15"/>
        <v>1</v>
      </c>
      <c r="AP126" s="402">
        <f t="shared" ca="1" si="16"/>
        <v>0</v>
      </c>
      <c r="AQ126" s="402">
        <f t="shared" ca="1" si="17"/>
        <v>0</v>
      </c>
      <c r="AR126" s="402">
        <f t="shared" ca="1" si="18"/>
        <v>0</v>
      </c>
      <c r="AS126" s="403"/>
      <c r="AT126" s="402">
        <f t="shared" si="19"/>
        <v>4</v>
      </c>
    </row>
    <row r="127" spans="1:46" ht="15.75" customHeight="1">
      <c r="A127" s="382"/>
      <c r="B127" s="383">
        <f t="shared" ca="1" si="0"/>
        <v>3</v>
      </c>
      <c r="C127" s="384">
        <f t="shared" ca="1" si="1"/>
        <v>1</v>
      </c>
      <c r="D127" s="384">
        <f t="shared" ca="1" si="2"/>
        <v>22</v>
      </c>
      <c r="E127" s="384">
        <f t="shared" ca="1" si="3"/>
        <v>2</v>
      </c>
      <c r="F127" s="384" t="str">
        <f t="shared" ca="1" si="4"/>
        <v/>
      </c>
      <c r="G127" s="385" t="str">
        <f t="shared" ca="1" si="5"/>
        <v/>
      </c>
      <c r="H127" s="386" t="str">
        <f t="shared" ca="1" si="6"/>
        <v/>
      </c>
      <c r="I127" s="404"/>
      <c r="J127" s="415"/>
      <c r="K127" s="428"/>
      <c r="L127" s="428" t="s">
        <v>61</v>
      </c>
      <c r="M127" s="428"/>
      <c r="N127" s="428"/>
      <c r="O127" s="428"/>
      <c r="P127" s="428"/>
      <c r="Q127" s="429"/>
      <c r="R127" s="417" t="s">
        <v>284</v>
      </c>
      <c r="S127" s="418">
        <v>45860</v>
      </c>
      <c r="T127" s="419">
        <v>45860</v>
      </c>
      <c r="U127" s="418"/>
      <c r="V127" s="419"/>
      <c r="W127" s="430"/>
      <c r="X127" s="431"/>
      <c r="Y127" s="434"/>
      <c r="Z127" s="433"/>
      <c r="AA127" s="396"/>
      <c r="AB127" s="397"/>
      <c r="AC127" s="398"/>
      <c r="AD127" s="399"/>
      <c r="AE127" s="400"/>
      <c r="AF127" s="401"/>
      <c r="AG127" s="401">
        <f t="shared" ca="1" si="7"/>
        <v>0</v>
      </c>
      <c r="AH127" s="401">
        <f t="shared" ca="1" si="8"/>
        <v>0</v>
      </c>
      <c r="AI127" s="401">
        <f t="shared" si="9"/>
        <v>0</v>
      </c>
      <c r="AJ127" s="401">
        <f t="shared" ca="1" si="10"/>
        <v>0</v>
      </c>
      <c r="AK127" s="401" t="str">
        <f t="shared" ca="1" si="11"/>
        <v/>
      </c>
      <c r="AL127" s="402">
        <f t="shared" ca="1" si="12"/>
        <v>3</v>
      </c>
      <c r="AM127" s="402">
        <f t="shared" ca="1" si="13"/>
        <v>1</v>
      </c>
      <c r="AN127" s="402">
        <f t="shared" ca="1" si="14"/>
        <v>22</v>
      </c>
      <c r="AO127" s="402">
        <f t="shared" ca="1" si="15"/>
        <v>2</v>
      </c>
      <c r="AP127" s="402">
        <f t="shared" ca="1" si="16"/>
        <v>0</v>
      </c>
      <c r="AQ127" s="402">
        <f t="shared" ca="1" si="17"/>
        <v>0</v>
      </c>
      <c r="AR127" s="402">
        <f t="shared" ca="1" si="18"/>
        <v>0</v>
      </c>
      <c r="AS127" s="403"/>
      <c r="AT127" s="402">
        <f t="shared" si="19"/>
        <v>1</v>
      </c>
    </row>
    <row r="128" spans="1:46" ht="15.75" customHeight="1">
      <c r="A128" s="382"/>
      <c r="B128" s="383">
        <f t="shared" ca="1" si="0"/>
        <v>3</v>
      </c>
      <c r="C128" s="384">
        <f t="shared" ca="1" si="1"/>
        <v>1</v>
      </c>
      <c r="D128" s="384">
        <f t="shared" ca="1" si="2"/>
        <v>23</v>
      </c>
      <c r="E128" s="384" t="str">
        <f t="shared" ca="1" si="3"/>
        <v/>
      </c>
      <c r="F128" s="384" t="str">
        <f t="shared" ca="1" si="4"/>
        <v/>
      </c>
      <c r="G128" s="385" t="str">
        <f t="shared" ca="1" si="5"/>
        <v/>
      </c>
      <c r="H128" s="386" t="str">
        <f t="shared" ca="1" si="6"/>
        <v/>
      </c>
      <c r="I128" s="404"/>
      <c r="J128" s="415"/>
      <c r="K128" s="428" t="s">
        <v>315</v>
      </c>
      <c r="L128" s="428"/>
      <c r="M128" s="428"/>
      <c r="N128" s="428"/>
      <c r="O128" s="428"/>
      <c r="P128" s="428"/>
      <c r="Q128" s="429"/>
      <c r="R128" s="417"/>
      <c r="S128" s="418"/>
      <c r="T128" s="419"/>
      <c r="U128" s="418"/>
      <c r="V128" s="419"/>
      <c r="W128" s="430"/>
      <c r="X128" s="431"/>
      <c r="Y128" s="434"/>
      <c r="Z128" s="433"/>
      <c r="AA128" s="396"/>
      <c r="AB128" s="397"/>
      <c r="AC128" s="398"/>
      <c r="AD128" s="399"/>
      <c r="AE128" s="400"/>
      <c r="AF128" s="401"/>
      <c r="AG128" s="401">
        <f t="shared" si="7"/>
        <v>0</v>
      </c>
      <c r="AH128" s="401">
        <f t="shared" si="8"/>
        <v>0</v>
      </c>
      <c r="AI128" s="401">
        <f t="shared" si="9"/>
        <v>0</v>
      </c>
      <c r="AJ128" s="401">
        <f t="shared" si="10"/>
        <v>0</v>
      </c>
      <c r="AK128" s="401" t="str">
        <f t="shared" si="11"/>
        <v/>
      </c>
      <c r="AL128" s="402">
        <f t="shared" ca="1" si="12"/>
        <v>3</v>
      </c>
      <c r="AM128" s="402">
        <f t="shared" ca="1" si="13"/>
        <v>1</v>
      </c>
      <c r="AN128" s="402">
        <f t="shared" ca="1" si="14"/>
        <v>23</v>
      </c>
      <c r="AO128" s="402">
        <f t="shared" ca="1" si="15"/>
        <v>0</v>
      </c>
      <c r="AP128" s="402">
        <f t="shared" ca="1" si="16"/>
        <v>0</v>
      </c>
      <c r="AQ128" s="402">
        <f t="shared" ca="1" si="17"/>
        <v>0</v>
      </c>
      <c r="AR128" s="402">
        <f t="shared" ca="1" si="18"/>
        <v>0</v>
      </c>
      <c r="AS128" s="403"/>
      <c r="AT128" s="402">
        <f t="shared" si="19"/>
        <v>1</v>
      </c>
    </row>
    <row r="129" spans="1:46" ht="15.75" customHeight="1">
      <c r="A129" s="382"/>
      <c r="B129" s="383">
        <f t="shared" ca="1" si="0"/>
        <v>3</v>
      </c>
      <c r="C129" s="384">
        <f t="shared" ca="1" si="1"/>
        <v>1</v>
      </c>
      <c r="D129" s="384">
        <f t="shared" ca="1" si="2"/>
        <v>23</v>
      </c>
      <c r="E129" s="384">
        <f t="shared" ca="1" si="3"/>
        <v>1</v>
      </c>
      <c r="F129" s="384" t="str">
        <f t="shared" ca="1" si="4"/>
        <v/>
      </c>
      <c r="G129" s="385" t="str">
        <f t="shared" ca="1" si="5"/>
        <v/>
      </c>
      <c r="H129" s="386" t="str">
        <f t="shared" ca="1" si="6"/>
        <v/>
      </c>
      <c r="I129" s="404"/>
      <c r="J129" s="415"/>
      <c r="K129" s="428"/>
      <c r="L129" s="428" t="s">
        <v>59</v>
      </c>
      <c r="M129" s="428"/>
      <c r="N129" s="428"/>
      <c r="O129" s="428"/>
      <c r="P129" s="428"/>
      <c r="Q129" s="429"/>
      <c r="R129" s="417" t="s">
        <v>304</v>
      </c>
      <c r="S129" s="418">
        <v>45860</v>
      </c>
      <c r="T129" s="419">
        <v>45863</v>
      </c>
      <c r="U129" s="418"/>
      <c r="V129" s="419"/>
      <c r="W129" s="430"/>
      <c r="X129" s="431"/>
      <c r="Y129" s="434"/>
      <c r="Z129" s="433"/>
      <c r="AA129" s="396"/>
      <c r="AB129" s="397"/>
      <c r="AC129" s="398"/>
      <c r="AD129" s="399"/>
      <c r="AE129" s="400"/>
      <c r="AF129" s="401"/>
      <c r="AG129" s="401">
        <f t="shared" ca="1" si="7"/>
        <v>0</v>
      </c>
      <c r="AH129" s="401">
        <f t="shared" ca="1" si="8"/>
        <v>0</v>
      </c>
      <c r="AI129" s="401">
        <f t="shared" si="9"/>
        <v>0</v>
      </c>
      <c r="AJ129" s="401">
        <f t="shared" ca="1" si="10"/>
        <v>0</v>
      </c>
      <c r="AK129" s="401" t="str">
        <f t="shared" ca="1" si="11"/>
        <v/>
      </c>
      <c r="AL129" s="402">
        <f t="shared" ca="1" si="12"/>
        <v>3</v>
      </c>
      <c r="AM129" s="402">
        <f t="shared" ca="1" si="13"/>
        <v>1</v>
      </c>
      <c r="AN129" s="402">
        <f t="shared" ca="1" si="14"/>
        <v>23</v>
      </c>
      <c r="AO129" s="402">
        <f t="shared" ca="1" si="15"/>
        <v>1</v>
      </c>
      <c r="AP129" s="402">
        <f t="shared" ca="1" si="16"/>
        <v>0</v>
      </c>
      <c r="AQ129" s="402">
        <f t="shared" ca="1" si="17"/>
        <v>0</v>
      </c>
      <c r="AR129" s="402">
        <f t="shared" ca="1" si="18"/>
        <v>0</v>
      </c>
      <c r="AS129" s="403"/>
      <c r="AT129" s="402">
        <f t="shared" si="19"/>
        <v>4</v>
      </c>
    </row>
    <row r="130" spans="1:46" ht="15.75" customHeight="1">
      <c r="A130" s="382"/>
      <c r="B130" s="383">
        <f t="shared" ca="1" si="0"/>
        <v>3</v>
      </c>
      <c r="C130" s="384">
        <f t="shared" ca="1" si="1"/>
        <v>1</v>
      </c>
      <c r="D130" s="384">
        <f t="shared" ca="1" si="2"/>
        <v>23</v>
      </c>
      <c r="E130" s="384">
        <f t="shared" ca="1" si="3"/>
        <v>2</v>
      </c>
      <c r="F130" s="384" t="str">
        <f t="shared" ca="1" si="4"/>
        <v/>
      </c>
      <c r="G130" s="385" t="str">
        <f t="shared" ca="1" si="5"/>
        <v/>
      </c>
      <c r="H130" s="386" t="str">
        <f t="shared" ca="1" si="6"/>
        <v/>
      </c>
      <c r="I130" s="404"/>
      <c r="J130" s="415"/>
      <c r="K130" s="428"/>
      <c r="L130" s="428" t="s">
        <v>61</v>
      </c>
      <c r="M130" s="428"/>
      <c r="N130" s="428"/>
      <c r="O130" s="428"/>
      <c r="P130" s="428"/>
      <c r="Q130" s="429"/>
      <c r="R130" s="417" t="s">
        <v>284</v>
      </c>
      <c r="S130" s="418">
        <v>45866</v>
      </c>
      <c r="T130" s="419">
        <v>45866</v>
      </c>
      <c r="U130" s="418"/>
      <c r="V130" s="419"/>
      <c r="W130" s="430"/>
      <c r="X130" s="431"/>
      <c r="Y130" s="434"/>
      <c r="Z130" s="433"/>
      <c r="AA130" s="396"/>
      <c r="AB130" s="397"/>
      <c r="AC130" s="398"/>
      <c r="AD130" s="399"/>
      <c r="AE130" s="400"/>
      <c r="AF130" s="401"/>
      <c r="AG130" s="401">
        <f t="shared" ca="1" si="7"/>
        <v>0</v>
      </c>
      <c r="AH130" s="401">
        <f t="shared" ca="1" si="8"/>
        <v>0</v>
      </c>
      <c r="AI130" s="401">
        <f t="shared" si="9"/>
        <v>0</v>
      </c>
      <c r="AJ130" s="401">
        <f t="shared" ca="1" si="10"/>
        <v>0</v>
      </c>
      <c r="AK130" s="401" t="str">
        <f t="shared" ca="1" si="11"/>
        <v/>
      </c>
      <c r="AL130" s="402">
        <f t="shared" ca="1" si="12"/>
        <v>3</v>
      </c>
      <c r="AM130" s="402">
        <f t="shared" ca="1" si="13"/>
        <v>1</v>
      </c>
      <c r="AN130" s="402">
        <f t="shared" ca="1" si="14"/>
        <v>23</v>
      </c>
      <c r="AO130" s="402">
        <f t="shared" ca="1" si="15"/>
        <v>2</v>
      </c>
      <c r="AP130" s="402">
        <f t="shared" ca="1" si="16"/>
        <v>0</v>
      </c>
      <c r="AQ130" s="402">
        <f t="shared" ca="1" si="17"/>
        <v>0</v>
      </c>
      <c r="AR130" s="402">
        <f t="shared" ca="1" si="18"/>
        <v>0</v>
      </c>
      <c r="AS130" s="403"/>
      <c r="AT130" s="402">
        <f t="shared" si="19"/>
        <v>1</v>
      </c>
    </row>
    <row r="131" spans="1:46" ht="15.75" customHeight="1">
      <c r="A131" s="382"/>
      <c r="B131" s="383">
        <f t="shared" ca="1" si="0"/>
        <v>3</v>
      </c>
      <c r="C131" s="384">
        <f t="shared" ca="1" si="1"/>
        <v>1</v>
      </c>
      <c r="D131" s="384">
        <f t="shared" ca="1" si="2"/>
        <v>24</v>
      </c>
      <c r="E131" s="384" t="str">
        <f t="shared" ca="1" si="3"/>
        <v/>
      </c>
      <c r="F131" s="384" t="str">
        <f t="shared" ca="1" si="4"/>
        <v/>
      </c>
      <c r="G131" s="385" t="str">
        <f t="shared" ca="1" si="5"/>
        <v/>
      </c>
      <c r="H131" s="386" t="str">
        <f t="shared" ca="1" si="6"/>
        <v/>
      </c>
      <c r="I131" s="404"/>
      <c r="J131" s="415"/>
      <c r="K131" s="428" t="s">
        <v>316</v>
      </c>
      <c r="L131" s="428"/>
      <c r="M131" s="428"/>
      <c r="N131" s="428"/>
      <c r="O131" s="428"/>
      <c r="P131" s="428"/>
      <c r="Q131" s="429"/>
      <c r="R131" s="417"/>
      <c r="S131" s="418"/>
      <c r="T131" s="419"/>
      <c r="U131" s="418"/>
      <c r="V131" s="419"/>
      <c r="W131" s="430"/>
      <c r="X131" s="431"/>
      <c r="Y131" s="434"/>
      <c r="Z131" s="433"/>
      <c r="AA131" s="396"/>
      <c r="AB131" s="397"/>
      <c r="AC131" s="398"/>
      <c r="AD131" s="399"/>
      <c r="AE131" s="400"/>
      <c r="AF131" s="401"/>
      <c r="AG131" s="401">
        <f t="shared" si="7"/>
        <v>0</v>
      </c>
      <c r="AH131" s="401">
        <f t="shared" si="8"/>
        <v>0</v>
      </c>
      <c r="AI131" s="401">
        <f t="shared" si="9"/>
        <v>0</v>
      </c>
      <c r="AJ131" s="401">
        <f t="shared" si="10"/>
        <v>0</v>
      </c>
      <c r="AK131" s="401" t="str">
        <f t="shared" si="11"/>
        <v/>
      </c>
      <c r="AL131" s="402">
        <f t="shared" ca="1" si="12"/>
        <v>3</v>
      </c>
      <c r="AM131" s="402">
        <f t="shared" ca="1" si="13"/>
        <v>1</v>
      </c>
      <c r="AN131" s="402">
        <f t="shared" ca="1" si="14"/>
        <v>24</v>
      </c>
      <c r="AO131" s="402">
        <f t="shared" ca="1" si="15"/>
        <v>0</v>
      </c>
      <c r="AP131" s="402">
        <f t="shared" ca="1" si="16"/>
        <v>0</v>
      </c>
      <c r="AQ131" s="402">
        <f t="shared" ca="1" si="17"/>
        <v>0</v>
      </c>
      <c r="AR131" s="402">
        <f t="shared" ca="1" si="18"/>
        <v>0</v>
      </c>
      <c r="AS131" s="403"/>
      <c r="AT131" s="402">
        <f t="shared" si="19"/>
        <v>1</v>
      </c>
    </row>
    <row r="132" spans="1:46" ht="15.75" customHeight="1">
      <c r="A132" s="382"/>
      <c r="B132" s="383">
        <f t="shared" ca="1" si="0"/>
        <v>3</v>
      </c>
      <c r="C132" s="384">
        <f t="shared" ca="1" si="1"/>
        <v>1</v>
      </c>
      <c r="D132" s="384">
        <f t="shared" ca="1" si="2"/>
        <v>24</v>
      </c>
      <c r="E132" s="384">
        <f t="shared" ca="1" si="3"/>
        <v>1</v>
      </c>
      <c r="F132" s="384" t="str">
        <f t="shared" ca="1" si="4"/>
        <v/>
      </c>
      <c r="G132" s="385" t="str">
        <f t="shared" ca="1" si="5"/>
        <v/>
      </c>
      <c r="H132" s="386" t="str">
        <f t="shared" ca="1" si="6"/>
        <v/>
      </c>
      <c r="I132" s="404"/>
      <c r="J132" s="415"/>
      <c r="K132" s="428"/>
      <c r="L132" s="428" t="s">
        <v>59</v>
      </c>
      <c r="M132" s="428"/>
      <c r="N132" s="428"/>
      <c r="O132" s="428"/>
      <c r="P132" s="428"/>
      <c r="Q132" s="429"/>
      <c r="R132" s="417" t="s">
        <v>304</v>
      </c>
      <c r="S132" s="418">
        <v>45866</v>
      </c>
      <c r="T132" s="419">
        <v>45869</v>
      </c>
      <c r="U132" s="418"/>
      <c r="V132" s="419"/>
      <c r="W132" s="430"/>
      <c r="X132" s="431"/>
      <c r="Y132" s="434"/>
      <c r="Z132" s="433"/>
      <c r="AA132" s="396"/>
      <c r="AB132" s="397"/>
      <c r="AC132" s="398"/>
      <c r="AD132" s="399"/>
      <c r="AE132" s="400"/>
      <c r="AF132" s="401"/>
      <c r="AG132" s="401">
        <f t="shared" ca="1" si="7"/>
        <v>0</v>
      </c>
      <c r="AH132" s="401">
        <f t="shared" ca="1" si="8"/>
        <v>0</v>
      </c>
      <c r="AI132" s="401">
        <f t="shared" si="9"/>
        <v>0</v>
      </c>
      <c r="AJ132" s="401">
        <f t="shared" ca="1" si="10"/>
        <v>0</v>
      </c>
      <c r="AK132" s="401" t="str">
        <f t="shared" ca="1" si="11"/>
        <v/>
      </c>
      <c r="AL132" s="402">
        <f t="shared" ca="1" si="12"/>
        <v>3</v>
      </c>
      <c r="AM132" s="402">
        <f t="shared" ca="1" si="13"/>
        <v>1</v>
      </c>
      <c r="AN132" s="402">
        <f t="shared" ca="1" si="14"/>
        <v>24</v>
      </c>
      <c r="AO132" s="402">
        <f t="shared" ca="1" si="15"/>
        <v>1</v>
      </c>
      <c r="AP132" s="402">
        <f t="shared" ca="1" si="16"/>
        <v>0</v>
      </c>
      <c r="AQ132" s="402">
        <f t="shared" ca="1" si="17"/>
        <v>0</v>
      </c>
      <c r="AR132" s="402">
        <f t="shared" ca="1" si="18"/>
        <v>0</v>
      </c>
      <c r="AS132" s="403"/>
      <c r="AT132" s="402">
        <f t="shared" si="19"/>
        <v>4</v>
      </c>
    </row>
    <row r="133" spans="1:46" ht="15.75" customHeight="1">
      <c r="A133" s="382"/>
      <c r="B133" s="383">
        <f t="shared" ca="1" si="0"/>
        <v>3</v>
      </c>
      <c r="C133" s="384">
        <f t="shared" ca="1" si="1"/>
        <v>1</v>
      </c>
      <c r="D133" s="384">
        <f t="shared" ca="1" si="2"/>
        <v>24</v>
      </c>
      <c r="E133" s="384">
        <f t="shared" ca="1" si="3"/>
        <v>2</v>
      </c>
      <c r="F133" s="384" t="str">
        <f t="shared" ca="1" si="4"/>
        <v/>
      </c>
      <c r="G133" s="385" t="str">
        <f t="shared" ca="1" si="5"/>
        <v/>
      </c>
      <c r="H133" s="386" t="str">
        <f t="shared" ca="1" si="6"/>
        <v/>
      </c>
      <c r="I133" s="404"/>
      <c r="J133" s="415"/>
      <c r="K133" s="428"/>
      <c r="L133" s="428" t="s">
        <v>61</v>
      </c>
      <c r="M133" s="428"/>
      <c r="N133" s="428"/>
      <c r="O133" s="428"/>
      <c r="P133" s="428"/>
      <c r="Q133" s="429"/>
      <c r="R133" s="417" t="s">
        <v>284</v>
      </c>
      <c r="S133" s="418">
        <v>45870</v>
      </c>
      <c r="T133" s="419">
        <v>45870</v>
      </c>
      <c r="U133" s="418"/>
      <c r="V133" s="419"/>
      <c r="W133" s="430"/>
      <c r="X133" s="431"/>
      <c r="Y133" s="434"/>
      <c r="Z133" s="433"/>
      <c r="AA133" s="396"/>
      <c r="AB133" s="397"/>
      <c r="AC133" s="398"/>
      <c r="AD133" s="399"/>
      <c r="AE133" s="400"/>
      <c r="AF133" s="401"/>
      <c r="AG133" s="401">
        <f t="shared" ca="1" si="7"/>
        <v>0</v>
      </c>
      <c r="AH133" s="401">
        <f t="shared" ca="1" si="8"/>
        <v>0</v>
      </c>
      <c r="AI133" s="401">
        <f t="shared" si="9"/>
        <v>0</v>
      </c>
      <c r="AJ133" s="401">
        <f t="shared" ca="1" si="10"/>
        <v>0</v>
      </c>
      <c r="AK133" s="401" t="str">
        <f t="shared" ca="1" si="11"/>
        <v/>
      </c>
      <c r="AL133" s="402">
        <f t="shared" ca="1" si="12"/>
        <v>3</v>
      </c>
      <c r="AM133" s="402">
        <f t="shared" ca="1" si="13"/>
        <v>1</v>
      </c>
      <c r="AN133" s="402">
        <f t="shared" ca="1" si="14"/>
        <v>24</v>
      </c>
      <c r="AO133" s="402">
        <f t="shared" ca="1" si="15"/>
        <v>2</v>
      </c>
      <c r="AP133" s="402">
        <f t="shared" ca="1" si="16"/>
        <v>0</v>
      </c>
      <c r="AQ133" s="402">
        <f t="shared" ca="1" si="17"/>
        <v>0</v>
      </c>
      <c r="AR133" s="402">
        <f t="shared" ca="1" si="18"/>
        <v>0</v>
      </c>
      <c r="AS133" s="403"/>
      <c r="AT133" s="402">
        <f t="shared" si="19"/>
        <v>1</v>
      </c>
    </row>
    <row r="134" spans="1:46" ht="15.75" customHeight="1">
      <c r="A134" s="382"/>
      <c r="B134" s="383">
        <f t="shared" ca="1" si="0"/>
        <v>3</v>
      </c>
      <c r="C134" s="384">
        <f t="shared" ca="1" si="1"/>
        <v>1</v>
      </c>
      <c r="D134" s="384">
        <f t="shared" ca="1" si="2"/>
        <v>25</v>
      </c>
      <c r="E134" s="384" t="str">
        <f t="shared" ca="1" si="3"/>
        <v/>
      </c>
      <c r="F134" s="384" t="str">
        <f t="shared" ca="1" si="4"/>
        <v/>
      </c>
      <c r="G134" s="385" t="str">
        <f t="shared" ca="1" si="5"/>
        <v/>
      </c>
      <c r="H134" s="386" t="str">
        <f t="shared" ca="1" si="6"/>
        <v/>
      </c>
      <c r="I134" s="404"/>
      <c r="J134" s="415"/>
      <c r="K134" s="428" t="s">
        <v>317</v>
      </c>
      <c r="L134" s="428"/>
      <c r="M134" s="428"/>
      <c r="N134" s="428"/>
      <c r="O134" s="428"/>
      <c r="P134" s="428"/>
      <c r="Q134" s="429"/>
      <c r="R134" s="417"/>
      <c r="S134" s="418"/>
      <c r="T134" s="419"/>
      <c r="U134" s="418"/>
      <c r="V134" s="419"/>
      <c r="W134" s="430"/>
      <c r="X134" s="431"/>
      <c r="Y134" s="434"/>
      <c r="Z134" s="433"/>
      <c r="AA134" s="396"/>
      <c r="AB134" s="397"/>
      <c r="AC134" s="398"/>
      <c r="AD134" s="399"/>
      <c r="AE134" s="400"/>
      <c r="AF134" s="401"/>
      <c r="AG134" s="401">
        <f t="shared" si="7"/>
        <v>0</v>
      </c>
      <c r="AH134" s="401">
        <f t="shared" si="8"/>
        <v>0</v>
      </c>
      <c r="AI134" s="401">
        <f t="shared" si="9"/>
        <v>0</v>
      </c>
      <c r="AJ134" s="401">
        <f t="shared" si="10"/>
        <v>0</v>
      </c>
      <c r="AK134" s="401" t="str">
        <f t="shared" si="11"/>
        <v/>
      </c>
      <c r="AL134" s="402">
        <f t="shared" ca="1" si="12"/>
        <v>3</v>
      </c>
      <c r="AM134" s="402">
        <f t="shared" ca="1" si="13"/>
        <v>1</v>
      </c>
      <c r="AN134" s="402">
        <f t="shared" ca="1" si="14"/>
        <v>25</v>
      </c>
      <c r="AO134" s="402">
        <f t="shared" ca="1" si="15"/>
        <v>0</v>
      </c>
      <c r="AP134" s="402">
        <f t="shared" ca="1" si="16"/>
        <v>0</v>
      </c>
      <c r="AQ134" s="402">
        <f t="shared" ca="1" si="17"/>
        <v>0</v>
      </c>
      <c r="AR134" s="402">
        <f t="shared" ca="1" si="18"/>
        <v>0</v>
      </c>
      <c r="AS134" s="403"/>
      <c r="AT134" s="402">
        <f t="shared" si="19"/>
        <v>1</v>
      </c>
    </row>
    <row r="135" spans="1:46" ht="15.75" customHeight="1">
      <c r="A135" s="382"/>
      <c r="B135" s="383">
        <f t="shared" ca="1" si="0"/>
        <v>3</v>
      </c>
      <c r="C135" s="384">
        <f t="shared" ca="1" si="1"/>
        <v>1</v>
      </c>
      <c r="D135" s="384">
        <f t="shared" ca="1" si="2"/>
        <v>25</v>
      </c>
      <c r="E135" s="384">
        <f t="shared" ca="1" si="3"/>
        <v>1</v>
      </c>
      <c r="F135" s="384" t="str">
        <f t="shared" ca="1" si="4"/>
        <v/>
      </c>
      <c r="G135" s="385" t="str">
        <f t="shared" ca="1" si="5"/>
        <v/>
      </c>
      <c r="H135" s="386" t="str">
        <f t="shared" ca="1" si="6"/>
        <v/>
      </c>
      <c r="I135" s="404"/>
      <c r="J135" s="415"/>
      <c r="K135" s="428"/>
      <c r="L135" s="428" t="s">
        <v>59</v>
      </c>
      <c r="M135" s="428"/>
      <c r="N135" s="428"/>
      <c r="O135" s="428"/>
      <c r="P135" s="428"/>
      <c r="Q135" s="429"/>
      <c r="R135" s="417" t="s">
        <v>304</v>
      </c>
      <c r="S135" s="418">
        <v>45870</v>
      </c>
      <c r="T135" s="419">
        <v>45875</v>
      </c>
      <c r="U135" s="418"/>
      <c r="V135" s="419"/>
      <c r="W135" s="430"/>
      <c r="X135" s="431"/>
      <c r="Y135" s="434"/>
      <c r="Z135" s="433"/>
      <c r="AA135" s="396"/>
      <c r="AB135" s="397"/>
      <c r="AC135" s="398"/>
      <c r="AD135" s="399"/>
      <c r="AE135" s="400"/>
      <c r="AF135" s="401"/>
      <c r="AG135" s="401">
        <f t="shared" ca="1" si="7"/>
        <v>0</v>
      </c>
      <c r="AH135" s="401">
        <f t="shared" ca="1" si="8"/>
        <v>0</v>
      </c>
      <c r="AI135" s="401">
        <f t="shared" si="9"/>
        <v>0</v>
      </c>
      <c r="AJ135" s="401">
        <f t="shared" ca="1" si="10"/>
        <v>0</v>
      </c>
      <c r="AK135" s="401" t="str">
        <f t="shared" ca="1" si="11"/>
        <v/>
      </c>
      <c r="AL135" s="402">
        <f t="shared" ca="1" si="12"/>
        <v>3</v>
      </c>
      <c r="AM135" s="402">
        <f t="shared" ca="1" si="13"/>
        <v>1</v>
      </c>
      <c r="AN135" s="402">
        <f t="shared" ca="1" si="14"/>
        <v>25</v>
      </c>
      <c r="AO135" s="402">
        <f t="shared" ca="1" si="15"/>
        <v>1</v>
      </c>
      <c r="AP135" s="402">
        <f t="shared" ca="1" si="16"/>
        <v>0</v>
      </c>
      <c r="AQ135" s="402">
        <f t="shared" ca="1" si="17"/>
        <v>0</v>
      </c>
      <c r="AR135" s="402">
        <f t="shared" ca="1" si="18"/>
        <v>0</v>
      </c>
      <c r="AS135" s="403"/>
      <c r="AT135" s="402">
        <f t="shared" si="19"/>
        <v>6</v>
      </c>
    </row>
    <row r="136" spans="1:46" ht="15.75" customHeight="1">
      <c r="A136" s="382"/>
      <c r="B136" s="383">
        <f t="shared" ca="1" si="0"/>
        <v>3</v>
      </c>
      <c r="C136" s="384">
        <f t="shared" ca="1" si="1"/>
        <v>1</v>
      </c>
      <c r="D136" s="384">
        <f t="shared" ca="1" si="2"/>
        <v>25</v>
      </c>
      <c r="E136" s="384">
        <f t="shared" ca="1" si="3"/>
        <v>2</v>
      </c>
      <c r="F136" s="384" t="str">
        <f t="shared" ca="1" si="4"/>
        <v/>
      </c>
      <c r="G136" s="385" t="str">
        <f t="shared" ca="1" si="5"/>
        <v/>
      </c>
      <c r="H136" s="386" t="str">
        <f t="shared" ca="1" si="6"/>
        <v/>
      </c>
      <c r="I136" s="404"/>
      <c r="J136" s="415"/>
      <c r="K136" s="428"/>
      <c r="L136" s="428" t="s">
        <v>61</v>
      </c>
      <c r="M136" s="428"/>
      <c r="N136" s="428"/>
      <c r="O136" s="428"/>
      <c r="P136" s="428"/>
      <c r="Q136" s="429"/>
      <c r="R136" s="417" t="s">
        <v>284</v>
      </c>
      <c r="S136" s="418">
        <v>45876</v>
      </c>
      <c r="T136" s="419">
        <v>45876</v>
      </c>
      <c r="U136" s="418"/>
      <c r="V136" s="419"/>
      <c r="W136" s="430"/>
      <c r="X136" s="431"/>
      <c r="Y136" s="434"/>
      <c r="Z136" s="433"/>
      <c r="AA136" s="396"/>
      <c r="AB136" s="397"/>
      <c r="AC136" s="398"/>
      <c r="AD136" s="399"/>
      <c r="AE136" s="400"/>
      <c r="AF136" s="401"/>
      <c r="AG136" s="401">
        <f t="shared" ca="1" si="7"/>
        <v>0</v>
      </c>
      <c r="AH136" s="401">
        <f t="shared" ca="1" si="8"/>
        <v>0</v>
      </c>
      <c r="AI136" s="401">
        <f t="shared" si="9"/>
        <v>0</v>
      </c>
      <c r="AJ136" s="401">
        <f t="shared" ca="1" si="10"/>
        <v>0</v>
      </c>
      <c r="AK136" s="401" t="str">
        <f t="shared" ca="1" si="11"/>
        <v/>
      </c>
      <c r="AL136" s="402">
        <f t="shared" ca="1" si="12"/>
        <v>3</v>
      </c>
      <c r="AM136" s="402">
        <f t="shared" ca="1" si="13"/>
        <v>1</v>
      </c>
      <c r="AN136" s="402">
        <f t="shared" ca="1" si="14"/>
        <v>25</v>
      </c>
      <c r="AO136" s="402">
        <f t="shared" ca="1" si="15"/>
        <v>2</v>
      </c>
      <c r="AP136" s="402">
        <f t="shared" ca="1" si="16"/>
        <v>0</v>
      </c>
      <c r="AQ136" s="402">
        <f t="shared" ca="1" si="17"/>
        <v>0</v>
      </c>
      <c r="AR136" s="402">
        <f t="shared" ca="1" si="18"/>
        <v>0</v>
      </c>
      <c r="AS136" s="403"/>
      <c r="AT136" s="402">
        <f t="shared" si="19"/>
        <v>1</v>
      </c>
    </row>
    <row r="137" spans="1:46" ht="15.75" customHeight="1">
      <c r="A137" s="382"/>
      <c r="B137" s="383">
        <f t="shared" ca="1" si="0"/>
        <v>3</v>
      </c>
      <c r="C137" s="384">
        <f t="shared" ca="1" si="1"/>
        <v>1</v>
      </c>
      <c r="D137" s="384">
        <f t="shared" ca="1" si="2"/>
        <v>26</v>
      </c>
      <c r="E137" s="384" t="str">
        <f t="shared" ca="1" si="3"/>
        <v/>
      </c>
      <c r="F137" s="384" t="str">
        <f t="shared" ca="1" si="4"/>
        <v/>
      </c>
      <c r="G137" s="385" t="str">
        <f t="shared" ca="1" si="5"/>
        <v/>
      </c>
      <c r="H137" s="386" t="str">
        <f t="shared" ca="1" si="6"/>
        <v/>
      </c>
      <c r="I137" s="404"/>
      <c r="J137" s="415"/>
      <c r="K137" s="428" t="s">
        <v>318</v>
      </c>
      <c r="L137" s="428"/>
      <c r="M137" s="428"/>
      <c r="N137" s="428"/>
      <c r="O137" s="428"/>
      <c r="P137" s="428"/>
      <c r="Q137" s="429"/>
      <c r="R137" s="417"/>
      <c r="S137" s="418"/>
      <c r="T137" s="419"/>
      <c r="U137" s="418"/>
      <c r="V137" s="419"/>
      <c r="W137" s="430"/>
      <c r="X137" s="431"/>
      <c r="Y137" s="434"/>
      <c r="Z137" s="433"/>
      <c r="AA137" s="396"/>
      <c r="AB137" s="397"/>
      <c r="AC137" s="398"/>
      <c r="AD137" s="399"/>
      <c r="AE137" s="400"/>
      <c r="AF137" s="401"/>
      <c r="AG137" s="401">
        <f t="shared" si="7"/>
        <v>0</v>
      </c>
      <c r="AH137" s="401">
        <f t="shared" si="8"/>
        <v>0</v>
      </c>
      <c r="AI137" s="401">
        <f t="shared" si="9"/>
        <v>0</v>
      </c>
      <c r="AJ137" s="401">
        <f t="shared" si="10"/>
        <v>0</v>
      </c>
      <c r="AK137" s="401" t="str">
        <f t="shared" si="11"/>
        <v/>
      </c>
      <c r="AL137" s="402">
        <f t="shared" ca="1" si="12"/>
        <v>3</v>
      </c>
      <c r="AM137" s="402">
        <f t="shared" ca="1" si="13"/>
        <v>1</v>
      </c>
      <c r="AN137" s="402">
        <f t="shared" ca="1" si="14"/>
        <v>26</v>
      </c>
      <c r="AO137" s="402">
        <f t="shared" ca="1" si="15"/>
        <v>0</v>
      </c>
      <c r="AP137" s="402">
        <f t="shared" ca="1" si="16"/>
        <v>0</v>
      </c>
      <c r="AQ137" s="402">
        <f t="shared" ca="1" si="17"/>
        <v>0</v>
      </c>
      <c r="AR137" s="402">
        <f t="shared" ca="1" si="18"/>
        <v>0</v>
      </c>
      <c r="AS137" s="403"/>
      <c r="AT137" s="402">
        <f t="shared" si="19"/>
        <v>1</v>
      </c>
    </row>
    <row r="138" spans="1:46" ht="15.75" customHeight="1">
      <c r="A138" s="382"/>
      <c r="B138" s="383">
        <f t="shared" ca="1" si="0"/>
        <v>3</v>
      </c>
      <c r="C138" s="384">
        <f t="shared" ca="1" si="1"/>
        <v>1</v>
      </c>
      <c r="D138" s="384">
        <f t="shared" ca="1" si="2"/>
        <v>26</v>
      </c>
      <c r="E138" s="384">
        <f t="shared" ca="1" si="3"/>
        <v>1</v>
      </c>
      <c r="F138" s="384" t="str">
        <f t="shared" ca="1" si="4"/>
        <v/>
      </c>
      <c r="G138" s="385" t="str">
        <f t="shared" ca="1" si="5"/>
        <v/>
      </c>
      <c r="H138" s="386" t="str">
        <f t="shared" ca="1" si="6"/>
        <v/>
      </c>
      <c r="I138" s="404"/>
      <c r="J138" s="415"/>
      <c r="K138" s="428"/>
      <c r="L138" s="428" t="s">
        <v>59</v>
      </c>
      <c r="M138" s="428"/>
      <c r="N138" s="428"/>
      <c r="O138" s="428"/>
      <c r="P138" s="428"/>
      <c r="Q138" s="429"/>
      <c r="R138" s="417" t="s">
        <v>304</v>
      </c>
      <c r="S138" s="418">
        <v>45876</v>
      </c>
      <c r="T138" s="419">
        <v>45882</v>
      </c>
      <c r="U138" s="418"/>
      <c r="V138" s="419"/>
      <c r="W138" s="430"/>
      <c r="X138" s="431"/>
      <c r="Y138" s="434"/>
      <c r="Z138" s="433"/>
      <c r="AA138" s="396"/>
      <c r="AB138" s="397"/>
      <c r="AC138" s="398"/>
      <c r="AD138" s="399"/>
      <c r="AE138" s="400"/>
      <c r="AF138" s="401"/>
      <c r="AG138" s="401">
        <f t="shared" ca="1" si="7"/>
        <v>0</v>
      </c>
      <c r="AH138" s="401">
        <f t="shared" ca="1" si="8"/>
        <v>0</v>
      </c>
      <c r="AI138" s="401">
        <f t="shared" si="9"/>
        <v>0</v>
      </c>
      <c r="AJ138" s="401">
        <f t="shared" ca="1" si="10"/>
        <v>0</v>
      </c>
      <c r="AK138" s="401" t="str">
        <f t="shared" ca="1" si="11"/>
        <v/>
      </c>
      <c r="AL138" s="402">
        <f t="shared" ca="1" si="12"/>
        <v>3</v>
      </c>
      <c r="AM138" s="402">
        <f t="shared" ca="1" si="13"/>
        <v>1</v>
      </c>
      <c r="AN138" s="402">
        <f t="shared" ca="1" si="14"/>
        <v>26</v>
      </c>
      <c r="AO138" s="402">
        <f t="shared" ca="1" si="15"/>
        <v>1</v>
      </c>
      <c r="AP138" s="402">
        <f t="shared" ca="1" si="16"/>
        <v>0</v>
      </c>
      <c r="AQ138" s="402">
        <f t="shared" ca="1" si="17"/>
        <v>0</v>
      </c>
      <c r="AR138" s="402">
        <f t="shared" ca="1" si="18"/>
        <v>0</v>
      </c>
      <c r="AS138" s="403"/>
      <c r="AT138" s="402">
        <f t="shared" si="19"/>
        <v>7</v>
      </c>
    </row>
    <row r="139" spans="1:46" ht="15.75" customHeight="1">
      <c r="A139" s="382"/>
      <c r="B139" s="383">
        <f t="shared" ca="1" si="0"/>
        <v>3</v>
      </c>
      <c r="C139" s="384">
        <f t="shared" ca="1" si="1"/>
        <v>1</v>
      </c>
      <c r="D139" s="384">
        <f t="shared" ca="1" si="2"/>
        <v>26</v>
      </c>
      <c r="E139" s="384">
        <f t="shared" ca="1" si="3"/>
        <v>2</v>
      </c>
      <c r="F139" s="384" t="str">
        <f t="shared" ca="1" si="4"/>
        <v/>
      </c>
      <c r="G139" s="385" t="str">
        <f t="shared" ca="1" si="5"/>
        <v/>
      </c>
      <c r="H139" s="386" t="str">
        <f t="shared" ca="1" si="6"/>
        <v/>
      </c>
      <c r="I139" s="404"/>
      <c r="J139" s="415"/>
      <c r="K139" s="428"/>
      <c r="L139" s="428" t="s">
        <v>61</v>
      </c>
      <c r="M139" s="428"/>
      <c r="N139" s="428"/>
      <c r="O139" s="428"/>
      <c r="P139" s="428"/>
      <c r="Q139" s="429"/>
      <c r="R139" s="417" t="s">
        <v>284</v>
      </c>
      <c r="S139" s="418">
        <v>45883</v>
      </c>
      <c r="T139" s="419">
        <v>45883</v>
      </c>
      <c r="U139" s="418"/>
      <c r="V139" s="419"/>
      <c r="W139" s="430"/>
      <c r="X139" s="431"/>
      <c r="Y139" s="434"/>
      <c r="Z139" s="433"/>
      <c r="AA139" s="396"/>
      <c r="AB139" s="397"/>
      <c r="AC139" s="398"/>
      <c r="AD139" s="399"/>
      <c r="AE139" s="400"/>
      <c r="AF139" s="401"/>
      <c r="AG139" s="401">
        <f t="shared" ca="1" si="7"/>
        <v>0</v>
      </c>
      <c r="AH139" s="401">
        <f t="shared" ca="1" si="8"/>
        <v>0</v>
      </c>
      <c r="AI139" s="401">
        <f t="shared" si="9"/>
        <v>0</v>
      </c>
      <c r="AJ139" s="401">
        <f t="shared" ca="1" si="10"/>
        <v>0</v>
      </c>
      <c r="AK139" s="401" t="str">
        <f t="shared" ca="1" si="11"/>
        <v/>
      </c>
      <c r="AL139" s="402">
        <f t="shared" ca="1" si="12"/>
        <v>3</v>
      </c>
      <c r="AM139" s="402">
        <f t="shared" ca="1" si="13"/>
        <v>1</v>
      </c>
      <c r="AN139" s="402">
        <f t="shared" ca="1" si="14"/>
        <v>26</v>
      </c>
      <c r="AO139" s="402">
        <f t="shared" ca="1" si="15"/>
        <v>2</v>
      </c>
      <c r="AP139" s="402">
        <f t="shared" ca="1" si="16"/>
        <v>0</v>
      </c>
      <c r="AQ139" s="402">
        <f t="shared" ca="1" si="17"/>
        <v>0</v>
      </c>
      <c r="AR139" s="402">
        <f t="shared" ca="1" si="18"/>
        <v>0</v>
      </c>
      <c r="AS139" s="403"/>
      <c r="AT139" s="402">
        <f t="shared" si="19"/>
        <v>1</v>
      </c>
    </row>
    <row r="140" spans="1:46" ht="15.75" customHeight="1">
      <c r="A140" s="382"/>
      <c r="B140" s="383">
        <f t="shared" ca="1" si="0"/>
        <v>3</v>
      </c>
      <c r="C140" s="384">
        <f t="shared" ca="1" si="1"/>
        <v>1</v>
      </c>
      <c r="D140" s="384">
        <f t="shared" ca="1" si="2"/>
        <v>27</v>
      </c>
      <c r="E140" s="384" t="str">
        <f t="shared" ca="1" si="3"/>
        <v/>
      </c>
      <c r="F140" s="384" t="str">
        <f t="shared" ca="1" si="4"/>
        <v/>
      </c>
      <c r="G140" s="385" t="str">
        <f t="shared" ca="1" si="5"/>
        <v/>
      </c>
      <c r="H140" s="386" t="str">
        <f t="shared" ca="1" si="6"/>
        <v/>
      </c>
      <c r="I140" s="404"/>
      <c r="J140" s="415"/>
      <c r="K140" s="428" t="s">
        <v>319</v>
      </c>
      <c r="L140" s="428"/>
      <c r="M140" s="428"/>
      <c r="N140" s="428"/>
      <c r="O140" s="428"/>
      <c r="P140" s="428"/>
      <c r="Q140" s="429"/>
      <c r="R140" s="417"/>
      <c r="S140" s="418"/>
      <c r="T140" s="419"/>
      <c r="U140" s="418"/>
      <c r="V140" s="419"/>
      <c r="W140" s="430"/>
      <c r="X140" s="431"/>
      <c r="Y140" s="434"/>
      <c r="Z140" s="433"/>
      <c r="AA140" s="396"/>
      <c r="AB140" s="397"/>
      <c r="AC140" s="398"/>
      <c r="AD140" s="399"/>
      <c r="AE140" s="400"/>
      <c r="AF140" s="401"/>
      <c r="AG140" s="401">
        <f t="shared" si="7"/>
        <v>0</v>
      </c>
      <c r="AH140" s="401">
        <f t="shared" si="8"/>
        <v>0</v>
      </c>
      <c r="AI140" s="401">
        <f t="shared" si="9"/>
        <v>0</v>
      </c>
      <c r="AJ140" s="401">
        <f t="shared" si="10"/>
        <v>0</v>
      </c>
      <c r="AK140" s="401" t="str">
        <f t="shared" si="11"/>
        <v/>
      </c>
      <c r="AL140" s="402">
        <f t="shared" ca="1" si="12"/>
        <v>3</v>
      </c>
      <c r="AM140" s="402">
        <f t="shared" ca="1" si="13"/>
        <v>1</v>
      </c>
      <c r="AN140" s="402">
        <f t="shared" ca="1" si="14"/>
        <v>27</v>
      </c>
      <c r="AO140" s="402">
        <f t="shared" ca="1" si="15"/>
        <v>0</v>
      </c>
      <c r="AP140" s="402">
        <f t="shared" ca="1" si="16"/>
        <v>0</v>
      </c>
      <c r="AQ140" s="402">
        <f t="shared" ca="1" si="17"/>
        <v>0</v>
      </c>
      <c r="AR140" s="402">
        <f t="shared" ca="1" si="18"/>
        <v>0</v>
      </c>
      <c r="AS140" s="403"/>
      <c r="AT140" s="402">
        <f t="shared" si="19"/>
        <v>1</v>
      </c>
    </row>
    <row r="141" spans="1:46" ht="15.75" customHeight="1">
      <c r="A141" s="382"/>
      <c r="B141" s="383">
        <f t="shared" ca="1" si="0"/>
        <v>3</v>
      </c>
      <c r="C141" s="384">
        <f t="shared" ca="1" si="1"/>
        <v>1</v>
      </c>
      <c r="D141" s="384">
        <f t="shared" ca="1" si="2"/>
        <v>27</v>
      </c>
      <c r="E141" s="384">
        <f t="shared" ca="1" si="3"/>
        <v>1</v>
      </c>
      <c r="F141" s="384" t="str">
        <f t="shared" ca="1" si="4"/>
        <v/>
      </c>
      <c r="G141" s="385" t="str">
        <f t="shared" ca="1" si="5"/>
        <v/>
      </c>
      <c r="H141" s="386" t="str">
        <f t="shared" ca="1" si="6"/>
        <v/>
      </c>
      <c r="I141" s="404"/>
      <c r="J141" s="415"/>
      <c r="K141" s="428"/>
      <c r="L141" s="428" t="s">
        <v>59</v>
      </c>
      <c r="M141" s="428"/>
      <c r="N141" s="428"/>
      <c r="O141" s="428"/>
      <c r="P141" s="428"/>
      <c r="Q141" s="429"/>
      <c r="R141" s="417" t="s">
        <v>304</v>
      </c>
      <c r="S141" s="418">
        <v>45883</v>
      </c>
      <c r="T141" s="419">
        <v>45888</v>
      </c>
      <c r="U141" s="418"/>
      <c r="V141" s="419"/>
      <c r="W141" s="430"/>
      <c r="X141" s="431"/>
      <c r="Y141" s="434"/>
      <c r="Z141" s="433"/>
      <c r="AA141" s="396"/>
      <c r="AB141" s="397"/>
      <c r="AC141" s="398"/>
      <c r="AD141" s="399"/>
      <c r="AE141" s="400"/>
      <c r="AF141" s="401"/>
      <c r="AG141" s="401">
        <f t="shared" ca="1" si="7"/>
        <v>0</v>
      </c>
      <c r="AH141" s="401">
        <f t="shared" ca="1" si="8"/>
        <v>0</v>
      </c>
      <c r="AI141" s="401">
        <f t="shared" si="9"/>
        <v>0</v>
      </c>
      <c r="AJ141" s="401">
        <f t="shared" ca="1" si="10"/>
        <v>0</v>
      </c>
      <c r="AK141" s="401" t="str">
        <f t="shared" ca="1" si="11"/>
        <v/>
      </c>
      <c r="AL141" s="402">
        <f t="shared" ca="1" si="12"/>
        <v>3</v>
      </c>
      <c r="AM141" s="402">
        <f t="shared" ca="1" si="13"/>
        <v>1</v>
      </c>
      <c r="AN141" s="402">
        <f t="shared" ca="1" si="14"/>
        <v>27</v>
      </c>
      <c r="AO141" s="402">
        <f t="shared" ca="1" si="15"/>
        <v>1</v>
      </c>
      <c r="AP141" s="402">
        <f t="shared" ca="1" si="16"/>
        <v>0</v>
      </c>
      <c r="AQ141" s="402">
        <f t="shared" ca="1" si="17"/>
        <v>0</v>
      </c>
      <c r="AR141" s="402">
        <f t="shared" ca="1" si="18"/>
        <v>0</v>
      </c>
      <c r="AS141" s="403"/>
      <c r="AT141" s="402">
        <f t="shared" si="19"/>
        <v>6</v>
      </c>
    </row>
    <row r="142" spans="1:46" ht="15.75" customHeight="1">
      <c r="A142" s="382"/>
      <c r="B142" s="383">
        <f t="shared" ca="1" si="0"/>
        <v>3</v>
      </c>
      <c r="C142" s="384">
        <f t="shared" ca="1" si="1"/>
        <v>1</v>
      </c>
      <c r="D142" s="384">
        <f t="shared" ca="1" si="2"/>
        <v>27</v>
      </c>
      <c r="E142" s="384">
        <f t="shared" ca="1" si="3"/>
        <v>2</v>
      </c>
      <c r="F142" s="384" t="str">
        <f t="shared" ca="1" si="4"/>
        <v/>
      </c>
      <c r="G142" s="385" t="str">
        <f t="shared" ca="1" si="5"/>
        <v/>
      </c>
      <c r="H142" s="386" t="str">
        <f t="shared" ca="1" si="6"/>
        <v/>
      </c>
      <c r="I142" s="404"/>
      <c r="J142" s="415"/>
      <c r="K142" s="428"/>
      <c r="L142" s="428" t="s">
        <v>61</v>
      </c>
      <c r="M142" s="428"/>
      <c r="N142" s="428"/>
      <c r="O142" s="428"/>
      <c r="P142" s="428"/>
      <c r="Q142" s="429"/>
      <c r="R142" s="417" t="s">
        <v>284</v>
      </c>
      <c r="S142" s="418">
        <v>45889</v>
      </c>
      <c r="T142" s="419">
        <v>45889</v>
      </c>
      <c r="U142" s="418"/>
      <c r="V142" s="419"/>
      <c r="W142" s="430"/>
      <c r="X142" s="431"/>
      <c r="Y142" s="434"/>
      <c r="Z142" s="433"/>
      <c r="AA142" s="396"/>
      <c r="AB142" s="397"/>
      <c r="AC142" s="398"/>
      <c r="AD142" s="399"/>
      <c r="AE142" s="400"/>
      <c r="AF142" s="401"/>
      <c r="AG142" s="401">
        <f t="shared" ca="1" si="7"/>
        <v>0</v>
      </c>
      <c r="AH142" s="401">
        <f t="shared" ca="1" si="8"/>
        <v>0</v>
      </c>
      <c r="AI142" s="401">
        <f t="shared" si="9"/>
        <v>0</v>
      </c>
      <c r="AJ142" s="401">
        <f t="shared" ca="1" si="10"/>
        <v>0</v>
      </c>
      <c r="AK142" s="401" t="str">
        <f t="shared" ca="1" si="11"/>
        <v/>
      </c>
      <c r="AL142" s="402">
        <f t="shared" ca="1" si="12"/>
        <v>3</v>
      </c>
      <c r="AM142" s="402">
        <f t="shared" ca="1" si="13"/>
        <v>1</v>
      </c>
      <c r="AN142" s="402">
        <f t="shared" ca="1" si="14"/>
        <v>27</v>
      </c>
      <c r="AO142" s="402">
        <f t="shared" ca="1" si="15"/>
        <v>2</v>
      </c>
      <c r="AP142" s="402">
        <f t="shared" ca="1" si="16"/>
        <v>0</v>
      </c>
      <c r="AQ142" s="402">
        <f t="shared" ca="1" si="17"/>
        <v>0</v>
      </c>
      <c r="AR142" s="402">
        <f t="shared" ca="1" si="18"/>
        <v>0</v>
      </c>
      <c r="AS142" s="403"/>
      <c r="AT142" s="402">
        <f t="shared" si="19"/>
        <v>1</v>
      </c>
    </row>
    <row r="143" spans="1:46" ht="15.75" customHeight="1">
      <c r="A143" s="382"/>
      <c r="B143" s="383">
        <f t="shared" ca="1" si="0"/>
        <v>3</v>
      </c>
      <c r="C143" s="384">
        <f t="shared" ca="1" si="1"/>
        <v>1</v>
      </c>
      <c r="D143" s="384">
        <f t="shared" ca="1" si="2"/>
        <v>28</v>
      </c>
      <c r="E143" s="384" t="str">
        <f t="shared" ca="1" si="3"/>
        <v/>
      </c>
      <c r="F143" s="384" t="str">
        <f t="shared" ca="1" si="4"/>
        <v/>
      </c>
      <c r="G143" s="385" t="str">
        <f t="shared" ca="1" si="5"/>
        <v/>
      </c>
      <c r="H143" s="386" t="str">
        <f t="shared" ca="1" si="6"/>
        <v/>
      </c>
      <c r="I143" s="404"/>
      <c r="J143" s="415"/>
      <c r="K143" s="428" t="s">
        <v>320</v>
      </c>
      <c r="L143" s="428"/>
      <c r="M143" s="428"/>
      <c r="N143" s="428"/>
      <c r="O143" s="428"/>
      <c r="P143" s="428"/>
      <c r="Q143" s="429"/>
      <c r="R143" s="417"/>
      <c r="S143" s="418"/>
      <c r="T143" s="419"/>
      <c r="U143" s="418"/>
      <c r="V143" s="419"/>
      <c r="W143" s="430"/>
      <c r="X143" s="431"/>
      <c r="Y143" s="434"/>
      <c r="Z143" s="433"/>
      <c r="AA143" s="396"/>
      <c r="AB143" s="397"/>
      <c r="AC143" s="398"/>
      <c r="AD143" s="399"/>
      <c r="AE143" s="400"/>
      <c r="AF143" s="401"/>
      <c r="AG143" s="401">
        <f t="shared" si="7"/>
        <v>0</v>
      </c>
      <c r="AH143" s="401">
        <f t="shared" si="8"/>
        <v>0</v>
      </c>
      <c r="AI143" s="401">
        <f t="shared" si="9"/>
        <v>0</v>
      </c>
      <c r="AJ143" s="401">
        <f t="shared" si="10"/>
        <v>0</v>
      </c>
      <c r="AK143" s="401" t="str">
        <f t="shared" si="11"/>
        <v/>
      </c>
      <c r="AL143" s="402">
        <f t="shared" ca="1" si="12"/>
        <v>3</v>
      </c>
      <c r="AM143" s="402">
        <f t="shared" ca="1" si="13"/>
        <v>1</v>
      </c>
      <c r="AN143" s="402">
        <f t="shared" ca="1" si="14"/>
        <v>28</v>
      </c>
      <c r="AO143" s="402">
        <f t="shared" ca="1" si="15"/>
        <v>0</v>
      </c>
      <c r="AP143" s="402">
        <f t="shared" ca="1" si="16"/>
        <v>0</v>
      </c>
      <c r="AQ143" s="402">
        <f t="shared" ca="1" si="17"/>
        <v>0</v>
      </c>
      <c r="AR143" s="402">
        <f t="shared" ca="1" si="18"/>
        <v>0</v>
      </c>
      <c r="AS143" s="403"/>
      <c r="AT143" s="402">
        <f t="shared" si="19"/>
        <v>1</v>
      </c>
    </row>
    <row r="144" spans="1:46" ht="15.75" customHeight="1">
      <c r="A144" s="382"/>
      <c r="B144" s="383">
        <f t="shared" ca="1" si="0"/>
        <v>3</v>
      </c>
      <c r="C144" s="384">
        <f t="shared" ca="1" si="1"/>
        <v>1</v>
      </c>
      <c r="D144" s="384">
        <f t="shared" ca="1" si="2"/>
        <v>28</v>
      </c>
      <c r="E144" s="384">
        <f t="shared" ca="1" si="3"/>
        <v>1</v>
      </c>
      <c r="F144" s="384" t="str">
        <f t="shared" ca="1" si="4"/>
        <v/>
      </c>
      <c r="G144" s="385" t="str">
        <f t="shared" ca="1" si="5"/>
        <v/>
      </c>
      <c r="H144" s="386" t="str">
        <f t="shared" ca="1" si="6"/>
        <v/>
      </c>
      <c r="I144" s="404"/>
      <c r="J144" s="415"/>
      <c r="K144" s="428"/>
      <c r="L144" s="428" t="s">
        <v>59</v>
      </c>
      <c r="M144" s="428"/>
      <c r="N144" s="428"/>
      <c r="O144" s="428"/>
      <c r="P144" s="428"/>
      <c r="Q144" s="429"/>
      <c r="R144" s="417" t="s">
        <v>304</v>
      </c>
      <c r="S144" s="418">
        <v>45890</v>
      </c>
      <c r="T144" s="419">
        <v>45895</v>
      </c>
      <c r="U144" s="418"/>
      <c r="V144" s="419"/>
      <c r="W144" s="430"/>
      <c r="X144" s="431"/>
      <c r="Y144" s="434"/>
      <c r="Z144" s="433"/>
      <c r="AA144" s="396"/>
      <c r="AB144" s="397"/>
      <c r="AC144" s="398"/>
      <c r="AD144" s="399"/>
      <c r="AE144" s="400"/>
      <c r="AF144" s="401"/>
      <c r="AG144" s="401">
        <f t="shared" ca="1" si="7"/>
        <v>0</v>
      </c>
      <c r="AH144" s="401">
        <f t="shared" ca="1" si="8"/>
        <v>0</v>
      </c>
      <c r="AI144" s="401">
        <f t="shared" si="9"/>
        <v>0</v>
      </c>
      <c r="AJ144" s="401">
        <f t="shared" ca="1" si="10"/>
        <v>0</v>
      </c>
      <c r="AK144" s="401" t="str">
        <f t="shared" ca="1" si="11"/>
        <v/>
      </c>
      <c r="AL144" s="402">
        <f t="shared" ca="1" si="12"/>
        <v>3</v>
      </c>
      <c r="AM144" s="402">
        <f t="shared" ca="1" si="13"/>
        <v>1</v>
      </c>
      <c r="AN144" s="402">
        <f t="shared" ca="1" si="14"/>
        <v>28</v>
      </c>
      <c r="AO144" s="402">
        <f t="shared" ca="1" si="15"/>
        <v>1</v>
      </c>
      <c r="AP144" s="402">
        <f t="shared" ca="1" si="16"/>
        <v>0</v>
      </c>
      <c r="AQ144" s="402">
        <f t="shared" ca="1" si="17"/>
        <v>0</v>
      </c>
      <c r="AR144" s="402">
        <f t="shared" ca="1" si="18"/>
        <v>0</v>
      </c>
      <c r="AS144" s="403"/>
      <c r="AT144" s="402">
        <f t="shared" si="19"/>
        <v>6</v>
      </c>
    </row>
    <row r="145" spans="1:46" ht="15.75" customHeight="1">
      <c r="A145" s="382"/>
      <c r="B145" s="383">
        <f t="shared" ca="1" si="0"/>
        <v>3</v>
      </c>
      <c r="C145" s="384">
        <f t="shared" ca="1" si="1"/>
        <v>1</v>
      </c>
      <c r="D145" s="384">
        <f t="shared" ca="1" si="2"/>
        <v>28</v>
      </c>
      <c r="E145" s="384">
        <f t="shared" ca="1" si="3"/>
        <v>2</v>
      </c>
      <c r="F145" s="384" t="str">
        <f t="shared" ca="1" si="4"/>
        <v/>
      </c>
      <c r="G145" s="385" t="str">
        <f t="shared" ca="1" si="5"/>
        <v/>
      </c>
      <c r="H145" s="386" t="str">
        <f t="shared" ca="1" si="6"/>
        <v/>
      </c>
      <c r="I145" s="404"/>
      <c r="J145" s="415"/>
      <c r="K145" s="428"/>
      <c r="L145" s="428" t="s">
        <v>61</v>
      </c>
      <c r="M145" s="428"/>
      <c r="N145" s="428"/>
      <c r="O145" s="428"/>
      <c r="P145" s="428"/>
      <c r="Q145" s="429"/>
      <c r="R145" s="417" t="s">
        <v>284</v>
      </c>
      <c r="S145" s="418">
        <v>45896</v>
      </c>
      <c r="T145" s="419">
        <v>45896</v>
      </c>
      <c r="U145" s="418"/>
      <c r="V145" s="419"/>
      <c r="W145" s="430"/>
      <c r="X145" s="431"/>
      <c r="Y145" s="434"/>
      <c r="Z145" s="433"/>
      <c r="AA145" s="396"/>
      <c r="AB145" s="397"/>
      <c r="AC145" s="398"/>
      <c r="AD145" s="399"/>
      <c r="AE145" s="400"/>
      <c r="AF145" s="401"/>
      <c r="AG145" s="401">
        <f t="shared" ca="1" si="7"/>
        <v>0</v>
      </c>
      <c r="AH145" s="401">
        <f t="shared" ca="1" si="8"/>
        <v>0</v>
      </c>
      <c r="AI145" s="401">
        <f t="shared" si="9"/>
        <v>0</v>
      </c>
      <c r="AJ145" s="401">
        <f t="shared" ca="1" si="10"/>
        <v>0</v>
      </c>
      <c r="AK145" s="401" t="str">
        <f t="shared" ca="1" si="11"/>
        <v/>
      </c>
      <c r="AL145" s="402">
        <f t="shared" ca="1" si="12"/>
        <v>3</v>
      </c>
      <c r="AM145" s="402">
        <f t="shared" ca="1" si="13"/>
        <v>1</v>
      </c>
      <c r="AN145" s="402">
        <f t="shared" ca="1" si="14"/>
        <v>28</v>
      </c>
      <c r="AO145" s="402">
        <f t="shared" ca="1" si="15"/>
        <v>2</v>
      </c>
      <c r="AP145" s="402">
        <f t="shared" ca="1" si="16"/>
        <v>0</v>
      </c>
      <c r="AQ145" s="402">
        <f t="shared" ca="1" si="17"/>
        <v>0</v>
      </c>
      <c r="AR145" s="402">
        <f t="shared" ca="1" si="18"/>
        <v>0</v>
      </c>
      <c r="AS145" s="403"/>
      <c r="AT145" s="402">
        <f t="shared" si="19"/>
        <v>1</v>
      </c>
    </row>
    <row r="146" spans="1:46" ht="15.75" customHeight="1">
      <c r="A146" s="382"/>
      <c r="B146" s="383">
        <f t="shared" ca="1" si="0"/>
        <v>3</v>
      </c>
      <c r="C146" s="384">
        <f t="shared" ca="1" si="1"/>
        <v>1</v>
      </c>
      <c r="D146" s="384">
        <f t="shared" ca="1" si="2"/>
        <v>29</v>
      </c>
      <c r="E146" s="384" t="str">
        <f t="shared" ca="1" si="3"/>
        <v/>
      </c>
      <c r="F146" s="384" t="str">
        <f t="shared" ca="1" si="4"/>
        <v/>
      </c>
      <c r="G146" s="385" t="str">
        <f t="shared" ca="1" si="5"/>
        <v/>
      </c>
      <c r="H146" s="386" t="str">
        <f t="shared" ca="1" si="6"/>
        <v/>
      </c>
      <c r="I146" s="404"/>
      <c r="J146" s="415"/>
      <c r="K146" s="428" t="s">
        <v>321</v>
      </c>
      <c r="L146" s="428"/>
      <c r="M146" s="428"/>
      <c r="N146" s="428"/>
      <c r="O146" s="428"/>
      <c r="P146" s="428"/>
      <c r="Q146" s="429"/>
      <c r="R146" s="417"/>
      <c r="S146" s="418"/>
      <c r="T146" s="419"/>
      <c r="U146" s="418"/>
      <c r="V146" s="419"/>
      <c r="W146" s="430"/>
      <c r="X146" s="431"/>
      <c r="Y146" s="434"/>
      <c r="Z146" s="433"/>
      <c r="AA146" s="396"/>
      <c r="AB146" s="397"/>
      <c r="AC146" s="398"/>
      <c r="AD146" s="399"/>
      <c r="AE146" s="400"/>
      <c r="AF146" s="401"/>
      <c r="AG146" s="401">
        <f t="shared" si="7"/>
        <v>0</v>
      </c>
      <c r="AH146" s="401">
        <f t="shared" si="8"/>
        <v>0</v>
      </c>
      <c r="AI146" s="401">
        <f t="shared" si="9"/>
        <v>0</v>
      </c>
      <c r="AJ146" s="401">
        <f t="shared" si="10"/>
        <v>0</v>
      </c>
      <c r="AK146" s="401" t="str">
        <f t="shared" si="11"/>
        <v/>
      </c>
      <c r="AL146" s="402">
        <f t="shared" ca="1" si="12"/>
        <v>3</v>
      </c>
      <c r="AM146" s="402">
        <f t="shared" ca="1" si="13"/>
        <v>1</v>
      </c>
      <c r="AN146" s="402">
        <f t="shared" ca="1" si="14"/>
        <v>29</v>
      </c>
      <c r="AO146" s="402">
        <f t="shared" ca="1" si="15"/>
        <v>0</v>
      </c>
      <c r="AP146" s="402">
        <f t="shared" ca="1" si="16"/>
        <v>0</v>
      </c>
      <c r="AQ146" s="402">
        <f t="shared" ca="1" si="17"/>
        <v>0</v>
      </c>
      <c r="AR146" s="402">
        <f t="shared" ca="1" si="18"/>
        <v>0</v>
      </c>
      <c r="AS146" s="403"/>
      <c r="AT146" s="402">
        <f t="shared" si="19"/>
        <v>1</v>
      </c>
    </row>
    <row r="147" spans="1:46" ht="15.75" customHeight="1">
      <c r="A147" s="382"/>
      <c r="B147" s="383">
        <f t="shared" ca="1" si="0"/>
        <v>3</v>
      </c>
      <c r="C147" s="384">
        <f t="shared" ca="1" si="1"/>
        <v>1</v>
      </c>
      <c r="D147" s="384">
        <f t="shared" ca="1" si="2"/>
        <v>29</v>
      </c>
      <c r="E147" s="384">
        <f t="shared" ca="1" si="3"/>
        <v>1</v>
      </c>
      <c r="F147" s="384" t="str">
        <f t="shared" ca="1" si="4"/>
        <v/>
      </c>
      <c r="G147" s="385" t="str">
        <f t="shared" ca="1" si="5"/>
        <v/>
      </c>
      <c r="H147" s="386" t="str">
        <f t="shared" ca="1" si="6"/>
        <v/>
      </c>
      <c r="I147" s="404"/>
      <c r="J147" s="415"/>
      <c r="K147" s="428"/>
      <c r="L147" s="428" t="s">
        <v>59</v>
      </c>
      <c r="M147" s="428"/>
      <c r="N147" s="428"/>
      <c r="O147" s="428"/>
      <c r="P147" s="428"/>
      <c r="Q147" s="429"/>
      <c r="R147" s="417" t="s">
        <v>304</v>
      </c>
      <c r="S147" s="418">
        <v>45896</v>
      </c>
      <c r="T147" s="419">
        <v>45901</v>
      </c>
      <c r="U147" s="418"/>
      <c r="V147" s="419"/>
      <c r="W147" s="430"/>
      <c r="X147" s="431"/>
      <c r="Y147" s="434"/>
      <c r="Z147" s="433"/>
      <c r="AA147" s="396"/>
      <c r="AB147" s="397"/>
      <c r="AC147" s="398"/>
      <c r="AD147" s="399"/>
      <c r="AE147" s="400"/>
      <c r="AF147" s="401"/>
      <c r="AG147" s="401">
        <f t="shared" ca="1" si="7"/>
        <v>0</v>
      </c>
      <c r="AH147" s="401">
        <f t="shared" ca="1" si="8"/>
        <v>0</v>
      </c>
      <c r="AI147" s="401">
        <f t="shared" si="9"/>
        <v>0</v>
      </c>
      <c r="AJ147" s="401">
        <f t="shared" ca="1" si="10"/>
        <v>0</v>
      </c>
      <c r="AK147" s="401" t="str">
        <f t="shared" ca="1" si="11"/>
        <v/>
      </c>
      <c r="AL147" s="402">
        <f t="shared" ca="1" si="12"/>
        <v>3</v>
      </c>
      <c r="AM147" s="402">
        <f t="shared" ca="1" si="13"/>
        <v>1</v>
      </c>
      <c r="AN147" s="402">
        <f t="shared" ca="1" si="14"/>
        <v>29</v>
      </c>
      <c r="AO147" s="402">
        <f t="shared" ca="1" si="15"/>
        <v>1</v>
      </c>
      <c r="AP147" s="402">
        <f t="shared" ca="1" si="16"/>
        <v>0</v>
      </c>
      <c r="AQ147" s="402">
        <f t="shared" ca="1" si="17"/>
        <v>0</v>
      </c>
      <c r="AR147" s="402">
        <f t="shared" ca="1" si="18"/>
        <v>0</v>
      </c>
      <c r="AS147" s="403"/>
      <c r="AT147" s="402">
        <f t="shared" si="19"/>
        <v>6</v>
      </c>
    </row>
    <row r="148" spans="1:46" ht="15.75" customHeight="1">
      <c r="A148" s="382"/>
      <c r="B148" s="383">
        <f t="shared" ca="1" si="0"/>
        <v>3</v>
      </c>
      <c r="C148" s="384">
        <f t="shared" ca="1" si="1"/>
        <v>1</v>
      </c>
      <c r="D148" s="384">
        <f t="shared" ca="1" si="2"/>
        <v>29</v>
      </c>
      <c r="E148" s="384">
        <f t="shared" ca="1" si="3"/>
        <v>2</v>
      </c>
      <c r="F148" s="384" t="str">
        <f t="shared" ca="1" si="4"/>
        <v/>
      </c>
      <c r="G148" s="385" t="str">
        <f t="shared" ca="1" si="5"/>
        <v/>
      </c>
      <c r="H148" s="386" t="str">
        <f t="shared" ca="1" si="6"/>
        <v/>
      </c>
      <c r="I148" s="404"/>
      <c r="J148" s="415"/>
      <c r="K148" s="428"/>
      <c r="L148" s="428" t="s">
        <v>61</v>
      </c>
      <c r="M148" s="428"/>
      <c r="N148" s="428"/>
      <c r="O148" s="428"/>
      <c r="P148" s="428"/>
      <c r="Q148" s="429"/>
      <c r="R148" s="417" t="s">
        <v>284</v>
      </c>
      <c r="S148" s="418">
        <v>45902</v>
      </c>
      <c r="T148" s="419">
        <v>45902</v>
      </c>
      <c r="U148" s="418"/>
      <c r="V148" s="419"/>
      <c r="W148" s="430"/>
      <c r="X148" s="431"/>
      <c r="Y148" s="434"/>
      <c r="Z148" s="433"/>
      <c r="AA148" s="396"/>
      <c r="AB148" s="397"/>
      <c r="AC148" s="398"/>
      <c r="AD148" s="399"/>
      <c r="AE148" s="400"/>
      <c r="AF148" s="401"/>
      <c r="AG148" s="401">
        <f t="shared" ca="1" si="7"/>
        <v>0</v>
      </c>
      <c r="AH148" s="401">
        <f t="shared" ca="1" si="8"/>
        <v>0</v>
      </c>
      <c r="AI148" s="401">
        <f t="shared" si="9"/>
        <v>0</v>
      </c>
      <c r="AJ148" s="401">
        <f t="shared" ca="1" si="10"/>
        <v>0</v>
      </c>
      <c r="AK148" s="401" t="str">
        <f t="shared" ca="1" si="11"/>
        <v/>
      </c>
      <c r="AL148" s="402">
        <f t="shared" ca="1" si="12"/>
        <v>3</v>
      </c>
      <c r="AM148" s="402">
        <f t="shared" ca="1" si="13"/>
        <v>1</v>
      </c>
      <c r="AN148" s="402">
        <f t="shared" ca="1" si="14"/>
        <v>29</v>
      </c>
      <c r="AO148" s="402">
        <f t="shared" ca="1" si="15"/>
        <v>2</v>
      </c>
      <c r="AP148" s="402">
        <f t="shared" ca="1" si="16"/>
        <v>0</v>
      </c>
      <c r="AQ148" s="402">
        <f t="shared" ca="1" si="17"/>
        <v>0</v>
      </c>
      <c r="AR148" s="402">
        <f t="shared" ca="1" si="18"/>
        <v>0</v>
      </c>
      <c r="AS148" s="403"/>
      <c r="AT148" s="402">
        <f t="shared" si="19"/>
        <v>1</v>
      </c>
    </row>
    <row r="149" spans="1:46" ht="15.75" customHeight="1">
      <c r="A149" s="382"/>
      <c r="B149" s="383">
        <f t="shared" ca="1" si="0"/>
        <v>3</v>
      </c>
      <c r="C149" s="384">
        <f t="shared" ca="1" si="1"/>
        <v>1</v>
      </c>
      <c r="D149" s="384">
        <f t="shared" ca="1" si="2"/>
        <v>30</v>
      </c>
      <c r="E149" s="384" t="str">
        <f t="shared" ca="1" si="3"/>
        <v/>
      </c>
      <c r="F149" s="384" t="str">
        <f t="shared" ca="1" si="4"/>
        <v/>
      </c>
      <c r="G149" s="385" t="str">
        <f t="shared" ca="1" si="5"/>
        <v/>
      </c>
      <c r="H149" s="386" t="str">
        <f t="shared" ca="1" si="6"/>
        <v/>
      </c>
      <c r="I149" s="404"/>
      <c r="J149" s="415"/>
      <c r="K149" s="428" t="s">
        <v>322</v>
      </c>
      <c r="L149" s="428"/>
      <c r="M149" s="428"/>
      <c r="N149" s="428"/>
      <c r="O149" s="428"/>
      <c r="P149" s="428"/>
      <c r="Q149" s="429"/>
      <c r="R149" s="417"/>
      <c r="S149" s="418"/>
      <c r="T149" s="419"/>
      <c r="U149" s="418"/>
      <c r="V149" s="419"/>
      <c r="W149" s="430"/>
      <c r="X149" s="431"/>
      <c r="Y149" s="434"/>
      <c r="Z149" s="433"/>
      <c r="AA149" s="396"/>
      <c r="AB149" s="397"/>
      <c r="AC149" s="398"/>
      <c r="AD149" s="399"/>
      <c r="AE149" s="400"/>
      <c r="AF149" s="401"/>
      <c r="AG149" s="401">
        <f t="shared" si="7"/>
        <v>0</v>
      </c>
      <c r="AH149" s="401">
        <f t="shared" si="8"/>
        <v>0</v>
      </c>
      <c r="AI149" s="401">
        <f t="shared" si="9"/>
        <v>0</v>
      </c>
      <c r="AJ149" s="401">
        <f t="shared" si="10"/>
        <v>0</v>
      </c>
      <c r="AK149" s="401" t="str">
        <f t="shared" si="11"/>
        <v/>
      </c>
      <c r="AL149" s="402">
        <f t="shared" ca="1" si="12"/>
        <v>3</v>
      </c>
      <c r="AM149" s="402">
        <f t="shared" ca="1" si="13"/>
        <v>1</v>
      </c>
      <c r="AN149" s="402">
        <f t="shared" ca="1" si="14"/>
        <v>30</v>
      </c>
      <c r="AO149" s="402">
        <f t="shared" ca="1" si="15"/>
        <v>0</v>
      </c>
      <c r="AP149" s="402">
        <f t="shared" ca="1" si="16"/>
        <v>0</v>
      </c>
      <c r="AQ149" s="402">
        <f t="shared" ca="1" si="17"/>
        <v>0</v>
      </c>
      <c r="AR149" s="402">
        <f t="shared" ca="1" si="18"/>
        <v>0</v>
      </c>
      <c r="AS149" s="403"/>
      <c r="AT149" s="402">
        <f t="shared" si="19"/>
        <v>1</v>
      </c>
    </row>
    <row r="150" spans="1:46" ht="15.75" customHeight="1">
      <c r="A150" s="382"/>
      <c r="B150" s="383">
        <f t="shared" ca="1" si="0"/>
        <v>3</v>
      </c>
      <c r="C150" s="384">
        <f t="shared" ca="1" si="1"/>
        <v>1</v>
      </c>
      <c r="D150" s="384">
        <f t="shared" ca="1" si="2"/>
        <v>30</v>
      </c>
      <c r="E150" s="384">
        <f t="shared" ca="1" si="3"/>
        <v>1</v>
      </c>
      <c r="F150" s="384" t="str">
        <f t="shared" ca="1" si="4"/>
        <v/>
      </c>
      <c r="G150" s="385" t="str">
        <f t="shared" ca="1" si="5"/>
        <v/>
      </c>
      <c r="H150" s="386" t="str">
        <f t="shared" ca="1" si="6"/>
        <v/>
      </c>
      <c r="I150" s="404"/>
      <c r="J150" s="415"/>
      <c r="K150" s="428"/>
      <c r="L150" s="428" t="s">
        <v>59</v>
      </c>
      <c r="M150" s="428"/>
      <c r="N150" s="428"/>
      <c r="O150" s="428"/>
      <c r="P150" s="428"/>
      <c r="Q150" s="429"/>
      <c r="R150" s="417" t="s">
        <v>304</v>
      </c>
      <c r="S150" s="418">
        <v>45902</v>
      </c>
      <c r="T150" s="419">
        <v>45905</v>
      </c>
      <c r="U150" s="418"/>
      <c r="V150" s="419"/>
      <c r="W150" s="430"/>
      <c r="X150" s="431"/>
      <c r="Y150" s="434"/>
      <c r="Z150" s="433"/>
      <c r="AA150" s="396"/>
      <c r="AB150" s="397"/>
      <c r="AC150" s="398"/>
      <c r="AD150" s="399"/>
      <c r="AE150" s="400"/>
      <c r="AF150" s="401"/>
      <c r="AG150" s="401">
        <f t="shared" ca="1" si="7"/>
        <v>0</v>
      </c>
      <c r="AH150" s="401">
        <f t="shared" ca="1" si="8"/>
        <v>0</v>
      </c>
      <c r="AI150" s="401">
        <f t="shared" si="9"/>
        <v>0</v>
      </c>
      <c r="AJ150" s="401">
        <f t="shared" ca="1" si="10"/>
        <v>0</v>
      </c>
      <c r="AK150" s="401" t="str">
        <f t="shared" ca="1" si="11"/>
        <v/>
      </c>
      <c r="AL150" s="402">
        <f t="shared" ca="1" si="12"/>
        <v>3</v>
      </c>
      <c r="AM150" s="402">
        <f t="shared" ca="1" si="13"/>
        <v>1</v>
      </c>
      <c r="AN150" s="402">
        <f t="shared" ca="1" si="14"/>
        <v>30</v>
      </c>
      <c r="AO150" s="402">
        <f t="shared" ca="1" si="15"/>
        <v>1</v>
      </c>
      <c r="AP150" s="402">
        <f t="shared" ca="1" si="16"/>
        <v>0</v>
      </c>
      <c r="AQ150" s="402">
        <f t="shared" ca="1" si="17"/>
        <v>0</v>
      </c>
      <c r="AR150" s="402">
        <f t="shared" ca="1" si="18"/>
        <v>0</v>
      </c>
      <c r="AS150" s="403"/>
      <c r="AT150" s="402">
        <f t="shared" si="19"/>
        <v>4</v>
      </c>
    </row>
    <row r="151" spans="1:46" ht="15.75" customHeight="1">
      <c r="A151" s="382"/>
      <c r="B151" s="383">
        <f t="shared" ca="1" si="0"/>
        <v>3</v>
      </c>
      <c r="C151" s="384">
        <f t="shared" ca="1" si="1"/>
        <v>1</v>
      </c>
      <c r="D151" s="384">
        <f t="shared" ca="1" si="2"/>
        <v>30</v>
      </c>
      <c r="E151" s="384">
        <f t="shared" ca="1" si="3"/>
        <v>2</v>
      </c>
      <c r="F151" s="384" t="str">
        <f t="shared" ca="1" si="4"/>
        <v/>
      </c>
      <c r="G151" s="385" t="str">
        <f t="shared" ca="1" si="5"/>
        <v/>
      </c>
      <c r="H151" s="386" t="str">
        <f t="shared" ca="1" si="6"/>
        <v/>
      </c>
      <c r="I151" s="404"/>
      <c r="J151" s="415"/>
      <c r="K151" s="428"/>
      <c r="L151" s="428" t="s">
        <v>61</v>
      </c>
      <c r="M151" s="428"/>
      <c r="N151" s="428"/>
      <c r="O151" s="428"/>
      <c r="P151" s="428"/>
      <c r="Q151" s="429"/>
      <c r="R151" s="417" t="s">
        <v>284</v>
      </c>
      <c r="S151" s="418">
        <v>45908</v>
      </c>
      <c r="T151" s="419">
        <v>45908</v>
      </c>
      <c r="U151" s="418"/>
      <c r="V151" s="419"/>
      <c r="W151" s="430"/>
      <c r="X151" s="431"/>
      <c r="Y151" s="434"/>
      <c r="Z151" s="433"/>
      <c r="AA151" s="396"/>
      <c r="AB151" s="397"/>
      <c r="AC151" s="398"/>
      <c r="AD151" s="399"/>
      <c r="AE151" s="400"/>
      <c r="AF151" s="401"/>
      <c r="AG151" s="401">
        <f t="shared" ca="1" si="7"/>
        <v>0</v>
      </c>
      <c r="AH151" s="401">
        <f t="shared" ca="1" si="8"/>
        <v>0</v>
      </c>
      <c r="AI151" s="401">
        <f t="shared" si="9"/>
        <v>0</v>
      </c>
      <c r="AJ151" s="401">
        <f t="shared" ca="1" si="10"/>
        <v>0</v>
      </c>
      <c r="AK151" s="401" t="str">
        <f t="shared" ca="1" si="11"/>
        <v/>
      </c>
      <c r="AL151" s="402">
        <f t="shared" ca="1" si="12"/>
        <v>3</v>
      </c>
      <c r="AM151" s="402">
        <f t="shared" ca="1" si="13"/>
        <v>1</v>
      </c>
      <c r="AN151" s="402">
        <f t="shared" ca="1" si="14"/>
        <v>30</v>
      </c>
      <c r="AO151" s="402">
        <f t="shared" ca="1" si="15"/>
        <v>2</v>
      </c>
      <c r="AP151" s="402">
        <f t="shared" ca="1" si="16"/>
        <v>0</v>
      </c>
      <c r="AQ151" s="402">
        <f t="shared" ca="1" si="17"/>
        <v>0</v>
      </c>
      <c r="AR151" s="402">
        <f t="shared" ca="1" si="18"/>
        <v>0</v>
      </c>
      <c r="AS151" s="403"/>
      <c r="AT151" s="402">
        <f t="shared" si="19"/>
        <v>1</v>
      </c>
    </row>
    <row r="152" spans="1:46" ht="15.75" customHeight="1">
      <c r="A152" s="382"/>
      <c r="B152" s="383">
        <f t="shared" ca="1" si="0"/>
        <v>3</v>
      </c>
      <c r="C152" s="384">
        <f t="shared" ca="1" si="1"/>
        <v>1</v>
      </c>
      <c r="D152" s="384">
        <f t="shared" ca="1" si="2"/>
        <v>31</v>
      </c>
      <c r="E152" s="384" t="str">
        <f t="shared" ca="1" si="3"/>
        <v/>
      </c>
      <c r="F152" s="384" t="str">
        <f t="shared" ca="1" si="4"/>
        <v/>
      </c>
      <c r="G152" s="385" t="str">
        <f t="shared" ca="1" si="5"/>
        <v/>
      </c>
      <c r="H152" s="386" t="str">
        <f t="shared" ca="1" si="6"/>
        <v/>
      </c>
      <c r="I152" s="404"/>
      <c r="J152" s="415"/>
      <c r="K152" s="428" t="s">
        <v>323</v>
      </c>
      <c r="L152" s="428"/>
      <c r="M152" s="428"/>
      <c r="N152" s="428"/>
      <c r="O152" s="428"/>
      <c r="P152" s="428"/>
      <c r="Q152" s="429"/>
      <c r="R152" s="417"/>
      <c r="S152" s="418"/>
      <c r="T152" s="419"/>
      <c r="U152" s="418"/>
      <c r="V152" s="419"/>
      <c r="W152" s="430"/>
      <c r="X152" s="431"/>
      <c r="Y152" s="434"/>
      <c r="Z152" s="433"/>
      <c r="AA152" s="396"/>
      <c r="AB152" s="397"/>
      <c r="AC152" s="398"/>
      <c r="AD152" s="399"/>
      <c r="AE152" s="400"/>
      <c r="AF152" s="401"/>
      <c r="AG152" s="401">
        <f t="shared" si="7"/>
        <v>0</v>
      </c>
      <c r="AH152" s="401">
        <f t="shared" si="8"/>
        <v>0</v>
      </c>
      <c r="AI152" s="401">
        <f t="shared" si="9"/>
        <v>0</v>
      </c>
      <c r="AJ152" s="401">
        <f t="shared" si="10"/>
        <v>0</v>
      </c>
      <c r="AK152" s="401" t="str">
        <f t="shared" si="11"/>
        <v/>
      </c>
      <c r="AL152" s="402">
        <f t="shared" ca="1" si="12"/>
        <v>3</v>
      </c>
      <c r="AM152" s="402">
        <f t="shared" ca="1" si="13"/>
        <v>1</v>
      </c>
      <c r="AN152" s="402">
        <f t="shared" ca="1" si="14"/>
        <v>31</v>
      </c>
      <c r="AO152" s="402">
        <f t="shared" ca="1" si="15"/>
        <v>0</v>
      </c>
      <c r="AP152" s="402">
        <f t="shared" ca="1" si="16"/>
        <v>0</v>
      </c>
      <c r="AQ152" s="402">
        <f t="shared" ca="1" si="17"/>
        <v>0</v>
      </c>
      <c r="AR152" s="402">
        <f t="shared" ca="1" si="18"/>
        <v>0</v>
      </c>
      <c r="AS152" s="403"/>
      <c r="AT152" s="402">
        <f t="shared" si="19"/>
        <v>1</v>
      </c>
    </row>
    <row r="153" spans="1:46" ht="15.75" customHeight="1">
      <c r="A153" s="382"/>
      <c r="B153" s="383">
        <f t="shared" ca="1" si="0"/>
        <v>3</v>
      </c>
      <c r="C153" s="384">
        <f t="shared" ca="1" si="1"/>
        <v>1</v>
      </c>
      <c r="D153" s="384">
        <f t="shared" ca="1" si="2"/>
        <v>31</v>
      </c>
      <c r="E153" s="384">
        <f t="shared" ca="1" si="3"/>
        <v>1</v>
      </c>
      <c r="F153" s="384" t="str">
        <f t="shared" ca="1" si="4"/>
        <v/>
      </c>
      <c r="G153" s="385" t="str">
        <f t="shared" ca="1" si="5"/>
        <v/>
      </c>
      <c r="H153" s="386" t="str">
        <f t="shared" ca="1" si="6"/>
        <v/>
      </c>
      <c r="I153" s="404"/>
      <c r="J153" s="415"/>
      <c r="K153" s="428"/>
      <c r="L153" s="428" t="s">
        <v>59</v>
      </c>
      <c r="M153" s="428"/>
      <c r="N153" s="428"/>
      <c r="O153" s="428"/>
      <c r="P153" s="428"/>
      <c r="Q153" s="429"/>
      <c r="R153" s="417" t="s">
        <v>304</v>
      </c>
      <c r="S153" s="418">
        <v>45909</v>
      </c>
      <c r="T153" s="419">
        <v>45912</v>
      </c>
      <c r="U153" s="418"/>
      <c r="V153" s="419"/>
      <c r="W153" s="430"/>
      <c r="X153" s="431"/>
      <c r="Y153" s="434"/>
      <c r="Z153" s="433"/>
      <c r="AA153" s="396"/>
      <c r="AB153" s="397"/>
      <c r="AC153" s="398"/>
      <c r="AD153" s="399"/>
      <c r="AE153" s="400"/>
      <c r="AF153" s="401"/>
      <c r="AG153" s="401">
        <f t="shared" ca="1" si="7"/>
        <v>0</v>
      </c>
      <c r="AH153" s="401">
        <f t="shared" ca="1" si="8"/>
        <v>0</v>
      </c>
      <c r="AI153" s="401">
        <f t="shared" si="9"/>
        <v>0</v>
      </c>
      <c r="AJ153" s="401">
        <f t="shared" ca="1" si="10"/>
        <v>0</v>
      </c>
      <c r="AK153" s="401" t="str">
        <f t="shared" ca="1" si="11"/>
        <v/>
      </c>
      <c r="AL153" s="402">
        <f t="shared" ca="1" si="12"/>
        <v>3</v>
      </c>
      <c r="AM153" s="402">
        <f t="shared" ca="1" si="13"/>
        <v>1</v>
      </c>
      <c r="AN153" s="402">
        <f t="shared" ca="1" si="14"/>
        <v>31</v>
      </c>
      <c r="AO153" s="402">
        <f t="shared" ca="1" si="15"/>
        <v>1</v>
      </c>
      <c r="AP153" s="402">
        <f t="shared" ca="1" si="16"/>
        <v>0</v>
      </c>
      <c r="AQ153" s="402">
        <f t="shared" ca="1" si="17"/>
        <v>0</v>
      </c>
      <c r="AR153" s="402">
        <f t="shared" ca="1" si="18"/>
        <v>0</v>
      </c>
      <c r="AS153" s="403"/>
      <c r="AT153" s="402">
        <f t="shared" si="19"/>
        <v>4</v>
      </c>
    </row>
    <row r="154" spans="1:46" ht="15.75" customHeight="1">
      <c r="A154" s="382"/>
      <c r="B154" s="383">
        <f t="shared" ca="1" si="0"/>
        <v>3</v>
      </c>
      <c r="C154" s="384">
        <f t="shared" ca="1" si="1"/>
        <v>1</v>
      </c>
      <c r="D154" s="384">
        <f t="shared" ca="1" si="2"/>
        <v>31</v>
      </c>
      <c r="E154" s="384">
        <f t="shared" ca="1" si="3"/>
        <v>2</v>
      </c>
      <c r="F154" s="384" t="str">
        <f t="shared" ca="1" si="4"/>
        <v/>
      </c>
      <c r="G154" s="385" t="str">
        <f t="shared" ca="1" si="5"/>
        <v/>
      </c>
      <c r="H154" s="386" t="str">
        <f t="shared" ca="1" si="6"/>
        <v/>
      </c>
      <c r="I154" s="404"/>
      <c r="J154" s="415"/>
      <c r="K154" s="428"/>
      <c r="L154" s="428" t="s">
        <v>61</v>
      </c>
      <c r="M154" s="428"/>
      <c r="N154" s="428"/>
      <c r="O154" s="428"/>
      <c r="P154" s="428"/>
      <c r="Q154" s="429"/>
      <c r="R154" s="417" t="s">
        <v>284</v>
      </c>
      <c r="S154" s="418">
        <v>45916</v>
      </c>
      <c r="T154" s="419">
        <v>45916</v>
      </c>
      <c r="U154" s="418"/>
      <c r="V154" s="419"/>
      <c r="W154" s="430"/>
      <c r="X154" s="431"/>
      <c r="Y154" s="434"/>
      <c r="Z154" s="433"/>
      <c r="AA154" s="396"/>
      <c r="AB154" s="397"/>
      <c r="AC154" s="398"/>
      <c r="AD154" s="399"/>
      <c r="AE154" s="400"/>
      <c r="AF154" s="401"/>
      <c r="AG154" s="401">
        <f t="shared" ca="1" si="7"/>
        <v>0</v>
      </c>
      <c r="AH154" s="401">
        <f t="shared" ca="1" si="8"/>
        <v>0</v>
      </c>
      <c r="AI154" s="401">
        <f t="shared" si="9"/>
        <v>0</v>
      </c>
      <c r="AJ154" s="401">
        <f t="shared" ca="1" si="10"/>
        <v>0</v>
      </c>
      <c r="AK154" s="401" t="str">
        <f t="shared" ca="1" si="11"/>
        <v/>
      </c>
      <c r="AL154" s="402">
        <f t="shared" ca="1" si="12"/>
        <v>3</v>
      </c>
      <c r="AM154" s="402">
        <f t="shared" ca="1" si="13"/>
        <v>1</v>
      </c>
      <c r="AN154" s="402">
        <f t="shared" ca="1" si="14"/>
        <v>31</v>
      </c>
      <c r="AO154" s="402">
        <f t="shared" ca="1" si="15"/>
        <v>2</v>
      </c>
      <c r="AP154" s="402">
        <f t="shared" ca="1" si="16"/>
        <v>0</v>
      </c>
      <c r="AQ154" s="402">
        <f t="shared" ca="1" si="17"/>
        <v>0</v>
      </c>
      <c r="AR154" s="402">
        <f t="shared" ca="1" si="18"/>
        <v>0</v>
      </c>
      <c r="AS154" s="403"/>
      <c r="AT154" s="402">
        <f t="shared" si="19"/>
        <v>1</v>
      </c>
    </row>
    <row r="155" spans="1:46" ht="15.75" customHeight="1">
      <c r="A155" s="382"/>
      <c r="B155" s="383">
        <f t="shared" ca="1" si="0"/>
        <v>3</v>
      </c>
      <c r="C155" s="384">
        <f t="shared" ca="1" si="1"/>
        <v>1</v>
      </c>
      <c r="D155" s="384">
        <f t="shared" ca="1" si="2"/>
        <v>32</v>
      </c>
      <c r="E155" s="384" t="str">
        <f t="shared" ca="1" si="3"/>
        <v/>
      </c>
      <c r="F155" s="384" t="str">
        <f t="shared" ca="1" si="4"/>
        <v/>
      </c>
      <c r="G155" s="385" t="str">
        <f t="shared" ca="1" si="5"/>
        <v/>
      </c>
      <c r="H155" s="386" t="str">
        <f t="shared" ca="1" si="6"/>
        <v/>
      </c>
      <c r="I155" s="404"/>
      <c r="J155" s="415"/>
      <c r="K155" s="428" t="s">
        <v>324</v>
      </c>
      <c r="L155" s="428"/>
      <c r="M155" s="428"/>
      <c r="N155" s="428"/>
      <c r="O155" s="428"/>
      <c r="P155" s="428"/>
      <c r="Q155" s="429"/>
      <c r="R155" s="417"/>
      <c r="S155" s="418"/>
      <c r="T155" s="419"/>
      <c r="U155" s="418"/>
      <c r="V155" s="419"/>
      <c r="W155" s="430"/>
      <c r="X155" s="431"/>
      <c r="Y155" s="434"/>
      <c r="Z155" s="433"/>
      <c r="AA155" s="396"/>
      <c r="AB155" s="397"/>
      <c r="AC155" s="398"/>
      <c r="AD155" s="399"/>
      <c r="AE155" s="400"/>
      <c r="AF155" s="401"/>
      <c r="AG155" s="401">
        <f t="shared" si="7"/>
        <v>0</v>
      </c>
      <c r="AH155" s="401">
        <f t="shared" si="8"/>
        <v>0</v>
      </c>
      <c r="AI155" s="401">
        <f t="shared" si="9"/>
        <v>0</v>
      </c>
      <c r="AJ155" s="401">
        <f t="shared" si="10"/>
        <v>0</v>
      </c>
      <c r="AK155" s="401" t="str">
        <f t="shared" si="11"/>
        <v/>
      </c>
      <c r="AL155" s="402">
        <f t="shared" ca="1" si="12"/>
        <v>3</v>
      </c>
      <c r="AM155" s="402">
        <f t="shared" ca="1" si="13"/>
        <v>1</v>
      </c>
      <c r="AN155" s="402">
        <f t="shared" ca="1" si="14"/>
        <v>32</v>
      </c>
      <c r="AO155" s="402">
        <f t="shared" ca="1" si="15"/>
        <v>0</v>
      </c>
      <c r="AP155" s="402">
        <f t="shared" ca="1" si="16"/>
        <v>0</v>
      </c>
      <c r="AQ155" s="402">
        <f t="shared" ca="1" si="17"/>
        <v>0</v>
      </c>
      <c r="AR155" s="402">
        <f t="shared" ca="1" si="18"/>
        <v>0</v>
      </c>
      <c r="AS155" s="403"/>
      <c r="AT155" s="402">
        <f t="shared" si="19"/>
        <v>1</v>
      </c>
    </row>
    <row r="156" spans="1:46" ht="15.75" customHeight="1">
      <c r="A156" s="382"/>
      <c r="B156" s="383">
        <f t="shared" ca="1" si="0"/>
        <v>3</v>
      </c>
      <c r="C156" s="384">
        <f t="shared" ca="1" si="1"/>
        <v>1</v>
      </c>
      <c r="D156" s="384">
        <f t="shared" ca="1" si="2"/>
        <v>32</v>
      </c>
      <c r="E156" s="384">
        <f t="shared" ca="1" si="3"/>
        <v>1</v>
      </c>
      <c r="F156" s="384" t="str">
        <f t="shared" ca="1" si="4"/>
        <v/>
      </c>
      <c r="G156" s="385" t="str">
        <f t="shared" ca="1" si="5"/>
        <v/>
      </c>
      <c r="H156" s="386" t="str">
        <f t="shared" ca="1" si="6"/>
        <v/>
      </c>
      <c r="I156" s="404"/>
      <c r="J156" s="415"/>
      <c r="K156" s="428"/>
      <c r="L156" s="428" t="s">
        <v>59</v>
      </c>
      <c r="M156" s="428"/>
      <c r="N156" s="428"/>
      <c r="O156" s="428"/>
      <c r="P156" s="428"/>
      <c r="Q156" s="429"/>
      <c r="R156" s="417" t="s">
        <v>304</v>
      </c>
      <c r="S156" s="418">
        <v>45917</v>
      </c>
      <c r="T156" s="419">
        <v>45922</v>
      </c>
      <c r="U156" s="418"/>
      <c r="V156" s="419"/>
      <c r="W156" s="430"/>
      <c r="X156" s="431"/>
      <c r="Y156" s="434"/>
      <c r="Z156" s="433"/>
      <c r="AA156" s="396"/>
      <c r="AB156" s="397"/>
      <c r="AC156" s="398"/>
      <c r="AD156" s="399"/>
      <c r="AE156" s="400"/>
      <c r="AF156" s="401"/>
      <c r="AG156" s="401">
        <f t="shared" ca="1" si="7"/>
        <v>0</v>
      </c>
      <c r="AH156" s="401">
        <f t="shared" ca="1" si="8"/>
        <v>0</v>
      </c>
      <c r="AI156" s="401">
        <f t="shared" si="9"/>
        <v>0</v>
      </c>
      <c r="AJ156" s="401">
        <f t="shared" ca="1" si="10"/>
        <v>0</v>
      </c>
      <c r="AK156" s="401" t="str">
        <f t="shared" ca="1" si="11"/>
        <v/>
      </c>
      <c r="AL156" s="402">
        <f t="shared" ca="1" si="12"/>
        <v>3</v>
      </c>
      <c r="AM156" s="402">
        <f t="shared" ca="1" si="13"/>
        <v>1</v>
      </c>
      <c r="AN156" s="402">
        <f t="shared" ca="1" si="14"/>
        <v>32</v>
      </c>
      <c r="AO156" s="402">
        <f t="shared" ca="1" si="15"/>
        <v>1</v>
      </c>
      <c r="AP156" s="402">
        <f t="shared" ca="1" si="16"/>
        <v>0</v>
      </c>
      <c r="AQ156" s="402">
        <f t="shared" ca="1" si="17"/>
        <v>0</v>
      </c>
      <c r="AR156" s="402">
        <f t="shared" ca="1" si="18"/>
        <v>0</v>
      </c>
      <c r="AS156" s="403"/>
      <c r="AT156" s="402">
        <f t="shared" si="19"/>
        <v>6</v>
      </c>
    </row>
    <row r="157" spans="1:46" ht="15.75" customHeight="1">
      <c r="A157" s="382"/>
      <c r="B157" s="383">
        <f t="shared" ca="1" si="0"/>
        <v>3</v>
      </c>
      <c r="C157" s="384">
        <f t="shared" ca="1" si="1"/>
        <v>1</v>
      </c>
      <c r="D157" s="384">
        <f t="shared" ca="1" si="2"/>
        <v>32</v>
      </c>
      <c r="E157" s="384">
        <f t="shared" ca="1" si="3"/>
        <v>2</v>
      </c>
      <c r="F157" s="384" t="str">
        <f t="shared" ca="1" si="4"/>
        <v/>
      </c>
      <c r="G157" s="385" t="str">
        <f t="shared" ca="1" si="5"/>
        <v/>
      </c>
      <c r="H157" s="386" t="str">
        <f t="shared" ca="1" si="6"/>
        <v/>
      </c>
      <c r="I157" s="404"/>
      <c r="J157" s="415"/>
      <c r="K157" s="428"/>
      <c r="L157" s="428" t="s">
        <v>61</v>
      </c>
      <c r="M157" s="428"/>
      <c r="N157" s="428"/>
      <c r="O157" s="428"/>
      <c r="P157" s="428"/>
      <c r="Q157" s="429"/>
      <c r="R157" s="417" t="s">
        <v>284</v>
      </c>
      <c r="S157" s="418">
        <v>45924</v>
      </c>
      <c r="T157" s="419">
        <v>45924</v>
      </c>
      <c r="U157" s="418"/>
      <c r="V157" s="419"/>
      <c r="W157" s="430"/>
      <c r="X157" s="431"/>
      <c r="Y157" s="434"/>
      <c r="Z157" s="433"/>
      <c r="AA157" s="396"/>
      <c r="AB157" s="397"/>
      <c r="AC157" s="398"/>
      <c r="AD157" s="399"/>
      <c r="AE157" s="400"/>
      <c r="AF157" s="401"/>
      <c r="AG157" s="401">
        <f t="shared" ca="1" si="7"/>
        <v>0</v>
      </c>
      <c r="AH157" s="401">
        <f t="shared" ca="1" si="8"/>
        <v>0</v>
      </c>
      <c r="AI157" s="401">
        <f t="shared" si="9"/>
        <v>0</v>
      </c>
      <c r="AJ157" s="401">
        <f t="shared" ca="1" si="10"/>
        <v>0</v>
      </c>
      <c r="AK157" s="401" t="str">
        <f t="shared" ca="1" si="11"/>
        <v/>
      </c>
      <c r="AL157" s="402">
        <f t="shared" ca="1" si="12"/>
        <v>3</v>
      </c>
      <c r="AM157" s="402">
        <f t="shared" ca="1" si="13"/>
        <v>1</v>
      </c>
      <c r="AN157" s="402">
        <f t="shared" ca="1" si="14"/>
        <v>32</v>
      </c>
      <c r="AO157" s="402">
        <f t="shared" ca="1" si="15"/>
        <v>2</v>
      </c>
      <c r="AP157" s="402">
        <f t="shared" ca="1" si="16"/>
        <v>0</v>
      </c>
      <c r="AQ157" s="402">
        <f t="shared" ca="1" si="17"/>
        <v>0</v>
      </c>
      <c r="AR157" s="402">
        <f t="shared" ca="1" si="18"/>
        <v>0</v>
      </c>
      <c r="AS157" s="403"/>
      <c r="AT157" s="402">
        <f t="shared" si="19"/>
        <v>1</v>
      </c>
    </row>
    <row r="158" spans="1:46" ht="15.75" customHeight="1">
      <c r="A158" s="382"/>
      <c r="B158" s="383">
        <f t="shared" ca="1" si="0"/>
        <v>3</v>
      </c>
      <c r="C158" s="384">
        <f t="shared" ca="1" si="1"/>
        <v>1</v>
      </c>
      <c r="D158" s="384">
        <f t="shared" ca="1" si="2"/>
        <v>33</v>
      </c>
      <c r="E158" s="384" t="str">
        <f t="shared" ca="1" si="3"/>
        <v/>
      </c>
      <c r="F158" s="384" t="str">
        <f t="shared" ca="1" si="4"/>
        <v/>
      </c>
      <c r="G158" s="385" t="str">
        <f t="shared" ca="1" si="5"/>
        <v/>
      </c>
      <c r="H158" s="386" t="str">
        <f t="shared" ca="1" si="6"/>
        <v/>
      </c>
      <c r="I158" s="404"/>
      <c r="J158" s="415"/>
      <c r="K158" s="428" t="s">
        <v>325</v>
      </c>
      <c r="L158" s="428"/>
      <c r="M158" s="428"/>
      <c r="N158" s="428"/>
      <c r="O158" s="428"/>
      <c r="P158" s="428"/>
      <c r="Q158" s="429"/>
      <c r="R158" s="417"/>
      <c r="S158" s="418"/>
      <c r="T158" s="419"/>
      <c r="U158" s="418"/>
      <c r="V158" s="419"/>
      <c r="W158" s="430"/>
      <c r="X158" s="431"/>
      <c r="Y158" s="434"/>
      <c r="Z158" s="433"/>
      <c r="AA158" s="396"/>
      <c r="AB158" s="397"/>
      <c r="AC158" s="398"/>
      <c r="AD158" s="399"/>
      <c r="AE158" s="400"/>
      <c r="AF158" s="401"/>
      <c r="AG158" s="401">
        <f t="shared" si="7"/>
        <v>0</v>
      </c>
      <c r="AH158" s="401">
        <f t="shared" si="8"/>
        <v>0</v>
      </c>
      <c r="AI158" s="401">
        <f t="shared" si="9"/>
        <v>0</v>
      </c>
      <c r="AJ158" s="401">
        <f t="shared" si="10"/>
        <v>0</v>
      </c>
      <c r="AK158" s="401" t="str">
        <f t="shared" si="11"/>
        <v/>
      </c>
      <c r="AL158" s="402">
        <f t="shared" ca="1" si="12"/>
        <v>3</v>
      </c>
      <c r="AM158" s="402">
        <f t="shared" ca="1" si="13"/>
        <v>1</v>
      </c>
      <c r="AN158" s="402">
        <f t="shared" ca="1" si="14"/>
        <v>33</v>
      </c>
      <c r="AO158" s="402">
        <f t="shared" ca="1" si="15"/>
        <v>0</v>
      </c>
      <c r="AP158" s="402">
        <f t="shared" ca="1" si="16"/>
        <v>0</v>
      </c>
      <c r="AQ158" s="402">
        <f t="shared" ca="1" si="17"/>
        <v>0</v>
      </c>
      <c r="AR158" s="402">
        <f t="shared" ca="1" si="18"/>
        <v>0</v>
      </c>
      <c r="AS158" s="403"/>
      <c r="AT158" s="402">
        <f t="shared" si="19"/>
        <v>1</v>
      </c>
    </row>
    <row r="159" spans="1:46" ht="15.75" customHeight="1">
      <c r="A159" s="382"/>
      <c r="B159" s="383">
        <f t="shared" ca="1" si="0"/>
        <v>3</v>
      </c>
      <c r="C159" s="384">
        <f t="shared" ca="1" si="1"/>
        <v>1</v>
      </c>
      <c r="D159" s="384">
        <f t="shared" ca="1" si="2"/>
        <v>33</v>
      </c>
      <c r="E159" s="384">
        <f t="shared" ca="1" si="3"/>
        <v>1</v>
      </c>
      <c r="F159" s="384" t="str">
        <f t="shared" ca="1" si="4"/>
        <v/>
      </c>
      <c r="G159" s="385" t="str">
        <f t="shared" ca="1" si="5"/>
        <v/>
      </c>
      <c r="H159" s="386" t="str">
        <f t="shared" ca="1" si="6"/>
        <v/>
      </c>
      <c r="I159" s="404"/>
      <c r="J159" s="415"/>
      <c r="K159" s="428"/>
      <c r="L159" s="428" t="s">
        <v>59</v>
      </c>
      <c r="M159" s="428"/>
      <c r="N159" s="428"/>
      <c r="O159" s="428"/>
      <c r="P159" s="428"/>
      <c r="Q159" s="429"/>
      <c r="R159" s="417" t="s">
        <v>304</v>
      </c>
      <c r="S159" s="418">
        <v>45924</v>
      </c>
      <c r="T159" s="419">
        <v>45929</v>
      </c>
      <c r="U159" s="418"/>
      <c r="V159" s="419"/>
      <c r="W159" s="430"/>
      <c r="X159" s="431"/>
      <c r="Y159" s="434"/>
      <c r="Z159" s="433"/>
      <c r="AA159" s="396"/>
      <c r="AB159" s="397"/>
      <c r="AC159" s="398"/>
      <c r="AD159" s="399"/>
      <c r="AE159" s="400"/>
      <c r="AF159" s="401"/>
      <c r="AG159" s="401">
        <f t="shared" ca="1" si="7"/>
        <v>0</v>
      </c>
      <c r="AH159" s="401">
        <f t="shared" ca="1" si="8"/>
        <v>0</v>
      </c>
      <c r="AI159" s="401">
        <f t="shared" si="9"/>
        <v>0</v>
      </c>
      <c r="AJ159" s="401">
        <f t="shared" ca="1" si="10"/>
        <v>0</v>
      </c>
      <c r="AK159" s="401" t="str">
        <f t="shared" ca="1" si="11"/>
        <v/>
      </c>
      <c r="AL159" s="402">
        <f t="shared" ca="1" si="12"/>
        <v>3</v>
      </c>
      <c r="AM159" s="402">
        <f t="shared" ca="1" si="13"/>
        <v>1</v>
      </c>
      <c r="AN159" s="402">
        <f t="shared" ca="1" si="14"/>
        <v>33</v>
      </c>
      <c r="AO159" s="402">
        <f t="shared" ca="1" si="15"/>
        <v>1</v>
      </c>
      <c r="AP159" s="402">
        <f t="shared" ca="1" si="16"/>
        <v>0</v>
      </c>
      <c r="AQ159" s="402">
        <f t="shared" ca="1" si="17"/>
        <v>0</v>
      </c>
      <c r="AR159" s="402">
        <f t="shared" ca="1" si="18"/>
        <v>0</v>
      </c>
      <c r="AS159" s="403"/>
      <c r="AT159" s="402">
        <f t="shared" si="19"/>
        <v>6</v>
      </c>
    </row>
    <row r="160" spans="1:46" ht="15.75" customHeight="1">
      <c r="A160" s="382"/>
      <c r="B160" s="383">
        <f t="shared" ca="1" si="0"/>
        <v>3</v>
      </c>
      <c r="C160" s="384">
        <f t="shared" ca="1" si="1"/>
        <v>1</v>
      </c>
      <c r="D160" s="384">
        <f t="shared" ca="1" si="2"/>
        <v>33</v>
      </c>
      <c r="E160" s="384">
        <f t="shared" ca="1" si="3"/>
        <v>2</v>
      </c>
      <c r="F160" s="384" t="str">
        <f t="shared" ca="1" si="4"/>
        <v/>
      </c>
      <c r="G160" s="385" t="str">
        <f t="shared" ca="1" si="5"/>
        <v/>
      </c>
      <c r="H160" s="386" t="str">
        <f t="shared" ca="1" si="6"/>
        <v/>
      </c>
      <c r="I160" s="404"/>
      <c r="J160" s="415"/>
      <c r="K160" s="428"/>
      <c r="L160" s="428" t="s">
        <v>61</v>
      </c>
      <c r="M160" s="428"/>
      <c r="N160" s="428"/>
      <c r="O160" s="428"/>
      <c r="P160" s="428"/>
      <c r="Q160" s="429"/>
      <c r="R160" s="417" t="s">
        <v>284</v>
      </c>
      <c r="S160" s="418">
        <v>45930</v>
      </c>
      <c r="T160" s="419">
        <v>45930</v>
      </c>
      <c r="U160" s="418"/>
      <c r="V160" s="419"/>
      <c r="W160" s="430"/>
      <c r="X160" s="431"/>
      <c r="Y160" s="434"/>
      <c r="Z160" s="433"/>
      <c r="AA160" s="396"/>
      <c r="AB160" s="397"/>
      <c r="AC160" s="398"/>
      <c r="AD160" s="399"/>
      <c r="AE160" s="400"/>
      <c r="AF160" s="401"/>
      <c r="AG160" s="401">
        <f t="shared" ca="1" si="7"/>
        <v>0</v>
      </c>
      <c r="AH160" s="401">
        <f t="shared" ca="1" si="8"/>
        <v>0</v>
      </c>
      <c r="AI160" s="401">
        <f t="shared" si="9"/>
        <v>0</v>
      </c>
      <c r="AJ160" s="401">
        <f t="shared" ca="1" si="10"/>
        <v>0</v>
      </c>
      <c r="AK160" s="401" t="str">
        <f t="shared" ca="1" si="11"/>
        <v/>
      </c>
      <c r="AL160" s="402">
        <f t="shared" ca="1" si="12"/>
        <v>3</v>
      </c>
      <c r="AM160" s="402">
        <f t="shared" ca="1" si="13"/>
        <v>1</v>
      </c>
      <c r="AN160" s="402">
        <f t="shared" ca="1" si="14"/>
        <v>33</v>
      </c>
      <c r="AO160" s="402">
        <f t="shared" ca="1" si="15"/>
        <v>2</v>
      </c>
      <c r="AP160" s="402">
        <f t="shared" ca="1" si="16"/>
        <v>0</v>
      </c>
      <c r="AQ160" s="402">
        <f t="shared" ca="1" si="17"/>
        <v>0</v>
      </c>
      <c r="AR160" s="402">
        <f t="shared" ca="1" si="18"/>
        <v>0</v>
      </c>
      <c r="AS160" s="403"/>
      <c r="AT160" s="402">
        <f t="shared" si="19"/>
        <v>1</v>
      </c>
    </row>
    <row r="161" spans="1:46" ht="15.75" customHeight="1">
      <c r="A161" s="382"/>
      <c r="B161" s="383">
        <f t="shared" ca="1" si="0"/>
        <v>3</v>
      </c>
      <c r="C161" s="384">
        <f t="shared" ca="1" si="1"/>
        <v>1</v>
      </c>
      <c r="D161" s="384">
        <f t="shared" ca="1" si="2"/>
        <v>34</v>
      </c>
      <c r="E161" s="384" t="str">
        <f t="shared" ca="1" si="3"/>
        <v/>
      </c>
      <c r="F161" s="384" t="str">
        <f t="shared" ca="1" si="4"/>
        <v/>
      </c>
      <c r="G161" s="385" t="str">
        <f t="shared" ca="1" si="5"/>
        <v/>
      </c>
      <c r="H161" s="386" t="str">
        <f t="shared" ca="1" si="6"/>
        <v/>
      </c>
      <c r="I161" s="404"/>
      <c r="J161" s="415"/>
      <c r="K161" s="428" t="s">
        <v>326</v>
      </c>
      <c r="L161" s="428"/>
      <c r="M161" s="428"/>
      <c r="N161" s="428"/>
      <c r="O161" s="428"/>
      <c r="P161" s="428"/>
      <c r="Q161" s="429"/>
      <c r="R161" s="417"/>
      <c r="S161" s="418"/>
      <c r="T161" s="419"/>
      <c r="U161" s="418"/>
      <c r="V161" s="419"/>
      <c r="W161" s="430"/>
      <c r="X161" s="431"/>
      <c r="Y161" s="434"/>
      <c r="Z161" s="433"/>
      <c r="AA161" s="396"/>
      <c r="AB161" s="397"/>
      <c r="AC161" s="398"/>
      <c r="AD161" s="399"/>
      <c r="AE161" s="400"/>
      <c r="AF161" s="401"/>
      <c r="AG161" s="401">
        <f t="shared" si="7"/>
        <v>0</v>
      </c>
      <c r="AH161" s="401">
        <f t="shared" si="8"/>
        <v>0</v>
      </c>
      <c r="AI161" s="401">
        <f t="shared" si="9"/>
        <v>0</v>
      </c>
      <c r="AJ161" s="401">
        <f t="shared" si="10"/>
        <v>0</v>
      </c>
      <c r="AK161" s="401" t="str">
        <f t="shared" si="11"/>
        <v/>
      </c>
      <c r="AL161" s="402">
        <f t="shared" ca="1" si="12"/>
        <v>3</v>
      </c>
      <c r="AM161" s="402">
        <f t="shared" ca="1" si="13"/>
        <v>1</v>
      </c>
      <c r="AN161" s="402">
        <f t="shared" ca="1" si="14"/>
        <v>34</v>
      </c>
      <c r="AO161" s="402">
        <f t="shared" ca="1" si="15"/>
        <v>0</v>
      </c>
      <c r="AP161" s="402">
        <f t="shared" ca="1" si="16"/>
        <v>0</v>
      </c>
      <c r="AQ161" s="402">
        <f t="shared" ca="1" si="17"/>
        <v>0</v>
      </c>
      <c r="AR161" s="402">
        <f t="shared" ca="1" si="18"/>
        <v>0</v>
      </c>
      <c r="AS161" s="403"/>
      <c r="AT161" s="402">
        <f t="shared" si="19"/>
        <v>1</v>
      </c>
    </row>
    <row r="162" spans="1:46" ht="15.75" customHeight="1">
      <c r="A162" s="382"/>
      <c r="B162" s="383">
        <f t="shared" ca="1" si="0"/>
        <v>3</v>
      </c>
      <c r="C162" s="384">
        <f t="shared" ca="1" si="1"/>
        <v>1</v>
      </c>
      <c r="D162" s="384">
        <f t="shared" ca="1" si="2"/>
        <v>34</v>
      </c>
      <c r="E162" s="384">
        <f t="shared" ca="1" si="3"/>
        <v>1</v>
      </c>
      <c r="F162" s="384" t="str">
        <f t="shared" ca="1" si="4"/>
        <v/>
      </c>
      <c r="G162" s="385" t="str">
        <f t="shared" ca="1" si="5"/>
        <v/>
      </c>
      <c r="H162" s="386" t="str">
        <f t="shared" ca="1" si="6"/>
        <v/>
      </c>
      <c r="I162" s="404"/>
      <c r="J162" s="415"/>
      <c r="K162" s="428"/>
      <c r="L162" s="428" t="s">
        <v>59</v>
      </c>
      <c r="M162" s="428"/>
      <c r="N162" s="428"/>
      <c r="O162" s="428"/>
      <c r="P162" s="428"/>
      <c r="Q162" s="429"/>
      <c r="R162" s="424" t="s">
        <v>242</v>
      </c>
      <c r="S162" s="418">
        <v>45903</v>
      </c>
      <c r="T162" s="419">
        <v>45908</v>
      </c>
      <c r="U162" s="418"/>
      <c r="V162" s="419"/>
      <c r="W162" s="430"/>
      <c r="X162" s="431"/>
      <c r="Y162" s="434"/>
      <c r="Z162" s="433"/>
      <c r="AA162" s="396"/>
      <c r="AB162" s="397"/>
      <c r="AC162" s="398"/>
      <c r="AD162" s="399"/>
      <c r="AE162" s="400"/>
      <c r="AF162" s="401"/>
      <c r="AG162" s="401">
        <f t="shared" ca="1" si="7"/>
        <v>0</v>
      </c>
      <c r="AH162" s="401">
        <f t="shared" ca="1" si="8"/>
        <v>0</v>
      </c>
      <c r="AI162" s="401">
        <f t="shared" si="9"/>
        <v>0</v>
      </c>
      <c r="AJ162" s="401">
        <f t="shared" ca="1" si="10"/>
        <v>0</v>
      </c>
      <c r="AK162" s="401" t="str">
        <f t="shared" ca="1" si="11"/>
        <v/>
      </c>
      <c r="AL162" s="402">
        <f t="shared" ca="1" si="12"/>
        <v>3</v>
      </c>
      <c r="AM162" s="402">
        <f t="shared" ca="1" si="13"/>
        <v>1</v>
      </c>
      <c r="AN162" s="402">
        <f t="shared" ca="1" si="14"/>
        <v>34</v>
      </c>
      <c r="AO162" s="402">
        <f t="shared" ca="1" si="15"/>
        <v>1</v>
      </c>
      <c r="AP162" s="402">
        <f t="shared" ca="1" si="16"/>
        <v>0</v>
      </c>
      <c r="AQ162" s="402">
        <f t="shared" ca="1" si="17"/>
        <v>0</v>
      </c>
      <c r="AR162" s="402">
        <f t="shared" ca="1" si="18"/>
        <v>0</v>
      </c>
      <c r="AS162" s="403"/>
      <c r="AT162" s="402">
        <f t="shared" si="19"/>
        <v>6</v>
      </c>
    </row>
    <row r="163" spans="1:46" ht="15.75" customHeight="1">
      <c r="A163" s="382"/>
      <c r="B163" s="383">
        <f t="shared" ca="1" si="0"/>
        <v>3</v>
      </c>
      <c r="C163" s="384">
        <f t="shared" ca="1" si="1"/>
        <v>1</v>
      </c>
      <c r="D163" s="384">
        <f t="shared" ca="1" si="2"/>
        <v>34</v>
      </c>
      <c r="E163" s="384">
        <f t="shared" ca="1" si="3"/>
        <v>2</v>
      </c>
      <c r="F163" s="384" t="str">
        <f t="shared" ca="1" si="4"/>
        <v/>
      </c>
      <c r="G163" s="385" t="str">
        <f t="shared" ca="1" si="5"/>
        <v/>
      </c>
      <c r="H163" s="386" t="str">
        <f t="shared" ca="1" si="6"/>
        <v/>
      </c>
      <c r="I163" s="404"/>
      <c r="J163" s="415"/>
      <c r="K163" s="428"/>
      <c r="L163" s="428" t="s">
        <v>61</v>
      </c>
      <c r="M163" s="428"/>
      <c r="N163" s="428"/>
      <c r="O163" s="428"/>
      <c r="P163" s="428"/>
      <c r="Q163" s="429"/>
      <c r="R163" s="424" t="s">
        <v>239</v>
      </c>
      <c r="S163" s="418">
        <v>45909</v>
      </c>
      <c r="T163" s="419">
        <v>45909</v>
      </c>
      <c r="U163" s="418"/>
      <c r="V163" s="419"/>
      <c r="W163" s="430"/>
      <c r="X163" s="431"/>
      <c r="Y163" s="434"/>
      <c r="Z163" s="433"/>
      <c r="AA163" s="396"/>
      <c r="AB163" s="397"/>
      <c r="AC163" s="398"/>
      <c r="AD163" s="399"/>
      <c r="AE163" s="400"/>
      <c r="AF163" s="401"/>
      <c r="AG163" s="401">
        <f t="shared" ca="1" si="7"/>
        <v>0</v>
      </c>
      <c r="AH163" s="401">
        <f t="shared" ca="1" si="8"/>
        <v>0</v>
      </c>
      <c r="AI163" s="401">
        <f t="shared" si="9"/>
        <v>0</v>
      </c>
      <c r="AJ163" s="401">
        <f t="shared" ca="1" si="10"/>
        <v>0</v>
      </c>
      <c r="AK163" s="401" t="str">
        <f t="shared" ca="1" si="11"/>
        <v/>
      </c>
      <c r="AL163" s="402">
        <f t="shared" ca="1" si="12"/>
        <v>3</v>
      </c>
      <c r="AM163" s="402">
        <f t="shared" ca="1" si="13"/>
        <v>1</v>
      </c>
      <c r="AN163" s="402">
        <f t="shared" ca="1" si="14"/>
        <v>34</v>
      </c>
      <c r="AO163" s="402">
        <f t="shared" ca="1" si="15"/>
        <v>2</v>
      </c>
      <c r="AP163" s="402">
        <f t="shared" ca="1" si="16"/>
        <v>0</v>
      </c>
      <c r="AQ163" s="402">
        <f t="shared" ca="1" si="17"/>
        <v>0</v>
      </c>
      <c r="AR163" s="402">
        <f t="shared" ca="1" si="18"/>
        <v>0</v>
      </c>
      <c r="AS163" s="403"/>
      <c r="AT163" s="402">
        <f t="shared" si="19"/>
        <v>1</v>
      </c>
    </row>
    <row r="164" spans="1:46" ht="15.75" customHeight="1">
      <c r="A164" s="382"/>
      <c r="B164" s="383">
        <f t="shared" ca="1" si="0"/>
        <v>3</v>
      </c>
      <c r="C164" s="384">
        <f t="shared" ca="1" si="1"/>
        <v>1</v>
      </c>
      <c r="D164" s="384">
        <f t="shared" ca="1" si="2"/>
        <v>35</v>
      </c>
      <c r="E164" s="384" t="str">
        <f t="shared" ca="1" si="3"/>
        <v/>
      </c>
      <c r="F164" s="384" t="str">
        <f t="shared" ca="1" si="4"/>
        <v/>
      </c>
      <c r="G164" s="385" t="str">
        <f t="shared" ca="1" si="5"/>
        <v/>
      </c>
      <c r="H164" s="386" t="str">
        <f t="shared" ca="1" si="6"/>
        <v/>
      </c>
      <c r="I164" s="404"/>
      <c r="J164" s="415"/>
      <c r="K164" s="428" t="s">
        <v>327</v>
      </c>
      <c r="L164" s="428"/>
      <c r="M164" s="428"/>
      <c r="N164" s="428"/>
      <c r="O164" s="428"/>
      <c r="P164" s="428"/>
      <c r="Q164" s="429"/>
      <c r="R164" s="417"/>
      <c r="S164" s="418"/>
      <c r="T164" s="419"/>
      <c r="U164" s="418"/>
      <c r="V164" s="419"/>
      <c r="W164" s="430"/>
      <c r="X164" s="431"/>
      <c r="Y164" s="434"/>
      <c r="Z164" s="433"/>
      <c r="AA164" s="396"/>
      <c r="AB164" s="397"/>
      <c r="AC164" s="398"/>
      <c r="AD164" s="399"/>
      <c r="AE164" s="400"/>
      <c r="AF164" s="401"/>
      <c r="AG164" s="401">
        <f t="shared" si="7"/>
        <v>0</v>
      </c>
      <c r="AH164" s="401">
        <f t="shared" si="8"/>
        <v>0</v>
      </c>
      <c r="AI164" s="401">
        <f t="shared" si="9"/>
        <v>0</v>
      </c>
      <c r="AJ164" s="401">
        <f t="shared" si="10"/>
        <v>0</v>
      </c>
      <c r="AK164" s="401" t="str">
        <f t="shared" si="11"/>
        <v/>
      </c>
      <c r="AL164" s="402">
        <f t="shared" ca="1" si="12"/>
        <v>3</v>
      </c>
      <c r="AM164" s="402">
        <f t="shared" ca="1" si="13"/>
        <v>1</v>
      </c>
      <c r="AN164" s="402">
        <f t="shared" ca="1" si="14"/>
        <v>35</v>
      </c>
      <c r="AO164" s="402">
        <f t="shared" ca="1" si="15"/>
        <v>0</v>
      </c>
      <c r="AP164" s="402">
        <f t="shared" ca="1" si="16"/>
        <v>0</v>
      </c>
      <c r="AQ164" s="402">
        <f t="shared" ca="1" si="17"/>
        <v>0</v>
      </c>
      <c r="AR164" s="402">
        <f t="shared" ca="1" si="18"/>
        <v>0</v>
      </c>
      <c r="AS164" s="403"/>
      <c r="AT164" s="402">
        <f t="shared" si="19"/>
        <v>1</v>
      </c>
    </row>
    <row r="165" spans="1:46" ht="15.75" customHeight="1">
      <c r="A165" s="382"/>
      <c r="B165" s="383">
        <f t="shared" ca="1" si="0"/>
        <v>3</v>
      </c>
      <c r="C165" s="384">
        <f t="shared" ca="1" si="1"/>
        <v>1</v>
      </c>
      <c r="D165" s="384">
        <f t="shared" ca="1" si="2"/>
        <v>35</v>
      </c>
      <c r="E165" s="384">
        <f t="shared" ca="1" si="3"/>
        <v>1</v>
      </c>
      <c r="F165" s="384" t="str">
        <f t="shared" ca="1" si="4"/>
        <v/>
      </c>
      <c r="G165" s="385" t="str">
        <f t="shared" ca="1" si="5"/>
        <v/>
      </c>
      <c r="H165" s="386" t="str">
        <f t="shared" ca="1" si="6"/>
        <v/>
      </c>
      <c r="I165" s="404"/>
      <c r="J165" s="415"/>
      <c r="K165" s="428"/>
      <c r="L165" s="428" t="s">
        <v>59</v>
      </c>
      <c r="M165" s="428"/>
      <c r="N165" s="428"/>
      <c r="O165" s="428"/>
      <c r="P165" s="428"/>
      <c r="Q165" s="429"/>
      <c r="R165" s="417"/>
      <c r="S165" s="418"/>
      <c r="T165" s="419"/>
      <c r="U165" s="418"/>
      <c r="V165" s="419"/>
      <c r="W165" s="430"/>
      <c r="X165" s="431"/>
      <c r="Y165" s="434"/>
      <c r="Z165" s="433"/>
      <c r="AA165" s="396"/>
      <c r="AB165" s="397"/>
      <c r="AC165" s="398"/>
      <c r="AD165" s="399"/>
      <c r="AE165" s="400"/>
      <c r="AF165" s="401"/>
      <c r="AG165" s="401">
        <f t="shared" si="7"/>
        <v>0</v>
      </c>
      <c r="AH165" s="401">
        <f t="shared" si="8"/>
        <v>0</v>
      </c>
      <c r="AI165" s="401">
        <f t="shared" si="9"/>
        <v>0</v>
      </c>
      <c r="AJ165" s="401">
        <f t="shared" si="10"/>
        <v>0</v>
      </c>
      <c r="AK165" s="401" t="str">
        <f t="shared" si="11"/>
        <v/>
      </c>
      <c r="AL165" s="402">
        <f t="shared" ca="1" si="12"/>
        <v>3</v>
      </c>
      <c r="AM165" s="402">
        <f t="shared" ca="1" si="13"/>
        <v>1</v>
      </c>
      <c r="AN165" s="402">
        <f t="shared" ca="1" si="14"/>
        <v>35</v>
      </c>
      <c r="AO165" s="402">
        <f t="shared" ca="1" si="15"/>
        <v>1</v>
      </c>
      <c r="AP165" s="402">
        <f t="shared" ca="1" si="16"/>
        <v>0</v>
      </c>
      <c r="AQ165" s="402">
        <f t="shared" ca="1" si="17"/>
        <v>0</v>
      </c>
      <c r="AR165" s="402">
        <f t="shared" ca="1" si="18"/>
        <v>0</v>
      </c>
      <c r="AS165" s="403"/>
      <c r="AT165" s="402">
        <f t="shared" si="19"/>
        <v>1</v>
      </c>
    </row>
    <row r="166" spans="1:46" ht="15.75" customHeight="1">
      <c r="A166" s="382"/>
      <c r="B166" s="383">
        <f t="shared" ca="1" si="0"/>
        <v>3</v>
      </c>
      <c r="C166" s="384">
        <f t="shared" ca="1" si="1"/>
        <v>1</v>
      </c>
      <c r="D166" s="384">
        <f t="shared" ca="1" si="2"/>
        <v>35</v>
      </c>
      <c r="E166" s="384">
        <f t="shared" ca="1" si="3"/>
        <v>2</v>
      </c>
      <c r="F166" s="384" t="str">
        <f t="shared" ca="1" si="4"/>
        <v/>
      </c>
      <c r="G166" s="385" t="str">
        <f t="shared" ca="1" si="5"/>
        <v/>
      </c>
      <c r="H166" s="386" t="str">
        <f t="shared" ca="1" si="6"/>
        <v/>
      </c>
      <c r="I166" s="404"/>
      <c r="J166" s="415"/>
      <c r="K166" s="428"/>
      <c r="L166" s="428" t="s">
        <v>61</v>
      </c>
      <c r="M166" s="428"/>
      <c r="N166" s="428"/>
      <c r="O166" s="428"/>
      <c r="P166" s="428"/>
      <c r="Q166" s="429"/>
      <c r="R166" s="417"/>
      <c r="S166" s="418"/>
      <c r="T166" s="419"/>
      <c r="U166" s="418"/>
      <c r="V166" s="419"/>
      <c r="W166" s="430"/>
      <c r="X166" s="431"/>
      <c r="Y166" s="434"/>
      <c r="Z166" s="433"/>
      <c r="AA166" s="396"/>
      <c r="AB166" s="397"/>
      <c r="AC166" s="398"/>
      <c r="AD166" s="399"/>
      <c r="AE166" s="400"/>
      <c r="AF166" s="401"/>
      <c r="AG166" s="401">
        <f t="shared" si="7"/>
        <v>0</v>
      </c>
      <c r="AH166" s="401">
        <f t="shared" si="8"/>
        <v>0</v>
      </c>
      <c r="AI166" s="401">
        <f t="shared" si="9"/>
        <v>0</v>
      </c>
      <c r="AJ166" s="401">
        <f t="shared" si="10"/>
        <v>0</v>
      </c>
      <c r="AK166" s="401" t="str">
        <f t="shared" si="11"/>
        <v/>
      </c>
      <c r="AL166" s="402">
        <f t="shared" ca="1" si="12"/>
        <v>3</v>
      </c>
      <c r="AM166" s="402">
        <f t="shared" ca="1" si="13"/>
        <v>1</v>
      </c>
      <c r="AN166" s="402">
        <f t="shared" ca="1" si="14"/>
        <v>35</v>
      </c>
      <c r="AO166" s="402">
        <f t="shared" ca="1" si="15"/>
        <v>2</v>
      </c>
      <c r="AP166" s="402">
        <f t="shared" ca="1" si="16"/>
        <v>0</v>
      </c>
      <c r="AQ166" s="402">
        <f t="shared" ca="1" si="17"/>
        <v>0</v>
      </c>
      <c r="AR166" s="402">
        <f t="shared" ca="1" si="18"/>
        <v>0</v>
      </c>
      <c r="AS166" s="403"/>
      <c r="AT166" s="402">
        <f t="shared" si="19"/>
        <v>1</v>
      </c>
    </row>
    <row r="167" spans="1:46" ht="15.75" customHeight="1">
      <c r="A167" s="382"/>
      <c r="B167" s="383">
        <f t="shared" ca="1" si="0"/>
        <v>3</v>
      </c>
      <c r="C167" s="384">
        <f t="shared" ca="1" si="1"/>
        <v>1</v>
      </c>
      <c r="D167" s="384">
        <f t="shared" ca="1" si="2"/>
        <v>36</v>
      </c>
      <c r="E167" s="384" t="str">
        <f t="shared" ca="1" si="3"/>
        <v/>
      </c>
      <c r="F167" s="384" t="str">
        <f t="shared" ca="1" si="4"/>
        <v/>
      </c>
      <c r="G167" s="385" t="str">
        <f t="shared" ca="1" si="5"/>
        <v/>
      </c>
      <c r="H167" s="386" t="str">
        <f t="shared" ca="1" si="6"/>
        <v/>
      </c>
      <c r="I167" s="404"/>
      <c r="J167" s="415"/>
      <c r="K167" s="428" t="s">
        <v>328</v>
      </c>
      <c r="L167" s="428"/>
      <c r="M167" s="428"/>
      <c r="N167" s="428"/>
      <c r="O167" s="428"/>
      <c r="P167" s="428"/>
      <c r="Q167" s="429"/>
      <c r="R167" s="417"/>
      <c r="S167" s="418"/>
      <c r="T167" s="419"/>
      <c r="U167" s="418"/>
      <c r="V167" s="419"/>
      <c r="W167" s="430"/>
      <c r="X167" s="431"/>
      <c r="Y167" s="434"/>
      <c r="Z167" s="433"/>
      <c r="AA167" s="396"/>
      <c r="AB167" s="397"/>
      <c r="AC167" s="398"/>
      <c r="AD167" s="399"/>
      <c r="AE167" s="400"/>
      <c r="AF167" s="401"/>
      <c r="AG167" s="401">
        <f t="shared" si="7"/>
        <v>0</v>
      </c>
      <c r="AH167" s="401">
        <f t="shared" si="8"/>
        <v>0</v>
      </c>
      <c r="AI167" s="401">
        <f t="shared" si="9"/>
        <v>0</v>
      </c>
      <c r="AJ167" s="401">
        <f t="shared" si="10"/>
        <v>0</v>
      </c>
      <c r="AK167" s="401" t="str">
        <f t="shared" si="11"/>
        <v/>
      </c>
      <c r="AL167" s="402">
        <f t="shared" ca="1" si="12"/>
        <v>3</v>
      </c>
      <c r="AM167" s="402">
        <f t="shared" ca="1" si="13"/>
        <v>1</v>
      </c>
      <c r="AN167" s="402">
        <f t="shared" ca="1" si="14"/>
        <v>36</v>
      </c>
      <c r="AO167" s="402">
        <f t="shared" ca="1" si="15"/>
        <v>0</v>
      </c>
      <c r="AP167" s="402">
        <f t="shared" ca="1" si="16"/>
        <v>0</v>
      </c>
      <c r="AQ167" s="402">
        <f t="shared" ca="1" si="17"/>
        <v>0</v>
      </c>
      <c r="AR167" s="402">
        <f t="shared" ca="1" si="18"/>
        <v>0</v>
      </c>
      <c r="AS167" s="403"/>
      <c r="AT167" s="402">
        <f t="shared" si="19"/>
        <v>1</v>
      </c>
    </row>
    <row r="168" spans="1:46" ht="15.75" customHeight="1">
      <c r="A168" s="382"/>
      <c r="B168" s="383">
        <f t="shared" ca="1" si="0"/>
        <v>3</v>
      </c>
      <c r="C168" s="384">
        <f t="shared" ca="1" si="1"/>
        <v>1</v>
      </c>
      <c r="D168" s="384">
        <f t="shared" ca="1" si="2"/>
        <v>36</v>
      </c>
      <c r="E168" s="384">
        <f t="shared" ca="1" si="3"/>
        <v>1</v>
      </c>
      <c r="F168" s="384" t="str">
        <f t="shared" ca="1" si="4"/>
        <v/>
      </c>
      <c r="G168" s="385" t="str">
        <f t="shared" ca="1" si="5"/>
        <v/>
      </c>
      <c r="H168" s="386" t="str">
        <f t="shared" ca="1" si="6"/>
        <v/>
      </c>
      <c r="I168" s="404"/>
      <c r="J168" s="415"/>
      <c r="K168" s="428"/>
      <c r="L168" s="428" t="s">
        <v>59</v>
      </c>
      <c r="M168" s="428"/>
      <c r="N168" s="428"/>
      <c r="O168" s="428"/>
      <c r="P168" s="428"/>
      <c r="Q168" s="429"/>
      <c r="R168" s="417"/>
      <c r="S168" s="418"/>
      <c r="T168" s="419"/>
      <c r="U168" s="418"/>
      <c r="V168" s="419"/>
      <c r="W168" s="430"/>
      <c r="X168" s="431"/>
      <c r="Y168" s="434"/>
      <c r="Z168" s="433"/>
      <c r="AA168" s="396"/>
      <c r="AB168" s="397"/>
      <c r="AC168" s="398"/>
      <c r="AD168" s="399"/>
      <c r="AE168" s="400"/>
      <c r="AF168" s="401"/>
      <c r="AG168" s="401">
        <f t="shared" si="7"/>
        <v>0</v>
      </c>
      <c r="AH168" s="401">
        <f t="shared" si="8"/>
        <v>0</v>
      </c>
      <c r="AI168" s="401">
        <f t="shared" si="9"/>
        <v>0</v>
      </c>
      <c r="AJ168" s="401">
        <f t="shared" si="10"/>
        <v>0</v>
      </c>
      <c r="AK168" s="401" t="str">
        <f t="shared" si="11"/>
        <v/>
      </c>
      <c r="AL168" s="402">
        <f t="shared" ca="1" si="12"/>
        <v>3</v>
      </c>
      <c r="AM168" s="402">
        <f t="shared" ca="1" si="13"/>
        <v>1</v>
      </c>
      <c r="AN168" s="402">
        <f t="shared" ca="1" si="14"/>
        <v>36</v>
      </c>
      <c r="AO168" s="402">
        <f t="shared" ca="1" si="15"/>
        <v>1</v>
      </c>
      <c r="AP168" s="402">
        <f t="shared" ca="1" si="16"/>
        <v>0</v>
      </c>
      <c r="AQ168" s="402">
        <f t="shared" ca="1" si="17"/>
        <v>0</v>
      </c>
      <c r="AR168" s="402">
        <f t="shared" ca="1" si="18"/>
        <v>0</v>
      </c>
      <c r="AS168" s="403"/>
      <c r="AT168" s="402">
        <f t="shared" si="19"/>
        <v>1</v>
      </c>
    </row>
    <row r="169" spans="1:46" ht="15.75" customHeight="1">
      <c r="A169" s="382"/>
      <c r="B169" s="383">
        <f t="shared" ca="1" si="0"/>
        <v>3</v>
      </c>
      <c r="C169" s="384">
        <f t="shared" ca="1" si="1"/>
        <v>1</v>
      </c>
      <c r="D169" s="384">
        <f t="shared" ca="1" si="2"/>
        <v>36</v>
      </c>
      <c r="E169" s="384">
        <f t="shared" ca="1" si="3"/>
        <v>2</v>
      </c>
      <c r="F169" s="384" t="str">
        <f t="shared" ca="1" si="4"/>
        <v/>
      </c>
      <c r="G169" s="385" t="str">
        <f t="shared" ca="1" si="5"/>
        <v/>
      </c>
      <c r="H169" s="386" t="str">
        <f t="shared" ca="1" si="6"/>
        <v/>
      </c>
      <c r="I169" s="404"/>
      <c r="J169" s="415"/>
      <c r="K169" s="428"/>
      <c r="L169" s="428" t="s">
        <v>61</v>
      </c>
      <c r="M169" s="428"/>
      <c r="N169" s="428"/>
      <c r="O169" s="428"/>
      <c r="P169" s="428"/>
      <c r="Q169" s="429"/>
      <c r="R169" s="417"/>
      <c r="S169" s="418"/>
      <c r="T169" s="419"/>
      <c r="U169" s="418"/>
      <c r="V169" s="419"/>
      <c r="W169" s="430"/>
      <c r="X169" s="431"/>
      <c r="Y169" s="434"/>
      <c r="Z169" s="433"/>
      <c r="AA169" s="396"/>
      <c r="AB169" s="397"/>
      <c r="AC169" s="398"/>
      <c r="AD169" s="399"/>
      <c r="AE169" s="400"/>
      <c r="AF169" s="401"/>
      <c r="AG169" s="401">
        <f t="shared" si="7"/>
        <v>0</v>
      </c>
      <c r="AH169" s="401">
        <f t="shared" si="8"/>
        <v>0</v>
      </c>
      <c r="AI169" s="401">
        <f t="shared" si="9"/>
        <v>0</v>
      </c>
      <c r="AJ169" s="401">
        <f t="shared" si="10"/>
        <v>0</v>
      </c>
      <c r="AK169" s="401" t="str">
        <f t="shared" si="11"/>
        <v/>
      </c>
      <c r="AL169" s="402">
        <f t="shared" ca="1" si="12"/>
        <v>3</v>
      </c>
      <c r="AM169" s="402">
        <f t="shared" ca="1" si="13"/>
        <v>1</v>
      </c>
      <c r="AN169" s="402">
        <f t="shared" ca="1" si="14"/>
        <v>36</v>
      </c>
      <c r="AO169" s="402">
        <f t="shared" ca="1" si="15"/>
        <v>2</v>
      </c>
      <c r="AP169" s="402">
        <f t="shared" ca="1" si="16"/>
        <v>0</v>
      </c>
      <c r="AQ169" s="402">
        <f t="shared" ca="1" si="17"/>
        <v>0</v>
      </c>
      <c r="AR169" s="402">
        <f t="shared" ca="1" si="18"/>
        <v>0</v>
      </c>
      <c r="AS169" s="403"/>
      <c r="AT169" s="402">
        <f t="shared" si="19"/>
        <v>1</v>
      </c>
    </row>
    <row r="170" spans="1:46" ht="15.75" customHeight="1">
      <c r="A170" s="382"/>
      <c r="B170" s="383">
        <f t="shared" ca="1" si="0"/>
        <v>3</v>
      </c>
      <c r="C170" s="384">
        <f t="shared" ca="1" si="1"/>
        <v>1</v>
      </c>
      <c r="D170" s="384">
        <f t="shared" ca="1" si="2"/>
        <v>37</v>
      </c>
      <c r="E170" s="384" t="str">
        <f t="shared" ca="1" si="3"/>
        <v/>
      </c>
      <c r="F170" s="384" t="str">
        <f t="shared" ca="1" si="4"/>
        <v/>
      </c>
      <c r="G170" s="385" t="str">
        <f t="shared" ca="1" si="5"/>
        <v/>
      </c>
      <c r="H170" s="386" t="str">
        <f t="shared" ca="1" si="6"/>
        <v/>
      </c>
      <c r="I170" s="404"/>
      <c r="J170" s="415"/>
      <c r="K170" s="428" t="s">
        <v>329</v>
      </c>
      <c r="L170" s="428"/>
      <c r="M170" s="428"/>
      <c r="N170" s="428"/>
      <c r="O170" s="428"/>
      <c r="P170" s="428"/>
      <c r="Q170" s="429"/>
      <c r="R170" s="417"/>
      <c r="S170" s="418"/>
      <c r="T170" s="419"/>
      <c r="U170" s="418"/>
      <c r="V170" s="419"/>
      <c r="W170" s="430"/>
      <c r="X170" s="431"/>
      <c r="Y170" s="434"/>
      <c r="Z170" s="433"/>
      <c r="AA170" s="396"/>
      <c r="AB170" s="397"/>
      <c r="AC170" s="398"/>
      <c r="AD170" s="399"/>
      <c r="AE170" s="400"/>
      <c r="AF170" s="401"/>
      <c r="AG170" s="401">
        <f t="shared" si="7"/>
        <v>0</v>
      </c>
      <c r="AH170" s="401">
        <f t="shared" si="8"/>
        <v>0</v>
      </c>
      <c r="AI170" s="401">
        <f t="shared" si="9"/>
        <v>0</v>
      </c>
      <c r="AJ170" s="401">
        <f t="shared" si="10"/>
        <v>0</v>
      </c>
      <c r="AK170" s="401" t="str">
        <f t="shared" si="11"/>
        <v/>
      </c>
      <c r="AL170" s="402">
        <f t="shared" ca="1" si="12"/>
        <v>3</v>
      </c>
      <c r="AM170" s="402">
        <f t="shared" ca="1" si="13"/>
        <v>1</v>
      </c>
      <c r="AN170" s="402">
        <f t="shared" ca="1" si="14"/>
        <v>37</v>
      </c>
      <c r="AO170" s="402">
        <f t="shared" ca="1" si="15"/>
        <v>0</v>
      </c>
      <c r="AP170" s="402">
        <f t="shared" ca="1" si="16"/>
        <v>0</v>
      </c>
      <c r="AQ170" s="402">
        <f t="shared" ca="1" si="17"/>
        <v>0</v>
      </c>
      <c r="AR170" s="402">
        <f t="shared" ca="1" si="18"/>
        <v>0</v>
      </c>
      <c r="AS170" s="403"/>
      <c r="AT170" s="402">
        <f t="shared" si="19"/>
        <v>1</v>
      </c>
    </row>
    <row r="171" spans="1:46" ht="15.75" customHeight="1">
      <c r="A171" s="382"/>
      <c r="B171" s="383">
        <f t="shared" ca="1" si="0"/>
        <v>3</v>
      </c>
      <c r="C171" s="384">
        <f t="shared" ca="1" si="1"/>
        <v>1</v>
      </c>
      <c r="D171" s="384">
        <f t="shared" ca="1" si="2"/>
        <v>37</v>
      </c>
      <c r="E171" s="384">
        <f t="shared" ca="1" si="3"/>
        <v>1</v>
      </c>
      <c r="F171" s="384" t="str">
        <f t="shared" ca="1" si="4"/>
        <v/>
      </c>
      <c r="G171" s="385" t="str">
        <f t="shared" ca="1" si="5"/>
        <v/>
      </c>
      <c r="H171" s="386" t="str">
        <f t="shared" ca="1" si="6"/>
        <v/>
      </c>
      <c r="I171" s="404"/>
      <c r="J171" s="415"/>
      <c r="K171" s="428"/>
      <c r="L171" s="428" t="s">
        <v>59</v>
      </c>
      <c r="M171" s="428"/>
      <c r="N171" s="428"/>
      <c r="O171" s="428"/>
      <c r="P171" s="428"/>
      <c r="Q171" s="429"/>
      <c r="R171" s="417"/>
      <c r="S171" s="418"/>
      <c r="T171" s="419"/>
      <c r="U171" s="418"/>
      <c r="V171" s="419"/>
      <c r="W171" s="430"/>
      <c r="X171" s="431"/>
      <c r="Y171" s="434"/>
      <c r="Z171" s="433"/>
      <c r="AA171" s="396"/>
      <c r="AB171" s="397"/>
      <c r="AC171" s="398"/>
      <c r="AD171" s="399"/>
      <c r="AE171" s="400"/>
      <c r="AF171" s="401"/>
      <c r="AG171" s="401">
        <f t="shared" si="7"/>
        <v>0</v>
      </c>
      <c r="AH171" s="401">
        <f t="shared" si="8"/>
        <v>0</v>
      </c>
      <c r="AI171" s="401">
        <f t="shared" si="9"/>
        <v>0</v>
      </c>
      <c r="AJ171" s="401">
        <f t="shared" si="10"/>
        <v>0</v>
      </c>
      <c r="AK171" s="401" t="str">
        <f t="shared" si="11"/>
        <v/>
      </c>
      <c r="AL171" s="402">
        <f t="shared" ca="1" si="12"/>
        <v>3</v>
      </c>
      <c r="AM171" s="402">
        <f t="shared" ca="1" si="13"/>
        <v>1</v>
      </c>
      <c r="AN171" s="402">
        <f t="shared" ca="1" si="14"/>
        <v>37</v>
      </c>
      <c r="AO171" s="402">
        <f t="shared" ca="1" si="15"/>
        <v>1</v>
      </c>
      <c r="AP171" s="402">
        <f t="shared" ca="1" si="16"/>
        <v>0</v>
      </c>
      <c r="AQ171" s="402">
        <f t="shared" ca="1" si="17"/>
        <v>0</v>
      </c>
      <c r="AR171" s="402">
        <f t="shared" ca="1" si="18"/>
        <v>0</v>
      </c>
      <c r="AS171" s="403"/>
      <c r="AT171" s="402">
        <f t="shared" si="19"/>
        <v>1</v>
      </c>
    </row>
    <row r="172" spans="1:46" ht="15.75" customHeight="1">
      <c r="A172" s="382"/>
      <c r="B172" s="383">
        <f t="shared" ca="1" si="0"/>
        <v>3</v>
      </c>
      <c r="C172" s="384">
        <f t="shared" ca="1" si="1"/>
        <v>1</v>
      </c>
      <c r="D172" s="384">
        <f t="shared" ca="1" si="2"/>
        <v>37</v>
      </c>
      <c r="E172" s="384">
        <f t="shared" ca="1" si="3"/>
        <v>2</v>
      </c>
      <c r="F172" s="384" t="str">
        <f t="shared" ca="1" si="4"/>
        <v/>
      </c>
      <c r="G172" s="385" t="str">
        <f t="shared" ca="1" si="5"/>
        <v/>
      </c>
      <c r="H172" s="386" t="str">
        <f t="shared" ca="1" si="6"/>
        <v/>
      </c>
      <c r="I172" s="404"/>
      <c r="J172" s="415"/>
      <c r="K172" s="428"/>
      <c r="L172" s="428" t="s">
        <v>61</v>
      </c>
      <c r="M172" s="428"/>
      <c r="N172" s="428"/>
      <c r="O172" s="428"/>
      <c r="P172" s="428"/>
      <c r="Q172" s="429"/>
      <c r="R172" s="417"/>
      <c r="S172" s="418"/>
      <c r="T172" s="419"/>
      <c r="U172" s="418"/>
      <c r="V172" s="419"/>
      <c r="W172" s="430"/>
      <c r="X172" s="431"/>
      <c r="Y172" s="434"/>
      <c r="Z172" s="433"/>
      <c r="AA172" s="396"/>
      <c r="AB172" s="397"/>
      <c r="AC172" s="398"/>
      <c r="AD172" s="399"/>
      <c r="AE172" s="400"/>
      <c r="AF172" s="401"/>
      <c r="AG172" s="401">
        <f t="shared" si="7"/>
        <v>0</v>
      </c>
      <c r="AH172" s="401">
        <f t="shared" si="8"/>
        <v>0</v>
      </c>
      <c r="AI172" s="401">
        <f t="shared" si="9"/>
        <v>0</v>
      </c>
      <c r="AJ172" s="401">
        <f t="shared" si="10"/>
        <v>0</v>
      </c>
      <c r="AK172" s="401" t="str">
        <f t="shared" si="11"/>
        <v/>
      </c>
      <c r="AL172" s="402">
        <f t="shared" ca="1" si="12"/>
        <v>3</v>
      </c>
      <c r="AM172" s="402">
        <f t="shared" ca="1" si="13"/>
        <v>1</v>
      </c>
      <c r="AN172" s="402">
        <f t="shared" ca="1" si="14"/>
        <v>37</v>
      </c>
      <c r="AO172" s="402">
        <f t="shared" ca="1" si="15"/>
        <v>2</v>
      </c>
      <c r="AP172" s="402">
        <f t="shared" ca="1" si="16"/>
        <v>0</v>
      </c>
      <c r="AQ172" s="402">
        <f t="shared" ca="1" si="17"/>
        <v>0</v>
      </c>
      <c r="AR172" s="402">
        <f t="shared" ca="1" si="18"/>
        <v>0</v>
      </c>
      <c r="AS172" s="403"/>
      <c r="AT172" s="402">
        <f t="shared" si="19"/>
        <v>1</v>
      </c>
    </row>
    <row r="173" spans="1:46" ht="15.75" customHeight="1">
      <c r="A173" s="382"/>
      <c r="B173" s="383">
        <f t="shared" ca="1" si="0"/>
        <v>3</v>
      </c>
      <c r="C173" s="384">
        <f t="shared" ca="1" si="1"/>
        <v>1</v>
      </c>
      <c r="D173" s="384">
        <f t="shared" ca="1" si="2"/>
        <v>38</v>
      </c>
      <c r="E173" s="384" t="str">
        <f t="shared" ca="1" si="3"/>
        <v/>
      </c>
      <c r="F173" s="384" t="str">
        <f t="shared" ca="1" si="4"/>
        <v/>
      </c>
      <c r="G173" s="385" t="str">
        <f t="shared" ca="1" si="5"/>
        <v/>
      </c>
      <c r="H173" s="386" t="str">
        <f t="shared" ca="1" si="6"/>
        <v/>
      </c>
      <c r="I173" s="404"/>
      <c r="J173" s="415"/>
      <c r="K173" s="428" t="s">
        <v>330</v>
      </c>
      <c r="L173" s="428"/>
      <c r="M173" s="428"/>
      <c r="N173" s="428"/>
      <c r="O173" s="428"/>
      <c r="P173" s="428"/>
      <c r="Q173" s="429"/>
      <c r="R173" s="417"/>
      <c r="S173" s="418"/>
      <c r="T173" s="419"/>
      <c r="U173" s="418"/>
      <c r="V173" s="419"/>
      <c r="W173" s="430"/>
      <c r="X173" s="431"/>
      <c r="Y173" s="434"/>
      <c r="Z173" s="433"/>
      <c r="AA173" s="396"/>
      <c r="AB173" s="397"/>
      <c r="AC173" s="398"/>
      <c r="AD173" s="399"/>
      <c r="AE173" s="400"/>
      <c r="AF173" s="401"/>
      <c r="AG173" s="401">
        <f t="shared" si="7"/>
        <v>0</v>
      </c>
      <c r="AH173" s="401">
        <f t="shared" si="8"/>
        <v>0</v>
      </c>
      <c r="AI173" s="401">
        <f t="shared" si="9"/>
        <v>0</v>
      </c>
      <c r="AJ173" s="401">
        <f t="shared" si="10"/>
        <v>0</v>
      </c>
      <c r="AK173" s="401" t="str">
        <f t="shared" si="11"/>
        <v/>
      </c>
      <c r="AL173" s="402">
        <f t="shared" ca="1" si="12"/>
        <v>3</v>
      </c>
      <c r="AM173" s="402">
        <f t="shared" ca="1" si="13"/>
        <v>1</v>
      </c>
      <c r="AN173" s="402">
        <f t="shared" ca="1" si="14"/>
        <v>38</v>
      </c>
      <c r="AO173" s="402">
        <f t="shared" ca="1" si="15"/>
        <v>0</v>
      </c>
      <c r="AP173" s="402">
        <f t="shared" ca="1" si="16"/>
        <v>0</v>
      </c>
      <c r="AQ173" s="402">
        <f t="shared" ca="1" si="17"/>
        <v>0</v>
      </c>
      <c r="AR173" s="402">
        <f t="shared" ca="1" si="18"/>
        <v>0</v>
      </c>
      <c r="AS173" s="403"/>
      <c r="AT173" s="402">
        <f t="shared" si="19"/>
        <v>1</v>
      </c>
    </row>
    <row r="174" spans="1:46" ht="15.75" customHeight="1">
      <c r="A174" s="382"/>
      <c r="B174" s="383">
        <f t="shared" ca="1" si="0"/>
        <v>3</v>
      </c>
      <c r="C174" s="384">
        <f t="shared" ca="1" si="1"/>
        <v>1</v>
      </c>
      <c r="D174" s="384">
        <f t="shared" ca="1" si="2"/>
        <v>38</v>
      </c>
      <c r="E174" s="384">
        <f t="shared" ca="1" si="3"/>
        <v>1</v>
      </c>
      <c r="F174" s="384" t="str">
        <f t="shared" ca="1" si="4"/>
        <v/>
      </c>
      <c r="G174" s="385" t="str">
        <f t="shared" ca="1" si="5"/>
        <v/>
      </c>
      <c r="H174" s="386" t="str">
        <f t="shared" ca="1" si="6"/>
        <v/>
      </c>
      <c r="I174" s="404"/>
      <c r="J174" s="415"/>
      <c r="K174" s="428"/>
      <c r="L174" s="428" t="s">
        <v>59</v>
      </c>
      <c r="M174" s="428"/>
      <c r="N174" s="428"/>
      <c r="O174" s="428"/>
      <c r="P174" s="428"/>
      <c r="Q174" s="429"/>
      <c r="R174" s="417"/>
      <c r="S174" s="418"/>
      <c r="T174" s="419"/>
      <c r="U174" s="418"/>
      <c r="V174" s="419"/>
      <c r="W174" s="430"/>
      <c r="X174" s="431"/>
      <c r="Y174" s="434"/>
      <c r="Z174" s="433"/>
      <c r="AA174" s="396"/>
      <c r="AB174" s="397"/>
      <c r="AC174" s="398"/>
      <c r="AD174" s="399"/>
      <c r="AE174" s="400"/>
      <c r="AF174" s="401"/>
      <c r="AG174" s="401">
        <f t="shared" si="7"/>
        <v>0</v>
      </c>
      <c r="AH174" s="401">
        <f t="shared" si="8"/>
        <v>0</v>
      </c>
      <c r="AI174" s="401">
        <f t="shared" si="9"/>
        <v>0</v>
      </c>
      <c r="AJ174" s="401">
        <f t="shared" si="10"/>
        <v>0</v>
      </c>
      <c r="AK174" s="401" t="str">
        <f t="shared" si="11"/>
        <v/>
      </c>
      <c r="AL174" s="402">
        <f t="shared" ca="1" si="12"/>
        <v>3</v>
      </c>
      <c r="AM174" s="402">
        <f t="shared" ca="1" si="13"/>
        <v>1</v>
      </c>
      <c r="AN174" s="402">
        <f t="shared" ca="1" si="14"/>
        <v>38</v>
      </c>
      <c r="AO174" s="402">
        <f t="shared" ca="1" si="15"/>
        <v>1</v>
      </c>
      <c r="AP174" s="402">
        <f t="shared" ca="1" si="16"/>
        <v>0</v>
      </c>
      <c r="AQ174" s="402">
        <f t="shared" ca="1" si="17"/>
        <v>0</v>
      </c>
      <c r="AR174" s="402">
        <f t="shared" ca="1" si="18"/>
        <v>0</v>
      </c>
      <c r="AS174" s="403"/>
      <c r="AT174" s="402">
        <f t="shared" si="19"/>
        <v>1</v>
      </c>
    </row>
    <row r="175" spans="1:46" ht="15.75" customHeight="1">
      <c r="A175" s="382"/>
      <c r="B175" s="383">
        <f t="shared" ca="1" si="0"/>
        <v>3</v>
      </c>
      <c r="C175" s="384">
        <f t="shared" ca="1" si="1"/>
        <v>1</v>
      </c>
      <c r="D175" s="384">
        <f t="shared" ca="1" si="2"/>
        <v>38</v>
      </c>
      <c r="E175" s="384">
        <f t="shared" ca="1" si="3"/>
        <v>2</v>
      </c>
      <c r="F175" s="384" t="str">
        <f t="shared" ca="1" si="4"/>
        <v/>
      </c>
      <c r="G175" s="385" t="str">
        <f t="shared" ca="1" si="5"/>
        <v/>
      </c>
      <c r="H175" s="386" t="str">
        <f t="shared" ca="1" si="6"/>
        <v/>
      </c>
      <c r="I175" s="404"/>
      <c r="J175" s="415"/>
      <c r="K175" s="428"/>
      <c r="L175" s="428" t="s">
        <v>61</v>
      </c>
      <c r="M175" s="428"/>
      <c r="N175" s="428"/>
      <c r="O175" s="428"/>
      <c r="P175" s="428"/>
      <c r="Q175" s="429"/>
      <c r="R175" s="417"/>
      <c r="S175" s="418"/>
      <c r="T175" s="419"/>
      <c r="U175" s="418"/>
      <c r="V175" s="419"/>
      <c r="W175" s="430"/>
      <c r="X175" s="431"/>
      <c r="Y175" s="434"/>
      <c r="Z175" s="433"/>
      <c r="AA175" s="396"/>
      <c r="AB175" s="397"/>
      <c r="AC175" s="398"/>
      <c r="AD175" s="399"/>
      <c r="AE175" s="400"/>
      <c r="AF175" s="401"/>
      <c r="AG175" s="401">
        <f t="shared" si="7"/>
        <v>0</v>
      </c>
      <c r="AH175" s="401">
        <f t="shared" si="8"/>
        <v>0</v>
      </c>
      <c r="AI175" s="401">
        <f t="shared" si="9"/>
        <v>0</v>
      </c>
      <c r="AJ175" s="401">
        <f t="shared" si="10"/>
        <v>0</v>
      </c>
      <c r="AK175" s="401" t="str">
        <f t="shared" si="11"/>
        <v/>
      </c>
      <c r="AL175" s="402">
        <f t="shared" ca="1" si="12"/>
        <v>3</v>
      </c>
      <c r="AM175" s="402">
        <f t="shared" ca="1" si="13"/>
        <v>1</v>
      </c>
      <c r="AN175" s="402">
        <f t="shared" ca="1" si="14"/>
        <v>38</v>
      </c>
      <c r="AO175" s="402">
        <f t="shared" ca="1" si="15"/>
        <v>2</v>
      </c>
      <c r="AP175" s="402">
        <f t="shared" ca="1" si="16"/>
        <v>0</v>
      </c>
      <c r="AQ175" s="402">
        <f t="shared" ca="1" si="17"/>
        <v>0</v>
      </c>
      <c r="AR175" s="402">
        <f t="shared" ca="1" si="18"/>
        <v>0</v>
      </c>
      <c r="AS175" s="403"/>
      <c r="AT175" s="402">
        <f t="shared" si="19"/>
        <v>1</v>
      </c>
    </row>
    <row r="176" spans="1:46" ht="15.75" customHeight="1">
      <c r="A176" s="382"/>
      <c r="B176" s="383">
        <f t="shared" ca="1" si="0"/>
        <v>3</v>
      </c>
      <c r="C176" s="384">
        <f t="shared" ca="1" si="1"/>
        <v>1</v>
      </c>
      <c r="D176" s="384">
        <f t="shared" ca="1" si="2"/>
        <v>39</v>
      </c>
      <c r="E176" s="384" t="str">
        <f t="shared" ca="1" si="3"/>
        <v/>
      </c>
      <c r="F176" s="384" t="str">
        <f t="shared" ca="1" si="4"/>
        <v/>
      </c>
      <c r="G176" s="385" t="str">
        <f t="shared" ca="1" si="5"/>
        <v/>
      </c>
      <c r="H176" s="386" t="str">
        <f t="shared" ca="1" si="6"/>
        <v/>
      </c>
      <c r="I176" s="404"/>
      <c r="J176" s="415"/>
      <c r="K176" s="428" t="s">
        <v>331</v>
      </c>
      <c r="L176" s="428"/>
      <c r="M176" s="428"/>
      <c r="N176" s="428"/>
      <c r="O176" s="428"/>
      <c r="P176" s="428"/>
      <c r="Q176" s="429"/>
      <c r="R176" s="417"/>
      <c r="S176" s="418"/>
      <c r="T176" s="419"/>
      <c r="U176" s="418"/>
      <c r="V176" s="419"/>
      <c r="W176" s="430"/>
      <c r="X176" s="431"/>
      <c r="Y176" s="434"/>
      <c r="Z176" s="433"/>
      <c r="AA176" s="396"/>
      <c r="AB176" s="397"/>
      <c r="AC176" s="398"/>
      <c r="AD176" s="399"/>
      <c r="AE176" s="400"/>
      <c r="AF176" s="401"/>
      <c r="AG176" s="401">
        <f t="shared" si="7"/>
        <v>0</v>
      </c>
      <c r="AH176" s="401">
        <f t="shared" si="8"/>
        <v>0</v>
      </c>
      <c r="AI176" s="401">
        <f t="shared" si="9"/>
        <v>0</v>
      </c>
      <c r="AJ176" s="401">
        <f t="shared" si="10"/>
        <v>0</v>
      </c>
      <c r="AK176" s="401" t="str">
        <f t="shared" si="11"/>
        <v/>
      </c>
      <c r="AL176" s="402">
        <f t="shared" ca="1" si="12"/>
        <v>3</v>
      </c>
      <c r="AM176" s="402">
        <f t="shared" ca="1" si="13"/>
        <v>1</v>
      </c>
      <c r="AN176" s="402">
        <f t="shared" ca="1" si="14"/>
        <v>39</v>
      </c>
      <c r="AO176" s="402">
        <f t="shared" ca="1" si="15"/>
        <v>0</v>
      </c>
      <c r="AP176" s="402">
        <f t="shared" ca="1" si="16"/>
        <v>0</v>
      </c>
      <c r="AQ176" s="402">
        <f t="shared" ca="1" si="17"/>
        <v>0</v>
      </c>
      <c r="AR176" s="402">
        <f t="shared" ca="1" si="18"/>
        <v>0</v>
      </c>
      <c r="AS176" s="403"/>
      <c r="AT176" s="402">
        <f t="shared" si="19"/>
        <v>1</v>
      </c>
    </row>
    <row r="177" spans="1:46" ht="15.75" customHeight="1">
      <c r="A177" s="382"/>
      <c r="B177" s="383">
        <f t="shared" ca="1" si="0"/>
        <v>3</v>
      </c>
      <c r="C177" s="384">
        <f t="shared" ca="1" si="1"/>
        <v>1</v>
      </c>
      <c r="D177" s="384">
        <f t="shared" ca="1" si="2"/>
        <v>39</v>
      </c>
      <c r="E177" s="384">
        <f t="shared" ca="1" si="3"/>
        <v>1</v>
      </c>
      <c r="F177" s="384" t="str">
        <f t="shared" ca="1" si="4"/>
        <v/>
      </c>
      <c r="G177" s="385" t="str">
        <f t="shared" ca="1" si="5"/>
        <v/>
      </c>
      <c r="H177" s="386" t="str">
        <f t="shared" ca="1" si="6"/>
        <v/>
      </c>
      <c r="I177" s="404"/>
      <c r="J177" s="415"/>
      <c r="K177" s="428"/>
      <c r="L177" s="428" t="s">
        <v>59</v>
      </c>
      <c r="M177" s="428"/>
      <c r="N177" s="428"/>
      <c r="O177" s="428"/>
      <c r="P177" s="428"/>
      <c r="Q177" s="429"/>
      <c r="R177" s="417"/>
      <c r="S177" s="418"/>
      <c r="T177" s="419"/>
      <c r="U177" s="418"/>
      <c r="V177" s="419"/>
      <c r="W177" s="430"/>
      <c r="X177" s="431"/>
      <c r="Y177" s="434"/>
      <c r="Z177" s="433"/>
      <c r="AA177" s="396"/>
      <c r="AB177" s="397"/>
      <c r="AC177" s="398"/>
      <c r="AD177" s="399"/>
      <c r="AE177" s="400"/>
      <c r="AF177" s="401"/>
      <c r="AG177" s="401">
        <f t="shared" si="7"/>
        <v>0</v>
      </c>
      <c r="AH177" s="401">
        <f t="shared" si="8"/>
        <v>0</v>
      </c>
      <c r="AI177" s="401">
        <f t="shared" si="9"/>
        <v>0</v>
      </c>
      <c r="AJ177" s="401">
        <f t="shared" si="10"/>
        <v>0</v>
      </c>
      <c r="AK177" s="401" t="str">
        <f t="shared" si="11"/>
        <v/>
      </c>
      <c r="AL177" s="402">
        <f t="shared" ca="1" si="12"/>
        <v>3</v>
      </c>
      <c r="AM177" s="402">
        <f t="shared" ca="1" si="13"/>
        <v>1</v>
      </c>
      <c r="AN177" s="402">
        <f t="shared" ca="1" si="14"/>
        <v>39</v>
      </c>
      <c r="AO177" s="402">
        <f t="shared" ca="1" si="15"/>
        <v>1</v>
      </c>
      <c r="AP177" s="402">
        <f t="shared" ca="1" si="16"/>
        <v>0</v>
      </c>
      <c r="AQ177" s="402">
        <f t="shared" ca="1" si="17"/>
        <v>0</v>
      </c>
      <c r="AR177" s="402">
        <f t="shared" ca="1" si="18"/>
        <v>0</v>
      </c>
      <c r="AS177" s="403"/>
      <c r="AT177" s="402">
        <f t="shared" si="19"/>
        <v>1</v>
      </c>
    </row>
    <row r="178" spans="1:46" ht="15.75" customHeight="1">
      <c r="A178" s="382"/>
      <c r="B178" s="383">
        <f t="shared" ca="1" si="0"/>
        <v>3</v>
      </c>
      <c r="C178" s="384">
        <f t="shared" ca="1" si="1"/>
        <v>1</v>
      </c>
      <c r="D178" s="384">
        <f t="shared" ca="1" si="2"/>
        <v>39</v>
      </c>
      <c r="E178" s="384">
        <f t="shared" ca="1" si="3"/>
        <v>2</v>
      </c>
      <c r="F178" s="384" t="str">
        <f t="shared" ca="1" si="4"/>
        <v/>
      </c>
      <c r="G178" s="385" t="str">
        <f t="shared" ca="1" si="5"/>
        <v/>
      </c>
      <c r="H178" s="386" t="str">
        <f t="shared" ca="1" si="6"/>
        <v/>
      </c>
      <c r="I178" s="404"/>
      <c r="J178" s="415"/>
      <c r="K178" s="428"/>
      <c r="L178" s="428" t="s">
        <v>61</v>
      </c>
      <c r="M178" s="428"/>
      <c r="N178" s="428"/>
      <c r="O178" s="428"/>
      <c r="P178" s="428"/>
      <c r="Q178" s="429"/>
      <c r="R178" s="417"/>
      <c r="S178" s="418"/>
      <c r="T178" s="419"/>
      <c r="U178" s="418"/>
      <c r="V178" s="419"/>
      <c r="W178" s="430"/>
      <c r="X178" s="431"/>
      <c r="Y178" s="434"/>
      <c r="Z178" s="433"/>
      <c r="AA178" s="396"/>
      <c r="AB178" s="397"/>
      <c r="AC178" s="398"/>
      <c r="AD178" s="399"/>
      <c r="AE178" s="400"/>
      <c r="AF178" s="401"/>
      <c r="AG178" s="401">
        <f t="shared" si="7"/>
        <v>0</v>
      </c>
      <c r="AH178" s="401">
        <f t="shared" si="8"/>
        <v>0</v>
      </c>
      <c r="AI178" s="401">
        <f t="shared" si="9"/>
        <v>0</v>
      </c>
      <c r="AJ178" s="401">
        <f t="shared" si="10"/>
        <v>0</v>
      </c>
      <c r="AK178" s="401" t="str">
        <f t="shared" si="11"/>
        <v/>
      </c>
      <c r="AL178" s="402">
        <f t="shared" ca="1" si="12"/>
        <v>3</v>
      </c>
      <c r="AM178" s="402">
        <f t="shared" ca="1" si="13"/>
        <v>1</v>
      </c>
      <c r="AN178" s="402">
        <f t="shared" ca="1" si="14"/>
        <v>39</v>
      </c>
      <c r="AO178" s="402">
        <f t="shared" ca="1" si="15"/>
        <v>2</v>
      </c>
      <c r="AP178" s="402">
        <f t="shared" ca="1" si="16"/>
        <v>0</v>
      </c>
      <c r="AQ178" s="402">
        <f t="shared" ca="1" si="17"/>
        <v>0</v>
      </c>
      <c r="AR178" s="402">
        <f t="shared" ca="1" si="18"/>
        <v>0</v>
      </c>
      <c r="AS178" s="403"/>
      <c r="AT178" s="402">
        <f t="shared" si="19"/>
        <v>1</v>
      </c>
    </row>
    <row r="179" spans="1:46" ht="15.75" customHeight="1">
      <c r="A179" s="382"/>
      <c r="B179" s="383">
        <f t="shared" ca="1" si="0"/>
        <v>3</v>
      </c>
      <c r="C179" s="384">
        <f t="shared" ca="1" si="1"/>
        <v>1</v>
      </c>
      <c r="D179" s="384">
        <f t="shared" ca="1" si="2"/>
        <v>40</v>
      </c>
      <c r="E179" s="384" t="str">
        <f t="shared" ca="1" si="3"/>
        <v/>
      </c>
      <c r="F179" s="384" t="str">
        <f t="shared" ca="1" si="4"/>
        <v/>
      </c>
      <c r="G179" s="385" t="str">
        <f t="shared" ca="1" si="5"/>
        <v/>
      </c>
      <c r="H179" s="386" t="str">
        <f t="shared" ca="1" si="6"/>
        <v/>
      </c>
      <c r="I179" s="404"/>
      <c r="J179" s="415"/>
      <c r="K179" s="428" t="s">
        <v>332</v>
      </c>
      <c r="L179" s="428"/>
      <c r="M179" s="428"/>
      <c r="N179" s="428"/>
      <c r="O179" s="428"/>
      <c r="P179" s="428"/>
      <c r="Q179" s="429"/>
      <c r="R179" s="417"/>
      <c r="S179" s="418"/>
      <c r="T179" s="419"/>
      <c r="U179" s="418"/>
      <c r="V179" s="419"/>
      <c r="W179" s="430"/>
      <c r="X179" s="431"/>
      <c r="Y179" s="434"/>
      <c r="Z179" s="433"/>
      <c r="AA179" s="396"/>
      <c r="AB179" s="397"/>
      <c r="AC179" s="398"/>
      <c r="AD179" s="399"/>
      <c r="AE179" s="400"/>
      <c r="AF179" s="401"/>
      <c r="AG179" s="401">
        <f t="shared" si="7"/>
        <v>0</v>
      </c>
      <c r="AH179" s="401">
        <f t="shared" si="8"/>
        <v>0</v>
      </c>
      <c r="AI179" s="401">
        <f t="shared" si="9"/>
        <v>0</v>
      </c>
      <c r="AJ179" s="401">
        <f t="shared" si="10"/>
        <v>0</v>
      </c>
      <c r="AK179" s="401" t="str">
        <f t="shared" si="11"/>
        <v/>
      </c>
      <c r="AL179" s="402">
        <f t="shared" ca="1" si="12"/>
        <v>3</v>
      </c>
      <c r="AM179" s="402">
        <f t="shared" ca="1" si="13"/>
        <v>1</v>
      </c>
      <c r="AN179" s="402">
        <f t="shared" ca="1" si="14"/>
        <v>40</v>
      </c>
      <c r="AO179" s="402">
        <f t="shared" ca="1" si="15"/>
        <v>0</v>
      </c>
      <c r="AP179" s="402">
        <f t="shared" ca="1" si="16"/>
        <v>0</v>
      </c>
      <c r="AQ179" s="402">
        <f t="shared" ca="1" si="17"/>
        <v>0</v>
      </c>
      <c r="AR179" s="402">
        <f t="shared" ca="1" si="18"/>
        <v>0</v>
      </c>
      <c r="AS179" s="403"/>
      <c r="AT179" s="402">
        <f t="shared" si="19"/>
        <v>1</v>
      </c>
    </row>
    <row r="180" spans="1:46" ht="15.75" customHeight="1">
      <c r="A180" s="382"/>
      <c r="B180" s="383">
        <f t="shared" ca="1" si="0"/>
        <v>3</v>
      </c>
      <c r="C180" s="384">
        <f t="shared" ca="1" si="1"/>
        <v>1</v>
      </c>
      <c r="D180" s="384">
        <f t="shared" ca="1" si="2"/>
        <v>40</v>
      </c>
      <c r="E180" s="384">
        <f t="shared" ca="1" si="3"/>
        <v>1</v>
      </c>
      <c r="F180" s="384" t="str">
        <f t="shared" ca="1" si="4"/>
        <v/>
      </c>
      <c r="G180" s="385" t="str">
        <f t="shared" ca="1" si="5"/>
        <v/>
      </c>
      <c r="H180" s="386" t="str">
        <f t="shared" ca="1" si="6"/>
        <v/>
      </c>
      <c r="I180" s="404"/>
      <c r="J180" s="415"/>
      <c r="K180" s="428"/>
      <c r="L180" s="428" t="s">
        <v>59</v>
      </c>
      <c r="M180" s="428"/>
      <c r="N180" s="428"/>
      <c r="O180" s="428"/>
      <c r="P180" s="428"/>
      <c r="Q180" s="429"/>
      <c r="R180" s="417"/>
      <c r="S180" s="418"/>
      <c r="T180" s="419"/>
      <c r="U180" s="418"/>
      <c r="V180" s="419"/>
      <c r="W180" s="430"/>
      <c r="X180" s="431"/>
      <c r="Y180" s="434"/>
      <c r="Z180" s="433"/>
      <c r="AA180" s="396"/>
      <c r="AB180" s="397"/>
      <c r="AC180" s="398"/>
      <c r="AD180" s="399"/>
      <c r="AE180" s="400"/>
      <c r="AF180" s="401"/>
      <c r="AG180" s="401">
        <f t="shared" si="7"/>
        <v>0</v>
      </c>
      <c r="AH180" s="401">
        <f t="shared" si="8"/>
        <v>0</v>
      </c>
      <c r="AI180" s="401">
        <f t="shared" si="9"/>
        <v>0</v>
      </c>
      <c r="AJ180" s="401">
        <f t="shared" si="10"/>
        <v>0</v>
      </c>
      <c r="AK180" s="401" t="str">
        <f t="shared" si="11"/>
        <v/>
      </c>
      <c r="AL180" s="402">
        <f t="shared" ca="1" si="12"/>
        <v>3</v>
      </c>
      <c r="AM180" s="402">
        <f t="shared" ca="1" si="13"/>
        <v>1</v>
      </c>
      <c r="AN180" s="402">
        <f t="shared" ca="1" si="14"/>
        <v>40</v>
      </c>
      <c r="AO180" s="402">
        <f t="shared" ca="1" si="15"/>
        <v>1</v>
      </c>
      <c r="AP180" s="402">
        <f t="shared" ca="1" si="16"/>
        <v>0</v>
      </c>
      <c r="AQ180" s="402">
        <f t="shared" ca="1" si="17"/>
        <v>0</v>
      </c>
      <c r="AR180" s="402">
        <f t="shared" ca="1" si="18"/>
        <v>0</v>
      </c>
      <c r="AS180" s="403"/>
      <c r="AT180" s="402">
        <f t="shared" si="19"/>
        <v>1</v>
      </c>
    </row>
    <row r="181" spans="1:46" ht="15.75" customHeight="1">
      <c r="A181" s="382"/>
      <c r="B181" s="383">
        <f t="shared" ca="1" si="0"/>
        <v>3</v>
      </c>
      <c r="C181" s="384">
        <f t="shared" ca="1" si="1"/>
        <v>1</v>
      </c>
      <c r="D181" s="384">
        <f t="shared" ca="1" si="2"/>
        <v>40</v>
      </c>
      <c r="E181" s="384">
        <f t="shared" ca="1" si="3"/>
        <v>2</v>
      </c>
      <c r="F181" s="384" t="str">
        <f t="shared" ca="1" si="4"/>
        <v/>
      </c>
      <c r="G181" s="385" t="str">
        <f t="shared" ca="1" si="5"/>
        <v/>
      </c>
      <c r="H181" s="386" t="str">
        <f t="shared" ca="1" si="6"/>
        <v/>
      </c>
      <c r="I181" s="404"/>
      <c r="J181" s="415"/>
      <c r="K181" s="428"/>
      <c r="L181" s="428" t="s">
        <v>61</v>
      </c>
      <c r="M181" s="428"/>
      <c r="N181" s="428"/>
      <c r="O181" s="428"/>
      <c r="P181" s="428"/>
      <c r="Q181" s="429"/>
      <c r="R181" s="417"/>
      <c r="S181" s="418"/>
      <c r="T181" s="419"/>
      <c r="U181" s="418"/>
      <c r="V181" s="419"/>
      <c r="W181" s="430"/>
      <c r="X181" s="431"/>
      <c r="Y181" s="434"/>
      <c r="Z181" s="433"/>
      <c r="AA181" s="396"/>
      <c r="AB181" s="397"/>
      <c r="AC181" s="398"/>
      <c r="AD181" s="399"/>
      <c r="AE181" s="400"/>
      <c r="AF181" s="401"/>
      <c r="AG181" s="401">
        <f t="shared" si="7"/>
        <v>0</v>
      </c>
      <c r="AH181" s="401">
        <f t="shared" si="8"/>
        <v>0</v>
      </c>
      <c r="AI181" s="401">
        <f t="shared" si="9"/>
        <v>0</v>
      </c>
      <c r="AJ181" s="401">
        <f t="shared" si="10"/>
        <v>0</v>
      </c>
      <c r="AK181" s="401" t="str">
        <f t="shared" si="11"/>
        <v/>
      </c>
      <c r="AL181" s="402">
        <f t="shared" ca="1" si="12"/>
        <v>3</v>
      </c>
      <c r="AM181" s="402">
        <f t="shared" ca="1" si="13"/>
        <v>1</v>
      </c>
      <c r="AN181" s="402">
        <f t="shared" ca="1" si="14"/>
        <v>40</v>
      </c>
      <c r="AO181" s="402">
        <f t="shared" ca="1" si="15"/>
        <v>2</v>
      </c>
      <c r="AP181" s="402">
        <f t="shared" ca="1" si="16"/>
        <v>0</v>
      </c>
      <c r="AQ181" s="402">
        <f t="shared" ca="1" si="17"/>
        <v>0</v>
      </c>
      <c r="AR181" s="402">
        <f t="shared" ca="1" si="18"/>
        <v>0</v>
      </c>
      <c r="AS181" s="403"/>
      <c r="AT181" s="402">
        <f t="shared" si="19"/>
        <v>1</v>
      </c>
    </row>
    <row r="182" spans="1:46" ht="15.75" customHeight="1">
      <c r="A182" s="382"/>
      <c r="B182" s="383">
        <f t="shared" ca="1" si="0"/>
        <v>3</v>
      </c>
      <c r="C182" s="384">
        <f t="shared" ca="1" si="1"/>
        <v>1</v>
      </c>
      <c r="D182" s="384">
        <f t="shared" ca="1" si="2"/>
        <v>41</v>
      </c>
      <c r="E182" s="384" t="str">
        <f t="shared" ca="1" si="3"/>
        <v/>
      </c>
      <c r="F182" s="384" t="str">
        <f t="shared" ca="1" si="4"/>
        <v/>
      </c>
      <c r="G182" s="385" t="str">
        <f t="shared" ca="1" si="5"/>
        <v/>
      </c>
      <c r="H182" s="386" t="str">
        <f t="shared" ca="1" si="6"/>
        <v/>
      </c>
      <c r="I182" s="404"/>
      <c r="J182" s="415"/>
      <c r="K182" s="428" t="s">
        <v>333</v>
      </c>
      <c r="L182" s="428"/>
      <c r="M182" s="428"/>
      <c r="N182" s="428"/>
      <c r="O182" s="428"/>
      <c r="P182" s="428"/>
      <c r="Q182" s="429"/>
      <c r="R182" s="417"/>
      <c r="S182" s="418"/>
      <c r="T182" s="419"/>
      <c r="U182" s="418"/>
      <c r="V182" s="419"/>
      <c r="W182" s="430"/>
      <c r="X182" s="431"/>
      <c r="Y182" s="434"/>
      <c r="Z182" s="433"/>
      <c r="AA182" s="396"/>
      <c r="AB182" s="397"/>
      <c r="AC182" s="398"/>
      <c r="AD182" s="399"/>
      <c r="AE182" s="400"/>
      <c r="AF182" s="401"/>
      <c r="AG182" s="401">
        <f t="shared" si="7"/>
        <v>0</v>
      </c>
      <c r="AH182" s="401">
        <f t="shared" si="8"/>
        <v>0</v>
      </c>
      <c r="AI182" s="401">
        <f t="shared" si="9"/>
        <v>0</v>
      </c>
      <c r="AJ182" s="401">
        <f t="shared" si="10"/>
        <v>0</v>
      </c>
      <c r="AK182" s="401" t="str">
        <f t="shared" si="11"/>
        <v/>
      </c>
      <c r="AL182" s="402">
        <f t="shared" ca="1" si="12"/>
        <v>3</v>
      </c>
      <c r="AM182" s="402">
        <f t="shared" ca="1" si="13"/>
        <v>1</v>
      </c>
      <c r="AN182" s="402">
        <f t="shared" ca="1" si="14"/>
        <v>41</v>
      </c>
      <c r="AO182" s="402">
        <f t="shared" ca="1" si="15"/>
        <v>0</v>
      </c>
      <c r="AP182" s="402">
        <f t="shared" ca="1" si="16"/>
        <v>0</v>
      </c>
      <c r="AQ182" s="402">
        <f t="shared" ca="1" si="17"/>
        <v>0</v>
      </c>
      <c r="AR182" s="402">
        <f t="shared" ca="1" si="18"/>
        <v>0</v>
      </c>
      <c r="AS182" s="403"/>
      <c r="AT182" s="402">
        <f t="shared" si="19"/>
        <v>1</v>
      </c>
    </row>
    <row r="183" spans="1:46" ht="15.75" customHeight="1">
      <c r="A183" s="382"/>
      <c r="B183" s="383">
        <f t="shared" ca="1" si="0"/>
        <v>3</v>
      </c>
      <c r="C183" s="384">
        <f t="shared" ca="1" si="1"/>
        <v>1</v>
      </c>
      <c r="D183" s="384">
        <f t="shared" ca="1" si="2"/>
        <v>41</v>
      </c>
      <c r="E183" s="384">
        <f t="shared" ca="1" si="3"/>
        <v>1</v>
      </c>
      <c r="F183" s="384" t="str">
        <f t="shared" ca="1" si="4"/>
        <v/>
      </c>
      <c r="G183" s="385" t="str">
        <f t="shared" ca="1" si="5"/>
        <v/>
      </c>
      <c r="H183" s="386" t="str">
        <f t="shared" ca="1" si="6"/>
        <v/>
      </c>
      <c r="I183" s="404"/>
      <c r="J183" s="415"/>
      <c r="K183" s="428"/>
      <c r="L183" s="428" t="s">
        <v>59</v>
      </c>
      <c r="M183" s="428"/>
      <c r="N183" s="428"/>
      <c r="O183" s="428"/>
      <c r="P183" s="428"/>
      <c r="Q183" s="429"/>
      <c r="R183" s="417"/>
      <c r="S183" s="418"/>
      <c r="T183" s="419"/>
      <c r="U183" s="418"/>
      <c r="V183" s="419"/>
      <c r="W183" s="430"/>
      <c r="X183" s="431"/>
      <c r="Y183" s="434"/>
      <c r="Z183" s="433"/>
      <c r="AA183" s="396"/>
      <c r="AB183" s="397"/>
      <c r="AC183" s="398"/>
      <c r="AD183" s="399"/>
      <c r="AE183" s="400"/>
      <c r="AF183" s="401"/>
      <c r="AG183" s="401">
        <f t="shared" si="7"/>
        <v>0</v>
      </c>
      <c r="AH183" s="401">
        <f t="shared" si="8"/>
        <v>0</v>
      </c>
      <c r="AI183" s="401">
        <f t="shared" si="9"/>
        <v>0</v>
      </c>
      <c r="AJ183" s="401">
        <f t="shared" si="10"/>
        <v>0</v>
      </c>
      <c r="AK183" s="401" t="str">
        <f t="shared" si="11"/>
        <v/>
      </c>
      <c r="AL183" s="402">
        <f t="shared" ca="1" si="12"/>
        <v>3</v>
      </c>
      <c r="AM183" s="402">
        <f t="shared" ca="1" si="13"/>
        <v>1</v>
      </c>
      <c r="AN183" s="402">
        <f t="shared" ca="1" si="14"/>
        <v>41</v>
      </c>
      <c r="AO183" s="402">
        <f t="shared" ca="1" si="15"/>
        <v>1</v>
      </c>
      <c r="AP183" s="402">
        <f t="shared" ca="1" si="16"/>
        <v>0</v>
      </c>
      <c r="AQ183" s="402">
        <f t="shared" ca="1" si="17"/>
        <v>0</v>
      </c>
      <c r="AR183" s="402">
        <f t="shared" ca="1" si="18"/>
        <v>0</v>
      </c>
      <c r="AS183" s="403"/>
      <c r="AT183" s="402">
        <f t="shared" si="19"/>
        <v>1</v>
      </c>
    </row>
    <row r="184" spans="1:46" ht="15.75" customHeight="1">
      <c r="A184" s="382"/>
      <c r="B184" s="383">
        <f t="shared" ca="1" si="0"/>
        <v>3</v>
      </c>
      <c r="C184" s="384">
        <f t="shared" ca="1" si="1"/>
        <v>1</v>
      </c>
      <c r="D184" s="384">
        <f t="shared" ca="1" si="2"/>
        <v>41</v>
      </c>
      <c r="E184" s="384">
        <f t="shared" ca="1" si="3"/>
        <v>2</v>
      </c>
      <c r="F184" s="384" t="str">
        <f t="shared" ca="1" si="4"/>
        <v/>
      </c>
      <c r="G184" s="385" t="str">
        <f t="shared" ca="1" si="5"/>
        <v/>
      </c>
      <c r="H184" s="386" t="str">
        <f t="shared" ca="1" si="6"/>
        <v/>
      </c>
      <c r="I184" s="404"/>
      <c r="J184" s="415"/>
      <c r="K184" s="428"/>
      <c r="L184" s="428" t="s">
        <v>61</v>
      </c>
      <c r="M184" s="428"/>
      <c r="N184" s="428"/>
      <c r="O184" s="428"/>
      <c r="P184" s="428"/>
      <c r="Q184" s="429"/>
      <c r="R184" s="417"/>
      <c r="S184" s="418"/>
      <c r="T184" s="419"/>
      <c r="U184" s="418"/>
      <c r="V184" s="419"/>
      <c r="W184" s="430"/>
      <c r="X184" s="431"/>
      <c r="Y184" s="434"/>
      <c r="Z184" s="433"/>
      <c r="AA184" s="396"/>
      <c r="AB184" s="397"/>
      <c r="AC184" s="398"/>
      <c r="AD184" s="399"/>
      <c r="AE184" s="400"/>
      <c r="AF184" s="401"/>
      <c r="AG184" s="401">
        <f t="shared" si="7"/>
        <v>0</v>
      </c>
      <c r="AH184" s="401">
        <f t="shared" si="8"/>
        <v>0</v>
      </c>
      <c r="AI184" s="401">
        <f t="shared" si="9"/>
        <v>0</v>
      </c>
      <c r="AJ184" s="401">
        <f t="shared" si="10"/>
        <v>0</v>
      </c>
      <c r="AK184" s="401" t="str">
        <f t="shared" si="11"/>
        <v/>
      </c>
      <c r="AL184" s="402">
        <f t="shared" ca="1" si="12"/>
        <v>3</v>
      </c>
      <c r="AM184" s="402">
        <f t="shared" ca="1" si="13"/>
        <v>1</v>
      </c>
      <c r="AN184" s="402">
        <f t="shared" ca="1" si="14"/>
        <v>41</v>
      </c>
      <c r="AO184" s="402">
        <f t="shared" ca="1" si="15"/>
        <v>2</v>
      </c>
      <c r="AP184" s="402">
        <f t="shared" ca="1" si="16"/>
        <v>0</v>
      </c>
      <c r="AQ184" s="402">
        <f t="shared" ca="1" si="17"/>
        <v>0</v>
      </c>
      <c r="AR184" s="402">
        <f t="shared" ca="1" si="18"/>
        <v>0</v>
      </c>
      <c r="AS184" s="403"/>
      <c r="AT184" s="402">
        <f t="shared" si="19"/>
        <v>1</v>
      </c>
    </row>
    <row r="185" spans="1:46" ht="15.75" customHeight="1">
      <c r="A185" s="382"/>
      <c r="B185" s="383">
        <f t="shared" ca="1" si="0"/>
        <v>3</v>
      </c>
      <c r="C185" s="384">
        <f t="shared" ca="1" si="1"/>
        <v>1</v>
      </c>
      <c r="D185" s="384">
        <f t="shared" ca="1" si="2"/>
        <v>42</v>
      </c>
      <c r="E185" s="384" t="str">
        <f t="shared" ca="1" si="3"/>
        <v/>
      </c>
      <c r="F185" s="384" t="str">
        <f t="shared" ca="1" si="4"/>
        <v/>
      </c>
      <c r="G185" s="385" t="str">
        <f t="shared" ca="1" si="5"/>
        <v/>
      </c>
      <c r="H185" s="386" t="str">
        <f t="shared" ca="1" si="6"/>
        <v/>
      </c>
      <c r="I185" s="404"/>
      <c r="J185" s="415"/>
      <c r="K185" s="428" t="s">
        <v>334</v>
      </c>
      <c r="L185" s="428"/>
      <c r="M185" s="428"/>
      <c r="N185" s="428"/>
      <c r="O185" s="428"/>
      <c r="P185" s="428"/>
      <c r="Q185" s="429"/>
      <c r="R185" s="417"/>
      <c r="S185" s="418"/>
      <c r="T185" s="419"/>
      <c r="U185" s="418"/>
      <c r="V185" s="419"/>
      <c r="W185" s="430"/>
      <c r="X185" s="431"/>
      <c r="Y185" s="434"/>
      <c r="Z185" s="433"/>
      <c r="AA185" s="396"/>
      <c r="AB185" s="397"/>
      <c r="AC185" s="398"/>
      <c r="AD185" s="399"/>
      <c r="AE185" s="400"/>
      <c r="AF185" s="401"/>
      <c r="AG185" s="401">
        <f t="shared" si="7"/>
        <v>0</v>
      </c>
      <c r="AH185" s="401">
        <f t="shared" si="8"/>
        <v>0</v>
      </c>
      <c r="AI185" s="401">
        <f t="shared" si="9"/>
        <v>0</v>
      </c>
      <c r="AJ185" s="401">
        <f t="shared" si="10"/>
        <v>0</v>
      </c>
      <c r="AK185" s="401" t="str">
        <f t="shared" si="11"/>
        <v/>
      </c>
      <c r="AL185" s="402">
        <f t="shared" ca="1" si="12"/>
        <v>3</v>
      </c>
      <c r="AM185" s="402">
        <f t="shared" ca="1" si="13"/>
        <v>1</v>
      </c>
      <c r="AN185" s="402">
        <f t="shared" ca="1" si="14"/>
        <v>42</v>
      </c>
      <c r="AO185" s="402">
        <f t="shared" ca="1" si="15"/>
        <v>0</v>
      </c>
      <c r="AP185" s="402">
        <f t="shared" ca="1" si="16"/>
        <v>0</v>
      </c>
      <c r="AQ185" s="402">
        <f t="shared" ca="1" si="17"/>
        <v>0</v>
      </c>
      <c r="AR185" s="402">
        <f t="shared" ca="1" si="18"/>
        <v>0</v>
      </c>
      <c r="AS185" s="403"/>
      <c r="AT185" s="402">
        <f t="shared" si="19"/>
        <v>1</v>
      </c>
    </row>
    <row r="186" spans="1:46" ht="15.75" customHeight="1">
      <c r="A186" s="382"/>
      <c r="B186" s="383">
        <f t="shared" ca="1" si="0"/>
        <v>3</v>
      </c>
      <c r="C186" s="384">
        <f t="shared" ca="1" si="1"/>
        <v>1</v>
      </c>
      <c r="D186" s="384">
        <f t="shared" ca="1" si="2"/>
        <v>42</v>
      </c>
      <c r="E186" s="384">
        <f t="shared" ca="1" si="3"/>
        <v>1</v>
      </c>
      <c r="F186" s="384" t="str">
        <f t="shared" ca="1" si="4"/>
        <v/>
      </c>
      <c r="G186" s="385" t="str">
        <f t="shared" ca="1" si="5"/>
        <v/>
      </c>
      <c r="H186" s="386" t="str">
        <f t="shared" ca="1" si="6"/>
        <v/>
      </c>
      <c r="I186" s="404"/>
      <c r="J186" s="415"/>
      <c r="K186" s="428"/>
      <c r="L186" s="428" t="s">
        <v>59</v>
      </c>
      <c r="M186" s="428"/>
      <c r="N186" s="428"/>
      <c r="O186" s="428"/>
      <c r="P186" s="428"/>
      <c r="Q186" s="429"/>
      <c r="R186" s="417"/>
      <c r="S186" s="418"/>
      <c r="T186" s="419"/>
      <c r="U186" s="418"/>
      <c r="V186" s="419"/>
      <c r="W186" s="430"/>
      <c r="X186" s="431"/>
      <c r="Y186" s="434"/>
      <c r="Z186" s="433"/>
      <c r="AA186" s="396"/>
      <c r="AB186" s="397"/>
      <c r="AC186" s="398"/>
      <c r="AD186" s="399"/>
      <c r="AE186" s="400"/>
      <c r="AF186" s="401"/>
      <c r="AG186" s="401">
        <f t="shared" si="7"/>
        <v>0</v>
      </c>
      <c r="AH186" s="401">
        <f t="shared" si="8"/>
        <v>0</v>
      </c>
      <c r="AI186" s="401">
        <f t="shared" si="9"/>
        <v>0</v>
      </c>
      <c r="AJ186" s="401">
        <f t="shared" si="10"/>
        <v>0</v>
      </c>
      <c r="AK186" s="401" t="str">
        <f t="shared" si="11"/>
        <v/>
      </c>
      <c r="AL186" s="402">
        <f t="shared" ca="1" si="12"/>
        <v>3</v>
      </c>
      <c r="AM186" s="402">
        <f t="shared" ca="1" si="13"/>
        <v>1</v>
      </c>
      <c r="AN186" s="402">
        <f t="shared" ca="1" si="14"/>
        <v>42</v>
      </c>
      <c r="AO186" s="402">
        <f t="shared" ca="1" si="15"/>
        <v>1</v>
      </c>
      <c r="AP186" s="402">
        <f t="shared" ca="1" si="16"/>
        <v>0</v>
      </c>
      <c r="AQ186" s="402">
        <f t="shared" ca="1" si="17"/>
        <v>0</v>
      </c>
      <c r="AR186" s="402">
        <f t="shared" ca="1" si="18"/>
        <v>0</v>
      </c>
      <c r="AS186" s="403"/>
      <c r="AT186" s="402">
        <f t="shared" si="19"/>
        <v>1</v>
      </c>
    </row>
    <row r="187" spans="1:46" ht="15.75" customHeight="1">
      <c r="A187" s="382"/>
      <c r="B187" s="383">
        <f t="shared" ca="1" si="0"/>
        <v>3</v>
      </c>
      <c r="C187" s="384">
        <f t="shared" ca="1" si="1"/>
        <v>1</v>
      </c>
      <c r="D187" s="384">
        <f t="shared" ca="1" si="2"/>
        <v>42</v>
      </c>
      <c r="E187" s="384">
        <f t="shared" ca="1" si="3"/>
        <v>2</v>
      </c>
      <c r="F187" s="384" t="str">
        <f t="shared" ca="1" si="4"/>
        <v/>
      </c>
      <c r="G187" s="385" t="str">
        <f t="shared" ca="1" si="5"/>
        <v/>
      </c>
      <c r="H187" s="386" t="str">
        <f t="shared" ca="1" si="6"/>
        <v/>
      </c>
      <c r="I187" s="404"/>
      <c r="J187" s="415"/>
      <c r="K187" s="428"/>
      <c r="L187" s="428" t="s">
        <v>61</v>
      </c>
      <c r="M187" s="428"/>
      <c r="N187" s="428"/>
      <c r="O187" s="428"/>
      <c r="P187" s="428"/>
      <c r="Q187" s="429"/>
      <c r="R187" s="417"/>
      <c r="S187" s="418"/>
      <c r="T187" s="419"/>
      <c r="U187" s="418"/>
      <c r="V187" s="419"/>
      <c r="W187" s="430"/>
      <c r="X187" s="431"/>
      <c r="Y187" s="434"/>
      <c r="Z187" s="433"/>
      <c r="AA187" s="396"/>
      <c r="AB187" s="397"/>
      <c r="AC187" s="398"/>
      <c r="AD187" s="399"/>
      <c r="AE187" s="400"/>
      <c r="AF187" s="401"/>
      <c r="AG187" s="401">
        <f t="shared" si="7"/>
        <v>0</v>
      </c>
      <c r="AH187" s="401">
        <f t="shared" si="8"/>
        <v>0</v>
      </c>
      <c r="AI187" s="401">
        <f t="shared" si="9"/>
        <v>0</v>
      </c>
      <c r="AJ187" s="401">
        <f t="shared" si="10"/>
        <v>0</v>
      </c>
      <c r="AK187" s="401" t="str">
        <f t="shared" si="11"/>
        <v/>
      </c>
      <c r="AL187" s="402">
        <f t="shared" ca="1" si="12"/>
        <v>3</v>
      </c>
      <c r="AM187" s="402">
        <f t="shared" ca="1" si="13"/>
        <v>1</v>
      </c>
      <c r="AN187" s="402">
        <f t="shared" ca="1" si="14"/>
        <v>42</v>
      </c>
      <c r="AO187" s="402">
        <f t="shared" ca="1" si="15"/>
        <v>2</v>
      </c>
      <c r="AP187" s="402">
        <f t="shared" ca="1" si="16"/>
        <v>0</v>
      </c>
      <c r="AQ187" s="402">
        <f t="shared" ca="1" si="17"/>
        <v>0</v>
      </c>
      <c r="AR187" s="402">
        <f t="shared" ca="1" si="18"/>
        <v>0</v>
      </c>
      <c r="AS187" s="403"/>
      <c r="AT187" s="402">
        <f t="shared" si="19"/>
        <v>1</v>
      </c>
    </row>
    <row r="188" spans="1:46" ht="15.75" customHeight="1">
      <c r="A188" s="382"/>
      <c r="B188" s="383">
        <f t="shared" ca="1" si="0"/>
        <v>3</v>
      </c>
      <c r="C188" s="384">
        <f t="shared" ca="1" si="1"/>
        <v>1</v>
      </c>
      <c r="D188" s="384">
        <f t="shared" ca="1" si="2"/>
        <v>43</v>
      </c>
      <c r="E188" s="384" t="str">
        <f t="shared" ca="1" si="3"/>
        <v/>
      </c>
      <c r="F188" s="384" t="str">
        <f t="shared" ca="1" si="4"/>
        <v/>
      </c>
      <c r="G188" s="385" t="str">
        <f t="shared" ca="1" si="5"/>
        <v/>
      </c>
      <c r="H188" s="386" t="str">
        <f t="shared" ca="1" si="6"/>
        <v/>
      </c>
      <c r="I188" s="404"/>
      <c r="J188" s="415"/>
      <c r="K188" s="428" t="s">
        <v>335</v>
      </c>
      <c r="L188" s="428"/>
      <c r="M188" s="428"/>
      <c r="N188" s="428"/>
      <c r="O188" s="428"/>
      <c r="P188" s="428"/>
      <c r="Q188" s="429"/>
      <c r="R188" s="417"/>
      <c r="S188" s="418"/>
      <c r="T188" s="419"/>
      <c r="U188" s="418"/>
      <c r="V188" s="419"/>
      <c r="W188" s="430"/>
      <c r="X188" s="431"/>
      <c r="Y188" s="434"/>
      <c r="Z188" s="433"/>
      <c r="AA188" s="396"/>
      <c r="AB188" s="397"/>
      <c r="AC188" s="398"/>
      <c r="AD188" s="399"/>
      <c r="AE188" s="400"/>
      <c r="AF188" s="401"/>
      <c r="AG188" s="401">
        <f t="shared" si="7"/>
        <v>0</v>
      </c>
      <c r="AH188" s="401">
        <f t="shared" si="8"/>
        <v>0</v>
      </c>
      <c r="AI188" s="401">
        <f t="shared" si="9"/>
        <v>0</v>
      </c>
      <c r="AJ188" s="401">
        <f t="shared" si="10"/>
        <v>0</v>
      </c>
      <c r="AK188" s="401" t="str">
        <f t="shared" si="11"/>
        <v/>
      </c>
      <c r="AL188" s="402">
        <f t="shared" ca="1" si="12"/>
        <v>3</v>
      </c>
      <c r="AM188" s="402">
        <f t="shared" ca="1" si="13"/>
        <v>1</v>
      </c>
      <c r="AN188" s="402">
        <f t="shared" ca="1" si="14"/>
        <v>43</v>
      </c>
      <c r="AO188" s="402">
        <f t="shared" ca="1" si="15"/>
        <v>0</v>
      </c>
      <c r="AP188" s="402">
        <f t="shared" ca="1" si="16"/>
        <v>0</v>
      </c>
      <c r="AQ188" s="402">
        <f t="shared" ca="1" si="17"/>
        <v>0</v>
      </c>
      <c r="AR188" s="402">
        <f t="shared" ca="1" si="18"/>
        <v>0</v>
      </c>
      <c r="AS188" s="403"/>
      <c r="AT188" s="402">
        <f t="shared" si="19"/>
        <v>1</v>
      </c>
    </row>
    <row r="189" spans="1:46" ht="15.75" customHeight="1">
      <c r="A189" s="382"/>
      <c r="B189" s="383">
        <f t="shared" ca="1" si="0"/>
        <v>3</v>
      </c>
      <c r="C189" s="384">
        <f t="shared" ca="1" si="1"/>
        <v>1</v>
      </c>
      <c r="D189" s="384">
        <f t="shared" ca="1" si="2"/>
        <v>43</v>
      </c>
      <c r="E189" s="384">
        <f t="shared" ca="1" si="3"/>
        <v>1</v>
      </c>
      <c r="F189" s="384" t="str">
        <f t="shared" ca="1" si="4"/>
        <v/>
      </c>
      <c r="G189" s="385" t="str">
        <f t="shared" ca="1" si="5"/>
        <v/>
      </c>
      <c r="H189" s="386" t="str">
        <f t="shared" ca="1" si="6"/>
        <v/>
      </c>
      <c r="I189" s="404"/>
      <c r="J189" s="415"/>
      <c r="K189" s="428"/>
      <c r="L189" s="428" t="s">
        <v>59</v>
      </c>
      <c r="M189" s="428"/>
      <c r="N189" s="428"/>
      <c r="O189" s="428"/>
      <c r="P189" s="428"/>
      <c r="Q189" s="429"/>
      <c r="R189" s="417"/>
      <c r="S189" s="418"/>
      <c r="T189" s="419"/>
      <c r="U189" s="418"/>
      <c r="V189" s="419"/>
      <c r="W189" s="430"/>
      <c r="X189" s="431"/>
      <c r="Y189" s="434"/>
      <c r="Z189" s="433"/>
      <c r="AA189" s="396"/>
      <c r="AB189" s="397"/>
      <c r="AC189" s="398"/>
      <c r="AD189" s="399"/>
      <c r="AE189" s="400"/>
      <c r="AF189" s="401"/>
      <c r="AG189" s="401">
        <f t="shared" si="7"/>
        <v>0</v>
      </c>
      <c r="AH189" s="401">
        <f t="shared" si="8"/>
        <v>0</v>
      </c>
      <c r="AI189" s="401">
        <f t="shared" si="9"/>
        <v>0</v>
      </c>
      <c r="AJ189" s="401">
        <f t="shared" si="10"/>
        <v>0</v>
      </c>
      <c r="AK189" s="401" t="str">
        <f t="shared" si="11"/>
        <v/>
      </c>
      <c r="AL189" s="402">
        <f t="shared" ca="1" si="12"/>
        <v>3</v>
      </c>
      <c r="AM189" s="402">
        <f t="shared" ca="1" si="13"/>
        <v>1</v>
      </c>
      <c r="AN189" s="402">
        <f t="shared" ca="1" si="14"/>
        <v>43</v>
      </c>
      <c r="AO189" s="402">
        <f t="shared" ca="1" si="15"/>
        <v>1</v>
      </c>
      <c r="AP189" s="402">
        <f t="shared" ca="1" si="16"/>
        <v>0</v>
      </c>
      <c r="AQ189" s="402">
        <f t="shared" ca="1" si="17"/>
        <v>0</v>
      </c>
      <c r="AR189" s="402">
        <f t="shared" ca="1" si="18"/>
        <v>0</v>
      </c>
      <c r="AS189" s="403"/>
      <c r="AT189" s="402">
        <f t="shared" si="19"/>
        <v>1</v>
      </c>
    </row>
    <row r="190" spans="1:46" ht="15.75" customHeight="1">
      <c r="A190" s="382"/>
      <c r="B190" s="383">
        <f t="shared" ca="1" si="0"/>
        <v>3</v>
      </c>
      <c r="C190" s="384">
        <f t="shared" ca="1" si="1"/>
        <v>1</v>
      </c>
      <c r="D190" s="384">
        <f t="shared" ca="1" si="2"/>
        <v>43</v>
      </c>
      <c r="E190" s="384">
        <f t="shared" ca="1" si="3"/>
        <v>2</v>
      </c>
      <c r="F190" s="384" t="str">
        <f t="shared" ca="1" si="4"/>
        <v/>
      </c>
      <c r="G190" s="385" t="str">
        <f t="shared" ca="1" si="5"/>
        <v/>
      </c>
      <c r="H190" s="386" t="str">
        <f t="shared" ca="1" si="6"/>
        <v/>
      </c>
      <c r="I190" s="404"/>
      <c r="J190" s="415"/>
      <c r="K190" s="428"/>
      <c r="L190" s="428" t="s">
        <v>61</v>
      </c>
      <c r="M190" s="428"/>
      <c r="N190" s="428"/>
      <c r="O190" s="428"/>
      <c r="P190" s="428"/>
      <c r="Q190" s="429"/>
      <c r="R190" s="417"/>
      <c r="S190" s="418"/>
      <c r="T190" s="419"/>
      <c r="U190" s="418"/>
      <c r="V190" s="419"/>
      <c r="W190" s="430"/>
      <c r="X190" s="431"/>
      <c r="Y190" s="434"/>
      <c r="Z190" s="433"/>
      <c r="AA190" s="396"/>
      <c r="AB190" s="397"/>
      <c r="AC190" s="398"/>
      <c r="AD190" s="399"/>
      <c r="AE190" s="400"/>
      <c r="AF190" s="401"/>
      <c r="AG190" s="401">
        <f t="shared" si="7"/>
        <v>0</v>
      </c>
      <c r="AH190" s="401">
        <f t="shared" si="8"/>
        <v>0</v>
      </c>
      <c r="AI190" s="401">
        <f t="shared" si="9"/>
        <v>0</v>
      </c>
      <c r="AJ190" s="401">
        <f t="shared" si="10"/>
        <v>0</v>
      </c>
      <c r="AK190" s="401" t="str">
        <f t="shared" si="11"/>
        <v/>
      </c>
      <c r="AL190" s="402">
        <f t="shared" ca="1" si="12"/>
        <v>3</v>
      </c>
      <c r="AM190" s="402">
        <f t="shared" ca="1" si="13"/>
        <v>1</v>
      </c>
      <c r="AN190" s="402">
        <f t="shared" ca="1" si="14"/>
        <v>43</v>
      </c>
      <c r="AO190" s="402">
        <f t="shared" ca="1" si="15"/>
        <v>2</v>
      </c>
      <c r="AP190" s="402">
        <f t="shared" ca="1" si="16"/>
        <v>0</v>
      </c>
      <c r="AQ190" s="402">
        <f t="shared" ca="1" si="17"/>
        <v>0</v>
      </c>
      <c r="AR190" s="402">
        <f t="shared" ca="1" si="18"/>
        <v>0</v>
      </c>
      <c r="AS190" s="403"/>
      <c r="AT190" s="402">
        <f t="shared" si="19"/>
        <v>1</v>
      </c>
    </row>
    <row r="191" spans="1:46" ht="15.75" customHeight="1">
      <c r="A191" s="382"/>
      <c r="B191" s="383">
        <f t="shared" ca="1" si="0"/>
        <v>3</v>
      </c>
      <c r="C191" s="384">
        <f t="shared" ca="1" si="1"/>
        <v>1</v>
      </c>
      <c r="D191" s="384">
        <f t="shared" ca="1" si="2"/>
        <v>44</v>
      </c>
      <c r="E191" s="384" t="str">
        <f t="shared" ca="1" si="3"/>
        <v/>
      </c>
      <c r="F191" s="384" t="str">
        <f t="shared" ca="1" si="4"/>
        <v/>
      </c>
      <c r="G191" s="385" t="str">
        <f t="shared" ca="1" si="5"/>
        <v/>
      </c>
      <c r="H191" s="386" t="str">
        <f t="shared" ca="1" si="6"/>
        <v/>
      </c>
      <c r="I191" s="404"/>
      <c r="J191" s="415"/>
      <c r="K191" s="428" t="s">
        <v>336</v>
      </c>
      <c r="L191" s="428"/>
      <c r="M191" s="428"/>
      <c r="N191" s="428"/>
      <c r="O191" s="428"/>
      <c r="P191" s="428"/>
      <c r="Q191" s="429"/>
      <c r="R191" s="417"/>
      <c r="S191" s="418"/>
      <c r="T191" s="419"/>
      <c r="U191" s="418"/>
      <c r="V191" s="419"/>
      <c r="W191" s="430"/>
      <c r="X191" s="431"/>
      <c r="Y191" s="434"/>
      <c r="Z191" s="433"/>
      <c r="AA191" s="396"/>
      <c r="AB191" s="397"/>
      <c r="AC191" s="398"/>
      <c r="AD191" s="399"/>
      <c r="AE191" s="400"/>
      <c r="AF191" s="401"/>
      <c r="AG191" s="401">
        <f t="shared" si="7"/>
        <v>0</v>
      </c>
      <c r="AH191" s="401">
        <f t="shared" si="8"/>
        <v>0</v>
      </c>
      <c r="AI191" s="401">
        <f t="shared" si="9"/>
        <v>0</v>
      </c>
      <c r="AJ191" s="401">
        <f t="shared" si="10"/>
        <v>0</v>
      </c>
      <c r="AK191" s="401" t="str">
        <f t="shared" si="11"/>
        <v/>
      </c>
      <c r="AL191" s="402">
        <f t="shared" ca="1" si="12"/>
        <v>3</v>
      </c>
      <c r="AM191" s="402">
        <f t="shared" ca="1" si="13"/>
        <v>1</v>
      </c>
      <c r="AN191" s="402">
        <f t="shared" ca="1" si="14"/>
        <v>44</v>
      </c>
      <c r="AO191" s="402">
        <f t="shared" ca="1" si="15"/>
        <v>0</v>
      </c>
      <c r="AP191" s="402">
        <f t="shared" ca="1" si="16"/>
        <v>0</v>
      </c>
      <c r="AQ191" s="402">
        <f t="shared" ca="1" si="17"/>
        <v>0</v>
      </c>
      <c r="AR191" s="402">
        <f t="shared" ca="1" si="18"/>
        <v>0</v>
      </c>
      <c r="AS191" s="403"/>
      <c r="AT191" s="402">
        <f t="shared" si="19"/>
        <v>1</v>
      </c>
    </row>
    <row r="192" spans="1:46" ht="15.75" customHeight="1">
      <c r="A192" s="382"/>
      <c r="B192" s="383">
        <f t="shared" ca="1" si="0"/>
        <v>3</v>
      </c>
      <c r="C192" s="384">
        <f t="shared" ca="1" si="1"/>
        <v>1</v>
      </c>
      <c r="D192" s="384">
        <f t="shared" ca="1" si="2"/>
        <v>44</v>
      </c>
      <c r="E192" s="384">
        <f t="shared" ca="1" si="3"/>
        <v>1</v>
      </c>
      <c r="F192" s="384" t="str">
        <f t="shared" ca="1" si="4"/>
        <v/>
      </c>
      <c r="G192" s="385" t="str">
        <f t="shared" ca="1" si="5"/>
        <v/>
      </c>
      <c r="H192" s="386" t="str">
        <f t="shared" ca="1" si="6"/>
        <v/>
      </c>
      <c r="I192" s="404"/>
      <c r="J192" s="415"/>
      <c r="K192" s="428"/>
      <c r="L192" s="428" t="s">
        <v>59</v>
      </c>
      <c r="M192" s="428"/>
      <c r="N192" s="428"/>
      <c r="O192" s="428"/>
      <c r="P192" s="428"/>
      <c r="Q192" s="429"/>
      <c r="R192" s="417"/>
      <c r="S192" s="418"/>
      <c r="T192" s="419"/>
      <c r="U192" s="418"/>
      <c r="V192" s="419"/>
      <c r="W192" s="430"/>
      <c r="X192" s="431"/>
      <c r="Y192" s="434"/>
      <c r="Z192" s="433"/>
      <c r="AA192" s="396"/>
      <c r="AB192" s="397"/>
      <c r="AC192" s="398"/>
      <c r="AD192" s="399"/>
      <c r="AE192" s="400"/>
      <c r="AF192" s="401"/>
      <c r="AG192" s="401">
        <f t="shared" si="7"/>
        <v>0</v>
      </c>
      <c r="AH192" s="401">
        <f t="shared" si="8"/>
        <v>0</v>
      </c>
      <c r="AI192" s="401">
        <f t="shared" si="9"/>
        <v>0</v>
      </c>
      <c r="AJ192" s="401">
        <f t="shared" si="10"/>
        <v>0</v>
      </c>
      <c r="AK192" s="401" t="str">
        <f t="shared" si="11"/>
        <v/>
      </c>
      <c r="AL192" s="402">
        <f t="shared" ca="1" si="12"/>
        <v>3</v>
      </c>
      <c r="AM192" s="402">
        <f t="shared" ca="1" si="13"/>
        <v>1</v>
      </c>
      <c r="AN192" s="402">
        <f t="shared" ca="1" si="14"/>
        <v>44</v>
      </c>
      <c r="AO192" s="402">
        <f t="shared" ca="1" si="15"/>
        <v>1</v>
      </c>
      <c r="AP192" s="402">
        <f t="shared" ca="1" si="16"/>
        <v>0</v>
      </c>
      <c r="AQ192" s="402">
        <f t="shared" ca="1" si="17"/>
        <v>0</v>
      </c>
      <c r="AR192" s="402">
        <f t="shared" ca="1" si="18"/>
        <v>0</v>
      </c>
      <c r="AS192" s="403"/>
      <c r="AT192" s="402">
        <f t="shared" si="19"/>
        <v>1</v>
      </c>
    </row>
    <row r="193" spans="1:46" ht="15.75" customHeight="1">
      <c r="A193" s="382"/>
      <c r="B193" s="383">
        <f t="shared" ca="1" si="0"/>
        <v>3</v>
      </c>
      <c r="C193" s="384">
        <f t="shared" ca="1" si="1"/>
        <v>1</v>
      </c>
      <c r="D193" s="384">
        <f t="shared" ca="1" si="2"/>
        <v>44</v>
      </c>
      <c r="E193" s="384">
        <f t="shared" ca="1" si="3"/>
        <v>2</v>
      </c>
      <c r="F193" s="384" t="str">
        <f t="shared" ca="1" si="4"/>
        <v/>
      </c>
      <c r="G193" s="385" t="str">
        <f t="shared" ca="1" si="5"/>
        <v/>
      </c>
      <c r="H193" s="386" t="str">
        <f t="shared" ca="1" si="6"/>
        <v/>
      </c>
      <c r="I193" s="404"/>
      <c r="J193" s="415"/>
      <c r="K193" s="428"/>
      <c r="L193" s="428" t="s">
        <v>61</v>
      </c>
      <c r="M193" s="428"/>
      <c r="N193" s="428"/>
      <c r="O193" s="428"/>
      <c r="P193" s="428"/>
      <c r="Q193" s="429"/>
      <c r="R193" s="417"/>
      <c r="S193" s="418"/>
      <c r="T193" s="419"/>
      <c r="U193" s="418"/>
      <c r="V193" s="419"/>
      <c r="W193" s="430"/>
      <c r="X193" s="431"/>
      <c r="Y193" s="434"/>
      <c r="Z193" s="433"/>
      <c r="AA193" s="396"/>
      <c r="AB193" s="397"/>
      <c r="AC193" s="398"/>
      <c r="AD193" s="399"/>
      <c r="AE193" s="400"/>
      <c r="AF193" s="401"/>
      <c r="AG193" s="401">
        <f t="shared" si="7"/>
        <v>0</v>
      </c>
      <c r="AH193" s="401">
        <f t="shared" si="8"/>
        <v>0</v>
      </c>
      <c r="AI193" s="401">
        <f t="shared" si="9"/>
        <v>0</v>
      </c>
      <c r="AJ193" s="401">
        <f t="shared" si="10"/>
        <v>0</v>
      </c>
      <c r="AK193" s="401" t="str">
        <f t="shared" si="11"/>
        <v/>
      </c>
      <c r="AL193" s="402">
        <f t="shared" ca="1" si="12"/>
        <v>3</v>
      </c>
      <c r="AM193" s="402">
        <f t="shared" ca="1" si="13"/>
        <v>1</v>
      </c>
      <c r="AN193" s="402">
        <f t="shared" ca="1" si="14"/>
        <v>44</v>
      </c>
      <c r="AO193" s="402">
        <f t="shared" ca="1" si="15"/>
        <v>2</v>
      </c>
      <c r="AP193" s="402">
        <f t="shared" ca="1" si="16"/>
        <v>0</v>
      </c>
      <c r="AQ193" s="402">
        <f t="shared" ca="1" si="17"/>
        <v>0</v>
      </c>
      <c r="AR193" s="402">
        <f t="shared" ca="1" si="18"/>
        <v>0</v>
      </c>
      <c r="AS193" s="403"/>
      <c r="AT193" s="402">
        <f t="shared" si="19"/>
        <v>1</v>
      </c>
    </row>
    <row r="194" spans="1:46" ht="15.75" customHeight="1">
      <c r="A194" s="382"/>
      <c r="B194" s="383">
        <f t="shared" ca="1" si="0"/>
        <v>3</v>
      </c>
      <c r="C194" s="384">
        <f t="shared" ca="1" si="1"/>
        <v>1</v>
      </c>
      <c r="D194" s="384">
        <f t="shared" ca="1" si="2"/>
        <v>45</v>
      </c>
      <c r="E194" s="384" t="str">
        <f t="shared" ca="1" si="3"/>
        <v/>
      </c>
      <c r="F194" s="384" t="str">
        <f t="shared" ca="1" si="4"/>
        <v/>
      </c>
      <c r="G194" s="385" t="str">
        <f t="shared" ca="1" si="5"/>
        <v/>
      </c>
      <c r="H194" s="386" t="str">
        <f t="shared" ca="1" si="6"/>
        <v/>
      </c>
      <c r="I194" s="404"/>
      <c r="J194" s="415"/>
      <c r="K194" s="428" t="s">
        <v>337</v>
      </c>
      <c r="L194" s="428"/>
      <c r="M194" s="428"/>
      <c r="N194" s="428"/>
      <c r="O194" s="428"/>
      <c r="P194" s="428"/>
      <c r="Q194" s="429"/>
      <c r="R194" s="417"/>
      <c r="S194" s="418"/>
      <c r="T194" s="419"/>
      <c r="U194" s="418"/>
      <c r="V194" s="419"/>
      <c r="W194" s="430"/>
      <c r="X194" s="431"/>
      <c r="Y194" s="434"/>
      <c r="Z194" s="433"/>
      <c r="AA194" s="396"/>
      <c r="AB194" s="397"/>
      <c r="AC194" s="398"/>
      <c r="AD194" s="399"/>
      <c r="AE194" s="400"/>
      <c r="AF194" s="401"/>
      <c r="AG194" s="401">
        <f t="shared" si="7"/>
        <v>0</v>
      </c>
      <c r="AH194" s="401">
        <f t="shared" si="8"/>
        <v>0</v>
      </c>
      <c r="AI194" s="401">
        <f t="shared" si="9"/>
        <v>0</v>
      </c>
      <c r="AJ194" s="401">
        <f t="shared" si="10"/>
        <v>0</v>
      </c>
      <c r="AK194" s="401" t="str">
        <f t="shared" si="11"/>
        <v/>
      </c>
      <c r="AL194" s="402">
        <f t="shared" ca="1" si="12"/>
        <v>3</v>
      </c>
      <c r="AM194" s="402">
        <f t="shared" ca="1" si="13"/>
        <v>1</v>
      </c>
      <c r="AN194" s="402">
        <f t="shared" ca="1" si="14"/>
        <v>45</v>
      </c>
      <c r="AO194" s="402">
        <f t="shared" ca="1" si="15"/>
        <v>0</v>
      </c>
      <c r="AP194" s="402">
        <f t="shared" ca="1" si="16"/>
        <v>0</v>
      </c>
      <c r="AQ194" s="402">
        <f t="shared" ca="1" si="17"/>
        <v>0</v>
      </c>
      <c r="AR194" s="402">
        <f t="shared" ca="1" si="18"/>
        <v>0</v>
      </c>
      <c r="AS194" s="403"/>
      <c r="AT194" s="402">
        <f t="shared" si="19"/>
        <v>1</v>
      </c>
    </row>
    <row r="195" spans="1:46" ht="15.75" customHeight="1">
      <c r="A195" s="382"/>
      <c r="B195" s="383">
        <f t="shared" ca="1" si="0"/>
        <v>3</v>
      </c>
      <c r="C195" s="384">
        <f t="shared" ca="1" si="1"/>
        <v>1</v>
      </c>
      <c r="D195" s="384">
        <f t="shared" ca="1" si="2"/>
        <v>45</v>
      </c>
      <c r="E195" s="384">
        <f t="shared" ca="1" si="3"/>
        <v>1</v>
      </c>
      <c r="F195" s="384" t="str">
        <f t="shared" ca="1" si="4"/>
        <v/>
      </c>
      <c r="G195" s="385" t="str">
        <f t="shared" ca="1" si="5"/>
        <v/>
      </c>
      <c r="H195" s="386" t="str">
        <f t="shared" ca="1" si="6"/>
        <v/>
      </c>
      <c r="I195" s="404"/>
      <c r="J195" s="415"/>
      <c r="K195" s="428"/>
      <c r="L195" s="428" t="s">
        <v>59</v>
      </c>
      <c r="M195" s="428"/>
      <c r="N195" s="428"/>
      <c r="O195" s="428"/>
      <c r="P195" s="428"/>
      <c r="Q195" s="429"/>
      <c r="R195" s="417"/>
      <c r="S195" s="418"/>
      <c r="T195" s="419"/>
      <c r="U195" s="418"/>
      <c r="V195" s="419"/>
      <c r="W195" s="430"/>
      <c r="X195" s="431"/>
      <c r="Y195" s="434"/>
      <c r="Z195" s="433"/>
      <c r="AA195" s="396"/>
      <c r="AB195" s="397"/>
      <c r="AC195" s="398"/>
      <c r="AD195" s="399"/>
      <c r="AE195" s="400"/>
      <c r="AF195" s="401"/>
      <c r="AG195" s="401">
        <f t="shared" si="7"/>
        <v>0</v>
      </c>
      <c r="AH195" s="401">
        <f t="shared" si="8"/>
        <v>0</v>
      </c>
      <c r="AI195" s="401">
        <f t="shared" si="9"/>
        <v>0</v>
      </c>
      <c r="AJ195" s="401">
        <f t="shared" si="10"/>
        <v>0</v>
      </c>
      <c r="AK195" s="401" t="str">
        <f t="shared" si="11"/>
        <v/>
      </c>
      <c r="AL195" s="402">
        <f t="shared" ca="1" si="12"/>
        <v>3</v>
      </c>
      <c r="AM195" s="402">
        <f t="shared" ca="1" si="13"/>
        <v>1</v>
      </c>
      <c r="AN195" s="402">
        <f t="shared" ca="1" si="14"/>
        <v>45</v>
      </c>
      <c r="AO195" s="402">
        <f t="shared" ca="1" si="15"/>
        <v>1</v>
      </c>
      <c r="AP195" s="402">
        <f t="shared" ca="1" si="16"/>
        <v>0</v>
      </c>
      <c r="AQ195" s="402">
        <f t="shared" ca="1" si="17"/>
        <v>0</v>
      </c>
      <c r="AR195" s="402">
        <f t="shared" ca="1" si="18"/>
        <v>0</v>
      </c>
      <c r="AS195" s="403"/>
      <c r="AT195" s="402">
        <f t="shared" si="19"/>
        <v>1</v>
      </c>
    </row>
    <row r="196" spans="1:46" ht="15.75" customHeight="1">
      <c r="A196" s="382"/>
      <c r="B196" s="383">
        <f t="shared" ca="1" si="0"/>
        <v>3</v>
      </c>
      <c r="C196" s="384">
        <f t="shared" ca="1" si="1"/>
        <v>1</v>
      </c>
      <c r="D196" s="384">
        <f t="shared" ca="1" si="2"/>
        <v>45</v>
      </c>
      <c r="E196" s="384">
        <f t="shared" ca="1" si="3"/>
        <v>2</v>
      </c>
      <c r="F196" s="384" t="str">
        <f t="shared" ca="1" si="4"/>
        <v/>
      </c>
      <c r="G196" s="385" t="str">
        <f t="shared" ca="1" si="5"/>
        <v/>
      </c>
      <c r="H196" s="386" t="str">
        <f t="shared" ca="1" si="6"/>
        <v/>
      </c>
      <c r="I196" s="404"/>
      <c r="J196" s="415"/>
      <c r="K196" s="428"/>
      <c r="L196" s="428" t="s">
        <v>61</v>
      </c>
      <c r="M196" s="428"/>
      <c r="N196" s="428"/>
      <c r="O196" s="428"/>
      <c r="P196" s="428"/>
      <c r="Q196" s="429"/>
      <c r="R196" s="417"/>
      <c r="S196" s="418"/>
      <c r="T196" s="419"/>
      <c r="U196" s="418"/>
      <c r="V196" s="419"/>
      <c r="W196" s="430"/>
      <c r="X196" s="431"/>
      <c r="Y196" s="434"/>
      <c r="Z196" s="433"/>
      <c r="AA196" s="396"/>
      <c r="AB196" s="397"/>
      <c r="AC196" s="398"/>
      <c r="AD196" s="399"/>
      <c r="AE196" s="400"/>
      <c r="AF196" s="401"/>
      <c r="AG196" s="401">
        <f t="shared" si="7"/>
        <v>0</v>
      </c>
      <c r="AH196" s="401">
        <f t="shared" si="8"/>
        <v>0</v>
      </c>
      <c r="AI196" s="401">
        <f t="shared" si="9"/>
        <v>0</v>
      </c>
      <c r="AJ196" s="401">
        <f t="shared" si="10"/>
        <v>0</v>
      </c>
      <c r="AK196" s="401" t="str">
        <f t="shared" si="11"/>
        <v/>
      </c>
      <c r="AL196" s="402">
        <f t="shared" ca="1" si="12"/>
        <v>3</v>
      </c>
      <c r="AM196" s="402">
        <f t="shared" ca="1" si="13"/>
        <v>1</v>
      </c>
      <c r="AN196" s="402">
        <f t="shared" ca="1" si="14"/>
        <v>45</v>
      </c>
      <c r="AO196" s="402">
        <f t="shared" ca="1" si="15"/>
        <v>2</v>
      </c>
      <c r="AP196" s="402">
        <f t="shared" ca="1" si="16"/>
        <v>0</v>
      </c>
      <c r="AQ196" s="402">
        <f t="shared" ca="1" si="17"/>
        <v>0</v>
      </c>
      <c r="AR196" s="402">
        <f t="shared" ca="1" si="18"/>
        <v>0</v>
      </c>
      <c r="AS196" s="403"/>
      <c r="AT196" s="402">
        <f t="shared" si="19"/>
        <v>1</v>
      </c>
    </row>
    <row r="197" spans="1:46" ht="15.75" customHeight="1">
      <c r="A197" s="382"/>
      <c r="B197" s="383">
        <f t="shared" ca="1" si="0"/>
        <v>3</v>
      </c>
      <c r="C197" s="384">
        <f t="shared" ca="1" si="1"/>
        <v>1</v>
      </c>
      <c r="D197" s="384">
        <f t="shared" ca="1" si="2"/>
        <v>46</v>
      </c>
      <c r="E197" s="384" t="str">
        <f t="shared" ca="1" si="3"/>
        <v/>
      </c>
      <c r="F197" s="384" t="str">
        <f t="shared" ca="1" si="4"/>
        <v/>
      </c>
      <c r="G197" s="385" t="str">
        <f t="shared" ca="1" si="5"/>
        <v/>
      </c>
      <c r="H197" s="386" t="str">
        <f t="shared" ca="1" si="6"/>
        <v/>
      </c>
      <c r="I197" s="404"/>
      <c r="J197" s="415"/>
      <c r="K197" s="428" t="s">
        <v>338</v>
      </c>
      <c r="L197" s="428"/>
      <c r="M197" s="428"/>
      <c r="N197" s="428"/>
      <c r="O197" s="428"/>
      <c r="P197" s="428"/>
      <c r="Q197" s="429"/>
      <c r="R197" s="417"/>
      <c r="S197" s="418"/>
      <c r="T197" s="419"/>
      <c r="U197" s="418"/>
      <c r="V197" s="419"/>
      <c r="W197" s="430"/>
      <c r="X197" s="431"/>
      <c r="Y197" s="434"/>
      <c r="Z197" s="433"/>
      <c r="AA197" s="396"/>
      <c r="AB197" s="397"/>
      <c r="AC197" s="398"/>
      <c r="AD197" s="399"/>
      <c r="AE197" s="400"/>
      <c r="AF197" s="401"/>
      <c r="AG197" s="401">
        <f t="shared" si="7"/>
        <v>0</v>
      </c>
      <c r="AH197" s="401">
        <f t="shared" si="8"/>
        <v>0</v>
      </c>
      <c r="AI197" s="401">
        <f t="shared" si="9"/>
        <v>0</v>
      </c>
      <c r="AJ197" s="401">
        <f t="shared" si="10"/>
        <v>0</v>
      </c>
      <c r="AK197" s="401" t="str">
        <f t="shared" si="11"/>
        <v/>
      </c>
      <c r="AL197" s="402">
        <f t="shared" ca="1" si="12"/>
        <v>3</v>
      </c>
      <c r="AM197" s="402">
        <f t="shared" ca="1" si="13"/>
        <v>1</v>
      </c>
      <c r="AN197" s="402">
        <f t="shared" ca="1" si="14"/>
        <v>46</v>
      </c>
      <c r="AO197" s="402">
        <f t="shared" ca="1" si="15"/>
        <v>0</v>
      </c>
      <c r="AP197" s="402">
        <f t="shared" ca="1" si="16"/>
        <v>0</v>
      </c>
      <c r="AQ197" s="402">
        <f t="shared" ca="1" si="17"/>
        <v>0</v>
      </c>
      <c r="AR197" s="402">
        <f t="shared" ca="1" si="18"/>
        <v>0</v>
      </c>
      <c r="AS197" s="403"/>
      <c r="AT197" s="402">
        <f t="shared" si="19"/>
        <v>1</v>
      </c>
    </row>
    <row r="198" spans="1:46" ht="15.75" customHeight="1">
      <c r="A198" s="382"/>
      <c r="B198" s="383">
        <f t="shared" ca="1" si="0"/>
        <v>3</v>
      </c>
      <c r="C198" s="384">
        <f t="shared" ca="1" si="1"/>
        <v>1</v>
      </c>
      <c r="D198" s="384">
        <f t="shared" ca="1" si="2"/>
        <v>46</v>
      </c>
      <c r="E198" s="384">
        <f t="shared" ca="1" si="3"/>
        <v>1</v>
      </c>
      <c r="F198" s="384" t="str">
        <f t="shared" ca="1" si="4"/>
        <v/>
      </c>
      <c r="G198" s="385" t="str">
        <f t="shared" ca="1" si="5"/>
        <v/>
      </c>
      <c r="H198" s="386" t="str">
        <f t="shared" ca="1" si="6"/>
        <v/>
      </c>
      <c r="I198" s="404"/>
      <c r="J198" s="415"/>
      <c r="K198" s="428"/>
      <c r="L198" s="428" t="s">
        <v>59</v>
      </c>
      <c r="M198" s="428"/>
      <c r="N198" s="428"/>
      <c r="O198" s="428"/>
      <c r="P198" s="428"/>
      <c r="Q198" s="429"/>
      <c r="R198" s="417"/>
      <c r="S198" s="418"/>
      <c r="T198" s="419"/>
      <c r="U198" s="418"/>
      <c r="V198" s="419"/>
      <c r="W198" s="430"/>
      <c r="X198" s="431"/>
      <c r="Y198" s="434"/>
      <c r="Z198" s="433"/>
      <c r="AA198" s="396"/>
      <c r="AB198" s="397"/>
      <c r="AC198" s="398"/>
      <c r="AD198" s="399"/>
      <c r="AE198" s="400"/>
      <c r="AF198" s="401"/>
      <c r="AG198" s="401">
        <f t="shared" si="7"/>
        <v>0</v>
      </c>
      <c r="AH198" s="401">
        <f t="shared" si="8"/>
        <v>0</v>
      </c>
      <c r="AI198" s="401">
        <f t="shared" si="9"/>
        <v>0</v>
      </c>
      <c r="AJ198" s="401">
        <f t="shared" si="10"/>
        <v>0</v>
      </c>
      <c r="AK198" s="401" t="str">
        <f t="shared" si="11"/>
        <v/>
      </c>
      <c r="AL198" s="402">
        <f t="shared" ca="1" si="12"/>
        <v>3</v>
      </c>
      <c r="AM198" s="402">
        <f t="shared" ca="1" si="13"/>
        <v>1</v>
      </c>
      <c r="AN198" s="402">
        <f t="shared" ca="1" si="14"/>
        <v>46</v>
      </c>
      <c r="AO198" s="402">
        <f t="shared" ca="1" si="15"/>
        <v>1</v>
      </c>
      <c r="AP198" s="402">
        <f t="shared" ca="1" si="16"/>
        <v>0</v>
      </c>
      <c r="AQ198" s="402">
        <f t="shared" ca="1" si="17"/>
        <v>0</v>
      </c>
      <c r="AR198" s="402">
        <f t="shared" ca="1" si="18"/>
        <v>0</v>
      </c>
      <c r="AS198" s="403"/>
      <c r="AT198" s="402">
        <f t="shared" si="19"/>
        <v>1</v>
      </c>
    </row>
    <row r="199" spans="1:46" ht="15.75" customHeight="1">
      <c r="A199" s="382"/>
      <c r="B199" s="383">
        <f t="shared" ca="1" si="0"/>
        <v>3</v>
      </c>
      <c r="C199" s="384">
        <f t="shared" ca="1" si="1"/>
        <v>1</v>
      </c>
      <c r="D199" s="384">
        <f t="shared" ca="1" si="2"/>
        <v>46</v>
      </c>
      <c r="E199" s="384">
        <f t="shared" ca="1" si="3"/>
        <v>2</v>
      </c>
      <c r="F199" s="384" t="str">
        <f t="shared" ca="1" si="4"/>
        <v/>
      </c>
      <c r="G199" s="385" t="str">
        <f t="shared" ca="1" si="5"/>
        <v/>
      </c>
      <c r="H199" s="386" t="str">
        <f t="shared" ca="1" si="6"/>
        <v/>
      </c>
      <c r="I199" s="404"/>
      <c r="J199" s="415"/>
      <c r="K199" s="428"/>
      <c r="L199" s="428" t="s">
        <v>61</v>
      </c>
      <c r="M199" s="428"/>
      <c r="N199" s="428"/>
      <c r="O199" s="428"/>
      <c r="P199" s="428"/>
      <c r="Q199" s="429"/>
      <c r="R199" s="417"/>
      <c r="S199" s="418"/>
      <c r="T199" s="419"/>
      <c r="U199" s="418"/>
      <c r="V199" s="419"/>
      <c r="W199" s="430"/>
      <c r="X199" s="431"/>
      <c r="Y199" s="434"/>
      <c r="Z199" s="433"/>
      <c r="AA199" s="396"/>
      <c r="AB199" s="397"/>
      <c r="AC199" s="398"/>
      <c r="AD199" s="399"/>
      <c r="AE199" s="400"/>
      <c r="AF199" s="401"/>
      <c r="AG199" s="401">
        <f t="shared" si="7"/>
        <v>0</v>
      </c>
      <c r="AH199" s="401">
        <f t="shared" si="8"/>
        <v>0</v>
      </c>
      <c r="AI199" s="401">
        <f t="shared" si="9"/>
        <v>0</v>
      </c>
      <c r="AJ199" s="401">
        <f t="shared" si="10"/>
        <v>0</v>
      </c>
      <c r="AK199" s="401" t="str">
        <f t="shared" si="11"/>
        <v/>
      </c>
      <c r="AL199" s="402">
        <f t="shared" ca="1" si="12"/>
        <v>3</v>
      </c>
      <c r="AM199" s="402">
        <f t="shared" ca="1" si="13"/>
        <v>1</v>
      </c>
      <c r="AN199" s="402">
        <f t="shared" ca="1" si="14"/>
        <v>46</v>
      </c>
      <c r="AO199" s="402">
        <f t="shared" ca="1" si="15"/>
        <v>2</v>
      </c>
      <c r="AP199" s="402">
        <f t="shared" ca="1" si="16"/>
        <v>0</v>
      </c>
      <c r="AQ199" s="402">
        <f t="shared" ca="1" si="17"/>
        <v>0</v>
      </c>
      <c r="AR199" s="402">
        <f t="shared" ca="1" si="18"/>
        <v>0</v>
      </c>
      <c r="AS199" s="403"/>
      <c r="AT199" s="402">
        <f t="shared" si="19"/>
        <v>1</v>
      </c>
    </row>
    <row r="200" spans="1:46" ht="15.75" customHeight="1">
      <c r="A200" s="382"/>
      <c r="B200" s="383">
        <f t="shared" ca="1" si="0"/>
        <v>3</v>
      </c>
      <c r="C200" s="384">
        <f t="shared" ca="1" si="1"/>
        <v>1</v>
      </c>
      <c r="D200" s="384">
        <f t="shared" ca="1" si="2"/>
        <v>47</v>
      </c>
      <c r="E200" s="384" t="str">
        <f t="shared" ca="1" si="3"/>
        <v/>
      </c>
      <c r="F200" s="384" t="str">
        <f t="shared" ca="1" si="4"/>
        <v/>
      </c>
      <c r="G200" s="385" t="str">
        <f t="shared" ca="1" si="5"/>
        <v/>
      </c>
      <c r="H200" s="386" t="str">
        <f t="shared" ca="1" si="6"/>
        <v/>
      </c>
      <c r="I200" s="404"/>
      <c r="J200" s="415"/>
      <c r="K200" s="428" t="s">
        <v>339</v>
      </c>
      <c r="L200" s="428"/>
      <c r="M200" s="428"/>
      <c r="N200" s="428"/>
      <c r="O200" s="428"/>
      <c r="P200" s="428"/>
      <c r="Q200" s="429"/>
      <c r="R200" s="417"/>
      <c r="S200" s="418"/>
      <c r="T200" s="419"/>
      <c r="U200" s="418"/>
      <c r="V200" s="419"/>
      <c r="W200" s="430"/>
      <c r="X200" s="431"/>
      <c r="Y200" s="434"/>
      <c r="Z200" s="433"/>
      <c r="AA200" s="396"/>
      <c r="AB200" s="397"/>
      <c r="AC200" s="398"/>
      <c r="AD200" s="399"/>
      <c r="AE200" s="400"/>
      <c r="AF200" s="401"/>
      <c r="AG200" s="401">
        <f t="shared" si="7"/>
        <v>0</v>
      </c>
      <c r="AH200" s="401">
        <f t="shared" si="8"/>
        <v>0</v>
      </c>
      <c r="AI200" s="401">
        <f t="shared" si="9"/>
        <v>0</v>
      </c>
      <c r="AJ200" s="401">
        <f t="shared" si="10"/>
        <v>0</v>
      </c>
      <c r="AK200" s="401" t="str">
        <f t="shared" si="11"/>
        <v/>
      </c>
      <c r="AL200" s="402">
        <f t="shared" ca="1" si="12"/>
        <v>3</v>
      </c>
      <c r="AM200" s="402">
        <f t="shared" ca="1" si="13"/>
        <v>1</v>
      </c>
      <c r="AN200" s="402">
        <f t="shared" ca="1" si="14"/>
        <v>47</v>
      </c>
      <c r="AO200" s="402">
        <f t="shared" ca="1" si="15"/>
        <v>0</v>
      </c>
      <c r="AP200" s="402">
        <f t="shared" ca="1" si="16"/>
        <v>0</v>
      </c>
      <c r="AQ200" s="402">
        <f t="shared" ca="1" si="17"/>
        <v>0</v>
      </c>
      <c r="AR200" s="402">
        <f t="shared" ca="1" si="18"/>
        <v>0</v>
      </c>
      <c r="AS200" s="403"/>
      <c r="AT200" s="402">
        <f t="shared" si="19"/>
        <v>1</v>
      </c>
    </row>
    <row r="201" spans="1:46" ht="15.75" customHeight="1">
      <c r="A201" s="382"/>
      <c r="B201" s="383">
        <f t="shared" ca="1" si="0"/>
        <v>3</v>
      </c>
      <c r="C201" s="384">
        <f t="shared" ca="1" si="1"/>
        <v>1</v>
      </c>
      <c r="D201" s="384">
        <f t="shared" ca="1" si="2"/>
        <v>47</v>
      </c>
      <c r="E201" s="384">
        <f t="shared" ca="1" si="3"/>
        <v>1</v>
      </c>
      <c r="F201" s="384" t="str">
        <f t="shared" ca="1" si="4"/>
        <v/>
      </c>
      <c r="G201" s="385" t="str">
        <f t="shared" ca="1" si="5"/>
        <v/>
      </c>
      <c r="H201" s="386" t="str">
        <f t="shared" ca="1" si="6"/>
        <v/>
      </c>
      <c r="I201" s="404"/>
      <c r="J201" s="415"/>
      <c r="K201" s="428"/>
      <c r="L201" s="428" t="s">
        <v>59</v>
      </c>
      <c r="M201" s="428"/>
      <c r="N201" s="428"/>
      <c r="O201" s="428"/>
      <c r="P201" s="428"/>
      <c r="Q201" s="429"/>
      <c r="R201" s="417"/>
      <c r="S201" s="418"/>
      <c r="T201" s="419"/>
      <c r="U201" s="418"/>
      <c r="V201" s="419"/>
      <c r="W201" s="430"/>
      <c r="X201" s="431"/>
      <c r="Y201" s="434"/>
      <c r="Z201" s="433"/>
      <c r="AA201" s="396"/>
      <c r="AB201" s="397"/>
      <c r="AC201" s="398"/>
      <c r="AD201" s="399"/>
      <c r="AE201" s="400"/>
      <c r="AF201" s="401"/>
      <c r="AG201" s="401">
        <f t="shared" si="7"/>
        <v>0</v>
      </c>
      <c r="AH201" s="401">
        <f t="shared" si="8"/>
        <v>0</v>
      </c>
      <c r="AI201" s="401">
        <f t="shared" si="9"/>
        <v>0</v>
      </c>
      <c r="AJ201" s="401">
        <f t="shared" si="10"/>
        <v>0</v>
      </c>
      <c r="AK201" s="401" t="str">
        <f t="shared" si="11"/>
        <v/>
      </c>
      <c r="AL201" s="402">
        <f t="shared" ca="1" si="12"/>
        <v>3</v>
      </c>
      <c r="AM201" s="402">
        <f t="shared" ca="1" si="13"/>
        <v>1</v>
      </c>
      <c r="AN201" s="402">
        <f t="shared" ca="1" si="14"/>
        <v>47</v>
      </c>
      <c r="AO201" s="402">
        <f t="shared" ca="1" si="15"/>
        <v>1</v>
      </c>
      <c r="AP201" s="402">
        <f t="shared" ca="1" si="16"/>
        <v>0</v>
      </c>
      <c r="AQ201" s="402">
        <f t="shared" ca="1" si="17"/>
        <v>0</v>
      </c>
      <c r="AR201" s="402">
        <f t="shared" ca="1" si="18"/>
        <v>0</v>
      </c>
      <c r="AS201" s="403"/>
      <c r="AT201" s="402">
        <f t="shared" si="19"/>
        <v>1</v>
      </c>
    </row>
    <row r="202" spans="1:46" ht="15.75" customHeight="1">
      <c r="A202" s="382"/>
      <c r="B202" s="383">
        <f t="shared" ca="1" si="0"/>
        <v>3</v>
      </c>
      <c r="C202" s="384">
        <f t="shared" ca="1" si="1"/>
        <v>1</v>
      </c>
      <c r="D202" s="384">
        <f t="shared" ca="1" si="2"/>
        <v>47</v>
      </c>
      <c r="E202" s="384">
        <f t="shared" ca="1" si="3"/>
        <v>2</v>
      </c>
      <c r="F202" s="384" t="str">
        <f t="shared" ca="1" si="4"/>
        <v/>
      </c>
      <c r="G202" s="385" t="str">
        <f t="shared" ca="1" si="5"/>
        <v/>
      </c>
      <c r="H202" s="386" t="str">
        <f t="shared" ca="1" si="6"/>
        <v/>
      </c>
      <c r="I202" s="404"/>
      <c r="J202" s="415"/>
      <c r="K202" s="428"/>
      <c r="L202" s="428" t="s">
        <v>61</v>
      </c>
      <c r="M202" s="428"/>
      <c r="N202" s="428"/>
      <c r="O202" s="428"/>
      <c r="P202" s="428"/>
      <c r="Q202" s="429"/>
      <c r="R202" s="417"/>
      <c r="S202" s="418"/>
      <c r="T202" s="419"/>
      <c r="U202" s="418"/>
      <c r="V202" s="419"/>
      <c r="W202" s="430"/>
      <c r="X202" s="431"/>
      <c r="Y202" s="434"/>
      <c r="Z202" s="433"/>
      <c r="AA202" s="396"/>
      <c r="AB202" s="397"/>
      <c r="AC202" s="398"/>
      <c r="AD202" s="399"/>
      <c r="AE202" s="400"/>
      <c r="AF202" s="401"/>
      <c r="AG202" s="401">
        <f t="shared" si="7"/>
        <v>0</v>
      </c>
      <c r="AH202" s="401">
        <f t="shared" si="8"/>
        <v>0</v>
      </c>
      <c r="AI202" s="401">
        <f t="shared" si="9"/>
        <v>0</v>
      </c>
      <c r="AJ202" s="401">
        <f t="shared" si="10"/>
        <v>0</v>
      </c>
      <c r="AK202" s="401" t="str">
        <f t="shared" si="11"/>
        <v/>
      </c>
      <c r="AL202" s="402">
        <f t="shared" ca="1" si="12"/>
        <v>3</v>
      </c>
      <c r="AM202" s="402">
        <f t="shared" ca="1" si="13"/>
        <v>1</v>
      </c>
      <c r="AN202" s="402">
        <f t="shared" ca="1" si="14"/>
        <v>47</v>
      </c>
      <c r="AO202" s="402">
        <f t="shared" ca="1" si="15"/>
        <v>2</v>
      </c>
      <c r="AP202" s="402">
        <f t="shared" ca="1" si="16"/>
        <v>0</v>
      </c>
      <c r="AQ202" s="402">
        <f t="shared" ca="1" si="17"/>
        <v>0</v>
      </c>
      <c r="AR202" s="402">
        <f t="shared" ca="1" si="18"/>
        <v>0</v>
      </c>
      <c r="AS202" s="403"/>
      <c r="AT202" s="402">
        <f t="shared" si="19"/>
        <v>1</v>
      </c>
    </row>
    <row r="203" spans="1:46" ht="15.75" customHeight="1">
      <c r="A203" s="382"/>
      <c r="B203" s="383">
        <f t="shared" ca="1" si="0"/>
        <v>3</v>
      </c>
      <c r="C203" s="384">
        <f t="shared" ca="1" si="1"/>
        <v>1</v>
      </c>
      <c r="D203" s="384">
        <f t="shared" ca="1" si="2"/>
        <v>48</v>
      </c>
      <c r="E203" s="384" t="str">
        <f t="shared" ca="1" si="3"/>
        <v/>
      </c>
      <c r="F203" s="384" t="str">
        <f t="shared" ca="1" si="4"/>
        <v/>
      </c>
      <c r="G203" s="385" t="str">
        <f t="shared" ca="1" si="5"/>
        <v/>
      </c>
      <c r="H203" s="386" t="str">
        <f t="shared" ca="1" si="6"/>
        <v/>
      </c>
      <c r="I203" s="404"/>
      <c r="J203" s="415"/>
      <c r="K203" s="428" t="s">
        <v>340</v>
      </c>
      <c r="L203" s="428"/>
      <c r="M203" s="428"/>
      <c r="N203" s="428"/>
      <c r="O203" s="428"/>
      <c r="P203" s="428"/>
      <c r="Q203" s="429"/>
      <c r="R203" s="417"/>
      <c r="S203" s="418"/>
      <c r="T203" s="419"/>
      <c r="U203" s="418"/>
      <c r="V203" s="419"/>
      <c r="W203" s="430"/>
      <c r="X203" s="431"/>
      <c r="Y203" s="434"/>
      <c r="Z203" s="433"/>
      <c r="AA203" s="396"/>
      <c r="AB203" s="397"/>
      <c r="AC203" s="398"/>
      <c r="AD203" s="399"/>
      <c r="AE203" s="400"/>
      <c r="AF203" s="401"/>
      <c r="AG203" s="401">
        <f t="shared" si="7"/>
        <v>0</v>
      </c>
      <c r="AH203" s="401">
        <f t="shared" si="8"/>
        <v>0</v>
      </c>
      <c r="AI203" s="401">
        <f t="shared" si="9"/>
        <v>0</v>
      </c>
      <c r="AJ203" s="401">
        <f t="shared" si="10"/>
        <v>0</v>
      </c>
      <c r="AK203" s="401" t="str">
        <f t="shared" si="11"/>
        <v/>
      </c>
      <c r="AL203" s="402">
        <f t="shared" ca="1" si="12"/>
        <v>3</v>
      </c>
      <c r="AM203" s="402">
        <f t="shared" ca="1" si="13"/>
        <v>1</v>
      </c>
      <c r="AN203" s="402">
        <f t="shared" ca="1" si="14"/>
        <v>48</v>
      </c>
      <c r="AO203" s="402">
        <f t="shared" ca="1" si="15"/>
        <v>0</v>
      </c>
      <c r="AP203" s="402">
        <f t="shared" ca="1" si="16"/>
        <v>0</v>
      </c>
      <c r="AQ203" s="402">
        <f t="shared" ca="1" si="17"/>
        <v>0</v>
      </c>
      <c r="AR203" s="402">
        <f t="shared" ca="1" si="18"/>
        <v>0</v>
      </c>
      <c r="AS203" s="403"/>
      <c r="AT203" s="402">
        <f t="shared" si="19"/>
        <v>1</v>
      </c>
    </row>
    <row r="204" spans="1:46" ht="15.75" customHeight="1">
      <c r="A204" s="382"/>
      <c r="B204" s="383">
        <f t="shared" ca="1" si="0"/>
        <v>3</v>
      </c>
      <c r="C204" s="384">
        <f t="shared" ca="1" si="1"/>
        <v>1</v>
      </c>
      <c r="D204" s="384">
        <f t="shared" ca="1" si="2"/>
        <v>48</v>
      </c>
      <c r="E204" s="384">
        <f t="shared" ca="1" si="3"/>
        <v>1</v>
      </c>
      <c r="F204" s="384" t="str">
        <f t="shared" ca="1" si="4"/>
        <v/>
      </c>
      <c r="G204" s="385" t="str">
        <f t="shared" ca="1" si="5"/>
        <v/>
      </c>
      <c r="H204" s="386" t="str">
        <f t="shared" ca="1" si="6"/>
        <v/>
      </c>
      <c r="I204" s="404"/>
      <c r="J204" s="415"/>
      <c r="K204" s="428"/>
      <c r="L204" s="428" t="s">
        <v>59</v>
      </c>
      <c r="M204" s="428"/>
      <c r="N204" s="428"/>
      <c r="O204" s="428"/>
      <c r="P204" s="428"/>
      <c r="Q204" s="429"/>
      <c r="R204" s="417"/>
      <c r="S204" s="418"/>
      <c r="T204" s="419"/>
      <c r="U204" s="418"/>
      <c r="V204" s="419"/>
      <c r="W204" s="430"/>
      <c r="X204" s="431"/>
      <c r="Y204" s="434"/>
      <c r="Z204" s="433"/>
      <c r="AA204" s="396"/>
      <c r="AB204" s="397"/>
      <c r="AC204" s="398"/>
      <c r="AD204" s="399"/>
      <c r="AE204" s="400"/>
      <c r="AF204" s="401"/>
      <c r="AG204" s="401">
        <f t="shared" si="7"/>
        <v>0</v>
      </c>
      <c r="AH204" s="401">
        <f t="shared" si="8"/>
        <v>0</v>
      </c>
      <c r="AI204" s="401">
        <f t="shared" si="9"/>
        <v>0</v>
      </c>
      <c r="AJ204" s="401">
        <f t="shared" si="10"/>
        <v>0</v>
      </c>
      <c r="AK204" s="401" t="str">
        <f t="shared" si="11"/>
        <v/>
      </c>
      <c r="AL204" s="402">
        <f t="shared" ca="1" si="12"/>
        <v>3</v>
      </c>
      <c r="AM204" s="402">
        <f t="shared" ca="1" si="13"/>
        <v>1</v>
      </c>
      <c r="AN204" s="402">
        <f t="shared" ca="1" si="14"/>
        <v>48</v>
      </c>
      <c r="AO204" s="402">
        <f t="shared" ca="1" si="15"/>
        <v>1</v>
      </c>
      <c r="AP204" s="402">
        <f t="shared" ca="1" si="16"/>
        <v>0</v>
      </c>
      <c r="AQ204" s="402">
        <f t="shared" ca="1" si="17"/>
        <v>0</v>
      </c>
      <c r="AR204" s="402">
        <f t="shared" ca="1" si="18"/>
        <v>0</v>
      </c>
      <c r="AS204" s="403"/>
      <c r="AT204" s="402">
        <f t="shared" si="19"/>
        <v>1</v>
      </c>
    </row>
    <row r="205" spans="1:46" ht="15.75" customHeight="1">
      <c r="A205" s="382"/>
      <c r="B205" s="383">
        <f t="shared" ca="1" si="0"/>
        <v>3</v>
      </c>
      <c r="C205" s="384">
        <f t="shared" ca="1" si="1"/>
        <v>1</v>
      </c>
      <c r="D205" s="384">
        <f t="shared" ca="1" si="2"/>
        <v>48</v>
      </c>
      <c r="E205" s="384">
        <f t="shared" ca="1" si="3"/>
        <v>2</v>
      </c>
      <c r="F205" s="384" t="str">
        <f t="shared" ca="1" si="4"/>
        <v/>
      </c>
      <c r="G205" s="385" t="str">
        <f t="shared" ca="1" si="5"/>
        <v/>
      </c>
      <c r="H205" s="386" t="str">
        <f t="shared" ca="1" si="6"/>
        <v/>
      </c>
      <c r="I205" s="404"/>
      <c r="J205" s="415"/>
      <c r="K205" s="428"/>
      <c r="L205" s="428" t="s">
        <v>61</v>
      </c>
      <c r="M205" s="428"/>
      <c r="N205" s="428"/>
      <c r="O205" s="428"/>
      <c r="P205" s="428"/>
      <c r="Q205" s="429"/>
      <c r="R205" s="417"/>
      <c r="S205" s="418"/>
      <c r="T205" s="419"/>
      <c r="U205" s="418"/>
      <c r="V205" s="419"/>
      <c r="W205" s="430"/>
      <c r="X205" s="431"/>
      <c r="Y205" s="434"/>
      <c r="Z205" s="433"/>
      <c r="AA205" s="396"/>
      <c r="AB205" s="397"/>
      <c r="AC205" s="398"/>
      <c r="AD205" s="399"/>
      <c r="AE205" s="400"/>
      <c r="AF205" s="401"/>
      <c r="AG205" s="401">
        <f t="shared" si="7"/>
        <v>0</v>
      </c>
      <c r="AH205" s="401">
        <f t="shared" si="8"/>
        <v>0</v>
      </c>
      <c r="AI205" s="401">
        <f t="shared" si="9"/>
        <v>0</v>
      </c>
      <c r="AJ205" s="401">
        <f t="shared" si="10"/>
        <v>0</v>
      </c>
      <c r="AK205" s="401" t="str">
        <f t="shared" si="11"/>
        <v/>
      </c>
      <c r="AL205" s="402">
        <f t="shared" ca="1" si="12"/>
        <v>3</v>
      </c>
      <c r="AM205" s="402">
        <f t="shared" ca="1" si="13"/>
        <v>1</v>
      </c>
      <c r="AN205" s="402">
        <f t="shared" ca="1" si="14"/>
        <v>48</v>
      </c>
      <c r="AO205" s="402">
        <f t="shared" ca="1" si="15"/>
        <v>2</v>
      </c>
      <c r="AP205" s="402">
        <f t="shared" ca="1" si="16"/>
        <v>0</v>
      </c>
      <c r="AQ205" s="402">
        <f t="shared" ca="1" si="17"/>
        <v>0</v>
      </c>
      <c r="AR205" s="402">
        <f t="shared" ca="1" si="18"/>
        <v>0</v>
      </c>
      <c r="AS205" s="403"/>
      <c r="AT205" s="402">
        <f t="shared" si="19"/>
        <v>1</v>
      </c>
    </row>
    <row r="206" spans="1:46" ht="15.75" customHeight="1">
      <c r="A206" s="382"/>
      <c r="B206" s="383">
        <f t="shared" ca="1" si="0"/>
        <v>3</v>
      </c>
      <c r="C206" s="384">
        <f t="shared" ca="1" si="1"/>
        <v>1</v>
      </c>
      <c r="D206" s="384">
        <f t="shared" ca="1" si="2"/>
        <v>49</v>
      </c>
      <c r="E206" s="384" t="str">
        <f t="shared" ca="1" si="3"/>
        <v/>
      </c>
      <c r="F206" s="384" t="str">
        <f t="shared" ca="1" si="4"/>
        <v/>
      </c>
      <c r="G206" s="385" t="str">
        <f t="shared" ca="1" si="5"/>
        <v/>
      </c>
      <c r="H206" s="386" t="str">
        <f t="shared" ca="1" si="6"/>
        <v/>
      </c>
      <c r="I206" s="404"/>
      <c r="J206" s="415"/>
      <c r="K206" s="428" t="s">
        <v>341</v>
      </c>
      <c r="L206" s="428"/>
      <c r="M206" s="428"/>
      <c r="N206" s="428"/>
      <c r="O206" s="428"/>
      <c r="P206" s="428"/>
      <c r="Q206" s="429"/>
      <c r="R206" s="417"/>
      <c r="S206" s="418"/>
      <c r="T206" s="419"/>
      <c r="U206" s="418"/>
      <c r="V206" s="419"/>
      <c r="W206" s="430"/>
      <c r="X206" s="431"/>
      <c r="Y206" s="434"/>
      <c r="Z206" s="433"/>
      <c r="AA206" s="396"/>
      <c r="AB206" s="397"/>
      <c r="AC206" s="398"/>
      <c r="AD206" s="399"/>
      <c r="AE206" s="400"/>
      <c r="AF206" s="401"/>
      <c r="AG206" s="401">
        <f t="shared" si="7"/>
        <v>0</v>
      </c>
      <c r="AH206" s="401">
        <f t="shared" si="8"/>
        <v>0</v>
      </c>
      <c r="AI206" s="401">
        <f t="shared" si="9"/>
        <v>0</v>
      </c>
      <c r="AJ206" s="401">
        <f t="shared" si="10"/>
        <v>0</v>
      </c>
      <c r="AK206" s="401" t="str">
        <f t="shared" si="11"/>
        <v/>
      </c>
      <c r="AL206" s="402">
        <f t="shared" ca="1" si="12"/>
        <v>3</v>
      </c>
      <c r="AM206" s="402">
        <f t="shared" ca="1" si="13"/>
        <v>1</v>
      </c>
      <c r="AN206" s="402">
        <f t="shared" ca="1" si="14"/>
        <v>49</v>
      </c>
      <c r="AO206" s="402">
        <f t="shared" ca="1" si="15"/>
        <v>0</v>
      </c>
      <c r="AP206" s="402">
        <f t="shared" ca="1" si="16"/>
        <v>0</v>
      </c>
      <c r="AQ206" s="402">
        <f t="shared" ca="1" si="17"/>
        <v>0</v>
      </c>
      <c r="AR206" s="402">
        <f t="shared" ca="1" si="18"/>
        <v>0</v>
      </c>
      <c r="AS206" s="403"/>
      <c r="AT206" s="402">
        <f t="shared" si="19"/>
        <v>1</v>
      </c>
    </row>
    <row r="207" spans="1:46" ht="15.75" customHeight="1">
      <c r="A207" s="382"/>
      <c r="B207" s="383">
        <f t="shared" ca="1" si="0"/>
        <v>3</v>
      </c>
      <c r="C207" s="384">
        <f t="shared" ca="1" si="1"/>
        <v>1</v>
      </c>
      <c r="D207" s="384">
        <f t="shared" ca="1" si="2"/>
        <v>49</v>
      </c>
      <c r="E207" s="384">
        <f t="shared" ca="1" si="3"/>
        <v>1</v>
      </c>
      <c r="F207" s="384" t="str">
        <f t="shared" ca="1" si="4"/>
        <v/>
      </c>
      <c r="G207" s="385" t="str">
        <f t="shared" ca="1" si="5"/>
        <v/>
      </c>
      <c r="H207" s="386" t="str">
        <f t="shared" ca="1" si="6"/>
        <v/>
      </c>
      <c r="I207" s="404"/>
      <c r="J207" s="415"/>
      <c r="K207" s="428"/>
      <c r="L207" s="428" t="s">
        <v>59</v>
      </c>
      <c r="M207" s="428"/>
      <c r="N207" s="428"/>
      <c r="O207" s="428"/>
      <c r="P207" s="428"/>
      <c r="Q207" s="429"/>
      <c r="R207" s="417"/>
      <c r="S207" s="418"/>
      <c r="T207" s="419"/>
      <c r="U207" s="418"/>
      <c r="V207" s="419"/>
      <c r="W207" s="430"/>
      <c r="X207" s="431"/>
      <c r="Y207" s="434"/>
      <c r="Z207" s="433"/>
      <c r="AA207" s="396"/>
      <c r="AB207" s="397"/>
      <c r="AC207" s="398"/>
      <c r="AD207" s="399"/>
      <c r="AE207" s="400"/>
      <c r="AF207" s="401"/>
      <c r="AG207" s="401">
        <f t="shared" si="7"/>
        <v>0</v>
      </c>
      <c r="AH207" s="401">
        <f t="shared" si="8"/>
        <v>0</v>
      </c>
      <c r="AI207" s="401">
        <f t="shared" si="9"/>
        <v>0</v>
      </c>
      <c r="AJ207" s="401">
        <f t="shared" si="10"/>
        <v>0</v>
      </c>
      <c r="AK207" s="401" t="str">
        <f t="shared" si="11"/>
        <v/>
      </c>
      <c r="AL207" s="402">
        <f t="shared" ca="1" si="12"/>
        <v>3</v>
      </c>
      <c r="AM207" s="402">
        <f t="shared" ca="1" si="13"/>
        <v>1</v>
      </c>
      <c r="AN207" s="402">
        <f t="shared" ca="1" si="14"/>
        <v>49</v>
      </c>
      <c r="AO207" s="402">
        <f t="shared" ca="1" si="15"/>
        <v>1</v>
      </c>
      <c r="AP207" s="402">
        <f t="shared" ca="1" si="16"/>
        <v>0</v>
      </c>
      <c r="AQ207" s="402">
        <f t="shared" ca="1" si="17"/>
        <v>0</v>
      </c>
      <c r="AR207" s="402">
        <f t="shared" ca="1" si="18"/>
        <v>0</v>
      </c>
      <c r="AS207" s="403"/>
      <c r="AT207" s="402">
        <f t="shared" si="19"/>
        <v>1</v>
      </c>
    </row>
    <row r="208" spans="1:46" ht="15.75" customHeight="1">
      <c r="A208" s="382"/>
      <c r="B208" s="383">
        <f t="shared" ca="1" si="0"/>
        <v>3</v>
      </c>
      <c r="C208" s="384">
        <f t="shared" ca="1" si="1"/>
        <v>1</v>
      </c>
      <c r="D208" s="384">
        <f t="shared" ca="1" si="2"/>
        <v>49</v>
      </c>
      <c r="E208" s="384">
        <f t="shared" ca="1" si="3"/>
        <v>2</v>
      </c>
      <c r="F208" s="384" t="str">
        <f t="shared" ca="1" si="4"/>
        <v/>
      </c>
      <c r="G208" s="385" t="str">
        <f t="shared" ca="1" si="5"/>
        <v/>
      </c>
      <c r="H208" s="386" t="str">
        <f t="shared" ca="1" si="6"/>
        <v/>
      </c>
      <c r="I208" s="404"/>
      <c r="J208" s="415"/>
      <c r="K208" s="428"/>
      <c r="L208" s="428" t="s">
        <v>61</v>
      </c>
      <c r="M208" s="428"/>
      <c r="N208" s="428"/>
      <c r="O208" s="428"/>
      <c r="P208" s="428"/>
      <c r="Q208" s="429"/>
      <c r="R208" s="417"/>
      <c r="S208" s="418"/>
      <c r="T208" s="419"/>
      <c r="U208" s="418"/>
      <c r="V208" s="419"/>
      <c r="W208" s="430"/>
      <c r="X208" s="431"/>
      <c r="Y208" s="434"/>
      <c r="Z208" s="433"/>
      <c r="AA208" s="396"/>
      <c r="AB208" s="397"/>
      <c r="AC208" s="398"/>
      <c r="AD208" s="399"/>
      <c r="AE208" s="400"/>
      <c r="AF208" s="401"/>
      <c r="AG208" s="401">
        <f t="shared" si="7"/>
        <v>0</v>
      </c>
      <c r="AH208" s="401">
        <f t="shared" si="8"/>
        <v>0</v>
      </c>
      <c r="AI208" s="401">
        <f t="shared" si="9"/>
        <v>0</v>
      </c>
      <c r="AJ208" s="401">
        <f t="shared" si="10"/>
        <v>0</v>
      </c>
      <c r="AK208" s="401" t="str">
        <f t="shared" si="11"/>
        <v/>
      </c>
      <c r="AL208" s="402">
        <f t="shared" ca="1" si="12"/>
        <v>3</v>
      </c>
      <c r="AM208" s="402">
        <f t="shared" ca="1" si="13"/>
        <v>1</v>
      </c>
      <c r="AN208" s="402">
        <f t="shared" ca="1" si="14"/>
        <v>49</v>
      </c>
      <c r="AO208" s="402">
        <f t="shared" ca="1" si="15"/>
        <v>2</v>
      </c>
      <c r="AP208" s="402">
        <f t="shared" ca="1" si="16"/>
        <v>0</v>
      </c>
      <c r="AQ208" s="402">
        <f t="shared" ca="1" si="17"/>
        <v>0</v>
      </c>
      <c r="AR208" s="402">
        <f t="shared" ca="1" si="18"/>
        <v>0</v>
      </c>
      <c r="AS208" s="403"/>
      <c r="AT208" s="402">
        <f t="shared" si="19"/>
        <v>1</v>
      </c>
    </row>
    <row r="209" spans="1:46" ht="15.75" customHeight="1">
      <c r="A209" s="382"/>
      <c r="B209" s="383">
        <f t="shared" ca="1" si="0"/>
        <v>3</v>
      </c>
      <c r="C209" s="384">
        <f t="shared" ca="1" si="1"/>
        <v>1</v>
      </c>
      <c r="D209" s="384">
        <f t="shared" ca="1" si="2"/>
        <v>49</v>
      </c>
      <c r="E209" s="384">
        <f t="shared" ca="1" si="3"/>
        <v>3</v>
      </c>
      <c r="F209" s="384" t="str">
        <f t="shared" ca="1" si="4"/>
        <v/>
      </c>
      <c r="G209" s="385" t="str">
        <f t="shared" ca="1" si="5"/>
        <v/>
      </c>
      <c r="H209" s="386" t="str">
        <f t="shared" ca="1" si="6"/>
        <v/>
      </c>
      <c r="I209" s="404"/>
      <c r="J209" s="415"/>
      <c r="K209" s="428"/>
      <c r="L209" s="428" t="s">
        <v>63</v>
      </c>
      <c r="M209" s="428"/>
      <c r="N209" s="428"/>
      <c r="O209" s="428"/>
      <c r="P209" s="428"/>
      <c r="Q209" s="429"/>
      <c r="R209" s="417"/>
      <c r="S209" s="418"/>
      <c r="T209" s="419"/>
      <c r="U209" s="418"/>
      <c r="V209" s="419"/>
      <c r="W209" s="430"/>
      <c r="X209" s="431"/>
      <c r="Y209" s="434"/>
      <c r="Z209" s="433"/>
      <c r="AA209" s="396"/>
      <c r="AB209" s="397"/>
      <c r="AC209" s="398"/>
      <c r="AD209" s="399"/>
      <c r="AE209" s="400"/>
      <c r="AF209" s="401"/>
      <c r="AG209" s="401">
        <f t="shared" si="7"/>
        <v>0</v>
      </c>
      <c r="AH209" s="401">
        <f t="shared" si="8"/>
        <v>0</v>
      </c>
      <c r="AI209" s="401">
        <f t="shared" si="9"/>
        <v>0</v>
      </c>
      <c r="AJ209" s="401">
        <f t="shared" si="10"/>
        <v>0</v>
      </c>
      <c r="AK209" s="401" t="str">
        <f t="shared" si="11"/>
        <v/>
      </c>
      <c r="AL209" s="402">
        <f t="shared" ca="1" si="12"/>
        <v>3</v>
      </c>
      <c r="AM209" s="402">
        <f t="shared" ca="1" si="13"/>
        <v>1</v>
      </c>
      <c r="AN209" s="402">
        <f t="shared" ca="1" si="14"/>
        <v>49</v>
      </c>
      <c r="AO209" s="402">
        <f t="shared" ca="1" si="15"/>
        <v>3</v>
      </c>
      <c r="AP209" s="402">
        <f t="shared" ca="1" si="16"/>
        <v>0</v>
      </c>
      <c r="AQ209" s="402">
        <f t="shared" ca="1" si="17"/>
        <v>0</v>
      </c>
      <c r="AR209" s="402">
        <f t="shared" ca="1" si="18"/>
        <v>0</v>
      </c>
      <c r="AS209" s="403"/>
      <c r="AT209" s="402">
        <f t="shared" si="19"/>
        <v>1</v>
      </c>
    </row>
    <row r="210" spans="1:46" ht="15.75" customHeight="1">
      <c r="A210" s="382"/>
      <c r="B210" s="383">
        <f t="shared" ca="1" si="0"/>
        <v>3</v>
      </c>
      <c r="C210" s="384">
        <f t="shared" ca="1" si="1"/>
        <v>1</v>
      </c>
      <c r="D210" s="384">
        <f t="shared" ca="1" si="2"/>
        <v>49</v>
      </c>
      <c r="E210" s="384">
        <f t="shared" ca="1" si="3"/>
        <v>4</v>
      </c>
      <c r="F210" s="384" t="str">
        <f t="shared" ca="1" si="4"/>
        <v/>
      </c>
      <c r="G210" s="385" t="str">
        <f t="shared" ca="1" si="5"/>
        <v/>
      </c>
      <c r="H210" s="386" t="str">
        <f t="shared" ca="1" si="6"/>
        <v/>
      </c>
      <c r="I210" s="404"/>
      <c r="J210" s="415"/>
      <c r="K210" s="428"/>
      <c r="L210" s="428" t="s">
        <v>64</v>
      </c>
      <c r="M210" s="428"/>
      <c r="N210" s="428"/>
      <c r="O210" s="428"/>
      <c r="P210" s="428"/>
      <c r="Q210" s="429"/>
      <c r="R210" s="417"/>
      <c r="S210" s="418"/>
      <c r="T210" s="419"/>
      <c r="U210" s="418"/>
      <c r="V210" s="419"/>
      <c r="W210" s="430"/>
      <c r="X210" s="431"/>
      <c r="Y210" s="434"/>
      <c r="Z210" s="433"/>
      <c r="AA210" s="396"/>
      <c r="AB210" s="397"/>
      <c r="AC210" s="398"/>
      <c r="AD210" s="399"/>
      <c r="AE210" s="400"/>
      <c r="AF210" s="401"/>
      <c r="AG210" s="401">
        <f t="shared" si="7"/>
        <v>0</v>
      </c>
      <c r="AH210" s="401">
        <f t="shared" si="8"/>
        <v>0</v>
      </c>
      <c r="AI210" s="401">
        <f t="shared" si="9"/>
        <v>0</v>
      </c>
      <c r="AJ210" s="401">
        <f t="shared" si="10"/>
        <v>0</v>
      </c>
      <c r="AK210" s="401" t="str">
        <f t="shared" si="11"/>
        <v/>
      </c>
      <c r="AL210" s="402">
        <f t="shared" ca="1" si="12"/>
        <v>3</v>
      </c>
      <c r="AM210" s="402">
        <f t="shared" ca="1" si="13"/>
        <v>1</v>
      </c>
      <c r="AN210" s="402">
        <f t="shared" ca="1" si="14"/>
        <v>49</v>
      </c>
      <c r="AO210" s="402">
        <f t="shared" ca="1" si="15"/>
        <v>4</v>
      </c>
      <c r="AP210" s="402">
        <f t="shared" ca="1" si="16"/>
        <v>0</v>
      </c>
      <c r="AQ210" s="402">
        <f t="shared" ca="1" si="17"/>
        <v>0</v>
      </c>
      <c r="AR210" s="402">
        <f t="shared" ca="1" si="18"/>
        <v>0</v>
      </c>
      <c r="AS210" s="403"/>
      <c r="AT210" s="402">
        <f t="shared" si="19"/>
        <v>1</v>
      </c>
    </row>
    <row r="211" spans="1:46" ht="15.75" customHeight="1">
      <c r="A211" s="382"/>
      <c r="B211" s="383">
        <f t="shared" ca="1" si="0"/>
        <v>3</v>
      </c>
      <c r="C211" s="384">
        <f t="shared" ca="1" si="1"/>
        <v>1</v>
      </c>
      <c r="D211" s="384">
        <f t="shared" ca="1" si="2"/>
        <v>49</v>
      </c>
      <c r="E211" s="384">
        <f t="shared" ca="1" si="3"/>
        <v>5</v>
      </c>
      <c r="F211" s="384" t="str">
        <f t="shared" ca="1" si="4"/>
        <v/>
      </c>
      <c r="G211" s="385" t="str">
        <f t="shared" ca="1" si="5"/>
        <v/>
      </c>
      <c r="H211" s="386" t="str">
        <f t="shared" ca="1" si="6"/>
        <v/>
      </c>
      <c r="I211" s="404"/>
      <c r="J211" s="415"/>
      <c r="K211" s="428"/>
      <c r="L211" s="428" t="s">
        <v>65</v>
      </c>
      <c r="M211" s="428"/>
      <c r="N211" s="428"/>
      <c r="O211" s="428"/>
      <c r="P211" s="428"/>
      <c r="Q211" s="429"/>
      <c r="R211" s="417"/>
      <c r="S211" s="418"/>
      <c r="T211" s="419"/>
      <c r="U211" s="418"/>
      <c r="V211" s="419"/>
      <c r="W211" s="430"/>
      <c r="X211" s="431"/>
      <c r="Y211" s="434"/>
      <c r="Z211" s="433"/>
      <c r="AA211" s="396"/>
      <c r="AB211" s="397"/>
      <c r="AC211" s="398"/>
      <c r="AD211" s="399"/>
      <c r="AE211" s="400"/>
      <c r="AF211" s="401"/>
      <c r="AG211" s="401">
        <f t="shared" si="7"/>
        <v>0</v>
      </c>
      <c r="AH211" s="401">
        <f t="shared" si="8"/>
        <v>0</v>
      </c>
      <c r="AI211" s="401">
        <f t="shared" si="9"/>
        <v>0</v>
      </c>
      <c r="AJ211" s="401">
        <f t="shared" si="10"/>
        <v>0</v>
      </c>
      <c r="AK211" s="401" t="str">
        <f t="shared" si="11"/>
        <v/>
      </c>
      <c r="AL211" s="402">
        <f t="shared" ca="1" si="12"/>
        <v>3</v>
      </c>
      <c r="AM211" s="402">
        <f t="shared" ca="1" si="13"/>
        <v>1</v>
      </c>
      <c r="AN211" s="402">
        <f t="shared" ca="1" si="14"/>
        <v>49</v>
      </c>
      <c r="AO211" s="402">
        <f t="shared" ca="1" si="15"/>
        <v>5</v>
      </c>
      <c r="AP211" s="402">
        <f t="shared" ca="1" si="16"/>
        <v>0</v>
      </c>
      <c r="AQ211" s="402">
        <f t="shared" ca="1" si="17"/>
        <v>0</v>
      </c>
      <c r="AR211" s="402">
        <f t="shared" ca="1" si="18"/>
        <v>0</v>
      </c>
      <c r="AS211" s="403"/>
      <c r="AT211" s="402">
        <f t="shared" si="19"/>
        <v>1</v>
      </c>
    </row>
    <row r="212" spans="1:46" ht="15.75" customHeight="1">
      <c r="A212" s="382"/>
      <c r="B212" s="383">
        <f t="shared" ca="1" si="0"/>
        <v>3</v>
      </c>
      <c r="C212" s="384">
        <f t="shared" ca="1" si="1"/>
        <v>1</v>
      </c>
      <c r="D212" s="384">
        <f t="shared" ca="1" si="2"/>
        <v>49</v>
      </c>
      <c r="E212" s="384">
        <f t="shared" ca="1" si="3"/>
        <v>6</v>
      </c>
      <c r="F212" s="384" t="str">
        <f t="shared" ca="1" si="4"/>
        <v/>
      </c>
      <c r="G212" s="385" t="str">
        <f t="shared" ca="1" si="5"/>
        <v/>
      </c>
      <c r="H212" s="386" t="str">
        <f t="shared" ca="1" si="6"/>
        <v/>
      </c>
      <c r="I212" s="404"/>
      <c r="J212" s="415"/>
      <c r="K212" s="428"/>
      <c r="L212" s="428" t="s">
        <v>66</v>
      </c>
      <c r="M212" s="428"/>
      <c r="N212" s="428"/>
      <c r="O212" s="428"/>
      <c r="P212" s="428"/>
      <c r="Q212" s="429"/>
      <c r="R212" s="417"/>
      <c r="S212" s="418"/>
      <c r="T212" s="419"/>
      <c r="U212" s="418"/>
      <c r="V212" s="419"/>
      <c r="W212" s="430"/>
      <c r="X212" s="431"/>
      <c r="Y212" s="434"/>
      <c r="Z212" s="433"/>
      <c r="AA212" s="396"/>
      <c r="AB212" s="397"/>
      <c r="AC212" s="398"/>
      <c r="AD212" s="399"/>
      <c r="AE212" s="400"/>
      <c r="AF212" s="401"/>
      <c r="AG212" s="401">
        <f t="shared" si="7"/>
        <v>0</v>
      </c>
      <c r="AH212" s="401">
        <f t="shared" si="8"/>
        <v>0</v>
      </c>
      <c r="AI212" s="401">
        <f t="shared" si="9"/>
        <v>0</v>
      </c>
      <c r="AJ212" s="401">
        <f t="shared" si="10"/>
        <v>0</v>
      </c>
      <c r="AK212" s="401" t="str">
        <f t="shared" si="11"/>
        <v/>
      </c>
      <c r="AL212" s="402">
        <f t="shared" ca="1" si="12"/>
        <v>3</v>
      </c>
      <c r="AM212" s="402">
        <f t="shared" ca="1" si="13"/>
        <v>1</v>
      </c>
      <c r="AN212" s="402">
        <f t="shared" ca="1" si="14"/>
        <v>49</v>
      </c>
      <c r="AO212" s="402">
        <f t="shared" ca="1" si="15"/>
        <v>6</v>
      </c>
      <c r="AP212" s="402">
        <f t="shared" ca="1" si="16"/>
        <v>0</v>
      </c>
      <c r="AQ212" s="402">
        <f t="shared" ca="1" si="17"/>
        <v>0</v>
      </c>
      <c r="AR212" s="402">
        <f t="shared" ca="1" si="18"/>
        <v>0</v>
      </c>
      <c r="AS212" s="403"/>
      <c r="AT212" s="402">
        <f t="shared" si="19"/>
        <v>1</v>
      </c>
    </row>
    <row r="213" spans="1:46" ht="15.75" customHeight="1">
      <c r="A213" s="382"/>
      <c r="B213" s="383">
        <f t="shared" ca="1" si="0"/>
        <v>3</v>
      </c>
      <c r="C213" s="384">
        <f t="shared" ca="1" si="1"/>
        <v>1</v>
      </c>
      <c r="D213" s="384">
        <f t="shared" ca="1" si="2"/>
        <v>50</v>
      </c>
      <c r="E213" s="384" t="str">
        <f t="shared" ca="1" si="3"/>
        <v/>
      </c>
      <c r="F213" s="384" t="str">
        <f t="shared" ca="1" si="4"/>
        <v/>
      </c>
      <c r="G213" s="385" t="str">
        <f t="shared" ca="1" si="5"/>
        <v/>
      </c>
      <c r="H213" s="386" t="str">
        <f t="shared" ca="1" si="6"/>
        <v/>
      </c>
      <c r="I213" s="404"/>
      <c r="J213" s="415"/>
      <c r="K213" s="428" t="s">
        <v>342</v>
      </c>
      <c r="L213" s="428"/>
      <c r="M213" s="428"/>
      <c r="N213" s="428"/>
      <c r="O213" s="428"/>
      <c r="P213" s="428"/>
      <c r="Q213" s="429"/>
      <c r="R213" s="417"/>
      <c r="S213" s="418"/>
      <c r="T213" s="419"/>
      <c r="U213" s="418"/>
      <c r="V213" s="419"/>
      <c r="W213" s="430"/>
      <c r="X213" s="431"/>
      <c r="Y213" s="434"/>
      <c r="Z213" s="433"/>
      <c r="AA213" s="396"/>
      <c r="AB213" s="397"/>
      <c r="AC213" s="398"/>
      <c r="AD213" s="399"/>
      <c r="AE213" s="400"/>
      <c r="AF213" s="401"/>
      <c r="AG213" s="401">
        <f t="shared" si="7"/>
        <v>0</v>
      </c>
      <c r="AH213" s="401">
        <f t="shared" si="8"/>
        <v>0</v>
      </c>
      <c r="AI213" s="401">
        <f t="shared" si="9"/>
        <v>0</v>
      </c>
      <c r="AJ213" s="401">
        <f t="shared" si="10"/>
        <v>0</v>
      </c>
      <c r="AK213" s="401" t="str">
        <f t="shared" si="11"/>
        <v/>
      </c>
      <c r="AL213" s="402">
        <f t="shared" ca="1" si="12"/>
        <v>3</v>
      </c>
      <c r="AM213" s="402">
        <f t="shared" ca="1" si="13"/>
        <v>1</v>
      </c>
      <c r="AN213" s="402">
        <f t="shared" ca="1" si="14"/>
        <v>50</v>
      </c>
      <c r="AO213" s="402">
        <f t="shared" ca="1" si="15"/>
        <v>0</v>
      </c>
      <c r="AP213" s="402">
        <f t="shared" ca="1" si="16"/>
        <v>0</v>
      </c>
      <c r="AQ213" s="402">
        <f t="shared" ca="1" si="17"/>
        <v>0</v>
      </c>
      <c r="AR213" s="402">
        <f t="shared" ca="1" si="18"/>
        <v>0</v>
      </c>
      <c r="AS213" s="403"/>
      <c r="AT213" s="402">
        <f t="shared" si="19"/>
        <v>1</v>
      </c>
    </row>
    <row r="214" spans="1:46" ht="15.75" customHeight="1">
      <c r="A214" s="382"/>
      <c r="B214" s="383">
        <f t="shared" ca="1" si="0"/>
        <v>3</v>
      </c>
      <c r="C214" s="384">
        <f t="shared" ca="1" si="1"/>
        <v>1</v>
      </c>
      <c r="D214" s="384">
        <f t="shared" ca="1" si="2"/>
        <v>50</v>
      </c>
      <c r="E214" s="384">
        <f t="shared" ca="1" si="3"/>
        <v>1</v>
      </c>
      <c r="F214" s="384" t="str">
        <f t="shared" ca="1" si="4"/>
        <v/>
      </c>
      <c r="G214" s="385" t="str">
        <f t="shared" ca="1" si="5"/>
        <v/>
      </c>
      <c r="H214" s="386" t="str">
        <f t="shared" ca="1" si="6"/>
        <v/>
      </c>
      <c r="I214" s="404"/>
      <c r="J214" s="415"/>
      <c r="K214" s="428"/>
      <c r="L214" s="428" t="s">
        <v>59</v>
      </c>
      <c r="M214" s="428"/>
      <c r="N214" s="428"/>
      <c r="O214" s="428"/>
      <c r="P214" s="428"/>
      <c r="Q214" s="429"/>
      <c r="R214" s="417"/>
      <c r="S214" s="418"/>
      <c r="T214" s="419"/>
      <c r="U214" s="418"/>
      <c r="V214" s="419"/>
      <c r="W214" s="430"/>
      <c r="X214" s="431"/>
      <c r="Y214" s="434"/>
      <c r="Z214" s="433"/>
      <c r="AA214" s="396"/>
      <c r="AB214" s="397"/>
      <c r="AC214" s="398"/>
      <c r="AD214" s="399"/>
      <c r="AE214" s="400"/>
      <c r="AF214" s="401"/>
      <c r="AG214" s="401">
        <f t="shared" si="7"/>
        <v>0</v>
      </c>
      <c r="AH214" s="401">
        <f t="shared" si="8"/>
        <v>0</v>
      </c>
      <c r="AI214" s="401">
        <f t="shared" si="9"/>
        <v>0</v>
      </c>
      <c r="AJ214" s="401">
        <f t="shared" si="10"/>
        <v>0</v>
      </c>
      <c r="AK214" s="401" t="str">
        <f t="shared" si="11"/>
        <v/>
      </c>
      <c r="AL214" s="402">
        <f t="shared" ca="1" si="12"/>
        <v>3</v>
      </c>
      <c r="AM214" s="402">
        <f t="shared" ca="1" si="13"/>
        <v>1</v>
      </c>
      <c r="AN214" s="402">
        <f t="shared" ca="1" si="14"/>
        <v>50</v>
      </c>
      <c r="AO214" s="402">
        <f t="shared" ca="1" si="15"/>
        <v>1</v>
      </c>
      <c r="AP214" s="402">
        <f t="shared" ca="1" si="16"/>
        <v>0</v>
      </c>
      <c r="AQ214" s="402">
        <f t="shared" ca="1" si="17"/>
        <v>0</v>
      </c>
      <c r="AR214" s="402">
        <f t="shared" ca="1" si="18"/>
        <v>0</v>
      </c>
      <c r="AS214" s="403"/>
      <c r="AT214" s="402">
        <f t="shared" si="19"/>
        <v>1</v>
      </c>
    </row>
    <row r="215" spans="1:46" ht="15.75" customHeight="1">
      <c r="A215" s="382"/>
      <c r="B215" s="383">
        <f t="shared" ca="1" si="0"/>
        <v>3</v>
      </c>
      <c r="C215" s="384">
        <f t="shared" ca="1" si="1"/>
        <v>1</v>
      </c>
      <c r="D215" s="384">
        <f t="shared" ca="1" si="2"/>
        <v>50</v>
      </c>
      <c r="E215" s="384">
        <f t="shared" ca="1" si="3"/>
        <v>2</v>
      </c>
      <c r="F215" s="384" t="str">
        <f t="shared" ca="1" si="4"/>
        <v/>
      </c>
      <c r="G215" s="385" t="str">
        <f t="shared" ca="1" si="5"/>
        <v/>
      </c>
      <c r="H215" s="386" t="str">
        <f t="shared" ca="1" si="6"/>
        <v/>
      </c>
      <c r="I215" s="404"/>
      <c r="J215" s="415"/>
      <c r="K215" s="428"/>
      <c r="L215" s="428" t="s">
        <v>61</v>
      </c>
      <c r="M215" s="428"/>
      <c r="N215" s="428"/>
      <c r="O215" s="428"/>
      <c r="P215" s="428"/>
      <c r="Q215" s="429"/>
      <c r="R215" s="417"/>
      <c r="S215" s="418"/>
      <c r="T215" s="419"/>
      <c r="U215" s="418"/>
      <c r="V215" s="419"/>
      <c r="W215" s="430"/>
      <c r="X215" s="431"/>
      <c r="Y215" s="434"/>
      <c r="Z215" s="433"/>
      <c r="AA215" s="396"/>
      <c r="AB215" s="397"/>
      <c r="AC215" s="398"/>
      <c r="AD215" s="399"/>
      <c r="AE215" s="400"/>
      <c r="AF215" s="401"/>
      <c r="AG215" s="401">
        <f t="shared" si="7"/>
        <v>0</v>
      </c>
      <c r="AH215" s="401">
        <f t="shared" si="8"/>
        <v>0</v>
      </c>
      <c r="AI215" s="401">
        <f t="shared" si="9"/>
        <v>0</v>
      </c>
      <c r="AJ215" s="401">
        <f t="shared" si="10"/>
        <v>0</v>
      </c>
      <c r="AK215" s="401" t="str">
        <f t="shared" si="11"/>
        <v/>
      </c>
      <c r="AL215" s="402">
        <f t="shared" ca="1" si="12"/>
        <v>3</v>
      </c>
      <c r="AM215" s="402">
        <f t="shared" ca="1" si="13"/>
        <v>1</v>
      </c>
      <c r="AN215" s="402">
        <f t="shared" ca="1" si="14"/>
        <v>50</v>
      </c>
      <c r="AO215" s="402">
        <f t="shared" ca="1" si="15"/>
        <v>2</v>
      </c>
      <c r="AP215" s="402">
        <f t="shared" ca="1" si="16"/>
        <v>0</v>
      </c>
      <c r="AQ215" s="402">
        <f t="shared" ca="1" si="17"/>
        <v>0</v>
      </c>
      <c r="AR215" s="402">
        <f t="shared" ca="1" si="18"/>
        <v>0</v>
      </c>
      <c r="AS215" s="403"/>
      <c r="AT215" s="402">
        <f t="shared" si="19"/>
        <v>1</v>
      </c>
    </row>
    <row r="216" spans="1:46" ht="15.75" customHeight="1">
      <c r="A216" s="382"/>
      <c r="B216" s="383">
        <f t="shared" ca="1" si="0"/>
        <v>3</v>
      </c>
      <c r="C216" s="384">
        <f t="shared" ca="1" si="1"/>
        <v>1</v>
      </c>
      <c r="D216" s="384">
        <f t="shared" ca="1" si="2"/>
        <v>50</v>
      </c>
      <c r="E216" s="384">
        <f t="shared" ca="1" si="3"/>
        <v>3</v>
      </c>
      <c r="F216" s="384" t="str">
        <f t="shared" ca="1" si="4"/>
        <v/>
      </c>
      <c r="G216" s="385" t="str">
        <f t="shared" ca="1" si="5"/>
        <v/>
      </c>
      <c r="H216" s="386" t="str">
        <f t="shared" ca="1" si="6"/>
        <v/>
      </c>
      <c r="I216" s="404"/>
      <c r="J216" s="415"/>
      <c r="K216" s="428"/>
      <c r="L216" s="428" t="s">
        <v>63</v>
      </c>
      <c r="M216" s="428"/>
      <c r="N216" s="428"/>
      <c r="O216" s="428"/>
      <c r="P216" s="428"/>
      <c r="Q216" s="429"/>
      <c r="R216" s="417"/>
      <c r="S216" s="418"/>
      <c r="T216" s="419"/>
      <c r="U216" s="418"/>
      <c r="V216" s="419"/>
      <c r="W216" s="430"/>
      <c r="X216" s="431"/>
      <c r="Y216" s="434"/>
      <c r="Z216" s="433"/>
      <c r="AA216" s="396"/>
      <c r="AB216" s="397"/>
      <c r="AC216" s="398"/>
      <c r="AD216" s="399"/>
      <c r="AE216" s="400"/>
      <c r="AF216" s="401"/>
      <c r="AG216" s="401">
        <f t="shared" si="7"/>
        <v>0</v>
      </c>
      <c r="AH216" s="401">
        <f t="shared" si="8"/>
        <v>0</v>
      </c>
      <c r="AI216" s="401">
        <f t="shared" si="9"/>
        <v>0</v>
      </c>
      <c r="AJ216" s="401">
        <f t="shared" si="10"/>
        <v>0</v>
      </c>
      <c r="AK216" s="401" t="str">
        <f t="shared" si="11"/>
        <v/>
      </c>
      <c r="AL216" s="402">
        <f t="shared" ca="1" si="12"/>
        <v>3</v>
      </c>
      <c r="AM216" s="402">
        <f t="shared" ca="1" si="13"/>
        <v>1</v>
      </c>
      <c r="AN216" s="402">
        <f t="shared" ca="1" si="14"/>
        <v>50</v>
      </c>
      <c r="AO216" s="402">
        <f t="shared" ca="1" si="15"/>
        <v>3</v>
      </c>
      <c r="AP216" s="402">
        <f t="shared" ca="1" si="16"/>
        <v>0</v>
      </c>
      <c r="AQ216" s="402">
        <f t="shared" ca="1" si="17"/>
        <v>0</v>
      </c>
      <c r="AR216" s="402">
        <f t="shared" ca="1" si="18"/>
        <v>0</v>
      </c>
      <c r="AS216" s="403"/>
      <c r="AT216" s="402">
        <f t="shared" si="19"/>
        <v>1</v>
      </c>
    </row>
    <row r="217" spans="1:46" ht="15.75" customHeight="1">
      <c r="A217" s="382"/>
      <c r="B217" s="383">
        <f t="shared" ca="1" si="0"/>
        <v>3</v>
      </c>
      <c r="C217" s="384">
        <f t="shared" ca="1" si="1"/>
        <v>1</v>
      </c>
      <c r="D217" s="384">
        <f t="shared" ca="1" si="2"/>
        <v>50</v>
      </c>
      <c r="E217" s="384">
        <f t="shared" ca="1" si="3"/>
        <v>4</v>
      </c>
      <c r="F217" s="384" t="str">
        <f t="shared" ca="1" si="4"/>
        <v/>
      </c>
      <c r="G217" s="385" t="str">
        <f t="shared" ca="1" si="5"/>
        <v/>
      </c>
      <c r="H217" s="386" t="str">
        <f t="shared" ca="1" si="6"/>
        <v/>
      </c>
      <c r="I217" s="404"/>
      <c r="J217" s="415"/>
      <c r="K217" s="428"/>
      <c r="L217" s="428" t="s">
        <v>64</v>
      </c>
      <c r="M217" s="428"/>
      <c r="N217" s="428"/>
      <c r="O217" s="428"/>
      <c r="P217" s="428"/>
      <c r="Q217" s="429"/>
      <c r="R217" s="417"/>
      <c r="S217" s="418"/>
      <c r="T217" s="419"/>
      <c r="U217" s="418"/>
      <c r="V217" s="419"/>
      <c r="W217" s="430"/>
      <c r="X217" s="431"/>
      <c r="Y217" s="434"/>
      <c r="Z217" s="433"/>
      <c r="AA217" s="396"/>
      <c r="AB217" s="397"/>
      <c r="AC217" s="398"/>
      <c r="AD217" s="399"/>
      <c r="AE217" s="400"/>
      <c r="AF217" s="401"/>
      <c r="AG217" s="401">
        <f t="shared" si="7"/>
        <v>0</v>
      </c>
      <c r="AH217" s="401">
        <f t="shared" si="8"/>
        <v>0</v>
      </c>
      <c r="AI217" s="401">
        <f t="shared" si="9"/>
        <v>0</v>
      </c>
      <c r="AJ217" s="401">
        <f t="shared" si="10"/>
        <v>0</v>
      </c>
      <c r="AK217" s="401" t="str">
        <f t="shared" si="11"/>
        <v/>
      </c>
      <c r="AL217" s="402">
        <f t="shared" ca="1" si="12"/>
        <v>3</v>
      </c>
      <c r="AM217" s="402">
        <f t="shared" ca="1" si="13"/>
        <v>1</v>
      </c>
      <c r="AN217" s="402">
        <f t="shared" ca="1" si="14"/>
        <v>50</v>
      </c>
      <c r="AO217" s="402">
        <f t="shared" ca="1" si="15"/>
        <v>4</v>
      </c>
      <c r="AP217" s="402">
        <f t="shared" ca="1" si="16"/>
        <v>0</v>
      </c>
      <c r="AQ217" s="402">
        <f t="shared" ca="1" si="17"/>
        <v>0</v>
      </c>
      <c r="AR217" s="402">
        <f t="shared" ca="1" si="18"/>
        <v>0</v>
      </c>
      <c r="AS217" s="403"/>
      <c r="AT217" s="402">
        <f t="shared" si="19"/>
        <v>1</v>
      </c>
    </row>
    <row r="218" spans="1:46" ht="15.75" customHeight="1">
      <c r="A218" s="382"/>
      <c r="B218" s="383">
        <f t="shared" ca="1" si="0"/>
        <v>3</v>
      </c>
      <c r="C218" s="384">
        <f t="shared" ca="1" si="1"/>
        <v>1</v>
      </c>
      <c r="D218" s="384">
        <f t="shared" ca="1" si="2"/>
        <v>50</v>
      </c>
      <c r="E218" s="384">
        <f t="shared" ca="1" si="3"/>
        <v>5</v>
      </c>
      <c r="F218" s="384" t="str">
        <f t="shared" ca="1" si="4"/>
        <v/>
      </c>
      <c r="G218" s="385" t="str">
        <f t="shared" ca="1" si="5"/>
        <v/>
      </c>
      <c r="H218" s="386" t="str">
        <f t="shared" ca="1" si="6"/>
        <v/>
      </c>
      <c r="I218" s="404"/>
      <c r="J218" s="415"/>
      <c r="K218" s="428"/>
      <c r="L218" s="428" t="s">
        <v>65</v>
      </c>
      <c r="M218" s="428"/>
      <c r="N218" s="428"/>
      <c r="O218" s="428"/>
      <c r="P218" s="428"/>
      <c r="Q218" s="429"/>
      <c r="R218" s="417"/>
      <c r="S218" s="418"/>
      <c r="T218" s="419"/>
      <c r="U218" s="418"/>
      <c r="V218" s="419"/>
      <c r="W218" s="430"/>
      <c r="X218" s="431"/>
      <c r="Y218" s="434"/>
      <c r="Z218" s="433"/>
      <c r="AA218" s="396"/>
      <c r="AB218" s="397"/>
      <c r="AC218" s="398"/>
      <c r="AD218" s="399"/>
      <c r="AE218" s="400"/>
      <c r="AF218" s="401"/>
      <c r="AG218" s="401">
        <f t="shared" si="7"/>
        <v>0</v>
      </c>
      <c r="AH218" s="401">
        <f t="shared" si="8"/>
        <v>0</v>
      </c>
      <c r="AI218" s="401">
        <f t="shared" si="9"/>
        <v>0</v>
      </c>
      <c r="AJ218" s="401">
        <f t="shared" si="10"/>
        <v>0</v>
      </c>
      <c r="AK218" s="401" t="str">
        <f t="shared" si="11"/>
        <v/>
      </c>
      <c r="AL218" s="402">
        <f t="shared" ca="1" si="12"/>
        <v>3</v>
      </c>
      <c r="AM218" s="402">
        <f t="shared" ca="1" si="13"/>
        <v>1</v>
      </c>
      <c r="AN218" s="402">
        <f t="shared" ca="1" si="14"/>
        <v>50</v>
      </c>
      <c r="AO218" s="402">
        <f t="shared" ca="1" si="15"/>
        <v>5</v>
      </c>
      <c r="AP218" s="402">
        <f t="shared" ca="1" si="16"/>
        <v>0</v>
      </c>
      <c r="AQ218" s="402">
        <f t="shared" ca="1" si="17"/>
        <v>0</v>
      </c>
      <c r="AR218" s="402">
        <f t="shared" ca="1" si="18"/>
        <v>0</v>
      </c>
      <c r="AS218" s="403"/>
      <c r="AT218" s="402">
        <f t="shared" si="19"/>
        <v>1</v>
      </c>
    </row>
    <row r="219" spans="1:46" ht="15.75" customHeight="1">
      <c r="A219" s="382"/>
      <c r="B219" s="383">
        <f t="shared" ca="1" si="0"/>
        <v>3</v>
      </c>
      <c r="C219" s="384">
        <f t="shared" ca="1" si="1"/>
        <v>1</v>
      </c>
      <c r="D219" s="384">
        <f t="shared" ca="1" si="2"/>
        <v>50</v>
      </c>
      <c r="E219" s="384">
        <f t="shared" ca="1" si="3"/>
        <v>6</v>
      </c>
      <c r="F219" s="384" t="str">
        <f t="shared" ca="1" si="4"/>
        <v/>
      </c>
      <c r="G219" s="385" t="str">
        <f t="shared" ca="1" si="5"/>
        <v/>
      </c>
      <c r="H219" s="386" t="str">
        <f t="shared" ca="1" si="6"/>
        <v/>
      </c>
      <c r="I219" s="404"/>
      <c r="J219" s="415"/>
      <c r="K219" s="428"/>
      <c r="L219" s="428" t="s">
        <v>66</v>
      </c>
      <c r="M219" s="428"/>
      <c r="N219" s="428"/>
      <c r="O219" s="428"/>
      <c r="P219" s="428"/>
      <c r="Q219" s="429"/>
      <c r="R219" s="417"/>
      <c r="S219" s="418"/>
      <c r="T219" s="419"/>
      <c r="U219" s="418"/>
      <c r="V219" s="419"/>
      <c r="W219" s="430"/>
      <c r="X219" s="431"/>
      <c r="Y219" s="434"/>
      <c r="Z219" s="433"/>
      <c r="AA219" s="396"/>
      <c r="AB219" s="397"/>
      <c r="AC219" s="398"/>
      <c r="AD219" s="399"/>
      <c r="AE219" s="400"/>
      <c r="AF219" s="401"/>
      <c r="AG219" s="401">
        <f t="shared" si="7"/>
        <v>0</v>
      </c>
      <c r="AH219" s="401">
        <f t="shared" si="8"/>
        <v>0</v>
      </c>
      <c r="AI219" s="401">
        <f t="shared" si="9"/>
        <v>0</v>
      </c>
      <c r="AJ219" s="401">
        <f t="shared" si="10"/>
        <v>0</v>
      </c>
      <c r="AK219" s="401" t="str">
        <f t="shared" si="11"/>
        <v/>
      </c>
      <c r="AL219" s="402">
        <f t="shared" ca="1" si="12"/>
        <v>3</v>
      </c>
      <c r="AM219" s="402">
        <f t="shared" ca="1" si="13"/>
        <v>1</v>
      </c>
      <c r="AN219" s="402">
        <f t="shared" ca="1" si="14"/>
        <v>50</v>
      </c>
      <c r="AO219" s="402">
        <f t="shared" ca="1" si="15"/>
        <v>6</v>
      </c>
      <c r="AP219" s="402">
        <f t="shared" ca="1" si="16"/>
        <v>0</v>
      </c>
      <c r="AQ219" s="402">
        <f t="shared" ca="1" si="17"/>
        <v>0</v>
      </c>
      <c r="AR219" s="402">
        <f t="shared" ca="1" si="18"/>
        <v>0</v>
      </c>
      <c r="AS219" s="403"/>
      <c r="AT219" s="402">
        <f t="shared" si="19"/>
        <v>1</v>
      </c>
    </row>
    <row r="220" spans="1:46" ht="15.75" customHeight="1">
      <c r="A220" s="382"/>
      <c r="B220" s="383">
        <f t="shared" ca="1" si="0"/>
        <v>3</v>
      </c>
      <c r="C220" s="384">
        <f t="shared" ca="1" si="1"/>
        <v>1</v>
      </c>
      <c r="D220" s="384">
        <f t="shared" ca="1" si="2"/>
        <v>51</v>
      </c>
      <c r="E220" s="384" t="str">
        <f t="shared" ca="1" si="3"/>
        <v/>
      </c>
      <c r="F220" s="384" t="str">
        <f t="shared" ca="1" si="4"/>
        <v/>
      </c>
      <c r="G220" s="385" t="str">
        <f t="shared" ca="1" si="5"/>
        <v/>
      </c>
      <c r="H220" s="386" t="str">
        <f t="shared" ca="1" si="6"/>
        <v/>
      </c>
      <c r="I220" s="404"/>
      <c r="J220" s="415"/>
      <c r="K220" s="428" t="s">
        <v>343</v>
      </c>
      <c r="L220" s="428"/>
      <c r="M220" s="428"/>
      <c r="N220" s="428"/>
      <c r="O220" s="428"/>
      <c r="P220" s="428"/>
      <c r="Q220" s="429"/>
      <c r="R220" s="417"/>
      <c r="S220" s="418"/>
      <c r="T220" s="419"/>
      <c r="U220" s="418"/>
      <c r="V220" s="419"/>
      <c r="W220" s="430"/>
      <c r="X220" s="431"/>
      <c r="Y220" s="434"/>
      <c r="Z220" s="433"/>
      <c r="AA220" s="396"/>
      <c r="AB220" s="397"/>
      <c r="AC220" s="398"/>
      <c r="AD220" s="399"/>
      <c r="AE220" s="400"/>
      <c r="AF220" s="401"/>
      <c r="AG220" s="401">
        <f t="shared" si="7"/>
        <v>0</v>
      </c>
      <c r="AH220" s="401">
        <f t="shared" si="8"/>
        <v>0</v>
      </c>
      <c r="AI220" s="401">
        <f t="shared" si="9"/>
        <v>0</v>
      </c>
      <c r="AJ220" s="401">
        <f t="shared" si="10"/>
        <v>0</v>
      </c>
      <c r="AK220" s="401" t="str">
        <f t="shared" si="11"/>
        <v/>
      </c>
      <c r="AL220" s="402">
        <f t="shared" ca="1" si="12"/>
        <v>3</v>
      </c>
      <c r="AM220" s="402">
        <f t="shared" ca="1" si="13"/>
        <v>1</v>
      </c>
      <c r="AN220" s="402">
        <f t="shared" ca="1" si="14"/>
        <v>51</v>
      </c>
      <c r="AO220" s="402">
        <f t="shared" ca="1" si="15"/>
        <v>0</v>
      </c>
      <c r="AP220" s="402">
        <f t="shared" ca="1" si="16"/>
        <v>0</v>
      </c>
      <c r="AQ220" s="402">
        <f t="shared" ca="1" si="17"/>
        <v>0</v>
      </c>
      <c r="AR220" s="402">
        <f t="shared" ca="1" si="18"/>
        <v>0</v>
      </c>
      <c r="AS220" s="403"/>
      <c r="AT220" s="402">
        <f t="shared" si="19"/>
        <v>1</v>
      </c>
    </row>
    <row r="221" spans="1:46" ht="15.75" customHeight="1">
      <c r="A221" s="382"/>
      <c r="B221" s="383">
        <f t="shared" ca="1" si="0"/>
        <v>3</v>
      </c>
      <c r="C221" s="384">
        <f t="shared" ca="1" si="1"/>
        <v>1</v>
      </c>
      <c r="D221" s="384">
        <f t="shared" ca="1" si="2"/>
        <v>51</v>
      </c>
      <c r="E221" s="384">
        <f t="shared" ca="1" si="3"/>
        <v>1</v>
      </c>
      <c r="F221" s="384" t="str">
        <f t="shared" ca="1" si="4"/>
        <v/>
      </c>
      <c r="G221" s="385" t="str">
        <f t="shared" ca="1" si="5"/>
        <v/>
      </c>
      <c r="H221" s="386" t="str">
        <f t="shared" ca="1" si="6"/>
        <v/>
      </c>
      <c r="I221" s="404"/>
      <c r="J221" s="415"/>
      <c r="K221" s="428"/>
      <c r="L221" s="428" t="s">
        <v>59</v>
      </c>
      <c r="M221" s="428"/>
      <c r="N221" s="428"/>
      <c r="O221" s="428"/>
      <c r="P221" s="428"/>
      <c r="Q221" s="429"/>
      <c r="R221" s="417"/>
      <c r="S221" s="418"/>
      <c r="T221" s="419"/>
      <c r="U221" s="418"/>
      <c r="V221" s="419"/>
      <c r="W221" s="430"/>
      <c r="X221" s="431"/>
      <c r="Y221" s="434"/>
      <c r="Z221" s="433"/>
      <c r="AA221" s="396"/>
      <c r="AB221" s="397"/>
      <c r="AC221" s="398"/>
      <c r="AD221" s="399"/>
      <c r="AE221" s="400"/>
      <c r="AF221" s="401"/>
      <c r="AG221" s="401">
        <f t="shared" si="7"/>
        <v>0</v>
      </c>
      <c r="AH221" s="401">
        <f t="shared" si="8"/>
        <v>0</v>
      </c>
      <c r="AI221" s="401">
        <f t="shared" si="9"/>
        <v>0</v>
      </c>
      <c r="AJ221" s="401">
        <f t="shared" si="10"/>
        <v>0</v>
      </c>
      <c r="AK221" s="401" t="str">
        <f t="shared" si="11"/>
        <v/>
      </c>
      <c r="AL221" s="402">
        <f t="shared" ca="1" si="12"/>
        <v>3</v>
      </c>
      <c r="AM221" s="402">
        <f t="shared" ca="1" si="13"/>
        <v>1</v>
      </c>
      <c r="AN221" s="402">
        <f t="shared" ca="1" si="14"/>
        <v>51</v>
      </c>
      <c r="AO221" s="402">
        <f t="shared" ca="1" si="15"/>
        <v>1</v>
      </c>
      <c r="AP221" s="402">
        <f t="shared" ca="1" si="16"/>
        <v>0</v>
      </c>
      <c r="AQ221" s="402">
        <f t="shared" ca="1" si="17"/>
        <v>0</v>
      </c>
      <c r="AR221" s="402">
        <f t="shared" ca="1" si="18"/>
        <v>0</v>
      </c>
      <c r="AS221" s="403"/>
      <c r="AT221" s="402">
        <f t="shared" si="19"/>
        <v>1</v>
      </c>
    </row>
    <row r="222" spans="1:46" ht="15.75" customHeight="1">
      <c r="A222" s="382"/>
      <c r="B222" s="383">
        <f t="shared" ca="1" si="0"/>
        <v>3</v>
      </c>
      <c r="C222" s="384">
        <f t="shared" ca="1" si="1"/>
        <v>1</v>
      </c>
      <c r="D222" s="384">
        <f t="shared" ca="1" si="2"/>
        <v>51</v>
      </c>
      <c r="E222" s="384">
        <f t="shared" ca="1" si="3"/>
        <v>2</v>
      </c>
      <c r="F222" s="384" t="str">
        <f t="shared" ca="1" si="4"/>
        <v/>
      </c>
      <c r="G222" s="385" t="str">
        <f t="shared" ca="1" si="5"/>
        <v/>
      </c>
      <c r="H222" s="386" t="str">
        <f t="shared" ca="1" si="6"/>
        <v/>
      </c>
      <c r="I222" s="404"/>
      <c r="J222" s="415"/>
      <c r="K222" s="428"/>
      <c r="L222" s="428" t="s">
        <v>61</v>
      </c>
      <c r="M222" s="428"/>
      <c r="N222" s="428"/>
      <c r="O222" s="428"/>
      <c r="P222" s="428"/>
      <c r="Q222" s="429"/>
      <c r="R222" s="417"/>
      <c r="S222" s="418"/>
      <c r="T222" s="419"/>
      <c r="U222" s="418"/>
      <c r="V222" s="419"/>
      <c r="W222" s="430"/>
      <c r="X222" s="431"/>
      <c r="Y222" s="434"/>
      <c r="Z222" s="433"/>
      <c r="AA222" s="396"/>
      <c r="AB222" s="397"/>
      <c r="AC222" s="398"/>
      <c r="AD222" s="399"/>
      <c r="AE222" s="400"/>
      <c r="AF222" s="401"/>
      <c r="AG222" s="401">
        <f t="shared" si="7"/>
        <v>0</v>
      </c>
      <c r="AH222" s="401">
        <f t="shared" si="8"/>
        <v>0</v>
      </c>
      <c r="AI222" s="401">
        <f t="shared" si="9"/>
        <v>0</v>
      </c>
      <c r="AJ222" s="401">
        <f t="shared" si="10"/>
        <v>0</v>
      </c>
      <c r="AK222" s="401" t="str">
        <f t="shared" si="11"/>
        <v/>
      </c>
      <c r="AL222" s="402">
        <f t="shared" ca="1" si="12"/>
        <v>3</v>
      </c>
      <c r="AM222" s="402">
        <f t="shared" ca="1" si="13"/>
        <v>1</v>
      </c>
      <c r="AN222" s="402">
        <f t="shared" ca="1" si="14"/>
        <v>51</v>
      </c>
      <c r="AO222" s="402">
        <f t="shared" ca="1" si="15"/>
        <v>2</v>
      </c>
      <c r="AP222" s="402">
        <f t="shared" ca="1" si="16"/>
        <v>0</v>
      </c>
      <c r="AQ222" s="402">
        <f t="shared" ca="1" si="17"/>
        <v>0</v>
      </c>
      <c r="AR222" s="402">
        <f t="shared" ca="1" si="18"/>
        <v>0</v>
      </c>
      <c r="AS222" s="403"/>
      <c r="AT222" s="402">
        <f t="shared" si="19"/>
        <v>1</v>
      </c>
    </row>
    <row r="223" spans="1:46" ht="15.75" customHeight="1">
      <c r="A223" s="382"/>
      <c r="B223" s="383">
        <f t="shared" ca="1" si="0"/>
        <v>3</v>
      </c>
      <c r="C223" s="384">
        <f t="shared" ca="1" si="1"/>
        <v>1</v>
      </c>
      <c r="D223" s="384">
        <f t="shared" ca="1" si="2"/>
        <v>51</v>
      </c>
      <c r="E223" s="384">
        <f t="shared" ca="1" si="3"/>
        <v>3</v>
      </c>
      <c r="F223" s="384" t="str">
        <f t="shared" ca="1" si="4"/>
        <v/>
      </c>
      <c r="G223" s="385" t="str">
        <f t="shared" ca="1" si="5"/>
        <v/>
      </c>
      <c r="H223" s="386" t="str">
        <f t="shared" ca="1" si="6"/>
        <v/>
      </c>
      <c r="I223" s="404"/>
      <c r="J223" s="415"/>
      <c r="K223" s="428"/>
      <c r="L223" s="428" t="s">
        <v>63</v>
      </c>
      <c r="M223" s="428"/>
      <c r="N223" s="428"/>
      <c r="O223" s="428"/>
      <c r="P223" s="428"/>
      <c r="Q223" s="429"/>
      <c r="R223" s="417"/>
      <c r="S223" s="418"/>
      <c r="T223" s="419"/>
      <c r="U223" s="418"/>
      <c r="V223" s="419"/>
      <c r="W223" s="430"/>
      <c r="X223" s="431"/>
      <c r="Y223" s="434"/>
      <c r="Z223" s="433"/>
      <c r="AA223" s="396"/>
      <c r="AB223" s="397"/>
      <c r="AC223" s="398"/>
      <c r="AD223" s="399"/>
      <c r="AE223" s="400"/>
      <c r="AF223" s="401"/>
      <c r="AG223" s="401">
        <f t="shared" si="7"/>
        <v>0</v>
      </c>
      <c r="AH223" s="401">
        <f t="shared" si="8"/>
        <v>0</v>
      </c>
      <c r="AI223" s="401">
        <f t="shared" si="9"/>
        <v>0</v>
      </c>
      <c r="AJ223" s="401">
        <f t="shared" si="10"/>
        <v>0</v>
      </c>
      <c r="AK223" s="401" t="str">
        <f t="shared" si="11"/>
        <v/>
      </c>
      <c r="AL223" s="402">
        <f t="shared" ca="1" si="12"/>
        <v>3</v>
      </c>
      <c r="AM223" s="402">
        <f t="shared" ca="1" si="13"/>
        <v>1</v>
      </c>
      <c r="AN223" s="402">
        <f t="shared" ca="1" si="14"/>
        <v>51</v>
      </c>
      <c r="AO223" s="402">
        <f t="shared" ca="1" si="15"/>
        <v>3</v>
      </c>
      <c r="AP223" s="402">
        <f t="shared" ca="1" si="16"/>
        <v>0</v>
      </c>
      <c r="AQ223" s="402">
        <f t="shared" ca="1" si="17"/>
        <v>0</v>
      </c>
      <c r="AR223" s="402">
        <f t="shared" ca="1" si="18"/>
        <v>0</v>
      </c>
      <c r="AS223" s="403"/>
      <c r="AT223" s="402">
        <f t="shared" si="19"/>
        <v>1</v>
      </c>
    </row>
    <row r="224" spans="1:46" ht="15.75" customHeight="1">
      <c r="A224" s="382"/>
      <c r="B224" s="383">
        <f t="shared" ca="1" si="0"/>
        <v>3</v>
      </c>
      <c r="C224" s="384">
        <f t="shared" ca="1" si="1"/>
        <v>1</v>
      </c>
      <c r="D224" s="384">
        <f t="shared" ca="1" si="2"/>
        <v>51</v>
      </c>
      <c r="E224" s="384">
        <f t="shared" ca="1" si="3"/>
        <v>4</v>
      </c>
      <c r="F224" s="384" t="str">
        <f t="shared" ca="1" si="4"/>
        <v/>
      </c>
      <c r="G224" s="385" t="str">
        <f t="shared" ca="1" si="5"/>
        <v/>
      </c>
      <c r="H224" s="386" t="str">
        <f t="shared" ca="1" si="6"/>
        <v/>
      </c>
      <c r="I224" s="404"/>
      <c r="J224" s="415"/>
      <c r="K224" s="428"/>
      <c r="L224" s="428" t="s">
        <v>64</v>
      </c>
      <c r="M224" s="428"/>
      <c r="N224" s="428"/>
      <c r="O224" s="428"/>
      <c r="P224" s="428"/>
      <c r="Q224" s="429"/>
      <c r="R224" s="417"/>
      <c r="S224" s="418"/>
      <c r="T224" s="419"/>
      <c r="U224" s="418"/>
      <c r="V224" s="419"/>
      <c r="W224" s="430"/>
      <c r="X224" s="431"/>
      <c r="Y224" s="434"/>
      <c r="Z224" s="433"/>
      <c r="AA224" s="396"/>
      <c r="AB224" s="397"/>
      <c r="AC224" s="398"/>
      <c r="AD224" s="399"/>
      <c r="AE224" s="400"/>
      <c r="AF224" s="401"/>
      <c r="AG224" s="401">
        <f t="shared" si="7"/>
        <v>0</v>
      </c>
      <c r="AH224" s="401">
        <f t="shared" si="8"/>
        <v>0</v>
      </c>
      <c r="AI224" s="401">
        <f t="shared" si="9"/>
        <v>0</v>
      </c>
      <c r="AJ224" s="401">
        <f t="shared" si="10"/>
        <v>0</v>
      </c>
      <c r="AK224" s="401" t="str">
        <f t="shared" si="11"/>
        <v/>
      </c>
      <c r="AL224" s="402">
        <f t="shared" ca="1" si="12"/>
        <v>3</v>
      </c>
      <c r="AM224" s="402">
        <f t="shared" ca="1" si="13"/>
        <v>1</v>
      </c>
      <c r="AN224" s="402">
        <f t="shared" ca="1" si="14"/>
        <v>51</v>
      </c>
      <c r="AO224" s="402">
        <f t="shared" ca="1" si="15"/>
        <v>4</v>
      </c>
      <c r="AP224" s="402">
        <f t="shared" ca="1" si="16"/>
        <v>0</v>
      </c>
      <c r="AQ224" s="402">
        <f t="shared" ca="1" si="17"/>
        <v>0</v>
      </c>
      <c r="AR224" s="402">
        <f t="shared" ca="1" si="18"/>
        <v>0</v>
      </c>
      <c r="AS224" s="403"/>
      <c r="AT224" s="402">
        <f t="shared" si="19"/>
        <v>1</v>
      </c>
    </row>
    <row r="225" spans="1:46" ht="15.75" customHeight="1">
      <c r="A225" s="382"/>
      <c r="B225" s="383">
        <f t="shared" ca="1" si="0"/>
        <v>3</v>
      </c>
      <c r="C225" s="384">
        <f t="shared" ca="1" si="1"/>
        <v>1</v>
      </c>
      <c r="D225" s="384">
        <f t="shared" ca="1" si="2"/>
        <v>51</v>
      </c>
      <c r="E225" s="384">
        <f t="shared" ca="1" si="3"/>
        <v>5</v>
      </c>
      <c r="F225" s="384" t="str">
        <f t="shared" ca="1" si="4"/>
        <v/>
      </c>
      <c r="G225" s="385" t="str">
        <f t="shared" ca="1" si="5"/>
        <v/>
      </c>
      <c r="H225" s="386" t="str">
        <f t="shared" ca="1" si="6"/>
        <v/>
      </c>
      <c r="I225" s="404"/>
      <c r="J225" s="415"/>
      <c r="K225" s="428"/>
      <c r="L225" s="428" t="s">
        <v>65</v>
      </c>
      <c r="M225" s="428"/>
      <c r="N225" s="428"/>
      <c r="O225" s="428"/>
      <c r="P225" s="428"/>
      <c r="Q225" s="429"/>
      <c r="R225" s="417"/>
      <c r="S225" s="418"/>
      <c r="T225" s="419"/>
      <c r="U225" s="418"/>
      <c r="V225" s="419"/>
      <c r="W225" s="430"/>
      <c r="X225" s="431"/>
      <c r="Y225" s="434"/>
      <c r="Z225" s="433"/>
      <c r="AA225" s="396"/>
      <c r="AB225" s="397"/>
      <c r="AC225" s="398"/>
      <c r="AD225" s="399"/>
      <c r="AE225" s="400"/>
      <c r="AF225" s="401"/>
      <c r="AG225" s="401">
        <f t="shared" si="7"/>
        <v>0</v>
      </c>
      <c r="AH225" s="401">
        <f t="shared" si="8"/>
        <v>0</v>
      </c>
      <c r="AI225" s="401">
        <f t="shared" si="9"/>
        <v>0</v>
      </c>
      <c r="AJ225" s="401">
        <f t="shared" si="10"/>
        <v>0</v>
      </c>
      <c r="AK225" s="401" t="str">
        <f t="shared" si="11"/>
        <v/>
      </c>
      <c r="AL225" s="402">
        <f t="shared" ca="1" si="12"/>
        <v>3</v>
      </c>
      <c r="AM225" s="402">
        <f t="shared" ca="1" si="13"/>
        <v>1</v>
      </c>
      <c r="AN225" s="402">
        <f t="shared" ca="1" si="14"/>
        <v>51</v>
      </c>
      <c r="AO225" s="402">
        <f t="shared" ca="1" si="15"/>
        <v>5</v>
      </c>
      <c r="AP225" s="402">
        <f t="shared" ca="1" si="16"/>
        <v>0</v>
      </c>
      <c r="AQ225" s="402">
        <f t="shared" ca="1" si="17"/>
        <v>0</v>
      </c>
      <c r="AR225" s="402">
        <f t="shared" ca="1" si="18"/>
        <v>0</v>
      </c>
      <c r="AS225" s="403"/>
      <c r="AT225" s="402">
        <f t="shared" si="19"/>
        <v>1</v>
      </c>
    </row>
    <row r="226" spans="1:46" ht="15.75" customHeight="1">
      <c r="A226" s="382"/>
      <c r="B226" s="383">
        <f t="shared" ca="1" si="0"/>
        <v>3</v>
      </c>
      <c r="C226" s="384">
        <f t="shared" ca="1" si="1"/>
        <v>1</v>
      </c>
      <c r="D226" s="384">
        <f t="shared" ca="1" si="2"/>
        <v>51</v>
      </c>
      <c r="E226" s="384">
        <f t="shared" ca="1" si="3"/>
        <v>6</v>
      </c>
      <c r="F226" s="384" t="str">
        <f t="shared" ca="1" si="4"/>
        <v/>
      </c>
      <c r="G226" s="385" t="str">
        <f t="shared" ca="1" si="5"/>
        <v/>
      </c>
      <c r="H226" s="386" t="str">
        <f t="shared" ca="1" si="6"/>
        <v/>
      </c>
      <c r="I226" s="404"/>
      <c r="J226" s="415"/>
      <c r="K226" s="428"/>
      <c r="L226" s="428" t="s">
        <v>66</v>
      </c>
      <c r="M226" s="428"/>
      <c r="N226" s="428"/>
      <c r="O226" s="428"/>
      <c r="P226" s="428"/>
      <c r="Q226" s="429"/>
      <c r="R226" s="417"/>
      <c r="S226" s="418"/>
      <c r="T226" s="419"/>
      <c r="U226" s="418"/>
      <c r="V226" s="419"/>
      <c r="W226" s="430"/>
      <c r="X226" s="431"/>
      <c r="Y226" s="434"/>
      <c r="Z226" s="433"/>
      <c r="AA226" s="396"/>
      <c r="AB226" s="397"/>
      <c r="AC226" s="398"/>
      <c r="AD226" s="399"/>
      <c r="AE226" s="400"/>
      <c r="AF226" s="401"/>
      <c r="AG226" s="401">
        <f t="shared" si="7"/>
        <v>0</v>
      </c>
      <c r="AH226" s="401">
        <f t="shared" si="8"/>
        <v>0</v>
      </c>
      <c r="AI226" s="401">
        <f t="shared" si="9"/>
        <v>0</v>
      </c>
      <c r="AJ226" s="401">
        <f t="shared" si="10"/>
        <v>0</v>
      </c>
      <c r="AK226" s="401" t="str">
        <f t="shared" si="11"/>
        <v/>
      </c>
      <c r="AL226" s="402">
        <f t="shared" ca="1" si="12"/>
        <v>3</v>
      </c>
      <c r="AM226" s="402">
        <f t="shared" ca="1" si="13"/>
        <v>1</v>
      </c>
      <c r="AN226" s="402">
        <f t="shared" ca="1" si="14"/>
        <v>51</v>
      </c>
      <c r="AO226" s="402">
        <f t="shared" ca="1" si="15"/>
        <v>6</v>
      </c>
      <c r="AP226" s="402">
        <f t="shared" ca="1" si="16"/>
        <v>0</v>
      </c>
      <c r="AQ226" s="402">
        <f t="shared" ca="1" si="17"/>
        <v>0</v>
      </c>
      <c r="AR226" s="402">
        <f t="shared" ca="1" si="18"/>
        <v>0</v>
      </c>
      <c r="AS226" s="403"/>
      <c r="AT226" s="402">
        <f t="shared" si="19"/>
        <v>1</v>
      </c>
    </row>
    <row r="227" spans="1:46" ht="15.75" customHeight="1">
      <c r="A227" s="382"/>
      <c r="B227" s="383">
        <f t="shared" ca="1" si="0"/>
        <v>3</v>
      </c>
      <c r="C227" s="384">
        <f t="shared" ca="1" si="1"/>
        <v>1</v>
      </c>
      <c r="D227" s="384">
        <f t="shared" ca="1" si="2"/>
        <v>52</v>
      </c>
      <c r="E227" s="384" t="str">
        <f t="shared" ca="1" si="3"/>
        <v/>
      </c>
      <c r="F227" s="384" t="str">
        <f t="shared" ca="1" si="4"/>
        <v/>
      </c>
      <c r="G227" s="385" t="str">
        <f t="shared" ca="1" si="5"/>
        <v/>
      </c>
      <c r="H227" s="386" t="str">
        <f t="shared" ca="1" si="6"/>
        <v/>
      </c>
      <c r="I227" s="404"/>
      <c r="J227" s="415"/>
      <c r="K227" s="428" t="s">
        <v>344</v>
      </c>
      <c r="L227" s="428"/>
      <c r="M227" s="428"/>
      <c r="N227" s="428"/>
      <c r="O227" s="428"/>
      <c r="P227" s="428"/>
      <c r="Q227" s="429"/>
      <c r="R227" s="417"/>
      <c r="S227" s="418"/>
      <c r="T227" s="419"/>
      <c r="U227" s="418"/>
      <c r="V227" s="419"/>
      <c r="W227" s="430"/>
      <c r="X227" s="431"/>
      <c r="Y227" s="434"/>
      <c r="Z227" s="433"/>
      <c r="AA227" s="396"/>
      <c r="AB227" s="397"/>
      <c r="AC227" s="398"/>
      <c r="AD227" s="399"/>
      <c r="AE227" s="400"/>
      <c r="AF227" s="401"/>
      <c r="AG227" s="401">
        <f t="shared" si="7"/>
        <v>0</v>
      </c>
      <c r="AH227" s="401">
        <f t="shared" si="8"/>
        <v>0</v>
      </c>
      <c r="AI227" s="401">
        <f t="shared" si="9"/>
        <v>0</v>
      </c>
      <c r="AJ227" s="401">
        <f t="shared" si="10"/>
        <v>0</v>
      </c>
      <c r="AK227" s="401" t="str">
        <f t="shared" si="11"/>
        <v/>
      </c>
      <c r="AL227" s="402">
        <f t="shared" ca="1" si="12"/>
        <v>3</v>
      </c>
      <c r="AM227" s="402">
        <f t="shared" ca="1" si="13"/>
        <v>1</v>
      </c>
      <c r="AN227" s="402">
        <f t="shared" ca="1" si="14"/>
        <v>52</v>
      </c>
      <c r="AO227" s="402">
        <f t="shared" ca="1" si="15"/>
        <v>0</v>
      </c>
      <c r="AP227" s="402">
        <f t="shared" ca="1" si="16"/>
        <v>0</v>
      </c>
      <c r="AQ227" s="402">
        <f t="shared" ca="1" si="17"/>
        <v>0</v>
      </c>
      <c r="AR227" s="402">
        <f t="shared" ca="1" si="18"/>
        <v>0</v>
      </c>
      <c r="AS227" s="403"/>
      <c r="AT227" s="402">
        <f t="shared" si="19"/>
        <v>1</v>
      </c>
    </row>
    <row r="228" spans="1:46" ht="15.75" customHeight="1">
      <c r="A228" s="382"/>
      <c r="B228" s="383">
        <f t="shared" ca="1" si="0"/>
        <v>3</v>
      </c>
      <c r="C228" s="384">
        <f t="shared" ca="1" si="1"/>
        <v>1</v>
      </c>
      <c r="D228" s="384">
        <f t="shared" ca="1" si="2"/>
        <v>52</v>
      </c>
      <c r="E228" s="384">
        <f t="shared" ca="1" si="3"/>
        <v>1</v>
      </c>
      <c r="F228" s="384" t="str">
        <f t="shared" ca="1" si="4"/>
        <v/>
      </c>
      <c r="G228" s="385" t="str">
        <f t="shared" ca="1" si="5"/>
        <v/>
      </c>
      <c r="H228" s="386" t="str">
        <f t="shared" ca="1" si="6"/>
        <v/>
      </c>
      <c r="I228" s="404"/>
      <c r="J228" s="415"/>
      <c r="K228" s="428"/>
      <c r="L228" s="428" t="s">
        <v>59</v>
      </c>
      <c r="M228" s="428"/>
      <c r="N228" s="428"/>
      <c r="O228" s="428"/>
      <c r="P228" s="428"/>
      <c r="Q228" s="429"/>
      <c r="R228" s="417"/>
      <c r="S228" s="418"/>
      <c r="T228" s="419"/>
      <c r="U228" s="418"/>
      <c r="V228" s="419"/>
      <c r="W228" s="430"/>
      <c r="X228" s="431"/>
      <c r="Y228" s="434"/>
      <c r="Z228" s="433"/>
      <c r="AA228" s="396"/>
      <c r="AB228" s="397"/>
      <c r="AC228" s="398"/>
      <c r="AD228" s="399"/>
      <c r="AE228" s="400"/>
      <c r="AF228" s="401"/>
      <c r="AG228" s="401">
        <f t="shared" si="7"/>
        <v>0</v>
      </c>
      <c r="AH228" s="401">
        <f t="shared" si="8"/>
        <v>0</v>
      </c>
      <c r="AI228" s="401">
        <f t="shared" si="9"/>
        <v>0</v>
      </c>
      <c r="AJ228" s="401">
        <f t="shared" si="10"/>
        <v>0</v>
      </c>
      <c r="AK228" s="401" t="str">
        <f t="shared" si="11"/>
        <v/>
      </c>
      <c r="AL228" s="402">
        <f t="shared" ca="1" si="12"/>
        <v>3</v>
      </c>
      <c r="AM228" s="402">
        <f t="shared" ca="1" si="13"/>
        <v>1</v>
      </c>
      <c r="AN228" s="402">
        <f t="shared" ca="1" si="14"/>
        <v>52</v>
      </c>
      <c r="AO228" s="402">
        <f t="shared" ca="1" si="15"/>
        <v>1</v>
      </c>
      <c r="AP228" s="402">
        <f t="shared" ca="1" si="16"/>
        <v>0</v>
      </c>
      <c r="AQ228" s="402">
        <f t="shared" ca="1" si="17"/>
        <v>0</v>
      </c>
      <c r="AR228" s="402">
        <f t="shared" ca="1" si="18"/>
        <v>0</v>
      </c>
      <c r="AS228" s="403"/>
      <c r="AT228" s="402">
        <f t="shared" si="19"/>
        <v>1</v>
      </c>
    </row>
    <row r="229" spans="1:46" ht="15.75" customHeight="1">
      <c r="A229" s="382"/>
      <c r="B229" s="383">
        <f t="shared" ca="1" si="0"/>
        <v>3</v>
      </c>
      <c r="C229" s="384">
        <f t="shared" ca="1" si="1"/>
        <v>1</v>
      </c>
      <c r="D229" s="384">
        <f t="shared" ca="1" si="2"/>
        <v>52</v>
      </c>
      <c r="E229" s="384">
        <f t="shared" ca="1" si="3"/>
        <v>2</v>
      </c>
      <c r="F229" s="384" t="str">
        <f t="shared" ca="1" si="4"/>
        <v/>
      </c>
      <c r="G229" s="385" t="str">
        <f t="shared" ca="1" si="5"/>
        <v/>
      </c>
      <c r="H229" s="386" t="str">
        <f t="shared" ca="1" si="6"/>
        <v/>
      </c>
      <c r="I229" s="404"/>
      <c r="J229" s="415"/>
      <c r="K229" s="428"/>
      <c r="L229" s="428" t="s">
        <v>61</v>
      </c>
      <c r="M229" s="428"/>
      <c r="N229" s="428"/>
      <c r="O229" s="428"/>
      <c r="P229" s="428"/>
      <c r="Q229" s="429"/>
      <c r="R229" s="417"/>
      <c r="S229" s="418"/>
      <c r="T229" s="419"/>
      <c r="U229" s="418"/>
      <c r="V229" s="419"/>
      <c r="W229" s="430"/>
      <c r="X229" s="431"/>
      <c r="Y229" s="434"/>
      <c r="Z229" s="433"/>
      <c r="AA229" s="396"/>
      <c r="AB229" s="397"/>
      <c r="AC229" s="398"/>
      <c r="AD229" s="399"/>
      <c r="AE229" s="400"/>
      <c r="AF229" s="401"/>
      <c r="AG229" s="401">
        <f t="shared" si="7"/>
        <v>0</v>
      </c>
      <c r="AH229" s="401">
        <f t="shared" si="8"/>
        <v>0</v>
      </c>
      <c r="AI229" s="401">
        <f t="shared" si="9"/>
        <v>0</v>
      </c>
      <c r="AJ229" s="401">
        <f t="shared" si="10"/>
        <v>0</v>
      </c>
      <c r="AK229" s="401" t="str">
        <f t="shared" si="11"/>
        <v/>
      </c>
      <c r="AL229" s="402">
        <f t="shared" ca="1" si="12"/>
        <v>3</v>
      </c>
      <c r="AM229" s="402">
        <f t="shared" ca="1" si="13"/>
        <v>1</v>
      </c>
      <c r="AN229" s="402">
        <f t="shared" ca="1" si="14"/>
        <v>52</v>
      </c>
      <c r="AO229" s="402">
        <f t="shared" ca="1" si="15"/>
        <v>2</v>
      </c>
      <c r="AP229" s="402">
        <f t="shared" ca="1" si="16"/>
        <v>0</v>
      </c>
      <c r="AQ229" s="402">
        <f t="shared" ca="1" si="17"/>
        <v>0</v>
      </c>
      <c r="AR229" s="402">
        <f t="shared" ca="1" si="18"/>
        <v>0</v>
      </c>
      <c r="AS229" s="403"/>
      <c r="AT229" s="402">
        <f t="shared" si="19"/>
        <v>1</v>
      </c>
    </row>
    <row r="230" spans="1:46" ht="15.75" customHeight="1">
      <c r="A230" s="382"/>
      <c r="B230" s="383">
        <f t="shared" ca="1" si="0"/>
        <v>3</v>
      </c>
      <c r="C230" s="384">
        <f t="shared" ca="1" si="1"/>
        <v>1</v>
      </c>
      <c r="D230" s="384">
        <f t="shared" ca="1" si="2"/>
        <v>52</v>
      </c>
      <c r="E230" s="384">
        <f t="shared" ca="1" si="3"/>
        <v>3</v>
      </c>
      <c r="F230" s="384" t="str">
        <f t="shared" ca="1" si="4"/>
        <v/>
      </c>
      <c r="G230" s="385" t="str">
        <f t="shared" ca="1" si="5"/>
        <v/>
      </c>
      <c r="H230" s="386" t="str">
        <f t="shared" ca="1" si="6"/>
        <v/>
      </c>
      <c r="I230" s="404"/>
      <c r="J230" s="415"/>
      <c r="K230" s="428"/>
      <c r="L230" s="428" t="s">
        <v>63</v>
      </c>
      <c r="M230" s="428"/>
      <c r="N230" s="428"/>
      <c r="O230" s="428"/>
      <c r="P230" s="428"/>
      <c r="Q230" s="429"/>
      <c r="R230" s="417"/>
      <c r="S230" s="418"/>
      <c r="T230" s="419"/>
      <c r="U230" s="418"/>
      <c r="V230" s="419"/>
      <c r="W230" s="430"/>
      <c r="X230" s="431"/>
      <c r="Y230" s="434"/>
      <c r="Z230" s="433"/>
      <c r="AA230" s="396"/>
      <c r="AB230" s="397"/>
      <c r="AC230" s="398"/>
      <c r="AD230" s="399"/>
      <c r="AE230" s="400"/>
      <c r="AF230" s="401"/>
      <c r="AG230" s="401">
        <f t="shared" si="7"/>
        <v>0</v>
      </c>
      <c r="AH230" s="401">
        <f t="shared" si="8"/>
        <v>0</v>
      </c>
      <c r="AI230" s="401">
        <f t="shared" si="9"/>
        <v>0</v>
      </c>
      <c r="AJ230" s="401">
        <f t="shared" si="10"/>
        <v>0</v>
      </c>
      <c r="AK230" s="401" t="str">
        <f t="shared" si="11"/>
        <v/>
      </c>
      <c r="AL230" s="402">
        <f t="shared" ca="1" si="12"/>
        <v>3</v>
      </c>
      <c r="AM230" s="402">
        <f t="shared" ca="1" si="13"/>
        <v>1</v>
      </c>
      <c r="AN230" s="402">
        <f t="shared" ca="1" si="14"/>
        <v>52</v>
      </c>
      <c r="AO230" s="402">
        <f t="shared" ca="1" si="15"/>
        <v>3</v>
      </c>
      <c r="AP230" s="402">
        <f t="shared" ca="1" si="16"/>
        <v>0</v>
      </c>
      <c r="AQ230" s="402">
        <f t="shared" ca="1" si="17"/>
        <v>0</v>
      </c>
      <c r="AR230" s="402">
        <f t="shared" ca="1" si="18"/>
        <v>0</v>
      </c>
      <c r="AS230" s="403"/>
      <c r="AT230" s="402">
        <f t="shared" si="19"/>
        <v>1</v>
      </c>
    </row>
    <row r="231" spans="1:46" ht="15.75" customHeight="1">
      <c r="A231" s="382"/>
      <c r="B231" s="383">
        <f t="shared" ca="1" si="0"/>
        <v>3</v>
      </c>
      <c r="C231" s="384">
        <f t="shared" ca="1" si="1"/>
        <v>1</v>
      </c>
      <c r="D231" s="384">
        <f t="shared" ca="1" si="2"/>
        <v>52</v>
      </c>
      <c r="E231" s="384">
        <f t="shared" ca="1" si="3"/>
        <v>4</v>
      </c>
      <c r="F231" s="384" t="str">
        <f t="shared" ca="1" si="4"/>
        <v/>
      </c>
      <c r="G231" s="385" t="str">
        <f t="shared" ca="1" si="5"/>
        <v/>
      </c>
      <c r="H231" s="386" t="str">
        <f t="shared" ca="1" si="6"/>
        <v/>
      </c>
      <c r="I231" s="404"/>
      <c r="J231" s="415"/>
      <c r="K231" s="428"/>
      <c r="L231" s="428" t="s">
        <v>64</v>
      </c>
      <c r="M231" s="428"/>
      <c r="N231" s="428"/>
      <c r="O231" s="428"/>
      <c r="P231" s="428"/>
      <c r="Q231" s="429"/>
      <c r="R231" s="417"/>
      <c r="S231" s="418"/>
      <c r="T231" s="419"/>
      <c r="U231" s="418"/>
      <c r="V231" s="419"/>
      <c r="W231" s="430"/>
      <c r="X231" s="431"/>
      <c r="Y231" s="434"/>
      <c r="Z231" s="433"/>
      <c r="AA231" s="396"/>
      <c r="AB231" s="397"/>
      <c r="AC231" s="398"/>
      <c r="AD231" s="399"/>
      <c r="AE231" s="400"/>
      <c r="AF231" s="401"/>
      <c r="AG231" s="401">
        <f t="shared" si="7"/>
        <v>0</v>
      </c>
      <c r="AH231" s="401">
        <f t="shared" si="8"/>
        <v>0</v>
      </c>
      <c r="AI231" s="401">
        <f t="shared" si="9"/>
        <v>0</v>
      </c>
      <c r="AJ231" s="401">
        <f t="shared" si="10"/>
        <v>0</v>
      </c>
      <c r="AK231" s="401" t="str">
        <f t="shared" si="11"/>
        <v/>
      </c>
      <c r="AL231" s="402">
        <f t="shared" ca="1" si="12"/>
        <v>3</v>
      </c>
      <c r="AM231" s="402">
        <f t="shared" ca="1" si="13"/>
        <v>1</v>
      </c>
      <c r="AN231" s="402">
        <f t="shared" ca="1" si="14"/>
        <v>52</v>
      </c>
      <c r="AO231" s="402">
        <f t="shared" ca="1" si="15"/>
        <v>4</v>
      </c>
      <c r="AP231" s="402">
        <f t="shared" ca="1" si="16"/>
        <v>0</v>
      </c>
      <c r="AQ231" s="402">
        <f t="shared" ca="1" si="17"/>
        <v>0</v>
      </c>
      <c r="AR231" s="402">
        <f t="shared" ca="1" si="18"/>
        <v>0</v>
      </c>
      <c r="AS231" s="403"/>
      <c r="AT231" s="402">
        <f t="shared" si="19"/>
        <v>1</v>
      </c>
    </row>
    <row r="232" spans="1:46" ht="15.75" customHeight="1">
      <c r="A232" s="382"/>
      <c r="B232" s="383">
        <f t="shared" ca="1" si="0"/>
        <v>3</v>
      </c>
      <c r="C232" s="384">
        <f t="shared" ca="1" si="1"/>
        <v>1</v>
      </c>
      <c r="D232" s="384">
        <f t="shared" ca="1" si="2"/>
        <v>52</v>
      </c>
      <c r="E232" s="384">
        <f t="shared" ca="1" si="3"/>
        <v>5</v>
      </c>
      <c r="F232" s="384" t="str">
        <f t="shared" ca="1" si="4"/>
        <v/>
      </c>
      <c r="G232" s="385" t="str">
        <f t="shared" ca="1" si="5"/>
        <v/>
      </c>
      <c r="H232" s="386" t="str">
        <f t="shared" ca="1" si="6"/>
        <v/>
      </c>
      <c r="I232" s="404"/>
      <c r="J232" s="415"/>
      <c r="K232" s="428"/>
      <c r="L232" s="428" t="s">
        <v>65</v>
      </c>
      <c r="M232" s="428"/>
      <c r="N232" s="428"/>
      <c r="O232" s="428"/>
      <c r="P232" s="428"/>
      <c r="Q232" s="429"/>
      <c r="R232" s="417"/>
      <c r="S232" s="418"/>
      <c r="T232" s="419"/>
      <c r="U232" s="418"/>
      <c r="V232" s="419"/>
      <c r="W232" s="430"/>
      <c r="X232" s="431"/>
      <c r="Y232" s="434"/>
      <c r="Z232" s="433"/>
      <c r="AA232" s="396"/>
      <c r="AB232" s="397"/>
      <c r="AC232" s="398"/>
      <c r="AD232" s="399"/>
      <c r="AE232" s="400"/>
      <c r="AF232" s="401"/>
      <c r="AG232" s="401">
        <f t="shared" si="7"/>
        <v>0</v>
      </c>
      <c r="AH232" s="401">
        <f t="shared" si="8"/>
        <v>0</v>
      </c>
      <c r="AI232" s="401">
        <f t="shared" si="9"/>
        <v>0</v>
      </c>
      <c r="AJ232" s="401">
        <f t="shared" si="10"/>
        <v>0</v>
      </c>
      <c r="AK232" s="401" t="str">
        <f t="shared" si="11"/>
        <v/>
      </c>
      <c r="AL232" s="402">
        <f t="shared" ca="1" si="12"/>
        <v>3</v>
      </c>
      <c r="AM232" s="402">
        <f t="shared" ca="1" si="13"/>
        <v>1</v>
      </c>
      <c r="AN232" s="402">
        <f t="shared" ca="1" si="14"/>
        <v>52</v>
      </c>
      <c r="AO232" s="402">
        <f t="shared" ca="1" si="15"/>
        <v>5</v>
      </c>
      <c r="AP232" s="402">
        <f t="shared" ca="1" si="16"/>
        <v>0</v>
      </c>
      <c r="AQ232" s="402">
        <f t="shared" ca="1" si="17"/>
        <v>0</v>
      </c>
      <c r="AR232" s="402">
        <f t="shared" ca="1" si="18"/>
        <v>0</v>
      </c>
      <c r="AS232" s="403"/>
      <c r="AT232" s="402">
        <f t="shared" si="19"/>
        <v>1</v>
      </c>
    </row>
    <row r="233" spans="1:46" ht="15.75" customHeight="1">
      <c r="A233" s="382"/>
      <c r="B233" s="383">
        <f t="shared" ca="1" si="0"/>
        <v>3</v>
      </c>
      <c r="C233" s="384">
        <f t="shared" ca="1" si="1"/>
        <v>1</v>
      </c>
      <c r="D233" s="384">
        <f t="shared" ca="1" si="2"/>
        <v>52</v>
      </c>
      <c r="E233" s="384">
        <f t="shared" ca="1" si="3"/>
        <v>6</v>
      </c>
      <c r="F233" s="384" t="str">
        <f t="shared" ca="1" si="4"/>
        <v/>
      </c>
      <c r="G233" s="385" t="str">
        <f t="shared" ca="1" si="5"/>
        <v/>
      </c>
      <c r="H233" s="386" t="str">
        <f t="shared" ca="1" si="6"/>
        <v/>
      </c>
      <c r="I233" s="404"/>
      <c r="J233" s="415"/>
      <c r="K233" s="428"/>
      <c r="L233" s="428" t="s">
        <v>66</v>
      </c>
      <c r="M233" s="428"/>
      <c r="N233" s="428"/>
      <c r="O233" s="428"/>
      <c r="P233" s="428"/>
      <c r="Q233" s="429"/>
      <c r="R233" s="417"/>
      <c r="S233" s="418"/>
      <c r="T233" s="419"/>
      <c r="U233" s="418"/>
      <c r="V233" s="419"/>
      <c r="W233" s="430"/>
      <c r="X233" s="431"/>
      <c r="Y233" s="434"/>
      <c r="Z233" s="433"/>
      <c r="AA233" s="396"/>
      <c r="AB233" s="397"/>
      <c r="AC233" s="398"/>
      <c r="AD233" s="399"/>
      <c r="AE233" s="400"/>
      <c r="AF233" s="401"/>
      <c r="AG233" s="401">
        <f t="shared" si="7"/>
        <v>0</v>
      </c>
      <c r="AH233" s="401">
        <f t="shared" si="8"/>
        <v>0</v>
      </c>
      <c r="AI233" s="401">
        <f t="shared" si="9"/>
        <v>0</v>
      </c>
      <c r="AJ233" s="401">
        <f t="shared" si="10"/>
        <v>0</v>
      </c>
      <c r="AK233" s="401" t="str">
        <f t="shared" si="11"/>
        <v/>
      </c>
      <c r="AL233" s="402">
        <f t="shared" ca="1" si="12"/>
        <v>3</v>
      </c>
      <c r="AM233" s="402">
        <f t="shared" ca="1" si="13"/>
        <v>1</v>
      </c>
      <c r="AN233" s="402">
        <f t="shared" ca="1" si="14"/>
        <v>52</v>
      </c>
      <c r="AO233" s="402">
        <f t="shared" ca="1" si="15"/>
        <v>6</v>
      </c>
      <c r="AP233" s="402">
        <f t="shared" ca="1" si="16"/>
        <v>0</v>
      </c>
      <c r="AQ233" s="402">
        <f t="shared" ca="1" si="17"/>
        <v>0</v>
      </c>
      <c r="AR233" s="402">
        <f t="shared" ca="1" si="18"/>
        <v>0</v>
      </c>
      <c r="AS233" s="403"/>
      <c r="AT233" s="402">
        <f t="shared" si="19"/>
        <v>1</v>
      </c>
    </row>
    <row r="234" spans="1:46" ht="15.75" customHeight="1">
      <c r="A234" s="382"/>
      <c r="B234" s="383">
        <f t="shared" ca="1" si="0"/>
        <v>3</v>
      </c>
      <c r="C234" s="384">
        <f t="shared" ca="1" si="1"/>
        <v>1</v>
      </c>
      <c r="D234" s="384">
        <f t="shared" ca="1" si="2"/>
        <v>53</v>
      </c>
      <c r="E234" s="384" t="str">
        <f t="shared" ca="1" si="3"/>
        <v/>
      </c>
      <c r="F234" s="384" t="str">
        <f t="shared" ca="1" si="4"/>
        <v/>
      </c>
      <c r="G234" s="385" t="str">
        <f t="shared" ca="1" si="5"/>
        <v/>
      </c>
      <c r="H234" s="386" t="str">
        <f t="shared" ca="1" si="6"/>
        <v/>
      </c>
      <c r="I234" s="404"/>
      <c r="J234" s="415"/>
      <c r="K234" s="428" t="s">
        <v>345</v>
      </c>
      <c r="L234" s="428"/>
      <c r="M234" s="428"/>
      <c r="N234" s="428"/>
      <c r="O234" s="428"/>
      <c r="P234" s="428"/>
      <c r="Q234" s="429"/>
      <c r="R234" s="417"/>
      <c r="S234" s="418"/>
      <c r="T234" s="419"/>
      <c r="U234" s="418"/>
      <c r="V234" s="419"/>
      <c r="W234" s="430"/>
      <c r="X234" s="431"/>
      <c r="Y234" s="434"/>
      <c r="Z234" s="433"/>
      <c r="AA234" s="396"/>
      <c r="AB234" s="397"/>
      <c r="AC234" s="398"/>
      <c r="AD234" s="399"/>
      <c r="AE234" s="400"/>
      <c r="AF234" s="401"/>
      <c r="AG234" s="401">
        <f t="shared" si="7"/>
        <v>0</v>
      </c>
      <c r="AH234" s="401">
        <f t="shared" si="8"/>
        <v>0</v>
      </c>
      <c r="AI234" s="401">
        <f t="shared" si="9"/>
        <v>0</v>
      </c>
      <c r="AJ234" s="401">
        <f t="shared" si="10"/>
        <v>0</v>
      </c>
      <c r="AK234" s="401" t="str">
        <f t="shared" si="11"/>
        <v/>
      </c>
      <c r="AL234" s="402">
        <f t="shared" ca="1" si="12"/>
        <v>3</v>
      </c>
      <c r="AM234" s="402">
        <f t="shared" ca="1" si="13"/>
        <v>1</v>
      </c>
      <c r="AN234" s="402">
        <f t="shared" ca="1" si="14"/>
        <v>53</v>
      </c>
      <c r="AO234" s="402">
        <f t="shared" ca="1" si="15"/>
        <v>0</v>
      </c>
      <c r="AP234" s="402">
        <f t="shared" ca="1" si="16"/>
        <v>0</v>
      </c>
      <c r="AQ234" s="402">
        <f t="shared" ca="1" si="17"/>
        <v>0</v>
      </c>
      <c r="AR234" s="402">
        <f t="shared" ca="1" si="18"/>
        <v>0</v>
      </c>
      <c r="AS234" s="403"/>
      <c r="AT234" s="402">
        <f t="shared" si="19"/>
        <v>1</v>
      </c>
    </row>
    <row r="235" spans="1:46" ht="15.75" customHeight="1">
      <c r="A235" s="382"/>
      <c r="B235" s="383">
        <f t="shared" ca="1" si="0"/>
        <v>3</v>
      </c>
      <c r="C235" s="384">
        <f t="shared" ca="1" si="1"/>
        <v>1</v>
      </c>
      <c r="D235" s="384">
        <f t="shared" ca="1" si="2"/>
        <v>53</v>
      </c>
      <c r="E235" s="384">
        <f t="shared" ca="1" si="3"/>
        <v>1</v>
      </c>
      <c r="F235" s="384" t="str">
        <f t="shared" ca="1" si="4"/>
        <v/>
      </c>
      <c r="G235" s="385" t="str">
        <f t="shared" ca="1" si="5"/>
        <v/>
      </c>
      <c r="H235" s="386" t="str">
        <f t="shared" ca="1" si="6"/>
        <v/>
      </c>
      <c r="I235" s="404"/>
      <c r="J235" s="415"/>
      <c r="K235" s="428"/>
      <c r="L235" s="428" t="s">
        <v>59</v>
      </c>
      <c r="M235" s="428"/>
      <c r="N235" s="428"/>
      <c r="O235" s="428"/>
      <c r="P235" s="428"/>
      <c r="Q235" s="429"/>
      <c r="R235" s="417"/>
      <c r="S235" s="418"/>
      <c r="T235" s="419"/>
      <c r="U235" s="418"/>
      <c r="V235" s="419"/>
      <c r="W235" s="430"/>
      <c r="X235" s="431"/>
      <c r="Y235" s="434"/>
      <c r="Z235" s="433"/>
      <c r="AA235" s="396"/>
      <c r="AB235" s="397"/>
      <c r="AC235" s="398"/>
      <c r="AD235" s="399"/>
      <c r="AE235" s="400"/>
      <c r="AF235" s="401"/>
      <c r="AG235" s="401">
        <f t="shared" si="7"/>
        <v>0</v>
      </c>
      <c r="AH235" s="401">
        <f t="shared" si="8"/>
        <v>0</v>
      </c>
      <c r="AI235" s="401">
        <f t="shared" si="9"/>
        <v>0</v>
      </c>
      <c r="AJ235" s="401">
        <f t="shared" si="10"/>
        <v>0</v>
      </c>
      <c r="AK235" s="401" t="str">
        <f t="shared" si="11"/>
        <v/>
      </c>
      <c r="AL235" s="402">
        <f t="shared" ca="1" si="12"/>
        <v>3</v>
      </c>
      <c r="AM235" s="402">
        <f t="shared" ca="1" si="13"/>
        <v>1</v>
      </c>
      <c r="AN235" s="402">
        <f t="shared" ca="1" si="14"/>
        <v>53</v>
      </c>
      <c r="AO235" s="402">
        <f t="shared" ca="1" si="15"/>
        <v>1</v>
      </c>
      <c r="AP235" s="402">
        <f t="shared" ca="1" si="16"/>
        <v>0</v>
      </c>
      <c r="AQ235" s="402">
        <f t="shared" ca="1" si="17"/>
        <v>0</v>
      </c>
      <c r="AR235" s="402">
        <f t="shared" ca="1" si="18"/>
        <v>0</v>
      </c>
      <c r="AS235" s="403"/>
      <c r="AT235" s="402">
        <f t="shared" si="19"/>
        <v>1</v>
      </c>
    </row>
    <row r="236" spans="1:46" ht="15.75" customHeight="1">
      <c r="A236" s="382"/>
      <c r="B236" s="383">
        <f t="shared" ca="1" si="0"/>
        <v>3</v>
      </c>
      <c r="C236" s="384">
        <f t="shared" ca="1" si="1"/>
        <v>1</v>
      </c>
      <c r="D236" s="384">
        <f t="shared" ca="1" si="2"/>
        <v>53</v>
      </c>
      <c r="E236" s="384">
        <f t="shared" ca="1" si="3"/>
        <v>2</v>
      </c>
      <c r="F236" s="384" t="str">
        <f t="shared" ca="1" si="4"/>
        <v/>
      </c>
      <c r="G236" s="385" t="str">
        <f t="shared" ca="1" si="5"/>
        <v/>
      </c>
      <c r="H236" s="386" t="str">
        <f t="shared" ca="1" si="6"/>
        <v/>
      </c>
      <c r="I236" s="404"/>
      <c r="J236" s="415"/>
      <c r="K236" s="428"/>
      <c r="L236" s="428" t="s">
        <v>61</v>
      </c>
      <c r="M236" s="428"/>
      <c r="N236" s="428"/>
      <c r="O236" s="428"/>
      <c r="P236" s="428"/>
      <c r="Q236" s="429"/>
      <c r="R236" s="417"/>
      <c r="S236" s="418"/>
      <c r="T236" s="419"/>
      <c r="U236" s="418"/>
      <c r="V236" s="419"/>
      <c r="W236" s="430"/>
      <c r="X236" s="431"/>
      <c r="Y236" s="434"/>
      <c r="Z236" s="433"/>
      <c r="AA236" s="396"/>
      <c r="AB236" s="397"/>
      <c r="AC236" s="398"/>
      <c r="AD236" s="399"/>
      <c r="AE236" s="400"/>
      <c r="AF236" s="401"/>
      <c r="AG236" s="401">
        <f t="shared" si="7"/>
        <v>0</v>
      </c>
      <c r="AH236" s="401">
        <f t="shared" si="8"/>
        <v>0</v>
      </c>
      <c r="AI236" s="401">
        <f t="shared" si="9"/>
        <v>0</v>
      </c>
      <c r="AJ236" s="401">
        <f t="shared" si="10"/>
        <v>0</v>
      </c>
      <c r="AK236" s="401" t="str">
        <f t="shared" si="11"/>
        <v/>
      </c>
      <c r="AL236" s="402">
        <f t="shared" ca="1" si="12"/>
        <v>3</v>
      </c>
      <c r="AM236" s="402">
        <f t="shared" ca="1" si="13"/>
        <v>1</v>
      </c>
      <c r="AN236" s="402">
        <f t="shared" ca="1" si="14"/>
        <v>53</v>
      </c>
      <c r="AO236" s="402">
        <f t="shared" ca="1" si="15"/>
        <v>2</v>
      </c>
      <c r="AP236" s="402">
        <f t="shared" ca="1" si="16"/>
        <v>0</v>
      </c>
      <c r="AQ236" s="402">
        <f t="shared" ca="1" si="17"/>
        <v>0</v>
      </c>
      <c r="AR236" s="402">
        <f t="shared" ca="1" si="18"/>
        <v>0</v>
      </c>
      <c r="AS236" s="403"/>
      <c r="AT236" s="402">
        <f t="shared" si="19"/>
        <v>1</v>
      </c>
    </row>
    <row r="237" spans="1:46" ht="15.75" customHeight="1">
      <c r="A237" s="382"/>
      <c r="B237" s="383">
        <f t="shared" ca="1" si="0"/>
        <v>3</v>
      </c>
      <c r="C237" s="384">
        <f t="shared" ca="1" si="1"/>
        <v>1</v>
      </c>
      <c r="D237" s="384">
        <f t="shared" ca="1" si="2"/>
        <v>53</v>
      </c>
      <c r="E237" s="384">
        <f t="shared" ca="1" si="3"/>
        <v>3</v>
      </c>
      <c r="F237" s="384" t="str">
        <f t="shared" ca="1" si="4"/>
        <v/>
      </c>
      <c r="G237" s="385" t="str">
        <f t="shared" ca="1" si="5"/>
        <v/>
      </c>
      <c r="H237" s="386" t="str">
        <f t="shared" ca="1" si="6"/>
        <v/>
      </c>
      <c r="I237" s="404"/>
      <c r="J237" s="415"/>
      <c r="K237" s="428"/>
      <c r="L237" s="428" t="s">
        <v>63</v>
      </c>
      <c r="M237" s="428"/>
      <c r="N237" s="428"/>
      <c r="O237" s="428"/>
      <c r="P237" s="428"/>
      <c r="Q237" s="429"/>
      <c r="R237" s="417"/>
      <c r="S237" s="418"/>
      <c r="T237" s="419"/>
      <c r="U237" s="418"/>
      <c r="V237" s="419"/>
      <c r="W237" s="430"/>
      <c r="X237" s="431"/>
      <c r="Y237" s="434"/>
      <c r="Z237" s="433"/>
      <c r="AA237" s="396"/>
      <c r="AB237" s="397"/>
      <c r="AC237" s="398"/>
      <c r="AD237" s="399"/>
      <c r="AE237" s="400"/>
      <c r="AF237" s="401"/>
      <c r="AG237" s="401">
        <f t="shared" si="7"/>
        <v>0</v>
      </c>
      <c r="AH237" s="401">
        <f t="shared" si="8"/>
        <v>0</v>
      </c>
      <c r="AI237" s="401">
        <f t="shared" si="9"/>
        <v>0</v>
      </c>
      <c r="AJ237" s="401">
        <f t="shared" si="10"/>
        <v>0</v>
      </c>
      <c r="AK237" s="401" t="str">
        <f t="shared" si="11"/>
        <v/>
      </c>
      <c r="AL237" s="402">
        <f t="shared" ca="1" si="12"/>
        <v>3</v>
      </c>
      <c r="AM237" s="402">
        <f t="shared" ca="1" si="13"/>
        <v>1</v>
      </c>
      <c r="AN237" s="402">
        <f t="shared" ca="1" si="14"/>
        <v>53</v>
      </c>
      <c r="AO237" s="402">
        <f t="shared" ca="1" si="15"/>
        <v>3</v>
      </c>
      <c r="AP237" s="402">
        <f t="shared" ca="1" si="16"/>
        <v>0</v>
      </c>
      <c r="AQ237" s="402">
        <f t="shared" ca="1" si="17"/>
        <v>0</v>
      </c>
      <c r="AR237" s="402">
        <f t="shared" ca="1" si="18"/>
        <v>0</v>
      </c>
      <c r="AS237" s="403"/>
      <c r="AT237" s="402">
        <f t="shared" si="19"/>
        <v>1</v>
      </c>
    </row>
    <row r="238" spans="1:46" ht="15.75" customHeight="1">
      <c r="A238" s="382"/>
      <c r="B238" s="383">
        <f t="shared" ca="1" si="0"/>
        <v>3</v>
      </c>
      <c r="C238" s="384">
        <f t="shared" ca="1" si="1"/>
        <v>1</v>
      </c>
      <c r="D238" s="384">
        <f t="shared" ca="1" si="2"/>
        <v>53</v>
      </c>
      <c r="E238" s="384">
        <f t="shared" ca="1" si="3"/>
        <v>4</v>
      </c>
      <c r="F238" s="384" t="str">
        <f t="shared" ca="1" si="4"/>
        <v/>
      </c>
      <c r="G238" s="385" t="str">
        <f t="shared" ca="1" si="5"/>
        <v/>
      </c>
      <c r="H238" s="386" t="str">
        <f t="shared" ca="1" si="6"/>
        <v/>
      </c>
      <c r="I238" s="404"/>
      <c r="J238" s="415"/>
      <c r="K238" s="428"/>
      <c r="L238" s="428" t="s">
        <v>64</v>
      </c>
      <c r="M238" s="428"/>
      <c r="N238" s="428"/>
      <c r="O238" s="428"/>
      <c r="P238" s="428"/>
      <c r="Q238" s="429"/>
      <c r="R238" s="417"/>
      <c r="S238" s="418"/>
      <c r="T238" s="419"/>
      <c r="U238" s="418"/>
      <c r="V238" s="419"/>
      <c r="W238" s="430"/>
      <c r="X238" s="431"/>
      <c r="Y238" s="434"/>
      <c r="Z238" s="433"/>
      <c r="AA238" s="396"/>
      <c r="AB238" s="397"/>
      <c r="AC238" s="398"/>
      <c r="AD238" s="399"/>
      <c r="AE238" s="400"/>
      <c r="AF238" s="401"/>
      <c r="AG238" s="401">
        <f t="shared" si="7"/>
        <v>0</v>
      </c>
      <c r="AH238" s="401">
        <f t="shared" si="8"/>
        <v>0</v>
      </c>
      <c r="AI238" s="401">
        <f t="shared" si="9"/>
        <v>0</v>
      </c>
      <c r="AJ238" s="401">
        <f t="shared" si="10"/>
        <v>0</v>
      </c>
      <c r="AK238" s="401" t="str">
        <f t="shared" si="11"/>
        <v/>
      </c>
      <c r="AL238" s="402">
        <f t="shared" ca="1" si="12"/>
        <v>3</v>
      </c>
      <c r="AM238" s="402">
        <f t="shared" ca="1" si="13"/>
        <v>1</v>
      </c>
      <c r="AN238" s="402">
        <f t="shared" ca="1" si="14"/>
        <v>53</v>
      </c>
      <c r="AO238" s="402">
        <f t="shared" ca="1" si="15"/>
        <v>4</v>
      </c>
      <c r="AP238" s="402">
        <f t="shared" ca="1" si="16"/>
        <v>0</v>
      </c>
      <c r="AQ238" s="402">
        <f t="shared" ca="1" si="17"/>
        <v>0</v>
      </c>
      <c r="AR238" s="402">
        <f t="shared" ca="1" si="18"/>
        <v>0</v>
      </c>
      <c r="AS238" s="403"/>
      <c r="AT238" s="402">
        <f t="shared" si="19"/>
        <v>1</v>
      </c>
    </row>
    <row r="239" spans="1:46" ht="15.75" customHeight="1">
      <c r="A239" s="382"/>
      <c r="B239" s="383">
        <f t="shared" ca="1" si="0"/>
        <v>3</v>
      </c>
      <c r="C239" s="384">
        <f t="shared" ca="1" si="1"/>
        <v>1</v>
      </c>
      <c r="D239" s="384">
        <f t="shared" ca="1" si="2"/>
        <v>53</v>
      </c>
      <c r="E239" s="384">
        <f t="shared" ca="1" si="3"/>
        <v>5</v>
      </c>
      <c r="F239" s="384" t="str">
        <f t="shared" ca="1" si="4"/>
        <v/>
      </c>
      <c r="G239" s="385" t="str">
        <f t="shared" ca="1" si="5"/>
        <v/>
      </c>
      <c r="H239" s="386" t="str">
        <f t="shared" ca="1" si="6"/>
        <v/>
      </c>
      <c r="I239" s="404"/>
      <c r="J239" s="415"/>
      <c r="K239" s="428"/>
      <c r="L239" s="428" t="s">
        <v>65</v>
      </c>
      <c r="M239" s="428"/>
      <c r="N239" s="428"/>
      <c r="O239" s="428"/>
      <c r="P239" s="428"/>
      <c r="Q239" s="429"/>
      <c r="R239" s="417"/>
      <c r="S239" s="418"/>
      <c r="T239" s="419"/>
      <c r="U239" s="418"/>
      <c r="V239" s="419"/>
      <c r="W239" s="430"/>
      <c r="X239" s="431"/>
      <c r="Y239" s="434"/>
      <c r="Z239" s="433"/>
      <c r="AA239" s="396"/>
      <c r="AB239" s="397"/>
      <c r="AC239" s="398"/>
      <c r="AD239" s="399"/>
      <c r="AE239" s="400"/>
      <c r="AF239" s="401"/>
      <c r="AG239" s="401">
        <f t="shared" si="7"/>
        <v>0</v>
      </c>
      <c r="AH239" s="401">
        <f t="shared" si="8"/>
        <v>0</v>
      </c>
      <c r="AI239" s="401">
        <f t="shared" si="9"/>
        <v>0</v>
      </c>
      <c r="AJ239" s="401">
        <f t="shared" si="10"/>
        <v>0</v>
      </c>
      <c r="AK239" s="401" t="str">
        <f t="shared" si="11"/>
        <v/>
      </c>
      <c r="AL239" s="402">
        <f t="shared" ca="1" si="12"/>
        <v>3</v>
      </c>
      <c r="AM239" s="402">
        <f t="shared" ca="1" si="13"/>
        <v>1</v>
      </c>
      <c r="AN239" s="402">
        <f t="shared" ca="1" si="14"/>
        <v>53</v>
      </c>
      <c r="AO239" s="402">
        <f t="shared" ca="1" si="15"/>
        <v>5</v>
      </c>
      <c r="AP239" s="402">
        <f t="shared" ca="1" si="16"/>
        <v>0</v>
      </c>
      <c r="AQ239" s="402">
        <f t="shared" ca="1" si="17"/>
        <v>0</v>
      </c>
      <c r="AR239" s="402">
        <f t="shared" ca="1" si="18"/>
        <v>0</v>
      </c>
      <c r="AS239" s="403"/>
      <c r="AT239" s="402">
        <f t="shared" si="19"/>
        <v>1</v>
      </c>
    </row>
    <row r="240" spans="1:46" ht="15.75" customHeight="1">
      <c r="A240" s="382"/>
      <c r="B240" s="383">
        <f t="shared" ca="1" si="0"/>
        <v>3</v>
      </c>
      <c r="C240" s="384">
        <f t="shared" ca="1" si="1"/>
        <v>1</v>
      </c>
      <c r="D240" s="384">
        <f t="shared" ca="1" si="2"/>
        <v>53</v>
      </c>
      <c r="E240" s="384">
        <f t="shared" ca="1" si="3"/>
        <v>6</v>
      </c>
      <c r="F240" s="384" t="str">
        <f t="shared" ca="1" si="4"/>
        <v/>
      </c>
      <c r="G240" s="385" t="str">
        <f t="shared" ca="1" si="5"/>
        <v/>
      </c>
      <c r="H240" s="386" t="str">
        <f t="shared" ca="1" si="6"/>
        <v/>
      </c>
      <c r="I240" s="404"/>
      <c r="J240" s="415"/>
      <c r="K240" s="428"/>
      <c r="L240" s="428" t="s">
        <v>66</v>
      </c>
      <c r="M240" s="428"/>
      <c r="N240" s="428"/>
      <c r="O240" s="428"/>
      <c r="P240" s="428"/>
      <c r="Q240" s="429"/>
      <c r="R240" s="417"/>
      <c r="S240" s="418"/>
      <c r="T240" s="419"/>
      <c r="U240" s="418"/>
      <c r="V240" s="419"/>
      <c r="W240" s="430"/>
      <c r="X240" s="431"/>
      <c r="Y240" s="434"/>
      <c r="Z240" s="433"/>
      <c r="AA240" s="396"/>
      <c r="AB240" s="397"/>
      <c r="AC240" s="398"/>
      <c r="AD240" s="399"/>
      <c r="AE240" s="400"/>
      <c r="AF240" s="401"/>
      <c r="AG240" s="401">
        <f t="shared" si="7"/>
        <v>0</v>
      </c>
      <c r="AH240" s="401">
        <f t="shared" si="8"/>
        <v>0</v>
      </c>
      <c r="AI240" s="401">
        <f t="shared" si="9"/>
        <v>0</v>
      </c>
      <c r="AJ240" s="401">
        <f t="shared" si="10"/>
        <v>0</v>
      </c>
      <c r="AK240" s="401" t="str">
        <f t="shared" si="11"/>
        <v/>
      </c>
      <c r="AL240" s="402">
        <f t="shared" ca="1" si="12"/>
        <v>3</v>
      </c>
      <c r="AM240" s="402">
        <f t="shared" ca="1" si="13"/>
        <v>1</v>
      </c>
      <c r="AN240" s="402">
        <f t="shared" ca="1" si="14"/>
        <v>53</v>
      </c>
      <c r="AO240" s="402">
        <f t="shared" ca="1" si="15"/>
        <v>6</v>
      </c>
      <c r="AP240" s="402">
        <f t="shared" ca="1" si="16"/>
        <v>0</v>
      </c>
      <c r="AQ240" s="402">
        <f t="shared" ca="1" si="17"/>
        <v>0</v>
      </c>
      <c r="AR240" s="402">
        <f t="shared" ca="1" si="18"/>
        <v>0</v>
      </c>
      <c r="AS240" s="403"/>
      <c r="AT240" s="402">
        <f t="shared" si="19"/>
        <v>1</v>
      </c>
    </row>
    <row r="241" spans="1:46" ht="15.75" customHeight="1">
      <c r="A241" s="382"/>
      <c r="B241" s="383">
        <f t="shared" ca="1" si="0"/>
        <v>3</v>
      </c>
      <c r="C241" s="384">
        <f t="shared" ca="1" si="1"/>
        <v>1</v>
      </c>
      <c r="D241" s="384">
        <f t="shared" ca="1" si="2"/>
        <v>54</v>
      </c>
      <c r="E241" s="384" t="str">
        <f t="shared" ca="1" si="3"/>
        <v/>
      </c>
      <c r="F241" s="384" t="str">
        <f t="shared" ca="1" si="4"/>
        <v/>
      </c>
      <c r="G241" s="385" t="str">
        <f t="shared" ca="1" si="5"/>
        <v/>
      </c>
      <c r="H241" s="386" t="str">
        <f t="shared" ca="1" si="6"/>
        <v/>
      </c>
      <c r="I241" s="404"/>
      <c r="J241" s="415"/>
      <c r="K241" s="428" t="s">
        <v>346</v>
      </c>
      <c r="L241" s="428"/>
      <c r="M241" s="428"/>
      <c r="N241" s="428"/>
      <c r="O241" s="428"/>
      <c r="P241" s="428"/>
      <c r="Q241" s="429"/>
      <c r="R241" s="417"/>
      <c r="S241" s="418"/>
      <c r="T241" s="419"/>
      <c r="U241" s="418"/>
      <c r="V241" s="419"/>
      <c r="W241" s="430"/>
      <c r="X241" s="431"/>
      <c r="Y241" s="434"/>
      <c r="Z241" s="433"/>
      <c r="AA241" s="396"/>
      <c r="AB241" s="397"/>
      <c r="AC241" s="398"/>
      <c r="AD241" s="399"/>
      <c r="AE241" s="400"/>
      <c r="AF241" s="401"/>
      <c r="AG241" s="401">
        <f t="shared" si="7"/>
        <v>0</v>
      </c>
      <c r="AH241" s="401">
        <f t="shared" si="8"/>
        <v>0</v>
      </c>
      <c r="AI241" s="401">
        <f t="shared" si="9"/>
        <v>0</v>
      </c>
      <c r="AJ241" s="401">
        <f t="shared" si="10"/>
        <v>0</v>
      </c>
      <c r="AK241" s="401" t="str">
        <f t="shared" si="11"/>
        <v/>
      </c>
      <c r="AL241" s="402">
        <f t="shared" ca="1" si="12"/>
        <v>3</v>
      </c>
      <c r="AM241" s="402">
        <f t="shared" ca="1" si="13"/>
        <v>1</v>
      </c>
      <c r="AN241" s="402">
        <f t="shared" ca="1" si="14"/>
        <v>54</v>
      </c>
      <c r="AO241" s="402">
        <f t="shared" ca="1" si="15"/>
        <v>0</v>
      </c>
      <c r="AP241" s="402">
        <f t="shared" ca="1" si="16"/>
        <v>0</v>
      </c>
      <c r="AQ241" s="402">
        <f t="shared" ca="1" si="17"/>
        <v>0</v>
      </c>
      <c r="AR241" s="402">
        <f t="shared" ca="1" si="18"/>
        <v>0</v>
      </c>
      <c r="AS241" s="403"/>
      <c r="AT241" s="402">
        <f t="shared" si="19"/>
        <v>1</v>
      </c>
    </row>
    <row r="242" spans="1:46" ht="15.75" customHeight="1">
      <c r="A242" s="382"/>
      <c r="B242" s="383">
        <f t="shared" ca="1" si="0"/>
        <v>3</v>
      </c>
      <c r="C242" s="384">
        <f t="shared" ca="1" si="1"/>
        <v>1</v>
      </c>
      <c r="D242" s="384">
        <f t="shared" ca="1" si="2"/>
        <v>54</v>
      </c>
      <c r="E242" s="384">
        <f t="shared" ca="1" si="3"/>
        <v>1</v>
      </c>
      <c r="F242" s="384" t="str">
        <f t="shared" ca="1" si="4"/>
        <v/>
      </c>
      <c r="G242" s="385" t="str">
        <f t="shared" ca="1" si="5"/>
        <v/>
      </c>
      <c r="H242" s="386" t="str">
        <f t="shared" ca="1" si="6"/>
        <v/>
      </c>
      <c r="I242" s="404"/>
      <c r="J242" s="415"/>
      <c r="K242" s="428"/>
      <c r="L242" s="428" t="s">
        <v>59</v>
      </c>
      <c r="M242" s="428"/>
      <c r="N242" s="428"/>
      <c r="O242" s="428"/>
      <c r="P242" s="428"/>
      <c r="Q242" s="429"/>
      <c r="R242" s="417"/>
      <c r="S242" s="418"/>
      <c r="T242" s="419"/>
      <c r="U242" s="418"/>
      <c r="V242" s="419"/>
      <c r="W242" s="430"/>
      <c r="X242" s="431"/>
      <c r="Y242" s="434"/>
      <c r="Z242" s="433"/>
      <c r="AA242" s="396"/>
      <c r="AB242" s="397"/>
      <c r="AC242" s="398"/>
      <c r="AD242" s="399"/>
      <c r="AE242" s="400"/>
      <c r="AF242" s="401"/>
      <c r="AG242" s="401">
        <f t="shared" si="7"/>
        <v>0</v>
      </c>
      <c r="AH242" s="401">
        <f t="shared" si="8"/>
        <v>0</v>
      </c>
      <c r="AI242" s="401">
        <f t="shared" si="9"/>
        <v>0</v>
      </c>
      <c r="AJ242" s="401">
        <f t="shared" si="10"/>
        <v>0</v>
      </c>
      <c r="AK242" s="401" t="str">
        <f t="shared" si="11"/>
        <v/>
      </c>
      <c r="AL242" s="402">
        <f t="shared" ca="1" si="12"/>
        <v>3</v>
      </c>
      <c r="AM242" s="402">
        <f t="shared" ca="1" si="13"/>
        <v>1</v>
      </c>
      <c r="AN242" s="402">
        <f t="shared" ca="1" si="14"/>
        <v>54</v>
      </c>
      <c r="AO242" s="402">
        <f t="shared" ca="1" si="15"/>
        <v>1</v>
      </c>
      <c r="AP242" s="402">
        <f t="shared" ca="1" si="16"/>
        <v>0</v>
      </c>
      <c r="AQ242" s="402">
        <f t="shared" ca="1" si="17"/>
        <v>0</v>
      </c>
      <c r="AR242" s="402">
        <f t="shared" ca="1" si="18"/>
        <v>0</v>
      </c>
      <c r="AS242" s="403"/>
      <c r="AT242" s="402">
        <f t="shared" si="19"/>
        <v>1</v>
      </c>
    </row>
    <row r="243" spans="1:46" ht="15.75" customHeight="1">
      <c r="A243" s="382"/>
      <c r="B243" s="383">
        <f t="shared" ca="1" si="0"/>
        <v>3</v>
      </c>
      <c r="C243" s="384">
        <f t="shared" ca="1" si="1"/>
        <v>1</v>
      </c>
      <c r="D243" s="384">
        <f t="shared" ca="1" si="2"/>
        <v>54</v>
      </c>
      <c r="E243" s="384">
        <f t="shared" ca="1" si="3"/>
        <v>2</v>
      </c>
      <c r="F243" s="384" t="str">
        <f t="shared" ca="1" si="4"/>
        <v/>
      </c>
      <c r="G243" s="385" t="str">
        <f t="shared" ca="1" si="5"/>
        <v/>
      </c>
      <c r="H243" s="386" t="str">
        <f t="shared" ca="1" si="6"/>
        <v/>
      </c>
      <c r="I243" s="404"/>
      <c r="J243" s="415"/>
      <c r="K243" s="428"/>
      <c r="L243" s="428" t="s">
        <v>61</v>
      </c>
      <c r="M243" s="428"/>
      <c r="N243" s="428"/>
      <c r="O243" s="428"/>
      <c r="P243" s="428"/>
      <c r="Q243" s="429"/>
      <c r="R243" s="417"/>
      <c r="S243" s="418"/>
      <c r="T243" s="419"/>
      <c r="U243" s="418"/>
      <c r="V243" s="419"/>
      <c r="W243" s="430"/>
      <c r="X243" s="431"/>
      <c r="Y243" s="434"/>
      <c r="Z243" s="433"/>
      <c r="AA243" s="396"/>
      <c r="AB243" s="397"/>
      <c r="AC243" s="398"/>
      <c r="AD243" s="399"/>
      <c r="AE243" s="400"/>
      <c r="AF243" s="401"/>
      <c r="AG243" s="401">
        <f t="shared" si="7"/>
        <v>0</v>
      </c>
      <c r="AH243" s="401">
        <f t="shared" si="8"/>
        <v>0</v>
      </c>
      <c r="AI243" s="401">
        <f t="shared" si="9"/>
        <v>0</v>
      </c>
      <c r="AJ243" s="401">
        <f t="shared" si="10"/>
        <v>0</v>
      </c>
      <c r="AK243" s="401" t="str">
        <f t="shared" si="11"/>
        <v/>
      </c>
      <c r="AL243" s="402">
        <f t="shared" ca="1" si="12"/>
        <v>3</v>
      </c>
      <c r="AM243" s="402">
        <f t="shared" ca="1" si="13"/>
        <v>1</v>
      </c>
      <c r="AN243" s="402">
        <f t="shared" ca="1" si="14"/>
        <v>54</v>
      </c>
      <c r="AO243" s="402">
        <f t="shared" ca="1" si="15"/>
        <v>2</v>
      </c>
      <c r="AP243" s="402">
        <f t="shared" ca="1" si="16"/>
        <v>0</v>
      </c>
      <c r="AQ243" s="402">
        <f t="shared" ca="1" si="17"/>
        <v>0</v>
      </c>
      <c r="AR243" s="402">
        <f t="shared" ca="1" si="18"/>
        <v>0</v>
      </c>
      <c r="AS243" s="403"/>
      <c r="AT243" s="402">
        <f t="shared" si="19"/>
        <v>1</v>
      </c>
    </row>
    <row r="244" spans="1:46" ht="15.75" customHeight="1">
      <c r="A244" s="382"/>
      <c r="B244" s="383">
        <f t="shared" ca="1" si="0"/>
        <v>3</v>
      </c>
      <c r="C244" s="384">
        <f t="shared" ca="1" si="1"/>
        <v>1</v>
      </c>
      <c r="D244" s="384">
        <f t="shared" ca="1" si="2"/>
        <v>54</v>
      </c>
      <c r="E244" s="384">
        <f t="shared" ca="1" si="3"/>
        <v>3</v>
      </c>
      <c r="F244" s="384" t="str">
        <f t="shared" ca="1" si="4"/>
        <v/>
      </c>
      <c r="G244" s="385" t="str">
        <f t="shared" ca="1" si="5"/>
        <v/>
      </c>
      <c r="H244" s="386" t="str">
        <f t="shared" ca="1" si="6"/>
        <v/>
      </c>
      <c r="I244" s="404"/>
      <c r="J244" s="415"/>
      <c r="K244" s="428"/>
      <c r="L244" s="428" t="s">
        <v>63</v>
      </c>
      <c r="M244" s="428"/>
      <c r="N244" s="428"/>
      <c r="O244" s="428"/>
      <c r="P244" s="428"/>
      <c r="Q244" s="429"/>
      <c r="R244" s="417"/>
      <c r="S244" s="418"/>
      <c r="T244" s="419"/>
      <c r="U244" s="418"/>
      <c r="V244" s="419"/>
      <c r="W244" s="430"/>
      <c r="X244" s="431"/>
      <c r="Y244" s="434"/>
      <c r="Z244" s="433"/>
      <c r="AA244" s="396"/>
      <c r="AB244" s="397"/>
      <c r="AC244" s="398"/>
      <c r="AD244" s="399"/>
      <c r="AE244" s="400"/>
      <c r="AF244" s="401"/>
      <c r="AG244" s="401">
        <f t="shared" si="7"/>
        <v>0</v>
      </c>
      <c r="AH244" s="401">
        <f t="shared" si="8"/>
        <v>0</v>
      </c>
      <c r="AI244" s="401">
        <f t="shared" si="9"/>
        <v>0</v>
      </c>
      <c r="AJ244" s="401">
        <f t="shared" si="10"/>
        <v>0</v>
      </c>
      <c r="AK244" s="401" t="str">
        <f t="shared" si="11"/>
        <v/>
      </c>
      <c r="AL244" s="402">
        <f t="shared" ca="1" si="12"/>
        <v>3</v>
      </c>
      <c r="AM244" s="402">
        <f t="shared" ca="1" si="13"/>
        <v>1</v>
      </c>
      <c r="AN244" s="402">
        <f t="shared" ca="1" si="14"/>
        <v>54</v>
      </c>
      <c r="AO244" s="402">
        <f t="shared" ca="1" si="15"/>
        <v>3</v>
      </c>
      <c r="AP244" s="402">
        <f t="shared" ca="1" si="16"/>
        <v>0</v>
      </c>
      <c r="AQ244" s="402">
        <f t="shared" ca="1" si="17"/>
        <v>0</v>
      </c>
      <c r="AR244" s="402">
        <f t="shared" ca="1" si="18"/>
        <v>0</v>
      </c>
      <c r="AS244" s="403"/>
      <c r="AT244" s="402">
        <f t="shared" si="19"/>
        <v>1</v>
      </c>
    </row>
    <row r="245" spans="1:46" ht="15.75" customHeight="1">
      <c r="A245" s="382"/>
      <c r="B245" s="383">
        <f t="shared" ca="1" si="0"/>
        <v>3</v>
      </c>
      <c r="C245" s="384">
        <f t="shared" ca="1" si="1"/>
        <v>1</v>
      </c>
      <c r="D245" s="384">
        <f t="shared" ca="1" si="2"/>
        <v>54</v>
      </c>
      <c r="E245" s="384">
        <f t="shared" ca="1" si="3"/>
        <v>4</v>
      </c>
      <c r="F245" s="384" t="str">
        <f t="shared" ca="1" si="4"/>
        <v/>
      </c>
      <c r="G245" s="385" t="str">
        <f t="shared" ca="1" si="5"/>
        <v/>
      </c>
      <c r="H245" s="386" t="str">
        <f t="shared" ca="1" si="6"/>
        <v/>
      </c>
      <c r="I245" s="404"/>
      <c r="J245" s="415"/>
      <c r="K245" s="428"/>
      <c r="L245" s="428" t="s">
        <v>64</v>
      </c>
      <c r="M245" s="428"/>
      <c r="N245" s="428"/>
      <c r="O245" s="428"/>
      <c r="P245" s="428"/>
      <c r="Q245" s="429"/>
      <c r="R245" s="417"/>
      <c r="S245" s="418"/>
      <c r="T245" s="419"/>
      <c r="U245" s="418"/>
      <c r="V245" s="419"/>
      <c r="W245" s="430"/>
      <c r="X245" s="431"/>
      <c r="Y245" s="434"/>
      <c r="Z245" s="433"/>
      <c r="AA245" s="396"/>
      <c r="AB245" s="397"/>
      <c r="AC245" s="398"/>
      <c r="AD245" s="399"/>
      <c r="AE245" s="400"/>
      <c r="AF245" s="401"/>
      <c r="AG245" s="401">
        <f t="shared" si="7"/>
        <v>0</v>
      </c>
      <c r="AH245" s="401">
        <f t="shared" si="8"/>
        <v>0</v>
      </c>
      <c r="AI245" s="401">
        <f t="shared" si="9"/>
        <v>0</v>
      </c>
      <c r="AJ245" s="401">
        <f t="shared" si="10"/>
        <v>0</v>
      </c>
      <c r="AK245" s="401" t="str">
        <f t="shared" si="11"/>
        <v/>
      </c>
      <c r="AL245" s="402">
        <f t="shared" ca="1" si="12"/>
        <v>3</v>
      </c>
      <c r="AM245" s="402">
        <f t="shared" ca="1" si="13"/>
        <v>1</v>
      </c>
      <c r="AN245" s="402">
        <f t="shared" ca="1" si="14"/>
        <v>54</v>
      </c>
      <c r="AO245" s="402">
        <f t="shared" ca="1" si="15"/>
        <v>4</v>
      </c>
      <c r="AP245" s="402">
        <f t="shared" ca="1" si="16"/>
        <v>0</v>
      </c>
      <c r="AQ245" s="402">
        <f t="shared" ca="1" si="17"/>
        <v>0</v>
      </c>
      <c r="AR245" s="402">
        <f t="shared" ca="1" si="18"/>
        <v>0</v>
      </c>
      <c r="AS245" s="403"/>
      <c r="AT245" s="402">
        <f t="shared" si="19"/>
        <v>1</v>
      </c>
    </row>
    <row r="246" spans="1:46" ht="15.75" customHeight="1">
      <c r="A246" s="382"/>
      <c r="B246" s="383">
        <f t="shared" ca="1" si="0"/>
        <v>3</v>
      </c>
      <c r="C246" s="384">
        <f t="shared" ca="1" si="1"/>
        <v>1</v>
      </c>
      <c r="D246" s="384">
        <f t="shared" ca="1" si="2"/>
        <v>54</v>
      </c>
      <c r="E246" s="384">
        <f t="shared" ca="1" si="3"/>
        <v>5</v>
      </c>
      <c r="F246" s="384" t="str">
        <f t="shared" ca="1" si="4"/>
        <v/>
      </c>
      <c r="G246" s="385" t="str">
        <f t="shared" ca="1" si="5"/>
        <v/>
      </c>
      <c r="H246" s="386" t="str">
        <f t="shared" ca="1" si="6"/>
        <v/>
      </c>
      <c r="I246" s="404"/>
      <c r="J246" s="415"/>
      <c r="K246" s="428"/>
      <c r="L246" s="428" t="s">
        <v>65</v>
      </c>
      <c r="M246" s="428"/>
      <c r="N246" s="428"/>
      <c r="O246" s="428"/>
      <c r="P246" s="428"/>
      <c r="Q246" s="429"/>
      <c r="R246" s="417"/>
      <c r="S246" s="418"/>
      <c r="T246" s="419"/>
      <c r="U246" s="418"/>
      <c r="V246" s="419"/>
      <c r="W246" s="430"/>
      <c r="X246" s="431"/>
      <c r="Y246" s="434"/>
      <c r="Z246" s="433"/>
      <c r="AA246" s="396"/>
      <c r="AB246" s="397"/>
      <c r="AC246" s="398"/>
      <c r="AD246" s="399"/>
      <c r="AE246" s="400"/>
      <c r="AF246" s="401"/>
      <c r="AG246" s="401">
        <f t="shared" si="7"/>
        <v>0</v>
      </c>
      <c r="AH246" s="401">
        <f t="shared" si="8"/>
        <v>0</v>
      </c>
      <c r="AI246" s="401">
        <f t="shared" si="9"/>
        <v>0</v>
      </c>
      <c r="AJ246" s="401">
        <f t="shared" si="10"/>
        <v>0</v>
      </c>
      <c r="AK246" s="401" t="str">
        <f t="shared" si="11"/>
        <v/>
      </c>
      <c r="AL246" s="402">
        <f t="shared" ca="1" si="12"/>
        <v>3</v>
      </c>
      <c r="AM246" s="402">
        <f t="shared" ca="1" si="13"/>
        <v>1</v>
      </c>
      <c r="AN246" s="402">
        <f t="shared" ca="1" si="14"/>
        <v>54</v>
      </c>
      <c r="AO246" s="402">
        <f t="shared" ca="1" si="15"/>
        <v>5</v>
      </c>
      <c r="AP246" s="402">
        <f t="shared" ca="1" si="16"/>
        <v>0</v>
      </c>
      <c r="AQ246" s="402">
        <f t="shared" ca="1" si="17"/>
        <v>0</v>
      </c>
      <c r="AR246" s="402">
        <f t="shared" ca="1" si="18"/>
        <v>0</v>
      </c>
      <c r="AS246" s="403"/>
      <c r="AT246" s="402">
        <f t="shared" si="19"/>
        <v>1</v>
      </c>
    </row>
    <row r="247" spans="1:46" ht="15.75" customHeight="1">
      <c r="A247" s="382"/>
      <c r="B247" s="383">
        <f t="shared" ca="1" si="0"/>
        <v>3</v>
      </c>
      <c r="C247" s="384">
        <f t="shared" ca="1" si="1"/>
        <v>1</v>
      </c>
      <c r="D247" s="384">
        <f t="shared" ca="1" si="2"/>
        <v>54</v>
      </c>
      <c r="E247" s="384">
        <f t="shared" ca="1" si="3"/>
        <v>6</v>
      </c>
      <c r="F247" s="384" t="str">
        <f t="shared" ca="1" si="4"/>
        <v/>
      </c>
      <c r="G247" s="385" t="str">
        <f t="shared" ca="1" si="5"/>
        <v/>
      </c>
      <c r="H247" s="386" t="str">
        <f t="shared" ca="1" si="6"/>
        <v/>
      </c>
      <c r="I247" s="404"/>
      <c r="J247" s="415"/>
      <c r="K247" s="428"/>
      <c r="L247" s="428" t="s">
        <v>66</v>
      </c>
      <c r="M247" s="428"/>
      <c r="N247" s="428"/>
      <c r="O247" s="428"/>
      <c r="P247" s="428"/>
      <c r="Q247" s="429"/>
      <c r="R247" s="417"/>
      <c r="S247" s="418"/>
      <c r="T247" s="419"/>
      <c r="U247" s="418"/>
      <c r="V247" s="419"/>
      <c r="W247" s="430"/>
      <c r="X247" s="431"/>
      <c r="Y247" s="434"/>
      <c r="Z247" s="433"/>
      <c r="AA247" s="396"/>
      <c r="AB247" s="397"/>
      <c r="AC247" s="398"/>
      <c r="AD247" s="399"/>
      <c r="AE247" s="400"/>
      <c r="AF247" s="401"/>
      <c r="AG247" s="401">
        <f t="shared" si="7"/>
        <v>0</v>
      </c>
      <c r="AH247" s="401">
        <f t="shared" si="8"/>
        <v>0</v>
      </c>
      <c r="AI247" s="401">
        <f t="shared" si="9"/>
        <v>0</v>
      </c>
      <c r="AJ247" s="401">
        <f t="shared" si="10"/>
        <v>0</v>
      </c>
      <c r="AK247" s="401" t="str">
        <f t="shared" si="11"/>
        <v/>
      </c>
      <c r="AL247" s="402">
        <f t="shared" ca="1" si="12"/>
        <v>3</v>
      </c>
      <c r="AM247" s="402">
        <f t="shared" ca="1" si="13"/>
        <v>1</v>
      </c>
      <c r="AN247" s="402">
        <f t="shared" ca="1" si="14"/>
        <v>54</v>
      </c>
      <c r="AO247" s="402">
        <f t="shared" ca="1" si="15"/>
        <v>6</v>
      </c>
      <c r="AP247" s="402">
        <f t="shared" ca="1" si="16"/>
        <v>0</v>
      </c>
      <c r="AQ247" s="402">
        <f t="shared" ca="1" si="17"/>
        <v>0</v>
      </c>
      <c r="AR247" s="402">
        <f t="shared" ca="1" si="18"/>
        <v>0</v>
      </c>
      <c r="AS247" s="403"/>
      <c r="AT247" s="402">
        <f t="shared" si="19"/>
        <v>1</v>
      </c>
    </row>
    <row r="248" spans="1:46" ht="15.75" customHeight="1">
      <c r="A248" s="382"/>
      <c r="B248" s="383">
        <f t="shared" ca="1" si="0"/>
        <v>3</v>
      </c>
      <c r="C248" s="384">
        <f t="shared" ca="1" si="1"/>
        <v>1</v>
      </c>
      <c r="D248" s="384">
        <f t="shared" ca="1" si="2"/>
        <v>55</v>
      </c>
      <c r="E248" s="384" t="str">
        <f t="shared" ca="1" si="3"/>
        <v/>
      </c>
      <c r="F248" s="384" t="str">
        <f t="shared" ca="1" si="4"/>
        <v/>
      </c>
      <c r="G248" s="385" t="str">
        <f t="shared" ca="1" si="5"/>
        <v/>
      </c>
      <c r="H248" s="386" t="str">
        <f t="shared" ca="1" si="6"/>
        <v/>
      </c>
      <c r="I248" s="404"/>
      <c r="J248" s="415"/>
      <c r="K248" s="428" t="s">
        <v>347</v>
      </c>
      <c r="L248" s="428"/>
      <c r="M248" s="428"/>
      <c r="N248" s="428"/>
      <c r="O248" s="428"/>
      <c r="P248" s="428"/>
      <c r="Q248" s="429"/>
      <c r="R248" s="417"/>
      <c r="S248" s="418"/>
      <c r="T248" s="419"/>
      <c r="U248" s="418"/>
      <c r="V248" s="419"/>
      <c r="W248" s="430"/>
      <c r="X248" s="431"/>
      <c r="Y248" s="434"/>
      <c r="Z248" s="433"/>
      <c r="AA248" s="396"/>
      <c r="AB248" s="397"/>
      <c r="AC248" s="398"/>
      <c r="AD248" s="399"/>
      <c r="AE248" s="400"/>
      <c r="AF248" s="401"/>
      <c r="AG248" s="401">
        <f t="shared" si="7"/>
        <v>0</v>
      </c>
      <c r="AH248" s="401">
        <f t="shared" si="8"/>
        <v>0</v>
      </c>
      <c r="AI248" s="401">
        <f t="shared" si="9"/>
        <v>0</v>
      </c>
      <c r="AJ248" s="401">
        <f t="shared" si="10"/>
        <v>0</v>
      </c>
      <c r="AK248" s="401" t="str">
        <f t="shared" si="11"/>
        <v/>
      </c>
      <c r="AL248" s="402">
        <f t="shared" ca="1" si="12"/>
        <v>3</v>
      </c>
      <c r="AM248" s="402">
        <f t="shared" ca="1" si="13"/>
        <v>1</v>
      </c>
      <c r="AN248" s="402">
        <f t="shared" ca="1" si="14"/>
        <v>55</v>
      </c>
      <c r="AO248" s="402">
        <f t="shared" ca="1" si="15"/>
        <v>0</v>
      </c>
      <c r="AP248" s="402">
        <f t="shared" ca="1" si="16"/>
        <v>0</v>
      </c>
      <c r="AQ248" s="402">
        <f t="shared" ca="1" si="17"/>
        <v>0</v>
      </c>
      <c r="AR248" s="402">
        <f t="shared" ca="1" si="18"/>
        <v>0</v>
      </c>
      <c r="AS248" s="403"/>
      <c r="AT248" s="402">
        <f t="shared" si="19"/>
        <v>1</v>
      </c>
    </row>
    <row r="249" spans="1:46" ht="15.75" customHeight="1">
      <c r="A249" s="382"/>
      <c r="B249" s="383">
        <f t="shared" ca="1" si="0"/>
        <v>3</v>
      </c>
      <c r="C249" s="384">
        <f t="shared" ca="1" si="1"/>
        <v>1</v>
      </c>
      <c r="D249" s="384">
        <f t="shared" ca="1" si="2"/>
        <v>55</v>
      </c>
      <c r="E249" s="384">
        <f t="shared" ca="1" si="3"/>
        <v>1</v>
      </c>
      <c r="F249" s="384" t="str">
        <f t="shared" ca="1" si="4"/>
        <v/>
      </c>
      <c r="G249" s="385" t="str">
        <f t="shared" ca="1" si="5"/>
        <v/>
      </c>
      <c r="H249" s="386" t="str">
        <f t="shared" ca="1" si="6"/>
        <v/>
      </c>
      <c r="I249" s="404"/>
      <c r="J249" s="415"/>
      <c r="K249" s="428"/>
      <c r="L249" s="428" t="s">
        <v>59</v>
      </c>
      <c r="M249" s="428"/>
      <c r="N249" s="428"/>
      <c r="O249" s="428"/>
      <c r="P249" s="428"/>
      <c r="Q249" s="429"/>
      <c r="R249" s="417"/>
      <c r="S249" s="418"/>
      <c r="T249" s="419"/>
      <c r="U249" s="418"/>
      <c r="V249" s="419"/>
      <c r="W249" s="430"/>
      <c r="X249" s="431"/>
      <c r="Y249" s="434"/>
      <c r="Z249" s="433"/>
      <c r="AA249" s="396"/>
      <c r="AB249" s="397"/>
      <c r="AC249" s="398"/>
      <c r="AD249" s="399"/>
      <c r="AE249" s="400"/>
      <c r="AF249" s="401"/>
      <c r="AG249" s="401">
        <f t="shared" si="7"/>
        <v>0</v>
      </c>
      <c r="AH249" s="401">
        <f t="shared" si="8"/>
        <v>0</v>
      </c>
      <c r="AI249" s="401">
        <f t="shared" si="9"/>
        <v>0</v>
      </c>
      <c r="AJ249" s="401">
        <f t="shared" si="10"/>
        <v>0</v>
      </c>
      <c r="AK249" s="401" t="str">
        <f t="shared" si="11"/>
        <v/>
      </c>
      <c r="AL249" s="402">
        <f t="shared" ca="1" si="12"/>
        <v>3</v>
      </c>
      <c r="AM249" s="402">
        <f t="shared" ca="1" si="13"/>
        <v>1</v>
      </c>
      <c r="AN249" s="402">
        <f t="shared" ca="1" si="14"/>
        <v>55</v>
      </c>
      <c r="AO249" s="402">
        <f t="shared" ca="1" si="15"/>
        <v>1</v>
      </c>
      <c r="AP249" s="402">
        <f t="shared" ca="1" si="16"/>
        <v>0</v>
      </c>
      <c r="AQ249" s="402">
        <f t="shared" ca="1" si="17"/>
        <v>0</v>
      </c>
      <c r="AR249" s="402">
        <f t="shared" ca="1" si="18"/>
        <v>0</v>
      </c>
      <c r="AS249" s="403"/>
      <c r="AT249" s="402">
        <f t="shared" si="19"/>
        <v>1</v>
      </c>
    </row>
    <row r="250" spans="1:46" ht="15.75" customHeight="1">
      <c r="A250" s="382"/>
      <c r="B250" s="383">
        <f t="shared" ca="1" si="0"/>
        <v>3</v>
      </c>
      <c r="C250" s="384">
        <f t="shared" ca="1" si="1"/>
        <v>1</v>
      </c>
      <c r="D250" s="384">
        <f t="shared" ca="1" si="2"/>
        <v>55</v>
      </c>
      <c r="E250" s="384">
        <f t="shared" ca="1" si="3"/>
        <v>2</v>
      </c>
      <c r="F250" s="384" t="str">
        <f t="shared" ca="1" si="4"/>
        <v/>
      </c>
      <c r="G250" s="385" t="str">
        <f t="shared" ca="1" si="5"/>
        <v/>
      </c>
      <c r="H250" s="386" t="str">
        <f t="shared" ca="1" si="6"/>
        <v/>
      </c>
      <c r="I250" s="404"/>
      <c r="J250" s="415"/>
      <c r="K250" s="428"/>
      <c r="L250" s="428" t="s">
        <v>61</v>
      </c>
      <c r="M250" s="428"/>
      <c r="N250" s="428"/>
      <c r="O250" s="428"/>
      <c r="P250" s="428"/>
      <c r="Q250" s="429"/>
      <c r="R250" s="417"/>
      <c r="S250" s="418"/>
      <c r="T250" s="419"/>
      <c r="U250" s="418"/>
      <c r="V250" s="419"/>
      <c r="W250" s="430"/>
      <c r="X250" s="431"/>
      <c r="Y250" s="434"/>
      <c r="Z250" s="433"/>
      <c r="AA250" s="396"/>
      <c r="AB250" s="397"/>
      <c r="AC250" s="398"/>
      <c r="AD250" s="399"/>
      <c r="AE250" s="400"/>
      <c r="AF250" s="401"/>
      <c r="AG250" s="401">
        <f t="shared" si="7"/>
        <v>0</v>
      </c>
      <c r="AH250" s="401">
        <f t="shared" si="8"/>
        <v>0</v>
      </c>
      <c r="AI250" s="401">
        <f t="shared" si="9"/>
        <v>0</v>
      </c>
      <c r="AJ250" s="401">
        <f t="shared" si="10"/>
        <v>0</v>
      </c>
      <c r="AK250" s="401" t="str">
        <f t="shared" si="11"/>
        <v/>
      </c>
      <c r="AL250" s="402">
        <f t="shared" ca="1" si="12"/>
        <v>3</v>
      </c>
      <c r="AM250" s="402">
        <f t="shared" ca="1" si="13"/>
        <v>1</v>
      </c>
      <c r="AN250" s="402">
        <f t="shared" ca="1" si="14"/>
        <v>55</v>
      </c>
      <c r="AO250" s="402">
        <f t="shared" ca="1" si="15"/>
        <v>2</v>
      </c>
      <c r="AP250" s="402">
        <f t="shared" ca="1" si="16"/>
        <v>0</v>
      </c>
      <c r="AQ250" s="402">
        <f t="shared" ca="1" si="17"/>
        <v>0</v>
      </c>
      <c r="AR250" s="402">
        <f t="shared" ca="1" si="18"/>
        <v>0</v>
      </c>
      <c r="AS250" s="403"/>
      <c r="AT250" s="402">
        <f t="shared" si="19"/>
        <v>1</v>
      </c>
    </row>
    <row r="251" spans="1:46" ht="15.75" customHeight="1">
      <c r="A251" s="382"/>
      <c r="B251" s="383">
        <f t="shared" ca="1" si="0"/>
        <v>3</v>
      </c>
      <c r="C251" s="384">
        <f t="shared" ca="1" si="1"/>
        <v>1</v>
      </c>
      <c r="D251" s="384">
        <f t="shared" ca="1" si="2"/>
        <v>55</v>
      </c>
      <c r="E251" s="384">
        <f t="shared" ca="1" si="3"/>
        <v>3</v>
      </c>
      <c r="F251" s="384" t="str">
        <f t="shared" ca="1" si="4"/>
        <v/>
      </c>
      <c r="G251" s="385" t="str">
        <f t="shared" ca="1" si="5"/>
        <v/>
      </c>
      <c r="H251" s="386" t="str">
        <f t="shared" ca="1" si="6"/>
        <v/>
      </c>
      <c r="I251" s="404"/>
      <c r="J251" s="415"/>
      <c r="K251" s="428"/>
      <c r="L251" s="428" t="s">
        <v>63</v>
      </c>
      <c r="M251" s="428"/>
      <c r="N251" s="428"/>
      <c r="O251" s="428"/>
      <c r="P251" s="428"/>
      <c r="Q251" s="429"/>
      <c r="R251" s="417"/>
      <c r="S251" s="418"/>
      <c r="T251" s="419"/>
      <c r="U251" s="418"/>
      <c r="V251" s="419"/>
      <c r="W251" s="430"/>
      <c r="X251" s="431"/>
      <c r="Y251" s="434"/>
      <c r="Z251" s="433"/>
      <c r="AA251" s="396"/>
      <c r="AB251" s="397"/>
      <c r="AC251" s="398"/>
      <c r="AD251" s="399"/>
      <c r="AE251" s="400"/>
      <c r="AF251" s="401"/>
      <c r="AG251" s="401">
        <f t="shared" si="7"/>
        <v>0</v>
      </c>
      <c r="AH251" s="401">
        <f t="shared" si="8"/>
        <v>0</v>
      </c>
      <c r="AI251" s="401">
        <f t="shared" si="9"/>
        <v>0</v>
      </c>
      <c r="AJ251" s="401">
        <f t="shared" si="10"/>
        <v>0</v>
      </c>
      <c r="AK251" s="401" t="str">
        <f t="shared" si="11"/>
        <v/>
      </c>
      <c r="AL251" s="402">
        <f t="shared" ca="1" si="12"/>
        <v>3</v>
      </c>
      <c r="AM251" s="402">
        <f t="shared" ca="1" si="13"/>
        <v>1</v>
      </c>
      <c r="AN251" s="402">
        <f t="shared" ca="1" si="14"/>
        <v>55</v>
      </c>
      <c r="AO251" s="402">
        <f t="shared" ca="1" si="15"/>
        <v>3</v>
      </c>
      <c r="AP251" s="402">
        <f t="shared" ca="1" si="16"/>
        <v>0</v>
      </c>
      <c r="AQ251" s="402">
        <f t="shared" ca="1" si="17"/>
        <v>0</v>
      </c>
      <c r="AR251" s="402">
        <f t="shared" ca="1" si="18"/>
        <v>0</v>
      </c>
      <c r="AS251" s="403"/>
      <c r="AT251" s="402">
        <f t="shared" si="19"/>
        <v>1</v>
      </c>
    </row>
    <row r="252" spans="1:46" ht="15.75" customHeight="1">
      <c r="A252" s="382"/>
      <c r="B252" s="383">
        <f t="shared" ca="1" si="0"/>
        <v>3</v>
      </c>
      <c r="C252" s="384">
        <f t="shared" ca="1" si="1"/>
        <v>1</v>
      </c>
      <c r="D252" s="384">
        <f t="shared" ca="1" si="2"/>
        <v>55</v>
      </c>
      <c r="E252" s="384">
        <f t="shared" ca="1" si="3"/>
        <v>4</v>
      </c>
      <c r="F252" s="384" t="str">
        <f t="shared" ca="1" si="4"/>
        <v/>
      </c>
      <c r="G252" s="385" t="str">
        <f t="shared" ca="1" si="5"/>
        <v/>
      </c>
      <c r="H252" s="386" t="str">
        <f t="shared" ca="1" si="6"/>
        <v/>
      </c>
      <c r="I252" s="404"/>
      <c r="J252" s="415"/>
      <c r="K252" s="428"/>
      <c r="L252" s="428" t="s">
        <v>64</v>
      </c>
      <c r="M252" s="428"/>
      <c r="N252" s="428"/>
      <c r="O252" s="428"/>
      <c r="P252" s="428"/>
      <c r="Q252" s="429"/>
      <c r="R252" s="417"/>
      <c r="S252" s="418"/>
      <c r="T252" s="419"/>
      <c r="U252" s="418"/>
      <c r="V252" s="419"/>
      <c r="W252" s="430"/>
      <c r="X252" s="431"/>
      <c r="Y252" s="434"/>
      <c r="Z252" s="433"/>
      <c r="AA252" s="396"/>
      <c r="AB252" s="397"/>
      <c r="AC252" s="398"/>
      <c r="AD252" s="399"/>
      <c r="AE252" s="400"/>
      <c r="AF252" s="401"/>
      <c r="AG252" s="401">
        <f t="shared" si="7"/>
        <v>0</v>
      </c>
      <c r="AH252" s="401">
        <f t="shared" si="8"/>
        <v>0</v>
      </c>
      <c r="AI252" s="401">
        <f t="shared" si="9"/>
        <v>0</v>
      </c>
      <c r="AJ252" s="401">
        <f t="shared" si="10"/>
        <v>0</v>
      </c>
      <c r="AK252" s="401" t="str">
        <f t="shared" si="11"/>
        <v/>
      </c>
      <c r="AL252" s="402">
        <f t="shared" ca="1" si="12"/>
        <v>3</v>
      </c>
      <c r="AM252" s="402">
        <f t="shared" ca="1" si="13"/>
        <v>1</v>
      </c>
      <c r="AN252" s="402">
        <f t="shared" ca="1" si="14"/>
        <v>55</v>
      </c>
      <c r="AO252" s="402">
        <f t="shared" ca="1" si="15"/>
        <v>4</v>
      </c>
      <c r="AP252" s="402">
        <f t="shared" ca="1" si="16"/>
        <v>0</v>
      </c>
      <c r="AQ252" s="402">
        <f t="shared" ca="1" si="17"/>
        <v>0</v>
      </c>
      <c r="AR252" s="402">
        <f t="shared" ca="1" si="18"/>
        <v>0</v>
      </c>
      <c r="AS252" s="403"/>
      <c r="AT252" s="402">
        <f t="shared" si="19"/>
        <v>1</v>
      </c>
    </row>
    <row r="253" spans="1:46" ht="15.75" customHeight="1">
      <c r="A253" s="382"/>
      <c r="B253" s="383">
        <f t="shared" ca="1" si="0"/>
        <v>3</v>
      </c>
      <c r="C253" s="384">
        <f t="shared" ca="1" si="1"/>
        <v>1</v>
      </c>
      <c r="D253" s="384">
        <f t="shared" ca="1" si="2"/>
        <v>55</v>
      </c>
      <c r="E253" s="384">
        <f t="shared" ca="1" si="3"/>
        <v>5</v>
      </c>
      <c r="F253" s="384" t="str">
        <f t="shared" ca="1" si="4"/>
        <v/>
      </c>
      <c r="G253" s="385" t="str">
        <f t="shared" ca="1" si="5"/>
        <v/>
      </c>
      <c r="H253" s="386" t="str">
        <f t="shared" ca="1" si="6"/>
        <v/>
      </c>
      <c r="I253" s="404"/>
      <c r="J253" s="415"/>
      <c r="K253" s="428"/>
      <c r="L253" s="428" t="s">
        <v>65</v>
      </c>
      <c r="M253" s="428"/>
      <c r="N253" s="428"/>
      <c r="O253" s="428"/>
      <c r="P253" s="428"/>
      <c r="Q253" s="429"/>
      <c r="R253" s="417"/>
      <c r="S253" s="418"/>
      <c r="T253" s="419"/>
      <c r="U253" s="418"/>
      <c r="V253" s="419"/>
      <c r="W253" s="430"/>
      <c r="X253" s="431"/>
      <c r="Y253" s="434"/>
      <c r="Z253" s="433"/>
      <c r="AA253" s="396"/>
      <c r="AB253" s="397"/>
      <c r="AC253" s="398"/>
      <c r="AD253" s="399"/>
      <c r="AE253" s="400"/>
      <c r="AF253" s="401"/>
      <c r="AG253" s="401">
        <f t="shared" si="7"/>
        <v>0</v>
      </c>
      <c r="AH253" s="401">
        <f t="shared" si="8"/>
        <v>0</v>
      </c>
      <c r="AI253" s="401">
        <f t="shared" si="9"/>
        <v>0</v>
      </c>
      <c r="AJ253" s="401">
        <f t="shared" si="10"/>
        <v>0</v>
      </c>
      <c r="AK253" s="401" t="str">
        <f t="shared" si="11"/>
        <v/>
      </c>
      <c r="AL253" s="402">
        <f t="shared" ca="1" si="12"/>
        <v>3</v>
      </c>
      <c r="AM253" s="402">
        <f t="shared" ca="1" si="13"/>
        <v>1</v>
      </c>
      <c r="AN253" s="402">
        <f t="shared" ca="1" si="14"/>
        <v>55</v>
      </c>
      <c r="AO253" s="402">
        <f t="shared" ca="1" si="15"/>
        <v>5</v>
      </c>
      <c r="AP253" s="402">
        <f t="shared" ca="1" si="16"/>
        <v>0</v>
      </c>
      <c r="AQ253" s="402">
        <f t="shared" ca="1" si="17"/>
        <v>0</v>
      </c>
      <c r="AR253" s="402">
        <f t="shared" ca="1" si="18"/>
        <v>0</v>
      </c>
      <c r="AS253" s="403"/>
      <c r="AT253" s="402">
        <f t="shared" si="19"/>
        <v>1</v>
      </c>
    </row>
    <row r="254" spans="1:46" ht="15.75" customHeight="1">
      <c r="A254" s="382"/>
      <c r="B254" s="383">
        <f t="shared" ca="1" si="0"/>
        <v>3</v>
      </c>
      <c r="C254" s="384">
        <f t="shared" ca="1" si="1"/>
        <v>1</v>
      </c>
      <c r="D254" s="384">
        <f t="shared" ca="1" si="2"/>
        <v>55</v>
      </c>
      <c r="E254" s="384">
        <f t="shared" ca="1" si="3"/>
        <v>6</v>
      </c>
      <c r="F254" s="384" t="str">
        <f t="shared" ca="1" si="4"/>
        <v/>
      </c>
      <c r="G254" s="385" t="str">
        <f t="shared" ca="1" si="5"/>
        <v/>
      </c>
      <c r="H254" s="386" t="str">
        <f t="shared" ca="1" si="6"/>
        <v/>
      </c>
      <c r="I254" s="404"/>
      <c r="J254" s="415"/>
      <c r="K254" s="428"/>
      <c r="L254" s="428" t="s">
        <v>66</v>
      </c>
      <c r="M254" s="428"/>
      <c r="N254" s="428"/>
      <c r="O254" s="428"/>
      <c r="P254" s="428"/>
      <c r="Q254" s="429"/>
      <c r="R254" s="417"/>
      <c r="S254" s="418"/>
      <c r="T254" s="419"/>
      <c r="U254" s="418"/>
      <c r="V254" s="419"/>
      <c r="W254" s="430"/>
      <c r="X254" s="431"/>
      <c r="Y254" s="434"/>
      <c r="Z254" s="433"/>
      <c r="AA254" s="396"/>
      <c r="AB254" s="397"/>
      <c r="AC254" s="398"/>
      <c r="AD254" s="399"/>
      <c r="AE254" s="400"/>
      <c r="AF254" s="401"/>
      <c r="AG254" s="401">
        <f t="shared" si="7"/>
        <v>0</v>
      </c>
      <c r="AH254" s="401">
        <f t="shared" si="8"/>
        <v>0</v>
      </c>
      <c r="AI254" s="401">
        <f t="shared" si="9"/>
        <v>0</v>
      </c>
      <c r="AJ254" s="401">
        <f t="shared" si="10"/>
        <v>0</v>
      </c>
      <c r="AK254" s="401" t="str">
        <f t="shared" si="11"/>
        <v/>
      </c>
      <c r="AL254" s="402">
        <f t="shared" ca="1" si="12"/>
        <v>3</v>
      </c>
      <c r="AM254" s="402">
        <f t="shared" ca="1" si="13"/>
        <v>1</v>
      </c>
      <c r="AN254" s="402">
        <f t="shared" ca="1" si="14"/>
        <v>55</v>
      </c>
      <c r="AO254" s="402">
        <f t="shared" ca="1" si="15"/>
        <v>6</v>
      </c>
      <c r="AP254" s="402">
        <f t="shared" ca="1" si="16"/>
        <v>0</v>
      </c>
      <c r="AQ254" s="402">
        <f t="shared" ca="1" si="17"/>
        <v>0</v>
      </c>
      <c r="AR254" s="402">
        <f t="shared" ca="1" si="18"/>
        <v>0</v>
      </c>
      <c r="AS254" s="403"/>
      <c r="AT254" s="402">
        <f t="shared" si="19"/>
        <v>1</v>
      </c>
    </row>
    <row r="255" spans="1:46" ht="15.75" customHeight="1">
      <c r="A255" s="382"/>
      <c r="B255" s="383">
        <f t="shared" ca="1" si="0"/>
        <v>3</v>
      </c>
      <c r="C255" s="384">
        <f t="shared" ca="1" si="1"/>
        <v>1</v>
      </c>
      <c r="D255" s="384">
        <f t="shared" ca="1" si="2"/>
        <v>56</v>
      </c>
      <c r="E255" s="384" t="str">
        <f t="shared" ca="1" si="3"/>
        <v/>
      </c>
      <c r="F255" s="384" t="str">
        <f t="shared" ca="1" si="4"/>
        <v/>
      </c>
      <c r="G255" s="385" t="str">
        <f t="shared" ca="1" si="5"/>
        <v/>
      </c>
      <c r="H255" s="386" t="str">
        <f t="shared" ca="1" si="6"/>
        <v/>
      </c>
      <c r="I255" s="404"/>
      <c r="J255" s="415"/>
      <c r="K255" s="428" t="s">
        <v>348</v>
      </c>
      <c r="L255" s="428"/>
      <c r="M255" s="428"/>
      <c r="N255" s="428"/>
      <c r="O255" s="428"/>
      <c r="P255" s="428"/>
      <c r="Q255" s="429"/>
      <c r="R255" s="417"/>
      <c r="S255" s="418"/>
      <c r="T255" s="419"/>
      <c r="U255" s="418"/>
      <c r="V255" s="419"/>
      <c r="W255" s="430"/>
      <c r="X255" s="431"/>
      <c r="Y255" s="434"/>
      <c r="Z255" s="433"/>
      <c r="AA255" s="396"/>
      <c r="AB255" s="397"/>
      <c r="AC255" s="398"/>
      <c r="AD255" s="399"/>
      <c r="AE255" s="400"/>
      <c r="AF255" s="401"/>
      <c r="AG255" s="401">
        <f t="shared" si="7"/>
        <v>0</v>
      </c>
      <c r="AH255" s="401">
        <f t="shared" si="8"/>
        <v>0</v>
      </c>
      <c r="AI255" s="401">
        <f t="shared" si="9"/>
        <v>0</v>
      </c>
      <c r="AJ255" s="401">
        <f t="shared" si="10"/>
        <v>0</v>
      </c>
      <c r="AK255" s="401" t="str">
        <f t="shared" si="11"/>
        <v/>
      </c>
      <c r="AL255" s="402">
        <f t="shared" ca="1" si="12"/>
        <v>3</v>
      </c>
      <c r="AM255" s="402">
        <f t="shared" ca="1" si="13"/>
        <v>1</v>
      </c>
      <c r="AN255" s="402">
        <f t="shared" ca="1" si="14"/>
        <v>56</v>
      </c>
      <c r="AO255" s="402">
        <f t="shared" ca="1" si="15"/>
        <v>0</v>
      </c>
      <c r="AP255" s="402">
        <f t="shared" ca="1" si="16"/>
        <v>0</v>
      </c>
      <c r="AQ255" s="402">
        <f t="shared" ca="1" si="17"/>
        <v>0</v>
      </c>
      <c r="AR255" s="402">
        <f t="shared" ca="1" si="18"/>
        <v>0</v>
      </c>
      <c r="AS255" s="403"/>
      <c r="AT255" s="402">
        <f t="shared" si="19"/>
        <v>1</v>
      </c>
    </row>
    <row r="256" spans="1:46" ht="15.75" customHeight="1">
      <c r="A256" s="382"/>
      <c r="B256" s="383">
        <f t="shared" ca="1" si="0"/>
        <v>3</v>
      </c>
      <c r="C256" s="384">
        <f t="shared" ca="1" si="1"/>
        <v>1</v>
      </c>
      <c r="D256" s="384">
        <f t="shared" ca="1" si="2"/>
        <v>56</v>
      </c>
      <c r="E256" s="384">
        <f t="shared" ca="1" si="3"/>
        <v>1</v>
      </c>
      <c r="F256" s="384" t="str">
        <f t="shared" ca="1" si="4"/>
        <v/>
      </c>
      <c r="G256" s="385" t="str">
        <f t="shared" ca="1" si="5"/>
        <v/>
      </c>
      <c r="H256" s="386" t="str">
        <f t="shared" ca="1" si="6"/>
        <v/>
      </c>
      <c r="I256" s="404"/>
      <c r="J256" s="415"/>
      <c r="K256" s="428"/>
      <c r="L256" s="428" t="s">
        <v>59</v>
      </c>
      <c r="M256" s="428"/>
      <c r="N256" s="428"/>
      <c r="O256" s="428"/>
      <c r="P256" s="428"/>
      <c r="Q256" s="429"/>
      <c r="R256" s="417"/>
      <c r="S256" s="418"/>
      <c r="T256" s="419"/>
      <c r="U256" s="418"/>
      <c r="V256" s="419"/>
      <c r="W256" s="430"/>
      <c r="X256" s="431"/>
      <c r="Y256" s="434"/>
      <c r="Z256" s="433"/>
      <c r="AA256" s="396"/>
      <c r="AB256" s="397"/>
      <c r="AC256" s="398"/>
      <c r="AD256" s="399"/>
      <c r="AE256" s="400"/>
      <c r="AF256" s="401"/>
      <c r="AG256" s="401">
        <f t="shared" si="7"/>
        <v>0</v>
      </c>
      <c r="AH256" s="401">
        <f t="shared" si="8"/>
        <v>0</v>
      </c>
      <c r="AI256" s="401">
        <f t="shared" si="9"/>
        <v>0</v>
      </c>
      <c r="AJ256" s="401">
        <f t="shared" si="10"/>
        <v>0</v>
      </c>
      <c r="AK256" s="401" t="str">
        <f t="shared" si="11"/>
        <v/>
      </c>
      <c r="AL256" s="402">
        <f t="shared" ca="1" si="12"/>
        <v>3</v>
      </c>
      <c r="AM256" s="402">
        <f t="shared" ca="1" si="13"/>
        <v>1</v>
      </c>
      <c r="AN256" s="402">
        <f t="shared" ca="1" si="14"/>
        <v>56</v>
      </c>
      <c r="AO256" s="402">
        <f t="shared" ca="1" si="15"/>
        <v>1</v>
      </c>
      <c r="AP256" s="402">
        <f t="shared" ca="1" si="16"/>
        <v>0</v>
      </c>
      <c r="AQ256" s="402">
        <f t="shared" ca="1" si="17"/>
        <v>0</v>
      </c>
      <c r="AR256" s="402">
        <f t="shared" ca="1" si="18"/>
        <v>0</v>
      </c>
      <c r="AS256" s="403"/>
      <c r="AT256" s="402">
        <f t="shared" si="19"/>
        <v>1</v>
      </c>
    </row>
    <row r="257" spans="1:46" ht="15.75" customHeight="1">
      <c r="A257" s="382"/>
      <c r="B257" s="383">
        <f t="shared" ca="1" si="0"/>
        <v>3</v>
      </c>
      <c r="C257" s="384">
        <f t="shared" ca="1" si="1"/>
        <v>1</v>
      </c>
      <c r="D257" s="384">
        <f t="shared" ca="1" si="2"/>
        <v>56</v>
      </c>
      <c r="E257" s="384">
        <f t="shared" ca="1" si="3"/>
        <v>2</v>
      </c>
      <c r="F257" s="384" t="str">
        <f t="shared" ca="1" si="4"/>
        <v/>
      </c>
      <c r="G257" s="385" t="str">
        <f t="shared" ca="1" si="5"/>
        <v/>
      </c>
      <c r="H257" s="386" t="str">
        <f t="shared" ca="1" si="6"/>
        <v/>
      </c>
      <c r="I257" s="404"/>
      <c r="J257" s="415"/>
      <c r="K257" s="428"/>
      <c r="L257" s="428" t="s">
        <v>61</v>
      </c>
      <c r="M257" s="428"/>
      <c r="N257" s="428"/>
      <c r="O257" s="428"/>
      <c r="P257" s="428"/>
      <c r="Q257" s="429"/>
      <c r="R257" s="417"/>
      <c r="S257" s="418"/>
      <c r="T257" s="419"/>
      <c r="U257" s="418"/>
      <c r="V257" s="419"/>
      <c r="W257" s="430"/>
      <c r="X257" s="431"/>
      <c r="Y257" s="434"/>
      <c r="Z257" s="433"/>
      <c r="AA257" s="396"/>
      <c r="AB257" s="397"/>
      <c r="AC257" s="398"/>
      <c r="AD257" s="399"/>
      <c r="AE257" s="400"/>
      <c r="AF257" s="401"/>
      <c r="AG257" s="401">
        <f t="shared" si="7"/>
        <v>0</v>
      </c>
      <c r="AH257" s="401">
        <f t="shared" si="8"/>
        <v>0</v>
      </c>
      <c r="AI257" s="401">
        <f t="shared" si="9"/>
        <v>0</v>
      </c>
      <c r="AJ257" s="401">
        <f t="shared" si="10"/>
        <v>0</v>
      </c>
      <c r="AK257" s="401" t="str">
        <f t="shared" si="11"/>
        <v/>
      </c>
      <c r="AL257" s="402">
        <f t="shared" ca="1" si="12"/>
        <v>3</v>
      </c>
      <c r="AM257" s="402">
        <f t="shared" ca="1" si="13"/>
        <v>1</v>
      </c>
      <c r="AN257" s="402">
        <f t="shared" ca="1" si="14"/>
        <v>56</v>
      </c>
      <c r="AO257" s="402">
        <f t="shared" ca="1" si="15"/>
        <v>2</v>
      </c>
      <c r="AP257" s="402">
        <f t="shared" ca="1" si="16"/>
        <v>0</v>
      </c>
      <c r="AQ257" s="402">
        <f t="shared" ca="1" si="17"/>
        <v>0</v>
      </c>
      <c r="AR257" s="402">
        <f t="shared" ca="1" si="18"/>
        <v>0</v>
      </c>
      <c r="AS257" s="403"/>
      <c r="AT257" s="402">
        <f t="shared" si="19"/>
        <v>1</v>
      </c>
    </row>
    <row r="258" spans="1:46" ht="15.75" customHeight="1">
      <c r="A258" s="382"/>
      <c r="B258" s="383">
        <f t="shared" ca="1" si="0"/>
        <v>3</v>
      </c>
      <c r="C258" s="384">
        <f t="shared" ca="1" si="1"/>
        <v>1</v>
      </c>
      <c r="D258" s="384">
        <f t="shared" ca="1" si="2"/>
        <v>56</v>
      </c>
      <c r="E258" s="384">
        <f t="shared" ca="1" si="3"/>
        <v>3</v>
      </c>
      <c r="F258" s="384" t="str">
        <f t="shared" ca="1" si="4"/>
        <v/>
      </c>
      <c r="G258" s="385" t="str">
        <f t="shared" ca="1" si="5"/>
        <v/>
      </c>
      <c r="H258" s="386" t="str">
        <f t="shared" ca="1" si="6"/>
        <v/>
      </c>
      <c r="I258" s="404"/>
      <c r="J258" s="415"/>
      <c r="K258" s="428"/>
      <c r="L258" s="428" t="s">
        <v>63</v>
      </c>
      <c r="M258" s="428"/>
      <c r="N258" s="428"/>
      <c r="O258" s="428"/>
      <c r="P258" s="428"/>
      <c r="Q258" s="429"/>
      <c r="R258" s="417"/>
      <c r="S258" s="418"/>
      <c r="T258" s="419"/>
      <c r="U258" s="418"/>
      <c r="V258" s="419"/>
      <c r="W258" s="430"/>
      <c r="X258" s="431"/>
      <c r="Y258" s="434"/>
      <c r="Z258" s="433"/>
      <c r="AA258" s="396"/>
      <c r="AB258" s="397"/>
      <c r="AC258" s="398"/>
      <c r="AD258" s="399"/>
      <c r="AE258" s="400"/>
      <c r="AF258" s="401"/>
      <c r="AG258" s="401">
        <f t="shared" si="7"/>
        <v>0</v>
      </c>
      <c r="AH258" s="401">
        <f t="shared" si="8"/>
        <v>0</v>
      </c>
      <c r="AI258" s="401">
        <f t="shared" si="9"/>
        <v>0</v>
      </c>
      <c r="AJ258" s="401">
        <f t="shared" si="10"/>
        <v>0</v>
      </c>
      <c r="AK258" s="401" t="str">
        <f t="shared" si="11"/>
        <v/>
      </c>
      <c r="AL258" s="402">
        <f t="shared" ca="1" si="12"/>
        <v>3</v>
      </c>
      <c r="AM258" s="402">
        <f t="shared" ca="1" si="13"/>
        <v>1</v>
      </c>
      <c r="AN258" s="402">
        <f t="shared" ca="1" si="14"/>
        <v>56</v>
      </c>
      <c r="AO258" s="402">
        <f t="shared" ca="1" si="15"/>
        <v>3</v>
      </c>
      <c r="AP258" s="402">
        <f t="shared" ca="1" si="16"/>
        <v>0</v>
      </c>
      <c r="AQ258" s="402">
        <f t="shared" ca="1" si="17"/>
        <v>0</v>
      </c>
      <c r="AR258" s="402">
        <f t="shared" ca="1" si="18"/>
        <v>0</v>
      </c>
      <c r="AS258" s="403"/>
      <c r="AT258" s="402">
        <f t="shared" si="19"/>
        <v>1</v>
      </c>
    </row>
    <row r="259" spans="1:46" ht="15.75" customHeight="1">
      <c r="A259" s="382"/>
      <c r="B259" s="383">
        <f t="shared" ca="1" si="0"/>
        <v>3</v>
      </c>
      <c r="C259" s="384">
        <f t="shared" ca="1" si="1"/>
        <v>1</v>
      </c>
      <c r="D259" s="384">
        <f t="shared" ca="1" si="2"/>
        <v>56</v>
      </c>
      <c r="E259" s="384">
        <f t="shared" ca="1" si="3"/>
        <v>4</v>
      </c>
      <c r="F259" s="384" t="str">
        <f t="shared" ca="1" si="4"/>
        <v/>
      </c>
      <c r="G259" s="385" t="str">
        <f t="shared" ca="1" si="5"/>
        <v/>
      </c>
      <c r="H259" s="386" t="str">
        <f t="shared" ca="1" si="6"/>
        <v/>
      </c>
      <c r="I259" s="404"/>
      <c r="J259" s="415"/>
      <c r="K259" s="428"/>
      <c r="L259" s="428" t="s">
        <v>64</v>
      </c>
      <c r="M259" s="428"/>
      <c r="N259" s="428"/>
      <c r="O259" s="428"/>
      <c r="P259" s="428"/>
      <c r="Q259" s="429"/>
      <c r="R259" s="417"/>
      <c r="S259" s="418"/>
      <c r="T259" s="419"/>
      <c r="U259" s="418"/>
      <c r="V259" s="419"/>
      <c r="W259" s="430"/>
      <c r="X259" s="431"/>
      <c r="Y259" s="434"/>
      <c r="Z259" s="433"/>
      <c r="AA259" s="396"/>
      <c r="AB259" s="397"/>
      <c r="AC259" s="398"/>
      <c r="AD259" s="399"/>
      <c r="AE259" s="400"/>
      <c r="AF259" s="401"/>
      <c r="AG259" s="401">
        <f t="shared" si="7"/>
        <v>0</v>
      </c>
      <c r="AH259" s="401">
        <f t="shared" si="8"/>
        <v>0</v>
      </c>
      <c r="AI259" s="401">
        <f t="shared" si="9"/>
        <v>0</v>
      </c>
      <c r="AJ259" s="401">
        <f t="shared" si="10"/>
        <v>0</v>
      </c>
      <c r="AK259" s="401" t="str">
        <f t="shared" si="11"/>
        <v/>
      </c>
      <c r="AL259" s="402">
        <f t="shared" ca="1" si="12"/>
        <v>3</v>
      </c>
      <c r="AM259" s="402">
        <f t="shared" ca="1" si="13"/>
        <v>1</v>
      </c>
      <c r="AN259" s="402">
        <f t="shared" ca="1" si="14"/>
        <v>56</v>
      </c>
      <c r="AO259" s="402">
        <f t="shared" ca="1" si="15"/>
        <v>4</v>
      </c>
      <c r="AP259" s="402">
        <f t="shared" ca="1" si="16"/>
        <v>0</v>
      </c>
      <c r="AQ259" s="402">
        <f t="shared" ca="1" si="17"/>
        <v>0</v>
      </c>
      <c r="AR259" s="402">
        <f t="shared" ca="1" si="18"/>
        <v>0</v>
      </c>
      <c r="AS259" s="403"/>
      <c r="AT259" s="402">
        <f t="shared" si="19"/>
        <v>1</v>
      </c>
    </row>
    <row r="260" spans="1:46" ht="15.75" customHeight="1">
      <c r="A260" s="382"/>
      <c r="B260" s="383">
        <f t="shared" ca="1" si="0"/>
        <v>3</v>
      </c>
      <c r="C260" s="384">
        <f t="shared" ca="1" si="1"/>
        <v>1</v>
      </c>
      <c r="D260" s="384">
        <f t="shared" ca="1" si="2"/>
        <v>56</v>
      </c>
      <c r="E260" s="384">
        <f t="shared" ca="1" si="3"/>
        <v>5</v>
      </c>
      <c r="F260" s="384" t="str">
        <f t="shared" ca="1" si="4"/>
        <v/>
      </c>
      <c r="G260" s="385" t="str">
        <f t="shared" ca="1" si="5"/>
        <v/>
      </c>
      <c r="H260" s="386" t="str">
        <f t="shared" ca="1" si="6"/>
        <v/>
      </c>
      <c r="I260" s="404"/>
      <c r="J260" s="415"/>
      <c r="K260" s="428"/>
      <c r="L260" s="428" t="s">
        <v>65</v>
      </c>
      <c r="M260" s="428"/>
      <c r="N260" s="428"/>
      <c r="O260" s="428"/>
      <c r="P260" s="428"/>
      <c r="Q260" s="429"/>
      <c r="R260" s="417"/>
      <c r="S260" s="418"/>
      <c r="T260" s="419"/>
      <c r="U260" s="418"/>
      <c r="V260" s="419"/>
      <c r="W260" s="430"/>
      <c r="X260" s="431"/>
      <c r="Y260" s="434"/>
      <c r="Z260" s="433"/>
      <c r="AA260" s="396"/>
      <c r="AB260" s="397"/>
      <c r="AC260" s="398"/>
      <c r="AD260" s="399"/>
      <c r="AE260" s="400"/>
      <c r="AF260" s="401"/>
      <c r="AG260" s="401">
        <f t="shared" si="7"/>
        <v>0</v>
      </c>
      <c r="AH260" s="401">
        <f t="shared" si="8"/>
        <v>0</v>
      </c>
      <c r="AI260" s="401">
        <f t="shared" si="9"/>
        <v>0</v>
      </c>
      <c r="AJ260" s="401">
        <f t="shared" si="10"/>
        <v>0</v>
      </c>
      <c r="AK260" s="401" t="str">
        <f t="shared" si="11"/>
        <v/>
      </c>
      <c r="AL260" s="402">
        <f t="shared" ca="1" si="12"/>
        <v>3</v>
      </c>
      <c r="AM260" s="402">
        <f t="shared" ca="1" si="13"/>
        <v>1</v>
      </c>
      <c r="AN260" s="402">
        <f t="shared" ca="1" si="14"/>
        <v>56</v>
      </c>
      <c r="AO260" s="402">
        <f t="shared" ca="1" si="15"/>
        <v>5</v>
      </c>
      <c r="AP260" s="402">
        <f t="shared" ca="1" si="16"/>
        <v>0</v>
      </c>
      <c r="AQ260" s="402">
        <f t="shared" ca="1" si="17"/>
        <v>0</v>
      </c>
      <c r="AR260" s="402">
        <f t="shared" ca="1" si="18"/>
        <v>0</v>
      </c>
      <c r="AS260" s="403"/>
      <c r="AT260" s="402">
        <f t="shared" si="19"/>
        <v>1</v>
      </c>
    </row>
    <row r="261" spans="1:46" ht="15.75" customHeight="1">
      <c r="A261" s="382"/>
      <c r="B261" s="383">
        <f t="shared" ref="B261:B447" ca="1" si="20">IF(AND(I261="",J261="",K261="",L261="",M261="",N261="",O261=""),"",IF(AL261=0,"",AL261))</f>
        <v>3</v>
      </c>
      <c r="C261" s="384">
        <f t="shared" ref="C261:C447" ca="1" si="21">IF(AND(I261="",J261="",K261="",L261="",M261="",N261="",O261=""),"",IF(AM261=0,"",AM261))</f>
        <v>1</v>
      </c>
      <c r="D261" s="384">
        <f t="shared" ref="D261:D447" ca="1" si="22">IF(AND(I261="",J261="",K261="",L261="",M261="",N261="",O261=""),"",IF(AN261=0,"",AN261))</f>
        <v>56</v>
      </c>
      <c r="E261" s="384">
        <f t="shared" ref="E261:E447" ca="1" si="23">IF(AND(I261="",J261="",K261="",L261="",M261="",N261="",O261=""),"",IF(AO261=0,"",AO261))</f>
        <v>6</v>
      </c>
      <c r="F261" s="384" t="str">
        <f t="shared" ref="F261:F447" ca="1" si="24">IF(AND(I261="",J261="",K261="",L261="",M261="",N261="",O261=""),"",IF(AP261=0,"",AP261))</f>
        <v/>
      </c>
      <c r="G261" s="385" t="str">
        <f t="shared" ref="G261:G447" ca="1" si="25">IF(AND(I261="",J261="",K261="",L261="",M261="",N261="",O261=""),"",IF(AQ261=0,"",AQ261))</f>
        <v/>
      </c>
      <c r="H261" s="386" t="str">
        <f t="shared" ref="H261:H447" ca="1" si="26">IF(AND(I261="",J261="",K261="",L261="",M261="",N261="",O261=""),"",IF(AR261=0,"",AR261))</f>
        <v/>
      </c>
      <c r="I261" s="404"/>
      <c r="J261" s="415"/>
      <c r="K261" s="428"/>
      <c r="L261" s="428" t="s">
        <v>66</v>
      </c>
      <c r="M261" s="428"/>
      <c r="N261" s="428"/>
      <c r="O261" s="428"/>
      <c r="P261" s="428"/>
      <c r="Q261" s="429"/>
      <c r="R261" s="417"/>
      <c r="S261" s="418"/>
      <c r="T261" s="419"/>
      <c r="U261" s="418"/>
      <c r="V261" s="419"/>
      <c r="W261" s="430"/>
      <c r="X261" s="431"/>
      <c r="Y261" s="434"/>
      <c r="Z261" s="433"/>
      <c r="AA261" s="396"/>
      <c r="AB261" s="397"/>
      <c r="AC261" s="398"/>
      <c r="AD261" s="399"/>
      <c r="AE261" s="400"/>
      <c r="AF261" s="401"/>
      <c r="AG261" s="401">
        <f t="shared" ref="AG261:AG447" si="27">IF(T261&lt;&gt;"",IF(Z$1&gt;=T261,IF(S261&lt;&gt;"",IF(T261&gt;=S261,AF261,0),0),IF(S261&lt;&gt;"",IF(Z$1&gt;=S261,AF261*0.25,0),0)),IF(S261&lt;&gt;"",IF(Z$1&gt;=S261,AF261*0.25,0),0))</f>
        <v>0</v>
      </c>
      <c r="AH261" s="401">
        <f t="shared" ref="AH261:AH447" si="28">IF(T261&lt;&gt;"",IF(AA$1&gt;=T261,IF(S261&lt;&gt;"",IF(T261&gt;=S261,AF261,0),0),IF(S261&lt;&gt;"",IF(AA$1&gt;=S261,AF261*0.25,0),0)),IF(S261&lt;&gt;"",IF(AA$1&gt;=S261,AF261*0.25,0),0))</f>
        <v>0</v>
      </c>
      <c r="AI261" s="401">
        <f t="shared" ref="AI261:AI447" si="29">IF(V261&lt;&gt;"",AF261,IF(U261&lt;&gt;"",AF261*0.25,0))</f>
        <v>0</v>
      </c>
      <c r="AJ261" s="401">
        <f t="shared" ref="AJ261:AJ447" si="30">AI261-AG261</f>
        <v>0</v>
      </c>
      <c r="AK261" s="401" t="str">
        <f t="shared" ref="AK261:AK447" si="31">IF(ISERROR(AI261/AG261),"",AI261/AG261)</f>
        <v/>
      </c>
      <c r="AL261" s="402">
        <f t="shared" ref="AL261:AL447" ca="1" si="32">IF(I261="",OFFSET(AL261,-1,0),OFFSET(AL261,-1,0)+1)</f>
        <v>3</v>
      </c>
      <c r="AM261" s="402">
        <f t="shared" ref="AM261:AM447" ca="1" si="33">IF(I261&lt;&gt;"",0,IF(J261="",OFFSET(AM261,-1,0),OFFSET(AM261,-1,0)+1))</f>
        <v>1</v>
      </c>
      <c r="AN261" s="402">
        <f t="shared" ref="AN261:AN447" ca="1" si="34">IF(I261&lt;&gt;"",0,IF(J261&lt;&gt;"",0,IF(K261="",OFFSET(AN261,-1,0),OFFSET(AN261,-1,0)+1)))</f>
        <v>56</v>
      </c>
      <c r="AO261" s="402">
        <f t="shared" ref="AO261:AO447" ca="1" si="35">IF(I261&lt;&gt;"",0,IF(J261&lt;&gt;"",0,IF(K261&lt;&gt;"",0,IF(L261="",OFFSET(AO261,-1,0),OFFSET(AO261,-1,0)+1))))</f>
        <v>6</v>
      </c>
      <c r="AP261" s="402">
        <f t="shared" ref="AP261:AP447" ca="1" si="36">IF(I261&lt;&gt;"",0,IF(J261&lt;&gt;"",0,IF(K261&lt;&gt;"",0,IF(L261&lt;&gt;"",0,IF(M261="",OFFSET(AP261,-1,0),OFFSET(AP261,-1,0)+1)))))</f>
        <v>0</v>
      </c>
      <c r="AQ261" s="402">
        <f t="shared" ref="AQ261:AQ447" ca="1" si="37">IF(I261&lt;&gt;"",0,IF(J261&lt;&gt;"",0,IF(K261&lt;&gt;"",0,IF(L261&lt;&gt;"",0,IF(M261&lt;&gt;"",0,IF(N261="",OFFSET(AQ261,-1,0),OFFSET(AQ261,-1,0)+1))))))</f>
        <v>0</v>
      </c>
      <c r="AR261" s="402">
        <f t="shared" ref="AR261:AR447" ca="1" si="38">IF(I261&lt;&gt;"",0,IF(J261&lt;&gt;"",0,IF(K261&lt;&gt;"",0,IF(L261&lt;&gt;"",0,IF(M261&lt;&gt;"",0,IF(N261&lt;&gt;"",0,IF(O261="",OFFSET(AR261,-1,0),OFFSET(AR261,-1,0)+1)))))))</f>
        <v>0</v>
      </c>
      <c r="AS261" s="403"/>
      <c r="AT261" s="402">
        <f t="shared" ref="AT261:AT447" si="39">IF(((T261-S261)+1)&lt;0,0,((T261-S261)+1))</f>
        <v>1</v>
      </c>
    </row>
    <row r="262" spans="1:46" ht="15.75" customHeight="1">
      <c r="A262" s="382"/>
      <c r="B262" s="383">
        <f t="shared" ca="1" si="20"/>
        <v>3</v>
      </c>
      <c r="C262" s="384">
        <f t="shared" ca="1" si="21"/>
        <v>1</v>
      </c>
      <c r="D262" s="384">
        <f t="shared" ca="1" si="22"/>
        <v>57</v>
      </c>
      <c r="E262" s="384" t="str">
        <f t="shared" ca="1" si="23"/>
        <v/>
      </c>
      <c r="F262" s="384" t="str">
        <f t="shared" ca="1" si="24"/>
        <v/>
      </c>
      <c r="G262" s="385" t="str">
        <f t="shared" ca="1" si="25"/>
        <v/>
      </c>
      <c r="H262" s="386" t="str">
        <f t="shared" ca="1" si="26"/>
        <v/>
      </c>
      <c r="I262" s="404"/>
      <c r="J262" s="415"/>
      <c r="K262" s="428" t="s">
        <v>349</v>
      </c>
      <c r="L262" s="428"/>
      <c r="M262" s="428"/>
      <c r="N262" s="428"/>
      <c r="O262" s="428"/>
      <c r="P262" s="428"/>
      <c r="Q262" s="429"/>
      <c r="R262" s="417"/>
      <c r="S262" s="418"/>
      <c r="T262" s="419"/>
      <c r="U262" s="418"/>
      <c r="V262" s="419"/>
      <c r="W262" s="430"/>
      <c r="X262" s="431"/>
      <c r="Y262" s="434"/>
      <c r="Z262" s="433"/>
      <c r="AA262" s="396"/>
      <c r="AB262" s="397"/>
      <c r="AC262" s="398"/>
      <c r="AD262" s="399"/>
      <c r="AE262" s="400"/>
      <c r="AF262" s="401"/>
      <c r="AG262" s="401">
        <f t="shared" si="27"/>
        <v>0</v>
      </c>
      <c r="AH262" s="401">
        <f t="shared" si="28"/>
        <v>0</v>
      </c>
      <c r="AI262" s="401">
        <f t="shared" si="29"/>
        <v>0</v>
      </c>
      <c r="AJ262" s="401">
        <f t="shared" si="30"/>
        <v>0</v>
      </c>
      <c r="AK262" s="401" t="str">
        <f t="shared" si="31"/>
        <v/>
      </c>
      <c r="AL262" s="402">
        <f t="shared" ca="1" si="32"/>
        <v>3</v>
      </c>
      <c r="AM262" s="402">
        <f t="shared" ca="1" si="33"/>
        <v>1</v>
      </c>
      <c r="AN262" s="402">
        <f t="shared" ca="1" si="34"/>
        <v>57</v>
      </c>
      <c r="AO262" s="402">
        <f t="shared" ca="1" si="35"/>
        <v>0</v>
      </c>
      <c r="AP262" s="402">
        <f t="shared" ca="1" si="36"/>
        <v>0</v>
      </c>
      <c r="AQ262" s="402">
        <f t="shared" ca="1" si="37"/>
        <v>0</v>
      </c>
      <c r="AR262" s="402">
        <f t="shared" ca="1" si="38"/>
        <v>0</v>
      </c>
      <c r="AS262" s="403"/>
      <c r="AT262" s="402">
        <f t="shared" si="39"/>
        <v>1</v>
      </c>
    </row>
    <row r="263" spans="1:46" ht="15.75" customHeight="1">
      <c r="A263" s="382"/>
      <c r="B263" s="383">
        <f t="shared" ca="1" si="20"/>
        <v>3</v>
      </c>
      <c r="C263" s="384">
        <f t="shared" ca="1" si="21"/>
        <v>1</v>
      </c>
      <c r="D263" s="384">
        <f t="shared" ca="1" si="22"/>
        <v>57</v>
      </c>
      <c r="E263" s="384">
        <f t="shared" ca="1" si="23"/>
        <v>1</v>
      </c>
      <c r="F263" s="384" t="str">
        <f t="shared" ca="1" si="24"/>
        <v/>
      </c>
      <c r="G263" s="385" t="str">
        <f t="shared" ca="1" si="25"/>
        <v/>
      </c>
      <c r="H263" s="386" t="str">
        <f t="shared" ca="1" si="26"/>
        <v/>
      </c>
      <c r="I263" s="404"/>
      <c r="J263" s="415"/>
      <c r="K263" s="428"/>
      <c r="L263" s="428" t="s">
        <v>59</v>
      </c>
      <c r="M263" s="428"/>
      <c r="N263" s="428"/>
      <c r="O263" s="428"/>
      <c r="P263" s="428"/>
      <c r="Q263" s="429"/>
      <c r="R263" s="417"/>
      <c r="S263" s="418"/>
      <c r="T263" s="419"/>
      <c r="U263" s="418"/>
      <c r="V263" s="419"/>
      <c r="W263" s="430"/>
      <c r="X263" s="431"/>
      <c r="Y263" s="434"/>
      <c r="Z263" s="433"/>
      <c r="AA263" s="396"/>
      <c r="AB263" s="397"/>
      <c r="AC263" s="398"/>
      <c r="AD263" s="399"/>
      <c r="AE263" s="400"/>
      <c r="AF263" s="401"/>
      <c r="AG263" s="401">
        <f t="shared" si="27"/>
        <v>0</v>
      </c>
      <c r="AH263" s="401">
        <f t="shared" si="28"/>
        <v>0</v>
      </c>
      <c r="AI263" s="401">
        <f t="shared" si="29"/>
        <v>0</v>
      </c>
      <c r="AJ263" s="401">
        <f t="shared" si="30"/>
        <v>0</v>
      </c>
      <c r="AK263" s="401" t="str">
        <f t="shared" si="31"/>
        <v/>
      </c>
      <c r="AL263" s="402">
        <f t="shared" ca="1" si="32"/>
        <v>3</v>
      </c>
      <c r="AM263" s="402">
        <f t="shared" ca="1" si="33"/>
        <v>1</v>
      </c>
      <c r="AN263" s="402">
        <f t="shared" ca="1" si="34"/>
        <v>57</v>
      </c>
      <c r="AO263" s="402">
        <f t="shared" ca="1" si="35"/>
        <v>1</v>
      </c>
      <c r="AP263" s="402">
        <f t="shared" ca="1" si="36"/>
        <v>0</v>
      </c>
      <c r="AQ263" s="402">
        <f t="shared" ca="1" si="37"/>
        <v>0</v>
      </c>
      <c r="AR263" s="402">
        <f t="shared" ca="1" si="38"/>
        <v>0</v>
      </c>
      <c r="AS263" s="403"/>
      <c r="AT263" s="402">
        <f t="shared" si="39"/>
        <v>1</v>
      </c>
    </row>
    <row r="264" spans="1:46" ht="15.75" customHeight="1">
      <c r="A264" s="382"/>
      <c r="B264" s="383">
        <f t="shared" ca="1" si="20"/>
        <v>3</v>
      </c>
      <c r="C264" s="384">
        <f t="shared" ca="1" si="21"/>
        <v>1</v>
      </c>
      <c r="D264" s="384">
        <f t="shared" ca="1" si="22"/>
        <v>57</v>
      </c>
      <c r="E264" s="384">
        <f t="shared" ca="1" si="23"/>
        <v>2</v>
      </c>
      <c r="F264" s="384" t="str">
        <f t="shared" ca="1" si="24"/>
        <v/>
      </c>
      <c r="G264" s="385" t="str">
        <f t="shared" ca="1" si="25"/>
        <v/>
      </c>
      <c r="H264" s="386" t="str">
        <f t="shared" ca="1" si="26"/>
        <v/>
      </c>
      <c r="I264" s="404"/>
      <c r="J264" s="415"/>
      <c r="K264" s="428"/>
      <c r="L264" s="428" t="s">
        <v>61</v>
      </c>
      <c r="M264" s="428"/>
      <c r="N264" s="428"/>
      <c r="O264" s="428"/>
      <c r="P264" s="428"/>
      <c r="Q264" s="429"/>
      <c r="R264" s="417"/>
      <c r="S264" s="418"/>
      <c r="T264" s="419"/>
      <c r="U264" s="418"/>
      <c r="V264" s="419"/>
      <c r="W264" s="430"/>
      <c r="X264" s="431"/>
      <c r="Y264" s="434"/>
      <c r="Z264" s="433"/>
      <c r="AA264" s="396"/>
      <c r="AB264" s="397"/>
      <c r="AC264" s="398"/>
      <c r="AD264" s="399"/>
      <c r="AE264" s="400"/>
      <c r="AF264" s="401"/>
      <c r="AG264" s="401">
        <f t="shared" si="27"/>
        <v>0</v>
      </c>
      <c r="AH264" s="401">
        <f t="shared" si="28"/>
        <v>0</v>
      </c>
      <c r="AI264" s="401">
        <f t="shared" si="29"/>
        <v>0</v>
      </c>
      <c r="AJ264" s="401">
        <f t="shared" si="30"/>
        <v>0</v>
      </c>
      <c r="AK264" s="401" t="str">
        <f t="shared" si="31"/>
        <v/>
      </c>
      <c r="AL264" s="402">
        <f t="shared" ca="1" si="32"/>
        <v>3</v>
      </c>
      <c r="AM264" s="402">
        <f t="shared" ca="1" si="33"/>
        <v>1</v>
      </c>
      <c r="AN264" s="402">
        <f t="shared" ca="1" si="34"/>
        <v>57</v>
      </c>
      <c r="AO264" s="402">
        <f t="shared" ca="1" si="35"/>
        <v>2</v>
      </c>
      <c r="AP264" s="402">
        <f t="shared" ca="1" si="36"/>
        <v>0</v>
      </c>
      <c r="AQ264" s="402">
        <f t="shared" ca="1" si="37"/>
        <v>0</v>
      </c>
      <c r="AR264" s="402">
        <f t="shared" ca="1" si="38"/>
        <v>0</v>
      </c>
      <c r="AS264" s="403"/>
      <c r="AT264" s="402">
        <f t="shared" si="39"/>
        <v>1</v>
      </c>
    </row>
    <row r="265" spans="1:46" ht="15.75" customHeight="1">
      <c r="A265" s="382"/>
      <c r="B265" s="383">
        <f t="shared" ca="1" si="20"/>
        <v>3</v>
      </c>
      <c r="C265" s="384">
        <f t="shared" ca="1" si="21"/>
        <v>1</v>
      </c>
      <c r="D265" s="384">
        <f t="shared" ca="1" si="22"/>
        <v>57</v>
      </c>
      <c r="E265" s="384">
        <f t="shared" ca="1" si="23"/>
        <v>3</v>
      </c>
      <c r="F265" s="384" t="str">
        <f t="shared" ca="1" si="24"/>
        <v/>
      </c>
      <c r="G265" s="385" t="str">
        <f t="shared" ca="1" si="25"/>
        <v/>
      </c>
      <c r="H265" s="386" t="str">
        <f t="shared" ca="1" si="26"/>
        <v/>
      </c>
      <c r="I265" s="404"/>
      <c r="J265" s="415"/>
      <c r="K265" s="428"/>
      <c r="L265" s="428" t="s">
        <v>63</v>
      </c>
      <c r="M265" s="428"/>
      <c r="N265" s="428"/>
      <c r="O265" s="428"/>
      <c r="P265" s="428"/>
      <c r="Q265" s="429"/>
      <c r="R265" s="417"/>
      <c r="S265" s="418"/>
      <c r="T265" s="419"/>
      <c r="U265" s="418"/>
      <c r="V265" s="419"/>
      <c r="W265" s="430"/>
      <c r="X265" s="431"/>
      <c r="Y265" s="434"/>
      <c r="Z265" s="433"/>
      <c r="AA265" s="396"/>
      <c r="AB265" s="397"/>
      <c r="AC265" s="398"/>
      <c r="AD265" s="399"/>
      <c r="AE265" s="400"/>
      <c r="AF265" s="401"/>
      <c r="AG265" s="401">
        <f t="shared" si="27"/>
        <v>0</v>
      </c>
      <c r="AH265" s="401">
        <f t="shared" si="28"/>
        <v>0</v>
      </c>
      <c r="AI265" s="401">
        <f t="shared" si="29"/>
        <v>0</v>
      </c>
      <c r="AJ265" s="401">
        <f t="shared" si="30"/>
        <v>0</v>
      </c>
      <c r="AK265" s="401" t="str">
        <f t="shared" si="31"/>
        <v/>
      </c>
      <c r="AL265" s="402">
        <f t="shared" ca="1" si="32"/>
        <v>3</v>
      </c>
      <c r="AM265" s="402">
        <f t="shared" ca="1" si="33"/>
        <v>1</v>
      </c>
      <c r="AN265" s="402">
        <f t="shared" ca="1" si="34"/>
        <v>57</v>
      </c>
      <c r="AO265" s="402">
        <f t="shared" ca="1" si="35"/>
        <v>3</v>
      </c>
      <c r="AP265" s="402">
        <f t="shared" ca="1" si="36"/>
        <v>0</v>
      </c>
      <c r="AQ265" s="402">
        <f t="shared" ca="1" si="37"/>
        <v>0</v>
      </c>
      <c r="AR265" s="402">
        <f t="shared" ca="1" si="38"/>
        <v>0</v>
      </c>
      <c r="AS265" s="403"/>
      <c r="AT265" s="402">
        <f t="shared" si="39"/>
        <v>1</v>
      </c>
    </row>
    <row r="266" spans="1:46" ht="15.75" customHeight="1">
      <c r="A266" s="382"/>
      <c r="B266" s="383">
        <f t="shared" ca="1" si="20"/>
        <v>3</v>
      </c>
      <c r="C266" s="384">
        <f t="shared" ca="1" si="21"/>
        <v>1</v>
      </c>
      <c r="D266" s="384">
        <f t="shared" ca="1" si="22"/>
        <v>57</v>
      </c>
      <c r="E266" s="384">
        <f t="shared" ca="1" si="23"/>
        <v>4</v>
      </c>
      <c r="F266" s="384" t="str">
        <f t="shared" ca="1" si="24"/>
        <v/>
      </c>
      <c r="G266" s="385" t="str">
        <f t="shared" ca="1" si="25"/>
        <v/>
      </c>
      <c r="H266" s="386" t="str">
        <f t="shared" ca="1" si="26"/>
        <v/>
      </c>
      <c r="I266" s="404"/>
      <c r="J266" s="415"/>
      <c r="K266" s="428"/>
      <c r="L266" s="428" t="s">
        <v>64</v>
      </c>
      <c r="M266" s="428"/>
      <c r="N266" s="428"/>
      <c r="O266" s="428"/>
      <c r="P266" s="428"/>
      <c r="Q266" s="429"/>
      <c r="R266" s="417"/>
      <c r="S266" s="418"/>
      <c r="T266" s="419"/>
      <c r="U266" s="418"/>
      <c r="V266" s="419"/>
      <c r="W266" s="430"/>
      <c r="X266" s="431"/>
      <c r="Y266" s="434"/>
      <c r="Z266" s="433"/>
      <c r="AA266" s="396"/>
      <c r="AB266" s="397"/>
      <c r="AC266" s="398"/>
      <c r="AD266" s="399"/>
      <c r="AE266" s="400"/>
      <c r="AF266" s="401"/>
      <c r="AG266" s="401">
        <f t="shared" si="27"/>
        <v>0</v>
      </c>
      <c r="AH266" s="401">
        <f t="shared" si="28"/>
        <v>0</v>
      </c>
      <c r="AI266" s="401">
        <f t="shared" si="29"/>
        <v>0</v>
      </c>
      <c r="AJ266" s="401">
        <f t="shared" si="30"/>
        <v>0</v>
      </c>
      <c r="AK266" s="401" t="str">
        <f t="shared" si="31"/>
        <v/>
      </c>
      <c r="AL266" s="402">
        <f t="shared" ca="1" si="32"/>
        <v>3</v>
      </c>
      <c r="AM266" s="402">
        <f t="shared" ca="1" si="33"/>
        <v>1</v>
      </c>
      <c r="AN266" s="402">
        <f t="shared" ca="1" si="34"/>
        <v>57</v>
      </c>
      <c r="AO266" s="402">
        <f t="shared" ca="1" si="35"/>
        <v>4</v>
      </c>
      <c r="AP266" s="402">
        <f t="shared" ca="1" si="36"/>
        <v>0</v>
      </c>
      <c r="AQ266" s="402">
        <f t="shared" ca="1" si="37"/>
        <v>0</v>
      </c>
      <c r="AR266" s="402">
        <f t="shared" ca="1" si="38"/>
        <v>0</v>
      </c>
      <c r="AS266" s="403"/>
      <c r="AT266" s="402">
        <f t="shared" si="39"/>
        <v>1</v>
      </c>
    </row>
    <row r="267" spans="1:46" ht="15.75" customHeight="1">
      <c r="A267" s="382"/>
      <c r="B267" s="383">
        <f t="shared" ca="1" si="20"/>
        <v>3</v>
      </c>
      <c r="C267" s="384">
        <f t="shared" ca="1" si="21"/>
        <v>1</v>
      </c>
      <c r="D267" s="384">
        <f t="shared" ca="1" si="22"/>
        <v>57</v>
      </c>
      <c r="E267" s="384">
        <f t="shared" ca="1" si="23"/>
        <v>5</v>
      </c>
      <c r="F267" s="384" t="str">
        <f t="shared" ca="1" si="24"/>
        <v/>
      </c>
      <c r="G267" s="385" t="str">
        <f t="shared" ca="1" si="25"/>
        <v/>
      </c>
      <c r="H267" s="386" t="str">
        <f t="shared" ca="1" si="26"/>
        <v/>
      </c>
      <c r="I267" s="404"/>
      <c r="J267" s="415"/>
      <c r="K267" s="428"/>
      <c r="L267" s="428" t="s">
        <v>65</v>
      </c>
      <c r="M267" s="428"/>
      <c r="N267" s="428"/>
      <c r="O267" s="428"/>
      <c r="P267" s="428"/>
      <c r="Q267" s="429"/>
      <c r="R267" s="417"/>
      <c r="S267" s="418"/>
      <c r="T267" s="419"/>
      <c r="U267" s="418"/>
      <c r="V267" s="419"/>
      <c r="W267" s="430"/>
      <c r="X267" s="431"/>
      <c r="Y267" s="434"/>
      <c r="Z267" s="433"/>
      <c r="AA267" s="396"/>
      <c r="AB267" s="397"/>
      <c r="AC267" s="398"/>
      <c r="AD267" s="399"/>
      <c r="AE267" s="400"/>
      <c r="AF267" s="401"/>
      <c r="AG267" s="401">
        <f t="shared" si="27"/>
        <v>0</v>
      </c>
      <c r="AH267" s="401">
        <f t="shared" si="28"/>
        <v>0</v>
      </c>
      <c r="AI267" s="401">
        <f t="shared" si="29"/>
        <v>0</v>
      </c>
      <c r="AJ267" s="401">
        <f t="shared" si="30"/>
        <v>0</v>
      </c>
      <c r="AK267" s="401" t="str">
        <f t="shared" si="31"/>
        <v/>
      </c>
      <c r="AL267" s="402">
        <f t="shared" ca="1" si="32"/>
        <v>3</v>
      </c>
      <c r="AM267" s="402">
        <f t="shared" ca="1" si="33"/>
        <v>1</v>
      </c>
      <c r="AN267" s="402">
        <f t="shared" ca="1" si="34"/>
        <v>57</v>
      </c>
      <c r="AO267" s="402">
        <f t="shared" ca="1" si="35"/>
        <v>5</v>
      </c>
      <c r="AP267" s="402">
        <f t="shared" ca="1" si="36"/>
        <v>0</v>
      </c>
      <c r="AQ267" s="402">
        <f t="shared" ca="1" si="37"/>
        <v>0</v>
      </c>
      <c r="AR267" s="402">
        <f t="shared" ca="1" si="38"/>
        <v>0</v>
      </c>
      <c r="AS267" s="403"/>
      <c r="AT267" s="402">
        <f t="shared" si="39"/>
        <v>1</v>
      </c>
    </row>
    <row r="268" spans="1:46" ht="15.75" customHeight="1">
      <c r="A268" s="382"/>
      <c r="B268" s="383">
        <f t="shared" ca="1" si="20"/>
        <v>3</v>
      </c>
      <c r="C268" s="384">
        <f t="shared" ca="1" si="21"/>
        <v>1</v>
      </c>
      <c r="D268" s="384">
        <f t="shared" ca="1" si="22"/>
        <v>57</v>
      </c>
      <c r="E268" s="384">
        <f t="shared" ca="1" si="23"/>
        <v>6</v>
      </c>
      <c r="F268" s="384" t="str">
        <f t="shared" ca="1" si="24"/>
        <v/>
      </c>
      <c r="G268" s="385" t="str">
        <f t="shared" ca="1" si="25"/>
        <v/>
      </c>
      <c r="H268" s="386" t="str">
        <f t="shared" ca="1" si="26"/>
        <v/>
      </c>
      <c r="I268" s="404"/>
      <c r="J268" s="415"/>
      <c r="K268" s="428"/>
      <c r="L268" s="428" t="s">
        <v>66</v>
      </c>
      <c r="M268" s="428"/>
      <c r="N268" s="428"/>
      <c r="O268" s="428"/>
      <c r="P268" s="428"/>
      <c r="Q268" s="429"/>
      <c r="R268" s="417"/>
      <c r="S268" s="418"/>
      <c r="T268" s="419"/>
      <c r="U268" s="418"/>
      <c r="V268" s="419"/>
      <c r="W268" s="430"/>
      <c r="X268" s="431"/>
      <c r="Y268" s="434"/>
      <c r="Z268" s="433"/>
      <c r="AA268" s="396"/>
      <c r="AB268" s="397"/>
      <c r="AC268" s="398"/>
      <c r="AD268" s="399"/>
      <c r="AE268" s="400"/>
      <c r="AF268" s="401"/>
      <c r="AG268" s="401">
        <f t="shared" si="27"/>
        <v>0</v>
      </c>
      <c r="AH268" s="401">
        <f t="shared" si="28"/>
        <v>0</v>
      </c>
      <c r="AI268" s="401">
        <f t="shared" si="29"/>
        <v>0</v>
      </c>
      <c r="AJ268" s="401">
        <f t="shared" si="30"/>
        <v>0</v>
      </c>
      <c r="AK268" s="401" t="str">
        <f t="shared" si="31"/>
        <v/>
      </c>
      <c r="AL268" s="402">
        <f t="shared" ca="1" si="32"/>
        <v>3</v>
      </c>
      <c r="AM268" s="402">
        <f t="shared" ca="1" si="33"/>
        <v>1</v>
      </c>
      <c r="AN268" s="402">
        <f t="shared" ca="1" si="34"/>
        <v>57</v>
      </c>
      <c r="AO268" s="402">
        <f t="shared" ca="1" si="35"/>
        <v>6</v>
      </c>
      <c r="AP268" s="402">
        <f t="shared" ca="1" si="36"/>
        <v>0</v>
      </c>
      <c r="AQ268" s="402">
        <f t="shared" ca="1" si="37"/>
        <v>0</v>
      </c>
      <c r="AR268" s="402">
        <f t="shared" ca="1" si="38"/>
        <v>0</v>
      </c>
      <c r="AS268" s="403"/>
      <c r="AT268" s="402">
        <f t="shared" si="39"/>
        <v>1</v>
      </c>
    </row>
    <row r="269" spans="1:46" ht="15.75" customHeight="1">
      <c r="A269" s="382"/>
      <c r="B269" s="383">
        <f t="shared" ca="1" si="20"/>
        <v>3</v>
      </c>
      <c r="C269" s="384">
        <f t="shared" ca="1" si="21"/>
        <v>1</v>
      </c>
      <c r="D269" s="384">
        <f t="shared" ca="1" si="22"/>
        <v>58</v>
      </c>
      <c r="E269" s="384" t="str">
        <f t="shared" ca="1" si="23"/>
        <v/>
      </c>
      <c r="F269" s="384" t="str">
        <f t="shared" ca="1" si="24"/>
        <v/>
      </c>
      <c r="G269" s="385" t="str">
        <f t="shared" ca="1" si="25"/>
        <v/>
      </c>
      <c r="H269" s="386" t="str">
        <f t="shared" ca="1" si="26"/>
        <v/>
      </c>
      <c r="I269" s="404"/>
      <c r="J269" s="415"/>
      <c r="K269" s="428" t="s">
        <v>350</v>
      </c>
      <c r="L269" s="428"/>
      <c r="M269" s="428"/>
      <c r="N269" s="428"/>
      <c r="O269" s="428"/>
      <c r="P269" s="428"/>
      <c r="Q269" s="429"/>
      <c r="R269" s="417"/>
      <c r="S269" s="418"/>
      <c r="T269" s="419"/>
      <c r="U269" s="418"/>
      <c r="V269" s="419"/>
      <c r="W269" s="430"/>
      <c r="X269" s="431"/>
      <c r="Y269" s="434"/>
      <c r="Z269" s="433"/>
      <c r="AA269" s="396"/>
      <c r="AB269" s="397"/>
      <c r="AC269" s="398"/>
      <c r="AD269" s="399"/>
      <c r="AE269" s="400"/>
      <c r="AF269" s="401"/>
      <c r="AG269" s="401">
        <f t="shared" si="27"/>
        <v>0</v>
      </c>
      <c r="AH269" s="401">
        <f t="shared" si="28"/>
        <v>0</v>
      </c>
      <c r="AI269" s="401">
        <f t="shared" si="29"/>
        <v>0</v>
      </c>
      <c r="AJ269" s="401">
        <f t="shared" si="30"/>
        <v>0</v>
      </c>
      <c r="AK269" s="401" t="str">
        <f t="shared" si="31"/>
        <v/>
      </c>
      <c r="AL269" s="402">
        <f t="shared" ca="1" si="32"/>
        <v>3</v>
      </c>
      <c r="AM269" s="402">
        <f t="shared" ca="1" si="33"/>
        <v>1</v>
      </c>
      <c r="AN269" s="402">
        <f t="shared" ca="1" si="34"/>
        <v>58</v>
      </c>
      <c r="AO269" s="402">
        <f t="shared" ca="1" si="35"/>
        <v>0</v>
      </c>
      <c r="AP269" s="402">
        <f t="shared" ca="1" si="36"/>
        <v>0</v>
      </c>
      <c r="AQ269" s="402">
        <f t="shared" ca="1" si="37"/>
        <v>0</v>
      </c>
      <c r="AR269" s="402">
        <f t="shared" ca="1" si="38"/>
        <v>0</v>
      </c>
      <c r="AS269" s="403"/>
      <c r="AT269" s="402">
        <f t="shared" si="39"/>
        <v>1</v>
      </c>
    </row>
    <row r="270" spans="1:46" ht="15.75" customHeight="1">
      <c r="A270" s="382"/>
      <c r="B270" s="383">
        <f t="shared" ca="1" si="20"/>
        <v>3</v>
      </c>
      <c r="C270" s="384">
        <f t="shared" ca="1" si="21"/>
        <v>1</v>
      </c>
      <c r="D270" s="384">
        <f t="shared" ca="1" si="22"/>
        <v>58</v>
      </c>
      <c r="E270" s="384">
        <f t="shared" ca="1" si="23"/>
        <v>1</v>
      </c>
      <c r="F270" s="384" t="str">
        <f t="shared" ca="1" si="24"/>
        <v/>
      </c>
      <c r="G270" s="385" t="str">
        <f t="shared" ca="1" si="25"/>
        <v/>
      </c>
      <c r="H270" s="386" t="str">
        <f t="shared" ca="1" si="26"/>
        <v/>
      </c>
      <c r="I270" s="404"/>
      <c r="J270" s="415"/>
      <c r="K270" s="428"/>
      <c r="L270" s="428" t="s">
        <v>59</v>
      </c>
      <c r="M270" s="428"/>
      <c r="N270" s="428"/>
      <c r="O270" s="428"/>
      <c r="P270" s="428"/>
      <c r="Q270" s="429"/>
      <c r="R270" s="417"/>
      <c r="S270" s="418"/>
      <c r="T270" s="419"/>
      <c r="U270" s="418"/>
      <c r="V270" s="419"/>
      <c r="W270" s="430"/>
      <c r="X270" s="431"/>
      <c r="Y270" s="434"/>
      <c r="Z270" s="433"/>
      <c r="AA270" s="396"/>
      <c r="AB270" s="397"/>
      <c r="AC270" s="398"/>
      <c r="AD270" s="399"/>
      <c r="AE270" s="400"/>
      <c r="AF270" s="401"/>
      <c r="AG270" s="401">
        <f t="shared" si="27"/>
        <v>0</v>
      </c>
      <c r="AH270" s="401">
        <f t="shared" si="28"/>
        <v>0</v>
      </c>
      <c r="AI270" s="401">
        <f t="shared" si="29"/>
        <v>0</v>
      </c>
      <c r="AJ270" s="401">
        <f t="shared" si="30"/>
        <v>0</v>
      </c>
      <c r="AK270" s="401" t="str">
        <f t="shared" si="31"/>
        <v/>
      </c>
      <c r="AL270" s="402">
        <f t="shared" ca="1" si="32"/>
        <v>3</v>
      </c>
      <c r="AM270" s="402">
        <f t="shared" ca="1" si="33"/>
        <v>1</v>
      </c>
      <c r="AN270" s="402">
        <f t="shared" ca="1" si="34"/>
        <v>58</v>
      </c>
      <c r="AO270" s="402">
        <f t="shared" ca="1" si="35"/>
        <v>1</v>
      </c>
      <c r="AP270" s="402">
        <f t="shared" ca="1" si="36"/>
        <v>0</v>
      </c>
      <c r="AQ270" s="402">
        <f t="shared" ca="1" si="37"/>
        <v>0</v>
      </c>
      <c r="AR270" s="402">
        <f t="shared" ca="1" si="38"/>
        <v>0</v>
      </c>
      <c r="AS270" s="403"/>
      <c r="AT270" s="402">
        <f t="shared" si="39"/>
        <v>1</v>
      </c>
    </row>
    <row r="271" spans="1:46" ht="15.75" customHeight="1">
      <c r="A271" s="382"/>
      <c r="B271" s="383">
        <f t="shared" ca="1" si="20"/>
        <v>3</v>
      </c>
      <c r="C271" s="384">
        <f t="shared" ca="1" si="21"/>
        <v>1</v>
      </c>
      <c r="D271" s="384">
        <f t="shared" ca="1" si="22"/>
        <v>58</v>
      </c>
      <c r="E271" s="384">
        <f t="shared" ca="1" si="23"/>
        <v>2</v>
      </c>
      <c r="F271" s="384" t="str">
        <f t="shared" ca="1" si="24"/>
        <v/>
      </c>
      <c r="G271" s="385" t="str">
        <f t="shared" ca="1" si="25"/>
        <v/>
      </c>
      <c r="H271" s="386" t="str">
        <f t="shared" ca="1" si="26"/>
        <v/>
      </c>
      <c r="I271" s="404"/>
      <c r="J271" s="415"/>
      <c r="K271" s="428"/>
      <c r="L271" s="428" t="s">
        <v>61</v>
      </c>
      <c r="M271" s="428"/>
      <c r="N271" s="428"/>
      <c r="O271" s="428"/>
      <c r="P271" s="428"/>
      <c r="Q271" s="429"/>
      <c r="R271" s="417"/>
      <c r="S271" s="418"/>
      <c r="T271" s="419"/>
      <c r="U271" s="418"/>
      <c r="V271" s="419"/>
      <c r="W271" s="430"/>
      <c r="X271" s="431"/>
      <c r="Y271" s="434"/>
      <c r="Z271" s="433"/>
      <c r="AA271" s="396"/>
      <c r="AB271" s="397"/>
      <c r="AC271" s="398"/>
      <c r="AD271" s="399"/>
      <c r="AE271" s="400"/>
      <c r="AF271" s="401"/>
      <c r="AG271" s="401">
        <f t="shared" si="27"/>
        <v>0</v>
      </c>
      <c r="AH271" s="401">
        <f t="shared" si="28"/>
        <v>0</v>
      </c>
      <c r="AI271" s="401">
        <f t="shared" si="29"/>
        <v>0</v>
      </c>
      <c r="AJ271" s="401">
        <f t="shared" si="30"/>
        <v>0</v>
      </c>
      <c r="AK271" s="401" t="str">
        <f t="shared" si="31"/>
        <v/>
      </c>
      <c r="AL271" s="402">
        <f t="shared" ca="1" si="32"/>
        <v>3</v>
      </c>
      <c r="AM271" s="402">
        <f t="shared" ca="1" si="33"/>
        <v>1</v>
      </c>
      <c r="AN271" s="402">
        <f t="shared" ca="1" si="34"/>
        <v>58</v>
      </c>
      <c r="AO271" s="402">
        <f t="shared" ca="1" si="35"/>
        <v>2</v>
      </c>
      <c r="AP271" s="402">
        <f t="shared" ca="1" si="36"/>
        <v>0</v>
      </c>
      <c r="AQ271" s="402">
        <f t="shared" ca="1" si="37"/>
        <v>0</v>
      </c>
      <c r="AR271" s="402">
        <f t="shared" ca="1" si="38"/>
        <v>0</v>
      </c>
      <c r="AS271" s="403"/>
      <c r="AT271" s="402">
        <f t="shared" si="39"/>
        <v>1</v>
      </c>
    </row>
    <row r="272" spans="1:46" ht="15.75" customHeight="1">
      <c r="A272" s="382"/>
      <c r="B272" s="383">
        <f t="shared" ca="1" si="20"/>
        <v>3</v>
      </c>
      <c r="C272" s="384">
        <f t="shared" ca="1" si="21"/>
        <v>1</v>
      </c>
      <c r="D272" s="384">
        <f t="shared" ca="1" si="22"/>
        <v>58</v>
      </c>
      <c r="E272" s="384">
        <f t="shared" ca="1" si="23"/>
        <v>3</v>
      </c>
      <c r="F272" s="384" t="str">
        <f t="shared" ca="1" si="24"/>
        <v/>
      </c>
      <c r="G272" s="385" t="str">
        <f t="shared" ca="1" si="25"/>
        <v/>
      </c>
      <c r="H272" s="386" t="str">
        <f t="shared" ca="1" si="26"/>
        <v/>
      </c>
      <c r="I272" s="404"/>
      <c r="J272" s="415"/>
      <c r="K272" s="428"/>
      <c r="L272" s="428" t="s">
        <v>63</v>
      </c>
      <c r="M272" s="428"/>
      <c r="N272" s="428"/>
      <c r="O272" s="428"/>
      <c r="P272" s="428"/>
      <c r="Q272" s="429"/>
      <c r="R272" s="417"/>
      <c r="S272" s="418"/>
      <c r="T272" s="419"/>
      <c r="U272" s="418"/>
      <c r="V272" s="419"/>
      <c r="W272" s="430"/>
      <c r="X272" s="431"/>
      <c r="Y272" s="434"/>
      <c r="Z272" s="433"/>
      <c r="AA272" s="396"/>
      <c r="AB272" s="397"/>
      <c r="AC272" s="398"/>
      <c r="AD272" s="399"/>
      <c r="AE272" s="400"/>
      <c r="AF272" s="401"/>
      <c r="AG272" s="401">
        <f t="shared" si="27"/>
        <v>0</v>
      </c>
      <c r="AH272" s="401">
        <f t="shared" si="28"/>
        <v>0</v>
      </c>
      <c r="AI272" s="401">
        <f t="shared" si="29"/>
        <v>0</v>
      </c>
      <c r="AJ272" s="401">
        <f t="shared" si="30"/>
        <v>0</v>
      </c>
      <c r="AK272" s="401" t="str">
        <f t="shared" si="31"/>
        <v/>
      </c>
      <c r="AL272" s="402">
        <f t="shared" ca="1" si="32"/>
        <v>3</v>
      </c>
      <c r="AM272" s="402">
        <f t="shared" ca="1" si="33"/>
        <v>1</v>
      </c>
      <c r="AN272" s="402">
        <f t="shared" ca="1" si="34"/>
        <v>58</v>
      </c>
      <c r="AO272" s="402">
        <f t="shared" ca="1" si="35"/>
        <v>3</v>
      </c>
      <c r="AP272" s="402">
        <f t="shared" ca="1" si="36"/>
        <v>0</v>
      </c>
      <c r="AQ272" s="402">
        <f t="shared" ca="1" si="37"/>
        <v>0</v>
      </c>
      <c r="AR272" s="402">
        <f t="shared" ca="1" si="38"/>
        <v>0</v>
      </c>
      <c r="AS272" s="403"/>
      <c r="AT272" s="402">
        <f t="shared" si="39"/>
        <v>1</v>
      </c>
    </row>
    <row r="273" spans="1:46" ht="15.75" customHeight="1">
      <c r="A273" s="382"/>
      <c r="B273" s="383">
        <f t="shared" ca="1" si="20"/>
        <v>3</v>
      </c>
      <c r="C273" s="384">
        <f t="shared" ca="1" si="21"/>
        <v>1</v>
      </c>
      <c r="D273" s="384">
        <f t="shared" ca="1" si="22"/>
        <v>58</v>
      </c>
      <c r="E273" s="384">
        <f t="shared" ca="1" si="23"/>
        <v>4</v>
      </c>
      <c r="F273" s="384" t="str">
        <f t="shared" ca="1" si="24"/>
        <v/>
      </c>
      <c r="G273" s="385" t="str">
        <f t="shared" ca="1" si="25"/>
        <v/>
      </c>
      <c r="H273" s="386" t="str">
        <f t="shared" ca="1" si="26"/>
        <v/>
      </c>
      <c r="I273" s="404"/>
      <c r="J273" s="415"/>
      <c r="K273" s="428"/>
      <c r="L273" s="428" t="s">
        <v>64</v>
      </c>
      <c r="M273" s="428"/>
      <c r="N273" s="428"/>
      <c r="O273" s="428"/>
      <c r="P273" s="428"/>
      <c r="Q273" s="429"/>
      <c r="R273" s="417"/>
      <c r="S273" s="418"/>
      <c r="T273" s="419"/>
      <c r="U273" s="418"/>
      <c r="V273" s="419"/>
      <c r="W273" s="430"/>
      <c r="X273" s="431"/>
      <c r="Y273" s="434"/>
      <c r="Z273" s="433"/>
      <c r="AA273" s="396"/>
      <c r="AB273" s="397"/>
      <c r="AC273" s="398"/>
      <c r="AD273" s="399"/>
      <c r="AE273" s="400"/>
      <c r="AF273" s="401"/>
      <c r="AG273" s="401">
        <f t="shared" si="27"/>
        <v>0</v>
      </c>
      <c r="AH273" s="401">
        <f t="shared" si="28"/>
        <v>0</v>
      </c>
      <c r="AI273" s="401">
        <f t="shared" si="29"/>
        <v>0</v>
      </c>
      <c r="AJ273" s="401">
        <f t="shared" si="30"/>
        <v>0</v>
      </c>
      <c r="AK273" s="401" t="str">
        <f t="shared" si="31"/>
        <v/>
      </c>
      <c r="AL273" s="402">
        <f t="shared" ca="1" si="32"/>
        <v>3</v>
      </c>
      <c r="AM273" s="402">
        <f t="shared" ca="1" si="33"/>
        <v>1</v>
      </c>
      <c r="AN273" s="402">
        <f t="shared" ca="1" si="34"/>
        <v>58</v>
      </c>
      <c r="AO273" s="402">
        <f t="shared" ca="1" si="35"/>
        <v>4</v>
      </c>
      <c r="AP273" s="402">
        <f t="shared" ca="1" si="36"/>
        <v>0</v>
      </c>
      <c r="AQ273" s="402">
        <f t="shared" ca="1" si="37"/>
        <v>0</v>
      </c>
      <c r="AR273" s="402">
        <f t="shared" ca="1" si="38"/>
        <v>0</v>
      </c>
      <c r="AS273" s="403"/>
      <c r="AT273" s="402">
        <f t="shared" si="39"/>
        <v>1</v>
      </c>
    </row>
    <row r="274" spans="1:46" ht="15.75" customHeight="1">
      <c r="A274" s="382"/>
      <c r="B274" s="383">
        <f t="shared" ca="1" si="20"/>
        <v>3</v>
      </c>
      <c r="C274" s="384">
        <f t="shared" ca="1" si="21"/>
        <v>1</v>
      </c>
      <c r="D274" s="384">
        <f t="shared" ca="1" si="22"/>
        <v>58</v>
      </c>
      <c r="E274" s="384">
        <f t="shared" ca="1" si="23"/>
        <v>5</v>
      </c>
      <c r="F274" s="384" t="str">
        <f t="shared" ca="1" si="24"/>
        <v/>
      </c>
      <c r="G274" s="385" t="str">
        <f t="shared" ca="1" si="25"/>
        <v/>
      </c>
      <c r="H274" s="386" t="str">
        <f t="shared" ca="1" si="26"/>
        <v/>
      </c>
      <c r="I274" s="404"/>
      <c r="J274" s="415"/>
      <c r="K274" s="428"/>
      <c r="L274" s="428" t="s">
        <v>65</v>
      </c>
      <c r="M274" s="428"/>
      <c r="N274" s="428"/>
      <c r="O274" s="428"/>
      <c r="P274" s="428"/>
      <c r="Q274" s="429"/>
      <c r="R274" s="417"/>
      <c r="S274" s="418"/>
      <c r="T274" s="419"/>
      <c r="U274" s="418"/>
      <c r="V274" s="419"/>
      <c r="W274" s="430"/>
      <c r="X274" s="431"/>
      <c r="Y274" s="434"/>
      <c r="Z274" s="433"/>
      <c r="AA274" s="396"/>
      <c r="AB274" s="397"/>
      <c r="AC274" s="398"/>
      <c r="AD274" s="399"/>
      <c r="AE274" s="400"/>
      <c r="AF274" s="401"/>
      <c r="AG274" s="401">
        <f t="shared" si="27"/>
        <v>0</v>
      </c>
      <c r="AH274" s="401">
        <f t="shared" si="28"/>
        <v>0</v>
      </c>
      <c r="AI274" s="401">
        <f t="shared" si="29"/>
        <v>0</v>
      </c>
      <c r="AJ274" s="401">
        <f t="shared" si="30"/>
        <v>0</v>
      </c>
      <c r="AK274" s="401" t="str">
        <f t="shared" si="31"/>
        <v/>
      </c>
      <c r="AL274" s="402">
        <f t="shared" ca="1" si="32"/>
        <v>3</v>
      </c>
      <c r="AM274" s="402">
        <f t="shared" ca="1" si="33"/>
        <v>1</v>
      </c>
      <c r="AN274" s="402">
        <f t="shared" ca="1" si="34"/>
        <v>58</v>
      </c>
      <c r="AO274" s="402">
        <f t="shared" ca="1" si="35"/>
        <v>5</v>
      </c>
      <c r="AP274" s="402">
        <f t="shared" ca="1" si="36"/>
        <v>0</v>
      </c>
      <c r="AQ274" s="402">
        <f t="shared" ca="1" si="37"/>
        <v>0</v>
      </c>
      <c r="AR274" s="402">
        <f t="shared" ca="1" si="38"/>
        <v>0</v>
      </c>
      <c r="AS274" s="403"/>
      <c r="AT274" s="402">
        <f t="shared" si="39"/>
        <v>1</v>
      </c>
    </row>
    <row r="275" spans="1:46" ht="15.75" customHeight="1">
      <c r="A275" s="382"/>
      <c r="B275" s="383">
        <f t="shared" ca="1" si="20"/>
        <v>3</v>
      </c>
      <c r="C275" s="384">
        <f t="shared" ca="1" si="21"/>
        <v>1</v>
      </c>
      <c r="D275" s="384">
        <f t="shared" ca="1" si="22"/>
        <v>58</v>
      </c>
      <c r="E275" s="384">
        <f t="shared" ca="1" si="23"/>
        <v>6</v>
      </c>
      <c r="F275" s="384" t="str">
        <f t="shared" ca="1" si="24"/>
        <v/>
      </c>
      <c r="G275" s="385" t="str">
        <f t="shared" ca="1" si="25"/>
        <v/>
      </c>
      <c r="H275" s="386" t="str">
        <f t="shared" ca="1" si="26"/>
        <v/>
      </c>
      <c r="I275" s="404"/>
      <c r="J275" s="415"/>
      <c r="K275" s="428"/>
      <c r="L275" s="428" t="s">
        <v>66</v>
      </c>
      <c r="M275" s="428"/>
      <c r="N275" s="428"/>
      <c r="O275" s="428"/>
      <c r="P275" s="428"/>
      <c r="Q275" s="429"/>
      <c r="R275" s="417"/>
      <c r="S275" s="418"/>
      <c r="T275" s="419"/>
      <c r="U275" s="418"/>
      <c r="V275" s="419"/>
      <c r="W275" s="430"/>
      <c r="X275" s="431"/>
      <c r="Y275" s="434"/>
      <c r="Z275" s="433"/>
      <c r="AA275" s="396"/>
      <c r="AB275" s="397"/>
      <c r="AC275" s="398"/>
      <c r="AD275" s="399"/>
      <c r="AE275" s="400"/>
      <c r="AF275" s="401"/>
      <c r="AG275" s="401">
        <f t="shared" si="27"/>
        <v>0</v>
      </c>
      <c r="AH275" s="401">
        <f t="shared" si="28"/>
        <v>0</v>
      </c>
      <c r="AI275" s="401">
        <f t="shared" si="29"/>
        <v>0</v>
      </c>
      <c r="AJ275" s="401">
        <f t="shared" si="30"/>
        <v>0</v>
      </c>
      <c r="AK275" s="401" t="str">
        <f t="shared" si="31"/>
        <v/>
      </c>
      <c r="AL275" s="402">
        <f t="shared" ca="1" si="32"/>
        <v>3</v>
      </c>
      <c r="AM275" s="402">
        <f t="shared" ca="1" si="33"/>
        <v>1</v>
      </c>
      <c r="AN275" s="402">
        <f t="shared" ca="1" si="34"/>
        <v>58</v>
      </c>
      <c r="AO275" s="402">
        <f t="shared" ca="1" si="35"/>
        <v>6</v>
      </c>
      <c r="AP275" s="402">
        <f t="shared" ca="1" si="36"/>
        <v>0</v>
      </c>
      <c r="AQ275" s="402">
        <f t="shared" ca="1" si="37"/>
        <v>0</v>
      </c>
      <c r="AR275" s="402">
        <f t="shared" ca="1" si="38"/>
        <v>0</v>
      </c>
      <c r="AS275" s="403"/>
      <c r="AT275" s="402">
        <f t="shared" si="39"/>
        <v>1</v>
      </c>
    </row>
    <row r="276" spans="1:46" ht="15.75" customHeight="1">
      <c r="A276" s="382"/>
      <c r="B276" s="383">
        <f t="shared" ca="1" si="20"/>
        <v>3</v>
      </c>
      <c r="C276" s="384">
        <f t="shared" ca="1" si="21"/>
        <v>1</v>
      </c>
      <c r="D276" s="384">
        <f t="shared" ca="1" si="22"/>
        <v>59</v>
      </c>
      <c r="E276" s="384" t="str">
        <f t="shared" ca="1" si="23"/>
        <v/>
      </c>
      <c r="F276" s="384" t="str">
        <f t="shared" ca="1" si="24"/>
        <v/>
      </c>
      <c r="G276" s="385" t="str">
        <f t="shared" ca="1" si="25"/>
        <v/>
      </c>
      <c r="H276" s="386" t="str">
        <f t="shared" ca="1" si="26"/>
        <v/>
      </c>
      <c r="I276" s="404"/>
      <c r="J276" s="415"/>
      <c r="K276" s="428" t="s">
        <v>351</v>
      </c>
      <c r="L276" s="428"/>
      <c r="M276" s="428"/>
      <c r="N276" s="428"/>
      <c r="O276" s="428"/>
      <c r="P276" s="428"/>
      <c r="Q276" s="429"/>
      <c r="R276" s="417"/>
      <c r="S276" s="418"/>
      <c r="T276" s="419"/>
      <c r="U276" s="418"/>
      <c r="V276" s="419"/>
      <c r="W276" s="430"/>
      <c r="X276" s="431"/>
      <c r="Y276" s="434"/>
      <c r="Z276" s="433"/>
      <c r="AA276" s="396"/>
      <c r="AB276" s="397"/>
      <c r="AC276" s="398"/>
      <c r="AD276" s="399"/>
      <c r="AE276" s="400"/>
      <c r="AF276" s="401"/>
      <c r="AG276" s="401">
        <f t="shared" si="27"/>
        <v>0</v>
      </c>
      <c r="AH276" s="401">
        <f t="shared" si="28"/>
        <v>0</v>
      </c>
      <c r="AI276" s="401">
        <f t="shared" si="29"/>
        <v>0</v>
      </c>
      <c r="AJ276" s="401">
        <f t="shared" si="30"/>
        <v>0</v>
      </c>
      <c r="AK276" s="401" t="str">
        <f t="shared" si="31"/>
        <v/>
      </c>
      <c r="AL276" s="402">
        <f t="shared" ca="1" si="32"/>
        <v>3</v>
      </c>
      <c r="AM276" s="402">
        <f t="shared" ca="1" si="33"/>
        <v>1</v>
      </c>
      <c r="AN276" s="402">
        <f t="shared" ca="1" si="34"/>
        <v>59</v>
      </c>
      <c r="AO276" s="402">
        <f t="shared" ca="1" si="35"/>
        <v>0</v>
      </c>
      <c r="AP276" s="402">
        <f t="shared" ca="1" si="36"/>
        <v>0</v>
      </c>
      <c r="AQ276" s="402">
        <f t="shared" ca="1" si="37"/>
        <v>0</v>
      </c>
      <c r="AR276" s="402">
        <f t="shared" ca="1" si="38"/>
        <v>0</v>
      </c>
      <c r="AS276" s="403"/>
      <c r="AT276" s="402">
        <f t="shared" si="39"/>
        <v>1</v>
      </c>
    </row>
    <row r="277" spans="1:46" ht="15.75" customHeight="1">
      <c r="A277" s="382"/>
      <c r="B277" s="383">
        <f t="shared" ca="1" si="20"/>
        <v>3</v>
      </c>
      <c r="C277" s="384">
        <f t="shared" ca="1" si="21"/>
        <v>1</v>
      </c>
      <c r="D277" s="384">
        <f t="shared" ca="1" si="22"/>
        <v>59</v>
      </c>
      <c r="E277" s="384">
        <f t="shared" ca="1" si="23"/>
        <v>1</v>
      </c>
      <c r="F277" s="384" t="str">
        <f t="shared" ca="1" si="24"/>
        <v/>
      </c>
      <c r="G277" s="385" t="str">
        <f t="shared" ca="1" si="25"/>
        <v/>
      </c>
      <c r="H277" s="386" t="str">
        <f t="shared" ca="1" si="26"/>
        <v/>
      </c>
      <c r="I277" s="404"/>
      <c r="J277" s="415"/>
      <c r="K277" s="428"/>
      <c r="L277" s="428" t="s">
        <v>59</v>
      </c>
      <c r="M277" s="428"/>
      <c r="N277" s="428"/>
      <c r="O277" s="428"/>
      <c r="P277" s="428"/>
      <c r="Q277" s="429"/>
      <c r="R277" s="417"/>
      <c r="S277" s="418"/>
      <c r="T277" s="419"/>
      <c r="U277" s="418"/>
      <c r="V277" s="419"/>
      <c r="W277" s="430"/>
      <c r="X277" s="431"/>
      <c r="Y277" s="434"/>
      <c r="Z277" s="433"/>
      <c r="AA277" s="396"/>
      <c r="AB277" s="397"/>
      <c r="AC277" s="398"/>
      <c r="AD277" s="399"/>
      <c r="AE277" s="400"/>
      <c r="AF277" s="401"/>
      <c r="AG277" s="401">
        <f t="shared" si="27"/>
        <v>0</v>
      </c>
      <c r="AH277" s="401">
        <f t="shared" si="28"/>
        <v>0</v>
      </c>
      <c r="AI277" s="401">
        <f t="shared" si="29"/>
        <v>0</v>
      </c>
      <c r="AJ277" s="401">
        <f t="shared" si="30"/>
        <v>0</v>
      </c>
      <c r="AK277" s="401" t="str">
        <f t="shared" si="31"/>
        <v/>
      </c>
      <c r="AL277" s="402">
        <f t="shared" ca="1" si="32"/>
        <v>3</v>
      </c>
      <c r="AM277" s="402">
        <f t="shared" ca="1" si="33"/>
        <v>1</v>
      </c>
      <c r="AN277" s="402">
        <f t="shared" ca="1" si="34"/>
        <v>59</v>
      </c>
      <c r="AO277" s="402">
        <f t="shared" ca="1" si="35"/>
        <v>1</v>
      </c>
      <c r="AP277" s="402">
        <f t="shared" ca="1" si="36"/>
        <v>0</v>
      </c>
      <c r="AQ277" s="402">
        <f t="shared" ca="1" si="37"/>
        <v>0</v>
      </c>
      <c r="AR277" s="402">
        <f t="shared" ca="1" si="38"/>
        <v>0</v>
      </c>
      <c r="AS277" s="403"/>
      <c r="AT277" s="402">
        <f t="shared" si="39"/>
        <v>1</v>
      </c>
    </row>
    <row r="278" spans="1:46" ht="15.75" customHeight="1">
      <c r="A278" s="382"/>
      <c r="B278" s="383">
        <f t="shared" ca="1" si="20"/>
        <v>3</v>
      </c>
      <c r="C278" s="384">
        <f t="shared" ca="1" si="21"/>
        <v>1</v>
      </c>
      <c r="D278" s="384">
        <f t="shared" ca="1" si="22"/>
        <v>59</v>
      </c>
      <c r="E278" s="384">
        <f t="shared" ca="1" si="23"/>
        <v>2</v>
      </c>
      <c r="F278" s="384" t="str">
        <f t="shared" ca="1" si="24"/>
        <v/>
      </c>
      <c r="G278" s="385" t="str">
        <f t="shared" ca="1" si="25"/>
        <v/>
      </c>
      <c r="H278" s="386" t="str">
        <f t="shared" ca="1" si="26"/>
        <v/>
      </c>
      <c r="I278" s="404"/>
      <c r="J278" s="415"/>
      <c r="K278" s="428"/>
      <c r="L278" s="428" t="s">
        <v>61</v>
      </c>
      <c r="M278" s="428"/>
      <c r="N278" s="428"/>
      <c r="O278" s="428"/>
      <c r="P278" s="428"/>
      <c r="Q278" s="429"/>
      <c r="R278" s="417"/>
      <c r="S278" s="418"/>
      <c r="T278" s="419"/>
      <c r="U278" s="418"/>
      <c r="V278" s="419"/>
      <c r="W278" s="430"/>
      <c r="X278" s="431"/>
      <c r="Y278" s="434"/>
      <c r="Z278" s="433"/>
      <c r="AA278" s="396"/>
      <c r="AB278" s="397"/>
      <c r="AC278" s="398"/>
      <c r="AD278" s="399"/>
      <c r="AE278" s="400"/>
      <c r="AF278" s="401"/>
      <c r="AG278" s="401">
        <f t="shared" si="27"/>
        <v>0</v>
      </c>
      <c r="AH278" s="401">
        <f t="shared" si="28"/>
        <v>0</v>
      </c>
      <c r="AI278" s="401">
        <f t="shared" si="29"/>
        <v>0</v>
      </c>
      <c r="AJ278" s="401">
        <f t="shared" si="30"/>
        <v>0</v>
      </c>
      <c r="AK278" s="401" t="str">
        <f t="shared" si="31"/>
        <v/>
      </c>
      <c r="AL278" s="402">
        <f t="shared" ca="1" si="32"/>
        <v>3</v>
      </c>
      <c r="AM278" s="402">
        <f t="shared" ca="1" si="33"/>
        <v>1</v>
      </c>
      <c r="AN278" s="402">
        <f t="shared" ca="1" si="34"/>
        <v>59</v>
      </c>
      <c r="AO278" s="402">
        <f t="shared" ca="1" si="35"/>
        <v>2</v>
      </c>
      <c r="AP278" s="402">
        <f t="shared" ca="1" si="36"/>
        <v>0</v>
      </c>
      <c r="AQ278" s="402">
        <f t="shared" ca="1" si="37"/>
        <v>0</v>
      </c>
      <c r="AR278" s="402">
        <f t="shared" ca="1" si="38"/>
        <v>0</v>
      </c>
      <c r="AS278" s="403"/>
      <c r="AT278" s="402">
        <f t="shared" si="39"/>
        <v>1</v>
      </c>
    </row>
    <row r="279" spans="1:46" ht="15.75" customHeight="1">
      <c r="A279" s="382"/>
      <c r="B279" s="383">
        <f t="shared" ca="1" si="20"/>
        <v>3</v>
      </c>
      <c r="C279" s="384">
        <f t="shared" ca="1" si="21"/>
        <v>1</v>
      </c>
      <c r="D279" s="384">
        <f t="shared" ca="1" si="22"/>
        <v>59</v>
      </c>
      <c r="E279" s="384">
        <f t="shared" ca="1" si="23"/>
        <v>3</v>
      </c>
      <c r="F279" s="384" t="str">
        <f t="shared" ca="1" si="24"/>
        <v/>
      </c>
      <c r="G279" s="385" t="str">
        <f t="shared" ca="1" si="25"/>
        <v/>
      </c>
      <c r="H279" s="386" t="str">
        <f t="shared" ca="1" si="26"/>
        <v/>
      </c>
      <c r="I279" s="404"/>
      <c r="J279" s="415"/>
      <c r="K279" s="428"/>
      <c r="L279" s="428" t="s">
        <v>63</v>
      </c>
      <c r="M279" s="428"/>
      <c r="N279" s="428"/>
      <c r="O279" s="428"/>
      <c r="P279" s="428"/>
      <c r="Q279" s="429"/>
      <c r="R279" s="417"/>
      <c r="S279" s="418"/>
      <c r="T279" s="419"/>
      <c r="U279" s="418"/>
      <c r="V279" s="419"/>
      <c r="W279" s="430"/>
      <c r="X279" s="431"/>
      <c r="Y279" s="434"/>
      <c r="Z279" s="433"/>
      <c r="AA279" s="396"/>
      <c r="AB279" s="397"/>
      <c r="AC279" s="398"/>
      <c r="AD279" s="399"/>
      <c r="AE279" s="400"/>
      <c r="AF279" s="401"/>
      <c r="AG279" s="401">
        <f t="shared" si="27"/>
        <v>0</v>
      </c>
      <c r="AH279" s="401">
        <f t="shared" si="28"/>
        <v>0</v>
      </c>
      <c r="AI279" s="401">
        <f t="shared" si="29"/>
        <v>0</v>
      </c>
      <c r="AJ279" s="401">
        <f t="shared" si="30"/>
        <v>0</v>
      </c>
      <c r="AK279" s="401" t="str">
        <f t="shared" si="31"/>
        <v/>
      </c>
      <c r="AL279" s="402">
        <f t="shared" ca="1" si="32"/>
        <v>3</v>
      </c>
      <c r="AM279" s="402">
        <f t="shared" ca="1" si="33"/>
        <v>1</v>
      </c>
      <c r="AN279" s="402">
        <f t="shared" ca="1" si="34"/>
        <v>59</v>
      </c>
      <c r="AO279" s="402">
        <f t="shared" ca="1" si="35"/>
        <v>3</v>
      </c>
      <c r="AP279" s="402">
        <f t="shared" ca="1" si="36"/>
        <v>0</v>
      </c>
      <c r="AQ279" s="402">
        <f t="shared" ca="1" si="37"/>
        <v>0</v>
      </c>
      <c r="AR279" s="402">
        <f t="shared" ca="1" si="38"/>
        <v>0</v>
      </c>
      <c r="AS279" s="403"/>
      <c r="AT279" s="402">
        <f t="shared" si="39"/>
        <v>1</v>
      </c>
    </row>
    <row r="280" spans="1:46" ht="15.75" customHeight="1">
      <c r="A280" s="382"/>
      <c r="B280" s="383">
        <f t="shared" ca="1" si="20"/>
        <v>3</v>
      </c>
      <c r="C280" s="384">
        <f t="shared" ca="1" si="21"/>
        <v>1</v>
      </c>
      <c r="D280" s="384">
        <f t="shared" ca="1" si="22"/>
        <v>59</v>
      </c>
      <c r="E280" s="384">
        <f t="shared" ca="1" si="23"/>
        <v>4</v>
      </c>
      <c r="F280" s="384" t="str">
        <f t="shared" ca="1" si="24"/>
        <v/>
      </c>
      <c r="G280" s="385" t="str">
        <f t="shared" ca="1" si="25"/>
        <v/>
      </c>
      <c r="H280" s="386" t="str">
        <f t="shared" ca="1" si="26"/>
        <v/>
      </c>
      <c r="I280" s="404"/>
      <c r="J280" s="415"/>
      <c r="K280" s="428"/>
      <c r="L280" s="428" t="s">
        <v>64</v>
      </c>
      <c r="M280" s="428"/>
      <c r="N280" s="428"/>
      <c r="O280" s="428"/>
      <c r="P280" s="428"/>
      <c r="Q280" s="429"/>
      <c r="R280" s="417"/>
      <c r="S280" s="418"/>
      <c r="T280" s="419"/>
      <c r="U280" s="418"/>
      <c r="V280" s="419"/>
      <c r="W280" s="430"/>
      <c r="X280" s="431"/>
      <c r="Y280" s="434"/>
      <c r="Z280" s="433"/>
      <c r="AA280" s="396"/>
      <c r="AB280" s="397"/>
      <c r="AC280" s="398"/>
      <c r="AD280" s="399"/>
      <c r="AE280" s="400"/>
      <c r="AF280" s="401"/>
      <c r="AG280" s="401">
        <f t="shared" si="27"/>
        <v>0</v>
      </c>
      <c r="AH280" s="401">
        <f t="shared" si="28"/>
        <v>0</v>
      </c>
      <c r="AI280" s="401">
        <f t="shared" si="29"/>
        <v>0</v>
      </c>
      <c r="AJ280" s="401">
        <f t="shared" si="30"/>
        <v>0</v>
      </c>
      <c r="AK280" s="401" t="str">
        <f t="shared" si="31"/>
        <v/>
      </c>
      <c r="AL280" s="402">
        <f t="shared" ca="1" si="32"/>
        <v>3</v>
      </c>
      <c r="AM280" s="402">
        <f t="shared" ca="1" si="33"/>
        <v>1</v>
      </c>
      <c r="AN280" s="402">
        <f t="shared" ca="1" si="34"/>
        <v>59</v>
      </c>
      <c r="AO280" s="402">
        <f t="shared" ca="1" si="35"/>
        <v>4</v>
      </c>
      <c r="AP280" s="402">
        <f t="shared" ca="1" si="36"/>
        <v>0</v>
      </c>
      <c r="AQ280" s="402">
        <f t="shared" ca="1" si="37"/>
        <v>0</v>
      </c>
      <c r="AR280" s="402">
        <f t="shared" ca="1" si="38"/>
        <v>0</v>
      </c>
      <c r="AS280" s="403"/>
      <c r="AT280" s="402">
        <f t="shared" si="39"/>
        <v>1</v>
      </c>
    </row>
    <row r="281" spans="1:46" ht="15.75" customHeight="1">
      <c r="A281" s="382"/>
      <c r="B281" s="383">
        <f t="shared" ca="1" si="20"/>
        <v>3</v>
      </c>
      <c r="C281" s="384">
        <f t="shared" ca="1" si="21"/>
        <v>1</v>
      </c>
      <c r="D281" s="384">
        <f t="shared" ca="1" si="22"/>
        <v>59</v>
      </c>
      <c r="E281" s="384">
        <f t="shared" ca="1" si="23"/>
        <v>5</v>
      </c>
      <c r="F281" s="384" t="str">
        <f t="shared" ca="1" si="24"/>
        <v/>
      </c>
      <c r="G281" s="385" t="str">
        <f t="shared" ca="1" si="25"/>
        <v/>
      </c>
      <c r="H281" s="386" t="str">
        <f t="shared" ca="1" si="26"/>
        <v/>
      </c>
      <c r="I281" s="404"/>
      <c r="J281" s="415"/>
      <c r="K281" s="428"/>
      <c r="L281" s="428" t="s">
        <v>65</v>
      </c>
      <c r="M281" s="428"/>
      <c r="N281" s="428"/>
      <c r="O281" s="428"/>
      <c r="P281" s="428"/>
      <c r="Q281" s="429"/>
      <c r="R281" s="417"/>
      <c r="S281" s="418"/>
      <c r="T281" s="419"/>
      <c r="U281" s="418"/>
      <c r="V281" s="419"/>
      <c r="W281" s="430"/>
      <c r="X281" s="431"/>
      <c r="Y281" s="434"/>
      <c r="Z281" s="433"/>
      <c r="AA281" s="396"/>
      <c r="AB281" s="397"/>
      <c r="AC281" s="398"/>
      <c r="AD281" s="399"/>
      <c r="AE281" s="400"/>
      <c r="AF281" s="401"/>
      <c r="AG281" s="401">
        <f t="shared" si="27"/>
        <v>0</v>
      </c>
      <c r="AH281" s="401">
        <f t="shared" si="28"/>
        <v>0</v>
      </c>
      <c r="AI281" s="401">
        <f t="shared" si="29"/>
        <v>0</v>
      </c>
      <c r="AJ281" s="401">
        <f t="shared" si="30"/>
        <v>0</v>
      </c>
      <c r="AK281" s="401" t="str">
        <f t="shared" si="31"/>
        <v/>
      </c>
      <c r="AL281" s="402">
        <f t="shared" ca="1" si="32"/>
        <v>3</v>
      </c>
      <c r="AM281" s="402">
        <f t="shared" ca="1" si="33"/>
        <v>1</v>
      </c>
      <c r="AN281" s="402">
        <f t="shared" ca="1" si="34"/>
        <v>59</v>
      </c>
      <c r="AO281" s="402">
        <f t="shared" ca="1" si="35"/>
        <v>5</v>
      </c>
      <c r="AP281" s="402">
        <f t="shared" ca="1" si="36"/>
        <v>0</v>
      </c>
      <c r="AQ281" s="402">
        <f t="shared" ca="1" si="37"/>
        <v>0</v>
      </c>
      <c r="AR281" s="402">
        <f t="shared" ca="1" si="38"/>
        <v>0</v>
      </c>
      <c r="AS281" s="403"/>
      <c r="AT281" s="402">
        <f t="shared" si="39"/>
        <v>1</v>
      </c>
    </row>
    <row r="282" spans="1:46" ht="15.75" customHeight="1">
      <c r="A282" s="382"/>
      <c r="B282" s="383">
        <f t="shared" ca="1" si="20"/>
        <v>3</v>
      </c>
      <c r="C282" s="384">
        <f t="shared" ca="1" si="21"/>
        <v>1</v>
      </c>
      <c r="D282" s="384">
        <f t="shared" ca="1" si="22"/>
        <v>59</v>
      </c>
      <c r="E282" s="384">
        <f t="shared" ca="1" si="23"/>
        <v>6</v>
      </c>
      <c r="F282" s="384" t="str">
        <f t="shared" ca="1" si="24"/>
        <v/>
      </c>
      <c r="G282" s="385" t="str">
        <f t="shared" ca="1" si="25"/>
        <v/>
      </c>
      <c r="H282" s="386" t="str">
        <f t="shared" ca="1" si="26"/>
        <v/>
      </c>
      <c r="I282" s="404"/>
      <c r="J282" s="415"/>
      <c r="K282" s="428"/>
      <c r="L282" s="428" t="s">
        <v>66</v>
      </c>
      <c r="M282" s="428"/>
      <c r="N282" s="428"/>
      <c r="O282" s="428"/>
      <c r="P282" s="428"/>
      <c r="Q282" s="429"/>
      <c r="R282" s="417"/>
      <c r="S282" s="418"/>
      <c r="T282" s="419"/>
      <c r="U282" s="418"/>
      <c r="V282" s="419"/>
      <c r="W282" s="430"/>
      <c r="X282" s="431"/>
      <c r="Y282" s="434"/>
      <c r="Z282" s="433"/>
      <c r="AA282" s="396"/>
      <c r="AB282" s="397"/>
      <c r="AC282" s="398"/>
      <c r="AD282" s="399"/>
      <c r="AE282" s="400"/>
      <c r="AF282" s="401"/>
      <c r="AG282" s="401">
        <f t="shared" si="27"/>
        <v>0</v>
      </c>
      <c r="AH282" s="401">
        <f t="shared" si="28"/>
        <v>0</v>
      </c>
      <c r="AI282" s="401">
        <f t="shared" si="29"/>
        <v>0</v>
      </c>
      <c r="AJ282" s="401">
        <f t="shared" si="30"/>
        <v>0</v>
      </c>
      <c r="AK282" s="401" t="str">
        <f t="shared" si="31"/>
        <v/>
      </c>
      <c r="AL282" s="402">
        <f t="shared" ca="1" si="32"/>
        <v>3</v>
      </c>
      <c r="AM282" s="402">
        <f t="shared" ca="1" si="33"/>
        <v>1</v>
      </c>
      <c r="AN282" s="402">
        <f t="shared" ca="1" si="34"/>
        <v>59</v>
      </c>
      <c r="AO282" s="402">
        <f t="shared" ca="1" si="35"/>
        <v>6</v>
      </c>
      <c r="AP282" s="402">
        <f t="shared" ca="1" si="36"/>
        <v>0</v>
      </c>
      <c r="AQ282" s="402">
        <f t="shared" ca="1" si="37"/>
        <v>0</v>
      </c>
      <c r="AR282" s="402">
        <f t="shared" ca="1" si="38"/>
        <v>0</v>
      </c>
      <c r="AS282" s="403"/>
      <c r="AT282" s="402">
        <f t="shared" si="39"/>
        <v>1</v>
      </c>
    </row>
    <row r="283" spans="1:46" ht="15.75" customHeight="1">
      <c r="A283" s="382"/>
      <c r="B283" s="383">
        <f t="shared" ca="1" si="20"/>
        <v>3</v>
      </c>
      <c r="C283" s="384">
        <f t="shared" ca="1" si="21"/>
        <v>1</v>
      </c>
      <c r="D283" s="384">
        <f t="shared" ca="1" si="22"/>
        <v>60</v>
      </c>
      <c r="E283" s="384" t="str">
        <f t="shared" ca="1" si="23"/>
        <v/>
      </c>
      <c r="F283" s="384" t="str">
        <f t="shared" ca="1" si="24"/>
        <v/>
      </c>
      <c r="G283" s="385" t="str">
        <f t="shared" ca="1" si="25"/>
        <v/>
      </c>
      <c r="H283" s="386" t="str">
        <f t="shared" ca="1" si="26"/>
        <v/>
      </c>
      <c r="I283" s="404"/>
      <c r="J283" s="415"/>
      <c r="K283" s="428" t="s">
        <v>352</v>
      </c>
      <c r="L283" s="428"/>
      <c r="M283" s="428"/>
      <c r="N283" s="428"/>
      <c r="O283" s="428"/>
      <c r="P283" s="428"/>
      <c r="Q283" s="429"/>
      <c r="R283" s="417"/>
      <c r="S283" s="418"/>
      <c r="T283" s="419"/>
      <c r="U283" s="418"/>
      <c r="V283" s="419"/>
      <c r="W283" s="430"/>
      <c r="X283" s="431"/>
      <c r="Y283" s="434"/>
      <c r="Z283" s="433"/>
      <c r="AA283" s="396"/>
      <c r="AB283" s="397"/>
      <c r="AC283" s="398"/>
      <c r="AD283" s="399"/>
      <c r="AE283" s="400"/>
      <c r="AF283" s="401"/>
      <c r="AG283" s="401">
        <f t="shared" si="27"/>
        <v>0</v>
      </c>
      <c r="AH283" s="401">
        <f t="shared" si="28"/>
        <v>0</v>
      </c>
      <c r="AI283" s="401">
        <f t="shared" si="29"/>
        <v>0</v>
      </c>
      <c r="AJ283" s="401">
        <f t="shared" si="30"/>
        <v>0</v>
      </c>
      <c r="AK283" s="401" t="str">
        <f t="shared" si="31"/>
        <v/>
      </c>
      <c r="AL283" s="402">
        <f t="shared" ca="1" si="32"/>
        <v>3</v>
      </c>
      <c r="AM283" s="402">
        <f t="shared" ca="1" si="33"/>
        <v>1</v>
      </c>
      <c r="AN283" s="402">
        <f t="shared" ca="1" si="34"/>
        <v>60</v>
      </c>
      <c r="AO283" s="402">
        <f t="shared" ca="1" si="35"/>
        <v>0</v>
      </c>
      <c r="AP283" s="402">
        <f t="shared" ca="1" si="36"/>
        <v>0</v>
      </c>
      <c r="AQ283" s="402">
        <f t="shared" ca="1" si="37"/>
        <v>0</v>
      </c>
      <c r="AR283" s="402">
        <f t="shared" ca="1" si="38"/>
        <v>0</v>
      </c>
      <c r="AS283" s="403"/>
      <c r="AT283" s="402">
        <f t="shared" si="39"/>
        <v>1</v>
      </c>
    </row>
    <row r="284" spans="1:46" ht="15.75" customHeight="1">
      <c r="A284" s="382"/>
      <c r="B284" s="383">
        <f t="shared" ca="1" si="20"/>
        <v>3</v>
      </c>
      <c r="C284" s="384">
        <f t="shared" ca="1" si="21"/>
        <v>1</v>
      </c>
      <c r="D284" s="384">
        <f t="shared" ca="1" si="22"/>
        <v>60</v>
      </c>
      <c r="E284" s="384">
        <f t="shared" ca="1" si="23"/>
        <v>1</v>
      </c>
      <c r="F284" s="384" t="str">
        <f t="shared" ca="1" si="24"/>
        <v/>
      </c>
      <c r="G284" s="385" t="str">
        <f t="shared" ca="1" si="25"/>
        <v/>
      </c>
      <c r="H284" s="386" t="str">
        <f t="shared" ca="1" si="26"/>
        <v/>
      </c>
      <c r="I284" s="404"/>
      <c r="J284" s="415"/>
      <c r="K284" s="428"/>
      <c r="L284" s="428" t="s">
        <v>59</v>
      </c>
      <c r="M284" s="428"/>
      <c r="N284" s="428"/>
      <c r="O284" s="428"/>
      <c r="P284" s="428"/>
      <c r="Q284" s="429"/>
      <c r="R284" s="417"/>
      <c r="S284" s="418"/>
      <c r="T284" s="419"/>
      <c r="U284" s="418"/>
      <c r="V284" s="419"/>
      <c r="W284" s="430"/>
      <c r="X284" s="431"/>
      <c r="Y284" s="434"/>
      <c r="Z284" s="433"/>
      <c r="AA284" s="396"/>
      <c r="AB284" s="397"/>
      <c r="AC284" s="398"/>
      <c r="AD284" s="399"/>
      <c r="AE284" s="400"/>
      <c r="AF284" s="401"/>
      <c r="AG284" s="401">
        <f t="shared" si="27"/>
        <v>0</v>
      </c>
      <c r="AH284" s="401">
        <f t="shared" si="28"/>
        <v>0</v>
      </c>
      <c r="AI284" s="401">
        <f t="shared" si="29"/>
        <v>0</v>
      </c>
      <c r="AJ284" s="401">
        <f t="shared" si="30"/>
        <v>0</v>
      </c>
      <c r="AK284" s="401" t="str">
        <f t="shared" si="31"/>
        <v/>
      </c>
      <c r="AL284" s="402">
        <f t="shared" ca="1" si="32"/>
        <v>3</v>
      </c>
      <c r="AM284" s="402">
        <f t="shared" ca="1" si="33"/>
        <v>1</v>
      </c>
      <c r="AN284" s="402">
        <f t="shared" ca="1" si="34"/>
        <v>60</v>
      </c>
      <c r="AO284" s="402">
        <f t="shared" ca="1" si="35"/>
        <v>1</v>
      </c>
      <c r="AP284" s="402">
        <f t="shared" ca="1" si="36"/>
        <v>0</v>
      </c>
      <c r="AQ284" s="402">
        <f t="shared" ca="1" si="37"/>
        <v>0</v>
      </c>
      <c r="AR284" s="402">
        <f t="shared" ca="1" si="38"/>
        <v>0</v>
      </c>
      <c r="AS284" s="403"/>
      <c r="AT284" s="402">
        <f t="shared" si="39"/>
        <v>1</v>
      </c>
    </row>
    <row r="285" spans="1:46" ht="15.75" customHeight="1">
      <c r="A285" s="382"/>
      <c r="B285" s="383">
        <f t="shared" ca="1" si="20"/>
        <v>3</v>
      </c>
      <c r="C285" s="384">
        <f t="shared" ca="1" si="21"/>
        <v>1</v>
      </c>
      <c r="D285" s="384">
        <f t="shared" ca="1" si="22"/>
        <v>60</v>
      </c>
      <c r="E285" s="384">
        <f t="shared" ca="1" si="23"/>
        <v>2</v>
      </c>
      <c r="F285" s="384" t="str">
        <f t="shared" ca="1" si="24"/>
        <v/>
      </c>
      <c r="G285" s="385" t="str">
        <f t="shared" ca="1" si="25"/>
        <v/>
      </c>
      <c r="H285" s="386" t="str">
        <f t="shared" ca="1" si="26"/>
        <v/>
      </c>
      <c r="I285" s="404"/>
      <c r="J285" s="415"/>
      <c r="K285" s="428"/>
      <c r="L285" s="428" t="s">
        <v>61</v>
      </c>
      <c r="M285" s="428"/>
      <c r="N285" s="428"/>
      <c r="O285" s="428"/>
      <c r="P285" s="428"/>
      <c r="Q285" s="429"/>
      <c r="R285" s="417"/>
      <c r="S285" s="418"/>
      <c r="T285" s="419"/>
      <c r="U285" s="418"/>
      <c r="V285" s="419"/>
      <c r="W285" s="430"/>
      <c r="X285" s="431"/>
      <c r="Y285" s="434"/>
      <c r="Z285" s="433"/>
      <c r="AA285" s="396"/>
      <c r="AB285" s="397"/>
      <c r="AC285" s="398"/>
      <c r="AD285" s="399"/>
      <c r="AE285" s="400"/>
      <c r="AF285" s="401"/>
      <c r="AG285" s="401">
        <f t="shared" si="27"/>
        <v>0</v>
      </c>
      <c r="AH285" s="401">
        <f t="shared" si="28"/>
        <v>0</v>
      </c>
      <c r="AI285" s="401">
        <f t="shared" si="29"/>
        <v>0</v>
      </c>
      <c r="AJ285" s="401">
        <f t="shared" si="30"/>
        <v>0</v>
      </c>
      <c r="AK285" s="401" t="str">
        <f t="shared" si="31"/>
        <v/>
      </c>
      <c r="AL285" s="402">
        <f t="shared" ca="1" si="32"/>
        <v>3</v>
      </c>
      <c r="AM285" s="402">
        <f t="shared" ca="1" si="33"/>
        <v>1</v>
      </c>
      <c r="AN285" s="402">
        <f t="shared" ca="1" si="34"/>
        <v>60</v>
      </c>
      <c r="AO285" s="402">
        <f t="shared" ca="1" si="35"/>
        <v>2</v>
      </c>
      <c r="AP285" s="402">
        <f t="shared" ca="1" si="36"/>
        <v>0</v>
      </c>
      <c r="AQ285" s="402">
        <f t="shared" ca="1" si="37"/>
        <v>0</v>
      </c>
      <c r="AR285" s="402">
        <f t="shared" ca="1" si="38"/>
        <v>0</v>
      </c>
      <c r="AS285" s="403"/>
      <c r="AT285" s="402">
        <f t="shared" si="39"/>
        <v>1</v>
      </c>
    </row>
    <row r="286" spans="1:46" ht="15.75" customHeight="1">
      <c r="A286" s="382"/>
      <c r="B286" s="383">
        <f t="shared" ca="1" si="20"/>
        <v>3</v>
      </c>
      <c r="C286" s="384">
        <f t="shared" ca="1" si="21"/>
        <v>1</v>
      </c>
      <c r="D286" s="384">
        <f t="shared" ca="1" si="22"/>
        <v>60</v>
      </c>
      <c r="E286" s="384">
        <f t="shared" ca="1" si="23"/>
        <v>3</v>
      </c>
      <c r="F286" s="384" t="str">
        <f t="shared" ca="1" si="24"/>
        <v/>
      </c>
      <c r="G286" s="385" t="str">
        <f t="shared" ca="1" si="25"/>
        <v/>
      </c>
      <c r="H286" s="386" t="str">
        <f t="shared" ca="1" si="26"/>
        <v/>
      </c>
      <c r="I286" s="404"/>
      <c r="J286" s="415"/>
      <c r="K286" s="428"/>
      <c r="L286" s="428" t="s">
        <v>63</v>
      </c>
      <c r="M286" s="428"/>
      <c r="N286" s="428"/>
      <c r="O286" s="428"/>
      <c r="P286" s="428"/>
      <c r="Q286" s="429"/>
      <c r="R286" s="417"/>
      <c r="S286" s="418"/>
      <c r="T286" s="419"/>
      <c r="U286" s="418"/>
      <c r="V286" s="419"/>
      <c r="W286" s="430"/>
      <c r="X286" s="431"/>
      <c r="Y286" s="434"/>
      <c r="Z286" s="433"/>
      <c r="AA286" s="396"/>
      <c r="AB286" s="397"/>
      <c r="AC286" s="398"/>
      <c r="AD286" s="399"/>
      <c r="AE286" s="400"/>
      <c r="AF286" s="401"/>
      <c r="AG286" s="401">
        <f t="shared" si="27"/>
        <v>0</v>
      </c>
      <c r="AH286" s="401">
        <f t="shared" si="28"/>
        <v>0</v>
      </c>
      <c r="AI286" s="401">
        <f t="shared" si="29"/>
        <v>0</v>
      </c>
      <c r="AJ286" s="401">
        <f t="shared" si="30"/>
        <v>0</v>
      </c>
      <c r="AK286" s="401" t="str">
        <f t="shared" si="31"/>
        <v/>
      </c>
      <c r="AL286" s="402">
        <f t="shared" ca="1" si="32"/>
        <v>3</v>
      </c>
      <c r="AM286" s="402">
        <f t="shared" ca="1" si="33"/>
        <v>1</v>
      </c>
      <c r="AN286" s="402">
        <f t="shared" ca="1" si="34"/>
        <v>60</v>
      </c>
      <c r="AO286" s="402">
        <f t="shared" ca="1" si="35"/>
        <v>3</v>
      </c>
      <c r="AP286" s="402">
        <f t="shared" ca="1" si="36"/>
        <v>0</v>
      </c>
      <c r="AQ286" s="402">
        <f t="shared" ca="1" si="37"/>
        <v>0</v>
      </c>
      <c r="AR286" s="402">
        <f t="shared" ca="1" si="38"/>
        <v>0</v>
      </c>
      <c r="AS286" s="403"/>
      <c r="AT286" s="402">
        <f t="shared" si="39"/>
        <v>1</v>
      </c>
    </row>
    <row r="287" spans="1:46" ht="15.75" customHeight="1">
      <c r="A287" s="382"/>
      <c r="B287" s="383">
        <f t="shared" ca="1" si="20"/>
        <v>3</v>
      </c>
      <c r="C287" s="384">
        <f t="shared" ca="1" si="21"/>
        <v>1</v>
      </c>
      <c r="D287" s="384">
        <f t="shared" ca="1" si="22"/>
        <v>60</v>
      </c>
      <c r="E287" s="384">
        <f t="shared" ca="1" si="23"/>
        <v>4</v>
      </c>
      <c r="F287" s="384" t="str">
        <f t="shared" ca="1" si="24"/>
        <v/>
      </c>
      <c r="G287" s="385" t="str">
        <f t="shared" ca="1" si="25"/>
        <v/>
      </c>
      <c r="H287" s="386" t="str">
        <f t="shared" ca="1" si="26"/>
        <v/>
      </c>
      <c r="I287" s="404"/>
      <c r="J287" s="415"/>
      <c r="K287" s="428"/>
      <c r="L287" s="428" t="s">
        <v>64</v>
      </c>
      <c r="M287" s="428"/>
      <c r="N287" s="428"/>
      <c r="O287" s="428"/>
      <c r="P287" s="428"/>
      <c r="Q287" s="429"/>
      <c r="R287" s="417"/>
      <c r="S287" s="418"/>
      <c r="T287" s="419"/>
      <c r="U287" s="418"/>
      <c r="V287" s="419"/>
      <c r="W287" s="430"/>
      <c r="X287" s="431"/>
      <c r="Y287" s="434"/>
      <c r="Z287" s="433"/>
      <c r="AA287" s="396"/>
      <c r="AB287" s="397"/>
      <c r="AC287" s="398"/>
      <c r="AD287" s="399"/>
      <c r="AE287" s="400"/>
      <c r="AF287" s="401"/>
      <c r="AG287" s="401">
        <f t="shared" si="27"/>
        <v>0</v>
      </c>
      <c r="AH287" s="401">
        <f t="shared" si="28"/>
        <v>0</v>
      </c>
      <c r="AI287" s="401">
        <f t="shared" si="29"/>
        <v>0</v>
      </c>
      <c r="AJ287" s="401">
        <f t="shared" si="30"/>
        <v>0</v>
      </c>
      <c r="AK287" s="401" t="str">
        <f t="shared" si="31"/>
        <v/>
      </c>
      <c r="AL287" s="402">
        <f t="shared" ca="1" si="32"/>
        <v>3</v>
      </c>
      <c r="AM287" s="402">
        <f t="shared" ca="1" si="33"/>
        <v>1</v>
      </c>
      <c r="AN287" s="402">
        <f t="shared" ca="1" si="34"/>
        <v>60</v>
      </c>
      <c r="AO287" s="402">
        <f t="shared" ca="1" si="35"/>
        <v>4</v>
      </c>
      <c r="AP287" s="402">
        <f t="shared" ca="1" si="36"/>
        <v>0</v>
      </c>
      <c r="AQ287" s="402">
        <f t="shared" ca="1" si="37"/>
        <v>0</v>
      </c>
      <c r="AR287" s="402">
        <f t="shared" ca="1" si="38"/>
        <v>0</v>
      </c>
      <c r="AS287" s="403"/>
      <c r="AT287" s="402">
        <f t="shared" si="39"/>
        <v>1</v>
      </c>
    </row>
    <row r="288" spans="1:46" ht="15.75" customHeight="1">
      <c r="A288" s="382"/>
      <c r="B288" s="383">
        <f t="shared" ca="1" si="20"/>
        <v>3</v>
      </c>
      <c r="C288" s="384">
        <f t="shared" ca="1" si="21"/>
        <v>1</v>
      </c>
      <c r="D288" s="384">
        <f t="shared" ca="1" si="22"/>
        <v>60</v>
      </c>
      <c r="E288" s="384">
        <f t="shared" ca="1" si="23"/>
        <v>5</v>
      </c>
      <c r="F288" s="384" t="str">
        <f t="shared" ca="1" si="24"/>
        <v/>
      </c>
      <c r="G288" s="385" t="str">
        <f t="shared" ca="1" si="25"/>
        <v/>
      </c>
      <c r="H288" s="386" t="str">
        <f t="shared" ca="1" si="26"/>
        <v/>
      </c>
      <c r="I288" s="404"/>
      <c r="J288" s="415"/>
      <c r="K288" s="428"/>
      <c r="L288" s="428" t="s">
        <v>65</v>
      </c>
      <c r="M288" s="428"/>
      <c r="N288" s="428"/>
      <c r="O288" s="428"/>
      <c r="P288" s="428"/>
      <c r="Q288" s="429"/>
      <c r="R288" s="417"/>
      <c r="S288" s="418"/>
      <c r="T288" s="419"/>
      <c r="U288" s="418"/>
      <c r="V288" s="419"/>
      <c r="W288" s="430"/>
      <c r="X288" s="431"/>
      <c r="Y288" s="434"/>
      <c r="Z288" s="433"/>
      <c r="AA288" s="396"/>
      <c r="AB288" s="397"/>
      <c r="AC288" s="398"/>
      <c r="AD288" s="399"/>
      <c r="AE288" s="400"/>
      <c r="AF288" s="401"/>
      <c r="AG288" s="401">
        <f t="shared" si="27"/>
        <v>0</v>
      </c>
      <c r="AH288" s="401">
        <f t="shared" si="28"/>
        <v>0</v>
      </c>
      <c r="AI288" s="401">
        <f t="shared" si="29"/>
        <v>0</v>
      </c>
      <c r="AJ288" s="401">
        <f t="shared" si="30"/>
        <v>0</v>
      </c>
      <c r="AK288" s="401" t="str">
        <f t="shared" si="31"/>
        <v/>
      </c>
      <c r="AL288" s="402">
        <f t="shared" ca="1" si="32"/>
        <v>3</v>
      </c>
      <c r="AM288" s="402">
        <f t="shared" ca="1" si="33"/>
        <v>1</v>
      </c>
      <c r="AN288" s="402">
        <f t="shared" ca="1" si="34"/>
        <v>60</v>
      </c>
      <c r="AO288" s="402">
        <f t="shared" ca="1" si="35"/>
        <v>5</v>
      </c>
      <c r="AP288" s="402">
        <f t="shared" ca="1" si="36"/>
        <v>0</v>
      </c>
      <c r="AQ288" s="402">
        <f t="shared" ca="1" si="37"/>
        <v>0</v>
      </c>
      <c r="AR288" s="402">
        <f t="shared" ca="1" si="38"/>
        <v>0</v>
      </c>
      <c r="AS288" s="403"/>
      <c r="AT288" s="402">
        <f t="shared" si="39"/>
        <v>1</v>
      </c>
    </row>
    <row r="289" spans="1:46" ht="15.75" customHeight="1">
      <c r="A289" s="382"/>
      <c r="B289" s="383">
        <f t="shared" ca="1" si="20"/>
        <v>3</v>
      </c>
      <c r="C289" s="384">
        <f t="shared" ca="1" si="21"/>
        <v>1</v>
      </c>
      <c r="D289" s="384">
        <f t="shared" ca="1" si="22"/>
        <v>60</v>
      </c>
      <c r="E289" s="384">
        <f t="shared" ca="1" si="23"/>
        <v>6</v>
      </c>
      <c r="F289" s="384" t="str">
        <f t="shared" ca="1" si="24"/>
        <v/>
      </c>
      <c r="G289" s="385" t="str">
        <f t="shared" ca="1" si="25"/>
        <v/>
      </c>
      <c r="H289" s="386" t="str">
        <f t="shared" ca="1" si="26"/>
        <v/>
      </c>
      <c r="I289" s="404"/>
      <c r="J289" s="415"/>
      <c r="K289" s="428"/>
      <c r="L289" s="428" t="s">
        <v>66</v>
      </c>
      <c r="M289" s="428"/>
      <c r="N289" s="428"/>
      <c r="O289" s="428"/>
      <c r="P289" s="428"/>
      <c r="Q289" s="429"/>
      <c r="R289" s="417"/>
      <c r="S289" s="418"/>
      <c r="T289" s="419"/>
      <c r="U289" s="418"/>
      <c r="V289" s="419"/>
      <c r="W289" s="430"/>
      <c r="X289" s="431"/>
      <c r="Y289" s="434"/>
      <c r="Z289" s="433"/>
      <c r="AA289" s="396"/>
      <c r="AB289" s="397"/>
      <c r="AC289" s="398"/>
      <c r="AD289" s="399"/>
      <c r="AE289" s="400"/>
      <c r="AF289" s="401"/>
      <c r="AG289" s="401">
        <f t="shared" si="27"/>
        <v>0</v>
      </c>
      <c r="AH289" s="401">
        <f t="shared" si="28"/>
        <v>0</v>
      </c>
      <c r="AI289" s="401">
        <f t="shared" si="29"/>
        <v>0</v>
      </c>
      <c r="AJ289" s="401">
        <f t="shared" si="30"/>
        <v>0</v>
      </c>
      <c r="AK289" s="401" t="str">
        <f t="shared" si="31"/>
        <v/>
      </c>
      <c r="AL289" s="402">
        <f t="shared" ca="1" si="32"/>
        <v>3</v>
      </c>
      <c r="AM289" s="402">
        <f t="shared" ca="1" si="33"/>
        <v>1</v>
      </c>
      <c r="AN289" s="402">
        <f t="shared" ca="1" si="34"/>
        <v>60</v>
      </c>
      <c r="AO289" s="402">
        <f t="shared" ca="1" si="35"/>
        <v>6</v>
      </c>
      <c r="AP289" s="402">
        <f t="shared" ca="1" si="36"/>
        <v>0</v>
      </c>
      <c r="AQ289" s="402">
        <f t="shared" ca="1" si="37"/>
        <v>0</v>
      </c>
      <c r="AR289" s="402">
        <f t="shared" ca="1" si="38"/>
        <v>0</v>
      </c>
      <c r="AS289" s="403"/>
      <c r="AT289" s="402">
        <f t="shared" si="39"/>
        <v>1</v>
      </c>
    </row>
    <row r="290" spans="1:46" ht="15.75" customHeight="1">
      <c r="A290" s="382"/>
      <c r="B290" s="383">
        <f t="shared" ca="1" si="20"/>
        <v>3</v>
      </c>
      <c r="C290" s="384">
        <f t="shared" ca="1" si="21"/>
        <v>1</v>
      </c>
      <c r="D290" s="384">
        <f t="shared" ca="1" si="22"/>
        <v>61</v>
      </c>
      <c r="E290" s="384" t="str">
        <f t="shared" ca="1" si="23"/>
        <v/>
      </c>
      <c r="F290" s="384" t="str">
        <f t="shared" ca="1" si="24"/>
        <v/>
      </c>
      <c r="G290" s="385" t="str">
        <f t="shared" ca="1" si="25"/>
        <v/>
      </c>
      <c r="H290" s="386" t="str">
        <f t="shared" ca="1" si="26"/>
        <v/>
      </c>
      <c r="I290" s="404"/>
      <c r="J290" s="415"/>
      <c r="K290" s="428" t="s">
        <v>353</v>
      </c>
      <c r="L290" s="428"/>
      <c r="M290" s="428"/>
      <c r="N290" s="428"/>
      <c r="O290" s="428"/>
      <c r="P290" s="428"/>
      <c r="Q290" s="429"/>
      <c r="R290" s="417"/>
      <c r="S290" s="418"/>
      <c r="T290" s="419"/>
      <c r="U290" s="418"/>
      <c r="V290" s="419"/>
      <c r="W290" s="430"/>
      <c r="X290" s="431"/>
      <c r="Y290" s="434"/>
      <c r="Z290" s="433"/>
      <c r="AA290" s="396"/>
      <c r="AB290" s="397"/>
      <c r="AC290" s="398"/>
      <c r="AD290" s="399"/>
      <c r="AE290" s="400"/>
      <c r="AF290" s="401"/>
      <c r="AG290" s="401">
        <f t="shared" si="27"/>
        <v>0</v>
      </c>
      <c r="AH290" s="401">
        <f t="shared" si="28"/>
        <v>0</v>
      </c>
      <c r="AI290" s="401">
        <f t="shared" si="29"/>
        <v>0</v>
      </c>
      <c r="AJ290" s="401">
        <f t="shared" si="30"/>
        <v>0</v>
      </c>
      <c r="AK290" s="401" t="str">
        <f t="shared" si="31"/>
        <v/>
      </c>
      <c r="AL290" s="402">
        <f t="shared" ca="1" si="32"/>
        <v>3</v>
      </c>
      <c r="AM290" s="402">
        <f t="shared" ca="1" si="33"/>
        <v>1</v>
      </c>
      <c r="AN290" s="402">
        <f t="shared" ca="1" si="34"/>
        <v>61</v>
      </c>
      <c r="AO290" s="402">
        <f t="shared" ca="1" si="35"/>
        <v>0</v>
      </c>
      <c r="AP290" s="402">
        <f t="shared" ca="1" si="36"/>
        <v>0</v>
      </c>
      <c r="AQ290" s="402">
        <f t="shared" ca="1" si="37"/>
        <v>0</v>
      </c>
      <c r="AR290" s="402">
        <f t="shared" ca="1" si="38"/>
        <v>0</v>
      </c>
      <c r="AS290" s="403"/>
      <c r="AT290" s="402">
        <f t="shared" si="39"/>
        <v>1</v>
      </c>
    </row>
    <row r="291" spans="1:46" ht="15.75" customHeight="1">
      <c r="A291" s="382"/>
      <c r="B291" s="383">
        <f t="shared" ca="1" si="20"/>
        <v>3</v>
      </c>
      <c r="C291" s="384">
        <f t="shared" ca="1" si="21"/>
        <v>1</v>
      </c>
      <c r="D291" s="384">
        <f t="shared" ca="1" si="22"/>
        <v>61</v>
      </c>
      <c r="E291" s="384">
        <f t="shared" ca="1" si="23"/>
        <v>1</v>
      </c>
      <c r="F291" s="384" t="str">
        <f t="shared" ca="1" si="24"/>
        <v/>
      </c>
      <c r="G291" s="385" t="str">
        <f t="shared" ca="1" si="25"/>
        <v/>
      </c>
      <c r="H291" s="386" t="str">
        <f t="shared" ca="1" si="26"/>
        <v/>
      </c>
      <c r="I291" s="404"/>
      <c r="J291" s="415"/>
      <c r="K291" s="428"/>
      <c r="L291" s="428" t="s">
        <v>59</v>
      </c>
      <c r="M291" s="428"/>
      <c r="N291" s="428"/>
      <c r="O291" s="428"/>
      <c r="P291" s="428"/>
      <c r="Q291" s="429"/>
      <c r="R291" s="417"/>
      <c r="S291" s="418"/>
      <c r="T291" s="419"/>
      <c r="U291" s="418"/>
      <c r="V291" s="419"/>
      <c r="W291" s="430"/>
      <c r="X291" s="431"/>
      <c r="Y291" s="434"/>
      <c r="Z291" s="433"/>
      <c r="AA291" s="396"/>
      <c r="AB291" s="397"/>
      <c r="AC291" s="398"/>
      <c r="AD291" s="399"/>
      <c r="AE291" s="400"/>
      <c r="AF291" s="401"/>
      <c r="AG291" s="401">
        <f t="shared" si="27"/>
        <v>0</v>
      </c>
      <c r="AH291" s="401">
        <f t="shared" si="28"/>
        <v>0</v>
      </c>
      <c r="AI291" s="401">
        <f t="shared" si="29"/>
        <v>0</v>
      </c>
      <c r="AJ291" s="401">
        <f t="shared" si="30"/>
        <v>0</v>
      </c>
      <c r="AK291" s="401" t="str">
        <f t="shared" si="31"/>
        <v/>
      </c>
      <c r="AL291" s="402">
        <f t="shared" ca="1" si="32"/>
        <v>3</v>
      </c>
      <c r="AM291" s="402">
        <f t="shared" ca="1" si="33"/>
        <v>1</v>
      </c>
      <c r="AN291" s="402">
        <f t="shared" ca="1" si="34"/>
        <v>61</v>
      </c>
      <c r="AO291" s="402">
        <f t="shared" ca="1" si="35"/>
        <v>1</v>
      </c>
      <c r="AP291" s="402">
        <f t="shared" ca="1" si="36"/>
        <v>0</v>
      </c>
      <c r="AQ291" s="402">
        <f t="shared" ca="1" si="37"/>
        <v>0</v>
      </c>
      <c r="AR291" s="402">
        <f t="shared" ca="1" si="38"/>
        <v>0</v>
      </c>
      <c r="AS291" s="403"/>
      <c r="AT291" s="402">
        <f t="shared" si="39"/>
        <v>1</v>
      </c>
    </row>
    <row r="292" spans="1:46" ht="15.75" customHeight="1">
      <c r="A292" s="382"/>
      <c r="B292" s="383">
        <f t="shared" ca="1" si="20"/>
        <v>3</v>
      </c>
      <c r="C292" s="384">
        <f t="shared" ca="1" si="21"/>
        <v>1</v>
      </c>
      <c r="D292" s="384">
        <f t="shared" ca="1" si="22"/>
        <v>61</v>
      </c>
      <c r="E292" s="384">
        <f t="shared" ca="1" si="23"/>
        <v>2</v>
      </c>
      <c r="F292" s="384" t="str">
        <f t="shared" ca="1" si="24"/>
        <v/>
      </c>
      <c r="G292" s="385" t="str">
        <f t="shared" ca="1" si="25"/>
        <v/>
      </c>
      <c r="H292" s="386" t="str">
        <f t="shared" ca="1" si="26"/>
        <v/>
      </c>
      <c r="I292" s="404"/>
      <c r="J292" s="415"/>
      <c r="K292" s="428"/>
      <c r="L292" s="428" t="s">
        <v>61</v>
      </c>
      <c r="M292" s="428"/>
      <c r="N292" s="428"/>
      <c r="O292" s="428"/>
      <c r="P292" s="428"/>
      <c r="Q292" s="429"/>
      <c r="R292" s="417"/>
      <c r="S292" s="418"/>
      <c r="T292" s="419"/>
      <c r="U292" s="418"/>
      <c r="V292" s="419"/>
      <c r="W292" s="430"/>
      <c r="X292" s="431"/>
      <c r="Y292" s="434"/>
      <c r="Z292" s="433"/>
      <c r="AA292" s="396"/>
      <c r="AB292" s="397"/>
      <c r="AC292" s="398"/>
      <c r="AD292" s="399"/>
      <c r="AE292" s="400"/>
      <c r="AF292" s="401"/>
      <c r="AG292" s="401">
        <f t="shared" si="27"/>
        <v>0</v>
      </c>
      <c r="AH292" s="401">
        <f t="shared" si="28"/>
        <v>0</v>
      </c>
      <c r="AI292" s="401">
        <f t="shared" si="29"/>
        <v>0</v>
      </c>
      <c r="AJ292" s="401">
        <f t="shared" si="30"/>
        <v>0</v>
      </c>
      <c r="AK292" s="401" t="str">
        <f t="shared" si="31"/>
        <v/>
      </c>
      <c r="AL292" s="402">
        <f t="shared" ca="1" si="32"/>
        <v>3</v>
      </c>
      <c r="AM292" s="402">
        <f t="shared" ca="1" si="33"/>
        <v>1</v>
      </c>
      <c r="AN292" s="402">
        <f t="shared" ca="1" si="34"/>
        <v>61</v>
      </c>
      <c r="AO292" s="402">
        <f t="shared" ca="1" si="35"/>
        <v>2</v>
      </c>
      <c r="AP292" s="402">
        <f t="shared" ca="1" si="36"/>
        <v>0</v>
      </c>
      <c r="AQ292" s="402">
        <f t="shared" ca="1" si="37"/>
        <v>0</v>
      </c>
      <c r="AR292" s="402">
        <f t="shared" ca="1" si="38"/>
        <v>0</v>
      </c>
      <c r="AS292" s="403"/>
      <c r="AT292" s="402">
        <f t="shared" si="39"/>
        <v>1</v>
      </c>
    </row>
    <row r="293" spans="1:46" ht="15.75" customHeight="1">
      <c r="A293" s="382"/>
      <c r="B293" s="383">
        <f t="shared" ca="1" si="20"/>
        <v>3</v>
      </c>
      <c r="C293" s="384">
        <f t="shared" ca="1" si="21"/>
        <v>1</v>
      </c>
      <c r="D293" s="384">
        <f t="shared" ca="1" si="22"/>
        <v>61</v>
      </c>
      <c r="E293" s="384">
        <f t="shared" ca="1" si="23"/>
        <v>3</v>
      </c>
      <c r="F293" s="384" t="str">
        <f t="shared" ca="1" si="24"/>
        <v/>
      </c>
      <c r="G293" s="385" t="str">
        <f t="shared" ca="1" si="25"/>
        <v/>
      </c>
      <c r="H293" s="386" t="str">
        <f t="shared" ca="1" si="26"/>
        <v/>
      </c>
      <c r="I293" s="404"/>
      <c r="J293" s="415"/>
      <c r="K293" s="428"/>
      <c r="L293" s="428" t="s">
        <v>63</v>
      </c>
      <c r="M293" s="428"/>
      <c r="N293" s="428"/>
      <c r="O293" s="428"/>
      <c r="P293" s="428"/>
      <c r="Q293" s="429"/>
      <c r="R293" s="417"/>
      <c r="S293" s="418"/>
      <c r="T293" s="419"/>
      <c r="U293" s="418"/>
      <c r="V293" s="419"/>
      <c r="W293" s="430"/>
      <c r="X293" s="431"/>
      <c r="Y293" s="434"/>
      <c r="Z293" s="433"/>
      <c r="AA293" s="396"/>
      <c r="AB293" s="397"/>
      <c r="AC293" s="398"/>
      <c r="AD293" s="399"/>
      <c r="AE293" s="400"/>
      <c r="AF293" s="401"/>
      <c r="AG293" s="401">
        <f t="shared" si="27"/>
        <v>0</v>
      </c>
      <c r="AH293" s="401">
        <f t="shared" si="28"/>
        <v>0</v>
      </c>
      <c r="AI293" s="401">
        <f t="shared" si="29"/>
        <v>0</v>
      </c>
      <c r="AJ293" s="401">
        <f t="shared" si="30"/>
        <v>0</v>
      </c>
      <c r="AK293" s="401" t="str">
        <f t="shared" si="31"/>
        <v/>
      </c>
      <c r="AL293" s="402">
        <f t="shared" ca="1" si="32"/>
        <v>3</v>
      </c>
      <c r="AM293" s="402">
        <f t="shared" ca="1" si="33"/>
        <v>1</v>
      </c>
      <c r="AN293" s="402">
        <f t="shared" ca="1" si="34"/>
        <v>61</v>
      </c>
      <c r="AO293" s="402">
        <f t="shared" ca="1" si="35"/>
        <v>3</v>
      </c>
      <c r="AP293" s="402">
        <f t="shared" ca="1" si="36"/>
        <v>0</v>
      </c>
      <c r="AQ293" s="402">
        <f t="shared" ca="1" si="37"/>
        <v>0</v>
      </c>
      <c r="AR293" s="402">
        <f t="shared" ca="1" si="38"/>
        <v>0</v>
      </c>
      <c r="AS293" s="403"/>
      <c r="AT293" s="402">
        <f t="shared" si="39"/>
        <v>1</v>
      </c>
    </row>
    <row r="294" spans="1:46" ht="15.75" customHeight="1">
      <c r="A294" s="382"/>
      <c r="B294" s="383">
        <f t="shared" ca="1" si="20"/>
        <v>3</v>
      </c>
      <c r="C294" s="384">
        <f t="shared" ca="1" si="21"/>
        <v>1</v>
      </c>
      <c r="D294" s="384">
        <f t="shared" ca="1" si="22"/>
        <v>61</v>
      </c>
      <c r="E294" s="384">
        <f t="shared" ca="1" si="23"/>
        <v>4</v>
      </c>
      <c r="F294" s="384" t="str">
        <f t="shared" ca="1" si="24"/>
        <v/>
      </c>
      <c r="G294" s="385" t="str">
        <f t="shared" ca="1" si="25"/>
        <v/>
      </c>
      <c r="H294" s="386" t="str">
        <f t="shared" ca="1" si="26"/>
        <v/>
      </c>
      <c r="I294" s="404"/>
      <c r="J294" s="415"/>
      <c r="K294" s="428"/>
      <c r="L294" s="428" t="s">
        <v>64</v>
      </c>
      <c r="M294" s="428"/>
      <c r="N294" s="428"/>
      <c r="O294" s="428"/>
      <c r="P294" s="428"/>
      <c r="Q294" s="429"/>
      <c r="R294" s="417"/>
      <c r="S294" s="418"/>
      <c r="T294" s="419"/>
      <c r="U294" s="418"/>
      <c r="V294" s="419"/>
      <c r="W294" s="430"/>
      <c r="X294" s="431"/>
      <c r="Y294" s="434"/>
      <c r="Z294" s="433"/>
      <c r="AA294" s="396"/>
      <c r="AB294" s="397"/>
      <c r="AC294" s="398"/>
      <c r="AD294" s="399"/>
      <c r="AE294" s="400"/>
      <c r="AF294" s="401"/>
      <c r="AG294" s="401">
        <f t="shared" si="27"/>
        <v>0</v>
      </c>
      <c r="AH294" s="401">
        <f t="shared" si="28"/>
        <v>0</v>
      </c>
      <c r="AI294" s="401">
        <f t="shared" si="29"/>
        <v>0</v>
      </c>
      <c r="AJ294" s="401">
        <f t="shared" si="30"/>
        <v>0</v>
      </c>
      <c r="AK294" s="401" t="str">
        <f t="shared" si="31"/>
        <v/>
      </c>
      <c r="AL294" s="402">
        <f t="shared" ca="1" si="32"/>
        <v>3</v>
      </c>
      <c r="AM294" s="402">
        <f t="shared" ca="1" si="33"/>
        <v>1</v>
      </c>
      <c r="AN294" s="402">
        <f t="shared" ca="1" si="34"/>
        <v>61</v>
      </c>
      <c r="AO294" s="402">
        <f t="shared" ca="1" si="35"/>
        <v>4</v>
      </c>
      <c r="AP294" s="402">
        <f t="shared" ca="1" si="36"/>
        <v>0</v>
      </c>
      <c r="AQ294" s="402">
        <f t="shared" ca="1" si="37"/>
        <v>0</v>
      </c>
      <c r="AR294" s="402">
        <f t="shared" ca="1" si="38"/>
        <v>0</v>
      </c>
      <c r="AS294" s="403"/>
      <c r="AT294" s="402">
        <f t="shared" si="39"/>
        <v>1</v>
      </c>
    </row>
    <row r="295" spans="1:46" ht="15.75" customHeight="1">
      <c r="A295" s="382"/>
      <c r="B295" s="383">
        <f t="shared" ca="1" si="20"/>
        <v>3</v>
      </c>
      <c r="C295" s="384">
        <f t="shared" ca="1" si="21"/>
        <v>1</v>
      </c>
      <c r="D295" s="384">
        <f t="shared" ca="1" si="22"/>
        <v>61</v>
      </c>
      <c r="E295" s="384">
        <f t="shared" ca="1" si="23"/>
        <v>5</v>
      </c>
      <c r="F295" s="384" t="str">
        <f t="shared" ca="1" si="24"/>
        <v/>
      </c>
      <c r="G295" s="385" t="str">
        <f t="shared" ca="1" si="25"/>
        <v/>
      </c>
      <c r="H295" s="386" t="str">
        <f t="shared" ca="1" si="26"/>
        <v/>
      </c>
      <c r="I295" s="404"/>
      <c r="J295" s="415"/>
      <c r="K295" s="428"/>
      <c r="L295" s="428" t="s">
        <v>65</v>
      </c>
      <c r="M295" s="428"/>
      <c r="N295" s="428"/>
      <c r="O295" s="428"/>
      <c r="P295" s="428"/>
      <c r="Q295" s="429"/>
      <c r="R295" s="417"/>
      <c r="S295" s="418"/>
      <c r="T295" s="419"/>
      <c r="U295" s="418"/>
      <c r="V295" s="419"/>
      <c r="W295" s="430"/>
      <c r="X295" s="431"/>
      <c r="Y295" s="434"/>
      <c r="Z295" s="433"/>
      <c r="AA295" s="396"/>
      <c r="AB295" s="397"/>
      <c r="AC295" s="398"/>
      <c r="AD295" s="399"/>
      <c r="AE295" s="400"/>
      <c r="AF295" s="401"/>
      <c r="AG295" s="401">
        <f t="shared" si="27"/>
        <v>0</v>
      </c>
      <c r="AH295" s="401">
        <f t="shared" si="28"/>
        <v>0</v>
      </c>
      <c r="AI295" s="401">
        <f t="shared" si="29"/>
        <v>0</v>
      </c>
      <c r="AJ295" s="401">
        <f t="shared" si="30"/>
        <v>0</v>
      </c>
      <c r="AK295" s="401" t="str">
        <f t="shared" si="31"/>
        <v/>
      </c>
      <c r="AL295" s="402">
        <f t="shared" ca="1" si="32"/>
        <v>3</v>
      </c>
      <c r="AM295" s="402">
        <f t="shared" ca="1" si="33"/>
        <v>1</v>
      </c>
      <c r="AN295" s="402">
        <f t="shared" ca="1" si="34"/>
        <v>61</v>
      </c>
      <c r="AO295" s="402">
        <f t="shared" ca="1" si="35"/>
        <v>5</v>
      </c>
      <c r="AP295" s="402">
        <f t="shared" ca="1" si="36"/>
        <v>0</v>
      </c>
      <c r="AQ295" s="402">
        <f t="shared" ca="1" si="37"/>
        <v>0</v>
      </c>
      <c r="AR295" s="402">
        <f t="shared" ca="1" si="38"/>
        <v>0</v>
      </c>
      <c r="AS295" s="403"/>
      <c r="AT295" s="402">
        <f t="shared" si="39"/>
        <v>1</v>
      </c>
    </row>
    <row r="296" spans="1:46" ht="15.75" customHeight="1">
      <c r="A296" s="382"/>
      <c r="B296" s="383">
        <f t="shared" ca="1" si="20"/>
        <v>3</v>
      </c>
      <c r="C296" s="384">
        <f t="shared" ca="1" si="21"/>
        <v>1</v>
      </c>
      <c r="D296" s="384">
        <f t="shared" ca="1" si="22"/>
        <v>61</v>
      </c>
      <c r="E296" s="384">
        <f t="shared" ca="1" si="23"/>
        <v>6</v>
      </c>
      <c r="F296" s="384" t="str">
        <f t="shared" ca="1" si="24"/>
        <v/>
      </c>
      <c r="G296" s="385" t="str">
        <f t="shared" ca="1" si="25"/>
        <v/>
      </c>
      <c r="H296" s="386" t="str">
        <f t="shared" ca="1" si="26"/>
        <v/>
      </c>
      <c r="I296" s="404"/>
      <c r="J296" s="415"/>
      <c r="K296" s="428"/>
      <c r="L296" s="428" t="s">
        <v>66</v>
      </c>
      <c r="M296" s="428"/>
      <c r="N296" s="428"/>
      <c r="O296" s="428"/>
      <c r="P296" s="428"/>
      <c r="Q296" s="429"/>
      <c r="R296" s="417"/>
      <c r="S296" s="418"/>
      <c r="T296" s="419"/>
      <c r="U296" s="418"/>
      <c r="V296" s="419"/>
      <c r="W296" s="430"/>
      <c r="X296" s="431"/>
      <c r="Y296" s="434"/>
      <c r="Z296" s="433"/>
      <c r="AA296" s="396"/>
      <c r="AB296" s="397"/>
      <c r="AC296" s="398"/>
      <c r="AD296" s="399"/>
      <c r="AE296" s="400"/>
      <c r="AF296" s="401"/>
      <c r="AG296" s="401">
        <f t="shared" si="27"/>
        <v>0</v>
      </c>
      <c r="AH296" s="401">
        <f t="shared" si="28"/>
        <v>0</v>
      </c>
      <c r="AI296" s="401">
        <f t="shared" si="29"/>
        <v>0</v>
      </c>
      <c r="AJ296" s="401">
        <f t="shared" si="30"/>
        <v>0</v>
      </c>
      <c r="AK296" s="401" t="str">
        <f t="shared" si="31"/>
        <v/>
      </c>
      <c r="AL296" s="402">
        <f t="shared" ca="1" si="32"/>
        <v>3</v>
      </c>
      <c r="AM296" s="402">
        <f t="shared" ca="1" si="33"/>
        <v>1</v>
      </c>
      <c r="AN296" s="402">
        <f t="shared" ca="1" si="34"/>
        <v>61</v>
      </c>
      <c r="AO296" s="402">
        <f t="shared" ca="1" si="35"/>
        <v>6</v>
      </c>
      <c r="AP296" s="402">
        <f t="shared" ca="1" si="36"/>
        <v>0</v>
      </c>
      <c r="AQ296" s="402">
        <f t="shared" ca="1" si="37"/>
        <v>0</v>
      </c>
      <c r="AR296" s="402">
        <f t="shared" ca="1" si="38"/>
        <v>0</v>
      </c>
      <c r="AS296" s="403"/>
      <c r="AT296" s="402">
        <f t="shared" si="39"/>
        <v>1</v>
      </c>
    </row>
    <row r="297" spans="1:46" ht="15.75" customHeight="1">
      <c r="A297" s="382"/>
      <c r="B297" s="383">
        <f t="shared" ca="1" si="20"/>
        <v>3</v>
      </c>
      <c r="C297" s="384">
        <f t="shared" ca="1" si="21"/>
        <v>1</v>
      </c>
      <c r="D297" s="384">
        <f t="shared" ca="1" si="22"/>
        <v>62</v>
      </c>
      <c r="E297" s="384" t="str">
        <f t="shared" ca="1" si="23"/>
        <v/>
      </c>
      <c r="F297" s="384" t="str">
        <f t="shared" ca="1" si="24"/>
        <v/>
      </c>
      <c r="G297" s="385" t="str">
        <f t="shared" ca="1" si="25"/>
        <v/>
      </c>
      <c r="H297" s="386" t="str">
        <f t="shared" ca="1" si="26"/>
        <v/>
      </c>
      <c r="I297" s="404"/>
      <c r="J297" s="415"/>
      <c r="K297" s="428" t="s">
        <v>354</v>
      </c>
      <c r="L297" s="428"/>
      <c r="M297" s="428"/>
      <c r="N297" s="428"/>
      <c r="O297" s="428"/>
      <c r="P297" s="428"/>
      <c r="Q297" s="429"/>
      <c r="R297" s="417"/>
      <c r="S297" s="418"/>
      <c r="T297" s="419"/>
      <c r="U297" s="418"/>
      <c r="V297" s="419"/>
      <c r="W297" s="430"/>
      <c r="X297" s="431"/>
      <c r="Y297" s="434"/>
      <c r="Z297" s="433"/>
      <c r="AA297" s="396"/>
      <c r="AB297" s="397"/>
      <c r="AC297" s="398"/>
      <c r="AD297" s="399"/>
      <c r="AE297" s="400"/>
      <c r="AF297" s="401"/>
      <c r="AG297" s="401">
        <f t="shared" si="27"/>
        <v>0</v>
      </c>
      <c r="AH297" s="401">
        <f t="shared" si="28"/>
        <v>0</v>
      </c>
      <c r="AI297" s="401">
        <f t="shared" si="29"/>
        <v>0</v>
      </c>
      <c r="AJ297" s="401">
        <f t="shared" si="30"/>
        <v>0</v>
      </c>
      <c r="AK297" s="401" t="str">
        <f t="shared" si="31"/>
        <v/>
      </c>
      <c r="AL297" s="402">
        <f t="shared" ca="1" si="32"/>
        <v>3</v>
      </c>
      <c r="AM297" s="402">
        <f t="shared" ca="1" si="33"/>
        <v>1</v>
      </c>
      <c r="AN297" s="402">
        <f t="shared" ca="1" si="34"/>
        <v>62</v>
      </c>
      <c r="AO297" s="402">
        <f t="shared" ca="1" si="35"/>
        <v>0</v>
      </c>
      <c r="AP297" s="402">
        <f t="shared" ca="1" si="36"/>
        <v>0</v>
      </c>
      <c r="AQ297" s="402">
        <f t="shared" ca="1" si="37"/>
        <v>0</v>
      </c>
      <c r="AR297" s="402">
        <f t="shared" ca="1" si="38"/>
        <v>0</v>
      </c>
      <c r="AS297" s="403"/>
      <c r="AT297" s="402">
        <f t="shared" si="39"/>
        <v>1</v>
      </c>
    </row>
    <row r="298" spans="1:46" ht="15.75" customHeight="1">
      <c r="A298" s="382"/>
      <c r="B298" s="383">
        <f t="shared" ca="1" si="20"/>
        <v>3</v>
      </c>
      <c r="C298" s="384">
        <f t="shared" ca="1" si="21"/>
        <v>1</v>
      </c>
      <c r="D298" s="384">
        <f t="shared" ca="1" si="22"/>
        <v>62</v>
      </c>
      <c r="E298" s="384">
        <f t="shared" ca="1" si="23"/>
        <v>1</v>
      </c>
      <c r="F298" s="384" t="str">
        <f t="shared" ca="1" si="24"/>
        <v/>
      </c>
      <c r="G298" s="385" t="str">
        <f t="shared" ca="1" si="25"/>
        <v/>
      </c>
      <c r="H298" s="386" t="str">
        <f t="shared" ca="1" si="26"/>
        <v/>
      </c>
      <c r="I298" s="404"/>
      <c r="J298" s="415"/>
      <c r="K298" s="428"/>
      <c r="L298" s="428" t="s">
        <v>59</v>
      </c>
      <c r="M298" s="428"/>
      <c r="N298" s="428"/>
      <c r="O298" s="428"/>
      <c r="P298" s="428"/>
      <c r="Q298" s="429"/>
      <c r="R298" s="417"/>
      <c r="S298" s="418"/>
      <c r="T298" s="419"/>
      <c r="U298" s="418"/>
      <c r="V298" s="419"/>
      <c r="W298" s="430"/>
      <c r="X298" s="431"/>
      <c r="Y298" s="434"/>
      <c r="Z298" s="433"/>
      <c r="AA298" s="396"/>
      <c r="AB298" s="397"/>
      <c r="AC298" s="398"/>
      <c r="AD298" s="399"/>
      <c r="AE298" s="400"/>
      <c r="AF298" s="401"/>
      <c r="AG298" s="401">
        <f t="shared" si="27"/>
        <v>0</v>
      </c>
      <c r="AH298" s="401">
        <f t="shared" si="28"/>
        <v>0</v>
      </c>
      <c r="AI298" s="401">
        <f t="shared" si="29"/>
        <v>0</v>
      </c>
      <c r="AJ298" s="401">
        <f t="shared" si="30"/>
        <v>0</v>
      </c>
      <c r="AK298" s="401" t="str">
        <f t="shared" si="31"/>
        <v/>
      </c>
      <c r="AL298" s="402">
        <f t="shared" ca="1" si="32"/>
        <v>3</v>
      </c>
      <c r="AM298" s="402">
        <f t="shared" ca="1" si="33"/>
        <v>1</v>
      </c>
      <c r="AN298" s="402">
        <f t="shared" ca="1" si="34"/>
        <v>62</v>
      </c>
      <c r="AO298" s="402">
        <f t="shared" ca="1" si="35"/>
        <v>1</v>
      </c>
      <c r="AP298" s="402">
        <f t="shared" ca="1" si="36"/>
        <v>0</v>
      </c>
      <c r="AQ298" s="402">
        <f t="shared" ca="1" si="37"/>
        <v>0</v>
      </c>
      <c r="AR298" s="402">
        <f t="shared" ca="1" si="38"/>
        <v>0</v>
      </c>
      <c r="AS298" s="403"/>
      <c r="AT298" s="402">
        <f t="shared" si="39"/>
        <v>1</v>
      </c>
    </row>
    <row r="299" spans="1:46" ht="15.75" customHeight="1">
      <c r="A299" s="382"/>
      <c r="B299" s="383">
        <f t="shared" ca="1" si="20"/>
        <v>3</v>
      </c>
      <c r="C299" s="384">
        <f t="shared" ca="1" si="21"/>
        <v>1</v>
      </c>
      <c r="D299" s="384">
        <f t="shared" ca="1" si="22"/>
        <v>62</v>
      </c>
      <c r="E299" s="384">
        <f t="shared" ca="1" si="23"/>
        <v>2</v>
      </c>
      <c r="F299" s="384" t="str">
        <f t="shared" ca="1" si="24"/>
        <v/>
      </c>
      <c r="G299" s="385" t="str">
        <f t="shared" ca="1" si="25"/>
        <v/>
      </c>
      <c r="H299" s="386" t="str">
        <f t="shared" ca="1" si="26"/>
        <v/>
      </c>
      <c r="I299" s="404"/>
      <c r="J299" s="415"/>
      <c r="K299" s="428"/>
      <c r="L299" s="428" t="s">
        <v>61</v>
      </c>
      <c r="M299" s="428"/>
      <c r="N299" s="428"/>
      <c r="O299" s="428"/>
      <c r="P299" s="428"/>
      <c r="Q299" s="429"/>
      <c r="R299" s="417"/>
      <c r="S299" s="418"/>
      <c r="T299" s="419"/>
      <c r="U299" s="418"/>
      <c r="V299" s="419"/>
      <c r="W299" s="430"/>
      <c r="X299" s="431"/>
      <c r="Y299" s="434"/>
      <c r="Z299" s="433"/>
      <c r="AA299" s="396"/>
      <c r="AB299" s="397"/>
      <c r="AC299" s="398"/>
      <c r="AD299" s="399"/>
      <c r="AE299" s="400"/>
      <c r="AF299" s="401"/>
      <c r="AG299" s="401">
        <f t="shared" si="27"/>
        <v>0</v>
      </c>
      <c r="AH299" s="401">
        <f t="shared" si="28"/>
        <v>0</v>
      </c>
      <c r="AI299" s="401">
        <f t="shared" si="29"/>
        <v>0</v>
      </c>
      <c r="AJ299" s="401">
        <f t="shared" si="30"/>
        <v>0</v>
      </c>
      <c r="AK299" s="401" t="str">
        <f t="shared" si="31"/>
        <v/>
      </c>
      <c r="AL299" s="402">
        <f t="shared" ca="1" si="32"/>
        <v>3</v>
      </c>
      <c r="AM299" s="402">
        <f t="shared" ca="1" si="33"/>
        <v>1</v>
      </c>
      <c r="AN299" s="402">
        <f t="shared" ca="1" si="34"/>
        <v>62</v>
      </c>
      <c r="AO299" s="402">
        <f t="shared" ca="1" si="35"/>
        <v>2</v>
      </c>
      <c r="AP299" s="402">
        <f t="shared" ca="1" si="36"/>
        <v>0</v>
      </c>
      <c r="AQ299" s="402">
        <f t="shared" ca="1" si="37"/>
        <v>0</v>
      </c>
      <c r="AR299" s="402">
        <f t="shared" ca="1" si="38"/>
        <v>0</v>
      </c>
      <c r="AS299" s="403"/>
      <c r="AT299" s="402">
        <f t="shared" si="39"/>
        <v>1</v>
      </c>
    </row>
    <row r="300" spans="1:46" ht="15.75" customHeight="1">
      <c r="A300" s="382"/>
      <c r="B300" s="383">
        <f t="shared" ca="1" si="20"/>
        <v>3</v>
      </c>
      <c r="C300" s="384">
        <f t="shared" ca="1" si="21"/>
        <v>1</v>
      </c>
      <c r="D300" s="384">
        <f t="shared" ca="1" si="22"/>
        <v>63</v>
      </c>
      <c r="E300" s="384" t="str">
        <f t="shared" ca="1" si="23"/>
        <v/>
      </c>
      <c r="F300" s="384" t="str">
        <f t="shared" ca="1" si="24"/>
        <v/>
      </c>
      <c r="G300" s="385" t="str">
        <f t="shared" ca="1" si="25"/>
        <v/>
      </c>
      <c r="H300" s="386" t="str">
        <f t="shared" ca="1" si="26"/>
        <v/>
      </c>
      <c r="I300" s="404"/>
      <c r="J300" s="415"/>
      <c r="K300" s="428" t="s">
        <v>355</v>
      </c>
      <c r="L300" s="428"/>
      <c r="M300" s="428"/>
      <c r="N300" s="428"/>
      <c r="O300" s="428"/>
      <c r="P300" s="428"/>
      <c r="Q300" s="429"/>
      <c r="R300" s="417"/>
      <c r="S300" s="418"/>
      <c r="T300" s="419"/>
      <c r="U300" s="418"/>
      <c r="V300" s="419"/>
      <c r="W300" s="430"/>
      <c r="X300" s="431"/>
      <c r="Y300" s="434"/>
      <c r="Z300" s="433"/>
      <c r="AA300" s="396"/>
      <c r="AB300" s="397"/>
      <c r="AC300" s="398"/>
      <c r="AD300" s="399"/>
      <c r="AE300" s="400"/>
      <c r="AF300" s="401"/>
      <c r="AG300" s="401">
        <f t="shared" si="27"/>
        <v>0</v>
      </c>
      <c r="AH300" s="401">
        <f t="shared" si="28"/>
        <v>0</v>
      </c>
      <c r="AI300" s="401">
        <f t="shared" si="29"/>
        <v>0</v>
      </c>
      <c r="AJ300" s="401">
        <f t="shared" si="30"/>
        <v>0</v>
      </c>
      <c r="AK300" s="401" t="str">
        <f t="shared" si="31"/>
        <v/>
      </c>
      <c r="AL300" s="402">
        <f t="shared" ca="1" si="32"/>
        <v>3</v>
      </c>
      <c r="AM300" s="402">
        <f t="shared" ca="1" si="33"/>
        <v>1</v>
      </c>
      <c r="AN300" s="402">
        <f t="shared" ca="1" si="34"/>
        <v>63</v>
      </c>
      <c r="AO300" s="402">
        <f t="shared" ca="1" si="35"/>
        <v>0</v>
      </c>
      <c r="AP300" s="402">
        <f t="shared" ca="1" si="36"/>
        <v>0</v>
      </c>
      <c r="AQ300" s="402">
        <f t="shared" ca="1" si="37"/>
        <v>0</v>
      </c>
      <c r="AR300" s="402">
        <f t="shared" ca="1" si="38"/>
        <v>0</v>
      </c>
      <c r="AS300" s="403"/>
      <c r="AT300" s="402">
        <f t="shared" si="39"/>
        <v>1</v>
      </c>
    </row>
    <row r="301" spans="1:46" ht="15.75" customHeight="1">
      <c r="A301" s="382"/>
      <c r="B301" s="383">
        <f t="shared" ca="1" si="20"/>
        <v>3</v>
      </c>
      <c r="C301" s="384">
        <f t="shared" ca="1" si="21"/>
        <v>1</v>
      </c>
      <c r="D301" s="384">
        <f t="shared" ca="1" si="22"/>
        <v>63</v>
      </c>
      <c r="E301" s="384">
        <f t="shared" ca="1" si="23"/>
        <v>1</v>
      </c>
      <c r="F301" s="384" t="str">
        <f t="shared" ca="1" si="24"/>
        <v/>
      </c>
      <c r="G301" s="385" t="str">
        <f t="shared" ca="1" si="25"/>
        <v/>
      </c>
      <c r="H301" s="386" t="str">
        <f t="shared" ca="1" si="26"/>
        <v/>
      </c>
      <c r="I301" s="404"/>
      <c r="J301" s="415"/>
      <c r="K301" s="428"/>
      <c r="L301" s="428" t="s">
        <v>59</v>
      </c>
      <c r="M301" s="428"/>
      <c r="N301" s="428"/>
      <c r="O301" s="428"/>
      <c r="P301" s="428"/>
      <c r="Q301" s="429"/>
      <c r="R301" s="417"/>
      <c r="S301" s="418"/>
      <c r="T301" s="419"/>
      <c r="U301" s="418"/>
      <c r="V301" s="419"/>
      <c r="W301" s="430"/>
      <c r="X301" s="431"/>
      <c r="Y301" s="434"/>
      <c r="Z301" s="433"/>
      <c r="AA301" s="396"/>
      <c r="AB301" s="397"/>
      <c r="AC301" s="398"/>
      <c r="AD301" s="399"/>
      <c r="AE301" s="400"/>
      <c r="AF301" s="401"/>
      <c r="AG301" s="401">
        <f t="shared" si="27"/>
        <v>0</v>
      </c>
      <c r="AH301" s="401">
        <f t="shared" si="28"/>
        <v>0</v>
      </c>
      <c r="AI301" s="401">
        <f t="shared" si="29"/>
        <v>0</v>
      </c>
      <c r="AJ301" s="401">
        <f t="shared" si="30"/>
        <v>0</v>
      </c>
      <c r="AK301" s="401" t="str">
        <f t="shared" si="31"/>
        <v/>
      </c>
      <c r="AL301" s="402">
        <f t="shared" ca="1" si="32"/>
        <v>3</v>
      </c>
      <c r="AM301" s="402">
        <f t="shared" ca="1" si="33"/>
        <v>1</v>
      </c>
      <c r="AN301" s="402">
        <f t="shared" ca="1" si="34"/>
        <v>63</v>
      </c>
      <c r="AO301" s="402">
        <f t="shared" ca="1" si="35"/>
        <v>1</v>
      </c>
      <c r="AP301" s="402">
        <f t="shared" ca="1" si="36"/>
        <v>0</v>
      </c>
      <c r="AQ301" s="402">
        <f t="shared" ca="1" si="37"/>
        <v>0</v>
      </c>
      <c r="AR301" s="402">
        <f t="shared" ca="1" si="38"/>
        <v>0</v>
      </c>
      <c r="AS301" s="403"/>
      <c r="AT301" s="402">
        <f t="shared" si="39"/>
        <v>1</v>
      </c>
    </row>
    <row r="302" spans="1:46" ht="15.75" customHeight="1">
      <c r="A302" s="382"/>
      <c r="B302" s="383">
        <f t="shared" ca="1" si="20"/>
        <v>3</v>
      </c>
      <c r="C302" s="384">
        <f t="shared" ca="1" si="21"/>
        <v>1</v>
      </c>
      <c r="D302" s="384">
        <f t="shared" ca="1" si="22"/>
        <v>63</v>
      </c>
      <c r="E302" s="384">
        <f t="shared" ca="1" si="23"/>
        <v>2</v>
      </c>
      <c r="F302" s="384" t="str">
        <f t="shared" ca="1" si="24"/>
        <v/>
      </c>
      <c r="G302" s="385" t="str">
        <f t="shared" ca="1" si="25"/>
        <v/>
      </c>
      <c r="H302" s="386" t="str">
        <f t="shared" ca="1" si="26"/>
        <v/>
      </c>
      <c r="I302" s="404"/>
      <c r="J302" s="415"/>
      <c r="K302" s="428"/>
      <c r="L302" s="428" t="s">
        <v>61</v>
      </c>
      <c r="M302" s="428"/>
      <c r="N302" s="428"/>
      <c r="O302" s="428"/>
      <c r="P302" s="428"/>
      <c r="Q302" s="429"/>
      <c r="R302" s="417"/>
      <c r="S302" s="418"/>
      <c r="T302" s="419"/>
      <c r="U302" s="418"/>
      <c r="V302" s="419"/>
      <c r="W302" s="430"/>
      <c r="X302" s="431"/>
      <c r="Y302" s="434"/>
      <c r="Z302" s="433"/>
      <c r="AA302" s="396"/>
      <c r="AB302" s="397"/>
      <c r="AC302" s="398"/>
      <c r="AD302" s="399"/>
      <c r="AE302" s="400"/>
      <c r="AF302" s="401"/>
      <c r="AG302" s="401">
        <f t="shared" si="27"/>
        <v>0</v>
      </c>
      <c r="AH302" s="401">
        <f t="shared" si="28"/>
        <v>0</v>
      </c>
      <c r="AI302" s="401">
        <f t="shared" si="29"/>
        <v>0</v>
      </c>
      <c r="AJ302" s="401">
        <f t="shared" si="30"/>
        <v>0</v>
      </c>
      <c r="AK302" s="401" t="str">
        <f t="shared" si="31"/>
        <v/>
      </c>
      <c r="AL302" s="402">
        <f t="shared" ca="1" si="32"/>
        <v>3</v>
      </c>
      <c r="AM302" s="402">
        <f t="shared" ca="1" si="33"/>
        <v>1</v>
      </c>
      <c r="AN302" s="402">
        <f t="shared" ca="1" si="34"/>
        <v>63</v>
      </c>
      <c r="AO302" s="402">
        <f t="shared" ca="1" si="35"/>
        <v>2</v>
      </c>
      <c r="AP302" s="402">
        <f t="shared" ca="1" si="36"/>
        <v>0</v>
      </c>
      <c r="AQ302" s="402">
        <f t="shared" ca="1" si="37"/>
        <v>0</v>
      </c>
      <c r="AR302" s="402">
        <f t="shared" ca="1" si="38"/>
        <v>0</v>
      </c>
      <c r="AS302" s="403"/>
      <c r="AT302" s="402">
        <f t="shared" si="39"/>
        <v>1</v>
      </c>
    </row>
    <row r="303" spans="1:46" ht="15.75" customHeight="1">
      <c r="A303" s="382"/>
      <c r="B303" s="383">
        <f t="shared" ca="1" si="20"/>
        <v>3</v>
      </c>
      <c r="C303" s="384">
        <f t="shared" ca="1" si="21"/>
        <v>1</v>
      </c>
      <c r="D303" s="384">
        <f t="shared" ca="1" si="22"/>
        <v>64</v>
      </c>
      <c r="E303" s="384" t="str">
        <f t="shared" ca="1" si="23"/>
        <v/>
      </c>
      <c r="F303" s="384" t="str">
        <f t="shared" ca="1" si="24"/>
        <v/>
      </c>
      <c r="G303" s="385" t="str">
        <f t="shared" ca="1" si="25"/>
        <v/>
      </c>
      <c r="H303" s="386" t="str">
        <f t="shared" ca="1" si="26"/>
        <v/>
      </c>
      <c r="I303" s="404"/>
      <c r="J303" s="415"/>
      <c r="K303" s="428" t="s">
        <v>356</v>
      </c>
      <c r="L303" s="428"/>
      <c r="M303" s="428"/>
      <c r="N303" s="428"/>
      <c r="O303" s="428"/>
      <c r="P303" s="428"/>
      <c r="Q303" s="429"/>
      <c r="R303" s="417"/>
      <c r="S303" s="418"/>
      <c r="T303" s="419"/>
      <c r="U303" s="418"/>
      <c r="V303" s="419"/>
      <c r="W303" s="430"/>
      <c r="X303" s="431"/>
      <c r="Y303" s="434"/>
      <c r="Z303" s="433"/>
      <c r="AA303" s="396"/>
      <c r="AB303" s="397"/>
      <c r="AC303" s="398"/>
      <c r="AD303" s="399"/>
      <c r="AE303" s="400"/>
      <c r="AF303" s="401"/>
      <c r="AG303" s="401">
        <f t="shared" si="27"/>
        <v>0</v>
      </c>
      <c r="AH303" s="401">
        <f t="shared" si="28"/>
        <v>0</v>
      </c>
      <c r="AI303" s="401">
        <f t="shared" si="29"/>
        <v>0</v>
      </c>
      <c r="AJ303" s="401">
        <f t="shared" si="30"/>
        <v>0</v>
      </c>
      <c r="AK303" s="401" t="str">
        <f t="shared" si="31"/>
        <v/>
      </c>
      <c r="AL303" s="402">
        <f t="shared" ca="1" si="32"/>
        <v>3</v>
      </c>
      <c r="AM303" s="402">
        <f t="shared" ca="1" si="33"/>
        <v>1</v>
      </c>
      <c r="AN303" s="402">
        <f t="shared" ca="1" si="34"/>
        <v>64</v>
      </c>
      <c r="AO303" s="402">
        <f t="shared" ca="1" si="35"/>
        <v>0</v>
      </c>
      <c r="AP303" s="402">
        <f t="shared" ca="1" si="36"/>
        <v>0</v>
      </c>
      <c r="AQ303" s="402">
        <f t="shared" ca="1" si="37"/>
        <v>0</v>
      </c>
      <c r="AR303" s="402">
        <f t="shared" ca="1" si="38"/>
        <v>0</v>
      </c>
      <c r="AS303" s="403"/>
      <c r="AT303" s="402">
        <f t="shared" si="39"/>
        <v>1</v>
      </c>
    </row>
    <row r="304" spans="1:46" ht="15.75" customHeight="1">
      <c r="A304" s="382"/>
      <c r="B304" s="383">
        <f t="shared" ca="1" si="20"/>
        <v>3</v>
      </c>
      <c r="C304" s="384">
        <f t="shared" ca="1" si="21"/>
        <v>1</v>
      </c>
      <c r="D304" s="384">
        <f t="shared" ca="1" si="22"/>
        <v>64</v>
      </c>
      <c r="E304" s="384">
        <f t="shared" ca="1" si="23"/>
        <v>1</v>
      </c>
      <c r="F304" s="384" t="str">
        <f t="shared" ca="1" si="24"/>
        <v/>
      </c>
      <c r="G304" s="385" t="str">
        <f t="shared" ca="1" si="25"/>
        <v/>
      </c>
      <c r="H304" s="386" t="str">
        <f t="shared" ca="1" si="26"/>
        <v/>
      </c>
      <c r="I304" s="404"/>
      <c r="J304" s="415"/>
      <c r="K304" s="428"/>
      <c r="L304" s="428" t="s">
        <v>59</v>
      </c>
      <c r="M304" s="428"/>
      <c r="N304" s="428"/>
      <c r="O304" s="428"/>
      <c r="P304" s="428"/>
      <c r="Q304" s="429"/>
      <c r="R304" s="417"/>
      <c r="S304" s="418"/>
      <c r="T304" s="419"/>
      <c r="U304" s="418"/>
      <c r="V304" s="419"/>
      <c r="W304" s="430"/>
      <c r="X304" s="431"/>
      <c r="Y304" s="434"/>
      <c r="Z304" s="433"/>
      <c r="AA304" s="396"/>
      <c r="AB304" s="397"/>
      <c r="AC304" s="398"/>
      <c r="AD304" s="399"/>
      <c r="AE304" s="400"/>
      <c r="AF304" s="401"/>
      <c r="AG304" s="401">
        <f t="shared" si="27"/>
        <v>0</v>
      </c>
      <c r="AH304" s="401">
        <f t="shared" si="28"/>
        <v>0</v>
      </c>
      <c r="AI304" s="401">
        <f t="shared" si="29"/>
        <v>0</v>
      </c>
      <c r="AJ304" s="401">
        <f t="shared" si="30"/>
        <v>0</v>
      </c>
      <c r="AK304" s="401" t="str">
        <f t="shared" si="31"/>
        <v/>
      </c>
      <c r="AL304" s="402">
        <f t="shared" ca="1" si="32"/>
        <v>3</v>
      </c>
      <c r="AM304" s="402">
        <f t="shared" ca="1" si="33"/>
        <v>1</v>
      </c>
      <c r="AN304" s="402">
        <f t="shared" ca="1" si="34"/>
        <v>64</v>
      </c>
      <c r="AO304" s="402">
        <f t="shared" ca="1" si="35"/>
        <v>1</v>
      </c>
      <c r="AP304" s="402">
        <f t="shared" ca="1" si="36"/>
        <v>0</v>
      </c>
      <c r="AQ304" s="402">
        <f t="shared" ca="1" si="37"/>
        <v>0</v>
      </c>
      <c r="AR304" s="402">
        <f t="shared" ca="1" si="38"/>
        <v>0</v>
      </c>
      <c r="AS304" s="403"/>
      <c r="AT304" s="402">
        <f t="shared" si="39"/>
        <v>1</v>
      </c>
    </row>
    <row r="305" spans="1:46" ht="15.75" customHeight="1">
      <c r="A305" s="382"/>
      <c r="B305" s="383">
        <f t="shared" ca="1" si="20"/>
        <v>3</v>
      </c>
      <c r="C305" s="384">
        <f t="shared" ca="1" si="21"/>
        <v>1</v>
      </c>
      <c r="D305" s="384">
        <f t="shared" ca="1" si="22"/>
        <v>64</v>
      </c>
      <c r="E305" s="384">
        <f t="shared" ca="1" si="23"/>
        <v>2</v>
      </c>
      <c r="F305" s="384" t="str">
        <f t="shared" ca="1" si="24"/>
        <v/>
      </c>
      <c r="G305" s="385" t="str">
        <f t="shared" ca="1" si="25"/>
        <v/>
      </c>
      <c r="H305" s="386" t="str">
        <f t="shared" ca="1" si="26"/>
        <v/>
      </c>
      <c r="I305" s="404"/>
      <c r="J305" s="415"/>
      <c r="K305" s="428"/>
      <c r="L305" s="428" t="s">
        <v>61</v>
      </c>
      <c r="M305" s="428"/>
      <c r="N305" s="428"/>
      <c r="O305" s="428"/>
      <c r="P305" s="428"/>
      <c r="Q305" s="429"/>
      <c r="R305" s="417"/>
      <c r="S305" s="418"/>
      <c r="T305" s="419"/>
      <c r="U305" s="418"/>
      <c r="V305" s="419"/>
      <c r="W305" s="430"/>
      <c r="X305" s="431"/>
      <c r="Y305" s="434"/>
      <c r="Z305" s="433"/>
      <c r="AA305" s="396"/>
      <c r="AB305" s="397"/>
      <c r="AC305" s="398"/>
      <c r="AD305" s="399"/>
      <c r="AE305" s="400"/>
      <c r="AF305" s="401"/>
      <c r="AG305" s="401">
        <f t="shared" si="27"/>
        <v>0</v>
      </c>
      <c r="AH305" s="401">
        <f t="shared" si="28"/>
        <v>0</v>
      </c>
      <c r="AI305" s="401">
        <f t="shared" si="29"/>
        <v>0</v>
      </c>
      <c r="AJ305" s="401">
        <f t="shared" si="30"/>
        <v>0</v>
      </c>
      <c r="AK305" s="401" t="str">
        <f t="shared" si="31"/>
        <v/>
      </c>
      <c r="AL305" s="402">
        <f t="shared" ca="1" si="32"/>
        <v>3</v>
      </c>
      <c r="AM305" s="402">
        <f t="shared" ca="1" si="33"/>
        <v>1</v>
      </c>
      <c r="AN305" s="402">
        <f t="shared" ca="1" si="34"/>
        <v>64</v>
      </c>
      <c r="AO305" s="402">
        <f t="shared" ca="1" si="35"/>
        <v>2</v>
      </c>
      <c r="AP305" s="402">
        <f t="shared" ca="1" si="36"/>
        <v>0</v>
      </c>
      <c r="AQ305" s="402">
        <f t="shared" ca="1" si="37"/>
        <v>0</v>
      </c>
      <c r="AR305" s="402">
        <f t="shared" ca="1" si="38"/>
        <v>0</v>
      </c>
      <c r="AS305" s="403"/>
      <c r="AT305" s="402">
        <f t="shared" si="39"/>
        <v>1</v>
      </c>
    </row>
    <row r="306" spans="1:46" ht="15.75" customHeight="1">
      <c r="A306" s="382"/>
      <c r="B306" s="383">
        <f t="shared" ca="1" si="20"/>
        <v>3</v>
      </c>
      <c r="C306" s="384">
        <f t="shared" ca="1" si="21"/>
        <v>1</v>
      </c>
      <c r="D306" s="384">
        <f t="shared" ca="1" si="22"/>
        <v>64</v>
      </c>
      <c r="E306" s="384">
        <f t="shared" ca="1" si="23"/>
        <v>3</v>
      </c>
      <c r="F306" s="384" t="str">
        <f t="shared" ca="1" si="24"/>
        <v/>
      </c>
      <c r="G306" s="385" t="str">
        <f t="shared" ca="1" si="25"/>
        <v/>
      </c>
      <c r="H306" s="386" t="str">
        <f t="shared" ca="1" si="26"/>
        <v/>
      </c>
      <c r="I306" s="404"/>
      <c r="J306" s="415"/>
      <c r="K306" s="428"/>
      <c r="L306" s="428" t="s">
        <v>63</v>
      </c>
      <c r="M306" s="428"/>
      <c r="N306" s="428"/>
      <c r="O306" s="428"/>
      <c r="P306" s="428"/>
      <c r="Q306" s="429"/>
      <c r="R306" s="417"/>
      <c r="S306" s="418"/>
      <c r="T306" s="419"/>
      <c r="U306" s="418"/>
      <c r="V306" s="419"/>
      <c r="W306" s="430"/>
      <c r="X306" s="431"/>
      <c r="Y306" s="434"/>
      <c r="Z306" s="433"/>
      <c r="AA306" s="396"/>
      <c r="AB306" s="397"/>
      <c r="AC306" s="398"/>
      <c r="AD306" s="399"/>
      <c r="AE306" s="400"/>
      <c r="AF306" s="401"/>
      <c r="AG306" s="401">
        <f t="shared" si="27"/>
        <v>0</v>
      </c>
      <c r="AH306" s="401">
        <f t="shared" si="28"/>
        <v>0</v>
      </c>
      <c r="AI306" s="401">
        <f t="shared" si="29"/>
        <v>0</v>
      </c>
      <c r="AJ306" s="401">
        <f t="shared" si="30"/>
        <v>0</v>
      </c>
      <c r="AK306" s="401" t="str">
        <f t="shared" si="31"/>
        <v/>
      </c>
      <c r="AL306" s="402">
        <f t="shared" ca="1" si="32"/>
        <v>3</v>
      </c>
      <c r="AM306" s="402">
        <f t="shared" ca="1" si="33"/>
        <v>1</v>
      </c>
      <c r="AN306" s="402">
        <f t="shared" ca="1" si="34"/>
        <v>64</v>
      </c>
      <c r="AO306" s="402">
        <f t="shared" ca="1" si="35"/>
        <v>3</v>
      </c>
      <c r="AP306" s="402">
        <f t="shared" ca="1" si="36"/>
        <v>0</v>
      </c>
      <c r="AQ306" s="402">
        <f t="shared" ca="1" si="37"/>
        <v>0</v>
      </c>
      <c r="AR306" s="402">
        <f t="shared" ca="1" si="38"/>
        <v>0</v>
      </c>
      <c r="AS306" s="403"/>
      <c r="AT306" s="402">
        <f t="shared" si="39"/>
        <v>1</v>
      </c>
    </row>
    <row r="307" spans="1:46" ht="15.75" customHeight="1">
      <c r="A307" s="382"/>
      <c r="B307" s="383">
        <f t="shared" ca="1" si="20"/>
        <v>3</v>
      </c>
      <c r="C307" s="384">
        <f t="shared" ca="1" si="21"/>
        <v>1</v>
      </c>
      <c r="D307" s="384">
        <f t="shared" ca="1" si="22"/>
        <v>64</v>
      </c>
      <c r="E307" s="384">
        <f t="shared" ca="1" si="23"/>
        <v>4</v>
      </c>
      <c r="F307" s="384" t="str">
        <f t="shared" ca="1" si="24"/>
        <v/>
      </c>
      <c r="G307" s="385" t="str">
        <f t="shared" ca="1" si="25"/>
        <v/>
      </c>
      <c r="H307" s="386" t="str">
        <f t="shared" ca="1" si="26"/>
        <v/>
      </c>
      <c r="I307" s="404"/>
      <c r="J307" s="415"/>
      <c r="K307" s="428"/>
      <c r="L307" s="428" t="s">
        <v>64</v>
      </c>
      <c r="M307" s="428"/>
      <c r="N307" s="428"/>
      <c r="O307" s="428"/>
      <c r="P307" s="428"/>
      <c r="Q307" s="429"/>
      <c r="R307" s="417"/>
      <c r="S307" s="418"/>
      <c r="T307" s="419"/>
      <c r="U307" s="418"/>
      <c r="V307" s="419"/>
      <c r="W307" s="430"/>
      <c r="X307" s="431"/>
      <c r="Y307" s="434"/>
      <c r="Z307" s="433"/>
      <c r="AA307" s="396"/>
      <c r="AB307" s="397"/>
      <c r="AC307" s="398"/>
      <c r="AD307" s="399"/>
      <c r="AE307" s="400"/>
      <c r="AF307" s="401"/>
      <c r="AG307" s="401">
        <f t="shared" si="27"/>
        <v>0</v>
      </c>
      <c r="AH307" s="401">
        <f t="shared" si="28"/>
        <v>0</v>
      </c>
      <c r="AI307" s="401">
        <f t="shared" si="29"/>
        <v>0</v>
      </c>
      <c r="AJ307" s="401">
        <f t="shared" si="30"/>
        <v>0</v>
      </c>
      <c r="AK307" s="401" t="str">
        <f t="shared" si="31"/>
        <v/>
      </c>
      <c r="AL307" s="402">
        <f t="shared" ca="1" si="32"/>
        <v>3</v>
      </c>
      <c r="AM307" s="402">
        <f t="shared" ca="1" si="33"/>
        <v>1</v>
      </c>
      <c r="AN307" s="402">
        <f t="shared" ca="1" si="34"/>
        <v>64</v>
      </c>
      <c r="AO307" s="402">
        <f t="shared" ca="1" si="35"/>
        <v>4</v>
      </c>
      <c r="AP307" s="402">
        <f t="shared" ca="1" si="36"/>
        <v>0</v>
      </c>
      <c r="AQ307" s="402">
        <f t="shared" ca="1" si="37"/>
        <v>0</v>
      </c>
      <c r="AR307" s="402">
        <f t="shared" ca="1" si="38"/>
        <v>0</v>
      </c>
      <c r="AS307" s="403"/>
      <c r="AT307" s="402">
        <f t="shared" si="39"/>
        <v>1</v>
      </c>
    </row>
    <row r="308" spans="1:46" ht="15.75" customHeight="1">
      <c r="A308" s="382"/>
      <c r="B308" s="383">
        <f t="shared" ca="1" si="20"/>
        <v>3</v>
      </c>
      <c r="C308" s="384">
        <f t="shared" ca="1" si="21"/>
        <v>1</v>
      </c>
      <c r="D308" s="384">
        <f t="shared" ca="1" si="22"/>
        <v>64</v>
      </c>
      <c r="E308" s="384">
        <f t="shared" ca="1" si="23"/>
        <v>5</v>
      </c>
      <c r="F308" s="384" t="str">
        <f t="shared" ca="1" si="24"/>
        <v/>
      </c>
      <c r="G308" s="385" t="str">
        <f t="shared" ca="1" si="25"/>
        <v/>
      </c>
      <c r="H308" s="386" t="str">
        <f t="shared" ca="1" si="26"/>
        <v/>
      </c>
      <c r="I308" s="404"/>
      <c r="J308" s="415"/>
      <c r="K308" s="428"/>
      <c r="L308" s="428" t="s">
        <v>65</v>
      </c>
      <c r="M308" s="428"/>
      <c r="N308" s="428"/>
      <c r="O308" s="428"/>
      <c r="P308" s="428"/>
      <c r="Q308" s="429"/>
      <c r="R308" s="417"/>
      <c r="S308" s="418"/>
      <c r="T308" s="419"/>
      <c r="U308" s="418"/>
      <c r="V308" s="419"/>
      <c r="W308" s="430"/>
      <c r="X308" s="431"/>
      <c r="Y308" s="434"/>
      <c r="Z308" s="433"/>
      <c r="AA308" s="396"/>
      <c r="AB308" s="397"/>
      <c r="AC308" s="398"/>
      <c r="AD308" s="399"/>
      <c r="AE308" s="400"/>
      <c r="AF308" s="401"/>
      <c r="AG308" s="401">
        <f t="shared" si="27"/>
        <v>0</v>
      </c>
      <c r="AH308" s="401">
        <f t="shared" si="28"/>
        <v>0</v>
      </c>
      <c r="AI308" s="401">
        <f t="shared" si="29"/>
        <v>0</v>
      </c>
      <c r="AJ308" s="401">
        <f t="shared" si="30"/>
        <v>0</v>
      </c>
      <c r="AK308" s="401" t="str">
        <f t="shared" si="31"/>
        <v/>
      </c>
      <c r="AL308" s="402">
        <f t="shared" ca="1" si="32"/>
        <v>3</v>
      </c>
      <c r="AM308" s="402">
        <f t="shared" ca="1" si="33"/>
        <v>1</v>
      </c>
      <c r="AN308" s="402">
        <f t="shared" ca="1" si="34"/>
        <v>64</v>
      </c>
      <c r="AO308" s="402">
        <f t="shared" ca="1" si="35"/>
        <v>5</v>
      </c>
      <c r="AP308" s="402">
        <f t="shared" ca="1" si="36"/>
        <v>0</v>
      </c>
      <c r="AQ308" s="402">
        <f t="shared" ca="1" si="37"/>
        <v>0</v>
      </c>
      <c r="AR308" s="402">
        <f t="shared" ca="1" si="38"/>
        <v>0</v>
      </c>
      <c r="AS308" s="403"/>
      <c r="AT308" s="402">
        <f t="shared" si="39"/>
        <v>1</v>
      </c>
    </row>
    <row r="309" spans="1:46" ht="15.75" customHeight="1">
      <c r="A309" s="382"/>
      <c r="B309" s="383">
        <f t="shared" ca="1" si="20"/>
        <v>3</v>
      </c>
      <c r="C309" s="384">
        <f t="shared" ca="1" si="21"/>
        <v>1</v>
      </c>
      <c r="D309" s="384">
        <f t="shared" ca="1" si="22"/>
        <v>64</v>
      </c>
      <c r="E309" s="384">
        <f t="shared" ca="1" si="23"/>
        <v>6</v>
      </c>
      <c r="F309" s="384" t="str">
        <f t="shared" ca="1" si="24"/>
        <v/>
      </c>
      <c r="G309" s="385" t="str">
        <f t="shared" ca="1" si="25"/>
        <v/>
      </c>
      <c r="H309" s="386" t="str">
        <f t="shared" ca="1" si="26"/>
        <v/>
      </c>
      <c r="I309" s="404"/>
      <c r="J309" s="415"/>
      <c r="K309" s="428"/>
      <c r="L309" s="428" t="s">
        <v>66</v>
      </c>
      <c r="M309" s="428"/>
      <c r="N309" s="428"/>
      <c r="O309" s="428"/>
      <c r="P309" s="428"/>
      <c r="Q309" s="429"/>
      <c r="R309" s="417"/>
      <c r="S309" s="418"/>
      <c r="T309" s="419"/>
      <c r="U309" s="418"/>
      <c r="V309" s="419"/>
      <c r="W309" s="430"/>
      <c r="X309" s="431"/>
      <c r="Y309" s="434"/>
      <c r="Z309" s="433"/>
      <c r="AA309" s="396"/>
      <c r="AB309" s="397"/>
      <c r="AC309" s="398"/>
      <c r="AD309" s="399"/>
      <c r="AE309" s="400"/>
      <c r="AF309" s="401"/>
      <c r="AG309" s="401">
        <f t="shared" si="27"/>
        <v>0</v>
      </c>
      <c r="AH309" s="401">
        <f t="shared" si="28"/>
        <v>0</v>
      </c>
      <c r="AI309" s="401">
        <f t="shared" si="29"/>
        <v>0</v>
      </c>
      <c r="AJ309" s="401">
        <f t="shared" si="30"/>
        <v>0</v>
      </c>
      <c r="AK309" s="401" t="str">
        <f t="shared" si="31"/>
        <v/>
      </c>
      <c r="AL309" s="402">
        <f t="shared" ca="1" si="32"/>
        <v>3</v>
      </c>
      <c r="AM309" s="402">
        <f t="shared" ca="1" si="33"/>
        <v>1</v>
      </c>
      <c r="AN309" s="402">
        <f t="shared" ca="1" si="34"/>
        <v>64</v>
      </c>
      <c r="AO309" s="402">
        <f t="shared" ca="1" si="35"/>
        <v>6</v>
      </c>
      <c r="AP309" s="402">
        <f t="shared" ca="1" si="36"/>
        <v>0</v>
      </c>
      <c r="AQ309" s="402">
        <f t="shared" ca="1" si="37"/>
        <v>0</v>
      </c>
      <c r="AR309" s="402">
        <f t="shared" ca="1" si="38"/>
        <v>0</v>
      </c>
      <c r="AS309" s="403"/>
      <c r="AT309" s="402">
        <f t="shared" si="39"/>
        <v>1</v>
      </c>
    </row>
    <row r="310" spans="1:46" ht="15.75" customHeight="1">
      <c r="A310" s="382"/>
      <c r="B310" s="383">
        <f t="shared" ca="1" si="20"/>
        <v>3</v>
      </c>
      <c r="C310" s="384">
        <f t="shared" ca="1" si="21"/>
        <v>1</v>
      </c>
      <c r="D310" s="384">
        <f t="shared" ca="1" si="22"/>
        <v>65</v>
      </c>
      <c r="E310" s="384" t="str">
        <f t="shared" ca="1" si="23"/>
        <v/>
      </c>
      <c r="F310" s="384" t="str">
        <f t="shared" ca="1" si="24"/>
        <v/>
      </c>
      <c r="G310" s="385" t="str">
        <f t="shared" ca="1" si="25"/>
        <v/>
      </c>
      <c r="H310" s="386" t="str">
        <f t="shared" ca="1" si="26"/>
        <v/>
      </c>
      <c r="I310" s="404"/>
      <c r="J310" s="415"/>
      <c r="K310" s="428" t="s">
        <v>338</v>
      </c>
      <c r="L310" s="428"/>
      <c r="M310" s="428"/>
      <c r="N310" s="428"/>
      <c r="O310" s="428"/>
      <c r="P310" s="428"/>
      <c r="Q310" s="429"/>
      <c r="R310" s="417"/>
      <c r="S310" s="418"/>
      <c r="T310" s="419"/>
      <c r="U310" s="418"/>
      <c r="V310" s="419"/>
      <c r="W310" s="430"/>
      <c r="X310" s="431"/>
      <c r="Y310" s="434"/>
      <c r="Z310" s="433"/>
      <c r="AA310" s="396"/>
      <c r="AB310" s="397"/>
      <c r="AC310" s="398"/>
      <c r="AD310" s="399"/>
      <c r="AE310" s="400"/>
      <c r="AF310" s="401"/>
      <c r="AG310" s="401">
        <f t="shared" si="27"/>
        <v>0</v>
      </c>
      <c r="AH310" s="401">
        <f t="shared" si="28"/>
        <v>0</v>
      </c>
      <c r="AI310" s="401">
        <f t="shared" si="29"/>
        <v>0</v>
      </c>
      <c r="AJ310" s="401">
        <f t="shared" si="30"/>
        <v>0</v>
      </c>
      <c r="AK310" s="401" t="str">
        <f t="shared" si="31"/>
        <v/>
      </c>
      <c r="AL310" s="402">
        <f t="shared" ca="1" si="32"/>
        <v>3</v>
      </c>
      <c r="AM310" s="402">
        <f t="shared" ca="1" si="33"/>
        <v>1</v>
      </c>
      <c r="AN310" s="402">
        <f t="shared" ca="1" si="34"/>
        <v>65</v>
      </c>
      <c r="AO310" s="402">
        <f t="shared" ca="1" si="35"/>
        <v>0</v>
      </c>
      <c r="AP310" s="402">
        <f t="shared" ca="1" si="36"/>
        <v>0</v>
      </c>
      <c r="AQ310" s="402">
        <f t="shared" ca="1" si="37"/>
        <v>0</v>
      </c>
      <c r="AR310" s="402">
        <f t="shared" ca="1" si="38"/>
        <v>0</v>
      </c>
      <c r="AS310" s="403"/>
      <c r="AT310" s="402">
        <f t="shared" si="39"/>
        <v>1</v>
      </c>
    </row>
    <row r="311" spans="1:46" ht="15.75" customHeight="1">
      <c r="A311" s="382"/>
      <c r="B311" s="383">
        <f t="shared" ca="1" si="20"/>
        <v>3</v>
      </c>
      <c r="C311" s="384">
        <f t="shared" ca="1" si="21"/>
        <v>1</v>
      </c>
      <c r="D311" s="384">
        <f t="shared" ca="1" si="22"/>
        <v>65</v>
      </c>
      <c r="E311" s="384">
        <f t="shared" ca="1" si="23"/>
        <v>1</v>
      </c>
      <c r="F311" s="384" t="str">
        <f t="shared" ca="1" si="24"/>
        <v/>
      </c>
      <c r="G311" s="385" t="str">
        <f t="shared" ca="1" si="25"/>
        <v/>
      </c>
      <c r="H311" s="386" t="str">
        <f t="shared" ca="1" si="26"/>
        <v/>
      </c>
      <c r="I311" s="404"/>
      <c r="J311" s="415"/>
      <c r="K311" s="428"/>
      <c r="L311" s="428" t="s">
        <v>59</v>
      </c>
      <c r="M311" s="428"/>
      <c r="N311" s="428"/>
      <c r="O311" s="428"/>
      <c r="P311" s="428"/>
      <c r="Q311" s="429"/>
      <c r="R311" s="417"/>
      <c r="S311" s="418"/>
      <c r="T311" s="419"/>
      <c r="U311" s="418"/>
      <c r="V311" s="419"/>
      <c r="W311" s="430"/>
      <c r="X311" s="431"/>
      <c r="Y311" s="434"/>
      <c r="Z311" s="433"/>
      <c r="AA311" s="396"/>
      <c r="AB311" s="397"/>
      <c r="AC311" s="398"/>
      <c r="AD311" s="399"/>
      <c r="AE311" s="400"/>
      <c r="AF311" s="401"/>
      <c r="AG311" s="401">
        <f t="shared" si="27"/>
        <v>0</v>
      </c>
      <c r="AH311" s="401">
        <f t="shared" si="28"/>
        <v>0</v>
      </c>
      <c r="AI311" s="401">
        <f t="shared" si="29"/>
        <v>0</v>
      </c>
      <c r="AJ311" s="401">
        <f t="shared" si="30"/>
        <v>0</v>
      </c>
      <c r="AK311" s="401" t="str">
        <f t="shared" si="31"/>
        <v/>
      </c>
      <c r="AL311" s="402">
        <f t="shared" ca="1" si="32"/>
        <v>3</v>
      </c>
      <c r="AM311" s="402">
        <f t="shared" ca="1" si="33"/>
        <v>1</v>
      </c>
      <c r="AN311" s="402">
        <f t="shared" ca="1" si="34"/>
        <v>65</v>
      </c>
      <c r="AO311" s="402">
        <f t="shared" ca="1" si="35"/>
        <v>1</v>
      </c>
      <c r="AP311" s="402">
        <f t="shared" ca="1" si="36"/>
        <v>0</v>
      </c>
      <c r="AQ311" s="402">
        <f t="shared" ca="1" si="37"/>
        <v>0</v>
      </c>
      <c r="AR311" s="402">
        <f t="shared" ca="1" si="38"/>
        <v>0</v>
      </c>
      <c r="AS311" s="403"/>
      <c r="AT311" s="402">
        <f t="shared" si="39"/>
        <v>1</v>
      </c>
    </row>
    <row r="312" spans="1:46" ht="15.75" customHeight="1">
      <c r="A312" s="382"/>
      <c r="B312" s="383">
        <f t="shared" ca="1" si="20"/>
        <v>3</v>
      </c>
      <c r="C312" s="384">
        <f t="shared" ca="1" si="21"/>
        <v>1</v>
      </c>
      <c r="D312" s="384">
        <f t="shared" ca="1" si="22"/>
        <v>65</v>
      </c>
      <c r="E312" s="384">
        <f t="shared" ca="1" si="23"/>
        <v>2</v>
      </c>
      <c r="F312" s="384" t="str">
        <f t="shared" ca="1" si="24"/>
        <v/>
      </c>
      <c r="G312" s="385" t="str">
        <f t="shared" ca="1" si="25"/>
        <v/>
      </c>
      <c r="H312" s="386" t="str">
        <f t="shared" ca="1" si="26"/>
        <v/>
      </c>
      <c r="I312" s="404"/>
      <c r="J312" s="415"/>
      <c r="K312" s="428"/>
      <c r="L312" s="428" t="s">
        <v>61</v>
      </c>
      <c r="M312" s="428"/>
      <c r="N312" s="428"/>
      <c r="O312" s="428"/>
      <c r="P312" s="428"/>
      <c r="Q312" s="429"/>
      <c r="R312" s="417"/>
      <c r="S312" s="418"/>
      <c r="T312" s="419"/>
      <c r="U312" s="418"/>
      <c r="V312" s="419"/>
      <c r="W312" s="430"/>
      <c r="X312" s="431"/>
      <c r="Y312" s="434"/>
      <c r="Z312" s="433"/>
      <c r="AA312" s="396"/>
      <c r="AB312" s="397"/>
      <c r="AC312" s="398"/>
      <c r="AD312" s="399"/>
      <c r="AE312" s="400"/>
      <c r="AF312" s="401"/>
      <c r="AG312" s="401">
        <f t="shared" si="27"/>
        <v>0</v>
      </c>
      <c r="AH312" s="401">
        <f t="shared" si="28"/>
        <v>0</v>
      </c>
      <c r="AI312" s="401">
        <f t="shared" si="29"/>
        <v>0</v>
      </c>
      <c r="AJ312" s="401">
        <f t="shared" si="30"/>
        <v>0</v>
      </c>
      <c r="AK312" s="401" t="str">
        <f t="shared" si="31"/>
        <v/>
      </c>
      <c r="AL312" s="402">
        <f t="shared" ca="1" si="32"/>
        <v>3</v>
      </c>
      <c r="AM312" s="402">
        <f t="shared" ca="1" si="33"/>
        <v>1</v>
      </c>
      <c r="AN312" s="402">
        <f t="shared" ca="1" si="34"/>
        <v>65</v>
      </c>
      <c r="AO312" s="402">
        <f t="shared" ca="1" si="35"/>
        <v>2</v>
      </c>
      <c r="AP312" s="402">
        <f t="shared" ca="1" si="36"/>
        <v>0</v>
      </c>
      <c r="AQ312" s="402">
        <f t="shared" ca="1" si="37"/>
        <v>0</v>
      </c>
      <c r="AR312" s="402">
        <f t="shared" ca="1" si="38"/>
        <v>0</v>
      </c>
      <c r="AS312" s="403"/>
      <c r="AT312" s="402">
        <f t="shared" si="39"/>
        <v>1</v>
      </c>
    </row>
    <row r="313" spans="1:46" ht="15.75" customHeight="1">
      <c r="A313" s="382"/>
      <c r="B313" s="383">
        <f t="shared" ca="1" si="20"/>
        <v>3</v>
      </c>
      <c r="C313" s="384">
        <f t="shared" ca="1" si="21"/>
        <v>1</v>
      </c>
      <c r="D313" s="384">
        <f t="shared" ca="1" si="22"/>
        <v>65</v>
      </c>
      <c r="E313" s="384">
        <f t="shared" ca="1" si="23"/>
        <v>3</v>
      </c>
      <c r="F313" s="384" t="str">
        <f t="shared" ca="1" si="24"/>
        <v/>
      </c>
      <c r="G313" s="385" t="str">
        <f t="shared" ca="1" si="25"/>
        <v/>
      </c>
      <c r="H313" s="386" t="str">
        <f t="shared" ca="1" si="26"/>
        <v/>
      </c>
      <c r="I313" s="404"/>
      <c r="J313" s="415"/>
      <c r="K313" s="428"/>
      <c r="L313" s="428" t="s">
        <v>63</v>
      </c>
      <c r="M313" s="428"/>
      <c r="N313" s="428"/>
      <c r="O313" s="428"/>
      <c r="P313" s="428"/>
      <c r="Q313" s="429"/>
      <c r="R313" s="417"/>
      <c r="S313" s="418"/>
      <c r="T313" s="419"/>
      <c r="U313" s="418"/>
      <c r="V313" s="419"/>
      <c r="W313" s="430"/>
      <c r="X313" s="431"/>
      <c r="Y313" s="434"/>
      <c r="Z313" s="433"/>
      <c r="AA313" s="396"/>
      <c r="AB313" s="397"/>
      <c r="AC313" s="398"/>
      <c r="AD313" s="399"/>
      <c r="AE313" s="400"/>
      <c r="AF313" s="401"/>
      <c r="AG313" s="401">
        <f t="shared" si="27"/>
        <v>0</v>
      </c>
      <c r="AH313" s="401">
        <f t="shared" si="28"/>
        <v>0</v>
      </c>
      <c r="AI313" s="401">
        <f t="shared" si="29"/>
        <v>0</v>
      </c>
      <c r="AJ313" s="401">
        <f t="shared" si="30"/>
        <v>0</v>
      </c>
      <c r="AK313" s="401" t="str">
        <f t="shared" si="31"/>
        <v/>
      </c>
      <c r="AL313" s="402">
        <f t="shared" ca="1" si="32"/>
        <v>3</v>
      </c>
      <c r="AM313" s="402">
        <f t="shared" ca="1" si="33"/>
        <v>1</v>
      </c>
      <c r="AN313" s="402">
        <f t="shared" ca="1" si="34"/>
        <v>65</v>
      </c>
      <c r="AO313" s="402">
        <f t="shared" ca="1" si="35"/>
        <v>3</v>
      </c>
      <c r="AP313" s="402">
        <f t="shared" ca="1" si="36"/>
        <v>0</v>
      </c>
      <c r="AQ313" s="402">
        <f t="shared" ca="1" si="37"/>
        <v>0</v>
      </c>
      <c r="AR313" s="402">
        <f t="shared" ca="1" si="38"/>
        <v>0</v>
      </c>
      <c r="AS313" s="403"/>
      <c r="AT313" s="402">
        <f t="shared" si="39"/>
        <v>1</v>
      </c>
    </row>
    <row r="314" spans="1:46" ht="15.75" customHeight="1">
      <c r="A314" s="382"/>
      <c r="B314" s="383">
        <f t="shared" ca="1" si="20"/>
        <v>3</v>
      </c>
      <c r="C314" s="384">
        <f t="shared" ca="1" si="21"/>
        <v>1</v>
      </c>
      <c r="D314" s="384">
        <f t="shared" ca="1" si="22"/>
        <v>65</v>
      </c>
      <c r="E314" s="384">
        <f t="shared" ca="1" si="23"/>
        <v>4</v>
      </c>
      <c r="F314" s="384" t="str">
        <f t="shared" ca="1" si="24"/>
        <v/>
      </c>
      <c r="G314" s="385" t="str">
        <f t="shared" ca="1" si="25"/>
        <v/>
      </c>
      <c r="H314" s="386" t="str">
        <f t="shared" ca="1" si="26"/>
        <v/>
      </c>
      <c r="I314" s="404"/>
      <c r="J314" s="415"/>
      <c r="K314" s="428"/>
      <c r="L314" s="428" t="s">
        <v>64</v>
      </c>
      <c r="M314" s="428"/>
      <c r="N314" s="428"/>
      <c r="O314" s="428"/>
      <c r="P314" s="428"/>
      <c r="Q314" s="429"/>
      <c r="R314" s="417"/>
      <c r="S314" s="418"/>
      <c r="T314" s="419"/>
      <c r="U314" s="418"/>
      <c r="V314" s="419"/>
      <c r="W314" s="430"/>
      <c r="X314" s="431"/>
      <c r="Y314" s="434"/>
      <c r="Z314" s="433"/>
      <c r="AA314" s="396"/>
      <c r="AB314" s="397"/>
      <c r="AC314" s="398"/>
      <c r="AD314" s="399"/>
      <c r="AE314" s="400"/>
      <c r="AF314" s="401"/>
      <c r="AG314" s="401">
        <f t="shared" si="27"/>
        <v>0</v>
      </c>
      <c r="AH314" s="401">
        <f t="shared" si="28"/>
        <v>0</v>
      </c>
      <c r="AI314" s="401">
        <f t="shared" si="29"/>
        <v>0</v>
      </c>
      <c r="AJ314" s="401">
        <f t="shared" si="30"/>
        <v>0</v>
      </c>
      <c r="AK314" s="401" t="str">
        <f t="shared" si="31"/>
        <v/>
      </c>
      <c r="AL314" s="402">
        <f t="shared" ca="1" si="32"/>
        <v>3</v>
      </c>
      <c r="AM314" s="402">
        <f t="shared" ca="1" si="33"/>
        <v>1</v>
      </c>
      <c r="AN314" s="402">
        <f t="shared" ca="1" si="34"/>
        <v>65</v>
      </c>
      <c r="AO314" s="402">
        <f t="shared" ca="1" si="35"/>
        <v>4</v>
      </c>
      <c r="AP314" s="402">
        <f t="shared" ca="1" si="36"/>
        <v>0</v>
      </c>
      <c r="AQ314" s="402">
        <f t="shared" ca="1" si="37"/>
        <v>0</v>
      </c>
      <c r="AR314" s="402">
        <f t="shared" ca="1" si="38"/>
        <v>0</v>
      </c>
      <c r="AS314" s="403"/>
      <c r="AT314" s="402">
        <f t="shared" si="39"/>
        <v>1</v>
      </c>
    </row>
    <row r="315" spans="1:46" ht="15.75" customHeight="1">
      <c r="A315" s="382"/>
      <c r="B315" s="383">
        <f t="shared" ca="1" si="20"/>
        <v>3</v>
      </c>
      <c r="C315" s="384">
        <f t="shared" ca="1" si="21"/>
        <v>1</v>
      </c>
      <c r="D315" s="384">
        <f t="shared" ca="1" si="22"/>
        <v>65</v>
      </c>
      <c r="E315" s="384">
        <f t="shared" ca="1" si="23"/>
        <v>5</v>
      </c>
      <c r="F315" s="384" t="str">
        <f t="shared" ca="1" si="24"/>
        <v/>
      </c>
      <c r="G315" s="385" t="str">
        <f t="shared" ca="1" si="25"/>
        <v/>
      </c>
      <c r="H315" s="386" t="str">
        <f t="shared" ca="1" si="26"/>
        <v/>
      </c>
      <c r="I315" s="404"/>
      <c r="J315" s="415"/>
      <c r="K315" s="428"/>
      <c r="L315" s="428" t="s">
        <v>65</v>
      </c>
      <c r="M315" s="428"/>
      <c r="N315" s="428"/>
      <c r="O315" s="428"/>
      <c r="P315" s="428"/>
      <c r="Q315" s="429"/>
      <c r="R315" s="417"/>
      <c r="S315" s="418"/>
      <c r="T315" s="419"/>
      <c r="U315" s="418"/>
      <c r="V315" s="419"/>
      <c r="W315" s="430"/>
      <c r="X315" s="431"/>
      <c r="Y315" s="434"/>
      <c r="Z315" s="433"/>
      <c r="AA315" s="396"/>
      <c r="AB315" s="397"/>
      <c r="AC315" s="398"/>
      <c r="AD315" s="399"/>
      <c r="AE315" s="400"/>
      <c r="AF315" s="401"/>
      <c r="AG315" s="401">
        <f t="shared" si="27"/>
        <v>0</v>
      </c>
      <c r="AH315" s="401">
        <f t="shared" si="28"/>
        <v>0</v>
      </c>
      <c r="AI315" s="401">
        <f t="shared" si="29"/>
        <v>0</v>
      </c>
      <c r="AJ315" s="401">
        <f t="shared" si="30"/>
        <v>0</v>
      </c>
      <c r="AK315" s="401" t="str">
        <f t="shared" si="31"/>
        <v/>
      </c>
      <c r="AL315" s="402">
        <f t="shared" ca="1" si="32"/>
        <v>3</v>
      </c>
      <c r="AM315" s="402">
        <f t="shared" ca="1" si="33"/>
        <v>1</v>
      </c>
      <c r="AN315" s="402">
        <f t="shared" ca="1" si="34"/>
        <v>65</v>
      </c>
      <c r="AO315" s="402">
        <f t="shared" ca="1" si="35"/>
        <v>5</v>
      </c>
      <c r="AP315" s="402">
        <f t="shared" ca="1" si="36"/>
        <v>0</v>
      </c>
      <c r="AQ315" s="402">
        <f t="shared" ca="1" si="37"/>
        <v>0</v>
      </c>
      <c r="AR315" s="402">
        <f t="shared" ca="1" si="38"/>
        <v>0</v>
      </c>
      <c r="AS315" s="403"/>
      <c r="AT315" s="402">
        <f t="shared" si="39"/>
        <v>1</v>
      </c>
    </row>
    <row r="316" spans="1:46" ht="15.75" customHeight="1">
      <c r="A316" s="382"/>
      <c r="B316" s="383">
        <f t="shared" ca="1" si="20"/>
        <v>3</v>
      </c>
      <c r="C316" s="384">
        <f t="shared" ca="1" si="21"/>
        <v>1</v>
      </c>
      <c r="D316" s="384">
        <f t="shared" ca="1" si="22"/>
        <v>65</v>
      </c>
      <c r="E316" s="384">
        <f t="shared" ca="1" si="23"/>
        <v>6</v>
      </c>
      <c r="F316" s="384" t="str">
        <f t="shared" ca="1" si="24"/>
        <v/>
      </c>
      <c r="G316" s="385" t="str">
        <f t="shared" ca="1" si="25"/>
        <v/>
      </c>
      <c r="H316" s="386" t="str">
        <f t="shared" ca="1" si="26"/>
        <v/>
      </c>
      <c r="I316" s="404"/>
      <c r="J316" s="415"/>
      <c r="K316" s="428"/>
      <c r="L316" s="428" t="s">
        <v>66</v>
      </c>
      <c r="M316" s="428"/>
      <c r="N316" s="428"/>
      <c r="O316" s="428"/>
      <c r="P316" s="428"/>
      <c r="Q316" s="429"/>
      <c r="R316" s="417"/>
      <c r="S316" s="418"/>
      <c r="T316" s="419"/>
      <c r="U316" s="418"/>
      <c r="V316" s="419"/>
      <c r="W316" s="430"/>
      <c r="X316" s="431"/>
      <c r="Y316" s="434"/>
      <c r="Z316" s="433"/>
      <c r="AA316" s="396"/>
      <c r="AB316" s="397"/>
      <c r="AC316" s="398"/>
      <c r="AD316" s="399"/>
      <c r="AE316" s="400"/>
      <c r="AF316" s="401"/>
      <c r="AG316" s="401">
        <f t="shared" si="27"/>
        <v>0</v>
      </c>
      <c r="AH316" s="401">
        <f t="shared" si="28"/>
        <v>0</v>
      </c>
      <c r="AI316" s="401">
        <f t="shared" si="29"/>
        <v>0</v>
      </c>
      <c r="AJ316" s="401">
        <f t="shared" si="30"/>
        <v>0</v>
      </c>
      <c r="AK316" s="401" t="str">
        <f t="shared" si="31"/>
        <v/>
      </c>
      <c r="AL316" s="402">
        <f t="shared" ca="1" si="32"/>
        <v>3</v>
      </c>
      <c r="AM316" s="402">
        <f t="shared" ca="1" si="33"/>
        <v>1</v>
      </c>
      <c r="AN316" s="402">
        <f t="shared" ca="1" si="34"/>
        <v>65</v>
      </c>
      <c r="AO316" s="402">
        <f t="shared" ca="1" si="35"/>
        <v>6</v>
      </c>
      <c r="AP316" s="402">
        <f t="shared" ca="1" si="36"/>
        <v>0</v>
      </c>
      <c r="AQ316" s="402">
        <f t="shared" ca="1" si="37"/>
        <v>0</v>
      </c>
      <c r="AR316" s="402">
        <f t="shared" ca="1" si="38"/>
        <v>0</v>
      </c>
      <c r="AS316" s="403"/>
      <c r="AT316" s="402">
        <f t="shared" si="39"/>
        <v>1</v>
      </c>
    </row>
    <row r="317" spans="1:46" ht="15.75" customHeight="1">
      <c r="A317" s="382"/>
      <c r="B317" s="383">
        <f t="shared" ca="1" si="20"/>
        <v>3</v>
      </c>
      <c r="C317" s="384">
        <f t="shared" ca="1" si="21"/>
        <v>1</v>
      </c>
      <c r="D317" s="384">
        <f t="shared" ca="1" si="22"/>
        <v>66</v>
      </c>
      <c r="E317" s="384" t="str">
        <f t="shared" ca="1" si="23"/>
        <v/>
      </c>
      <c r="F317" s="384" t="str">
        <f t="shared" ca="1" si="24"/>
        <v/>
      </c>
      <c r="G317" s="385" t="str">
        <f t="shared" ca="1" si="25"/>
        <v/>
      </c>
      <c r="H317" s="386" t="str">
        <f t="shared" ca="1" si="26"/>
        <v/>
      </c>
      <c r="I317" s="404"/>
      <c r="J317" s="415"/>
      <c r="K317" s="428" t="s">
        <v>357</v>
      </c>
      <c r="L317" s="428"/>
      <c r="M317" s="428"/>
      <c r="N317" s="428"/>
      <c r="O317" s="428"/>
      <c r="P317" s="428"/>
      <c r="Q317" s="429"/>
      <c r="R317" s="417"/>
      <c r="S317" s="418"/>
      <c r="T317" s="419"/>
      <c r="U317" s="418"/>
      <c r="V317" s="419"/>
      <c r="W317" s="430"/>
      <c r="X317" s="431"/>
      <c r="Y317" s="434"/>
      <c r="Z317" s="433"/>
      <c r="AA317" s="396"/>
      <c r="AB317" s="397"/>
      <c r="AC317" s="398"/>
      <c r="AD317" s="399"/>
      <c r="AE317" s="400"/>
      <c r="AF317" s="401"/>
      <c r="AG317" s="401">
        <f t="shared" si="27"/>
        <v>0</v>
      </c>
      <c r="AH317" s="401">
        <f t="shared" si="28"/>
        <v>0</v>
      </c>
      <c r="AI317" s="401">
        <f t="shared" si="29"/>
        <v>0</v>
      </c>
      <c r="AJ317" s="401">
        <f t="shared" si="30"/>
        <v>0</v>
      </c>
      <c r="AK317" s="401" t="str">
        <f t="shared" si="31"/>
        <v/>
      </c>
      <c r="AL317" s="402">
        <f t="shared" ca="1" si="32"/>
        <v>3</v>
      </c>
      <c r="AM317" s="402">
        <f t="shared" ca="1" si="33"/>
        <v>1</v>
      </c>
      <c r="AN317" s="402">
        <f t="shared" ca="1" si="34"/>
        <v>66</v>
      </c>
      <c r="AO317" s="402">
        <f t="shared" ca="1" si="35"/>
        <v>0</v>
      </c>
      <c r="AP317" s="402">
        <f t="shared" ca="1" si="36"/>
        <v>0</v>
      </c>
      <c r="AQ317" s="402">
        <f t="shared" ca="1" si="37"/>
        <v>0</v>
      </c>
      <c r="AR317" s="402">
        <f t="shared" ca="1" si="38"/>
        <v>0</v>
      </c>
      <c r="AS317" s="403"/>
      <c r="AT317" s="402">
        <f t="shared" si="39"/>
        <v>1</v>
      </c>
    </row>
    <row r="318" spans="1:46" ht="15.75" customHeight="1">
      <c r="A318" s="382"/>
      <c r="B318" s="383">
        <f t="shared" ca="1" si="20"/>
        <v>3</v>
      </c>
      <c r="C318" s="384">
        <f t="shared" ca="1" si="21"/>
        <v>1</v>
      </c>
      <c r="D318" s="384">
        <f t="shared" ca="1" si="22"/>
        <v>66</v>
      </c>
      <c r="E318" s="384">
        <f t="shared" ca="1" si="23"/>
        <v>1</v>
      </c>
      <c r="F318" s="384" t="str">
        <f t="shared" ca="1" si="24"/>
        <v/>
      </c>
      <c r="G318" s="385" t="str">
        <f t="shared" ca="1" si="25"/>
        <v/>
      </c>
      <c r="H318" s="386" t="str">
        <f t="shared" ca="1" si="26"/>
        <v/>
      </c>
      <c r="I318" s="404"/>
      <c r="J318" s="415"/>
      <c r="K318" s="428"/>
      <c r="L318" s="428" t="s">
        <v>59</v>
      </c>
      <c r="M318" s="428"/>
      <c r="N318" s="428"/>
      <c r="O318" s="428"/>
      <c r="P318" s="428"/>
      <c r="Q318" s="429"/>
      <c r="R318" s="417"/>
      <c r="S318" s="418"/>
      <c r="T318" s="419"/>
      <c r="U318" s="418"/>
      <c r="V318" s="419"/>
      <c r="W318" s="430"/>
      <c r="X318" s="431"/>
      <c r="Y318" s="434"/>
      <c r="Z318" s="433"/>
      <c r="AA318" s="396"/>
      <c r="AB318" s="397"/>
      <c r="AC318" s="398"/>
      <c r="AD318" s="399"/>
      <c r="AE318" s="400"/>
      <c r="AF318" s="401"/>
      <c r="AG318" s="401">
        <f t="shared" si="27"/>
        <v>0</v>
      </c>
      <c r="AH318" s="401">
        <f t="shared" si="28"/>
        <v>0</v>
      </c>
      <c r="AI318" s="401">
        <f t="shared" si="29"/>
        <v>0</v>
      </c>
      <c r="AJ318" s="401">
        <f t="shared" si="30"/>
        <v>0</v>
      </c>
      <c r="AK318" s="401" t="str">
        <f t="shared" si="31"/>
        <v/>
      </c>
      <c r="AL318" s="402">
        <f t="shared" ca="1" si="32"/>
        <v>3</v>
      </c>
      <c r="AM318" s="402">
        <f t="shared" ca="1" si="33"/>
        <v>1</v>
      </c>
      <c r="AN318" s="402">
        <f t="shared" ca="1" si="34"/>
        <v>66</v>
      </c>
      <c r="AO318" s="402">
        <f t="shared" ca="1" si="35"/>
        <v>1</v>
      </c>
      <c r="AP318" s="402">
        <f t="shared" ca="1" si="36"/>
        <v>0</v>
      </c>
      <c r="AQ318" s="402">
        <f t="shared" ca="1" si="37"/>
        <v>0</v>
      </c>
      <c r="AR318" s="402">
        <f t="shared" ca="1" si="38"/>
        <v>0</v>
      </c>
      <c r="AS318" s="403"/>
      <c r="AT318" s="402">
        <f t="shared" si="39"/>
        <v>1</v>
      </c>
    </row>
    <row r="319" spans="1:46" ht="15.75" customHeight="1">
      <c r="A319" s="382"/>
      <c r="B319" s="383">
        <f t="shared" ca="1" si="20"/>
        <v>3</v>
      </c>
      <c r="C319" s="384">
        <f t="shared" ca="1" si="21"/>
        <v>1</v>
      </c>
      <c r="D319" s="384">
        <f t="shared" ca="1" si="22"/>
        <v>66</v>
      </c>
      <c r="E319" s="384">
        <f t="shared" ca="1" si="23"/>
        <v>2</v>
      </c>
      <c r="F319" s="384" t="str">
        <f t="shared" ca="1" si="24"/>
        <v/>
      </c>
      <c r="G319" s="385" t="str">
        <f t="shared" ca="1" si="25"/>
        <v/>
      </c>
      <c r="H319" s="386" t="str">
        <f t="shared" ca="1" si="26"/>
        <v/>
      </c>
      <c r="I319" s="404"/>
      <c r="J319" s="415"/>
      <c r="K319" s="428"/>
      <c r="L319" s="428" t="s">
        <v>61</v>
      </c>
      <c r="M319" s="428"/>
      <c r="N319" s="428"/>
      <c r="O319" s="428"/>
      <c r="P319" s="428"/>
      <c r="Q319" s="429"/>
      <c r="R319" s="417"/>
      <c r="S319" s="418"/>
      <c r="T319" s="419"/>
      <c r="U319" s="418"/>
      <c r="V319" s="419"/>
      <c r="W319" s="430"/>
      <c r="X319" s="431"/>
      <c r="Y319" s="434"/>
      <c r="Z319" s="433"/>
      <c r="AA319" s="396"/>
      <c r="AB319" s="397"/>
      <c r="AC319" s="398"/>
      <c r="AD319" s="399"/>
      <c r="AE319" s="400"/>
      <c r="AF319" s="401"/>
      <c r="AG319" s="401">
        <f t="shared" si="27"/>
        <v>0</v>
      </c>
      <c r="AH319" s="401">
        <f t="shared" si="28"/>
        <v>0</v>
      </c>
      <c r="AI319" s="401">
        <f t="shared" si="29"/>
        <v>0</v>
      </c>
      <c r="AJ319" s="401">
        <f t="shared" si="30"/>
        <v>0</v>
      </c>
      <c r="AK319" s="401" t="str">
        <f t="shared" si="31"/>
        <v/>
      </c>
      <c r="AL319" s="402">
        <f t="shared" ca="1" si="32"/>
        <v>3</v>
      </c>
      <c r="AM319" s="402">
        <f t="shared" ca="1" si="33"/>
        <v>1</v>
      </c>
      <c r="AN319" s="402">
        <f t="shared" ca="1" si="34"/>
        <v>66</v>
      </c>
      <c r="AO319" s="402">
        <f t="shared" ca="1" si="35"/>
        <v>2</v>
      </c>
      <c r="AP319" s="402">
        <f t="shared" ca="1" si="36"/>
        <v>0</v>
      </c>
      <c r="AQ319" s="402">
        <f t="shared" ca="1" si="37"/>
        <v>0</v>
      </c>
      <c r="AR319" s="402">
        <f t="shared" ca="1" si="38"/>
        <v>0</v>
      </c>
      <c r="AS319" s="403"/>
      <c r="AT319" s="402">
        <f t="shared" si="39"/>
        <v>1</v>
      </c>
    </row>
    <row r="320" spans="1:46" ht="15.75" customHeight="1">
      <c r="A320" s="382"/>
      <c r="B320" s="383">
        <f t="shared" ca="1" si="20"/>
        <v>3</v>
      </c>
      <c r="C320" s="384">
        <f t="shared" ca="1" si="21"/>
        <v>1</v>
      </c>
      <c r="D320" s="384">
        <f t="shared" ca="1" si="22"/>
        <v>66</v>
      </c>
      <c r="E320" s="384">
        <f t="shared" ca="1" si="23"/>
        <v>3</v>
      </c>
      <c r="F320" s="384" t="str">
        <f t="shared" ca="1" si="24"/>
        <v/>
      </c>
      <c r="G320" s="385" t="str">
        <f t="shared" ca="1" si="25"/>
        <v/>
      </c>
      <c r="H320" s="386" t="str">
        <f t="shared" ca="1" si="26"/>
        <v/>
      </c>
      <c r="I320" s="404"/>
      <c r="J320" s="415"/>
      <c r="K320" s="428"/>
      <c r="L320" s="428" t="s">
        <v>63</v>
      </c>
      <c r="M320" s="428"/>
      <c r="N320" s="428"/>
      <c r="O320" s="428"/>
      <c r="P320" s="428"/>
      <c r="Q320" s="429"/>
      <c r="R320" s="417"/>
      <c r="S320" s="418"/>
      <c r="T320" s="419"/>
      <c r="U320" s="418"/>
      <c r="V320" s="419"/>
      <c r="W320" s="430"/>
      <c r="X320" s="431"/>
      <c r="Y320" s="434"/>
      <c r="Z320" s="433"/>
      <c r="AA320" s="396"/>
      <c r="AB320" s="397"/>
      <c r="AC320" s="398"/>
      <c r="AD320" s="399"/>
      <c r="AE320" s="400"/>
      <c r="AF320" s="401"/>
      <c r="AG320" s="401">
        <f t="shared" si="27"/>
        <v>0</v>
      </c>
      <c r="AH320" s="401">
        <f t="shared" si="28"/>
        <v>0</v>
      </c>
      <c r="AI320" s="401">
        <f t="shared" si="29"/>
        <v>0</v>
      </c>
      <c r="AJ320" s="401">
        <f t="shared" si="30"/>
        <v>0</v>
      </c>
      <c r="AK320" s="401" t="str">
        <f t="shared" si="31"/>
        <v/>
      </c>
      <c r="AL320" s="402">
        <f t="shared" ca="1" si="32"/>
        <v>3</v>
      </c>
      <c r="AM320" s="402">
        <f t="shared" ca="1" si="33"/>
        <v>1</v>
      </c>
      <c r="AN320" s="402">
        <f t="shared" ca="1" si="34"/>
        <v>66</v>
      </c>
      <c r="AO320" s="402">
        <f t="shared" ca="1" si="35"/>
        <v>3</v>
      </c>
      <c r="AP320" s="402">
        <f t="shared" ca="1" si="36"/>
        <v>0</v>
      </c>
      <c r="AQ320" s="402">
        <f t="shared" ca="1" si="37"/>
        <v>0</v>
      </c>
      <c r="AR320" s="402">
        <f t="shared" ca="1" si="38"/>
        <v>0</v>
      </c>
      <c r="AS320" s="403"/>
      <c r="AT320" s="402">
        <f t="shared" si="39"/>
        <v>1</v>
      </c>
    </row>
    <row r="321" spans="1:46" ht="15.75" customHeight="1">
      <c r="A321" s="382"/>
      <c r="B321" s="383">
        <f t="shared" ca="1" si="20"/>
        <v>3</v>
      </c>
      <c r="C321" s="384">
        <f t="shared" ca="1" si="21"/>
        <v>1</v>
      </c>
      <c r="D321" s="384">
        <f t="shared" ca="1" si="22"/>
        <v>66</v>
      </c>
      <c r="E321" s="384">
        <f t="shared" ca="1" si="23"/>
        <v>4</v>
      </c>
      <c r="F321" s="384" t="str">
        <f t="shared" ca="1" si="24"/>
        <v/>
      </c>
      <c r="G321" s="385" t="str">
        <f t="shared" ca="1" si="25"/>
        <v/>
      </c>
      <c r="H321" s="386" t="str">
        <f t="shared" ca="1" si="26"/>
        <v/>
      </c>
      <c r="I321" s="404"/>
      <c r="J321" s="415"/>
      <c r="K321" s="428"/>
      <c r="L321" s="428" t="s">
        <v>64</v>
      </c>
      <c r="M321" s="428"/>
      <c r="N321" s="428"/>
      <c r="O321" s="428"/>
      <c r="P321" s="428"/>
      <c r="Q321" s="429"/>
      <c r="R321" s="417"/>
      <c r="S321" s="418"/>
      <c r="T321" s="419"/>
      <c r="U321" s="418"/>
      <c r="V321" s="419"/>
      <c r="W321" s="430"/>
      <c r="X321" s="431"/>
      <c r="Y321" s="434"/>
      <c r="Z321" s="433"/>
      <c r="AA321" s="396"/>
      <c r="AB321" s="397"/>
      <c r="AC321" s="398"/>
      <c r="AD321" s="399"/>
      <c r="AE321" s="400"/>
      <c r="AF321" s="401"/>
      <c r="AG321" s="401">
        <f t="shared" si="27"/>
        <v>0</v>
      </c>
      <c r="AH321" s="401">
        <f t="shared" si="28"/>
        <v>0</v>
      </c>
      <c r="AI321" s="401">
        <f t="shared" si="29"/>
        <v>0</v>
      </c>
      <c r="AJ321" s="401">
        <f t="shared" si="30"/>
        <v>0</v>
      </c>
      <c r="AK321" s="401" t="str">
        <f t="shared" si="31"/>
        <v/>
      </c>
      <c r="AL321" s="402">
        <f t="shared" ca="1" si="32"/>
        <v>3</v>
      </c>
      <c r="AM321" s="402">
        <f t="shared" ca="1" si="33"/>
        <v>1</v>
      </c>
      <c r="AN321" s="402">
        <f t="shared" ca="1" si="34"/>
        <v>66</v>
      </c>
      <c r="AO321" s="402">
        <f t="shared" ca="1" si="35"/>
        <v>4</v>
      </c>
      <c r="AP321" s="402">
        <f t="shared" ca="1" si="36"/>
        <v>0</v>
      </c>
      <c r="AQ321" s="402">
        <f t="shared" ca="1" si="37"/>
        <v>0</v>
      </c>
      <c r="AR321" s="402">
        <f t="shared" ca="1" si="38"/>
        <v>0</v>
      </c>
      <c r="AS321" s="403"/>
      <c r="AT321" s="402">
        <f t="shared" si="39"/>
        <v>1</v>
      </c>
    </row>
    <row r="322" spans="1:46" ht="15.75" customHeight="1">
      <c r="A322" s="382"/>
      <c r="B322" s="383">
        <f t="shared" ca="1" si="20"/>
        <v>3</v>
      </c>
      <c r="C322" s="384">
        <f t="shared" ca="1" si="21"/>
        <v>1</v>
      </c>
      <c r="D322" s="384">
        <f t="shared" ca="1" si="22"/>
        <v>66</v>
      </c>
      <c r="E322" s="384">
        <f t="shared" ca="1" si="23"/>
        <v>5</v>
      </c>
      <c r="F322" s="384" t="str">
        <f t="shared" ca="1" si="24"/>
        <v/>
      </c>
      <c r="G322" s="385" t="str">
        <f t="shared" ca="1" si="25"/>
        <v/>
      </c>
      <c r="H322" s="386" t="str">
        <f t="shared" ca="1" si="26"/>
        <v/>
      </c>
      <c r="I322" s="404"/>
      <c r="J322" s="415"/>
      <c r="K322" s="428"/>
      <c r="L322" s="428" t="s">
        <v>65</v>
      </c>
      <c r="M322" s="428"/>
      <c r="N322" s="428"/>
      <c r="O322" s="428"/>
      <c r="P322" s="428"/>
      <c r="Q322" s="429"/>
      <c r="R322" s="417"/>
      <c r="S322" s="418"/>
      <c r="T322" s="419"/>
      <c r="U322" s="418"/>
      <c r="V322" s="419"/>
      <c r="W322" s="430"/>
      <c r="X322" s="431"/>
      <c r="Y322" s="434"/>
      <c r="Z322" s="433"/>
      <c r="AA322" s="396"/>
      <c r="AB322" s="397"/>
      <c r="AC322" s="398"/>
      <c r="AD322" s="399"/>
      <c r="AE322" s="400"/>
      <c r="AF322" s="401"/>
      <c r="AG322" s="401">
        <f t="shared" si="27"/>
        <v>0</v>
      </c>
      <c r="AH322" s="401">
        <f t="shared" si="28"/>
        <v>0</v>
      </c>
      <c r="AI322" s="401">
        <f t="shared" si="29"/>
        <v>0</v>
      </c>
      <c r="AJ322" s="401">
        <f t="shared" si="30"/>
        <v>0</v>
      </c>
      <c r="AK322" s="401" t="str">
        <f t="shared" si="31"/>
        <v/>
      </c>
      <c r="AL322" s="402">
        <f t="shared" ca="1" si="32"/>
        <v>3</v>
      </c>
      <c r="AM322" s="402">
        <f t="shared" ca="1" si="33"/>
        <v>1</v>
      </c>
      <c r="AN322" s="402">
        <f t="shared" ca="1" si="34"/>
        <v>66</v>
      </c>
      <c r="AO322" s="402">
        <f t="shared" ca="1" si="35"/>
        <v>5</v>
      </c>
      <c r="AP322" s="402">
        <f t="shared" ca="1" si="36"/>
        <v>0</v>
      </c>
      <c r="AQ322" s="402">
        <f t="shared" ca="1" si="37"/>
        <v>0</v>
      </c>
      <c r="AR322" s="402">
        <f t="shared" ca="1" si="38"/>
        <v>0</v>
      </c>
      <c r="AS322" s="403"/>
      <c r="AT322" s="402">
        <f t="shared" si="39"/>
        <v>1</v>
      </c>
    </row>
    <row r="323" spans="1:46" ht="15.75" customHeight="1">
      <c r="A323" s="382"/>
      <c r="B323" s="383">
        <f t="shared" ca="1" si="20"/>
        <v>3</v>
      </c>
      <c r="C323" s="384">
        <f t="shared" ca="1" si="21"/>
        <v>1</v>
      </c>
      <c r="D323" s="384">
        <f t="shared" ca="1" si="22"/>
        <v>66</v>
      </c>
      <c r="E323" s="384">
        <f t="shared" ca="1" si="23"/>
        <v>6</v>
      </c>
      <c r="F323" s="384" t="str">
        <f t="shared" ca="1" si="24"/>
        <v/>
      </c>
      <c r="G323" s="385" t="str">
        <f t="shared" ca="1" si="25"/>
        <v/>
      </c>
      <c r="H323" s="386" t="str">
        <f t="shared" ca="1" si="26"/>
        <v/>
      </c>
      <c r="I323" s="404"/>
      <c r="J323" s="415"/>
      <c r="K323" s="428"/>
      <c r="L323" s="428" t="s">
        <v>66</v>
      </c>
      <c r="M323" s="428"/>
      <c r="N323" s="428"/>
      <c r="O323" s="428"/>
      <c r="P323" s="428"/>
      <c r="Q323" s="429"/>
      <c r="R323" s="417"/>
      <c r="S323" s="418"/>
      <c r="T323" s="419"/>
      <c r="U323" s="418"/>
      <c r="V323" s="419"/>
      <c r="W323" s="430"/>
      <c r="X323" s="431"/>
      <c r="Y323" s="434"/>
      <c r="Z323" s="433"/>
      <c r="AA323" s="396"/>
      <c r="AB323" s="397"/>
      <c r="AC323" s="398"/>
      <c r="AD323" s="399"/>
      <c r="AE323" s="400"/>
      <c r="AF323" s="401"/>
      <c r="AG323" s="401">
        <f t="shared" si="27"/>
        <v>0</v>
      </c>
      <c r="AH323" s="401">
        <f t="shared" si="28"/>
        <v>0</v>
      </c>
      <c r="AI323" s="401">
        <f t="shared" si="29"/>
        <v>0</v>
      </c>
      <c r="AJ323" s="401">
        <f t="shared" si="30"/>
        <v>0</v>
      </c>
      <c r="AK323" s="401" t="str">
        <f t="shared" si="31"/>
        <v/>
      </c>
      <c r="AL323" s="402">
        <f t="shared" ca="1" si="32"/>
        <v>3</v>
      </c>
      <c r="AM323" s="402">
        <f t="shared" ca="1" si="33"/>
        <v>1</v>
      </c>
      <c r="AN323" s="402">
        <f t="shared" ca="1" si="34"/>
        <v>66</v>
      </c>
      <c r="AO323" s="402">
        <f t="shared" ca="1" si="35"/>
        <v>6</v>
      </c>
      <c r="AP323" s="402">
        <f t="shared" ca="1" si="36"/>
        <v>0</v>
      </c>
      <c r="AQ323" s="402">
        <f t="shared" ca="1" si="37"/>
        <v>0</v>
      </c>
      <c r="AR323" s="402">
        <f t="shared" ca="1" si="38"/>
        <v>0</v>
      </c>
      <c r="AS323" s="403"/>
      <c r="AT323" s="402">
        <f t="shared" si="39"/>
        <v>1</v>
      </c>
    </row>
    <row r="324" spans="1:46" ht="15.75" customHeight="1">
      <c r="A324" s="382"/>
      <c r="B324" s="383">
        <f t="shared" ca="1" si="20"/>
        <v>3</v>
      </c>
      <c r="C324" s="384">
        <f t="shared" ca="1" si="21"/>
        <v>2</v>
      </c>
      <c r="D324" s="384" t="str">
        <f t="shared" ca="1" si="22"/>
        <v/>
      </c>
      <c r="E324" s="384" t="str">
        <f t="shared" ca="1" si="23"/>
        <v/>
      </c>
      <c r="F324" s="384" t="str">
        <f t="shared" ca="1" si="24"/>
        <v/>
      </c>
      <c r="G324" s="385" t="str">
        <f t="shared" ca="1" si="25"/>
        <v/>
      </c>
      <c r="H324" s="386" t="str">
        <f t="shared" ca="1" si="26"/>
        <v/>
      </c>
      <c r="I324" s="404"/>
      <c r="J324" s="405" t="s">
        <v>280</v>
      </c>
      <c r="K324" s="405"/>
      <c r="L324" s="405"/>
      <c r="M324" s="405"/>
      <c r="N324" s="405"/>
      <c r="O324" s="405"/>
      <c r="P324" s="405"/>
      <c r="Q324" s="406" t="s">
        <v>281</v>
      </c>
      <c r="R324" s="407"/>
      <c r="S324" s="408"/>
      <c r="T324" s="409"/>
      <c r="U324" s="410"/>
      <c r="V324" s="409"/>
      <c r="W324" s="411"/>
      <c r="X324" s="412"/>
      <c r="Y324" s="435"/>
      <c r="Z324" s="414"/>
      <c r="AA324" s="396"/>
      <c r="AB324" s="397"/>
      <c r="AC324" s="398"/>
      <c r="AD324" s="399"/>
      <c r="AE324" s="400"/>
      <c r="AF324" s="401"/>
      <c r="AG324" s="401">
        <f t="shared" si="27"/>
        <v>0</v>
      </c>
      <c r="AH324" s="401">
        <f t="shared" si="28"/>
        <v>0</v>
      </c>
      <c r="AI324" s="401">
        <f t="shared" si="29"/>
        <v>0</v>
      </c>
      <c r="AJ324" s="401">
        <f t="shared" si="30"/>
        <v>0</v>
      </c>
      <c r="AK324" s="401" t="str">
        <f t="shared" si="31"/>
        <v/>
      </c>
      <c r="AL324" s="402">
        <f t="shared" ca="1" si="32"/>
        <v>3</v>
      </c>
      <c r="AM324" s="402">
        <f t="shared" ca="1" si="33"/>
        <v>2</v>
      </c>
      <c r="AN324" s="402">
        <f t="shared" ca="1" si="34"/>
        <v>0</v>
      </c>
      <c r="AO324" s="402">
        <f t="shared" ca="1" si="35"/>
        <v>0</v>
      </c>
      <c r="AP324" s="402">
        <f t="shared" ca="1" si="36"/>
        <v>0</v>
      </c>
      <c r="AQ324" s="402">
        <f t="shared" ca="1" si="37"/>
        <v>0</v>
      </c>
      <c r="AR324" s="402">
        <f t="shared" ca="1" si="38"/>
        <v>0</v>
      </c>
      <c r="AS324" s="403"/>
      <c r="AT324" s="402">
        <f t="shared" si="39"/>
        <v>1</v>
      </c>
    </row>
    <row r="325" spans="1:46" ht="15.75" customHeight="1">
      <c r="A325" s="382"/>
      <c r="B325" s="383">
        <f t="shared" ca="1" si="20"/>
        <v>3</v>
      </c>
      <c r="C325" s="384">
        <f t="shared" ca="1" si="21"/>
        <v>2</v>
      </c>
      <c r="D325" s="384">
        <f t="shared" ca="1" si="22"/>
        <v>1</v>
      </c>
      <c r="E325" s="384" t="str">
        <f t="shared" ca="1" si="23"/>
        <v/>
      </c>
      <c r="F325" s="384" t="str">
        <f t="shared" ca="1" si="24"/>
        <v/>
      </c>
      <c r="G325" s="385" t="str">
        <f t="shared" ca="1" si="25"/>
        <v/>
      </c>
      <c r="H325" s="386" t="str">
        <f t="shared" ca="1" si="26"/>
        <v/>
      </c>
      <c r="I325" s="404"/>
      <c r="J325" s="415"/>
      <c r="K325" s="428" t="s">
        <v>358</v>
      </c>
      <c r="L325" s="428"/>
      <c r="M325" s="428"/>
      <c r="N325" s="428"/>
      <c r="O325" s="428"/>
      <c r="P325" s="428"/>
      <c r="Q325" s="429"/>
      <c r="R325" s="417"/>
      <c r="S325" s="418"/>
      <c r="T325" s="419"/>
      <c r="U325" s="418"/>
      <c r="V325" s="419"/>
      <c r="W325" s="430"/>
      <c r="X325" s="431"/>
      <c r="Y325" s="434"/>
      <c r="Z325" s="433"/>
      <c r="AA325" s="396"/>
      <c r="AB325" s="397"/>
      <c r="AC325" s="398"/>
      <c r="AD325" s="399"/>
      <c r="AE325" s="400"/>
      <c r="AF325" s="401"/>
      <c r="AG325" s="401">
        <f t="shared" si="27"/>
        <v>0</v>
      </c>
      <c r="AH325" s="401">
        <f t="shared" si="28"/>
        <v>0</v>
      </c>
      <c r="AI325" s="401">
        <f t="shared" si="29"/>
        <v>0</v>
      </c>
      <c r="AJ325" s="401">
        <f t="shared" si="30"/>
        <v>0</v>
      </c>
      <c r="AK325" s="401" t="str">
        <f t="shared" si="31"/>
        <v/>
      </c>
      <c r="AL325" s="402">
        <f t="shared" ca="1" si="32"/>
        <v>3</v>
      </c>
      <c r="AM325" s="402">
        <f t="shared" ca="1" si="33"/>
        <v>2</v>
      </c>
      <c r="AN325" s="402">
        <f t="shared" ca="1" si="34"/>
        <v>1</v>
      </c>
      <c r="AO325" s="402">
        <f t="shared" ca="1" si="35"/>
        <v>0</v>
      </c>
      <c r="AP325" s="402">
        <f t="shared" ca="1" si="36"/>
        <v>0</v>
      </c>
      <c r="AQ325" s="402">
        <f t="shared" ca="1" si="37"/>
        <v>0</v>
      </c>
      <c r="AR325" s="402">
        <f t="shared" ca="1" si="38"/>
        <v>0</v>
      </c>
      <c r="AS325" s="403"/>
      <c r="AT325" s="402">
        <f t="shared" si="39"/>
        <v>1</v>
      </c>
    </row>
    <row r="326" spans="1:46" ht="15.75" customHeight="1">
      <c r="A326" s="382"/>
      <c r="B326" s="383">
        <f t="shared" ca="1" si="20"/>
        <v>3</v>
      </c>
      <c r="C326" s="384">
        <f t="shared" ca="1" si="21"/>
        <v>2</v>
      </c>
      <c r="D326" s="384">
        <f t="shared" ca="1" si="22"/>
        <v>1</v>
      </c>
      <c r="E326" s="384">
        <f t="shared" ca="1" si="23"/>
        <v>1</v>
      </c>
      <c r="F326" s="384" t="str">
        <f t="shared" ca="1" si="24"/>
        <v/>
      </c>
      <c r="G326" s="385" t="str">
        <f t="shared" ca="1" si="25"/>
        <v/>
      </c>
      <c r="H326" s="386" t="str">
        <f t="shared" ca="1" si="26"/>
        <v/>
      </c>
      <c r="I326" s="404"/>
      <c r="J326" s="415"/>
      <c r="K326" s="428"/>
      <c r="L326" s="428" t="s">
        <v>59</v>
      </c>
      <c r="M326" s="428"/>
      <c r="N326" s="428"/>
      <c r="O326" s="428"/>
      <c r="P326" s="428"/>
      <c r="Q326" s="429"/>
      <c r="R326" s="417"/>
      <c r="S326" s="418"/>
      <c r="T326" s="419"/>
      <c r="U326" s="418"/>
      <c r="V326" s="419"/>
      <c r="W326" s="430"/>
      <c r="X326" s="431"/>
      <c r="Y326" s="434"/>
      <c r="Z326" s="433"/>
      <c r="AA326" s="396"/>
      <c r="AB326" s="397"/>
      <c r="AC326" s="398"/>
      <c r="AD326" s="399"/>
      <c r="AE326" s="400"/>
      <c r="AF326" s="401"/>
      <c r="AG326" s="401">
        <f t="shared" si="27"/>
        <v>0</v>
      </c>
      <c r="AH326" s="401">
        <f t="shared" si="28"/>
        <v>0</v>
      </c>
      <c r="AI326" s="401">
        <f t="shared" si="29"/>
        <v>0</v>
      </c>
      <c r="AJ326" s="401">
        <f t="shared" si="30"/>
        <v>0</v>
      </c>
      <c r="AK326" s="401" t="str">
        <f t="shared" si="31"/>
        <v/>
      </c>
      <c r="AL326" s="402">
        <f t="shared" ca="1" si="32"/>
        <v>3</v>
      </c>
      <c r="AM326" s="402">
        <f t="shared" ca="1" si="33"/>
        <v>2</v>
      </c>
      <c r="AN326" s="402">
        <f t="shared" ca="1" si="34"/>
        <v>1</v>
      </c>
      <c r="AO326" s="402">
        <f t="shared" ca="1" si="35"/>
        <v>1</v>
      </c>
      <c r="AP326" s="402">
        <f t="shared" ca="1" si="36"/>
        <v>0</v>
      </c>
      <c r="AQ326" s="402">
        <f t="shared" ca="1" si="37"/>
        <v>0</v>
      </c>
      <c r="AR326" s="402">
        <f t="shared" ca="1" si="38"/>
        <v>0</v>
      </c>
      <c r="AS326" s="403"/>
      <c r="AT326" s="402">
        <f t="shared" si="39"/>
        <v>1</v>
      </c>
    </row>
    <row r="327" spans="1:46" ht="15.75" customHeight="1">
      <c r="A327" s="382"/>
      <c r="B327" s="383">
        <f t="shared" ca="1" si="20"/>
        <v>3</v>
      </c>
      <c r="C327" s="384">
        <f t="shared" ca="1" si="21"/>
        <v>2</v>
      </c>
      <c r="D327" s="384">
        <f t="shared" ca="1" si="22"/>
        <v>1</v>
      </c>
      <c r="E327" s="384">
        <f t="shared" ca="1" si="23"/>
        <v>2</v>
      </c>
      <c r="F327" s="384" t="str">
        <f t="shared" ca="1" si="24"/>
        <v/>
      </c>
      <c r="G327" s="385" t="str">
        <f t="shared" ca="1" si="25"/>
        <v/>
      </c>
      <c r="H327" s="386" t="str">
        <f t="shared" ca="1" si="26"/>
        <v/>
      </c>
      <c r="I327" s="404"/>
      <c r="J327" s="415"/>
      <c r="K327" s="428"/>
      <c r="L327" s="428" t="s">
        <v>61</v>
      </c>
      <c r="M327" s="428"/>
      <c r="N327" s="428"/>
      <c r="O327" s="428"/>
      <c r="P327" s="428"/>
      <c r="Q327" s="429"/>
      <c r="R327" s="417"/>
      <c r="S327" s="418"/>
      <c r="T327" s="419"/>
      <c r="U327" s="418"/>
      <c r="V327" s="419"/>
      <c r="W327" s="430"/>
      <c r="X327" s="431"/>
      <c r="Y327" s="434"/>
      <c r="Z327" s="433"/>
      <c r="AA327" s="396"/>
      <c r="AB327" s="397"/>
      <c r="AC327" s="398"/>
      <c r="AD327" s="399"/>
      <c r="AE327" s="400"/>
      <c r="AF327" s="401"/>
      <c r="AG327" s="401">
        <f t="shared" si="27"/>
        <v>0</v>
      </c>
      <c r="AH327" s="401">
        <f t="shared" si="28"/>
        <v>0</v>
      </c>
      <c r="AI327" s="401">
        <f t="shared" si="29"/>
        <v>0</v>
      </c>
      <c r="AJ327" s="401">
        <f t="shared" si="30"/>
        <v>0</v>
      </c>
      <c r="AK327" s="401" t="str">
        <f t="shared" si="31"/>
        <v/>
      </c>
      <c r="AL327" s="402">
        <f t="shared" ca="1" si="32"/>
        <v>3</v>
      </c>
      <c r="AM327" s="402">
        <f t="shared" ca="1" si="33"/>
        <v>2</v>
      </c>
      <c r="AN327" s="402">
        <f t="shared" ca="1" si="34"/>
        <v>1</v>
      </c>
      <c r="AO327" s="402">
        <f t="shared" ca="1" si="35"/>
        <v>2</v>
      </c>
      <c r="AP327" s="402">
        <f t="shared" ca="1" si="36"/>
        <v>0</v>
      </c>
      <c r="AQ327" s="402">
        <f t="shared" ca="1" si="37"/>
        <v>0</v>
      </c>
      <c r="AR327" s="402">
        <f t="shared" ca="1" si="38"/>
        <v>0</v>
      </c>
      <c r="AS327" s="403"/>
      <c r="AT327" s="402">
        <f t="shared" si="39"/>
        <v>1</v>
      </c>
    </row>
    <row r="328" spans="1:46" ht="15.75" customHeight="1">
      <c r="A328" s="382"/>
      <c r="B328" s="383">
        <f t="shared" ca="1" si="20"/>
        <v>3</v>
      </c>
      <c r="C328" s="384">
        <f t="shared" ca="1" si="21"/>
        <v>2</v>
      </c>
      <c r="D328" s="384">
        <f t="shared" ca="1" si="22"/>
        <v>1</v>
      </c>
      <c r="E328" s="384">
        <f t="shared" ca="1" si="23"/>
        <v>3</v>
      </c>
      <c r="F328" s="384" t="str">
        <f t="shared" ca="1" si="24"/>
        <v/>
      </c>
      <c r="G328" s="385" t="str">
        <f t="shared" ca="1" si="25"/>
        <v/>
      </c>
      <c r="H328" s="386" t="str">
        <f t="shared" ca="1" si="26"/>
        <v/>
      </c>
      <c r="I328" s="404"/>
      <c r="J328" s="415"/>
      <c r="K328" s="428"/>
      <c r="L328" s="428" t="s">
        <v>63</v>
      </c>
      <c r="M328" s="428"/>
      <c r="N328" s="428"/>
      <c r="O328" s="428"/>
      <c r="P328" s="428"/>
      <c r="Q328" s="429"/>
      <c r="R328" s="417"/>
      <c r="S328" s="418"/>
      <c r="T328" s="419"/>
      <c r="U328" s="418"/>
      <c r="V328" s="419"/>
      <c r="W328" s="430"/>
      <c r="X328" s="431"/>
      <c r="Y328" s="434"/>
      <c r="Z328" s="433"/>
      <c r="AA328" s="396"/>
      <c r="AB328" s="397"/>
      <c r="AC328" s="398"/>
      <c r="AD328" s="399"/>
      <c r="AE328" s="400"/>
      <c r="AF328" s="401"/>
      <c r="AG328" s="401">
        <f t="shared" si="27"/>
        <v>0</v>
      </c>
      <c r="AH328" s="401">
        <f t="shared" si="28"/>
        <v>0</v>
      </c>
      <c r="AI328" s="401">
        <f t="shared" si="29"/>
        <v>0</v>
      </c>
      <c r="AJ328" s="401">
        <f t="shared" si="30"/>
        <v>0</v>
      </c>
      <c r="AK328" s="401" t="str">
        <f t="shared" si="31"/>
        <v/>
      </c>
      <c r="AL328" s="402">
        <f t="shared" ca="1" si="32"/>
        <v>3</v>
      </c>
      <c r="AM328" s="402">
        <f t="shared" ca="1" si="33"/>
        <v>2</v>
      </c>
      <c r="AN328" s="402">
        <f t="shared" ca="1" si="34"/>
        <v>1</v>
      </c>
      <c r="AO328" s="402">
        <f t="shared" ca="1" si="35"/>
        <v>3</v>
      </c>
      <c r="AP328" s="402">
        <f t="shared" ca="1" si="36"/>
        <v>0</v>
      </c>
      <c r="AQ328" s="402">
        <f t="shared" ca="1" si="37"/>
        <v>0</v>
      </c>
      <c r="AR328" s="402">
        <f t="shared" ca="1" si="38"/>
        <v>0</v>
      </c>
      <c r="AS328" s="403"/>
      <c r="AT328" s="402">
        <f t="shared" si="39"/>
        <v>1</v>
      </c>
    </row>
    <row r="329" spans="1:46" ht="15.75" customHeight="1">
      <c r="A329" s="382"/>
      <c r="B329" s="383">
        <f t="shared" ca="1" si="20"/>
        <v>3</v>
      </c>
      <c r="C329" s="384">
        <f t="shared" ca="1" si="21"/>
        <v>2</v>
      </c>
      <c r="D329" s="384">
        <f t="shared" ca="1" si="22"/>
        <v>1</v>
      </c>
      <c r="E329" s="384">
        <f t="shared" ca="1" si="23"/>
        <v>4</v>
      </c>
      <c r="F329" s="384" t="str">
        <f t="shared" ca="1" si="24"/>
        <v/>
      </c>
      <c r="G329" s="385" t="str">
        <f t="shared" ca="1" si="25"/>
        <v/>
      </c>
      <c r="H329" s="386" t="str">
        <f t="shared" ca="1" si="26"/>
        <v/>
      </c>
      <c r="I329" s="404"/>
      <c r="J329" s="415"/>
      <c r="K329" s="428"/>
      <c r="L329" s="428" t="s">
        <v>64</v>
      </c>
      <c r="M329" s="428"/>
      <c r="N329" s="428"/>
      <c r="O329" s="428"/>
      <c r="P329" s="428"/>
      <c r="Q329" s="429"/>
      <c r="R329" s="417"/>
      <c r="S329" s="418"/>
      <c r="T329" s="419"/>
      <c r="U329" s="418"/>
      <c r="V329" s="419"/>
      <c r="W329" s="430"/>
      <c r="X329" s="431"/>
      <c r="Y329" s="434"/>
      <c r="Z329" s="433"/>
      <c r="AA329" s="396"/>
      <c r="AB329" s="397"/>
      <c r="AC329" s="398"/>
      <c r="AD329" s="399"/>
      <c r="AE329" s="400"/>
      <c r="AF329" s="401"/>
      <c r="AG329" s="401">
        <f t="shared" si="27"/>
        <v>0</v>
      </c>
      <c r="AH329" s="401">
        <f t="shared" si="28"/>
        <v>0</v>
      </c>
      <c r="AI329" s="401">
        <f t="shared" si="29"/>
        <v>0</v>
      </c>
      <c r="AJ329" s="401">
        <f t="shared" si="30"/>
        <v>0</v>
      </c>
      <c r="AK329" s="401" t="str">
        <f t="shared" si="31"/>
        <v/>
      </c>
      <c r="AL329" s="402">
        <f t="shared" ca="1" si="32"/>
        <v>3</v>
      </c>
      <c r="AM329" s="402">
        <f t="shared" ca="1" si="33"/>
        <v>2</v>
      </c>
      <c r="AN329" s="402">
        <f t="shared" ca="1" si="34"/>
        <v>1</v>
      </c>
      <c r="AO329" s="402">
        <f t="shared" ca="1" si="35"/>
        <v>4</v>
      </c>
      <c r="AP329" s="402">
        <f t="shared" ca="1" si="36"/>
        <v>0</v>
      </c>
      <c r="AQ329" s="402">
        <f t="shared" ca="1" si="37"/>
        <v>0</v>
      </c>
      <c r="AR329" s="402">
        <f t="shared" ca="1" si="38"/>
        <v>0</v>
      </c>
      <c r="AS329" s="403"/>
      <c r="AT329" s="402">
        <f t="shared" si="39"/>
        <v>1</v>
      </c>
    </row>
    <row r="330" spans="1:46" ht="15.75" customHeight="1">
      <c r="A330" s="382"/>
      <c r="B330" s="383">
        <f t="shared" ca="1" si="20"/>
        <v>3</v>
      </c>
      <c r="C330" s="384">
        <f t="shared" ca="1" si="21"/>
        <v>2</v>
      </c>
      <c r="D330" s="384">
        <f t="shared" ca="1" si="22"/>
        <v>1</v>
      </c>
      <c r="E330" s="384">
        <f t="shared" ca="1" si="23"/>
        <v>5</v>
      </c>
      <c r="F330" s="384" t="str">
        <f t="shared" ca="1" si="24"/>
        <v/>
      </c>
      <c r="G330" s="385" t="str">
        <f t="shared" ca="1" si="25"/>
        <v/>
      </c>
      <c r="H330" s="386" t="str">
        <f t="shared" ca="1" si="26"/>
        <v/>
      </c>
      <c r="I330" s="404"/>
      <c r="J330" s="415"/>
      <c r="K330" s="428"/>
      <c r="L330" s="428" t="s">
        <v>65</v>
      </c>
      <c r="M330" s="428"/>
      <c r="N330" s="428"/>
      <c r="O330" s="428"/>
      <c r="P330" s="428"/>
      <c r="Q330" s="429"/>
      <c r="R330" s="417"/>
      <c r="S330" s="418"/>
      <c r="T330" s="419"/>
      <c r="U330" s="418"/>
      <c r="V330" s="419"/>
      <c r="W330" s="430"/>
      <c r="X330" s="431"/>
      <c r="Y330" s="434"/>
      <c r="Z330" s="433"/>
      <c r="AA330" s="396"/>
      <c r="AB330" s="397"/>
      <c r="AC330" s="398"/>
      <c r="AD330" s="399"/>
      <c r="AE330" s="400"/>
      <c r="AF330" s="401"/>
      <c r="AG330" s="401">
        <f t="shared" si="27"/>
        <v>0</v>
      </c>
      <c r="AH330" s="401">
        <f t="shared" si="28"/>
        <v>0</v>
      </c>
      <c r="AI330" s="401">
        <f t="shared" si="29"/>
        <v>0</v>
      </c>
      <c r="AJ330" s="401">
        <f t="shared" si="30"/>
        <v>0</v>
      </c>
      <c r="AK330" s="401" t="str">
        <f t="shared" si="31"/>
        <v/>
      </c>
      <c r="AL330" s="402">
        <f t="shared" ca="1" si="32"/>
        <v>3</v>
      </c>
      <c r="AM330" s="402">
        <f t="shared" ca="1" si="33"/>
        <v>2</v>
      </c>
      <c r="AN330" s="402">
        <f t="shared" ca="1" si="34"/>
        <v>1</v>
      </c>
      <c r="AO330" s="402">
        <f t="shared" ca="1" si="35"/>
        <v>5</v>
      </c>
      <c r="AP330" s="402">
        <f t="shared" ca="1" si="36"/>
        <v>0</v>
      </c>
      <c r="AQ330" s="402">
        <f t="shared" ca="1" si="37"/>
        <v>0</v>
      </c>
      <c r="AR330" s="402">
        <f t="shared" ca="1" si="38"/>
        <v>0</v>
      </c>
      <c r="AS330" s="403"/>
      <c r="AT330" s="402">
        <f t="shared" si="39"/>
        <v>1</v>
      </c>
    </row>
    <row r="331" spans="1:46" ht="15.75" customHeight="1">
      <c r="A331" s="382"/>
      <c r="B331" s="383">
        <f t="shared" ca="1" si="20"/>
        <v>3</v>
      </c>
      <c r="C331" s="384">
        <f t="shared" ca="1" si="21"/>
        <v>2</v>
      </c>
      <c r="D331" s="384">
        <f t="shared" ca="1" si="22"/>
        <v>1</v>
      </c>
      <c r="E331" s="384">
        <f t="shared" ca="1" si="23"/>
        <v>6</v>
      </c>
      <c r="F331" s="384" t="str">
        <f t="shared" ca="1" si="24"/>
        <v/>
      </c>
      <c r="G331" s="385" t="str">
        <f t="shared" ca="1" si="25"/>
        <v/>
      </c>
      <c r="H331" s="386" t="str">
        <f t="shared" ca="1" si="26"/>
        <v/>
      </c>
      <c r="I331" s="404"/>
      <c r="J331" s="415"/>
      <c r="K331" s="428"/>
      <c r="L331" s="428" t="s">
        <v>66</v>
      </c>
      <c r="M331" s="428"/>
      <c r="N331" s="428"/>
      <c r="O331" s="428"/>
      <c r="P331" s="428"/>
      <c r="Q331" s="429"/>
      <c r="R331" s="417"/>
      <c r="S331" s="418"/>
      <c r="T331" s="419"/>
      <c r="U331" s="418"/>
      <c r="V331" s="419"/>
      <c r="W331" s="430"/>
      <c r="X331" s="431"/>
      <c r="Y331" s="434"/>
      <c r="Z331" s="433"/>
      <c r="AA331" s="396"/>
      <c r="AB331" s="397"/>
      <c r="AC331" s="398"/>
      <c r="AD331" s="399"/>
      <c r="AE331" s="400"/>
      <c r="AF331" s="401"/>
      <c r="AG331" s="401">
        <f t="shared" si="27"/>
        <v>0</v>
      </c>
      <c r="AH331" s="401">
        <f t="shared" si="28"/>
        <v>0</v>
      </c>
      <c r="AI331" s="401">
        <f t="shared" si="29"/>
        <v>0</v>
      </c>
      <c r="AJ331" s="401">
        <f t="shared" si="30"/>
        <v>0</v>
      </c>
      <c r="AK331" s="401" t="str">
        <f t="shared" si="31"/>
        <v/>
      </c>
      <c r="AL331" s="402">
        <f t="shared" ca="1" si="32"/>
        <v>3</v>
      </c>
      <c r="AM331" s="402">
        <f t="shared" ca="1" si="33"/>
        <v>2</v>
      </c>
      <c r="AN331" s="402">
        <f t="shared" ca="1" si="34"/>
        <v>1</v>
      </c>
      <c r="AO331" s="402">
        <f t="shared" ca="1" si="35"/>
        <v>6</v>
      </c>
      <c r="AP331" s="402">
        <f t="shared" ca="1" si="36"/>
        <v>0</v>
      </c>
      <c r="AQ331" s="402">
        <f t="shared" ca="1" si="37"/>
        <v>0</v>
      </c>
      <c r="AR331" s="402">
        <f t="shared" ca="1" si="38"/>
        <v>0</v>
      </c>
      <c r="AS331" s="403"/>
      <c r="AT331" s="402">
        <f t="shared" si="39"/>
        <v>1</v>
      </c>
    </row>
    <row r="332" spans="1:46" ht="15.75" customHeight="1">
      <c r="A332" s="382"/>
      <c r="B332" s="383">
        <f t="shared" ca="1" si="20"/>
        <v>3</v>
      </c>
      <c r="C332" s="384">
        <f t="shared" ca="1" si="21"/>
        <v>2</v>
      </c>
      <c r="D332" s="384">
        <f t="shared" ca="1" si="22"/>
        <v>2</v>
      </c>
      <c r="E332" s="384" t="str">
        <f t="shared" ca="1" si="23"/>
        <v/>
      </c>
      <c r="F332" s="384" t="str">
        <f t="shared" ca="1" si="24"/>
        <v/>
      </c>
      <c r="G332" s="385" t="str">
        <f t="shared" ca="1" si="25"/>
        <v/>
      </c>
      <c r="H332" s="386" t="str">
        <f t="shared" ca="1" si="26"/>
        <v/>
      </c>
      <c r="I332" s="404"/>
      <c r="J332" s="415"/>
      <c r="K332" s="428" t="s">
        <v>359</v>
      </c>
      <c r="L332" s="428"/>
      <c r="M332" s="428"/>
      <c r="N332" s="428"/>
      <c r="O332" s="428"/>
      <c r="P332" s="428"/>
      <c r="Q332" s="429"/>
      <c r="R332" s="417"/>
      <c r="S332" s="418"/>
      <c r="T332" s="419"/>
      <c r="U332" s="418"/>
      <c r="V332" s="419"/>
      <c r="W332" s="430"/>
      <c r="X332" s="431"/>
      <c r="Y332" s="434"/>
      <c r="Z332" s="433"/>
      <c r="AA332" s="396"/>
      <c r="AB332" s="397"/>
      <c r="AC332" s="398"/>
      <c r="AD332" s="399"/>
      <c r="AE332" s="400"/>
      <c r="AF332" s="401"/>
      <c r="AG332" s="401">
        <f t="shared" si="27"/>
        <v>0</v>
      </c>
      <c r="AH332" s="401">
        <f t="shared" si="28"/>
        <v>0</v>
      </c>
      <c r="AI332" s="401">
        <f t="shared" si="29"/>
        <v>0</v>
      </c>
      <c r="AJ332" s="401">
        <f t="shared" si="30"/>
        <v>0</v>
      </c>
      <c r="AK332" s="401" t="str">
        <f t="shared" si="31"/>
        <v/>
      </c>
      <c r="AL332" s="402">
        <f t="shared" ca="1" si="32"/>
        <v>3</v>
      </c>
      <c r="AM332" s="402">
        <f t="shared" ca="1" si="33"/>
        <v>2</v>
      </c>
      <c r="AN332" s="402">
        <f t="shared" ca="1" si="34"/>
        <v>2</v>
      </c>
      <c r="AO332" s="402">
        <f t="shared" ca="1" si="35"/>
        <v>0</v>
      </c>
      <c r="AP332" s="402">
        <f t="shared" ca="1" si="36"/>
        <v>0</v>
      </c>
      <c r="AQ332" s="402">
        <f t="shared" ca="1" si="37"/>
        <v>0</v>
      </c>
      <c r="AR332" s="402">
        <f t="shared" ca="1" si="38"/>
        <v>0</v>
      </c>
      <c r="AS332" s="403"/>
      <c r="AT332" s="402">
        <f t="shared" si="39"/>
        <v>1</v>
      </c>
    </row>
    <row r="333" spans="1:46" ht="15.75" customHeight="1">
      <c r="A333" s="382"/>
      <c r="B333" s="383">
        <f t="shared" ca="1" si="20"/>
        <v>3</v>
      </c>
      <c r="C333" s="384">
        <f t="shared" ca="1" si="21"/>
        <v>2</v>
      </c>
      <c r="D333" s="384">
        <f t="shared" ca="1" si="22"/>
        <v>2</v>
      </c>
      <c r="E333" s="384">
        <f t="shared" ca="1" si="23"/>
        <v>1</v>
      </c>
      <c r="F333" s="384" t="str">
        <f t="shared" ca="1" si="24"/>
        <v/>
      </c>
      <c r="G333" s="385" t="str">
        <f t="shared" ca="1" si="25"/>
        <v/>
      </c>
      <c r="H333" s="386" t="str">
        <f t="shared" ca="1" si="26"/>
        <v/>
      </c>
      <c r="I333" s="404"/>
      <c r="J333" s="415"/>
      <c r="K333" s="428"/>
      <c r="L333" s="428" t="s">
        <v>59</v>
      </c>
      <c r="M333" s="428"/>
      <c r="N333" s="428"/>
      <c r="O333" s="428"/>
      <c r="P333" s="428"/>
      <c r="Q333" s="429"/>
      <c r="R333" s="417"/>
      <c r="S333" s="418"/>
      <c r="T333" s="419"/>
      <c r="U333" s="418"/>
      <c r="V333" s="419"/>
      <c r="W333" s="430"/>
      <c r="X333" s="431"/>
      <c r="Y333" s="434"/>
      <c r="Z333" s="433"/>
      <c r="AA333" s="396"/>
      <c r="AB333" s="397"/>
      <c r="AC333" s="398"/>
      <c r="AD333" s="399"/>
      <c r="AE333" s="400"/>
      <c r="AF333" s="401"/>
      <c r="AG333" s="401">
        <f t="shared" si="27"/>
        <v>0</v>
      </c>
      <c r="AH333" s="401">
        <f t="shared" si="28"/>
        <v>0</v>
      </c>
      <c r="AI333" s="401">
        <f t="shared" si="29"/>
        <v>0</v>
      </c>
      <c r="AJ333" s="401">
        <f t="shared" si="30"/>
        <v>0</v>
      </c>
      <c r="AK333" s="401" t="str">
        <f t="shared" si="31"/>
        <v/>
      </c>
      <c r="AL333" s="402">
        <f t="shared" ca="1" si="32"/>
        <v>3</v>
      </c>
      <c r="AM333" s="402">
        <f t="shared" ca="1" si="33"/>
        <v>2</v>
      </c>
      <c r="AN333" s="402">
        <f t="shared" ca="1" si="34"/>
        <v>2</v>
      </c>
      <c r="AO333" s="402">
        <f t="shared" ca="1" si="35"/>
        <v>1</v>
      </c>
      <c r="AP333" s="402">
        <f t="shared" ca="1" si="36"/>
        <v>0</v>
      </c>
      <c r="AQ333" s="402">
        <f t="shared" ca="1" si="37"/>
        <v>0</v>
      </c>
      <c r="AR333" s="402">
        <f t="shared" ca="1" si="38"/>
        <v>0</v>
      </c>
      <c r="AS333" s="403"/>
      <c r="AT333" s="402">
        <f t="shared" si="39"/>
        <v>1</v>
      </c>
    </row>
    <row r="334" spans="1:46" ht="15.75" customHeight="1">
      <c r="A334" s="382"/>
      <c r="B334" s="383">
        <f t="shared" ca="1" si="20"/>
        <v>3</v>
      </c>
      <c r="C334" s="384">
        <f t="shared" ca="1" si="21"/>
        <v>2</v>
      </c>
      <c r="D334" s="384">
        <f t="shared" ca="1" si="22"/>
        <v>2</v>
      </c>
      <c r="E334" s="384">
        <f t="shared" ca="1" si="23"/>
        <v>2</v>
      </c>
      <c r="F334" s="384" t="str">
        <f t="shared" ca="1" si="24"/>
        <v/>
      </c>
      <c r="G334" s="385" t="str">
        <f t="shared" ca="1" si="25"/>
        <v/>
      </c>
      <c r="H334" s="386" t="str">
        <f t="shared" ca="1" si="26"/>
        <v/>
      </c>
      <c r="I334" s="404"/>
      <c r="J334" s="415"/>
      <c r="K334" s="428"/>
      <c r="L334" s="428" t="s">
        <v>61</v>
      </c>
      <c r="M334" s="428"/>
      <c r="N334" s="428"/>
      <c r="O334" s="428"/>
      <c r="P334" s="428"/>
      <c r="Q334" s="429"/>
      <c r="R334" s="417"/>
      <c r="S334" s="418"/>
      <c r="T334" s="419"/>
      <c r="U334" s="418"/>
      <c r="V334" s="419"/>
      <c r="W334" s="430"/>
      <c r="X334" s="431"/>
      <c r="Y334" s="434"/>
      <c r="Z334" s="433"/>
      <c r="AA334" s="396"/>
      <c r="AB334" s="397"/>
      <c r="AC334" s="398"/>
      <c r="AD334" s="399"/>
      <c r="AE334" s="400"/>
      <c r="AF334" s="401"/>
      <c r="AG334" s="401">
        <f t="shared" si="27"/>
        <v>0</v>
      </c>
      <c r="AH334" s="401">
        <f t="shared" si="28"/>
        <v>0</v>
      </c>
      <c r="AI334" s="401">
        <f t="shared" si="29"/>
        <v>0</v>
      </c>
      <c r="AJ334" s="401">
        <f t="shared" si="30"/>
        <v>0</v>
      </c>
      <c r="AK334" s="401" t="str">
        <f t="shared" si="31"/>
        <v/>
      </c>
      <c r="AL334" s="402">
        <f t="shared" ca="1" si="32"/>
        <v>3</v>
      </c>
      <c r="AM334" s="402">
        <f t="shared" ca="1" si="33"/>
        <v>2</v>
      </c>
      <c r="AN334" s="402">
        <f t="shared" ca="1" si="34"/>
        <v>2</v>
      </c>
      <c r="AO334" s="402">
        <f t="shared" ca="1" si="35"/>
        <v>2</v>
      </c>
      <c r="AP334" s="402">
        <f t="shared" ca="1" si="36"/>
        <v>0</v>
      </c>
      <c r="AQ334" s="402">
        <f t="shared" ca="1" si="37"/>
        <v>0</v>
      </c>
      <c r="AR334" s="402">
        <f t="shared" ca="1" si="38"/>
        <v>0</v>
      </c>
      <c r="AS334" s="403"/>
      <c r="AT334" s="402">
        <f t="shared" si="39"/>
        <v>1</v>
      </c>
    </row>
    <row r="335" spans="1:46" ht="15.75" customHeight="1">
      <c r="A335" s="382"/>
      <c r="B335" s="383">
        <f t="shared" ca="1" si="20"/>
        <v>3</v>
      </c>
      <c r="C335" s="384">
        <f t="shared" ca="1" si="21"/>
        <v>2</v>
      </c>
      <c r="D335" s="384">
        <f t="shared" ca="1" si="22"/>
        <v>2</v>
      </c>
      <c r="E335" s="384">
        <f t="shared" ca="1" si="23"/>
        <v>3</v>
      </c>
      <c r="F335" s="384" t="str">
        <f t="shared" ca="1" si="24"/>
        <v/>
      </c>
      <c r="G335" s="385" t="str">
        <f t="shared" ca="1" si="25"/>
        <v/>
      </c>
      <c r="H335" s="386" t="str">
        <f t="shared" ca="1" si="26"/>
        <v/>
      </c>
      <c r="I335" s="404"/>
      <c r="J335" s="415"/>
      <c r="K335" s="428"/>
      <c r="L335" s="428" t="s">
        <v>63</v>
      </c>
      <c r="M335" s="428"/>
      <c r="N335" s="428"/>
      <c r="O335" s="428"/>
      <c r="P335" s="428"/>
      <c r="Q335" s="429"/>
      <c r="R335" s="417"/>
      <c r="S335" s="418"/>
      <c r="T335" s="419"/>
      <c r="U335" s="418"/>
      <c r="V335" s="419"/>
      <c r="W335" s="430"/>
      <c r="X335" s="431"/>
      <c r="Y335" s="434"/>
      <c r="Z335" s="433"/>
      <c r="AA335" s="396"/>
      <c r="AB335" s="397"/>
      <c r="AC335" s="398"/>
      <c r="AD335" s="399"/>
      <c r="AE335" s="400"/>
      <c r="AF335" s="401"/>
      <c r="AG335" s="401">
        <f t="shared" si="27"/>
        <v>0</v>
      </c>
      <c r="AH335" s="401">
        <f t="shared" si="28"/>
        <v>0</v>
      </c>
      <c r="AI335" s="401">
        <f t="shared" si="29"/>
        <v>0</v>
      </c>
      <c r="AJ335" s="401">
        <f t="shared" si="30"/>
        <v>0</v>
      </c>
      <c r="AK335" s="401" t="str">
        <f t="shared" si="31"/>
        <v/>
      </c>
      <c r="AL335" s="402">
        <f t="shared" ca="1" si="32"/>
        <v>3</v>
      </c>
      <c r="AM335" s="402">
        <f t="shared" ca="1" si="33"/>
        <v>2</v>
      </c>
      <c r="AN335" s="402">
        <f t="shared" ca="1" si="34"/>
        <v>2</v>
      </c>
      <c r="AO335" s="402">
        <f t="shared" ca="1" si="35"/>
        <v>3</v>
      </c>
      <c r="AP335" s="402">
        <f t="shared" ca="1" si="36"/>
        <v>0</v>
      </c>
      <c r="AQ335" s="402">
        <f t="shared" ca="1" si="37"/>
        <v>0</v>
      </c>
      <c r="AR335" s="402">
        <f t="shared" ca="1" si="38"/>
        <v>0</v>
      </c>
      <c r="AS335" s="403"/>
      <c r="AT335" s="402">
        <f t="shared" si="39"/>
        <v>1</v>
      </c>
    </row>
    <row r="336" spans="1:46" ht="15.75" customHeight="1">
      <c r="A336" s="382"/>
      <c r="B336" s="383">
        <f t="shared" ca="1" si="20"/>
        <v>3</v>
      </c>
      <c r="C336" s="384">
        <f t="shared" ca="1" si="21"/>
        <v>2</v>
      </c>
      <c r="D336" s="384">
        <f t="shared" ca="1" si="22"/>
        <v>2</v>
      </c>
      <c r="E336" s="384">
        <f t="shared" ca="1" si="23"/>
        <v>4</v>
      </c>
      <c r="F336" s="384" t="str">
        <f t="shared" ca="1" si="24"/>
        <v/>
      </c>
      <c r="G336" s="385" t="str">
        <f t="shared" ca="1" si="25"/>
        <v/>
      </c>
      <c r="H336" s="386" t="str">
        <f t="shared" ca="1" si="26"/>
        <v/>
      </c>
      <c r="I336" s="404"/>
      <c r="J336" s="415"/>
      <c r="K336" s="428"/>
      <c r="L336" s="428" t="s">
        <v>64</v>
      </c>
      <c r="M336" s="428"/>
      <c r="N336" s="428"/>
      <c r="O336" s="428"/>
      <c r="P336" s="428"/>
      <c r="Q336" s="429"/>
      <c r="R336" s="417"/>
      <c r="S336" s="418"/>
      <c r="T336" s="419"/>
      <c r="U336" s="418"/>
      <c r="V336" s="419"/>
      <c r="W336" s="430"/>
      <c r="X336" s="431"/>
      <c r="Y336" s="434"/>
      <c r="Z336" s="433"/>
      <c r="AA336" s="396"/>
      <c r="AB336" s="397"/>
      <c r="AC336" s="398"/>
      <c r="AD336" s="399"/>
      <c r="AE336" s="400"/>
      <c r="AF336" s="401"/>
      <c r="AG336" s="401">
        <f t="shared" si="27"/>
        <v>0</v>
      </c>
      <c r="AH336" s="401">
        <f t="shared" si="28"/>
        <v>0</v>
      </c>
      <c r="AI336" s="401">
        <f t="shared" si="29"/>
        <v>0</v>
      </c>
      <c r="AJ336" s="401">
        <f t="shared" si="30"/>
        <v>0</v>
      </c>
      <c r="AK336" s="401" t="str">
        <f t="shared" si="31"/>
        <v/>
      </c>
      <c r="AL336" s="402">
        <f t="shared" ca="1" si="32"/>
        <v>3</v>
      </c>
      <c r="AM336" s="402">
        <f t="shared" ca="1" si="33"/>
        <v>2</v>
      </c>
      <c r="AN336" s="402">
        <f t="shared" ca="1" si="34"/>
        <v>2</v>
      </c>
      <c r="AO336" s="402">
        <f t="shared" ca="1" si="35"/>
        <v>4</v>
      </c>
      <c r="AP336" s="402">
        <f t="shared" ca="1" si="36"/>
        <v>0</v>
      </c>
      <c r="AQ336" s="402">
        <f t="shared" ca="1" si="37"/>
        <v>0</v>
      </c>
      <c r="AR336" s="402">
        <f t="shared" ca="1" si="38"/>
        <v>0</v>
      </c>
      <c r="AS336" s="403"/>
      <c r="AT336" s="402">
        <f t="shared" si="39"/>
        <v>1</v>
      </c>
    </row>
    <row r="337" spans="1:46" ht="15.75" customHeight="1">
      <c r="A337" s="382"/>
      <c r="B337" s="383">
        <f t="shared" ca="1" si="20"/>
        <v>3</v>
      </c>
      <c r="C337" s="384">
        <f t="shared" ca="1" si="21"/>
        <v>2</v>
      </c>
      <c r="D337" s="384">
        <f t="shared" ca="1" si="22"/>
        <v>2</v>
      </c>
      <c r="E337" s="384">
        <f t="shared" ca="1" si="23"/>
        <v>5</v>
      </c>
      <c r="F337" s="384" t="str">
        <f t="shared" ca="1" si="24"/>
        <v/>
      </c>
      <c r="G337" s="385" t="str">
        <f t="shared" ca="1" si="25"/>
        <v/>
      </c>
      <c r="H337" s="386" t="str">
        <f t="shared" ca="1" si="26"/>
        <v/>
      </c>
      <c r="I337" s="404"/>
      <c r="J337" s="415"/>
      <c r="K337" s="428"/>
      <c r="L337" s="428" t="s">
        <v>65</v>
      </c>
      <c r="M337" s="428"/>
      <c r="N337" s="428"/>
      <c r="O337" s="428"/>
      <c r="P337" s="428"/>
      <c r="Q337" s="429"/>
      <c r="R337" s="417"/>
      <c r="S337" s="418"/>
      <c r="T337" s="419"/>
      <c r="U337" s="418"/>
      <c r="V337" s="419"/>
      <c r="W337" s="430"/>
      <c r="X337" s="431"/>
      <c r="Y337" s="434"/>
      <c r="Z337" s="433"/>
      <c r="AA337" s="396"/>
      <c r="AB337" s="397"/>
      <c r="AC337" s="398"/>
      <c r="AD337" s="399"/>
      <c r="AE337" s="400"/>
      <c r="AF337" s="401"/>
      <c r="AG337" s="401">
        <f t="shared" si="27"/>
        <v>0</v>
      </c>
      <c r="AH337" s="401">
        <f t="shared" si="28"/>
        <v>0</v>
      </c>
      <c r="AI337" s="401">
        <f t="shared" si="29"/>
        <v>0</v>
      </c>
      <c r="AJ337" s="401">
        <f t="shared" si="30"/>
        <v>0</v>
      </c>
      <c r="AK337" s="401" t="str">
        <f t="shared" si="31"/>
        <v/>
      </c>
      <c r="AL337" s="402">
        <f t="shared" ca="1" si="32"/>
        <v>3</v>
      </c>
      <c r="AM337" s="402">
        <f t="shared" ca="1" si="33"/>
        <v>2</v>
      </c>
      <c r="AN337" s="402">
        <f t="shared" ca="1" si="34"/>
        <v>2</v>
      </c>
      <c r="AO337" s="402">
        <f t="shared" ca="1" si="35"/>
        <v>5</v>
      </c>
      <c r="AP337" s="402">
        <f t="shared" ca="1" si="36"/>
        <v>0</v>
      </c>
      <c r="AQ337" s="402">
        <f t="shared" ca="1" si="37"/>
        <v>0</v>
      </c>
      <c r="AR337" s="402">
        <f t="shared" ca="1" si="38"/>
        <v>0</v>
      </c>
      <c r="AS337" s="403"/>
      <c r="AT337" s="402">
        <f t="shared" si="39"/>
        <v>1</v>
      </c>
    </row>
    <row r="338" spans="1:46" ht="15.75" customHeight="1">
      <c r="A338" s="382"/>
      <c r="B338" s="383">
        <f t="shared" ca="1" si="20"/>
        <v>3</v>
      </c>
      <c r="C338" s="384">
        <f t="shared" ca="1" si="21"/>
        <v>2</v>
      </c>
      <c r="D338" s="384">
        <f t="shared" ca="1" si="22"/>
        <v>2</v>
      </c>
      <c r="E338" s="384">
        <f t="shared" ca="1" si="23"/>
        <v>6</v>
      </c>
      <c r="F338" s="384" t="str">
        <f t="shared" ca="1" si="24"/>
        <v/>
      </c>
      <c r="G338" s="385" t="str">
        <f t="shared" ca="1" si="25"/>
        <v/>
      </c>
      <c r="H338" s="386" t="str">
        <f t="shared" ca="1" si="26"/>
        <v/>
      </c>
      <c r="I338" s="404"/>
      <c r="J338" s="415"/>
      <c r="K338" s="428"/>
      <c r="L338" s="428" t="s">
        <v>66</v>
      </c>
      <c r="M338" s="428"/>
      <c r="N338" s="428"/>
      <c r="O338" s="428"/>
      <c r="P338" s="428"/>
      <c r="Q338" s="429"/>
      <c r="R338" s="417"/>
      <c r="S338" s="418"/>
      <c r="T338" s="419"/>
      <c r="U338" s="418"/>
      <c r="V338" s="419"/>
      <c r="W338" s="430"/>
      <c r="X338" s="431"/>
      <c r="Y338" s="434"/>
      <c r="Z338" s="433"/>
      <c r="AA338" s="396"/>
      <c r="AB338" s="397"/>
      <c r="AC338" s="398"/>
      <c r="AD338" s="399"/>
      <c r="AE338" s="400"/>
      <c r="AF338" s="401"/>
      <c r="AG338" s="401">
        <f t="shared" si="27"/>
        <v>0</v>
      </c>
      <c r="AH338" s="401">
        <f t="shared" si="28"/>
        <v>0</v>
      </c>
      <c r="AI338" s="401">
        <f t="shared" si="29"/>
        <v>0</v>
      </c>
      <c r="AJ338" s="401">
        <f t="shared" si="30"/>
        <v>0</v>
      </c>
      <c r="AK338" s="401" t="str">
        <f t="shared" si="31"/>
        <v/>
      </c>
      <c r="AL338" s="402">
        <f t="shared" ca="1" si="32"/>
        <v>3</v>
      </c>
      <c r="AM338" s="402">
        <f t="shared" ca="1" si="33"/>
        <v>2</v>
      </c>
      <c r="AN338" s="402">
        <f t="shared" ca="1" si="34"/>
        <v>2</v>
      </c>
      <c r="AO338" s="402">
        <f t="shared" ca="1" si="35"/>
        <v>6</v>
      </c>
      <c r="AP338" s="402">
        <f t="shared" ca="1" si="36"/>
        <v>0</v>
      </c>
      <c r="AQ338" s="402">
        <f t="shared" ca="1" si="37"/>
        <v>0</v>
      </c>
      <c r="AR338" s="402">
        <f t="shared" ca="1" si="38"/>
        <v>0</v>
      </c>
      <c r="AS338" s="403"/>
      <c r="AT338" s="402">
        <f t="shared" si="39"/>
        <v>1</v>
      </c>
    </row>
    <row r="339" spans="1:46" ht="15.75" customHeight="1">
      <c r="A339" s="382"/>
      <c r="B339" s="383">
        <f t="shared" ca="1" si="20"/>
        <v>3</v>
      </c>
      <c r="C339" s="384">
        <f t="shared" ca="1" si="21"/>
        <v>2</v>
      </c>
      <c r="D339" s="384">
        <f t="shared" ca="1" si="22"/>
        <v>3</v>
      </c>
      <c r="E339" s="384" t="str">
        <f t="shared" ca="1" si="23"/>
        <v/>
      </c>
      <c r="F339" s="384" t="str">
        <f t="shared" ca="1" si="24"/>
        <v/>
      </c>
      <c r="G339" s="385" t="str">
        <f t="shared" ca="1" si="25"/>
        <v/>
      </c>
      <c r="H339" s="386" t="str">
        <f t="shared" ca="1" si="26"/>
        <v/>
      </c>
      <c r="I339" s="404"/>
      <c r="J339" s="415"/>
      <c r="K339" s="428" t="s">
        <v>360</v>
      </c>
      <c r="L339" s="428"/>
      <c r="M339" s="428"/>
      <c r="N339" s="428"/>
      <c r="O339" s="428"/>
      <c r="P339" s="428"/>
      <c r="Q339" s="429"/>
      <c r="R339" s="417"/>
      <c r="S339" s="418"/>
      <c r="T339" s="419"/>
      <c r="U339" s="418"/>
      <c r="V339" s="419"/>
      <c r="W339" s="430"/>
      <c r="X339" s="431"/>
      <c r="Y339" s="434"/>
      <c r="Z339" s="433"/>
      <c r="AA339" s="396"/>
      <c r="AB339" s="397"/>
      <c r="AC339" s="398"/>
      <c r="AD339" s="399"/>
      <c r="AE339" s="400"/>
      <c r="AF339" s="401"/>
      <c r="AG339" s="401">
        <f t="shared" si="27"/>
        <v>0</v>
      </c>
      <c r="AH339" s="401">
        <f t="shared" si="28"/>
        <v>0</v>
      </c>
      <c r="AI339" s="401">
        <f t="shared" si="29"/>
        <v>0</v>
      </c>
      <c r="AJ339" s="401">
        <f t="shared" si="30"/>
        <v>0</v>
      </c>
      <c r="AK339" s="401" t="str">
        <f t="shared" si="31"/>
        <v/>
      </c>
      <c r="AL339" s="402">
        <f t="shared" ca="1" si="32"/>
        <v>3</v>
      </c>
      <c r="AM339" s="402">
        <f t="shared" ca="1" si="33"/>
        <v>2</v>
      </c>
      <c r="AN339" s="402">
        <f t="shared" ca="1" si="34"/>
        <v>3</v>
      </c>
      <c r="AO339" s="402">
        <f t="shared" ca="1" si="35"/>
        <v>0</v>
      </c>
      <c r="AP339" s="402">
        <f t="shared" ca="1" si="36"/>
        <v>0</v>
      </c>
      <c r="AQ339" s="402">
        <f t="shared" ca="1" si="37"/>
        <v>0</v>
      </c>
      <c r="AR339" s="402">
        <f t="shared" ca="1" si="38"/>
        <v>0</v>
      </c>
      <c r="AS339" s="403"/>
      <c r="AT339" s="402">
        <f t="shared" si="39"/>
        <v>1</v>
      </c>
    </row>
    <row r="340" spans="1:46" ht="15.75" customHeight="1">
      <c r="A340" s="382"/>
      <c r="B340" s="383">
        <f t="shared" ca="1" si="20"/>
        <v>3</v>
      </c>
      <c r="C340" s="384">
        <f t="shared" ca="1" si="21"/>
        <v>2</v>
      </c>
      <c r="D340" s="384">
        <f t="shared" ca="1" si="22"/>
        <v>3</v>
      </c>
      <c r="E340" s="384">
        <f t="shared" ca="1" si="23"/>
        <v>1</v>
      </c>
      <c r="F340" s="384" t="str">
        <f t="shared" ca="1" si="24"/>
        <v/>
      </c>
      <c r="G340" s="385" t="str">
        <f t="shared" ca="1" si="25"/>
        <v/>
      </c>
      <c r="H340" s="386" t="str">
        <f t="shared" ca="1" si="26"/>
        <v/>
      </c>
      <c r="I340" s="404"/>
      <c r="J340" s="415"/>
      <c r="K340" s="428"/>
      <c r="L340" s="428" t="s">
        <v>59</v>
      </c>
      <c r="M340" s="428"/>
      <c r="N340" s="428"/>
      <c r="O340" s="428"/>
      <c r="P340" s="428"/>
      <c r="Q340" s="429"/>
      <c r="R340" s="417"/>
      <c r="S340" s="418"/>
      <c r="T340" s="419"/>
      <c r="U340" s="418"/>
      <c r="V340" s="419"/>
      <c r="W340" s="430"/>
      <c r="X340" s="431"/>
      <c r="Y340" s="434"/>
      <c r="Z340" s="433"/>
      <c r="AA340" s="396"/>
      <c r="AB340" s="397"/>
      <c r="AC340" s="398"/>
      <c r="AD340" s="399"/>
      <c r="AE340" s="400"/>
      <c r="AF340" s="401"/>
      <c r="AG340" s="401">
        <f t="shared" si="27"/>
        <v>0</v>
      </c>
      <c r="AH340" s="401">
        <f t="shared" si="28"/>
        <v>0</v>
      </c>
      <c r="AI340" s="401">
        <f t="shared" si="29"/>
        <v>0</v>
      </c>
      <c r="AJ340" s="401">
        <f t="shared" si="30"/>
        <v>0</v>
      </c>
      <c r="AK340" s="401" t="str">
        <f t="shared" si="31"/>
        <v/>
      </c>
      <c r="AL340" s="402">
        <f t="shared" ca="1" si="32"/>
        <v>3</v>
      </c>
      <c r="AM340" s="402">
        <f t="shared" ca="1" si="33"/>
        <v>2</v>
      </c>
      <c r="AN340" s="402">
        <f t="shared" ca="1" si="34"/>
        <v>3</v>
      </c>
      <c r="AO340" s="402">
        <f t="shared" ca="1" si="35"/>
        <v>1</v>
      </c>
      <c r="AP340" s="402">
        <f t="shared" ca="1" si="36"/>
        <v>0</v>
      </c>
      <c r="AQ340" s="402">
        <f t="shared" ca="1" si="37"/>
        <v>0</v>
      </c>
      <c r="AR340" s="402">
        <f t="shared" ca="1" si="38"/>
        <v>0</v>
      </c>
      <c r="AS340" s="403"/>
      <c r="AT340" s="402">
        <f t="shared" si="39"/>
        <v>1</v>
      </c>
    </row>
    <row r="341" spans="1:46" ht="15.75" customHeight="1">
      <c r="A341" s="382"/>
      <c r="B341" s="383">
        <f t="shared" ca="1" si="20"/>
        <v>3</v>
      </c>
      <c r="C341" s="384">
        <f t="shared" ca="1" si="21"/>
        <v>2</v>
      </c>
      <c r="D341" s="384">
        <f t="shared" ca="1" si="22"/>
        <v>3</v>
      </c>
      <c r="E341" s="384">
        <f t="shared" ca="1" si="23"/>
        <v>2</v>
      </c>
      <c r="F341" s="384" t="str">
        <f t="shared" ca="1" si="24"/>
        <v/>
      </c>
      <c r="G341" s="385" t="str">
        <f t="shared" ca="1" si="25"/>
        <v/>
      </c>
      <c r="H341" s="386" t="str">
        <f t="shared" ca="1" si="26"/>
        <v/>
      </c>
      <c r="I341" s="404"/>
      <c r="J341" s="415"/>
      <c r="K341" s="428"/>
      <c r="L341" s="428" t="s">
        <v>61</v>
      </c>
      <c r="M341" s="428"/>
      <c r="N341" s="428"/>
      <c r="O341" s="428"/>
      <c r="P341" s="428"/>
      <c r="Q341" s="429"/>
      <c r="R341" s="417"/>
      <c r="S341" s="418"/>
      <c r="T341" s="419"/>
      <c r="U341" s="418"/>
      <c r="V341" s="419"/>
      <c r="W341" s="430"/>
      <c r="X341" s="431"/>
      <c r="Y341" s="434"/>
      <c r="Z341" s="433"/>
      <c r="AA341" s="396"/>
      <c r="AB341" s="397"/>
      <c r="AC341" s="398"/>
      <c r="AD341" s="399"/>
      <c r="AE341" s="400"/>
      <c r="AF341" s="401"/>
      <c r="AG341" s="401">
        <f t="shared" si="27"/>
        <v>0</v>
      </c>
      <c r="AH341" s="401">
        <f t="shared" si="28"/>
        <v>0</v>
      </c>
      <c r="AI341" s="401">
        <f t="shared" si="29"/>
        <v>0</v>
      </c>
      <c r="AJ341" s="401">
        <f t="shared" si="30"/>
        <v>0</v>
      </c>
      <c r="AK341" s="401" t="str">
        <f t="shared" si="31"/>
        <v/>
      </c>
      <c r="AL341" s="402">
        <f t="shared" ca="1" si="32"/>
        <v>3</v>
      </c>
      <c r="AM341" s="402">
        <f t="shared" ca="1" si="33"/>
        <v>2</v>
      </c>
      <c r="AN341" s="402">
        <f t="shared" ca="1" si="34"/>
        <v>3</v>
      </c>
      <c r="AO341" s="402">
        <f t="shared" ca="1" si="35"/>
        <v>2</v>
      </c>
      <c r="AP341" s="402">
        <f t="shared" ca="1" si="36"/>
        <v>0</v>
      </c>
      <c r="AQ341" s="402">
        <f t="shared" ca="1" si="37"/>
        <v>0</v>
      </c>
      <c r="AR341" s="402">
        <f t="shared" ca="1" si="38"/>
        <v>0</v>
      </c>
      <c r="AS341" s="403"/>
      <c r="AT341" s="402">
        <f t="shared" si="39"/>
        <v>1</v>
      </c>
    </row>
    <row r="342" spans="1:46" ht="15.75" customHeight="1">
      <c r="A342" s="382"/>
      <c r="B342" s="383">
        <f t="shared" ca="1" si="20"/>
        <v>3</v>
      </c>
      <c r="C342" s="384">
        <f t="shared" ca="1" si="21"/>
        <v>2</v>
      </c>
      <c r="D342" s="384">
        <f t="shared" ca="1" si="22"/>
        <v>3</v>
      </c>
      <c r="E342" s="384">
        <f t="shared" ca="1" si="23"/>
        <v>3</v>
      </c>
      <c r="F342" s="384" t="str">
        <f t="shared" ca="1" si="24"/>
        <v/>
      </c>
      <c r="G342" s="385" t="str">
        <f t="shared" ca="1" si="25"/>
        <v/>
      </c>
      <c r="H342" s="386" t="str">
        <f t="shared" ca="1" si="26"/>
        <v/>
      </c>
      <c r="I342" s="404"/>
      <c r="J342" s="415"/>
      <c r="K342" s="428"/>
      <c r="L342" s="428" t="s">
        <v>63</v>
      </c>
      <c r="M342" s="428"/>
      <c r="N342" s="428"/>
      <c r="O342" s="428"/>
      <c r="P342" s="428"/>
      <c r="Q342" s="429"/>
      <c r="R342" s="417"/>
      <c r="S342" s="418"/>
      <c r="T342" s="419"/>
      <c r="U342" s="418"/>
      <c r="V342" s="419"/>
      <c r="W342" s="430"/>
      <c r="X342" s="431"/>
      <c r="Y342" s="434"/>
      <c r="Z342" s="433"/>
      <c r="AA342" s="396"/>
      <c r="AB342" s="397"/>
      <c r="AC342" s="398"/>
      <c r="AD342" s="399"/>
      <c r="AE342" s="400"/>
      <c r="AF342" s="401"/>
      <c r="AG342" s="401">
        <f t="shared" si="27"/>
        <v>0</v>
      </c>
      <c r="AH342" s="401">
        <f t="shared" si="28"/>
        <v>0</v>
      </c>
      <c r="AI342" s="401">
        <f t="shared" si="29"/>
        <v>0</v>
      </c>
      <c r="AJ342" s="401">
        <f t="shared" si="30"/>
        <v>0</v>
      </c>
      <c r="AK342" s="401" t="str">
        <f t="shared" si="31"/>
        <v/>
      </c>
      <c r="AL342" s="402">
        <f t="shared" ca="1" si="32"/>
        <v>3</v>
      </c>
      <c r="AM342" s="402">
        <f t="shared" ca="1" si="33"/>
        <v>2</v>
      </c>
      <c r="AN342" s="402">
        <f t="shared" ca="1" si="34"/>
        <v>3</v>
      </c>
      <c r="AO342" s="402">
        <f t="shared" ca="1" si="35"/>
        <v>3</v>
      </c>
      <c r="AP342" s="402">
        <f t="shared" ca="1" si="36"/>
        <v>0</v>
      </c>
      <c r="AQ342" s="402">
        <f t="shared" ca="1" si="37"/>
        <v>0</v>
      </c>
      <c r="AR342" s="402">
        <f t="shared" ca="1" si="38"/>
        <v>0</v>
      </c>
      <c r="AS342" s="403"/>
      <c r="AT342" s="402">
        <f t="shared" si="39"/>
        <v>1</v>
      </c>
    </row>
    <row r="343" spans="1:46" ht="15.75" customHeight="1">
      <c r="A343" s="382"/>
      <c r="B343" s="383">
        <f t="shared" ca="1" si="20"/>
        <v>3</v>
      </c>
      <c r="C343" s="384">
        <f t="shared" ca="1" si="21"/>
        <v>2</v>
      </c>
      <c r="D343" s="384">
        <f t="shared" ca="1" si="22"/>
        <v>3</v>
      </c>
      <c r="E343" s="384">
        <f t="shared" ca="1" si="23"/>
        <v>4</v>
      </c>
      <c r="F343" s="384" t="str">
        <f t="shared" ca="1" si="24"/>
        <v/>
      </c>
      <c r="G343" s="385" t="str">
        <f t="shared" ca="1" si="25"/>
        <v/>
      </c>
      <c r="H343" s="386" t="str">
        <f t="shared" ca="1" si="26"/>
        <v/>
      </c>
      <c r="I343" s="404"/>
      <c r="J343" s="415"/>
      <c r="K343" s="428"/>
      <c r="L343" s="428" t="s">
        <v>64</v>
      </c>
      <c r="M343" s="428"/>
      <c r="N343" s="428"/>
      <c r="O343" s="428"/>
      <c r="P343" s="428"/>
      <c r="Q343" s="429"/>
      <c r="R343" s="417"/>
      <c r="S343" s="418"/>
      <c r="T343" s="419"/>
      <c r="U343" s="418"/>
      <c r="V343" s="419"/>
      <c r="W343" s="430"/>
      <c r="X343" s="431"/>
      <c r="Y343" s="434"/>
      <c r="Z343" s="433"/>
      <c r="AA343" s="396"/>
      <c r="AB343" s="397"/>
      <c r="AC343" s="398"/>
      <c r="AD343" s="399"/>
      <c r="AE343" s="400"/>
      <c r="AF343" s="401"/>
      <c r="AG343" s="401">
        <f t="shared" si="27"/>
        <v>0</v>
      </c>
      <c r="AH343" s="401">
        <f t="shared" si="28"/>
        <v>0</v>
      </c>
      <c r="AI343" s="401">
        <f t="shared" si="29"/>
        <v>0</v>
      </c>
      <c r="AJ343" s="401">
        <f t="shared" si="30"/>
        <v>0</v>
      </c>
      <c r="AK343" s="401" t="str">
        <f t="shared" si="31"/>
        <v/>
      </c>
      <c r="AL343" s="402">
        <f t="shared" ca="1" si="32"/>
        <v>3</v>
      </c>
      <c r="AM343" s="402">
        <f t="shared" ca="1" si="33"/>
        <v>2</v>
      </c>
      <c r="AN343" s="402">
        <f t="shared" ca="1" si="34"/>
        <v>3</v>
      </c>
      <c r="AO343" s="402">
        <f t="shared" ca="1" si="35"/>
        <v>4</v>
      </c>
      <c r="AP343" s="402">
        <f t="shared" ca="1" si="36"/>
        <v>0</v>
      </c>
      <c r="AQ343" s="402">
        <f t="shared" ca="1" si="37"/>
        <v>0</v>
      </c>
      <c r="AR343" s="402">
        <f t="shared" ca="1" si="38"/>
        <v>0</v>
      </c>
      <c r="AS343" s="403"/>
      <c r="AT343" s="402">
        <f t="shared" si="39"/>
        <v>1</v>
      </c>
    </row>
    <row r="344" spans="1:46" ht="15.75" customHeight="1">
      <c r="A344" s="382"/>
      <c r="B344" s="383">
        <f t="shared" ca="1" si="20"/>
        <v>3</v>
      </c>
      <c r="C344" s="384">
        <f t="shared" ca="1" si="21"/>
        <v>2</v>
      </c>
      <c r="D344" s="384">
        <f t="shared" ca="1" si="22"/>
        <v>3</v>
      </c>
      <c r="E344" s="384">
        <f t="shared" ca="1" si="23"/>
        <v>5</v>
      </c>
      <c r="F344" s="384" t="str">
        <f t="shared" ca="1" si="24"/>
        <v/>
      </c>
      <c r="G344" s="385" t="str">
        <f t="shared" ca="1" si="25"/>
        <v/>
      </c>
      <c r="H344" s="386" t="str">
        <f t="shared" ca="1" si="26"/>
        <v/>
      </c>
      <c r="I344" s="404"/>
      <c r="J344" s="415"/>
      <c r="K344" s="428"/>
      <c r="L344" s="428" t="s">
        <v>65</v>
      </c>
      <c r="M344" s="428"/>
      <c r="N344" s="428"/>
      <c r="O344" s="428"/>
      <c r="P344" s="428"/>
      <c r="Q344" s="429"/>
      <c r="R344" s="417"/>
      <c r="S344" s="418"/>
      <c r="T344" s="419"/>
      <c r="U344" s="418"/>
      <c r="V344" s="419"/>
      <c r="W344" s="430"/>
      <c r="X344" s="431"/>
      <c r="Y344" s="434"/>
      <c r="Z344" s="433"/>
      <c r="AA344" s="396"/>
      <c r="AB344" s="397"/>
      <c r="AC344" s="398"/>
      <c r="AD344" s="399"/>
      <c r="AE344" s="400"/>
      <c r="AF344" s="401"/>
      <c r="AG344" s="401">
        <f t="shared" si="27"/>
        <v>0</v>
      </c>
      <c r="AH344" s="401">
        <f t="shared" si="28"/>
        <v>0</v>
      </c>
      <c r="AI344" s="401">
        <f t="shared" si="29"/>
        <v>0</v>
      </c>
      <c r="AJ344" s="401">
        <f t="shared" si="30"/>
        <v>0</v>
      </c>
      <c r="AK344" s="401" t="str">
        <f t="shared" si="31"/>
        <v/>
      </c>
      <c r="AL344" s="402">
        <f t="shared" ca="1" si="32"/>
        <v>3</v>
      </c>
      <c r="AM344" s="402">
        <f t="shared" ca="1" si="33"/>
        <v>2</v>
      </c>
      <c r="AN344" s="402">
        <f t="shared" ca="1" si="34"/>
        <v>3</v>
      </c>
      <c r="AO344" s="402">
        <f t="shared" ca="1" si="35"/>
        <v>5</v>
      </c>
      <c r="AP344" s="402">
        <f t="shared" ca="1" si="36"/>
        <v>0</v>
      </c>
      <c r="AQ344" s="402">
        <f t="shared" ca="1" si="37"/>
        <v>0</v>
      </c>
      <c r="AR344" s="402">
        <f t="shared" ca="1" si="38"/>
        <v>0</v>
      </c>
      <c r="AS344" s="403"/>
      <c r="AT344" s="402">
        <f t="shared" si="39"/>
        <v>1</v>
      </c>
    </row>
    <row r="345" spans="1:46" ht="15.75" customHeight="1">
      <c r="A345" s="382"/>
      <c r="B345" s="383">
        <f t="shared" ca="1" si="20"/>
        <v>3</v>
      </c>
      <c r="C345" s="384">
        <f t="shared" ca="1" si="21"/>
        <v>2</v>
      </c>
      <c r="D345" s="384">
        <f t="shared" ca="1" si="22"/>
        <v>3</v>
      </c>
      <c r="E345" s="384">
        <f t="shared" ca="1" si="23"/>
        <v>6</v>
      </c>
      <c r="F345" s="384" t="str">
        <f t="shared" ca="1" si="24"/>
        <v/>
      </c>
      <c r="G345" s="385" t="str">
        <f t="shared" ca="1" si="25"/>
        <v/>
      </c>
      <c r="H345" s="386" t="str">
        <f t="shared" ca="1" si="26"/>
        <v/>
      </c>
      <c r="I345" s="404"/>
      <c r="J345" s="415"/>
      <c r="K345" s="428"/>
      <c r="L345" s="428" t="s">
        <v>66</v>
      </c>
      <c r="M345" s="428"/>
      <c r="N345" s="428"/>
      <c r="O345" s="428"/>
      <c r="P345" s="428"/>
      <c r="Q345" s="429"/>
      <c r="R345" s="417"/>
      <c r="S345" s="418"/>
      <c r="T345" s="419"/>
      <c r="U345" s="418"/>
      <c r="V345" s="419"/>
      <c r="W345" s="430"/>
      <c r="X345" s="431"/>
      <c r="Y345" s="434"/>
      <c r="Z345" s="433"/>
      <c r="AA345" s="396"/>
      <c r="AB345" s="397"/>
      <c r="AC345" s="398"/>
      <c r="AD345" s="399"/>
      <c r="AE345" s="400"/>
      <c r="AF345" s="401"/>
      <c r="AG345" s="401">
        <f t="shared" si="27"/>
        <v>0</v>
      </c>
      <c r="AH345" s="401">
        <f t="shared" si="28"/>
        <v>0</v>
      </c>
      <c r="AI345" s="401">
        <f t="shared" si="29"/>
        <v>0</v>
      </c>
      <c r="AJ345" s="401">
        <f t="shared" si="30"/>
        <v>0</v>
      </c>
      <c r="AK345" s="401" t="str">
        <f t="shared" si="31"/>
        <v/>
      </c>
      <c r="AL345" s="402">
        <f t="shared" ca="1" si="32"/>
        <v>3</v>
      </c>
      <c r="AM345" s="402">
        <f t="shared" ca="1" si="33"/>
        <v>2</v>
      </c>
      <c r="AN345" s="402">
        <f t="shared" ca="1" si="34"/>
        <v>3</v>
      </c>
      <c r="AO345" s="402">
        <f t="shared" ca="1" si="35"/>
        <v>6</v>
      </c>
      <c r="AP345" s="402">
        <f t="shared" ca="1" si="36"/>
        <v>0</v>
      </c>
      <c r="AQ345" s="402">
        <f t="shared" ca="1" si="37"/>
        <v>0</v>
      </c>
      <c r="AR345" s="402">
        <f t="shared" ca="1" si="38"/>
        <v>0</v>
      </c>
      <c r="AS345" s="403"/>
      <c r="AT345" s="402">
        <f t="shared" si="39"/>
        <v>1</v>
      </c>
    </row>
    <row r="346" spans="1:46" ht="15.75" customHeight="1">
      <c r="A346" s="382"/>
      <c r="B346" s="383">
        <f t="shared" ca="1" si="20"/>
        <v>3</v>
      </c>
      <c r="C346" s="384">
        <f t="shared" ca="1" si="21"/>
        <v>2</v>
      </c>
      <c r="D346" s="384">
        <f t="shared" ca="1" si="22"/>
        <v>4</v>
      </c>
      <c r="E346" s="384" t="str">
        <f t="shared" ca="1" si="23"/>
        <v/>
      </c>
      <c r="F346" s="384" t="str">
        <f t="shared" ca="1" si="24"/>
        <v/>
      </c>
      <c r="G346" s="385" t="str">
        <f t="shared" ca="1" si="25"/>
        <v/>
      </c>
      <c r="H346" s="386" t="str">
        <f t="shared" ca="1" si="26"/>
        <v/>
      </c>
      <c r="I346" s="404"/>
      <c r="J346" s="415"/>
      <c r="K346" s="428" t="s">
        <v>361</v>
      </c>
      <c r="L346" s="428"/>
      <c r="M346" s="428"/>
      <c r="N346" s="428"/>
      <c r="O346" s="428"/>
      <c r="P346" s="428"/>
      <c r="Q346" s="429"/>
      <c r="R346" s="417"/>
      <c r="S346" s="418"/>
      <c r="T346" s="419"/>
      <c r="U346" s="418"/>
      <c r="V346" s="419"/>
      <c r="W346" s="430"/>
      <c r="X346" s="431"/>
      <c r="Y346" s="434"/>
      <c r="Z346" s="433"/>
      <c r="AA346" s="396"/>
      <c r="AB346" s="397"/>
      <c r="AC346" s="398"/>
      <c r="AD346" s="399"/>
      <c r="AE346" s="400"/>
      <c r="AF346" s="401"/>
      <c r="AG346" s="401">
        <f t="shared" si="27"/>
        <v>0</v>
      </c>
      <c r="AH346" s="401">
        <f t="shared" si="28"/>
        <v>0</v>
      </c>
      <c r="AI346" s="401">
        <f t="shared" si="29"/>
        <v>0</v>
      </c>
      <c r="AJ346" s="401">
        <f t="shared" si="30"/>
        <v>0</v>
      </c>
      <c r="AK346" s="401" t="str">
        <f t="shared" si="31"/>
        <v/>
      </c>
      <c r="AL346" s="402">
        <f t="shared" ca="1" si="32"/>
        <v>3</v>
      </c>
      <c r="AM346" s="402">
        <f t="shared" ca="1" si="33"/>
        <v>2</v>
      </c>
      <c r="AN346" s="402">
        <f t="shared" ca="1" si="34"/>
        <v>4</v>
      </c>
      <c r="AO346" s="402">
        <f t="shared" ca="1" si="35"/>
        <v>0</v>
      </c>
      <c r="AP346" s="402">
        <f t="shared" ca="1" si="36"/>
        <v>0</v>
      </c>
      <c r="AQ346" s="402">
        <f t="shared" ca="1" si="37"/>
        <v>0</v>
      </c>
      <c r="AR346" s="402">
        <f t="shared" ca="1" si="38"/>
        <v>0</v>
      </c>
      <c r="AS346" s="403"/>
      <c r="AT346" s="402">
        <f t="shared" si="39"/>
        <v>1</v>
      </c>
    </row>
    <row r="347" spans="1:46" ht="15.75" customHeight="1">
      <c r="A347" s="382"/>
      <c r="B347" s="383">
        <f t="shared" ca="1" si="20"/>
        <v>3</v>
      </c>
      <c r="C347" s="384">
        <f t="shared" ca="1" si="21"/>
        <v>2</v>
      </c>
      <c r="D347" s="384">
        <f t="shared" ca="1" si="22"/>
        <v>4</v>
      </c>
      <c r="E347" s="384">
        <f t="shared" ca="1" si="23"/>
        <v>1</v>
      </c>
      <c r="F347" s="384" t="str">
        <f t="shared" ca="1" si="24"/>
        <v/>
      </c>
      <c r="G347" s="385" t="str">
        <f t="shared" ca="1" si="25"/>
        <v/>
      </c>
      <c r="H347" s="386" t="str">
        <f t="shared" ca="1" si="26"/>
        <v/>
      </c>
      <c r="I347" s="404"/>
      <c r="J347" s="415"/>
      <c r="K347" s="428"/>
      <c r="L347" s="428" t="s">
        <v>59</v>
      </c>
      <c r="M347" s="428"/>
      <c r="N347" s="428"/>
      <c r="O347" s="428"/>
      <c r="P347" s="428"/>
      <c r="Q347" s="429"/>
      <c r="R347" s="417"/>
      <c r="S347" s="418"/>
      <c r="T347" s="419"/>
      <c r="U347" s="418"/>
      <c r="V347" s="419"/>
      <c r="W347" s="430"/>
      <c r="X347" s="431"/>
      <c r="Y347" s="434"/>
      <c r="Z347" s="433"/>
      <c r="AA347" s="396"/>
      <c r="AB347" s="397"/>
      <c r="AC347" s="398"/>
      <c r="AD347" s="399"/>
      <c r="AE347" s="400"/>
      <c r="AF347" s="401"/>
      <c r="AG347" s="401">
        <f t="shared" si="27"/>
        <v>0</v>
      </c>
      <c r="AH347" s="401">
        <f t="shared" si="28"/>
        <v>0</v>
      </c>
      <c r="AI347" s="401">
        <f t="shared" si="29"/>
        <v>0</v>
      </c>
      <c r="AJ347" s="401">
        <f t="shared" si="30"/>
        <v>0</v>
      </c>
      <c r="AK347" s="401" t="str">
        <f t="shared" si="31"/>
        <v/>
      </c>
      <c r="AL347" s="402">
        <f t="shared" ca="1" si="32"/>
        <v>3</v>
      </c>
      <c r="AM347" s="402">
        <f t="shared" ca="1" si="33"/>
        <v>2</v>
      </c>
      <c r="AN347" s="402">
        <f t="shared" ca="1" si="34"/>
        <v>4</v>
      </c>
      <c r="AO347" s="402">
        <f t="shared" ca="1" si="35"/>
        <v>1</v>
      </c>
      <c r="AP347" s="402">
        <f t="shared" ca="1" si="36"/>
        <v>0</v>
      </c>
      <c r="AQ347" s="402">
        <f t="shared" ca="1" si="37"/>
        <v>0</v>
      </c>
      <c r="AR347" s="402">
        <f t="shared" ca="1" si="38"/>
        <v>0</v>
      </c>
      <c r="AS347" s="403"/>
      <c r="AT347" s="402">
        <f t="shared" si="39"/>
        <v>1</v>
      </c>
    </row>
    <row r="348" spans="1:46" ht="15.75" customHeight="1">
      <c r="A348" s="382"/>
      <c r="B348" s="383">
        <f t="shared" ca="1" si="20"/>
        <v>3</v>
      </c>
      <c r="C348" s="384">
        <f t="shared" ca="1" si="21"/>
        <v>2</v>
      </c>
      <c r="D348" s="384">
        <f t="shared" ca="1" si="22"/>
        <v>4</v>
      </c>
      <c r="E348" s="384">
        <f t="shared" ca="1" si="23"/>
        <v>2</v>
      </c>
      <c r="F348" s="384" t="str">
        <f t="shared" ca="1" si="24"/>
        <v/>
      </c>
      <c r="G348" s="385" t="str">
        <f t="shared" ca="1" si="25"/>
        <v/>
      </c>
      <c r="H348" s="386" t="str">
        <f t="shared" ca="1" si="26"/>
        <v/>
      </c>
      <c r="I348" s="404"/>
      <c r="J348" s="415"/>
      <c r="K348" s="428"/>
      <c r="L348" s="428" t="s">
        <v>61</v>
      </c>
      <c r="M348" s="428"/>
      <c r="N348" s="428"/>
      <c r="O348" s="428"/>
      <c r="P348" s="428"/>
      <c r="Q348" s="429"/>
      <c r="R348" s="417"/>
      <c r="S348" s="418"/>
      <c r="T348" s="419"/>
      <c r="U348" s="418"/>
      <c r="V348" s="419"/>
      <c r="W348" s="430"/>
      <c r="X348" s="431"/>
      <c r="Y348" s="434"/>
      <c r="Z348" s="433"/>
      <c r="AA348" s="396"/>
      <c r="AB348" s="397"/>
      <c r="AC348" s="398"/>
      <c r="AD348" s="399"/>
      <c r="AE348" s="400"/>
      <c r="AF348" s="401"/>
      <c r="AG348" s="401">
        <f t="shared" si="27"/>
        <v>0</v>
      </c>
      <c r="AH348" s="401">
        <f t="shared" si="28"/>
        <v>0</v>
      </c>
      <c r="AI348" s="401">
        <f t="shared" si="29"/>
        <v>0</v>
      </c>
      <c r="AJ348" s="401">
        <f t="shared" si="30"/>
        <v>0</v>
      </c>
      <c r="AK348" s="401" t="str">
        <f t="shared" si="31"/>
        <v/>
      </c>
      <c r="AL348" s="402">
        <f t="shared" ca="1" si="32"/>
        <v>3</v>
      </c>
      <c r="AM348" s="402">
        <f t="shared" ca="1" si="33"/>
        <v>2</v>
      </c>
      <c r="AN348" s="402">
        <f t="shared" ca="1" si="34"/>
        <v>4</v>
      </c>
      <c r="AO348" s="402">
        <f t="shared" ca="1" si="35"/>
        <v>2</v>
      </c>
      <c r="AP348" s="402">
        <f t="shared" ca="1" si="36"/>
        <v>0</v>
      </c>
      <c r="AQ348" s="402">
        <f t="shared" ca="1" si="37"/>
        <v>0</v>
      </c>
      <c r="AR348" s="402">
        <f t="shared" ca="1" si="38"/>
        <v>0</v>
      </c>
      <c r="AS348" s="403"/>
      <c r="AT348" s="402">
        <f t="shared" si="39"/>
        <v>1</v>
      </c>
    </row>
    <row r="349" spans="1:46" ht="15.75" customHeight="1">
      <c r="A349" s="382"/>
      <c r="B349" s="383">
        <f t="shared" ca="1" si="20"/>
        <v>3</v>
      </c>
      <c r="C349" s="384">
        <f t="shared" ca="1" si="21"/>
        <v>2</v>
      </c>
      <c r="D349" s="384">
        <f t="shared" ca="1" si="22"/>
        <v>4</v>
      </c>
      <c r="E349" s="384">
        <f t="shared" ca="1" si="23"/>
        <v>3</v>
      </c>
      <c r="F349" s="384" t="str">
        <f t="shared" ca="1" si="24"/>
        <v/>
      </c>
      <c r="G349" s="385" t="str">
        <f t="shared" ca="1" si="25"/>
        <v/>
      </c>
      <c r="H349" s="386" t="str">
        <f t="shared" ca="1" si="26"/>
        <v/>
      </c>
      <c r="I349" s="404"/>
      <c r="J349" s="415"/>
      <c r="K349" s="428"/>
      <c r="L349" s="428" t="s">
        <v>63</v>
      </c>
      <c r="M349" s="428"/>
      <c r="N349" s="428"/>
      <c r="O349" s="428"/>
      <c r="P349" s="428"/>
      <c r="Q349" s="429"/>
      <c r="R349" s="417"/>
      <c r="S349" s="418"/>
      <c r="T349" s="419"/>
      <c r="U349" s="418"/>
      <c r="V349" s="419"/>
      <c r="W349" s="430"/>
      <c r="X349" s="431"/>
      <c r="Y349" s="434"/>
      <c r="Z349" s="433"/>
      <c r="AA349" s="396"/>
      <c r="AB349" s="397"/>
      <c r="AC349" s="398"/>
      <c r="AD349" s="399"/>
      <c r="AE349" s="400"/>
      <c r="AF349" s="401"/>
      <c r="AG349" s="401">
        <f t="shared" si="27"/>
        <v>0</v>
      </c>
      <c r="AH349" s="401">
        <f t="shared" si="28"/>
        <v>0</v>
      </c>
      <c r="AI349" s="401">
        <f t="shared" si="29"/>
        <v>0</v>
      </c>
      <c r="AJ349" s="401">
        <f t="shared" si="30"/>
        <v>0</v>
      </c>
      <c r="AK349" s="401" t="str">
        <f t="shared" si="31"/>
        <v/>
      </c>
      <c r="AL349" s="402">
        <f t="shared" ca="1" si="32"/>
        <v>3</v>
      </c>
      <c r="AM349" s="402">
        <f t="shared" ca="1" si="33"/>
        <v>2</v>
      </c>
      <c r="AN349" s="402">
        <f t="shared" ca="1" si="34"/>
        <v>4</v>
      </c>
      <c r="AO349" s="402">
        <f t="shared" ca="1" si="35"/>
        <v>3</v>
      </c>
      <c r="AP349" s="402">
        <f t="shared" ca="1" si="36"/>
        <v>0</v>
      </c>
      <c r="AQ349" s="402">
        <f t="shared" ca="1" si="37"/>
        <v>0</v>
      </c>
      <c r="AR349" s="402">
        <f t="shared" ca="1" si="38"/>
        <v>0</v>
      </c>
      <c r="AS349" s="403"/>
      <c r="AT349" s="402">
        <f t="shared" si="39"/>
        <v>1</v>
      </c>
    </row>
    <row r="350" spans="1:46" ht="15.75" customHeight="1">
      <c r="A350" s="382"/>
      <c r="B350" s="383">
        <f t="shared" ca="1" si="20"/>
        <v>3</v>
      </c>
      <c r="C350" s="384">
        <f t="shared" ca="1" si="21"/>
        <v>2</v>
      </c>
      <c r="D350" s="384">
        <f t="shared" ca="1" si="22"/>
        <v>4</v>
      </c>
      <c r="E350" s="384">
        <f t="shared" ca="1" si="23"/>
        <v>4</v>
      </c>
      <c r="F350" s="384" t="str">
        <f t="shared" ca="1" si="24"/>
        <v/>
      </c>
      <c r="G350" s="385" t="str">
        <f t="shared" ca="1" si="25"/>
        <v/>
      </c>
      <c r="H350" s="386" t="str">
        <f t="shared" ca="1" si="26"/>
        <v/>
      </c>
      <c r="I350" s="404"/>
      <c r="J350" s="415"/>
      <c r="K350" s="428"/>
      <c r="L350" s="428" t="s">
        <v>64</v>
      </c>
      <c r="M350" s="428"/>
      <c r="N350" s="428"/>
      <c r="O350" s="428"/>
      <c r="P350" s="428"/>
      <c r="Q350" s="429"/>
      <c r="R350" s="417"/>
      <c r="S350" s="418"/>
      <c r="T350" s="419"/>
      <c r="U350" s="418"/>
      <c r="V350" s="419"/>
      <c r="W350" s="430"/>
      <c r="X350" s="431"/>
      <c r="Y350" s="434"/>
      <c r="Z350" s="433"/>
      <c r="AA350" s="396"/>
      <c r="AB350" s="397"/>
      <c r="AC350" s="398"/>
      <c r="AD350" s="399"/>
      <c r="AE350" s="400"/>
      <c r="AF350" s="401"/>
      <c r="AG350" s="401">
        <f t="shared" si="27"/>
        <v>0</v>
      </c>
      <c r="AH350" s="401">
        <f t="shared" si="28"/>
        <v>0</v>
      </c>
      <c r="AI350" s="401">
        <f t="shared" si="29"/>
        <v>0</v>
      </c>
      <c r="AJ350" s="401">
        <f t="shared" si="30"/>
        <v>0</v>
      </c>
      <c r="AK350" s="401" t="str">
        <f t="shared" si="31"/>
        <v/>
      </c>
      <c r="AL350" s="402">
        <f t="shared" ca="1" si="32"/>
        <v>3</v>
      </c>
      <c r="AM350" s="402">
        <f t="shared" ca="1" si="33"/>
        <v>2</v>
      </c>
      <c r="AN350" s="402">
        <f t="shared" ca="1" si="34"/>
        <v>4</v>
      </c>
      <c r="AO350" s="402">
        <f t="shared" ca="1" si="35"/>
        <v>4</v>
      </c>
      <c r="AP350" s="402">
        <f t="shared" ca="1" si="36"/>
        <v>0</v>
      </c>
      <c r="AQ350" s="402">
        <f t="shared" ca="1" si="37"/>
        <v>0</v>
      </c>
      <c r="AR350" s="402">
        <f t="shared" ca="1" si="38"/>
        <v>0</v>
      </c>
      <c r="AS350" s="403"/>
      <c r="AT350" s="402">
        <f t="shared" si="39"/>
        <v>1</v>
      </c>
    </row>
    <row r="351" spans="1:46" ht="15.75" customHeight="1">
      <c r="A351" s="382"/>
      <c r="B351" s="383">
        <f t="shared" ca="1" si="20"/>
        <v>3</v>
      </c>
      <c r="C351" s="384">
        <f t="shared" ca="1" si="21"/>
        <v>2</v>
      </c>
      <c r="D351" s="384">
        <f t="shared" ca="1" si="22"/>
        <v>4</v>
      </c>
      <c r="E351" s="384">
        <f t="shared" ca="1" si="23"/>
        <v>5</v>
      </c>
      <c r="F351" s="384" t="str">
        <f t="shared" ca="1" si="24"/>
        <v/>
      </c>
      <c r="G351" s="385" t="str">
        <f t="shared" ca="1" si="25"/>
        <v/>
      </c>
      <c r="H351" s="386" t="str">
        <f t="shared" ca="1" si="26"/>
        <v/>
      </c>
      <c r="I351" s="404"/>
      <c r="J351" s="415"/>
      <c r="K351" s="428"/>
      <c r="L351" s="428" t="s">
        <v>65</v>
      </c>
      <c r="M351" s="428"/>
      <c r="N351" s="428"/>
      <c r="O351" s="428"/>
      <c r="P351" s="428"/>
      <c r="Q351" s="429"/>
      <c r="R351" s="417"/>
      <c r="S351" s="418"/>
      <c r="T351" s="419"/>
      <c r="U351" s="418"/>
      <c r="V351" s="419"/>
      <c r="W351" s="430"/>
      <c r="X351" s="431"/>
      <c r="Y351" s="434"/>
      <c r="Z351" s="433"/>
      <c r="AA351" s="396"/>
      <c r="AB351" s="397"/>
      <c r="AC351" s="398"/>
      <c r="AD351" s="399"/>
      <c r="AE351" s="400"/>
      <c r="AF351" s="401"/>
      <c r="AG351" s="401">
        <f t="shared" si="27"/>
        <v>0</v>
      </c>
      <c r="AH351" s="401">
        <f t="shared" si="28"/>
        <v>0</v>
      </c>
      <c r="AI351" s="401">
        <f t="shared" si="29"/>
        <v>0</v>
      </c>
      <c r="AJ351" s="401">
        <f t="shared" si="30"/>
        <v>0</v>
      </c>
      <c r="AK351" s="401" t="str">
        <f t="shared" si="31"/>
        <v/>
      </c>
      <c r="AL351" s="402">
        <f t="shared" ca="1" si="32"/>
        <v>3</v>
      </c>
      <c r="AM351" s="402">
        <f t="shared" ca="1" si="33"/>
        <v>2</v>
      </c>
      <c r="AN351" s="402">
        <f t="shared" ca="1" si="34"/>
        <v>4</v>
      </c>
      <c r="AO351" s="402">
        <f t="shared" ca="1" si="35"/>
        <v>5</v>
      </c>
      <c r="AP351" s="402">
        <f t="shared" ca="1" si="36"/>
        <v>0</v>
      </c>
      <c r="AQ351" s="402">
        <f t="shared" ca="1" si="37"/>
        <v>0</v>
      </c>
      <c r="AR351" s="402">
        <f t="shared" ca="1" si="38"/>
        <v>0</v>
      </c>
      <c r="AS351" s="403"/>
      <c r="AT351" s="402">
        <f t="shared" si="39"/>
        <v>1</v>
      </c>
    </row>
    <row r="352" spans="1:46" ht="15.75" customHeight="1">
      <c r="A352" s="382"/>
      <c r="B352" s="383">
        <f t="shared" ca="1" si="20"/>
        <v>3</v>
      </c>
      <c r="C352" s="384">
        <f t="shared" ca="1" si="21"/>
        <v>2</v>
      </c>
      <c r="D352" s="384">
        <f t="shared" ca="1" si="22"/>
        <v>4</v>
      </c>
      <c r="E352" s="384">
        <f t="shared" ca="1" si="23"/>
        <v>6</v>
      </c>
      <c r="F352" s="384" t="str">
        <f t="shared" ca="1" si="24"/>
        <v/>
      </c>
      <c r="G352" s="385" t="str">
        <f t="shared" ca="1" si="25"/>
        <v/>
      </c>
      <c r="H352" s="386" t="str">
        <f t="shared" ca="1" si="26"/>
        <v/>
      </c>
      <c r="I352" s="404"/>
      <c r="J352" s="415"/>
      <c r="K352" s="428"/>
      <c r="L352" s="428" t="s">
        <v>66</v>
      </c>
      <c r="M352" s="428"/>
      <c r="N352" s="428"/>
      <c r="O352" s="428"/>
      <c r="P352" s="428"/>
      <c r="Q352" s="429"/>
      <c r="R352" s="417"/>
      <c r="S352" s="418"/>
      <c r="T352" s="419"/>
      <c r="U352" s="418"/>
      <c r="V352" s="419"/>
      <c r="W352" s="430"/>
      <c r="X352" s="431"/>
      <c r="Y352" s="434"/>
      <c r="Z352" s="433"/>
      <c r="AA352" s="396"/>
      <c r="AB352" s="397"/>
      <c r="AC352" s="398"/>
      <c r="AD352" s="399"/>
      <c r="AE352" s="400"/>
      <c r="AF352" s="401"/>
      <c r="AG352" s="401">
        <f t="shared" si="27"/>
        <v>0</v>
      </c>
      <c r="AH352" s="401">
        <f t="shared" si="28"/>
        <v>0</v>
      </c>
      <c r="AI352" s="401">
        <f t="shared" si="29"/>
        <v>0</v>
      </c>
      <c r="AJ352" s="401">
        <f t="shared" si="30"/>
        <v>0</v>
      </c>
      <c r="AK352" s="401" t="str">
        <f t="shared" si="31"/>
        <v/>
      </c>
      <c r="AL352" s="402">
        <f t="shared" ca="1" si="32"/>
        <v>3</v>
      </c>
      <c r="AM352" s="402">
        <f t="shared" ca="1" si="33"/>
        <v>2</v>
      </c>
      <c r="AN352" s="402">
        <f t="shared" ca="1" si="34"/>
        <v>4</v>
      </c>
      <c r="AO352" s="402">
        <f t="shared" ca="1" si="35"/>
        <v>6</v>
      </c>
      <c r="AP352" s="402">
        <f t="shared" ca="1" si="36"/>
        <v>0</v>
      </c>
      <c r="AQ352" s="402">
        <f t="shared" ca="1" si="37"/>
        <v>0</v>
      </c>
      <c r="AR352" s="402">
        <f t="shared" ca="1" si="38"/>
        <v>0</v>
      </c>
      <c r="AS352" s="403"/>
      <c r="AT352" s="402">
        <f t="shared" si="39"/>
        <v>1</v>
      </c>
    </row>
    <row r="353" spans="1:46" ht="15.75" customHeight="1">
      <c r="A353" s="382"/>
      <c r="B353" s="383">
        <f t="shared" ca="1" si="20"/>
        <v>3</v>
      </c>
      <c r="C353" s="384">
        <f t="shared" ca="1" si="21"/>
        <v>2</v>
      </c>
      <c r="D353" s="384">
        <f t="shared" ca="1" si="22"/>
        <v>5</v>
      </c>
      <c r="E353" s="384" t="str">
        <f t="shared" ca="1" si="23"/>
        <v/>
      </c>
      <c r="F353" s="384" t="str">
        <f t="shared" ca="1" si="24"/>
        <v/>
      </c>
      <c r="G353" s="385" t="str">
        <f t="shared" ca="1" si="25"/>
        <v/>
      </c>
      <c r="H353" s="386" t="str">
        <f t="shared" ca="1" si="26"/>
        <v/>
      </c>
      <c r="I353" s="404"/>
      <c r="J353" s="415"/>
      <c r="K353" s="428" t="s">
        <v>362</v>
      </c>
      <c r="L353" s="428"/>
      <c r="M353" s="428"/>
      <c r="N353" s="428"/>
      <c r="O353" s="428"/>
      <c r="P353" s="428"/>
      <c r="Q353" s="429"/>
      <c r="R353" s="417"/>
      <c r="S353" s="418"/>
      <c r="T353" s="419"/>
      <c r="U353" s="418"/>
      <c r="V353" s="419"/>
      <c r="W353" s="430"/>
      <c r="X353" s="431"/>
      <c r="Y353" s="434"/>
      <c r="Z353" s="433"/>
      <c r="AA353" s="396"/>
      <c r="AB353" s="397"/>
      <c r="AC353" s="398"/>
      <c r="AD353" s="399"/>
      <c r="AE353" s="400"/>
      <c r="AF353" s="401"/>
      <c r="AG353" s="401">
        <f t="shared" si="27"/>
        <v>0</v>
      </c>
      <c r="AH353" s="401">
        <f t="shared" si="28"/>
        <v>0</v>
      </c>
      <c r="AI353" s="401">
        <f t="shared" si="29"/>
        <v>0</v>
      </c>
      <c r="AJ353" s="401">
        <f t="shared" si="30"/>
        <v>0</v>
      </c>
      <c r="AK353" s="401" t="str">
        <f t="shared" si="31"/>
        <v/>
      </c>
      <c r="AL353" s="402">
        <f t="shared" ca="1" si="32"/>
        <v>3</v>
      </c>
      <c r="AM353" s="402">
        <f t="shared" ca="1" si="33"/>
        <v>2</v>
      </c>
      <c r="AN353" s="402">
        <f t="shared" ca="1" si="34"/>
        <v>5</v>
      </c>
      <c r="AO353" s="402">
        <f t="shared" ca="1" si="35"/>
        <v>0</v>
      </c>
      <c r="AP353" s="402">
        <f t="shared" ca="1" si="36"/>
        <v>0</v>
      </c>
      <c r="AQ353" s="402">
        <f t="shared" ca="1" si="37"/>
        <v>0</v>
      </c>
      <c r="AR353" s="402">
        <f t="shared" ca="1" si="38"/>
        <v>0</v>
      </c>
      <c r="AS353" s="403"/>
      <c r="AT353" s="402">
        <f t="shared" si="39"/>
        <v>1</v>
      </c>
    </row>
    <row r="354" spans="1:46" ht="15.75" customHeight="1">
      <c r="A354" s="382"/>
      <c r="B354" s="383">
        <f t="shared" ca="1" si="20"/>
        <v>3</v>
      </c>
      <c r="C354" s="384">
        <f t="shared" ca="1" si="21"/>
        <v>2</v>
      </c>
      <c r="D354" s="384">
        <f t="shared" ca="1" si="22"/>
        <v>5</v>
      </c>
      <c r="E354" s="384">
        <f t="shared" ca="1" si="23"/>
        <v>1</v>
      </c>
      <c r="F354" s="384" t="str">
        <f t="shared" ca="1" si="24"/>
        <v/>
      </c>
      <c r="G354" s="385" t="str">
        <f t="shared" ca="1" si="25"/>
        <v/>
      </c>
      <c r="H354" s="386" t="str">
        <f t="shared" ca="1" si="26"/>
        <v/>
      </c>
      <c r="I354" s="404"/>
      <c r="J354" s="415"/>
      <c r="K354" s="428"/>
      <c r="L354" s="428" t="s">
        <v>59</v>
      </c>
      <c r="M354" s="428"/>
      <c r="N354" s="428"/>
      <c r="O354" s="428"/>
      <c r="P354" s="428"/>
      <c r="Q354" s="429"/>
      <c r="R354" s="417"/>
      <c r="S354" s="418"/>
      <c r="T354" s="419"/>
      <c r="U354" s="418"/>
      <c r="V354" s="419"/>
      <c r="W354" s="430"/>
      <c r="X354" s="431"/>
      <c r="Y354" s="434"/>
      <c r="Z354" s="433"/>
      <c r="AA354" s="396"/>
      <c r="AB354" s="397"/>
      <c r="AC354" s="398"/>
      <c r="AD354" s="399"/>
      <c r="AE354" s="400"/>
      <c r="AF354" s="401"/>
      <c r="AG354" s="401">
        <f t="shared" si="27"/>
        <v>0</v>
      </c>
      <c r="AH354" s="401">
        <f t="shared" si="28"/>
        <v>0</v>
      </c>
      <c r="AI354" s="401">
        <f t="shared" si="29"/>
        <v>0</v>
      </c>
      <c r="AJ354" s="401">
        <f t="shared" si="30"/>
        <v>0</v>
      </c>
      <c r="AK354" s="401" t="str">
        <f t="shared" si="31"/>
        <v/>
      </c>
      <c r="AL354" s="402">
        <f t="shared" ca="1" si="32"/>
        <v>3</v>
      </c>
      <c r="AM354" s="402">
        <f t="shared" ca="1" si="33"/>
        <v>2</v>
      </c>
      <c r="AN354" s="402">
        <f t="shared" ca="1" si="34"/>
        <v>5</v>
      </c>
      <c r="AO354" s="402">
        <f t="shared" ca="1" si="35"/>
        <v>1</v>
      </c>
      <c r="AP354" s="402">
        <f t="shared" ca="1" si="36"/>
        <v>0</v>
      </c>
      <c r="AQ354" s="402">
        <f t="shared" ca="1" si="37"/>
        <v>0</v>
      </c>
      <c r="AR354" s="402">
        <f t="shared" ca="1" si="38"/>
        <v>0</v>
      </c>
      <c r="AS354" s="403"/>
      <c r="AT354" s="402">
        <f t="shared" si="39"/>
        <v>1</v>
      </c>
    </row>
    <row r="355" spans="1:46" ht="15.75" customHeight="1">
      <c r="A355" s="382"/>
      <c r="B355" s="383">
        <f t="shared" ca="1" si="20"/>
        <v>3</v>
      </c>
      <c r="C355" s="384">
        <f t="shared" ca="1" si="21"/>
        <v>2</v>
      </c>
      <c r="D355" s="384">
        <f t="shared" ca="1" si="22"/>
        <v>5</v>
      </c>
      <c r="E355" s="384">
        <f t="shared" ca="1" si="23"/>
        <v>2</v>
      </c>
      <c r="F355" s="384" t="str">
        <f t="shared" ca="1" si="24"/>
        <v/>
      </c>
      <c r="G355" s="385" t="str">
        <f t="shared" ca="1" si="25"/>
        <v/>
      </c>
      <c r="H355" s="386" t="str">
        <f t="shared" ca="1" si="26"/>
        <v/>
      </c>
      <c r="I355" s="404"/>
      <c r="J355" s="415"/>
      <c r="K355" s="428"/>
      <c r="L355" s="428" t="s">
        <v>61</v>
      </c>
      <c r="M355" s="428"/>
      <c r="N355" s="428"/>
      <c r="O355" s="428"/>
      <c r="P355" s="428"/>
      <c r="Q355" s="429"/>
      <c r="R355" s="417"/>
      <c r="S355" s="418"/>
      <c r="T355" s="419"/>
      <c r="U355" s="418"/>
      <c r="V355" s="419"/>
      <c r="W355" s="430"/>
      <c r="X355" s="431"/>
      <c r="Y355" s="434"/>
      <c r="Z355" s="433"/>
      <c r="AA355" s="396"/>
      <c r="AB355" s="397"/>
      <c r="AC355" s="398"/>
      <c r="AD355" s="399"/>
      <c r="AE355" s="400"/>
      <c r="AF355" s="401"/>
      <c r="AG355" s="401">
        <f t="shared" si="27"/>
        <v>0</v>
      </c>
      <c r="AH355" s="401">
        <f t="shared" si="28"/>
        <v>0</v>
      </c>
      <c r="AI355" s="401">
        <f t="shared" si="29"/>
        <v>0</v>
      </c>
      <c r="AJ355" s="401">
        <f t="shared" si="30"/>
        <v>0</v>
      </c>
      <c r="AK355" s="401" t="str">
        <f t="shared" si="31"/>
        <v/>
      </c>
      <c r="AL355" s="402">
        <f t="shared" ca="1" si="32"/>
        <v>3</v>
      </c>
      <c r="AM355" s="402">
        <f t="shared" ca="1" si="33"/>
        <v>2</v>
      </c>
      <c r="AN355" s="402">
        <f t="shared" ca="1" si="34"/>
        <v>5</v>
      </c>
      <c r="AO355" s="402">
        <f t="shared" ca="1" si="35"/>
        <v>2</v>
      </c>
      <c r="AP355" s="402">
        <f t="shared" ca="1" si="36"/>
        <v>0</v>
      </c>
      <c r="AQ355" s="402">
        <f t="shared" ca="1" si="37"/>
        <v>0</v>
      </c>
      <c r="AR355" s="402">
        <f t="shared" ca="1" si="38"/>
        <v>0</v>
      </c>
      <c r="AS355" s="403"/>
      <c r="AT355" s="402">
        <f t="shared" si="39"/>
        <v>1</v>
      </c>
    </row>
    <row r="356" spans="1:46" ht="15.75" customHeight="1">
      <c r="A356" s="382"/>
      <c r="B356" s="383">
        <f t="shared" ca="1" si="20"/>
        <v>3</v>
      </c>
      <c r="C356" s="384">
        <f t="shared" ca="1" si="21"/>
        <v>2</v>
      </c>
      <c r="D356" s="384">
        <f t="shared" ca="1" si="22"/>
        <v>5</v>
      </c>
      <c r="E356" s="384">
        <f t="shared" ca="1" si="23"/>
        <v>3</v>
      </c>
      <c r="F356" s="384" t="str">
        <f t="shared" ca="1" si="24"/>
        <v/>
      </c>
      <c r="G356" s="385" t="str">
        <f t="shared" ca="1" si="25"/>
        <v/>
      </c>
      <c r="H356" s="386" t="str">
        <f t="shared" ca="1" si="26"/>
        <v/>
      </c>
      <c r="I356" s="404"/>
      <c r="J356" s="415"/>
      <c r="K356" s="428"/>
      <c r="L356" s="428" t="s">
        <v>63</v>
      </c>
      <c r="M356" s="428"/>
      <c r="N356" s="428"/>
      <c r="O356" s="428"/>
      <c r="P356" s="428"/>
      <c r="Q356" s="429"/>
      <c r="R356" s="417"/>
      <c r="S356" s="418"/>
      <c r="T356" s="419"/>
      <c r="U356" s="418"/>
      <c r="V356" s="419"/>
      <c r="W356" s="430"/>
      <c r="X356" s="431"/>
      <c r="Y356" s="434"/>
      <c r="Z356" s="433"/>
      <c r="AA356" s="396"/>
      <c r="AB356" s="397"/>
      <c r="AC356" s="398"/>
      <c r="AD356" s="399"/>
      <c r="AE356" s="400"/>
      <c r="AF356" s="401"/>
      <c r="AG356" s="401">
        <f t="shared" si="27"/>
        <v>0</v>
      </c>
      <c r="AH356" s="401">
        <f t="shared" si="28"/>
        <v>0</v>
      </c>
      <c r="AI356" s="401">
        <f t="shared" si="29"/>
        <v>0</v>
      </c>
      <c r="AJ356" s="401">
        <f t="shared" si="30"/>
        <v>0</v>
      </c>
      <c r="AK356" s="401" t="str">
        <f t="shared" si="31"/>
        <v/>
      </c>
      <c r="AL356" s="402">
        <f t="shared" ca="1" si="32"/>
        <v>3</v>
      </c>
      <c r="AM356" s="402">
        <f t="shared" ca="1" si="33"/>
        <v>2</v>
      </c>
      <c r="AN356" s="402">
        <f t="shared" ca="1" si="34"/>
        <v>5</v>
      </c>
      <c r="AO356" s="402">
        <f t="shared" ca="1" si="35"/>
        <v>3</v>
      </c>
      <c r="AP356" s="402">
        <f t="shared" ca="1" si="36"/>
        <v>0</v>
      </c>
      <c r="AQ356" s="402">
        <f t="shared" ca="1" si="37"/>
        <v>0</v>
      </c>
      <c r="AR356" s="402">
        <f t="shared" ca="1" si="38"/>
        <v>0</v>
      </c>
      <c r="AS356" s="403"/>
      <c r="AT356" s="402">
        <f t="shared" si="39"/>
        <v>1</v>
      </c>
    </row>
    <row r="357" spans="1:46" ht="15.75" customHeight="1">
      <c r="A357" s="382"/>
      <c r="B357" s="383">
        <f t="shared" ca="1" si="20"/>
        <v>3</v>
      </c>
      <c r="C357" s="384">
        <f t="shared" ca="1" si="21"/>
        <v>2</v>
      </c>
      <c r="D357" s="384">
        <f t="shared" ca="1" si="22"/>
        <v>5</v>
      </c>
      <c r="E357" s="384">
        <f t="shared" ca="1" si="23"/>
        <v>4</v>
      </c>
      <c r="F357" s="384" t="str">
        <f t="shared" ca="1" si="24"/>
        <v/>
      </c>
      <c r="G357" s="385" t="str">
        <f t="shared" ca="1" si="25"/>
        <v/>
      </c>
      <c r="H357" s="386" t="str">
        <f t="shared" ca="1" si="26"/>
        <v/>
      </c>
      <c r="I357" s="404"/>
      <c r="J357" s="415"/>
      <c r="K357" s="428"/>
      <c r="L357" s="428" t="s">
        <v>64</v>
      </c>
      <c r="M357" s="428"/>
      <c r="N357" s="428"/>
      <c r="O357" s="428"/>
      <c r="P357" s="428"/>
      <c r="Q357" s="429"/>
      <c r="R357" s="417"/>
      <c r="S357" s="418"/>
      <c r="T357" s="419"/>
      <c r="U357" s="418"/>
      <c r="V357" s="419"/>
      <c r="W357" s="430"/>
      <c r="X357" s="431"/>
      <c r="Y357" s="434"/>
      <c r="Z357" s="433"/>
      <c r="AA357" s="396"/>
      <c r="AB357" s="397"/>
      <c r="AC357" s="398"/>
      <c r="AD357" s="399"/>
      <c r="AE357" s="400"/>
      <c r="AF357" s="401"/>
      <c r="AG357" s="401">
        <f t="shared" si="27"/>
        <v>0</v>
      </c>
      <c r="AH357" s="401">
        <f t="shared" si="28"/>
        <v>0</v>
      </c>
      <c r="AI357" s="401">
        <f t="shared" si="29"/>
        <v>0</v>
      </c>
      <c r="AJ357" s="401">
        <f t="shared" si="30"/>
        <v>0</v>
      </c>
      <c r="AK357" s="401" t="str">
        <f t="shared" si="31"/>
        <v/>
      </c>
      <c r="AL357" s="402">
        <f t="shared" ca="1" si="32"/>
        <v>3</v>
      </c>
      <c r="AM357" s="402">
        <f t="shared" ca="1" si="33"/>
        <v>2</v>
      </c>
      <c r="AN357" s="402">
        <f t="shared" ca="1" si="34"/>
        <v>5</v>
      </c>
      <c r="AO357" s="402">
        <f t="shared" ca="1" si="35"/>
        <v>4</v>
      </c>
      <c r="AP357" s="402">
        <f t="shared" ca="1" si="36"/>
        <v>0</v>
      </c>
      <c r="AQ357" s="402">
        <f t="shared" ca="1" si="37"/>
        <v>0</v>
      </c>
      <c r="AR357" s="402">
        <f t="shared" ca="1" si="38"/>
        <v>0</v>
      </c>
      <c r="AS357" s="403"/>
      <c r="AT357" s="402">
        <f t="shared" si="39"/>
        <v>1</v>
      </c>
    </row>
    <row r="358" spans="1:46" ht="15.75" customHeight="1">
      <c r="A358" s="382"/>
      <c r="B358" s="383">
        <f t="shared" ca="1" si="20"/>
        <v>3</v>
      </c>
      <c r="C358" s="384">
        <f t="shared" ca="1" si="21"/>
        <v>2</v>
      </c>
      <c r="D358" s="384">
        <f t="shared" ca="1" si="22"/>
        <v>5</v>
      </c>
      <c r="E358" s="384">
        <f t="shared" ca="1" si="23"/>
        <v>5</v>
      </c>
      <c r="F358" s="384" t="str">
        <f t="shared" ca="1" si="24"/>
        <v/>
      </c>
      <c r="G358" s="385" t="str">
        <f t="shared" ca="1" si="25"/>
        <v/>
      </c>
      <c r="H358" s="386" t="str">
        <f t="shared" ca="1" si="26"/>
        <v/>
      </c>
      <c r="I358" s="404"/>
      <c r="J358" s="415"/>
      <c r="K358" s="428"/>
      <c r="L358" s="428" t="s">
        <v>65</v>
      </c>
      <c r="M358" s="428"/>
      <c r="N358" s="428"/>
      <c r="O358" s="428"/>
      <c r="P358" s="428"/>
      <c r="Q358" s="429"/>
      <c r="R358" s="417"/>
      <c r="S358" s="418"/>
      <c r="T358" s="419"/>
      <c r="U358" s="418"/>
      <c r="V358" s="419"/>
      <c r="W358" s="430"/>
      <c r="X358" s="431"/>
      <c r="Y358" s="434"/>
      <c r="Z358" s="433"/>
      <c r="AA358" s="396"/>
      <c r="AB358" s="397"/>
      <c r="AC358" s="398"/>
      <c r="AD358" s="399"/>
      <c r="AE358" s="400"/>
      <c r="AF358" s="401"/>
      <c r="AG358" s="401">
        <f t="shared" si="27"/>
        <v>0</v>
      </c>
      <c r="AH358" s="401">
        <f t="shared" si="28"/>
        <v>0</v>
      </c>
      <c r="AI358" s="401">
        <f t="shared" si="29"/>
        <v>0</v>
      </c>
      <c r="AJ358" s="401">
        <f t="shared" si="30"/>
        <v>0</v>
      </c>
      <c r="AK358" s="401" t="str">
        <f t="shared" si="31"/>
        <v/>
      </c>
      <c r="AL358" s="402">
        <f t="shared" ca="1" si="32"/>
        <v>3</v>
      </c>
      <c r="AM358" s="402">
        <f t="shared" ca="1" si="33"/>
        <v>2</v>
      </c>
      <c r="AN358" s="402">
        <f t="shared" ca="1" si="34"/>
        <v>5</v>
      </c>
      <c r="AO358" s="402">
        <f t="shared" ca="1" si="35"/>
        <v>5</v>
      </c>
      <c r="AP358" s="402">
        <f t="shared" ca="1" si="36"/>
        <v>0</v>
      </c>
      <c r="AQ358" s="402">
        <f t="shared" ca="1" si="37"/>
        <v>0</v>
      </c>
      <c r="AR358" s="402">
        <f t="shared" ca="1" si="38"/>
        <v>0</v>
      </c>
      <c r="AS358" s="403"/>
      <c r="AT358" s="402">
        <f t="shared" si="39"/>
        <v>1</v>
      </c>
    </row>
    <row r="359" spans="1:46" ht="15.75" customHeight="1">
      <c r="A359" s="382"/>
      <c r="B359" s="383">
        <f t="shared" ca="1" si="20"/>
        <v>3</v>
      </c>
      <c r="C359" s="384">
        <f t="shared" ca="1" si="21"/>
        <v>2</v>
      </c>
      <c r="D359" s="384">
        <f t="shared" ca="1" si="22"/>
        <v>5</v>
      </c>
      <c r="E359" s="384">
        <f t="shared" ca="1" si="23"/>
        <v>6</v>
      </c>
      <c r="F359" s="384" t="str">
        <f t="shared" ca="1" si="24"/>
        <v/>
      </c>
      <c r="G359" s="385" t="str">
        <f t="shared" ca="1" si="25"/>
        <v/>
      </c>
      <c r="H359" s="386" t="str">
        <f t="shared" ca="1" si="26"/>
        <v/>
      </c>
      <c r="I359" s="404"/>
      <c r="J359" s="415"/>
      <c r="K359" s="428"/>
      <c r="L359" s="428" t="s">
        <v>66</v>
      </c>
      <c r="M359" s="428"/>
      <c r="N359" s="428"/>
      <c r="O359" s="428"/>
      <c r="P359" s="428"/>
      <c r="Q359" s="429"/>
      <c r="R359" s="417"/>
      <c r="S359" s="418"/>
      <c r="T359" s="419"/>
      <c r="U359" s="418"/>
      <c r="V359" s="419"/>
      <c r="W359" s="430"/>
      <c r="X359" s="431"/>
      <c r="Y359" s="434"/>
      <c r="Z359" s="433"/>
      <c r="AA359" s="396"/>
      <c r="AB359" s="397"/>
      <c r="AC359" s="398"/>
      <c r="AD359" s="399"/>
      <c r="AE359" s="400"/>
      <c r="AF359" s="401"/>
      <c r="AG359" s="401">
        <f t="shared" si="27"/>
        <v>0</v>
      </c>
      <c r="AH359" s="401">
        <f t="shared" si="28"/>
        <v>0</v>
      </c>
      <c r="AI359" s="401">
        <f t="shared" si="29"/>
        <v>0</v>
      </c>
      <c r="AJ359" s="401">
        <f t="shared" si="30"/>
        <v>0</v>
      </c>
      <c r="AK359" s="401" t="str">
        <f t="shared" si="31"/>
        <v/>
      </c>
      <c r="AL359" s="402">
        <f t="shared" ca="1" si="32"/>
        <v>3</v>
      </c>
      <c r="AM359" s="402">
        <f t="shared" ca="1" si="33"/>
        <v>2</v>
      </c>
      <c r="AN359" s="402">
        <f t="shared" ca="1" si="34"/>
        <v>5</v>
      </c>
      <c r="AO359" s="402">
        <f t="shared" ca="1" si="35"/>
        <v>6</v>
      </c>
      <c r="AP359" s="402">
        <f t="shared" ca="1" si="36"/>
        <v>0</v>
      </c>
      <c r="AQ359" s="402">
        <f t="shared" ca="1" si="37"/>
        <v>0</v>
      </c>
      <c r="AR359" s="402">
        <f t="shared" ca="1" si="38"/>
        <v>0</v>
      </c>
      <c r="AS359" s="403"/>
      <c r="AT359" s="402">
        <f t="shared" si="39"/>
        <v>1</v>
      </c>
    </row>
    <row r="360" spans="1:46" ht="15.75" customHeight="1">
      <c r="A360" s="382"/>
      <c r="B360" s="383">
        <f t="shared" ca="1" si="20"/>
        <v>3</v>
      </c>
      <c r="C360" s="384">
        <f t="shared" ca="1" si="21"/>
        <v>2</v>
      </c>
      <c r="D360" s="384">
        <f t="shared" ca="1" si="22"/>
        <v>6</v>
      </c>
      <c r="E360" s="384" t="str">
        <f t="shared" ca="1" si="23"/>
        <v/>
      </c>
      <c r="F360" s="384" t="str">
        <f t="shared" ca="1" si="24"/>
        <v/>
      </c>
      <c r="G360" s="385" t="str">
        <f t="shared" ca="1" si="25"/>
        <v/>
      </c>
      <c r="H360" s="386" t="str">
        <f t="shared" ca="1" si="26"/>
        <v/>
      </c>
      <c r="I360" s="404"/>
      <c r="J360" s="415"/>
      <c r="K360" s="428" t="s">
        <v>363</v>
      </c>
      <c r="L360" s="428"/>
      <c r="M360" s="428"/>
      <c r="N360" s="428"/>
      <c r="O360" s="428"/>
      <c r="P360" s="428"/>
      <c r="Q360" s="429"/>
      <c r="R360" s="417"/>
      <c r="S360" s="418"/>
      <c r="T360" s="419"/>
      <c r="U360" s="418"/>
      <c r="V360" s="419"/>
      <c r="W360" s="430"/>
      <c r="X360" s="431"/>
      <c r="Y360" s="434"/>
      <c r="Z360" s="433"/>
      <c r="AA360" s="396"/>
      <c r="AB360" s="397"/>
      <c r="AC360" s="398"/>
      <c r="AD360" s="399"/>
      <c r="AE360" s="400"/>
      <c r="AF360" s="401"/>
      <c r="AG360" s="401">
        <f t="shared" si="27"/>
        <v>0</v>
      </c>
      <c r="AH360" s="401">
        <f t="shared" si="28"/>
        <v>0</v>
      </c>
      <c r="AI360" s="401">
        <f t="shared" si="29"/>
        <v>0</v>
      </c>
      <c r="AJ360" s="401">
        <f t="shared" si="30"/>
        <v>0</v>
      </c>
      <c r="AK360" s="401" t="str">
        <f t="shared" si="31"/>
        <v/>
      </c>
      <c r="AL360" s="402">
        <f t="shared" ca="1" si="32"/>
        <v>3</v>
      </c>
      <c r="AM360" s="402">
        <f t="shared" ca="1" si="33"/>
        <v>2</v>
      </c>
      <c r="AN360" s="402">
        <f t="shared" ca="1" si="34"/>
        <v>6</v>
      </c>
      <c r="AO360" s="402">
        <f t="shared" ca="1" si="35"/>
        <v>0</v>
      </c>
      <c r="AP360" s="402">
        <f t="shared" ca="1" si="36"/>
        <v>0</v>
      </c>
      <c r="AQ360" s="402">
        <f t="shared" ca="1" si="37"/>
        <v>0</v>
      </c>
      <c r="AR360" s="402">
        <f t="shared" ca="1" si="38"/>
        <v>0</v>
      </c>
      <c r="AS360" s="403"/>
      <c r="AT360" s="402">
        <f t="shared" si="39"/>
        <v>1</v>
      </c>
    </row>
    <row r="361" spans="1:46" ht="15.75" customHeight="1">
      <c r="A361" s="382"/>
      <c r="B361" s="383">
        <f t="shared" ca="1" si="20"/>
        <v>3</v>
      </c>
      <c r="C361" s="384">
        <f t="shared" ca="1" si="21"/>
        <v>2</v>
      </c>
      <c r="D361" s="384">
        <f t="shared" ca="1" si="22"/>
        <v>6</v>
      </c>
      <c r="E361" s="384">
        <f t="shared" ca="1" si="23"/>
        <v>1</v>
      </c>
      <c r="F361" s="384" t="str">
        <f t="shared" ca="1" si="24"/>
        <v/>
      </c>
      <c r="G361" s="385" t="str">
        <f t="shared" ca="1" si="25"/>
        <v/>
      </c>
      <c r="H361" s="386" t="str">
        <f t="shared" ca="1" si="26"/>
        <v/>
      </c>
      <c r="I361" s="404"/>
      <c r="J361" s="415"/>
      <c r="K361" s="428"/>
      <c r="L361" s="428" t="s">
        <v>59</v>
      </c>
      <c r="M361" s="428"/>
      <c r="N361" s="428"/>
      <c r="O361" s="428"/>
      <c r="P361" s="428"/>
      <c r="Q361" s="429"/>
      <c r="R361" s="417"/>
      <c r="S361" s="418"/>
      <c r="T361" s="419"/>
      <c r="U361" s="418"/>
      <c r="V361" s="419"/>
      <c r="W361" s="430"/>
      <c r="X361" s="431"/>
      <c r="Y361" s="434"/>
      <c r="Z361" s="433"/>
      <c r="AA361" s="396"/>
      <c r="AB361" s="397"/>
      <c r="AC361" s="398"/>
      <c r="AD361" s="399"/>
      <c r="AE361" s="400"/>
      <c r="AF361" s="401"/>
      <c r="AG361" s="401">
        <f t="shared" si="27"/>
        <v>0</v>
      </c>
      <c r="AH361" s="401">
        <f t="shared" si="28"/>
        <v>0</v>
      </c>
      <c r="AI361" s="401">
        <f t="shared" si="29"/>
        <v>0</v>
      </c>
      <c r="AJ361" s="401">
        <f t="shared" si="30"/>
        <v>0</v>
      </c>
      <c r="AK361" s="401" t="str">
        <f t="shared" si="31"/>
        <v/>
      </c>
      <c r="AL361" s="402">
        <f t="shared" ca="1" si="32"/>
        <v>3</v>
      </c>
      <c r="AM361" s="402">
        <f t="shared" ca="1" si="33"/>
        <v>2</v>
      </c>
      <c r="AN361" s="402">
        <f t="shared" ca="1" si="34"/>
        <v>6</v>
      </c>
      <c r="AO361" s="402">
        <f t="shared" ca="1" si="35"/>
        <v>1</v>
      </c>
      <c r="AP361" s="402">
        <f t="shared" ca="1" si="36"/>
        <v>0</v>
      </c>
      <c r="AQ361" s="402">
        <f t="shared" ca="1" si="37"/>
        <v>0</v>
      </c>
      <c r="AR361" s="402">
        <f t="shared" ca="1" si="38"/>
        <v>0</v>
      </c>
      <c r="AS361" s="403"/>
      <c r="AT361" s="402">
        <f t="shared" si="39"/>
        <v>1</v>
      </c>
    </row>
    <row r="362" spans="1:46" ht="15.75" customHeight="1">
      <c r="A362" s="382"/>
      <c r="B362" s="383">
        <f t="shared" ca="1" si="20"/>
        <v>3</v>
      </c>
      <c r="C362" s="384">
        <f t="shared" ca="1" si="21"/>
        <v>2</v>
      </c>
      <c r="D362" s="384">
        <f t="shared" ca="1" si="22"/>
        <v>6</v>
      </c>
      <c r="E362" s="384">
        <f t="shared" ca="1" si="23"/>
        <v>2</v>
      </c>
      <c r="F362" s="384" t="str">
        <f t="shared" ca="1" si="24"/>
        <v/>
      </c>
      <c r="G362" s="385" t="str">
        <f t="shared" ca="1" si="25"/>
        <v/>
      </c>
      <c r="H362" s="386" t="str">
        <f t="shared" ca="1" si="26"/>
        <v/>
      </c>
      <c r="I362" s="404"/>
      <c r="J362" s="415"/>
      <c r="K362" s="428"/>
      <c r="L362" s="428" t="s">
        <v>61</v>
      </c>
      <c r="M362" s="428"/>
      <c r="N362" s="428"/>
      <c r="O362" s="428"/>
      <c r="P362" s="428"/>
      <c r="Q362" s="429"/>
      <c r="R362" s="417"/>
      <c r="S362" s="418"/>
      <c r="T362" s="419"/>
      <c r="U362" s="418"/>
      <c r="V362" s="419"/>
      <c r="W362" s="430"/>
      <c r="X362" s="431"/>
      <c r="Y362" s="434"/>
      <c r="Z362" s="433"/>
      <c r="AA362" s="396"/>
      <c r="AB362" s="397"/>
      <c r="AC362" s="398"/>
      <c r="AD362" s="399"/>
      <c r="AE362" s="400"/>
      <c r="AF362" s="401"/>
      <c r="AG362" s="401">
        <f t="shared" si="27"/>
        <v>0</v>
      </c>
      <c r="AH362" s="401">
        <f t="shared" si="28"/>
        <v>0</v>
      </c>
      <c r="AI362" s="401">
        <f t="shared" si="29"/>
        <v>0</v>
      </c>
      <c r="AJ362" s="401">
        <f t="shared" si="30"/>
        <v>0</v>
      </c>
      <c r="AK362" s="401" t="str">
        <f t="shared" si="31"/>
        <v/>
      </c>
      <c r="AL362" s="402">
        <f t="shared" ca="1" si="32"/>
        <v>3</v>
      </c>
      <c r="AM362" s="402">
        <f t="shared" ca="1" si="33"/>
        <v>2</v>
      </c>
      <c r="AN362" s="402">
        <f t="shared" ca="1" si="34"/>
        <v>6</v>
      </c>
      <c r="AO362" s="402">
        <f t="shared" ca="1" si="35"/>
        <v>2</v>
      </c>
      <c r="AP362" s="402">
        <f t="shared" ca="1" si="36"/>
        <v>0</v>
      </c>
      <c r="AQ362" s="402">
        <f t="shared" ca="1" si="37"/>
        <v>0</v>
      </c>
      <c r="AR362" s="402">
        <f t="shared" ca="1" si="38"/>
        <v>0</v>
      </c>
      <c r="AS362" s="403"/>
      <c r="AT362" s="402">
        <f t="shared" si="39"/>
        <v>1</v>
      </c>
    </row>
    <row r="363" spans="1:46" ht="15.75" customHeight="1">
      <c r="A363" s="382"/>
      <c r="B363" s="383">
        <f t="shared" ca="1" si="20"/>
        <v>3</v>
      </c>
      <c r="C363" s="384">
        <f t="shared" ca="1" si="21"/>
        <v>2</v>
      </c>
      <c r="D363" s="384">
        <f t="shared" ca="1" si="22"/>
        <v>6</v>
      </c>
      <c r="E363" s="384">
        <f t="shared" ca="1" si="23"/>
        <v>3</v>
      </c>
      <c r="F363" s="384" t="str">
        <f t="shared" ca="1" si="24"/>
        <v/>
      </c>
      <c r="G363" s="385" t="str">
        <f t="shared" ca="1" si="25"/>
        <v/>
      </c>
      <c r="H363" s="386" t="str">
        <f t="shared" ca="1" si="26"/>
        <v/>
      </c>
      <c r="I363" s="404"/>
      <c r="J363" s="415"/>
      <c r="K363" s="428"/>
      <c r="L363" s="428" t="s">
        <v>63</v>
      </c>
      <c r="M363" s="428"/>
      <c r="N363" s="428"/>
      <c r="O363" s="428"/>
      <c r="P363" s="428"/>
      <c r="Q363" s="429"/>
      <c r="R363" s="417"/>
      <c r="S363" s="418"/>
      <c r="T363" s="419"/>
      <c r="U363" s="418"/>
      <c r="V363" s="419"/>
      <c r="W363" s="430"/>
      <c r="X363" s="431"/>
      <c r="Y363" s="434"/>
      <c r="Z363" s="433"/>
      <c r="AA363" s="396"/>
      <c r="AB363" s="397"/>
      <c r="AC363" s="398"/>
      <c r="AD363" s="399"/>
      <c r="AE363" s="400"/>
      <c r="AF363" s="401"/>
      <c r="AG363" s="401">
        <f t="shared" si="27"/>
        <v>0</v>
      </c>
      <c r="AH363" s="401">
        <f t="shared" si="28"/>
        <v>0</v>
      </c>
      <c r="AI363" s="401">
        <f t="shared" si="29"/>
        <v>0</v>
      </c>
      <c r="AJ363" s="401">
        <f t="shared" si="30"/>
        <v>0</v>
      </c>
      <c r="AK363" s="401" t="str">
        <f t="shared" si="31"/>
        <v/>
      </c>
      <c r="AL363" s="402">
        <f t="shared" ca="1" si="32"/>
        <v>3</v>
      </c>
      <c r="AM363" s="402">
        <f t="shared" ca="1" si="33"/>
        <v>2</v>
      </c>
      <c r="AN363" s="402">
        <f t="shared" ca="1" si="34"/>
        <v>6</v>
      </c>
      <c r="AO363" s="402">
        <f t="shared" ca="1" si="35"/>
        <v>3</v>
      </c>
      <c r="AP363" s="402">
        <f t="shared" ca="1" si="36"/>
        <v>0</v>
      </c>
      <c r="AQ363" s="402">
        <f t="shared" ca="1" si="37"/>
        <v>0</v>
      </c>
      <c r="AR363" s="402">
        <f t="shared" ca="1" si="38"/>
        <v>0</v>
      </c>
      <c r="AS363" s="403"/>
      <c r="AT363" s="402">
        <f t="shared" si="39"/>
        <v>1</v>
      </c>
    </row>
    <row r="364" spans="1:46" ht="15.75" customHeight="1">
      <c r="A364" s="382"/>
      <c r="B364" s="383">
        <f t="shared" ca="1" si="20"/>
        <v>3</v>
      </c>
      <c r="C364" s="384">
        <f t="shared" ca="1" si="21"/>
        <v>2</v>
      </c>
      <c r="D364" s="384">
        <f t="shared" ca="1" si="22"/>
        <v>6</v>
      </c>
      <c r="E364" s="384">
        <f t="shared" ca="1" si="23"/>
        <v>4</v>
      </c>
      <c r="F364" s="384" t="str">
        <f t="shared" ca="1" si="24"/>
        <v/>
      </c>
      <c r="G364" s="385" t="str">
        <f t="shared" ca="1" si="25"/>
        <v/>
      </c>
      <c r="H364" s="386" t="str">
        <f t="shared" ca="1" si="26"/>
        <v/>
      </c>
      <c r="I364" s="404"/>
      <c r="J364" s="415"/>
      <c r="K364" s="428"/>
      <c r="L364" s="428" t="s">
        <v>64</v>
      </c>
      <c r="M364" s="428"/>
      <c r="N364" s="428"/>
      <c r="O364" s="428"/>
      <c r="P364" s="428"/>
      <c r="Q364" s="429"/>
      <c r="R364" s="417"/>
      <c r="S364" s="418"/>
      <c r="T364" s="419"/>
      <c r="U364" s="418"/>
      <c r="V364" s="419"/>
      <c r="W364" s="430"/>
      <c r="X364" s="431"/>
      <c r="Y364" s="434"/>
      <c r="Z364" s="433"/>
      <c r="AA364" s="396"/>
      <c r="AB364" s="397"/>
      <c r="AC364" s="398"/>
      <c r="AD364" s="399"/>
      <c r="AE364" s="400"/>
      <c r="AF364" s="401"/>
      <c r="AG364" s="401">
        <f t="shared" si="27"/>
        <v>0</v>
      </c>
      <c r="AH364" s="401">
        <f t="shared" si="28"/>
        <v>0</v>
      </c>
      <c r="AI364" s="401">
        <f t="shared" si="29"/>
        <v>0</v>
      </c>
      <c r="AJ364" s="401">
        <f t="shared" si="30"/>
        <v>0</v>
      </c>
      <c r="AK364" s="401" t="str">
        <f t="shared" si="31"/>
        <v/>
      </c>
      <c r="AL364" s="402">
        <f t="shared" ca="1" si="32"/>
        <v>3</v>
      </c>
      <c r="AM364" s="402">
        <f t="shared" ca="1" si="33"/>
        <v>2</v>
      </c>
      <c r="AN364" s="402">
        <f t="shared" ca="1" si="34"/>
        <v>6</v>
      </c>
      <c r="AO364" s="402">
        <f t="shared" ca="1" si="35"/>
        <v>4</v>
      </c>
      <c r="AP364" s="402">
        <f t="shared" ca="1" si="36"/>
        <v>0</v>
      </c>
      <c r="AQ364" s="402">
        <f t="shared" ca="1" si="37"/>
        <v>0</v>
      </c>
      <c r="AR364" s="402">
        <f t="shared" ca="1" si="38"/>
        <v>0</v>
      </c>
      <c r="AS364" s="403"/>
      <c r="AT364" s="402">
        <f t="shared" si="39"/>
        <v>1</v>
      </c>
    </row>
    <row r="365" spans="1:46" ht="15.75" customHeight="1">
      <c r="A365" s="382"/>
      <c r="B365" s="383">
        <f t="shared" ca="1" si="20"/>
        <v>3</v>
      </c>
      <c r="C365" s="384">
        <f t="shared" ca="1" si="21"/>
        <v>2</v>
      </c>
      <c r="D365" s="384">
        <f t="shared" ca="1" si="22"/>
        <v>6</v>
      </c>
      <c r="E365" s="384">
        <f t="shared" ca="1" si="23"/>
        <v>5</v>
      </c>
      <c r="F365" s="384" t="str">
        <f t="shared" ca="1" si="24"/>
        <v/>
      </c>
      <c r="G365" s="385" t="str">
        <f t="shared" ca="1" si="25"/>
        <v/>
      </c>
      <c r="H365" s="386" t="str">
        <f t="shared" ca="1" si="26"/>
        <v/>
      </c>
      <c r="I365" s="404"/>
      <c r="J365" s="415"/>
      <c r="K365" s="428"/>
      <c r="L365" s="428" t="s">
        <v>65</v>
      </c>
      <c r="M365" s="428"/>
      <c r="N365" s="428"/>
      <c r="O365" s="428"/>
      <c r="P365" s="428"/>
      <c r="Q365" s="429"/>
      <c r="R365" s="417"/>
      <c r="S365" s="418"/>
      <c r="T365" s="419"/>
      <c r="U365" s="418"/>
      <c r="V365" s="419"/>
      <c r="W365" s="430"/>
      <c r="X365" s="431"/>
      <c r="Y365" s="434"/>
      <c r="Z365" s="433"/>
      <c r="AA365" s="396"/>
      <c r="AB365" s="397"/>
      <c r="AC365" s="398"/>
      <c r="AD365" s="399"/>
      <c r="AE365" s="400"/>
      <c r="AF365" s="401"/>
      <c r="AG365" s="401">
        <f t="shared" si="27"/>
        <v>0</v>
      </c>
      <c r="AH365" s="401">
        <f t="shared" si="28"/>
        <v>0</v>
      </c>
      <c r="AI365" s="401">
        <f t="shared" si="29"/>
        <v>0</v>
      </c>
      <c r="AJ365" s="401">
        <f t="shared" si="30"/>
        <v>0</v>
      </c>
      <c r="AK365" s="401" t="str">
        <f t="shared" si="31"/>
        <v/>
      </c>
      <c r="AL365" s="402">
        <f t="shared" ca="1" si="32"/>
        <v>3</v>
      </c>
      <c r="AM365" s="402">
        <f t="shared" ca="1" si="33"/>
        <v>2</v>
      </c>
      <c r="AN365" s="402">
        <f t="shared" ca="1" si="34"/>
        <v>6</v>
      </c>
      <c r="AO365" s="402">
        <f t="shared" ca="1" si="35"/>
        <v>5</v>
      </c>
      <c r="AP365" s="402">
        <f t="shared" ca="1" si="36"/>
        <v>0</v>
      </c>
      <c r="AQ365" s="402">
        <f t="shared" ca="1" si="37"/>
        <v>0</v>
      </c>
      <c r="AR365" s="402">
        <f t="shared" ca="1" si="38"/>
        <v>0</v>
      </c>
      <c r="AS365" s="403"/>
      <c r="AT365" s="402">
        <f t="shared" si="39"/>
        <v>1</v>
      </c>
    </row>
    <row r="366" spans="1:46" ht="15.75" customHeight="1">
      <c r="A366" s="382"/>
      <c r="B366" s="383">
        <f t="shared" ca="1" si="20"/>
        <v>3</v>
      </c>
      <c r="C366" s="384">
        <f t="shared" ca="1" si="21"/>
        <v>2</v>
      </c>
      <c r="D366" s="384">
        <f t="shared" ca="1" si="22"/>
        <v>6</v>
      </c>
      <c r="E366" s="384">
        <f t="shared" ca="1" si="23"/>
        <v>6</v>
      </c>
      <c r="F366" s="384" t="str">
        <f t="shared" ca="1" si="24"/>
        <v/>
      </c>
      <c r="G366" s="385" t="str">
        <f t="shared" ca="1" si="25"/>
        <v/>
      </c>
      <c r="H366" s="386" t="str">
        <f t="shared" ca="1" si="26"/>
        <v/>
      </c>
      <c r="I366" s="404"/>
      <c r="J366" s="415"/>
      <c r="K366" s="428"/>
      <c r="L366" s="428" t="s">
        <v>66</v>
      </c>
      <c r="M366" s="428"/>
      <c r="N366" s="428"/>
      <c r="O366" s="428"/>
      <c r="P366" s="428"/>
      <c r="Q366" s="429"/>
      <c r="R366" s="417"/>
      <c r="S366" s="418"/>
      <c r="T366" s="419"/>
      <c r="U366" s="418"/>
      <c r="V366" s="419"/>
      <c r="W366" s="430"/>
      <c r="X366" s="431"/>
      <c r="Y366" s="434"/>
      <c r="Z366" s="433"/>
      <c r="AA366" s="396"/>
      <c r="AB366" s="397"/>
      <c r="AC366" s="398"/>
      <c r="AD366" s="399"/>
      <c r="AE366" s="400"/>
      <c r="AF366" s="401"/>
      <c r="AG366" s="401">
        <f t="shared" si="27"/>
        <v>0</v>
      </c>
      <c r="AH366" s="401">
        <f t="shared" si="28"/>
        <v>0</v>
      </c>
      <c r="AI366" s="401">
        <f t="shared" si="29"/>
        <v>0</v>
      </c>
      <c r="AJ366" s="401">
        <f t="shared" si="30"/>
        <v>0</v>
      </c>
      <c r="AK366" s="401" t="str">
        <f t="shared" si="31"/>
        <v/>
      </c>
      <c r="AL366" s="402">
        <f t="shared" ca="1" si="32"/>
        <v>3</v>
      </c>
      <c r="AM366" s="402">
        <f t="shared" ca="1" si="33"/>
        <v>2</v>
      </c>
      <c r="AN366" s="402">
        <f t="shared" ca="1" si="34"/>
        <v>6</v>
      </c>
      <c r="AO366" s="402">
        <f t="shared" ca="1" si="35"/>
        <v>6</v>
      </c>
      <c r="AP366" s="402">
        <f t="shared" ca="1" si="36"/>
        <v>0</v>
      </c>
      <c r="AQ366" s="402">
        <f t="shared" ca="1" si="37"/>
        <v>0</v>
      </c>
      <c r="AR366" s="402">
        <f t="shared" ca="1" si="38"/>
        <v>0</v>
      </c>
      <c r="AS366" s="403"/>
      <c r="AT366" s="402">
        <f t="shared" si="39"/>
        <v>1</v>
      </c>
    </row>
    <row r="367" spans="1:46" ht="15.75" customHeight="1">
      <c r="A367" s="382"/>
      <c r="B367" s="383">
        <f t="shared" ca="1" si="20"/>
        <v>3</v>
      </c>
      <c r="C367" s="384">
        <f t="shared" ca="1" si="21"/>
        <v>2</v>
      </c>
      <c r="D367" s="384">
        <f t="shared" ca="1" si="22"/>
        <v>7</v>
      </c>
      <c r="E367" s="384" t="str">
        <f t="shared" ca="1" si="23"/>
        <v/>
      </c>
      <c r="F367" s="384" t="str">
        <f t="shared" ca="1" si="24"/>
        <v/>
      </c>
      <c r="G367" s="385" t="str">
        <f t="shared" ca="1" si="25"/>
        <v/>
      </c>
      <c r="H367" s="386" t="str">
        <f t="shared" ca="1" si="26"/>
        <v/>
      </c>
      <c r="I367" s="404"/>
      <c r="J367" s="415"/>
      <c r="K367" s="428" t="s">
        <v>364</v>
      </c>
      <c r="L367" s="428"/>
      <c r="M367" s="428"/>
      <c r="N367" s="428"/>
      <c r="O367" s="428"/>
      <c r="P367" s="428"/>
      <c r="Q367" s="429"/>
      <c r="R367" s="417"/>
      <c r="S367" s="418"/>
      <c r="T367" s="419"/>
      <c r="U367" s="418"/>
      <c r="V367" s="419"/>
      <c r="W367" s="430"/>
      <c r="X367" s="431"/>
      <c r="Y367" s="434"/>
      <c r="Z367" s="433"/>
      <c r="AA367" s="396"/>
      <c r="AB367" s="397"/>
      <c r="AC367" s="398"/>
      <c r="AD367" s="399"/>
      <c r="AE367" s="400"/>
      <c r="AF367" s="401"/>
      <c r="AG367" s="401">
        <f t="shared" si="27"/>
        <v>0</v>
      </c>
      <c r="AH367" s="401">
        <f t="shared" si="28"/>
        <v>0</v>
      </c>
      <c r="AI367" s="401">
        <f t="shared" si="29"/>
        <v>0</v>
      </c>
      <c r="AJ367" s="401">
        <f t="shared" si="30"/>
        <v>0</v>
      </c>
      <c r="AK367" s="401" t="str">
        <f t="shared" si="31"/>
        <v/>
      </c>
      <c r="AL367" s="402">
        <f t="shared" ca="1" si="32"/>
        <v>3</v>
      </c>
      <c r="AM367" s="402">
        <f t="shared" ca="1" si="33"/>
        <v>2</v>
      </c>
      <c r="AN367" s="402">
        <f t="shared" ca="1" si="34"/>
        <v>7</v>
      </c>
      <c r="AO367" s="402">
        <f t="shared" ca="1" si="35"/>
        <v>0</v>
      </c>
      <c r="AP367" s="402">
        <f t="shared" ca="1" si="36"/>
        <v>0</v>
      </c>
      <c r="AQ367" s="402">
        <f t="shared" ca="1" si="37"/>
        <v>0</v>
      </c>
      <c r="AR367" s="402">
        <f t="shared" ca="1" si="38"/>
        <v>0</v>
      </c>
      <c r="AS367" s="403"/>
      <c r="AT367" s="402">
        <f t="shared" si="39"/>
        <v>1</v>
      </c>
    </row>
    <row r="368" spans="1:46" ht="15.75" customHeight="1">
      <c r="A368" s="382"/>
      <c r="B368" s="383">
        <f t="shared" ca="1" si="20"/>
        <v>3</v>
      </c>
      <c r="C368" s="384">
        <f t="shared" ca="1" si="21"/>
        <v>2</v>
      </c>
      <c r="D368" s="384">
        <f t="shared" ca="1" si="22"/>
        <v>7</v>
      </c>
      <c r="E368" s="384">
        <f t="shared" ca="1" si="23"/>
        <v>1</v>
      </c>
      <c r="F368" s="384" t="str">
        <f t="shared" ca="1" si="24"/>
        <v/>
      </c>
      <c r="G368" s="385" t="str">
        <f t="shared" ca="1" si="25"/>
        <v/>
      </c>
      <c r="H368" s="386" t="str">
        <f t="shared" ca="1" si="26"/>
        <v/>
      </c>
      <c r="I368" s="404"/>
      <c r="J368" s="415"/>
      <c r="K368" s="428"/>
      <c r="L368" s="428" t="s">
        <v>59</v>
      </c>
      <c r="M368" s="428"/>
      <c r="N368" s="428"/>
      <c r="O368" s="428"/>
      <c r="P368" s="428"/>
      <c r="Q368" s="429"/>
      <c r="R368" s="417"/>
      <c r="S368" s="418"/>
      <c r="T368" s="419"/>
      <c r="U368" s="418"/>
      <c r="V368" s="419"/>
      <c r="W368" s="430"/>
      <c r="X368" s="431"/>
      <c r="Y368" s="434"/>
      <c r="Z368" s="433"/>
      <c r="AA368" s="396"/>
      <c r="AB368" s="397"/>
      <c r="AC368" s="398"/>
      <c r="AD368" s="399"/>
      <c r="AE368" s="400"/>
      <c r="AF368" s="401"/>
      <c r="AG368" s="401">
        <f t="shared" si="27"/>
        <v>0</v>
      </c>
      <c r="AH368" s="401">
        <f t="shared" si="28"/>
        <v>0</v>
      </c>
      <c r="AI368" s="401">
        <f t="shared" si="29"/>
        <v>0</v>
      </c>
      <c r="AJ368" s="401">
        <f t="shared" si="30"/>
        <v>0</v>
      </c>
      <c r="AK368" s="401" t="str">
        <f t="shared" si="31"/>
        <v/>
      </c>
      <c r="AL368" s="402">
        <f t="shared" ca="1" si="32"/>
        <v>3</v>
      </c>
      <c r="AM368" s="402">
        <f t="shared" ca="1" si="33"/>
        <v>2</v>
      </c>
      <c r="AN368" s="402">
        <f t="shared" ca="1" si="34"/>
        <v>7</v>
      </c>
      <c r="AO368" s="402">
        <f t="shared" ca="1" si="35"/>
        <v>1</v>
      </c>
      <c r="AP368" s="402">
        <f t="shared" ca="1" si="36"/>
        <v>0</v>
      </c>
      <c r="AQ368" s="402">
        <f t="shared" ca="1" si="37"/>
        <v>0</v>
      </c>
      <c r="AR368" s="402">
        <f t="shared" ca="1" si="38"/>
        <v>0</v>
      </c>
      <c r="AS368" s="403"/>
      <c r="AT368" s="402">
        <f t="shared" si="39"/>
        <v>1</v>
      </c>
    </row>
    <row r="369" spans="1:46" ht="15.75" customHeight="1">
      <c r="A369" s="382"/>
      <c r="B369" s="383">
        <f t="shared" ca="1" si="20"/>
        <v>3</v>
      </c>
      <c r="C369" s="384">
        <f t="shared" ca="1" si="21"/>
        <v>2</v>
      </c>
      <c r="D369" s="384">
        <f t="shared" ca="1" si="22"/>
        <v>7</v>
      </c>
      <c r="E369" s="384">
        <f t="shared" ca="1" si="23"/>
        <v>2</v>
      </c>
      <c r="F369" s="384" t="str">
        <f t="shared" ca="1" si="24"/>
        <v/>
      </c>
      <c r="G369" s="385" t="str">
        <f t="shared" ca="1" si="25"/>
        <v/>
      </c>
      <c r="H369" s="386" t="str">
        <f t="shared" ca="1" si="26"/>
        <v/>
      </c>
      <c r="I369" s="404"/>
      <c r="J369" s="415"/>
      <c r="K369" s="428"/>
      <c r="L369" s="428" t="s">
        <v>61</v>
      </c>
      <c r="M369" s="428"/>
      <c r="N369" s="428"/>
      <c r="O369" s="428"/>
      <c r="P369" s="428"/>
      <c r="Q369" s="429"/>
      <c r="R369" s="417"/>
      <c r="S369" s="418"/>
      <c r="T369" s="419"/>
      <c r="U369" s="418"/>
      <c r="V369" s="419"/>
      <c r="W369" s="430"/>
      <c r="X369" s="431"/>
      <c r="Y369" s="434"/>
      <c r="Z369" s="433"/>
      <c r="AA369" s="396"/>
      <c r="AB369" s="397"/>
      <c r="AC369" s="398"/>
      <c r="AD369" s="399"/>
      <c r="AE369" s="400"/>
      <c r="AF369" s="401"/>
      <c r="AG369" s="401">
        <f t="shared" si="27"/>
        <v>0</v>
      </c>
      <c r="AH369" s="401">
        <f t="shared" si="28"/>
        <v>0</v>
      </c>
      <c r="AI369" s="401">
        <f t="shared" si="29"/>
        <v>0</v>
      </c>
      <c r="AJ369" s="401">
        <f t="shared" si="30"/>
        <v>0</v>
      </c>
      <c r="AK369" s="401" t="str">
        <f t="shared" si="31"/>
        <v/>
      </c>
      <c r="AL369" s="402">
        <f t="shared" ca="1" si="32"/>
        <v>3</v>
      </c>
      <c r="AM369" s="402">
        <f t="shared" ca="1" si="33"/>
        <v>2</v>
      </c>
      <c r="AN369" s="402">
        <f t="shared" ca="1" si="34"/>
        <v>7</v>
      </c>
      <c r="AO369" s="402">
        <f t="shared" ca="1" si="35"/>
        <v>2</v>
      </c>
      <c r="AP369" s="402">
        <f t="shared" ca="1" si="36"/>
        <v>0</v>
      </c>
      <c r="AQ369" s="402">
        <f t="shared" ca="1" si="37"/>
        <v>0</v>
      </c>
      <c r="AR369" s="402">
        <f t="shared" ca="1" si="38"/>
        <v>0</v>
      </c>
      <c r="AS369" s="403"/>
      <c r="AT369" s="402">
        <f t="shared" si="39"/>
        <v>1</v>
      </c>
    </row>
    <row r="370" spans="1:46" ht="15.75" customHeight="1">
      <c r="A370" s="382"/>
      <c r="B370" s="383">
        <f t="shared" ca="1" si="20"/>
        <v>3</v>
      </c>
      <c r="C370" s="384">
        <f t="shared" ca="1" si="21"/>
        <v>2</v>
      </c>
      <c r="D370" s="384">
        <f t="shared" ca="1" si="22"/>
        <v>7</v>
      </c>
      <c r="E370" s="384">
        <f t="shared" ca="1" si="23"/>
        <v>3</v>
      </c>
      <c r="F370" s="384" t="str">
        <f t="shared" ca="1" si="24"/>
        <v/>
      </c>
      <c r="G370" s="385" t="str">
        <f t="shared" ca="1" si="25"/>
        <v/>
      </c>
      <c r="H370" s="386" t="str">
        <f t="shared" ca="1" si="26"/>
        <v/>
      </c>
      <c r="I370" s="404"/>
      <c r="J370" s="415"/>
      <c r="K370" s="428"/>
      <c r="L370" s="428" t="s">
        <v>63</v>
      </c>
      <c r="M370" s="428"/>
      <c r="N370" s="428"/>
      <c r="O370" s="428"/>
      <c r="P370" s="428"/>
      <c r="Q370" s="429"/>
      <c r="R370" s="417"/>
      <c r="S370" s="418"/>
      <c r="T370" s="419"/>
      <c r="U370" s="418"/>
      <c r="V370" s="419"/>
      <c r="W370" s="430"/>
      <c r="X370" s="431"/>
      <c r="Y370" s="434"/>
      <c r="Z370" s="433"/>
      <c r="AA370" s="396"/>
      <c r="AB370" s="397"/>
      <c r="AC370" s="398"/>
      <c r="AD370" s="399"/>
      <c r="AE370" s="400"/>
      <c r="AF370" s="401"/>
      <c r="AG370" s="401">
        <f t="shared" si="27"/>
        <v>0</v>
      </c>
      <c r="AH370" s="401">
        <f t="shared" si="28"/>
        <v>0</v>
      </c>
      <c r="AI370" s="401">
        <f t="shared" si="29"/>
        <v>0</v>
      </c>
      <c r="AJ370" s="401">
        <f t="shared" si="30"/>
        <v>0</v>
      </c>
      <c r="AK370" s="401" t="str">
        <f t="shared" si="31"/>
        <v/>
      </c>
      <c r="AL370" s="402">
        <f t="shared" ca="1" si="32"/>
        <v>3</v>
      </c>
      <c r="AM370" s="402">
        <f t="shared" ca="1" si="33"/>
        <v>2</v>
      </c>
      <c r="AN370" s="402">
        <f t="shared" ca="1" si="34"/>
        <v>7</v>
      </c>
      <c r="AO370" s="402">
        <f t="shared" ca="1" si="35"/>
        <v>3</v>
      </c>
      <c r="AP370" s="402">
        <f t="shared" ca="1" si="36"/>
        <v>0</v>
      </c>
      <c r="AQ370" s="402">
        <f t="shared" ca="1" si="37"/>
        <v>0</v>
      </c>
      <c r="AR370" s="402">
        <f t="shared" ca="1" si="38"/>
        <v>0</v>
      </c>
      <c r="AS370" s="403"/>
      <c r="AT370" s="402">
        <f t="shared" si="39"/>
        <v>1</v>
      </c>
    </row>
    <row r="371" spans="1:46" ht="15.75" customHeight="1">
      <c r="A371" s="382"/>
      <c r="B371" s="383">
        <f t="shared" ca="1" si="20"/>
        <v>3</v>
      </c>
      <c r="C371" s="384">
        <f t="shared" ca="1" si="21"/>
        <v>2</v>
      </c>
      <c r="D371" s="384">
        <f t="shared" ca="1" si="22"/>
        <v>7</v>
      </c>
      <c r="E371" s="384">
        <f t="shared" ca="1" si="23"/>
        <v>4</v>
      </c>
      <c r="F371" s="384" t="str">
        <f t="shared" ca="1" si="24"/>
        <v/>
      </c>
      <c r="G371" s="385" t="str">
        <f t="shared" ca="1" si="25"/>
        <v/>
      </c>
      <c r="H371" s="386" t="str">
        <f t="shared" ca="1" si="26"/>
        <v/>
      </c>
      <c r="I371" s="404"/>
      <c r="J371" s="415"/>
      <c r="K371" s="428"/>
      <c r="L371" s="428" t="s">
        <v>64</v>
      </c>
      <c r="M371" s="428"/>
      <c r="N371" s="428"/>
      <c r="O371" s="428"/>
      <c r="P371" s="428"/>
      <c r="Q371" s="429"/>
      <c r="R371" s="417"/>
      <c r="S371" s="418"/>
      <c r="T371" s="419"/>
      <c r="U371" s="418"/>
      <c r="V371" s="419"/>
      <c r="W371" s="430"/>
      <c r="X371" s="431"/>
      <c r="Y371" s="434"/>
      <c r="Z371" s="433"/>
      <c r="AA371" s="396"/>
      <c r="AB371" s="397"/>
      <c r="AC371" s="398"/>
      <c r="AD371" s="399"/>
      <c r="AE371" s="400"/>
      <c r="AF371" s="401"/>
      <c r="AG371" s="401">
        <f t="shared" si="27"/>
        <v>0</v>
      </c>
      <c r="AH371" s="401">
        <f t="shared" si="28"/>
        <v>0</v>
      </c>
      <c r="AI371" s="401">
        <f t="shared" si="29"/>
        <v>0</v>
      </c>
      <c r="AJ371" s="401">
        <f t="shared" si="30"/>
        <v>0</v>
      </c>
      <c r="AK371" s="401" t="str">
        <f t="shared" si="31"/>
        <v/>
      </c>
      <c r="AL371" s="402">
        <f t="shared" ca="1" si="32"/>
        <v>3</v>
      </c>
      <c r="AM371" s="402">
        <f t="shared" ca="1" si="33"/>
        <v>2</v>
      </c>
      <c r="AN371" s="402">
        <f t="shared" ca="1" si="34"/>
        <v>7</v>
      </c>
      <c r="AO371" s="402">
        <f t="shared" ca="1" si="35"/>
        <v>4</v>
      </c>
      <c r="AP371" s="402">
        <f t="shared" ca="1" si="36"/>
        <v>0</v>
      </c>
      <c r="AQ371" s="402">
        <f t="shared" ca="1" si="37"/>
        <v>0</v>
      </c>
      <c r="AR371" s="402">
        <f t="shared" ca="1" si="38"/>
        <v>0</v>
      </c>
      <c r="AS371" s="403"/>
      <c r="AT371" s="402">
        <f t="shared" si="39"/>
        <v>1</v>
      </c>
    </row>
    <row r="372" spans="1:46" ht="15.75" customHeight="1">
      <c r="A372" s="382"/>
      <c r="B372" s="383">
        <f t="shared" ca="1" si="20"/>
        <v>3</v>
      </c>
      <c r="C372" s="384">
        <f t="shared" ca="1" si="21"/>
        <v>2</v>
      </c>
      <c r="D372" s="384">
        <f t="shared" ca="1" si="22"/>
        <v>7</v>
      </c>
      <c r="E372" s="384">
        <f t="shared" ca="1" si="23"/>
        <v>5</v>
      </c>
      <c r="F372" s="384" t="str">
        <f t="shared" ca="1" si="24"/>
        <v/>
      </c>
      <c r="G372" s="385" t="str">
        <f t="shared" ca="1" si="25"/>
        <v/>
      </c>
      <c r="H372" s="386" t="str">
        <f t="shared" ca="1" si="26"/>
        <v/>
      </c>
      <c r="I372" s="404"/>
      <c r="J372" s="415"/>
      <c r="K372" s="428"/>
      <c r="L372" s="428" t="s">
        <v>65</v>
      </c>
      <c r="M372" s="428"/>
      <c r="N372" s="428"/>
      <c r="O372" s="428"/>
      <c r="P372" s="428"/>
      <c r="Q372" s="429"/>
      <c r="R372" s="417"/>
      <c r="S372" s="418"/>
      <c r="T372" s="419"/>
      <c r="U372" s="418"/>
      <c r="V372" s="419"/>
      <c r="W372" s="430"/>
      <c r="X372" s="431"/>
      <c r="Y372" s="434"/>
      <c r="Z372" s="433"/>
      <c r="AA372" s="396"/>
      <c r="AB372" s="397"/>
      <c r="AC372" s="398"/>
      <c r="AD372" s="399"/>
      <c r="AE372" s="400"/>
      <c r="AF372" s="401"/>
      <c r="AG372" s="401">
        <f t="shared" si="27"/>
        <v>0</v>
      </c>
      <c r="AH372" s="401">
        <f t="shared" si="28"/>
        <v>0</v>
      </c>
      <c r="AI372" s="401">
        <f t="shared" si="29"/>
        <v>0</v>
      </c>
      <c r="AJ372" s="401">
        <f t="shared" si="30"/>
        <v>0</v>
      </c>
      <c r="AK372" s="401" t="str">
        <f t="shared" si="31"/>
        <v/>
      </c>
      <c r="AL372" s="402">
        <f t="shared" ca="1" si="32"/>
        <v>3</v>
      </c>
      <c r="AM372" s="402">
        <f t="shared" ca="1" si="33"/>
        <v>2</v>
      </c>
      <c r="AN372" s="402">
        <f t="shared" ca="1" si="34"/>
        <v>7</v>
      </c>
      <c r="AO372" s="402">
        <f t="shared" ca="1" si="35"/>
        <v>5</v>
      </c>
      <c r="AP372" s="402">
        <f t="shared" ca="1" si="36"/>
        <v>0</v>
      </c>
      <c r="AQ372" s="402">
        <f t="shared" ca="1" si="37"/>
        <v>0</v>
      </c>
      <c r="AR372" s="402">
        <f t="shared" ca="1" si="38"/>
        <v>0</v>
      </c>
      <c r="AS372" s="403"/>
      <c r="AT372" s="402">
        <f t="shared" si="39"/>
        <v>1</v>
      </c>
    </row>
    <row r="373" spans="1:46" ht="15.75" customHeight="1">
      <c r="A373" s="382"/>
      <c r="B373" s="383">
        <f t="shared" ca="1" si="20"/>
        <v>3</v>
      </c>
      <c r="C373" s="384">
        <f t="shared" ca="1" si="21"/>
        <v>2</v>
      </c>
      <c r="D373" s="384">
        <f t="shared" ca="1" si="22"/>
        <v>7</v>
      </c>
      <c r="E373" s="384">
        <f t="shared" ca="1" si="23"/>
        <v>6</v>
      </c>
      <c r="F373" s="384" t="str">
        <f t="shared" ca="1" si="24"/>
        <v/>
      </c>
      <c r="G373" s="385" t="str">
        <f t="shared" ca="1" si="25"/>
        <v/>
      </c>
      <c r="H373" s="386" t="str">
        <f t="shared" ca="1" si="26"/>
        <v/>
      </c>
      <c r="I373" s="404"/>
      <c r="J373" s="415"/>
      <c r="K373" s="428"/>
      <c r="L373" s="428" t="s">
        <v>66</v>
      </c>
      <c r="M373" s="428"/>
      <c r="N373" s="428"/>
      <c r="O373" s="428"/>
      <c r="P373" s="428"/>
      <c r="Q373" s="429"/>
      <c r="R373" s="417"/>
      <c r="S373" s="418"/>
      <c r="T373" s="419"/>
      <c r="U373" s="418"/>
      <c r="V373" s="419"/>
      <c r="W373" s="430"/>
      <c r="X373" s="431"/>
      <c r="Y373" s="434"/>
      <c r="Z373" s="433"/>
      <c r="AA373" s="396"/>
      <c r="AB373" s="397"/>
      <c r="AC373" s="398"/>
      <c r="AD373" s="399"/>
      <c r="AE373" s="400"/>
      <c r="AF373" s="401"/>
      <c r="AG373" s="401">
        <f t="shared" si="27"/>
        <v>0</v>
      </c>
      <c r="AH373" s="401">
        <f t="shared" si="28"/>
        <v>0</v>
      </c>
      <c r="AI373" s="401">
        <f t="shared" si="29"/>
        <v>0</v>
      </c>
      <c r="AJ373" s="401">
        <f t="shared" si="30"/>
        <v>0</v>
      </c>
      <c r="AK373" s="401" t="str">
        <f t="shared" si="31"/>
        <v/>
      </c>
      <c r="AL373" s="402">
        <f t="shared" ca="1" si="32"/>
        <v>3</v>
      </c>
      <c r="AM373" s="402">
        <f t="shared" ca="1" si="33"/>
        <v>2</v>
      </c>
      <c r="AN373" s="402">
        <f t="shared" ca="1" si="34"/>
        <v>7</v>
      </c>
      <c r="AO373" s="402">
        <f t="shared" ca="1" si="35"/>
        <v>6</v>
      </c>
      <c r="AP373" s="402">
        <f t="shared" ca="1" si="36"/>
        <v>0</v>
      </c>
      <c r="AQ373" s="402">
        <f t="shared" ca="1" si="37"/>
        <v>0</v>
      </c>
      <c r="AR373" s="402">
        <f t="shared" ca="1" si="38"/>
        <v>0</v>
      </c>
      <c r="AS373" s="403"/>
      <c r="AT373" s="402">
        <f t="shared" si="39"/>
        <v>1</v>
      </c>
    </row>
    <row r="374" spans="1:46" ht="15.75" customHeight="1">
      <c r="A374" s="382"/>
      <c r="B374" s="383">
        <f t="shared" ca="1" si="20"/>
        <v>3</v>
      </c>
      <c r="C374" s="384">
        <f t="shared" ca="1" si="21"/>
        <v>2</v>
      </c>
      <c r="D374" s="384">
        <f t="shared" ca="1" si="22"/>
        <v>8</v>
      </c>
      <c r="E374" s="384" t="str">
        <f t="shared" ca="1" si="23"/>
        <v/>
      </c>
      <c r="F374" s="384" t="str">
        <f t="shared" ca="1" si="24"/>
        <v/>
      </c>
      <c r="G374" s="385" t="str">
        <f t="shared" ca="1" si="25"/>
        <v/>
      </c>
      <c r="H374" s="386" t="str">
        <f t="shared" ca="1" si="26"/>
        <v/>
      </c>
      <c r="I374" s="404"/>
      <c r="J374" s="415"/>
      <c r="K374" s="428" t="s">
        <v>365</v>
      </c>
      <c r="L374" s="428"/>
      <c r="M374" s="428"/>
      <c r="N374" s="428"/>
      <c r="O374" s="428"/>
      <c r="P374" s="428"/>
      <c r="Q374" s="429"/>
      <c r="R374" s="417"/>
      <c r="S374" s="418"/>
      <c r="T374" s="419"/>
      <c r="U374" s="418"/>
      <c r="V374" s="419"/>
      <c r="W374" s="430"/>
      <c r="X374" s="431"/>
      <c r="Y374" s="434"/>
      <c r="Z374" s="433"/>
      <c r="AA374" s="396"/>
      <c r="AB374" s="397"/>
      <c r="AC374" s="398"/>
      <c r="AD374" s="399"/>
      <c r="AE374" s="400"/>
      <c r="AF374" s="401"/>
      <c r="AG374" s="401">
        <f t="shared" si="27"/>
        <v>0</v>
      </c>
      <c r="AH374" s="401">
        <f t="shared" si="28"/>
        <v>0</v>
      </c>
      <c r="AI374" s="401">
        <f t="shared" si="29"/>
        <v>0</v>
      </c>
      <c r="AJ374" s="401">
        <f t="shared" si="30"/>
        <v>0</v>
      </c>
      <c r="AK374" s="401" t="str">
        <f t="shared" si="31"/>
        <v/>
      </c>
      <c r="AL374" s="402">
        <f t="shared" ca="1" si="32"/>
        <v>3</v>
      </c>
      <c r="AM374" s="402">
        <f t="shared" ca="1" si="33"/>
        <v>2</v>
      </c>
      <c r="AN374" s="402">
        <f t="shared" ca="1" si="34"/>
        <v>8</v>
      </c>
      <c r="AO374" s="402">
        <f t="shared" ca="1" si="35"/>
        <v>0</v>
      </c>
      <c r="AP374" s="402">
        <f t="shared" ca="1" si="36"/>
        <v>0</v>
      </c>
      <c r="AQ374" s="402">
        <f t="shared" ca="1" si="37"/>
        <v>0</v>
      </c>
      <c r="AR374" s="402">
        <f t="shared" ca="1" si="38"/>
        <v>0</v>
      </c>
      <c r="AS374" s="403"/>
      <c r="AT374" s="402">
        <f t="shared" si="39"/>
        <v>1</v>
      </c>
    </row>
    <row r="375" spans="1:46" ht="15.75" customHeight="1">
      <c r="A375" s="382"/>
      <c r="B375" s="383">
        <f t="shared" ca="1" si="20"/>
        <v>3</v>
      </c>
      <c r="C375" s="384">
        <f t="shared" ca="1" si="21"/>
        <v>2</v>
      </c>
      <c r="D375" s="384">
        <f t="shared" ca="1" si="22"/>
        <v>8</v>
      </c>
      <c r="E375" s="384">
        <f t="shared" ca="1" si="23"/>
        <v>1</v>
      </c>
      <c r="F375" s="384" t="str">
        <f t="shared" ca="1" si="24"/>
        <v/>
      </c>
      <c r="G375" s="385" t="str">
        <f t="shared" ca="1" si="25"/>
        <v/>
      </c>
      <c r="H375" s="386" t="str">
        <f t="shared" ca="1" si="26"/>
        <v/>
      </c>
      <c r="I375" s="404"/>
      <c r="J375" s="415"/>
      <c r="K375" s="428"/>
      <c r="L375" s="428" t="s">
        <v>59</v>
      </c>
      <c r="M375" s="428"/>
      <c r="N375" s="428"/>
      <c r="O375" s="428"/>
      <c r="P375" s="428"/>
      <c r="Q375" s="429"/>
      <c r="R375" s="417"/>
      <c r="S375" s="418"/>
      <c r="T375" s="419"/>
      <c r="U375" s="418"/>
      <c r="V375" s="419"/>
      <c r="W375" s="430"/>
      <c r="X375" s="431"/>
      <c r="Y375" s="434"/>
      <c r="Z375" s="433"/>
      <c r="AA375" s="396"/>
      <c r="AB375" s="397"/>
      <c r="AC375" s="398"/>
      <c r="AD375" s="399"/>
      <c r="AE375" s="400"/>
      <c r="AF375" s="401"/>
      <c r="AG375" s="401">
        <f t="shared" si="27"/>
        <v>0</v>
      </c>
      <c r="AH375" s="401">
        <f t="shared" si="28"/>
        <v>0</v>
      </c>
      <c r="AI375" s="401">
        <f t="shared" si="29"/>
        <v>0</v>
      </c>
      <c r="AJ375" s="401">
        <f t="shared" si="30"/>
        <v>0</v>
      </c>
      <c r="AK375" s="401" t="str">
        <f t="shared" si="31"/>
        <v/>
      </c>
      <c r="AL375" s="402">
        <f t="shared" ca="1" si="32"/>
        <v>3</v>
      </c>
      <c r="AM375" s="402">
        <f t="shared" ca="1" si="33"/>
        <v>2</v>
      </c>
      <c r="AN375" s="402">
        <f t="shared" ca="1" si="34"/>
        <v>8</v>
      </c>
      <c r="AO375" s="402">
        <f t="shared" ca="1" si="35"/>
        <v>1</v>
      </c>
      <c r="AP375" s="402">
        <f t="shared" ca="1" si="36"/>
        <v>0</v>
      </c>
      <c r="AQ375" s="402">
        <f t="shared" ca="1" si="37"/>
        <v>0</v>
      </c>
      <c r="AR375" s="402">
        <f t="shared" ca="1" si="38"/>
        <v>0</v>
      </c>
      <c r="AS375" s="403"/>
      <c r="AT375" s="402">
        <f t="shared" si="39"/>
        <v>1</v>
      </c>
    </row>
    <row r="376" spans="1:46" ht="15.75" customHeight="1">
      <c r="A376" s="382"/>
      <c r="B376" s="383">
        <f t="shared" ca="1" si="20"/>
        <v>3</v>
      </c>
      <c r="C376" s="384">
        <f t="shared" ca="1" si="21"/>
        <v>2</v>
      </c>
      <c r="D376" s="384">
        <f t="shared" ca="1" si="22"/>
        <v>8</v>
      </c>
      <c r="E376" s="384">
        <f t="shared" ca="1" si="23"/>
        <v>2</v>
      </c>
      <c r="F376" s="384" t="str">
        <f t="shared" ca="1" si="24"/>
        <v/>
      </c>
      <c r="G376" s="385" t="str">
        <f t="shared" ca="1" si="25"/>
        <v/>
      </c>
      <c r="H376" s="386" t="str">
        <f t="shared" ca="1" si="26"/>
        <v/>
      </c>
      <c r="I376" s="404"/>
      <c r="J376" s="415"/>
      <c r="K376" s="428"/>
      <c r="L376" s="428" t="s">
        <v>61</v>
      </c>
      <c r="M376" s="428"/>
      <c r="N376" s="428"/>
      <c r="O376" s="428"/>
      <c r="P376" s="428"/>
      <c r="Q376" s="429"/>
      <c r="R376" s="417"/>
      <c r="S376" s="418"/>
      <c r="T376" s="419"/>
      <c r="U376" s="418"/>
      <c r="V376" s="419"/>
      <c r="W376" s="430"/>
      <c r="X376" s="431"/>
      <c r="Y376" s="434"/>
      <c r="Z376" s="433"/>
      <c r="AA376" s="396"/>
      <c r="AB376" s="397"/>
      <c r="AC376" s="398"/>
      <c r="AD376" s="399"/>
      <c r="AE376" s="400"/>
      <c r="AF376" s="401"/>
      <c r="AG376" s="401">
        <f t="shared" si="27"/>
        <v>0</v>
      </c>
      <c r="AH376" s="401">
        <f t="shared" si="28"/>
        <v>0</v>
      </c>
      <c r="AI376" s="401">
        <f t="shared" si="29"/>
        <v>0</v>
      </c>
      <c r="AJ376" s="401">
        <f t="shared" si="30"/>
        <v>0</v>
      </c>
      <c r="AK376" s="401" t="str">
        <f t="shared" si="31"/>
        <v/>
      </c>
      <c r="AL376" s="402">
        <f t="shared" ca="1" si="32"/>
        <v>3</v>
      </c>
      <c r="AM376" s="402">
        <f t="shared" ca="1" si="33"/>
        <v>2</v>
      </c>
      <c r="AN376" s="402">
        <f t="shared" ca="1" si="34"/>
        <v>8</v>
      </c>
      <c r="AO376" s="402">
        <f t="shared" ca="1" si="35"/>
        <v>2</v>
      </c>
      <c r="AP376" s="402">
        <f t="shared" ca="1" si="36"/>
        <v>0</v>
      </c>
      <c r="AQ376" s="402">
        <f t="shared" ca="1" si="37"/>
        <v>0</v>
      </c>
      <c r="AR376" s="402">
        <f t="shared" ca="1" si="38"/>
        <v>0</v>
      </c>
      <c r="AS376" s="403"/>
      <c r="AT376" s="402">
        <f t="shared" si="39"/>
        <v>1</v>
      </c>
    </row>
    <row r="377" spans="1:46" ht="15.75" customHeight="1">
      <c r="A377" s="382"/>
      <c r="B377" s="383">
        <f t="shared" ca="1" si="20"/>
        <v>3</v>
      </c>
      <c r="C377" s="384">
        <f t="shared" ca="1" si="21"/>
        <v>2</v>
      </c>
      <c r="D377" s="384">
        <f t="shared" ca="1" si="22"/>
        <v>8</v>
      </c>
      <c r="E377" s="384">
        <f t="shared" ca="1" si="23"/>
        <v>3</v>
      </c>
      <c r="F377" s="384" t="str">
        <f t="shared" ca="1" si="24"/>
        <v/>
      </c>
      <c r="G377" s="385" t="str">
        <f t="shared" ca="1" si="25"/>
        <v/>
      </c>
      <c r="H377" s="386" t="str">
        <f t="shared" ca="1" si="26"/>
        <v/>
      </c>
      <c r="I377" s="404"/>
      <c r="J377" s="415"/>
      <c r="K377" s="428"/>
      <c r="L377" s="428" t="s">
        <v>63</v>
      </c>
      <c r="M377" s="428"/>
      <c r="N377" s="428"/>
      <c r="O377" s="428"/>
      <c r="P377" s="428"/>
      <c r="Q377" s="429"/>
      <c r="R377" s="417"/>
      <c r="S377" s="418"/>
      <c r="T377" s="419"/>
      <c r="U377" s="418"/>
      <c r="V377" s="419"/>
      <c r="W377" s="430"/>
      <c r="X377" s="431"/>
      <c r="Y377" s="434"/>
      <c r="Z377" s="433"/>
      <c r="AA377" s="396"/>
      <c r="AB377" s="397"/>
      <c r="AC377" s="398"/>
      <c r="AD377" s="399"/>
      <c r="AE377" s="400"/>
      <c r="AF377" s="401"/>
      <c r="AG377" s="401">
        <f t="shared" si="27"/>
        <v>0</v>
      </c>
      <c r="AH377" s="401">
        <f t="shared" si="28"/>
        <v>0</v>
      </c>
      <c r="AI377" s="401">
        <f t="shared" si="29"/>
        <v>0</v>
      </c>
      <c r="AJ377" s="401">
        <f t="shared" si="30"/>
        <v>0</v>
      </c>
      <c r="AK377" s="401" t="str">
        <f t="shared" si="31"/>
        <v/>
      </c>
      <c r="AL377" s="402">
        <f t="shared" ca="1" si="32"/>
        <v>3</v>
      </c>
      <c r="AM377" s="402">
        <f t="shared" ca="1" si="33"/>
        <v>2</v>
      </c>
      <c r="AN377" s="402">
        <f t="shared" ca="1" si="34"/>
        <v>8</v>
      </c>
      <c r="AO377" s="402">
        <f t="shared" ca="1" si="35"/>
        <v>3</v>
      </c>
      <c r="AP377" s="402">
        <f t="shared" ca="1" si="36"/>
        <v>0</v>
      </c>
      <c r="AQ377" s="402">
        <f t="shared" ca="1" si="37"/>
        <v>0</v>
      </c>
      <c r="AR377" s="402">
        <f t="shared" ca="1" si="38"/>
        <v>0</v>
      </c>
      <c r="AS377" s="403"/>
      <c r="AT377" s="402">
        <f t="shared" si="39"/>
        <v>1</v>
      </c>
    </row>
    <row r="378" spans="1:46" ht="15.75" customHeight="1">
      <c r="A378" s="382"/>
      <c r="B378" s="383">
        <f t="shared" ca="1" si="20"/>
        <v>3</v>
      </c>
      <c r="C378" s="384">
        <f t="shared" ca="1" si="21"/>
        <v>2</v>
      </c>
      <c r="D378" s="384">
        <f t="shared" ca="1" si="22"/>
        <v>8</v>
      </c>
      <c r="E378" s="384">
        <f t="shared" ca="1" si="23"/>
        <v>4</v>
      </c>
      <c r="F378" s="384" t="str">
        <f t="shared" ca="1" si="24"/>
        <v/>
      </c>
      <c r="G378" s="385" t="str">
        <f t="shared" ca="1" si="25"/>
        <v/>
      </c>
      <c r="H378" s="386" t="str">
        <f t="shared" ca="1" si="26"/>
        <v/>
      </c>
      <c r="I378" s="404"/>
      <c r="J378" s="415"/>
      <c r="K378" s="428"/>
      <c r="L378" s="428" t="s">
        <v>64</v>
      </c>
      <c r="M378" s="428"/>
      <c r="N378" s="428"/>
      <c r="O378" s="428"/>
      <c r="P378" s="428"/>
      <c r="Q378" s="429"/>
      <c r="R378" s="417"/>
      <c r="S378" s="418"/>
      <c r="T378" s="419"/>
      <c r="U378" s="418"/>
      <c r="V378" s="419"/>
      <c r="W378" s="430"/>
      <c r="X378" s="431"/>
      <c r="Y378" s="434"/>
      <c r="Z378" s="433"/>
      <c r="AA378" s="396"/>
      <c r="AB378" s="397"/>
      <c r="AC378" s="398"/>
      <c r="AD378" s="399"/>
      <c r="AE378" s="400"/>
      <c r="AF378" s="401"/>
      <c r="AG378" s="401">
        <f t="shared" si="27"/>
        <v>0</v>
      </c>
      <c r="AH378" s="401">
        <f t="shared" si="28"/>
        <v>0</v>
      </c>
      <c r="AI378" s="401">
        <f t="shared" si="29"/>
        <v>0</v>
      </c>
      <c r="AJ378" s="401">
        <f t="shared" si="30"/>
        <v>0</v>
      </c>
      <c r="AK378" s="401" t="str">
        <f t="shared" si="31"/>
        <v/>
      </c>
      <c r="AL378" s="402">
        <f t="shared" ca="1" si="32"/>
        <v>3</v>
      </c>
      <c r="AM378" s="402">
        <f t="shared" ca="1" si="33"/>
        <v>2</v>
      </c>
      <c r="AN378" s="402">
        <f t="shared" ca="1" si="34"/>
        <v>8</v>
      </c>
      <c r="AO378" s="402">
        <f t="shared" ca="1" si="35"/>
        <v>4</v>
      </c>
      <c r="AP378" s="402">
        <f t="shared" ca="1" si="36"/>
        <v>0</v>
      </c>
      <c r="AQ378" s="402">
        <f t="shared" ca="1" si="37"/>
        <v>0</v>
      </c>
      <c r="AR378" s="402">
        <f t="shared" ca="1" si="38"/>
        <v>0</v>
      </c>
      <c r="AS378" s="403"/>
      <c r="AT378" s="402">
        <f t="shared" si="39"/>
        <v>1</v>
      </c>
    </row>
    <row r="379" spans="1:46" ht="15.75" customHeight="1">
      <c r="A379" s="382"/>
      <c r="B379" s="383">
        <f t="shared" ca="1" si="20"/>
        <v>3</v>
      </c>
      <c r="C379" s="384">
        <f t="shared" ca="1" si="21"/>
        <v>2</v>
      </c>
      <c r="D379" s="384">
        <f t="shared" ca="1" si="22"/>
        <v>8</v>
      </c>
      <c r="E379" s="384">
        <f t="shared" ca="1" si="23"/>
        <v>5</v>
      </c>
      <c r="F379" s="384" t="str">
        <f t="shared" ca="1" si="24"/>
        <v/>
      </c>
      <c r="G379" s="385" t="str">
        <f t="shared" ca="1" si="25"/>
        <v/>
      </c>
      <c r="H379" s="386" t="str">
        <f t="shared" ca="1" si="26"/>
        <v/>
      </c>
      <c r="I379" s="404"/>
      <c r="J379" s="415"/>
      <c r="K379" s="428"/>
      <c r="L379" s="428" t="s">
        <v>65</v>
      </c>
      <c r="M379" s="428"/>
      <c r="N379" s="428"/>
      <c r="O379" s="428"/>
      <c r="P379" s="428"/>
      <c r="Q379" s="429"/>
      <c r="R379" s="417"/>
      <c r="S379" s="418"/>
      <c r="T379" s="419"/>
      <c r="U379" s="418"/>
      <c r="V379" s="419"/>
      <c r="W379" s="430"/>
      <c r="X379" s="431"/>
      <c r="Y379" s="434"/>
      <c r="Z379" s="433"/>
      <c r="AA379" s="396"/>
      <c r="AB379" s="397"/>
      <c r="AC379" s="398"/>
      <c r="AD379" s="399"/>
      <c r="AE379" s="400"/>
      <c r="AF379" s="401"/>
      <c r="AG379" s="401">
        <f t="shared" si="27"/>
        <v>0</v>
      </c>
      <c r="AH379" s="401">
        <f t="shared" si="28"/>
        <v>0</v>
      </c>
      <c r="AI379" s="401">
        <f t="shared" si="29"/>
        <v>0</v>
      </c>
      <c r="AJ379" s="401">
        <f t="shared" si="30"/>
        <v>0</v>
      </c>
      <c r="AK379" s="401" t="str">
        <f t="shared" si="31"/>
        <v/>
      </c>
      <c r="AL379" s="402">
        <f t="shared" ca="1" si="32"/>
        <v>3</v>
      </c>
      <c r="AM379" s="402">
        <f t="shared" ca="1" si="33"/>
        <v>2</v>
      </c>
      <c r="AN379" s="402">
        <f t="shared" ca="1" si="34"/>
        <v>8</v>
      </c>
      <c r="AO379" s="402">
        <f t="shared" ca="1" si="35"/>
        <v>5</v>
      </c>
      <c r="AP379" s="402">
        <f t="shared" ca="1" si="36"/>
        <v>0</v>
      </c>
      <c r="AQ379" s="402">
        <f t="shared" ca="1" si="37"/>
        <v>0</v>
      </c>
      <c r="AR379" s="402">
        <f t="shared" ca="1" si="38"/>
        <v>0</v>
      </c>
      <c r="AS379" s="403"/>
      <c r="AT379" s="402">
        <f t="shared" si="39"/>
        <v>1</v>
      </c>
    </row>
    <row r="380" spans="1:46" ht="15.75" customHeight="1">
      <c r="A380" s="382"/>
      <c r="B380" s="383">
        <f t="shared" ca="1" si="20"/>
        <v>3</v>
      </c>
      <c r="C380" s="384">
        <f t="shared" ca="1" si="21"/>
        <v>2</v>
      </c>
      <c r="D380" s="384">
        <f t="shared" ca="1" si="22"/>
        <v>8</v>
      </c>
      <c r="E380" s="384">
        <f t="shared" ca="1" si="23"/>
        <v>6</v>
      </c>
      <c r="F380" s="384" t="str">
        <f t="shared" ca="1" si="24"/>
        <v/>
      </c>
      <c r="G380" s="385" t="str">
        <f t="shared" ca="1" si="25"/>
        <v/>
      </c>
      <c r="H380" s="386" t="str">
        <f t="shared" ca="1" si="26"/>
        <v/>
      </c>
      <c r="I380" s="404"/>
      <c r="J380" s="415"/>
      <c r="K380" s="428"/>
      <c r="L380" s="428" t="s">
        <v>66</v>
      </c>
      <c r="M380" s="428"/>
      <c r="N380" s="428"/>
      <c r="O380" s="428"/>
      <c r="P380" s="428"/>
      <c r="Q380" s="429"/>
      <c r="R380" s="417"/>
      <c r="S380" s="418"/>
      <c r="T380" s="419"/>
      <c r="U380" s="418"/>
      <c r="V380" s="419"/>
      <c r="W380" s="430"/>
      <c r="X380" s="431"/>
      <c r="Y380" s="434"/>
      <c r="Z380" s="433"/>
      <c r="AA380" s="396"/>
      <c r="AB380" s="397"/>
      <c r="AC380" s="398"/>
      <c r="AD380" s="399"/>
      <c r="AE380" s="400"/>
      <c r="AF380" s="401"/>
      <c r="AG380" s="401">
        <f t="shared" si="27"/>
        <v>0</v>
      </c>
      <c r="AH380" s="401">
        <f t="shared" si="28"/>
        <v>0</v>
      </c>
      <c r="AI380" s="401">
        <f t="shared" si="29"/>
        <v>0</v>
      </c>
      <c r="AJ380" s="401">
        <f t="shared" si="30"/>
        <v>0</v>
      </c>
      <c r="AK380" s="401" t="str">
        <f t="shared" si="31"/>
        <v/>
      </c>
      <c r="AL380" s="402">
        <f t="shared" ca="1" si="32"/>
        <v>3</v>
      </c>
      <c r="AM380" s="402">
        <f t="shared" ca="1" si="33"/>
        <v>2</v>
      </c>
      <c r="AN380" s="402">
        <f t="shared" ca="1" si="34"/>
        <v>8</v>
      </c>
      <c r="AO380" s="402">
        <f t="shared" ca="1" si="35"/>
        <v>6</v>
      </c>
      <c r="AP380" s="402">
        <f t="shared" ca="1" si="36"/>
        <v>0</v>
      </c>
      <c r="AQ380" s="402">
        <f t="shared" ca="1" si="37"/>
        <v>0</v>
      </c>
      <c r="AR380" s="402">
        <f t="shared" ca="1" si="38"/>
        <v>0</v>
      </c>
      <c r="AS380" s="403"/>
      <c r="AT380" s="402">
        <f t="shared" si="39"/>
        <v>1</v>
      </c>
    </row>
    <row r="381" spans="1:46" ht="15.75" customHeight="1">
      <c r="A381" s="382"/>
      <c r="B381" s="383">
        <f t="shared" ca="1" si="20"/>
        <v>3</v>
      </c>
      <c r="C381" s="384">
        <f t="shared" ca="1" si="21"/>
        <v>2</v>
      </c>
      <c r="D381" s="384">
        <f t="shared" ca="1" si="22"/>
        <v>9</v>
      </c>
      <c r="E381" s="384" t="str">
        <f t="shared" ca="1" si="23"/>
        <v/>
      </c>
      <c r="F381" s="384" t="str">
        <f t="shared" ca="1" si="24"/>
        <v/>
      </c>
      <c r="G381" s="385" t="str">
        <f t="shared" ca="1" si="25"/>
        <v/>
      </c>
      <c r="H381" s="386" t="str">
        <f t="shared" ca="1" si="26"/>
        <v/>
      </c>
      <c r="I381" s="404"/>
      <c r="J381" s="415"/>
      <c r="K381" s="428" t="s">
        <v>366</v>
      </c>
      <c r="L381" s="428"/>
      <c r="M381" s="428"/>
      <c r="N381" s="428"/>
      <c r="O381" s="428"/>
      <c r="P381" s="428"/>
      <c r="Q381" s="429"/>
      <c r="R381" s="417"/>
      <c r="S381" s="418"/>
      <c r="T381" s="419"/>
      <c r="U381" s="418"/>
      <c r="V381" s="419"/>
      <c r="W381" s="430"/>
      <c r="X381" s="431"/>
      <c r="Y381" s="434"/>
      <c r="Z381" s="433"/>
      <c r="AA381" s="396"/>
      <c r="AB381" s="397"/>
      <c r="AC381" s="398"/>
      <c r="AD381" s="399"/>
      <c r="AE381" s="400"/>
      <c r="AF381" s="401"/>
      <c r="AG381" s="401">
        <f t="shared" si="27"/>
        <v>0</v>
      </c>
      <c r="AH381" s="401">
        <f t="shared" si="28"/>
        <v>0</v>
      </c>
      <c r="AI381" s="401">
        <f t="shared" si="29"/>
        <v>0</v>
      </c>
      <c r="AJ381" s="401">
        <f t="shared" si="30"/>
        <v>0</v>
      </c>
      <c r="AK381" s="401" t="str">
        <f t="shared" si="31"/>
        <v/>
      </c>
      <c r="AL381" s="402">
        <f t="shared" ca="1" si="32"/>
        <v>3</v>
      </c>
      <c r="AM381" s="402">
        <f t="shared" ca="1" si="33"/>
        <v>2</v>
      </c>
      <c r="AN381" s="402">
        <f t="shared" ca="1" si="34"/>
        <v>9</v>
      </c>
      <c r="AO381" s="402">
        <f t="shared" ca="1" si="35"/>
        <v>0</v>
      </c>
      <c r="AP381" s="402">
        <f t="shared" ca="1" si="36"/>
        <v>0</v>
      </c>
      <c r="AQ381" s="402">
        <f t="shared" ca="1" si="37"/>
        <v>0</v>
      </c>
      <c r="AR381" s="402">
        <f t="shared" ca="1" si="38"/>
        <v>0</v>
      </c>
      <c r="AS381" s="403"/>
      <c r="AT381" s="402">
        <f t="shared" si="39"/>
        <v>1</v>
      </c>
    </row>
    <row r="382" spans="1:46" ht="15.75" customHeight="1">
      <c r="A382" s="382"/>
      <c r="B382" s="383">
        <f t="shared" ca="1" si="20"/>
        <v>3</v>
      </c>
      <c r="C382" s="384">
        <f t="shared" ca="1" si="21"/>
        <v>2</v>
      </c>
      <c r="D382" s="384">
        <f t="shared" ca="1" si="22"/>
        <v>9</v>
      </c>
      <c r="E382" s="384">
        <f t="shared" ca="1" si="23"/>
        <v>1</v>
      </c>
      <c r="F382" s="384" t="str">
        <f t="shared" ca="1" si="24"/>
        <v/>
      </c>
      <c r="G382" s="385" t="str">
        <f t="shared" ca="1" si="25"/>
        <v/>
      </c>
      <c r="H382" s="386" t="str">
        <f t="shared" ca="1" si="26"/>
        <v/>
      </c>
      <c r="I382" s="404"/>
      <c r="J382" s="415"/>
      <c r="K382" s="428"/>
      <c r="L382" s="428" t="s">
        <v>59</v>
      </c>
      <c r="M382" s="428"/>
      <c r="N382" s="428"/>
      <c r="O382" s="428"/>
      <c r="P382" s="428"/>
      <c r="Q382" s="429"/>
      <c r="R382" s="417"/>
      <c r="S382" s="418"/>
      <c r="T382" s="419"/>
      <c r="U382" s="418"/>
      <c r="V382" s="419"/>
      <c r="W382" s="430"/>
      <c r="X382" s="431"/>
      <c r="Y382" s="434"/>
      <c r="Z382" s="433"/>
      <c r="AA382" s="396"/>
      <c r="AB382" s="397"/>
      <c r="AC382" s="398"/>
      <c r="AD382" s="399"/>
      <c r="AE382" s="400"/>
      <c r="AF382" s="401"/>
      <c r="AG382" s="401">
        <f t="shared" si="27"/>
        <v>0</v>
      </c>
      <c r="AH382" s="401">
        <f t="shared" si="28"/>
        <v>0</v>
      </c>
      <c r="AI382" s="401">
        <f t="shared" si="29"/>
        <v>0</v>
      </c>
      <c r="AJ382" s="401">
        <f t="shared" si="30"/>
        <v>0</v>
      </c>
      <c r="AK382" s="401" t="str">
        <f t="shared" si="31"/>
        <v/>
      </c>
      <c r="AL382" s="402">
        <f t="shared" ca="1" si="32"/>
        <v>3</v>
      </c>
      <c r="AM382" s="402">
        <f t="shared" ca="1" si="33"/>
        <v>2</v>
      </c>
      <c r="AN382" s="402">
        <f t="shared" ca="1" si="34"/>
        <v>9</v>
      </c>
      <c r="AO382" s="402">
        <f t="shared" ca="1" si="35"/>
        <v>1</v>
      </c>
      <c r="AP382" s="402">
        <f t="shared" ca="1" si="36"/>
        <v>0</v>
      </c>
      <c r="AQ382" s="402">
        <f t="shared" ca="1" si="37"/>
        <v>0</v>
      </c>
      <c r="AR382" s="402">
        <f t="shared" ca="1" si="38"/>
        <v>0</v>
      </c>
      <c r="AS382" s="403"/>
      <c r="AT382" s="402">
        <f t="shared" si="39"/>
        <v>1</v>
      </c>
    </row>
    <row r="383" spans="1:46" ht="15.75" customHeight="1">
      <c r="A383" s="382"/>
      <c r="B383" s="383">
        <f t="shared" ca="1" si="20"/>
        <v>3</v>
      </c>
      <c r="C383" s="384">
        <f t="shared" ca="1" si="21"/>
        <v>2</v>
      </c>
      <c r="D383" s="384">
        <f t="shared" ca="1" si="22"/>
        <v>9</v>
      </c>
      <c r="E383" s="384">
        <f t="shared" ca="1" si="23"/>
        <v>2</v>
      </c>
      <c r="F383" s="384" t="str">
        <f t="shared" ca="1" si="24"/>
        <v/>
      </c>
      <c r="G383" s="385" t="str">
        <f t="shared" ca="1" si="25"/>
        <v/>
      </c>
      <c r="H383" s="386" t="str">
        <f t="shared" ca="1" si="26"/>
        <v/>
      </c>
      <c r="I383" s="404"/>
      <c r="J383" s="415"/>
      <c r="K383" s="428"/>
      <c r="L383" s="428" t="s">
        <v>61</v>
      </c>
      <c r="M383" s="428"/>
      <c r="N383" s="428"/>
      <c r="O383" s="428"/>
      <c r="P383" s="428"/>
      <c r="Q383" s="429"/>
      <c r="R383" s="417"/>
      <c r="S383" s="418"/>
      <c r="T383" s="419"/>
      <c r="U383" s="418"/>
      <c r="V383" s="419"/>
      <c r="W383" s="430"/>
      <c r="X383" s="431"/>
      <c r="Y383" s="434"/>
      <c r="Z383" s="433"/>
      <c r="AA383" s="396"/>
      <c r="AB383" s="397"/>
      <c r="AC383" s="398"/>
      <c r="AD383" s="399"/>
      <c r="AE383" s="400"/>
      <c r="AF383" s="401"/>
      <c r="AG383" s="401">
        <f t="shared" si="27"/>
        <v>0</v>
      </c>
      <c r="AH383" s="401">
        <f t="shared" si="28"/>
        <v>0</v>
      </c>
      <c r="AI383" s="401">
        <f t="shared" si="29"/>
        <v>0</v>
      </c>
      <c r="AJ383" s="401">
        <f t="shared" si="30"/>
        <v>0</v>
      </c>
      <c r="AK383" s="401" t="str">
        <f t="shared" si="31"/>
        <v/>
      </c>
      <c r="AL383" s="402">
        <f t="shared" ca="1" si="32"/>
        <v>3</v>
      </c>
      <c r="AM383" s="402">
        <f t="shared" ca="1" si="33"/>
        <v>2</v>
      </c>
      <c r="AN383" s="402">
        <f t="shared" ca="1" si="34"/>
        <v>9</v>
      </c>
      <c r="AO383" s="402">
        <f t="shared" ca="1" si="35"/>
        <v>2</v>
      </c>
      <c r="AP383" s="402">
        <f t="shared" ca="1" si="36"/>
        <v>0</v>
      </c>
      <c r="AQ383" s="402">
        <f t="shared" ca="1" si="37"/>
        <v>0</v>
      </c>
      <c r="AR383" s="402">
        <f t="shared" ca="1" si="38"/>
        <v>0</v>
      </c>
      <c r="AS383" s="403"/>
      <c r="AT383" s="402">
        <f t="shared" si="39"/>
        <v>1</v>
      </c>
    </row>
    <row r="384" spans="1:46" ht="15.75" customHeight="1">
      <c r="A384" s="382"/>
      <c r="B384" s="383">
        <f t="shared" ca="1" si="20"/>
        <v>3</v>
      </c>
      <c r="C384" s="384">
        <f t="shared" ca="1" si="21"/>
        <v>2</v>
      </c>
      <c r="D384" s="384">
        <f t="shared" ca="1" si="22"/>
        <v>9</v>
      </c>
      <c r="E384" s="384">
        <f t="shared" ca="1" si="23"/>
        <v>3</v>
      </c>
      <c r="F384" s="384" t="str">
        <f t="shared" ca="1" si="24"/>
        <v/>
      </c>
      <c r="G384" s="385" t="str">
        <f t="shared" ca="1" si="25"/>
        <v/>
      </c>
      <c r="H384" s="386" t="str">
        <f t="shared" ca="1" si="26"/>
        <v/>
      </c>
      <c r="I384" s="404"/>
      <c r="J384" s="415"/>
      <c r="K384" s="428"/>
      <c r="L384" s="428" t="s">
        <v>63</v>
      </c>
      <c r="M384" s="428"/>
      <c r="N384" s="428"/>
      <c r="O384" s="428"/>
      <c r="P384" s="428"/>
      <c r="Q384" s="429"/>
      <c r="R384" s="417"/>
      <c r="S384" s="418"/>
      <c r="T384" s="419"/>
      <c r="U384" s="418"/>
      <c r="V384" s="419"/>
      <c r="W384" s="430"/>
      <c r="X384" s="431"/>
      <c r="Y384" s="434"/>
      <c r="Z384" s="433"/>
      <c r="AA384" s="396"/>
      <c r="AB384" s="397"/>
      <c r="AC384" s="398"/>
      <c r="AD384" s="399"/>
      <c r="AE384" s="400"/>
      <c r="AF384" s="401"/>
      <c r="AG384" s="401">
        <f t="shared" si="27"/>
        <v>0</v>
      </c>
      <c r="AH384" s="401">
        <f t="shared" si="28"/>
        <v>0</v>
      </c>
      <c r="AI384" s="401">
        <f t="shared" si="29"/>
        <v>0</v>
      </c>
      <c r="AJ384" s="401">
        <f t="shared" si="30"/>
        <v>0</v>
      </c>
      <c r="AK384" s="401" t="str">
        <f t="shared" si="31"/>
        <v/>
      </c>
      <c r="AL384" s="402">
        <f t="shared" ca="1" si="32"/>
        <v>3</v>
      </c>
      <c r="AM384" s="402">
        <f t="shared" ca="1" si="33"/>
        <v>2</v>
      </c>
      <c r="AN384" s="402">
        <f t="shared" ca="1" si="34"/>
        <v>9</v>
      </c>
      <c r="AO384" s="402">
        <f t="shared" ca="1" si="35"/>
        <v>3</v>
      </c>
      <c r="AP384" s="402">
        <f t="shared" ca="1" si="36"/>
        <v>0</v>
      </c>
      <c r="AQ384" s="402">
        <f t="shared" ca="1" si="37"/>
        <v>0</v>
      </c>
      <c r="AR384" s="402">
        <f t="shared" ca="1" si="38"/>
        <v>0</v>
      </c>
      <c r="AS384" s="403"/>
      <c r="AT384" s="402">
        <f t="shared" si="39"/>
        <v>1</v>
      </c>
    </row>
    <row r="385" spans="1:46" ht="15.75" customHeight="1">
      <c r="A385" s="382"/>
      <c r="B385" s="383">
        <f t="shared" ca="1" si="20"/>
        <v>3</v>
      </c>
      <c r="C385" s="384">
        <f t="shared" ca="1" si="21"/>
        <v>2</v>
      </c>
      <c r="D385" s="384">
        <f t="shared" ca="1" si="22"/>
        <v>9</v>
      </c>
      <c r="E385" s="384">
        <f t="shared" ca="1" si="23"/>
        <v>4</v>
      </c>
      <c r="F385" s="384" t="str">
        <f t="shared" ca="1" si="24"/>
        <v/>
      </c>
      <c r="G385" s="385" t="str">
        <f t="shared" ca="1" si="25"/>
        <v/>
      </c>
      <c r="H385" s="386" t="str">
        <f t="shared" ca="1" si="26"/>
        <v/>
      </c>
      <c r="I385" s="404"/>
      <c r="J385" s="415"/>
      <c r="K385" s="428"/>
      <c r="L385" s="428" t="s">
        <v>64</v>
      </c>
      <c r="M385" s="428"/>
      <c r="N385" s="428"/>
      <c r="O385" s="428"/>
      <c r="P385" s="428"/>
      <c r="Q385" s="429"/>
      <c r="R385" s="417"/>
      <c r="S385" s="418"/>
      <c r="T385" s="419"/>
      <c r="U385" s="418"/>
      <c r="V385" s="419"/>
      <c r="W385" s="430"/>
      <c r="X385" s="431"/>
      <c r="Y385" s="434"/>
      <c r="Z385" s="433"/>
      <c r="AA385" s="396"/>
      <c r="AB385" s="397"/>
      <c r="AC385" s="398"/>
      <c r="AD385" s="399"/>
      <c r="AE385" s="400"/>
      <c r="AF385" s="401"/>
      <c r="AG385" s="401">
        <f t="shared" si="27"/>
        <v>0</v>
      </c>
      <c r="AH385" s="401">
        <f t="shared" si="28"/>
        <v>0</v>
      </c>
      <c r="AI385" s="401">
        <f t="shared" si="29"/>
        <v>0</v>
      </c>
      <c r="AJ385" s="401">
        <f t="shared" si="30"/>
        <v>0</v>
      </c>
      <c r="AK385" s="401" t="str">
        <f t="shared" si="31"/>
        <v/>
      </c>
      <c r="AL385" s="402">
        <f t="shared" ca="1" si="32"/>
        <v>3</v>
      </c>
      <c r="AM385" s="402">
        <f t="shared" ca="1" si="33"/>
        <v>2</v>
      </c>
      <c r="AN385" s="402">
        <f t="shared" ca="1" si="34"/>
        <v>9</v>
      </c>
      <c r="AO385" s="402">
        <f t="shared" ca="1" si="35"/>
        <v>4</v>
      </c>
      <c r="AP385" s="402">
        <f t="shared" ca="1" si="36"/>
        <v>0</v>
      </c>
      <c r="AQ385" s="402">
        <f t="shared" ca="1" si="37"/>
        <v>0</v>
      </c>
      <c r="AR385" s="402">
        <f t="shared" ca="1" si="38"/>
        <v>0</v>
      </c>
      <c r="AS385" s="403"/>
      <c r="AT385" s="402">
        <f t="shared" si="39"/>
        <v>1</v>
      </c>
    </row>
    <row r="386" spans="1:46" ht="15.75" customHeight="1">
      <c r="A386" s="382"/>
      <c r="B386" s="383">
        <f t="shared" ca="1" si="20"/>
        <v>3</v>
      </c>
      <c r="C386" s="384">
        <f t="shared" ca="1" si="21"/>
        <v>2</v>
      </c>
      <c r="D386" s="384">
        <f t="shared" ca="1" si="22"/>
        <v>9</v>
      </c>
      <c r="E386" s="384">
        <f t="shared" ca="1" si="23"/>
        <v>5</v>
      </c>
      <c r="F386" s="384" t="str">
        <f t="shared" ca="1" si="24"/>
        <v/>
      </c>
      <c r="G386" s="385" t="str">
        <f t="shared" ca="1" si="25"/>
        <v/>
      </c>
      <c r="H386" s="386" t="str">
        <f t="shared" ca="1" si="26"/>
        <v/>
      </c>
      <c r="I386" s="404"/>
      <c r="J386" s="415"/>
      <c r="K386" s="428"/>
      <c r="L386" s="428" t="s">
        <v>65</v>
      </c>
      <c r="M386" s="428"/>
      <c r="N386" s="428"/>
      <c r="O386" s="428"/>
      <c r="P386" s="428"/>
      <c r="Q386" s="429"/>
      <c r="R386" s="417"/>
      <c r="S386" s="418"/>
      <c r="T386" s="419"/>
      <c r="U386" s="418"/>
      <c r="V386" s="419"/>
      <c r="W386" s="430"/>
      <c r="X386" s="431"/>
      <c r="Y386" s="434"/>
      <c r="Z386" s="433"/>
      <c r="AA386" s="396"/>
      <c r="AB386" s="397"/>
      <c r="AC386" s="398"/>
      <c r="AD386" s="399"/>
      <c r="AE386" s="400"/>
      <c r="AF386" s="401"/>
      <c r="AG386" s="401">
        <f t="shared" si="27"/>
        <v>0</v>
      </c>
      <c r="AH386" s="401">
        <f t="shared" si="28"/>
        <v>0</v>
      </c>
      <c r="AI386" s="401">
        <f t="shared" si="29"/>
        <v>0</v>
      </c>
      <c r="AJ386" s="401">
        <f t="shared" si="30"/>
        <v>0</v>
      </c>
      <c r="AK386" s="401" t="str">
        <f t="shared" si="31"/>
        <v/>
      </c>
      <c r="AL386" s="402">
        <f t="shared" ca="1" si="32"/>
        <v>3</v>
      </c>
      <c r="AM386" s="402">
        <f t="shared" ca="1" si="33"/>
        <v>2</v>
      </c>
      <c r="AN386" s="402">
        <f t="shared" ca="1" si="34"/>
        <v>9</v>
      </c>
      <c r="AO386" s="402">
        <f t="shared" ca="1" si="35"/>
        <v>5</v>
      </c>
      <c r="AP386" s="402">
        <f t="shared" ca="1" si="36"/>
        <v>0</v>
      </c>
      <c r="AQ386" s="402">
        <f t="shared" ca="1" si="37"/>
        <v>0</v>
      </c>
      <c r="AR386" s="402">
        <f t="shared" ca="1" si="38"/>
        <v>0</v>
      </c>
      <c r="AS386" s="403"/>
      <c r="AT386" s="402">
        <f t="shared" si="39"/>
        <v>1</v>
      </c>
    </row>
    <row r="387" spans="1:46" ht="15.75" customHeight="1">
      <c r="A387" s="382"/>
      <c r="B387" s="383">
        <f t="shared" ca="1" si="20"/>
        <v>3</v>
      </c>
      <c r="C387" s="384">
        <f t="shared" ca="1" si="21"/>
        <v>2</v>
      </c>
      <c r="D387" s="384">
        <f t="shared" ca="1" si="22"/>
        <v>9</v>
      </c>
      <c r="E387" s="384">
        <f t="shared" ca="1" si="23"/>
        <v>6</v>
      </c>
      <c r="F387" s="384" t="str">
        <f t="shared" ca="1" si="24"/>
        <v/>
      </c>
      <c r="G387" s="385" t="str">
        <f t="shared" ca="1" si="25"/>
        <v/>
      </c>
      <c r="H387" s="386" t="str">
        <f t="shared" ca="1" si="26"/>
        <v/>
      </c>
      <c r="I387" s="404"/>
      <c r="J387" s="415"/>
      <c r="K387" s="428"/>
      <c r="L387" s="428" t="s">
        <v>66</v>
      </c>
      <c r="M387" s="428"/>
      <c r="N387" s="428"/>
      <c r="O387" s="428"/>
      <c r="P387" s="428"/>
      <c r="Q387" s="429"/>
      <c r="R387" s="417"/>
      <c r="S387" s="418"/>
      <c r="T387" s="419"/>
      <c r="U387" s="418"/>
      <c r="V387" s="419"/>
      <c r="W387" s="430"/>
      <c r="X387" s="431"/>
      <c r="Y387" s="434"/>
      <c r="Z387" s="433"/>
      <c r="AA387" s="396"/>
      <c r="AB387" s="397"/>
      <c r="AC387" s="398"/>
      <c r="AD387" s="399"/>
      <c r="AE387" s="400"/>
      <c r="AF387" s="401"/>
      <c r="AG387" s="401">
        <f t="shared" si="27"/>
        <v>0</v>
      </c>
      <c r="AH387" s="401">
        <f t="shared" si="28"/>
        <v>0</v>
      </c>
      <c r="AI387" s="401">
        <f t="shared" si="29"/>
        <v>0</v>
      </c>
      <c r="AJ387" s="401">
        <f t="shared" si="30"/>
        <v>0</v>
      </c>
      <c r="AK387" s="401" t="str">
        <f t="shared" si="31"/>
        <v/>
      </c>
      <c r="AL387" s="402">
        <f t="shared" ca="1" si="32"/>
        <v>3</v>
      </c>
      <c r="AM387" s="402">
        <f t="shared" ca="1" si="33"/>
        <v>2</v>
      </c>
      <c r="AN387" s="402">
        <f t="shared" ca="1" si="34"/>
        <v>9</v>
      </c>
      <c r="AO387" s="402">
        <f t="shared" ca="1" si="35"/>
        <v>6</v>
      </c>
      <c r="AP387" s="402">
        <f t="shared" ca="1" si="36"/>
        <v>0</v>
      </c>
      <c r="AQ387" s="402">
        <f t="shared" ca="1" si="37"/>
        <v>0</v>
      </c>
      <c r="AR387" s="402">
        <f t="shared" ca="1" si="38"/>
        <v>0</v>
      </c>
      <c r="AS387" s="403"/>
      <c r="AT387" s="402">
        <f t="shared" si="39"/>
        <v>1</v>
      </c>
    </row>
    <row r="388" spans="1:46" ht="15.75" customHeight="1">
      <c r="A388" s="382"/>
      <c r="B388" s="383">
        <f t="shared" ca="1" si="20"/>
        <v>3</v>
      </c>
      <c r="C388" s="384">
        <f t="shared" ca="1" si="21"/>
        <v>2</v>
      </c>
      <c r="D388" s="384">
        <f t="shared" ca="1" si="22"/>
        <v>10</v>
      </c>
      <c r="E388" s="384" t="str">
        <f t="shared" ca="1" si="23"/>
        <v/>
      </c>
      <c r="F388" s="384" t="str">
        <f t="shared" ca="1" si="24"/>
        <v/>
      </c>
      <c r="G388" s="385" t="str">
        <f t="shared" ca="1" si="25"/>
        <v/>
      </c>
      <c r="H388" s="386" t="str">
        <f t="shared" ca="1" si="26"/>
        <v/>
      </c>
      <c r="I388" s="404"/>
      <c r="J388" s="415"/>
      <c r="K388" s="428" t="s">
        <v>367</v>
      </c>
      <c r="L388" s="428"/>
      <c r="M388" s="428"/>
      <c r="N388" s="428"/>
      <c r="O388" s="428"/>
      <c r="P388" s="428"/>
      <c r="Q388" s="429"/>
      <c r="R388" s="417"/>
      <c r="S388" s="418"/>
      <c r="T388" s="419"/>
      <c r="U388" s="418"/>
      <c r="V388" s="419"/>
      <c r="W388" s="430"/>
      <c r="X388" s="431"/>
      <c r="Y388" s="434"/>
      <c r="Z388" s="433"/>
      <c r="AA388" s="396"/>
      <c r="AB388" s="397"/>
      <c r="AC388" s="398"/>
      <c r="AD388" s="399"/>
      <c r="AE388" s="400"/>
      <c r="AF388" s="401"/>
      <c r="AG388" s="401">
        <f t="shared" si="27"/>
        <v>0</v>
      </c>
      <c r="AH388" s="401">
        <f t="shared" si="28"/>
        <v>0</v>
      </c>
      <c r="AI388" s="401">
        <f t="shared" si="29"/>
        <v>0</v>
      </c>
      <c r="AJ388" s="401">
        <f t="shared" si="30"/>
        <v>0</v>
      </c>
      <c r="AK388" s="401" t="str">
        <f t="shared" si="31"/>
        <v/>
      </c>
      <c r="AL388" s="402">
        <f t="shared" ca="1" si="32"/>
        <v>3</v>
      </c>
      <c r="AM388" s="402">
        <f t="shared" ca="1" si="33"/>
        <v>2</v>
      </c>
      <c r="AN388" s="402">
        <f t="shared" ca="1" si="34"/>
        <v>10</v>
      </c>
      <c r="AO388" s="402">
        <f t="shared" ca="1" si="35"/>
        <v>0</v>
      </c>
      <c r="AP388" s="402">
        <f t="shared" ca="1" si="36"/>
        <v>0</v>
      </c>
      <c r="AQ388" s="402">
        <f t="shared" ca="1" si="37"/>
        <v>0</v>
      </c>
      <c r="AR388" s="402">
        <f t="shared" ca="1" si="38"/>
        <v>0</v>
      </c>
      <c r="AS388" s="403"/>
      <c r="AT388" s="402">
        <f t="shared" si="39"/>
        <v>1</v>
      </c>
    </row>
    <row r="389" spans="1:46" ht="15.75" customHeight="1">
      <c r="A389" s="382"/>
      <c r="B389" s="383">
        <f t="shared" ca="1" si="20"/>
        <v>3</v>
      </c>
      <c r="C389" s="384">
        <f t="shared" ca="1" si="21"/>
        <v>2</v>
      </c>
      <c r="D389" s="384">
        <f t="shared" ca="1" si="22"/>
        <v>10</v>
      </c>
      <c r="E389" s="384">
        <f t="shared" ca="1" si="23"/>
        <v>1</v>
      </c>
      <c r="F389" s="384" t="str">
        <f t="shared" ca="1" si="24"/>
        <v/>
      </c>
      <c r="G389" s="385" t="str">
        <f t="shared" ca="1" si="25"/>
        <v/>
      </c>
      <c r="H389" s="386" t="str">
        <f t="shared" ca="1" si="26"/>
        <v/>
      </c>
      <c r="I389" s="404"/>
      <c r="J389" s="415"/>
      <c r="K389" s="428"/>
      <c r="L389" s="428" t="s">
        <v>59</v>
      </c>
      <c r="M389" s="428"/>
      <c r="N389" s="428"/>
      <c r="O389" s="428"/>
      <c r="P389" s="428"/>
      <c r="Q389" s="429"/>
      <c r="R389" s="417"/>
      <c r="S389" s="418"/>
      <c r="T389" s="419"/>
      <c r="U389" s="418"/>
      <c r="V389" s="419"/>
      <c r="W389" s="430"/>
      <c r="X389" s="431"/>
      <c r="Y389" s="434"/>
      <c r="Z389" s="433"/>
      <c r="AA389" s="396"/>
      <c r="AB389" s="397"/>
      <c r="AC389" s="398"/>
      <c r="AD389" s="399"/>
      <c r="AE389" s="400"/>
      <c r="AF389" s="401"/>
      <c r="AG389" s="401">
        <f t="shared" si="27"/>
        <v>0</v>
      </c>
      <c r="AH389" s="401">
        <f t="shared" si="28"/>
        <v>0</v>
      </c>
      <c r="AI389" s="401">
        <f t="shared" si="29"/>
        <v>0</v>
      </c>
      <c r="AJ389" s="401">
        <f t="shared" si="30"/>
        <v>0</v>
      </c>
      <c r="AK389" s="401" t="str">
        <f t="shared" si="31"/>
        <v/>
      </c>
      <c r="AL389" s="402">
        <f t="shared" ca="1" si="32"/>
        <v>3</v>
      </c>
      <c r="AM389" s="402">
        <f t="shared" ca="1" si="33"/>
        <v>2</v>
      </c>
      <c r="AN389" s="402">
        <f t="shared" ca="1" si="34"/>
        <v>10</v>
      </c>
      <c r="AO389" s="402">
        <f t="shared" ca="1" si="35"/>
        <v>1</v>
      </c>
      <c r="AP389" s="402">
        <f t="shared" ca="1" si="36"/>
        <v>0</v>
      </c>
      <c r="AQ389" s="402">
        <f t="shared" ca="1" si="37"/>
        <v>0</v>
      </c>
      <c r="AR389" s="402">
        <f t="shared" ca="1" si="38"/>
        <v>0</v>
      </c>
      <c r="AS389" s="403"/>
      <c r="AT389" s="402">
        <f t="shared" si="39"/>
        <v>1</v>
      </c>
    </row>
    <row r="390" spans="1:46" ht="15.75" customHeight="1">
      <c r="A390" s="382"/>
      <c r="B390" s="383">
        <f t="shared" ca="1" si="20"/>
        <v>3</v>
      </c>
      <c r="C390" s="384">
        <f t="shared" ca="1" si="21"/>
        <v>2</v>
      </c>
      <c r="D390" s="384">
        <f t="shared" ca="1" si="22"/>
        <v>10</v>
      </c>
      <c r="E390" s="384">
        <f t="shared" ca="1" si="23"/>
        <v>2</v>
      </c>
      <c r="F390" s="384" t="str">
        <f t="shared" ca="1" si="24"/>
        <v/>
      </c>
      <c r="G390" s="385" t="str">
        <f t="shared" ca="1" si="25"/>
        <v/>
      </c>
      <c r="H390" s="386" t="str">
        <f t="shared" ca="1" si="26"/>
        <v/>
      </c>
      <c r="I390" s="404"/>
      <c r="J390" s="415"/>
      <c r="K390" s="428"/>
      <c r="L390" s="428" t="s">
        <v>61</v>
      </c>
      <c r="M390" s="428"/>
      <c r="N390" s="428"/>
      <c r="O390" s="428"/>
      <c r="P390" s="428"/>
      <c r="Q390" s="429"/>
      <c r="R390" s="417"/>
      <c r="S390" s="418"/>
      <c r="T390" s="419"/>
      <c r="U390" s="418"/>
      <c r="V390" s="419"/>
      <c r="W390" s="430"/>
      <c r="X390" s="431"/>
      <c r="Y390" s="434"/>
      <c r="Z390" s="433"/>
      <c r="AA390" s="396"/>
      <c r="AB390" s="397"/>
      <c r="AC390" s="398"/>
      <c r="AD390" s="399"/>
      <c r="AE390" s="400"/>
      <c r="AF390" s="401"/>
      <c r="AG390" s="401">
        <f t="shared" si="27"/>
        <v>0</v>
      </c>
      <c r="AH390" s="401">
        <f t="shared" si="28"/>
        <v>0</v>
      </c>
      <c r="AI390" s="401">
        <f t="shared" si="29"/>
        <v>0</v>
      </c>
      <c r="AJ390" s="401">
        <f t="shared" si="30"/>
        <v>0</v>
      </c>
      <c r="AK390" s="401" t="str">
        <f t="shared" si="31"/>
        <v/>
      </c>
      <c r="AL390" s="402">
        <f t="shared" ca="1" si="32"/>
        <v>3</v>
      </c>
      <c r="AM390" s="402">
        <f t="shared" ca="1" si="33"/>
        <v>2</v>
      </c>
      <c r="AN390" s="402">
        <f t="shared" ca="1" si="34"/>
        <v>10</v>
      </c>
      <c r="AO390" s="402">
        <f t="shared" ca="1" si="35"/>
        <v>2</v>
      </c>
      <c r="AP390" s="402">
        <f t="shared" ca="1" si="36"/>
        <v>0</v>
      </c>
      <c r="AQ390" s="402">
        <f t="shared" ca="1" si="37"/>
        <v>0</v>
      </c>
      <c r="AR390" s="402">
        <f t="shared" ca="1" si="38"/>
        <v>0</v>
      </c>
      <c r="AS390" s="403"/>
      <c r="AT390" s="402">
        <f t="shared" si="39"/>
        <v>1</v>
      </c>
    </row>
    <row r="391" spans="1:46" ht="15.75" customHeight="1">
      <c r="A391" s="382"/>
      <c r="B391" s="383">
        <f t="shared" ca="1" si="20"/>
        <v>3</v>
      </c>
      <c r="C391" s="384">
        <f t="shared" ca="1" si="21"/>
        <v>2</v>
      </c>
      <c r="D391" s="384">
        <f t="shared" ca="1" si="22"/>
        <v>10</v>
      </c>
      <c r="E391" s="384">
        <f t="shared" ca="1" si="23"/>
        <v>3</v>
      </c>
      <c r="F391" s="384" t="str">
        <f t="shared" ca="1" si="24"/>
        <v/>
      </c>
      <c r="G391" s="385" t="str">
        <f t="shared" ca="1" si="25"/>
        <v/>
      </c>
      <c r="H391" s="386" t="str">
        <f t="shared" ca="1" si="26"/>
        <v/>
      </c>
      <c r="I391" s="404"/>
      <c r="J391" s="415"/>
      <c r="K391" s="428"/>
      <c r="L391" s="428" t="s">
        <v>63</v>
      </c>
      <c r="M391" s="428"/>
      <c r="N391" s="428"/>
      <c r="O391" s="428"/>
      <c r="P391" s="428"/>
      <c r="Q391" s="429"/>
      <c r="R391" s="417"/>
      <c r="S391" s="418"/>
      <c r="T391" s="419"/>
      <c r="U391" s="418"/>
      <c r="V391" s="419"/>
      <c r="W391" s="430"/>
      <c r="X391" s="431"/>
      <c r="Y391" s="434"/>
      <c r="Z391" s="433"/>
      <c r="AA391" s="396"/>
      <c r="AB391" s="397"/>
      <c r="AC391" s="398"/>
      <c r="AD391" s="399"/>
      <c r="AE391" s="400"/>
      <c r="AF391" s="401"/>
      <c r="AG391" s="401">
        <f t="shared" si="27"/>
        <v>0</v>
      </c>
      <c r="AH391" s="401">
        <f t="shared" si="28"/>
        <v>0</v>
      </c>
      <c r="AI391" s="401">
        <f t="shared" si="29"/>
        <v>0</v>
      </c>
      <c r="AJ391" s="401">
        <f t="shared" si="30"/>
        <v>0</v>
      </c>
      <c r="AK391" s="401" t="str">
        <f t="shared" si="31"/>
        <v/>
      </c>
      <c r="AL391" s="402">
        <f t="shared" ca="1" si="32"/>
        <v>3</v>
      </c>
      <c r="AM391" s="402">
        <f t="shared" ca="1" si="33"/>
        <v>2</v>
      </c>
      <c r="AN391" s="402">
        <f t="shared" ca="1" si="34"/>
        <v>10</v>
      </c>
      <c r="AO391" s="402">
        <f t="shared" ca="1" si="35"/>
        <v>3</v>
      </c>
      <c r="AP391" s="402">
        <f t="shared" ca="1" si="36"/>
        <v>0</v>
      </c>
      <c r="AQ391" s="402">
        <f t="shared" ca="1" si="37"/>
        <v>0</v>
      </c>
      <c r="AR391" s="402">
        <f t="shared" ca="1" si="38"/>
        <v>0</v>
      </c>
      <c r="AS391" s="403"/>
      <c r="AT391" s="402">
        <f t="shared" si="39"/>
        <v>1</v>
      </c>
    </row>
    <row r="392" spans="1:46" ht="15.75" customHeight="1">
      <c r="A392" s="382"/>
      <c r="B392" s="383">
        <f t="shared" ca="1" si="20"/>
        <v>3</v>
      </c>
      <c r="C392" s="384">
        <f t="shared" ca="1" si="21"/>
        <v>2</v>
      </c>
      <c r="D392" s="384">
        <f t="shared" ca="1" si="22"/>
        <v>10</v>
      </c>
      <c r="E392" s="384">
        <f t="shared" ca="1" si="23"/>
        <v>4</v>
      </c>
      <c r="F392" s="384" t="str">
        <f t="shared" ca="1" si="24"/>
        <v/>
      </c>
      <c r="G392" s="385" t="str">
        <f t="shared" ca="1" si="25"/>
        <v/>
      </c>
      <c r="H392" s="386" t="str">
        <f t="shared" ca="1" si="26"/>
        <v/>
      </c>
      <c r="I392" s="404"/>
      <c r="J392" s="415"/>
      <c r="K392" s="428"/>
      <c r="L392" s="428" t="s">
        <v>64</v>
      </c>
      <c r="M392" s="428"/>
      <c r="N392" s="428"/>
      <c r="O392" s="428"/>
      <c r="P392" s="428"/>
      <c r="Q392" s="429"/>
      <c r="R392" s="417"/>
      <c r="S392" s="418"/>
      <c r="T392" s="419"/>
      <c r="U392" s="418"/>
      <c r="V392" s="419"/>
      <c r="W392" s="430"/>
      <c r="X392" s="431"/>
      <c r="Y392" s="434"/>
      <c r="Z392" s="433"/>
      <c r="AA392" s="396"/>
      <c r="AB392" s="397"/>
      <c r="AC392" s="398"/>
      <c r="AD392" s="399"/>
      <c r="AE392" s="400"/>
      <c r="AF392" s="401"/>
      <c r="AG392" s="401">
        <f t="shared" si="27"/>
        <v>0</v>
      </c>
      <c r="AH392" s="401">
        <f t="shared" si="28"/>
        <v>0</v>
      </c>
      <c r="AI392" s="401">
        <f t="shared" si="29"/>
        <v>0</v>
      </c>
      <c r="AJ392" s="401">
        <f t="shared" si="30"/>
        <v>0</v>
      </c>
      <c r="AK392" s="401" t="str">
        <f t="shared" si="31"/>
        <v/>
      </c>
      <c r="AL392" s="402">
        <f t="shared" ca="1" si="32"/>
        <v>3</v>
      </c>
      <c r="AM392" s="402">
        <f t="shared" ca="1" si="33"/>
        <v>2</v>
      </c>
      <c r="AN392" s="402">
        <f t="shared" ca="1" si="34"/>
        <v>10</v>
      </c>
      <c r="AO392" s="402">
        <f t="shared" ca="1" si="35"/>
        <v>4</v>
      </c>
      <c r="AP392" s="402">
        <f t="shared" ca="1" si="36"/>
        <v>0</v>
      </c>
      <c r="AQ392" s="402">
        <f t="shared" ca="1" si="37"/>
        <v>0</v>
      </c>
      <c r="AR392" s="402">
        <f t="shared" ca="1" si="38"/>
        <v>0</v>
      </c>
      <c r="AS392" s="403"/>
      <c r="AT392" s="402">
        <f t="shared" si="39"/>
        <v>1</v>
      </c>
    </row>
    <row r="393" spans="1:46" ht="15.75" customHeight="1">
      <c r="A393" s="382"/>
      <c r="B393" s="383">
        <f t="shared" ca="1" si="20"/>
        <v>3</v>
      </c>
      <c r="C393" s="384">
        <f t="shared" ca="1" si="21"/>
        <v>2</v>
      </c>
      <c r="D393" s="384">
        <f t="shared" ca="1" si="22"/>
        <v>10</v>
      </c>
      <c r="E393" s="384">
        <f t="shared" ca="1" si="23"/>
        <v>5</v>
      </c>
      <c r="F393" s="384" t="str">
        <f t="shared" ca="1" si="24"/>
        <v/>
      </c>
      <c r="G393" s="385" t="str">
        <f t="shared" ca="1" si="25"/>
        <v/>
      </c>
      <c r="H393" s="386" t="str">
        <f t="shared" ca="1" si="26"/>
        <v/>
      </c>
      <c r="I393" s="404"/>
      <c r="J393" s="415"/>
      <c r="K393" s="428"/>
      <c r="L393" s="428" t="s">
        <v>65</v>
      </c>
      <c r="M393" s="428"/>
      <c r="N393" s="428"/>
      <c r="O393" s="428"/>
      <c r="P393" s="428"/>
      <c r="Q393" s="429"/>
      <c r="R393" s="417"/>
      <c r="S393" s="418"/>
      <c r="T393" s="419"/>
      <c r="U393" s="418"/>
      <c r="V393" s="419"/>
      <c r="W393" s="430"/>
      <c r="X393" s="431"/>
      <c r="Y393" s="434"/>
      <c r="Z393" s="433"/>
      <c r="AA393" s="396"/>
      <c r="AB393" s="397"/>
      <c r="AC393" s="398"/>
      <c r="AD393" s="399"/>
      <c r="AE393" s="400"/>
      <c r="AF393" s="401"/>
      <c r="AG393" s="401">
        <f t="shared" si="27"/>
        <v>0</v>
      </c>
      <c r="AH393" s="401">
        <f t="shared" si="28"/>
        <v>0</v>
      </c>
      <c r="AI393" s="401">
        <f t="shared" si="29"/>
        <v>0</v>
      </c>
      <c r="AJ393" s="401">
        <f t="shared" si="30"/>
        <v>0</v>
      </c>
      <c r="AK393" s="401" t="str">
        <f t="shared" si="31"/>
        <v/>
      </c>
      <c r="AL393" s="402">
        <f t="shared" ca="1" si="32"/>
        <v>3</v>
      </c>
      <c r="AM393" s="402">
        <f t="shared" ca="1" si="33"/>
        <v>2</v>
      </c>
      <c r="AN393" s="402">
        <f t="shared" ca="1" si="34"/>
        <v>10</v>
      </c>
      <c r="AO393" s="402">
        <f t="shared" ca="1" si="35"/>
        <v>5</v>
      </c>
      <c r="AP393" s="402">
        <f t="shared" ca="1" si="36"/>
        <v>0</v>
      </c>
      <c r="AQ393" s="402">
        <f t="shared" ca="1" si="37"/>
        <v>0</v>
      </c>
      <c r="AR393" s="402">
        <f t="shared" ca="1" si="38"/>
        <v>0</v>
      </c>
      <c r="AS393" s="403"/>
      <c r="AT393" s="402">
        <f t="shared" si="39"/>
        <v>1</v>
      </c>
    </row>
    <row r="394" spans="1:46" ht="15.75" customHeight="1">
      <c r="A394" s="382"/>
      <c r="B394" s="383">
        <f t="shared" ca="1" si="20"/>
        <v>3</v>
      </c>
      <c r="C394" s="384">
        <f t="shared" ca="1" si="21"/>
        <v>2</v>
      </c>
      <c r="D394" s="384">
        <f t="shared" ca="1" si="22"/>
        <v>10</v>
      </c>
      <c r="E394" s="384">
        <f t="shared" ca="1" si="23"/>
        <v>6</v>
      </c>
      <c r="F394" s="384" t="str">
        <f t="shared" ca="1" si="24"/>
        <v/>
      </c>
      <c r="G394" s="385" t="str">
        <f t="shared" ca="1" si="25"/>
        <v/>
      </c>
      <c r="H394" s="386" t="str">
        <f t="shared" ca="1" si="26"/>
        <v/>
      </c>
      <c r="I394" s="404"/>
      <c r="J394" s="415"/>
      <c r="K394" s="428"/>
      <c r="L394" s="428" t="s">
        <v>66</v>
      </c>
      <c r="M394" s="428"/>
      <c r="N394" s="428"/>
      <c r="O394" s="428"/>
      <c r="P394" s="428"/>
      <c r="Q394" s="429"/>
      <c r="R394" s="417"/>
      <c r="S394" s="418"/>
      <c r="T394" s="419"/>
      <c r="U394" s="418"/>
      <c r="V394" s="419"/>
      <c r="W394" s="430"/>
      <c r="X394" s="431"/>
      <c r="Y394" s="434"/>
      <c r="Z394" s="433"/>
      <c r="AA394" s="396"/>
      <c r="AB394" s="397"/>
      <c r="AC394" s="398"/>
      <c r="AD394" s="399"/>
      <c r="AE394" s="400"/>
      <c r="AF394" s="401"/>
      <c r="AG394" s="401">
        <f t="shared" si="27"/>
        <v>0</v>
      </c>
      <c r="AH394" s="401">
        <f t="shared" si="28"/>
        <v>0</v>
      </c>
      <c r="AI394" s="401">
        <f t="shared" si="29"/>
        <v>0</v>
      </c>
      <c r="AJ394" s="401">
        <f t="shared" si="30"/>
        <v>0</v>
      </c>
      <c r="AK394" s="401" t="str">
        <f t="shared" si="31"/>
        <v/>
      </c>
      <c r="AL394" s="402">
        <f t="shared" ca="1" si="32"/>
        <v>3</v>
      </c>
      <c r="AM394" s="402">
        <f t="shared" ca="1" si="33"/>
        <v>2</v>
      </c>
      <c r="AN394" s="402">
        <f t="shared" ca="1" si="34"/>
        <v>10</v>
      </c>
      <c r="AO394" s="402">
        <f t="shared" ca="1" si="35"/>
        <v>6</v>
      </c>
      <c r="AP394" s="402">
        <f t="shared" ca="1" si="36"/>
        <v>0</v>
      </c>
      <c r="AQ394" s="402">
        <f t="shared" ca="1" si="37"/>
        <v>0</v>
      </c>
      <c r="AR394" s="402">
        <f t="shared" ca="1" si="38"/>
        <v>0</v>
      </c>
      <c r="AS394" s="403"/>
      <c r="AT394" s="402">
        <f t="shared" si="39"/>
        <v>1</v>
      </c>
    </row>
    <row r="395" spans="1:46" ht="15.75" customHeight="1">
      <c r="A395" s="382"/>
      <c r="B395" s="383">
        <f t="shared" ca="1" si="20"/>
        <v>3</v>
      </c>
      <c r="C395" s="384">
        <f t="shared" ca="1" si="21"/>
        <v>2</v>
      </c>
      <c r="D395" s="384">
        <f t="shared" ca="1" si="22"/>
        <v>11</v>
      </c>
      <c r="E395" s="384" t="str">
        <f t="shared" ca="1" si="23"/>
        <v/>
      </c>
      <c r="F395" s="384" t="str">
        <f t="shared" ca="1" si="24"/>
        <v/>
      </c>
      <c r="G395" s="385" t="str">
        <f t="shared" ca="1" si="25"/>
        <v/>
      </c>
      <c r="H395" s="386" t="str">
        <f t="shared" ca="1" si="26"/>
        <v/>
      </c>
      <c r="I395" s="404"/>
      <c r="J395" s="415"/>
      <c r="K395" s="428" t="s">
        <v>368</v>
      </c>
      <c r="L395" s="428"/>
      <c r="M395" s="428"/>
      <c r="N395" s="428"/>
      <c r="O395" s="428"/>
      <c r="P395" s="428"/>
      <c r="Q395" s="429"/>
      <c r="R395" s="417"/>
      <c r="S395" s="418"/>
      <c r="T395" s="419"/>
      <c r="U395" s="418"/>
      <c r="V395" s="419"/>
      <c r="W395" s="430"/>
      <c r="X395" s="431"/>
      <c r="Y395" s="434"/>
      <c r="Z395" s="433"/>
      <c r="AA395" s="396"/>
      <c r="AB395" s="397"/>
      <c r="AC395" s="398"/>
      <c r="AD395" s="399"/>
      <c r="AE395" s="400"/>
      <c r="AF395" s="401"/>
      <c r="AG395" s="401">
        <f t="shared" si="27"/>
        <v>0</v>
      </c>
      <c r="AH395" s="401">
        <f t="shared" si="28"/>
        <v>0</v>
      </c>
      <c r="AI395" s="401">
        <f t="shared" si="29"/>
        <v>0</v>
      </c>
      <c r="AJ395" s="401">
        <f t="shared" si="30"/>
        <v>0</v>
      </c>
      <c r="AK395" s="401" t="str">
        <f t="shared" si="31"/>
        <v/>
      </c>
      <c r="AL395" s="402">
        <f t="shared" ca="1" si="32"/>
        <v>3</v>
      </c>
      <c r="AM395" s="402">
        <f t="shared" ca="1" si="33"/>
        <v>2</v>
      </c>
      <c r="AN395" s="402">
        <f t="shared" ca="1" si="34"/>
        <v>11</v>
      </c>
      <c r="AO395" s="402">
        <f t="shared" ca="1" si="35"/>
        <v>0</v>
      </c>
      <c r="AP395" s="402">
        <f t="shared" ca="1" si="36"/>
        <v>0</v>
      </c>
      <c r="AQ395" s="402">
        <f t="shared" ca="1" si="37"/>
        <v>0</v>
      </c>
      <c r="AR395" s="402">
        <f t="shared" ca="1" si="38"/>
        <v>0</v>
      </c>
      <c r="AS395" s="403"/>
      <c r="AT395" s="402">
        <f t="shared" si="39"/>
        <v>1</v>
      </c>
    </row>
    <row r="396" spans="1:46" ht="15.75" customHeight="1">
      <c r="A396" s="382"/>
      <c r="B396" s="383">
        <f t="shared" ca="1" si="20"/>
        <v>3</v>
      </c>
      <c r="C396" s="384">
        <f t="shared" ca="1" si="21"/>
        <v>2</v>
      </c>
      <c r="D396" s="384">
        <f t="shared" ca="1" si="22"/>
        <v>11</v>
      </c>
      <c r="E396" s="384">
        <f t="shared" ca="1" si="23"/>
        <v>1</v>
      </c>
      <c r="F396" s="384" t="str">
        <f t="shared" ca="1" si="24"/>
        <v/>
      </c>
      <c r="G396" s="385" t="str">
        <f t="shared" ca="1" si="25"/>
        <v/>
      </c>
      <c r="H396" s="386" t="str">
        <f t="shared" ca="1" si="26"/>
        <v/>
      </c>
      <c r="I396" s="404"/>
      <c r="J396" s="415"/>
      <c r="K396" s="428"/>
      <c r="L396" s="428" t="s">
        <v>59</v>
      </c>
      <c r="M396" s="428"/>
      <c r="N396" s="428"/>
      <c r="O396" s="428"/>
      <c r="P396" s="428"/>
      <c r="Q396" s="429"/>
      <c r="R396" s="417"/>
      <c r="S396" s="418"/>
      <c r="T396" s="419"/>
      <c r="U396" s="418"/>
      <c r="V396" s="419"/>
      <c r="W396" s="430"/>
      <c r="X396" s="431"/>
      <c r="Y396" s="434"/>
      <c r="Z396" s="433"/>
      <c r="AA396" s="396"/>
      <c r="AB396" s="397"/>
      <c r="AC396" s="398"/>
      <c r="AD396" s="399"/>
      <c r="AE396" s="400"/>
      <c r="AF396" s="401"/>
      <c r="AG396" s="401">
        <f t="shared" si="27"/>
        <v>0</v>
      </c>
      <c r="AH396" s="401">
        <f t="shared" si="28"/>
        <v>0</v>
      </c>
      <c r="AI396" s="401">
        <f t="shared" si="29"/>
        <v>0</v>
      </c>
      <c r="AJ396" s="401">
        <f t="shared" si="30"/>
        <v>0</v>
      </c>
      <c r="AK396" s="401" t="str">
        <f t="shared" si="31"/>
        <v/>
      </c>
      <c r="AL396" s="402">
        <f t="shared" ca="1" si="32"/>
        <v>3</v>
      </c>
      <c r="AM396" s="402">
        <f t="shared" ca="1" si="33"/>
        <v>2</v>
      </c>
      <c r="AN396" s="402">
        <f t="shared" ca="1" si="34"/>
        <v>11</v>
      </c>
      <c r="AO396" s="402">
        <f t="shared" ca="1" si="35"/>
        <v>1</v>
      </c>
      <c r="AP396" s="402">
        <f t="shared" ca="1" si="36"/>
        <v>0</v>
      </c>
      <c r="AQ396" s="402">
        <f t="shared" ca="1" si="37"/>
        <v>0</v>
      </c>
      <c r="AR396" s="402">
        <f t="shared" ca="1" si="38"/>
        <v>0</v>
      </c>
      <c r="AS396" s="403"/>
      <c r="AT396" s="402">
        <f t="shared" si="39"/>
        <v>1</v>
      </c>
    </row>
    <row r="397" spans="1:46" ht="15.75" customHeight="1">
      <c r="A397" s="382"/>
      <c r="B397" s="383">
        <f t="shared" ca="1" si="20"/>
        <v>3</v>
      </c>
      <c r="C397" s="384">
        <f t="shared" ca="1" si="21"/>
        <v>2</v>
      </c>
      <c r="D397" s="384">
        <f t="shared" ca="1" si="22"/>
        <v>11</v>
      </c>
      <c r="E397" s="384">
        <f t="shared" ca="1" si="23"/>
        <v>2</v>
      </c>
      <c r="F397" s="384" t="str">
        <f t="shared" ca="1" si="24"/>
        <v/>
      </c>
      <c r="G397" s="385" t="str">
        <f t="shared" ca="1" si="25"/>
        <v/>
      </c>
      <c r="H397" s="386" t="str">
        <f t="shared" ca="1" si="26"/>
        <v/>
      </c>
      <c r="I397" s="404"/>
      <c r="J397" s="415"/>
      <c r="K397" s="428"/>
      <c r="L397" s="428" t="s">
        <v>61</v>
      </c>
      <c r="M397" s="428"/>
      <c r="N397" s="428"/>
      <c r="O397" s="428"/>
      <c r="P397" s="428"/>
      <c r="Q397" s="429"/>
      <c r="R397" s="417"/>
      <c r="S397" s="418"/>
      <c r="T397" s="419"/>
      <c r="U397" s="418"/>
      <c r="V397" s="419"/>
      <c r="W397" s="430"/>
      <c r="X397" s="431"/>
      <c r="Y397" s="434"/>
      <c r="Z397" s="433"/>
      <c r="AA397" s="396"/>
      <c r="AB397" s="397"/>
      <c r="AC397" s="398"/>
      <c r="AD397" s="399"/>
      <c r="AE397" s="400"/>
      <c r="AF397" s="401"/>
      <c r="AG397" s="401">
        <f t="shared" si="27"/>
        <v>0</v>
      </c>
      <c r="AH397" s="401">
        <f t="shared" si="28"/>
        <v>0</v>
      </c>
      <c r="AI397" s="401">
        <f t="shared" si="29"/>
        <v>0</v>
      </c>
      <c r="AJ397" s="401">
        <f t="shared" si="30"/>
        <v>0</v>
      </c>
      <c r="AK397" s="401" t="str">
        <f t="shared" si="31"/>
        <v/>
      </c>
      <c r="AL397" s="402">
        <f t="shared" ca="1" si="32"/>
        <v>3</v>
      </c>
      <c r="AM397" s="402">
        <f t="shared" ca="1" si="33"/>
        <v>2</v>
      </c>
      <c r="AN397" s="402">
        <f t="shared" ca="1" si="34"/>
        <v>11</v>
      </c>
      <c r="AO397" s="402">
        <f t="shared" ca="1" si="35"/>
        <v>2</v>
      </c>
      <c r="AP397" s="402">
        <f t="shared" ca="1" si="36"/>
        <v>0</v>
      </c>
      <c r="AQ397" s="402">
        <f t="shared" ca="1" si="37"/>
        <v>0</v>
      </c>
      <c r="AR397" s="402">
        <f t="shared" ca="1" si="38"/>
        <v>0</v>
      </c>
      <c r="AS397" s="403"/>
      <c r="AT397" s="402">
        <f t="shared" si="39"/>
        <v>1</v>
      </c>
    </row>
    <row r="398" spans="1:46" ht="15.75" customHeight="1">
      <c r="A398" s="382"/>
      <c r="B398" s="383">
        <f t="shared" ca="1" si="20"/>
        <v>3</v>
      </c>
      <c r="C398" s="384">
        <f t="shared" ca="1" si="21"/>
        <v>2</v>
      </c>
      <c r="D398" s="384">
        <f t="shared" ca="1" si="22"/>
        <v>11</v>
      </c>
      <c r="E398" s="384">
        <f t="shared" ca="1" si="23"/>
        <v>3</v>
      </c>
      <c r="F398" s="384" t="str">
        <f t="shared" ca="1" si="24"/>
        <v/>
      </c>
      <c r="G398" s="385" t="str">
        <f t="shared" ca="1" si="25"/>
        <v/>
      </c>
      <c r="H398" s="386" t="str">
        <f t="shared" ca="1" si="26"/>
        <v/>
      </c>
      <c r="I398" s="404"/>
      <c r="J398" s="415"/>
      <c r="K398" s="428"/>
      <c r="L398" s="428" t="s">
        <v>63</v>
      </c>
      <c r="M398" s="428"/>
      <c r="N398" s="428"/>
      <c r="O398" s="428"/>
      <c r="P398" s="428"/>
      <c r="Q398" s="429"/>
      <c r="R398" s="417"/>
      <c r="S398" s="418"/>
      <c r="T398" s="419"/>
      <c r="U398" s="418"/>
      <c r="V398" s="419"/>
      <c r="W398" s="430"/>
      <c r="X398" s="431"/>
      <c r="Y398" s="434"/>
      <c r="Z398" s="433"/>
      <c r="AA398" s="396"/>
      <c r="AB398" s="397"/>
      <c r="AC398" s="398"/>
      <c r="AD398" s="399"/>
      <c r="AE398" s="400"/>
      <c r="AF398" s="401"/>
      <c r="AG398" s="401">
        <f t="shared" si="27"/>
        <v>0</v>
      </c>
      <c r="AH398" s="401">
        <f t="shared" si="28"/>
        <v>0</v>
      </c>
      <c r="AI398" s="401">
        <f t="shared" si="29"/>
        <v>0</v>
      </c>
      <c r="AJ398" s="401">
        <f t="shared" si="30"/>
        <v>0</v>
      </c>
      <c r="AK398" s="401" t="str">
        <f t="shared" si="31"/>
        <v/>
      </c>
      <c r="AL398" s="402">
        <f t="shared" ca="1" si="32"/>
        <v>3</v>
      </c>
      <c r="AM398" s="402">
        <f t="shared" ca="1" si="33"/>
        <v>2</v>
      </c>
      <c r="AN398" s="402">
        <f t="shared" ca="1" si="34"/>
        <v>11</v>
      </c>
      <c r="AO398" s="402">
        <f t="shared" ca="1" si="35"/>
        <v>3</v>
      </c>
      <c r="AP398" s="402">
        <f t="shared" ca="1" si="36"/>
        <v>0</v>
      </c>
      <c r="AQ398" s="402">
        <f t="shared" ca="1" si="37"/>
        <v>0</v>
      </c>
      <c r="AR398" s="402">
        <f t="shared" ca="1" si="38"/>
        <v>0</v>
      </c>
      <c r="AS398" s="403"/>
      <c r="AT398" s="402">
        <f t="shared" si="39"/>
        <v>1</v>
      </c>
    </row>
    <row r="399" spans="1:46" ht="15.75" customHeight="1">
      <c r="A399" s="382"/>
      <c r="B399" s="383">
        <f t="shared" ca="1" si="20"/>
        <v>3</v>
      </c>
      <c r="C399" s="384">
        <f t="shared" ca="1" si="21"/>
        <v>2</v>
      </c>
      <c r="D399" s="384">
        <f t="shared" ca="1" si="22"/>
        <v>11</v>
      </c>
      <c r="E399" s="384">
        <f t="shared" ca="1" si="23"/>
        <v>4</v>
      </c>
      <c r="F399" s="384" t="str">
        <f t="shared" ca="1" si="24"/>
        <v/>
      </c>
      <c r="G399" s="385" t="str">
        <f t="shared" ca="1" si="25"/>
        <v/>
      </c>
      <c r="H399" s="386" t="str">
        <f t="shared" ca="1" si="26"/>
        <v/>
      </c>
      <c r="I399" s="404"/>
      <c r="J399" s="415"/>
      <c r="K399" s="428"/>
      <c r="L399" s="428" t="s">
        <v>64</v>
      </c>
      <c r="M399" s="428"/>
      <c r="N399" s="428"/>
      <c r="O399" s="428"/>
      <c r="P399" s="428"/>
      <c r="Q399" s="429"/>
      <c r="R399" s="417"/>
      <c r="S399" s="418"/>
      <c r="T399" s="419"/>
      <c r="U399" s="418"/>
      <c r="V399" s="419"/>
      <c r="W399" s="430"/>
      <c r="X399" s="431"/>
      <c r="Y399" s="434"/>
      <c r="Z399" s="433"/>
      <c r="AA399" s="396"/>
      <c r="AB399" s="397"/>
      <c r="AC399" s="398"/>
      <c r="AD399" s="399"/>
      <c r="AE399" s="400"/>
      <c r="AF399" s="401"/>
      <c r="AG399" s="401">
        <f t="shared" si="27"/>
        <v>0</v>
      </c>
      <c r="AH399" s="401">
        <f t="shared" si="28"/>
        <v>0</v>
      </c>
      <c r="AI399" s="401">
        <f t="shared" si="29"/>
        <v>0</v>
      </c>
      <c r="AJ399" s="401">
        <f t="shared" si="30"/>
        <v>0</v>
      </c>
      <c r="AK399" s="401" t="str">
        <f t="shared" si="31"/>
        <v/>
      </c>
      <c r="AL399" s="402">
        <f t="shared" ca="1" si="32"/>
        <v>3</v>
      </c>
      <c r="AM399" s="402">
        <f t="shared" ca="1" si="33"/>
        <v>2</v>
      </c>
      <c r="AN399" s="402">
        <f t="shared" ca="1" si="34"/>
        <v>11</v>
      </c>
      <c r="AO399" s="402">
        <f t="shared" ca="1" si="35"/>
        <v>4</v>
      </c>
      <c r="AP399" s="402">
        <f t="shared" ca="1" si="36"/>
        <v>0</v>
      </c>
      <c r="AQ399" s="402">
        <f t="shared" ca="1" si="37"/>
        <v>0</v>
      </c>
      <c r="AR399" s="402">
        <f t="shared" ca="1" si="38"/>
        <v>0</v>
      </c>
      <c r="AS399" s="403"/>
      <c r="AT399" s="402">
        <f t="shared" si="39"/>
        <v>1</v>
      </c>
    </row>
    <row r="400" spans="1:46" ht="15.75" customHeight="1">
      <c r="A400" s="382"/>
      <c r="B400" s="383">
        <f t="shared" ca="1" si="20"/>
        <v>3</v>
      </c>
      <c r="C400" s="384">
        <f t="shared" ca="1" si="21"/>
        <v>2</v>
      </c>
      <c r="D400" s="384">
        <f t="shared" ca="1" si="22"/>
        <v>11</v>
      </c>
      <c r="E400" s="384">
        <f t="shared" ca="1" si="23"/>
        <v>5</v>
      </c>
      <c r="F400" s="384" t="str">
        <f t="shared" ca="1" si="24"/>
        <v/>
      </c>
      <c r="G400" s="385" t="str">
        <f t="shared" ca="1" si="25"/>
        <v/>
      </c>
      <c r="H400" s="386" t="str">
        <f t="shared" ca="1" si="26"/>
        <v/>
      </c>
      <c r="I400" s="404"/>
      <c r="J400" s="415"/>
      <c r="K400" s="428"/>
      <c r="L400" s="428" t="s">
        <v>65</v>
      </c>
      <c r="M400" s="428"/>
      <c r="N400" s="428"/>
      <c r="O400" s="428"/>
      <c r="P400" s="428"/>
      <c r="Q400" s="429"/>
      <c r="R400" s="417"/>
      <c r="S400" s="418"/>
      <c r="T400" s="419"/>
      <c r="U400" s="418"/>
      <c r="V400" s="419"/>
      <c r="W400" s="430"/>
      <c r="X400" s="431"/>
      <c r="Y400" s="434"/>
      <c r="Z400" s="433"/>
      <c r="AA400" s="396"/>
      <c r="AB400" s="397"/>
      <c r="AC400" s="398"/>
      <c r="AD400" s="399"/>
      <c r="AE400" s="400"/>
      <c r="AF400" s="401"/>
      <c r="AG400" s="401">
        <f t="shared" si="27"/>
        <v>0</v>
      </c>
      <c r="AH400" s="401">
        <f t="shared" si="28"/>
        <v>0</v>
      </c>
      <c r="AI400" s="401">
        <f t="shared" si="29"/>
        <v>0</v>
      </c>
      <c r="AJ400" s="401">
        <f t="shared" si="30"/>
        <v>0</v>
      </c>
      <c r="AK400" s="401" t="str">
        <f t="shared" si="31"/>
        <v/>
      </c>
      <c r="AL400" s="402">
        <f t="shared" ca="1" si="32"/>
        <v>3</v>
      </c>
      <c r="AM400" s="402">
        <f t="shared" ca="1" si="33"/>
        <v>2</v>
      </c>
      <c r="AN400" s="402">
        <f t="shared" ca="1" si="34"/>
        <v>11</v>
      </c>
      <c r="AO400" s="402">
        <f t="shared" ca="1" si="35"/>
        <v>5</v>
      </c>
      <c r="AP400" s="402">
        <f t="shared" ca="1" si="36"/>
        <v>0</v>
      </c>
      <c r="AQ400" s="402">
        <f t="shared" ca="1" si="37"/>
        <v>0</v>
      </c>
      <c r="AR400" s="402">
        <f t="shared" ca="1" si="38"/>
        <v>0</v>
      </c>
      <c r="AS400" s="403"/>
      <c r="AT400" s="402">
        <f t="shared" si="39"/>
        <v>1</v>
      </c>
    </row>
    <row r="401" spans="1:46" ht="15.75" customHeight="1">
      <c r="A401" s="382"/>
      <c r="B401" s="383">
        <f t="shared" ca="1" si="20"/>
        <v>3</v>
      </c>
      <c r="C401" s="384">
        <f t="shared" ca="1" si="21"/>
        <v>2</v>
      </c>
      <c r="D401" s="384">
        <f t="shared" ca="1" si="22"/>
        <v>11</v>
      </c>
      <c r="E401" s="384">
        <f t="shared" ca="1" si="23"/>
        <v>6</v>
      </c>
      <c r="F401" s="384" t="str">
        <f t="shared" ca="1" si="24"/>
        <v/>
      </c>
      <c r="G401" s="385" t="str">
        <f t="shared" ca="1" si="25"/>
        <v/>
      </c>
      <c r="H401" s="386" t="str">
        <f t="shared" ca="1" si="26"/>
        <v/>
      </c>
      <c r="I401" s="404"/>
      <c r="J401" s="415"/>
      <c r="K401" s="428"/>
      <c r="L401" s="428" t="s">
        <v>66</v>
      </c>
      <c r="M401" s="428"/>
      <c r="N401" s="428"/>
      <c r="O401" s="428"/>
      <c r="P401" s="428"/>
      <c r="Q401" s="429"/>
      <c r="R401" s="417"/>
      <c r="S401" s="418"/>
      <c r="T401" s="419"/>
      <c r="U401" s="418"/>
      <c r="V401" s="419"/>
      <c r="W401" s="430"/>
      <c r="X401" s="431"/>
      <c r="Y401" s="434"/>
      <c r="Z401" s="433"/>
      <c r="AA401" s="396"/>
      <c r="AB401" s="397"/>
      <c r="AC401" s="398"/>
      <c r="AD401" s="399"/>
      <c r="AE401" s="400"/>
      <c r="AF401" s="401"/>
      <c r="AG401" s="401">
        <f t="shared" si="27"/>
        <v>0</v>
      </c>
      <c r="AH401" s="401">
        <f t="shared" si="28"/>
        <v>0</v>
      </c>
      <c r="AI401" s="401">
        <f t="shared" si="29"/>
        <v>0</v>
      </c>
      <c r="AJ401" s="401">
        <f t="shared" si="30"/>
        <v>0</v>
      </c>
      <c r="AK401" s="401" t="str">
        <f t="shared" si="31"/>
        <v/>
      </c>
      <c r="AL401" s="402">
        <f t="shared" ca="1" si="32"/>
        <v>3</v>
      </c>
      <c r="AM401" s="402">
        <f t="shared" ca="1" si="33"/>
        <v>2</v>
      </c>
      <c r="AN401" s="402">
        <f t="shared" ca="1" si="34"/>
        <v>11</v>
      </c>
      <c r="AO401" s="402">
        <f t="shared" ca="1" si="35"/>
        <v>6</v>
      </c>
      <c r="AP401" s="402">
        <f t="shared" ca="1" si="36"/>
        <v>0</v>
      </c>
      <c r="AQ401" s="402">
        <f t="shared" ca="1" si="37"/>
        <v>0</v>
      </c>
      <c r="AR401" s="402">
        <f t="shared" ca="1" si="38"/>
        <v>0</v>
      </c>
      <c r="AS401" s="403"/>
      <c r="AT401" s="402">
        <f t="shared" si="39"/>
        <v>1</v>
      </c>
    </row>
    <row r="402" spans="1:46" ht="15.75" customHeight="1">
      <c r="A402" s="382"/>
      <c r="B402" s="383">
        <f t="shared" ca="1" si="20"/>
        <v>3</v>
      </c>
      <c r="C402" s="384">
        <f t="shared" ca="1" si="21"/>
        <v>2</v>
      </c>
      <c r="D402" s="384">
        <f t="shared" ca="1" si="22"/>
        <v>12</v>
      </c>
      <c r="E402" s="384" t="str">
        <f t="shared" ca="1" si="23"/>
        <v/>
      </c>
      <c r="F402" s="384" t="str">
        <f t="shared" ca="1" si="24"/>
        <v/>
      </c>
      <c r="G402" s="385" t="str">
        <f t="shared" ca="1" si="25"/>
        <v/>
      </c>
      <c r="H402" s="386" t="str">
        <f t="shared" ca="1" si="26"/>
        <v/>
      </c>
      <c r="I402" s="404"/>
      <c r="J402" s="415"/>
      <c r="K402" s="428" t="s">
        <v>369</v>
      </c>
      <c r="L402" s="428"/>
      <c r="M402" s="428"/>
      <c r="N402" s="428"/>
      <c r="O402" s="428"/>
      <c r="P402" s="428"/>
      <c r="Q402" s="429"/>
      <c r="R402" s="417"/>
      <c r="S402" s="418"/>
      <c r="T402" s="419"/>
      <c r="U402" s="418"/>
      <c r="V402" s="419"/>
      <c r="W402" s="430"/>
      <c r="X402" s="431"/>
      <c r="Y402" s="434"/>
      <c r="Z402" s="433"/>
      <c r="AA402" s="396"/>
      <c r="AB402" s="397"/>
      <c r="AC402" s="398"/>
      <c r="AD402" s="399"/>
      <c r="AE402" s="400"/>
      <c r="AF402" s="401"/>
      <c r="AG402" s="401">
        <f t="shared" si="27"/>
        <v>0</v>
      </c>
      <c r="AH402" s="401">
        <f t="shared" si="28"/>
        <v>0</v>
      </c>
      <c r="AI402" s="401">
        <f t="shared" si="29"/>
        <v>0</v>
      </c>
      <c r="AJ402" s="401">
        <f t="shared" si="30"/>
        <v>0</v>
      </c>
      <c r="AK402" s="401" t="str">
        <f t="shared" si="31"/>
        <v/>
      </c>
      <c r="AL402" s="402">
        <f t="shared" ca="1" si="32"/>
        <v>3</v>
      </c>
      <c r="AM402" s="402">
        <f t="shared" ca="1" si="33"/>
        <v>2</v>
      </c>
      <c r="AN402" s="402">
        <f t="shared" ca="1" si="34"/>
        <v>12</v>
      </c>
      <c r="AO402" s="402">
        <f t="shared" ca="1" si="35"/>
        <v>0</v>
      </c>
      <c r="AP402" s="402">
        <f t="shared" ca="1" si="36"/>
        <v>0</v>
      </c>
      <c r="AQ402" s="402">
        <f t="shared" ca="1" si="37"/>
        <v>0</v>
      </c>
      <c r="AR402" s="402">
        <f t="shared" ca="1" si="38"/>
        <v>0</v>
      </c>
      <c r="AS402" s="403"/>
      <c r="AT402" s="402">
        <f t="shared" si="39"/>
        <v>1</v>
      </c>
    </row>
    <row r="403" spans="1:46" ht="15.75" customHeight="1">
      <c r="A403" s="382"/>
      <c r="B403" s="383">
        <f t="shared" ca="1" si="20"/>
        <v>3</v>
      </c>
      <c r="C403" s="384">
        <f t="shared" ca="1" si="21"/>
        <v>2</v>
      </c>
      <c r="D403" s="384">
        <f t="shared" ca="1" si="22"/>
        <v>12</v>
      </c>
      <c r="E403" s="384">
        <f t="shared" ca="1" si="23"/>
        <v>1</v>
      </c>
      <c r="F403" s="384" t="str">
        <f t="shared" ca="1" si="24"/>
        <v/>
      </c>
      <c r="G403" s="385" t="str">
        <f t="shared" ca="1" si="25"/>
        <v/>
      </c>
      <c r="H403" s="386" t="str">
        <f t="shared" ca="1" si="26"/>
        <v/>
      </c>
      <c r="I403" s="404"/>
      <c r="J403" s="415"/>
      <c r="K403" s="428"/>
      <c r="L403" s="428" t="s">
        <v>59</v>
      </c>
      <c r="M403" s="428"/>
      <c r="N403" s="428"/>
      <c r="O403" s="428"/>
      <c r="P403" s="428"/>
      <c r="Q403" s="429"/>
      <c r="R403" s="417"/>
      <c r="S403" s="418"/>
      <c r="T403" s="419"/>
      <c r="U403" s="418"/>
      <c r="V403" s="419"/>
      <c r="W403" s="430"/>
      <c r="X403" s="431"/>
      <c r="Y403" s="434"/>
      <c r="Z403" s="433"/>
      <c r="AA403" s="396"/>
      <c r="AB403" s="397"/>
      <c r="AC403" s="398"/>
      <c r="AD403" s="399"/>
      <c r="AE403" s="400"/>
      <c r="AF403" s="401"/>
      <c r="AG403" s="401">
        <f t="shared" si="27"/>
        <v>0</v>
      </c>
      <c r="AH403" s="401">
        <f t="shared" si="28"/>
        <v>0</v>
      </c>
      <c r="AI403" s="401">
        <f t="shared" si="29"/>
        <v>0</v>
      </c>
      <c r="AJ403" s="401">
        <f t="shared" si="30"/>
        <v>0</v>
      </c>
      <c r="AK403" s="401" t="str">
        <f t="shared" si="31"/>
        <v/>
      </c>
      <c r="AL403" s="402">
        <f t="shared" ca="1" si="32"/>
        <v>3</v>
      </c>
      <c r="AM403" s="402">
        <f t="shared" ca="1" si="33"/>
        <v>2</v>
      </c>
      <c r="AN403" s="402">
        <f t="shared" ca="1" si="34"/>
        <v>12</v>
      </c>
      <c r="AO403" s="402">
        <f t="shared" ca="1" si="35"/>
        <v>1</v>
      </c>
      <c r="AP403" s="402">
        <f t="shared" ca="1" si="36"/>
        <v>0</v>
      </c>
      <c r="AQ403" s="402">
        <f t="shared" ca="1" si="37"/>
        <v>0</v>
      </c>
      <c r="AR403" s="402">
        <f t="shared" ca="1" si="38"/>
        <v>0</v>
      </c>
      <c r="AS403" s="403"/>
      <c r="AT403" s="402">
        <f t="shared" si="39"/>
        <v>1</v>
      </c>
    </row>
    <row r="404" spans="1:46" ht="15.75" customHeight="1">
      <c r="A404" s="382"/>
      <c r="B404" s="383">
        <f t="shared" ca="1" si="20"/>
        <v>3</v>
      </c>
      <c r="C404" s="384">
        <f t="shared" ca="1" si="21"/>
        <v>2</v>
      </c>
      <c r="D404" s="384">
        <f t="shared" ca="1" si="22"/>
        <v>12</v>
      </c>
      <c r="E404" s="384">
        <f t="shared" ca="1" si="23"/>
        <v>2</v>
      </c>
      <c r="F404" s="384" t="str">
        <f t="shared" ca="1" si="24"/>
        <v/>
      </c>
      <c r="G404" s="385" t="str">
        <f t="shared" ca="1" si="25"/>
        <v/>
      </c>
      <c r="H404" s="386" t="str">
        <f t="shared" ca="1" si="26"/>
        <v/>
      </c>
      <c r="I404" s="404"/>
      <c r="J404" s="415"/>
      <c r="K404" s="428"/>
      <c r="L404" s="428" t="s">
        <v>61</v>
      </c>
      <c r="M404" s="428"/>
      <c r="N404" s="428"/>
      <c r="O404" s="428"/>
      <c r="P404" s="428"/>
      <c r="Q404" s="429"/>
      <c r="R404" s="417"/>
      <c r="S404" s="418"/>
      <c r="T404" s="419"/>
      <c r="U404" s="418"/>
      <c r="V404" s="419"/>
      <c r="W404" s="430"/>
      <c r="X404" s="431"/>
      <c r="Y404" s="434"/>
      <c r="Z404" s="433"/>
      <c r="AA404" s="396"/>
      <c r="AB404" s="397"/>
      <c r="AC404" s="398"/>
      <c r="AD404" s="399"/>
      <c r="AE404" s="400"/>
      <c r="AF404" s="401"/>
      <c r="AG404" s="401">
        <f t="shared" si="27"/>
        <v>0</v>
      </c>
      <c r="AH404" s="401">
        <f t="shared" si="28"/>
        <v>0</v>
      </c>
      <c r="AI404" s="401">
        <f t="shared" si="29"/>
        <v>0</v>
      </c>
      <c r="AJ404" s="401">
        <f t="shared" si="30"/>
        <v>0</v>
      </c>
      <c r="AK404" s="401" t="str">
        <f t="shared" si="31"/>
        <v/>
      </c>
      <c r="AL404" s="402">
        <f t="shared" ca="1" si="32"/>
        <v>3</v>
      </c>
      <c r="AM404" s="402">
        <f t="shared" ca="1" si="33"/>
        <v>2</v>
      </c>
      <c r="AN404" s="402">
        <f t="shared" ca="1" si="34"/>
        <v>12</v>
      </c>
      <c r="AO404" s="402">
        <f t="shared" ca="1" si="35"/>
        <v>2</v>
      </c>
      <c r="AP404" s="402">
        <f t="shared" ca="1" si="36"/>
        <v>0</v>
      </c>
      <c r="AQ404" s="402">
        <f t="shared" ca="1" si="37"/>
        <v>0</v>
      </c>
      <c r="AR404" s="402">
        <f t="shared" ca="1" si="38"/>
        <v>0</v>
      </c>
      <c r="AS404" s="403"/>
      <c r="AT404" s="402">
        <f t="shared" si="39"/>
        <v>1</v>
      </c>
    </row>
    <row r="405" spans="1:46" ht="15.75" customHeight="1">
      <c r="A405" s="382"/>
      <c r="B405" s="383">
        <f t="shared" ca="1" si="20"/>
        <v>3</v>
      </c>
      <c r="C405" s="384">
        <f t="shared" ca="1" si="21"/>
        <v>2</v>
      </c>
      <c r="D405" s="384">
        <f t="shared" ca="1" si="22"/>
        <v>12</v>
      </c>
      <c r="E405" s="384">
        <f t="shared" ca="1" si="23"/>
        <v>3</v>
      </c>
      <c r="F405" s="384" t="str">
        <f t="shared" ca="1" si="24"/>
        <v/>
      </c>
      <c r="G405" s="385" t="str">
        <f t="shared" ca="1" si="25"/>
        <v/>
      </c>
      <c r="H405" s="386" t="str">
        <f t="shared" ca="1" si="26"/>
        <v/>
      </c>
      <c r="I405" s="404"/>
      <c r="J405" s="415"/>
      <c r="K405" s="428"/>
      <c r="L405" s="428" t="s">
        <v>63</v>
      </c>
      <c r="M405" s="428"/>
      <c r="N405" s="428"/>
      <c r="O405" s="428"/>
      <c r="P405" s="428"/>
      <c r="Q405" s="429"/>
      <c r="R405" s="417"/>
      <c r="S405" s="418"/>
      <c r="T405" s="419"/>
      <c r="U405" s="418"/>
      <c r="V405" s="419"/>
      <c r="W405" s="430"/>
      <c r="X405" s="431"/>
      <c r="Y405" s="434"/>
      <c r="Z405" s="433"/>
      <c r="AA405" s="396"/>
      <c r="AB405" s="397"/>
      <c r="AC405" s="398"/>
      <c r="AD405" s="399"/>
      <c r="AE405" s="400"/>
      <c r="AF405" s="401"/>
      <c r="AG405" s="401">
        <f t="shared" si="27"/>
        <v>0</v>
      </c>
      <c r="AH405" s="401">
        <f t="shared" si="28"/>
        <v>0</v>
      </c>
      <c r="AI405" s="401">
        <f t="shared" si="29"/>
        <v>0</v>
      </c>
      <c r="AJ405" s="401">
        <f t="shared" si="30"/>
        <v>0</v>
      </c>
      <c r="AK405" s="401" t="str">
        <f t="shared" si="31"/>
        <v/>
      </c>
      <c r="AL405" s="402">
        <f t="shared" ca="1" si="32"/>
        <v>3</v>
      </c>
      <c r="AM405" s="402">
        <f t="shared" ca="1" si="33"/>
        <v>2</v>
      </c>
      <c r="AN405" s="402">
        <f t="shared" ca="1" si="34"/>
        <v>12</v>
      </c>
      <c r="AO405" s="402">
        <f t="shared" ca="1" si="35"/>
        <v>3</v>
      </c>
      <c r="AP405" s="402">
        <f t="shared" ca="1" si="36"/>
        <v>0</v>
      </c>
      <c r="AQ405" s="402">
        <f t="shared" ca="1" si="37"/>
        <v>0</v>
      </c>
      <c r="AR405" s="402">
        <f t="shared" ca="1" si="38"/>
        <v>0</v>
      </c>
      <c r="AS405" s="403"/>
      <c r="AT405" s="402">
        <f t="shared" si="39"/>
        <v>1</v>
      </c>
    </row>
    <row r="406" spans="1:46" ht="15.75" customHeight="1">
      <c r="A406" s="382"/>
      <c r="B406" s="383">
        <f t="shared" ca="1" si="20"/>
        <v>3</v>
      </c>
      <c r="C406" s="384">
        <f t="shared" ca="1" si="21"/>
        <v>2</v>
      </c>
      <c r="D406" s="384">
        <f t="shared" ca="1" si="22"/>
        <v>12</v>
      </c>
      <c r="E406" s="384">
        <f t="shared" ca="1" si="23"/>
        <v>4</v>
      </c>
      <c r="F406" s="384" t="str">
        <f t="shared" ca="1" si="24"/>
        <v/>
      </c>
      <c r="G406" s="385" t="str">
        <f t="shared" ca="1" si="25"/>
        <v/>
      </c>
      <c r="H406" s="386" t="str">
        <f t="shared" ca="1" si="26"/>
        <v/>
      </c>
      <c r="I406" s="404"/>
      <c r="J406" s="415"/>
      <c r="K406" s="428"/>
      <c r="L406" s="428" t="s">
        <v>64</v>
      </c>
      <c r="M406" s="428"/>
      <c r="N406" s="428"/>
      <c r="O406" s="428"/>
      <c r="P406" s="428"/>
      <c r="Q406" s="429"/>
      <c r="R406" s="417"/>
      <c r="S406" s="418"/>
      <c r="T406" s="419"/>
      <c r="U406" s="418"/>
      <c r="V406" s="419"/>
      <c r="W406" s="430"/>
      <c r="X406" s="431"/>
      <c r="Y406" s="434"/>
      <c r="Z406" s="433"/>
      <c r="AA406" s="396"/>
      <c r="AB406" s="397"/>
      <c r="AC406" s="398"/>
      <c r="AD406" s="399"/>
      <c r="AE406" s="400"/>
      <c r="AF406" s="401"/>
      <c r="AG406" s="401">
        <f t="shared" si="27"/>
        <v>0</v>
      </c>
      <c r="AH406" s="401">
        <f t="shared" si="28"/>
        <v>0</v>
      </c>
      <c r="AI406" s="401">
        <f t="shared" si="29"/>
        <v>0</v>
      </c>
      <c r="AJ406" s="401">
        <f t="shared" si="30"/>
        <v>0</v>
      </c>
      <c r="AK406" s="401" t="str">
        <f t="shared" si="31"/>
        <v/>
      </c>
      <c r="AL406" s="402">
        <f t="shared" ca="1" si="32"/>
        <v>3</v>
      </c>
      <c r="AM406" s="402">
        <f t="shared" ca="1" si="33"/>
        <v>2</v>
      </c>
      <c r="AN406" s="402">
        <f t="shared" ca="1" si="34"/>
        <v>12</v>
      </c>
      <c r="AO406" s="402">
        <f t="shared" ca="1" si="35"/>
        <v>4</v>
      </c>
      <c r="AP406" s="402">
        <f t="shared" ca="1" si="36"/>
        <v>0</v>
      </c>
      <c r="AQ406" s="402">
        <f t="shared" ca="1" si="37"/>
        <v>0</v>
      </c>
      <c r="AR406" s="402">
        <f t="shared" ca="1" si="38"/>
        <v>0</v>
      </c>
      <c r="AS406" s="403"/>
      <c r="AT406" s="402">
        <f t="shared" si="39"/>
        <v>1</v>
      </c>
    </row>
    <row r="407" spans="1:46" ht="15.75" customHeight="1">
      <c r="A407" s="382"/>
      <c r="B407" s="383">
        <f t="shared" ca="1" si="20"/>
        <v>3</v>
      </c>
      <c r="C407" s="384">
        <f t="shared" ca="1" si="21"/>
        <v>2</v>
      </c>
      <c r="D407" s="384">
        <f t="shared" ca="1" si="22"/>
        <v>12</v>
      </c>
      <c r="E407" s="384">
        <f t="shared" ca="1" si="23"/>
        <v>5</v>
      </c>
      <c r="F407" s="384" t="str">
        <f t="shared" ca="1" si="24"/>
        <v/>
      </c>
      <c r="G407" s="385" t="str">
        <f t="shared" ca="1" si="25"/>
        <v/>
      </c>
      <c r="H407" s="386" t="str">
        <f t="shared" ca="1" si="26"/>
        <v/>
      </c>
      <c r="I407" s="404"/>
      <c r="J407" s="415"/>
      <c r="K407" s="428"/>
      <c r="L407" s="428" t="s">
        <v>65</v>
      </c>
      <c r="M407" s="428"/>
      <c r="N407" s="428"/>
      <c r="O407" s="428"/>
      <c r="P407" s="428"/>
      <c r="Q407" s="429"/>
      <c r="R407" s="417"/>
      <c r="S407" s="418"/>
      <c r="T407" s="419"/>
      <c r="U407" s="418"/>
      <c r="V407" s="419"/>
      <c r="W407" s="430"/>
      <c r="X407" s="431"/>
      <c r="Y407" s="434"/>
      <c r="Z407" s="433"/>
      <c r="AA407" s="396"/>
      <c r="AB407" s="397"/>
      <c r="AC407" s="398"/>
      <c r="AD407" s="399"/>
      <c r="AE407" s="400"/>
      <c r="AF407" s="401"/>
      <c r="AG407" s="401">
        <f t="shared" si="27"/>
        <v>0</v>
      </c>
      <c r="AH407" s="401">
        <f t="shared" si="28"/>
        <v>0</v>
      </c>
      <c r="AI407" s="401">
        <f t="shared" si="29"/>
        <v>0</v>
      </c>
      <c r="AJ407" s="401">
        <f t="shared" si="30"/>
        <v>0</v>
      </c>
      <c r="AK407" s="401" t="str">
        <f t="shared" si="31"/>
        <v/>
      </c>
      <c r="AL407" s="402">
        <f t="shared" ca="1" si="32"/>
        <v>3</v>
      </c>
      <c r="AM407" s="402">
        <f t="shared" ca="1" si="33"/>
        <v>2</v>
      </c>
      <c r="AN407" s="402">
        <f t="shared" ca="1" si="34"/>
        <v>12</v>
      </c>
      <c r="AO407" s="402">
        <f t="shared" ca="1" si="35"/>
        <v>5</v>
      </c>
      <c r="AP407" s="402">
        <f t="shared" ca="1" si="36"/>
        <v>0</v>
      </c>
      <c r="AQ407" s="402">
        <f t="shared" ca="1" si="37"/>
        <v>0</v>
      </c>
      <c r="AR407" s="402">
        <f t="shared" ca="1" si="38"/>
        <v>0</v>
      </c>
      <c r="AS407" s="403"/>
      <c r="AT407" s="402">
        <f t="shared" si="39"/>
        <v>1</v>
      </c>
    </row>
    <row r="408" spans="1:46" ht="15.75" customHeight="1">
      <c r="A408" s="382"/>
      <c r="B408" s="383">
        <f t="shared" ca="1" si="20"/>
        <v>3</v>
      </c>
      <c r="C408" s="384">
        <f t="shared" ca="1" si="21"/>
        <v>2</v>
      </c>
      <c r="D408" s="384">
        <f t="shared" ca="1" si="22"/>
        <v>12</v>
      </c>
      <c r="E408" s="384">
        <f t="shared" ca="1" si="23"/>
        <v>6</v>
      </c>
      <c r="F408" s="384" t="str">
        <f t="shared" ca="1" si="24"/>
        <v/>
      </c>
      <c r="G408" s="385" t="str">
        <f t="shared" ca="1" si="25"/>
        <v/>
      </c>
      <c r="H408" s="386" t="str">
        <f t="shared" ca="1" si="26"/>
        <v/>
      </c>
      <c r="I408" s="404"/>
      <c r="J408" s="415"/>
      <c r="K408" s="428"/>
      <c r="L408" s="428" t="s">
        <v>66</v>
      </c>
      <c r="M408" s="428"/>
      <c r="N408" s="428"/>
      <c r="O408" s="428"/>
      <c r="P408" s="428"/>
      <c r="Q408" s="429"/>
      <c r="R408" s="417"/>
      <c r="S408" s="418"/>
      <c r="T408" s="419"/>
      <c r="U408" s="418"/>
      <c r="V408" s="419"/>
      <c r="W408" s="430"/>
      <c r="X408" s="431"/>
      <c r="Y408" s="434"/>
      <c r="Z408" s="433"/>
      <c r="AA408" s="396"/>
      <c r="AB408" s="397"/>
      <c r="AC408" s="398"/>
      <c r="AD408" s="399"/>
      <c r="AE408" s="400"/>
      <c r="AF408" s="401"/>
      <c r="AG408" s="401">
        <f t="shared" si="27"/>
        <v>0</v>
      </c>
      <c r="AH408" s="401">
        <f t="shared" si="28"/>
        <v>0</v>
      </c>
      <c r="AI408" s="401">
        <f t="shared" si="29"/>
        <v>0</v>
      </c>
      <c r="AJ408" s="401">
        <f t="shared" si="30"/>
        <v>0</v>
      </c>
      <c r="AK408" s="401" t="str">
        <f t="shared" si="31"/>
        <v/>
      </c>
      <c r="AL408" s="402">
        <f t="shared" ca="1" si="32"/>
        <v>3</v>
      </c>
      <c r="AM408" s="402">
        <f t="shared" ca="1" si="33"/>
        <v>2</v>
      </c>
      <c r="AN408" s="402">
        <f t="shared" ca="1" si="34"/>
        <v>12</v>
      </c>
      <c r="AO408" s="402">
        <f t="shared" ca="1" si="35"/>
        <v>6</v>
      </c>
      <c r="AP408" s="402">
        <f t="shared" ca="1" si="36"/>
        <v>0</v>
      </c>
      <c r="AQ408" s="402">
        <f t="shared" ca="1" si="37"/>
        <v>0</v>
      </c>
      <c r="AR408" s="402">
        <f t="shared" ca="1" si="38"/>
        <v>0</v>
      </c>
      <c r="AS408" s="403"/>
      <c r="AT408" s="402">
        <f t="shared" si="39"/>
        <v>1</v>
      </c>
    </row>
    <row r="409" spans="1:46" ht="15.75" customHeight="1">
      <c r="A409" s="382"/>
      <c r="B409" s="383">
        <f t="shared" ca="1" si="20"/>
        <v>3</v>
      </c>
      <c r="C409" s="384">
        <f t="shared" ca="1" si="21"/>
        <v>2</v>
      </c>
      <c r="D409" s="384">
        <f t="shared" ca="1" si="22"/>
        <v>13</v>
      </c>
      <c r="E409" s="384" t="str">
        <f t="shared" ca="1" si="23"/>
        <v/>
      </c>
      <c r="F409" s="384" t="str">
        <f t="shared" ca="1" si="24"/>
        <v/>
      </c>
      <c r="G409" s="385" t="str">
        <f t="shared" ca="1" si="25"/>
        <v/>
      </c>
      <c r="H409" s="386" t="str">
        <f t="shared" ca="1" si="26"/>
        <v/>
      </c>
      <c r="I409" s="404"/>
      <c r="J409" s="415"/>
      <c r="K409" s="428" t="s">
        <v>370</v>
      </c>
      <c r="L409" s="428"/>
      <c r="M409" s="428"/>
      <c r="N409" s="428"/>
      <c r="O409" s="428"/>
      <c r="P409" s="428"/>
      <c r="Q409" s="429"/>
      <c r="R409" s="417"/>
      <c r="S409" s="418"/>
      <c r="T409" s="419"/>
      <c r="U409" s="418"/>
      <c r="V409" s="419"/>
      <c r="W409" s="430"/>
      <c r="X409" s="431"/>
      <c r="Y409" s="434"/>
      <c r="Z409" s="433"/>
      <c r="AA409" s="396"/>
      <c r="AB409" s="397"/>
      <c r="AC409" s="398"/>
      <c r="AD409" s="399"/>
      <c r="AE409" s="400"/>
      <c r="AF409" s="401"/>
      <c r="AG409" s="401">
        <f t="shared" si="27"/>
        <v>0</v>
      </c>
      <c r="AH409" s="401">
        <f t="shared" si="28"/>
        <v>0</v>
      </c>
      <c r="AI409" s="401">
        <f t="shared" si="29"/>
        <v>0</v>
      </c>
      <c r="AJ409" s="401">
        <f t="shared" si="30"/>
        <v>0</v>
      </c>
      <c r="AK409" s="401" t="str">
        <f t="shared" si="31"/>
        <v/>
      </c>
      <c r="AL409" s="402">
        <f t="shared" ca="1" si="32"/>
        <v>3</v>
      </c>
      <c r="AM409" s="402">
        <f t="shared" ca="1" si="33"/>
        <v>2</v>
      </c>
      <c r="AN409" s="402">
        <f t="shared" ca="1" si="34"/>
        <v>13</v>
      </c>
      <c r="AO409" s="402">
        <f t="shared" ca="1" si="35"/>
        <v>0</v>
      </c>
      <c r="AP409" s="402">
        <f t="shared" ca="1" si="36"/>
        <v>0</v>
      </c>
      <c r="AQ409" s="402">
        <f t="shared" ca="1" si="37"/>
        <v>0</v>
      </c>
      <c r="AR409" s="402">
        <f t="shared" ca="1" si="38"/>
        <v>0</v>
      </c>
      <c r="AS409" s="403"/>
      <c r="AT409" s="402">
        <f t="shared" si="39"/>
        <v>1</v>
      </c>
    </row>
    <row r="410" spans="1:46" ht="15.75" customHeight="1">
      <c r="A410" s="382"/>
      <c r="B410" s="383">
        <f t="shared" ca="1" si="20"/>
        <v>3</v>
      </c>
      <c r="C410" s="384">
        <f t="shared" ca="1" si="21"/>
        <v>2</v>
      </c>
      <c r="D410" s="384">
        <f t="shared" ca="1" si="22"/>
        <v>13</v>
      </c>
      <c r="E410" s="384">
        <f t="shared" ca="1" si="23"/>
        <v>1</v>
      </c>
      <c r="F410" s="384" t="str">
        <f t="shared" ca="1" si="24"/>
        <v/>
      </c>
      <c r="G410" s="385" t="str">
        <f t="shared" ca="1" si="25"/>
        <v/>
      </c>
      <c r="H410" s="386" t="str">
        <f t="shared" ca="1" si="26"/>
        <v/>
      </c>
      <c r="I410" s="404"/>
      <c r="J410" s="415"/>
      <c r="K410" s="428"/>
      <c r="L410" s="428" t="s">
        <v>59</v>
      </c>
      <c r="M410" s="428"/>
      <c r="N410" s="428"/>
      <c r="O410" s="428"/>
      <c r="P410" s="428"/>
      <c r="Q410" s="429"/>
      <c r="R410" s="417"/>
      <c r="S410" s="418"/>
      <c r="T410" s="419"/>
      <c r="U410" s="418"/>
      <c r="V410" s="419"/>
      <c r="W410" s="430"/>
      <c r="X410" s="431"/>
      <c r="Y410" s="434"/>
      <c r="Z410" s="433"/>
      <c r="AA410" s="396"/>
      <c r="AB410" s="397"/>
      <c r="AC410" s="398"/>
      <c r="AD410" s="399"/>
      <c r="AE410" s="400"/>
      <c r="AF410" s="401"/>
      <c r="AG410" s="401">
        <f t="shared" si="27"/>
        <v>0</v>
      </c>
      <c r="AH410" s="401">
        <f t="shared" si="28"/>
        <v>0</v>
      </c>
      <c r="AI410" s="401">
        <f t="shared" si="29"/>
        <v>0</v>
      </c>
      <c r="AJ410" s="401">
        <f t="shared" si="30"/>
        <v>0</v>
      </c>
      <c r="AK410" s="401" t="str">
        <f t="shared" si="31"/>
        <v/>
      </c>
      <c r="AL410" s="402">
        <f t="shared" ca="1" si="32"/>
        <v>3</v>
      </c>
      <c r="AM410" s="402">
        <f t="shared" ca="1" si="33"/>
        <v>2</v>
      </c>
      <c r="AN410" s="402">
        <f t="shared" ca="1" si="34"/>
        <v>13</v>
      </c>
      <c r="AO410" s="402">
        <f t="shared" ca="1" si="35"/>
        <v>1</v>
      </c>
      <c r="AP410" s="402">
        <f t="shared" ca="1" si="36"/>
        <v>0</v>
      </c>
      <c r="AQ410" s="402">
        <f t="shared" ca="1" si="37"/>
        <v>0</v>
      </c>
      <c r="AR410" s="402">
        <f t="shared" ca="1" si="38"/>
        <v>0</v>
      </c>
      <c r="AS410" s="403"/>
      <c r="AT410" s="402">
        <f t="shared" si="39"/>
        <v>1</v>
      </c>
    </row>
    <row r="411" spans="1:46" ht="15.75" customHeight="1">
      <c r="A411" s="382"/>
      <c r="B411" s="383">
        <f t="shared" ca="1" si="20"/>
        <v>3</v>
      </c>
      <c r="C411" s="384">
        <f t="shared" ca="1" si="21"/>
        <v>2</v>
      </c>
      <c r="D411" s="384">
        <f t="shared" ca="1" si="22"/>
        <v>13</v>
      </c>
      <c r="E411" s="384">
        <f t="shared" ca="1" si="23"/>
        <v>2</v>
      </c>
      <c r="F411" s="384" t="str">
        <f t="shared" ca="1" si="24"/>
        <v/>
      </c>
      <c r="G411" s="385" t="str">
        <f t="shared" ca="1" si="25"/>
        <v/>
      </c>
      <c r="H411" s="386" t="str">
        <f t="shared" ca="1" si="26"/>
        <v/>
      </c>
      <c r="I411" s="404"/>
      <c r="J411" s="415"/>
      <c r="K411" s="428"/>
      <c r="L411" s="428" t="s">
        <v>61</v>
      </c>
      <c r="M411" s="428"/>
      <c r="N411" s="428"/>
      <c r="O411" s="428"/>
      <c r="P411" s="428"/>
      <c r="Q411" s="429"/>
      <c r="R411" s="417"/>
      <c r="S411" s="418"/>
      <c r="T411" s="419"/>
      <c r="U411" s="418"/>
      <c r="V411" s="419"/>
      <c r="W411" s="430"/>
      <c r="X411" s="431"/>
      <c r="Y411" s="434"/>
      <c r="Z411" s="433"/>
      <c r="AA411" s="396"/>
      <c r="AB411" s="397"/>
      <c r="AC411" s="398"/>
      <c r="AD411" s="399"/>
      <c r="AE411" s="400"/>
      <c r="AF411" s="401"/>
      <c r="AG411" s="401">
        <f t="shared" si="27"/>
        <v>0</v>
      </c>
      <c r="AH411" s="401">
        <f t="shared" si="28"/>
        <v>0</v>
      </c>
      <c r="AI411" s="401">
        <f t="shared" si="29"/>
        <v>0</v>
      </c>
      <c r="AJ411" s="401">
        <f t="shared" si="30"/>
        <v>0</v>
      </c>
      <c r="AK411" s="401" t="str">
        <f t="shared" si="31"/>
        <v/>
      </c>
      <c r="AL411" s="402">
        <f t="shared" ca="1" si="32"/>
        <v>3</v>
      </c>
      <c r="AM411" s="402">
        <f t="shared" ca="1" si="33"/>
        <v>2</v>
      </c>
      <c r="AN411" s="402">
        <f t="shared" ca="1" si="34"/>
        <v>13</v>
      </c>
      <c r="AO411" s="402">
        <f t="shared" ca="1" si="35"/>
        <v>2</v>
      </c>
      <c r="AP411" s="402">
        <f t="shared" ca="1" si="36"/>
        <v>0</v>
      </c>
      <c r="AQ411" s="402">
        <f t="shared" ca="1" si="37"/>
        <v>0</v>
      </c>
      <c r="AR411" s="402">
        <f t="shared" ca="1" si="38"/>
        <v>0</v>
      </c>
      <c r="AS411" s="403"/>
      <c r="AT411" s="402">
        <f t="shared" si="39"/>
        <v>1</v>
      </c>
    </row>
    <row r="412" spans="1:46" ht="15.75" customHeight="1">
      <c r="A412" s="382"/>
      <c r="B412" s="383">
        <f t="shared" ca="1" si="20"/>
        <v>3</v>
      </c>
      <c r="C412" s="384">
        <f t="shared" ca="1" si="21"/>
        <v>2</v>
      </c>
      <c r="D412" s="384">
        <f t="shared" ca="1" si="22"/>
        <v>13</v>
      </c>
      <c r="E412" s="384">
        <f t="shared" ca="1" si="23"/>
        <v>3</v>
      </c>
      <c r="F412" s="384" t="str">
        <f t="shared" ca="1" si="24"/>
        <v/>
      </c>
      <c r="G412" s="385" t="str">
        <f t="shared" ca="1" si="25"/>
        <v/>
      </c>
      <c r="H412" s="386" t="str">
        <f t="shared" ca="1" si="26"/>
        <v/>
      </c>
      <c r="I412" s="404"/>
      <c r="J412" s="415"/>
      <c r="K412" s="428"/>
      <c r="L412" s="428" t="s">
        <v>63</v>
      </c>
      <c r="M412" s="428"/>
      <c r="N412" s="428"/>
      <c r="O412" s="428"/>
      <c r="P412" s="428"/>
      <c r="Q412" s="429"/>
      <c r="R412" s="417"/>
      <c r="S412" s="418"/>
      <c r="T412" s="419"/>
      <c r="U412" s="418"/>
      <c r="V412" s="419"/>
      <c r="W412" s="430"/>
      <c r="X412" s="431"/>
      <c r="Y412" s="434"/>
      <c r="Z412" s="433"/>
      <c r="AA412" s="396"/>
      <c r="AB412" s="397"/>
      <c r="AC412" s="398"/>
      <c r="AD412" s="399"/>
      <c r="AE412" s="400"/>
      <c r="AF412" s="401"/>
      <c r="AG412" s="401">
        <f t="shared" si="27"/>
        <v>0</v>
      </c>
      <c r="AH412" s="401">
        <f t="shared" si="28"/>
        <v>0</v>
      </c>
      <c r="AI412" s="401">
        <f t="shared" si="29"/>
        <v>0</v>
      </c>
      <c r="AJ412" s="401">
        <f t="shared" si="30"/>
        <v>0</v>
      </c>
      <c r="AK412" s="401" t="str">
        <f t="shared" si="31"/>
        <v/>
      </c>
      <c r="AL412" s="402">
        <f t="shared" ca="1" si="32"/>
        <v>3</v>
      </c>
      <c r="AM412" s="402">
        <f t="shared" ca="1" si="33"/>
        <v>2</v>
      </c>
      <c r="AN412" s="402">
        <f t="shared" ca="1" si="34"/>
        <v>13</v>
      </c>
      <c r="AO412" s="402">
        <f t="shared" ca="1" si="35"/>
        <v>3</v>
      </c>
      <c r="AP412" s="402">
        <f t="shared" ca="1" si="36"/>
        <v>0</v>
      </c>
      <c r="AQ412" s="402">
        <f t="shared" ca="1" si="37"/>
        <v>0</v>
      </c>
      <c r="AR412" s="402">
        <f t="shared" ca="1" si="38"/>
        <v>0</v>
      </c>
      <c r="AS412" s="403"/>
      <c r="AT412" s="402">
        <f t="shared" si="39"/>
        <v>1</v>
      </c>
    </row>
    <row r="413" spans="1:46" ht="15.75" customHeight="1">
      <c r="A413" s="382"/>
      <c r="B413" s="383">
        <f t="shared" ca="1" si="20"/>
        <v>3</v>
      </c>
      <c r="C413" s="384">
        <f t="shared" ca="1" si="21"/>
        <v>2</v>
      </c>
      <c r="D413" s="384">
        <f t="shared" ca="1" si="22"/>
        <v>13</v>
      </c>
      <c r="E413" s="384">
        <f t="shared" ca="1" si="23"/>
        <v>4</v>
      </c>
      <c r="F413" s="384" t="str">
        <f t="shared" ca="1" si="24"/>
        <v/>
      </c>
      <c r="G413" s="385" t="str">
        <f t="shared" ca="1" si="25"/>
        <v/>
      </c>
      <c r="H413" s="386" t="str">
        <f t="shared" ca="1" si="26"/>
        <v/>
      </c>
      <c r="I413" s="404"/>
      <c r="J413" s="415"/>
      <c r="K413" s="428"/>
      <c r="L413" s="428" t="s">
        <v>64</v>
      </c>
      <c r="M413" s="428"/>
      <c r="N413" s="428"/>
      <c r="O413" s="428"/>
      <c r="P413" s="428"/>
      <c r="Q413" s="429"/>
      <c r="R413" s="417"/>
      <c r="S413" s="418"/>
      <c r="T413" s="419"/>
      <c r="U413" s="418"/>
      <c r="V413" s="419"/>
      <c r="W413" s="430"/>
      <c r="X413" s="431"/>
      <c r="Y413" s="434"/>
      <c r="Z413" s="433"/>
      <c r="AA413" s="396"/>
      <c r="AB413" s="397"/>
      <c r="AC413" s="398"/>
      <c r="AD413" s="399"/>
      <c r="AE413" s="400"/>
      <c r="AF413" s="401"/>
      <c r="AG413" s="401">
        <f t="shared" si="27"/>
        <v>0</v>
      </c>
      <c r="AH413" s="401">
        <f t="shared" si="28"/>
        <v>0</v>
      </c>
      <c r="AI413" s="401">
        <f t="shared" si="29"/>
        <v>0</v>
      </c>
      <c r="AJ413" s="401">
        <f t="shared" si="30"/>
        <v>0</v>
      </c>
      <c r="AK413" s="401" t="str">
        <f t="shared" si="31"/>
        <v/>
      </c>
      <c r="AL413" s="402">
        <f t="shared" ca="1" si="32"/>
        <v>3</v>
      </c>
      <c r="AM413" s="402">
        <f t="shared" ca="1" si="33"/>
        <v>2</v>
      </c>
      <c r="AN413" s="402">
        <f t="shared" ca="1" si="34"/>
        <v>13</v>
      </c>
      <c r="AO413" s="402">
        <f t="shared" ca="1" si="35"/>
        <v>4</v>
      </c>
      <c r="AP413" s="402">
        <f t="shared" ca="1" si="36"/>
        <v>0</v>
      </c>
      <c r="AQ413" s="402">
        <f t="shared" ca="1" si="37"/>
        <v>0</v>
      </c>
      <c r="AR413" s="402">
        <f t="shared" ca="1" si="38"/>
        <v>0</v>
      </c>
      <c r="AS413" s="403"/>
      <c r="AT413" s="402">
        <f t="shared" si="39"/>
        <v>1</v>
      </c>
    </row>
    <row r="414" spans="1:46" ht="15.75" customHeight="1">
      <c r="A414" s="382"/>
      <c r="B414" s="383">
        <f t="shared" ca="1" si="20"/>
        <v>3</v>
      </c>
      <c r="C414" s="384">
        <f t="shared" ca="1" si="21"/>
        <v>2</v>
      </c>
      <c r="D414" s="384">
        <f t="shared" ca="1" si="22"/>
        <v>13</v>
      </c>
      <c r="E414" s="384">
        <f t="shared" ca="1" si="23"/>
        <v>5</v>
      </c>
      <c r="F414" s="384" t="str">
        <f t="shared" ca="1" si="24"/>
        <v/>
      </c>
      <c r="G414" s="385" t="str">
        <f t="shared" ca="1" si="25"/>
        <v/>
      </c>
      <c r="H414" s="386" t="str">
        <f t="shared" ca="1" si="26"/>
        <v/>
      </c>
      <c r="I414" s="404"/>
      <c r="J414" s="415"/>
      <c r="K414" s="428"/>
      <c r="L414" s="428" t="s">
        <v>65</v>
      </c>
      <c r="M414" s="428"/>
      <c r="N414" s="428"/>
      <c r="O414" s="428"/>
      <c r="P414" s="428"/>
      <c r="Q414" s="429"/>
      <c r="R414" s="417"/>
      <c r="S414" s="418"/>
      <c r="T414" s="419"/>
      <c r="U414" s="418"/>
      <c r="V414" s="419"/>
      <c r="W414" s="430"/>
      <c r="X414" s="431"/>
      <c r="Y414" s="434"/>
      <c r="Z414" s="433"/>
      <c r="AA414" s="396"/>
      <c r="AB414" s="397"/>
      <c r="AC414" s="398"/>
      <c r="AD414" s="399"/>
      <c r="AE414" s="400"/>
      <c r="AF414" s="401"/>
      <c r="AG414" s="401">
        <f t="shared" si="27"/>
        <v>0</v>
      </c>
      <c r="AH414" s="401">
        <f t="shared" si="28"/>
        <v>0</v>
      </c>
      <c r="AI414" s="401">
        <f t="shared" si="29"/>
        <v>0</v>
      </c>
      <c r="AJ414" s="401">
        <f t="shared" si="30"/>
        <v>0</v>
      </c>
      <c r="AK414" s="401" t="str">
        <f t="shared" si="31"/>
        <v/>
      </c>
      <c r="AL414" s="402">
        <f t="shared" ca="1" si="32"/>
        <v>3</v>
      </c>
      <c r="AM414" s="402">
        <f t="shared" ca="1" si="33"/>
        <v>2</v>
      </c>
      <c r="AN414" s="402">
        <f t="shared" ca="1" si="34"/>
        <v>13</v>
      </c>
      <c r="AO414" s="402">
        <f t="shared" ca="1" si="35"/>
        <v>5</v>
      </c>
      <c r="AP414" s="402">
        <f t="shared" ca="1" si="36"/>
        <v>0</v>
      </c>
      <c r="AQ414" s="402">
        <f t="shared" ca="1" si="37"/>
        <v>0</v>
      </c>
      <c r="AR414" s="402">
        <f t="shared" ca="1" si="38"/>
        <v>0</v>
      </c>
      <c r="AS414" s="403"/>
      <c r="AT414" s="402">
        <f t="shared" si="39"/>
        <v>1</v>
      </c>
    </row>
    <row r="415" spans="1:46" ht="15.75" customHeight="1">
      <c r="A415" s="382"/>
      <c r="B415" s="383">
        <f t="shared" ca="1" si="20"/>
        <v>3</v>
      </c>
      <c r="C415" s="384">
        <f t="shared" ca="1" si="21"/>
        <v>2</v>
      </c>
      <c r="D415" s="384">
        <f t="shared" ca="1" si="22"/>
        <v>13</v>
      </c>
      <c r="E415" s="384">
        <f t="shared" ca="1" si="23"/>
        <v>6</v>
      </c>
      <c r="F415" s="384" t="str">
        <f t="shared" ca="1" si="24"/>
        <v/>
      </c>
      <c r="G415" s="385" t="str">
        <f t="shared" ca="1" si="25"/>
        <v/>
      </c>
      <c r="H415" s="386" t="str">
        <f t="shared" ca="1" si="26"/>
        <v/>
      </c>
      <c r="I415" s="404"/>
      <c r="J415" s="415"/>
      <c r="K415" s="428"/>
      <c r="L415" s="428" t="s">
        <v>66</v>
      </c>
      <c r="M415" s="428"/>
      <c r="N415" s="428"/>
      <c r="O415" s="428"/>
      <c r="P415" s="428"/>
      <c r="Q415" s="429"/>
      <c r="R415" s="417"/>
      <c r="S415" s="418"/>
      <c r="T415" s="419"/>
      <c r="U415" s="418"/>
      <c r="V415" s="419"/>
      <c r="W415" s="430"/>
      <c r="X415" s="431"/>
      <c r="Y415" s="434"/>
      <c r="Z415" s="433"/>
      <c r="AA415" s="396"/>
      <c r="AB415" s="397"/>
      <c r="AC415" s="398"/>
      <c r="AD415" s="399"/>
      <c r="AE415" s="400"/>
      <c r="AF415" s="401"/>
      <c r="AG415" s="401">
        <f t="shared" si="27"/>
        <v>0</v>
      </c>
      <c r="AH415" s="401">
        <f t="shared" si="28"/>
        <v>0</v>
      </c>
      <c r="AI415" s="401">
        <f t="shared" si="29"/>
        <v>0</v>
      </c>
      <c r="AJ415" s="401">
        <f t="shared" si="30"/>
        <v>0</v>
      </c>
      <c r="AK415" s="401" t="str">
        <f t="shared" si="31"/>
        <v/>
      </c>
      <c r="AL415" s="402">
        <f t="shared" ca="1" si="32"/>
        <v>3</v>
      </c>
      <c r="AM415" s="402">
        <f t="shared" ca="1" si="33"/>
        <v>2</v>
      </c>
      <c r="AN415" s="402">
        <f t="shared" ca="1" si="34"/>
        <v>13</v>
      </c>
      <c r="AO415" s="402">
        <f t="shared" ca="1" si="35"/>
        <v>6</v>
      </c>
      <c r="AP415" s="402">
        <f t="shared" ca="1" si="36"/>
        <v>0</v>
      </c>
      <c r="AQ415" s="402">
        <f t="shared" ca="1" si="37"/>
        <v>0</v>
      </c>
      <c r="AR415" s="402">
        <f t="shared" ca="1" si="38"/>
        <v>0</v>
      </c>
      <c r="AS415" s="403"/>
      <c r="AT415" s="402">
        <f t="shared" si="39"/>
        <v>1</v>
      </c>
    </row>
    <row r="416" spans="1:46" ht="15.75" customHeight="1">
      <c r="A416" s="382"/>
      <c r="B416" s="383">
        <f t="shared" ca="1" si="20"/>
        <v>3</v>
      </c>
      <c r="C416" s="384">
        <f t="shared" ca="1" si="21"/>
        <v>2</v>
      </c>
      <c r="D416" s="384">
        <f t="shared" ca="1" si="22"/>
        <v>14</v>
      </c>
      <c r="E416" s="384" t="str">
        <f t="shared" ca="1" si="23"/>
        <v/>
      </c>
      <c r="F416" s="384" t="str">
        <f t="shared" ca="1" si="24"/>
        <v/>
      </c>
      <c r="G416" s="385" t="str">
        <f t="shared" ca="1" si="25"/>
        <v/>
      </c>
      <c r="H416" s="386" t="str">
        <f t="shared" ca="1" si="26"/>
        <v/>
      </c>
      <c r="I416" s="404"/>
      <c r="J416" s="415"/>
      <c r="K416" s="428" t="s">
        <v>371</v>
      </c>
      <c r="L416" s="428"/>
      <c r="M416" s="428"/>
      <c r="N416" s="428"/>
      <c r="O416" s="428"/>
      <c r="P416" s="428"/>
      <c r="Q416" s="429"/>
      <c r="R416" s="417"/>
      <c r="S416" s="418"/>
      <c r="T416" s="419"/>
      <c r="U416" s="418"/>
      <c r="V416" s="419"/>
      <c r="W416" s="430"/>
      <c r="X416" s="431"/>
      <c r="Y416" s="434"/>
      <c r="Z416" s="433"/>
      <c r="AA416" s="396"/>
      <c r="AB416" s="397"/>
      <c r="AC416" s="398"/>
      <c r="AD416" s="399"/>
      <c r="AE416" s="400"/>
      <c r="AF416" s="401"/>
      <c r="AG416" s="401">
        <f t="shared" si="27"/>
        <v>0</v>
      </c>
      <c r="AH416" s="401">
        <f t="shared" si="28"/>
        <v>0</v>
      </c>
      <c r="AI416" s="401">
        <f t="shared" si="29"/>
        <v>0</v>
      </c>
      <c r="AJ416" s="401">
        <f t="shared" si="30"/>
        <v>0</v>
      </c>
      <c r="AK416" s="401" t="str">
        <f t="shared" si="31"/>
        <v/>
      </c>
      <c r="AL416" s="402">
        <f t="shared" ca="1" si="32"/>
        <v>3</v>
      </c>
      <c r="AM416" s="402">
        <f t="shared" ca="1" si="33"/>
        <v>2</v>
      </c>
      <c r="AN416" s="402">
        <f t="shared" ca="1" si="34"/>
        <v>14</v>
      </c>
      <c r="AO416" s="402">
        <f t="shared" ca="1" si="35"/>
        <v>0</v>
      </c>
      <c r="AP416" s="402">
        <f t="shared" ca="1" si="36"/>
        <v>0</v>
      </c>
      <c r="AQ416" s="402">
        <f t="shared" ca="1" si="37"/>
        <v>0</v>
      </c>
      <c r="AR416" s="402">
        <f t="shared" ca="1" si="38"/>
        <v>0</v>
      </c>
      <c r="AS416" s="403"/>
      <c r="AT416" s="402">
        <f t="shared" si="39"/>
        <v>1</v>
      </c>
    </row>
    <row r="417" spans="1:46" ht="15.75" customHeight="1">
      <c r="A417" s="382"/>
      <c r="B417" s="383">
        <f t="shared" ca="1" si="20"/>
        <v>3</v>
      </c>
      <c r="C417" s="384">
        <f t="shared" ca="1" si="21"/>
        <v>2</v>
      </c>
      <c r="D417" s="384">
        <f t="shared" ca="1" si="22"/>
        <v>14</v>
      </c>
      <c r="E417" s="384">
        <f t="shared" ca="1" si="23"/>
        <v>1</v>
      </c>
      <c r="F417" s="384" t="str">
        <f t="shared" ca="1" si="24"/>
        <v/>
      </c>
      <c r="G417" s="385" t="str">
        <f t="shared" ca="1" si="25"/>
        <v/>
      </c>
      <c r="H417" s="386" t="str">
        <f t="shared" ca="1" si="26"/>
        <v/>
      </c>
      <c r="I417" s="404"/>
      <c r="J417" s="415"/>
      <c r="K417" s="428"/>
      <c r="L417" s="428" t="s">
        <v>59</v>
      </c>
      <c r="M417" s="428"/>
      <c r="N417" s="428"/>
      <c r="O417" s="428"/>
      <c r="P417" s="428"/>
      <c r="Q417" s="429"/>
      <c r="R417" s="417"/>
      <c r="S417" s="418"/>
      <c r="T417" s="419"/>
      <c r="U417" s="418"/>
      <c r="V417" s="419"/>
      <c r="W417" s="430"/>
      <c r="X417" s="431"/>
      <c r="Y417" s="434"/>
      <c r="Z417" s="433"/>
      <c r="AA417" s="396"/>
      <c r="AB417" s="397"/>
      <c r="AC417" s="398"/>
      <c r="AD417" s="399"/>
      <c r="AE417" s="400"/>
      <c r="AF417" s="401"/>
      <c r="AG417" s="401">
        <f t="shared" si="27"/>
        <v>0</v>
      </c>
      <c r="AH417" s="401">
        <f t="shared" si="28"/>
        <v>0</v>
      </c>
      <c r="AI417" s="401">
        <f t="shared" si="29"/>
        <v>0</v>
      </c>
      <c r="AJ417" s="401">
        <f t="shared" si="30"/>
        <v>0</v>
      </c>
      <c r="AK417" s="401" t="str">
        <f t="shared" si="31"/>
        <v/>
      </c>
      <c r="AL417" s="402">
        <f t="shared" ca="1" si="32"/>
        <v>3</v>
      </c>
      <c r="AM417" s="402">
        <f t="shared" ca="1" si="33"/>
        <v>2</v>
      </c>
      <c r="AN417" s="402">
        <f t="shared" ca="1" si="34"/>
        <v>14</v>
      </c>
      <c r="AO417" s="402">
        <f t="shared" ca="1" si="35"/>
        <v>1</v>
      </c>
      <c r="AP417" s="402">
        <f t="shared" ca="1" si="36"/>
        <v>0</v>
      </c>
      <c r="AQ417" s="402">
        <f t="shared" ca="1" si="37"/>
        <v>0</v>
      </c>
      <c r="AR417" s="402">
        <f t="shared" ca="1" si="38"/>
        <v>0</v>
      </c>
      <c r="AS417" s="403"/>
      <c r="AT417" s="402">
        <f t="shared" si="39"/>
        <v>1</v>
      </c>
    </row>
    <row r="418" spans="1:46" ht="15.75" customHeight="1">
      <c r="A418" s="382"/>
      <c r="B418" s="383">
        <f t="shared" ca="1" si="20"/>
        <v>3</v>
      </c>
      <c r="C418" s="384">
        <f t="shared" ca="1" si="21"/>
        <v>2</v>
      </c>
      <c r="D418" s="384">
        <f t="shared" ca="1" si="22"/>
        <v>14</v>
      </c>
      <c r="E418" s="384">
        <f t="shared" ca="1" si="23"/>
        <v>2</v>
      </c>
      <c r="F418" s="384" t="str">
        <f t="shared" ca="1" si="24"/>
        <v/>
      </c>
      <c r="G418" s="385" t="str">
        <f t="shared" ca="1" si="25"/>
        <v/>
      </c>
      <c r="H418" s="386" t="str">
        <f t="shared" ca="1" si="26"/>
        <v/>
      </c>
      <c r="I418" s="404"/>
      <c r="J418" s="415"/>
      <c r="K418" s="428"/>
      <c r="L418" s="428" t="s">
        <v>61</v>
      </c>
      <c r="M418" s="428"/>
      <c r="N418" s="428"/>
      <c r="O418" s="428"/>
      <c r="P418" s="428"/>
      <c r="Q418" s="429"/>
      <c r="R418" s="417"/>
      <c r="S418" s="418"/>
      <c r="T418" s="419"/>
      <c r="U418" s="418"/>
      <c r="V418" s="419"/>
      <c r="W418" s="430"/>
      <c r="X418" s="431"/>
      <c r="Y418" s="434"/>
      <c r="Z418" s="433"/>
      <c r="AA418" s="396"/>
      <c r="AB418" s="397"/>
      <c r="AC418" s="398"/>
      <c r="AD418" s="399"/>
      <c r="AE418" s="400"/>
      <c r="AF418" s="401"/>
      <c r="AG418" s="401">
        <f t="shared" si="27"/>
        <v>0</v>
      </c>
      <c r="AH418" s="401">
        <f t="shared" si="28"/>
        <v>0</v>
      </c>
      <c r="AI418" s="401">
        <f t="shared" si="29"/>
        <v>0</v>
      </c>
      <c r="AJ418" s="401">
        <f t="shared" si="30"/>
        <v>0</v>
      </c>
      <c r="AK418" s="401" t="str">
        <f t="shared" si="31"/>
        <v/>
      </c>
      <c r="AL418" s="402">
        <f t="shared" ca="1" si="32"/>
        <v>3</v>
      </c>
      <c r="AM418" s="402">
        <f t="shared" ca="1" si="33"/>
        <v>2</v>
      </c>
      <c r="AN418" s="402">
        <f t="shared" ca="1" si="34"/>
        <v>14</v>
      </c>
      <c r="AO418" s="402">
        <f t="shared" ca="1" si="35"/>
        <v>2</v>
      </c>
      <c r="AP418" s="402">
        <f t="shared" ca="1" si="36"/>
        <v>0</v>
      </c>
      <c r="AQ418" s="402">
        <f t="shared" ca="1" si="37"/>
        <v>0</v>
      </c>
      <c r="AR418" s="402">
        <f t="shared" ca="1" si="38"/>
        <v>0</v>
      </c>
      <c r="AS418" s="403"/>
      <c r="AT418" s="402">
        <f t="shared" si="39"/>
        <v>1</v>
      </c>
    </row>
    <row r="419" spans="1:46" ht="15.75" customHeight="1">
      <c r="A419" s="382"/>
      <c r="B419" s="383">
        <f t="shared" ca="1" si="20"/>
        <v>3</v>
      </c>
      <c r="C419" s="384">
        <f t="shared" ca="1" si="21"/>
        <v>2</v>
      </c>
      <c r="D419" s="384">
        <f t="shared" ca="1" si="22"/>
        <v>14</v>
      </c>
      <c r="E419" s="384">
        <f t="shared" ca="1" si="23"/>
        <v>3</v>
      </c>
      <c r="F419" s="384" t="str">
        <f t="shared" ca="1" si="24"/>
        <v/>
      </c>
      <c r="G419" s="385" t="str">
        <f t="shared" ca="1" si="25"/>
        <v/>
      </c>
      <c r="H419" s="386" t="str">
        <f t="shared" ca="1" si="26"/>
        <v/>
      </c>
      <c r="I419" s="404"/>
      <c r="J419" s="415"/>
      <c r="K419" s="428"/>
      <c r="L419" s="428" t="s">
        <v>63</v>
      </c>
      <c r="M419" s="428"/>
      <c r="N419" s="428"/>
      <c r="O419" s="428"/>
      <c r="P419" s="428"/>
      <c r="Q419" s="429"/>
      <c r="R419" s="417"/>
      <c r="S419" s="418"/>
      <c r="T419" s="419"/>
      <c r="U419" s="418"/>
      <c r="V419" s="419"/>
      <c r="W419" s="430"/>
      <c r="X419" s="431"/>
      <c r="Y419" s="434"/>
      <c r="Z419" s="433"/>
      <c r="AA419" s="396"/>
      <c r="AB419" s="397"/>
      <c r="AC419" s="398"/>
      <c r="AD419" s="399"/>
      <c r="AE419" s="400"/>
      <c r="AF419" s="401"/>
      <c r="AG419" s="401">
        <f t="shared" si="27"/>
        <v>0</v>
      </c>
      <c r="AH419" s="401">
        <f t="shared" si="28"/>
        <v>0</v>
      </c>
      <c r="AI419" s="401">
        <f t="shared" si="29"/>
        <v>0</v>
      </c>
      <c r="AJ419" s="401">
        <f t="shared" si="30"/>
        <v>0</v>
      </c>
      <c r="AK419" s="401" t="str">
        <f t="shared" si="31"/>
        <v/>
      </c>
      <c r="AL419" s="402">
        <f t="shared" ca="1" si="32"/>
        <v>3</v>
      </c>
      <c r="AM419" s="402">
        <f t="shared" ca="1" si="33"/>
        <v>2</v>
      </c>
      <c r="AN419" s="402">
        <f t="shared" ca="1" si="34"/>
        <v>14</v>
      </c>
      <c r="AO419" s="402">
        <f t="shared" ca="1" si="35"/>
        <v>3</v>
      </c>
      <c r="AP419" s="402">
        <f t="shared" ca="1" si="36"/>
        <v>0</v>
      </c>
      <c r="AQ419" s="402">
        <f t="shared" ca="1" si="37"/>
        <v>0</v>
      </c>
      <c r="AR419" s="402">
        <f t="shared" ca="1" si="38"/>
        <v>0</v>
      </c>
      <c r="AS419" s="403"/>
      <c r="AT419" s="402">
        <f t="shared" si="39"/>
        <v>1</v>
      </c>
    </row>
    <row r="420" spans="1:46" ht="15.75" customHeight="1">
      <c r="A420" s="382"/>
      <c r="B420" s="383">
        <f t="shared" ca="1" si="20"/>
        <v>3</v>
      </c>
      <c r="C420" s="384">
        <f t="shared" ca="1" si="21"/>
        <v>2</v>
      </c>
      <c r="D420" s="384">
        <f t="shared" ca="1" si="22"/>
        <v>14</v>
      </c>
      <c r="E420" s="384">
        <f t="shared" ca="1" si="23"/>
        <v>4</v>
      </c>
      <c r="F420" s="384" t="str">
        <f t="shared" ca="1" si="24"/>
        <v/>
      </c>
      <c r="G420" s="385" t="str">
        <f t="shared" ca="1" si="25"/>
        <v/>
      </c>
      <c r="H420" s="386" t="str">
        <f t="shared" ca="1" si="26"/>
        <v/>
      </c>
      <c r="I420" s="404"/>
      <c r="J420" s="415"/>
      <c r="K420" s="428"/>
      <c r="L420" s="428" t="s">
        <v>64</v>
      </c>
      <c r="M420" s="428"/>
      <c r="N420" s="428"/>
      <c r="O420" s="428"/>
      <c r="P420" s="428"/>
      <c r="Q420" s="429"/>
      <c r="R420" s="417"/>
      <c r="S420" s="418"/>
      <c r="T420" s="419"/>
      <c r="U420" s="418"/>
      <c r="V420" s="419"/>
      <c r="W420" s="430"/>
      <c r="X420" s="431"/>
      <c r="Y420" s="434"/>
      <c r="Z420" s="433"/>
      <c r="AA420" s="396"/>
      <c r="AB420" s="397"/>
      <c r="AC420" s="398"/>
      <c r="AD420" s="399"/>
      <c r="AE420" s="400"/>
      <c r="AF420" s="401"/>
      <c r="AG420" s="401">
        <f t="shared" si="27"/>
        <v>0</v>
      </c>
      <c r="AH420" s="401">
        <f t="shared" si="28"/>
        <v>0</v>
      </c>
      <c r="AI420" s="401">
        <f t="shared" si="29"/>
        <v>0</v>
      </c>
      <c r="AJ420" s="401">
        <f t="shared" si="30"/>
        <v>0</v>
      </c>
      <c r="AK420" s="401" t="str">
        <f t="shared" si="31"/>
        <v/>
      </c>
      <c r="AL420" s="402">
        <f t="shared" ca="1" si="32"/>
        <v>3</v>
      </c>
      <c r="AM420" s="402">
        <f t="shared" ca="1" si="33"/>
        <v>2</v>
      </c>
      <c r="AN420" s="402">
        <f t="shared" ca="1" si="34"/>
        <v>14</v>
      </c>
      <c r="AO420" s="402">
        <f t="shared" ca="1" si="35"/>
        <v>4</v>
      </c>
      <c r="AP420" s="402">
        <f t="shared" ca="1" si="36"/>
        <v>0</v>
      </c>
      <c r="AQ420" s="402">
        <f t="shared" ca="1" si="37"/>
        <v>0</v>
      </c>
      <c r="AR420" s="402">
        <f t="shared" ca="1" si="38"/>
        <v>0</v>
      </c>
      <c r="AS420" s="403"/>
      <c r="AT420" s="402">
        <f t="shared" si="39"/>
        <v>1</v>
      </c>
    </row>
    <row r="421" spans="1:46" ht="15.75" customHeight="1">
      <c r="A421" s="382"/>
      <c r="B421" s="383">
        <f t="shared" ca="1" si="20"/>
        <v>3</v>
      </c>
      <c r="C421" s="384">
        <f t="shared" ca="1" si="21"/>
        <v>2</v>
      </c>
      <c r="D421" s="384">
        <f t="shared" ca="1" si="22"/>
        <v>14</v>
      </c>
      <c r="E421" s="384">
        <f t="shared" ca="1" si="23"/>
        <v>5</v>
      </c>
      <c r="F421" s="384" t="str">
        <f t="shared" ca="1" si="24"/>
        <v/>
      </c>
      <c r="G421" s="385" t="str">
        <f t="shared" ca="1" si="25"/>
        <v/>
      </c>
      <c r="H421" s="386" t="str">
        <f t="shared" ca="1" si="26"/>
        <v/>
      </c>
      <c r="I421" s="404"/>
      <c r="J421" s="415"/>
      <c r="K421" s="428"/>
      <c r="L421" s="428" t="s">
        <v>65</v>
      </c>
      <c r="M421" s="428"/>
      <c r="N421" s="428"/>
      <c r="O421" s="428"/>
      <c r="P421" s="428"/>
      <c r="Q421" s="429"/>
      <c r="R421" s="417"/>
      <c r="S421" s="418"/>
      <c r="T421" s="419"/>
      <c r="U421" s="418"/>
      <c r="V421" s="419"/>
      <c r="W421" s="430"/>
      <c r="X421" s="431"/>
      <c r="Y421" s="434"/>
      <c r="Z421" s="433"/>
      <c r="AA421" s="396"/>
      <c r="AB421" s="397"/>
      <c r="AC421" s="398"/>
      <c r="AD421" s="399"/>
      <c r="AE421" s="400"/>
      <c r="AF421" s="401"/>
      <c r="AG421" s="401">
        <f t="shared" si="27"/>
        <v>0</v>
      </c>
      <c r="AH421" s="401">
        <f t="shared" si="28"/>
        <v>0</v>
      </c>
      <c r="AI421" s="401">
        <f t="shared" si="29"/>
        <v>0</v>
      </c>
      <c r="AJ421" s="401">
        <f t="shared" si="30"/>
        <v>0</v>
      </c>
      <c r="AK421" s="401" t="str">
        <f t="shared" si="31"/>
        <v/>
      </c>
      <c r="AL421" s="402">
        <f t="shared" ca="1" si="32"/>
        <v>3</v>
      </c>
      <c r="AM421" s="402">
        <f t="shared" ca="1" si="33"/>
        <v>2</v>
      </c>
      <c r="AN421" s="402">
        <f t="shared" ca="1" si="34"/>
        <v>14</v>
      </c>
      <c r="AO421" s="402">
        <f t="shared" ca="1" si="35"/>
        <v>5</v>
      </c>
      <c r="AP421" s="402">
        <f t="shared" ca="1" si="36"/>
        <v>0</v>
      </c>
      <c r="AQ421" s="402">
        <f t="shared" ca="1" si="37"/>
        <v>0</v>
      </c>
      <c r="AR421" s="402">
        <f t="shared" ca="1" si="38"/>
        <v>0</v>
      </c>
      <c r="AS421" s="403"/>
      <c r="AT421" s="402">
        <f t="shared" si="39"/>
        <v>1</v>
      </c>
    </row>
    <row r="422" spans="1:46" ht="15.75" customHeight="1">
      <c r="A422" s="382"/>
      <c r="B422" s="383">
        <f t="shared" ca="1" si="20"/>
        <v>3</v>
      </c>
      <c r="C422" s="384">
        <f t="shared" ca="1" si="21"/>
        <v>2</v>
      </c>
      <c r="D422" s="384">
        <f t="shared" ca="1" si="22"/>
        <v>14</v>
      </c>
      <c r="E422" s="384">
        <f t="shared" ca="1" si="23"/>
        <v>6</v>
      </c>
      <c r="F422" s="384" t="str">
        <f t="shared" ca="1" si="24"/>
        <v/>
      </c>
      <c r="G422" s="385" t="str">
        <f t="shared" ca="1" si="25"/>
        <v/>
      </c>
      <c r="H422" s="386" t="str">
        <f t="shared" ca="1" si="26"/>
        <v/>
      </c>
      <c r="I422" s="404"/>
      <c r="J422" s="415"/>
      <c r="K422" s="428"/>
      <c r="L422" s="428" t="s">
        <v>66</v>
      </c>
      <c r="M422" s="428"/>
      <c r="N422" s="428"/>
      <c r="O422" s="428"/>
      <c r="P422" s="428"/>
      <c r="Q422" s="429"/>
      <c r="R422" s="417"/>
      <c r="S422" s="418"/>
      <c r="T422" s="419"/>
      <c r="U422" s="418"/>
      <c r="V422" s="419"/>
      <c r="W422" s="430"/>
      <c r="X422" s="431"/>
      <c r="Y422" s="434"/>
      <c r="Z422" s="433"/>
      <c r="AA422" s="396"/>
      <c r="AB422" s="397"/>
      <c r="AC422" s="398"/>
      <c r="AD422" s="399"/>
      <c r="AE422" s="400"/>
      <c r="AF422" s="401"/>
      <c r="AG422" s="401">
        <f t="shared" si="27"/>
        <v>0</v>
      </c>
      <c r="AH422" s="401">
        <f t="shared" si="28"/>
        <v>0</v>
      </c>
      <c r="AI422" s="401">
        <f t="shared" si="29"/>
        <v>0</v>
      </c>
      <c r="AJ422" s="401">
        <f t="shared" si="30"/>
        <v>0</v>
      </c>
      <c r="AK422" s="401" t="str">
        <f t="shared" si="31"/>
        <v/>
      </c>
      <c r="AL422" s="402">
        <f t="shared" ca="1" si="32"/>
        <v>3</v>
      </c>
      <c r="AM422" s="402">
        <f t="shared" ca="1" si="33"/>
        <v>2</v>
      </c>
      <c r="AN422" s="402">
        <f t="shared" ca="1" si="34"/>
        <v>14</v>
      </c>
      <c r="AO422" s="402">
        <f t="shared" ca="1" si="35"/>
        <v>6</v>
      </c>
      <c r="AP422" s="402">
        <f t="shared" ca="1" si="36"/>
        <v>0</v>
      </c>
      <c r="AQ422" s="402">
        <f t="shared" ca="1" si="37"/>
        <v>0</v>
      </c>
      <c r="AR422" s="402">
        <f t="shared" ca="1" si="38"/>
        <v>0</v>
      </c>
      <c r="AS422" s="403"/>
      <c r="AT422" s="402">
        <f t="shared" si="39"/>
        <v>1</v>
      </c>
    </row>
    <row r="423" spans="1:46" ht="15.75" customHeight="1">
      <c r="A423" s="382"/>
      <c r="B423" s="383">
        <f t="shared" ca="1" si="20"/>
        <v>3</v>
      </c>
      <c r="C423" s="384">
        <f t="shared" ca="1" si="21"/>
        <v>2</v>
      </c>
      <c r="D423" s="384">
        <f t="shared" ca="1" si="22"/>
        <v>15</v>
      </c>
      <c r="E423" s="384" t="str">
        <f t="shared" ca="1" si="23"/>
        <v/>
      </c>
      <c r="F423" s="384" t="str">
        <f t="shared" ca="1" si="24"/>
        <v/>
      </c>
      <c r="G423" s="385" t="str">
        <f t="shared" ca="1" si="25"/>
        <v/>
      </c>
      <c r="H423" s="386" t="str">
        <f t="shared" ca="1" si="26"/>
        <v/>
      </c>
      <c r="I423" s="404"/>
      <c r="J423" s="415"/>
      <c r="K423" s="428" t="s">
        <v>372</v>
      </c>
      <c r="L423" s="428"/>
      <c r="M423" s="428"/>
      <c r="N423" s="428"/>
      <c r="O423" s="428"/>
      <c r="P423" s="428"/>
      <c r="Q423" s="429"/>
      <c r="R423" s="417"/>
      <c r="S423" s="418"/>
      <c r="T423" s="419"/>
      <c r="U423" s="418"/>
      <c r="V423" s="419"/>
      <c r="W423" s="430"/>
      <c r="X423" s="431"/>
      <c r="Y423" s="434"/>
      <c r="Z423" s="433"/>
      <c r="AA423" s="396"/>
      <c r="AB423" s="397"/>
      <c r="AC423" s="398"/>
      <c r="AD423" s="399"/>
      <c r="AE423" s="400"/>
      <c r="AF423" s="401"/>
      <c r="AG423" s="401">
        <f t="shared" si="27"/>
        <v>0</v>
      </c>
      <c r="AH423" s="401">
        <f t="shared" si="28"/>
        <v>0</v>
      </c>
      <c r="AI423" s="401">
        <f t="shared" si="29"/>
        <v>0</v>
      </c>
      <c r="AJ423" s="401">
        <f t="shared" si="30"/>
        <v>0</v>
      </c>
      <c r="AK423" s="401" t="str">
        <f t="shared" si="31"/>
        <v/>
      </c>
      <c r="AL423" s="402">
        <f t="shared" ca="1" si="32"/>
        <v>3</v>
      </c>
      <c r="AM423" s="402">
        <f t="shared" ca="1" si="33"/>
        <v>2</v>
      </c>
      <c r="AN423" s="402">
        <f t="shared" ca="1" si="34"/>
        <v>15</v>
      </c>
      <c r="AO423" s="402">
        <f t="shared" ca="1" si="35"/>
        <v>0</v>
      </c>
      <c r="AP423" s="402">
        <f t="shared" ca="1" si="36"/>
        <v>0</v>
      </c>
      <c r="AQ423" s="402">
        <f t="shared" ca="1" si="37"/>
        <v>0</v>
      </c>
      <c r="AR423" s="402">
        <f t="shared" ca="1" si="38"/>
        <v>0</v>
      </c>
      <c r="AS423" s="403"/>
      <c r="AT423" s="402">
        <f t="shared" si="39"/>
        <v>1</v>
      </c>
    </row>
    <row r="424" spans="1:46" ht="15.75" customHeight="1">
      <c r="A424" s="382"/>
      <c r="B424" s="383">
        <f t="shared" ca="1" si="20"/>
        <v>3</v>
      </c>
      <c r="C424" s="384">
        <f t="shared" ca="1" si="21"/>
        <v>2</v>
      </c>
      <c r="D424" s="384">
        <f t="shared" ca="1" si="22"/>
        <v>15</v>
      </c>
      <c r="E424" s="384">
        <f t="shared" ca="1" si="23"/>
        <v>1</v>
      </c>
      <c r="F424" s="384" t="str">
        <f t="shared" ca="1" si="24"/>
        <v/>
      </c>
      <c r="G424" s="385" t="str">
        <f t="shared" ca="1" si="25"/>
        <v/>
      </c>
      <c r="H424" s="386" t="str">
        <f t="shared" ca="1" si="26"/>
        <v/>
      </c>
      <c r="I424" s="404"/>
      <c r="J424" s="415"/>
      <c r="K424" s="428"/>
      <c r="L424" s="428" t="s">
        <v>59</v>
      </c>
      <c r="M424" s="428"/>
      <c r="N424" s="428"/>
      <c r="O424" s="428"/>
      <c r="P424" s="428"/>
      <c r="Q424" s="429"/>
      <c r="R424" s="417"/>
      <c r="S424" s="418"/>
      <c r="T424" s="419"/>
      <c r="U424" s="418"/>
      <c r="V424" s="419"/>
      <c r="W424" s="430"/>
      <c r="X424" s="431"/>
      <c r="Y424" s="434"/>
      <c r="Z424" s="433"/>
      <c r="AA424" s="396"/>
      <c r="AB424" s="397"/>
      <c r="AC424" s="398"/>
      <c r="AD424" s="399"/>
      <c r="AE424" s="400"/>
      <c r="AF424" s="401"/>
      <c r="AG424" s="401">
        <f t="shared" si="27"/>
        <v>0</v>
      </c>
      <c r="AH424" s="401">
        <f t="shared" si="28"/>
        <v>0</v>
      </c>
      <c r="AI424" s="401">
        <f t="shared" si="29"/>
        <v>0</v>
      </c>
      <c r="AJ424" s="401">
        <f t="shared" si="30"/>
        <v>0</v>
      </c>
      <c r="AK424" s="401" t="str">
        <f t="shared" si="31"/>
        <v/>
      </c>
      <c r="AL424" s="402">
        <f t="shared" ca="1" si="32"/>
        <v>3</v>
      </c>
      <c r="AM424" s="402">
        <f t="shared" ca="1" si="33"/>
        <v>2</v>
      </c>
      <c r="AN424" s="402">
        <f t="shared" ca="1" si="34"/>
        <v>15</v>
      </c>
      <c r="AO424" s="402">
        <f t="shared" ca="1" si="35"/>
        <v>1</v>
      </c>
      <c r="AP424" s="402">
        <f t="shared" ca="1" si="36"/>
        <v>0</v>
      </c>
      <c r="AQ424" s="402">
        <f t="shared" ca="1" si="37"/>
        <v>0</v>
      </c>
      <c r="AR424" s="402">
        <f t="shared" ca="1" si="38"/>
        <v>0</v>
      </c>
      <c r="AS424" s="403"/>
      <c r="AT424" s="402">
        <f t="shared" si="39"/>
        <v>1</v>
      </c>
    </row>
    <row r="425" spans="1:46" ht="15.75" customHeight="1">
      <c r="A425" s="382"/>
      <c r="B425" s="383">
        <f t="shared" ca="1" si="20"/>
        <v>3</v>
      </c>
      <c r="C425" s="384">
        <f t="shared" ca="1" si="21"/>
        <v>2</v>
      </c>
      <c r="D425" s="384">
        <f t="shared" ca="1" si="22"/>
        <v>15</v>
      </c>
      <c r="E425" s="384">
        <f t="shared" ca="1" si="23"/>
        <v>2</v>
      </c>
      <c r="F425" s="384" t="str">
        <f t="shared" ca="1" si="24"/>
        <v/>
      </c>
      <c r="G425" s="385" t="str">
        <f t="shared" ca="1" si="25"/>
        <v/>
      </c>
      <c r="H425" s="386" t="str">
        <f t="shared" ca="1" si="26"/>
        <v/>
      </c>
      <c r="I425" s="404"/>
      <c r="J425" s="415"/>
      <c r="K425" s="428"/>
      <c r="L425" s="428" t="s">
        <v>61</v>
      </c>
      <c r="M425" s="428"/>
      <c r="N425" s="428"/>
      <c r="O425" s="428"/>
      <c r="P425" s="428"/>
      <c r="Q425" s="429"/>
      <c r="R425" s="417"/>
      <c r="S425" s="418"/>
      <c r="T425" s="419"/>
      <c r="U425" s="418"/>
      <c r="V425" s="419"/>
      <c r="W425" s="430"/>
      <c r="X425" s="431"/>
      <c r="Y425" s="434"/>
      <c r="Z425" s="433"/>
      <c r="AA425" s="396"/>
      <c r="AB425" s="397"/>
      <c r="AC425" s="398"/>
      <c r="AD425" s="399"/>
      <c r="AE425" s="400"/>
      <c r="AF425" s="401"/>
      <c r="AG425" s="401">
        <f t="shared" si="27"/>
        <v>0</v>
      </c>
      <c r="AH425" s="401">
        <f t="shared" si="28"/>
        <v>0</v>
      </c>
      <c r="AI425" s="401">
        <f t="shared" si="29"/>
        <v>0</v>
      </c>
      <c r="AJ425" s="401">
        <f t="shared" si="30"/>
        <v>0</v>
      </c>
      <c r="AK425" s="401" t="str">
        <f t="shared" si="31"/>
        <v/>
      </c>
      <c r="AL425" s="402">
        <f t="shared" ca="1" si="32"/>
        <v>3</v>
      </c>
      <c r="AM425" s="402">
        <f t="shared" ca="1" si="33"/>
        <v>2</v>
      </c>
      <c r="AN425" s="402">
        <f t="shared" ca="1" si="34"/>
        <v>15</v>
      </c>
      <c r="AO425" s="402">
        <f t="shared" ca="1" si="35"/>
        <v>2</v>
      </c>
      <c r="AP425" s="402">
        <f t="shared" ca="1" si="36"/>
        <v>0</v>
      </c>
      <c r="AQ425" s="402">
        <f t="shared" ca="1" si="37"/>
        <v>0</v>
      </c>
      <c r="AR425" s="402">
        <f t="shared" ca="1" si="38"/>
        <v>0</v>
      </c>
      <c r="AS425" s="403"/>
      <c r="AT425" s="402">
        <f t="shared" si="39"/>
        <v>1</v>
      </c>
    </row>
    <row r="426" spans="1:46" ht="15.75" customHeight="1">
      <c r="A426" s="382"/>
      <c r="B426" s="383">
        <f t="shared" ca="1" si="20"/>
        <v>3</v>
      </c>
      <c r="C426" s="384">
        <f t="shared" ca="1" si="21"/>
        <v>2</v>
      </c>
      <c r="D426" s="384">
        <f t="shared" ca="1" si="22"/>
        <v>15</v>
      </c>
      <c r="E426" s="384">
        <f t="shared" ca="1" si="23"/>
        <v>3</v>
      </c>
      <c r="F426" s="384" t="str">
        <f t="shared" ca="1" si="24"/>
        <v/>
      </c>
      <c r="G426" s="385" t="str">
        <f t="shared" ca="1" si="25"/>
        <v/>
      </c>
      <c r="H426" s="386" t="str">
        <f t="shared" ca="1" si="26"/>
        <v/>
      </c>
      <c r="I426" s="404"/>
      <c r="J426" s="415"/>
      <c r="K426" s="428"/>
      <c r="L426" s="428" t="s">
        <v>63</v>
      </c>
      <c r="M426" s="428"/>
      <c r="N426" s="428"/>
      <c r="O426" s="428"/>
      <c r="P426" s="428"/>
      <c r="Q426" s="429"/>
      <c r="R426" s="417"/>
      <c r="S426" s="418"/>
      <c r="T426" s="419"/>
      <c r="U426" s="418"/>
      <c r="V426" s="419"/>
      <c r="W426" s="430"/>
      <c r="X426" s="431"/>
      <c r="Y426" s="434"/>
      <c r="Z426" s="433"/>
      <c r="AA426" s="396"/>
      <c r="AB426" s="397"/>
      <c r="AC426" s="398"/>
      <c r="AD426" s="399"/>
      <c r="AE426" s="400"/>
      <c r="AF426" s="401"/>
      <c r="AG426" s="401">
        <f t="shared" si="27"/>
        <v>0</v>
      </c>
      <c r="AH426" s="401">
        <f t="shared" si="28"/>
        <v>0</v>
      </c>
      <c r="AI426" s="401">
        <f t="shared" si="29"/>
        <v>0</v>
      </c>
      <c r="AJ426" s="401">
        <f t="shared" si="30"/>
        <v>0</v>
      </c>
      <c r="AK426" s="401" t="str">
        <f t="shared" si="31"/>
        <v/>
      </c>
      <c r="AL426" s="402">
        <f t="shared" ca="1" si="32"/>
        <v>3</v>
      </c>
      <c r="AM426" s="402">
        <f t="shared" ca="1" si="33"/>
        <v>2</v>
      </c>
      <c r="AN426" s="402">
        <f t="shared" ca="1" si="34"/>
        <v>15</v>
      </c>
      <c r="AO426" s="402">
        <f t="shared" ca="1" si="35"/>
        <v>3</v>
      </c>
      <c r="AP426" s="402">
        <f t="shared" ca="1" si="36"/>
        <v>0</v>
      </c>
      <c r="AQ426" s="402">
        <f t="shared" ca="1" si="37"/>
        <v>0</v>
      </c>
      <c r="AR426" s="402">
        <f t="shared" ca="1" si="38"/>
        <v>0</v>
      </c>
      <c r="AS426" s="403"/>
      <c r="AT426" s="402">
        <f t="shared" si="39"/>
        <v>1</v>
      </c>
    </row>
    <row r="427" spans="1:46" ht="15.75" customHeight="1">
      <c r="A427" s="382"/>
      <c r="B427" s="383">
        <f t="shared" ca="1" si="20"/>
        <v>3</v>
      </c>
      <c r="C427" s="384">
        <f t="shared" ca="1" si="21"/>
        <v>2</v>
      </c>
      <c r="D427" s="384">
        <f t="shared" ca="1" si="22"/>
        <v>15</v>
      </c>
      <c r="E427" s="384">
        <f t="shared" ca="1" si="23"/>
        <v>4</v>
      </c>
      <c r="F427" s="384" t="str">
        <f t="shared" ca="1" si="24"/>
        <v/>
      </c>
      <c r="G427" s="385" t="str">
        <f t="shared" ca="1" si="25"/>
        <v/>
      </c>
      <c r="H427" s="386" t="str">
        <f t="shared" ca="1" si="26"/>
        <v/>
      </c>
      <c r="I427" s="404"/>
      <c r="J427" s="415"/>
      <c r="K427" s="428"/>
      <c r="L427" s="428" t="s">
        <v>64</v>
      </c>
      <c r="M427" s="428"/>
      <c r="N427" s="428"/>
      <c r="O427" s="428"/>
      <c r="P427" s="428"/>
      <c r="Q427" s="429"/>
      <c r="R427" s="417"/>
      <c r="S427" s="418"/>
      <c r="T427" s="419"/>
      <c r="U427" s="418"/>
      <c r="V427" s="419"/>
      <c r="W427" s="430"/>
      <c r="X427" s="431"/>
      <c r="Y427" s="434"/>
      <c r="Z427" s="433"/>
      <c r="AA427" s="396"/>
      <c r="AB427" s="397"/>
      <c r="AC427" s="398"/>
      <c r="AD427" s="399"/>
      <c r="AE427" s="400"/>
      <c r="AF427" s="401"/>
      <c r="AG427" s="401">
        <f t="shared" si="27"/>
        <v>0</v>
      </c>
      <c r="AH427" s="401">
        <f t="shared" si="28"/>
        <v>0</v>
      </c>
      <c r="AI427" s="401">
        <f t="shared" si="29"/>
        <v>0</v>
      </c>
      <c r="AJ427" s="401">
        <f t="shared" si="30"/>
        <v>0</v>
      </c>
      <c r="AK427" s="401" t="str">
        <f t="shared" si="31"/>
        <v/>
      </c>
      <c r="AL427" s="402">
        <f t="shared" ca="1" si="32"/>
        <v>3</v>
      </c>
      <c r="AM427" s="402">
        <f t="shared" ca="1" si="33"/>
        <v>2</v>
      </c>
      <c r="AN427" s="402">
        <f t="shared" ca="1" si="34"/>
        <v>15</v>
      </c>
      <c r="AO427" s="402">
        <f t="shared" ca="1" si="35"/>
        <v>4</v>
      </c>
      <c r="AP427" s="402">
        <f t="shared" ca="1" si="36"/>
        <v>0</v>
      </c>
      <c r="AQ427" s="402">
        <f t="shared" ca="1" si="37"/>
        <v>0</v>
      </c>
      <c r="AR427" s="402">
        <f t="shared" ca="1" si="38"/>
        <v>0</v>
      </c>
      <c r="AS427" s="403"/>
      <c r="AT427" s="402">
        <f t="shared" si="39"/>
        <v>1</v>
      </c>
    </row>
    <row r="428" spans="1:46" ht="15.75" customHeight="1">
      <c r="A428" s="382"/>
      <c r="B428" s="383">
        <f t="shared" ca="1" si="20"/>
        <v>3</v>
      </c>
      <c r="C428" s="384">
        <f t="shared" ca="1" si="21"/>
        <v>2</v>
      </c>
      <c r="D428" s="384">
        <f t="shared" ca="1" si="22"/>
        <v>15</v>
      </c>
      <c r="E428" s="384">
        <f t="shared" ca="1" si="23"/>
        <v>5</v>
      </c>
      <c r="F428" s="384" t="str">
        <f t="shared" ca="1" si="24"/>
        <v/>
      </c>
      <c r="G428" s="385" t="str">
        <f t="shared" ca="1" si="25"/>
        <v/>
      </c>
      <c r="H428" s="386" t="str">
        <f t="shared" ca="1" si="26"/>
        <v/>
      </c>
      <c r="I428" s="404"/>
      <c r="J428" s="415"/>
      <c r="K428" s="428"/>
      <c r="L428" s="428" t="s">
        <v>65</v>
      </c>
      <c r="M428" s="428"/>
      <c r="N428" s="428"/>
      <c r="O428" s="428"/>
      <c r="P428" s="428"/>
      <c r="Q428" s="429"/>
      <c r="R428" s="417"/>
      <c r="S428" s="418"/>
      <c r="T428" s="419"/>
      <c r="U428" s="418"/>
      <c r="V428" s="419"/>
      <c r="W428" s="430"/>
      <c r="X428" s="431"/>
      <c r="Y428" s="434"/>
      <c r="Z428" s="433"/>
      <c r="AA428" s="396"/>
      <c r="AB428" s="397"/>
      <c r="AC428" s="398"/>
      <c r="AD428" s="399"/>
      <c r="AE428" s="400"/>
      <c r="AF428" s="401"/>
      <c r="AG428" s="401">
        <f t="shared" si="27"/>
        <v>0</v>
      </c>
      <c r="AH428" s="401">
        <f t="shared" si="28"/>
        <v>0</v>
      </c>
      <c r="AI428" s="401">
        <f t="shared" si="29"/>
        <v>0</v>
      </c>
      <c r="AJ428" s="401">
        <f t="shared" si="30"/>
        <v>0</v>
      </c>
      <c r="AK428" s="401" t="str">
        <f t="shared" si="31"/>
        <v/>
      </c>
      <c r="AL428" s="402">
        <f t="shared" ca="1" si="32"/>
        <v>3</v>
      </c>
      <c r="AM428" s="402">
        <f t="shared" ca="1" si="33"/>
        <v>2</v>
      </c>
      <c r="AN428" s="402">
        <f t="shared" ca="1" si="34"/>
        <v>15</v>
      </c>
      <c r="AO428" s="402">
        <f t="shared" ca="1" si="35"/>
        <v>5</v>
      </c>
      <c r="AP428" s="402">
        <f t="shared" ca="1" si="36"/>
        <v>0</v>
      </c>
      <c r="AQ428" s="402">
        <f t="shared" ca="1" si="37"/>
        <v>0</v>
      </c>
      <c r="AR428" s="402">
        <f t="shared" ca="1" si="38"/>
        <v>0</v>
      </c>
      <c r="AS428" s="403"/>
      <c r="AT428" s="402">
        <f t="shared" si="39"/>
        <v>1</v>
      </c>
    </row>
    <row r="429" spans="1:46" ht="15.75" customHeight="1">
      <c r="A429" s="382"/>
      <c r="B429" s="383">
        <f t="shared" ca="1" si="20"/>
        <v>3</v>
      </c>
      <c r="C429" s="384">
        <f t="shared" ca="1" si="21"/>
        <v>2</v>
      </c>
      <c r="D429" s="384">
        <f t="shared" ca="1" si="22"/>
        <v>15</v>
      </c>
      <c r="E429" s="384">
        <f t="shared" ca="1" si="23"/>
        <v>6</v>
      </c>
      <c r="F429" s="384" t="str">
        <f t="shared" ca="1" si="24"/>
        <v/>
      </c>
      <c r="G429" s="385" t="str">
        <f t="shared" ca="1" si="25"/>
        <v/>
      </c>
      <c r="H429" s="386" t="str">
        <f t="shared" ca="1" si="26"/>
        <v/>
      </c>
      <c r="I429" s="404"/>
      <c r="J429" s="415"/>
      <c r="K429" s="428"/>
      <c r="L429" s="428" t="s">
        <v>66</v>
      </c>
      <c r="M429" s="428"/>
      <c r="N429" s="428"/>
      <c r="O429" s="428"/>
      <c r="P429" s="428"/>
      <c r="Q429" s="429"/>
      <c r="R429" s="417"/>
      <c r="S429" s="418"/>
      <c r="T429" s="419"/>
      <c r="U429" s="418"/>
      <c r="V429" s="419"/>
      <c r="W429" s="430"/>
      <c r="X429" s="431"/>
      <c r="Y429" s="434"/>
      <c r="Z429" s="433"/>
      <c r="AA429" s="396"/>
      <c r="AB429" s="397"/>
      <c r="AC429" s="398"/>
      <c r="AD429" s="399"/>
      <c r="AE429" s="400"/>
      <c r="AF429" s="401"/>
      <c r="AG429" s="401">
        <f t="shared" si="27"/>
        <v>0</v>
      </c>
      <c r="AH429" s="401">
        <f t="shared" si="28"/>
        <v>0</v>
      </c>
      <c r="AI429" s="401">
        <f t="shared" si="29"/>
        <v>0</v>
      </c>
      <c r="AJ429" s="401">
        <f t="shared" si="30"/>
        <v>0</v>
      </c>
      <c r="AK429" s="401" t="str">
        <f t="shared" si="31"/>
        <v/>
      </c>
      <c r="AL429" s="402">
        <f t="shared" ca="1" si="32"/>
        <v>3</v>
      </c>
      <c r="AM429" s="402">
        <f t="shared" ca="1" si="33"/>
        <v>2</v>
      </c>
      <c r="AN429" s="402">
        <f t="shared" ca="1" si="34"/>
        <v>15</v>
      </c>
      <c r="AO429" s="402">
        <f t="shared" ca="1" si="35"/>
        <v>6</v>
      </c>
      <c r="AP429" s="402">
        <f t="shared" ca="1" si="36"/>
        <v>0</v>
      </c>
      <c r="AQ429" s="402">
        <f t="shared" ca="1" si="37"/>
        <v>0</v>
      </c>
      <c r="AR429" s="402">
        <f t="shared" ca="1" si="38"/>
        <v>0</v>
      </c>
      <c r="AS429" s="403"/>
      <c r="AT429" s="402">
        <f t="shared" si="39"/>
        <v>1</v>
      </c>
    </row>
    <row r="430" spans="1:46" ht="15.75" customHeight="1">
      <c r="A430" s="382"/>
      <c r="B430" s="383">
        <f t="shared" ca="1" si="20"/>
        <v>3</v>
      </c>
      <c r="C430" s="384">
        <f t="shared" ca="1" si="21"/>
        <v>2</v>
      </c>
      <c r="D430" s="384">
        <f t="shared" ca="1" si="22"/>
        <v>16</v>
      </c>
      <c r="E430" s="384" t="str">
        <f t="shared" ca="1" si="23"/>
        <v/>
      </c>
      <c r="F430" s="384" t="str">
        <f t="shared" ca="1" si="24"/>
        <v/>
      </c>
      <c r="G430" s="385" t="str">
        <f t="shared" ca="1" si="25"/>
        <v/>
      </c>
      <c r="H430" s="386" t="str">
        <f t="shared" ca="1" si="26"/>
        <v/>
      </c>
      <c r="I430" s="404"/>
      <c r="J430" s="415"/>
      <c r="K430" s="428" t="s">
        <v>373</v>
      </c>
      <c r="L430" s="428"/>
      <c r="M430" s="428"/>
      <c r="N430" s="428"/>
      <c r="O430" s="428"/>
      <c r="P430" s="428"/>
      <c r="Q430" s="429"/>
      <c r="R430" s="417"/>
      <c r="S430" s="418"/>
      <c r="T430" s="419"/>
      <c r="U430" s="418"/>
      <c r="V430" s="419"/>
      <c r="W430" s="430"/>
      <c r="X430" s="431"/>
      <c r="Y430" s="434"/>
      <c r="Z430" s="433"/>
      <c r="AA430" s="396"/>
      <c r="AB430" s="397"/>
      <c r="AC430" s="398"/>
      <c r="AD430" s="399"/>
      <c r="AE430" s="400"/>
      <c r="AF430" s="401"/>
      <c r="AG430" s="401">
        <f t="shared" si="27"/>
        <v>0</v>
      </c>
      <c r="AH430" s="401">
        <f t="shared" si="28"/>
        <v>0</v>
      </c>
      <c r="AI430" s="401">
        <f t="shared" si="29"/>
        <v>0</v>
      </c>
      <c r="AJ430" s="401">
        <f t="shared" si="30"/>
        <v>0</v>
      </c>
      <c r="AK430" s="401" t="str">
        <f t="shared" si="31"/>
        <v/>
      </c>
      <c r="AL430" s="402">
        <f t="shared" ca="1" si="32"/>
        <v>3</v>
      </c>
      <c r="AM430" s="402">
        <f t="shared" ca="1" si="33"/>
        <v>2</v>
      </c>
      <c r="AN430" s="402">
        <f t="shared" ca="1" si="34"/>
        <v>16</v>
      </c>
      <c r="AO430" s="402">
        <f t="shared" ca="1" si="35"/>
        <v>0</v>
      </c>
      <c r="AP430" s="402">
        <f t="shared" ca="1" si="36"/>
        <v>0</v>
      </c>
      <c r="AQ430" s="402">
        <f t="shared" ca="1" si="37"/>
        <v>0</v>
      </c>
      <c r="AR430" s="402">
        <f t="shared" ca="1" si="38"/>
        <v>0</v>
      </c>
      <c r="AS430" s="403"/>
      <c r="AT430" s="402">
        <f t="shared" si="39"/>
        <v>1</v>
      </c>
    </row>
    <row r="431" spans="1:46" ht="15.75" customHeight="1">
      <c r="A431" s="382"/>
      <c r="B431" s="383">
        <f t="shared" ca="1" si="20"/>
        <v>3</v>
      </c>
      <c r="C431" s="384">
        <f t="shared" ca="1" si="21"/>
        <v>2</v>
      </c>
      <c r="D431" s="384">
        <f t="shared" ca="1" si="22"/>
        <v>16</v>
      </c>
      <c r="E431" s="384">
        <f t="shared" ca="1" si="23"/>
        <v>1</v>
      </c>
      <c r="F431" s="384" t="str">
        <f t="shared" ca="1" si="24"/>
        <v/>
      </c>
      <c r="G431" s="385" t="str">
        <f t="shared" ca="1" si="25"/>
        <v/>
      </c>
      <c r="H431" s="386" t="str">
        <f t="shared" ca="1" si="26"/>
        <v/>
      </c>
      <c r="I431" s="404"/>
      <c r="J431" s="415"/>
      <c r="K431" s="428"/>
      <c r="L431" s="428" t="s">
        <v>59</v>
      </c>
      <c r="M431" s="428"/>
      <c r="N431" s="428"/>
      <c r="O431" s="428"/>
      <c r="P431" s="428"/>
      <c r="Q431" s="429"/>
      <c r="R431" s="417"/>
      <c r="S431" s="418"/>
      <c r="T431" s="419"/>
      <c r="U431" s="418"/>
      <c r="V431" s="419"/>
      <c r="W431" s="430"/>
      <c r="X431" s="431"/>
      <c r="Y431" s="434"/>
      <c r="Z431" s="433"/>
      <c r="AA431" s="396"/>
      <c r="AB431" s="397"/>
      <c r="AC431" s="398"/>
      <c r="AD431" s="399"/>
      <c r="AE431" s="400"/>
      <c r="AF431" s="401"/>
      <c r="AG431" s="401">
        <f t="shared" si="27"/>
        <v>0</v>
      </c>
      <c r="AH431" s="401">
        <f t="shared" si="28"/>
        <v>0</v>
      </c>
      <c r="AI431" s="401">
        <f t="shared" si="29"/>
        <v>0</v>
      </c>
      <c r="AJ431" s="401">
        <f t="shared" si="30"/>
        <v>0</v>
      </c>
      <c r="AK431" s="401" t="str">
        <f t="shared" si="31"/>
        <v/>
      </c>
      <c r="AL431" s="402">
        <f t="shared" ca="1" si="32"/>
        <v>3</v>
      </c>
      <c r="AM431" s="402">
        <f t="shared" ca="1" si="33"/>
        <v>2</v>
      </c>
      <c r="AN431" s="402">
        <f t="shared" ca="1" si="34"/>
        <v>16</v>
      </c>
      <c r="AO431" s="402">
        <f t="shared" ca="1" si="35"/>
        <v>1</v>
      </c>
      <c r="AP431" s="402">
        <f t="shared" ca="1" si="36"/>
        <v>0</v>
      </c>
      <c r="AQ431" s="402">
        <f t="shared" ca="1" si="37"/>
        <v>0</v>
      </c>
      <c r="AR431" s="402">
        <f t="shared" ca="1" si="38"/>
        <v>0</v>
      </c>
      <c r="AS431" s="403"/>
      <c r="AT431" s="402">
        <f t="shared" si="39"/>
        <v>1</v>
      </c>
    </row>
    <row r="432" spans="1:46" ht="15.75" customHeight="1">
      <c r="A432" s="382"/>
      <c r="B432" s="383">
        <f t="shared" ca="1" si="20"/>
        <v>3</v>
      </c>
      <c r="C432" s="384">
        <f t="shared" ca="1" si="21"/>
        <v>2</v>
      </c>
      <c r="D432" s="384">
        <f t="shared" ca="1" si="22"/>
        <v>16</v>
      </c>
      <c r="E432" s="384">
        <f t="shared" ca="1" si="23"/>
        <v>2</v>
      </c>
      <c r="F432" s="384" t="str">
        <f t="shared" ca="1" si="24"/>
        <v/>
      </c>
      <c r="G432" s="385" t="str">
        <f t="shared" ca="1" si="25"/>
        <v/>
      </c>
      <c r="H432" s="386" t="str">
        <f t="shared" ca="1" si="26"/>
        <v/>
      </c>
      <c r="I432" s="404"/>
      <c r="J432" s="415"/>
      <c r="K432" s="428"/>
      <c r="L432" s="428" t="s">
        <v>61</v>
      </c>
      <c r="M432" s="428"/>
      <c r="N432" s="428"/>
      <c r="O432" s="428"/>
      <c r="P432" s="428"/>
      <c r="Q432" s="429"/>
      <c r="R432" s="417"/>
      <c r="S432" s="418"/>
      <c r="T432" s="419"/>
      <c r="U432" s="418"/>
      <c r="V432" s="419"/>
      <c r="W432" s="430"/>
      <c r="X432" s="431"/>
      <c r="Y432" s="434"/>
      <c r="Z432" s="433"/>
      <c r="AA432" s="396"/>
      <c r="AB432" s="397"/>
      <c r="AC432" s="398"/>
      <c r="AD432" s="399"/>
      <c r="AE432" s="400"/>
      <c r="AF432" s="401"/>
      <c r="AG432" s="401">
        <f t="shared" si="27"/>
        <v>0</v>
      </c>
      <c r="AH432" s="401">
        <f t="shared" si="28"/>
        <v>0</v>
      </c>
      <c r="AI432" s="401">
        <f t="shared" si="29"/>
        <v>0</v>
      </c>
      <c r="AJ432" s="401">
        <f t="shared" si="30"/>
        <v>0</v>
      </c>
      <c r="AK432" s="401" t="str">
        <f t="shared" si="31"/>
        <v/>
      </c>
      <c r="AL432" s="402">
        <f t="shared" ca="1" si="32"/>
        <v>3</v>
      </c>
      <c r="AM432" s="402">
        <f t="shared" ca="1" si="33"/>
        <v>2</v>
      </c>
      <c r="AN432" s="402">
        <f t="shared" ca="1" si="34"/>
        <v>16</v>
      </c>
      <c r="AO432" s="402">
        <f t="shared" ca="1" si="35"/>
        <v>2</v>
      </c>
      <c r="AP432" s="402">
        <f t="shared" ca="1" si="36"/>
        <v>0</v>
      </c>
      <c r="AQ432" s="402">
        <f t="shared" ca="1" si="37"/>
        <v>0</v>
      </c>
      <c r="AR432" s="402">
        <f t="shared" ca="1" si="38"/>
        <v>0</v>
      </c>
      <c r="AS432" s="403"/>
      <c r="AT432" s="402">
        <f t="shared" si="39"/>
        <v>1</v>
      </c>
    </row>
    <row r="433" spans="1:46" ht="15.75" customHeight="1">
      <c r="A433" s="382"/>
      <c r="B433" s="383">
        <f t="shared" ca="1" si="20"/>
        <v>3</v>
      </c>
      <c r="C433" s="384">
        <f t="shared" ca="1" si="21"/>
        <v>2</v>
      </c>
      <c r="D433" s="384">
        <f t="shared" ca="1" si="22"/>
        <v>16</v>
      </c>
      <c r="E433" s="384">
        <f t="shared" ca="1" si="23"/>
        <v>3</v>
      </c>
      <c r="F433" s="384" t="str">
        <f t="shared" ca="1" si="24"/>
        <v/>
      </c>
      <c r="G433" s="385" t="str">
        <f t="shared" ca="1" si="25"/>
        <v/>
      </c>
      <c r="H433" s="386" t="str">
        <f t="shared" ca="1" si="26"/>
        <v/>
      </c>
      <c r="I433" s="404"/>
      <c r="J433" s="415"/>
      <c r="K433" s="428"/>
      <c r="L433" s="428" t="s">
        <v>63</v>
      </c>
      <c r="M433" s="428"/>
      <c r="N433" s="428"/>
      <c r="O433" s="428"/>
      <c r="P433" s="428"/>
      <c r="Q433" s="429"/>
      <c r="R433" s="417"/>
      <c r="S433" s="418"/>
      <c r="T433" s="419"/>
      <c r="U433" s="418"/>
      <c r="V433" s="419"/>
      <c r="W433" s="430"/>
      <c r="X433" s="431"/>
      <c r="Y433" s="434"/>
      <c r="Z433" s="433"/>
      <c r="AA433" s="396"/>
      <c r="AB433" s="397"/>
      <c r="AC433" s="398"/>
      <c r="AD433" s="399"/>
      <c r="AE433" s="400"/>
      <c r="AF433" s="401"/>
      <c r="AG433" s="401">
        <f t="shared" si="27"/>
        <v>0</v>
      </c>
      <c r="AH433" s="401">
        <f t="shared" si="28"/>
        <v>0</v>
      </c>
      <c r="AI433" s="401">
        <f t="shared" si="29"/>
        <v>0</v>
      </c>
      <c r="AJ433" s="401">
        <f t="shared" si="30"/>
        <v>0</v>
      </c>
      <c r="AK433" s="401" t="str">
        <f t="shared" si="31"/>
        <v/>
      </c>
      <c r="AL433" s="402">
        <f t="shared" ca="1" si="32"/>
        <v>3</v>
      </c>
      <c r="AM433" s="402">
        <f t="shared" ca="1" si="33"/>
        <v>2</v>
      </c>
      <c r="AN433" s="402">
        <f t="shared" ca="1" si="34"/>
        <v>16</v>
      </c>
      <c r="AO433" s="402">
        <f t="shared" ca="1" si="35"/>
        <v>3</v>
      </c>
      <c r="AP433" s="402">
        <f t="shared" ca="1" si="36"/>
        <v>0</v>
      </c>
      <c r="AQ433" s="402">
        <f t="shared" ca="1" si="37"/>
        <v>0</v>
      </c>
      <c r="AR433" s="402">
        <f t="shared" ca="1" si="38"/>
        <v>0</v>
      </c>
      <c r="AS433" s="403"/>
      <c r="AT433" s="402">
        <f t="shared" si="39"/>
        <v>1</v>
      </c>
    </row>
    <row r="434" spans="1:46" ht="15.75" customHeight="1">
      <c r="A434" s="382"/>
      <c r="B434" s="383">
        <f t="shared" ca="1" si="20"/>
        <v>3</v>
      </c>
      <c r="C434" s="384">
        <f t="shared" ca="1" si="21"/>
        <v>2</v>
      </c>
      <c r="D434" s="384">
        <f t="shared" ca="1" si="22"/>
        <v>16</v>
      </c>
      <c r="E434" s="384">
        <f t="shared" ca="1" si="23"/>
        <v>4</v>
      </c>
      <c r="F434" s="384" t="str">
        <f t="shared" ca="1" si="24"/>
        <v/>
      </c>
      <c r="G434" s="385" t="str">
        <f t="shared" ca="1" si="25"/>
        <v/>
      </c>
      <c r="H434" s="386" t="str">
        <f t="shared" ca="1" si="26"/>
        <v/>
      </c>
      <c r="I434" s="404"/>
      <c r="J434" s="415"/>
      <c r="K434" s="428"/>
      <c r="L434" s="428" t="s">
        <v>64</v>
      </c>
      <c r="M434" s="428"/>
      <c r="N434" s="428"/>
      <c r="O434" s="428"/>
      <c r="P434" s="428"/>
      <c r="Q434" s="429"/>
      <c r="R434" s="417"/>
      <c r="S434" s="418"/>
      <c r="T434" s="419"/>
      <c r="U434" s="418"/>
      <c r="V434" s="419"/>
      <c r="W434" s="430"/>
      <c r="X434" s="431"/>
      <c r="Y434" s="434"/>
      <c r="Z434" s="433"/>
      <c r="AA434" s="396"/>
      <c r="AB434" s="397"/>
      <c r="AC434" s="398"/>
      <c r="AD434" s="399"/>
      <c r="AE434" s="400"/>
      <c r="AF434" s="401"/>
      <c r="AG434" s="401">
        <f t="shared" si="27"/>
        <v>0</v>
      </c>
      <c r="AH434" s="401">
        <f t="shared" si="28"/>
        <v>0</v>
      </c>
      <c r="AI434" s="401">
        <f t="shared" si="29"/>
        <v>0</v>
      </c>
      <c r="AJ434" s="401">
        <f t="shared" si="30"/>
        <v>0</v>
      </c>
      <c r="AK434" s="401" t="str">
        <f t="shared" si="31"/>
        <v/>
      </c>
      <c r="AL434" s="402">
        <f t="shared" ca="1" si="32"/>
        <v>3</v>
      </c>
      <c r="AM434" s="402">
        <f t="shared" ca="1" si="33"/>
        <v>2</v>
      </c>
      <c r="AN434" s="402">
        <f t="shared" ca="1" si="34"/>
        <v>16</v>
      </c>
      <c r="AO434" s="402">
        <f t="shared" ca="1" si="35"/>
        <v>4</v>
      </c>
      <c r="AP434" s="402">
        <f t="shared" ca="1" si="36"/>
        <v>0</v>
      </c>
      <c r="AQ434" s="402">
        <f t="shared" ca="1" si="37"/>
        <v>0</v>
      </c>
      <c r="AR434" s="402">
        <f t="shared" ca="1" si="38"/>
        <v>0</v>
      </c>
      <c r="AS434" s="403"/>
      <c r="AT434" s="402">
        <f t="shared" si="39"/>
        <v>1</v>
      </c>
    </row>
    <row r="435" spans="1:46" ht="15.75" customHeight="1">
      <c r="A435" s="382"/>
      <c r="B435" s="383">
        <f t="shared" ca="1" si="20"/>
        <v>3</v>
      </c>
      <c r="C435" s="384">
        <f t="shared" ca="1" si="21"/>
        <v>2</v>
      </c>
      <c r="D435" s="384">
        <f t="shared" ca="1" si="22"/>
        <v>16</v>
      </c>
      <c r="E435" s="384">
        <f t="shared" ca="1" si="23"/>
        <v>5</v>
      </c>
      <c r="F435" s="384" t="str">
        <f t="shared" ca="1" si="24"/>
        <v/>
      </c>
      <c r="G435" s="385" t="str">
        <f t="shared" ca="1" si="25"/>
        <v/>
      </c>
      <c r="H435" s="386" t="str">
        <f t="shared" ca="1" si="26"/>
        <v/>
      </c>
      <c r="I435" s="404"/>
      <c r="J435" s="415"/>
      <c r="K435" s="428"/>
      <c r="L435" s="428" t="s">
        <v>65</v>
      </c>
      <c r="M435" s="428"/>
      <c r="N435" s="428"/>
      <c r="O435" s="428"/>
      <c r="P435" s="428"/>
      <c r="Q435" s="429"/>
      <c r="R435" s="417"/>
      <c r="S435" s="418"/>
      <c r="T435" s="419"/>
      <c r="U435" s="418"/>
      <c r="V435" s="419"/>
      <c r="W435" s="430"/>
      <c r="X435" s="431"/>
      <c r="Y435" s="434"/>
      <c r="Z435" s="433"/>
      <c r="AA435" s="396"/>
      <c r="AB435" s="397"/>
      <c r="AC435" s="398"/>
      <c r="AD435" s="399"/>
      <c r="AE435" s="400"/>
      <c r="AF435" s="401"/>
      <c r="AG435" s="401">
        <f t="shared" si="27"/>
        <v>0</v>
      </c>
      <c r="AH435" s="401">
        <f t="shared" si="28"/>
        <v>0</v>
      </c>
      <c r="AI435" s="401">
        <f t="shared" si="29"/>
        <v>0</v>
      </c>
      <c r="AJ435" s="401">
        <f t="shared" si="30"/>
        <v>0</v>
      </c>
      <c r="AK435" s="401" t="str">
        <f t="shared" si="31"/>
        <v/>
      </c>
      <c r="AL435" s="402">
        <f t="shared" ca="1" si="32"/>
        <v>3</v>
      </c>
      <c r="AM435" s="402">
        <f t="shared" ca="1" si="33"/>
        <v>2</v>
      </c>
      <c r="AN435" s="402">
        <f t="shared" ca="1" si="34"/>
        <v>16</v>
      </c>
      <c r="AO435" s="402">
        <f t="shared" ca="1" si="35"/>
        <v>5</v>
      </c>
      <c r="AP435" s="402">
        <f t="shared" ca="1" si="36"/>
        <v>0</v>
      </c>
      <c r="AQ435" s="402">
        <f t="shared" ca="1" si="37"/>
        <v>0</v>
      </c>
      <c r="AR435" s="402">
        <f t="shared" ca="1" si="38"/>
        <v>0</v>
      </c>
      <c r="AS435" s="403"/>
      <c r="AT435" s="402">
        <f t="shared" si="39"/>
        <v>1</v>
      </c>
    </row>
    <row r="436" spans="1:46" ht="15.75" customHeight="1">
      <c r="A436" s="382"/>
      <c r="B436" s="383">
        <f t="shared" ca="1" si="20"/>
        <v>3</v>
      </c>
      <c r="C436" s="384">
        <f t="shared" ca="1" si="21"/>
        <v>2</v>
      </c>
      <c r="D436" s="384">
        <f t="shared" ca="1" si="22"/>
        <v>16</v>
      </c>
      <c r="E436" s="384">
        <f t="shared" ca="1" si="23"/>
        <v>6</v>
      </c>
      <c r="F436" s="384" t="str">
        <f t="shared" ca="1" si="24"/>
        <v/>
      </c>
      <c r="G436" s="385" t="str">
        <f t="shared" ca="1" si="25"/>
        <v/>
      </c>
      <c r="H436" s="386" t="str">
        <f t="shared" ca="1" si="26"/>
        <v/>
      </c>
      <c r="I436" s="404"/>
      <c r="J436" s="415"/>
      <c r="K436" s="428"/>
      <c r="L436" s="428" t="s">
        <v>66</v>
      </c>
      <c r="M436" s="428"/>
      <c r="N436" s="428"/>
      <c r="O436" s="428"/>
      <c r="P436" s="428"/>
      <c r="Q436" s="429"/>
      <c r="R436" s="417"/>
      <c r="S436" s="418"/>
      <c r="T436" s="419"/>
      <c r="U436" s="418"/>
      <c r="V436" s="419"/>
      <c r="W436" s="430"/>
      <c r="X436" s="431"/>
      <c r="Y436" s="434"/>
      <c r="Z436" s="433"/>
      <c r="AA436" s="396"/>
      <c r="AB436" s="397"/>
      <c r="AC436" s="398"/>
      <c r="AD436" s="399"/>
      <c r="AE436" s="400"/>
      <c r="AF436" s="401"/>
      <c r="AG436" s="401">
        <f t="shared" si="27"/>
        <v>0</v>
      </c>
      <c r="AH436" s="401">
        <f t="shared" si="28"/>
        <v>0</v>
      </c>
      <c r="AI436" s="401">
        <f t="shared" si="29"/>
        <v>0</v>
      </c>
      <c r="AJ436" s="401">
        <f t="shared" si="30"/>
        <v>0</v>
      </c>
      <c r="AK436" s="401" t="str">
        <f t="shared" si="31"/>
        <v/>
      </c>
      <c r="AL436" s="402">
        <f t="shared" ca="1" si="32"/>
        <v>3</v>
      </c>
      <c r="AM436" s="402">
        <f t="shared" ca="1" si="33"/>
        <v>2</v>
      </c>
      <c r="AN436" s="402">
        <f t="shared" ca="1" si="34"/>
        <v>16</v>
      </c>
      <c r="AO436" s="402">
        <f t="shared" ca="1" si="35"/>
        <v>6</v>
      </c>
      <c r="AP436" s="402">
        <f t="shared" ca="1" si="36"/>
        <v>0</v>
      </c>
      <c r="AQ436" s="402">
        <f t="shared" ca="1" si="37"/>
        <v>0</v>
      </c>
      <c r="AR436" s="402">
        <f t="shared" ca="1" si="38"/>
        <v>0</v>
      </c>
      <c r="AS436" s="403"/>
      <c r="AT436" s="402">
        <f t="shared" si="39"/>
        <v>1</v>
      </c>
    </row>
    <row r="437" spans="1:46" ht="15.75" customHeight="1">
      <c r="A437" s="382"/>
      <c r="B437" s="383">
        <f t="shared" ca="1" si="20"/>
        <v>3</v>
      </c>
      <c r="C437" s="384">
        <f t="shared" ca="1" si="21"/>
        <v>3</v>
      </c>
      <c r="D437" s="384" t="str">
        <f t="shared" ca="1" si="22"/>
        <v/>
      </c>
      <c r="E437" s="384" t="str">
        <f t="shared" ca="1" si="23"/>
        <v/>
      </c>
      <c r="F437" s="384" t="str">
        <f t="shared" ca="1" si="24"/>
        <v/>
      </c>
      <c r="G437" s="385" t="str">
        <f t="shared" ca="1" si="25"/>
        <v/>
      </c>
      <c r="H437" s="386" t="str">
        <f t="shared" ca="1" si="26"/>
        <v/>
      </c>
      <c r="I437" s="404"/>
      <c r="J437" s="405" t="s">
        <v>282</v>
      </c>
      <c r="K437" s="405"/>
      <c r="L437" s="405"/>
      <c r="M437" s="405"/>
      <c r="N437" s="405"/>
      <c r="O437" s="405"/>
      <c r="P437" s="405"/>
      <c r="Q437" s="406"/>
      <c r="R437" s="407"/>
      <c r="S437" s="408"/>
      <c r="T437" s="409"/>
      <c r="U437" s="410"/>
      <c r="V437" s="409"/>
      <c r="W437" s="411"/>
      <c r="X437" s="412"/>
      <c r="Y437" s="435"/>
      <c r="Z437" s="414"/>
      <c r="AA437" s="396"/>
      <c r="AB437" s="397"/>
      <c r="AC437" s="398"/>
      <c r="AD437" s="399"/>
      <c r="AE437" s="400"/>
      <c r="AF437" s="401"/>
      <c r="AG437" s="401">
        <f t="shared" si="27"/>
        <v>0</v>
      </c>
      <c r="AH437" s="401">
        <f t="shared" si="28"/>
        <v>0</v>
      </c>
      <c r="AI437" s="401">
        <f t="shared" si="29"/>
        <v>0</v>
      </c>
      <c r="AJ437" s="401">
        <f t="shared" si="30"/>
        <v>0</v>
      </c>
      <c r="AK437" s="401" t="str">
        <f t="shared" si="31"/>
        <v/>
      </c>
      <c r="AL437" s="402">
        <f t="shared" ca="1" si="32"/>
        <v>3</v>
      </c>
      <c r="AM437" s="402">
        <f t="shared" ca="1" si="33"/>
        <v>3</v>
      </c>
      <c r="AN437" s="402">
        <f t="shared" ca="1" si="34"/>
        <v>0</v>
      </c>
      <c r="AO437" s="402">
        <f t="shared" ca="1" si="35"/>
        <v>0</v>
      </c>
      <c r="AP437" s="402">
        <f t="shared" ca="1" si="36"/>
        <v>0</v>
      </c>
      <c r="AQ437" s="402">
        <f t="shared" ca="1" si="37"/>
        <v>0</v>
      </c>
      <c r="AR437" s="402">
        <f t="shared" ca="1" si="38"/>
        <v>0</v>
      </c>
      <c r="AS437" s="403"/>
      <c r="AT437" s="402">
        <f t="shared" si="39"/>
        <v>1</v>
      </c>
    </row>
    <row r="438" spans="1:46" ht="15.75" customHeight="1">
      <c r="A438" s="382"/>
      <c r="B438" s="383">
        <f t="shared" ca="1" si="20"/>
        <v>3</v>
      </c>
      <c r="C438" s="384">
        <f t="shared" ca="1" si="21"/>
        <v>3</v>
      </c>
      <c r="D438" s="384">
        <f t="shared" ca="1" si="22"/>
        <v>1</v>
      </c>
      <c r="E438" s="384" t="str">
        <f t="shared" ca="1" si="23"/>
        <v/>
      </c>
      <c r="F438" s="384" t="str">
        <f t="shared" ca="1" si="24"/>
        <v/>
      </c>
      <c r="G438" s="385" t="str">
        <f t="shared" ca="1" si="25"/>
        <v/>
      </c>
      <c r="H438" s="386" t="str">
        <f t="shared" ca="1" si="26"/>
        <v/>
      </c>
      <c r="I438" s="404"/>
      <c r="J438" s="415"/>
      <c r="K438" s="428" t="s">
        <v>283</v>
      </c>
      <c r="L438" s="428"/>
      <c r="M438" s="428"/>
      <c r="N438" s="428"/>
      <c r="O438" s="428"/>
      <c r="P438" s="428"/>
      <c r="Q438" s="429"/>
      <c r="R438" s="417" t="s">
        <v>284</v>
      </c>
      <c r="S438" s="418">
        <v>45811</v>
      </c>
      <c r="T438" s="419">
        <v>45869</v>
      </c>
      <c r="U438" s="418">
        <v>45811</v>
      </c>
      <c r="V438" s="419"/>
      <c r="W438" s="430">
        <v>0.1</v>
      </c>
      <c r="X438" s="431">
        <v>0.8</v>
      </c>
      <c r="Y438" s="434"/>
      <c r="Z438" s="433"/>
      <c r="AA438" s="396"/>
      <c r="AB438" s="397"/>
      <c r="AC438" s="398"/>
      <c r="AD438" s="399"/>
      <c r="AE438" s="400"/>
      <c r="AF438" s="401"/>
      <c r="AG438" s="401">
        <f t="shared" ca="1" si="27"/>
        <v>0</v>
      </c>
      <c r="AH438" s="401">
        <f t="shared" ca="1" si="28"/>
        <v>0</v>
      </c>
      <c r="AI438" s="401">
        <f t="shared" si="29"/>
        <v>0</v>
      </c>
      <c r="AJ438" s="401">
        <f t="shared" ca="1" si="30"/>
        <v>0</v>
      </c>
      <c r="AK438" s="401" t="str">
        <f t="shared" ca="1" si="31"/>
        <v/>
      </c>
      <c r="AL438" s="402">
        <f t="shared" ca="1" si="32"/>
        <v>3</v>
      </c>
      <c r="AM438" s="402">
        <f t="shared" ca="1" si="33"/>
        <v>3</v>
      </c>
      <c r="AN438" s="402">
        <f t="shared" ca="1" si="34"/>
        <v>1</v>
      </c>
      <c r="AO438" s="402">
        <f t="shared" ca="1" si="35"/>
        <v>0</v>
      </c>
      <c r="AP438" s="402">
        <f t="shared" ca="1" si="36"/>
        <v>0</v>
      </c>
      <c r="AQ438" s="402">
        <f t="shared" ca="1" si="37"/>
        <v>0</v>
      </c>
      <c r="AR438" s="402">
        <f t="shared" ca="1" si="38"/>
        <v>0</v>
      </c>
      <c r="AS438" s="403"/>
      <c r="AT438" s="402">
        <f t="shared" si="39"/>
        <v>59</v>
      </c>
    </row>
    <row r="439" spans="1:46" ht="15.75" customHeight="1">
      <c r="A439" s="382"/>
      <c r="B439" s="383">
        <f t="shared" ca="1" si="20"/>
        <v>3</v>
      </c>
      <c r="C439" s="384">
        <f t="shared" ca="1" si="21"/>
        <v>3</v>
      </c>
      <c r="D439" s="384">
        <f t="shared" ca="1" si="22"/>
        <v>2</v>
      </c>
      <c r="E439" s="384" t="str">
        <f t="shared" ca="1" si="23"/>
        <v/>
      </c>
      <c r="F439" s="384" t="str">
        <f t="shared" ca="1" si="24"/>
        <v/>
      </c>
      <c r="G439" s="385" t="str">
        <f t="shared" ca="1" si="25"/>
        <v/>
      </c>
      <c r="H439" s="386" t="str">
        <f t="shared" ca="1" si="26"/>
        <v/>
      </c>
      <c r="I439" s="404"/>
      <c r="J439" s="415"/>
      <c r="K439" s="428" t="s">
        <v>285</v>
      </c>
      <c r="L439" s="428"/>
      <c r="M439" s="428"/>
      <c r="N439" s="428"/>
      <c r="O439" s="428"/>
      <c r="P439" s="428"/>
      <c r="Q439" s="429"/>
      <c r="R439" s="417" t="s">
        <v>284</v>
      </c>
      <c r="S439" s="418">
        <v>45811</v>
      </c>
      <c r="T439" s="419">
        <v>45869</v>
      </c>
      <c r="U439" s="418">
        <v>45811</v>
      </c>
      <c r="V439" s="419"/>
      <c r="W439" s="430">
        <v>0.1</v>
      </c>
      <c r="X439" s="431">
        <v>0.1</v>
      </c>
      <c r="Y439" s="434"/>
      <c r="Z439" s="433"/>
      <c r="AA439" s="396"/>
      <c r="AB439" s="397"/>
      <c r="AC439" s="398"/>
      <c r="AD439" s="399"/>
      <c r="AE439" s="400"/>
      <c r="AF439" s="401"/>
      <c r="AG439" s="401">
        <f t="shared" ca="1" si="27"/>
        <v>0</v>
      </c>
      <c r="AH439" s="401">
        <f t="shared" ca="1" si="28"/>
        <v>0</v>
      </c>
      <c r="AI439" s="401">
        <f t="shared" si="29"/>
        <v>0</v>
      </c>
      <c r="AJ439" s="401">
        <f t="shared" ca="1" si="30"/>
        <v>0</v>
      </c>
      <c r="AK439" s="401" t="str">
        <f t="shared" ca="1" si="31"/>
        <v/>
      </c>
      <c r="AL439" s="402">
        <f t="shared" ca="1" si="32"/>
        <v>3</v>
      </c>
      <c r="AM439" s="402">
        <f t="shared" ca="1" si="33"/>
        <v>3</v>
      </c>
      <c r="AN439" s="402">
        <f t="shared" ca="1" si="34"/>
        <v>2</v>
      </c>
      <c r="AO439" s="402">
        <f t="shared" ca="1" si="35"/>
        <v>0</v>
      </c>
      <c r="AP439" s="402">
        <f t="shared" ca="1" si="36"/>
        <v>0</v>
      </c>
      <c r="AQ439" s="402">
        <f t="shared" ca="1" si="37"/>
        <v>0</v>
      </c>
      <c r="AR439" s="402">
        <f t="shared" ca="1" si="38"/>
        <v>0</v>
      </c>
      <c r="AS439" s="403"/>
      <c r="AT439" s="402">
        <f t="shared" si="39"/>
        <v>59</v>
      </c>
    </row>
    <row r="440" spans="1:46" ht="15.75" customHeight="1">
      <c r="A440" s="382"/>
      <c r="B440" s="383">
        <f t="shared" ca="1" si="20"/>
        <v>3</v>
      </c>
      <c r="C440" s="384">
        <f t="shared" ca="1" si="21"/>
        <v>3</v>
      </c>
      <c r="D440" s="384">
        <f t="shared" ca="1" si="22"/>
        <v>3</v>
      </c>
      <c r="E440" s="384" t="str">
        <f t="shared" ca="1" si="23"/>
        <v/>
      </c>
      <c r="F440" s="384" t="str">
        <f t="shared" ca="1" si="24"/>
        <v/>
      </c>
      <c r="G440" s="385" t="str">
        <f t="shared" ca="1" si="25"/>
        <v/>
      </c>
      <c r="H440" s="386" t="str">
        <f t="shared" ca="1" si="26"/>
        <v/>
      </c>
      <c r="I440" s="404"/>
      <c r="J440" s="415"/>
      <c r="K440" s="428" t="s">
        <v>286</v>
      </c>
      <c r="L440" s="428"/>
      <c r="M440" s="428"/>
      <c r="N440" s="428"/>
      <c r="O440" s="428"/>
      <c r="P440" s="428"/>
      <c r="Q440" s="429"/>
      <c r="R440" s="417" t="s">
        <v>284</v>
      </c>
      <c r="S440" s="418">
        <v>45811</v>
      </c>
      <c r="T440" s="419">
        <v>45869</v>
      </c>
      <c r="U440" s="418">
        <v>45811</v>
      </c>
      <c r="V440" s="419"/>
      <c r="W440" s="430">
        <v>0.1</v>
      </c>
      <c r="X440" s="431">
        <v>0.1</v>
      </c>
      <c r="Y440" s="434"/>
      <c r="Z440" s="433"/>
      <c r="AA440" s="396"/>
      <c r="AB440" s="397"/>
      <c r="AC440" s="398"/>
      <c r="AD440" s="399"/>
      <c r="AE440" s="400"/>
      <c r="AF440" s="401"/>
      <c r="AG440" s="401">
        <f t="shared" ca="1" si="27"/>
        <v>0</v>
      </c>
      <c r="AH440" s="401">
        <f t="shared" ca="1" si="28"/>
        <v>0</v>
      </c>
      <c r="AI440" s="401">
        <f t="shared" si="29"/>
        <v>0</v>
      </c>
      <c r="AJ440" s="401">
        <f t="shared" ca="1" si="30"/>
        <v>0</v>
      </c>
      <c r="AK440" s="401" t="str">
        <f t="shared" ca="1" si="31"/>
        <v/>
      </c>
      <c r="AL440" s="402">
        <f t="shared" ca="1" si="32"/>
        <v>3</v>
      </c>
      <c r="AM440" s="402">
        <f t="shared" ca="1" si="33"/>
        <v>3</v>
      </c>
      <c r="AN440" s="402">
        <f t="shared" ca="1" si="34"/>
        <v>3</v>
      </c>
      <c r="AO440" s="402">
        <f t="shared" ca="1" si="35"/>
        <v>0</v>
      </c>
      <c r="AP440" s="402">
        <f t="shared" ca="1" si="36"/>
        <v>0</v>
      </c>
      <c r="AQ440" s="402">
        <f t="shared" ca="1" si="37"/>
        <v>0</v>
      </c>
      <c r="AR440" s="402">
        <f t="shared" ca="1" si="38"/>
        <v>0</v>
      </c>
      <c r="AS440" s="403"/>
      <c r="AT440" s="402">
        <f t="shared" si="39"/>
        <v>59</v>
      </c>
    </row>
    <row r="441" spans="1:46" ht="15.75" customHeight="1">
      <c r="A441" s="382"/>
      <c r="B441" s="383">
        <f t="shared" ca="1" si="20"/>
        <v>3</v>
      </c>
      <c r="C441" s="384">
        <f t="shared" ca="1" si="21"/>
        <v>4</v>
      </c>
      <c r="D441" s="384" t="str">
        <f t="shared" ca="1" si="22"/>
        <v/>
      </c>
      <c r="E441" s="384" t="str">
        <f t="shared" ca="1" si="23"/>
        <v/>
      </c>
      <c r="F441" s="384" t="str">
        <f t="shared" ca="1" si="24"/>
        <v/>
      </c>
      <c r="G441" s="385" t="str">
        <f t="shared" ca="1" si="25"/>
        <v/>
      </c>
      <c r="H441" s="386" t="str">
        <f t="shared" ca="1" si="26"/>
        <v/>
      </c>
      <c r="I441" s="404"/>
      <c r="J441" s="405" t="s">
        <v>287</v>
      </c>
      <c r="K441" s="405"/>
      <c r="L441" s="405"/>
      <c r="M441" s="405"/>
      <c r="N441" s="405"/>
      <c r="O441" s="405"/>
      <c r="P441" s="405"/>
      <c r="Q441" s="406"/>
      <c r="R441" s="407"/>
      <c r="S441" s="408"/>
      <c r="T441" s="409"/>
      <c r="U441" s="410"/>
      <c r="V441" s="409"/>
      <c r="W441" s="411"/>
      <c r="X441" s="412"/>
      <c r="Y441" s="435"/>
      <c r="Z441" s="414"/>
      <c r="AA441" s="396"/>
      <c r="AB441" s="397"/>
      <c r="AC441" s="398"/>
      <c r="AD441" s="399"/>
      <c r="AE441" s="400"/>
      <c r="AF441" s="401"/>
      <c r="AG441" s="401">
        <f t="shared" si="27"/>
        <v>0</v>
      </c>
      <c r="AH441" s="401">
        <f t="shared" si="28"/>
        <v>0</v>
      </c>
      <c r="AI441" s="401">
        <f t="shared" si="29"/>
        <v>0</v>
      </c>
      <c r="AJ441" s="401">
        <f t="shared" si="30"/>
        <v>0</v>
      </c>
      <c r="AK441" s="401" t="str">
        <f t="shared" si="31"/>
        <v/>
      </c>
      <c r="AL441" s="402">
        <f t="shared" ca="1" si="32"/>
        <v>3</v>
      </c>
      <c r="AM441" s="402">
        <f t="shared" ca="1" si="33"/>
        <v>4</v>
      </c>
      <c r="AN441" s="402">
        <f t="shared" ca="1" si="34"/>
        <v>0</v>
      </c>
      <c r="AO441" s="402">
        <f t="shared" ca="1" si="35"/>
        <v>0</v>
      </c>
      <c r="AP441" s="402">
        <f t="shared" ca="1" si="36"/>
        <v>0</v>
      </c>
      <c r="AQ441" s="402">
        <f t="shared" ca="1" si="37"/>
        <v>0</v>
      </c>
      <c r="AR441" s="402">
        <f t="shared" ca="1" si="38"/>
        <v>0</v>
      </c>
      <c r="AS441" s="403"/>
      <c r="AT441" s="402">
        <f t="shared" si="39"/>
        <v>1</v>
      </c>
    </row>
    <row r="442" spans="1:46" ht="15.75" customHeight="1">
      <c r="A442" s="382"/>
      <c r="B442" s="383">
        <f t="shared" ca="1" si="20"/>
        <v>3</v>
      </c>
      <c r="C442" s="384">
        <f t="shared" ca="1" si="21"/>
        <v>4</v>
      </c>
      <c r="D442" s="384">
        <f t="shared" ca="1" si="22"/>
        <v>1</v>
      </c>
      <c r="E442" s="384" t="str">
        <f t="shared" ca="1" si="23"/>
        <v/>
      </c>
      <c r="F442" s="384" t="str">
        <f t="shared" ca="1" si="24"/>
        <v/>
      </c>
      <c r="G442" s="385" t="str">
        <f t="shared" ca="1" si="25"/>
        <v/>
      </c>
      <c r="H442" s="386" t="str">
        <f t="shared" ca="1" si="26"/>
        <v/>
      </c>
      <c r="I442" s="404"/>
      <c r="J442" s="415"/>
      <c r="K442" s="428" t="s">
        <v>288</v>
      </c>
      <c r="L442" s="428"/>
      <c r="M442" s="428"/>
      <c r="N442" s="428"/>
      <c r="O442" s="428"/>
      <c r="P442" s="428"/>
      <c r="Q442" s="429"/>
      <c r="R442" s="417" t="s">
        <v>284</v>
      </c>
      <c r="S442" s="418">
        <v>45811</v>
      </c>
      <c r="T442" s="419">
        <v>45869</v>
      </c>
      <c r="U442" s="418">
        <v>45811</v>
      </c>
      <c r="V442" s="419"/>
      <c r="W442" s="430">
        <v>0.1</v>
      </c>
      <c r="X442" s="431">
        <v>0.1</v>
      </c>
      <c r="Y442" s="434"/>
      <c r="Z442" s="433"/>
      <c r="AA442" s="396"/>
      <c r="AB442" s="397"/>
      <c r="AC442" s="398"/>
      <c r="AD442" s="399"/>
      <c r="AE442" s="400"/>
      <c r="AF442" s="401"/>
      <c r="AG442" s="401">
        <f t="shared" ca="1" si="27"/>
        <v>0</v>
      </c>
      <c r="AH442" s="401">
        <f t="shared" ca="1" si="28"/>
        <v>0</v>
      </c>
      <c r="AI442" s="401">
        <f t="shared" si="29"/>
        <v>0</v>
      </c>
      <c r="AJ442" s="401">
        <f t="shared" ca="1" si="30"/>
        <v>0</v>
      </c>
      <c r="AK442" s="401" t="str">
        <f t="shared" ca="1" si="31"/>
        <v/>
      </c>
      <c r="AL442" s="402">
        <f t="shared" ca="1" si="32"/>
        <v>3</v>
      </c>
      <c r="AM442" s="402">
        <f t="shared" ca="1" si="33"/>
        <v>4</v>
      </c>
      <c r="AN442" s="402">
        <f t="shared" ca="1" si="34"/>
        <v>1</v>
      </c>
      <c r="AO442" s="402">
        <f t="shared" ca="1" si="35"/>
        <v>0</v>
      </c>
      <c r="AP442" s="402">
        <f t="shared" ca="1" si="36"/>
        <v>0</v>
      </c>
      <c r="AQ442" s="402">
        <f t="shared" ca="1" si="37"/>
        <v>0</v>
      </c>
      <c r="AR442" s="402">
        <f t="shared" ca="1" si="38"/>
        <v>0</v>
      </c>
      <c r="AS442" s="403"/>
      <c r="AT442" s="402">
        <f t="shared" si="39"/>
        <v>59</v>
      </c>
    </row>
    <row r="443" spans="1:46" ht="15.75" customHeight="1">
      <c r="A443" s="382"/>
      <c r="B443" s="383">
        <f t="shared" ca="1" si="20"/>
        <v>3</v>
      </c>
      <c r="C443" s="384">
        <f t="shared" ca="1" si="21"/>
        <v>4</v>
      </c>
      <c r="D443" s="384">
        <f t="shared" ca="1" si="22"/>
        <v>2</v>
      </c>
      <c r="E443" s="384" t="str">
        <f t="shared" ca="1" si="23"/>
        <v/>
      </c>
      <c r="F443" s="384" t="str">
        <f t="shared" ca="1" si="24"/>
        <v/>
      </c>
      <c r="G443" s="385" t="str">
        <f t="shared" ca="1" si="25"/>
        <v/>
      </c>
      <c r="H443" s="386" t="str">
        <f t="shared" ca="1" si="26"/>
        <v/>
      </c>
      <c r="I443" s="404"/>
      <c r="J443" s="415"/>
      <c r="K443" s="428" t="s">
        <v>289</v>
      </c>
      <c r="L443" s="428"/>
      <c r="M443" s="428"/>
      <c r="N443" s="428"/>
      <c r="O443" s="428"/>
      <c r="P443" s="428"/>
      <c r="Q443" s="429"/>
      <c r="R443" s="417" t="s">
        <v>284</v>
      </c>
      <c r="S443" s="418">
        <v>45870</v>
      </c>
      <c r="T443" s="419">
        <v>46203</v>
      </c>
      <c r="U443" s="418"/>
      <c r="V443" s="419"/>
      <c r="W443" s="430">
        <v>0</v>
      </c>
      <c r="X443" s="431"/>
      <c r="Y443" s="432" t="s">
        <v>290</v>
      </c>
      <c r="Z443" s="433"/>
      <c r="AA443" s="396"/>
      <c r="AB443" s="397"/>
      <c r="AC443" s="398"/>
      <c r="AD443" s="399"/>
      <c r="AE443" s="400"/>
      <c r="AF443" s="401"/>
      <c r="AG443" s="401">
        <f t="shared" ca="1" si="27"/>
        <v>0</v>
      </c>
      <c r="AH443" s="401">
        <f t="shared" ca="1" si="28"/>
        <v>0</v>
      </c>
      <c r="AI443" s="401">
        <f t="shared" si="29"/>
        <v>0</v>
      </c>
      <c r="AJ443" s="401">
        <f t="shared" ca="1" si="30"/>
        <v>0</v>
      </c>
      <c r="AK443" s="401" t="str">
        <f t="shared" ca="1" si="31"/>
        <v/>
      </c>
      <c r="AL443" s="402">
        <f t="shared" ca="1" si="32"/>
        <v>3</v>
      </c>
      <c r="AM443" s="402">
        <f t="shared" ca="1" si="33"/>
        <v>4</v>
      </c>
      <c r="AN443" s="402">
        <f t="shared" ca="1" si="34"/>
        <v>2</v>
      </c>
      <c r="AO443" s="402">
        <f t="shared" ca="1" si="35"/>
        <v>0</v>
      </c>
      <c r="AP443" s="402">
        <f t="shared" ca="1" si="36"/>
        <v>0</v>
      </c>
      <c r="AQ443" s="402">
        <f t="shared" ca="1" si="37"/>
        <v>0</v>
      </c>
      <c r="AR443" s="402">
        <f t="shared" ca="1" si="38"/>
        <v>0</v>
      </c>
      <c r="AS443" s="403"/>
      <c r="AT443" s="402">
        <f t="shared" si="39"/>
        <v>334</v>
      </c>
    </row>
    <row r="444" spans="1:46" ht="15.75" customHeight="1">
      <c r="A444" s="436"/>
      <c r="B444" s="383">
        <f t="shared" ca="1" si="20"/>
        <v>4</v>
      </c>
      <c r="C444" s="384" t="str">
        <f t="shared" ca="1" si="21"/>
        <v/>
      </c>
      <c r="D444" s="384" t="str">
        <f t="shared" ca="1" si="22"/>
        <v/>
      </c>
      <c r="E444" s="384" t="str">
        <f t="shared" ca="1" si="23"/>
        <v/>
      </c>
      <c r="F444" s="384" t="str">
        <f t="shared" ca="1" si="24"/>
        <v/>
      </c>
      <c r="G444" s="385" t="str">
        <f t="shared" ca="1" si="25"/>
        <v/>
      </c>
      <c r="H444" s="386" t="str">
        <f t="shared" ca="1" si="26"/>
        <v/>
      </c>
      <c r="I444" s="387" t="s">
        <v>379</v>
      </c>
      <c r="J444" s="388"/>
      <c r="K444" s="388"/>
      <c r="L444" s="388"/>
      <c r="M444" s="388"/>
      <c r="N444" s="388"/>
      <c r="O444" s="388"/>
      <c r="P444" s="388"/>
      <c r="Q444" s="427"/>
      <c r="R444" s="389"/>
      <c r="S444" s="390"/>
      <c r="T444" s="391"/>
      <c r="U444" s="390"/>
      <c r="V444" s="391"/>
      <c r="W444" s="392"/>
      <c r="X444" s="393"/>
      <c r="Y444" s="394"/>
      <c r="Z444" s="395"/>
      <c r="AA444" s="396"/>
      <c r="AB444" s="397"/>
      <c r="AC444" s="398"/>
      <c r="AD444" s="399"/>
      <c r="AE444" s="400"/>
      <c r="AF444" s="401"/>
      <c r="AG444" s="401">
        <f t="shared" si="27"/>
        <v>0</v>
      </c>
      <c r="AH444" s="401">
        <f t="shared" si="28"/>
        <v>0</v>
      </c>
      <c r="AI444" s="401">
        <f t="shared" si="29"/>
        <v>0</v>
      </c>
      <c r="AJ444" s="401">
        <f t="shared" si="30"/>
        <v>0</v>
      </c>
      <c r="AK444" s="401" t="str">
        <f t="shared" si="31"/>
        <v/>
      </c>
      <c r="AL444" s="402">
        <f t="shared" ca="1" si="32"/>
        <v>4</v>
      </c>
      <c r="AM444" s="402">
        <f t="shared" ca="1" si="33"/>
        <v>0</v>
      </c>
      <c r="AN444" s="402">
        <f t="shared" ca="1" si="34"/>
        <v>0</v>
      </c>
      <c r="AO444" s="402">
        <f t="shared" ca="1" si="35"/>
        <v>0</v>
      </c>
      <c r="AP444" s="402">
        <f t="shared" ca="1" si="36"/>
        <v>0</v>
      </c>
      <c r="AQ444" s="402">
        <f t="shared" ca="1" si="37"/>
        <v>0</v>
      </c>
      <c r="AR444" s="402">
        <f t="shared" ca="1" si="38"/>
        <v>0</v>
      </c>
      <c r="AS444" s="403"/>
      <c r="AT444" s="402">
        <f t="shared" si="39"/>
        <v>1</v>
      </c>
    </row>
    <row r="445" spans="1:46" ht="15.75" customHeight="1">
      <c r="A445" s="436"/>
      <c r="B445" s="383">
        <f t="shared" ca="1" si="20"/>
        <v>4</v>
      </c>
      <c r="C445" s="384">
        <f t="shared" ca="1" si="21"/>
        <v>1</v>
      </c>
      <c r="D445" s="384" t="str">
        <f t="shared" ca="1" si="22"/>
        <v/>
      </c>
      <c r="E445" s="384" t="str">
        <f t="shared" ca="1" si="23"/>
        <v/>
      </c>
      <c r="F445" s="384" t="str">
        <f t="shared" ca="1" si="24"/>
        <v/>
      </c>
      <c r="G445" s="385" t="str">
        <f t="shared" ca="1" si="25"/>
        <v/>
      </c>
      <c r="H445" s="386" t="str">
        <f t="shared" ca="1" si="26"/>
        <v/>
      </c>
      <c r="I445" s="404"/>
      <c r="J445" s="405" t="s">
        <v>374</v>
      </c>
      <c r="K445" s="405"/>
      <c r="L445" s="405"/>
      <c r="M445" s="405"/>
      <c r="N445" s="405"/>
      <c r="O445" s="405"/>
      <c r="P445" s="405"/>
      <c r="Q445" s="406"/>
      <c r="R445" s="407"/>
      <c r="S445" s="408"/>
      <c r="T445" s="409"/>
      <c r="U445" s="410"/>
      <c r="V445" s="409"/>
      <c r="W445" s="411"/>
      <c r="X445" s="412"/>
      <c r="Y445" s="435"/>
      <c r="Z445" s="414"/>
      <c r="AA445" s="396"/>
      <c r="AB445" s="397"/>
      <c r="AC445" s="398"/>
      <c r="AD445" s="399"/>
      <c r="AE445" s="400"/>
      <c r="AF445" s="401"/>
      <c r="AG445" s="401">
        <f t="shared" si="27"/>
        <v>0</v>
      </c>
      <c r="AH445" s="401">
        <f t="shared" si="28"/>
        <v>0</v>
      </c>
      <c r="AI445" s="401">
        <f t="shared" si="29"/>
        <v>0</v>
      </c>
      <c r="AJ445" s="401">
        <f t="shared" si="30"/>
        <v>0</v>
      </c>
      <c r="AK445" s="401" t="str">
        <f t="shared" si="31"/>
        <v/>
      </c>
      <c r="AL445" s="402">
        <f t="shared" ca="1" si="32"/>
        <v>4</v>
      </c>
      <c r="AM445" s="402">
        <f t="shared" ca="1" si="33"/>
        <v>1</v>
      </c>
      <c r="AN445" s="402">
        <f t="shared" ca="1" si="34"/>
        <v>0</v>
      </c>
      <c r="AO445" s="402">
        <f t="shared" ca="1" si="35"/>
        <v>0</v>
      </c>
      <c r="AP445" s="402">
        <f t="shared" ca="1" si="36"/>
        <v>0</v>
      </c>
      <c r="AQ445" s="402">
        <f t="shared" ca="1" si="37"/>
        <v>0</v>
      </c>
      <c r="AR445" s="402">
        <f t="shared" ca="1" si="38"/>
        <v>0</v>
      </c>
      <c r="AS445" s="403"/>
      <c r="AT445" s="402">
        <f t="shared" si="39"/>
        <v>1</v>
      </c>
    </row>
    <row r="446" spans="1:46" ht="15.75" customHeight="1">
      <c r="A446" s="436"/>
      <c r="B446" s="383">
        <f t="shared" ca="1" si="20"/>
        <v>4</v>
      </c>
      <c r="C446" s="384">
        <f t="shared" ca="1" si="21"/>
        <v>1</v>
      </c>
      <c r="D446" s="384">
        <f t="shared" ca="1" si="22"/>
        <v>1</v>
      </c>
      <c r="E446" s="384" t="str">
        <f t="shared" ca="1" si="23"/>
        <v/>
      </c>
      <c r="F446" s="384" t="str">
        <f t="shared" ca="1" si="24"/>
        <v/>
      </c>
      <c r="G446" s="385" t="str">
        <f t="shared" ca="1" si="25"/>
        <v/>
      </c>
      <c r="H446" s="386" t="str">
        <f t="shared" ca="1" si="26"/>
        <v/>
      </c>
      <c r="I446" s="404"/>
      <c r="J446" s="415"/>
      <c r="K446" s="428" t="s">
        <v>375</v>
      </c>
      <c r="L446" s="428"/>
      <c r="M446" s="428"/>
      <c r="N446" s="428"/>
      <c r="O446" s="428"/>
      <c r="P446" s="428"/>
      <c r="Q446" s="429"/>
      <c r="R446" s="417" t="s">
        <v>376</v>
      </c>
      <c r="S446" s="418">
        <v>45810</v>
      </c>
      <c r="T446" s="419">
        <v>45821</v>
      </c>
      <c r="U446" s="418">
        <v>45810</v>
      </c>
      <c r="V446" s="419">
        <v>45821</v>
      </c>
      <c r="W446" s="430">
        <v>1</v>
      </c>
      <c r="X446" s="431">
        <v>1</v>
      </c>
      <c r="Y446" s="432"/>
      <c r="Z446" s="433"/>
      <c r="AA446" s="396"/>
      <c r="AB446" s="397"/>
      <c r="AC446" s="398"/>
      <c r="AD446" s="399"/>
      <c r="AE446" s="400"/>
      <c r="AF446" s="401"/>
      <c r="AG446" s="401">
        <f t="shared" ca="1" si="27"/>
        <v>0</v>
      </c>
      <c r="AH446" s="401">
        <f t="shared" ca="1" si="28"/>
        <v>0</v>
      </c>
      <c r="AI446" s="401">
        <f t="shared" si="29"/>
        <v>0</v>
      </c>
      <c r="AJ446" s="401">
        <f t="shared" ca="1" si="30"/>
        <v>0</v>
      </c>
      <c r="AK446" s="401" t="str">
        <f t="shared" ca="1" si="31"/>
        <v/>
      </c>
      <c r="AL446" s="402">
        <f t="shared" ca="1" si="32"/>
        <v>4</v>
      </c>
      <c r="AM446" s="402">
        <f t="shared" ca="1" si="33"/>
        <v>1</v>
      </c>
      <c r="AN446" s="402">
        <f t="shared" ca="1" si="34"/>
        <v>1</v>
      </c>
      <c r="AO446" s="402">
        <f t="shared" ca="1" si="35"/>
        <v>0</v>
      </c>
      <c r="AP446" s="402">
        <f t="shared" ca="1" si="36"/>
        <v>0</v>
      </c>
      <c r="AQ446" s="402">
        <f t="shared" ca="1" si="37"/>
        <v>0</v>
      </c>
      <c r="AR446" s="402">
        <f t="shared" ca="1" si="38"/>
        <v>0</v>
      </c>
      <c r="AS446" s="403"/>
      <c r="AT446" s="402">
        <f t="shared" si="39"/>
        <v>12</v>
      </c>
    </row>
    <row r="447" spans="1:46" ht="15.75" customHeight="1">
      <c r="A447" s="436"/>
      <c r="B447" s="383">
        <f t="shared" ca="1" si="20"/>
        <v>4</v>
      </c>
      <c r="C447" s="384">
        <f t="shared" ca="1" si="21"/>
        <v>1</v>
      </c>
      <c r="D447" s="384">
        <f t="shared" ca="1" si="22"/>
        <v>2</v>
      </c>
      <c r="E447" s="384" t="str">
        <f t="shared" ca="1" si="23"/>
        <v/>
      </c>
      <c r="F447" s="384" t="str">
        <f t="shared" ca="1" si="24"/>
        <v/>
      </c>
      <c r="G447" s="385" t="str">
        <f t="shared" ca="1" si="25"/>
        <v/>
      </c>
      <c r="H447" s="386" t="str">
        <f t="shared" ca="1" si="26"/>
        <v/>
      </c>
      <c r="I447" s="404"/>
      <c r="J447" s="415"/>
      <c r="K447" s="428" t="s">
        <v>377</v>
      </c>
      <c r="L447" s="428"/>
      <c r="M447" s="428"/>
      <c r="N447" s="428"/>
      <c r="O447" s="428"/>
      <c r="P447" s="428"/>
      <c r="Q447" s="429"/>
      <c r="R447" s="417" t="s">
        <v>376</v>
      </c>
      <c r="S447" s="418">
        <v>45824</v>
      </c>
      <c r="T447" s="419">
        <v>45834</v>
      </c>
      <c r="U447" s="418"/>
      <c r="V447" s="419"/>
      <c r="W447" s="430">
        <v>0</v>
      </c>
      <c r="X447" s="431"/>
      <c r="Y447" s="432"/>
      <c r="Z447" s="433"/>
      <c r="AA447" s="396"/>
      <c r="AB447" s="397"/>
      <c r="AC447" s="398"/>
      <c r="AD447" s="399"/>
      <c r="AE447" s="400"/>
      <c r="AF447" s="401"/>
      <c r="AG447" s="401">
        <f t="shared" ca="1" si="27"/>
        <v>0</v>
      </c>
      <c r="AH447" s="401">
        <f t="shared" ca="1" si="28"/>
        <v>0</v>
      </c>
      <c r="AI447" s="401">
        <f t="shared" si="29"/>
        <v>0</v>
      </c>
      <c r="AJ447" s="401">
        <f t="shared" ca="1" si="30"/>
        <v>0</v>
      </c>
      <c r="AK447" s="401" t="str">
        <f t="shared" ca="1" si="31"/>
        <v/>
      </c>
      <c r="AL447" s="402">
        <f t="shared" ca="1" si="32"/>
        <v>4</v>
      </c>
      <c r="AM447" s="402">
        <f t="shared" ca="1" si="33"/>
        <v>1</v>
      </c>
      <c r="AN447" s="402">
        <f t="shared" ca="1" si="34"/>
        <v>2</v>
      </c>
      <c r="AO447" s="402">
        <f t="shared" ca="1" si="35"/>
        <v>0</v>
      </c>
      <c r="AP447" s="402">
        <f t="shared" ca="1" si="36"/>
        <v>0</v>
      </c>
      <c r="AQ447" s="402">
        <f t="shared" ca="1" si="37"/>
        <v>0</v>
      </c>
      <c r="AR447" s="402">
        <f t="shared" ca="1" si="38"/>
        <v>0</v>
      </c>
      <c r="AS447" s="403"/>
      <c r="AT447" s="402">
        <f t="shared" si="39"/>
        <v>11</v>
      </c>
    </row>
    <row r="448" spans="1:46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</sheetData>
  <autoFilter ref="A5:AT447" xr:uid="{00000000-0009-0000-0000-000000000000}"/>
  <mergeCells count="8">
    <mergeCell ref="AB4:AC4"/>
    <mergeCell ref="AF4:AH4"/>
    <mergeCell ref="A1:V2"/>
    <mergeCell ref="B4:H4"/>
    <mergeCell ref="I4:O4"/>
    <mergeCell ref="S4:T4"/>
    <mergeCell ref="U4:V4"/>
    <mergeCell ref="W4:X4"/>
  </mergeCells>
  <phoneticPr fontId="1"/>
  <conditionalFormatting sqref="I6:N6">
    <cfRule type="expression" dxfId="16" priority="2" stopIfTrue="1">
      <formula>IF(I6&lt;&gt;"",IF(#REF!=100%,TRUE,FALSE))</formula>
    </cfRule>
  </conditionalFormatting>
  <conditionalFormatting sqref="I11:N11">
    <cfRule type="expression" dxfId="15" priority="3" stopIfTrue="1">
      <formula>IF(I11&lt;&gt;"",IF(#REF!=100%,TRUE,FALSE))</formula>
    </cfRule>
  </conditionalFormatting>
  <conditionalFormatting sqref="I16:N16">
    <cfRule type="expression" dxfId="14" priority="4" stopIfTrue="1">
      <formula>IF(I16&lt;&gt;"",IF(#REF!=100%,TRUE,FALSE))</formula>
    </cfRule>
  </conditionalFormatting>
  <conditionalFormatting sqref="I444:N444">
    <cfRule type="expression" dxfId="13" priority="5" stopIfTrue="1">
      <formula>IF(I444&lt;&gt;"",IF(#REF!=100%,TRUE,FALSE))</formula>
    </cfRule>
  </conditionalFormatting>
  <conditionalFormatting sqref="S8:S10 S13:S15 S18:S323 S325:S436 S438:S440 S442:S443 S446:S447">
    <cfRule type="expression" dxfId="12" priority="6">
      <formula>AND(NOT(ISBLANK(S8)), NOT(ISBLANK(T8)), ISBLANK(U8), S8&lt;=TODAY())</formula>
    </cfRule>
  </conditionalFormatting>
  <conditionalFormatting sqref="T8:T10 T13:T15 T18:T323 T325:T436 T438:T440 T442:T443 T446:T447">
    <cfRule type="expression" dxfId="11" priority="7">
      <formula>AND(NOT(ISBLANK(S8)), NOT(ISBLANK(T8)), ISBLANK(V8), T8&lt;=TODAY())</formula>
    </cfRule>
  </conditionalFormatting>
  <conditionalFormatting sqref="U5:V1048576">
    <cfRule type="expression" dxfId="10" priority="1">
      <formula>AND(S5&lt;&gt;"",U5="",S5&lt;=$Z$1)</formula>
    </cfRule>
  </conditionalFormatting>
  <dataValidations count="1">
    <dataValidation type="list" allowBlank="1" showErrorMessage="1" sqref="AE6:AE447" xr:uid="{5551563E-103A-4CEE-8A63-EC280C690EE7}">
      <formula1>"RD,ED,ID,M/UT,ITa,Itb,ST,UAT,Other"</formula1>
    </dataValidation>
  </dataValidations>
  <pageMargins left="0.23622047244094491" right="0.11811023622047245" top="0.39" bottom="0.32" header="0" footer="0"/>
  <pageSetup paperSize="9" fitToHeight="0"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8DC8F-E7C4-4610-A63C-607CE1E7DEE4}">
  <sheetPr codeName="Sheet13">
    <tabColor rgb="FFF2F2F2"/>
    <pageSetUpPr fitToPage="1"/>
  </sheetPr>
  <dimension ref="A1:AT1000"/>
  <sheetViews>
    <sheetView showGridLines="0" workbookViewId="0">
      <pane ySplit="5" topLeftCell="A6" activePane="bottomLeft" state="frozen"/>
      <selection pane="bottomLeft" activeCell="U5" sqref="U5:V1048576"/>
    </sheetView>
  </sheetViews>
  <sheetFormatPr defaultColWidth="11.35546875" defaultRowHeight="15" customHeight="1"/>
  <cols>
    <col min="1" max="1" width="2.35546875" style="444" customWidth="1"/>
    <col min="2" max="2" width="3.140625" style="444" customWidth="1"/>
    <col min="3" max="3" width="3.5" style="444" customWidth="1"/>
    <col min="4" max="5" width="2.2109375" style="444" customWidth="1"/>
    <col min="6" max="8" width="2" style="444" customWidth="1"/>
    <col min="9" max="12" width="2.42578125" style="444" customWidth="1"/>
    <col min="13" max="15" width="2.35546875" style="444" customWidth="1"/>
    <col min="16" max="16" width="31" style="444" customWidth="1"/>
    <col min="17" max="17" width="6.92578125" style="444" customWidth="1"/>
    <col min="18" max="18" width="9.85546875" style="444" customWidth="1"/>
    <col min="19" max="22" width="10.0703125" style="444" customWidth="1"/>
    <col min="23" max="24" width="7.92578125" style="444" customWidth="1"/>
    <col min="25" max="25" width="5.5703125" style="444" customWidth="1"/>
    <col min="26" max="26" width="24.7109375" style="444" customWidth="1"/>
    <col min="27" max="27" width="20.85546875" style="444" customWidth="1"/>
    <col min="28" max="29" width="6.92578125" style="444" customWidth="1"/>
    <col min="30" max="30" width="13.78515625" style="444" customWidth="1"/>
    <col min="31" max="31" width="4.35546875" style="444" customWidth="1"/>
    <col min="32" max="34" width="7.7109375" style="444" customWidth="1"/>
    <col min="35" max="37" width="8.5" style="444" customWidth="1"/>
    <col min="38" max="46" width="7.0703125" style="444" customWidth="1"/>
    <col min="47" max="16384" width="11.35546875" style="444"/>
  </cols>
  <sheetData>
    <row r="1" spans="1:46" ht="25.5">
      <c r="A1" s="613" t="s">
        <v>233</v>
      </c>
      <c r="B1" s="614"/>
      <c r="C1" s="614"/>
      <c r="D1" s="614"/>
      <c r="E1" s="614"/>
      <c r="F1" s="614"/>
      <c r="G1" s="614"/>
      <c r="H1" s="614"/>
      <c r="I1" s="614"/>
      <c r="J1" s="614"/>
      <c r="K1" s="614"/>
      <c r="L1" s="614"/>
      <c r="M1" s="614"/>
      <c r="N1" s="614"/>
      <c r="O1" s="614"/>
      <c r="P1" s="614"/>
      <c r="Q1" s="614"/>
      <c r="R1" s="614"/>
      <c r="S1" s="614"/>
      <c r="T1" s="614"/>
      <c r="U1" s="614"/>
      <c r="V1" s="615"/>
      <c r="W1" s="437" t="s">
        <v>26</v>
      </c>
      <c r="X1" s="438"/>
      <c r="Y1" s="439" t="s">
        <v>27</v>
      </c>
      <c r="Z1" s="440">
        <f ca="1">Report_Day</f>
        <v>45821</v>
      </c>
      <c r="AA1" s="441">
        <f ca="1">Z1+7</f>
        <v>45828</v>
      </c>
      <c r="AB1" s="442"/>
      <c r="AC1" s="442"/>
      <c r="AD1" s="442"/>
      <c r="AE1" s="442"/>
      <c r="AF1" s="442"/>
      <c r="AG1" s="443"/>
      <c r="AH1" s="443"/>
      <c r="AI1" s="443"/>
      <c r="AJ1" s="443"/>
      <c r="AK1" s="443"/>
      <c r="AL1" s="442"/>
      <c r="AM1" s="442"/>
      <c r="AN1" s="442"/>
      <c r="AO1" s="442"/>
      <c r="AP1" s="442"/>
      <c r="AQ1" s="442"/>
      <c r="AR1" s="442"/>
      <c r="AS1" s="442"/>
      <c r="AT1" s="442"/>
    </row>
    <row r="2" spans="1:46" ht="26" thickBot="1">
      <c r="A2" s="616"/>
      <c r="B2" s="617"/>
      <c r="C2" s="617"/>
      <c r="D2" s="617"/>
      <c r="E2" s="617"/>
      <c r="F2" s="617"/>
      <c r="G2" s="617"/>
      <c r="H2" s="617"/>
      <c r="I2" s="617"/>
      <c r="J2" s="617"/>
      <c r="K2" s="617"/>
      <c r="L2" s="617"/>
      <c r="M2" s="617"/>
      <c r="N2" s="617"/>
      <c r="O2" s="617"/>
      <c r="P2" s="617"/>
      <c r="Q2" s="617"/>
      <c r="R2" s="617"/>
      <c r="S2" s="617"/>
      <c r="T2" s="617"/>
      <c r="U2" s="617"/>
      <c r="V2" s="618"/>
      <c r="W2" s="445" t="s">
        <v>28</v>
      </c>
      <c r="X2" s="446" t="s">
        <v>29</v>
      </c>
      <c r="Y2" s="447" t="s">
        <v>30</v>
      </c>
      <c r="Z2" s="448">
        <f ca="1">Report_Day</f>
        <v>45821</v>
      </c>
      <c r="AA2" s="443"/>
      <c r="AB2" s="449"/>
      <c r="AC2" s="449"/>
      <c r="AD2" s="449"/>
      <c r="AE2" s="449"/>
      <c r="AF2" s="443"/>
      <c r="AG2" s="443"/>
      <c r="AH2" s="443"/>
      <c r="AI2" s="443"/>
      <c r="AJ2" s="443"/>
      <c r="AK2" s="443"/>
      <c r="AL2" s="449"/>
      <c r="AM2" s="449"/>
      <c r="AN2" s="449"/>
      <c r="AO2" s="449"/>
      <c r="AP2" s="449"/>
      <c r="AQ2" s="449"/>
      <c r="AR2" s="449"/>
      <c r="AS2" s="449"/>
      <c r="AT2" s="449"/>
    </row>
    <row r="3" spans="1:46" ht="18.5">
      <c r="A3" s="450"/>
      <c r="B3" s="449"/>
      <c r="C3" s="449"/>
      <c r="D3" s="449"/>
      <c r="E3" s="449"/>
      <c r="F3" s="449"/>
      <c r="G3" s="449"/>
      <c r="H3" s="449"/>
      <c r="I3" s="449"/>
      <c r="J3" s="449"/>
      <c r="K3" s="449"/>
      <c r="L3" s="451"/>
      <c r="M3" s="451"/>
      <c r="N3" s="451"/>
      <c r="O3" s="451"/>
      <c r="P3" s="449"/>
      <c r="Q3" s="449"/>
      <c r="R3" s="452"/>
      <c r="S3" s="449"/>
      <c r="T3" s="449"/>
      <c r="U3" s="449"/>
      <c r="V3" s="449"/>
      <c r="W3" s="449"/>
      <c r="X3" s="453"/>
      <c r="Y3" s="453"/>
      <c r="Z3" s="454"/>
      <c r="AA3" s="455"/>
      <c r="AB3" s="456"/>
      <c r="AC3" s="456"/>
      <c r="AD3" s="449"/>
      <c r="AE3" s="449"/>
      <c r="AF3" s="455"/>
      <c r="AG3" s="455"/>
      <c r="AH3" s="455"/>
      <c r="AI3" s="455"/>
      <c r="AJ3" s="455"/>
      <c r="AK3" s="455"/>
      <c r="AL3" s="449"/>
      <c r="AM3" s="449"/>
      <c r="AN3" s="449"/>
      <c r="AO3" s="449"/>
      <c r="AP3" s="449"/>
      <c r="AQ3" s="449"/>
      <c r="AR3" s="449"/>
      <c r="AS3" s="449"/>
      <c r="AT3" s="449"/>
    </row>
    <row r="4" spans="1:46" ht="18">
      <c r="A4" s="457"/>
      <c r="B4" s="619" t="s">
        <v>31</v>
      </c>
      <c r="C4" s="620"/>
      <c r="D4" s="620"/>
      <c r="E4" s="620"/>
      <c r="F4" s="620"/>
      <c r="G4" s="620"/>
      <c r="H4" s="620"/>
      <c r="I4" s="619" t="s">
        <v>32</v>
      </c>
      <c r="J4" s="620"/>
      <c r="K4" s="620"/>
      <c r="L4" s="620"/>
      <c r="M4" s="620"/>
      <c r="N4" s="620"/>
      <c r="O4" s="620"/>
      <c r="P4" s="458"/>
      <c r="Q4" s="459" t="s">
        <v>33</v>
      </c>
      <c r="R4" s="460" t="s">
        <v>34</v>
      </c>
      <c r="S4" s="621" t="s">
        <v>35</v>
      </c>
      <c r="T4" s="622"/>
      <c r="U4" s="621" t="s">
        <v>36</v>
      </c>
      <c r="V4" s="622"/>
      <c r="W4" s="609" t="s">
        <v>37</v>
      </c>
      <c r="X4" s="610"/>
      <c r="Y4" s="461" t="s">
        <v>38</v>
      </c>
      <c r="Z4" s="462"/>
      <c r="AA4" s="463" t="s">
        <v>39</v>
      </c>
      <c r="AB4" s="609" t="s">
        <v>37</v>
      </c>
      <c r="AC4" s="610"/>
      <c r="AD4" s="464" t="s">
        <v>40</v>
      </c>
      <c r="AE4" s="464" t="s">
        <v>41</v>
      </c>
      <c r="AF4" s="611" t="s">
        <v>42</v>
      </c>
      <c r="AG4" s="612"/>
      <c r="AH4" s="610"/>
      <c r="AI4" s="465" t="s">
        <v>43</v>
      </c>
      <c r="AJ4" s="465" t="s">
        <v>44</v>
      </c>
      <c r="AK4" s="465" t="s">
        <v>45</v>
      </c>
      <c r="AL4" s="466"/>
      <c r="AM4" s="466"/>
      <c r="AN4" s="466"/>
      <c r="AO4" s="466"/>
      <c r="AP4" s="466"/>
      <c r="AQ4" s="466"/>
      <c r="AR4" s="466"/>
      <c r="AS4" s="466"/>
      <c r="AT4" s="466"/>
    </row>
    <row r="5" spans="1:46" ht="18">
      <c r="A5" s="467"/>
      <c r="B5" s="468"/>
      <c r="C5" s="469"/>
      <c r="D5" s="469"/>
      <c r="E5" s="469"/>
      <c r="F5" s="469"/>
      <c r="G5" s="469"/>
      <c r="H5" s="469"/>
      <c r="I5" s="468"/>
      <c r="J5" s="469"/>
      <c r="K5" s="469"/>
      <c r="L5" s="469"/>
      <c r="M5" s="469"/>
      <c r="N5" s="469"/>
      <c r="O5" s="469"/>
      <c r="P5" s="470" t="s">
        <v>46</v>
      </c>
      <c r="Q5" s="471" t="s">
        <v>47</v>
      </c>
      <c r="R5" s="472"/>
      <c r="S5" s="473" t="s">
        <v>48</v>
      </c>
      <c r="T5" s="474" t="s">
        <v>49</v>
      </c>
      <c r="U5" s="473" t="s">
        <v>48</v>
      </c>
      <c r="V5" s="474" t="s">
        <v>49</v>
      </c>
      <c r="W5" s="475" t="s">
        <v>50</v>
      </c>
      <c r="X5" s="476" t="s">
        <v>36</v>
      </c>
      <c r="Y5" s="477" t="s">
        <v>51</v>
      </c>
      <c r="Z5" s="478"/>
      <c r="AA5" s="479"/>
      <c r="AB5" s="480" t="s">
        <v>52</v>
      </c>
      <c r="AC5" s="481" t="s">
        <v>53</v>
      </c>
      <c r="AD5" s="482"/>
      <c r="AE5" s="482"/>
      <c r="AF5" s="483" t="s">
        <v>33</v>
      </c>
      <c r="AG5" s="484" t="s">
        <v>54</v>
      </c>
      <c r="AH5" s="484" t="s">
        <v>55</v>
      </c>
      <c r="AI5" s="482"/>
      <c r="AJ5" s="482"/>
      <c r="AK5" s="482"/>
      <c r="AL5" s="466"/>
      <c r="AM5" s="466"/>
      <c r="AN5" s="466"/>
      <c r="AO5" s="466"/>
      <c r="AP5" s="466"/>
      <c r="AQ5" s="466"/>
      <c r="AR5" s="466"/>
      <c r="AS5" s="466"/>
      <c r="AT5" s="466"/>
    </row>
    <row r="6" spans="1:46" ht="18">
      <c r="A6" s="485"/>
      <c r="B6" s="486">
        <f t="shared" ref="B6:B195" ca="1" si="0">IF(AND(I6="",J6="",K6="",L6="",M6="",N6="",O6=""),"",IF(AL6=0,"",AL6))</f>
        <v>1</v>
      </c>
      <c r="C6" s="487" t="str">
        <f t="shared" ref="C6:C195" ca="1" si="1">IF(AND(I6="",J6="",K6="",L6="",M6="",N6="",O6=""),"",IF(AM6=0,"",AM6))</f>
        <v/>
      </c>
      <c r="D6" s="487" t="str">
        <f t="shared" ref="D6:D195" ca="1" si="2">IF(AND(I6="",J6="",K6="",L6="",M6="",N6="",O6=""),"",IF(AN6=0,"",AN6))</f>
        <v/>
      </c>
      <c r="E6" s="487" t="str">
        <f t="shared" ref="E6:E195" ca="1" si="3">IF(AND(I6="",J6="",K6="",L6="",M6="",N6="",O6=""),"",IF(AO6=0,"",AO6))</f>
        <v/>
      </c>
      <c r="F6" s="487" t="str">
        <f t="shared" ref="F6:F195" ca="1" si="4">IF(AND(I6="",J6="",K6="",L6="",M6="",N6="",O6=""),"",IF(AP6=0,"",AP6))</f>
        <v/>
      </c>
      <c r="G6" s="488" t="str">
        <f t="shared" ref="G6:G195" ca="1" si="5">IF(AND(I6="",J6="",K6="",L6="",M6="",N6="",O6=""),"",IF(AQ6=0,"",AQ6))</f>
        <v/>
      </c>
      <c r="H6" s="489" t="str">
        <f t="shared" ref="H6:H195" ca="1" si="6">IF(AND(I6="",J6="",K6="",L6="",M6="",N6="",O6=""),"",IF(AR6=0,"",AR6))</f>
        <v/>
      </c>
      <c r="I6" s="490" t="s">
        <v>234</v>
      </c>
      <c r="J6" s="491"/>
      <c r="K6" s="491"/>
      <c r="L6" s="492"/>
      <c r="M6" s="491"/>
      <c r="N6" s="491"/>
      <c r="O6" s="491"/>
      <c r="P6" s="491"/>
      <c r="Q6" s="493"/>
      <c r="R6" s="494"/>
      <c r="S6" s="495"/>
      <c r="T6" s="496"/>
      <c r="U6" s="495"/>
      <c r="V6" s="496"/>
      <c r="W6" s="497"/>
      <c r="X6" s="498"/>
      <c r="Y6" s="499"/>
      <c r="Z6" s="500"/>
      <c r="AA6" s="501"/>
      <c r="AB6" s="502"/>
      <c r="AC6" s="503"/>
      <c r="AD6" s="504"/>
      <c r="AE6" s="505"/>
      <c r="AF6" s="506"/>
      <c r="AG6" s="506">
        <f t="shared" ref="AG6:AG195" si="7">IF(T6&lt;&gt;"",IF(Z$1&gt;=T6,IF(S6&lt;&gt;"",IF(T6&gt;=S6,AF6,0),0),IF(S6&lt;&gt;"",IF(Z$1&gt;=S6,AF6*0.25,0),0)),IF(S6&lt;&gt;"",IF(Z$1&gt;=S6,AF6*0.25,0),0))</f>
        <v>0</v>
      </c>
      <c r="AH6" s="506">
        <f t="shared" ref="AH6:AH195" si="8">IF(T6&lt;&gt;"",IF(AA$1&gt;=T6,IF(S6&lt;&gt;"",IF(T6&gt;=S6,AF6,0),0),IF(S6&lt;&gt;"",IF(AA$1&gt;=S6,AF6*0.25,0),0)),IF(S6&lt;&gt;"",IF(AA$1&gt;=S6,AF6*0.25,0),0))</f>
        <v>0</v>
      </c>
      <c r="AI6" s="506">
        <f t="shared" ref="AI6:AI195" si="9">IF(V6&lt;&gt;"",AF6,IF(U6&lt;&gt;"",AF6*0.25,0))</f>
        <v>0</v>
      </c>
      <c r="AJ6" s="506">
        <f t="shared" ref="AJ6:AJ195" si="10">AI6-AG6</f>
        <v>0</v>
      </c>
      <c r="AK6" s="506" t="str">
        <f t="shared" ref="AK6:AK195" si="11">IF(ISERROR(AI6/AG6),"",AI6/AG6)</f>
        <v/>
      </c>
      <c r="AL6" s="507">
        <f t="shared" ref="AL6:AL195" ca="1" si="12">IF(I6="",OFFSET(AL6,-1,0),OFFSET(AL6,-1,0)+1)</f>
        <v>1</v>
      </c>
      <c r="AM6" s="507">
        <f t="shared" ref="AM6:AM195" ca="1" si="13">IF(I6&lt;&gt;"",0,IF(J6="",OFFSET(AM6,-1,0),OFFSET(AM6,-1,0)+1))</f>
        <v>0</v>
      </c>
      <c r="AN6" s="507">
        <f t="shared" ref="AN6:AN195" ca="1" si="14">IF(I6&lt;&gt;"",0,IF(J6&lt;&gt;"",0,IF(K6="",OFFSET(AN6,-1,0),OFFSET(AN6,-1,0)+1)))</f>
        <v>0</v>
      </c>
      <c r="AO6" s="507">
        <f t="shared" ref="AO6:AO195" ca="1" si="15">IF(I6&lt;&gt;"",0,IF(J6&lt;&gt;"",0,IF(K6&lt;&gt;"",0,IF(L6="",OFFSET(AO6,-1,0),OFFSET(AO6,-1,0)+1))))</f>
        <v>0</v>
      </c>
      <c r="AP6" s="507">
        <f t="shared" ref="AP6:AP195" ca="1" si="16">IF(I6&lt;&gt;"",0,IF(J6&lt;&gt;"",0,IF(K6&lt;&gt;"",0,IF(L6&lt;&gt;"",0,IF(M6="",OFFSET(AP6,-1,0),OFFSET(AP6,-1,0)+1)))))</f>
        <v>0</v>
      </c>
      <c r="AQ6" s="507">
        <f t="shared" ref="AQ6:AQ195" ca="1" si="17">IF(I6&lt;&gt;"",0,IF(J6&lt;&gt;"",0,IF(K6&lt;&gt;"",0,IF(L6&lt;&gt;"",0,IF(M6&lt;&gt;"",0,IF(N6="",OFFSET(AQ6,-1,0),OFFSET(AQ6,-1,0)+1))))))</f>
        <v>0</v>
      </c>
      <c r="AR6" s="507">
        <f t="shared" ref="AR6:AR195" ca="1" si="18">IF(I6&lt;&gt;"",0,IF(J6&lt;&gt;"",0,IF(K6&lt;&gt;"",0,IF(L6&lt;&gt;"",0,IF(M6&lt;&gt;"",0,IF(N6&lt;&gt;"",0,IF(O6="",OFFSET(AR6,-1,0),OFFSET(AR6,-1,0)+1)))))))</f>
        <v>0</v>
      </c>
      <c r="AS6" s="508"/>
      <c r="AT6" s="507">
        <f t="shared" ref="AT6:AT195" si="19">IF(((T6-S6)+1)&lt;0,0,((T6-S6)+1))</f>
        <v>1</v>
      </c>
    </row>
    <row r="7" spans="1:46" ht="18">
      <c r="A7" s="485"/>
      <c r="B7" s="486">
        <f t="shared" ca="1" si="0"/>
        <v>1</v>
      </c>
      <c r="C7" s="487">
        <f t="shared" ca="1" si="1"/>
        <v>1</v>
      </c>
      <c r="D7" s="487" t="str">
        <f t="shared" ca="1" si="2"/>
        <v/>
      </c>
      <c r="E7" s="487" t="str">
        <f t="shared" ca="1" si="3"/>
        <v/>
      </c>
      <c r="F7" s="487" t="str">
        <f t="shared" ca="1" si="4"/>
        <v/>
      </c>
      <c r="G7" s="488" t="str">
        <f t="shared" ca="1" si="5"/>
        <v/>
      </c>
      <c r="H7" s="489" t="str">
        <f t="shared" ca="1" si="6"/>
        <v/>
      </c>
      <c r="I7" s="509"/>
      <c r="J7" s="510" t="s">
        <v>235</v>
      </c>
      <c r="K7" s="511"/>
      <c r="L7" s="511"/>
      <c r="M7" s="511"/>
      <c r="N7" s="511"/>
      <c r="O7" s="511"/>
      <c r="P7" s="511"/>
      <c r="Q7" s="512" t="s">
        <v>81</v>
      </c>
      <c r="R7" s="513"/>
      <c r="S7" s="514"/>
      <c r="T7" s="515"/>
      <c r="U7" s="516"/>
      <c r="V7" s="515"/>
      <c r="W7" s="517"/>
      <c r="X7" s="518"/>
      <c r="Y7" s="519"/>
      <c r="Z7" s="520"/>
      <c r="AA7" s="501"/>
      <c r="AB7" s="502"/>
      <c r="AC7" s="503"/>
      <c r="AD7" s="504"/>
      <c r="AE7" s="505"/>
      <c r="AF7" s="506"/>
      <c r="AG7" s="506">
        <f t="shared" si="7"/>
        <v>0</v>
      </c>
      <c r="AH7" s="506">
        <f t="shared" si="8"/>
        <v>0</v>
      </c>
      <c r="AI7" s="506">
        <f t="shared" si="9"/>
        <v>0</v>
      </c>
      <c r="AJ7" s="506">
        <f t="shared" si="10"/>
        <v>0</v>
      </c>
      <c r="AK7" s="506" t="str">
        <f t="shared" si="11"/>
        <v/>
      </c>
      <c r="AL7" s="507">
        <f t="shared" ca="1" si="12"/>
        <v>1</v>
      </c>
      <c r="AM7" s="507">
        <f t="shared" ca="1" si="13"/>
        <v>1</v>
      </c>
      <c r="AN7" s="507">
        <f t="shared" ca="1" si="14"/>
        <v>0</v>
      </c>
      <c r="AO7" s="507">
        <f t="shared" ca="1" si="15"/>
        <v>0</v>
      </c>
      <c r="AP7" s="507">
        <f t="shared" ca="1" si="16"/>
        <v>0</v>
      </c>
      <c r="AQ7" s="507">
        <f t="shared" ca="1" si="17"/>
        <v>0</v>
      </c>
      <c r="AR7" s="507">
        <f t="shared" ca="1" si="18"/>
        <v>0</v>
      </c>
      <c r="AS7" s="508"/>
      <c r="AT7" s="507">
        <f t="shared" si="19"/>
        <v>1</v>
      </c>
    </row>
    <row r="8" spans="1:46" ht="16.5" customHeight="1">
      <c r="A8" s="485"/>
      <c r="B8" s="486">
        <f t="shared" ca="1" si="0"/>
        <v>1</v>
      </c>
      <c r="C8" s="487">
        <f t="shared" ca="1" si="1"/>
        <v>1</v>
      </c>
      <c r="D8" s="487">
        <f t="shared" ca="1" si="2"/>
        <v>1</v>
      </c>
      <c r="E8" s="487" t="str">
        <f t="shared" ca="1" si="3"/>
        <v/>
      </c>
      <c r="F8" s="487" t="str">
        <f t="shared" ca="1" si="4"/>
        <v/>
      </c>
      <c r="G8" s="488" t="str">
        <f t="shared" ca="1" si="5"/>
        <v/>
      </c>
      <c r="H8" s="489" t="str">
        <f t="shared" ca="1" si="6"/>
        <v/>
      </c>
      <c r="I8" s="509"/>
      <c r="J8" s="521"/>
      <c r="K8" s="522" t="s">
        <v>59</v>
      </c>
      <c r="L8" s="522"/>
      <c r="M8" s="522"/>
      <c r="N8" s="522"/>
      <c r="O8" s="522"/>
      <c r="P8" s="522"/>
      <c r="Q8" s="523"/>
      <c r="R8" s="524"/>
      <c r="S8" s="525"/>
      <c r="T8" s="526"/>
      <c r="U8" s="527"/>
      <c r="V8" s="528"/>
      <c r="W8" s="529"/>
      <c r="X8" s="530"/>
      <c r="Y8" s="531" t="s">
        <v>236</v>
      </c>
      <c r="Z8" s="532"/>
      <c r="AA8" s="501"/>
      <c r="AB8" s="502"/>
      <c r="AC8" s="503"/>
      <c r="AD8" s="504"/>
      <c r="AE8" s="505"/>
      <c r="AF8" s="506"/>
      <c r="AG8" s="506">
        <f t="shared" si="7"/>
        <v>0</v>
      </c>
      <c r="AH8" s="506">
        <f t="shared" si="8"/>
        <v>0</v>
      </c>
      <c r="AI8" s="506">
        <f t="shared" si="9"/>
        <v>0</v>
      </c>
      <c r="AJ8" s="506">
        <f t="shared" si="10"/>
        <v>0</v>
      </c>
      <c r="AK8" s="506" t="str">
        <f t="shared" si="11"/>
        <v/>
      </c>
      <c r="AL8" s="507">
        <f t="shared" ca="1" si="12"/>
        <v>1</v>
      </c>
      <c r="AM8" s="507">
        <f t="shared" ca="1" si="13"/>
        <v>1</v>
      </c>
      <c r="AN8" s="507">
        <f t="shared" ca="1" si="14"/>
        <v>1</v>
      </c>
      <c r="AO8" s="507">
        <f t="shared" ca="1" si="15"/>
        <v>0</v>
      </c>
      <c r="AP8" s="507">
        <f t="shared" ca="1" si="16"/>
        <v>0</v>
      </c>
      <c r="AQ8" s="507">
        <f t="shared" ca="1" si="17"/>
        <v>0</v>
      </c>
      <c r="AR8" s="507">
        <f t="shared" ca="1" si="18"/>
        <v>0</v>
      </c>
      <c r="AS8" s="508"/>
      <c r="AT8" s="507">
        <f t="shared" si="19"/>
        <v>1</v>
      </c>
    </row>
    <row r="9" spans="1:46" ht="18">
      <c r="A9" s="485"/>
      <c r="B9" s="486">
        <f t="shared" ca="1" si="0"/>
        <v>1</v>
      </c>
      <c r="C9" s="487">
        <f t="shared" ca="1" si="1"/>
        <v>1</v>
      </c>
      <c r="D9" s="487">
        <f t="shared" ca="1" si="2"/>
        <v>2</v>
      </c>
      <c r="E9" s="487" t="str">
        <f t="shared" ca="1" si="3"/>
        <v/>
      </c>
      <c r="F9" s="487" t="str">
        <f t="shared" ca="1" si="4"/>
        <v/>
      </c>
      <c r="G9" s="488" t="str">
        <f t="shared" ca="1" si="5"/>
        <v/>
      </c>
      <c r="H9" s="489" t="str">
        <f t="shared" ca="1" si="6"/>
        <v/>
      </c>
      <c r="I9" s="509"/>
      <c r="J9" s="521"/>
      <c r="K9" s="522" t="s">
        <v>145</v>
      </c>
      <c r="L9" s="522"/>
      <c r="M9" s="522"/>
      <c r="N9" s="522"/>
      <c r="O9" s="522"/>
      <c r="P9" s="522"/>
      <c r="Q9" s="523"/>
      <c r="R9" s="524"/>
      <c r="S9" s="525"/>
      <c r="T9" s="526"/>
      <c r="U9" s="527"/>
      <c r="V9" s="528"/>
      <c r="W9" s="529"/>
      <c r="X9" s="530"/>
      <c r="Y9" s="533"/>
      <c r="Z9" s="534"/>
      <c r="AA9" s="501"/>
      <c r="AB9" s="502"/>
      <c r="AC9" s="503"/>
      <c r="AD9" s="504"/>
      <c r="AE9" s="505"/>
      <c r="AF9" s="506"/>
      <c r="AG9" s="506">
        <f t="shared" si="7"/>
        <v>0</v>
      </c>
      <c r="AH9" s="506">
        <f t="shared" si="8"/>
        <v>0</v>
      </c>
      <c r="AI9" s="506">
        <f t="shared" si="9"/>
        <v>0</v>
      </c>
      <c r="AJ9" s="506">
        <f t="shared" si="10"/>
        <v>0</v>
      </c>
      <c r="AK9" s="506" t="str">
        <f t="shared" si="11"/>
        <v/>
      </c>
      <c r="AL9" s="507">
        <f t="shared" ca="1" si="12"/>
        <v>1</v>
      </c>
      <c r="AM9" s="507">
        <f t="shared" ca="1" si="13"/>
        <v>1</v>
      </c>
      <c r="AN9" s="507">
        <f t="shared" ca="1" si="14"/>
        <v>2</v>
      </c>
      <c r="AO9" s="507">
        <f t="shared" ca="1" si="15"/>
        <v>0</v>
      </c>
      <c r="AP9" s="507">
        <f t="shared" ca="1" si="16"/>
        <v>0</v>
      </c>
      <c r="AQ9" s="507">
        <f t="shared" ca="1" si="17"/>
        <v>0</v>
      </c>
      <c r="AR9" s="507">
        <f t="shared" ca="1" si="18"/>
        <v>0</v>
      </c>
      <c r="AS9" s="508"/>
      <c r="AT9" s="507">
        <f t="shared" si="19"/>
        <v>1</v>
      </c>
    </row>
    <row r="10" spans="1:46" ht="18">
      <c r="A10" s="485"/>
      <c r="B10" s="486">
        <f t="shared" ca="1" si="0"/>
        <v>1</v>
      </c>
      <c r="C10" s="487">
        <f t="shared" ca="1" si="1"/>
        <v>1</v>
      </c>
      <c r="D10" s="487">
        <f t="shared" ca="1" si="2"/>
        <v>3</v>
      </c>
      <c r="E10" s="487" t="str">
        <f t="shared" ca="1" si="3"/>
        <v/>
      </c>
      <c r="F10" s="487" t="str">
        <f t="shared" ca="1" si="4"/>
        <v/>
      </c>
      <c r="G10" s="488" t="str">
        <f t="shared" ca="1" si="5"/>
        <v/>
      </c>
      <c r="H10" s="489" t="str">
        <f t="shared" ca="1" si="6"/>
        <v/>
      </c>
      <c r="I10" s="509"/>
      <c r="J10" s="521"/>
      <c r="K10" s="522" t="s">
        <v>63</v>
      </c>
      <c r="L10" s="522"/>
      <c r="M10" s="522"/>
      <c r="N10" s="522"/>
      <c r="O10" s="522"/>
      <c r="P10" s="522"/>
      <c r="Q10" s="523"/>
      <c r="R10" s="524"/>
      <c r="S10" s="525"/>
      <c r="T10" s="526"/>
      <c r="U10" s="527"/>
      <c r="V10" s="528"/>
      <c r="W10" s="529"/>
      <c r="X10" s="530"/>
      <c r="Y10" s="535"/>
      <c r="Z10" s="536"/>
      <c r="AA10" s="501"/>
      <c r="AB10" s="502"/>
      <c r="AC10" s="503"/>
      <c r="AD10" s="504"/>
      <c r="AE10" s="505"/>
      <c r="AF10" s="506"/>
      <c r="AG10" s="506">
        <f t="shared" si="7"/>
        <v>0</v>
      </c>
      <c r="AH10" s="506">
        <f t="shared" si="8"/>
        <v>0</v>
      </c>
      <c r="AI10" s="506">
        <f t="shared" si="9"/>
        <v>0</v>
      </c>
      <c r="AJ10" s="506">
        <f t="shared" si="10"/>
        <v>0</v>
      </c>
      <c r="AK10" s="506" t="str">
        <f t="shared" si="11"/>
        <v/>
      </c>
      <c r="AL10" s="507">
        <f t="shared" ca="1" si="12"/>
        <v>1</v>
      </c>
      <c r="AM10" s="507">
        <f t="shared" ca="1" si="13"/>
        <v>1</v>
      </c>
      <c r="AN10" s="507">
        <f t="shared" ca="1" si="14"/>
        <v>3</v>
      </c>
      <c r="AO10" s="507">
        <f t="shared" ca="1" si="15"/>
        <v>0</v>
      </c>
      <c r="AP10" s="507">
        <f t="shared" ca="1" si="16"/>
        <v>0</v>
      </c>
      <c r="AQ10" s="507">
        <f t="shared" ca="1" si="17"/>
        <v>0</v>
      </c>
      <c r="AR10" s="507">
        <f t="shared" ca="1" si="18"/>
        <v>0</v>
      </c>
      <c r="AS10" s="508"/>
      <c r="AT10" s="507">
        <f t="shared" si="19"/>
        <v>1</v>
      </c>
    </row>
    <row r="11" spans="1:46" ht="18">
      <c r="A11" s="485"/>
      <c r="B11" s="486">
        <f t="shared" ca="1" si="0"/>
        <v>1</v>
      </c>
      <c r="C11" s="487">
        <f t="shared" ca="1" si="1"/>
        <v>1</v>
      </c>
      <c r="D11" s="487">
        <f t="shared" ca="1" si="2"/>
        <v>4</v>
      </c>
      <c r="E11" s="487" t="str">
        <f t="shared" ca="1" si="3"/>
        <v/>
      </c>
      <c r="F11" s="487" t="str">
        <f t="shared" ca="1" si="4"/>
        <v/>
      </c>
      <c r="G11" s="488" t="str">
        <f t="shared" ca="1" si="5"/>
        <v/>
      </c>
      <c r="H11" s="489" t="str">
        <f t="shared" ca="1" si="6"/>
        <v/>
      </c>
      <c r="I11" s="509"/>
      <c r="J11" s="521"/>
      <c r="K11" s="522" t="s">
        <v>64</v>
      </c>
      <c r="L11" s="522"/>
      <c r="M11" s="522"/>
      <c r="N11" s="522"/>
      <c r="O11" s="522"/>
      <c r="P11" s="522"/>
      <c r="Q11" s="523"/>
      <c r="R11" s="524"/>
      <c r="S11" s="525"/>
      <c r="T11" s="526"/>
      <c r="U11" s="527"/>
      <c r="V11" s="528"/>
      <c r="W11" s="529"/>
      <c r="X11" s="530"/>
      <c r="Y11" s="537"/>
      <c r="Z11" s="538"/>
      <c r="AA11" s="501"/>
      <c r="AB11" s="502"/>
      <c r="AC11" s="503"/>
      <c r="AD11" s="504"/>
      <c r="AE11" s="505"/>
      <c r="AF11" s="506"/>
      <c r="AG11" s="506">
        <f t="shared" si="7"/>
        <v>0</v>
      </c>
      <c r="AH11" s="506">
        <f t="shared" si="8"/>
        <v>0</v>
      </c>
      <c r="AI11" s="506">
        <f t="shared" si="9"/>
        <v>0</v>
      </c>
      <c r="AJ11" s="506">
        <f t="shared" si="10"/>
        <v>0</v>
      </c>
      <c r="AK11" s="506" t="str">
        <f t="shared" si="11"/>
        <v/>
      </c>
      <c r="AL11" s="507">
        <f t="shared" ca="1" si="12"/>
        <v>1</v>
      </c>
      <c r="AM11" s="507">
        <f t="shared" ca="1" si="13"/>
        <v>1</v>
      </c>
      <c r="AN11" s="507">
        <f t="shared" ca="1" si="14"/>
        <v>4</v>
      </c>
      <c r="AO11" s="507">
        <f t="shared" ca="1" si="15"/>
        <v>0</v>
      </c>
      <c r="AP11" s="507">
        <f t="shared" ca="1" si="16"/>
        <v>0</v>
      </c>
      <c r="AQ11" s="507">
        <f t="shared" ca="1" si="17"/>
        <v>0</v>
      </c>
      <c r="AR11" s="507">
        <f t="shared" ca="1" si="18"/>
        <v>0</v>
      </c>
      <c r="AS11" s="508"/>
      <c r="AT11" s="507">
        <f t="shared" si="19"/>
        <v>1</v>
      </c>
    </row>
    <row r="12" spans="1:46" ht="18">
      <c r="A12" s="485"/>
      <c r="B12" s="486">
        <f t="shared" ca="1" si="0"/>
        <v>1</v>
      </c>
      <c r="C12" s="487">
        <f t="shared" ca="1" si="1"/>
        <v>1</v>
      </c>
      <c r="D12" s="487">
        <f t="shared" ca="1" si="2"/>
        <v>5</v>
      </c>
      <c r="E12" s="487" t="str">
        <f t="shared" ca="1" si="3"/>
        <v/>
      </c>
      <c r="F12" s="487" t="str">
        <f t="shared" ca="1" si="4"/>
        <v/>
      </c>
      <c r="G12" s="488" t="str">
        <f t="shared" ca="1" si="5"/>
        <v/>
      </c>
      <c r="H12" s="489" t="str">
        <f t="shared" ca="1" si="6"/>
        <v/>
      </c>
      <c r="I12" s="509"/>
      <c r="J12" s="521"/>
      <c r="K12" s="522" t="s">
        <v>65</v>
      </c>
      <c r="L12" s="522"/>
      <c r="M12" s="522"/>
      <c r="N12" s="522"/>
      <c r="O12" s="522"/>
      <c r="P12" s="522"/>
      <c r="Q12" s="523"/>
      <c r="R12" s="524"/>
      <c r="S12" s="525"/>
      <c r="T12" s="526"/>
      <c r="U12" s="527"/>
      <c r="V12" s="528"/>
      <c r="W12" s="529"/>
      <c r="X12" s="530"/>
      <c r="Y12" s="537"/>
      <c r="Z12" s="538"/>
      <c r="AA12" s="501"/>
      <c r="AB12" s="502"/>
      <c r="AC12" s="503"/>
      <c r="AD12" s="504"/>
      <c r="AE12" s="505"/>
      <c r="AF12" s="506"/>
      <c r="AG12" s="506">
        <f t="shared" si="7"/>
        <v>0</v>
      </c>
      <c r="AH12" s="506">
        <f t="shared" si="8"/>
        <v>0</v>
      </c>
      <c r="AI12" s="506">
        <f t="shared" si="9"/>
        <v>0</v>
      </c>
      <c r="AJ12" s="506">
        <f t="shared" si="10"/>
        <v>0</v>
      </c>
      <c r="AK12" s="506" t="str">
        <f t="shared" si="11"/>
        <v/>
      </c>
      <c r="AL12" s="507">
        <f t="shared" ca="1" si="12"/>
        <v>1</v>
      </c>
      <c r="AM12" s="507">
        <f t="shared" ca="1" si="13"/>
        <v>1</v>
      </c>
      <c r="AN12" s="507">
        <f t="shared" ca="1" si="14"/>
        <v>5</v>
      </c>
      <c r="AO12" s="507">
        <f t="shared" ca="1" si="15"/>
        <v>0</v>
      </c>
      <c r="AP12" s="507">
        <f t="shared" ca="1" si="16"/>
        <v>0</v>
      </c>
      <c r="AQ12" s="507">
        <f t="shared" ca="1" si="17"/>
        <v>0</v>
      </c>
      <c r="AR12" s="507">
        <f t="shared" ca="1" si="18"/>
        <v>0</v>
      </c>
      <c r="AS12" s="508"/>
      <c r="AT12" s="507">
        <f t="shared" si="19"/>
        <v>1</v>
      </c>
    </row>
    <row r="13" spans="1:46" ht="18">
      <c r="A13" s="485"/>
      <c r="B13" s="486">
        <f t="shared" ca="1" si="0"/>
        <v>1</v>
      </c>
      <c r="C13" s="487">
        <f t="shared" ca="1" si="1"/>
        <v>1</v>
      </c>
      <c r="D13" s="487">
        <f t="shared" ca="1" si="2"/>
        <v>6</v>
      </c>
      <c r="E13" s="487" t="str">
        <f t="shared" ca="1" si="3"/>
        <v/>
      </c>
      <c r="F13" s="487" t="str">
        <f t="shared" ca="1" si="4"/>
        <v/>
      </c>
      <c r="G13" s="488" t="str">
        <f t="shared" ca="1" si="5"/>
        <v/>
      </c>
      <c r="H13" s="489" t="str">
        <f t="shared" ca="1" si="6"/>
        <v/>
      </c>
      <c r="I13" s="509"/>
      <c r="J13" s="521"/>
      <c r="K13" s="522" t="s">
        <v>66</v>
      </c>
      <c r="L13" s="522"/>
      <c r="M13" s="522"/>
      <c r="N13" s="522"/>
      <c r="O13" s="522"/>
      <c r="P13" s="522"/>
      <c r="Q13" s="523"/>
      <c r="R13" s="524"/>
      <c r="S13" s="525"/>
      <c r="T13" s="526"/>
      <c r="U13" s="527"/>
      <c r="V13" s="528"/>
      <c r="W13" s="529"/>
      <c r="X13" s="530"/>
      <c r="Y13" s="537"/>
      <c r="Z13" s="538"/>
      <c r="AA13" s="501"/>
      <c r="AB13" s="502"/>
      <c r="AC13" s="503"/>
      <c r="AD13" s="504"/>
      <c r="AE13" s="505"/>
      <c r="AF13" s="506"/>
      <c r="AG13" s="506">
        <f t="shared" si="7"/>
        <v>0</v>
      </c>
      <c r="AH13" s="506">
        <f t="shared" si="8"/>
        <v>0</v>
      </c>
      <c r="AI13" s="506">
        <f t="shared" si="9"/>
        <v>0</v>
      </c>
      <c r="AJ13" s="506">
        <f t="shared" si="10"/>
        <v>0</v>
      </c>
      <c r="AK13" s="506" t="str">
        <f t="shared" si="11"/>
        <v/>
      </c>
      <c r="AL13" s="507">
        <f t="shared" ca="1" si="12"/>
        <v>1</v>
      </c>
      <c r="AM13" s="507">
        <f t="shared" ca="1" si="13"/>
        <v>1</v>
      </c>
      <c r="AN13" s="507">
        <f t="shared" ca="1" si="14"/>
        <v>6</v>
      </c>
      <c r="AO13" s="507">
        <f t="shared" ca="1" si="15"/>
        <v>0</v>
      </c>
      <c r="AP13" s="507">
        <f t="shared" ca="1" si="16"/>
        <v>0</v>
      </c>
      <c r="AQ13" s="507">
        <f t="shared" ca="1" si="17"/>
        <v>0</v>
      </c>
      <c r="AR13" s="507">
        <f t="shared" ca="1" si="18"/>
        <v>0</v>
      </c>
      <c r="AS13" s="508"/>
      <c r="AT13" s="507">
        <f t="shared" si="19"/>
        <v>1</v>
      </c>
    </row>
    <row r="14" spans="1:46" ht="18">
      <c r="A14" s="485"/>
      <c r="B14" s="486">
        <f t="shared" ca="1" si="0"/>
        <v>1</v>
      </c>
      <c r="C14" s="487">
        <f t="shared" ca="1" si="1"/>
        <v>2</v>
      </c>
      <c r="D14" s="487" t="str">
        <f t="shared" ca="1" si="2"/>
        <v/>
      </c>
      <c r="E14" s="487" t="str">
        <f t="shared" ca="1" si="3"/>
        <v/>
      </c>
      <c r="F14" s="487" t="str">
        <f t="shared" ca="1" si="4"/>
        <v/>
      </c>
      <c r="G14" s="488" t="str">
        <f t="shared" ca="1" si="5"/>
        <v/>
      </c>
      <c r="H14" s="489" t="str">
        <f t="shared" ca="1" si="6"/>
        <v/>
      </c>
      <c r="I14" s="509"/>
      <c r="J14" s="510" t="s">
        <v>237</v>
      </c>
      <c r="K14" s="511"/>
      <c r="L14" s="511"/>
      <c r="M14" s="511"/>
      <c r="N14" s="511"/>
      <c r="O14" s="511"/>
      <c r="P14" s="511"/>
      <c r="Q14" s="512" t="s">
        <v>73</v>
      </c>
      <c r="R14" s="513"/>
      <c r="S14" s="514"/>
      <c r="T14" s="515"/>
      <c r="U14" s="516"/>
      <c r="V14" s="515"/>
      <c r="W14" s="517"/>
      <c r="X14" s="518"/>
      <c r="Y14" s="519"/>
      <c r="Z14" s="520"/>
      <c r="AA14" s="501"/>
      <c r="AB14" s="502"/>
      <c r="AC14" s="503"/>
      <c r="AD14" s="504"/>
      <c r="AE14" s="505"/>
      <c r="AF14" s="506"/>
      <c r="AG14" s="506">
        <f t="shared" si="7"/>
        <v>0</v>
      </c>
      <c r="AH14" s="506">
        <f t="shared" si="8"/>
        <v>0</v>
      </c>
      <c r="AI14" s="506">
        <f t="shared" si="9"/>
        <v>0</v>
      </c>
      <c r="AJ14" s="506">
        <f t="shared" si="10"/>
        <v>0</v>
      </c>
      <c r="AK14" s="506" t="str">
        <f t="shared" si="11"/>
        <v/>
      </c>
      <c r="AL14" s="507">
        <f t="shared" ca="1" si="12"/>
        <v>1</v>
      </c>
      <c r="AM14" s="507">
        <f t="shared" ca="1" si="13"/>
        <v>2</v>
      </c>
      <c r="AN14" s="507">
        <f t="shared" ca="1" si="14"/>
        <v>0</v>
      </c>
      <c r="AO14" s="507">
        <f t="shared" ca="1" si="15"/>
        <v>0</v>
      </c>
      <c r="AP14" s="507">
        <f t="shared" ca="1" si="16"/>
        <v>0</v>
      </c>
      <c r="AQ14" s="507">
        <f t="shared" ca="1" si="17"/>
        <v>0</v>
      </c>
      <c r="AR14" s="507">
        <f t="shared" ca="1" si="18"/>
        <v>0</v>
      </c>
      <c r="AS14" s="508"/>
      <c r="AT14" s="507">
        <f t="shared" si="19"/>
        <v>1</v>
      </c>
    </row>
    <row r="15" spans="1:46" ht="18">
      <c r="A15" s="485"/>
      <c r="B15" s="486">
        <f t="shared" ca="1" si="0"/>
        <v>1</v>
      </c>
      <c r="C15" s="487">
        <f t="shared" ca="1" si="1"/>
        <v>2</v>
      </c>
      <c r="D15" s="487">
        <f t="shared" ca="1" si="2"/>
        <v>1</v>
      </c>
      <c r="E15" s="487" t="str">
        <f t="shared" ca="1" si="3"/>
        <v/>
      </c>
      <c r="F15" s="487" t="str">
        <f t="shared" ca="1" si="4"/>
        <v/>
      </c>
      <c r="G15" s="488" t="str">
        <f t="shared" ca="1" si="5"/>
        <v/>
      </c>
      <c r="H15" s="489" t="str">
        <f t="shared" ca="1" si="6"/>
        <v/>
      </c>
      <c r="I15" s="509"/>
      <c r="J15" s="522"/>
      <c r="K15" s="522" t="s">
        <v>59</v>
      </c>
      <c r="L15" s="522"/>
      <c r="M15" s="522"/>
      <c r="N15" s="522"/>
      <c r="O15" s="522"/>
      <c r="P15" s="522"/>
      <c r="Q15" s="523"/>
      <c r="R15" s="524" t="s">
        <v>238</v>
      </c>
      <c r="S15" s="525">
        <v>45819</v>
      </c>
      <c r="T15" s="526">
        <v>45825</v>
      </c>
      <c r="U15" s="525">
        <v>45819</v>
      </c>
      <c r="V15" s="526"/>
      <c r="W15" s="539">
        <v>0.4</v>
      </c>
      <c r="X15" s="539">
        <v>0.4</v>
      </c>
      <c r="Y15" s="540"/>
      <c r="Z15" s="541"/>
      <c r="AA15" s="501"/>
      <c r="AB15" s="502"/>
      <c r="AC15" s="503"/>
      <c r="AD15" s="504"/>
      <c r="AE15" s="505"/>
      <c r="AF15" s="506"/>
      <c r="AG15" s="506">
        <f t="shared" ca="1" si="7"/>
        <v>0</v>
      </c>
      <c r="AH15" s="506">
        <f t="shared" ca="1" si="8"/>
        <v>0</v>
      </c>
      <c r="AI15" s="506">
        <f t="shared" si="9"/>
        <v>0</v>
      </c>
      <c r="AJ15" s="506">
        <f t="shared" ca="1" si="10"/>
        <v>0</v>
      </c>
      <c r="AK15" s="506" t="str">
        <f t="shared" ca="1" si="11"/>
        <v/>
      </c>
      <c r="AL15" s="507">
        <f t="shared" ca="1" si="12"/>
        <v>1</v>
      </c>
      <c r="AM15" s="507">
        <f t="shared" ca="1" si="13"/>
        <v>2</v>
      </c>
      <c r="AN15" s="507">
        <f t="shared" ca="1" si="14"/>
        <v>1</v>
      </c>
      <c r="AO15" s="507">
        <f t="shared" ca="1" si="15"/>
        <v>0</v>
      </c>
      <c r="AP15" s="507">
        <f t="shared" ca="1" si="16"/>
        <v>0</v>
      </c>
      <c r="AQ15" s="507">
        <f t="shared" ca="1" si="17"/>
        <v>0</v>
      </c>
      <c r="AR15" s="507">
        <f t="shared" ca="1" si="18"/>
        <v>0</v>
      </c>
      <c r="AS15" s="508"/>
      <c r="AT15" s="507">
        <f t="shared" si="19"/>
        <v>7</v>
      </c>
    </row>
    <row r="16" spans="1:46" ht="18">
      <c r="A16" s="485"/>
      <c r="B16" s="486">
        <f t="shared" ca="1" si="0"/>
        <v>1</v>
      </c>
      <c r="C16" s="487">
        <f t="shared" ca="1" si="1"/>
        <v>2</v>
      </c>
      <c r="D16" s="487">
        <f t="shared" ca="1" si="2"/>
        <v>2</v>
      </c>
      <c r="E16" s="487" t="str">
        <f t="shared" ca="1" si="3"/>
        <v/>
      </c>
      <c r="F16" s="487" t="str">
        <f t="shared" ca="1" si="4"/>
        <v/>
      </c>
      <c r="G16" s="488" t="str">
        <f t="shared" ca="1" si="5"/>
        <v/>
      </c>
      <c r="H16" s="489" t="str">
        <f t="shared" ca="1" si="6"/>
        <v/>
      </c>
      <c r="I16" s="509"/>
      <c r="J16" s="522"/>
      <c r="K16" s="522" t="s">
        <v>145</v>
      </c>
      <c r="L16" s="522"/>
      <c r="M16" s="522"/>
      <c r="N16" s="522"/>
      <c r="O16" s="522"/>
      <c r="P16" s="522"/>
      <c r="Q16" s="523"/>
      <c r="R16" s="524" t="s">
        <v>239</v>
      </c>
      <c r="S16" s="525">
        <v>45826</v>
      </c>
      <c r="T16" s="526">
        <v>45826</v>
      </c>
      <c r="U16" s="525"/>
      <c r="V16" s="526"/>
      <c r="W16" s="539">
        <v>0</v>
      </c>
      <c r="X16" s="542"/>
      <c r="Y16" s="540"/>
      <c r="Z16" s="541"/>
      <c r="AA16" s="501"/>
      <c r="AB16" s="502"/>
      <c r="AC16" s="503"/>
      <c r="AD16" s="504"/>
      <c r="AE16" s="505"/>
      <c r="AF16" s="506"/>
      <c r="AG16" s="506">
        <f t="shared" ca="1" si="7"/>
        <v>0</v>
      </c>
      <c r="AH16" s="506">
        <f t="shared" ca="1" si="8"/>
        <v>0</v>
      </c>
      <c r="AI16" s="506">
        <f t="shared" si="9"/>
        <v>0</v>
      </c>
      <c r="AJ16" s="506">
        <f t="shared" ca="1" si="10"/>
        <v>0</v>
      </c>
      <c r="AK16" s="506" t="str">
        <f t="shared" ca="1" si="11"/>
        <v/>
      </c>
      <c r="AL16" s="507">
        <f t="shared" ca="1" si="12"/>
        <v>1</v>
      </c>
      <c r="AM16" s="507">
        <f t="shared" ca="1" si="13"/>
        <v>2</v>
      </c>
      <c r="AN16" s="507">
        <f t="shared" ca="1" si="14"/>
        <v>2</v>
      </c>
      <c r="AO16" s="507">
        <f t="shared" ca="1" si="15"/>
        <v>0</v>
      </c>
      <c r="AP16" s="507">
        <f t="shared" ca="1" si="16"/>
        <v>0</v>
      </c>
      <c r="AQ16" s="507">
        <f t="shared" ca="1" si="17"/>
        <v>0</v>
      </c>
      <c r="AR16" s="507">
        <f t="shared" ca="1" si="18"/>
        <v>0</v>
      </c>
      <c r="AS16" s="508"/>
      <c r="AT16" s="507">
        <f t="shared" si="19"/>
        <v>1</v>
      </c>
    </row>
    <row r="17" spans="1:46" ht="18">
      <c r="A17" s="485"/>
      <c r="B17" s="486">
        <f t="shared" ca="1" si="0"/>
        <v>1</v>
      </c>
      <c r="C17" s="487">
        <f t="shared" ca="1" si="1"/>
        <v>2</v>
      </c>
      <c r="D17" s="487">
        <f t="shared" ca="1" si="2"/>
        <v>3</v>
      </c>
      <c r="E17" s="487" t="str">
        <f t="shared" ca="1" si="3"/>
        <v/>
      </c>
      <c r="F17" s="487" t="str">
        <f t="shared" ca="1" si="4"/>
        <v/>
      </c>
      <c r="G17" s="488" t="str">
        <f t="shared" ca="1" si="5"/>
        <v/>
      </c>
      <c r="H17" s="489" t="str">
        <f t="shared" ca="1" si="6"/>
        <v/>
      </c>
      <c r="I17" s="509"/>
      <c r="J17" s="522"/>
      <c r="K17" s="522" t="s">
        <v>63</v>
      </c>
      <c r="L17" s="522"/>
      <c r="M17" s="522"/>
      <c r="N17" s="522"/>
      <c r="O17" s="522"/>
      <c r="P17" s="522"/>
      <c r="Q17" s="523"/>
      <c r="R17" s="524" t="s">
        <v>238</v>
      </c>
      <c r="S17" s="525">
        <v>45832</v>
      </c>
      <c r="T17" s="526">
        <v>45833</v>
      </c>
      <c r="U17" s="543"/>
      <c r="V17" s="526"/>
      <c r="W17" s="539">
        <v>0</v>
      </c>
      <c r="X17" s="542"/>
      <c r="Y17" s="540"/>
      <c r="Z17" s="541"/>
      <c r="AA17" s="501"/>
      <c r="AB17" s="502"/>
      <c r="AC17" s="503"/>
      <c r="AD17" s="504"/>
      <c r="AE17" s="505"/>
      <c r="AF17" s="506"/>
      <c r="AG17" s="506">
        <f t="shared" ca="1" si="7"/>
        <v>0</v>
      </c>
      <c r="AH17" s="506">
        <f t="shared" ca="1" si="8"/>
        <v>0</v>
      </c>
      <c r="AI17" s="506">
        <f t="shared" si="9"/>
        <v>0</v>
      </c>
      <c r="AJ17" s="506">
        <f t="shared" ca="1" si="10"/>
        <v>0</v>
      </c>
      <c r="AK17" s="506" t="str">
        <f t="shared" ca="1" si="11"/>
        <v/>
      </c>
      <c r="AL17" s="507">
        <f t="shared" ca="1" si="12"/>
        <v>1</v>
      </c>
      <c r="AM17" s="507">
        <f t="shared" ca="1" si="13"/>
        <v>2</v>
      </c>
      <c r="AN17" s="507">
        <f t="shared" ca="1" si="14"/>
        <v>3</v>
      </c>
      <c r="AO17" s="507">
        <f t="shared" ca="1" si="15"/>
        <v>0</v>
      </c>
      <c r="AP17" s="507">
        <f t="shared" ca="1" si="16"/>
        <v>0</v>
      </c>
      <c r="AQ17" s="507">
        <f t="shared" ca="1" si="17"/>
        <v>0</v>
      </c>
      <c r="AR17" s="507">
        <f t="shared" ca="1" si="18"/>
        <v>0</v>
      </c>
      <c r="AS17" s="508"/>
      <c r="AT17" s="507">
        <f t="shared" si="19"/>
        <v>2</v>
      </c>
    </row>
    <row r="18" spans="1:46" ht="18">
      <c r="A18" s="485"/>
      <c r="B18" s="486">
        <f t="shared" ca="1" si="0"/>
        <v>1</v>
      </c>
      <c r="C18" s="487">
        <f t="shared" ca="1" si="1"/>
        <v>2</v>
      </c>
      <c r="D18" s="487">
        <f t="shared" ca="1" si="2"/>
        <v>4</v>
      </c>
      <c r="E18" s="487" t="str">
        <f t="shared" ca="1" si="3"/>
        <v/>
      </c>
      <c r="F18" s="487" t="str">
        <f t="shared" ca="1" si="4"/>
        <v/>
      </c>
      <c r="G18" s="488" t="str">
        <f t="shared" ca="1" si="5"/>
        <v/>
      </c>
      <c r="H18" s="489" t="str">
        <f t="shared" ca="1" si="6"/>
        <v/>
      </c>
      <c r="I18" s="509"/>
      <c r="J18" s="522"/>
      <c r="K18" s="522" t="s">
        <v>64</v>
      </c>
      <c r="L18" s="522"/>
      <c r="M18" s="522"/>
      <c r="N18" s="522"/>
      <c r="O18" s="522"/>
      <c r="P18" s="522"/>
      <c r="Q18" s="523"/>
      <c r="R18" s="524" t="s">
        <v>239</v>
      </c>
      <c r="S18" s="525">
        <v>45834</v>
      </c>
      <c r="T18" s="526">
        <v>45834</v>
      </c>
      <c r="U18" s="543"/>
      <c r="V18" s="526"/>
      <c r="W18" s="539">
        <v>0</v>
      </c>
      <c r="X18" s="542"/>
      <c r="Y18" s="540"/>
      <c r="Z18" s="541"/>
      <c r="AA18" s="501"/>
      <c r="AB18" s="502"/>
      <c r="AC18" s="503"/>
      <c r="AD18" s="504"/>
      <c r="AE18" s="505"/>
      <c r="AF18" s="506"/>
      <c r="AG18" s="506">
        <f t="shared" ca="1" si="7"/>
        <v>0</v>
      </c>
      <c r="AH18" s="506">
        <f t="shared" ca="1" si="8"/>
        <v>0</v>
      </c>
      <c r="AI18" s="506">
        <f t="shared" si="9"/>
        <v>0</v>
      </c>
      <c r="AJ18" s="506">
        <f t="shared" ca="1" si="10"/>
        <v>0</v>
      </c>
      <c r="AK18" s="506" t="str">
        <f t="shared" ca="1" si="11"/>
        <v/>
      </c>
      <c r="AL18" s="507">
        <f t="shared" ca="1" si="12"/>
        <v>1</v>
      </c>
      <c r="AM18" s="507">
        <f t="shared" ca="1" si="13"/>
        <v>2</v>
      </c>
      <c r="AN18" s="507">
        <f t="shared" ca="1" si="14"/>
        <v>4</v>
      </c>
      <c r="AO18" s="507">
        <f t="shared" ca="1" si="15"/>
        <v>0</v>
      </c>
      <c r="AP18" s="507">
        <f t="shared" ca="1" si="16"/>
        <v>0</v>
      </c>
      <c r="AQ18" s="507">
        <f t="shared" ca="1" si="17"/>
        <v>0</v>
      </c>
      <c r="AR18" s="507">
        <f t="shared" ca="1" si="18"/>
        <v>0</v>
      </c>
      <c r="AS18" s="508"/>
      <c r="AT18" s="507">
        <f t="shared" si="19"/>
        <v>1</v>
      </c>
    </row>
    <row r="19" spans="1:46" ht="18">
      <c r="A19" s="485"/>
      <c r="B19" s="486">
        <f t="shared" ca="1" si="0"/>
        <v>1</v>
      </c>
      <c r="C19" s="487">
        <f t="shared" ca="1" si="1"/>
        <v>2</v>
      </c>
      <c r="D19" s="487">
        <f t="shared" ca="1" si="2"/>
        <v>5</v>
      </c>
      <c r="E19" s="487" t="str">
        <f t="shared" ca="1" si="3"/>
        <v/>
      </c>
      <c r="F19" s="487" t="str">
        <f t="shared" ca="1" si="4"/>
        <v/>
      </c>
      <c r="G19" s="488" t="str">
        <f t="shared" ca="1" si="5"/>
        <v/>
      </c>
      <c r="H19" s="489" t="str">
        <f t="shared" ca="1" si="6"/>
        <v/>
      </c>
      <c r="I19" s="509"/>
      <c r="J19" s="522"/>
      <c r="K19" s="522" t="s">
        <v>65</v>
      </c>
      <c r="L19" s="522"/>
      <c r="M19" s="522"/>
      <c r="N19" s="522"/>
      <c r="O19" s="522"/>
      <c r="P19" s="522"/>
      <c r="Q19" s="523"/>
      <c r="R19" s="524" t="s">
        <v>238</v>
      </c>
      <c r="S19" s="525">
        <v>45835</v>
      </c>
      <c r="T19" s="526">
        <v>45835</v>
      </c>
      <c r="U19" s="543"/>
      <c r="V19" s="526"/>
      <c r="W19" s="539">
        <v>0</v>
      </c>
      <c r="X19" s="542"/>
      <c r="Y19" s="540"/>
      <c r="Z19" s="541"/>
      <c r="AA19" s="501"/>
      <c r="AB19" s="502"/>
      <c r="AC19" s="503"/>
      <c r="AD19" s="504"/>
      <c r="AE19" s="505"/>
      <c r="AF19" s="506"/>
      <c r="AG19" s="506">
        <f t="shared" ca="1" si="7"/>
        <v>0</v>
      </c>
      <c r="AH19" s="506">
        <f t="shared" ca="1" si="8"/>
        <v>0</v>
      </c>
      <c r="AI19" s="506">
        <f t="shared" si="9"/>
        <v>0</v>
      </c>
      <c r="AJ19" s="506">
        <f t="shared" ca="1" si="10"/>
        <v>0</v>
      </c>
      <c r="AK19" s="506" t="str">
        <f t="shared" ca="1" si="11"/>
        <v/>
      </c>
      <c r="AL19" s="507">
        <f t="shared" ca="1" si="12"/>
        <v>1</v>
      </c>
      <c r="AM19" s="507">
        <f t="shared" ca="1" si="13"/>
        <v>2</v>
      </c>
      <c r="AN19" s="507">
        <f t="shared" ca="1" si="14"/>
        <v>5</v>
      </c>
      <c r="AO19" s="507">
        <f t="shared" ca="1" si="15"/>
        <v>0</v>
      </c>
      <c r="AP19" s="507">
        <f t="shared" ca="1" si="16"/>
        <v>0</v>
      </c>
      <c r="AQ19" s="507">
        <f t="shared" ca="1" si="17"/>
        <v>0</v>
      </c>
      <c r="AR19" s="507">
        <f t="shared" ca="1" si="18"/>
        <v>0</v>
      </c>
      <c r="AS19" s="508"/>
      <c r="AT19" s="507">
        <f t="shared" si="19"/>
        <v>1</v>
      </c>
    </row>
    <row r="20" spans="1:46" ht="18">
      <c r="A20" s="485"/>
      <c r="B20" s="486">
        <f t="shared" ca="1" si="0"/>
        <v>1</v>
      </c>
      <c r="C20" s="487">
        <f t="shared" ca="1" si="1"/>
        <v>2</v>
      </c>
      <c r="D20" s="487">
        <f t="shared" ca="1" si="2"/>
        <v>6</v>
      </c>
      <c r="E20" s="487" t="str">
        <f t="shared" ca="1" si="3"/>
        <v/>
      </c>
      <c r="F20" s="487" t="str">
        <f t="shared" ca="1" si="4"/>
        <v/>
      </c>
      <c r="G20" s="488" t="str">
        <f t="shared" ca="1" si="5"/>
        <v/>
      </c>
      <c r="H20" s="489" t="str">
        <f t="shared" ca="1" si="6"/>
        <v/>
      </c>
      <c r="I20" s="509"/>
      <c r="J20" s="522"/>
      <c r="K20" s="522" t="s">
        <v>66</v>
      </c>
      <c r="L20" s="522"/>
      <c r="M20" s="522"/>
      <c r="N20" s="522"/>
      <c r="O20" s="522"/>
      <c r="P20" s="522"/>
      <c r="Q20" s="523"/>
      <c r="R20" s="524" t="s">
        <v>239</v>
      </c>
      <c r="S20" s="525">
        <v>45838</v>
      </c>
      <c r="T20" s="526">
        <v>45838</v>
      </c>
      <c r="U20" s="543"/>
      <c r="V20" s="526"/>
      <c r="W20" s="539">
        <v>0</v>
      </c>
      <c r="X20" s="542"/>
      <c r="Y20" s="540"/>
      <c r="Z20" s="541"/>
      <c r="AA20" s="501"/>
      <c r="AB20" s="502"/>
      <c r="AC20" s="503"/>
      <c r="AD20" s="504"/>
      <c r="AE20" s="505"/>
      <c r="AF20" s="506"/>
      <c r="AG20" s="506">
        <f t="shared" ca="1" si="7"/>
        <v>0</v>
      </c>
      <c r="AH20" s="506">
        <f t="shared" ca="1" si="8"/>
        <v>0</v>
      </c>
      <c r="AI20" s="506">
        <f t="shared" si="9"/>
        <v>0</v>
      </c>
      <c r="AJ20" s="506">
        <f t="shared" ca="1" si="10"/>
        <v>0</v>
      </c>
      <c r="AK20" s="506" t="str">
        <f t="shared" ca="1" si="11"/>
        <v/>
      </c>
      <c r="AL20" s="507">
        <f t="shared" ca="1" si="12"/>
        <v>1</v>
      </c>
      <c r="AM20" s="507">
        <f t="shared" ca="1" si="13"/>
        <v>2</v>
      </c>
      <c r="AN20" s="507">
        <f t="shared" ca="1" si="14"/>
        <v>6</v>
      </c>
      <c r="AO20" s="507">
        <f t="shared" ca="1" si="15"/>
        <v>0</v>
      </c>
      <c r="AP20" s="507">
        <f t="shared" ca="1" si="16"/>
        <v>0</v>
      </c>
      <c r="AQ20" s="507">
        <f t="shared" ca="1" si="17"/>
        <v>0</v>
      </c>
      <c r="AR20" s="507">
        <f t="shared" ca="1" si="18"/>
        <v>0</v>
      </c>
      <c r="AS20" s="508"/>
      <c r="AT20" s="507">
        <f t="shared" si="19"/>
        <v>1</v>
      </c>
    </row>
    <row r="21" spans="1:46" ht="15.75" customHeight="1">
      <c r="A21" s="485"/>
      <c r="B21" s="486">
        <f t="shared" ca="1" si="0"/>
        <v>1</v>
      </c>
      <c r="C21" s="487">
        <f t="shared" ca="1" si="1"/>
        <v>3</v>
      </c>
      <c r="D21" s="487" t="str">
        <f t="shared" ca="1" si="2"/>
        <v/>
      </c>
      <c r="E21" s="487" t="str">
        <f t="shared" ca="1" si="3"/>
        <v/>
      </c>
      <c r="F21" s="487" t="str">
        <f t="shared" ca="1" si="4"/>
        <v/>
      </c>
      <c r="G21" s="488" t="str">
        <f t="shared" ca="1" si="5"/>
        <v/>
      </c>
      <c r="H21" s="489" t="str">
        <f t="shared" ca="1" si="6"/>
        <v/>
      </c>
      <c r="I21" s="509"/>
      <c r="J21" s="510" t="s">
        <v>240</v>
      </c>
      <c r="K21" s="511"/>
      <c r="L21" s="511"/>
      <c r="M21" s="511"/>
      <c r="N21" s="511"/>
      <c r="O21" s="511"/>
      <c r="P21" s="511"/>
      <c r="Q21" s="512" t="s">
        <v>73</v>
      </c>
      <c r="R21" s="513"/>
      <c r="S21" s="514"/>
      <c r="T21" s="515"/>
      <c r="U21" s="516"/>
      <c r="V21" s="515"/>
      <c r="W21" s="517"/>
      <c r="X21" s="518"/>
      <c r="Y21" s="519"/>
      <c r="Z21" s="520"/>
      <c r="AA21" s="501"/>
      <c r="AB21" s="502"/>
      <c r="AC21" s="503"/>
      <c r="AD21" s="504"/>
      <c r="AE21" s="505"/>
      <c r="AF21" s="506"/>
      <c r="AG21" s="506">
        <f t="shared" si="7"/>
        <v>0</v>
      </c>
      <c r="AH21" s="506">
        <f t="shared" si="8"/>
        <v>0</v>
      </c>
      <c r="AI21" s="506">
        <f t="shared" si="9"/>
        <v>0</v>
      </c>
      <c r="AJ21" s="506">
        <f t="shared" si="10"/>
        <v>0</v>
      </c>
      <c r="AK21" s="506" t="str">
        <f t="shared" si="11"/>
        <v/>
      </c>
      <c r="AL21" s="507">
        <f t="shared" ca="1" si="12"/>
        <v>1</v>
      </c>
      <c r="AM21" s="507">
        <f t="shared" ca="1" si="13"/>
        <v>3</v>
      </c>
      <c r="AN21" s="507">
        <f t="shared" ca="1" si="14"/>
        <v>0</v>
      </c>
      <c r="AO21" s="507">
        <f t="shared" ca="1" si="15"/>
        <v>0</v>
      </c>
      <c r="AP21" s="507">
        <f t="shared" ca="1" si="16"/>
        <v>0</v>
      </c>
      <c r="AQ21" s="507">
        <f t="shared" ca="1" si="17"/>
        <v>0</v>
      </c>
      <c r="AR21" s="507">
        <f t="shared" ca="1" si="18"/>
        <v>0</v>
      </c>
      <c r="AS21" s="508"/>
      <c r="AT21" s="507">
        <f t="shared" si="19"/>
        <v>1</v>
      </c>
    </row>
    <row r="22" spans="1:46" ht="15.75" customHeight="1">
      <c r="A22" s="485"/>
      <c r="B22" s="486">
        <f t="shared" ca="1" si="0"/>
        <v>1</v>
      </c>
      <c r="C22" s="487">
        <f t="shared" ca="1" si="1"/>
        <v>3</v>
      </c>
      <c r="D22" s="487">
        <f t="shared" ca="1" si="2"/>
        <v>1</v>
      </c>
      <c r="E22" s="487" t="str">
        <f t="shared" ca="1" si="3"/>
        <v/>
      </c>
      <c r="F22" s="487" t="str">
        <f t="shared" ca="1" si="4"/>
        <v/>
      </c>
      <c r="G22" s="488" t="str">
        <f t="shared" ca="1" si="5"/>
        <v/>
      </c>
      <c r="H22" s="489" t="str">
        <f t="shared" ca="1" si="6"/>
        <v/>
      </c>
      <c r="I22" s="509"/>
      <c r="J22" s="522"/>
      <c r="K22" s="522" t="s">
        <v>59</v>
      </c>
      <c r="L22" s="522"/>
      <c r="M22" s="522"/>
      <c r="N22" s="522"/>
      <c r="O22" s="522"/>
      <c r="P22" s="522"/>
      <c r="Q22" s="523"/>
      <c r="R22" s="524" t="s">
        <v>239</v>
      </c>
      <c r="S22" s="525">
        <v>45819</v>
      </c>
      <c r="T22" s="526">
        <v>45825</v>
      </c>
      <c r="U22" s="525">
        <v>45819</v>
      </c>
      <c r="V22" s="526"/>
      <c r="W22" s="539">
        <v>0.6</v>
      </c>
      <c r="X22" s="539">
        <v>0.6</v>
      </c>
      <c r="Y22" s="540"/>
      <c r="Z22" s="541"/>
      <c r="AA22" s="501"/>
      <c r="AB22" s="502"/>
      <c r="AC22" s="503"/>
      <c r="AD22" s="504"/>
      <c r="AE22" s="505"/>
      <c r="AF22" s="506"/>
      <c r="AG22" s="506">
        <f t="shared" ca="1" si="7"/>
        <v>0</v>
      </c>
      <c r="AH22" s="506">
        <f t="shared" ca="1" si="8"/>
        <v>0</v>
      </c>
      <c r="AI22" s="506">
        <f t="shared" si="9"/>
        <v>0</v>
      </c>
      <c r="AJ22" s="506">
        <f t="shared" ca="1" si="10"/>
        <v>0</v>
      </c>
      <c r="AK22" s="506" t="str">
        <f t="shared" ca="1" si="11"/>
        <v/>
      </c>
      <c r="AL22" s="507">
        <f t="shared" ca="1" si="12"/>
        <v>1</v>
      </c>
      <c r="AM22" s="507">
        <f t="shared" ca="1" si="13"/>
        <v>3</v>
      </c>
      <c r="AN22" s="507">
        <f t="shared" ca="1" si="14"/>
        <v>1</v>
      </c>
      <c r="AO22" s="507">
        <f t="shared" ca="1" si="15"/>
        <v>0</v>
      </c>
      <c r="AP22" s="507">
        <f t="shared" ca="1" si="16"/>
        <v>0</v>
      </c>
      <c r="AQ22" s="507">
        <f t="shared" ca="1" si="17"/>
        <v>0</v>
      </c>
      <c r="AR22" s="507">
        <f t="shared" ca="1" si="18"/>
        <v>0</v>
      </c>
      <c r="AS22" s="508"/>
      <c r="AT22" s="507">
        <f t="shared" si="19"/>
        <v>7</v>
      </c>
    </row>
    <row r="23" spans="1:46" ht="15.75" customHeight="1">
      <c r="A23" s="485"/>
      <c r="B23" s="486">
        <f t="shared" ca="1" si="0"/>
        <v>1</v>
      </c>
      <c r="C23" s="487">
        <f t="shared" ca="1" si="1"/>
        <v>3</v>
      </c>
      <c r="D23" s="487">
        <f t="shared" ca="1" si="2"/>
        <v>2</v>
      </c>
      <c r="E23" s="487" t="str">
        <f t="shared" ca="1" si="3"/>
        <v/>
      </c>
      <c r="F23" s="487" t="str">
        <f t="shared" ca="1" si="4"/>
        <v/>
      </c>
      <c r="G23" s="488" t="str">
        <f t="shared" ca="1" si="5"/>
        <v/>
      </c>
      <c r="H23" s="489" t="str">
        <f t="shared" ca="1" si="6"/>
        <v/>
      </c>
      <c r="I23" s="509"/>
      <c r="J23" s="522"/>
      <c r="K23" s="522" t="s">
        <v>145</v>
      </c>
      <c r="L23" s="522"/>
      <c r="M23" s="522"/>
      <c r="N23" s="522"/>
      <c r="O23" s="522"/>
      <c r="P23" s="522"/>
      <c r="Q23" s="523"/>
      <c r="R23" s="524" t="s">
        <v>238</v>
      </c>
      <c r="S23" s="525">
        <v>45826</v>
      </c>
      <c r="T23" s="526">
        <v>45826</v>
      </c>
      <c r="U23" s="543"/>
      <c r="V23" s="526"/>
      <c r="W23" s="539">
        <v>0</v>
      </c>
      <c r="X23" s="542"/>
      <c r="Y23" s="540"/>
      <c r="Z23" s="541"/>
      <c r="AA23" s="501"/>
      <c r="AB23" s="502"/>
      <c r="AC23" s="503"/>
      <c r="AD23" s="504"/>
      <c r="AE23" s="505"/>
      <c r="AF23" s="506"/>
      <c r="AG23" s="506">
        <f t="shared" ca="1" si="7"/>
        <v>0</v>
      </c>
      <c r="AH23" s="506">
        <f t="shared" ca="1" si="8"/>
        <v>0</v>
      </c>
      <c r="AI23" s="506">
        <f t="shared" si="9"/>
        <v>0</v>
      </c>
      <c r="AJ23" s="506">
        <f t="shared" ca="1" si="10"/>
        <v>0</v>
      </c>
      <c r="AK23" s="506" t="str">
        <f t="shared" ca="1" si="11"/>
        <v/>
      </c>
      <c r="AL23" s="507">
        <f t="shared" ca="1" si="12"/>
        <v>1</v>
      </c>
      <c r="AM23" s="507">
        <f t="shared" ca="1" si="13"/>
        <v>3</v>
      </c>
      <c r="AN23" s="507">
        <f t="shared" ca="1" si="14"/>
        <v>2</v>
      </c>
      <c r="AO23" s="507">
        <f t="shared" ca="1" si="15"/>
        <v>0</v>
      </c>
      <c r="AP23" s="507">
        <f t="shared" ca="1" si="16"/>
        <v>0</v>
      </c>
      <c r="AQ23" s="507">
        <f t="shared" ca="1" si="17"/>
        <v>0</v>
      </c>
      <c r="AR23" s="507">
        <f t="shared" ca="1" si="18"/>
        <v>0</v>
      </c>
      <c r="AS23" s="508"/>
      <c r="AT23" s="507">
        <f t="shared" si="19"/>
        <v>1</v>
      </c>
    </row>
    <row r="24" spans="1:46" ht="15.75" customHeight="1">
      <c r="A24" s="485"/>
      <c r="B24" s="486">
        <f t="shared" ca="1" si="0"/>
        <v>1</v>
      </c>
      <c r="C24" s="487">
        <f t="shared" ca="1" si="1"/>
        <v>3</v>
      </c>
      <c r="D24" s="487">
        <f t="shared" ca="1" si="2"/>
        <v>3</v>
      </c>
      <c r="E24" s="487" t="str">
        <f t="shared" ca="1" si="3"/>
        <v/>
      </c>
      <c r="F24" s="487" t="str">
        <f t="shared" ca="1" si="4"/>
        <v/>
      </c>
      <c r="G24" s="488" t="str">
        <f t="shared" ca="1" si="5"/>
        <v/>
      </c>
      <c r="H24" s="489" t="str">
        <f t="shared" ca="1" si="6"/>
        <v/>
      </c>
      <c r="I24" s="509"/>
      <c r="J24" s="522"/>
      <c r="K24" s="522" t="s">
        <v>63</v>
      </c>
      <c r="L24" s="522"/>
      <c r="M24" s="522"/>
      <c r="N24" s="522"/>
      <c r="O24" s="522"/>
      <c r="P24" s="522"/>
      <c r="Q24" s="523"/>
      <c r="R24" s="524" t="s">
        <v>239</v>
      </c>
      <c r="S24" s="525">
        <v>45832</v>
      </c>
      <c r="T24" s="526">
        <v>45833</v>
      </c>
      <c r="U24" s="543"/>
      <c r="V24" s="526"/>
      <c r="W24" s="539">
        <v>0</v>
      </c>
      <c r="X24" s="542"/>
      <c r="Y24" s="540"/>
      <c r="Z24" s="541"/>
      <c r="AA24" s="501"/>
      <c r="AB24" s="502"/>
      <c r="AC24" s="503"/>
      <c r="AD24" s="504"/>
      <c r="AE24" s="505"/>
      <c r="AF24" s="506"/>
      <c r="AG24" s="506">
        <f t="shared" ca="1" si="7"/>
        <v>0</v>
      </c>
      <c r="AH24" s="506">
        <f t="shared" ca="1" si="8"/>
        <v>0</v>
      </c>
      <c r="AI24" s="506">
        <f t="shared" si="9"/>
        <v>0</v>
      </c>
      <c r="AJ24" s="506">
        <f t="shared" ca="1" si="10"/>
        <v>0</v>
      </c>
      <c r="AK24" s="506" t="str">
        <f t="shared" ca="1" si="11"/>
        <v/>
      </c>
      <c r="AL24" s="507">
        <f t="shared" ca="1" si="12"/>
        <v>1</v>
      </c>
      <c r="AM24" s="507">
        <f t="shared" ca="1" si="13"/>
        <v>3</v>
      </c>
      <c r="AN24" s="507">
        <f t="shared" ca="1" si="14"/>
        <v>3</v>
      </c>
      <c r="AO24" s="507">
        <f t="shared" ca="1" si="15"/>
        <v>0</v>
      </c>
      <c r="AP24" s="507">
        <f t="shared" ca="1" si="16"/>
        <v>0</v>
      </c>
      <c r="AQ24" s="507">
        <f t="shared" ca="1" si="17"/>
        <v>0</v>
      </c>
      <c r="AR24" s="507">
        <f t="shared" ca="1" si="18"/>
        <v>0</v>
      </c>
      <c r="AS24" s="508"/>
      <c r="AT24" s="507">
        <f t="shared" si="19"/>
        <v>2</v>
      </c>
    </row>
    <row r="25" spans="1:46" ht="15.75" customHeight="1">
      <c r="A25" s="485"/>
      <c r="B25" s="486">
        <f t="shared" ca="1" si="0"/>
        <v>1</v>
      </c>
      <c r="C25" s="487">
        <f t="shared" ca="1" si="1"/>
        <v>3</v>
      </c>
      <c r="D25" s="487">
        <f t="shared" ca="1" si="2"/>
        <v>4</v>
      </c>
      <c r="E25" s="487" t="str">
        <f t="shared" ca="1" si="3"/>
        <v/>
      </c>
      <c r="F25" s="487" t="str">
        <f t="shared" ca="1" si="4"/>
        <v/>
      </c>
      <c r="G25" s="488" t="str">
        <f t="shared" ca="1" si="5"/>
        <v/>
      </c>
      <c r="H25" s="489" t="str">
        <f t="shared" ca="1" si="6"/>
        <v/>
      </c>
      <c r="I25" s="509"/>
      <c r="J25" s="522"/>
      <c r="K25" s="522" t="s">
        <v>64</v>
      </c>
      <c r="L25" s="522"/>
      <c r="M25" s="522"/>
      <c r="N25" s="522"/>
      <c r="O25" s="522"/>
      <c r="P25" s="522"/>
      <c r="Q25" s="523"/>
      <c r="R25" s="524" t="s">
        <v>238</v>
      </c>
      <c r="S25" s="525">
        <v>45834</v>
      </c>
      <c r="T25" s="526">
        <v>45834</v>
      </c>
      <c r="U25" s="543"/>
      <c r="V25" s="526"/>
      <c r="W25" s="539">
        <v>0</v>
      </c>
      <c r="X25" s="542"/>
      <c r="Y25" s="540"/>
      <c r="Z25" s="541"/>
      <c r="AA25" s="501"/>
      <c r="AB25" s="502"/>
      <c r="AC25" s="503"/>
      <c r="AD25" s="504"/>
      <c r="AE25" s="505"/>
      <c r="AF25" s="506"/>
      <c r="AG25" s="506">
        <f t="shared" ca="1" si="7"/>
        <v>0</v>
      </c>
      <c r="AH25" s="506">
        <f t="shared" ca="1" si="8"/>
        <v>0</v>
      </c>
      <c r="AI25" s="506">
        <f t="shared" si="9"/>
        <v>0</v>
      </c>
      <c r="AJ25" s="506">
        <f t="shared" ca="1" si="10"/>
        <v>0</v>
      </c>
      <c r="AK25" s="506" t="str">
        <f t="shared" ca="1" si="11"/>
        <v/>
      </c>
      <c r="AL25" s="507">
        <f t="shared" ca="1" si="12"/>
        <v>1</v>
      </c>
      <c r="AM25" s="507">
        <f t="shared" ca="1" si="13"/>
        <v>3</v>
      </c>
      <c r="AN25" s="507">
        <f t="shared" ca="1" si="14"/>
        <v>4</v>
      </c>
      <c r="AO25" s="507">
        <f t="shared" ca="1" si="15"/>
        <v>0</v>
      </c>
      <c r="AP25" s="507">
        <f t="shared" ca="1" si="16"/>
        <v>0</v>
      </c>
      <c r="AQ25" s="507">
        <f t="shared" ca="1" si="17"/>
        <v>0</v>
      </c>
      <c r="AR25" s="507">
        <f t="shared" ca="1" si="18"/>
        <v>0</v>
      </c>
      <c r="AS25" s="508"/>
      <c r="AT25" s="507">
        <f t="shared" si="19"/>
        <v>1</v>
      </c>
    </row>
    <row r="26" spans="1:46" ht="15.75" customHeight="1">
      <c r="A26" s="485"/>
      <c r="B26" s="486">
        <f t="shared" ca="1" si="0"/>
        <v>1</v>
      </c>
      <c r="C26" s="487">
        <f t="shared" ca="1" si="1"/>
        <v>3</v>
      </c>
      <c r="D26" s="487">
        <f t="shared" ca="1" si="2"/>
        <v>5</v>
      </c>
      <c r="E26" s="487" t="str">
        <f t="shared" ca="1" si="3"/>
        <v/>
      </c>
      <c r="F26" s="487" t="str">
        <f t="shared" ca="1" si="4"/>
        <v/>
      </c>
      <c r="G26" s="488" t="str">
        <f t="shared" ca="1" si="5"/>
        <v/>
      </c>
      <c r="H26" s="489" t="str">
        <f t="shared" ca="1" si="6"/>
        <v/>
      </c>
      <c r="I26" s="509"/>
      <c r="J26" s="522"/>
      <c r="K26" s="522" t="s">
        <v>65</v>
      </c>
      <c r="L26" s="522"/>
      <c r="M26" s="522"/>
      <c r="N26" s="522"/>
      <c r="O26" s="522"/>
      <c r="P26" s="522"/>
      <c r="Q26" s="523"/>
      <c r="R26" s="524" t="s">
        <v>239</v>
      </c>
      <c r="S26" s="525">
        <v>45835</v>
      </c>
      <c r="T26" s="526">
        <v>45835</v>
      </c>
      <c r="U26" s="543"/>
      <c r="V26" s="526"/>
      <c r="W26" s="539">
        <v>0</v>
      </c>
      <c r="X26" s="542"/>
      <c r="Y26" s="540"/>
      <c r="Z26" s="541"/>
      <c r="AA26" s="501"/>
      <c r="AB26" s="502"/>
      <c r="AC26" s="503"/>
      <c r="AD26" s="504"/>
      <c r="AE26" s="505"/>
      <c r="AF26" s="506"/>
      <c r="AG26" s="506">
        <f t="shared" ca="1" si="7"/>
        <v>0</v>
      </c>
      <c r="AH26" s="506">
        <f t="shared" ca="1" si="8"/>
        <v>0</v>
      </c>
      <c r="AI26" s="506">
        <f t="shared" si="9"/>
        <v>0</v>
      </c>
      <c r="AJ26" s="506">
        <f t="shared" ca="1" si="10"/>
        <v>0</v>
      </c>
      <c r="AK26" s="506" t="str">
        <f t="shared" ca="1" si="11"/>
        <v/>
      </c>
      <c r="AL26" s="507">
        <f t="shared" ca="1" si="12"/>
        <v>1</v>
      </c>
      <c r="AM26" s="507">
        <f t="shared" ca="1" si="13"/>
        <v>3</v>
      </c>
      <c r="AN26" s="507">
        <f t="shared" ca="1" si="14"/>
        <v>5</v>
      </c>
      <c r="AO26" s="507">
        <f t="shared" ca="1" si="15"/>
        <v>0</v>
      </c>
      <c r="AP26" s="507">
        <f t="shared" ca="1" si="16"/>
        <v>0</v>
      </c>
      <c r="AQ26" s="507">
        <f t="shared" ca="1" si="17"/>
        <v>0</v>
      </c>
      <c r="AR26" s="507">
        <f t="shared" ca="1" si="18"/>
        <v>0</v>
      </c>
      <c r="AS26" s="508"/>
      <c r="AT26" s="507">
        <f t="shared" si="19"/>
        <v>1</v>
      </c>
    </row>
    <row r="27" spans="1:46" ht="15.75" customHeight="1">
      <c r="A27" s="485"/>
      <c r="B27" s="486">
        <f t="shared" ca="1" si="0"/>
        <v>1</v>
      </c>
      <c r="C27" s="487">
        <f t="shared" ca="1" si="1"/>
        <v>3</v>
      </c>
      <c r="D27" s="487">
        <f t="shared" ca="1" si="2"/>
        <v>6</v>
      </c>
      <c r="E27" s="487" t="str">
        <f t="shared" ca="1" si="3"/>
        <v/>
      </c>
      <c r="F27" s="487" t="str">
        <f t="shared" ca="1" si="4"/>
        <v/>
      </c>
      <c r="G27" s="488" t="str">
        <f t="shared" ca="1" si="5"/>
        <v/>
      </c>
      <c r="H27" s="489" t="str">
        <f t="shared" ca="1" si="6"/>
        <v/>
      </c>
      <c r="I27" s="509"/>
      <c r="J27" s="522"/>
      <c r="K27" s="522" t="s">
        <v>66</v>
      </c>
      <c r="L27" s="522"/>
      <c r="M27" s="522"/>
      <c r="N27" s="522"/>
      <c r="O27" s="522"/>
      <c r="P27" s="522"/>
      <c r="Q27" s="523"/>
      <c r="R27" s="524" t="s">
        <v>238</v>
      </c>
      <c r="S27" s="525">
        <v>45838</v>
      </c>
      <c r="T27" s="526">
        <v>45838</v>
      </c>
      <c r="U27" s="543"/>
      <c r="V27" s="526"/>
      <c r="W27" s="539">
        <v>0</v>
      </c>
      <c r="X27" s="542"/>
      <c r="Y27" s="540"/>
      <c r="Z27" s="541"/>
      <c r="AA27" s="501"/>
      <c r="AB27" s="502"/>
      <c r="AC27" s="503"/>
      <c r="AD27" s="504"/>
      <c r="AE27" s="505"/>
      <c r="AF27" s="506"/>
      <c r="AG27" s="506">
        <f t="shared" ca="1" si="7"/>
        <v>0</v>
      </c>
      <c r="AH27" s="506">
        <f t="shared" ca="1" si="8"/>
        <v>0</v>
      </c>
      <c r="AI27" s="506">
        <f t="shared" si="9"/>
        <v>0</v>
      </c>
      <c r="AJ27" s="506">
        <f t="shared" ca="1" si="10"/>
        <v>0</v>
      </c>
      <c r="AK27" s="506" t="str">
        <f t="shared" ca="1" si="11"/>
        <v/>
      </c>
      <c r="AL27" s="507">
        <f t="shared" ca="1" si="12"/>
        <v>1</v>
      </c>
      <c r="AM27" s="507">
        <f t="shared" ca="1" si="13"/>
        <v>3</v>
      </c>
      <c r="AN27" s="507">
        <f t="shared" ca="1" si="14"/>
        <v>6</v>
      </c>
      <c r="AO27" s="507">
        <f t="shared" ca="1" si="15"/>
        <v>0</v>
      </c>
      <c r="AP27" s="507">
        <f t="shared" ca="1" si="16"/>
        <v>0</v>
      </c>
      <c r="AQ27" s="507">
        <f t="shared" ca="1" si="17"/>
        <v>0</v>
      </c>
      <c r="AR27" s="507">
        <f t="shared" ca="1" si="18"/>
        <v>0</v>
      </c>
      <c r="AS27" s="508"/>
      <c r="AT27" s="507">
        <f t="shared" si="19"/>
        <v>1</v>
      </c>
    </row>
    <row r="28" spans="1:46" ht="15.75" customHeight="1">
      <c r="A28" s="485"/>
      <c r="B28" s="486">
        <f t="shared" ca="1" si="0"/>
        <v>1</v>
      </c>
      <c r="C28" s="487">
        <f t="shared" ca="1" si="1"/>
        <v>4</v>
      </c>
      <c r="D28" s="487" t="str">
        <f t="shared" ca="1" si="2"/>
        <v/>
      </c>
      <c r="E28" s="487" t="str">
        <f t="shared" ca="1" si="3"/>
        <v/>
      </c>
      <c r="F28" s="487" t="str">
        <f t="shared" ca="1" si="4"/>
        <v/>
      </c>
      <c r="G28" s="488" t="str">
        <f t="shared" ca="1" si="5"/>
        <v/>
      </c>
      <c r="H28" s="489" t="str">
        <f t="shared" ca="1" si="6"/>
        <v/>
      </c>
      <c r="I28" s="509"/>
      <c r="J28" s="510" t="s">
        <v>241</v>
      </c>
      <c r="K28" s="511"/>
      <c r="L28" s="511"/>
      <c r="M28" s="511"/>
      <c r="N28" s="511"/>
      <c r="O28" s="511"/>
      <c r="P28" s="511"/>
      <c r="Q28" s="512" t="s">
        <v>73</v>
      </c>
      <c r="R28" s="513"/>
      <c r="S28" s="514"/>
      <c r="T28" s="515"/>
      <c r="U28" s="516"/>
      <c r="V28" s="515"/>
      <c r="W28" s="517"/>
      <c r="X28" s="518"/>
      <c r="Y28" s="519"/>
      <c r="Z28" s="520"/>
      <c r="AA28" s="501"/>
      <c r="AB28" s="502"/>
      <c r="AC28" s="503"/>
      <c r="AD28" s="504"/>
      <c r="AE28" s="505"/>
      <c r="AF28" s="506"/>
      <c r="AG28" s="506">
        <f t="shared" si="7"/>
        <v>0</v>
      </c>
      <c r="AH28" s="506">
        <f t="shared" si="8"/>
        <v>0</v>
      </c>
      <c r="AI28" s="506">
        <f t="shared" si="9"/>
        <v>0</v>
      </c>
      <c r="AJ28" s="506">
        <f t="shared" si="10"/>
        <v>0</v>
      </c>
      <c r="AK28" s="506" t="str">
        <f t="shared" si="11"/>
        <v/>
      </c>
      <c r="AL28" s="507">
        <f t="shared" ca="1" si="12"/>
        <v>1</v>
      </c>
      <c r="AM28" s="507">
        <f t="shared" ca="1" si="13"/>
        <v>4</v>
      </c>
      <c r="AN28" s="507">
        <f t="shared" ca="1" si="14"/>
        <v>0</v>
      </c>
      <c r="AO28" s="507">
        <f t="shared" ca="1" si="15"/>
        <v>0</v>
      </c>
      <c r="AP28" s="507">
        <f t="shared" ca="1" si="16"/>
        <v>0</v>
      </c>
      <c r="AQ28" s="507">
        <f t="shared" ca="1" si="17"/>
        <v>0</v>
      </c>
      <c r="AR28" s="507">
        <f t="shared" ca="1" si="18"/>
        <v>0</v>
      </c>
      <c r="AS28" s="508"/>
      <c r="AT28" s="507">
        <f t="shared" si="19"/>
        <v>1</v>
      </c>
    </row>
    <row r="29" spans="1:46" ht="15.75" customHeight="1">
      <c r="A29" s="485"/>
      <c r="B29" s="486">
        <f t="shared" ca="1" si="0"/>
        <v>1</v>
      </c>
      <c r="C29" s="487">
        <f t="shared" ca="1" si="1"/>
        <v>4</v>
      </c>
      <c r="D29" s="487">
        <f t="shared" ca="1" si="2"/>
        <v>1</v>
      </c>
      <c r="E29" s="487" t="str">
        <f t="shared" ca="1" si="3"/>
        <v/>
      </c>
      <c r="F29" s="487" t="str">
        <f t="shared" ca="1" si="4"/>
        <v/>
      </c>
      <c r="G29" s="488" t="str">
        <f t="shared" ca="1" si="5"/>
        <v/>
      </c>
      <c r="H29" s="489" t="str">
        <f t="shared" ca="1" si="6"/>
        <v/>
      </c>
      <c r="I29" s="509"/>
      <c r="J29" s="522"/>
      <c r="K29" s="522" t="s">
        <v>59</v>
      </c>
      <c r="L29" s="522"/>
      <c r="M29" s="522"/>
      <c r="N29" s="522"/>
      <c r="O29" s="522"/>
      <c r="P29" s="522"/>
      <c r="Q29" s="523"/>
      <c r="R29" s="524" t="s">
        <v>165</v>
      </c>
      <c r="S29" s="525">
        <v>45819</v>
      </c>
      <c r="T29" s="526">
        <v>45825</v>
      </c>
      <c r="U29" s="525">
        <v>45819</v>
      </c>
      <c r="V29" s="526"/>
      <c r="W29" s="539">
        <v>0.6</v>
      </c>
      <c r="X29" s="539">
        <v>0.6</v>
      </c>
      <c r="Y29" s="540"/>
      <c r="Z29" s="541"/>
      <c r="AA29" s="501"/>
      <c r="AB29" s="502"/>
      <c r="AC29" s="503"/>
      <c r="AD29" s="504"/>
      <c r="AE29" s="505"/>
      <c r="AF29" s="506"/>
      <c r="AG29" s="506">
        <f t="shared" ca="1" si="7"/>
        <v>0</v>
      </c>
      <c r="AH29" s="506">
        <f t="shared" ca="1" si="8"/>
        <v>0</v>
      </c>
      <c r="AI29" s="506">
        <f t="shared" si="9"/>
        <v>0</v>
      </c>
      <c r="AJ29" s="506">
        <f t="shared" ca="1" si="10"/>
        <v>0</v>
      </c>
      <c r="AK29" s="506" t="str">
        <f t="shared" ca="1" si="11"/>
        <v/>
      </c>
      <c r="AL29" s="507">
        <f t="shared" ca="1" si="12"/>
        <v>1</v>
      </c>
      <c r="AM29" s="507">
        <f t="shared" ca="1" si="13"/>
        <v>4</v>
      </c>
      <c r="AN29" s="507">
        <f t="shared" ca="1" si="14"/>
        <v>1</v>
      </c>
      <c r="AO29" s="507">
        <f t="shared" ca="1" si="15"/>
        <v>0</v>
      </c>
      <c r="AP29" s="507">
        <f t="shared" ca="1" si="16"/>
        <v>0</v>
      </c>
      <c r="AQ29" s="507">
        <f t="shared" ca="1" si="17"/>
        <v>0</v>
      </c>
      <c r="AR29" s="507">
        <f t="shared" ca="1" si="18"/>
        <v>0</v>
      </c>
      <c r="AS29" s="508"/>
      <c r="AT29" s="507">
        <f t="shared" si="19"/>
        <v>7</v>
      </c>
    </row>
    <row r="30" spans="1:46" ht="15.75" customHeight="1">
      <c r="A30" s="485"/>
      <c r="B30" s="486">
        <f t="shared" ca="1" si="0"/>
        <v>1</v>
      </c>
      <c r="C30" s="487">
        <f t="shared" ca="1" si="1"/>
        <v>4</v>
      </c>
      <c r="D30" s="487">
        <f t="shared" ca="1" si="2"/>
        <v>2</v>
      </c>
      <c r="E30" s="487" t="str">
        <f t="shared" ca="1" si="3"/>
        <v/>
      </c>
      <c r="F30" s="487" t="str">
        <f t="shared" ca="1" si="4"/>
        <v/>
      </c>
      <c r="G30" s="488" t="str">
        <f t="shared" ca="1" si="5"/>
        <v/>
      </c>
      <c r="H30" s="489" t="str">
        <f t="shared" ca="1" si="6"/>
        <v/>
      </c>
      <c r="I30" s="509"/>
      <c r="J30" s="522"/>
      <c r="K30" s="522" t="s">
        <v>145</v>
      </c>
      <c r="L30" s="522"/>
      <c r="M30" s="522"/>
      <c r="N30" s="522"/>
      <c r="O30" s="522"/>
      <c r="P30" s="522"/>
      <c r="Q30" s="523"/>
      <c r="R30" s="524" t="s">
        <v>242</v>
      </c>
      <c r="S30" s="525">
        <v>45826</v>
      </c>
      <c r="T30" s="526">
        <v>45826</v>
      </c>
      <c r="U30" s="543"/>
      <c r="V30" s="526"/>
      <c r="W30" s="539">
        <v>0</v>
      </c>
      <c r="X30" s="542"/>
      <c r="Y30" s="540"/>
      <c r="Z30" s="541"/>
      <c r="AA30" s="501"/>
      <c r="AB30" s="502"/>
      <c r="AC30" s="503"/>
      <c r="AD30" s="504"/>
      <c r="AE30" s="505"/>
      <c r="AF30" s="506"/>
      <c r="AG30" s="506">
        <f t="shared" ca="1" si="7"/>
        <v>0</v>
      </c>
      <c r="AH30" s="506">
        <f t="shared" ca="1" si="8"/>
        <v>0</v>
      </c>
      <c r="AI30" s="506">
        <f t="shared" si="9"/>
        <v>0</v>
      </c>
      <c r="AJ30" s="506">
        <f t="shared" ca="1" si="10"/>
        <v>0</v>
      </c>
      <c r="AK30" s="506" t="str">
        <f t="shared" ca="1" si="11"/>
        <v/>
      </c>
      <c r="AL30" s="507">
        <f t="shared" ca="1" si="12"/>
        <v>1</v>
      </c>
      <c r="AM30" s="507">
        <f t="shared" ca="1" si="13"/>
        <v>4</v>
      </c>
      <c r="AN30" s="507">
        <f t="shared" ca="1" si="14"/>
        <v>2</v>
      </c>
      <c r="AO30" s="507">
        <f t="shared" ca="1" si="15"/>
        <v>0</v>
      </c>
      <c r="AP30" s="507">
        <f t="shared" ca="1" si="16"/>
        <v>0</v>
      </c>
      <c r="AQ30" s="507">
        <f t="shared" ca="1" si="17"/>
        <v>0</v>
      </c>
      <c r="AR30" s="507">
        <f t="shared" ca="1" si="18"/>
        <v>0</v>
      </c>
      <c r="AS30" s="508"/>
      <c r="AT30" s="507">
        <f t="shared" si="19"/>
        <v>1</v>
      </c>
    </row>
    <row r="31" spans="1:46" ht="15.75" customHeight="1">
      <c r="A31" s="485"/>
      <c r="B31" s="486">
        <f t="shared" ca="1" si="0"/>
        <v>1</v>
      </c>
      <c r="C31" s="487">
        <f t="shared" ca="1" si="1"/>
        <v>4</v>
      </c>
      <c r="D31" s="487">
        <f t="shared" ca="1" si="2"/>
        <v>3</v>
      </c>
      <c r="E31" s="487" t="str">
        <f t="shared" ca="1" si="3"/>
        <v/>
      </c>
      <c r="F31" s="487" t="str">
        <f t="shared" ca="1" si="4"/>
        <v/>
      </c>
      <c r="G31" s="488" t="str">
        <f t="shared" ca="1" si="5"/>
        <v/>
      </c>
      <c r="H31" s="489" t="str">
        <f t="shared" ca="1" si="6"/>
        <v/>
      </c>
      <c r="I31" s="509"/>
      <c r="J31" s="522"/>
      <c r="K31" s="522" t="s">
        <v>63</v>
      </c>
      <c r="L31" s="522"/>
      <c r="M31" s="522"/>
      <c r="N31" s="522"/>
      <c r="O31" s="522"/>
      <c r="P31" s="522"/>
      <c r="Q31" s="523"/>
      <c r="R31" s="524" t="s">
        <v>165</v>
      </c>
      <c r="S31" s="525">
        <v>45832</v>
      </c>
      <c r="T31" s="526">
        <v>45833</v>
      </c>
      <c r="U31" s="543"/>
      <c r="V31" s="526"/>
      <c r="W31" s="539">
        <v>0</v>
      </c>
      <c r="X31" s="542"/>
      <c r="Y31" s="540"/>
      <c r="Z31" s="541"/>
      <c r="AA31" s="501"/>
      <c r="AB31" s="502"/>
      <c r="AC31" s="503"/>
      <c r="AD31" s="504"/>
      <c r="AE31" s="505"/>
      <c r="AF31" s="506"/>
      <c r="AG31" s="506">
        <f t="shared" ca="1" si="7"/>
        <v>0</v>
      </c>
      <c r="AH31" s="506">
        <f t="shared" ca="1" si="8"/>
        <v>0</v>
      </c>
      <c r="AI31" s="506">
        <f t="shared" si="9"/>
        <v>0</v>
      </c>
      <c r="AJ31" s="506">
        <f t="shared" ca="1" si="10"/>
        <v>0</v>
      </c>
      <c r="AK31" s="506" t="str">
        <f t="shared" ca="1" si="11"/>
        <v/>
      </c>
      <c r="AL31" s="507">
        <f t="shared" ca="1" si="12"/>
        <v>1</v>
      </c>
      <c r="AM31" s="507">
        <f t="shared" ca="1" si="13"/>
        <v>4</v>
      </c>
      <c r="AN31" s="507">
        <f t="shared" ca="1" si="14"/>
        <v>3</v>
      </c>
      <c r="AO31" s="507">
        <f t="shared" ca="1" si="15"/>
        <v>0</v>
      </c>
      <c r="AP31" s="507">
        <f t="shared" ca="1" si="16"/>
        <v>0</v>
      </c>
      <c r="AQ31" s="507">
        <f t="shared" ca="1" si="17"/>
        <v>0</v>
      </c>
      <c r="AR31" s="507">
        <f t="shared" ca="1" si="18"/>
        <v>0</v>
      </c>
      <c r="AS31" s="508"/>
      <c r="AT31" s="507">
        <f t="shared" si="19"/>
        <v>2</v>
      </c>
    </row>
    <row r="32" spans="1:46" ht="15.75" customHeight="1">
      <c r="A32" s="485"/>
      <c r="B32" s="486">
        <f t="shared" ca="1" si="0"/>
        <v>1</v>
      </c>
      <c r="C32" s="487">
        <f t="shared" ca="1" si="1"/>
        <v>4</v>
      </c>
      <c r="D32" s="487">
        <f t="shared" ca="1" si="2"/>
        <v>4</v>
      </c>
      <c r="E32" s="487" t="str">
        <f t="shared" ca="1" si="3"/>
        <v/>
      </c>
      <c r="F32" s="487" t="str">
        <f t="shared" ca="1" si="4"/>
        <v/>
      </c>
      <c r="G32" s="488" t="str">
        <f t="shared" ca="1" si="5"/>
        <v/>
      </c>
      <c r="H32" s="489" t="str">
        <f t="shared" ca="1" si="6"/>
        <v/>
      </c>
      <c r="I32" s="509"/>
      <c r="J32" s="522"/>
      <c r="K32" s="522" t="s">
        <v>64</v>
      </c>
      <c r="L32" s="522"/>
      <c r="M32" s="522"/>
      <c r="N32" s="522"/>
      <c r="O32" s="522"/>
      <c r="P32" s="522"/>
      <c r="Q32" s="523"/>
      <c r="R32" s="524" t="s">
        <v>242</v>
      </c>
      <c r="S32" s="525">
        <v>45834</v>
      </c>
      <c r="T32" s="526">
        <v>45834</v>
      </c>
      <c r="U32" s="543"/>
      <c r="V32" s="526"/>
      <c r="W32" s="539">
        <v>0</v>
      </c>
      <c r="X32" s="542"/>
      <c r="Y32" s="540"/>
      <c r="Z32" s="541"/>
      <c r="AA32" s="501"/>
      <c r="AB32" s="502"/>
      <c r="AC32" s="503"/>
      <c r="AD32" s="504"/>
      <c r="AE32" s="505"/>
      <c r="AF32" s="506"/>
      <c r="AG32" s="506">
        <f t="shared" ca="1" si="7"/>
        <v>0</v>
      </c>
      <c r="AH32" s="506">
        <f t="shared" ca="1" si="8"/>
        <v>0</v>
      </c>
      <c r="AI32" s="506">
        <f t="shared" si="9"/>
        <v>0</v>
      </c>
      <c r="AJ32" s="506">
        <f t="shared" ca="1" si="10"/>
        <v>0</v>
      </c>
      <c r="AK32" s="506" t="str">
        <f t="shared" ca="1" si="11"/>
        <v/>
      </c>
      <c r="AL32" s="507">
        <f t="shared" ca="1" si="12"/>
        <v>1</v>
      </c>
      <c r="AM32" s="507">
        <f t="shared" ca="1" si="13"/>
        <v>4</v>
      </c>
      <c r="AN32" s="507">
        <f t="shared" ca="1" si="14"/>
        <v>4</v>
      </c>
      <c r="AO32" s="507">
        <f t="shared" ca="1" si="15"/>
        <v>0</v>
      </c>
      <c r="AP32" s="507">
        <f t="shared" ca="1" si="16"/>
        <v>0</v>
      </c>
      <c r="AQ32" s="507">
        <f t="shared" ca="1" si="17"/>
        <v>0</v>
      </c>
      <c r="AR32" s="507">
        <f t="shared" ca="1" si="18"/>
        <v>0</v>
      </c>
      <c r="AS32" s="508"/>
      <c r="AT32" s="507">
        <f t="shared" si="19"/>
        <v>1</v>
      </c>
    </row>
    <row r="33" spans="1:46" ht="15.75" customHeight="1">
      <c r="A33" s="485"/>
      <c r="B33" s="486">
        <f t="shared" ca="1" si="0"/>
        <v>1</v>
      </c>
      <c r="C33" s="487">
        <f t="shared" ca="1" si="1"/>
        <v>4</v>
      </c>
      <c r="D33" s="487">
        <f t="shared" ca="1" si="2"/>
        <v>5</v>
      </c>
      <c r="E33" s="487" t="str">
        <f t="shared" ca="1" si="3"/>
        <v/>
      </c>
      <c r="F33" s="487" t="str">
        <f t="shared" ca="1" si="4"/>
        <v/>
      </c>
      <c r="G33" s="488" t="str">
        <f t="shared" ca="1" si="5"/>
        <v/>
      </c>
      <c r="H33" s="489" t="str">
        <f t="shared" ca="1" si="6"/>
        <v/>
      </c>
      <c r="I33" s="509"/>
      <c r="J33" s="522"/>
      <c r="K33" s="522" t="s">
        <v>65</v>
      </c>
      <c r="L33" s="522"/>
      <c r="M33" s="522"/>
      <c r="N33" s="522"/>
      <c r="O33" s="522"/>
      <c r="P33" s="522"/>
      <c r="Q33" s="523"/>
      <c r="R33" s="524" t="s">
        <v>165</v>
      </c>
      <c r="S33" s="525">
        <v>45835</v>
      </c>
      <c r="T33" s="526">
        <v>45835</v>
      </c>
      <c r="U33" s="543"/>
      <c r="V33" s="526"/>
      <c r="W33" s="539">
        <v>0</v>
      </c>
      <c r="X33" s="542"/>
      <c r="Y33" s="540"/>
      <c r="Z33" s="541"/>
      <c r="AA33" s="501"/>
      <c r="AB33" s="502"/>
      <c r="AC33" s="503"/>
      <c r="AD33" s="504"/>
      <c r="AE33" s="505"/>
      <c r="AF33" s="506"/>
      <c r="AG33" s="506">
        <f t="shared" ca="1" si="7"/>
        <v>0</v>
      </c>
      <c r="AH33" s="506">
        <f t="shared" ca="1" si="8"/>
        <v>0</v>
      </c>
      <c r="AI33" s="506">
        <f t="shared" si="9"/>
        <v>0</v>
      </c>
      <c r="AJ33" s="506">
        <f t="shared" ca="1" si="10"/>
        <v>0</v>
      </c>
      <c r="AK33" s="506" t="str">
        <f t="shared" ca="1" si="11"/>
        <v/>
      </c>
      <c r="AL33" s="507">
        <f t="shared" ca="1" si="12"/>
        <v>1</v>
      </c>
      <c r="AM33" s="507">
        <f t="shared" ca="1" si="13"/>
        <v>4</v>
      </c>
      <c r="AN33" s="507">
        <f t="shared" ca="1" si="14"/>
        <v>5</v>
      </c>
      <c r="AO33" s="507">
        <f t="shared" ca="1" si="15"/>
        <v>0</v>
      </c>
      <c r="AP33" s="507">
        <f t="shared" ca="1" si="16"/>
        <v>0</v>
      </c>
      <c r="AQ33" s="507">
        <f t="shared" ca="1" si="17"/>
        <v>0</v>
      </c>
      <c r="AR33" s="507">
        <f t="shared" ca="1" si="18"/>
        <v>0</v>
      </c>
      <c r="AS33" s="508"/>
      <c r="AT33" s="507">
        <f t="shared" si="19"/>
        <v>1</v>
      </c>
    </row>
    <row r="34" spans="1:46" ht="15.75" customHeight="1">
      <c r="A34" s="485"/>
      <c r="B34" s="486">
        <f t="shared" ca="1" si="0"/>
        <v>1</v>
      </c>
      <c r="C34" s="487">
        <f t="shared" ca="1" si="1"/>
        <v>4</v>
      </c>
      <c r="D34" s="487">
        <f t="shared" ca="1" si="2"/>
        <v>6</v>
      </c>
      <c r="E34" s="487" t="str">
        <f t="shared" ca="1" si="3"/>
        <v/>
      </c>
      <c r="F34" s="487" t="str">
        <f t="shared" ca="1" si="4"/>
        <v/>
      </c>
      <c r="G34" s="488" t="str">
        <f t="shared" ca="1" si="5"/>
        <v/>
      </c>
      <c r="H34" s="489" t="str">
        <f t="shared" ca="1" si="6"/>
        <v/>
      </c>
      <c r="I34" s="509"/>
      <c r="J34" s="522"/>
      <c r="K34" s="522" t="s">
        <v>66</v>
      </c>
      <c r="L34" s="522"/>
      <c r="M34" s="522"/>
      <c r="N34" s="522"/>
      <c r="O34" s="522"/>
      <c r="P34" s="522"/>
      <c r="Q34" s="523"/>
      <c r="R34" s="524" t="s">
        <v>242</v>
      </c>
      <c r="S34" s="525">
        <v>45838</v>
      </c>
      <c r="T34" s="526">
        <v>45838</v>
      </c>
      <c r="U34" s="543"/>
      <c r="V34" s="526"/>
      <c r="W34" s="539">
        <v>0</v>
      </c>
      <c r="X34" s="542"/>
      <c r="Y34" s="540"/>
      <c r="Z34" s="541"/>
      <c r="AA34" s="501"/>
      <c r="AB34" s="502"/>
      <c r="AC34" s="503"/>
      <c r="AD34" s="504"/>
      <c r="AE34" s="505"/>
      <c r="AF34" s="506"/>
      <c r="AG34" s="506">
        <f t="shared" ca="1" si="7"/>
        <v>0</v>
      </c>
      <c r="AH34" s="506">
        <f t="shared" ca="1" si="8"/>
        <v>0</v>
      </c>
      <c r="AI34" s="506">
        <f t="shared" si="9"/>
        <v>0</v>
      </c>
      <c r="AJ34" s="506">
        <f t="shared" ca="1" si="10"/>
        <v>0</v>
      </c>
      <c r="AK34" s="506" t="str">
        <f t="shared" ca="1" si="11"/>
        <v/>
      </c>
      <c r="AL34" s="507">
        <f t="shared" ca="1" si="12"/>
        <v>1</v>
      </c>
      <c r="AM34" s="507">
        <f t="shared" ca="1" si="13"/>
        <v>4</v>
      </c>
      <c r="AN34" s="507">
        <f t="shared" ca="1" si="14"/>
        <v>6</v>
      </c>
      <c r="AO34" s="507">
        <f t="shared" ca="1" si="15"/>
        <v>0</v>
      </c>
      <c r="AP34" s="507">
        <f t="shared" ca="1" si="16"/>
        <v>0</v>
      </c>
      <c r="AQ34" s="507">
        <f t="shared" ca="1" si="17"/>
        <v>0</v>
      </c>
      <c r="AR34" s="507">
        <f t="shared" ca="1" si="18"/>
        <v>0</v>
      </c>
      <c r="AS34" s="508"/>
      <c r="AT34" s="507">
        <f t="shared" si="19"/>
        <v>1</v>
      </c>
    </row>
    <row r="35" spans="1:46" ht="15.75" customHeight="1">
      <c r="A35" s="485"/>
      <c r="B35" s="486">
        <f t="shared" ca="1" si="0"/>
        <v>1</v>
      </c>
      <c r="C35" s="487">
        <f t="shared" ca="1" si="1"/>
        <v>5</v>
      </c>
      <c r="D35" s="487" t="str">
        <f t="shared" ca="1" si="2"/>
        <v/>
      </c>
      <c r="E35" s="487" t="str">
        <f t="shared" ca="1" si="3"/>
        <v/>
      </c>
      <c r="F35" s="487" t="str">
        <f t="shared" ca="1" si="4"/>
        <v/>
      </c>
      <c r="G35" s="488" t="str">
        <f t="shared" ca="1" si="5"/>
        <v/>
      </c>
      <c r="H35" s="489" t="str">
        <f t="shared" ca="1" si="6"/>
        <v/>
      </c>
      <c r="I35" s="509"/>
      <c r="J35" s="510" t="s">
        <v>243</v>
      </c>
      <c r="K35" s="511"/>
      <c r="L35" s="511"/>
      <c r="M35" s="511"/>
      <c r="N35" s="511"/>
      <c r="O35" s="511"/>
      <c r="P35" s="511"/>
      <c r="Q35" s="512" t="s">
        <v>81</v>
      </c>
      <c r="R35" s="513"/>
      <c r="S35" s="514"/>
      <c r="T35" s="515"/>
      <c r="U35" s="516"/>
      <c r="V35" s="515"/>
      <c r="W35" s="517"/>
      <c r="X35" s="518"/>
      <c r="Y35" s="519"/>
      <c r="Z35" s="520"/>
      <c r="AA35" s="501"/>
      <c r="AB35" s="502"/>
      <c r="AC35" s="503"/>
      <c r="AD35" s="504"/>
      <c r="AE35" s="505"/>
      <c r="AF35" s="506"/>
      <c r="AG35" s="506">
        <f t="shared" si="7"/>
        <v>0</v>
      </c>
      <c r="AH35" s="506">
        <f t="shared" si="8"/>
        <v>0</v>
      </c>
      <c r="AI35" s="506">
        <f t="shared" si="9"/>
        <v>0</v>
      </c>
      <c r="AJ35" s="506">
        <f t="shared" si="10"/>
        <v>0</v>
      </c>
      <c r="AK35" s="506" t="str">
        <f t="shared" si="11"/>
        <v/>
      </c>
      <c r="AL35" s="507">
        <f t="shared" ca="1" si="12"/>
        <v>1</v>
      </c>
      <c r="AM35" s="507">
        <f t="shared" ca="1" si="13"/>
        <v>5</v>
      </c>
      <c r="AN35" s="507">
        <f t="shared" ca="1" si="14"/>
        <v>0</v>
      </c>
      <c r="AO35" s="507">
        <f t="shared" ca="1" si="15"/>
        <v>0</v>
      </c>
      <c r="AP35" s="507">
        <f t="shared" ca="1" si="16"/>
        <v>0</v>
      </c>
      <c r="AQ35" s="507">
        <f t="shared" ca="1" si="17"/>
        <v>0</v>
      </c>
      <c r="AR35" s="507">
        <f t="shared" ca="1" si="18"/>
        <v>0</v>
      </c>
      <c r="AS35" s="508"/>
      <c r="AT35" s="507">
        <f t="shared" si="19"/>
        <v>1</v>
      </c>
    </row>
    <row r="36" spans="1:46" ht="15.75" customHeight="1">
      <c r="A36" s="485"/>
      <c r="B36" s="486">
        <f t="shared" ca="1" si="0"/>
        <v>1</v>
      </c>
      <c r="C36" s="487">
        <f t="shared" ca="1" si="1"/>
        <v>5</v>
      </c>
      <c r="D36" s="487">
        <f t="shared" ca="1" si="2"/>
        <v>1</v>
      </c>
      <c r="E36" s="487" t="str">
        <f t="shared" ca="1" si="3"/>
        <v/>
      </c>
      <c r="F36" s="487" t="str">
        <f t="shared" ca="1" si="4"/>
        <v/>
      </c>
      <c r="G36" s="488" t="str">
        <f t="shared" ca="1" si="5"/>
        <v/>
      </c>
      <c r="H36" s="489" t="str">
        <f t="shared" ca="1" si="6"/>
        <v/>
      </c>
      <c r="I36" s="509"/>
      <c r="J36" s="522"/>
      <c r="K36" s="522" t="s">
        <v>59</v>
      </c>
      <c r="L36" s="522"/>
      <c r="M36" s="522"/>
      <c r="N36" s="522"/>
      <c r="O36" s="522"/>
      <c r="P36" s="522"/>
      <c r="Q36" s="523"/>
      <c r="R36" s="524" t="s">
        <v>238</v>
      </c>
      <c r="S36" s="543">
        <v>45812</v>
      </c>
      <c r="T36" s="526">
        <v>45817</v>
      </c>
      <c r="U36" s="543">
        <v>45812</v>
      </c>
      <c r="V36" s="526">
        <v>45817</v>
      </c>
      <c r="W36" s="539">
        <v>1</v>
      </c>
      <c r="X36" s="542">
        <v>1</v>
      </c>
      <c r="Y36" s="540"/>
      <c r="Z36" s="541"/>
      <c r="AA36" s="501"/>
      <c r="AB36" s="502"/>
      <c r="AC36" s="503"/>
      <c r="AD36" s="504"/>
      <c r="AE36" s="505"/>
      <c r="AF36" s="506"/>
      <c r="AG36" s="506">
        <f t="shared" ca="1" si="7"/>
        <v>0</v>
      </c>
      <c r="AH36" s="506">
        <f t="shared" ca="1" si="8"/>
        <v>0</v>
      </c>
      <c r="AI36" s="506">
        <f t="shared" si="9"/>
        <v>0</v>
      </c>
      <c r="AJ36" s="506">
        <f t="shared" ca="1" si="10"/>
        <v>0</v>
      </c>
      <c r="AK36" s="506" t="str">
        <f t="shared" ca="1" si="11"/>
        <v/>
      </c>
      <c r="AL36" s="507">
        <f t="shared" ca="1" si="12"/>
        <v>1</v>
      </c>
      <c r="AM36" s="507">
        <f t="shared" ca="1" si="13"/>
        <v>5</v>
      </c>
      <c r="AN36" s="507">
        <f t="shared" ca="1" si="14"/>
        <v>1</v>
      </c>
      <c r="AO36" s="507">
        <f t="shared" ca="1" si="15"/>
        <v>0</v>
      </c>
      <c r="AP36" s="507">
        <f t="shared" ca="1" si="16"/>
        <v>0</v>
      </c>
      <c r="AQ36" s="507">
        <f t="shared" ca="1" si="17"/>
        <v>0</v>
      </c>
      <c r="AR36" s="507">
        <f t="shared" ca="1" si="18"/>
        <v>0</v>
      </c>
      <c r="AS36" s="508"/>
      <c r="AT36" s="507">
        <f t="shared" si="19"/>
        <v>6</v>
      </c>
    </row>
    <row r="37" spans="1:46" ht="15.75" customHeight="1">
      <c r="A37" s="485"/>
      <c r="B37" s="486">
        <f t="shared" ca="1" si="0"/>
        <v>1</v>
      </c>
      <c r="C37" s="487">
        <f t="shared" ca="1" si="1"/>
        <v>5</v>
      </c>
      <c r="D37" s="487">
        <f t="shared" ca="1" si="2"/>
        <v>2</v>
      </c>
      <c r="E37" s="487" t="str">
        <f t="shared" ca="1" si="3"/>
        <v/>
      </c>
      <c r="F37" s="487" t="str">
        <f t="shared" ca="1" si="4"/>
        <v/>
      </c>
      <c r="G37" s="488" t="str">
        <f t="shared" ca="1" si="5"/>
        <v/>
      </c>
      <c r="H37" s="489" t="str">
        <f t="shared" ca="1" si="6"/>
        <v/>
      </c>
      <c r="I37" s="509"/>
      <c r="J37" s="522"/>
      <c r="K37" s="522" t="s">
        <v>145</v>
      </c>
      <c r="L37" s="522"/>
      <c r="M37" s="522"/>
      <c r="N37" s="522"/>
      <c r="O37" s="522"/>
      <c r="P37" s="522"/>
      <c r="Q37" s="523"/>
      <c r="R37" s="524" t="s">
        <v>239</v>
      </c>
      <c r="S37" s="525">
        <v>45818</v>
      </c>
      <c r="T37" s="526">
        <v>45818</v>
      </c>
      <c r="U37" s="525">
        <v>45818</v>
      </c>
      <c r="V37" s="526">
        <v>45818</v>
      </c>
      <c r="W37" s="539">
        <v>1</v>
      </c>
      <c r="X37" s="542">
        <v>1</v>
      </c>
      <c r="Y37" s="540"/>
      <c r="Z37" s="541"/>
      <c r="AA37" s="501"/>
      <c r="AB37" s="502"/>
      <c r="AC37" s="503"/>
      <c r="AD37" s="504"/>
      <c r="AE37" s="505"/>
      <c r="AF37" s="506"/>
      <c r="AG37" s="506">
        <f t="shared" ca="1" si="7"/>
        <v>0</v>
      </c>
      <c r="AH37" s="506">
        <f t="shared" ca="1" si="8"/>
        <v>0</v>
      </c>
      <c r="AI37" s="506">
        <f t="shared" si="9"/>
        <v>0</v>
      </c>
      <c r="AJ37" s="506">
        <f t="shared" ca="1" si="10"/>
        <v>0</v>
      </c>
      <c r="AK37" s="506" t="str">
        <f t="shared" ca="1" si="11"/>
        <v/>
      </c>
      <c r="AL37" s="507">
        <f t="shared" ca="1" si="12"/>
        <v>1</v>
      </c>
      <c r="AM37" s="507">
        <f t="shared" ca="1" si="13"/>
        <v>5</v>
      </c>
      <c r="AN37" s="507">
        <f t="shared" ca="1" si="14"/>
        <v>2</v>
      </c>
      <c r="AO37" s="507">
        <f t="shared" ca="1" si="15"/>
        <v>0</v>
      </c>
      <c r="AP37" s="507">
        <f t="shared" ca="1" si="16"/>
        <v>0</v>
      </c>
      <c r="AQ37" s="507">
        <f t="shared" ca="1" si="17"/>
        <v>0</v>
      </c>
      <c r="AR37" s="507">
        <f t="shared" ca="1" si="18"/>
        <v>0</v>
      </c>
      <c r="AS37" s="508"/>
      <c r="AT37" s="507">
        <f t="shared" si="19"/>
        <v>1</v>
      </c>
    </row>
    <row r="38" spans="1:46" ht="15.75" customHeight="1">
      <c r="A38" s="485"/>
      <c r="B38" s="486">
        <f t="shared" ca="1" si="0"/>
        <v>1</v>
      </c>
      <c r="C38" s="487">
        <f t="shared" ca="1" si="1"/>
        <v>5</v>
      </c>
      <c r="D38" s="487">
        <f t="shared" ca="1" si="2"/>
        <v>3</v>
      </c>
      <c r="E38" s="487" t="str">
        <f t="shared" ca="1" si="3"/>
        <v/>
      </c>
      <c r="F38" s="487" t="str">
        <f t="shared" ca="1" si="4"/>
        <v/>
      </c>
      <c r="G38" s="488" t="str">
        <f t="shared" ca="1" si="5"/>
        <v/>
      </c>
      <c r="H38" s="489" t="str">
        <f t="shared" ca="1" si="6"/>
        <v/>
      </c>
      <c r="I38" s="509"/>
      <c r="J38" s="522"/>
      <c r="K38" s="522" t="s">
        <v>63</v>
      </c>
      <c r="L38" s="522"/>
      <c r="M38" s="522"/>
      <c r="N38" s="522"/>
      <c r="O38" s="522"/>
      <c r="P38" s="522"/>
      <c r="Q38" s="523"/>
      <c r="R38" s="524" t="s">
        <v>238</v>
      </c>
      <c r="S38" s="525">
        <v>45827</v>
      </c>
      <c r="T38" s="526">
        <v>45827</v>
      </c>
      <c r="U38" s="525"/>
      <c r="V38" s="526"/>
      <c r="W38" s="539">
        <v>0</v>
      </c>
      <c r="X38" s="542"/>
      <c r="Y38" s="540"/>
      <c r="Z38" s="541"/>
      <c r="AA38" s="501"/>
      <c r="AB38" s="502"/>
      <c r="AC38" s="503"/>
      <c r="AD38" s="504"/>
      <c r="AE38" s="505"/>
      <c r="AF38" s="506"/>
      <c r="AG38" s="506">
        <f t="shared" ca="1" si="7"/>
        <v>0</v>
      </c>
      <c r="AH38" s="506">
        <f t="shared" ca="1" si="8"/>
        <v>0</v>
      </c>
      <c r="AI38" s="506">
        <f t="shared" si="9"/>
        <v>0</v>
      </c>
      <c r="AJ38" s="506">
        <f t="shared" ca="1" si="10"/>
        <v>0</v>
      </c>
      <c r="AK38" s="506" t="str">
        <f t="shared" ca="1" si="11"/>
        <v/>
      </c>
      <c r="AL38" s="507">
        <f t="shared" ca="1" si="12"/>
        <v>1</v>
      </c>
      <c r="AM38" s="507">
        <f t="shared" ca="1" si="13"/>
        <v>5</v>
      </c>
      <c r="AN38" s="507">
        <f t="shared" ca="1" si="14"/>
        <v>3</v>
      </c>
      <c r="AO38" s="507">
        <f t="shared" ca="1" si="15"/>
        <v>0</v>
      </c>
      <c r="AP38" s="507">
        <f t="shared" ca="1" si="16"/>
        <v>0</v>
      </c>
      <c r="AQ38" s="507">
        <f t="shared" ca="1" si="17"/>
        <v>0</v>
      </c>
      <c r="AR38" s="507">
        <f t="shared" ca="1" si="18"/>
        <v>0</v>
      </c>
      <c r="AS38" s="508"/>
      <c r="AT38" s="507">
        <f t="shared" si="19"/>
        <v>1</v>
      </c>
    </row>
    <row r="39" spans="1:46" ht="15.75" customHeight="1">
      <c r="A39" s="485"/>
      <c r="B39" s="486">
        <f t="shared" ca="1" si="0"/>
        <v>1</v>
      </c>
      <c r="C39" s="487">
        <f t="shared" ca="1" si="1"/>
        <v>5</v>
      </c>
      <c r="D39" s="487">
        <f t="shared" ca="1" si="2"/>
        <v>4</v>
      </c>
      <c r="E39" s="487" t="str">
        <f t="shared" ca="1" si="3"/>
        <v/>
      </c>
      <c r="F39" s="487" t="str">
        <f t="shared" ca="1" si="4"/>
        <v/>
      </c>
      <c r="G39" s="488" t="str">
        <f t="shared" ca="1" si="5"/>
        <v/>
      </c>
      <c r="H39" s="489" t="str">
        <f t="shared" ca="1" si="6"/>
        <v/>
      </c>
      <c r="I39" s="509"/>
      <c r="J39" s="522"/>
      <c r="K39" s="522" t="s">
        <v>64</v>
      </c>
      <c r="L39" s="522"/>
      <c r="M39" s="522"/>
      <c r="N39" s="522"/>
      <c r="O39" s="522"/>
      <c r="P39" s="522"/>
      <c r="Q39" s="523"/>
      <c r="R39" s="524" t="s">
        <v>239</v>
      </c>
      <c r="S39" s="525">
        <v>45827</v>
      </c>
      <c r="T39" s="526">
        <v>45827</v>
      </c>
      <c r="U39" s="525"/>
      <c r="V39" s="526"/>
      <c r="W39" s="539">
        <v>0</v>
      </c>
      <c r="X39" s="542"/>
      <c r="Y39" s="540"/>
      <c r="Z39" s="541"/>
      <c r="AA39" s="501"/>
      <c r="AB39" s="502"/>
      <c r="AC39" s="503"/>
      <c r="AD39" s="504"/>
      <c r="AE39" s="505"/>
      <c r="AF39" s="506"/>
      <c r="AG39" s="506">
        <f t="shared" ca="1" si="7"/>
        <v>0</v>
      </c>
      <c r="AH39" s="506">
        <f t="shared" ca="1" si="8"/>
        <v>0</v>
      </c>
      <c r="AI39" s="506">
        <f t="shared" si="9"/>
        <v>0</v>
      </c>
      <c r="AJ39" s="506">
        <f t="shared" ca="1" si="10"/>
        <v>0</v>
      </c>
      <c r="AK39" s="506" t="str">
        <f t="shared" ca="1" si="11"/>
        <v/>
      </c>
      <c r="AL39" s="507">
        <f t="shared" ca="1" si="12"/>
        <v>1</v>
      </c>
      <c r="AM39" s="507">
        <f t="shared" ca="1" si="13"/>
        <v>5</v>
      </c>
      <c r="AN39" s="507">
        <f t="shared" ca="1" si="14"/>
        <v>4</v>
      </c>
      <c r="AO39" s="507">
        <f t="shared" ca="1" si="15"/>
        <v>0</v>
      </c>
      <c r="AP39" s="507">
        <f t="shared" ca="1" si="16"/>
        <v>0</v>
      </c>
      <c r="AQ39" s="507">
        <f t="shared" ca="1" si="17"/>
        <v>0</v>
      </c>
      <c r="AR39" s="507">
        <f t="shared" ca="1" si="18"/>
        <v>0</v>
      </c>
      <c r="AS39" s="508"/>
      <c r="AT39" s="507">
        <f t="shared" si="19"/>
        <v>1</v>
      </c>
    </row>
    <row r="40" spans="1:46" ht="15.75" customHeight="1">
      <c r="A40" s="485"/>
      <c r="B40" s="486">
        <f t="shared" ca="1" si="0"/>
        <v>1</v>
      </c>
      <c r="C40" s="487">
        <f t="shared" ca="1" si="1"/>
        <v>5</v>
      </c>
      <c r="D40" s="487">
        <f t="shared" ca="1" si="2"/>
        <v>5</v>
      </c>
      <c r="E40" s="487" t="str">
        <f t="shared" ca="1" si="3"/>
        <v/>
      </c>
      <c r="F40" s="487" t="str">
        <f t="shared" ca="1" si="4"/>
        <v/>
      </c>
      <c r="G40" s="488" t="str">
        <f t="shared" ca="1" si="5"/>
        <v/>
      </c>
      <c r="H40" s="489" t="str">
        <f t="shared" ca="1" si="6"/>
        <v/>
      </c>
      <c r="I40" s="509"/>
      <c r="J40" s="522"/>
      <c r="K40" s="522" t="s">
        <v>65</v>
      </c>
      <c r="L40" s="522"/>
      <c r="M40" s="522"/>
      <c r="N40" s="522"/>
      <c r="O40" s="522"/>
      <c r="P40" s="522"/>
      <c r="Q40" s="523"/>
      <c r="R40" s="524" t="s">
        <v>238</v>
      </c>
      <c r="S40" s="525">
        <v>45828</v>
      </c>
      <c r="T40" s="526">
        <v>45828</v>
      </c>
      <c r="U40" s="525"/>
      <c r="V40" s="526"/>
      <c r="W40" s="539">
        <v>0</v>
      </c>
      <c r="X40" s="542"/>
      <c r="Y40" s="540"/>
      <c r="Z40" s="541"/>
      <c r="AA40" s="501"/>
      <c r="AB40" s="502"/>
      <c r="AC40" s="503"/>
      <c r="AD40" s="504"/>
      <c r="AE40" s="505"/>
      <c r="AF40" s="506"/>
      <c r="AG40" s="506">
        <f t="shared" ca="1" si="7"/>
        <v>0</v>
      </c>
      <c r="AH40" s="506">
        <f t="shared" ca="1" si="8"/>
        <v>0</v>
      </c>
      <c r="AI40" s="506">
        <f t="shared" si="9"/>
        <v>0</v>
      </c>
      <c r="AJ40" s="506">
        <f t="shared" ca="1" si="10"/>
        <v>0</v>
      </c>
      <c r="AK40" s="506" t="str">
        <f t="shared" ca="1" si="11"/>
        <v/>
      </c>
      <c r="AL40" s="507">
        <f t="shared" ca="1" si="12"/>
        <v>1</v>
      </c>
      <c r="AM40" s="507">
        <f t="shared" ca="1" si="13"/>
        <v>5</v>
      </c>
      <c r="AN40" s="507">
        <f t="shared" ca="1" si="14"/>
        <v>5</v>
      </c>
      <c r="AO40" s="507">
        <f t="shared" ca="1" si="15"/>
        <v>0</v>
      </c>
      <c r="AP40" s="507">
        <f t="shared" ca="1" si="16"/>
        <v>0</v>
      </c>
      <c r="AQ40" s="507">
        <f t="shared" ca="1" si="17"/>
        <v>0</v>
      </c>
      <c r="AR40" s="507">
        <f t="shared" ca="1" si="18"/>
        <v>0</v>
      </c>
      <c r="AS40" s="508"/>
      <c r="AT40" s="507">
        <f t="shared" si="19"/>
        <v>1</v>
      </c>
    </row>
    <row r="41" spans="1:46" ht="15.75" customHeight="1">
      <c r="A41" s="485"/>
      <c r="B41" s="486">
        <f t="shared" ca="1" si="0"/>
        <v>1</v>
      </c>
      <c r="C41" s="487">
        <f t="shared" ca="1" si="1"/>
        <v>5</v>
      </c>
      <c r="D41" s="487">
        <f t="shared" ca="1" si="2"/>
        <v>6</v>
      </c>
      <c r="E41" s="487" t="str">
        <f t="shared" ca="1" si="3"/>
        <v/>
      </c>
      <c r="F41" s="487" t="str">
        <f t="shared" ca="1" si="4"/>
        <v/>
      </c>
      <c r="G41" s="488" t="str">
        <f t="shared" ca="1" si="5"/>
        <v/>
      </c>
      <c r="H41" s="489" t="str">
        <f t="shared" ca="1" si="6"/>
        <v/>
      </c>
      <c r="I41" s="509"/>
      <c r="J41" s="522"/>
      <c r="K41" s="522" t="s">
        <v>66</v>
      </c>
      <c r="L41" s="522"/>
      <c r="M41" s="522"/>
      <c r="N41" s="522"/>
      <c r="O41" s="522"/>
      <c r="P41" s="522"/>
      <c r="Q41" s="523"/>
      <c r="R41" s="524" t="s">
        <v>239</v>
      </c>
      <c r="S41" s="525">
        <v>45831</v>
      </c>
      <c r="T41" s="526">
        <v>45831</v>
      </c>
      <c r="U41" s="525"/>
      <c r="V41" s="526"/>
      <c r="W41" s="539">
        <v>0</v>
      </c>
      <c r="X41" s="542"/>
      <c r="Y41" s="540"/>
      <c r="Z41" s="541"/>
      <c r="AA41" s="501"/>
      <c r="AB41" s="502"/>
      <c r="AC41" s="503"/>
      <c r="AD41" s="504"/>
      <c r="AE41" s="505"/>
      <c r="AF41" s="506"/>
      <c r="AG41" s="506">
        <f t="shared" ca="1" si="7"/>
        <v>0</v>
      </c>
      <c r="AH41" s="506">
        <f t="shared" ca="1" si="8"/>
        <v>0</v>
      </c>
      <c r="AI41" s="506">
        <f t="shared" si="9"/>
        <v>0</v>
      </c>
      <c r="AJ41" s="506">
        <f t="shared" ca="1" si="10"/>
        <v>0</v>
      </c>
      <c r="AK41" s="506" t="str">
        <f t="shared" ca="1" si="11"/>
        <v/>
      </c>
      <c r="AL41" s="507">
        <f t="shared" ca="1" si="12"/>
        <v>1</v>
      </c>
      <c r="AM41" s="507">
        <f t="shared" ca="1" si="13"/>
        <v>5</v>
      </c>
      <c r="AN41" s="507">
        <f t="shared" ca="1" si="14"/>
        <v>6</v>
      </c>
      <c r="AO41" s="507">
        <f t="shared" ca="1" si="15"/>
        <v>0</v>
      </c>
      <c r="AP41" s="507">
        <f t="shared" ca="1" si="16"/>
        <v>0</v>
      </c>
      <c r="AQ41" s="507">
        <f t="shared" ca="1" si="17"/>
        <v>0</v>
      </c>
      <c r="AR41" s="507">
        <f t="shared" ca="1" si="18"/>
        <v>0</v>
      </c>
      <c r="AS41" s="508"/>
      <c r="AT41" s="507">
        <f t="shared" si="19"/>
        <v>1</v>
      </c>
    </row>
    <row r="42" spans="1:46" ht="15.75" customHeight="1">
      <c r="A42" s="485"/>
      <c r="B42" s="486">
        <f t="shared" ca="1" si="0"/>
        <v>1</v>
      </c>
      <c r="C42" s="487">
        <f t="shared" ca="1" si="1"/>
        <v>6</v>
      </c>
      <c r="D42" s="487" t="str">
        <f t="shared" ca="1" si="2"/>
        <v/>
      </c>
      <c r="E42" s="487" t="str">
        <f t="shared" ca="1" si="3"/>
        <v/>
      </c>
      <c r="F42" s="487" t="str">
        <f t="shared" ca="1" si="4"/>
        <v/>
      </c>
      <c r="G42" s="488" t="str">
        <f t="shared" ca="1" si="5"/>
        <v/>
      </c>
      <c r="H42" s="489" t="str">
        <f t="shared" ca="1" si="6"/>
        <v/>
      </c>
      <c r="I42" s="509"/>
      <c r="J42" s="510" t="s">
        <v>244</v>
      </c>
      <c r="K42" s="511"/>
      <c r="L42" s="511"/>
      <c r="M42" s="511"/>
      <c r="N42" s="511"/>
      <c r="O42" s="511"/>
      <c r="P42" s="511"/>
      <c r="Q42" s="512" t="s">
        <v>73</v>
      </c>
      <c r="R42" s="513"/>
      <c r="S42" s="514"/>
      <c r="T42" s="515"/>
      <c r="U42" s="516"/>
      <c r="V42" s="515"/>
      <c r="W42" s="517"/>
      <c r="X42" s="518"/>
      <c r="Y42" s="519"/>
      <c r="Z42" s="520"/>
      <c r="AA42" s="501"/>
      <c r="AB42" s="502"/>
      <c r="AC42" s="503"/>
      <c r="AD42" s="504"/>
      <c r="AE42" s="505"/>
      <c r="AF42" s="506"/>
      <c r="AG42" s="506">
        <f t="shared" si="7"/>
        <v>0</v>
      </c>
      <c r="AH42" s="506">
        <f t="shared" si="8"/>
        <v>0</v>
      </c>
      <c r="AI42" s="506">
        <f t="shared" si="9"/>
        <v>0</v>
      </c>
      <c r="AJ42" s="506">
        <f t="shared" si="10"/>
        <v>0</v>
      </c>
      <c r="AK42" s="506" t="str">
        <f t="shared" si="11"/>
        <v/>
      </c>
      <c r="AL42" s="507">
        <f t="shared" ca="1" si="12"/>
        <v>1</v>
      </c>
      <c r="AM42" s="507">
        <f t="shared" ca="1" si="13"/>
        <v>6</v>
      </c>
      <c r="AN42" s="507">
        <f t="shared" ca="1" si="14"/>
        <v>0</v>
      </c>
      <c r="AO42" s="507">
        <f t="shared" ca="1" si="15"/>
        <v>0</v>
      </c>
      <c r="AP42" s="507">
        <f t="shared" ca="1" si="16"/>
        <v>0</v>
      </c>
      <c r="AQ42" s="507">
        <f t="shared" ca="1" si="17"/>
        <v>0</v>
      </c>
      <c r="AR42" s="507">
        <f t="shared" ca="1" si="18"/>
        <v>0</v>
      </c>
      <c r="AS42" s="508"/>
      <c r="AT42" s="507">
        <f t="shared" si="19"/>
        <v>1</v>
      </c>
    </row>
    <row r="43" spans="1:46" ht="15.75" customHeight="1">
      <c r="A43" s="485"/>
      <c r="B43" s="486">
        <f t="shared" ca="1" si="0"/>
        <v>1</v>
      </c>
      <c r="C43" s="487">
        <f t="shared" ca="1" si="1"/>
        <v>6</v>
      </c>
      <c r="D43" s="487">
        <f t="shared" ca="1" si="2"/>
        <v>1</v>
      </c>
      <c r="E43" s="487" t="str">
        <f t="shared" ca="1" si="3"/>
        <v/>
      </c>
      <c r="F43" s="487" t="str">
        <f t="shared" ca="1" si="4"/>
        <v/>
      </c>
      <c r="G43" s="488" t="str">
        <f t="shared" ca="1" si="5"/>
        <v/>
      </c>
      <c r="H43" s="489" t="str">
        <f t="shared" ca="1" si="6"/>
        <v/>
      </c>
      <c r="I43" s="509"/>
      <c r="J43" s="522"/>
      <c r="K43" s="522" t="s">
        <v>59</v>
      </c>
      <c r="L43" s="522"/>
      <c r="M43" s="522"/>
      <c r="N43" s="522"/>
      <c r="O43" s="522"/>
      <c r="P43" s="522"/>
      <c r="Q43" s="523"/>
      <c r="R43" s="524" t="s">
        <v>242</v>
      </c>
      <c r="S43" s="525">
        <v>45819</v>
      </c>
      <c r="T43" s="526">
        <v>45825</v>
      </c>
      <c r="U43" s="525">
        <v>45819</v>
      </c>
      <c r="V43" s="526"/>
      <c r="W43" s="539">
        <v>0.6</v>
      </c>
      <c r="X43" s="539">
        <v>0.6</v>
      </c>
      <c r="Y43" s="540"/>
      <c r="Z43" s="541"/>
      <c r="AA43" s="501"/>
      <c r="AB43" s="502"/>
      <c r="AC43" s="503"/>
      <c r="AD43" s="504"/>
      <c r="AE43" s="505"/>
      <c r="AF43" s="506"/>
      <c r="AG43" s="506">
        <f t="shared" ca="1" si="7"/>
        <v>0</v>
      </c>
      <c r="AH43" s="506">
        <f t="shared" ca="1" si="8"/>
        <v>0</v>
      </c>
      <c r="AI43" s="506">
        <f t="shared" si="9"/>
        <v>0</v>
      </c>
      <c r="AJ43" s="506">
        <f t="shared" ca="1" si="10"/>
        <v>0</v>
      </c>
      <c r="AK43" s="506" t="str">
        <f t="shared" ca="1" si="11"/>
        <v/>
      </c>
      <c r="AL43" s="507">
        <f t="shared" ca="1" si="12"/>
        <v>1</v>
      </c>
      <c r="AM43" s="507">
        <f t="shared" ca="1" si="13"/>
        <v>6</v>
      </c>
      <c r="AN43" s="507">
        <f t="shared" ca="1" si="14"/>
        <v>1</v>
      </c>
      <c r="AO43" s="507">
        <f t="shared" ca="1" si="15"/>
        <v>0</v>
      </c>
      <c r="AP43" s="507">
        <f t="shared" ca="1" si="16"/>
        <v>0</v>
      </c>
      <c r="AQ43" s="507">
        <f t="shared" ca="1" si="17"/>
        <v>0</v>
      </c>
      <c r="AR43" s="507">
        <f t="shared" ca="1" si="18"/>
        <v>0</v>
      </c>
      <c r="AS43" s="508"/>
      <c r="AT43" s="507">
        <f t="shared" si="19"/>
        <v>7</v>
      </c>
    </row>
    <row r="44" spans="1:46" ht="15.75" customHeight="1">
      <c r="A44" s="485"/>
      <c r="B44" s="486">
        <f t="shared" ca="1" si="0"/>
        <v>1</v>
      </c>
      <c r="C44" s="487">
        <f t="shared" ca="1" si="1"/>
        <v>6</v>
      </c>
      <c r="D44" s="487">
        <f t="shared" ca="1" si="2"/>
        <v>2</v>
      </c>
      <c r="E44" s="487" t="str">
        <f t="shared" ca="1" si="3"/>
        <v/>
      </c>
      <c r="F44" s="487" t="str">
        <f t="shared" ca="1" si="4"/>
        <v/>
      </c>
      <c r="G44" s="488" t="str">
        <f t="shared" ca="1" si="5"/>
        <v/>
      </c>
      <c r="H44" s="489" t="str">
        <f t="shared" ca="1" si="6"/>
        <v/>
      </c>
      <c r="I44" s="509"/>
      <c r="J44" s="522"/>
      <c r="K44" s="522" t="s">
        <v>145</v>
      </c>
      <c r="L44" s="522"/>
      <c r="M44" s="522"/>
      <c r="N44" s="522"/>
      <c r="O44" s="522"/>
      <c r="P44" s="522"/>
      <c r="Q44" s="523"/>
      <c r="R44" s="524" t="s">
        <v>165</v>
      </c>
      <c r="S44" s="525">
        <v>45826</v>
      </c>
      <c r="T44" s="526">
        <v>45826</v>
      </c>
      <c r="U44" s="543"/>
      <c r="V44" s="526"/>
      <c r="W44" s="539">
        <v>0</v>
      </c>
      <c r="X44" s="542"/>
      <c r="Y44" s="540"/>
      <c r="Z44" s="541"/>
      <c r="AA44" s="501"/>
      <c r="AB44" s="502"/>
      <c r="AC44" s="503"/>
      <c r="AD44" s="504"/>
      <c r="AE44" s="505"/>
      <c r="AF44" s="506"/>
      <c r="AG44" s="506">
        <f t="shared" ca="1" si="7"/>
        <v>0</v>
      </c>
      <c r="AH44" s="506">
        <f t="shared" ca="1" si="8"/>
        <v>0</v>
      </c>
      <c r="AI44" s="506">
        <f t="shared" si="9"/>
        <v>0</v>
      </c>
      <c r="AJ44" s="506">
        <f t="shared" ca="1" si="10"/>
        <v>0</v>
      </c>
      <c r="AK44" s="506" t="str">
        <f t="shared" ca="1" si="11"/>
        <v/>
      </c>
      <c r="AL44" s="507">
        <f t="shared" ca="1" si="12"/>
        <v>1</v>
      </c>
      <c r="AM44" s="507">
        <f t="shared" ca="1" si="13"/>
        <v>6</v>
      </c>
      <c r="AN44" s="507">
        <f t="shared" ca="1" si="14"/>
        <v>2</v>
      </c>
      <c r="AO44" s="507">
        <f t="shared" ca="1" si="15"/>
        <v>0</v>
      </c>
      <c r="AP44" s="507">
        <f t="shared" ca="1" si="16"/>
        <v>0</v>
      </c>
      <c r="AQ44" s="507">
        <f t="shared" ca="1" si="17"/>
        <v>0</v>
      </c>
      <c r="AR44" s="507">
        <f t="shared" ca="1" si="18"/>
        <v>0</v>
      </c>
      <c r="AS44" s="508"/>
      <c r="AT44" s="507">
        <f t="shared" si="19"/>
        <v>1</v>
      </c>
    </row>
    <row r="45" spans="1:46" ht="15.75" customHeight="1">
      <c r="A45" s="485"/>
      <c r="B45" s="486">
        <f t="shared" ca="1" si="0"/>
        <v>1</v>
      </c>
      <c r="C45" s="487">
        <f t="shared" ca="1" si="1"/>
        <v>6</v>
      </c>
      <c r="D45" s="487">
        <f t="shared" ca="1" si="2"/>
        <v>3</v>
      </c>
      <c r="E45" s="487" t="str">
        <f t="shared" ca="1" si="3"/>
        <v/>
      </c>
      <c r="F45" s="487" t="str">
        <f t="shared" ca="1" si="4"/>
        <v/>
      </c>
      <c r="G45" s="488" t="str">
        <f t="shared" ca="1" si="5"/>
        <v/>
      </c>
      <c r="H45" s="489" t="str">
        <f t="shared" ca="1" si="6"/>
        <v/>
      </c>
      <c r="I45" s="509"/>
      <c r="J45" s="522"/>
      <c r="K45" s="522" t="s">
        <v>63</v>
      </c>
      <c r="L45" s="522"/>
      <c r="M45" s="522"/>
      <c r="N45" s="522"/>
      <c r="O45" s="522"/>
      <c r="P45" s="522"/>
      <c r="Q45" s="523"/>
      <c r="R45" s="524" t="s">
        <v>242</v>
      </c>
      <c r="S45" s="525">
        <v>45832</v>
      </c>
      <c r="T45" s="526">
        <v>45833</v>
      </c>
      <c r="U45" s="543"/>
      <c r="V45" s="526"/>
      <c r="W45" s="539">
        <v>0</v>
      </c>
      <c r="X45" s="542"/>
      <c r="Y45" s="540"/>
      <c r="Z45" s="541"/>
      <c r="AA45" s="501"/>
      <c r="AB45" s="502"/>
      <c r="AC45" s="503"/>
      <c r="AD45" s="504"/>
      <c r="AE45" s="505"/>
      <c r="AF45" s="506"/>
      <c r="AG45" s="506">
        <f t="shared" ca="1" si="7"/>
        <v>0</v>
      </c>
      <c r="AH45" s="506">
        <f t="shared" ca="1" si="8"/>
        <v>0</v>
      </c>
      <c r="AI45" s="506">
        <f t="shared" si="9"/>
        <v>0</v>
      </c>
      <c r="AJ45" s="506">
        <f t="shared" ca="1" si="10"/>
        <v>0</v>
      </c>
      <c r="AK45" s="506" t="str">
        <f t="shared" ca="1" si="11"/>
        <v/>
      </c>
      <c r="AL45" s="507">
        <f t="shared" ca="1" si="12"/>
        <v>1</v>
      </c>
      <c r="AM45" s="507">
        <f t="shared" ca="1" si="13"/>
        <v>6</v>
      </c>
      <c r="AN45" s="507">
        <f t="shared" ca="1" si="14"/>
        <v>3</v>
      </c>
      <c r="AO45" s="507">
        <f t="shared" ca="1" si="15"/>
        <v>0</v>
      </c>
      <c r="AP45" s="507">
        <f t="shared" ca="1" si="16"/>
        <v>0</v>
      </c>
      <c r="AQ45" s="507">
        <f t="shared" ca="1" si="17"/>
        <v>0</v>
      </c>
      <c r="AR45" s="507">
        <f t="shared" ca="1" si="18"/>
        <v>0</v>
      </c>
      <c r="AS45" s="508"/>
      <c r="AT45" s="507">
        <f t="shared" si="19"/>
        <v>2</v>
      </c>
    </row>
    <row r="46" spans="1:46" ht="15.75" customHeight="1">
      <c r="A46" s="485"/>
      <c r="B46" s="486">
        <f t="shared" ca="1" si="0"/>
        <v>1</v>
      </c>
      <c r="C46" s="487">
        <f t="shared" ca="1" si="1"/>
        <v>6</v>
      </c>
      <c r="D46" s="487">
        <f t="shared" ca="1" si="2"/>
        <v>4</v>
      </c>
      <c r="E46" s="487" t="str">
        <f t="shared" ca="1" si="3"/>
        <v/>
      </c>
      <c r="F46" s="487" t="str">
        <f t="shared" ca="1" si="4"/>
        <v/>
      </c>
      <c r="G46" s="488" t="str">
        <f t="shared" ca="1" si="5"/>
        <v/>
      </c>
      <c r="H46" s="489" t="str">
        <f t="shared" ca="1" si="6"/>
        <v/>
      </c>
      <c r="I46" s="509"/>
      <c r="J46" s="522"/>
      <c r="K46" s="522" t="s">
        <v>64</v>
      </c>
      <c r="L46" s="522"/>
      <c r="M46" s="522"/>
      <c r="N46" s="522"/>
      <c r="O46" s="522"/>
      <c r="P46" s="522"/>
      <c r="Q46" s="523"/>
      <c r="R46" s="524" t="s">
        <v>165</v>
      </c>
      <c r="S46" s="525">
        <v>45834</v>
      </c>
      <c r="T46" s="526">
        <v>45834</v>
      </c>
      <c r="U46" s="543"/>
      <c r="V46" s="526"/>
      <c r="W46" s="539">
        <v>0</v>
      </c>
      <c r="X46" s="542"/>
      <c r="Y46" s="540"/>
      <c r="Z46" s="541"/>
      <c r="AA46" s="501"/>
      <c r="AB46" s="502"/>
      <c r="AC46" s="503"/>
      <c r="AD46" s="504"/>
      <c r="AE46" s="505"/>
      <c r="AF46" s="506"/>
      <c r="AG46" s="506">
        <f t="shared" ca="1" si="7"/>
        <v>0</v>
      </c>
      <c r="AH46" s="506">
        <f t="shared" ca="1" si="8"/>
        <v>0</v>
      </c>
      <c r="AI46" s="506">
        <f t="shared" si="9"/>
        <v>0</v>
      </c>
      <c r="AJ46" s="506">
        <f t="shared" ca="1" si="10"/>
        <v>0</v>
      </c>
      <c r="AK46" s="506" t="str">
        <f t="shared" ca="1" si="11"/>
        <v/>
      </c>
      <c r="AL46" s="507">
        <f t="shared" ca="1" si="12"/>
        <v>1</v>
      </c>
      <c r="AM46" s="507">
        <f t="shared" ca="1" si="13"/>
        <v>6</v>
      </c>
      <c r="AN46" s="507">
        <f t="shared" ca="1" si="14"/>
        <v>4</v>
      </c>
      <c r="AO46" s="507">
        <f t="shared" ca="1" si="15"/>
        <v>0</v>
      </c>
      <c r="AP46" s="507">
        <f t="shared" ca="1" si="16"/>
        <v>0</v>
      </c>
      <c r="AQ46" s="507">
        <f t="shared" ca="1" si="17"/>
        <v>0</v>
      </c>
      <c r="AR46" s="507">
        <f t="shared" ca="1" si="18"/>
        <v>0</v>
      </c>
      <c r="AS46" s="508"/>
      <c r="AT46" s="507">
        <f t="shared" si="19"/>
        <v>1</v>
      </c>
    </row>
    <row r="47" spans="1:46" ht="15.75" customHeight="1">
      <c r="A47" s="485"/>
      <c r="B47" s="486">
        <f t="shared" ca="1" si="0"/>
        <v>1</v>
      </c>
      <c r="C47" s="487">
        <f t="shared" ca="1" si="1"/>
        <v>6</v>
      </c>
      <c r="D47" s="487">
        <f t="shared" ca="1" si="2"/>
        <v>5</v>
      </c>
      <c r="E47" s="487" t="str">
        <f t="shared" ca="1" si="3"/>
        <v/>
      </c>
      <c r="F47" s="487" t="str">
        <f t="shared" ca="1" si="4"/>
        <v/>
      </c>
      <c r="G47" s="488" t="str">
        <f t="shared" ca="1" si="5"/>
        <v/>
      </c>
      <c r="H47" s="489" t="str">
        <f t="shared" ca="1" si="6"/>
        <v/>
      </c>
      <c r="I47" s="509"/>
      <c r="J47" s="522"/>
      <c r="K47" s="522" t="s">
        <v>65</v>
      </c>
      <c r="L47" s="522"/>
      <c r="M47" s="522"/>
      <c r="N47" s="522"/>
      <c r="O47" s="522"/>
      <c r="P47" s="522"/>
      <c r="Q47" s="523"/>
      <c r="R47" s="524" t="s">
        <v>242</v>
      </c>
      <c r="S47" s="525">
        <v>45835</v>
      </c>
      <c r="T47" s="526">
        <v>45835</v>
      </c>
      <c r="U47" s="543"/>
      <c r="V47" s="526"/>
      <c r="W47" s="539">
        <v>0</v>
      </c>
      <c r="X47" s="542"/>
      <c r="Y47" s="540"/>
      <c r="Z47" s="541"/>
      <c r="AA47" s="501"/>
      <c r="AB47" s="502"/>
      <c r="AC47" s="503"/>
      <c r="AD47" s="504"/>
      <c r="AE47" s="505"/>
      <c r="AF47" s="506"/>
      <c r="AG47" s="506">
        <f t="shared" ca="1" si="7"/>
        <v>0</v>
      </c>
      <c r="AH47" s="506">
        <f t="shared" ca="1" si="8"/>
        <v>0</v>
      </c>
      <c r="AI47" s="506">
        <f t="shared" si="9"/>
        <v>0</v>
      </c>
      <c r="AJ47" s="506">
        <f t="shared" ca="1" si="10"/>
        <v>0</v>
      </c>
      <c r="AK47" s="506" t="str">
        <f t="shared" ca="1" si="11"/>
        <v/>
      </c>
      <c r="AL47" s="507">
        <f t="shared" ca="1" si="12"/>
        <v>1</v>
      </c>
      <c r="AM47" s="507">
        <f t="shared" ca="1" si="13"/>
        <v>6</v>
      </c>
      <c r="AN47" s="507">
        <f t="shared" ca="1" si="14"/>
        <v>5</v>
      </c>
      <c r="AO47" s="507">
        <f t="shared" ca="1" si="15"/>
        <v>0</v>
      </c>
      <c r="AP47" s="507">
        <f t="shared" ca="1" si="16"/>
        <v>0</v>
      </c>
      <c r="AQ47" s="507">
        <f t="shared" ca="1" si="17"/>
        <v>0</v>
      </c>
      <c r="AR47" s="507">
        <f t="shared" ca="1" si="18"/>
        <v>0</v>
      </c>
      <c r="AS47" s="508"/>
      <c r="AT47" s="507">
        <f t="shared" si="19"/>
        <v>1</v>
      </c>
    </row>
    <row r="48" spans="1:46" ht="15.75" customHeight="1">
      <c r="A48" s="485"/>
      <c r="B48" s="486">
        <f t="shared" ca="1" si="0"/>
        <v>1</v>
      </c>
      <c r="C48" s="487">
        <f t="shared" ca="1" si="1"/>
        <v>6</v>
      </c>
      <c r="D48" s="487">
        <f t="shared" ca="1" si="2"/>
        <v>6</v>
      </c>
      <c r="E48" s="487" t="str">
        <f t="shared" ca="1" si="3"/>
        <v/>
      </c>
      <c r="F48" s="487" t="str">
        <f t="shared" ca="1" si="4"/>
        <v/>
      </c>
      <c r="G48" s="488" t="str">
        <f t="shared" ca="1" si="5"/>
        <v/>
      </c>
      <c r="H48" s="489" t="str">
        <f t="shared" ca="1" si="6"/>
        <v/>
      </c>
      <c r="I48" s="509"/>
      <c r="J48" s="522"/>
      <c r="K48" s="522" t="s">
        <v>66</v>
      </c>
      <c r="L48" s="522"/>
      <c r="M48" s="522"/>
      <c r="N48" s="522"/>
      <c r="O48" s="522"/>
      <c r="P48" s="522"/>
      <c r="Q48" s="523"/>
      <c r="R48" s="524" t="s">
        <v>165</v>
      </c>
      <c r="S48" s="525">
        <v>45838</v>
      </c>
      <c r="T48" s="526">
        <v>45838</v>
      </c>
      <c r="U48" s="543"/>
      <c r="V48" s="526"/>
      <c r="W48" s="539">
        <v>0</v>
      </c>
      <c r="X48" s="542"/>
      <c r="Y48" s="540"/>
      <c r="Z48" s="541"/>
      <c r="AA48" s="501"/>
      <c r="AB48" s="502"/>
      <c r="AC48" s="503"/>
      <c r="AD48" s="504"/>
      <c r="AE48" s="505"/>
      <c r="AF48" s="506"/>
      <c r="AG48" s="506">
        <f t="shared" ca="1" si="7"/>
        <v>0</v>
      </c>
      <c r="AH48" s="506">
        <f t="shared" ca="1" si="8"/>
        <v>0</v>
      </c>
      <c r="AI48" s="506">
        <f t="shared" si="9"/>
        <v>0</v>
      </c>
      <c r="AJ48" s="506">
        <f t="shared" ca="1" si="10"/>
        <v>0</v>
      </c>
      <c r="AK48" s="506" t="str">
        <f t="shared" ca="1" si="11"/>
        <v/>
      </c>
      <c r="AL48" s="507">
        <f t="shared" ca="1" si="12"/>
        <v>1</v>
      </c>
      <c r="AM48" s="507">
        <f t="shared" ca="1" si="13"/>
        <v>6</v>
      </c>
      <c r="AN48" s="507">
        <f t="shared" ca="1" si="14"/>
        <v>6</v>
      </c>
      <c r="AO48" s="507">
        <f t="shared" ca="1" si="15"/>
        <v>0</v>
      </c>
      <c r="AP48" s="507">
        <f t="shared" ca="1" si="16"/>
        <v>0</v>
      </c>
      <c r="AQ48" s="507">
        <f t="shared" ca="1" si="17"/>
        <v>0</v>
      </c>
      <c r="AR48" s="507">
        <f t="shared" ca="1" si="18"/>
        <v>0</v>
      </c>
      <c r="AS48" s="508"/>
      <c r="AT48" s="507">
        <f t="shared" si="19"/>
        <v>1</v>
      </c>
    </row>
    <row r="49" spans="1:46" ht="15.75" customHeight="1">
      <c r="A49" s="485"/>
      <c r="B49" s="486">
        <f t="shared" ca="1" si="0"/>
        <v>1</v>
      </c>
      <c r="C49" s="487">
        <f t="shared" ca="1" si="1"/>
        <v>7</v>
      </c>
      <c r="D49" s="487" t="str">
        <f t="shared" ca="1" si="2"/>
        <v/>
      </c>
      <c r="E49" s="487" t="str">
        <f t="shared" ca="1" si="3"/>
        <v/>
      </c>
      <c r="F49" s="487" t="str">
        <f t="shared" ca="1" si="4"/>
        <v/>
      </c>
      <c r="G49" s="488" t="str">
        <f t="shared" ca="1" si="5"/>
        <v/>
      </c>
      <c r="H49" s="489" t="str">
        <f t="shared" ca="1" si="6"/>
        <v/>
      </c>
      <c r="I49" s="509"/>
      <c r="J49" s="510" t="s">
        <v>245</v>
      </c>
      <c r="K49" s="511"/>
      <c r="L49" s="511"/>
      <c r="M49" s="511"/>
      <c r="N49" s="511"/>
      <c r="O49" s="511"/>
      <c r="P49" s="511"/>
      <c r="Q49" s="512" t="s">
        <v>73</v>
      </c>
      <c r="R49" s="513"/>
      <c r="S49" s="514"/>
      <c r="T49" s="515"/>
      <c r="U49" s="516"/>
      <c r="V49" s="515"/>
      <c r="W49" s="517"/>
      <c r="X49" s="518"/>
      <c r="Y49" s="519"/>
      <c r="Z49" s="520"/>
      <c r="AA49" s="501"/>
      <c r="AB49" s="502"/>
      <c r="AC49" s="503"/>
      <c r="AD49" s="504"/>
      <c r="AE49" s="505"/>
      <c r="AF49" s="506"/>
      <c r="AG49" s="506">
        <f t="shared" si="7"/>
        <v>0</v>
      </c>
      <c r="AH49" s="506">
        <f t="shared" si="8"/>
        <v>0</v>
      </c>
      <c r="AI49" s="506">
        <f t="shared" si="9"/>
        <v>0</v>
      </c>
      <c r="AJ49" s="506">
        <f t="shared" si="10"/>
        <v>0</v>
      </c>
      <c r="AK49" s="506" t="str">
        <f t="shared" si="11"/>
        <v/>
      </c>
      <c r="AL49" s="507">
        <f t="shared" ca="1" si="12"/>
        <v>1</v>
      </c>
      <c r="AM49" s="507">
        <f t="shared" ca="1" si="13"/>
        <v>7</v>
      </c>
      <c r="AN49" s="507">
        <f t="shared" ca="1" si="14"/>
        <v>0</v>
      </c>
      <c r="AO49" s="507">
        <f t="shared" ca="1" si="15"/>
        <v>0</v>
      </c>
      <c r="AP49" s="507">
        <f t="shared" ca="1" si="16"/>
        <v>0</v>
      </c>
      <c r="AQ49" s="507">
        <f t="shared" ca="1" si="17"/>
        <v>0</v>
      </c>
      <c r="AR49" s="507">
        <f t="shared" ca="1" si="18"/>
        <v>0</v>
      </c>
      <c r="AS49" s="508"/>
      <c r="AT49" s="507">
        <f t="shared" si="19"/>
        <v>1</v>
      </c>
    </row>
    <row r="50" spans="1:46" ht="15.75" customHeight="1">
      <c r="A50" s="485"/>
      <c r="B50" s="486">
        <f t="shared" ca="1" si="0"/>
        <v>1</v>
      </c>
      <c r="C50" s="487">
        <f t="shared" ca="1" si="1"/>
        <v>7</v>
      </c>
      <c r="D50" s="487">
        <f t="shared" ca="1" si="2"/>
        <v>1</v>
      </c>
      <c r="E50" s="487" t="str">
        <f t="shared" ca="1" si="3"/>
        <v/>
      </c>
      <c r="F50" s="487" t="str">
        <f t="shared" ca="1" si="4"/>
        <v/>
      </c>
      <c r="G50" s="488" t="str">
        <f t="shared" ca="1" si="5"/>
        <v/>
      </c>
      <c r="H50" s="489" t="str">
        <f t="shared" ca="1" si="6"/>
        <v/>
      </c>
      <c r="I50" s="509"/>
      <c r="J50" s="522"/>
      <c r="K50" s="522" t="s">
        <v>59</v>
      </c>
      <c r="L50" s="522"/>
      <c r="M50" s="522"/>
      <c r="N50" s="522"/>
      <c r="O50" s="522"/>
      <c r="P50" s="522"/>
      <c r="Q50" s="523"/>
      <c r="R50" s="524" t="s">
        <v>246</v>
      </c>
      <c r="S50" s="525">
        <v>45819</v>
      </c>
      <c r="T50" s="526">
        <v>45825</v>
      </c>
      <c r="U50" s="525">
        <v>45819</v>
      </c>
      <c r="V50" s="526"/>
      <c r="W50" s="539">
        <v>0.6</v>
      </c>
      <c r="X50" s="539">
        <v>0.6</v>
      </c>
      <c r="Y50" s="540"/>
      <c r="Z50" s="541"/>
      <c r="AA50" s="501"/>
      <c r="AB50" s="502"/>
      <c r="AC50" s="503"/>
      <c r="AD50" s="504"/>
      <c r="AE50" s="505"/>
      <c r="AF50" s="506"/>
      <c r="AG50" s="506">
        <f t="shared" ca="1" si="7"/>
        <v>0</v>
      </c>
      <c r="AH50" s="506">
        <f t="shared" ca="1" si="8"/>
        <v>0</v>
      </c>
      <c r="AI50" s="506">
        <f t="shared" si="9"/>
        <v>0</v>
      </c>
      <c r="AJ50" s="506">
        <f t="shared" ca="1" si="10"/>
        <v>0</v>
      </c>
      <c r="AK50" s="506" t="str">
        <f t="shared" ca="1" si="11"/>
        <v/>
      </c>
      <c r="AL50" s="507">
        <f t="shared" ca="1" si="12"/>
        <v>1</v>
      </c>
      <c r="AM50" s="507">
        <f t="shared" ca="1" si="13"/>
        <v>7</v>
      </c>
      <c r="AN50" s="507">
        <f t="shared" ca="1" si="14"/>
        <v>1</v>
      </c>
      <c r="AO50" s="507">
        <f t="shared" ca="1" si="15"/>
        <v>0</v>
      </c>
      <c r="AP50" s="507">
        <f t="shared" ca="1" si="16"/>
        <v>0</v>
      </c>
      <c r="AQ50" s="507">
        <f t="shared" ca="1" si="17"/>
        <v>0</v>
      </c>
      <c r="AR50" s="507">
        <f t="shared" ca="1" si="18"/>
        <v>0</v>
      </c>
      <c r="AS50" s="508"/>
      <c r="AT50" s="507">
        <f t="shared" si="19"/>
        <v>7</v>
      </c>
    </row>
    <row r="51" spans="1:46" ht="15.75" customHeight="1">
      <c r="A51" s="485"/>
      <c r="B51" s="486">
        <f t="shared" ca="1" si="0"/>
        <v>1</v>
      </c>
      <c r="C51" s="487">
        <f t="shared" ca="1" si="1"/>
        <v>7</v>
      </c>
      <c r="D51" s="487">
        <f t="shared" ca="1" si="2"/>
        <v>2</v>
      </c>
      <c r="E51" s="487" t="str">
        <f t="shared" ca="1" si="3"/>
        <v/>
      </c>
      <c r="F51" s="487" t="str">
        <f t="shared" ca="1" si="4"/>
        <v/>
      </c>
      <c r="G51" s="488" t="str">
        <f t="shared" ca="1" si="5"/>
        <v/>
      </c>
      <c r="H51" s="489" t="str">
        <f t="shared" ca="1" si="6"/>
        <v/>
      </c>
      <c r="I51" s="509"/>
      <c r="J51" s="522"/>
      <c r="K51" s="522" t="s">
        <v>145</v>
      </c>
      <c r="L51" s="522"/>
      <c r="M51" s="522"/>
      <c r="N51" s="522"/>
      <c r="O51" s="522"/>
      <c r="P51" s="522"/>
      <c r="Q51" s="523"/>
      <c r="R51" s="524" t="s">
        <v>247</v>
      </c>
      <c r="S51" s="525">
        <v>45826</v>
      </c>
      <c r="T51" s="526">
        <v>45826</v>
      </c>
      <c r="U51" s="543"/>
      <c r="V51" s="526"/>
      <c r="W51" s="539">
        <v>0</v>
      </c>
      <c r="X51" s="542"/>
      <c r="Y51" s="540"/>
      <c r="Z51" s="541"/>
      <c r="AA51" s="501"/>
      <c r="AB51" s="502"/>
      <c r="AC51" s="503"/>
      <c r="AD51" s="504"/>
      <c r="AE51" s="505"/>
      <c r="AF51" s="506"/>
      <c r="AG51" s="506">
        <f t="shared" ca="1" si="7"/>
        <v>0</v>
      </c>
      <c r="AH51" s="506">
        <f t="shared" ca="1" si="8"/>
        <v>0</v>
      </c>
      <c r="AI51" s="506">
        <f t="shared" si="9"/>
        <v>0</v>
      </c>
      <c r="AJ51" s="506">
        <f t="shared" ca="1" si="10"/>
        <v>0</v>
      </c>
      <c r="AK51" s="506" t="str">
        <f t="shared" ca="1" si="11"/>
        <v/>
      </c>
      <c r="AL51" s="507">
        <f t="shared" ca="1" si="12"/>
        <v>1</v>
      </c>
      <c r="AM51" s="507">
        <f t="shared" ca="1" si="13"/>
        <v>7</v>
      </c>
      <c r="AN51" s="507">
        <f t="shared" ca="1" si="14"/>
        <v>2</v>
      </c>
      <c r="AO51" s="507">
        <f t="shared" ca="1" si="15"/>
        <v>0</v>
      </c>
      <c r="AP51" s="507">
        <f t="shared" ca="1" si="16"/>
        <v>0</v>
      </c>
      <c r="AQ51" s="507">
        <f t="shared" ca="1" si="17"/>
        <v>0</v>
      </c>
      <c r="AR51" s="507">
        <f t="shared" ca="1" si="18"/>
        <v>0</v>
      </c>
      <c r="AS51" s="508"/>
      <c r="AT51" s="507">
        <f t="shared" si="19"/>
        <v>1</v>
      </c>
    </row>
    <row r="52" spans="1:46" ht="15.75" customHeight="1">
      <c r="A52" s="485"/>
      <c r="B52" s="486">
        <f t="shared" ca="1" si="0"/>
        <v>1</v>
      </c>
      <c r="C52" s="487">
        <f t="shared" ca="1" si="1"/>
        <v>7</v>
      </c>
      <c r="D52" s="487">
        <f t="shared" ca="1" si="2"/>
        <v>3</v>
      </c>
      <c r="E52" s="487" t="str">
        <f t="shared" ca="1" si="3"/>
        <v/>
      </c>
      <c r="F52" s="487" t="str">
        <f t="shared" ca="1" si="4"/>
        <v/>
      </c>
      <c r="G52" s="488" t="str">
        <f t="shared" ca="1" si="5"/>
        <v/>
      </c>
      <c r="H52" s="489" t="str">
        <f t="shared" ca="1" si="6"/>
        <v/>
      </c>
      <c r="I52" s="509"/>
      <c r="J52" s="522"/>
      <c r="K52" s="522" t="s">
        <v>63</v>
      </c>
      <c r="L52" s="522"/>
      <c r="M52" s="522"/>
      <c r="N52" s="522"/>
      <c r="O52" s="522"/>
      <c r="P52" s="522"/>
      <c r="Q52" s="523"/>
      <c r="R52" s="524" t="s">
        <v>246</v>
      </c>
      <c r="S52" s="525">
        <v>45832</v>
      </c>
      <c r="T52" s="526">
        <v>45833</v>
      </c>
      <c r="U52" s="543"/>
      <c r="V52" s="526"/>
      <c r="W52" s="539">
        <v>0</v>
      </c>
      <c r="X52" s="542"/>
      <c r="Y52" s="540"/>
      <c r="Z52" s="541"/>
      <c r="AA52" s="501"/>
      <c r="AB52" s="502"/>
      <c r="AC52" s="503"/>
      <c r="AD52" s="504"/>
      <c r="AE52" s="505"/>
      <c r="AF52" s="506"/>
      <c r="AG52" s="506">
        <f t="shared" ca="1" si="7"/>
        <v>0</v>
      </c>
      <c r="AH52" s="506">
        <f t="shared" ca="1" si="8"/>
        <v>0</v>
      </c>
      <c r="AI52" s="506">
        <f t="shared" si="9"/>
        <v>0</v>
      </c>
      <c r="AJ52" s="506">
        <f t="shared" ca="1" si="10"/>
        <v>0</v>
      </c>
      <c r="AK52" s="506" t="str">
        <f t="shared" ca="1" si="11"/>
        <v/>
      </c>
      <c r="AL52" s="507">
        <f t="shared" ca="1" si="12"/>
        <v>1</v>
      </c>
      <c r="AM52" s="507">
        <f t="shared" ca="1" si="13"/>
        <v>7</v>
      </c>
      <c r="AN52" s="507">
        <f t="shared" ca="1" si="14"/>
        <v>3</v>
      </c>
      <c r="AO52" s="507">
        <f t="shared" ca="1" si="15"/>
        <v>0</v>
      </c>
      <c r="AP52" s="507">
        <f t="shared" ca="1" si="16"/>
        <v>0</v>
      </c>
      <c r="AQ52" s="507">
        <f t="shared" ca="1" si="17"/>
        <v>0</v>
      </c>
      <c r="AR52" s="507">
        <f t="shared" ca="1" si="18"/>
        <v>0</v>
      </c>
      <c r="AS52" s="508"/>
      <c r="AT52" s="507">
        <f t="shared" si="19"/>
        <v>2</v>
      </c>
    </row>
    <row r="53" spans="1:46" ht="15.75" customHeight="1">
      <c r="A53" s="485"/>
      <c r="B53" s="486">
        <f t="shared" ca="1" si="0"/>
        <v>1</v>
      </c>
      <c r="C53" s="487">
        <f t="shared" ca="1" si="1"/>
        <v>7</v>
      </c>
      <c r="D53" s="487">
        <f t="shared" ca="1" si="2"/>
        <v>4</v>
      </c>
      <c r="E53" s="487" t="str">
        <f t="shared" ca="1" si="3"/>
        <v/>
      </c>
      <c r="F53" s="487" t="str">
        <f t="shared" ca="1" si="4"/>
        <v/>
      </c>
      <c r="G53" s="488" t="str">
        <f t="shared" ca="1" si="5"/>
        <v/>
      </c>
      <c r="H53" s="489" t="str">
        <f t="shared" ca="1" si="6"/>
        <v/>
      </c>
      <c r="I53" s="509"/>
      <c r="J53" s="522"/>
      <c r="K53" s="522" t="s">
        <v>64</v>
      </c>
      <c r="L53" s="522"/>
      <c r="M53" s="522"/>
      <c r="N53" s="522"/>
      <c r="O53" s="522"/>
      <c r="P53" s="522"/>
      <c r="Q53" s="523"/>
      <c r="R53" s="524" t="s">
        <v>247</v>
      </c>
      <c r="S53" s="525">
        <v>45834</v>
      </c>
      <c r="T53" s="526">
        <v>45834</v>
      </c>
      <c r="U53" s="543"/>
      <c r="V53" s="526"/>
      <c r="W53" s="539">
        <v>0</v>
      </c>
      <c r="X53" s="542"/>
      <c r="Y53" s="540"/>
      <c r="Z53" s="541"/>
      <c r="AA53" s="501"/>
      <c r="AB53" s="502"/>
      <c r="AC53" s="503"/>
      <c r="AD53" s="504"/>
      <c r="AE53" s="505"/>
      <c r="AF53" s="506"/>
      <c r="AG53" s="506">
        <f t="shared" ca="1" si="7"/>
        <v>0</v>
      </c>
      <c r="AH53" s="506">
        <f t="shared" ca="1" si="8"/>
        <v>0</v>
      </c>
      <c r="AI53" s="506">
        <f t="shared" si="9"/>
        <v>0</v>
      </c>
      <c r="AJ53" s="506">
        <f t="shared" ca="1" si="10"/>
        <v>0</v>
      </c>
      <c r="AK53" s="506" t="str">
        <f t="shared" ca="1" si="11"/>
        <v/>
      </c>
      <c r="AL53" s="507">
        <f t="shared" ca="1" si="12"/>
        <v>1</v>
      </c>
      <c r="AM53" s="507">
        <f t="shared" ca="1" si="13"/>
        <v>7</v>
      </c>
      <c r="AN53" s="507">
        <f t="shared" ca="1" si="14"/>
        <v>4</v>
      </c>
      <c r="AO53" s="507">
        <f t="shared" ca="1" si="15"/>
        <v>0</v>
      </c>
      <c r="AP53" s="507">
        <f t="shared" ca="1" si="16"/>
        <v>0</v>
      </c>
      <c r="AQ53" s="507">
        <f t="shared" ca="1" si="17"/>
        <v>0</v>
      </c>
      <c r="AR53" s="507">
        <f t="shared" ca="1" si="18"/>
        <v>0</v>
      </c>
      <c r="AS53" s="508"/>
      <c r="AT53" s="507">
        <f t="shared" si="19"/>
        <v>1</v>
      </c>
    </row>
    <row r="54" spans="1:46" ht="15.75" customHeight="1">
      <c r="A54" s="485"/>
      <c r="B54" s="486">
        <f t="shared" ca="1" si="0"/>
        <v>1</v>
      </c>
      <c r="C54" s="487">
        <f t="shared" ca="1" si="1"/>
        <v>7</v>
      </c>
      <c r="D54" s="487">
        <f t="shared" ca="1" si="2"/>
        <v>5</v>
      </c>
      <c r="E54" s="487" t="str">
        <f t="shared" ca="1" si="3"/>
        <v/>
      </c>
      <c r="F54" s="487" t="str">
        <f t="shared" ca="1" si="4"/>
        <v/>
      </c>
      <c r="G54" s="488" t="str">
        <f t="shared" ca="1" si="5"/>
        <v/>
      </c>
      <c r="H54" s="489" t="str">
        <f t="shared" ca="1" si="6"/>
        <v/>
      </c>
      <c r="I54" s="509"/>
      <c r="J54" s="522"/>
      <c r="K54" s="522" t="s">
        <v>65</v>
      </c>
      <c r="L54" s="522"/>
      <c r="M54" s="522"/>
      <c r="N54" s="522"/>
      <c r="O54" s="522"/>
      <c r="P54" s="522"/>
      <c r="Q54" s="523"/>
      <c r="R54" s="524" t="s">
        <v>246</v>
      </c>
      <c r="S54" s="525">
        <v>45835</v>
      </c>
      <c r="T54" s="526">
        <v>45835</v>
      </c>
      <c r="U54" s="543"/>
      <c r="V54" s="526"/>
      <c r="W54" s="539">
        <v>0</v>
      </c>
      <c r="X54" s="542"/>
      <c r="Y54" s="540"/>
      <c r="Z54" s="541"/>
      <c r="AA54" s="501"/>
      <c r="AB54" s="502"/>
      <c r="AC54" s="503"/>
      <c r="AD54" s="504"/>
      <c r="AE54" s="505"/>
      <c r="AF54" s="506"/>
      <c r="AG54" s="506">
        <f t="shared" ca="1" si="7"/>
        <v>0</v>
      </c>
      <c r="AH54" s="506">
        <f t="shared" ca="1" si="8"/>
        <v>0</v>
      </c>
      <c r="AI54" s="506">
        <f t="shared" si="9"/>
        <v>0</v>
      </c>
      <c r="AJ54" s="506">
        <f t="shared" ca="1" si="10"/>
        <v>0</v>
      </c>
      <c r="AK54" s="506" t="str">
        <f t="shared" ca="1" si="11"/>
        <v/>
      </c>
      <c r="AL54" s="507">
        <f t="shared" ca="1" si="12"/>
        <v>1</v>
      </c>
      <c r="AM54" s="507">
        <f t="shared" ca="1" si="13"/>
        <v>7</v>
      </c>
      <c r="AN54" s="507">
        <f t="shared" ca="1" si="14"/>
        <v>5</v>
      </c>
      <c r="AO54" s="507">
        <f t="shared" ca="1" si="15"/>
        <v>0</v>
      </c>
      <c r="AP54" s="507">
        <f t="shared" ca="1" si="16"/>
        <v>0</v>
      </c>
      <c r="AQ54" s="507">
        <f t="shared" ca="1" si="17"/>
        <v>0</v>
      </c>
      <c r="AR54" s="507">
        <f t="shared" ca="1" si="18"/>
        <v>0</v>
      </c>
      <c r="AS54" s="508"/>
      <c r="AT54" s="507">
        <f t="shared" si="19"/>
        <v>1</v>
      </c>
    </row>
    <row r="55" spans="1:46" ht="15.75" customHeight="1">
      <c r="A55" s="485"/>
      <c r="B55" s="486">
        <f t="shared" ca="1" si="0"/>
        <v>1</v>
      </c>
      <c r="C55" s="487">
        <f t="shared" ca="1" si="1"/>
        <v>7</v>
      </c>
      <c r="D55" s="487">
        <f t="shared" ca="1" si="2"/>
        <v>6</v>
      </c>
      <c r="E55" s="487" t="str">
        <f t="shared" ca="1" si="3"/>
        <v/>
      </c>
      <c r="F55" s="487" t="str">
        <f t="shared" ca="1" si="4"/>
        <v/>
      </c>
      <c r="G55" s="488" t="str">
        <f t="shared" ca="1" si="5"/>
        <v/>
      </c>
      <c r="H55" s="489" t="str">
        <f t="shared" ca="1" si="6"/>
        <v/>
      </c>
      <c r="I55" s="509"/>
      <c r="J55" s="522"/>
      <c r="K55" s="522" t="s">
        <v>66</v>
      </c>
      <c r="L55" s="522"/>
      <c r="M55" s="522"/>
      <c r="N55" s="522"/>
      <c r="O55" s="522"/>
      <c r="P55" s="522"/>
      <c r="Q55" s="523"/>
      <c r="R55" s="524" t="s">
        <v>247</v>
      </c>
      <c r="S55" s="525">
        <v>45838</v>
      </c>
      <c r="T55" s="526">
        <v>45838</v>
      </c>
      <c r="U55" s="543"/>
      <c r="V55" s="526"/>
      <c r="W55" s="539">
        <v>0</v>
      </c>
      <c r="X55" s="542"/>
      <c r="Y55" s="540"/>
      <c r="Z55" s="541"/>
      <c r="AA55" s="501"/>
      <c r="AB55" s="502"/>
      <c r="AC55" s="503"/>
      <c r="AD55" s="504"/>
      <c r="AE55" s="505"/>
      <c r="AF55" s="506"/>
      <c r="AG55" s="506">
        <f t="shared" ca="1" si="7"/>
        <v>0</v>
      </c>
      <c r="AH55" s="506">
        <f t="shared" ca="1" si="8"/>
        <v>0</v>
      </c>
      <c r="AI55" s="506">
        <f t="shared" si="9"/>
        <v>0</v>
      </c>
      <c r="AJ55" s="506">
        <f t="shared" ca="1" si="10"/>
        <v>0</v>
      </c>
      <c r="AK55" s="506" t="str">
        <f t="shared" ca="1" si="11"/>
        <v/>
      </c>
      <c r="AL55" s="507">
        <f t="shared" ca="1" si="12"/>
        <v>1</v>
      </c>
      <c r="AM55" s="507">
        <f t="shared" ca="1" si="13"/>
        <v>7</v>
      </c>
      <c r="AN55" s="507">
        <f t="shared" ca="1" si="14"/>
        <v>6</v>
      </c>
      <c r="AO55" s="507">
        <f t="shared" ca="1" si="15"/>
        <v>0</v>
      </c>
      <c r="AP55" s="507">
        <f t="shared" ca="1" si="16"/>
        <v>0</v>
      </c>
      <c r="AQ55" s="507">
        <f t="shared" ca="1" si="17"/>
        <v>0</v>
      </c>
      <c r="AR55" s="507">
        <f t="shared" ca="1" si="18"/>
        <v>0</v>
      </c>
      <c r="AS55" s="508"/>
      <c r="AT55" s="507">
        <f t="shared" si="19"/>
        <v>1</v>
      </c>
    </row>
    <row r="56" spans="1:46" ht="15.75" customHeight="1">
      <c r="A56" s="485"/>
      <c r="B56" s="486">
        <f t="shared" ca="1" si="0"/>
        <v>1</v>
      </c>
      <c r="C56" s="487">
        <f t="shared" ca="1" si="1"/>
        <v>8</v>
      </c>
      <c r="D56" s="487" t="str">
        <f t="shared" ca="1" si="2"/>
        <v/>
      </c>
      <c r="E56" s="487" t="str">
        <f t="shared" ca="1" si="3"/>
        <v/>
      </c>
      <c r="F56" s="487" t="str">
        <f t="shared" ca="1" si="4"/>
        <v/>
      </c>
      <c r="G56" s="488" t="str">
        <f t="shared" ca="1" si="5"/>
        <v/>
      </c>
      <c r="H56" s="489" t="str">
        <f t="shared" ca="1" si="6"/>
        <v/>
      </c>
      <c r="I56" s="509"/>
      <c r="J56" s="510" t="s">
        <v>248</v>
      </c>
      <c r="K56" s="511"/>
      <c r="L56" s="511"/>
      <c r="M56" s="511"/>
      <c r="N56" s="511"/>
      <c r="O56" s="511"/>
      <c r="P56" s="511"/>
      <c r="Q56" s="512" t="s">
        <v>73</v>
      </c>
      <c r="R56" s="513"/>
      <c r="S56" s="514"/>
      <c r="T56" s="515"/>
      <c r="U56" s="516"/>
      <c r="V56" s="515"/>
      <c r="W56" s="517"/>
      <c r="X56" s="518"/>
      <c r="Y56" s="519"/>
      <c r="Z56" s="520"/>
      <c r="AA56" s="501"/>
      <c r="AB56" s="502"/>
      <c r="AC56" s="503"/>
      <c r="AD56" s="504"/>
      <c r="AE56" s="505"/>
      <c r="AF56" s="506"/>
      <c r="AG56" s="506">
        <f t="shared" si="7"/>
        <v>0</v>
      </c>
      <c r="AH56" s="506">
        <f t="shared" si="8"/>
        <v>0</v>
      </c>
      <c r="AI56" s="506">
        <f t="shared" si="9"/>
        <v>0</v>
      </c>
      <c r="AJ56" s="506">
        <f t="shared" si="10"/>
        <v>0</v>
      </c>
      <c r="AK56" s="506" t="str">
        <f t="shared" si="11"/>
        <v/>
      </c>
      <c r="AL56" s="507">
        <f t="shared" ca="1" si="12"/>
        <v>1</v>
      </c>
      <c r="AM56" s="507">
        <f t="shared" ca="1" si="13"/>
        <v>8</v>
      </c>
      <c r="AN56" s="507">
        <f t="shared" ca="1" si="14"/>
        <v>0</v>
      </c>
      <c r="AO56" s="507">
        <f t="shared" ca="1" si="15"/>
        <v>0</v>
      </c>
      <c r="AP56" s="507">
        <f t="shared" ca="1" si="16"/>
        <v>0</v>
      </c>
      <c r="AQ56" s="507">
        <f t="shared" ca="1" si="17"/>
        <v>0</v>
      </c>
      <c r="AR56" s="507">
        <f t="shared" ca="1" si="18"/>
        <v>0</v>
      </c>
      <c r="AS56" s="508"/>
      <c r="AT56" s="507">
        <f t="shared" si="19"/>
        <v>1</v>
      </c>
    </row>
    <row r="57" spans="1:46" ht="15.75" customHeight="1">
      <c r="A57" s="485"/>
      <c r="B57" s="486">
        <f t="shared" ca="1" si="0"/>
        <v>1</v>
      </c>
      <c r="C57" s="487">
        <f t="shared" ca="1" si="1"/>
        <v>8</v>
      </c>
      <c r="D57" s="487">
        <f t="shared" ca="1" si="2"/>
        <v>1</v>
      </c>
      <c r="E57" s="487" t="str">
        <f t="shared" ca="1" si="3"/>
        <v/>
      </c>
      <c r="F57" s="487" t="str">
        <f t="shared" ca="1" si="4"/>
        <v/>
      </c>
      <c r="G57" s="488" t="str">
        <f t="shared" ca="1" si="5"/>
        <v/>
      </c>
      <c r="H57" s="489" t="str">
        <f t="shared" ca="1" si="6"/>
        <v/>
      </c>
      <c r="I57" s="509"/>
      <c r="J57" s="522"/>
      <c r="K57" s="522" t="s">
        <v>59</v>
      </c>
      <c r="L57" s="522"/>
      <c r="M57" s="522"/>
      <c r="N57" s="522"/>
      <c r="O57" s="522"/>
      <c r="P57" s="522"/>
      <c r="Q57" s="523"/>
      <c r="R57" s="524" t="s">
        <v>247</v>
      </c>
      <c r="S57" s="525">
        <v>45819</v>
      </c>
      <c r="T57" s="526">
        <v>45825</v>
      </c>
      <c r="U57" s="525">
        <v>45819</v>
      </c>
      <c r="V57" s="526"/>
      <c r="W57" s="539">
        <v>0.6</v>
      </c>
      <c r="X57" s="539">
        <v>0.6</v>
      </c>
      <c r="Y57" s="540"/>
      <c r="Z57" s="541"/>
      <c r="AA57" s="501"/>
      <c r="AB57" s="502"/>
      <c r="AC57" s="503"/>
      <c r="AD57" s="504"/>
      <c r="AE57" s="505"/>
      <c r="AF57" s="506"/>
      <c r="AG57" s="506">
        <f t="shared" ca="1" si="7"/>
        <v>0</v>
      </c>
      <c r="AH57" s="506">
        <f t="shared" ca="1" si="8"/>
        <v>0</v>
      </c>
      <c r="AI57" s="506">
        <f t="shared" si="9"/>
        <v>0</v>
      </c>
      <c r="AJ57" s="506">
        <f t="shared" ca="1" si="10"/>
        <v>0</v>
      </c>
      <c r="AK57" s="506" t="str">
        <f t="shared" ca="1" si="11"/>
        <v/>
      </c>
      <c r="AL57" s="507">
        <f t="shared" ca="1" si="12"/>
        <v>1</v>
      </c>
      <c r="AM57" s="507">
        <f t="shared" ca="1" si="13"/>
        <v>8</v>
      </c>
      <c r="AN57" s="507">
        <f t="shared" ca="1" si="14"/>
        <v>1</v>
      </c>
      <c r="AO57" s="507">
        <f t="shared" ca="1" si="15"/>
        <v>0</v>
      </c>
      <c r="AP57" s="507">
        <f t="shared" ca="1" si="16"/>
        <v>0</v>
      </c>
      <c r="AQ57" s="507">
        <f t="shared" ca="1" si="17"/>
        <v>0</v>
      </c>
      <c r="AR57" s="507">
        <f t="shared" ca="1" si="18"/>
        <v>0</v>
      </c>
      <c r="AS57" s="508"/>
      <c r="AT57" s="507">
        <f t="shared" si="19"/>
        <v>7</v>
      </c>
    </row>
    <row r="58" spans="1:46" ht="15.75" customHeight="1">
      <c r="A58" s="485"/>
      <c r="B58" s="486">
        <f t="shared" ca="1" si="0"/>
        <v>1</v>
      </c>
      <c r="C58" s="487">
        <f t="shared" ca="1" si="1"/>
        <v>8</v>
      </c>
      <c r="D58" s="487">
        <f t="shared" ca="1" si="2"/>
        <v>2</v>
      </c>
      <c r="E58" s="487" t="str">
        <f t="shared" ca="1" si="3"/>
        <v/>
      </c>
      <c r="F58" s="487" t="str">
        <f t="shared" ca="1" si="4"/>
        <v/>
      </c>
      <c r="G58" s="488" t="str">
        <f t="shared" ca="1" si="5"/>
        <v/>
      </c>
      <c r="H58" s="489" t="str">
        <f t="shared" ca="1" si="6"/>
        <v/>
      </c>
      <c r="I58" s="509"/>
      <c r="J58" s="522"/>
      <c r="K58" s="522" t="s">
        <v>145</v>
      </c>
      <c r="L58" s="522"/>
      <c r="M58" s="522"/>
      <c r="N58" s="522"/>
      <c r="O58" s="522"/>
      <c r="P58" s="522"/>
      <c r="Q58" s="523"/>
      <c r="R58" s="524" t="s">
        <v>246</v>
      </c>
      <c r="S58" s="525">
        <v>45826</v>
      </c>
      <c r="T58" s="526">
        <v>45826</v>
      </c>
      <c r="U58" s="543"/>
      <c r="V58" s="526"/>
      <c r="W58" s="539">
        <v>0</v>
      </c>
      <c r="X58" s="542"/>
      <c r="Y58" s="540"/>
      <c r="Z58" s="541"/>
      <c r="AA58" s="501"/>
      <c r="AB58" s="502"/>
      <c r="AC58" s="503"/>
      <c r="AD58" s="504"/>
      <c r="AE58" s="505"/>
      <c r="AF58" s="506"/>
      <c r="AG58" s="506">
        <f t="shared" ca="1" si="7"/>
        <v>0</v>
      </c>
      <c r="AH58" s="506">
        <f t="shared" ca="1" si="8"/>
        <v>0</v>
      </c>
      <c r="AI58" s="506">
        <f t="shared" si="9"/>
        <v>0</v>
      </c>
      <c r="AJ58" s="506">
        <f t="shared" ca="1" si="10"/>
        <v>0</v>
      </c>
      <c r="AK58" s="506" t="str">
        <f t="shared" ca="1" si="11"/>
        <v/>
      </c>
      <c r="AL58" s="507">
        <f t="shared" ca="1" si="12"/>
        <v>1</v>
      </c>
      <c r="AM58" s="507">
        <f t="shared" ca="1" si="13"/>
        <v>8</v>
      </c>
      <c r="AN58" s="507">
        <f t="shared" ca="1" si="14"/>
        <v>2</v>
      </c>
      <c r="AO58" s="507">
        <f t="shared" ca="1" si="15"/>
        <v>0</v>
      </c>
      <c r="AP58" s="507">
        <f t="shared" ca="1" si="16"/>
        <v>0</v>
      </c>
      <c r="AQ58" s="507">
        <f t="shared" ca="1" si="17"/>
        <v>0</v>
      </c>
      <c r="AR58" s="507">
        <f t="shared" ca="1" si="18"/>
        <v>0</v>
      </c>
      <c r="AS58" s="508"/>
      <c r="AT58" s="507">
        <f t="shared" si="19"/>
        <v>1</v>
      </c>
    </row>
    <row r="59" spans="1:46" ht="15.75" customHeight="1">
      <c r="A59" s="485"/>
      <c r="B59" s="486">
        <f t="shared" ca="1" si="0"/>
        <v>1</v>
      </c>
      <c r="C59" s="487">
        <f t="shared" ca="1" si="1"/>
        <v>8</v>
      </c>
      <c r="D59" s="487">
        <f t="shared" ca="1" si="2"/>
        <v>3</v>
      </c>
      <c r="E59" s="487" t="str">
        <f t="shared" ca="1" si="3"/>
        <v/>
      </c>
      <c r="F59" s="487" t="str">
        <f t="shared" ca="1" si="4"/>
        <v/>
      </c>
      <c r="G59" s="488" t="str">
        <f t="shared" ca="1" si="5"/>
        <v/>
      </c>
      <c r="H59" s="489" t="str">
        <f t="shared" ca="1" si="6"/>
        <v/>
      </c>
      <c r="I59" s="509"/>
      <c r="J59" s="522"/>
      <c r="K59" s="522" t="s">
        <v>63</v>
      </c>
      <c r="L59" s="522"/>
      <c r="M59" s="522"/>
      <c r="N59" s="522"/>
      <c r="O59" s="522"/>
      <c r="P59" s="522"/>
      <c r="Q59" s="523"/>
      <c r="R59" s="524" t="s">
        <v>247</v>
      </c>
      <c r="S59" s="525">
        <v>45832</v>
      </c>
      <c r="T59" s="526">
        <v>45833</v>
      </c>
      <c r="U59" s="543"/>
      <c r="V59" s="526"/>
      <c r="W59" s="539">
        <v>0</v>
      </c>
      <c r="X59" s="542"/>
      <c r="Y59" s="540"/>
      <c r="Z59" s="541"/>
      <c r="AA59" s="501"/>
      <c r="AB59" s="502"/>
      <c r="AC59" s="503"/>
      <c r="AD59" s="504"/>
      <c r="AE59" s="505"/>
      <c r="AF59" s="506"/>
      <c r="AG59" s="506">
        <f t="shared" ca="1" si="7"/>
        <v>0</v>
      </c>
      <c r="AH59" s="506">
        <f t="shared" ca="1" si="8"/>
        <v>0</v>
      </c>
      <c r="AI59" s="506">
        <f t="shared" si="9"/>
        <v>0</v>
      </c>
      <c r="AJ59" s="506">
        <f t="shared" ca="1" si="10"/>
        <v>0</v>
      </c>
      <c r="AK59" s="506" t="str">
        <f t="shared" ca="1" si="11"/>
        <v/>
      </c>
      <c r="AL59" s="507">
        <f t="shared" ca="1" si="12"/>
        <v>1</v>
      </c>
      <c r="AM59" s="507">
        <f t="shared" ca="1" si="13"/>
        <v>8</v>
      </c>
      <c r="AN59" s="507">
        <f t="shared" ca="1" si="14"/>
        <v>3</v>
      </c>
      <c r="AO59" s="507">
        <f t="shared" ca="1" si="15"/>
        <v>0</v>
      </c>
      <c r="AP59" s="507">
        <f t="shared" ca="1" si="16"/>
        <v>0</v>
      </c>
      <c r="AQ59" s="507">
        <f t="shared" ca="1" si="17"/>
        <v>0</v>
      </c>
      <c r="AR59" s="507">
        <f t="shared" ca="1" si="18"/>
        <v>0</v>
      </c>
      <c r="AS59" s="508"/>
      <c r="AT59" s="507">
        <f t="shared" si="19"/>
        <v>2</v>
      </c>
    </row>
    <row r="60" spans="1:46" ht="15.75" customHeight="1">
      <c r="A60" s="485"/>
      <c r="B60" s="486">
        <f t="shared" ca="1" si="0"/>
        <v>1</v>
      </c>
      <c r="C60" s="487">
        <f t="shared" ca="1" si="1"/>
        <v>8</v>
      </c>
      <c r="D60" s="487">
        <f t="shared" ca="1" si="2"/>
        <v>4</v>
      </c>
      <c r="E60" s="487" t="str">
        <f t="shared" ca="1" si="3"/>
        <v/>
      </c>
      <c r="F60" s="487" t="str">
        <f t="shared" ca="1" si="4"/>
        <v/>
      </c>
      <c r="G60" s="488" t="str">
        <f t="shared" ca="1" si="5"/>
        <v/>
      </c>
      <c r="H60" s="489" t="str">
        <f t="shared" ca="1" si="6"/>
        <v/>
      </c>
      <c r="I60" s="509"/>
      <c r="J60" s="522"/>
      <c r="K60" s="522" t="s">
        <v>64</v>
      </c>
      <c r="L60" s="522"/>
      <c r="M60" s="522"/>
      <c r="N60" s="522"/>
      <c r="O60" s="522"/>
      <c r="P60" s="522"/>
      <c r="Q60" s="523"/>
      <c r="R60" s="524" t="s">
        <v>246</v>
      </c>
      <c r="S60" s="525">
        <v>45834</v>
      </c>
      <c r="T60" s="526">
        <v>45834</v>
      </c>
      <c r="U60" s="543"/>
      <c r="V60" s="526"/>
      <c r="W60" s="539">
        <v>0</v>
      </c>
      <c r="X60" s="542"/>
      <c r="Y60" s="540"/>
      <c r="Z60" s="541"/>
      <c r="AA60" s="501"/>
      <c r="AB60" s="502"/>
      <c r="AC60" s="503"/>
      <c r="AD60" s="504"/>
      <c r="AE60" s="505"/>
      <c r="AF60" s="506"/>
      <c r="AG60" s="506">
        <f t="shared" ca="1" si="7"/>
        <v>0</v>
      </c>
      <c r="AH60" s="506">
        <f t="shared" ca="1" si="8"/>
        <v>0</v>
      </c>
      <c r="AI60" s="506">
        <f t="shared" si="9"/>
        <v>0</v>
      </c>
      <c r="AJ60" s="506">
        <f t="shared" ca="1" si="10"/>
        <v>0</v>
      </c>
      <c r="AK60" s="506" t="str">
        <f t="shared" ca="1" si="11"/>
        <v/>
      </c>
      <c r="AL60" s="507">
        <f t="shared" ca="1" si="12"/>
        <v>1</v>
      </c>
      <c r="AM60" s="507">
        <f t="shared" ca="1" si="13"/>
        <v>8</v>
      </c>
      <c r="AN60" s="507">
        <f t="shared" ca="1" si="14"/>
        <v>4</v>
      </c>
      <c r="AO60" s="507">
        <f t="shared" ca="1" si="15"/>
        <v>0</v>
      </c>
      <c r="AP60" s="507">
        <f t="shared" ca="1" si="16"/>
        <v>0</v>
      </c>
      <c r="AQ60" s="507">
        <f t="shared" ca="1" si="17"/>
        <v>0</v>
      </c>
      <c r="AR60" s="507">
        <f t="shared" ca="1" si="18"/>
        <v>0</v>
      </c>
      <c r="AS60" s="508"/>
      <c r="AT60" s="507">
        <f t="shared" si="19"/>
        <v>1</v>
      </c>
    </row>
    <row r="61" spans="1:46" ht="15.75" customHeight="1">
      <c r="A61" s="485"/>
      <c r="B61" s="486">
        <f t="shared" ca="1" si="0"/>
        <v>1</v>
      </c>
      <c r="C61" s="487">
        <f t="shared" ca="1" si="1"/>
        <v>8</v>
      </c>
      <c r="D61" s="487">
        <f t="shared" ca="1" si="2"/>
        <v>5</v>
      </c>
      <c r="E61" s="487" t="str">
        <f t="shared" ca="1" si="3"/>
        <v/>
      </c>
      <c r="F61" s="487" t="str">
        <f t="shared" ca="1" si="4"/>
        <v/>
      </c>
      <c r="G61" s="488" t="str">
        <f t="shared" ca="1" si="5"/>
        <v/>
      </c>
      <c r="H61" s="489" t="str">
        <f t="shared" ca="1" si="6"/>
        <v/>
      </c>
      <c r="I61" s="509"/>
      <c r="J61" s="522"/>
      <c r="K61" s="522" t="s">
        <v>65</v>
      </c>
      <c r="L61" s="522"/>
      <c r="M61" s="522"/>
      <c r="N61" s="522"/>
      <c r="O61" s="522"/>
      <c r="P61" s="522"/>
      <c r="Q61" s="523"/>
      <c r="R61" s="524" t="s">
        <v>247</v>
      </c>
      <c r="S61" s="525">
        <v>45835</v>
      </c>
      <c r="T61" s="526">
        <v>45835</v>
      </c>
      <c r="U61" s="543"/>
      <c r="V61" s="526"/>
      <c r="W61" s="539">
        <v>0</v>
      </c>
      <c r="X61" s="542"/>
      <c r="Y61" s="540"/>
      <c r="Z61" s="541"/>
      <c r="AA61" s="501"/>
      <c r="AB61" s="502"/>
      <c r="AC61" s="503"/>
      <c r="AD61" s="504"/>
      <c r="AE61" s="505"/>
      <c r="AF61" s="506"/>
      <c r="AG61" s="506">
        <f t="shared" ca="1" si="7"/>
        <v>0</v>
      </c>
      <c r="AH61" s="506">
        <f t="shared" ca="1" si="8"/>
        <v>0</v>
      </c>
      <c r="AI61" s="506">
        <f t="shared" si="9"/>
        <v>0</v>
      </c>
      <c r="AJ61" s="506">
        <f t="shared" ca="1" si="10"/>
        <v>0</v>
      </c>
      <c r="AK61" s="506" t="str">
        <f t="shared" ca="1" si="11"/>
        <v/>
      </c>
      <c r="AL61" s="507">
        <f t="shared" ca="1" si="12"/>
        <v>1</v>
      </c>
      <c r="AM61" s="507">
        <f t="shared" ca="1" si="13"/>
        <v>8</v>
      </c>
      <c r="AN61" s="507">
        <f t="shared" ca="1" si="14"/>
        <v>5</v>
      </c>
      <c r="AO61" s="507">
        <f t="shared" ca="1" si="15"/>
        <v>0</v>
      </c>
      <c r="AP61" s="507">
        <f t="shared" ca="1" si="16"/>
        <v>0</v>
      </c>
      <c r="AQ61" s="507">
        <f t="shared" ca="1" si="17"/>
        <v>0</v>
      </c>
      <c r="AR61" s="507">
        <f t="shared" ca="1" si="18"/>
        <v>0</v>
      </c>
      <c r="AS61" s="508"/>
      <c r="AT61" s="507">
        <f t="shared" si="19"/>
        <v>1</v>
      </c>
    </row>
    <row r="62" spans="1:46" ht="15.75" customHeight="1">
      <c r="A62" s="485"/>
      <c r="B62" s="486">
        <f t="shared" ca="1" si="0"/>
        <v>1</v>
      </c>
      <c r="C62" s="487">
        <f t="shared" ca="1" si="1"/>
        <v>8</v>
      </c>
      <c r="D62" s="487">
        <f t="shared" ca="1" si="2"/>
        <v>6</v>
      </c>
      <c r="E62" s="487" t="str">
        <f t="shared" ca="1" si="3"/>
        <v/>
      </c>
      <c r="F62" s="487" t="str">
        <f t="shared" ca="1" si="4"/>
        <v/>
      </c>
      <c r="G62" s="488" t="str">
        <f t="shared" ca="1" si="5"/>
        <v/>
      </c>
      <c r="H62" s="489" t="str">
        <f t="shared" ca="1" si="6"/>
        <v/>
      </c>
      <c r="I62" s="509"/>
      <c r="J62" s="522"/>
      <c r="K62" s="522" t="s">
        <v>66</v>
      </c>
      <c r="L62" s="522"/>
      <c r="M62" s="522"/>
      <c r="N62" s="522"/>
      <c r="O62" s="522"/>
      <c r="P62" s="522"/>
      <c r="Q62" s="523"/>
      <c r="R62" s="524" t="s">
        <v>246</v>
      </c>
      <c r="S62" s="525">
        <v>45838</v>
      </c>
      <c r="T62" s="526">
        <v>45838</v>
      </c>
      <c r="U62" s="543"/>
      <c r="V62" s="526"/>
      <c r="W62" s="539">
        <v>0</v>
      </c>
      <c r="X62" s="542"/>
      <c r="Y62" s="540"/>
      <c r="Z62" s="541"/>
      <c r="AA62" s="501"/>
      <c r="AB62" s="502"/>
      <c r="AC62" s="503"/>
      <c r="AD62" s="504"/>
      <c r="AE62" s="505"/>
      <c r="AF62" s="506"/>
      <c r="AG62" s="506">
        <f t="shared" ca="1" si="7"/>
        <v>0</v>
      </c>
      <c r="AH62" s="506">
        <f t="shared" ca="1" si="8"/>
        <v>0</v>
      </c>
      <c r="AI62" s="506">
        <f t="shared" si="9"/>
        <v>0</v>
      </c>
      <c r="AJ62" s="506">
        <f t="shared" ca="1" si="10"/>
        <v>0</v>
      </c>
      <c r="AK62" s="506" t="str">
        <f t="shared" ca="1" si="11"/>
        <v/>
      </c>
      <c r="AL62" s="507">
        <f t="shared" ca="1" si="12"/>
        <v>1</v>
      </c>
      <c r="AM62" s="507">
        <f t="shared" ca="1" si="13"/>
        <v>8</v>
      </c>
      <c r="AN62" s="507">
        <f t="shared" ca="1" si="14"/>
        <v>6</v>
      </c>
      <c r="AO62" s="507">
        <f t="shared" ca="1" si="15"/>
        <v>0</v>
      </c>
      <c r="AP62" s="507">
        <f t="shared" ca="1" si="16"/>
        <v>0</v>
      </c>
      <c r="AQ62" s="507">
        <f t="shared" ca="1" si="17"/>
        <v>0</v>
      </c>
      <c r="AR62" s="507">
        <f t="shared" ca="1" si="18"/>
        <v>0</v>
      </c>
      <c r="AS62" s="508"/>
      <c r="AT62" s="507">
        <f t="shared" si="19"/>
        <v>1</v>
      </c>
    </row>
    <row r="63" spans="1:46" ht="15.75" customHeight="1">
      <c r="A63" s="485"/>
      <c r="B63" s="486">
        <f t="shared" ca="1" si="0"/>
        <v>1</v>
      </c>
      <c r="C63" s="487">
        <f t="shared" ca="1" si="1"/>
        <v>9</v>
      </c>
      <c r="D63" s="487" t="str">
        <f t="shared" ca="1" si="2"/>
        <v/>
      </c>
      <c r="E63" s="487" t="str">
        <f t="shared" ca="1" si="3"/>
        <v/>
      </c>
      <c r="F63" s="487" t="str">
        <f t="shared" ca="1" si="4"/>
        <v/>
      </c>
      <c r="G63" s="488" t="str">
        <f t="shared" ca="1" si="5"/>
        <v/>
      </c>
      <c r="H63" s="489" t="str">
        <f t="shared" ca="1" si="6"/>
        <v/>
      </c>
      <c r="I63" s="509"/>
      <c r="J63" s="510" t="s">
        <v>249</v>
      </c>
      <c r="K63" s="511"/>
      <c r="L63" s="511"/>
      <c r="M63" s="511"/>
      <c r="N63" s="511"/>
      <c r="O63" s="511"/>
      <c r="P63" s="511"/>
      <c r="Q63" s="512" t="s">
        <v>73</v>
      </c>
      <c r="R63" s="513"/>
      <c r="S63" s="514"/>
      <c r="T63" s="515"/>
      <c r="U63" s="516"/>
      <c r="V63" s="515"/>
      <c r="W63" s="517"/>
      <c r="X63" s="518"/>
      <c r="Y63" s="519"/>
      <c r="Z63" s="520"/>
      <c r="AA63" s="501"/>
      <c r="AB63" s="502"/>
      <c r="AC63" s="503"/>
      <c r="AD63" s="504"/>
      <c r="AE63" s="505"/>
      <c r="AF63" s="506"/>
      <c r="AG63" s="506">
        <f t="shared" si="7"/>
        <v>0</v>
      </c>
      <c r="AH63" s="506">
        <f t="shared" si="8"/>
        <v>0</v>
      </c>
      <c r="AI63" s="506">
        <f t="shared" si="9"/>
        <v>0</v>
      </c>
      <c r="AJ63" s="506">
        <f t="shared" si="10"/>
        <v>0</v>
      </c>
      <c r="AK63" s="506" t="str">
        <f t="shared" si="11"/>
        <v/>
      </c>
      <c r="AL63" s="507">
        <f t="shared" ca="1" si="12"/>
        <v>1</v>
      </c>
      <c r="AM63" s="507">
        <f t="shared" ca="1" si="13"/>
        <v>9</v>
      </c>
      <c r="AN63" s="507">
        <f t="shared" ca="1" si="14"/>
        <v>0</v>
      </c>
      <c r="AO63" s="507">
        <f t="shared" ca="1" si="15"/>
        <v>0</v>
      </c>
      <c r="AP63" s="507">
        <f t="shared" ca="1" si="16"/>
        <v>0</v>
      </c>
      <c r="AQ63" s="507">
        <f t="shared" ca="1" si="17"/>
        <v>0</v>
      </c>
      <c r="AR63" s="507">
        <f t="shared" ca="1" si="18"/>
        <v>0</v>
      </c>
      <c r="AS63" s="508"/>
      <c r="AT63" s="507">
        <f t="shared" si="19"/>
        <v>1</v>
      </c>
    </row>
    <row r="64" spans="1:46" ht="15.75" customHeight="1">
      <c r="A64" s="485"/>
      <c r="B64" s="486">
        <f t="shared" ca="1" si="0"/>
        <v>1</v>
      </c>
      <c r="C64" s="487">
        <f t="shared" ca="1" si="1"/>
        <v>9</v>
      </c>
      <c r="D64" s="487">
        <f t="shared" ca="1" si="2"/>
        <v>1</v>
      </c>
      <c r="E64" s="487" t="str">
        <f t="shared" ca="1" si="3"/>
        <v/>
      </c>
      <c r="F64" s="487" t="str">
        <f t="shared" ca="1" si="4"/>
        <v/>
      </c>
      <c r="G64" s="488" t="str">
        <f t="shared" ca="1" si="5"/>
        <v/>
      </c>
      <c r="H64" s="489" t="str">
        <f t="shared" ca="1" si="6"/>
        <v/>
      </c>
      <c r="I64" s="509"/>
      <c r="J64" s="522"/>
      <c r="K64" s="522" t="s">
        <v>59</v>
      </c>
      <c r="L64" s="522"/>
      <c r="M64" s="522"/>
      <c r="N64" s="522"/>
      <c r="O64" s="522"/>
      <c r="P64" s="522"/>
      <c r="Q64" s="523"/>
      <c r="R64" s="524" t="s">
        <v>238</v>
      </c>
      <c r="S64" s="525">
        <v>45839</v>
      </c>
      <c r="T64" s="526">
        <v>45845</v>
      </c>
      <c r="U64" s="543"/>
      <c r="V64" s="526"/>
      <c r="W64" s="539">
        <v>0</v>
      </c>
      <c r="X64" s="542"/>
      <c r="Y64" s="540"/>
      <c r="Z64" s="541"/>
      <c r="AA64" s="501"/>
      <c r="AB64" s="502"/>
      <c r="AC64" s="503"/>
      <c r="AD64" s="504"/>
      <c r="AE64" s="505"/>
      <c r="AF64" s="506"/>
      <c r="AG64" s="506">
        <f t="shared" ca="1" si="7"/>
        <v>0</v>
      </c>
      <c r="AH64" s="506">
        <f t="shared" ca="1" si="8"/>
        <v>0</v>
      </c>
      <c r="AI64" s="506">
        <f t="shared" si="9"/>
        <v>0</v>
      </c>
      <c r="AJ64" s="506">
        <f t="shared" ca="1" si="10"/>
        <v>0</v>
      </c>
      <c r="AK64" s="506" t="str">
        <f t="shared" ca="1" si="11"/>
        <v/>
      </c>
      <c r="AL64" s="507">
        <f t="shared" ca="1" si="12"/>
        <v>1</v>
      </c>
      <c r="AM64" s="507">
        <f t="shared" ca="1" si="13"/>
        <v>9</v>
      </c>
      <c r="AN64" s="507">
        <f t="shared" ca="1" si="14"/>
        <v>1</v>
      </c>
      <c r="AO64" s="507">
        <f t="shared" ca="1" si="15"/>
        <v>0</v>
      </c>
      <c r="AP64" s="507">
        <f t="shared" ca="1" si="16"/>
        <v>0</v>
      </c>
      <c r="AQ64" s="507">
        <f t="shared" ca="1" si="17"/>
        <v>0</v>
      </c>
      <c r="AR64" s="507">
        <f t="shared" ca="1" si="18"/>
        <v>0</v>
      </c>
      <c r="AS64" s="508"/>
      <c r="AT64" s="507">
        <f t="shared" si="19"/>
        <v>7</v>
      </c>
    </row>
    <row r="65" spans="1:46" ht="15.75" customHeight="1">
      <c r="A65" s="485"/>
      <c r="B65" s="486">
        <f t="shared" ca="1" si="0"/>
        <v>1</v>
      </c>
      <c r="C65" s="487">
        <f t="shared" ca="1" si="1"/>
        <v>9</v>
      </c>
      <c r="D65" s="487">
        <f t="shared" ca="1" si="2"/>
        <v>2</v>
      </c>
      <c r="E65" s="487" t="str">
        <f t="shared" ca="1" si="3"/>
        <v/>
      </c>
      <c r="F65" s="487" t="str">
        <f t="shared" ca="1" si="4"/>
        <v/>
      </c>
      <c r="G65" s="488" t="str">
        <f t="shared" ca="1" si="5"/>
        <v/>
      </c>
      <c r="H65" s="489" t="str">
        <f t="shared" ca="1" si="6"/>
        <v/>
      </c>
      <c r="I65" s="509"/>
      <c r="J65" s="522"/>
      <c r="K65" s="522" t="s">
        <v>145</v>
      </c>
      <c r="L65" s="522"/>
      <c r="M65" s="522"/>
      <c r="N65" s="522"/>
      <c r="O65" s="522"/>
      <c r="P65" s="522"/>
      <c r="Q65" s="523"/>
      <c r="R65" s="524" t="s">
        <v>239</v>
      </c>
      <c r="S65" s="525">
        <v>45846</v>
      </c>
      <c r="T65" s="526">
        <v>45846</v>
      </c>
      <c r="U65" s="543"/>
      <c r="V65" s="526"/>
      <c r="W65" s="539">
        <v>0</v>
      </c>
      <c r="X65" s="542"/>
      <c r="Y65" s="540"/>
      <c r="Z65" s="541"/>
      <c r="AA65" s="501"/>
      <c r="AB65" s="502"/>
      <c r="AC65" s="503"/>
      <c r="AD65" s="504"/>
      <c r="AE65" s="505"/>
      <c r="AF65" s="506"/>
      <c r="AG65" s="506">
        <f t="shared" ca="1" si="7"/>
        <v>0</v>
      </c>
      <c r="AH65" s="506">
        <f t="shared" ca="1" si="8"/>
        <v>0</v>
      </c>
      <c r="AI65" s="506">
        <f t="shared" si="9"/>
        <v>0</v>
      </c>
      <c r="AJ65" s="506">
        <f t="shared" ca="1" si="10"/>
        <v>0</v>
      </c>
      <c r="AK65" s="506" t="str">
        <f t="shared" ca="1" si="11"/>
        <v/>
      </c>
      <c r="AL65" s="507">
        <f t="shared" ca="1" si="12"/>
        <v>1</v>
      </c>
      <c r="AM65" s="507">
        <f t="shared" ca="1" si="13"/>
        <v>9</v>
      </c>
      <c r="AN65" s="507">
        <f t="shared" ca="1" si="14"/>
        <v>2</v>
      </c>
      <c r="AO65" s="507">
        <f t="shared" ca="1" si="15"/>
        <v>0</v>
      </c>
      <c r="AP65" s="507">
        <f t="shared" ca="1" si="16"/>
        <v>0</v>
      </c>
      <c r="AQ65" s="507">
        <f t="shared" ca="1" si="17"/>
        <v>0</v>
      </c>
      <c r="AR65" s="507">
        <f t="shared" ca="1" si="18"/>
        <v>0</v>
      </c>
      <c r="AS65" s="508"/>
      <c r="AT65" s="507">
        <f t="shared" si="19"/>
        <v>1</v>
      </c>
    </row>
    <row r="66" spans="1:46" ht="15.75" customHeight="1">
      <c r="A66" s="485"/>
      <c r="B66" s="486">
        <f t="shared" ca="1" si="0"/>
        <v>1</v>
      </c>
      <c r="C66" s="487">
        <f t="shared" ca="1" si="1"/>
        <v>9</v>
      </c>
      <c r="D66" s="487">
        <f t="shared" ca="1" si="2"/>
        <v>3</v>
      </c>
      <c r="E66" s="487" t="str">
        <f t="shared" ca="1" si="3"/>
        <v/>
      </c>
      <c r="F66" s="487" t="str">
        <f t="shared" ca="1" si="4"/>
        <v/>
      </c>
      <c r="G66" s="488" t="str">
        <f t="shared" ca="1" si="5"/>
        <v/>
      </c>
      <c r="H66" s="489" t="str">
        <f t="shared" ca="1" si="6"/>
        <v/>
      </c>
      <c r="I66" s="509"/>
      <c r="J66" s="522"/>
      <c r="K66" s="522" t="s">
        <v>63</v>
      </c>
      <c r="L66" s="522"/>
      <c r="M66" s="522"/>
      <c r="N66" s="522"/>
      <c r="O66" s="522"/>
      <c r="P66" s="522"/>
      <c r="Q66" s="523"/>
      <c r="R66" s="524" t="s">
        <v>238</v>
      </c>
      <c r="S66" s="525">
        <v>45847</v>
      </c>
      <c r="T66" s="526">
        <v>45848</v>
      </c>
      <c r="U66" s="543"/>
      <c r="V66" s="526"/>
      <c r="W66" s="539">
        <v>0</v>
      </c>
      <c r="X66" s="542"/>
      <c r="Y66" s="540"/>
      <c r="Z66" s="541"/>
      <c r="AA66" s="501"/>
      <c r="AB66" s="502"/>
      <c r="AC66" s="503"/>
      <c r="AD66" s="504"/>
      <c r="AE66" s="505"/>
      <c r="AF66" s="506"/>
      <c r="AG66" s="506">
        <f t="shared" ca="1" si="7"/>
        <v>0</v>
      </c>
      <c r="AH66" s="506">
        <f t="shared" ca="1" si="8"/>
        <v>0</v>
      </c>
      <c r="AI66" s="506">
        <f t="shared" si="9"/>
        <v>0</v>
      </c>
      <c r="AJ66" s="506">
        <f t="shared" ca="1" si="10"/>
        <v>0</v>
      </c>
      <c r="AK66" s="506" t="str">
        <f t="shared" ca="1" si="11"/>
        <v/>
      </c>
      <c r="AL66" s="507">
        <f t="shared" ca="1" si="12"/>
        <v>1</v>
      </c>
      <c r="AM66" s="507">
        <f t="shared" ca="1" si="13"/>
        <v>9</v>
      </c>
      <c r="AN66" s="507">
        <f t="shared" ca="1" si="14"/>
        <v>3</v>
      </c>
      <c r="AO66" s="507">
        <f t="shared" ca="1" si="15"/>
        <v>0</v>
      </c>
      <c r="AP66" s="507">
        <f t="shared" ca="1" si="16"/>
        <v>0</v>
      </c>
      <c r="AQ66" s="507">
        <f t="shared" ca="1" si="17"/>
        <v>0</v>
      </c>
      <c r="AR66" s="507">
        <f t="shared" ca="1" si="18"/>
        <v>0</v>
      </c>
      <c r="AS66" s="508"/>
      <c r="AT66" s="507">
        <f t="shared" si="19"/>
        <v>2</v>
      </c>
    </row>
    <row r="67" spans="1:46" ht="15.75" customHeight="1">
      <c r="A67" s="485"/>
      <c r="B67" s="486">
        <f t="shared" ca="1" si="0"/>
        <v>1</v>
      </c>
      <c r="C67" s="487">
        <f t="shared" ca="1" si="1"/>
        <v>9</v>
      </c>
      <c r="D67" s="487">
        <f t="shared" ca="1" si="2"/>
        <v>4</v>
      </c>
      <c r="E67" s="487" t="str">
        <f t="shared" ca="1" si="3"/>
        <v/>
      </c>
      <c r="F67" s="487" t="str">
        <f t="shared" ca="1" si="4"/>
        <v/>
      </c>
      <c r="G67" s="488" t="str">
        <f t="shared" ca="1" si="5"/>
        <v/>
      </c>
      <c r="H67" s="489" t="str">
        <f t="shared" ca="1" si="6"/>
        <v/>
      </c>
      <c r="I67" s="509"/>
      <c r="J67" s="522"/>
      <c r="K67" s="522" t="s">
        <v>64</v>
      </c>
      <c r="L67" s="522"/>
      <c r="M67" s="522"/>
      <c r="N67" s="522"/>
      <c r="O67" s="522"/>
      <c r="P67" s="522"/>
      <c r="Q67" s="523"/>
      <c r="R67" s="524" t="s">
        <v>239</v>
      </c>
      <c r="S67" s="525">
        <v>45849</v>
      </c>
      <c r="T67" s="526">
        <v>45849</v>
      </c>
      <c r="U67" s="543"/>
      <c r="V67" s="526"/>
      <c r="W67" s="539">
        <v>0</v>
      </c>
      <c r="X67" s="542"/>
      <c r="Y67" s="540"/>
      <c r="Z67" s="541"/>
      <c r="AA67" s="501"/>
      <c r="AB67" s="502"/>
      <c r="AC67" s="503"/>
      <c r="AD67" s="504"/>
      <c r="AE67" s="505"/>
      <c r="AF67" s="506"/>
      <c r="AG67" s="506">
        <f t="shared" ca="1" si="7"/>
        <v>0</v>
      </c>
      <c r="AH67" s="506">
        <f t="shared" ca="1" si="8"/>
        <v>0</v>
      </c>
      <c r="AI67" s="506">
        <f t="shared" si="9"/>
        <v>0</v>
      </c>
      <c r="AJ67" s="506">
        <f t="shared" ca="1" si="10"/>
        <v>0</v>
      </c>
      <c r="AK67" s="506" t="str">
        <f t="shared" ca="1" si="11"/>
        <v/>
      </c>
      <c r="AL67" s="507">
        <f t="shared" ca="1" si="12"/>
        <v>1</v>
      </c>
      <c r="AM67" s="507">
        <f t="shared" ca="1" si="13"/>
        <v>9</v>
      </c>
      <c r="AN67" s="507">
        <f t="shared" ca="1" si="14"/>
        <v>4</v>
      </c>
      <c r="AO67" s="507">
        <f t="shared" ca="1" si="15"/>
        <v>0</v>
      </c>
      <c r="AP67" s="507">
        <f t="shared" ca="1" si="16"/>
        <v>0</v>
      </c>
      <c r="AQ67" s="507">
        <f t="shared" ca="1" si="17"/>
        <v>0</v>
      </c>
      <c r="AR67" s="507">
        <f t="shared" ca="1" si="18"/>
        <v>0</v>
      </c>
      <c r="AS67" s="508"/>
      <c r="AT67" s="507">
        <f t="shared" si="19"/>
        <v>1</v>
      </c>
    </row>
    <row r="68" spans="1:46" ht="15.75" customHeight="1">
      <c r="A68" s="485"/>
      <c r="B68" s="486">
        <f t="shared" ca="1" si="0"/>
        <v>1</v>
      </c>
      <c r="C68" s="487">
        <f t="shared" ca="1" si="1"/>
        <v>9</v>
      </c>
      <c r="D68" s="487">
        <f t="shared" ca="1" si="2"/>
        <v>5</v>
      </c>
      <c r="E68" s="487" t="str">
        <f t="shared" ca="1" si="3"/>
        <v/>
      </c>
      <c r="F68" s="487" t="str">
        <f t="shared" ca="1" si="4"/>
        <v/>
      </c>
      <c r="G68" s="488" t="str">
        <f t="shared" ca="1" si="5"/>
        <v/>
      </c>
      <c r="H68" s="489" t="str">
        <f t="shared" ca="1" si="6"/>
        <v/>
      </c>
      <c r="I68" s="509"/>
      <c r="J68" s="522"/>
      <c r="K68" s="522" t="s">
        <v>65</v>
      </c>
      <c r="L68" s="522"/>
      <c r="M68" s="522"/>
      <c r="N68" s="522"/>
      <c r="O68" s="522"/>
      <c r="P68" s="522"/>
      <c r="Q68" s="523"/>
      <c r="R68" s="524" t="s">
        <v>238</v>
      </c>
      <c r="S68" s="525">
        <v>45852</v>
      </c>
      <c r="T68" s="526">
        <v>45852</v>
      </c>
      <c r="U68" s="543"/>
      <c r="V68" s="526"/>
      <c r="W68" s="539">
        <v>0</v>
      </c>
      <c r="X68" s="542"/>
      <c r="Y68" s="540"/>
      <c r="Z68" s="541"/>
      <c r="AA68" s="501"/>
      <c r="AB68" s="502"/>
      <c r="AC68" s="503"/>
      <c r="AD68" s="504"/>
      <c r="AE68" s="505"/>
      <c r="AF68" s="506"/>
      <c r="AG68" s="506">
        <f t="shared" ca="1" si="7"/>
        <v>0</v>
      </c>
      <c r="AH68" s="506">
        <f t="shared" ca="1" si="8"/>
        <v>0</v>
      </c>
      <c r="AI68" s="506">
        <f t="shared" si="9"/>
        <v>0</v>
      </c>
      <c r="AJ68" s="506">
        <f t="shared" ca="1" si="10"/>
        <v>0</v>
      </c>
      <c r="AK68" s="506" t="str">
        <f t="shared" ca="1" si="11"/>
        <v/>
      </c>
      <c r="AL68" s="507">
        <f t="shared" ca="1" si="12"/>
        <v>1</v>
      </c>
      <c r="AM68" s="507">
        <f t="shared" ca="1" si="13"/>
        <v>9</v>
      </c>
      <c r="AN68" s="507">
        <f t="shared" ca="1" si="14"/>
        <v>5</v>
      </c>
      <c r="AO68" s="507">
        <f t="shared" ca="1" si="15"/>
        <v>0</v>
      </c>
      <c r="AP68" s="507">
        <f t="shared" ca="1" si="16"/>
        <v>0</v>
      </c>
      <c r="AQ68" s="507">
        <f t="shared" ca="1" si="17"/>
        <v>0</v>
      </c>
      <c r="AR68" s="507">
        <f t="shared" ca="1" si="18"/>
        <v>0</v>
      </c>
      <c r="AS68" s="508"/>
      <c r="AT68" s="507">
        <f t="shared" si="19"/>
        <v>1</v>
      </c>
    </row>
    <row r="69" spans="1:46" ht="15.75" customHeight="1">
      <c r="A69" s="485"/>
      <c r="B69" s="486">
        <f t="shared" ca="1" si="0"/>
        <v>1</v>
      </c>
      <c r="C69" s="487">
        <f t="shared" ca="1" si="1"/>
        <v>9</v>
      </c>
      <c r="D69" s="487">
        <f t="shared" ca="1" si="2"/>
        <v>6</v>
      </c>
      <c r="E69" s="487" t="str">
        <f t="shared" ca="1" si="3"/>
        <v/>
      </c>
      <c r="F69" s="487" t="str">
        <f t="shared" ca="1" si="4"/>
        <v/>
      </c>
      <c r="G69" s="488" t="str">
        <f t="shared" ca="1" si="5"/>
        <v/>
      </c>
      <c r="H69" s="489" t="str">
        <f t="shared" ca="1" si="6"/>
        <v/>
      </c>
      <c r="I69" s="509"/>
      <c r="J69" s="522"/>
      <c r="K69" s="522" t="s">
        <v>66</v>
      </c>
      <c r="L69" s="522"/>
      <c r="M69" s="522"/>
      <c r="N69" s="522"/>
      <c r="O69" s="522"/>
      <c r="P69" s="522"/>
      <c r="Q69" s="523"/>
      <c r="R69" s="524" t="s">
        <v>239</v>
      </c>
      <c r="S69" s="525">
        <v>45853</v>
      </c>
      <c r="T69" s="526">
        <v>45853</v>
      </c>
      <c r="U69" s="543"/>
      <c r="V69" s="526"/>
      <c r="W69" s="539">
        <v>0</v>
      </c>
      <c r="X69" s="542"/>
      <c r="Y69" s="540"/>
      <c r="Z69" s="541"/>
      <c r="AA69" s="501"/>
      <c r="AB69" s="502"/>
      <c r="AC69" s="503"/>
      <c r="AD69" s="504"/>
      <c r="AE69" s="505"/>
      <c r="AF69" s="506"/>
      <c r="AG69" s="506">
        <f t="shared" ca="1" si="7"/>
        <v>0</v>
      </c>
      <c r="AH69" s="506">
        <f t="shared" ca="1" si="8"/>
        <v>0</v>
      </c>
      <c r="AI69" s="506">
        <f t="shared" si="9"/>
        <v>0</v>
      </c>
      <c r="AJ69" s="506">
        <f t="shared" ca="1" si="10"/>
        <v>0</v>
      </c>
      <c r="AK69" s="506" t="str">
        <f t="shared" ca="1" si="11"/>
        <v/>
      </c>
      <c r="AL69" s="507">
        <f t="shared" ca="1" si="12"/>
        <v>1</v>
      </c>
      <c r="AM69" s="507">
        <f t="shared" ca="1" si="13"/>
        <v>9</v>
      </c>
      <c r="AN69" s="507">
        <f t="shared" ca="1" si="14"/>
        <v>6</v>
      </c>
      <c r="AO69" s="507">
        <f t="shared" ca="1" si="15"/>
        <v>0</v>
      </c>
      <c r="AP69" s="507">
        <f t="shared" ca="1" si="16"/>
        <v>0</v>
      </c>
      <c r="AQ69" s="507">
        <f t="shared" ca="1" si="17"/>
        <v>0</v>
      </c>
      <c r="AR69" s="507">
        <f t="shared" ca="1" si="18"/>
        <v>0</v>
      </c>
      <c r="AS69" s="508"/>
      <c r="AT69" s="507">
        <f t="shared" si="19"/>
        <v>1</v>
      </c>
    </row>
    <row r="70" spans="1:46" ht="15.75" customHeight="1">
      <c r="A70" s="485"/>
      <c r="B70" s="486">
        <f t="shared" ca="1" si="0"/>
        <v>1</v>
      </c>
      <c r="C70" s="487">
        <f t="shared" ca="1" si="1"/>
        <v>10</v>
      </c>
      <c r="D70" s="487" t="str">
        <f t="shared" ca="1" si="2"/>
        <v/>
      </c>
      <c r="E70" s="487" t="str">
        <f t="shared" ca="1" si="3"/>
        <v/>
      </c>
      <c r="F70" s="487" t="str">
        <f t="shared" ca="1" si="4"/>
        <v/>
      </c>
      <c r="G70" s="488" t="str">
        <f t="shared" ca="1" si="5"/>
        <v/>
      </c>
      <c r="H70" s="489" t="str">
        <f t="shared" ca="1" si="6"/>
        <v/>
      </c>
      <c r="I70" s="509"/>
      <c r="J70" s="510" t="s">
        <v>250</v>
      </c>
      <c r="K70" s="511"/>
      <c r="L70" s="511"/>
      <c r="M70" s="511"/>
      <c r="N70" s="511"/>
      <c r="O70" s="511"/>
      <c r="P70" s="511"/>
      <c r="Q70" s="512" t="s">
        <v>81</v>
      </c>
      <c r="R70" s="513"/>
      <c r="S70" s="514"/>
      <c r="T70" s="515"/>
      <c r="U70" s="516"/>
      <c r="V70" s="515"/>
      <c r="W70" s="517"/>
      <c r="X70" s="518"/>
      <c r="Y70" s="519"/>
      <c r="Z70" s="520"/>
      <c r="AA70" s="501"/>
      <c r="AB70" s="502"/>
      <c r="AC70" s="503"/>
      <c r="AD70" s="504"/>
      <c r="AE70" s="505"/>
      <c r="AF70" s="506"/>
      <c r="AG70" s="506">
        <f t="shared" si="7"/>
        <v>0</v>
      </c>
      <c r="AH70" s="506">
        <f t="shared" si="8"/>
        <v>0</v>
      </c>
      <c r="AI70" s="506">
        <f t="shared" si="9"/>
        <v>0</v>
      </c>
      <c r="AJ70" s="506">
        <f t="shared" si="10"/>
        <v>0</v>
      </c>
      <c r="AK70" s="506" t="str">
        <f t="shared" si="11"/>
        <v/>
      </c>
      <c r="AL70" s="507">
        <f t="shared" ca="1" si="12"/>
        <v>1</v>
      </c>
      <c r="AM70" s="507">
        <f t="shared" ca="1" si="13"/>
        <v>10</v>
      </c>
      <c r="AN70" s="507">
        <f t="shared" ca="1" si="14"/>
        <v>0</v>
      </c>
      <c r="AO70" s="507">
        <f t="shared" ca="1" si="15"/>
        <v>0</v>
      </c>
      <c r="AP70" s="507">
        <f t="shared" ca="1" si="16"/>
        <v>0</v>
      </c>
      <c r="AQ70" s="507">
        <f t="shared" ca="1" si="17"/>
        <v>0</v>
      </c>
      <c r="AR70" s="507">
        <f t="shared" ca="1" si="18"/>
        <v>0</v>
      </c>
      <c r="AS70" s="508"/>
      <c r="AT70" s="507">
        <f t="shared" si="19"/>
        <v>1</v>
      </c>
    </row>
    <row r="71" spans="1:46" ht="15.75" customHeight="1">
      <c r="A71" s="485"/>
      <c r="B71" s="486">
        <f t="shared" ca="1" si="0"/>
        <v>1</v>
      </c>
      <c r="C71" s="487">
        <f t="shared" ca="1" si="1"/>
        <v>10</v>
      </c>
      <c r="D71" s="487">
        <f t="shared" ca="1" si="2"/>
        <v>1</v>
      </c>
      <c r="E71" s="487" t="str">
        <f t="shared" ca="1" si="3"/>
        <v/>
      </c>
      <c r="F71" s="487" t="str">
        <f t="shared" ca="1" si="4"/>
        <v/>
      </c>
      <c r="G71" s="488" t="str">
        <f t="shared" ca="1" si="5"/>
        <v/>
      </c>
      <c r="H71" s="489" t="str">
        <f t="shared" ca="1" si="6"/>
        <v/>
      </c>
      <c r="I71" s="509"/>
      <c r="J71" s="522"/>
      <c r="K71" s="522" t="s">
        <v>59</v>
      </c>
      <c r="L71" s="522"/>
      <c r="M71" s="522"/>
      <c r="N71" s="522"/>
      <c r="O71" s="522"/>
      <c r="P71" s="522"/>
      <c r="Q71" s="523"/>
      <c r="R71" s="524" t="s">
        <v>239</v>
      </c>
      <c r="S71" s="543">
        <v>45812</v>
      </c>
      <c r="T71" s="526">
        <v>45817</v>
      </c>
      <c r="U71" s="543">
        <v>45812</v>
      </c>
      <c r="V71" s="526">
        <v>45817</v>
      </c>
      <c r="W71" s="539">
        <v>1</v>
      </c>
      <c r="X71" s="542">
        <v>1</v>
      </c>
      <c r="Y71" s="540"/>
      <c r="Z71" s="541"/>
      <c r="AA71" s="501"/>
      <c r="AB71" s="502"/>
      <c r="AC71" s="503"/>
      <c r="AD71" s="504"/>
      <c r="AE71" s="505"/>
      <c r="AF71" s="506"/>
      <c r="AG71" s="506">
        <f t="shared" ca="1" si="7"/>
        <v>0</v>
      </c>
      <c r="AH71" s="506">
        <f t="shared" ca="1" si="8"/>
        <v>0</v>
      </c>
      <c r="AI71" s="506">
        <f t="shared" si="9"/>
        <v>0</v>
      </c>
      <c r="AJ71" s="506">
        <f t="shared" ca="1" si="10"/>
        <v>0</v>
      </c>
      <c r="AK71" s="506" t="str">
        <f t="shared" ca="1" si="11"/>
        <v/>
      </c>
      <c r="AL71" s="507">
        <f t="shared" ca="1" si="12"/>
        <v>1</v>
      </c>
      <c r="AM71" s="507">
        <f t="shared" ca="1" si="13"/>
        <v>10</v>
      </c>
      <c r="AN71" s="507">
        <f t="shared" ca="1" si="14"/>
        <v>1</v>
      </c>
      <c r="AO71" s="507">
        <f t="shared" ca="1" si="15"/>
        <v>0</v>
      </c>
      <c r="AP71" s="507">
        <f t="shared" ca="1" si="16"/>
        <v>0</v>
      </c>
      <c r="AQ71" s="507">
        <f t="shared" ca="1" si="17"/>
        <v>0</v>
      </c>
      <c r="AR71" s="507">
        <f t="shared" ca="1" si="18"/>
        <v>0</v>
      </c>
      <c r="AS71" s="508"/>
      <c r="AT71" s="507">
        <f t="shared" si="19"/>
        <v>6</v>
      </c>
    </row>
    <row r="72" spans="1:46" ht="15.75" customHeight="1">
      <c r="A72" s="485"/>
      <c r="B72" s="486">
        <f t="shared" ca="1" si="0"/>
        <v>1</v>
      </c>
      <c r="C72" s="487">
        <f t="shared" ca="1" si="1"/>
        <v>10</v>
      </c>
      <c r="D72" s="487">
        <f t="shared" ca="1" si="2"/>
        <v>2</v>
      </c>
      <c r="E72" s="487" t="str">
        <f t="shared" ca="1" si="3"/>
        <v/>
      </c>
      <c r="F72" s="487" t="str">
        <f t="shared" ca="1" si="4"/>
        <v/>
      </c>
      <c r="G72" s="488" t="str">
        <f t="shared" ca="1" si="5"/>
        <v/>
      </c>
      <c r="H72" s="489" t="str">
        <f t="shared" ca="1" si="6"/>
        <v/>
      </c>
      <c r="I72" s="509"/>
      <c r="J72" s="522"/>
      <c r="K72" s="522" t="s">
        <v>145</v>
      </c>
      <c r="L72" s="522"/>
      <c r="M72" s="522"/>
      <c r="N72" s="522"/>
      <c r="O72" s="522"/>
      <c r="P72" s="522"/>
      <c r="Q72" s="523"/>
      <c r="R72" s="524" t="s">
        <v>238</v>
      </c>
      <c r="S72" s="525">
        <v>45818</v>
      </c>
      <c r="T72" s="526">
        <v>45818</v>
      </c>
      <c r="U72" s="525">
        <v>45818</v>
      </c>
      <c r="V72" s="526">
        <v>45818</v>
      </c>
      <c r="W72" s="539">
        <v>1</v>
      </c>
      <c r="X72" s="542">
        <v>1</v>
      </c>
      <c r="Y72" s="540"/>
      <c r="Z72" s="541"/>
      <c r="AA72" s="501"/>
      <c r="AB72" s="502"/>
      <c r="AC72" s="503"/>
      <c r="AD72" s="504"/>
      <c r="AE72" s="505"/>
      <c r="AF72" s="506"/>
      <c r="AG72" s="506">
        <f t="shared" ca="1" si="7"/>
        <v>0</v>
      </c>
      <c r="AH72" s="506">
        <f t="shared" ca="1" si="8"/>
        <v>0</v>
      </c>
      <c r="AI72" s="506">
        <f t="shared" si="9"/>
        <v>0</v>
      </c>
      <c r="AJ72" s="506">
        <f t="shared" ca="1" si="10"/>
        <v>0</v>
      </c>
      <c r="AK72" s="506" t="str">
        <f t="shared" ca="1" si="11"/>
        <v/>
      </c>
      <c r="AL72" s="507">
        <f t="shared" ca="1" si="12"/>
        <v>1</v>
      </c>
      <c r="AM72" s="507">
        <f t="shared" ca="1" si="13"/>
        <v>10</v>
      </c>
      <c r="AN72" s="507">
        <f t="shared" ca="1" si="14"/>
        <v>2</v>
      </c>
      <c r="AO72" s="507">
        <f t="shared" ca="1" si="15"/>
        <v>0</v>
      </c>
      <c r="AP72" s="507">
        <f t="shared" ca="1" si="16"/>
        <v>0</v>
      </c>
      <c r="AQ72" s="507">
        <f t="shared" ca="1" si="17"/>
        <v>0</v>
      </c>
      <c r="AR72" s="507">
        <f t="shared" ca="1" si="18"/>
        <v>0</v>
      </c>
      <c r="AS72" s="508"/>
      <c r="AT72" s="507">
        <f t="shared" si="19"/>
        <v>1</v>
      </c>
    </row>
    <row r="73" spans="1:46" ht="15.75" customHeight="1">
      <c r="A73" s="485"/>
      <c r="B73" s="486">
        <f t="shared" ca="1" si="0"/>
        <v>1</v>
      </c>
      <c r="C73" s="487">
        <f t="shared" ca="1" si="1"/>
        <v>10</v>
      </c>
      <c r="D73" s="487">
        <f t="shared" ca="1" si="2"/>
        <v>3</v>
      </c>
      <c r="E73" s="487" t="str">
        <f t="shared" ca="1" si="3"/>
        <v/>
      </c>
      <c r="F73" s="487" t="str">
        <f t="shared" ca="1" si="4"/>
        <v/>
      </c>
      <c r="G73" s="488" t="str">
        <f t="shared" ca="1" si="5"/>
        <v/>
      </c>
      <c r="H73" s="489" t="str">
        <f t="shared" ca="1" si="6"/>
        <v/>
      </c>
      <c r="I73" s="509"/>
      <c r="J73" s="522"/>
      <c r="K73" s="522" t="s">
        <v>63</v>
      </c>
      <c r="L73" s="522"/>
      <c r="M73" s="522"/>
      <c r="N73" s="522"/>
      <c r="O73" s="522"/>
      <c r="P73" s="522"/>
      <c r="Q73" s="523"/>
      <c r="R73" s="524" t="s">
        <v>239</v>
      </c>
      <c r="S73" s="525">
        <v>45827</v>
      </c>
      <c r="T73" s="526">
        <v>45827</v>
      </c>
      <c r="U73" s="543"/>
      <c r="V73" s="526"/>
      <c r="W73" s="539">
        <v>0</v>
      </c>
      <c r="X73" s="542"/>
      <c r="Y73" s="540"/>
      <c r="Z73" s="541"/>
      <c r="AA73" s="501"/>
      <c r="AB73" s="502"/>
      <c r="AC73" s="503"/>
      <c r="AD73" s="504"/>
      <c r="AE73" s="505"/>
      <c r="AF73" s="506"/>
      <c r="AG73" s="506">
        <f t="shared" ca="1" si="7"/>
        <v>0</v>
      </c>
      <c r="AH73" s="506">
        <f t="shared" ca="1" si="8"/>
        <v>0</v>
      </c>
      <c r="AI73" s="506">
        <f t="shared" si="9"/>
        <v>0</v>
      </c>
      <c r="AJ73" s="506">
        <f t="shared" ca="1" si="10"/>
        <v>0</v>
      </c>
      <c r="AK73" s="506" t="str">
        <f t="shared" ca="1" si="11"/>
        <v/>
      </c>
      <c r="AL73" s="507">
        <f t="shared" ca="1" si="12"/>
        <v>1</v>
      </c>
      <c r="AM73" s="507">
        <f t="shared" ca="1" si="13"/>
        <v>10</v>
      </c>
      <c r="AN73" s="507">
        <f t="shared" ca="1" si="14"/>
        <v>3</v>
      </c>
      <c r="AO73" s="507">
        <f t="shared" ca="1" si="15"/>
        <v>0</v>
      </c>
      <c r="AP73" s="507">
        <f t="shared" ca="1" si="16"/>
        <v>0</v>
      </c>
      <c r="AQ73" s="507">
        <f t="shared" ca="1" si="17"/>
        <v>0</v>
      </c>
      <c r="AR73" s="507">
        <f t="shared" ca="1" si="18"/>
        <v>0</v>
      </c>
      <c r="AS73" s="508"/>
      <c r="AT73" s="507">
        <f t="shared" si="19"/>
        <v>1</v>
      </c>
    </row>
    <row r="74" spans="1:46" ht="15.75" customHeight="1">
      <c r="A74" s="485"/>
      <c r="B74" s="486">
        <f t="shared" ca="1" si="0"/>
        <v>1</v>
      </c>
      <c r="C74" s="487">
        <f t="shared" ca="1" si="1"/>
        <v>10</v>
      </c>
      <c r="D74" s="487">
        <f t="shared" ca="1" si="2"/>
        <v>4</v>
      </c>
      <c r="E74" s="487" t="str">
        <f t="shared" ca="1" si="3"/>
        <v/>
      </c>
      <c r="F74" s="487" t="str">
        <f t="shared" ca="1" si="4"/>
        <v/>
      </c>
      <c r="G74" s="488" t="str">
        <f t="shared" ca="1" si="5"/>
        <v/>
      </c>
      <c r="H74" s="489" t="str">
        <f t="shared" ca="1" si="6"/>
        <v/>
      </c>
      <c r="I74" s="509"/>
      <c r="J74" s="522"/>
      <c r="K74" s="522" t="s">
        <v>64</v>
      </c>
      <c r="L74" s="522"/>
      <c r="M74" s="522"/>
      <c r="N74" s="522"/>
      <c r="O74" s="522"/>
      <c r="P74" s="522"/>
      <c r="Q74" s="523"/>
      <c r="R74" s="524" t="s">
        <v>238</v>
      </c>
      <c r="S74" s="525">
        <v>45827</v>
      </c>
      <c r="T74" s="526">
        <v>45827</v>
      </c>
      <c r="U74" s="543"/>
      <c r="V74" s="526"/>
      <c r="W74" s="539">
        <v>0</v>
      </c>
      <c r="X74" s="542"/>
      <c r="Y74" s="540"/>
      <c r="Z74" s="541"/>
      <c r="AA74" s="501"/>
      <c r="AB74" s="502"/>
      <c r="AC74" s="503"/>
      <c r="AD74" s="504"/>
      <c r="AE74" s="505"/>
      <c r="AF74" s="506"/>
      <c r="AG74" s="506">
        <f t="shared" ca="1" si="7"/>
        <v>0</v>
      </c>
      <c r="AH74" s="506">
        <f t="shared" ca="1" si="8"/>
        <v>0</v>
      </c>
      <c r="AI74" s="506">
        <f t="shared" si="9"/>
        <v>0</v>
      </c>
      <c r="AJ74" s="506">
        <f t="shared" ca="1" si="10"/>
        <v>0</v>
      </c>
      <c r="AK74" s="506" t="str">
        <f t="shared" ca="1" si="11"/>
        <v/>
      </c>
      <c r="AL74" s="507">
        <f t="shared" ca="1" si="12"/>
        <v>1</v>
      </c>
      <c r="AM74" s="507">
        <f t="shared" ca="1" si="13"/>
        <v>10</v>
      </c>
      <c r="AN74" s="507">
        <f t="shared" ca="1" si="14"/>
        <v>4</v>
      </c>
      <c r="AO74" s="507">
        <f t="shared" ca="1" si="15"/>
        <v>0</v>
      </c>
      <c r="AP74" s="507">
        <f t="shared" ca="1" si="16"/>
        <v>0</v>
      </c>
      <c r="AQ74" s="507">
        <f t="shared" ca="1" si="17"/>
        <v>0</v>
      </c>
      <c r="AR74" s="507">
        <f t="shared" ca="1" si="18"/>
        <v>0</v>
      </c>
      <c r="AS74" s="508"/>
      <c r="AT74" s="507">
        <f t="shared" si="19"/>
        <v>1</v>
      </c>
    </row>
    <row r="75" spans="1:46" ht="15.75" customHeight="1">
      <c r="A75" s="485"/>
      <c r="B75" s="486">
        <f t="shared" ca="1" si="0"/>
        <v>1</v>
      </c>
      <c r="C75" s="487">
        <f t="shared" ca="1" si="1"/>
        <v>10</v>
      </c>
      <c r="D75" s="487">
        <f t="shared" ca="1" si="2"/>
        <v>5</v>
      </c>
      <c r="E75" s="487" t="str">
        <f t="shared" ca="1" si="3"/>
        <v/>
      </c>
      <c r="F75" s="487" t="str">
        <f t="shared" ca="1" si="4"/>
        <v/>
      </c>
      <c r="G75" s="488" t="str">
        <f t="shared" ca="1" si="5"/>
        <v/>
      </c>
      <c r="H75" s="489" t="str">
        <f t="shared" ca="1" si="6"/>
        <v/>
      </c>
      <c r="I75" s="509"/>
      <c r="J75" s="522"/>
      <c r="K75" s="522" t="s">
        <v>65</v>
      </c>
      <c r="L75" s="522"/>
      <c r="M75" s="522"/>
      <c r="N75" s="522"/>
      <c r="O75" s="522"/>
      <c r="P75" s="522"/>
      <c r="Q75" s="523"/>
      <c r="R75" s="524" t="s">
        <v>239</v>
      </c>
      <c r="S75" s="525">
        <v>45828</v>
      </c>
      <c r="T75" s="526">
        <v>45828</v>
      </c>
      <c r="U75" s="543"/>
      <c r="V75" s="526"/>
      <c r="W75" s="539">
        <v>0</v>
      </c>
      <c r="X75" s="542"/>
      <c r="Y75" s="540"/>
      <c r="Z75" s="541"/>
      <c r="AA75" s="501"/>
      <c r="AB75" s="502"/>
      <c r="AC75" s="503"/>
      <c r="AD75" s="504"/>
      <c r="AE75" s="505"/>
      <c r="AF75" s="506"/>
      <c r="AG75" s="506">
        <f t="shared" ca="1" si="7"/>
        <v>0</v>
      </c>
      <c r="AH75" s="506">
        <f t="shared" ca="1" si="8"/>
        <v>0</v>
      </c>
      <c r="AI75" s="506">
        <f t="shared" si="9"/>
        <v>0</v>
      </c>
      <c r="AJ75" s="506">
        <f t="shared" ca="1" si="10"/>
        <v>0</v>
      </c>
      <c r="AK75" s="506" t="str">
        <f t="shared" ca="1" si="11"/>
        <v/>
      </c>
      <c r="AL75" s="507">
        <f t="shared" ca="1" si="12"/>
        <v>1</v>
      </c>
      <c r="AM75" s="507">
        <f t="shared" ca="1" si="13"/>
        <v>10</v>
      </c>
      <c r="AN75" s="507">
        <f t="shared" ca="1" si="14"/>
        <v>5</v>
      </c>
      <c r="AO75" s="507">
        <f t="shared" ca="1" si="15"/>
        <v>0</v>
      </c>
      <c r="AP75" s="507">
        <f t="shared" ca="1" si="16"/>
        <v>0</v>
      </c>
      <c r="AQ75" s="507">
        <f t="shared" ca="1" si="17"/>
        <v>0</v>
      </c>
      <c r="AR75" s="507">
        <f t="shared" ca="1" si="18"/>
        <v>0</v>
      </c>
      <c r="AS75" s="508"/>
      <c r="AT75" s="507">
        <f t="shared" si="19"/>
        <v>1</v>
      </c>
    </row>
    <row r="76" spans="1:46" ht="15.75" customHeight="1">
      <c r="A76" s="485"/>
      <c r="B76" s="486">
        <f t="shared" ca="1" si="0"/>
        <v>1</v>
      </c>
      <c r="C76" s="487">
        <f t="shared" ca="1" si="1"/>
        <v>10</v>
      </c>
      <c r="D76" s="487">
        <f t="shared" ca="1" si="2"/>
        <v>6</v>
      </c>
      <c r="E76" s="487" t="str">
        <f t="shared" ca="1" si="3"/>
        <v/>
      </c>
      <c r="F76" s="487" t="str">
        <f t="shared" ca="1" si="4"/>
        <v/>
      </c>
      <c r="G76" s="488" t="str">
        <f t="shared" ca="1" si="5"/>
        <v/>
      </c>
      <c r="H76" s="489" t="str">
        <f t="shared" ca="1" si="6"/>
        <v/>
      </c>
      <c r="I76" s="509"/>
      <c r="J76" s="522"/>
      <c r="K76" s="522" t="s">
        <v>66</v>
      </c>
      <c r="L76" s="522"/>
      <c r="M76" s="522"/>
      <c r="N76" s="522"/>
      <c r="O76" s="522"/>
      <c r="P76" s="522"/>
      <c r="Q76" s="523"/>
      <c r="R76" s="524" t="s">
        <v>238</v>
      </c>
      <c r="S76" s="525">
        <v>45831</v>
      </c>
      <c r="T76" s="526">
        <v>45831</v>
      </c>
      <c r="U76" s="543"/>
      <c r="V76" s="526"/>
      <c r="W76" s="539">
        <v>0</v>
      </c>
      <c r="X76" s="542"/>
      <c r="Y76" s="540"/>
      <c r="Z76" s="541"/>
      <c r="AA76" s="501"/>
      <c r="AB76" s="502"/>
      <c r="AC76" s="503"/>
      <c r="AD76" s="504"/>
      <c r="AE76" s="505"/>
      <c r="AF76" s="506"/>
      <c r="AG76" s="506">
        <f t="shared" ca="1" si="7"/>
        <v>0</v>
      </c>
      <c r="AH76" s="506">
        <f t="shared" ca="1" si="8"/>
        <v>0</v>
      </c>
      <c r="AI76" s="506">
        <f t="shared" si="9"/>
        <v>0</v>
      </c>
      <c r="AJ76" s="506">
        <f t="shared" ca="1" si="10"/>
        <v>0</v>
      </c>
      <c r="AK76" s="506" t="str">
        <f t="shared" ca="1" si="11"/>
        <v/>
      </c>
      <c r="AL76" s="507">
        <f t="shared" ca="1" si="12"/>
        <v>1</v>
      </c>
      <c r="AM76" s="507">
        <f t="shared" ca="1" si="13"/>
        <v>10</v>
      </c>
      <c r="AN76" s="507">
        <f t="shared" ca="1" si="14"/>
        <v>6</v>
      </c>
      <c r="AO76" s="507">
        <f t="shared" ca="1" si="15"/>
        <v>0</v>
      </c>
      <c r="AP76" s="507">
        <f t="shared" ca="1" si="16"/>
        <v>0</v>
      </c>
      <c r="AQ76" s="507">
        <f t="shared" ca="1" si="17"/>
        <v>0</v>
      </c>
      <c r="AR76" s="507">
        <f t="shared" ca="1" si="18"/>
        <v>0</v>
      </c>
      <c r="AS76" s="508"/>
      <c r="AT76" s="507">
        <f t="shared" si="19"/>
        <v>1</v>
      </c>
    </row>
    <row r="77" spans="1:46" ht="15.75" customHeight="1">
      <c r="A77" s="485"/>
      <c r="B77" s="486">
        <f t="shared" ca="1" si="0"/>
        <v>1</v>
      </c>
      <c r="C77" s="487">
        <f t="shared" ca="1" si="1"/>
        <v>11</v>
      </c>
      <c r="D77" s="487" t="str">
        <f t="shared" ca="1" si="2"/>
        <v/>
      </c>
      <c r="E77" s="487" t="str">
        <f t="shared" ca="1" si="3"/>
        <v/>
      </c>
      <c r="F77" s="487" t="str">
        <f t="shared" ca="1" si="4"/>
        <v/>
      </c>
      <c r="G77" s="488" t="str">
        <f t="shared" ca="1" si="5"/>
        <v/>
      </c>
      <c r="H77" s="489" t="str">
        <f t="shared" ca="1" si="6"/>
        <v/>
      </c>
      <c r="I77" s="509"/>
      <c r="J77" s="510" t="s">
        <v>251</v>
      </c>
      <c r="K77" s="511"/>
      <c r="L77" s="511"/>
      <c r="M77" s="511"/>
      <c r="N77" s="511"/>
      <c r="O77" s="511"/>
      <c r="P77" s="511"/>
      <c r="Q77" s="512" t="s">
        <v>73</v>
      </c>
      <c r="R77" s="513"/>
      <c r="S77" s="514"/>
      <c r="T77" s="515"/>
      <c r="U77" s="516"/>
      <c r="V77" s="515"/>
      <c r="W77" s="517"/>
      <c r="X77" s="518"/>
      <c r="Y77" s="519"/>
      <c r="Z77" s="520"/>
      <c r="AA77" s="501"/>
      <c r="AB77" s="502"/>
      <c r="AC77" s="503"/>
      <c r="AD77" s="504"/>
      <c r="AE77" s="505"/>
      <c r="AF77" s="506"/>
      <c r="AG77" s="506">
        <f t="shared" si="7"/>
        <v>0</v>
      </c>
      <c r="AH77" s="506">
        <f t="shared" si="8"/>
        <v>0</v>
      </c>
      <c r="AI77" s="506">
        <f t="shared" si="9"/>
        <v>0</v>
      </c>
      <c r="AJ77" s="506">
        <f t="shared" si="10"/>
        <v>0</v>
      </c>
      <c r="AK77" s="506" t="str">
        <f t="shared" si="11"/>
        <v/>
      </c>
      <c r="AL77" s="507">
        <f t="shared" ca="1" si="12"/>
        <v>1</v>
      </c>
      <c r="AM77" s="507">
        <f t="shared" ca="1" si="13"/>
        <v>11</v>
      </c>
      <c r="AN77" s="507">
        <f t="shared" ca="1" si="14"/>
        <v>0</v>
      </c>
      <c r="AO77" s="507">
        <f t="shared" ca="1" si="15"/>
        <v>0</v>
      </c>
      <c r="AP77" s="507">
        <f t="shared" ca="1" si="16"/>
        <v>0</v>
      </c>
      <c r="AQ77" s="507">
        <f t="shared" ca="1" si="17"/>
        <v>0</v>
      </c>
      <c r="AR77" s="507">
        <f t="shared" ca="1" si="18"/>
        <v>0</v>
      </c>
      <c r="AS77" s="508"/>
      <c r="AT77" s="507">
        <f t="shared" si="19"/>
        <v>1</v>
      </c>
    </row>
    <row r="78" spans="1:46" ht="15.75" customHeight="1">
      <c r="A78" s="485"/>
      <c r="B78" s="486">
        <f t="shared" ca="1" si="0"/>
        <v>1</v>
      </c>
      <c r="C78" s="487">
        <f t="shared" ca="1" si="1"/>
        <v>11</v>
      </c>
      <c r="D78" s="487">
        <f t="shared" ca="1" si="2"/>
        <v>1</v>
      </c>
      <c r="E78" s="487" t="str">
        <f t="shared" ca="1" si="3"/>
        <v/>
      </c>
      <c r="F78" s="487" t="str">
        <f t="shared" ca="1" si="4"/>
        <v/>
      </c>
      <c r="G78" s="488" t="str">
        <f t="shared" ca="1" si="5"/>
        <v/>
      </c>
      <c r="H78" s="489" t="str">
        <f t="shared" ca="1" si="6"/>
        <v/>
      </c>
      <c r="I78" s="509"/>
      <c r="J78" s="522"/>
      <c r="K78" s="522" t="s">
        <v>59</v>
      </c>
      <c r="L78" s="522"/>
      <c r="M78" s="522"/>
      <c r="N78" s="522"/>
      <c r="O78" s="522"/>
      <c r="P78" s="522"/>
      <c r="Q78" s="523"/>
      <c r="R78" s="524" t="s">
        <v>239</v>
      </c>
      <c r="S78" s="525">
        <v>45839</v>
      </c>
      <c r="T78" s="526">
        <v>45845</v>
      </c>
      <c r="U78" s="543"/>
      <c r="V78" s="526"/>
      <c r="W78" s="539">
        <v>0</v>
      </c>
      <c r="X78" s="542"/>
      <c r="Y78" s="540"/>
      <c r="Z78" s="541"/>
      <c r="AA78" s="501"/>
      <c r="AB78" s="502"/>
      <c r="AC78" s="503"/>
      <c r="AD78" s="504"/>
      <c r="AE78" s="505"/>
      <c r="AF78" s="506"/>
      <c r="AG78" s="506">
        <f t="shared" ca="1" si="7"/>
        <v>0</v>
      </c>
      <c r="AH78" s="506">
        <f t="shared" ca="1" si="8"/>
        <v>0</v>
      </c>
      <c r="AI78" s="506">
        <f t="shared" si="9"/>
        <v>0</v>
      </c>
      <c r="AJ78" s="506">
        <f t="shared" ca="1" si="10"/>
        <v>0</v>
      </c>
      <c r="AK78" s="506" t="str">
        <f t="shared" ca="1" si="11"/>
        <v/>
      </c>
      <c r="AL78" s="507">
        <f t="shared" ca="1" si="12"/>
        <v>1</v>
      </c>
      <c r="AM78" s="507">
        <f t="shared" ca="1" si="13"/>
        <v>11</v>
      </c>
      <c r="AN78" s="507">
        <f t="shared" ca="1" si="14"/>
        <v>1</v>
      </c>
      <c r="AO78" s="507">
        <f t="shared" ca="1" si="15"/>
        <v>0</v>
      </c>
      <c r="AP78" s="507">
        <f t="shared" ca="1" si="16"/>
        <v>0</v>
      </c>
      <c r="AQ78" s="507">
        <f t="shared" ca="1" si="17"/>
        <v>0</v>
      </c>
      <c r="AR78" s="507">
        <f t="shared" ca="1" si="18"/>
        <v>0</v>
      </c>
      <c r="AS78" s="508"/>
      <c r="AT78" s="507">
        <f t="shared" si="19"/>
        <v>7</v>
      </c>
    </row>
    <row r="79" spans="1:46" ht="15.75" customHeight="1">
      <c r="A79" s="485"/>
      <c r="B79" s="486">
        <f t="shared" ca="1" si="0"/>
        <v>1</v>
      </c>
      <c r="C79" s="487">
        <f t="shared" ca="1" si="1"/>
        <v>11</v>
      </c>
      <c r="D79" s="487">
        <f t="shared" ca="1" si="2"/>
        <v>2</v>
      </c>
      <c r="E79" s="487" t="str">
        <f t="shared" ca="1" si="3"/>
        <v/>
      </c>
      <c r="F79" s="487" t="str">
        <f t="shared" ca="1" si="4"/>
        <v/>
      </c>
      <c r="G79" s="488" t="str">
        <f t="shared" ca="1" si="5"/>
        <v/>
      </c>
      <c r="H79" s="489" t="str">
        <f t="shared" ca="1" si="6"/>
        <v/>
      </c>
      <c r="I79" s="509"/>
      <c r="J79" s="522"/>
      <c r="K79" s="522" t="s">
        <v>145</v>
      </c>
      <c r="L79" s="522"/>
      <c r="M79" s="522"/>
      <c r="N79" s="522"/>
      <c r="O79" s="522"/>
      <c r="P79" s="522"/>
      <c r="Q79" s="523"/>
      <c r="R79" s="524" t="s">
        <v>238</v>
      </c>
      <c r="S79" s="525">
        <v>45846</v>
      </c>
      <c r="T79" s="526">
        <v>45846</v>
      </c>
      <c r="U79" s="543"/>
      <c r="V79" s="526"/>
      <c r="W79" s="539">
        <v>0</v>
      </c>
      <c r="X79" s="542"/>
      <c r="Y79" s="540"/>
      <c r="Z79" s="541"/>
      <c r="AA79" s="501"/>
      <c r="AB79" s="502"/>
      <c r="AC79" s="503"/>
      <c r="AD79" s="504"/>
      <c r="AE79" s="505"/>
      <c r="AF79" s="506"/>
      <c r="AG79" s="506">
        <f t="shared" ca="1" si="7"/>
        <v>0</v>
      </c>
      <c r="AH79" s="506">
        <f t="shared" ca="1" si="8"/>
        <v>0</v>
      </c>
      <c r="AI79" s="506">
        <f t="shared" si="9"/>
        <v>0</v>
      </c>
      <c r="AJ79" s="506">
        <f t="shared" ca="1" si="10"/>
        <v>0</v>
      </c>
      <c r="AK79" s="506" t="str">
        <f t="shared" ca="1" si="11"/>
        <v/>
      </c>
      <c r="AL79" s="507">
        <f t="shared" ca="1" si="12"/>
        <v>1</v>
      </c>
      <c r="AM79" s="507">
        <f t="shared" ca="1" si="13"/>
        <v>11</v>
      </c>
      <c r="AN79" s="507">
        <f t="shared" ca="1" si="14"/>
        <v>2</v>
      </c>
      <c r="AO79" s="507">
        <f t="shared" ca="1" si="15"/>
        <v>0</v>
      </c>
      <c r="AP79" s="507">
        <f t="shared" ca="1" si="16"/>
        <v>0</v>
      </c>
      <c r="AQ79" s="507">
        <f t="shared" ca="1" si="17"/>
        <v>0</v>
      </c>
      <c r="AR79" s="507">
        <f t="shared" ca="1" si="18"/>
        <v>0</v>
      </c>
      <c r="AS79" s="508"/>
      <c r="AT79" s="507">
        <f t="shared" si="19"/>
        <v>1</v>
      </c>
    </row>
    <row r="80" spans="1:46" ht="15.75" customHeight="1">
      <c r="A80" s="485"/>
      <c r="B80" s="486">
        <f t="shared" ca="1" si="0"/>
        <v>1</v>
      </c>
      <c r="C80" s="487">
        <f t="shared" ca="1" si="1"/>
        <v>11</v>
      </c>
      <c r="D80" s="487">
        <f t="shared" ca="1" si="2"/>
        <v>3</v>
      </c>
      <c r="E80" s="487" t="str">
        <f t="shared" ca="1" si="3"/>
        <v/>
      </c>
      <c r="F80" s="487" t="str">
        <f t="shared" ca="1" si="4"/>
        <v/>
      </c>
      <c r="G80" s="488" t="str">
        <f t="shared" ca="1" si="5"/>
        <v/>
      </c>
      <c r="H80" s="489" t="str">
        <f t="shared" ca="1" si="6"/>
        <v/>
      </c>
      <c r="I80" s="509"/>
      <c r="J80" s="522"/>
      <c r="K80" s="522" t="s">
        <v>63</v>
      </c>
      <c r="L80" s="522"/>
      <c r="M80" s="522"/>
      <c r="N80" s="522"/>
      <c r="O80" s="522"/>
      <c r="P80" s="522"/>
      <c r="Q80" s="523"/>
      <c r="R80" s="524" t="s">
        <v>239</v>
      </c>
      <c r="S80" s="525">
        <v>45847</v>
      </c>
      <c r="T80" s="526">
        <v>45848</v>
      </c>
      <c r="U80" s="543"/>
      <c r="V80" s="526"/>
      <c r="W80" s="539">
        <v>0</v>
      </c>
      <c r="X80" s="542"/>
      <c r="Y80" s="540"/>
      <c r="Z80" s="541"/>
      <c r="AA80" s="501"/>
      <c r="AB80" s="502"/>
      <c r="AC80" s="503"/>
      <c r="AD80" s="504"/>
      <c r="AE80" s="505"/>
      <c r="AF80" s="506"/>
      <c r="AG80" s="506">
        <f t="shared" ca="1" si="7"/>
        <v>0</v>
      </c>
      <c r="AH80" s="506">
        <f t="shared" ca="1" si="8"/>
        <v>0</v>
      </c>
      <c r="AI80" s="506">
        <f t="shared" si="9"/>
        <v>0</v>
      </c>
      <c r="AJ80" s="506">
        <f t="shared" ca="1" si="10"/>
        <v>0</v>
      </c>
      <c r="AK80" s="506" t="str">
        <f t="shared" ca="1" si="11"/>
        <v/>
      </c>
      <c r="AL80" s="507">
        <f t="shared" ca="1" si="12"/>
        <v>1</v>
      </c>
      <c r="AM80" s="507">
        <f t="shared" ca="1" si="13"/>
        <v>11</v>
      </c>
      <c r="AN80" s="507">
        <f t="shared" ca="1" si="14"/>
        <v>3</v>
      </c>
      <c r="AO80" s="507">
        <f t="shared" ca="1" si="15"/>
        <v>0</v>
      </c>
      <c r="AP80" s="507">
        <f t="shared" ca="1" si="16"/>
        <v>0</v>
      </c>
      <c r="AQ80" s="507">
        <f t="shared" ca="1" si="17"/>
        <v>0</v>
      </c>
      <c r="AR80" s="507">
        <f t="shared" ca="1" si="18"/>
        <v>0</v>
      </c>
      <c r="AS80" s="508"/>
      <c r="AT80" s="507">
        <f t="shared" si="19"/>
        <v>2</v>
      </c>
    </row>
    <row r="81" spans="1:46" ht="15.75" customHeight="1">
      <c r="A81" s="485"/>
      <c r="B81" s="486">
        <f t="shared" ca="1" si="0"/>
        <v>1</v>
      </c>
      <c r="C81" s="487">
        <f t="shared" ca="1" si="1"/>
        <v>11</v>
      </c>
      <c r="D81" s="487">
        <f t="shared" ca="1" si="2"/>
        <v>4</v>
      </c>
      <c r="E81" s="487" t="str">
        <f t="shared" ca="1" si="3"/>
        <v/>
      </c>
      <c r="F81" s="487" t="str">
        <f t="shared" ca="1" si="4"/>
        <v/>
      </c>
      <c r="G81" s="488" t="str">
        <f t="shared" ca="1" si="5"/>
        <v/>
      </c>
      <c r="H81" s="489" t="str">
        <f t="shared" ca="1" si="6"/>
        <v/>
      </c>
      <c r="I81" s="509"/>
      <c r="J81" s="522"/>
      <c r="K81" s="522" t="s">
        <v>64</v>
      </c>
      <c r="L81" s="522"/>
      <c r="M81" s="522"/>
      <c r="N81" s="522"/>
      <c r="O81" s="522"/>
      <c r="P81" s="522"/>
      <c r="Q81" s="523"/>
      <c r="R81" s="524" t="s">
        <v>238</v>
      </c>
      <c r="S81" s="525">
        <v>45849</v>
      </c>
      <c r="T81" s="526">
        <v>45849</v>
      </c>
      <c r="U81" s="543"/>
      <c r="V81" s="526"/>
      <c r="W81" s="539">
        <v>0</v>
      </c>
      <c r="X81" s="542"/>
      <c r="Y81" s="540"/>
      <c r="Z81" s="541"/>
      <c r="AA81" s="501"/>
      <c r="AB81" s="502"/>
      <c r="AC81" s="503"/>
      <c r="AD81" s="504"/>
      <c r="AE81" s="505"/>
      <c r="AF81" s="506"/>
      <c r="AG81" s="506">
        <f t="shared" ca="1" si="7"/>
        <v>0</v>
      </c>
      <c r="AH81" s="506">
        <f t="shared" ca="1" si="8"/>
        <v>0</v>
      </c>
      <c r="AI81" s="506">
        <f t="shared" si="9"/>
        <v>0</v>
      </c>
      <c r="AJ81" s="506">
        <f t="shared" ca="1" si="10"/>
        <v>0</v>
      </c>
      <c r="AK81" s="506" t="str">
        <f t="shared" ca="1" si="11"/>
        <v/>
      </c>
      <c r="AL81" s="507">
        <f t="shared" ca="1" si="12"/>
        <v>1</v>
      </c>
      <c r="AM81" s="507">
        <f t="shared" ca="1" si="13"/>
        <v>11</v>
      </c>
      <c r="AN81" s="507">
        <f t="shared" ca="1" si="14"/>
        <v>4</v>
      </c>
      <c r="AO81" s="507">
        <f t="shared" ca="1" si="15"/>
        <v>0</v>
      </c>
      <c r="AP81" s="507">
        <f t="shared" ca="1" si="16"/>
        <v>0</v>
      </c>
      <c r="AQ81" s="507">
        <f t="shared" ca="1" si="17"/>
        <v>0</v>
      </c>
      <c r="AR81" s="507">
        <f t="shared" ca="1" si="18"/>
        <v>0</v>
      </c>
      <c r="AS81" s="508"/>
      <c r="AT81" s="507">
        <f t="shared" si="19"/>
        <v>1</v>
      </c>
    </row>
    <row r="82" spans="1:46" ht="15.75" customHeight="1">
      <c r="A82" s="485"/>
      <c r="B82" s="486">
        <f t="shared" ca="1" si="0"/>
        <v>1</v>
      </c>
      <c r="C82" s="487">
        <f t="shared" ca="1" si="1"/>
        <v>11</v>
      </c>
      <c r="D82" s="487">
        <f t="shared" ca="1" si="2"/>
        <v>5</v>
      </c>
      <c r="E82" s="487" t="str">
        <f t="shared" ca="1" si="3"/>
        <v/>
      </c>
      <c r="F82" s="487" t="str">
        <f t="shared" ca="1" si="4"/>
        <v/>
      </c>
      <c r="G82" s="488" t="str">
        <f t="shared" ca="1" si="5"/>
        <v/>
      </c>
      <c r="H82" s="489" t="str">
        <f t="shared" ca="1" si="6"/>
        <v/>
      </c>
      <c r="I82" s="509"/>
      <c r="J82" s="522"/>
      <c r="K82" s="522" t="s">
        <v>65</v>
      </c>
      <c r="L82" s="522"/>
      <c r="M82" s="522"/>
      <c r="N82" s="522"/>
      <c r="O82" s="522"/>
      <c r="P82" s="522"/>
      <c r="Q82" s="523"/>
      <c r="R82" s="524" t="s">
        <v>239</v>
      </c>
      <c r="S82" s="525">
        <v>45852</v>
      </c>
      <c r="T82" s="526">
        <v>45852</v>
      </c>
      <c r="U82" s="543"/>
      <c r="V82" s="526"/>
      <c r="W82" s="539">
        <v>0</v>
      </c>
      <c r="X82" s="542"/>
      <c r="Y82" s="540"/>
      <c r="Z82" s="541"/>
      <c r="AA82" s="501"/>
      <c r="AB82" s="502"/>
      <c r="AC82" s="503"/>
      <c r="AD82" s="504"/>
      <c r="AE82" s="505"/>
      <c r="AF82" s="506"/>
      <c r="AG82" s="506">
        <f t="shared" ca="1" si="7"/>
        <v>0</v>
      </c>
      <c r="AH82" s="506">
        <f t="shared" ca="1" si="8"/>
        <v>0</v>
      </c>
      <c r="AI82" s="506">
        <f t="shared" si="9"/>
        <v>0</v>
      </c>
      <c r="AJ82" s="506">
        <f t="shared" ca="1" si="10"/>
        <v>0</v>
      </c>
      <c r="AK82" s="506" t="str">
        <f t="shared" ca="1" si="11"/>
        <v/>
      </c>
      <c r="AL82" s="507">
        <f t="shared" ca="1" si="12"/>
        <v>1</v>
      </c>
      <c r="AM82" s="507">
        <f t="shared" ca="1" si="13"/>
        <v>11</v>
      </c>
      <c r="AN82" s="507">
        <f t="shared" ca="1" si="14"/>
        <v>5</v>
      </c>
      <c r="AO82" s="507">
        <f t="shared" ca="1" si="15"/>
        <v>0</v>
      </c>
      <c r="AP82" s="507">
        <f t="shared" ca="1" si="16"/>
        <v>0</v>
      </c>
      <c r="AQ82" s="507">
        <f t="shared" ca="1" si="17"/>
        <v>0</v>
      </c>
      <c r="AR82" s="507">
        <f t="shared" ca="1" si="18"/>
        <v>0</v>
      </c>
      <c r="AS82" s="508"/>
      <c r="AT82" s="507">
        <f t="shared" si="19"/>
        <v>1</v>
      </c>
    </row>
    <row r="83" spans="1:46" ht="15.75" customHeight="1">
      <c r="A83" s="485"/>
      <c r="B83" s="486">
        <f t="shared" ca="1" si="0"/>
        <v>1</v>
      </c>
      <c r="C83" s="487">
        <f t="shared" ca="1" si="1"/>
        <v>11</v>
      </c>
      <c r="D83" s="487">
        <f t="shared" ca="1" si="2"/>
        <v>6</v>
      </c>
      <c r="E83" s="487" t="str">
        <f t="shared" ca="1" si="3"/>
        <v/>
      </c>
      <c r="F83" s="487" t="str">
        <f t="shared" ca="1" si="4"/>
        <v/>
      </c>
      <c r="G83" s="488" t="str">
        <f t="shared" ca="1" si="5"/>
        <v/>
      </c>
      <c r="H83" s="489" t="str">
        <f t="shared" ca="1" si="6"/>
        <v/>
      </c>
      <c r="I83" s="509"/>
      <c r="J83" s="522"/>
      <c r="K83" s="522" t="s">
        <v>66</v>
      </c>
      <c r="L83" s="522"/>
      <c r="M83" s="522"/>
      <c r="N83" s="522"/>
      <c r="O83" s="522"/>
      <c r="P83" s="522"/>
      <c r="Q83" s="523"/>
      <c r="R83" s="524" t="s">
        <v>238</v>
      </c>
      <c r="S83" s="525">
        <v>45853</v>
      </c>
      <c r="T83" s="526">
        <v>45853</v>
      </c>
      <c r="U83" s="543"/>
      <c r="V83" s="526"/>
      <c r="W83" s="539">
        <v>0</v>
      </c>
      <c r="X83" s="542"/>
      <c r="Y83" s="540"/>
      <c r="Z83" s="541"/>
      <c r="AA83" s="501"/>
      <c r="AB83" s="502"/>
      <c r="AC83" s="503"/>
      <c r="AD83" s="504"/>
      <c r="AE83" s="505"/>
      <c r="AF83" s="506"/>
      <c r="AG83" s="506">
        <f t="shared" ca="1" si="7"/>
        <v>0</v>
      </c>
      <c r="AH83" s="506">
        <f t="shared" ca="1" si="8"/>
        <v>0</v>
      </c>
      <c r="AI83" s="506">
        <f t="shared" si="9"/>
        <v>0</v>
      </c>
      <c r="AJ83" s="506">
        <f t="shared" ca="1" si="10"/>
        <v>0</v>
      </c>
      <c r="AK83" s="506" t="str">
        <f t="shared" ca="1" si="11"/>
        <v/>
      </c>
      <c r="AL83" s="507">
        <f t="shared" ca="1" si="12"/>
        <v>1</v>
      </c>
      <c r="AM83" s="507">
        <f t="shared" ca="1" si="13"/>
        <v>11</v>
      </c>
      <c r="AN83" s="507">
        <f t="shared" ca="1" si="14"/>
        <v>6</v>
      </c>
      <c r="AO83" s="507">
        <f t="shared" ca="1" si="15"/>
        <v>0</v>
      </c>
      <c r="AP83" s="507">
        <f t="shared" ca="1" si="16"/>
        <v>0</v>
      </c>
      <c r="AQ83" s="507">
        <f t="shared" ca="1" si="17"/>
        <v>0</v>
      </c>
      <c r="AR83" s="507">
        <f t="shared" ca="1" si="18"/>
        <v>0</v>
      </c>
      <c r="AS83" s="508"/>
      <c r="AT83" s="507">
        <f t="shared" si="19"/>
        <v>1</v>
      </c>
    </row>
    <row r="84" spans="1:46" ht="15.75" customHeight="1">
      <c r="A84" s="485"/>
      <c r="B84" s="486">
        <f t="shared" ca="1" si="0"/>
        <v>1</v>
      </c>
      <c r="C84" s="487">
        <f t="shared" ca="1" si="1"/>
        <v>12</v>
      </c>
      <c r="D84" s="487" t="str">
        <f t="shared" ca="1" si="2"/>
        <v/>
      </c>
      <c r="E84" s="487" t="str">
        <f t="shared" ca="1" si="3"/>
        <v/>
      </c>
      <c r="F84" s="487" t="str">
        <f t="shared" ca="1" si="4"/>
        <v/>
      </c>
      <c r="G84" s="488" t="str">
        <f t="shared" ca="1" si="5"/>
        <v/>
      </c>
      <c r="H84" s="489" t="str">
        <f t="shared" ca="1" si="6"/>
        <v/>
      </c>
      <c r="I84" s="509"/>
      <c r="J84" s="510" t="s">
        <v>252</v>
      </c>
      <c r="K84" s="511"/>
      <c r="L84" s="511"/>
      <c r="M84" s="511"/>
      <c r="N84" s="511"/>
      <c r="O84" s="511"/>
      <c r="P84" s="511"/>
      <c r="Q84" s="512" t="s">
        <v>73</v>
      </c>
      <c r="R84" s="513"/>
      <c r="S84" s="514"/>
      <c r="T84" s="515"/>
      <c r="U84" s="516"/>
      <c r="V84" s="515"/>
      <c r="W84" s="517"/>
      <c r="X84" s="518"/>
      <c r="Y84" s="519"/>
      <c r="Z84" s="520"/>
      <c r="AA84" s="501"/>
      <c r="AB84" s="502"/>
      <c r="AC84" s="503"/>
      <c r="AD84" s="504"/>
      <c r="AE84" s="505"/>
      <c r="AF84" s="506"/>
      <c r="AG84" s="506">
        <f t="shared" si="7"/>
        <v>0</v>
      </c>
      <c r="AH84" s="506">
        <f t="shared" si="8"/>
        <v>0</v>
      </c>
      <c r="AI84" s="506">
        <f t="shared" si="9"/>
        <v>0</v>
      </c>
      <c r="AJ84" s="506">
        <f t="shared" si="10"/>
        <v>0</v>
      </c>
      <c r="AK84" s="506" t="str">
        <f t="shared" si="11"/>
        <v/>
      </c>
      <c r="AL84" s="507">
        <f t="shared" ca="1" si="12"/>
        <v>1</v>
      </c>
      <c r="AM84" s="507">
        <f t="shared" ca="1" si="13"/>
        <v>12</v>
      </c>
      <c r="AN84" s="507">
        <f t="shared" ca="1" si="14"/>
        <v>0</v>
      </c>
      <c r="AO84" s="507">
        <f t="shared" ca="1" si="15"/>
        <v>0</v>
      </c>
      <c r="AP84" s="507">
        <f t="shared" ca="1" si="16"/>
        <v>0</v>
      </c>
      <c r="AQ84" s="507">
        <f t="shared" ca="1" si="17"/>
        <v>0</v>
      </c>
      <c r="AR84" s="507">
        <f t="shared" ca="1" si="18"/>
        <v>0</v>
      </c>
      <c r="AS84" s="508"/>
      <c r="AT84" s="507">
        <f t="shared" si="19"/>
        <v>1</v>
      </c>
    </row>
    <row r="85" spans="1:46" ht="15.75" customHeight="1">
      <c r="A85" s="485"/>
      <c r="B85" s="486">
        <f t="shared" ca="1" si="0"/>
        <v>1</v>
      </c>
      <c r="C85" s="487">
        <f t="shared" ca="1" si="1"/>
        <v>12</v>
      </c>
      <c r="D85" s="487">
        <f t="shared" ca="1" si="2"/>
        <v>1</v>
      </c>
      <c r="E85" s="487" t="str">
        <f t="shared" ca="1" si="3"/>
        <v/>
      </c>
      <c r="F85" s="487" t="str">
        <f t="shared" ca="1" si="4"/>
        <v/>
      </c>
      <c r="G85" s="488" t="str">
        <f t="shared" ca="1" si="5"/>
        <v/>
      </c>
      <c r="H85" s="489" t="str">
        <f t="shared" ca="1" si="6"/>
        <v/>
      </c>
      <c r="I85" s="509"/>
      <c r="J85" s="522"/>
      <c r="K85" s="522" t="s">
        <v>59</v>
      </c>
      <c r="L85" s="522"/>
      <c r="M85" s="522"/>
      <c r="N85" s="522"/>
      <c r="O85" s="522"/>
      <c r="P85" s="522"/>
      <c r="Q85" s="523"/>
      <c r="R85" s="524" t="s">
        <v>165</v>
      </c>
      <c r="S85" s="525">
        <v>45839</v>
      </c>
      <c r="T85" s="526">
        <v>45845</v>
      </c>
      <c r="U85" s="543"/>
      <c r="V85" s="526"/>
      <c r="W85" s="539">
        <v>0</v>
      </c>
      <c r="X85" s="542"/>
      <c r="Y85" s="540"/>
      <c r="Z85" s="541"/>
      <c r="AA85" s="501"/>
      <c r="AB85" s="502"/>
      <c r="AC85" s="503"/>
      <c r="AD85" s="504"/>
      <c r="AE85" s="505"/>
      <c r="AF85" s="506"/>
      <c r="AG85" s="506">
        <f t="shared" ca="1" si="7"/>
        <v>0</v>
      </c>
      <c r="AH85" s="506">
        <f t="shared" ca="1" si="8"/>
        <v>0</v>
      </c>
      <c r="AI85" s="506">
        <f t="shared" si="9"/>
        <v>0</v>
      </c>
      <c r="AJ85" s="506">
        <f t="shared" ca="1" si="10"/>
        <v>0</v>
      </c>
      <c r="AK85" s="506" t="str">
        <f t="shared" ca="1" si="11"/>
        <v/>
      </c>
      <c r="AL85" s="507">
        <f t="shared" ca="1" si="12"/>
        <v>1</v>
      </c>
      <c r="AM85" s="507">
        <f t="shared" ca="1" si="13"/>
        <v>12</v>
      </c>
      <c r="AN85" s="507">
        <f t="shared" ca="1" si="14"/>
        <v>1</v>
      </c>
      <c r="AO85" s="507">
        <f t="shared" ca="1" si="15"/>
        <v>0</v>
      </c>
      <c r="AP85" s="507">
        <f t="shared" ca="1" si="16"/>
        <v>0</v>
      </c>
      <c r="AQ85" s="507">
        <f t="shared" ca="1" si="17"/>
        <v>0</v>
      </c>
      <c r="AR85" s="507">
        <f t="shared" ca="1" si="18"/>
        <v>0</v>
      </c>
      <c r="AS85" s="508"/>
      <c r="AT85" s="507">
        <f t="shared" si="19"/>
        <v>7</v>
      </c>
    </row>
    <row r="86" spans="1:46" ht="15.75" customHeight="1">
      <c r="A86" s="485"/>
      <c r="B86" s="486">
        <f t="shared" ca="1" si="0"/>
        <v>1</v>
      </c>
      <c r="C86" s="487">
        <f t="shared" ca="1" si="1"/>
        <v>12</v>
      </c>
      <c r="D86" s="487">
        <f t="shared" ca="1" si="2"/>
        <v>2</v>
      </c>
      <c r="E86" s="487" t="str">
        <f t="shared" ca="1" si="3"/>
        <v/>
      </c>
      <c r="F86" s="487" t="str">
        <f t="shared" ca="1" si="4"/>
        <v/>
      </c>
      <c r="G86" s="488" t="str">
        <f t="shared" ca="1" si="5"/>
        <v/>
      </c>
      <c r="H86" s="489" t="str">
        <f t="shared" ca="1" si="6"/>
        <v/>
      </c>
      <c r="I86" s="509"/>
      <c r="J86" s="522"/>
      <c r="K86" s="522" t="s">
        <v>145</v>
      </c>
      <c r="L86" s="522"/>
      <c r="M86" s="522"/>
      <c r="N86" s="522"/>
      <c r="O86" s="522"/>
      <c r="P86" s="522"/>
      <c r="Q86" s="523"/>
      <c r="R86" s="524" t="s">
        <v>242</v>
      </c>
      <c r="S86" s="525">
        <v>45846</v>
      </c>
      <c r="T86" s="526">
        <v>45846</v>
      </c>
      <c r="U86" s="543"/>
      <c r="V86" s="526"/>
      <c r="W86" s="539">
        <v>0</v>
      </c>
      <c r="X86" s="542"/>
      <c r="Y86" s="540"/>
      <c r="Z86" s="541"/>
      <c r="AA86" s="501"/>
      <c r="AB86" s="502"/>
      <c r="AC86" s="503"/>
      <c r="AD86" s="504"/>
      <c r="AE86" s="505"/>
      <c r="AF86" s="506"/>
      <c r="AG86" s="506">
        <f t="shared" ca="1" si="7"/>
        <v>0</v>
      </c>
      <c r="AH86" s="506">
        <f t="shared" ca="1" si="8"/>
        <v>0</v>
      </c>
      <c r="AI86" s="506">
        <f t="shared" si="9"/>
        <v>0</v>
      </c>
      <c r="AJ86" s="506">
        <f t="shared" ca="1" si="10"/>
        <v>0</v>
      </c>
      <c r="AK86" s="506" t="str">
        <f t="shared" ca="1" si="11"/>
        <v/>
      </c>
      <c r="AL86" s="507">
        <f t="shared" ca="1" si="12"/>
        <v>1</v>
      </c>
      <c r="AM86" s="507">
        <f t="shared" ca="1" si="13"/>
        <v>12</v>
      </c>
      <c r="AN86" s="507">
        <f t="shared" ca="1" si="14"/>
        <v>2</v>
      </c>
      <c r="AO86" s="507">
        <f t="shared" ca="1" si="15"/>
        <v>0</v>
      </c>
      <c r="AP86" s="507">
        <f t="shared" ca="1" si="16"/>
        <v>0</v>
      </c>
      <c r="AQ86" s="507">
        <f t="shared" ca="1" si="17"/>
        <v>0</v>
      </c>
      <c r="AR86" s="507">
        <f t="shared" ca="1" si="18"/>
        <v>0</v>
      </c>
      <c r="AS86" s="508"/>
      <c r="AT86" s="507">
        <f t="shared" si="19"/>
        <v>1</v>
      </c>
    </row>
    <row r="87" spans="1:46" ht="15.75" customHeight="1">
      <c r="A87" s="485"/>
      <c r="B87" s="486">
        <f t="shared" ca="1" si="0"/>
        <v>1</v>
      </c>
      <c r="C87" s="487">
        <f t="shared" ca="1" si="1"/>
        <v>12</v>
      </c>
      <c r="D87" s="487">
        <f t="shared" ca="1" si="2"/>
        <v>3</v>
      </c>
      <c r="E87" s="487" t="str">
        <f t="shared" ca="1" si="3"/>
        <v/>
      </c>
      <c r="F87" s="487" t="str">
        <f t="shared" ca="1" si="4"/>
        <v/>
      </c>
      <c r="G87" s="488" t="str">
        <f t="shared" ca="1" si="5"/>
        <v/>
      </c>
      <c r="H87" s="489" t="str">
        <f t="shared" ca="1" si="6"/>
        <v/>
      </c>
      <c r="I87" s="509"/>
      <c r="J87" s="522"/>
      <c r="K87" s="522" t="s">
        <v>63</v>
      </c>
      <c r="L87" s="522"/>
      <c r="M87" s="522"/>
      <c r="N87" s="522"/>
      <c r="O87" s="522"/>
      <c r="P87" s="522"/>
      <c r="Q87" s="523"/>
      <c r="R87" s="524" t="s">
        <v>165</v>
      </c>
      <c r="S87" s="525">
        <v>45847</v>
      </c>
      <c r="T87" s="526">
        <v>45848</v>
      </c>
      <c r="U87" s="543"/>
      <c r="V87" s="526"/>
      <c r="W87" s="539">
        <v>0</v>
      </c>
      <c r="X87" s="542"/>
      <c r="Y87" s="540"/>
      <c r="Z87" s="541"/>
      <c r="AA87" s="501"/>
      <c r="AB87" s="502"/>
      <c r="AC87" s="503"/>
      <c r="AD87" s="504"/>
      <c r="AE87" s="505"/>
      <c r="AF87" s="506"/>
      <c r="AG87" s="506">
        <f t="shared" ca="1" si="7"/>
        <v>0</v>
      </c>
      <c r="AH87" s="506">
        <f t="shared" ca="1" si="8"/>
        <v>0</v>
      </c>
      <c r="AI87" s="506">
        <f t="shared" si="9"/>
        <v>0</v>
      </c>
      <c r="AJ87" s="506">
        <f t="shared" ca="1" si="10"/>
        <v>0</v>
      </c>
      <c r="AK87" s="506" t="str">
        <f t="shared" ca="1" si="11"/>
        <v/>
      </c>
      <c r="AL87" s="507">
        <f t="shared" ca="1" si="12"/>
        <v>1</v>
      </c>
      <c r="AM87" s="507">
        <f t="shared" ca="1" si="13"/>
        <v>12</v>
      </c>
      <c r="AN87" s="507">
        <f t="shared" ca="1" si="14"/>
        <v>3</v>
      </c>
      <c r="AO87" s="507">
        <f t="shared" ca="1" si="15"/>
        <v>0</v>
      </c>
      <c r="AP87" s="507">
        <f t="shared" ca="1" si="16"/>
        <v>0</v>
      </c>
      <c r="AQ87" s="507">
        <f t="shared" ca="1" si="17"/>
        <v>0</v>
      </c>
      <c r="AR87" s="507">
        <f t="shared" ca="1" si="18"/>
        <v>0</v>
      </c>
      <c r="AS87" s="508"/>
      <c r="AT87" s="507">
        <f t="shared" si="19"/>
        <v>2</v>
      </c>
    </row>
    <row r="88" spans="1:46" ht="15.75" customHeight="1">
      <c r="A88" s="485"/>
      <c r="B88" s="486">
        <f t="shared" ca="1" si="0"/>
        <v>1</v>
      </c>
      <c r="C88" s="487">
        <f t="shared" ca="1" si="1"/>
        <v>12</v>
      </c>
      <c r="D88" s="487">
        <f t="shared" ca="1" si="2"/>
        <v>4</v>
      </c>
      <c r="E88" s="487" t="str">
        <f t="shared" ca="1" si="3"/>
        <v/>
      </c>
      <c r="F88" s="487" t="str">
        <f t="shared" ca="1" si="4"/>
        <v/>
      </c>
      <c r="G88" s="488" t="str">
        <f t="shared" ca="1" si="5"/>
        <v/>
      </c>
      <c r="H88" s="489" t="str">
        <f t="shared" ca="1" si="6"/>
        <v/>
      </c>
      <c r="I88" s="509"/>
      <c r="J88" s="522"/>
      <c r="K88" s="522" t="s">
        <v>64</v>
      </c>
      <c r="L88" s="522"/>
      <c r="M88" s="522"/>
      <c r="N88" s="522"/>
      <c r="O88" s="522"/>
      <c r="P88" s="522"/>
      <c r="Q88" s="523"/>
      <c r="R88" s="524" t="s">
        <v>242</v>
      </c>
      <c r="S88" s="525">
        <v>45849</v>
      </c>
      <c r="T88" s="526">
        <v>45849</v>
      </c>
      <c r="U88" s="543"/>
      <c r="V88" s="526"/>
      <c r="W88" s="539">
        <v>0</v>
      </c>
      <c r="X88" s="542"/>
      <c r="Y88" s="540"/>
      <c r="Z88" s="541"/>
      <c r="AA88" s="501"/>
      <c r="AB88" s="502"/>
      <c r="AC88" s="503"/>
      <c r="AD88" s="504"/>
      <c r="AE88" s="505"/>
      <c r="AF88" s="506"/>
      <c r="AG88" s="506">
        <f t="shared" ca="1" si="7"/>
        <v>0</v>
      </c>
      <c r="AH88" s="506">
        <f t="shared" ca="1" si="8"/>
        <v>0</v>
      </c>
      <c r="AI88" s="506">
        <f t="shared" si="9"/>
        <v>0</v>
      </c>
      <c r="AJ88" s="506">
        <f t="shared" ca="1" si="10"/>
        <v>0</v>
      </c>
      <c r="AK88" s="506" t="str">
        <f t="shared" ca="1" si="11"/>
        <v/>
      </c>
      <c r="AL88" s="507">
        <f t="shared" ca="1" si="12"/>
        <v>1</v>
      </c>
      <c r="AM88" s="507">
        <f t="shared" ca="1" si="13"/>
        <v>12</v>
      </c>
      <c r="AN88" s="507">
        <f t="shared" ca="1" si="14"/>
        <v>4</v>
      </c>
      <c r="AO88" s="507">
        <f t="shared" ca="1" si="15"/>
        <v>0</v>
      </c>
      <c r="AP88" s="507">
        <f t="shared" ca="1" si="16"/>
        <v>0</v>
      </c>
      <c r="AQ88" s="507">
        <f t="shared" ca="1" si="17"/>
        <v>0</v>
      </c>
      <c r="AR88" s="507">
        <f t="shared" ca="1" si="18"/>
        <v>0</v>
      </c>
      <c r="AS88" s="508"/>
      <c r="AT88" s="507">
        <f t="shared" si="19"/>
        <v>1</v>
      </c>
    </row>
    <row r="89" spans="1:46" ht="15.75" customHeight="1">
      <c r="A89" s="485"/>
      <c r="B89" s="486">
        <f t="shared" ca="1" si="0"/>
        <v>1</v>
      </c>
      <c r="C89" s="487">
        <f t="shared" ca="1" si="1"/>
        <v>12</v>
      </c>
      <c r="D89" s="487">
        <f t="shared" ca="1" si="2"/>
        <v>5</v>
      </c>
      <c r="E89" s="487" t="str">
        <f t="shared" ca="1" si="3"/>
        <v/>
      </c>
      <c r="F89" s="487" t="str">
        <f t="shared" ca="1" si="4"/>
        <v/>
      </c>
      <c r="G89" s="488" t="str">
        <f t="shared" ca="1" si="5"/>
        <v/>
      </c>
      <c r="H89" s="489" t="str">
        <f t="shared" ca="1" si="6"/>
        <v/>
      </c>
      <c r="I89" s="509"/>
      <c r="J89" s="522"/>
      <c r="K89" s="522" t="s">
        <v>65</v>
      </c>
      <c r="L89" s="522"/>
      <c r="M89" s="522"/>
      <c r="N89" s="522"/>
      <c r="O89" s="522"/>
      <c r="P89" s="522"/>
      <c r="Q89" s="523"/>
      <c r="R89" s="524" t="s">
        <v>165</v>
      </c>
      <c r="S89" s="525">
        <v>45852</v>
      </c>
      <c r="T89" s="526">
        <v>45852</v>
      </c>
      <c r="U89" s="543"/>
      <c r="V89" s="526"/>
      <c r="W89" s="539">
        <v>0</v>
      </c>
      <c r="X89" s="542"/>
      <c r="Y89" s="540"/>
      <c r="Z89" s="541"/>
      <c r="AA89" s="501"/>
      <c r="AB89" s="502"/>
      <c r="AC89" s="503"/>
      <c r="AD89" s="504"/>
      <c r="AE89" s="505"/>
      <c r="AF89" s="506"/>
      <c r="AG89" s="506">
        <f t="shared" ca="1" si="7"/>
        <v>0</v>
      </c>
      <c r="AH89" s="506">
        <f t="shared" ca="1" si="8"/>
        <v>0</v>
      </c>
      <c r="AI89" s="506">
        <f t="shared" si="9"/>
        <v>0</v>
      </c>
      <c r="AJ89" s="506">
        <f t="shared" ca="1" si="10"/>
        <v>0</v>
      </c>
      <c r="AK89" s="506" t="str">
        <f t="shared" ca="1" si="11"/>
        <v/>
      </c>
      <c r="AL89" s="507">
        <f t="shared" ca="1" si="12"/>
        <v>1</v>
      </c>
      <c r="AM89" s="507">
        <f t="shared" ca="1" si="13"/>
        <v>12</v>
      </c>
      <c r="AN89" s="507">
        <f t="shared" ca="1" si="14"/>
        <v>5</v>
      </c>
      <c r="AO89" s="507">
        <f t="shared" ca="1" si="15"/>
        <v>0</v>
      </c>
      <c r="AP89" s="507">
        <f t="shared" ca="1" si="16"/>
        <v>0</v>
      </c>
      <c r="AQ89" s="507">
        <f t="shared" ca="1" si="17"/>
        <v>0</v>
      </c>
      <c r="AR89" s="507">
        <f t="shared" ca="1" si="18"/>
        <v>0</v>
      </c>
      <c r="AS89" s="508"/>
      <c r="AT89" s="507">
        <f t="shared" si="19"/>
        <v>1</v>
      </c>
    </row>
    <row r="90" spans="1:46" ht="15.75" customHeight="1">
      <c r="A90" s="485"/>
      <c r="B90" s="486">
        <f t="shared" ca="1" si="0"/>
        <v>1</v>
      </c>
      <c r="C90" s="487">
        <f t="shared" ca="1" si="1"/>
        <v>12</v>
      </c>
      <c r="D90" s="487">
        <f t="shared" ca="1" si="2"/>
        <v>6</v>
      </c>
      <c r="E90" s="487" t="str">
        <f t="shared" ca="1" si="3"/>
        <v/>
      </c>
      <c r="F90" s="487" t="str">
        <f t="shared" ca="1" si="4"/>
        <v/>
      </c>
      <c r="G90" s="488" t="str">
        <f t="shared" ca="1" si="5"/>
        <v/>
      </c>
      <c r="H90" s="489" t="str">
        <f t="shared" ca="1" si="6"/>
        <v/>
      </c>
      <c r="I90" s="509"/>
      <c r="J90" s="522"/>
      <c r="K90" s="522" t="s">
        <v>66</v>
      </c>
      <c r="L90" s="522"/>
      <c r="M90" s="522"/>
      <c r="N90" s="522"/>
      <c r="O90" s="522"/>
      <c r="P90" s="522"/>
      <c r="Q90" s="523"/>
      <c r="R90" s="524" t="s">
        <v>242</v>
      </c>
      <c r="S90" s="525">
        <v>45853</v>
      </c>
      <c r="T90" s="526">
        <v>45853</v>
      </c>
      <c r="U90" s="543"/>
      <c r="V90" s="526"/>
      <c r="W90" s="539">
        <v>0</v>
      </c>
      <c r="X90" s="542"/>
      <c r="Y90" s="540"/>
      <c r="Z90" s="541"/>
      <c r="AA90" s="501"/>
      <c r="AB90" s="502"/>
      <c r="AC90" s="503"/>
      <c r="AD90" s="504"/>
      <c r="AE90" s="505"/>
      <c r="AF90" s="506"/>
      <c r="AG90" s="506">
        <f t="shared" ca="1" si="7"/>
        <v>0</v>
      </c>
      <c r="AH90" s="506">
        <f t="shared" ca="1" si="8"/>
        <v>0</v>
      </c>
      <c r="AI90" s="506">
        <f t="shared" si="9"/>
        <v>0</v>
      </c>
      <c r="AJ90" s="506">
        <f t="shared" ca="1" si="10"/>
        <v>0</v>
      </c>
      <c r="AK90" s="506" t="str">
        <f t="shared" ca="1" si="11"/>
        <v/>
      </c>
      <c r="AL90" s="507">
        <f t="shared" ca="1" si="12"/>
        <v>1</v>
      </c>
      <c r="AM90" s="507">
        <f t="shared" ca="1" si="13"/>
        <v>12</v>
      </c>
      <c r="AN90" s="507">
        <f t="shared" ca="1" si="14"/>
        <v>6</v>
      </c>
      <c r="AO90" s="507">
        <f t="shared" ca="1" si="15"/>
        <v>0</v>
      </c>
      <c r="AP90" s="507">
        <f t="shared" ca="1" si="16"/>
        <v>0</v>
      </c>
      <c r="AQ90" s="507">
        <f t="shared" ca="1" si="17"/>
        <v>0</v>
      </c>
      <c r="AR90" s="507">
        <f t="shared" ca="1" si="18"/>
        <v>0</v>
      </c>
      <c r="AS90" s="508"/>
      <c r="AT90" s="507">
        <f t="shared" si="19"/>
        <v>1</v>
      </c>
    </row>
    <row r="91" spans="1:46" ht="15.75" customHeight="1">
      <c r="A91" s="485"/>
      <c r="B91" s="486">
        <f t="shared" ca="1" si="0"/>
        <v>1</v>
      </c>
      <c r="C91" s="487">
        <f t="shared" ca="1" si="1"/>
        <v>13</v>
      </c>
      <c r="D91" s="487" t="str">
        <f t="shared" ca="1" si="2"/>
        <v/>
      </c>
      <c r="E91" s="487" t="str">
        <f t="shared" ca="1" si="3"/>
        <v/>
      </c>
      <c r="F91" s="487" t="str">
        <f t="shared" ca="1" si="4"/>
        <v/>
      </c>
      <c r="G91" s="488" t="str">
        <f t="shared" ca="1" si="5"/>
        <v/>
      </c>
      <c r="H91" s="489" t="str">
        <f t="shared" ca="1" si="6"/>
        <v/>
      </c>
      <c r="I91" s="509"/>
      <c r="J91" s="510" t="s">
        <v>253</v>
      </c>
      <c r="K91" s="511"/>
      <c r="L91" s="511"/>
      <c r="M91" s="511"/>
      <c r="N91" s="511"/>
      <c r="O91" s="511"/>
      <c r="P91" s="511"/>
      <c r="Q91" s="512" t="s">
        <v>81</v>
      </c>
      <c r="R91" s="513"/>
      <c r="S91" s="514"/>
      <c r="T91" s="515"/>
      <c r="U91" s="516"/>
      <c r="V91" s="515"/>
      <c r="W91" s="517"/>
      <c r="X91" s="518"/>
      <c r="Y91" s="519"/>
      <c r="Z91" s="520"/>
      <c r="AA91" s="501"/>
      <c r="AB91" s="502"/>
      <c r="AC91" s="503"/>
      <c r="AD91" s="504"/>
      <c r="AE91" s="505"/>
      <c r="AF91" s="506"/>
      <c r="AG91" s="506">
        <f t="shared" si="7"/>
        <v>0</v>
      </c>
      <c r="AH91" s="506">
        <f t="shared" si="8"/>
        <v>0</v>
      </c>
      <c r="AI91" s="506">
        <f t="shared" si="9"/>
        <v>0</v>
      </c>
      <c r="AJ91" s="506">
        <f t="shared" si="10"/>
        <v>0</v>
      </c>
      <c r="AK91" s="506" t="str">
        <f t="shared" si="11"/>
        <v/>
      </c>
      <c r="AL91" s="507">
        <f t="shared" ca="1" si="12"/>
        <v>1</v>
      </c>
      <c r="AM91" s="507">
        <f t="shared" ca="1" si="13"/>
        <v>13</v>
      </c>
      <c r="AN91" s="507">
        <f t="shared" ca="1" si="14"/>
        <v>0</v>
      </c>
      <c r="AO91" s="507">
        <f t="shared" ca="1" si="15"/>
        <v>0</v>
      </c>
      <c r="AP91" s="507">
        <f t="shared" ca="1" si="16"/>
        <v>0</v>
      </c>
      <c r="AQ91" s="507">
        <f t="shared" ca="1" si="17"/>
        <v>0</v>
      </c>
      <c r="AR91" s="507">
        <f t="shared" ca="1" si="18"/>
        <v>0</v>
      </c>
      <c r="AS91" s="508"/>
      <c r="AT91" s="507">
        <f t="shared" si="19"/>
        <v>1</v>
      </c>
    </row>
    <row r="92" spans="1:46" ht="15.75" customHeight="1">
      <c r="A92" s="485"/>
      <c r="B92" s="486">
        <f t="shared" ca="1" si="0"/>
        <v>1</v>
      </c>
      <c r="C92" s="487">
        <f t="shared" ca="1" si="1"/>
        <v>13</v>
      </c>
      <c r="D92" s="487">
        <f t="shared" ca="1" si="2"/>
        <v>1</v>
      </c>
      <c r="E92" s="487" t="str">
        <f t="shared" ca="1" si="3"/>
        <v/>
      </c>
      <c r="F92" s="487" t="str">
        <f t="shared" ca="1" si="4"/>
        <v/>
      </c>
      <c r="G92" s="488" t="str">
        <f t="shared" ca="1" si="5"/>
        <v/>
      </c>
      <c r="H92" s="489" t="str">
        <f t="shared" ca="1" si="6"/>
        <v/>
      </c>
      <c r="I92" s="509"/>
      <c r="J92" s="522"/>
      <c r="K92" s="522" t="s">
        <v>59</v>
      </c>
      <c r="L92" s="522"/>
      <c r="M92" s="522"/>
      <c r="N92" s="522"/>
      <c r="O92" s="522"/>
      <c r="P92" s="522"/>
      <c r="Q92" s="523"/>
      <c r="R92" s="524" t="s">
        <v>165</v>
      </c>
      <c r="S92" s="543">
        <v>45812</v>
      </c>
      <c r="T92" s="526">
        <v>45817</v>
      </c>
      <c r="U92" s="543">
        <v>45812</v>
      </c>
      <c r="V92" s="526">
        <v>45817</v>
      </c>
      <c r="W92" s="539">
        <v>1</v>
      </c>
      <c r="X92" s="542">
        <v>1</v>
      </c>
      <c r="Y92" s="540"/>
      <c r="Z92" s="541"/>
      <c r="AA92" s="501"/>
      <c r="AB92" s="502"/>
      <c r="AC92" s="503"/>
      <c r="AD92" s="504"/>
      <c r="AE92" s="505"/>
      <c r="AF92" s="506"/>
      <c r="AG92" s="506">
        <f t="shared" ca="1" si="7"/>
        <v>0</v>
      </c>
      <c r="AH92" s="506">
        <f t="shared" ca="1" si="8"/>
        <v>0</v>
      </c>
      <c r="AI92" s="506">
        <f t="shared" si="9"/>
        <v>0</v>
      </c>
      <c r="AJ92" s="506">
        <f t="shared" ca="1" si="10"/>
        <v>0</v>
      </c>
      <c r="AK92" s="506" t="str">
        <f t="shared" ca="1" si="11"/>
        <v/>
      </c>
      <c r="AL92" s="507">
        <f t="shared" ca="1" si="12"/>
        <v>1</v>
      </c>
      <c r="AM92" s="507">
        <f t="shared" ca="1" si="13"/>
        <v>13</v>
      </c>
      <c r="AN92" s="507">
        <f t="shared" ca="1" si="14"/>
        <v>1</v>
      </c>
      <c r="AO92" s="507">
        <f t="shared" ca="1" si="15"/>
        <v>0</v>
      </c>
      <c r="AP92" s="507">
        <f t="shared" ca="1" si="16"/>
        <v>0</v>
      </c>
      <c r="AQ92" s="507">
        <f t="shared" ca="1" si="17"/>
        <v>0</v>
      </c>
      <c r="AR92" s="507">
        <f t="shared" ca="1" si="18"/>
        <v>0</v>
      </c>
      <c r="AS92" s="508"/>
      <c r="AT92" s="507">
        <f t="shared" si="19"/>
        <v>6</v>
      </c>
    </row>
    <row r="93" spans="1:46" ht="15.75" customHeight="1">
      <c r="A93" s="485"/>
      <c r="B93" s="486">
        <f t="shared" ca="1" si="0"/>
        <v>1</v>
      </c>
      <c r="C93" s="487">
        <f t="shared" ca="1" si="1"/>
        <v>13</v>
      </c>
      <c r="D93" s="487">
        <f t="shared" ca="1" si="2"/>
        <v>2</v>
      </c>
      <c r="E93" s="487" t="str">
        <f t="shared" ca="1" si="3"/>
        <v/>
      </c>
      <c r="F93" s="487" t="str">
        <f t="shared" ca="1" si="4"/>
        <v/>
      </c>
      <c r="G93" s="488" t="str">
        <f t="shared" ca="1" si="5"/>
        <v/>
      </c>
      <c r="H93" s="489" t="str">
        <f t="shared" ca="1" si="6"/>
        <v/>
      </c>
      <c r="I93" s="509"/>
      <c r="J93" s="522"/>
      <c r="K93" s="522" t="s">
        <v>145</v>
      </c>
      <c r="L93" s="522"/>
      <c r="M93" s="522"/>
      <c r="N93" s="522"/>
      <c r="O93" s="522"/>
      <c r="P93" s="522"/>
      <c r="Q93" s="523"/>
      <c r="R93" s="524" t="s">
        <v>242</v>
      </c>
      <c r="S93" s="525">
        <v>45818</v>
      </c>
      <c r="T93" s="526">
        <v>45818</v>
      </c>
      <c r="U93" s="525">
        <v>45818</v>
      </c>
      <c r="V93" s="526">
        <v>45818</v>
      </c>
      <c r="W93" s="539">
        <v>1</v>
      </c>
      <c r="X93" s="542">
        <v>1</v>
      </c>
      <c r="Y93" s="540"/>
      <c r="Z93" s="541"/>
      <c r="AA93" s="501"/>
      <c r="AB93" s="502"/>
      <c r="AC93" s="503"/>
      <c r="AD93" s="504"/>
      <c r="AE93" s="505"/>
      <c r="AF93" s="506"/>
      <c r="AG93" s="506">
        <f t="shared" ca="1" si="7"/>
        <v>0</v>
      </c>
      <c r="AH93" s="506">
        <f t="shared" ca="1" si="8"/>
        <v>0</v>
      </c>
      <c r="AI93" s="506">
        <f t="shared" si="9"/>
        <v>0</v>
      </c>
      <c r="AJ93" s="506">
        <f t="shared" ca="1" si="10"/>
        <v>0</v>
      </c>
      <c r="AK93" s="506" t="str">
        <f t="shared" ca="1" si="11"/>
        <v/>
      </c>
      <c r="AL93" s="507">
        <f t="shared" ca="1" si="12"/>
        <v>1</v>
      </c>
      <c r="AM93" s="507">
        <f t="shared" ca="1" si="13"/>
        <v>13</v>
      </c>
      <c r="AN93" s="507">
        <f t="shared" ca="1" si="14"/>
        <v>2</v>
      </c>
      <c r="AO93" s="507">
        <f t="shared" ca="1" si="15"/>
        <v>0</v>
      </c>
      <c r="AP93" s="507">
        <f t="shared" ca="1" si="16"/>
        <v>0</v>
      </c>
      <c r="AQ93" s="507">
        <f t="shared" ca="1" si="17"/>
        <v>0</v>
      </c>
      <c r="AR93" s="507">
        <f t="shared" ca="1" si="18"/>
        <v>0</v>
      </c>
      <c r="AS93" s="508"/>
      <c r="AT93" s="507">
        <f t="shared" si="19"/>
        <v>1</v>
      </c>
    </row>
    <row r="94" spans="1:46" ht="15.75" customHeight="1">
      <c r="A94" s="485"/>
      <c r="B94" s="486">
        <f t="shared" ca="1" si="0"/>
        <v>1</v>
      </c>
      <c r="C94" s="487">
        <f t="shared" ca="1" si="1"/>
        <v>13</v>
      </c>
      <c r="D94" s="487">
        <f t="shared" ca="1" si="2"/>
        <v>3</v>
      </c>
      <c r="E94" s="487" t="str">
        <f t="shared" ca="1" si="3"/>
        <v/>
      </c>
      <c r="F94" s="487" t="str">
        <f t="shared" ca="1" si="4"/>
        <v/>
      </c>
      <c r="G94" s="488" t="str">
        <f t="shared" ca="1" si="5"/>
        <v/>
      </c>
      <c r="H94" s="489" t="str">
        <f t="shared" ca="1" si="6"/>
        <v/>
      </c>
      <c r="I94" s="509"/>
      <c r="J94" s="522"/>
      <c r="K94" s="522" t="s">
        <v>63</v>
      </c>
      <c r="L94" s="522"/>
      <c r="M94" s="522"/>
      <c r="N94" s="522"/>
      <c r="O94" s="522"/>
      <c r="P94" s="522"/>
      <c r="Q94" s="523"/>
      <c r="R94" s="524" t="s">
        <v>165</v>
      </c>
      <c r="S94" s="525">
        <v>45827</v>
      </c>
      <c r="T94" s="526">
        <v>45827</v>
      </c>
      <c r="U94" s="543"/>
      <c r="V94" s="526"/>
      <c r="W94" s="539">
        <v>0</v>
      </c>
      <c r="X94" s="542"/>
      <c r="Y94" s="540"/>
      <c r="Z94" s="541"/>
      <c r="AA94" s="501"/>
      <c r="AB94" s="502"/>
      <c r="AC94" s="503"/>
      <c r="AD94" s="504"/>
      <c r="AE94" s="505"/>
      <c r="AF94" s="506"/>
      <c r="AG94" s="506">
        <f t="shared" ca="1" si="7"/>
        <v>0</v>
      </c>
      <c r="AH94" s="506">
        <f t="shared" ca="1" si="8"/>
        <v>0</v>
      </c>
      <c r="AI94" s="506">
        <f t="shared" si="9"/>
        <v>0</v>
      </c>
      <c r="AJ94" s="506">
        <f t="shared" ca="1" si="10"/>
        <v>0</v>
      </c>
      <c r="AK94" s="506" t="str">
        <f t="shared" ca="1" si="11"/>
        <v/>
      </c>
      <c r="AL94" s="507">
        <f t="shared" ca="1" si="12"/>
        <v>1</v>
      </c>
      <c r="AM94" s="507">
        <f t="shared" ca="1" si="13"/>
        <v>13</v>
      </c>
      <c r="AN94" s="507">
        <f t="shared" ca="1" si="14"/>
        <v>3</v>
      </c>
      <c r="AO94" s="507">
        <f t="shared" ca="1" si="15"/>
        <v>0</v>
      </c>
      <c r="AP94" s="507">
        <f t="shared" ca="1" si="16"/>
        <v>0</v>
      </c>
      <c r="AQ94" s="507">
        <f t="shared" ca="1" si="17"/>
        <v>0</v>
      </c>
      <c r="AR94" s="507">
        <f t="shared" ca="1" si="18"/>
        <v>0</v>
      </c>
      <c r="AS94" s="508"/>
      <c r="AT94" s="507">
        <f t="shared" si="19"/>
        <v>1</v>
      </c>
    </row>
    <row r="95" spans="1:46" ht="15.75" customHeight="1">
      <c r="A95" s="485"/>
      <c r="B95" s="486">
        <f t="shared" ca="1" si="0"/>
        <v>1</v>
      </c>
      <c r="C95" s="487">
        <f t="shared" ca="1" si="1"/>
        <v>13</v>
      </c>
      <c r="D95" s="487">
        <f t="shared" ca="1" si="2"/>
        <v>4</v>
      </c>
      <c r="E95" s="487" t="str">
        <f t="shared" ca="1" si="3"/>
        <v/>
      </c>
      <c r="F95" s="487" t="str">
        <f t="shared" ca="1" si="4"/>
        <v/>
      </c>
      <c r="G95" s="488" t="str">
        <f t="shared" ca="1" si="5"/>
        <v/>
      </c>
      <c r="H95" s="489" t="str">
        <f t="shared" ca="1" si="6"/>
        <v/>
      </c>
      <c r="I95" s="509"/>
      <c r="J95" s="522"/>
      <c r="K95" s="522" t="s">
        <v>64</v>
      </c>
      <c r="L95" s="522"/>
      <c r="M95" s="522"/>
      <c r="N95" s="522"/>
      <c r="O95" s="522"/>
      <c r="P95" s="522"/>
      <c r="Q95" s="523"/>
      <c r="R95" s="524" t="s">
        <v>242</v>
      </c>
      <c r="S95" s="525">
        <v>45827</v>
      </c>
      <c r="T95" s="526">
        <v>45827</v>
      </c>
      <c r="U95" s="543"/>
      <c r="V95" s="526"/>
      <c r="W95" s="539">
        <v>0</v>
      </c>
      <c r="X95" s="542"/>
      <c r="Y95" s="540"/>
      <c r="Z95" s="541"/>
      <c r="AA95" s="501"/>
      <c r="AB95" s="502"/>
      <c r="AC95" s="503"/>
      <c r="AD95" s="504"/>
      <c r="AE95" s="505"/>
      <c r="AF95" s="506"/>
      <c r="AG95" s="506">
        <f t="shared" ca="1" si="7"/>
        <v>0</v>
      </c>
      <c r="AH95" s="506">
        <f t="shared" ca="1" si="8"/>
        <v>0</v>
      </c>
      <c r="AI95" s="506">
        <f t="shared" si="9"/>
        <v>0</v>
      </c>
      <c r="AJ95" s="506">
        <f t="shared" ca="1" si="10"/>
        <v>0</v>
      </c>
      <c r="AK95" s="506" t="str">
        <f t="shared" ca="1" si="11"/>
        <v/>
      </c>
      <c r="AL95" s="507">
        <f t="shared" ca="1" si="12"/>
        <v>1</v>
      </c>
      <c r="AM95" s="507">
        <f t="shared" ca="1" si="13"/>
        <v>13</v>
      </c>
      <c r="AN95" s="507">
        <f t="shared" ca="1" si="14"/>
        <v>4</v>
      </c>
      <c r="AO95" s="507">
        <f t="shared" ca="1" si="15"/>
        <v>0</v>
      </c>
      <c r="AP95" s="507">
        <f t="shared" ca="1" si="16"/>
        <v>0</v>
      </c>
      <c r="AQ95" s="507">
        <f t="shared" ca="1" si="17"/>
        <v>0</v>
      </c>
      <c r="AR95" s="507">
        <f t="shared" ca="1" si="18"/>
        <v>0</v>
      </c>
      <c r="AS95" s="508"/>
      <c r="AT95" s="507">
        <f t="shared" si="19"/>
        <v>1</v>
      </c>
    </row>
    <row r="96" spans="1:46" ht="15.75" customHeight="1">
      <c r="A96" s="485"/>
      <c r="B96" s="486">
        <f t="shared" ca="1" si="0"/>
        <v>1</v>
      </c>
      <c r="C96" s="487">
        <f t="shared" ca="1" si="1"/>
        <v>13</v>
      </c>
      <c r="D96" s="487">
        <f t="shared" ca="1" si="2"/>
        <v>5</v>
      </c>
      <c r="E96" s="487" t="str">
        <f t="shared" ca="1" si="3"/>
        <v/>
      </c>
      <c r="F96" s="487" t="str">
        <f t="shared" ca="1" si="4"/>
        <v/>
      </c>
      <c r="G96" s="488" t="str">
        <f t="shared" ca="1" si="5"/>
        <v/>
      </c>
      <c r="H96" s="489" t="str">
        <f t="shared" ca="1" si="6"/>
        <v/>
      </c>
      <c r="I96" s="509"/>
      <c r="J96" s="522"/>
      <c r="K96" s="522" t="s">
        <v>65</v>
      </c>
      <c r="L96" s="522"/>
      <c r="M96" s="522"/>
      <c r="N96" s="522"/>
      <c r="O96" s="522"/>
      <c r="P96" s="522"/>
      <c r="Q96" s="523"/>
      <c r="R96" s="524" t="s">
        <v>165</v>
      </c>
      <c r="S96" s="525">
        <v>45828</v>
      </c>
      <c r="T96" s="526">
        <v>45828</v>
      </c>
      <c r="U96" s="543"/>
      <c r="V96" s="526"/>
      <c r="W96" s="539">
        <v>0</v>
      </c>
      <c r="X96" s="542"/>
      <c r="Y96" s="540"/>
      <c r="Z96" s="541"/>
      <c r="AA96" s="501"/>
      <c r="AB96" s="502"/>
      <c r="AC96" s="503"/>
      <c r="AD96" s="504"/>
      <c r="AE96" s="505"/>
      <c r="AF96" s="506"/>
      <c r="AG96" s="506">
        <f t="shared" ca="1" si="7"/>
        <v>0</v>
      </c>
      <c r="AH96" s="506">
        <f t="shared" ca="1" si="8"/>
        <v>0</v>
      </c>
      <c r="AI96" s="506">
        <f t="shared" si="9"/>
        <v>0</v>
      </c>
      <c r="AJ96" s="506">
        <f t="shared" ca="1" si="10"/>
        <v>0</v>
      </c>
      <c r="AK96" s="506" t="str">
        <f t="shared" ca="1" si="11"/>
        <v/>
      </c>
      <c r="AL96" s="507">
        <f t="shared" ca="1" si="12"/>
        <v>1</v>
      </c>
      <c r="AM96" s="507">
        <f t="shared" ca="1" si="13"/>
        <v>13</v>
      </c>
      <c r="AN96" s="507">
        <f t="shared" ca="1" si="14"/>
        <v>5</v>
      </c>
      <c r="AO96" s="507">
        <f t="shared" ca="1" si="15"/>
        <v>0</v>
      </c>
      <c r="AP96" s="507">
        <f t="shared" ca="1" si="16"/>
        <v>0</v>
      </c>
      <c r="AQ96" s="507">
        <f t="shared" ca="1" si="17"/>
        <v>0</v>
      </c>
      <c r="AR96" s="507">
        <f t="shared" ca="1" si="18"/>
        <v>0</v>
      </c>
      <c r="AS96" s="508"/>
      <c r="AT96" s="507">
        <f t="shared" si="19"/>
        <v>1</v>
      </c>
    </row>
    <row r="97" spans="1:46" ht="15.75" customHeight="1">
      <c r="A97" s="485"/>
      <c r="B97" s="486">
        <f t="shared" ca="1" si="0"/>
        <v>1</v>
      </c>
      <c r="C97" s="487">
        <f t="shared" ca="1" si="1"/>
        <v>13</v>
      </c>
      <c r="D97" s="487">
        <f t="shared" ca="1" si="2"/>
        <v>6</v>
      </c>
      <c r="E97" s="487" t="str">
        <f t="shared" ca="1" si="3"/>
        <v/>
      </c>
      <c r="F97" s="487" t="str">
        <f t="shared" ca="1" si="4"/>
        <v/>
      </c>
      <c r="G97" s="488" t="str">
        <f t="shared" ca="1" si="5"/>
        <v/>
      </c>
      <c r="H97" s="489" t="str">
        <f t="shared" ca="1" si="6"/>
        <v/>
      </c>
      <c r="I97" s="509"/>
      <c r="J97" s="522"/>
      <c r="K97" s="522" t="s">
        <v>66</v>
      </c>
      <c r="L97" s="522"/>
      <c r="M97" s="522"/>
      <c r="N97" s="522"/>
      <c r="O97" s="522"/>
      <c r="P97" s="522"/>
      <c r="Q97" s="523"/>
      <c r="R97" s="524" t="s">
        <v>242</v>
      </c>
      <c r="S97" s="525">
        <v>45831</v>
      </c>
      <c r="T97" s="526">
        <v>45831</v>
      </c>
      <c r="U97" s="543"/>
      <c r="V97" s="526"/>
      <c r="W97" s="539">
        <v>0</v>
      </c>
      <c r="X97" s="542"/>
      <c r="Y97" s="540"/>
      <c r="Z97" s="541"/>
      <c r="AA97" s="501"/>
      <c r="AB97" s="502"/>
      <c r="AC97" s="503"/>
      <c r="AD97" s="504"/>
      <c r="AE97" s="505"/>
      <c r="AF97" s="506"/>
      <c r="AG97" s="506">
        <f t="shared" ca="1" si="7"/>
        <v>0</v>
      </c>
      <c r="AH97" s="506">
        <f t="shared" ca="1" si="8"/>
        <v>0</v>
      </c>
      <c r="AI97" s="506">
        <f t="shared" si="9"/>
        <v>0</v>
      </c>
      <c r="AJ97" s="506">
        <f t="shared" ca="1" si="10"/>
        <v>0</v>
      </c>
      <c r="AK97" s="506" t="str">
        <f t="shared" ca="1" si="11"/>
        <v/>
      </c>
      <c r="AL97" s="507">
        <f t="shared" ca="1" si="12"/>
        <v>1</v>
      </c>
      <c r="AM97" s="507">
        <f t="shared" ca="1" si="13"/>
        <v>13</v>
      </c>
      <c r="AN97" s="507">
        <f t="shared" ca="1" si="14"/>
        <v>6</v>
      </c>
      <c r="AO97" s="507">
        <f t="shared" ca="1" si="15"/>
        <v>0</v>
      </c>
      <c r="AP97" s="507">
        <f t="shared" ca="1" si="16"/>
        <v>0</v>
      </c>
      <c r="AQ97" s="507">
        <f t="shared" ca="1" si="17"/>
        <v>0</v>
      </c>
      <c r="AR97" s="507">
        <f t="shared" ca="1" si="18"/>
        <v>0</v>
      </c>
      <c r="AS97" s="508"/>
      <c r="AT97" s="507">
        <f t="shared" si="19"/>
        <v>1</v>
      </c>
    </row>
    <row r="98" spans="1:46" ht="15.75" customHeight="1">
      <c r="A98" s="485"/>
      <c r="B98" s="486">
        <f t="shared" ca="1" si="0"/>
        <v>1</v>
      </c>
      <c r="C98" s="487">
        <f t="shared" ca="1" si="1"/>
        <v>14</v>
      </c>
      <c r="D98" s="487" t="str">
        <f t="shared" ca="1" si="2"/>
        <v/>
      </c>
      <c r="E98" s="487" t="str">
        <f t="shared" ca="1" si="3"/>
        <v/>
      </c>
      <c r="F98" s="487" t="str">
        <f t="shared" ca="1" si="4"/>
        <v/>
      </c>
      <c r="G98" s="488" t="str">
        <f t="shared" ca="1" si="5"/>
        <v/>
      </c>
      <c r="H98" s="489" t="str">
        <f t="shared" ca="1" si="6"/>
        <v/>
      </c>
      <c r="I98" s="509"/>
      <c r="J98" s="510" t="s">
        <v>254</v>
      </c>
      <c r="K98" s="511"/>
      <c r="L98" s="511"/>
      <c r="M98" s="511"/>
      <c r="N98" s="511"/>
      <c r="O98" s="511"/>
      <c r="P98" s="511"/>
      <c r="Q98" s="512" t="s">
        <v>73</v>
      </c>
      <c r="R98" s="513"/>
      <c r="S98" s="514"/>
      <c r="T98" s="515"/>
      <c r="U98" s="516"/>
      <c r="V98" s="515"/>
      <c r="W98" s="517"/>
      <c r="X98" s="518"/>
      <c r="Y98" s="519"/>
      <c r="Z98" s="520"/>
      <c r="AA98" s="501"/>
      <c r="AB98" s="502"/>
      <c r="AC98" s="503"/>
      <c r="AD98" s="504"/>
      <c r="AE98" s="505"/>
      <c r="AF98" s="506"/>
      <c r="AG98" s="506">
        <f t="shared" si="7"/>
        <v>0</v>
      </c>
      <c r="AH98" s="506">
        <f t="shared" si="8"/>
        <v>0</v>
      </c>
      <c r="AI98" s="506">
        <f t="shared" si="9"/>
        <v>0</v>
      </c>
      <c r="AJ98" s="506">
        <f t="shared" si="10"/>
        <v>0</v>
      </c>
      <c r="AK98" s="506" t="str">
        <f t="shared" si="11"/>
        <v/>
      </c>
      <c r="AL98" s="507">
        <f t="shared" ca="1" si="12"/>
        <v>1</v>
      </c>
      <c r="AM98" s="507">
        <f t="shared" ca="1" si="13"/>
        <v>14</v>
      </c>
      <c r="AN98" s="507">
        <f t="shared" ca="1" si="14"/>
        <v>0</v>
      </c>
      <c r="AO98" s="507">
        <f t="shared" ca="1" si="15"/>
        <v>0</v>
      </c>
      <c r="AP98" s="507">
        <f t="shared" ca="1" si="16"/>
        <v>0</v>
      </c>
      <c r="AQ98" s="507">
        <f t="shared" ca="1" si="17"/>
        <v>0</v>
      </c>
      <c r="AR98" s="507">
        <f t="shared" ca="1" si="18"/>
        <v>0</v>
      </c>
      <c r="AS98" s="508"/>
      <c r="AT98" s="507">
        <f t="shared" si="19"/>
        <v>1</v>
      </c>
    </row>
    <row r="99" spans="1:46" ht="15.75" customHeight="1">
      <c r="A99" s="485"/>
      <c r="B99" s="486">
        <f t="shared" ca="1" si="0"/>
        <v>1</v>
      </c>
      <c r="C99" s="487">
        <f t="shared" ca="1" si="1"/>
        <v>14</v>
      </c>
      <c r="D99" s="487">
        <f t="shared" ca="1" si="2"/>
        <v>1</v>
      </c>
      <c r="E99" s="487" t="str">
        <f t="shared" ca="1" si="3"/>
        <v/>
      </c>
      <c r="F99" s="487" t="str">
        <f t="shared" ca="1" si="4"/>
        <v/>
      </c>
      <c r="G99" s="488" t="str">
        <f t="shared" ca="1" si="5"/>
        <v/>
      </c>
      <c r="H99" s="489" t="str">
        <f t="shared" ca="1" si="6"/>
        <v/>
      </c>
      <c r="I99" s="509"/>
      <c r="J99" s="522"/>
      <c r="K99" s="522" t="s">
        <v>59</v>
      </c>
      <c r="L99" s="522"/>
      <c r="M99" s="522"/>
      <c r="N99" s="522"/>
      <c r="O99" s="522"/>
      <c r="P99" s="522"/>
      <c r="Q99" s="523"/>
      <c r="R99" s="524" t="s">
        <v>242</v>
      </c>
      <c r="S99" s="525">
        <v>45839</v>
      </c>
      <c r="T99" s="526">
        <v>45845</v>
      </c>
      <c r="U99" s="543"/>
      <c r="V99" s="526"/>
      <c r="W99" s="539">
        <v>0</v>
      </c>
      <c r="X99" s="542"/>
      <c r="Y99" s="540"/>
      <c r="Z99" s="541"/>
      <c r="AA99" s="501"/>
      <c r="AB99" s="502"/>
      <c r="AC99" s="503"/>
      <c r="AD99" s="504"/>
      <c r="AE99" s="505"/>
      <c r="AF99" s="506"/>
      <c r="AG99" s="506">
        <f t="shared" ca="1" si="7"/>
        <v>0</v>
      </c>
      <c r="AH99" s="506">
        <f t="shared" ca="1" si="8"/>
        <v>0</v>
      </c>
      <c r="AI99" s="506">
        <f t="shared" si="9"/>
        <v>0</v>
      </c>
      <c r="AJ99" s="506">
        <f t="shared" ca="1" si="10"/>
        <v>0</v>
      </c>
      <c r="AK99" s="506" t="str">
        <f t="shared" ca="1" si="11"/>
        <v/>
      </c>
      <c r="AL99" s="507">
        <f t="shared" ca="1" si="12"/>
        <v>1</v>
      </c>
      <c r="AM99" s="507">
        <f t="shared" ca="1" si="13"/>
        <v>14</v>
      </c>
      <c r="AN99" s="507">
        <f t="shared" ca="1" si="14"/>
        <v>1</v>
      </c>
      <c r="AO99" s="507">
        <f t="shared" ca="1" si="15"/>
        <v>0</v>
      </c>
      <c r="AP99" s="507">
        <f t="shared" ca="1" si="16"/>
        <v>0</v>
      </c>
      <c r="AQ99" s="507">
        <f t="shared" ca="1" si="17"/>
        <v>0</v>
      </c>
      <c r="AR99" s="507">
        <f t="shared" ca="1" si="18"/>
        <v>0</v>
      </c>
      <c r="AS99" s="508"/>
      <c r="AT99" s="507">
        <f t="shared" si="19"/>
        <v>7</v>
      </c>
    </row>
    <row r="100" spans="1:46" ht="15.75" customHeight="1">
      <c r="A100" s="485"/>
      <c r="B100" s="486">
        <f t="shared" ca="1" si="0"/>
        <v>1</v>
      </c>
      <c r="C100" s="487">
        <f t="shared" ca="1" si="1"/>
        <v>14</v>
      </c>
      <c r="D100" s="487">
        <f t="shared" ca="1" si="2"/>
        <v>2</v>
      </c>
      <c r="E100" s="487" t="str">
        <f t="shared" ca="1" si="3"/>
        <v/>
      </c>
      <c r="F100" s="487" t="str">
        <f t="shared" ca="1" si="4"/>
        <v/>
      </c>
      <c r="G100" s="488" t="str">
        <f t="shared" ca="1" si="5"/>
        <v/>
      </c>
      <c r="H100" s="489" t="str">
        <f t="shared" ca="1" si="6"/>
        <v/>
      </c>
      <c r="I100" s="509"/>
      <c r="J100" s="522"/>
      <c r="K100" s="522" t="s">
        <v>145</v>
      </c>
      <c r="L100" s="522"/>
      <c r="M100" s="522"/>
      <c r="N100" s="522"/>
      <c r="O100" s="522"/>
      <c r="P100" s="522"/>
      <c r="Q100" s="523"/>
      <c r="R100" s="524" t="s">
        <v>165</v>
      </c>
      <c r="S100" s="525">
        <v>45846</v>
      </c>
      <c r="T100" s="526">
        <v>45846</v>
      </c>
      <c r="U100" s="543"/>
      <c r="V100" s="526"/>
      <c r="W100" s="539">
        <v>0</v>
      </c>
      <c r="X100" s="542"/>
      <c r="Y100" s="540"/>
      <c r="Z100" s="541"/>
      <c r="AA100" s="501"/>
      <c r="AB100" s="502"/>
      <c r="AC100" s="503"/>
      <c r="AD100" s="504"/>
      <c r="AE100" s="505"/>
      <c r="AF100" s="506"/>
      <c r="AG100" s="506">
        <f t="shared" ca="1" si="7"/>
        <v>0</v>
      </c>
      <c r="AH100" s="506">
        <f t="shared" ca="1" si="8"/>
        <v>0</v>
      </c>
      <c r="AI100" s="506">
        <f t="shared" si="9"/>
        <v>0</v>
      </c>
      <c r="AJ100" s="506">
        <f t="shared" ca="1" si="10"/>
        <v>0</v>
      </c>
      <c r="AK100" s="506" t="str">
        <f t="shared" ca="1" si="11"/>
        <v/>
      </c>
      <c r="AL100" s="507">
        <f t="shared" ca="1" si="12"/>
        <v>1</v>
      </c>
      <c r="AM100" s="507">
        <f t="shared" ca="1" si="13"/>
        <v>14</v>
      </c>
      <c r="AN100" s="507">
        <f t="shared" ca="1" si="14"/>
        <v>2</v>
      </c>
      <c r="AO100" s="507">
        <f t="shared" ca="1" si="15"/>
        <v>0</v>
      </c>
      <c r="AP100" s="507">
        <f t="shared" ca="1" si="16"/>
        <v>0</v>
      </c>
      <c r="AQ100" s="507">
        <f t="shared" ca="1" si="17"/>
        <v>0</v>
      </c>
      <c r="AR100" s="507">
        <f t="shared" ca="1" si="18"/>
        <v>0</v>
      </c>
      <c r="AS100" s="508"/>
      <c r="AT100" s="507">
        <f t="shared" si="19"/>
        <v>1</v>
      </c>
    </row>
    <row r="101" spans="1:46" ht="15.75" customHeight="1">
      <c r="A101" s="485"/>
      <c r="B101" s="486">
        <f t="shared" ca="1" si="0"/>
        <v>1</v>
      </c>
      <c r="C101" s="487">
        <f t="shared" ca="1" si="1"/>
        <v>14</v>
      </c>
      <c r="D101" s="487">
        <f t="shared" ca="1" si="2"/>
        <v>3</v>
      </c>
      <c r="E101" s="487" t="str">
        <f t="shared" ca="1" si="3"/>
        <v/>
      </c>
      <c r="F101" s="487" t="str">
        <f t="shared" ca="1" si="4"/>
        <v/>
      </c>
      <c r="G101" s="488" t="str">
        <f t="shared" ca="1" si="5"/>
        <v/>
      </c>
      <c r="H101" s="489" t="str">
        <f t="shared" ca="1" si="6"/>
        <v/>
      </c>
      <c r="I101" s="509"/>
      <c r="J101" s="522"/>
      <c r="K101" s="522" t="s">
        <v>63</v>
      </c>
      <c r="L101" s="522"/>
      <c r="M101" s="522"/>
      <c r="N101" s="522"/>
      <c r="O101" s="522"/>
      <c r="P101" s="522"/>
      <c r="Q101" s="523"/>
      <c r="R101" s="524" t="s">
        <v>242</v>
      </c>
      <c r="S101" s="525">
        <v>45847</v>
      </c>
      <c r="T101" s="526">
        <v>45848</v>
      </c>
      <c r="U101" s="543"/>
      <c r="V101" s="526"/>
      <c r="W101" s="539">
        <v>0</v>
      </c>
      <c r="X101" s="542"/>
      <c r="Y101" s="540"/>
      <c r="Z101" s="541"/>
      <c r="AA101" s="501"/>
      <c r="AB101" s="502"/>
      <c r="AC101" s="503"/>
      <c r="AD101" s="504"/>
      <c r="AE101" s="505"/>
      <c r="AF101" s="506"/>
      <c r="AG101" s="506">
        <f t="shared" ca="1" si="7"/>
        <v>0</v>
      </c>
      <c r="AH101" s="506">
        <f t="shared" ca="1" si="8"/>
        <v>0</v>
      </c>
      <c r="AI101" s="506">
        <f t="shared" si="9"/>
        <v>0</v>
      </c>
      <c r="AJ101" s="506">
        <f t="shared" ca="1" si="10"/>
        <v>0</v>
      </c>
      <c r="AK101" s="506" t="str">
        <f t="shared" ca="1" si="11"/>
        <v/>
      </c>
      <c r="AL101" s="507">
        <f t="shared" ca="1" si="12"/>
        <v>1</v>
      </c>
      <c r="AM101" s="507">
        <f t="shared" ca="1" si="13"/>
        <v>14</v>
      </c>
      <c r="AN101" s="507">
        <f t="shared" ca="1" si="14"/>
        <v>3</v>
      </c>
      <c r="AO101" s="507">
        <f t="shared" ca="1" si="15"/>
        <v>0</v>
      </c>
      <c r="AP101" s="507">
        <f t="shared" ca="1" si="16"/>
        <v>0</v>
      </c>
      <c r="AQ101" s="507">
        <f t="shared" ca="1" si="17"/>
        <v>0</v>
      </c>
      <c r="AR101" s="507">
        <f t="shared" ca="1" si="18"/>
        <v>0</v>
      </c>
      <c r="AS101" s="508"/>
      <c r="AT101" s="507">
        <f t="shared" si="19"/>
        <v>2</v>
      </c>
    </row>
    <row r="102" spans="1:46" ht="15.75" customHeight="1">
      <c r="A102" s="485"/>
      <c r="B102" s="486">
        <f t="shared" ca="1" si="0"/>
        <v>1</v>
      </c>
      <c r="C102" s="487">
        <f t="shared" ca="1" si="1"/>
        <v>14</v>
      </c>
      <c r="D102" s="487">
        <f t="shared" ca="1" si="2"/>
        <v>4</v>
      </c>
      <c r="E102" s="487" t="str">
        <f t="shared" ca="1" si="3"/>
        <v/>
      </c>
      <c r="F102" s="487" t="str">
        <f t="shared" ca="1" si="4"/>
        <v/>
      </c>
      <c r="G102" s="488" t="str">
        <f t="shared" ca="1" si="5"/>
        <v/>
      </c>
      <c r="H102" s="489" t="str">
        <f t="shared" ca="1" si="6"/>
        <v/>
      </c>
      <c r="I102" s="509"/>
      <c r="J102" s="522"/>
      <c r="K102" s="522" t="s">
        <v>64</v>
      </c>
      <c r="L102" s="522"/>
      <c r="M102" s="522"/>
      <c r="N102" s="522"/>
      <c r="O102" s="522"/>
      <c r="P102" s="522"/>
      <c r="Q102" s="523"/>
      <c r="R102" s="524" t="s">
        <v>165</v>
      </c>
      <c r="S102" s="525">
        <v>45849</v>
      </c>
      <c r="T102" s="526">
        <v>45849</v>
      </c>
      <c r="U102" s="543"/>
      <c r="V102" s="526"/>
      <c r="W102" s="539">
        <v>0</v>
      </c>
      <c r="X102" s="542"/>
      <c r="Y102" s="540"/>
      <c r="Z102" s="541"/>
      <c r="AA102" s="501"/>
      <c r="AB102" s="502"/>
      <c r="AC102" s="503"/>
      <c r="AD102" s="504"/>
      <c r="AE102" s="505"/>
      <c r="AF102" s="506"/>
      <c r="AG102" s="506">
        <f t="shared" ca="1" si="7"/>
        <v>0</v>
      </c>
      <c r="AH102" s="506">
        <f t="shared" ca="1" si="8"/>
        <v>0</v>
      </c>
      <c r="AI102" s="506">
        <f t="shared" si="9"/>
        <v>0</v>
      </c>
      <c r="AJ102" s="506">
        <f t="shared" ca="1" si="10"/>
        <v>0</v>
      </c>
      <c r="AK102" s="506" t="str">
        <f t="shared" ca="1" si="11"/>
        <v/>
      </c>
      <c r="AL102" s="507">
        <f t="shared" ca="1" si="12"/>
        <v>1</v>
      </c>
      <c r="AM102" s="507">
        <f t="shared" ca="1" si="13"/>
        <v>14</v>
      </c>
      <c r="AN102" s="507">
        <f t="shared" ca="1" si="14"/>
        <v>4</v>
      </c>
      <c r="AO102" s="507">
        <f t="shared" ca="1" si="15"/>
        <v>0</v>
      </c>
      <c r="AP102" s="507">
        <f t="shared" ca="1" si="16"/>
        <v>0</v>
      </c>
      <c r="AQ102" s="507">
        <f t="shared" ca="1" si="17"/>
        <v>0</v>
      </c>
      <c r="AR102" s="507">
        <f t="shared" ca="1" si="18"/>
        <v>0</v>
      </c>
      <c r="AS102" s="508"/>
      <c r="AT102" s="507">
        <f t="shared" si="19"/>
        <v>1</v>
      </c>
    </row>
    <row r="103" spans="1:46" ht="15.75" customHeight="1">
      <c r="A103" s="485"/>
      <c r="B103" s="486">
        <f t="shared" ca="1" si="0"/>
        <v>1</v>
      </c>
      <c r="C103" s="487">
        <f t="shared" ca="1" si="1"/>
        <v>14</v>
      </c>
      <c r="D103" s="487">
        <f t="shared" ca="1" si="2"/>
        <v>5</v>
      </c>
      <c r="E103" s="487" t="str">
        <f t="shared" ca="1" si="3"/>
        <v/>
      </c>
      <c r="F103" s="487" t="str">
        <f t="shared" ca="1" si="4"/>
        <v/>
      </c>
      <c r="G103" s="488" t="str">
        <f t="shared" ca="1" si="5"/>
        <v/>
      </c>
      <c r="H103" s="489" t="str">
        <f t="shared" ca="1" si="6"/>
        <v/>
      </c>
      <c r="I103" s="509"/>
      <c r="J103" s="522"/>
      <c r="K103" s="522" t="s">
        <v>65</v>
      </c>
      <c r="L103" s="522"/>
      <c r="M103" s="522"/>
      <c r="N103" s="522"/>
      <c r="O103" s="522"/>
      <c r="P103" s="522"/>
      <c r="Q103" s="523"/>
      <c r="R103" s="524" t="s">
        <v>242</v>
      </c>
      <c r="S103" s="525">
        <v>45852</v>
      </c>
      <c r="T103" s="526">
        <v>45852</v>
      </c>
      <c r="U103" s="543"/>
      <c r="V103" s="526"/>
      <c r="W103" s="539">
        <v>0</v>
      </c>
      <c r="X103" s="542"/>
      <c r="Y103" s="540"/>
      <c r="Z103" s="541"/>
      <c r="AA103" s="501"/>
      <c r="AB103" s="502"/>
      <c r="AC103" s="503"/>
      <c r="AD103" s="504"/>
      <c r="AE103" s="505"/>
      <c r="AF103" s="506"/>
      <c r="AG103" s="506">
        <f t="shared" ca="1" si="7"/>
        <v>0</v>
      </c>
      <c r="AH103" s="506">
        <f t="shared" ca="1" si="8"/>
        <v>0</v>
      </c>
      <c r="AI103" s="506">
        <f t="shared" si="9"/>
        <v>0</v>
      </c>
      <c r="AJ103" s="506">
        <f t="shared" ca="1" si="10"/>
        <v>0</v>
      </c>
      <c r="AK103" s="506" t="str">
        <f t="shared" ca="1" si="11"/>
        <v/>
      </c>
      <c r="AL103" s="507">
        <f t="shared" ca="1" si="12"/>
        <v>1</v>
      </c>
      <c r="AM103" s="507">
        <f t="shared" ca="1" si="13"/>
        <v>14</v>
      </c>
      <c r="AN103" s="507">
        <f t="shared" ca="1" si="14"/>
        <v>5</v>
      </c>
      <c r="AO103" s="507">
        <f t="shared" ca="1" si="15"/>
        <v>0</v>
      </c>
      <c r="AP103" s="507">
        <f t="shared" ca="1" si="16"/>
        <v>0</v>
      </c>
      <c r="AQ103" s="507">
        <f t="shared" ca="1" si="17"/>
        <v>0</v>
      </c>
      <c r="AR103" s="507">
        <f t="shared" ca="1" si="18"/>
        <v>0</v>
      </c>
      <c r="AS103" s="508"/>
      <c r="AT103" s="507">
        <f t="shared" si="19"/>
        <v>1</v>
      </c>
    </row>
    <row r="104" spans="1:46" ht="15.75" customHeight="1">
      <c r="A104" s="485"/>
      <c r="B104" s="486">
        <f t="shared" ca="1" si="0"/>
        <v>1</v>
      </c>
      <c r="C104" s="487">
        <f t="shared" ca="1" si="1"/>
        <v>14</v>
      </c>
      <c r="D104" s="487">
        <f t="shared" ca="1" si="2"/>
        <v>6</v>
      </c>
      <c r="E104" s="487" t="str">
        <f t="shared" ca="1" si="3"/>
        <v/>
      </c>
      <c r="F104" s="487" t="str">
        <f t="shared" ca="1" si="4"/>
        <v/>
      </c>
      <c r="G104" s="488" t="str">
        <f t="shared" ca="1" si="5"/>
        <v/>
      </c>
      <c r="H104" s="489" t="str">
        <f t="shared" ca="1" si="6"/>
        <v/>
      </c>
      <c r="I104" s="509"/>
      <c r="J104" s="522"/>
      <c r="K104" s="522" t="s">
        <v>66</v>
      </c>
      <c r="L104" s="522"/>
      <c r="M104" s="522"/>
      <c r="N104" s="522"/>
      <c r="O104" s="522"/>
      <c r="P104" s="522"/>
      <c r="Q104" s="523"/>
      <c r="R104" s="524" t="s">
        <v>165</v>
      </c>
      <c r="S104" s="525">
        <v>45853</v>
      </c>
      <c r="T104" s="526">
        <v>45853</v>
      </c>
      <c r="U104" s="543"/>
      <c r="V104" s="526"/>
      <c r="W104" s="539">
        <v>0</v>
      </c>
      <c r="X104" s="542"/>
      <c r="Y104" s="540"/>
      <c r="Z104" s="541"/>
      <c r="AA104" s="501"/>
      <c r="AB104" s="502"/>
      <c r="AC104" s="503"/>
      <c r="AD104" s="504"/>
      <c r="AE104" s="505"/>
      <c r="AF104" s="506"/>
      <c r="AG104" s="506">
        <f t="shared" ca="1" si="7"/>
        <v>0</v>
      </c>
      <c r="AH104" s="506">
        <f t="shared" ca="1" si="8"/>
        <v>0</v>
      </c>
      <c r="AI104" s="506">
        <f t="shared" si="9"/>
        <v>0</v>
      </c>
      <c r="AJ104" s="506">
        <f t="shared" ca="1" si="10"/>
        <v>0</v>
      </c>
      <c r="AK104" s="506" t="str">
        <f t="shared" ca="1" si="11"/>
        <v/>
      </c>
      <c r="AL104" s="507">
        <f t="shared" ca="1" si="12"/>
        <v>1</v>
      </c>
      <c r="AM104" s="507">
        <f t="shared" ca="1" si="13"/>
        <v>14</v>
      </c>
      <c r="AN104" s="507">
        <f t="shared" ca="1" si="14"/>
        <v>6</v>
      </c>
      <c r="AO104" s="507">
        <f t="shared" ca="1" si="15"/>
        <v>0</v>
      </c>
      <c r="AP104" s="507">
        <f t="shared" ca="1" si="16"/>
        <v>0</v>
      </c>
      <c r="AQ104" s="507">
        <f t="shared" ca="1" si="17"/>
        <v>0</v>
      </c>
      <c r="AR104" s="507">
        <f t="shared" ca="1" si="18"/>
        <v>0</v>
      </c>
      <c r="AS104" s="508"/>
      <c r="AT104" s="507">
        <f t="shared" si="19"/>
        <v>1</v>
      </c>
    </row>
    <row r="105" spans="1:46" ht="15.75" customHeight="1">
      <c r="A105" s="485"/>
      <c r="B105" s="486">
        <f t="shared" ca="1" si="0"/>
        <v>1</v>
      </c>
      <c r="C105" s="487">
        <f t="shared" ca="1" si="1"/>
        <v>15</v>
      </c>
      <c r="D105" s="487" t="str">
        <f t="shared" ca="1" si="2"/>
        <v/>
      </c>
      <c r="E105" s="487" t="str">
        <f t="shared" ca="1" si="3"/>
        <v/>
      </c>
      <c r="F105" s="487" t="str">
        <f t="shared" ca="1" si="4"/>
        <v/>
      </c>
      <c r="G105" s="488" t="str">
        <f t="shared" ca="1" si="5"/>
        <v/>
      </c>
      <c r="H105" s="489" t="str">
        <f t="shared" ca="1" si="6"/>
        <v/>
      </c>
      <c r="I105" s="509"/>
      <c r="J105" s="510" t="s">
        <v>255</v>
      </c>
      <c r="K105" s="511"/>
      <c r="L105" s="511"/>
      <c r="M105" s="511"/>
      <c r="N105" s="511"/>
      <c r="O105" s="511"/>
      <c r="P105" s="511"/>
      <c r="Q105" s="512" t="s">
        <v>81</v>
      </c>
      <c r="R105" s="513"/>
      <c r="S105" s="514"/>
      <c r="T105" s="515"/>
      <c r="U105" s="516"/>
      <c r="V105" s="515"/>
      <c r="W105" s="517"/>
      <c r="X105" s="518"/>
      <c r="Y105" s="519"/>
      <c r="Z105" s="520"/>
      <c r="AA105" s="501"/>
      <c r="AB105" s="502"/>
      <c r="AC105" s="503"/>
      <c r="AD105" s="504"/>
      <c r="AE105" s="505"/>
      <c r="AF105" s="506"/>
      <c r="AG105" s="506">
        <f t="shared" si="7"/>
        <v>0</v>
      </c>
      <c r="AH105" s="506">
        <f t="shared" si="8"/>
        <v>0</v>
      </c>
      <c r="AI105" s="506">
        <f t="shared" si="9"/>
        <v>0</v>
      </c>
      <c r="AJ105" s="506">
        <f t="shared" si="10"/>
        <v>0</v>
      </c>
      <c r="AK105" s="506" t="str">
        <f t="shared" si="11"/>
        <v/>
      </c>
      <c r="AL105" s="507">
        <f t="shared" ca="1" si="12"/>
        <v>1</v>
      </c>
      <c r="AM105" s="507">
        <f t="shared" ca="1" si="13"/>
        <v>15</v>
      </c>
      <c r="AN105" s="507">
        <f t="shared" ca="1" si="14"/>
        <v>0</v>
      </c>
      <c r="AO105" s="507">
        <f t="shared" ca="1" si="15"/>
        <v>0</v>
      </c>
      <c r="AP105" s="507">
        <f t="shared" ca="1" si="16"/>
        <v>0</v>
      </c>
      <c r="AQ105" s="507">
        <f t="shared" ca="1" si="17"/>
        <v>0</v>
      </c>
      <c r="AR105" s="507">
        <f t="shared" ca="1" si="18"/>
        <v>0</v>
      </c>
      <c r="AS105" s="508"/>
      <c r="AT105" s="507">
        <f t="shared" si="19"/>
        <v>1</v>
      </c>
    </row>
    <row r="106" spans="1:46" ht="15.75" customHeight="1">
      <c r="A106" s="485"/>
      <c r="B106" s="486">
        <f t="shared" ca="1" si="0"/>
        <v>1</v>
      </c>
      <c r="C106" s="487">
        <f t="shared" ca="1" si="1"/>
        <v>15</v>
      </c>
      <c r="D106" s="487">
        <f t="shared" ca="1" si="2"/>
        <v>1</v>
      </c>
      <c r="E106" s="487" t="str">
        <f t="shared" ca="1" si="3"/>
        <v/>
      </c>
      <c r="F106" s="487" t="str">
        <f t="shared" ca="1" si="4"/>
        <v/>
      </c>
      <c r="G106" s="488" t="str">
        <f t="shared" ca="1" si="5"/>
        <v/>
      </c>
      <c r="H106" s="489" t="str">
        <f t="shared" ca="1" si="6"/>
        <v/>
      </c>
      <c r="I106" s="509"/>
      <c r="J106" s="522"/>
      <c r="K106" s="522" t="s">
        <v>59</v>
      </c>
      <c r="L106" s="522"/>
      <c r="M106" s="522"/>
      <c r="N106" s="522"/>
      <c r="O106" s="522"/>
      <c r="P106" s="522"/>
      <c r="Q106" s="523"/>
      <c r="R106" s="524" t="s">
        <v>242</v>
      </c>
      <c r="S106" s="543">
        <v>45812</v>
      </c>
      <c r="T106" s="526">
        <v>45817</v>
      </c>
      <c r="U106" s="543">
        <v>45812</v>
      </c>
      <c r="V106" s="526">
        <v>45817</v>
      </c>
      <c r="W106" s="539">
        <v>1</v>
      </c>
      <c r="X106" s="542">
        <v>1</v>
      </c>
      <c r="Y106" s="540"/>
      <c r="Z106" s="541"/>
      <c r="AA106" s="501"/>
      <c r="AB106" s="502"/>
      <c r="AC106" s="503"/>
      <c r="AD106" s="504"/>
      <c r="AE106" s="505"/>
      <c r="AF106" s="506"/>
      <c r="AG106" s="506">
        <f t="shared" ca="1" si="7"/>
        <v>0</v>
      </c>
      <c r="AH106" s="506">
        <f t="shared" ca="1" si="8"/>
        <v>0</v>
      </c>
      <c r="AI106" s="506">
        <f t="shared" si="9"/>
        <v>0</v>
      </c>
      <c r="AJ106" s="506">
        <f t="shared" ca="1" si="10"/>
        <v>0</v>
      </c>
      <c r="AK106" s="506" t="str">
        <f t="shared" ca="1" si="11"/>
        <v/>
      </c>
      <c r="AL106" s="507">
        <f t="shared" ca="1" si="12"/>
        <v>1</v>
      </c>
      <c r="AM106" s="507">
        <f t="shared" ca="1" si="13"/>
        <v>15</v>
      </c>
      <c r="AN106" s="507">
        <f t="shared" ca="1" si="14"/>
        <v>1</v>
      </c>
      <c r="AO106" s="507">
        <f t="shared" ca="1" si="15"/>
        <v>0</v>
      </c>
      <c r="AP106" s="507">
        <f t="shared" ca="1" si="16"/>
        <v>0</v>
      </c>
      <c r="AQ106" s="507">
        <f t="shared" ca="1" si="17"/>
        <v>0</v>
      </c>
      <c r="AR106" s="507">
        <f t="shared" ca="1" si="18"/>
        <v>0</v>
      </c>
      <c r="AS106" s="508"/>
      <c r="AT106" s="507">
        <f t="shared" si="19"/>
        <v>6</v>
      </c>
    </row>
    <row r="107" spans="1:46" ht="15.75" customHeight="1">
      <c r="A107" s="485"/>
      <c r="B107" s="486">
        <f t="shared" ca="1" si="0"/>
        <v>1</v>
      </c>
      <c r="C107" s="487">
        <f t="shared" ca="1" si="1"/>
        <v>15</v>
      </c>
      <c r="D107" s="487">
        <f t="shared" ca="1" si="2"/>
        <v>2</v>
      </c>
      <c r="E107" s="487" t="str">
        <f t="shared" ca="1" si="3"/>
        <v/>
      </c>
      <c r="F107" s="487" t="str">
        <f t="shared" ca="1" si="4"/>
        <v/>
      </c>
      <c r="G107" s="488" t="str">
        <f t="shared" ca="1" si="5"/>
        <v/>
      </c>
      <c r="H107" s="489" t="str">
        <f t="shared" ca="1" si="6"/>
        <v/>
      </c>
      <c r="I107" s="509"/>
      <c r="J107" s="522"/>
      <c r="K107" s="522" t="s">
        <v>145</v>
      </c>
      <c r="L107" s="522"/>
      <c r="M107" s="522"/>
      <c r="N107" s="522"/>
      <c r="O107" s="522"/>
      <c r="P107" s="522"/>
      <c r="Q107" s="523"/>
      <c r="R107" s="524" t="s">
        <v>165</v>
      </c>
      <c r="S107" s="525">
        <v>45818</v>
      </c>
      <c r="T107" s="526">
        <v>45818</v>
      </c>
      <c r="U107" s="525">
        <v>45818</v>
      </c>
      <c r="V107" s="526">
        <v>45818</v>
      </c>
      <c r="W107" s="539">
        <v>1</v>
      </c>
      <c r="X107" s="542">
        <v>1</v>
      </c>
      <c r="Y107" s="540"/>
      <c r="Z107" s="541"/>
      <c r="AA107" s="501"/>
      <c r="AB107" s="502"/>
      <c r="AC107" s="503"/>
      <c r="AD107" s="504"/>
      <c r="AE107" s="505"/>
      <c r="AF107" s="506"/>
      <c r="AG107" s="506">
        <f t="shared" ca="1" si="7"/>
        <v>0</v>
      </c>
      <c r="AH107" s="506">
        <f t="shared" ca="1" si="8"/>
        <v>0</v>
      </c>
      <c r="AI107" s="506">
        <f t="shared" si="9"/>
        <v>0</v>
      </c>
      <c r="AJ107" s="506">
        <f t="shared" ca="1" si="10"/>
        <v>0</v>
      </c>
      <c r="AK107" s="506" t="str">
        <f t="shared" ca="1" si="11"/>
        <v/>
      </c>
      <c r="AL107" s="507">
        <f t="shared" ca="1" si="12"/>
        <v>1</v>
      </c>
      <c r="AM107" s="507">
        <f t="shared" ca="1" si="13"/>
        <v>15</v>
      </c>
      <c r="AN107" s="507">
        <f t="shared" ca="1" si="14"/>
        <v>2</v>
      </c>
      <c r="AO107" s="507">
        <f t="shared" ca="1" si="15"/>
        <v>0</v>
      </c>
      <c r="AP107" s="507">
        <f t="shared" ca="1" si="16"/>
        <v>0</v>
      </c>
      <c r="AQ107" s="507">
        <f t="shared" ca="1" si="17"/>
        <v>0</v>
      </c>
      <c r="AR107" s="507">
        <f t="shared" ca="1" si="18"/>
        <v>0</v>
      </c>
      <c r="AS107" s="508"/>
      <c r="AT107" s="507">
        <f t="shared" si="19"/>
        <v>1</v>
      </c>
    </row>
    <row r="108" spans="1:46" ht="15.75" customHeight="1">
      <c r="A108" s="485"/>
      <c r="B108" s="486">
        <f t="shared" ca="1" si="0"/>
        <v>1</v>
      </c>
      <c r="C108" s="487">
        <f t="shared" ca="1" si="1"/>
        <v>15</v>
      </c>
      <c r="D108" s="487">
        <f t="shared" ca="1" si="2"/>
        <v>3</v>
      </c>
      <c r="E108" s="487" t="str">
        <f t="shared" ca="1" si="3"/>
        <v/>
      </c>
      <c r="F108" s="487" t="str">
        <f t="shared" ca="1" si="4"/>
        <v/>
      </c>
      <c r="G108" s="488" t="str">
        <f t="shared" ca="1" si="5"/>
        <v/>
      </c>
      <c r="H108" s="489" t="str">
        <f t="shared" ca="1" si="6"/>
        <v/>
      </c>
      <c r="I108" s="509"/>
      <c r="J108" s="522"/>
      <c r="K108" s="522" t="s">
        <v>63</v>
      </c>
      <c r="L108" s="522"/>
      <c r="M108" s="522"/>
      <c r="N108" s="522"/>
      <c r="O108" s="522"/>
      <c r="P108" s="522"/>
      <c r="Q108" s="523"/>
      <c r="R108" s="524" t="s">
        <v>242</v>
      </c>
      <c r="S108" s="525">
        <v>45827</v>
      </c>
      <c r="T108" s="526">
        <v>45827</v>
      </c>
      <c r="U108" s="543"/>
      <c r="V108" s="526"/>
      <c r="W108" s="539">
        <v>0</v>
      </c>
      <c r="X108" s="542"/>
      <c r="Y108" s="540"/>
      <c r="Z108" s="541"/>
      <c r="AA108" s="501"/>
      <c r="AB108" s="502"/>
      <c r="AC108" s="503"/>
      <c r="AD108" s="504"/>
      <c r="AE108" s="505"/>
      <c r="AF108" s="506"/>
      <c r="AG108" s="506">
        <f t="shared" ca="1" si="7"/>
        <v>0</v>
      </c>
      <c r="AH108" s="506">
        <f t="shared" ca="1" si="8"/>
        <v>0</v>
      </c>
      <c r="AI108" s="506">
        <f t="shared" si="9"/>
        <v>0</v>
      </c>
      <c r="AJ108" s="506">
        <f t="shared" ca="1" si="10"/>
        <v>0</v>
      </c>
      <c r="AK108" s="506" t="str">
        <f t="shared" ca="1" si="11"/>
        <v/>
      </c>
      <c r="AL108" s="507">
        <f t="shared" ca="1" si="12"/>
        <v>1</v>
      </c>
      <c r="AM108" s="507">
        <f t="shared" ca="1" si="13"/>
        <v>15</v>
      </c>
      <c r="AN108" s="507">
        <f t="shared" ca="1" si="14"/>
        <v>3</v>
      </c>
      <c r="AO108" s="507">
        <f t="shared" ca="1" si="15"/>
        <v>0</v>
      </c>
      <c r="AP108" s="507">
        <f t="shared" ca="1" si="16"/>
        <v>0</v>
      </c>
      <c r="AQ108" s="507">
        <f t="shared" ca="1" si="17"/>
        <v>0</v>
      </c>
      <c r="AR108" s="507">
        <f t="shared" ca="1" si="18"/>
        <v>0</v>
      </c>
      <c r="AS108" s="508"/>
      <c r="AT108" s="507">
        <f t="shared" si="19"/>
        <v>1</v>
      </c>
    </row>
    <row r="109" spans="1:46" ht="15.75" customHeight="1">
      <c r="A109" s="485"/>
      <c r="B109" s="486">
        <f t="shared" ca="1" si="0"/>
        <v>1</v>
      </c>
      <c r="C109" s="487">
        <f t="shared" ca="1" si="1"/>
        <v>15</v>
      </c>
      <c r="D109" s="487">
        <f t="shared" ca="1" si="2"/>
        <v>4</v>
      </c>
      <c r="E109" s="487" t="str">
        <f t="shared" ca="1" si="3"/>
        <v/>
      </c>
      <c r="F109" s="487" t="str">
        <f t="shared" ca="1" si="4"/>
        <v/>
      </c>
      <c r="G109" s="488" t="str">
        <f t="shared" ca="1" si="5"/>
        <v/>
      </c>
      <c r="H109" s="489" t="str">
        <f t="shared" ca="1" si="6"/>
        <v/>
      </c>
      <c r="I109" s="509"/>
      <c r="J109" s="522"/>
      <c r="K109" s="522" t="s">
        <v>64</v>
      </c>
      <c r="L109" s="522"/>
      <c r="M109" s="522"/>
      <c r="N109" s="522"/>
      <c r="O109" s="522"/>
      <c r="P109" s="522"/>
      <c r="Q109" s="523"/>
      <c r="R109" s="524" t="s">
        <v>165</v>
      </c>
      <c r="S109" s="525">
        <v>45827</v>
      </c>
      <c r="T109" s="526">
        <v>45827</v>
      </c>
      <c r="U109" s="543"/>
      <c r="V109" s="526"/>
      <c r="W109" s="539">
        <v>0</v>
      </c>
      <c r="X109" s="542"/>
      <c r="Y109" s="540"/>
      <c r="Z109" s="541"/>
      <c r="AA109" s="501"/>
      <c r="AB109" s="502"/>
      <c r="AC109" s="503"/>
      <c r="AD109" s="504"/>
      <c r="AE109" s="505"/>
      <c r="AF109" s="506"/>
      <c r="AG109" s="506">
        <f t="shared" ca="1" si="7"/>
        <v>0</v>
      </c>
      <c r="AH109" s="506">
        <f t="shared" ca="1" si="8"/>
        <v>0</v>
      </c>
      <c r="AI109" s="506">
        <f t="shared" si="9"/>
        <v>0</v>
      </c>
      <c r="AJ109" s="506">
        <f t="shared" ca="1" si="10"/>
        <v>0</v>
      </c>
      <c r="AK109" s="506" t="str">
        <f t="shared" ca="1" si="11"/>
        <v/>
      </c>
      <c r="AL109" s="507">
        <f t="shared" ca="1" si="12"/>
        <v>1</v>
      </c>
      <c r="AM109" s="507">
        <f t="shared" ca="1" si="13"/>
        <v>15</v>
      </c>
      <c r="AN109" s="507">
        <f t="shared" ca="1" si="14"/>
        <v>4</v>
      </c>
      <c r="AO109" s="507">
        <f t="shared" ca="1" si="15"/>
        <v>0</v>
      </c>
      <c r="AP109" s="507">
        <f t="shared" ca="1" si="16"/>
        <v>0</v>
      </c>
      <c r="AQ109" s="507">
        <f t="shared" ca="1" si="17"/>
        <v>0</v>
      </c>
      <c r="AR109" s="507">
        <f t="shared" ca="1" si="18"/>
        <v>0</v>
      </c>
      <c r="AS109" s="508"/>
      <c r="AT109" s="507">
        <f t="shared" si="19"/>
        <v>1</v>
      </c>
    </row>
    <row r="110" spans="1:46" ht="15.75" customHeight="1">
      <c r="A110" s="485"/>
      <c r="B110" s="486">
        <f t="shared" ca="1" si="0"/>
        <v>1</v>
      </c>
      <c r="C110" s="487">
        <f t="shared" ca="1" si="1"/>
        <v>15</v>
      </c>
      <c r="D110" s="487">
        <f t="shared" ca="1" si="2"/>
        <v>5</v>
      </c>
      <c r="E110" s="487" t="str">
        <f t="shared" ca="1" si="3"/>
        <v/>
      </c>
      <c r="F110" s="487" t="str">
        <f t="shared" ca="1" si="4"/>
        <v/>
      </c>
      <c r="G110" s="488" t="str">
        <f t="shared" ca="1" si="5"/>
        <v/>
      </c>
      <c r="H110" s="489" t="str">
        <f t="shared" ca="1" si="6"/>
        <v/>
      </c>
      <c r="I110" s="509"/>
      <c r="J110" s="522"/>
      <c r="K110" s="522" t="s">
        <v>65</v>
      </c>
      <c r="L110" s="522"/>
      <c r="M110" s="522"/>
      <c r="N110" s="522"/>
      <c r="O110" s="522"/>
      <c r="P110" s="522"/>
      <c r="Q110" s="523"/>
      <c r="R110" s="524" t="s">
        <v>242</v>
      </c>
      <c r="S110" s="525">
        <v>45828</v>
      </c>
      <c r="T110" s="526">
        <v>45828</v>
      </c>
      <c r="U110" s="543"/>
      <c r="V110" s="526"/>
      <c r="W110" s="539">
        <v>0</v>
      </c>
      <c r="X110" s="542"/>
      <c r="Y110" s="540"/>
      <c r="Z110" s="541"/>
      <c r="AA110" s="501"/>
      <c r="AB110" s="502"/>
      <c r="AC110" s="503"/>
      <c r="AD110" s="504"/>
      <c r="AE110" s="505"/>
      <c r="AF110" s="506"/>
      <c r="AG110" s="506">
        <f t="shared" ca="1" si="7"/>
        <v>0</v>
      </c>
      <c r="AH110" s="506">
        <f t="shared" ca="1" si="8"/>
        <v>0</v>
      </c>
      <c r="AI110" s="506">
        <f t="shared" si="9"/>
        <v>0</v>
      </c>
      <c r="AJ110" s="506">
        <f t="shared" ca="1" si="10"/>
        <v>0</v>
      </c>
      <c r="AK110" s="506" t="str">
        <f t="shared" ca="1" si="11"/>
        <v/>
      </c>
      <c r="AL110" s="507">
        <f t="shared" ca="1" si="12"/>
        <v>1</v>
      </c>
      <c r="AM110" s="507">
        <f t="shared" ca="1" si="13"/>
        <v>15</v>
      </c>
      <c r="AN110" s="507">
        <f t="shared" ca="1" si="14"/>
        <v>5</v>
      </c>
      <c r="AO110" s="507">
        <f t="shared" ca="1" si="15"/>
        <v>0</v>
      </c>
      <c r="AP110" s="507">
        <f t="shared" ca="1" si="16"/>
        <v>0</v>
      </c>
      <c r="AQ110" s="507">
        <f t="shared" ca="1" si="17"/>
        <v>0</v>
      </c>
      <c r="AR110" s="507">
        <f t="shared" ca="1" si="18"/>
        <v>0</v>
      </c>
      <c r="AS110" s="508"/>
      <c r="AT110" s="507">
        <f t="shared" si="19"/>
        <v>1</v>
      </c>
    </row>
    <row r="111" spans="1:46" ht="15.75" customHeight="1">
      <c r="A111" s="485"/>
      <c r="B111" s="486">
        <f t="shared" ca="1" si="0"/>
        <v>1</v>
      </c>
      <c r="C111" s="487">
        <f t="shared" ca="1" si="1"/>
        <v>15</v>
      </c>
      <c r="D111" s="487">
        <f t="shared" ca="1" si="2"/>
        <v>6</v>
      </c>
      <c r="E111" s="487" t="str">
        <f t="shared" ca="1" si="3"/>
        <v/>
      </c>
      <c r="F111" s="487" t="str">
        <f t="shared" ca="1" si="4"/>
        <v/>
      </c>
      <c r="G111" s="488" t="str">
        <f t="shared" ca="1" si="5"/>
        <v/>
      </c>
      <c r="H111" s="489" t="str">
        <f t="shared" ca="1" si="6"/>
        <v/>
      </c>
      <c r="I111" s="509"/>
      <c r="J111" s="522"/>
      <c r="K111" s="522" t="s">
        <v>66</v>
      </c>
      <c r="L111" s="522"/>
      <c r="M111" s="522"/>
      <c r="N111" s="522"/>
      <c r="O111" s="522"/>
      <c r="P111" s="522"/>
      <c r="Q111" s="523"/>
      <c r="R111" s="524" t="s">
        <v>165</v>
      </c>
      <c r="S111" s="525">
        <v>45831</v>
      </c>
      <c r="T111" s="526">
        <v>45831</v>
      </c>
      <c r="U111" s="543"/>
      <c r="V111" s="526"/>
      <c r="W111" s="539">
        <v>0</v>
      </c>
      <c r="X111" s="542"/>
      <c r="Y111" s="540"/>
      <c r="Z111" s="541"/>
      <c r="AA111" s="501"/>
      <c r="AB111" s="502"/>
      <c r="AC111" s="503"/>
      <c r="AD111" s="504"/>
      <c r="AE111" s="505"/>
      <c r="AF111" s="506"/>
      <c r="AG111" s="506">
        <f t="shared" ca="1" si="7"/>
        <v>0</v>
      </c>
      <c r="AH111" s="506">
        <f t="shared" ca="1" si="8"/>
        <v>0</v>
      </c>
      <c r="AI111" s="506">
        <f t="shared" si="9"/>
        <v>0</v>
      </c>
      <c r="AJ111" s="506">
        <f t="shared" ca="1" si="10"/>
        <v>0</v>
      </c>
      <c r="AK111" s="506" t="str">
        <f t="shared" ca="1" si="11"/>
        <v/>
      </c>
      <c r="AL111" s="507">
        <f t="shared" ca="1" si="12"/>
        <v>1</v>
      </c>
      <c r="AM111" s="507">
        <f t="shared" ca="1" si="13"/>
        <v>15</v>
      </c>
      <c r="AN111" s="507">
        <f t="shared" ca="1" si="14"/>
        <v>6</v>
      </c>
      <c r="AO111" s="507">
        <f t="shared" ca="1" si="15"/>
        <v>0</v>
      </c>
      <c r="AP111" s="507">
        <f t="shared" ca="1" si="16"/>
        <v>0</v>
      </c>
      <c r="AQ111" s="507">
        <f t="shared" ca="1" si="17"/>
        <v>0</v>
      </c>
      <c r="AR111" s="507">
        <f t="shared" ca="1" si="18"/>
        <v>0</v>
      </c>
      <c r="AS111" s="508"/>
      <c r="AT111" s="507">
        <f t="shared" si="19"/>
        <v>1</v>
      </c>
    </row>
    <row r="112" spans="1:46" ht="15.75" customHeight="1">
      <c r="A112" s="485"/>
      <c r="B112" s="486">
        <f t="shared" ca="1" si="0"/>
        <v>1</v>
      </c>
      <c r="C112" s="487">
        <f t="shared" ca="1" si="1"/>
        <v>16</v>
      </c>
      <c r="D112" s="487" t="str">
        <f t="shared" ca="1" si="2"/>
        <v/>
      </c>
      <c r="E112" s="487" t="str">
        <f t="shared" ca="1" si="3"/>
        <v/>
      </c>
      <c r="F112" s="487" t="str">
        <f t="shared" ca="1" si="4"/>
        <v/>
      </c>
      <c r="G112" s="488" t="str">
        <f t="shared" ca="1" si="5"/>
        <v/>
      </c>
      <c r="H112" s="489" t="str">
        <f t="shared" ca="1" si="6"/>
        <v/>
      </c>
      <c r="I112" s="509"/>
      <c r="J112" s="510" t="s">
        <v>256</v>
      </c>
      <c r="K112" s="511"/>
      <c r="L112" s="511"/>
      <c r="M112" s="511"/>
      <c r="N112" s="511"/>
      <c r="O112" s="511"/>
      <c r="P112" s="511"/>
      <c r="Q112" s="512" t="s">
        <v>81</v>
      </c>
      <c r="R112" s="513"/>
      <c r="S112" s="514"/>
      <c r="T112" s="515"/>
      <c r="U112" s="516"/>
      <c r="V112" s="515"/>
      <c r="W112" s="517"/>
      <c r="X112" s="518"/>
      <c r="Y112" s="519"/>
      <c r="Z112" s="520"/>
      <c r="AA112" s="501"/>
      <c r="AB112" s="502"/>
      <c r="AC112" s="503"/>
      <c r="AD112" s="504"/>
      <c r="AE112" s="505"/>
      <c r="AF112" s="506"/>
      <c r="AG112" s="506">
        <f t="shared" si="7"/>
        <v>0</v>
      </c>
      <c r="AH112" s="506">
        <f t="shared" si="8"/>
        <v>0</v>
      </c>
      <c r="AI112" s="506">
        <f t="shared" si="9"/>
        <v>0</v>
      </c>
      <c r="AJ112" s="506">
        <f t="shared" si="10"/>
        <v>0</v>
      </c>
      <c r="AK112" s="506" t="str">
        <f t="shared" si="11"/>
        <v/>
      </c>
      <c r="AL112" s="507">
        <f t="shared" ca="1" si="12"/>
        <v>1</v>
      </c>
      <c r="AM112" s="507">
        <f t="shared" ca="1" si="13"/>
        <v>16</v>
      </c>
      <c r="AN112" s="507">
        <f t="shared" ca="1" si="14"/>
        <v>0</v>
      </c>
      <c r="AO112" s="507">
        <f t="shared" ca="1" si="15"/>
        <v>0</v>
      </c>
      <c r="AP112" s="507">
        <f t="shared" ca="1" si="16"/>
        <v>0</v>
      </c>
      <c r="AQ112" s="507">
        <f t="shared" ca="1" si="17"/>
        <v>0</v>
      </c>
      <c r="AR112" s="507">
        <f t="shared" ca="1" si="18"/>
        <v>0</v>
      </c>
      <c r="AS112" s="508"/>
      <c r="AT112" s="507">
        <f t="shared" si="19"/>
        <v>1</v>
      </c>
    </row>
    <row r="113" spans="1:46" ht="15.75" customHeight="1">
      <c r="A113" s="485"/>
      <c r="B113" s="486">
        <f t="shared" ca="1" si="0"/>
        <v>1</v>
      </c>
      <c r="C113" s="487">
        <f t="shared" ca="1" si="1"/>
        <v>16</v>
      </c>
      <c r="D113" s="487">
        <f t="shared" ca="1" si="2"/>
        <v>1</v>
      </c>
      <c r="E113" s="487" t="str">
        <f t="shared" ca="1" si="3"/>
        <v/>
      </c>
      <c r="F113" s="487" t="str">
        <f t="shared" ca="1" si="4"/>
        <v/>
      </c>
      <c r="G113" s="488" t="str">
        <f t="shared" ca="1" si="5"/>
        <v/>
      </c>
      <c r="H113" s="489" t="str">
        <f t="shared" ca="1" si="6"/>
        <v/>
      </c>
      <c r="I113" s="509"/>
      <c r="J113" s="522"/>
      <c r="K113" s="522" t="s">
        <v>59</v>
      </c>
      <c r="L113" s="522"/>
      <c r="M113" s="522"/>
      <c r="N113" s="522"/>
      <c r="O113" s="522"/>
      <c r="P113" s="522"/>
      <c r="Q113" s="523"/>
      <c r="R113" s="524" t="s">
        <v>246</v>
      </c>
      <c r="S113" s="543">
        <v>45812</v>
      </c>
      <c r="T113" s="526">
        <v>45817</v>
      </c>
      <c r="U113" s="543">
        <v>45812</v>
      </c>
      <c r="V113" s="526">
        <v>45817</v>
      </c>
      <c r="W113" s="539">
        <v>1</v>
      </c>
      <c r="X113" s="542">
        <v>1</v>
      </c>
      <c r="Y113" s="540"/>
      <c r="Z113" s="541"/>
      <c r="AA113" s="501"/>
      <c r="AB113" s="502"/>
      <c r="AC113" s="503"/>
      <c r="AD113" s="504"/>
      <c r="AE113" s="505"/>
      <c r="AF113" s="506"/>
      <c r="AG113" s="506">
        <f t="shared" ca="1" si="7"/>
        <v>0</v>
      </c>
      <c r="AH113" s="506">
        <f t="shared" ca="1" si="8"/>
        <v>0</v>
      </c>
      <c r="AI113" s="506">
        <f t="shared" si="9"/>
        <v>0</v>
      </c>
      <c r="AJ113" s="506">
        <f t="shared" ca="1" si="10"/>
        <v>0</v>
      </c>
      <c r="AK113" s="506" t="str">
        <f t="shared" ca="1" si="11"/>
        <v/>
      </c>
      <c r="AL113" s="507">
        <f t="shared" ca="1" si="12"/>
        <v>1</v>
      </c>
      <c r="AM113" s="507">
        <f t="shared" ca="1" si="13"/>
        <v>16</v>
      </c>
      <c r="AN113" s="507">
        <f t="shared" ca="1" si="14"/>
        <v>1</v>
      </c>
      <c r="AO113" s="507">
        <f t="shared" ca="1" si="15"/>
        <v>0</v>
      </c>
      <c r="AP113" s="507">
        <f t="shared" ca="1" si="16"/>
        <v>0</v>
      </c>
      <c r="AQ113" s="507">
        <f t="shared" ca="1" si="17"/>
        <v>0</v>
      </c>
      <c r="AR113" s="507">
        <f t="shared" ca="1" si="18"/>
        <v>0</v>
      </c>
      <c r="AS113" s="508"/>
      <c r="AT113" s="507">
        <f t="shared" si="19"/>
        <v>6</v>
      </c>
    </row>
    <row r="114" spans="1:46" ht="15.75" customHeight="1">
      <c r="A114" s="485"/>
      <c r="B114" s="486">
        <f t="shared" ca="1" si="0"/>
        <v>1</v>
      </c>
      <c r="C114" s="487">
        <f t="shared" ca="1" si="1"/>
        <v>16</v>
      </c>
      <c r="D114" s="487">
        <f t="shared" ca="1" si="2"/>
        <v>2</v>
      </c>
      <c r="E114" s="487" t="str">
        <f t="shared" ca="1" si="3"/>
        <v/>
      </c>
      <c r="F114" s="487" t="str">
        <f t="shared" ca="1" si="4"/>
        <v/>
      </c>
      <c r="G114" s="488" t="str">
        <f t="shared" ca="1" si="5"/>
        <v/>
      </c>
      <c r="H114" s="489" t="str">
        <f t="shared" ca="1" si="6"/>
        <v/>
      </c>
      <c r="I114" s="509"/>
      <c r="J114" s="522"/>
      <c r="K114" s="522" t="s">
        <v>145</v>
      </c>
      <c r="L114" s="522"/>
      <c r="M114" s="522"/>
      <c r="N114" s="522"/>
      <c r="O114" s="522"/>
      <c r="P114" s="522"/>
      <c r="Q114" s="523"/>
      <c r="R114" s="524" t="s">
        <v>247</v>
      </c>
      <c r="S114" s="525">
        <v>45818</v>
      </c>
      <c r="T114" s="526">
        <v>45818</v>
      </c>
      <c r="U114" s="525">
        <v>45818</v>
      </c>
      <c r="V114" s="526">
        <v>45818</v>
      </c>
      <c r="W114" s="539">
        <v>1</v>
      </c>
      <c r="X114" s="542">
        <v>1</v>
      </c>
      <c r="Y114" s="540"/>
      <c r="Z114" s="541"/>
      <c r="AA114" s="501"/>
      <c r="AB114" s="502"/>
      <c r="AC114" s="503"/>
      <c r="AD114" s="504"/>
      <c r="AE114" s="505"/>
      <c r="AF114" s="506"/>
      <c r="AG114" s="506">
        <f t="shared" ca="1" si="7"/>
        <v>0</v>
      </c>
      <c r="AH114" s="506">
        <f t="shared" ca="1" si="8"/>
        <v>0</v>
      </c>
      <c r="AI114" s="506">
        <f t="shared" si="9"/>
        <v>0</v>
      </c>
      <c r="AJ114" s="506">
        <f t="shared" ca="1" si="10"/>
        <v>0</v>
      </c>
      <c r="AK114" s="506" t="str">
        <f t="shared" ca="1" si="11"/>
        <v/>
      </c>
      <c r="AL114" s="507">
        <f t="shared" ca="1" si="12"/>
        <v>1</v>
      </c>
      <c r="AM114" s="507">
        <f t="shared" ca="1" si="13"/>
        <v>16</v>
      </c>
      <c r="AN114" s="507">
        <f t="shared" ca="1" si="14"/>
        <v>2</v>
      </c>
      <c r="AO114" s="507">
        <f t="shared" ca="1" si="15"/>
        <v>0</v>
      </c>
      <c r="AP114" s="507">
        <f t="shared" ca="1" si="16"/>
        <v>0</v>
      </c>
      <c r="AQ114" s="507">
        <f t="shared" ca="1" si="17"/>
        <v>0</v>
      </c>
      <c r="AR114" s="507">
        <f t="shared" ca="1" si="18"/>
        <v>0</v>
      </c>
      <c r="AS114" s="508"/>
      <c r="AT114" s="507">
        <f t="shared" si="19"/>
        <v>1</v>
      </c>
    </row>
    <row r="115" spans="1:46" ht="15.75" customHeight="1">
      <c r="A115" s="485"/>
      <c r="B115" s="486">
        <f t="shared" ca="1" si="0"/>
        <v>1</v>
      </c>
      <c r="C115" s="487">
        <f t="shared" ca="1" si="1"/>
        <v>16</v>
      </c>
      <c r="D115" s="487">
        <f t="shared" ca="1" si="2"/>
        <v>3</v>
      </c>
      <c r="E115" s="487" t="str">
        <f t="shared" ca="1" si="3"/>
        <v/>
      </c>
      <c r="F115" s="487" t="str">
        <f t="shared" ca="1" si="4"/>
        <v/>
      </c>
      <c r="G115" s="488" t="str">
        <f t="shared" ca="1" si="5"/>
        <v/>
      </c>
      <c r="H115" s="489" t="str">
        <f t="shared" ca="1" si="6"/>
        <v/>
      </c>
      <c r="I115" s="509"/>
      <c r="J115" s="522"/>
      <c r="K115" s="522" t="s">
        <v>63</v>
      </c>
      <c r="L115" s="522"/>
      <c r="M115" s="522"/>
      <c r="N115" s="522"/>
      <c r="O115" s="522"/>
      <c r="P115" s="522"/>
      <c r="Q115" s="523"/>
      <c r="R115" s="524" t="s">
        <v>246</v>
      </c>
      <c r="S115" s="525">
        <v>45827</v>
      </c>
      <c r="T115" s="526">
        <v>45827</v>
      </c>
      <c r="U115" s="543"/>
      <c r="V115" s="526"/>
      <c r="W115" s="539">
        <v>0</v>
      </c>
      <c r="X115" s="542"/>
      <c r="Y115" s="540"/>
      <c r="Z115" s="541"/>
      <c r="AA115" s="501"/>
      <c r="AB115" s="502"/>
      <c r="AC115" s="503"/>
      <c r="AD115" s="504"/>
      <c r="AE115" s="505"/>
      <c r="AF115" s="506"/>
      <c r="AG115" s="506">
        <f t="shared" ca="1" si="7"/>
        <v>0</v>
      </c>
      <c r="AH115" s="506">
        <f t="shared" ca="1" si="8"/>
        <v>0</v>
      </c>
      <c r="AI115" s="506">
        <f t="shared" si="9"/>
        <v>0</v>
      </c>
      <c r="AJ115" s="506">
        <f t="shared" ca="1" si="10"/>
        <v>0</v>
      </c>
      <c r="AK115" s="506" t="str">
        <f t="shared" ca="1" si="11"/>
        <v/>
      </c>
      <c r="AL115" s="507">
        <f t="shared" ca="1" si="12"/>
        <v>1</v>
      </c>
      <c r="AM115" s="507">
        <f t="shared" ca="1" si="13"/>
        <v>16</v>
      </c>
      <c r="AN115" s="507">
        <f t="shared" ca="1" si="14"/>
        <v>3</v>
      </c>
      <c r="AO115" s="507">
        <f t="shared" ca="1" si="15"/>
        <v>0</v>
      </c>
      <c r="AP115" s="507">
        <f t="shared" ca="1" si="16"/>
        <v>0</v>
      </c>
      <c r="AQ115" s="507">
        <f t="shared" ca="1" si="17"/>
        <v>0</v>
      </c>
      <c r="AR115" s="507">
        <f t="shared" ca="1" si="18"/>
        <v>0</v>
      </c>
      <c r="AS115" s="508"/>
      <c r="AT115" s="507">
        <f t="shared" si="19"/>
        <v>1</v>
      </c>
    </row>
    <row r="116" spans="1:46" ht="15.75" customHeight="1">
      <c r="A116" s="485"/>
      <c r="B116" s="486">
        <f t="shared" ca="1" si="0"/>
        <v>1</v>
      </c>
      <c r="C116" s="487">
        <f t="shared" ca="1" si="1"/>
        <v>16</v>
      </c>
      <c r="D116" s="487">
        <f t="shared" ca="1" si="2"/>
        <v>4</v>
      </c>
      <c r="E116" s="487" t="str">
        <f t="shared" ca="1" si="3"/>
        <v/>
      </c>
      <c r="F116" s="487" t="str">
        <f t="shared" ca="1" si="4"/>
        <v/>
      </c>
      <c r="G116" s="488" t="str">
        <f t="shared" ca="1" si="5"/>
        <v/>
      </c>
      <c r="H116" s="489" t="str">
        <f t="shared" ca="1" si="6"/>
        <v/>
      </c>
      <c r="I116" s="509"/>
      <c r="J116" s="522"/>
      <c r="K116" s="522" t="s">
        <v>64</v>
      </c>
      <c r="L116" s="522"/>
      <c r="M116" s="522"/>
      <c r="N116" s="522"/>
      <c r="O116" s="522"/>
      <c r="P116" s="522"/>
      <c r="Q116" s="523"/>
      <c r="R116" s="524" t="s">
        <v>247</v>
      </c>
      <c r="S116" s="525">
        <v>45827</v>
      </c>
      <c r="T116" s="526">
        <v>45827</v>
      </c>
      <c r="U116" s="543"/>
      <c r="V116" s="526"/>
      <c r="W116" s="539">
        <v>0</v>
      </c>
      <c r="X116" s="542"/>
      <c r="Y116" s="540"/>
      <c r="Z116" s="541"/>
      <c r="AA116" s="501"/>
      <c r="AB116" s="502"/>
      <c r="AC116" s="503"/>
      <c r="AD116" s="504"/>
      <c r="AE116" s="505"/>
      <c r="AF116" s="506"/>
      <c r="AG116" s="506">
        <f t="shared" ca="1" si="7"/>
        <v>0</v>
      </c>
      <c r="AH116" s="506">
        <f t="shared" ca="1" si="8"/>
        <v>0</v>
      </c>
      <c r="AI116" s="506">
        <f t="shared" si="9"/>
        <v>0</v>
      </c>
      <c r="AJ116" s="506">
        <f t="shared" ca="1" si="10"/>
        <v>0</v>
      </c>
      <c r="AK116" s="506" t="str">
        <f t="shared" ca="1" si="11"/>
        <v/>
      </c>
      <c r="AL116" s="507">
        <f t="shared" ca="1" si="12"/>
        <v>1</v>
      </c>
      <c r="AM116" s="507">
        <f t="shared" ca="1" si="13"/>
        <v>16</v>
      </c>
      <c r="AN116" s="507">
        <f t="shared" ca="1" si="14"/>
        <v>4</v>
      </c>
      <c r="AO116" s="507">
        <f t="shared" ca="1" si="15"/>
        <v>0</v>
      </c>
      <c r="AP116" s="507">
        <f t="shared" ca="1" si="16"/>
        <v>0</v>
      </c>
      <c r="AQ116" s="507">
        <f t="shared" ca="1" si="17"/>
        <v>0</v>
      </c>
      <c r="AR116" s="507">
        <f t="shared" ca="1" si="18"/>
        <v>0</v>
      </c>
      <c r="AS116" s="508"/>
      <c r="AT116" s="507">
        <f t="shared" si="19"/>
        <v>1</v>
      </c>
    </row>
    <row r="117" spans="1:46" ht="15.75" customHeight="1">
      <c r="A117" s="485"/>
      <c r="B117" s="486">
        <f t="shared" ca="1" si="0"/>
        <v>1</v>
      </c>
      <c r="C117" s="487">
        <f t="shared" ca="1" si="1"/>
        <v>16</v>
      </c>
      <c r="D117" s="487">
        <f t="shared" ca="1" si="2"/>
        <v>5</v>
      </c>
      <c r="E117" s="487" t="str">
        <f t="shared" ca="1" si="3"/>
        <v/>
      </c>
      <c r="F117" s="487" t="str">
        <f t="shared" ca="1" si="4"/>
        <v/>
      </c>
      <c r="G117" s="488" t="str">
        <f t="shared" ca="1" si="5"/>
        <v/>
      </c>
      <c r="H117" s="489" t="str">
        <f t="shared" ca="1" si="6"/>
        <v/>
      </c>
      <c r="I117" s="509"/>
      <c r="J117" s="522"/>
      <c r="K117" s="522" t="s">
        <v>65</v>
      </c>
      <c r="L117" s="522"/>
      <c r="M117" s="522"/>
      <c r="N117" s="522"/>
      <c r="O117" s="522"/>
      <c r="P117" s="522"/>
      <c r="Q117" s="523"/>
      <c r="R117" s="524" t="s">
        <v>246</v>
      </c>
      <c r="S117" s="525">
        <v>45828</v>
      </c>
      <c r="T117" s="526">
        <v>45828</v>
      </c>
      <c r="U117" s="543"/>
      <c r="V117" s="526"/>
      <c r="W117" s="539">
        <v>0</v>
      </c>
      <c r="X117" s="542"/>
      <c r="Y117" s="540"/>
      <c r="Z117" s="541"/>
      <c r="AA117" s="501"/>
      <c r="AB117" s="502"/>
      <c r="AC117" s="503"/>
      <c r="AD117" s="504"/>
      <c r="AE117" s="505"/>
      <c r="AF117" s="506"/>
      <c r="AG117" s="506">
        <f t="shared" ca="1" si="7"/>
        <v>0</v>
      </c>
      <c r="AH117" s="506">
        <f t="shared" ca="1" si="8"/>
        <v>0</v>
      </c>
      <c r="AI117" s="506">
        <f t="shared" si="9"/>
        <v>0</v>
      </c>
      <c r="AJ117" s="506">
        <f t="shared" ca="1" si="10"/>
        <v>0</v>
      </c>
      <c r="AK117" s="506" t="str">
        <f t="shared" ca="1" si="11"/>
        <v/>
      </c>
      <c r="AL117" s="507">
        <f t="shared" ca="1" si="12"/>
        <v>1</v>
      </c>
      <c r="AM117" s="507">
        <f t="shared" ca="1" si="13"/>
        <v>16</v>
      </c>
      <c r="AN117" s="507">
        <f t="shared" ca="1" si="14"/>
        <v>5</v>
      </c>
      <c r="AO117" s="507">
        <f t="shared" ca="1" si="15"/>
        <v>0</v>
      </c>
      <c r="AP117" s="507">
        <f t="shared" ca="1" si="16"/>
        <v>0</v>
      </c>
      <c r="AQ117" s="507">
        <f t="shared" ca="1" si="17"/>
        <v>0</v>
      </c>
      <c r="AR117" s="507">
        <f t="shared" ca="1" si="18"/>
        <v>0</v>
      </c>
      <c r="AS117" s="508"/>
      <c r="AT117" s="507">
        <f t="shared" si="19"/>
        <v>1</v>
      </c>
    </row>
    <row r="118" spans="1:46" ht="15.75" customHeight="1">
      <c r="A118" s="485"/>
      <c r="B118" s="486">
        <f t="shared" ca="1" si="0"/>
        <v>1</v>
      </c>
      <c r="C118" s="487">
        <f t="shared" ca="1" si="1"/>
        <v>16</v>
      </c>
      <c r="D118" s="487">
        <f t="shared" ca="1" si="2"/>
        <v>6</v>
      </c>
      <c r="E118" s="487" t="str">
        <f t="shared" ca="1" si="3"/>
        <v/>
      </c>
      <c r="F118" s="487" t="str">
        <f t="shared" ca="1" si="4"/>
        <v/>
      </c>
      <c r="G118" s="488" t="str">
        <f t="shared" ca="1" si="5"/>
        <v/>
      </c>
      <c r="H118" s="489" t="str">
        <f t="shared" ca="1" si="6"/>
        <v/>
      </c>
      <c r="I118" s="509"/>
      <c r="J118" s="522"/>
      <c r="K118" s="522" t="s">
        <v>66</v>
      </c>
      <c r="L118" s="522"/>
      <c r="M118" s="522"/>
      <c r="N118" s="522"/>
      <c r="O118" s="522"/>
      <c r="P118" s="522"/>
      <c r="Q118" s="523"/>
      <c r="R118" s="524" t="s">
        <v>247</v>
      </c>
      <c r="S118" s="525">
        <v>45831</v>
      </c>
      <c r="T118" s="526">
        <v>45831</v>
      </c>
      <c r="U118" s="543"/>
      <c r="V118" s="526"/>
      <c r="W118" s="539">
        <v>0</v>
      </c>
      <c r="X118" s="542"/>
      <c r="Y118" s="540"/>
      <c r="Z118" s="541"/>
      <c r="AA118" s="501"/>
      <c r="AB118" s="502"/>
      <c r="AC118" s="503"/>
      <c r="AD118" s="504"/>
      <c r="AE118" s="505"/>
      <c r="AF118" s="506"/>
      <c r="AG118" s="506">
        <f t="shared" ca="1" si="7"/>
        <v>0</v>
      </c>
      <c r="AH118" s="506">
        <f t="shared" ca="1" si="8"/>
        <v>0</v>
      </c>
      <c r="AI118" s="506">
        <f t="shared" si="9"/>
        <v>0</v>
      </c>
      <c r="AJ118" s="506">
        <f t="shared" ca="1" si="10"/>
        <v>0</v>
      </c>
      <c r="AK118" s="506" t="str">
        <f t="shared" ca="1" si="11"/>
        <v/>
      </c>
      <c r="AL118" s="507">
        <f t="shared" ca="1" si="12"/>
        <v>1</v>
      </c>
      <c r="AM118" s="507">
        <f t="shared" ca="1" si="13"/>
        <v>16</v>
      </c>
      <c r="AN118" s="507">
        <f t="shared" ca="1" si="14"/>
        <v>6</v>
      </c>
      <c r="AO118" s="507">
        <f t="shared" ca="1" si="15"/>
        <v>0</v>
      </c>
      <c r="AP118" s="507">
        <f t="shared" ca="1" si="16"/>
        <v>0</v>
      </c>
      <c r="AQ118" s="507">
        <f t="shared" ca="1" si="17"/>
        <v>0</v>
      </c>
      <c r="AR118" s="507">
        <f t="shared" ca="1" si="18"/>
        <v>0</v>
      </c>
      <c r="AS118" s="508"/>
      <c r="AT118" s="507">
        <f t="shared" si="19"/>
        <v>1</v>
      </c>
    </row>
    <row r="119" spans="1:46" ht="15.75" customHeight="1">
      <c r="A119" s="485"/>
      <c r="B119" s="486">
        <f t="shared" ca="1" si="0"/>
        <v>1</v>
      </c>
      <c r="C119" s="487">
        <f t="shared" ca="1" si="1"/>
        <v>17</v>
      </c>
      <c r="D119" s="487" t="str">
        <f t="shared" ca="1" si="2"/>
        <v/>
      </c>
      <c r="E119" s="487" t="str">
        <f t="shared" ca="1" si="3"/>
        <v/>
      </c>
      <c r="F119" s="487" t="str">
        <f t="shared" ca="1" si="4"/>
        <v/>
      </c>
      <c r="G119" s="488" t="str">
        <f t="shared" ca="1" si="5"/>
        <v/>
      </c>
      <c r="H119" s="489" t="str">
        <f t="shared" ca="1" si="6"/>
        <v/>
      </c>
      <c r="I119" s="509"/>
      <c r="J119" s="510" t="s">
        <v>257</v>
      </c>
      <c r="K119" s="511"/>
      <c r="L119" s="511"/>
      <c r="M119" s="511"/>
      <c r="N119" s="511"/>
      <c r="O119" s="511"/>
      <c r="P119" s="511"/>
      <c r="Q119" s="512" t="s">
        <v>81</v>
      </c>
      <c r="R119" s="513"/>
      <c r="S119" s="514"/>
      <c r="T119" s="515"/>
      <c r="U119" s="516"/>
      <c r="V119" s="515"/>
      <c r="W119" s="517"/>
      <c r="X119" s="518"/>
      <c r="Y119" s="519"/>
      <c r="Z119" s="520"/>
      <c r="AA119" s="501"/>
      <c r="AB119" s="502"/>
      <c r="AC119" s="503"/>
      <c r="AD119" s="504"/>
      <c r="AE119" s="505"/>
      <c r="AF119" s="506"/>
      <c r="AG119" s="506">
        <f t="shared" si="7"/>
        <v>0</v>
      </c>
      <c r="AH119" s="506">
        <f t="shared" si="8"/>
        <v>0</v>
      </c>
      <c r="AI119" s="506">
        <f t="shared" si="9"/>
        <v>0</v>
      </c>
      <c r="AJ119" s="506">
        <f t="shared" si="10"/>
        <v>0</v>
      </c>
      <c r="AK119" s="506" t="str">
        <f t="shared" si="11"/>
        <v/>
      </c>
      <c r="AL119" s="507">
        <f t="shared" ca="1" si="12"/>
        <v>1</v>
      </c>
      <c r="AM119" s="507">
        <f t="shared" ca="1" si="13"/>
        <v>17</v>
      </c>
      <c r="AN119" s="507">
        <f t="shared" ca="1" si="14"/>
        <v>0</v>
      </c>
      <c r="AO119" s="507">
        <f t="shared" ca="1" si="15"/>
        <v>0</v>
      </c>
      <c r="AP119" s="507">
        <f t="shared" ca="1" si="16"/>
        <v>0</v>
      </c>
      <c r="AQ119" s="507">
        <f t="shared" ca="1" si="17"/>
        <v>0</v>
      </c>
      <c r="AR119" s="507">
        <f t="shared" ca="1" si="18"/>
        <v>0</v>
      </c>
      <c r="AS119" s="508"/>
      <c r="AT119" s="507">
        <f t="shared" si="19"/>
        <v>1</v>
      </c>
    </row>
    <row r="120" spans="1:46" ht="15.75" customHeight="1">
      <c r="A120" s="485"/>
      <c r="B120" s="486">
        <f t="shared" ca="1" si="0"/>
        <v>1</v>
      </c>
      <c r="C120" s="487">
        <f t="shared" ca="1" si="1"/>
        <v>17</v>
      </c>
      <c r="D120" s="487">
        <f t="shared" ca="1" si="2"/>
        <v>1</v>
      </c>
      <c r="E120" s="487" t="str">
        <f t="shared" ca="1" si="3"/>
        <v/>
      </c>
      <c r="F120" s="487" t="str">
        <f t="shared" ca="1" si="4"/>
        <v/>
      </c>
      <c r="G120" s="488" t="str">
        <f t="shared" ca="1" si="5"/>
        <v/>
      </c>
      <c r="H120" s="489" t="str">
        <f t="shared" ca="1" si="6"/>
        <v/>
      </c>
      <c r="I120" s="509"/>
      <c r="J120" s="522"/>
      <c r="K120" s="522" t="s">
        <v>59</v>
      </c>
      <c r="L120" s="522"/>
      <c r="M120" s="522"/>
      <c r="N120" s="522"/>
      <c r="O120" s="522"/>
      <c r="P120" s="522"/>
      <c r="Q120" s="523"/>
      <c r="R120" s="524" t="s">
        <v>247</v>
      </c>
      <c r="S120" s="543">
        <v>45812</v>
      </c>
      <c r="T120" s="526">
        <v>45817</v>
      </c>
      <c r="U120" s="543">
        <v>45812</v>
      </c>
      <c r="V120" s="526">
        <v>45817</v>
      </c>
      <c r="W120" s="539">
        <v>1</v>
      </c>
      <c r="X120" s="542">
        <v>1</v>
      </c>
      <c r="Y120" s="540"/>
      <c r="Z120" s="541"/>
      <c r="AA120" s="501"/>
      <c r="AB120" s="502"/>
      <c r="AC120" s="503"/>
      <c r="AD120" s="504"/>
      <c r="AE120" s="505"/>
      <c r="AF120" s="506"/>
      <c r="AG120" s="506">
        <f t="shared" ca="1" si="7"/>
        <v>0</v>
      </c>
      <c r="AH120" s="506">
        <f t="shared" ca="1" si="8"/>
        <v>0</v>
      </c>
      <c r="AI120" s="506">
        <f t="shared" si="9"/>
        <v>0</v>
      </c>
      <c r="AJ120" s="506">
        <f t="shared" ca="1" si="10"/>
        <v>0</v>
      </c>
      <c r="AK120" s="506" t="str">
        <f t="shared" ca="1" si="11"/>
        <v/>
      </c>
      <c r="AL120" s="507">
        <f t="shared" ca="1" si="12"/>
        <v>1</v>
      </c>
      <c r="AM120" s="507">
        <f t="shared" ca="1" si="13"/>
        <v>17</v>
      </c>
      <c r="AN120" s="507">
        <f t="shared" ca="1" si="14"/>
        <v>1</v>
      </c>
      <c r="AO120" s="507">
        <f t="shared" ca="1" si="15"/>
        <v>0</v>
      </c>
      <c r="AP120" s="507">
        <f t="shared" ca="1" si="16"/>
        <v>0</v>
      </c>
      <c r="AQ120" s="507">
        <f t="shared" ca="1" si="17"/>
        <v>0</v>
      </c>
      <c r="AR120" s="507">
        <f t="shared" ca="1" si="18"/>
        <v>0</v>
      </c>
      <c r="AS120" s="508"/>
      <c r="AT120" s="507">
        <f t="shared" si="19"/>
        <v>6</v>
      </c>
    </row>
    <row r="121" spans="1:46" ht="15.75" customHeight="1">
      <c r="A121" s="485"/>
      <c r="B121" s="486">
        <f t="shared" ca="1" si="0"/>
        <v>1</v>
      </c>
      <c r="C121" s="487">
        <f t="shared" ca="1" si="1"/>
        <v>17</v>
      </c>
      <c r="D121" s="487">
        <f t="shared" ca="1" si="2"/>
        <v>2</v>
      </c>
      <c r="E121" s="487" t="str">
        <f t="shared" ca="1" si="3"/>
        <v/>
      </c>
      <c r="F121" s="487" t="str">
        <f t="shared" ca="1" si="4"/>
        <v/>
      </c>
      <c r="G121" s="488" t="str">
        <f t="shared" ca="1" si="5"/>
        <v/>
      </c>
      <c r="H121" s="489" t="str">
        <f t="shared" ca="1" si="6"/>
        <v/>
      </c>
      <c r="I121" s="509"/>
      <c r="J121" s="522"/>
      <c r="K121" s="522" t="s">
        <v>145</v>
      </c>
      <c r="L121" s="522"/>
      <c r="M121" s="522"/>
      <c r="N121" s="522"/>
      <c r="O121" s="522"/>
      <c r="P121" s="522"/>
      <c r="Q121" s="523"/>
      <c r="R121" s="524" t="s">
        <v>246</v>
      </c>
      <c r="S121" s="525">
        <v>45818</v>
      </c>
      <c r="T121" s="526">
        <v>45818</v>
      </c>
      <c r="U121" s="525">
        <v>45818</v>
      </c>
      <c r="V121" s="526">
        <v>45818</v>
      </c>
      <c r="W121" s="539">
        <v>1</v>
      </c>
      <c r="X121" s="542">
        <v>1</v>
      </c>
      <c r="Y121" s="540"/>
      <c r="Z121" s="541"/>
      <c r="AA121" s="501"/>
      <c r="AB121" s="502"/>
      <c r="AC121" s="503"/>
      <c r="AD121" s="504"/>
      <c r="AE121" s="505"/>
      <c r="AF121" s="506"/>
      <c r="AG121" s="506">
        <f t="shared" ca="1" si="7"/>
        <v>0</v>
      </c>
      <c r="AH121" s="506">
        <f t="shared" ca="1" si="8"/>
        <v>0</v>
      </c>
      <c r="AI121" s="506">
        <f t="shared" si="9"/>
        <v>0</v>
      </c>
      <c r="AJ121" s="506">
        <f t="shared" ca="1" si="10"/>
        <v>0</v>
      </c>
      <c r="AK121" s="506" t="str">
        <f t="shared" ca="1" si="11"/>
        <v/>
      </c>
      <c r="AL121" s="507">
        <f t="shared" ca="1" si="12"/>
        <v>1</v>
      </c>
      <c r="AM121" s="507">
        <f t="shared" ca="1" si="13"/>
        <v>17</v>
      </c>
      <c r="AN121" s="507">
        <f t="shared" ca="1" si="14"/>
        <v>2</v>
      </c>
      <c r="AO121" s="507">
        <f t="shared" ca="1" si="15"/>
        <v>0</v>
      </c>
      <c r="AP121" s="507">
        <f t="shared" ca="1" si="16"/>
        <v>0</v>
      </c>
      <c r="AQ121" s="507">
        <f t="shared" ca="1" si="17"/>
        <v>0</v>
      </c>
      <c r="AR121" s="507">
        <f t="shared" ca="1" si="18"/>
        <v>0</v>
      </c>
      <c r="AS121" s="508"/>
      <c r="AT121" s="507">
        <f t="shared" si="19"/>
        <v>1</v>
      </c>
    </row>
    <row r="122" spans="1:46" ht="15.75" customHeight="1">
      <c r="A122" s="485"/>
      <c r="B122" s="486">
        <f t="shared" ca="1" si="0"/>
        <v>1</v>
      </c>
      <c r="C122" s="487">
        <f t="shared" ca="1" si="1"/>
        <v>17</v>
      </c>
      <c r="D122" s="487">
        <f t="shared" ca="1" si="2"/>
        <v>3</v>
      </c>
      <c r="E122" s="487" t="str">
        <f t="shared" ca="1" si="3"/>
        <v/>
      </c>
      <c r="F122" s="487" t="str">
        <f t="shared" ca="1" si="4"/>
        <v/>
      </c>
      <c r="G122" s="488" t="str">
        <f t="shared" ca="1" si="5"/>
        <v/>
      </c>
      <c r="H122" s="489" t="str">
        <f t="shared" ca="1" si="6"/>
        <v/>
      </c>
      <c r="I122" s="509"/>
      <c r="J122" s="522"/>
      <c r="K122" s="522" t="s">
        <v>63</v>
      </c>
      <c r="L122" s="522"/>
      <c r="M122" s="522"/>
      <c r="N122" s="522"/>
      <c r="O122" s="522"/>
      <c r="P122" s="522"/>
      <c r="Q122" s="523"/>
      <c r="R122" s="524" t="s">
        <v>247</v>
      </c>
      <c r="S122" s="525">
        <v>45827</v>
      </c>
      <c r="T122" s="526">
        <v>45827</v>
      </c>
      <c r="U122" s="543"/>
      <c r="V122" s="526"/>
      <c r="W122" s="539">
        <v>0</v>
      </c>
      <c r="X122" s="542"/>
      <c r="Y122" s="540"/>
      <c r="Z122" s="541"/>
      <c r="AA122" s="501"/>
      <c r="AB122" s="502"/>
      <c r="AC122" s="503"/>
      <c r="AD122" s="504"/>
      <c r="AE122" s="505"/>
      <c r="AF122" s="506"/>
      <c r="AG122" s="506">
        <f t="shared" ca="1" si="7"/>
        <v>0</v>
      </c>
      <c r="AH122" s="506">
        <f t="shared" ca="1" si="8"/>
        <v>0</v>
      </c>
      <c r="AI122" s="506">
        <f t="shared" si="9"/>
        <v>0</v>
      </c>
      <c r="AJ122" s="506">
        <f t="shared" ca="1" si="10"/>
        <v>0</v>
      </c>
      <c r="AK122" s="506" t="str">
        <f t="shared" ca="1" si="11"/>
        <v/>
      </c>
      <c r="AL122" s="507">
        <f t="shared" ca="1" si="12"/>
        <v>1</v>
      </c>
      <c r="AM122" s="507">
        <f t="shared" ca="1" si="13"/>
        <v>17</v>
      </c>
      <c r="AN122" s="507">
        <f t="shared" ca="1" si="14"/>
        <v>3</v>
      </c>
      <c r="AO122" s="507">
        <f t="shared" ca="1" si="15"/>
        <v>0</v>
      </c>
      <c r="AP122" s="507">
        <f t="shared" ca="1" si="16"/>
        <v>0</v>
      </c>
      <c r="AQ122" s="507">
        <f t="shared" ca="1" si="17"/>
        <v>0</v>
      </c>
      <c r="AR122" s="507">
        <f t="shared" ca="1" si="18"/>
        <v>0</v>
      </c>
      <c r="AS122" s="508"/>
      <c r="AT122" s="507">
        <f t="shared" si="19"/>
        <v>1</v>
      </c>
    </row>
    <row r="123" spans="1:46" ht="15.75" customHeight="1">
      <c r="A123" s="485"/>
      <c r="B123" s="486">
        <f t="shared" ca="1" si="0"/>
        <v>1</v>
      </c>
      <c r="C123" s="487">
        <f t="shared" ca="1" si="1"/>
        <v>17</v>
      </c>
      <c r="D123" s="487">
        <f t="shared" ca="1" si="2"/>
        <v>4</v>
      </c>
      <c r="E123" s="487" t="str">
        <f t="shared" ca="1" si="3"/>
        <v/>
      </c>
      <c r="F123" s="487" t="str">
        <f t="shared" ca="1" si="4"/>
        <v/>
      </c>
      <c r="G123" s="488" t="str">
        <f t="shared" ca="1" si="5"/>
        <v/>
      </c>
      <c r="H123" s="489" t="str">
        <f t="shared" ca="1" si="6"/>
        <v/>
      </c>
      <c r="I123" s="509"/>
      <c r="J123" s="522"/>
      <c r="K123" s="522" t="s">
        <v>64</v>
      </c>
      <c r="L123" s="522"/>
      <c r="M123" s="522"/>
      <c r="N123" s="522"/>
      <c r="O123" s="522"/>
      <c r="P123" s="522"/>
      <c r="Q123" s="523"/>
      <c r="R123" s="524" t="s">
        <v>246</v>
      </c>
      <c r="S123" s="525">
        <v>45827</v>
      </c>
      <c r="T123" s="526">
        <v>45827</v>
      </c>
      <c r="U123" s="543"/>
      <c r="V123" s="526"/>
      <c r="W123" s="539">
        <v>0</v>
      </c>
      <c r="X123" s="542"/>
      <c r="Y123" s="540"/>
      <c r="Z123" s="541"/>
      <c r="AA123" s="501"/>
      <c r="AB123" s="502"/>
      <c r="AC123" s="503"/>
      <c r="AD123" s="504"/>
      <c r="AE123" s="505"/>
      <c r="AF123" s="506"/>
      <c r="AG123" s="506">
        <f t="shared" ca="1" si="7"/>
        <v>0</v>
      </c>
      <c r="AH123" s="506">
        <f t="shared" ca="1" si="8"/>
        <v>0</v>
      </c>
      <c r="AI123" s="506">
        <f t="shared" si="9"/>
        <v>0</v>
      </c>
      <c r="AJ123" s="506">
        <f t="shared" ca="1" si="10"/>
        <v>0</v>
      </c>
      <c r="AK123" s="506" t="str">
        <f t="shared" ca="1" si="11"/>
        <v/>
      </c>
      <c r="AL123" s="507">
        <f t="shared" ca="1" si="12"/>
        <v>1</v>
      </c>
      <c r="AM123" s="507">
        <f t="shared" ca="1" si="13"/>
        <v>17</v>
      </c>
      <c r="AN123" s="507">
        <f t="shared" ca="1" si="14"/>
        <v>4</v>
      </c>
      <c r="AO123" s="507">
        <f t="shared" ca="1" si="15"/>
        <v>0</v>
      </c>
      <c r="AP123" s="507">
        <f t="shared" ca="1" si="16"/>
        <v>0</v>
      </c>
      <c r="AQ123" s="507">
        <f t="shared" ca="1" si="17"/>
        <v>0</v>
      </c>
      <c r="AR123" s="507">
        <f t="shared" ca="1" si="18"/>
        <v>0</v>
      </c>
      <c r="AS123" s="508"/>
      <c r="AT123" s="507">
        <f t="shared" si="19"/>
        <v>1</v>
      </c>
    </row>
    <row r="124" spans="1:46" ht="15.75" customHeight="1">
      <c r="A124" s="485"/>
      <c r="B124" s="486">
        <f t="shared" ca="1" si="0"/>
        <v>1</v>
      </c>
      <c r="C124" s="487">
        <f t="shared" ca="1" si="1"/>
        <v>17</v>
      </c>
      <c r="D124" s="487">
        <f t="shared" ca="1" si="2"/>
        <v>5</v>
      </c>
      <c r="E124" s="487" t="str">
        <f t="shared" ca="1" si="3"/>
        <v/>
      </c>
      <c r="F124" s="487" t="str">
        <f t="shared" ca="1" si="4"/>
        <v/>
      </c>
      <c r="G124" s="488" t="str">
        <f t="shared" ca="1" si="5"/>
        <v/>
      </c>
      <c r="H124" s="489" t="str">
        <f t="shared" ca="1" si="6"/>
        <v/>
      </c>
      <c r="I124" s="509"/>
      <c r="J124" s="522"/>
      <c r="K124" s="522" t="s">
        <v>65</v>
      </c>
      <c r="L124" s="522"/>
      <c r="M124" s="522"/>
      <c r="N124" s="522"/>
      <c r="O124" s="522"/>
      <c r="P124" s="522"/>
      <c r="Q124" s="523"/>
      <c r="R124" s="524" t="s">
        <v>247</v>
      </c>
      <c r="S124" s="525">
        <v>45828</v>
      </c>
      <c r="T124" s="526">
        <v>45828</v>
      </c>
      <c r="U124" s="543"/>
      <c r="V124" s="526"/>
      <c r="W124" s="539">
        <v>0</v>
      </c>
      <c r="X124" s="542"/>
      <c r="Y124" s="540"/>
      <c r="Z124" s="541"/>
      <c r="AA124" s="501"/>
      <c r="AB124" s="502"/>
      <c r="AC124" s="503"/>
      <c r="AD124" s="504"/>
      <c r="AE124" s="505"/>
      <c r="AF124" s="506"/>
      <c r="AG124" s="506">
        <f t="shared" ca="1" si="7"/>
        <v>0</v>
      </c>
      <c r="AH124" s="506">
        <f t="shared" ca="1" si="8"/>
        <v>0</v>
      </c>
      <c r="AI124" s="506">
        <f t="shared" si="9"/>
        <v>0</v>
      </c>
      <c r="AJ124" s="506">
        <f t="shared" ca="1" si="10"/>
        <v>0</v>
      </c>
      <c r="AK124" s="506" t="str">
        <f t="shared" ca="1" si="11"/>
        <v/>
      </c>
      <c r="AL124" s="507">
        <f t="shared" ca="1" si="12"/>
        <v>1</v>
      </c>
      <c r="AM124" s="507">
        <f t="shared" ca="1" si="13"/>
        <v>17</v>
      </c>
      <c r="AN124" s="507">
        <f t="shared" ca="1" si="14"/>
        <v>5</v>
      </c>
      <c r="AO124" s="507">
        <f t="shared" ca="1" si="15"/>
        <v>0</v>
      </c>
      <c r="AP124" s="507">
        <f t="shared" ca="1" si="16"/>
        <v>0</v>
      </c>
      <c r="AQ124" s="507">
        <f t="shared" ca="1" si="17"/>
        <v>0</v>
      </c>
      <c r="AR124" s="507">
        <f t="shared" ca="1" si="18"/>
        <v>0</v>
      </c>
      <c r="AS124" s="508"/>
      <c r="AT124" s="507">
        <f t="shared" si="19"/>
        <v>1</v>
      </c>
    </row>
    <row r="125" spans="1:46" ht="15.75" customHeight="1">
      <c r="A125" s="485"/>
      <c r="B125" s="486">
        <f t="shared" ca="1" si="0"/>
        <v>1</v>
      </c>
      <c r="C125" s="487">
        <f t="shared" ca="1" si="1"/>
        <v>17</v>
      </c>
      <c r="D125" s="487">
        <f t="shared" ca="1" si="2"/>
        <v>6</v>
      </c>
      <c r="E125" s="487" t="str">
        <f t="shared" ca="1" si="3"/>
        <v/>
      </c>
      <c r="F125" s="487" t="str">
        <f t="shared" ca="1" si="4"/>
        <v/>
      </c>
      <c r="G125" s="488" t="str">
        <f t="shared" ca="1" si="5"/>
        <v/>
      </c>
      <c r="H125" s="489" t="str">
        <f t="shared" ca="1" si="6"/>
        <v/>
      </c>
      <c r="I125" s="509"/>
      <c r="J125" s="522"/>
      <c r="K125" s="522" t="s">
        <v>66</v>
      </c>
      <c r="L125" s="522"/>
      <c r="M125" s="522"/>
      <c r="N125" s="522"/>
      <c r="O125" s="522"/>
      <c r="P125" s="522"/>
      <c r="Q125" s="523"/>
      <c r="R125" s="524" t="s">
        <v>246</v>
      </c>
      <c r="S125" s="525">
        <v>45831</v>
      </c>
      <c r="T125" s="526">
        <v>45831</v>
      </c>
      <c r="U125" s="543"/>
      <c r="V125" s="526"/>
      <c r="W125" s="539">
        <v>0</v>
      </c>
      <c r="X125" s="542"/>
      <c r="Y125" s="540"/>
      <c r="Z125" s="541"/>
      <c r="AA125" s="501"/>
      <c r="AB125" s="502"/>
      <c r="AC125" s="503"/>
      <c r="AD125" s="504"/>
      <c r="AE125" s="505"/>
      <c r="AF125" s="506"/>
      <c r="AG125" s="506">
        <f t="shared" ca="1" si="7"/>
        <v>0</v>
      </c>
      <c r="AH125" s="506">
        <f t="shared" ca="1" si="8"/>
        <v>0</v>
      </c>
      <c r="AI125" s="506">
        <f t="shared" si="9"/>
        <v>0</v>
      </c>
      <c r="AJ125" s="506">
        <f t="shared" ca="1" si="10"/>
        <v>0</v>
      </c>
      <c r="AK125" s="506" t="str">
        <f t="shared" ca="1" si="11"/>
        <v/>
      </c>
      <c r="AL125" s="507">
        <f t="shared" ca="1" si="12"/>
        <v>1</v>
      </c>
      <c r="AM125" s="507">
        <f t="shared" ca="1" si="13"/>
        <v>17</v>
      </c>
      <c r="AN125" s="507">
        <f t="shared" ca="1" si="14"/>
        <v>6</v>
      </c>
      <c r="AO125" s="507">
        <f t="shared" ca="1" si="15"/>
        <v>0</v>
      </c>
      <c r="AP125" s="507">
        <f t="shared" ca="1" si="16"/>
        <v>0</v>
      </c>
      <c r="AQ125" s="507">
        <f t="shared" ca="1" si="17"/>
        <v>0</v>
      </c>
      <c r="AR125" s="507">
        <f t="shared" ca="1" si="18"/>
        <v>0</v>
      </c>
      <c r="AS125" s="508"/>
      <c r="AT125" s="507">
        <f t="shared" si="19"/>
        <v>1</v>
      </c>
    </row>
    <row r="126" spans="1:46" ht="15.75" customHeight="1">
      <c r="A126" s="485"/>
      <c r="B126" s="486">
        <f t="shared" ca="1" si="0"/>
        <v>1</v>
      </c>
      <c r="C126" s="487">
        <f t="shared" ca="1" si="1"/>
        <v>18</v>
      </c>
      <c r="D126" s="487" t="str">
        <f t="shared" ca="1" si="2"/>
        <v/>
      </c>
      <c r="E126" s="487" t="str">
        <f t="shared" ca="1" si="3"/>
        <v/>
      </c>
      <c r="F126" s="487" t="str">
        <f t="shared" ca="1" si="4"/>
        <v/>
      </c>
      <c r="G126" s="488" t="str">
        <f t="shared" ca="1" si="5"/>
        <v/>
      </c>
      <c r="H126" s="489" t="str">
        <f t="shared" ca="1" si="6"/>
        <v/>
      </c>
      <c r="I126" s="509"/>
      <c r="J126" s="510" t="s">
        <v>258</v>
      </c>
      <c r="K126" s="511"/>
      <c r="L126" s="511"/>
      <c r="M126" s="511"/>
      <c r="N126" s="511"/>
      <c r="O126" s="511"/>
      <c r="P126" s="511"/>
      <c r="Q126" s="512" t="s">
        <v>73</v>
      </c>
      <c r="R126" s="513"/>
      <c r="S126" s="514"/>
      <c r="T126" s="515"/>
      <c r="U126" s="516"/>
      <c r="V126" s="515"/>
      <c r="W126" s="517"/>
      <c r="X126" s="518"/>
      <c r="Y126" s="519"/>
      <c r="Z126" s="520"/>
      <c r="AA126" s="501"/>
      <c r="AB126" s="502"/>
      <c r="AC126" s="503"/>
      <c r="AD126" s="504"/>
      <c r="AE126" s="505"/>
      <c r="AF126" s="506"/>
      <c r="AG126" s="506">
        <f t="shared" si="7"/>
        <v>0</v>
      </c>
      <c r="AH126" s="506">
        <f t="shared" si="8"/>
        <v>0</v>
      </c>
      <c r="AI126" s="506">
        <f t="shared" si="9"/>
        <v>0</v>
      </c>
      <c r="AJ126" s="506">
        <f t="shared" si="10"/>
        <v>0</v>
      </c>
      <c r="AK126" s="506" t="str">
        <f t="shared" si="11"/>
        <v/>
      </c>
      <c r="AL126" s="507">
        <f t="shared" ca="1" si="12"/>
        <v>1</v>
      </c>
      <c r="AM126" s="507">
        <f t="shared" ca="1" si="13"/>
        <v>18</v>
      </c>
      <c r="AN126" s="507">
        <f t="shared" ca="1" si="14"/>
        <v>0</v>
      </c>
      <c r="AO126" s="507">
        <f t="shared" ca="1" si="15"/>
        <v>0</v>
      </c>
      <c r="AP126" s="507">
        <f t="shared" ca="1" si="16"/>
        <v>0</v>
      </c>
      <c r="AQ126" s="507">
        <f t="shared" ca="1" si="17"/>
        <v>0</v>
      </c>
      <c r="AR126" s="507">
        <f t="shared" ca="1" si="18"/>
        <v>0</v>
      </c>
      <c r="AS126" s="508"/>
      <c r="AT126" s="507">
        <f t="shared" si="19"/>
        <v>1</v>
      </c>
    </row>
    <row r="127" spans="1:46" ht="15.75" customHeight="1">
      <c r="A127" s="485"/>
      <c r="B127" s="486">
        <f t="shared" ca="1" si="0"/>
        <v>1</v>
      </c>
      <c r="C127" s="487">
        <f t="shared" ca="1" si="1"/>
        <v>18</v>
      </c>
      <c r="D127" s="487">
        <f t="shared" ca="1" si="2"/>
        <v>1</v>
      </c>
      <c r="E127" s="487" t="str">
        <f t="shared" ca="1" si="3"/>
        <v/>
      </c>
      <c r="F127" s="487" t="str">
        <f t="shared" ca="1" si="4"/>
        <v/>
      </c>
      <c r="G127" s="488" t="str">
        <f t="shared" ca="1" si="5"/>
        <v/>
      </c>
      <c r="H127" s="489" t="str">
        <f t="shared" ca="1" si="6"/>
        <v/>
      </c>
      <c r="I127" s="509"/>
      <c r="J127" s="522"/>
      <c r="K127" s="522" t="s">
        <v>59</v>
      </c>
      <c r="L127" s="522"/>
      <c r="M127" s="522"/>
      <c r="N127" s="522"/>
      <c r="O127" s="522"/>
      <c r="P127" s="522"/>
      <c r="Q127" s="523"/>
      <c r="R127" s="524" t="s">
        <v>246</v>
      </c>
      <c r="S127" s="525">
        <v>45839</v>
      </c>
      <c r="T127" s="526">
        <v>45845</v>
      </c>
      <c r="U127" s="543"/>
      <c r="V127" s="526"/>
      <c r="W127" s="539">
        <v>0</v>
      </c>
      <c r="X127" s="542"/>
      <c r="Y127" s="540"/>
      <c r="Z127" s="541"/>
      <c r="AA127" s="501"/>
      <c r="AB127" s="502"/>
      <c r="AC127" s="503"/>
      <c r="AD127" s="504"/>
      <c r="AE127" s="505"/>
      <c r="AF127" s="506"/>
      <c r="AG127" s="506">
        <f t="shared" ca="1" si="7"/>
        <v>0</v>
      </c>
      <c r="AH127" s="506">
        <f t="shared" ca="1" si="8"/>
        <v>0</v>
      </c>
      <c r="AI127" s="506">
        <f t="shared" si="9"/>
        <v>0</v>
      </c>
      <c r="AJ127" s="506">
        <f t="shared" ca="1" si="10"/>
        <v>0</v>
      </c>
      <c r="AK127" s="506" t="str">
        <f t="shared" ca="1" si="11"/>
        <v/>
      </c>
      <c r="AL127" s="507">
        <f t="shared" ca="1" si="12"/>
        <v>1</v>
      </c>
      <c r="AM127" s="507">
        <f t="shared" ca="1" si="13"/>
        <v>18</v>
      </c>
      <c r="AN127" s="507">
        <f t="shared" ca="1" si="14"/>
        <v>1</v>
      </c>
      <c r="AO127" s="507">
        <f t="shared" ca="1" si="15"/>
        <v>0</v>
      </c>
      <c r="AP127" s="507">
        <f t="shared" ca="1" si="16"/>
        <v>0</v>
      </c>
      <c r="AQ127" s="507">
        <f t="shared" ca="1" si="17"/>
        <v>0</v>
      </c>
      <c r="AR127" s="507">
        <f t="shared" ca="1" si="18"/>
        <v>0</v>
      </c>
      <c r="AS127" s="508"/>
      <c r="AT127" s="507">
        <f t="shared" si="19"/>
        <v>7</v>
      </c>
    </row>
    <row r="128" spans="1:46" ht="15.75" customHeight="1">
      <c r="A128" s="485"/>
      <c r="B128" s="486">
        <f t="shared" ca="1" si="0"/>
        <v>1</v>
      </c>
      <c r="C128" s="487">
        <f t="shared" ca="1" si="1"/>
        <v>18</v>
      </c>
      <c r="D128" s="487">
        <f t="shared" ca="1" si="2"/>
        <v>2</v>
      </c>
      <c r="E128" s="487" t="str">
        <f t="shared" ca="1" si="3"/>
        <v/>
      </c>
      <c r="F128" s="487" t="str">
        <f t="shared" ca="1" si="4"/>
        <v/>
      </c>
      <c r="G128" s="488" t="str">
        <f t="shared" ca="1" si="5"/>
        <v/>
      </c>
      <c r="H128" s="489" t="str">
        <f t="shared" ca="1" si="6"/>
        <v/>
      </c>
      <c r="I128" s="509"/>
      <c r="J128" s="522"/>
      <c r="K128" s="522" t="s">
        <v>145</v>
      </c>
      <c r="L128" s="522"/>
      <c r="M128" s="522"/>
      <c r="N128" s="522"/>
      <c r="O128" s="522"/>
      <c r="P128" s="522"/>
      <c r="Q128" s="523"/>
      <c r="R128" s="524" t="s">
        <v>247</v>
      </c>
      <c r="S128" s="525">
        <v>45846</v>
      </c>
      <c r="T128" s="526">
        <v>45846</v>
      </c>
      <c r="U128" s="543"/>
      <c r="V128" s="526"/>
      <c r="W128" s="539">
        <v>0</v>
      </c>
      <c r="X128" s="542"/>
      <c r="Y128" s="540"/>
      <c r="Z128" s="541"/>
      <c r="AA128" s="501"/>
      <c r="AB128" s="502"/>
      <c r="AC128" s="503"/>
      <c r="AD128" s="504"/>
      <c r="AE128" s="505"/>
      <c r="AF128" s="506"/>
      <c r="AG128" s="506">
        <f t="shared" ca="1" si="7"/>
        <v>0</v>
      </c>
      <c r="AH128" s="506">
        <f t="shared" ca="1" si="8"/>
        <v>0</v>
      </c>
      <c r="AI128" s="506">
        <f t="shared" si="9"/>
        <v>0</v>
      </c>
      <c r="AJ128" s="506">
        <f t="shared" ca="1" si="10"/>
        <v>0</v>
      </c>
      <c r="AK128" s="506" t="str">
        <f t="shared" ca="1" si="11"/>
        <v/>
      </c>
      <c r="AL128" s="507">
        <f t="shared" ca="1" si="12"/>
        <v>1</v>
      </c>
      <c r="AM128" s="507">
        <f t="shared" ca="1" si="13"/>
        <v>18</v>
      </c>
      <c r="AN128" s="507">
        <f t="shared" ca="1" si="14"/>
        <v>2</v>
      </c>
      <c r="AO128" s="507">
        <f t="shared" ca="1" si="15"/>
        <v>0</v>
      </c>
      <c r="AP128" s="507">
        <f t="shared" ca="1" si="16"/>
        <v>0</v>
      </c>
      <c r="AQ128" s="507">
        <f t="shared" ca="1" si="17"/>
        <v>0</v>
      </c>
      <c r="AR128" s="507">
        <f t="shared" ca="1" si="18"/>
        <v>0</v>
      </c>
      <c r="AS128" s="508"/>
      <c r="AT128" s="507">
        <f t="shared" si="19"/>
        <v>1</v>
      </c>
    </row>
    <row r="129" spans="1:46" ht="15.75" customHeight="1">
      <c r="A129" s="485"/>
      <c r="B129" s="486">
        <f t="shared" ca="1" si="0"/>
        <v>1</v>
      </c>
      <c r="C129" s="487">
        <f t="shared" ca="1" si="1"/>
        <v>18</v>
      </c>
      <c r="D129" s="487">
        <f t="shared" ca="1" si="2"/>
        <v>3</v>
      </c>
      <c r="E129" s="487" t="str">
        <f t="shared" ca="1" si="3"/>
        <v/>
      </c>
      <c r="F129" s="487" t="str">
        <f t="shared" ca="1" si="4"/>
        <v/>
      </c>
      <c r="G129" s="488" t="str">
        <f t="shared" ca="1" si="5"/>
        <v/>
      </c>
      <c r="H129" s="489" t="str">
        <f t="shared" ca="1" si="6"/>
        <v/>
      </c>
      <c r="I129" s="509"/>
      <c r="J129" s="522"/>
      <c r="K129" s="522" t="s">
        <v>63</v>
      </c>
      <c r="L129" s="522"/>
      <c r="M129" s="522"/>
      <c r="N129" s="522"/>
      <c r="O129" s="522"/>
      <c r="P129" s="522"/>
      <c r="Q129" s="523"/>
      <c r="R129" s="524" t="s">
        <v>246</v>
      </c>
      <c r="S129" s="525">
        <v>45847</v>
      </c>
      <c r="T129" s="526">
        <v>45848</v>
      </c>
      <c r="U129" s="543"/>
      <c r="V129" s="526"/>
      <c r="W129" s="539">
        <v>0</v>
      </c>
      <c r="X129" s="542"/>
      <c r="Y129" s="540"/>
      <c r="Z129" s="541"/>
      <c r="AA129" s="501"/>
      <c r="AB129" s="502"/>
      <c r="AC129" s="503"/>
      <c r="AD129" s="504"/>
      <c r="AE129" s="505"/>
      <c r="AF129" s="506"/>
      <c r="AG129" s="506">
        <f t="shared" ca="1" si="7"/>
        <v>0</v>
      </c>
      <c r="AH129" s="506">
        <f t="shared" ca="1" si="8"/>
        <v>0</v>
      </c>
      <c r="AI129" s="506">
        <f t="shared" si="9"/>
        <v>0</v>
      </c>
      <c r="AJ129" s="506">
        <f t="shared" ca="1" si="10"/>
        <v>0</v>
      </c>
      <c r="AK129" s="506" t="str">
        <f t="shared" ca="1" si="11"/>
        <v/>
      </c>
      <c r="AL129" s="507">
        <f t="shared" ca="1" si="12"/>
        <v>1</v>
      </c>
      <c r="AM129" s="507">
        <f t="shared" ca="1" si="13"/>
        <v>18</v>
      </c>
      <c r="AN129" s="507">
        <f t="shared" ca="1" si="14"/>
        <v>3</v>
      </c>
      <c r="AO129" s="507">
        <f t="shared" ca="1" si="15"/>
        <v>0</v>
      </c>
      <c r="AP129" s="507">
        <f t="shared" ca="1" si="16"/>
        <v>0</v>
      </c>
      <c r="AQ129" s="507">
        <f t="shared" ca="1" si="17"/>
        <v>0</v>
      </c>
      <c r="AR129" s="507">
        <f t="shared" ca="1" si="18"/>
        <v>0</v>
      </c>
      <c r="AS129" s="508"/>
      <c r="AT129" s="507">
        <f t="shared" si="19"/>
        <v>2</v>
      </c>
    </row>
    <row r="130" spans="1:46" ht="15.75" customHeight="1">
      <c r="A130" s="485"/>
      <c r="B130" s="486">
        <f t="shared" ca="1" si="0"/>
        <v>1</v>
      </c>
      <c r="C130" s="487">
        <f t="shared" ca="1" si="1"/>
        <v>18</v>
      </c>
      <c r="D130" s="487">
        <f t="shared" ca="1" si="2"/>
        <v>4</v>
      </c>
      <c r="E130" s="487" t="str">
        <f t="shared" ca="1" si="3"/>
        <v/>
      </c>
      <c r="F130" s="487" t="str">
        <f t="shared" ca="1" si="4"/>
        <v/>
      </c>
      <c r="G130" s="488" t="str">
        <f t="shared" ca="1" si="5"/>
        <v/>
      </c>
      <c r="H130" s="489" t="str">
        <f t="shared" ca="1" si="6"/>
        <v/>
      </c>
      <c r="I130" s="509"/>
      <c r="J130" s="522"/>
      <c r="K130" s="522" t="s">
        <v>64</v>
      </c>
      <c r="L130" s="522"/>
      <c r="M130" s="522"/>
      <c r="N130" s="522"/>
      <c r="O130" s="522"/>
      <c r="P130" s="522"/>
      <c r="Q130" s="523"/>
      <c r="R130" s="524" t="s">
        <v>247</v>
      </c>
      <c r="S130" s="525">
        <v>45849</v>
      </c>
      <c r="T130" s="526">
        <v>45849</v>
      </c>
      <c r="U130" s="543"/>
      <c r="V130" s="526"/>
      <c r="W130" s="539">
        <v>0</v>
      </c>
      <c r="X130" s="542"/>
      <c r="Y130" s="540"/>
      <c r="Z130" s="541"/>
      <c r="AA130" s="501"/>
      <c r="AB130" s="502"/>
      <c r="AC130" s="503"/>
      <c r="AD130" s="504"/>
      <c r="AE130" s="505"/>
      <c r="AF130" s="506"/>
      <c r="AG130" s="506">
        <f t="shared" ca="1" si="7"/>
        <v>0</v>
      </c>
      <c r="AH130" s="506">
        <f t="shared" ca="1" si="8"/>
        <v>0</v>
      </c>
      <c r="AI130" s="506">
        <f t="shared" si="9"/>
        <v>0</v>
      </c>
      <c r="AJ130" s="506">
        <f t="shared" ca="1" si="10"/>
        <v>0</v>
      </c>
      <c r="AK130" s="506" t="str">
        <f t="shared" ca="1" si="11"/>
        <v/>
      </c>
      <c r="AL130" s="507">
        <f t="shared" ca="1" si="12"/>
        <v>1</v>
      </c>
      <c r="AM130" s="507">
        <f t="shared" ca="1" si="13"/>
        <v>18</v>
      </c>
      <c r="AN130" s="507">
        <f t="shared" ca="1" si="14"/>
        <v>4</v>
      </c>
      <c r="AO130" s="507">
        <f t="shared" ca="1" si="15"/>
        <v>0</v>
      </c>
      <c r="AP130" s="507">
        <f t="shared" ca="1" si="16"/>
        <v>0</v>
      </c>
      <c r="AQ130" s="507">
        <f t="shared" ca="1" si="17"/>
        <v>0</v>
      </c>
      <c r="AR130" s="507">
        <f t="shared" ca="1" si="18"/>
        <v>0</v>
      </c>
      <c r="AS130" s="508"/>
      <c r="AT130" s="507">
        <f t="shared" si="19"/>
        <v>1</v>
      </c>
    </row>
    <row r="131" spans="1:46" ht="15.75" customHeight="1">
      <c r="A131" s="485"/>
      <c r="B131" s="486">
        <f t="shared" ca="1" si="0"/>
        <v>1</v>
      </c>
      <c r="C131" s="487">
        <f t="shared" ca="1" si="1"/>
        <v>18</v>
      </c>
      <c r="D131" s="487">
        <f t="shared" ca="1" si="2"/>
        <v>5</v>
      </c>
      <c r="E131" s="487" t="str">
        <f t="shared" ca="1" si="3"/>
        <v/>
      </c>
      <c r="F131" s="487" t="str">
        <f t="shared" ca="1" si="4"/>
        <v/>
      </c>
      <c r="G131" s="488" t="str">
        <f t="shared" ca="1" si="5"/>
        <v/>
      </c>
      <c r="H131" s="489" t="str">
        <f t="shared" ca="1" si="6"/>
        <v/>
      </c>
      <c r="I131" s="509"/>
      <c r="J131" s="522"/>
      <c r="K131" s="522" t="s">
        <v>65</v>
      </c>
      <c r="L131" s="522"/>
      <c r="M131" s="522"/>
      <c r="N131" s="522"/>
      <c r="O131" s="522"/>
      <c r="P131" s="522"/>
      <c r="Q131" s="523"/>
      <c r="R131" s="524" t="s">
        <v>246</v>
      </c>
      <c r="S131" s="525">
        <v>45852</v>
      </c>
      <c r="T131" s="526">
        <v>45852</v>
      </c>
      <c r="U131" s="543"/>
      <c r="V131" s="526"/>
      <c r="W131" s="539">
        <v>0</v>
      </c>
      <c r="X131" s="542"/>
      <c r="Y131" s="540"/>
      <c r="Z131" s="541"/>
      <c r="AA131" s="501"/>
      <c r="AB131" s="502"/>
      <c r="AC131" s="503"/>
      <c r="AD131" s="504"/>
      <c r="AE131" s="505"/>
      <c r="AF131" s="506"/>
      <c r="AG131" s="506">
        <f t="shared" ca="1" si="7"/>
        <v>0</v>
      </c>
      <c r="AH131" s="506">
        <f t="shared" ca="1" si="8"/>
        <v>0</v>
      </c>
      <c r="AI131" s="506">
        <f t="shared" si="9"/>
        <v>0</v>
      </c>
      <c r="AJ131" s="506">
        <f t="shared" ca="1" si="10"/>
        <v>0</v>
      </c>
      <c r="AK131" s="506" t="str">
        <f t="shared" ca="1" si="11"/>
        <v/>
      </c>
      <c r="AL131" s="507">
        <f t="shared" ca="1" si="12"/>
        <v>1</v>
      </c>
      <c r="AM131" s="507">
        <f t="shared" ca="1" si="13"/>
        <v>18</v>
      </c>
      <c r="AN131" s="507">
        <f t="shared" ca="1" si="14"/>
        <v>5</v>
      </c>
      <c r="AO131" s="507">
        <f t="shared" ca="1" si="15"/>
        <v>0</v>
      </c>
      <c r="AP131" s="507">
        <f t="shared" ca="1" si="16"/>
        <v>0</v>
      </c>
      <c r="AQ131" s="507">
        <f t="shared" ca="1" si="17"/>
        <v>0</v>
      </c>
      <c r="AR131" s="507">
        <f t="shared" ca="1" si="18"/>
        <v>0</v>
      </c>
      <c r="AS131" s="508"/>
      <c r="AT131" s="507">
        <f t="shared" si="19"/>
        <v>1</v>
      </c>
    </row>
    <row r="132" spans="1:46" ht="15.75" customHeight="1">
      <c r="A132" s="485"/>
      <c r="B132" s="486">
        <f t="shared" ca="1" si="0"/>
        <v>1</v>
      </c>
      <c r="C132" s="487">
        <f t="shared" ca="1" si="1"/>
        <v>18</v>
      </c>
      <c r="D132" s="487">
        <f t="shared" ca="1" si="2"/>
        <v>6</v>
      </c>
      <c r="E132" s="487" t="str">
        <f t="shared" ca="1" si="3"/>
        <v/>
      </c>
      <c r="F132" s="487" t="str">
        <f t="shared" ca="1" si="4"/>
        <v/>
      </c>
      <c r="G132" s="488" t="str">
        <f t="shared" ca="1" si="5"/>
        <v/>
      </c>
      <c r="H132" s="489" t="str">
        <f t="shared" ca="1" si="6"/>
        <v/>
      </c>
      <c r="I132" s="509"/>
      <c r="J132" s="522"/>
      <c r="K132" s="522" t="s">
        <v>66</v>
      </c>
      <c r="L132" s="522"/>
      <c r="M132" s="522"/>
      <c r="N132" s="522"/>
      <c r="O132" s="522"/>
      <c r="P132" s="522"/>
      <c r="Q132" s="523"/>
      <c r="R132" s="524" t="s">
        <v>247</v>
      </c>
      <c r="S132" s="525">
        <v>45853</v>
      </c>
      <c r="T132" s="526">
        <v>45853</v>
      </c>
      <c r="U132" s="543"/>
      <c r="V132" s="526"/>
      <c r="W132" s="539">
        <v>0</v>
      </c>
      <c r="X132" s="542"/>
      <c r="Y132" s="540"/>
      <c r="Z132" s="541"/>
      <c r="AA132" s="501"/>
      <c r="AB132" s="502"/>
      <c r="AC132" s="503"/>
      <c r="AD132" s="504"/>
      <c r="AE132" s="505"/>
      <c r="AF132" s="506"/>
      <c r="AG132" s="506">
        <f t="shared" ca="1" si="7"/>
        <v>0</v>
      </c>
      <c r="AH132" s="506">
        <f t="shared" ca="1" si="8"/>
        <v>0</v>
      </c>
      <c r="AI132" s="506">
        <f t="shared" si="9"/>
        <v>0</v>
      </c>
      <c r="AJ132" s="506">
        <f t="shared" ca="1" si="10"/>
        <v>0</v>
      </c>
      <c r="AK132" s="506" t="str">
        <f t="shared" ca="1" si="11"/>
        <v/>
      </c>
      <c r="AL132" s="507">
        <f t="shared" ca="1" si="12"/>
        <v>1</v>
      </c>
      <c r="AM132" s="507">
        <f t="shared" ca="1" si="13"/>
        <v>18</v>
      </c>
      <c r="AN132" s="507">
        <f t="shared" ca="1" si="14"/>
        <v>6</v>
      </c>
      <c r="AO132" s="507">
        <f t="shared" ca="1" si="15"/>
        <v>0</v>
      </c>
      <c r="AP132" s="507">
        <f t="shared" ca="1" si="16"/>
        <v>0</v>
      </c>
      <c r="AQ132" s="507">
        <f t="shared" ca="1" si="17"/>
        <v>0</v>
      </c>
      <c r="AR132" s="507">
        <f t="shared" ca="1" si="18"/>
        <v>0</v>
      </c>
      <c r="AS132" s="508"/>
      <c r="AT132" s="507">
        <f t="shared" si="19"/>
        <v>1</v>
      </c>
    </row>
    <row r="133" spans="1:46" ht="15.75" customHeight="1">
      <c r="A133" s="485"/>
      <c r="B133" s="486">
        <f t="shared" ca="1" si="0"/>
        <v>1</v>
      </c>
      <c r="C133" s="487">
        <f t="shared" ca="1" si="1"/>
        <v>19</v>
      </c>
      <c r="D133" s="487" t="str">
        <f t="shared" ca="1" si="2"/>
        <v/>
      </c>
      <c r="E133" s="487" t="str">
        <f t="shared" ca="1" si="3"/>
        <v/>
      </c>
      <c r="F133" s="487" t="str">
        <f t="shared" ca="1" si="4"/>
        <v/>
      </c>
      <c r="G133" s="488" t="str">
        <f t="shared" ca="1" si="5"/>
        <v/>
      </c>
      <c r="H133" s="489" t="str">
        <f t="shared" ca="1" si="6"/>
        <v/>
      </c>
      <c r="I133" s="509"/>
      <c r="J133" s="510" t="s">
        <v>259</v>
      </c>
      <c r="K133" s="511"/>
      <c r="L133" s="511"/>
      <c r="M133" s="511"/>
      <c r="N133" s="511"/>
      <c r="O133" s="511"/>
      <c r="P133" s="511"/>
      <c r="Q133" s="512" t="s">
        <v>81</v>
      </c>
      <c r="R133" s="513"/>
      <c r="S133" s="514"/>
      <c r="T133" s="515"/>
      <c r="U133" s="516"/>
      <c r="V133" s="515"/>
      <c r="W133" s="517"/>
      <c r="X133" s="518"/>
      <c r="Y133" s="519"/>
      <c r="Z133" s="520"/>
      <c r="AA133" s="501"/>
      <c r="AB133" s="502"/>
      <c r="AC133" s="503"/>
      <c r="AD133" s="504"/>
      <c r="AE133" s="505"/>
      <c r="AF133" s="506"/>
      <c r="AG133" s="506">
        <f t="shared" si="7"/>
        <v>0</v>
      </c>
      <c r="AH133" s="506">
        <f t="shared" si="8"/>
        <v>0</v>
      </c>
      <c r="AI133" s="506">
        <f t="shared" si="9"/>
        <v>0</v>
      </c>
      <c r="AJ133" s="506">
        <f t="shared" si="10"/>
        <v>0</v>
      </c>
      <c r="AK133" s="506" t="str">
        <f t="shared" si="11"/>
        <v/>
      </c>
      <c r="AL133" s="507">
        <f t="shared" ca="1" si="12"/>
        <v>1</v>
      </c>
      <c r="AM133" s="507">
        <f t="shared" ca="1" si="13"/>
        <v>19</v>
      </c>
      <c r="AN133" s="507">
        <f t="shared" ca="1" si="14"/>
        <v>0</v>
      </c>
      <c r="AO133" s="507">
        <f t="shared" ca="1" si="15"/>
        <v>0</v>
      </c>
      <c r="AP133" s="507">
        <f t="shared" ca="1" si="16"/>
        <v>0</v>
      </c>
      <c r="AQ133" s="507">
        <f t="shared" ca="1" si="17"/>
        <v>0</v>
      </c>
      <c r="AR133" s="507">
        <f t="shared" ca="1" si="18"/>
        <v>0</v>
      </c>
      <c r="AS133" s="508"/>
      <c r="AT133" s="507">
        <f t="shared" si="19"/>
        <v>1</v>
      </c>
    </row>
    <row r="134" spans="1:46" ht="15.75" customHeight="1">
      <c r="A134" s="485"/>
      <c r="B134" s="486">
        <f t="shared" ca="1" si="0"/>
        <v>1</v>
      </c>
      <c r="C134" s="487">
        <f t="shared" ca="1" si="1"/>
        <v>19</v>
      </c>
      <c r="D134" s="487">
        <f t="shared" ca="1" si="2"/>
        <v>1</v>
      </c>
      <c r="E134" s="487" t="str">
        <f t="shared" ca="1" si="3"/>
        <v/>
      </c>
      <c r="F134" s="487" t="str">
        <f t="shared" ca="1" si="4"/>
        <v/>
      </c>
      <c r="G134" s="488" t="str">
        <f t="shared" ca="1" si="5"/>
        <v/>
      </c>
      <c r="H134" s="489" t="str">
        <f t="shared" ca="1" si="6"/>
        <v/>
      </c>
      <c r="I134" s="509"/>
      <c r="J134" s="522"/>
      <c r="K134" s="522" t="s">
        <v>59</v>
      </c>
      <c r="L134" s="522"/>
      <c r="M134" s="522"/>
      <c r="N134" s="522"/>
      <c r="O134" s="522"/>
      <c r="P134" s="522"/>
      <c r="Q134" s="523"/>
      <c r="R134" s="524" t="s">
        <v>238</v>
      </c>
      <c r="S134" s="525">
        <v>45854</v>
      </c>
      <c r="T134" s="526">
        <v>45860</v>
      </c>
      <c r="U134" s="543"/>
      <c r="V134" s="526"/>
      <c r="W134" s="539">
        <v>0</v>
      </c>
      <c r="X134" s="542"/>
      <c r="Y134" s="540"/>
      <c r="Z134" s="541"/>
      <c r="AA134" s="501"/>
      <c r="AB134" s="502"/>
      <c r="AC134" s="503"/>
      <c r="AD134" s="504"/>
      <c r="AE134" s="505"/>
      <c r="AF134" s="506"/>
      <c r="AG134" s="506">
        <f t="shared" ca="1" si="7"/>
        <v>0</v>
      </c>
      <c r="AH134" s="506">
        <f t="shared" ca="1" si="8"/>
        <v>0</v>
      </c>
      <c r="AI134" s="506">
        <f t="shared" si="9"/>
        <v>0</v>
      </c>
      <c r="AJ134" s="506">
        <f t="shared" ca="1" si="10"/>
        <v>0</v>
      </c>
      <c r="AK134" s="506" t="str">
        <f t="shared" ca="1" si="11"/>
        <v/>
      </c>
      <c r="AL134" s="507">
        <f t="shared" ca="1" si="12"/>
        <v>1</v>
      </c>
      <c r="AM134" s="507">
        <f t="shared" ca="1" si="13"/>
        <v>19</v>
      </c>
      <c r="AN134" s="507">
        <f t="shared" ca="1" si="14"/>
        <v>1</v>
      </c>
      <c r="AO134" s="507">
        <f t="shared" ca="1" si="15"/>
        <v>0</v>
      </c>
      <c r="AP134" s="507">
        <f t="shared" ca="1" si="16"/>
        <v>0</v>
      </c>
      <c r="AQ134" s="507">
        <f t="shared" ca="1" si="17"/>
        <v>0</v>
      </c>
      <c r="AR134" s="507">
        <f t="shared" ca="1" si="18"/>
        <v>0</v>
      </c>
      <c r="AS134" s="508"/>
      <c r="AT134" s="507">
        <f t="shared" si="19"/>
        <v>7</v>
      </c>
    </row>
    <row r="135" spans="1:46" ht="15.75" customHeight="1">
      <c r="A135" s="485"/>
      <c r="B135" s="486">
        <f t="shared" ca="1" si="0"/>
        <v>1</v>
      </c>
      <c r="C135" s="487">
        <f t="shared" ca="1" si="1"/>
        <v>19</v>
      </c>
      <c r="D135" s="487">
        <f t="shared" ca="1" si="2"/>
        <v>2</v>
      </c>
      <c r="E135" s="487" t="str">
        <f t="shared" ca="1" si="3"/>
        <v/>
      </c>
      <c r="F135" s="487" t="str">
        <f t="shared" ca="1" si="4"/>
        <v/>
      </c>
      <c r="G135" s="488" t="str">
        <f t="shared" ca="1" si="5"/>
        <v/>
      </c>
      <c r="H135" s="489" t="str">
        <f t="shared" ca="1" si="6"/>
        <v/>
      </c>
      <c r="I135" s="509"/>
      <c r="J135" s="522"/>
      <c r="K135" s="522" t="s">
        <v>145</v>
      </c>
      <c r="L135" s="522"/>
      <c r="M135" s="522"/>
      <c r="N135" s="522"/>
      <c r="O135" s="522"/>
      <c r="P135" s="522"/>
      <c r="Q135" s="523"/>
      <c r="R135" s="524" t="s">
        <v>239</v>
      </c>
      <c r="S135" s="525">
        <v>45861</v>
      </c>
      <c r="T135" s="526">
        <v>45861</v>
      </c>
      <c r="U135" s="543"/>
      <c r="V135" s="526"/>
      <c r="W135" s="539">
        <v>0</v>
      </c>
      <c r="X135" s="542"/>
      <c r="Y135" s="540"/>
      <c r="Z135" s="541"/>
      <c r="AA135" s="501"/>
      <c r="AB135" s="502"/>
      <c r="AC135" s="503"/>
      <c r="AD135" s="504"/>
      <c r="AE135" s="505"/>
      <c r="AF135" s="506"/>
      <c r="AG135" s="506">
        <f t="shared" ca="1" si="7"/>
        <v>0</v>
      </c>
      <c r="AH135" s="506">
        <f t="shared" ca="1" si="8"/>
        <v>0</v>
      </c>
      <c r="AI135" s="506">
        <f t="shared" si="9"/>
        <v>0</v>
      </c>
      <c r="AJ135" s="506">
        <f t="shared" ca="1" si="10"/>
        <v>0</v>
      </c>
      <c r="AK135" s="506" t="str">
        <f t="shared" ca="1" si="11"/>
        <v/>
      </c>
      <c r="AL135" s="507">
        <f t="shared" ca="1" si="12"/>
        <v>1</v>
      </c>
      <c r="AM135" s="507">
        <f t="shared" ca="1" si="13"/>
        <v>19</v>
      </c>
      <c r="AN135" s="507">
        <f t="shared" ca="1" si="14"/>
        <v>2</v>
      </c>
      <c r="AO135" s="507">
        <f t="shared" ca="1" si="15"/>
        <v>0</v>
      </c>
      <c r="AP135" s="507">
        <f t="shared" ca="1" si="16"/>
        <v>0</v>
      </c>
      <c r="AQ135" s="507">
        <f t="shared" ca="1" si="17"/>
        <v>0</v>
      </c>
      <c r="AR135" s="507">
        <f t="shared" ca="1" si="18"/>
        <v>0</v>
      </c>
      <c r="AS135" s="508"/>
      <c r="AT135" s="507">
        <f t="shared" si="19"/>
        <v>1</v>
      </c>
    </row>
    <row r="136" spans="1:46" ht="15.75" customHeight="1">
      <c r="A136" s="485"/>
      <c r="B136" s="486">
        <f t="shared" ca="1" si="0"/>
        <v>1</v>
      </c>
      <c r="C136" s="487">
        <f t="shared" ca="1" si="1"/>
        <v>19</v>
      </c>
      <c r="D136" s="487">
        <f t="shared" ca="1" si="2"/>
        <v>3</v>
      </c>
      <c r="E136" s="487" t="str">
        <f t="shared" ca="1" si="3"/>
        <v/>
      </c>
      <c r="F136" s="487" t="str">
        <f t="shared" ca="1" si="4"/>
        <v/>
      </c>
      <c r="G136" s="488" t="str">
        <f t="shared" ca="1" si="5"/>
        <v/>
      </c>
      <c r="H136" s="489" t="str">
        <f t="shared" ca="1" si="6"/>
        <v/>
      </c>
      <c r="I136" s="509"/>
      <c r="J136" s="522"/>
      <c r="K136" s="522" t="s">
        <v>63</v>
      </c>
      <c r="L136" s="522"/>
      <c r="M136" s="522"/>
      <c r="N136" s="522"/>
      <c r="O136" s="522"/>
      <c r="P136" s="522"/>
      <c r="Q136" s="523"/>
      <c r="R136" s="524" t="s">
        <v>238</v>
      </c>
      <c r="S136" s="525">
        <v>45862</v>
      </c>
      <c r="T136" s="526">
        <v>45862</v>
      </c>
      <c r="U136" s="543"/>
      <c r="V136" s="526"/>
      <c r="W136" s="539">
        <v>0</v>
      </c>
      <c r="X136" s="542"/>
      <c r="Y136" s="540"/>
      <c r="Z136" s="541"/>
      <c r="AA136" s="501"/>
      <c r="AB136" s="502"/>
      <c r="AC136" s="503"/>
      <c r="AD136" s="504"/>
      <c r="AE136" s="505"/>
      <c r="AF136" s="506"/>
      <c r="AG136" s="506">
        <f t="shared" ca="1" si="7"/>
        <v>0</v>
      </c>
      <c r="AH136" s="506">
        <f t="shared" ca="1" si="8"/>
        <v>0</v>
      </c>
      <c r="AI136" s="506">
        <f t="shared" si="9"/>
        <v>0</v>
      </c>
      <c r="AJ136" s="506">
        <f t="shared" ca="1" si="10"/>
        <v>0</v>
      </c>
      <c r="AK136" s="506" t="str">
        <f t="shared" ca="1" si="11"/>
        <v/>
      </c>
      <c r="AL136" s="507">
        <f t="shared" ca="1" si="12"/>
        <v>1</v>
      </c>
      <c r="AM136" s="507">
        <f t="shared" ca="1" si="13"/>
        <v>19</v>
      </c>
      <c r="AN136" s="507">
        <f t="shared" ca="1" si="14"/>
        <v>3</v>
      </c>
      <c r="AO136" s="507">
        <f t="shared" ca="1" si="15"/>
        <v>0</v>
      </c>
      <c r="AP136" s="507">
        <f t="shared" ca="1" si="16"/>
        <v>0</v>
      </c>
      <c r="AQ136" s="507">
        <f t="shared" ca="1" si="17"/>
        <v>0</v>
      </c>
      <c r="AR136" s="507">
        <f t="shared" ca="1" si="18"/>
        <v>0</v>
      </c>
      <c r="AS136" s="508"/>
      <c r="AT136" s="507">
        <f t="shared" si="19"/>
        <v>1</v>
      </c>
    </row>
    <row r="137" spans="1:46" ht="15.75" customHeight="1">
      <c r="A137" s="485"/>
      <c r="B137" s="486">
        <f t="shared" ca="1" si="0"/>
        <v>1</v>
      </c>
      <c r="C137" s="487">
        <f t="shared" ca="1" si="1"/>
        <v>19</v>
      </c>
      <c r="D137" s="487">
        <f t="shared" ca="1" si="2"/>
        <v>4</v>
      </c>
      <c r="E137" s="487" t="str">
        <f t="shared" ca="1" si="3"/>
        <v/>
      </c>
      <c r="F137" s="487" t="str">
        <f t="shared" ca="1" si="4"/>
        <v/>
      </c>
      <c r="G137" s="488" t="str">
        <f t="shared" ca="1" si="5"/>
        <v/>
      </c>
      <c r="H137" s="489" t="str">
        <f t="shared" ca="1" si="6"/>
        <v/>
      </c>
      <c r="I137" s="509"/>
      <c r="J137" s="522"/>
      <c r="K137" s="522" t="s">
        <v>64</v>
      </c>
      <c r="L137" s="522"/>
      <c r="M137" s="522"/>
      <c r="N137" s="522"/>
      <c r="O137" s="522"/>
      <c r="P137" s="522"/>
      <c r="Q137" s="523"/>
      <c r="R137" s="524" t="s">
        <v>239</v>
      </c>
      <c r="S137" s="525">
        <v>45862</v>
      </c>
      <c r="T137" s="526">
        <v>45862</v>
      </c>
      <c r="U137" s="543"/>
      <c r="V137" s="526"/>
      <c r="W137" s="539">
        <v>0</v>
      </c>
      <c r="X137" s="542"/>
      <c r="Y137" s="540"/>
      <c r="Z137" s="541"/>
      <c r="AA137" s="501"/>
      <c r="AB137" s="502"/>
      <c r="AC137" s="503"/>
      <c r="AD137" s="504"/>
      <c r="AE137" s="505"/>
      <c r="AF137" s="506"/>
      <c r="AG137" s="506">
        <f t="shared" ca="1" si="7"/>
        <v>0</v>
      </c>
      <c r="AH137" s="506">
        <f t="shared" ca="1" si="8"/>
        <v>0</v>
      </c>
      <c r="AI137" s="506">
        <f t="shared" si="9"/>
        <v>0</v>
      </c>
      <c r="AJ137" s="506">
        <f t="shared" ca="1" si="10"/>
        <v>0</v>
      </c>
      <c r="AK137" s="506" t="str">
        <f t="shared" ca="1" si="11"/>
        <v/>
      </c>
      <c r="AL137" s="507">
        <f t="shared" ca="1" si="12"/>
        <v>1</v>
      </c>
      <c r="AM137" s="507">
        <f t="shared" ca="1" si="13"/>
        <v>19</v>
      </c>
      <c r="AN137" s="507">
        <f t="shared" ca="1" si="14"/>
        <v>4</v>
      </c>
      <c r="AO137" s="507">
        <f t="shared" ca="1" si="15"/>
        <v>0</v>
      </c>
      <c r="AP137" s="507">
        <f t="shared" ca="1" si="16"/>
        <v>0</v>
      </c>
      <c r="AQ137" s="507">
        <f t="shared" ca="1" si="17"/>
        <v>0</v>
      </c>
      <c r="AR137" s="507">
        <f t="shared" ca="1" si="18"/>
        <v>0</v>
      </c>
      <c r="AS137" s="508"/>
      <c r="AT137" s="507">
        <f t="shared" si="19"/>
        <v>1</v>
      </c>
    </row>
    <row r="138" spans="1:46" ht="15.75" customHeight="1">
      <c r="A138" s="485"/>
      <c r="B138" s="486">
        <f t="shared" ca="1" si="0"/>
        <v>1</v>
      </c>
      <c r="C138" s="487">
        <f t="shared" ca="1" si="1"/>
        <v>19</v>
      </c>
      <c r="D138" s="487">
        <f t="shared" ca="1" si="2"/>
        <v>5</v>
      </c>
      <c r="E138" s="487" t="str">
        <f t="shared" ca="1" si="3"/>
        <v/>
      </c>
      <c r="F138" s="487" t="str">
        <f t="shared" ca="1" si="4"/>
        <v/>
      </c>
      <c r="G138" s="488" t="str">
        <f t="shared" ca="1" si="5"/>
        <v/>
      </c>
      <c r="H138" s="489" t="str">
        <f t="shared" ca="1" si="6"/>
        <v/>
      </c>
      <c r="I138" s="509"/>
      <c r="J138" s="522"/>
      <c r="K138" s="522" t="s">
        <v>65</v>
      </c>
      <c r="L138" s="522"/>
      <c r="M138" s="522"/>
      <c r="N138" s="522"/>
      <c r="O138" s="522"/>
      <c r="P138" s="522"/>
      <c r="Q138" s="523"/>
      <c r="R138" s="524" t="s">
        <v>238</v>
      </c>
      <c r="S138" s="525">
        <v>45863</v>
      </c>
      <c r="T138" s="526">
        <v>45863</v>
      </c>
      <c r="U138" s="543"/>
      <c r="V138" s="526"/>
      <c r="W138" s="539">
        <v>0</v>
      </c>
      <c r="X138" s="542"/>
      <c r="Y138" s="540"/>
      <c r="Z138" s="541"/>
      <c r="AA138" s="501"/>
      <c r="AB138" s="502"/>
      <c r="AC138" s="503"/>
      <c r="AD138" s="504"/>
      <c r="AE138" s="505"/>
      <c r="AF138" s="506"/>
      <c r="AG138" s="506">
        <f t="shared" ca="1" si="7"/>
        <v>0</v>
      </c>
      <c r="AH138" s="506">
        <f t="shared" ca="1" si="8"/>
        <v>0</v>
      </c>
      <c r="AI138" s="506">
        <f t="shared" si="9"/>
        <v>0</v>
      </c>
      <c r="AJ138" s="506">
        <f t="shared" ca="1" si="10"/>
        <v>0</v>
      </c>
      <c r="AK138" s="506" t="str">
        <f t="shared" ca="1" si="11"/>
        <v/>
      </c>
      <c r="AL138" s="507">
        <f t="shared" ca="1" si="12"/>
        <v>1</v>
      </c>
      <c r="AM138" s="507">
        <f t="shared" ca="1" si="13"/>
        <v>19</v>
      </c>
      <c r="AN138" s="507">
        <f t="shared" ca="1" si="14"/>
        <v>5</v>
      </c>
      <c r="AO138" s="507">
        <f t="shared" ca="1" si="15"/>
        <v>0</v>
      </c>
      <c r="AP138" s="507">
        <f t="shared" ca="1" si="16"/>
        <v>0</v>
      </c>
      <c r="AQ138" s="507">
        <f t="shared" ca="1" si="17"/>
        <v>0</v>
      </c>
      <c r="AR138" s="507">
        <f t="shared" ca="1" si="18"/>
        <v>0</v>
      </c>
      <c r="AS138" s="508"/>
      <c r="AT138" s="507">
        <f t="shared" si="19"/>
        <v>1</v>
      </c>
    </row>
    <row r="139" spans="1:46" ht="15.75" customHeight="1">
      <c r="A139" s="485"/>
      <c r="B139" s="486">
        <f t="shared" ca="1" si="0"/>
        <v>1</v>
      </c>
      <c r="C139" s="487">
        <f t="shared" ca="1" si="1"/>
        <v>19</v>
      </c>
      <c r="D139" s="487">
        <f t="shared" ca="1" si="2"/>
        <v>6</v>
      </c>
      <c r="E139" s="487" t="str">
        <f t="shared" ca="1" si="3"/>
        <v/>
      </c>
      <c r="F139" s="487" t="str">
        <f t="shared" ca="1" si="4"/>
        <v/>
      </c>
      <c r="G139" s="488" t="str">
        <f t="shared" ca="1" si="5"/>
        <v/>
      </c>
      <c r="H139" s="489" t="str">
        <f t="shared" ca="1" si="6"/>
        <v/>
      </c>
      <c r="I139" s="509"/>
      <c r="J139" s="522"/>
      <c r="K139" s="522" t="s">
        <v>66</v>
      </c>
      <c r="L139" s="522"/>
      <c r="M139" s="522"/>
      <c r="N139" s="522"/>
      <c r="O139" s="522"/>
      <c r="P139" s="522"/>
      <c r="Q139" s="523"/>
      <c r="R139" s="524" t="s">
        <v>239</v>
      </c>
      <c r="S139" s="525">
        <v>45866</v>
      </c>
      <c r="T139" s="526">
        <v>45866</v>
      </c>
      <c r="U139" s="543"/>
      <c r="V139" s="526"/>
      <c r="W139" s="539">
        <v>0</v>
      </c>
      <c r="X139" s="542"/>
      <c r="Y139" s="540"/>
      <c r="Z139" s="541"/>
      <c r="AA139" s="501"/>
      <c r="AB139" s="502"/>
      <c r="AC139" s="503"/>
      <c r="AD139" s="504"/>
      <c r="AE139" s="505"/>
      <c r="AF139" s="506"/>
      <c r="AG139" s="506">
        <f t="shared" ca="1" si="7"/>
        <v>0</v>
      </c>
      <c r="AH139" s="506">
        <f t="shared" ca="1" si="8"/>
        <v>0</v>
      </c>
      <c r="AI139" s="506">
        <f t="shared" si="9"/>
        <v>0</v>
      </c>
      <c r="AJ139" s="506">
        <f t="shared" ca="1" si="10"/>
        <v>0</v>
      </c>
      <c r="AK139" s="506" t="str">
        <f t="shared" ca="1" si="11"/>
        <v/>
      </c>
      <c r="AL139" s="507">
        <f t="shared" ca="1" si="12"/>
        <v>1</v>
      </c>
      <c r="AM139" s="507">
        <f t="shared" ca="1" si="13"/>
        <v>19</v>
      </c>
      <c r="AN139" s="507">
        <f t="shared" ca="1" si="14"/>
        <v>6</v>
      </c>
      <c r="AO139" s="507">
        <f t="shared" ca="1" si="15"/>
        <v>0</v>
      </c>
      <c r="AP139" s="507">
        <f t="shared" ca="1" si="16"/>
        <v>0</v>
      </c>
      <c r="AQ139" s="507">
        <f t="shared" ca="1" si="17"/>
        <v>0</v>
      </c>
      <c r="AR139" s="507">
        <f t="shared" ca="1" si="18"/>
        <v>0</v>
      </c>
      <c r="AS139" s="508"/>
      <c r="AT139" s="507">
        <f t="shared" si="19"/>
        <v>1</v>
      </c>
    </row>
    <row r="140" spans="1:46" ht="15.75" customHeight="1">
      <c r="A140" s="485"/>
      <c r="B140" s="486">
        <f t="shared" ca="1" si="0"/>
        <v>1</v>
      </c>
      <c r="C140" s="487">
        <f t="shared" ca="1" si="1"/>
        <v>20</v>
      </c>
      <c r="D140" s="487" t="str">
        <f t="shared" ca="1" si="2"/>
        <v/>
      </c>
      <c r="E140" s="487" t="str">
        <f t="shared" ca="1" si="3"/>
        <v/>
      </c>
      <c r="F140" s="487" t="str">
        <f t="shared" ca="1" si="4"/>
        <v/>
      </c>
      <c r="G140" s="488" t="str">
        <f t="shared" ca="1" si="5"/>
        <v/>
      </c>
      <c r="H140" s="489" t="str">
        <f t="shared" ca="1" si="6"/>
        <v/>
      </c>
      <c r="I140" s="509"/>
      <c r="J140" s="510" t="s">
        <v>260</v>
      </c>
      <c r="K140" s="511"/>
      <c r="L140" s="511"/>
      <c r="M140" s="511"/>
      <c r="N140" s="511"/>
      <c r="O140" s="511"/>
      <c r="P140" s="511"/>
      <c r="Q140" s="512" t="s">
        <v>81</v>
      </c>
      <c r="R140" s="513"/>
      <c r="S140" s="514"/>
      <c r="T140" s="515"/>
      <c r="U140" s="516"/>
      <c r="V140" s="515"/>
      <c r="W140" s="517"/>
      <c r="X140" s="518"/>
      <c r="Y140" s="519"/>
      <c r="Z140" s="520"/>
      <c r="AA140" s="501"/>
      <c r="AB140" s="502"/>
      <c r="AC140" s="503"/>
      <c r="AD140" s="504"/>
      <c r="AE140" s="505"/>
      <c r="AF140" s="506"/>
      <c r="AG140" s="506">
        <f t="shared" si="7"/>
        <v>0</v>
      </c>
      <c r="AH140" s="506">
        <f t="shared" si="8"/>
        <v>0</v>
      </c>
      <c r="AI140" s="506">
        <f t="shared" si="9"/>
        <v>0</v>
      </c>
      <c r="AJ140" s="506">
        <f t="shared" si="10"/>
        <v>0</v>
      </c>
      <c r="AK140" s="506" t="str">
        <f t="shared" si="11"/>
        <v/>
      </c>
      <c r="AL140" s="507">
        <f t="shared" ca="1" si="12"/>
        <v>1</v>
      </c>
      <c r="AM140" s="507">
        <f t="shared" ca="1" si="13"/>
        <v>20</v>
      </c>
      <c r="AN140" s="507">
        <f t="shared" ca="1" si="14"/>
        <v>0</v>
      </c>
      <c r="AO140" s="507">
        <f t="shared" ca="1" si="15"/>
        <v>0</v>
      </c>
      <c r="AP140" s="507">
        <f t="shared" ca="1" si="16"/>
        <v>0</v>
      </c>
      <c r="AQ140" s="507">
        <f t="shared" ca="1" si="17"/>
        <v>0</v>
      </c>
      <c r="AR140" s="507">
        <f t="shared" ca="1" si="18"/>
        <v>0</v>
      </c>
      <c r="AS140" s="508"/>
      <c r="AT140" s="507">
        <f t="shared" si="19"/>
        <v>1</v>
      </c>
    </row>
    <row r="141" spans="1:46" ht="15.75" customHeight="1">
      <c r="A141" s="485"/>
      <c r="B141" s="486">
        <f t="shared" ca="1" si="0"/>
        <v>1</v>
      </c>
      <c r="C141" s="487">
        <f t="shared" ca="1" si="1"/>
        <v>20</v>
      </c>
      <c r="D141" s="487">
        <f t="shared" ca="1" si="2"/>
        <v>1</v>
      </c>
      <c r="E141" s="487" t="str">
        <f t="shared" ca="1" si="3"/>
        <v/>
      </c>
      <c r="F141" s="487" t="str">
        <f t="shared" ca="1" si="4"/>
        <v/>
      </c>
      <c r="G141" s="488" t="str">
        <f t="shared" ca="1" si="5"/>
        <v/>
      </c>
      <c r="H141" s="489" t="str">
        <f t="shared" ca="1" si="6"/>
        <v/>
      </c>
      <c r="I141" s="509"/>
      <c r="J141" s="522"/>
      <c r="K141" s="522" t="s">
        <v>59</v>
      </c>
      <c r="L141" s="522"/>
      <c r="M141" s="522"/>
      <c r="N141" s="522"/>
      <c r="O141" s="522"/>
      <c r="P141" s="522"/>
      <c r="Q141" s="523"/>
      <c r="R141" s="524" t="s">
        <v>239</v>
      </c>
      <c r="S141" s="525">
        <v>45854</v>
      </c>
      <c r="T141" s="526">
        <v>45860</v>
      </c>
      <c r="U141" s="543"/>
      <c r="V141" s="526"/>
      <c r="W141" s="539">
        <v>0</v>
      </c>
      <c r="X141" s="542"/>
      <c r="Y141" s="540"/>
      <c r="Z141" s="541"/>
      <c r="AA141" s="501"/>
      <c r="AB141" s="502"/>
      <c r="AC141" s="503"/>
      <c r="AD141" s="504"/>
      <c r="AE141" s="505"/>
      <c r="AF141" s="506"/>
      <c r="AG141" s="506">
        <f t="shared" ca="1" si="7"/>
        <v>0</v>
      </c>
      <c r="AH141" s="506">
        <f t="shared" ca="1" si="8"/>
        <v>0</v>
      </c>
      <c r="AI141" s="506">
        <f t="shared" si="9"/>
        <v>0</v>
      </c>
      <c r="AJ141" s="506">
        <f t="shared" ca="1" si="10"/>
        <v>0</v>
      </c>
      <c r="AK141" s="506" t="str">
        <f t="shared" ca="1" si="11"/>
        <v/>
      </c>
      <c r="AL141" s="507">
        <f t="shared" ca="1" si="12"/>
        <v>1</v>
      </c>
      <c r="AM141" s="507">
        <f t="shared" ca="1" si="13"/>
        <v>20</v>
      </c>
      <c r="AN141" s="507">
        <f t="shared" ca="1" si="14"/>
        <v>1</v>
      </c>
      <c r="AO141" s="507">
        <f t="shared" ca="1" si="15"/>
        <v>0</v>
      </c>
      <c r="AP141" s="507">
        <f t="shared" ca="1" si="16"/>
        <v>0</v>
      </c>
      <c r="AQ141" s="507">
        <f t="shared" ca="1" si="17"/>
        <v>0</v>
      </c>
      <c r="AR141" s="507">
        <f t="shared" ca="1" si="18"/>
        <v>0</v>
      </c>
      <c r="AS141" s="508"/>
      <c r="AT141" s="507">
        <f t="shared" si="19"/>
        <v>7</v>
      </c>
    </row>
    <row r="142" spans="1:46" ht="15.75" customHeight="1">
      <c r="A142" s="485"/>
      <c r="B142" s="486">
        <f t="shared" ca="1" si="0"/>
        <v>1</v>
      </c>
      <c r="C142" s="487">
        <f t="shared" ca="1" si="1"/>
        <v>20</v>
      </c>
      <c r="D142" s="487">
        <f t="shared" ca="1" si="2"/>
        <v>2</v>
      </c>
      <c r="E142" s="487" t="str">
        <f t="shared" ca="1" si="3"/>
        <v/>
      </c>
      <c r="F142" s="487" t="str">
        <f t="shared" ca="1" si="4"/>
        <v/>
      </c>
      <c r="G142" s="488" t="str">
        <f t="shared" ca="1" si="5"/>
        <v/>
      </c>
      <c r="H142" s="489" t="str">
        <f t="shared" ca="1" si="6"/>
        <v/>
      </c>
      <c r="I142" s="509"/>
      <c r="J142" s="522"/>
      <c r="K142" s="522" t="s">
        <v>145</v>
      </c>
      <c r="L142" s="522"/>
      <c r="M142" s="522"/>
      <c r="N142" s="522"/>
      <c r="O142" s="522"/>
      <c r="P142" s="522"/>
      <c r="Q142" s="523"/>
      <c r="R142" s="524" t="s">
        <v>238</v>
      </c>
      <c r="S142" s="525">
        <v>45861</v>
      </c>
      <c r="T142" s="526">
        <v>45861</v>
      </c>
      <c r="U142" s="543"/>
      <c r="V142" s="526"/>
      <c r="W142" s="539">
        <v>0</v>
      </c>
      <c r="X142" s="542"/>
      <c r="Y142" s="540"/>
      <c r="Z142" s="541"/>
      <c r="AA142" s="501"/>
      <c r="AB142" s="502"/>
      <c r="AC142" s="503"/>
      <c r="AD142" s="504"/>
      <c r="AE142" s="505"/>
      <c r="AF142" s="506"/>
      <c r="AG142" s="506">
        <f t="shared" ca="1" si="7"/>
        <v>0</v>
      </c>
      <c r="AH142" s="506">
        <f t="shared" ca="1" si="8"/>
        <v>0</v>
      </c>
      <c r="AI142" s="506">
        <f t="shared" si="9"/>
        <v>0</v>
      </c>
      <c r="AJ142" s="506">
        <f t="shared" ca="1" si="10"/>
        <v>0</v>
      </c>
      <c r="AK142" s="506" t="str">
        <f t="shared" ca="1" si="11"/>
        <v/>
      </c>
      <c r="AL142" s="507">
        <f t="shared" ca="1" si="12"/>
        <v>1</v>
      </c>
      <c r="AM142" s="507">
        <f t="shared" ca="1" si="13"/>
        <v>20</v>
      </c>
      <c r="AN142" s="507">
        <f t="shared" ca="1" si="14"/>
        <v>2</v>
      </c>
      <c r="AO142" s="507">
        <f t="shared" ca="1" si="15"/>
        <v>0</v>
      </c>
      <c r="AP142" s="507">
        <f t="shared" ca="1" si="16"/>
        <v>0</v>
      </c>
      <c r="AQ142" s="507">
        <f t="shared" ca="1" si="17"/>
        <v>0</v>
      </c>
      <c r="AR142" s="507">
        <f t="shared" ca="1" si="18"/>
        <v>0</v>
      </c>
      <c r="AS142" s="508"/>
      <c r="AT142" s="507">
        <f t="shared" si="19"/>
        <v>1</v>
      </c>
    </row>
    <row r="143" spans="1:46" ht="15.75" customHeight="1">
      <c r="A143" s="485"/>
      <c r="B143" s="486">
        <f t="shared" ca="1" si="0"/>
        <v>1</v>
      </c>
      <c r="C143" s="487">
        <f t="shared" ca="1" si="1"/>
        <v>20</v>
      </c>
      <c r="D143" s="487">
        <f t="shared" ca="1" si="2"/>
        <v>3</v>
      </c>
      <c r="E143" s="487" t="str">
        <f t="shared" ca="1" si="3"/>
        <v/>
      </c>
      <c r="F143" s="487" t="str">
        <f t="shared" ca="1" si="4"/>
        <v/>
      </c>
      <c r="G143" s="488" t="str">
        <f t="shared" ca="1" si="5"/>
        <v/>
      </c>
      <c r="H143" s="489" t="str">
        <f t="shared" ca="1" si="6"/>
        <v/>
      </c>
      <c r="I143" s="509"/>
      <c r="J143" s="522"/>
      <c r="K143" s="522" t="s">
        <v>63</v>
      </c>
      <c r="L143" s="522"/>
      <c r="M143" s="522"/>
      <c r="N143" s="522"/>
      <c r="O143" s="522"/>
      <c r="P143" s="522"/>
      <c r="Q143" s="523"/>
      <c r="R143" s="524" t="s">
        <v>239</v>
      </c>
      <c r="S143" s="525">
        <v>45862</v>
      </c>
      <c r="T143" s="526">
        <v>45862</v>
      </c>
      <c r="U143" s="543"/>
      <c r="V143" s="526"/>
      <c r="W143" s="539">
        <v>0</v>
      </c>
      <c r="X143" s="542"/>
      <c r="Y143" s="540"/>
      <c r="Z143" s="541"/>
      <c r="AA143" s="501"/>
      <c r="AB143" s="502"/>
      <c r="AC143" s="503"/>
      <c r="AD143" s="504"/>
      <c r="AE143" s="505"/>
      <c r="AF143" s="506"/>
      <c r="AG143" s="506">
        <f t="shared" ca="1" si="7"/>
        <v>0</v>
      </c>
      <c r="AH143" s="506">
        <f t="shared" ca="1" si="8"/>
        <v>0</v>
      </c>
      <c r="AI143" s="506">
        <f t="shared" si="9"/>
        <v>0</v>
      </c>
      <c r="AJ143" s="506">
        <f t="shared" ca="1" si="10"/>
        <v>0</v>
      </c>
      <c r="AK143" s="506" t="str">
        <f t="shared" ca="1" si="11"/>
        <v/>
      </c>
      <c r="AL143" s="507">
        <f t="shared" ca="1" si="12"/>
        <v>1</v>
      </c>
      <c r="AM143" s="507">
        <f t="shared" ca="1" si="13"/>
        <v>20</v>
      </c>
      <c r="AN143" s="507">
        <f t="shared" ca="1" si="14"/>
        <v>3</v>
      </c>
      <c r="AO143" s="507">
        <f t="shared" ca="1" si="15"/>
        <v>0</v>
      </c>
      <c r="AP143" s="507">
        <f t="shared" ca="1" si="16"/>
        <v>0</v>
      </c>
      <c r="AQ143" s="507">
        <f t="shared" ca="1" si="17"/>
        <v>0</v>
      </c>
      <c r="AR143" s="507">
        <f t="shared" ca="1" si="18"/>
        <v>0</v>
      </c>
      <c r="AS143" s="508"/>
      <c r="AT143" s="507">
        <f t="shared" si="19"/>
        <v>1</v>
      </c>
    </row>
    <row r="144" spans="1:46" ht="15.75" customHeight="1">
      <c r="A144" s="485"/>
      <c r="B144" s="486">
        <f t="shared" ca="1" si="0"/>
        <v>1</v>
      </c>
      <c r="C144" s="487">
        <f t="shared" ca="1" si="1"/>
        <v>20</v>
      </c>
      <c r="D144" s="487">
        <f t="shared" ca="1" si="2"/>
        <v>4</v>
      </c>
      <c r="E144" s="487" t="str">
        <f t="shared" ca="1" si="3"/>
        <v/>
      </c>
      <c r="F144" s="487" t="str">
        <f t="shared" ca="1" si="4"/>
        <v/>
      </c>
      <c r="G144" s="488" t="str">
        <f t="shared" ca="1" si="5"/>
        <v/>
      </c>
      <c r="H144" s="489" t="str">
        <f t="shared" ca="1" si="6"/>
        <v/>
      </c>
      <c r="I144" s="509"/>
      <c r="J144" s="522"/>
      <c r="K144" s="522" t="s">
        <v>64</v>
      </c>
      <c r="L144" s="522"/>
      <c r="M144" s="522"/>
      <c r="N144" s="522"/>
      <c r="O144" s="522"/>
      <c r="P144" s="522"/>
      <c r="Q144" s="523"/>
      <c r="R144" s="524" t="s">
        <v>238</v>
      </c>
      <c r="S144" s="525">
        <v>45862</v>
      </c>
      <c r="T144" s="526">
        <v>45862</v>
      </c>
      <c r="U144" s="543"/>
      <c r="V144" s="526"/>
      <c r="W144" s="539">
        <v>0</v>
      </c>
      <c r="X144" s="542"/>
      <c r="Y144" s="540"/>
      <c r="Z144" s="541"/>
      <c r="AA144" s="501"/>
      <c r="AB144" s="502"/>
      <c r="AC144" s="503"/>
      <c r="AD144" s="504"/>
      <c r="AE144" s="505"/>
      <c r="AF144" s="506"/>
      <c r="AG144" s="506">
        <f t="shared" ca="1" si="7"/>
        <v>0</v>
      </c>
      <c r="AH144" s="506">
        <f t="shared" ca="1" si="8"/>
        <v>0</v>
      </c>
      <c r="AI144" s="506">
        <f t="shared" si="9"/>
        <v>0</v>
      </c>
      <c r="AJ144" s="506">
        <f t="shared" ca="1" si="10"/>
        <v>0</v>
      </c>
      <c r="AK144" s="506" t="str">
        <f t="shared" ca="1" si="11"/>
        <v/>
      </c>
      <c r="AL144" s="507">
        <f t="shared" ca="1" si="12"/>
        <v>1</v>
      </c>
      <c r="AM144" s="507">
        <f t="shared" ca="1" si="13"/>
        <v>20</v>
      </c>
      <c r="AN144" s="507">
        <f t="shared" ca="1" si="14"/>
        <v>4</v>
      </c>
      <c r="AO144" s="507">
        <f t="shared" ca="1" si="15"/>
        <v>0</v>
      </c>
      <c r="AP144" s="507">
        <f t="shared" ca="1" si="16"/>
        <v>0</v>
      </c>
      <c r="AQ144" s="507">
        <f t="shared" ca="1" si="17"/>
        <v>0</v>
      </c>
      <c r="AR144" s="507">
        <f t="shared" ca="1" si="18"/>
        <v>0</v>
      </c>
      <c r="AS144" s="508"/>
      <c r="AT144" s="507">
        <f t="shared" si="19"/>
        <v>1</v>
      </c>
    </row>
    <row r="145" spans="1:46" ht="15.75" customHeight="1">
      <c r="A145" s="485"/>
      <c r="B145" s="486">
        <f t="shared" ca="1" si="0"/>
        <v>1</v>
      </c>
      <c r="C145" s="487">
        <f t="shared" ca="1" si="1"/>
        <v>20</v>
      </c>
      <c r="D145" s="487">
        <f t="shared" ca="1" si="2"/>
        <v>5</v>
      </c>
      <c r="E145" s="487" t="str">
        <f t="shared" ca="1" si="3"/>
        <v/>
      </c>
      <c r="F145" s="487" t="str">
        <f t="shared" ca="1" si="4"/>
        <v/>
      </c>
      <c r="G145" s="488" t="str">
        <f t="shared" ca="1" si="5"/>
        <v/>
      </c>
      <c r="H145" s="489" t="str">
        <f t="shared" ca="1" si="6"/>
        <v/>
      </c>
      <c r="I145" s="509"/>
      <c r="J145" s="522"/>
      <c r="K145" s="522" t="s">
        <v>65</v>
      </c>
      <c r="L145" s="522"/>
      <c r="M145" s="522"/>
      <c r="N145" s="522"/>
      <c r="O145" s="522"/>
      <c r="P145" s="522"/>
      <c r="Q145" s="523"/>
      <c r="R145" s="524" t="s">
        <v>239</v>
      </c>
      <c r="S145" s="525">
        <v>45863</v>
      </c>
      <c r="T145" s="526">
        <v>45863</v>
      </c>
      <c r="U145" s="543"/>
      <c r="V145" s="526"/>
      <c r="W145" s="539">
        <v>0</v>
      </c>
      <c r="X145" s="542"/>
      <c r="Y145" s="540"/>
      <c r="Z145" s="541"/>
      <c r="AA145" s="501"/>
      <c r="AB145" s="502"/>
      <c r="AC145" s="503"/>
      <c r="AD145" s="504"/>
      <c r="AE145" s="505"/>
      <c r="AF145" s="506"/>
      <c r="AG145" s="506">
        <f t="shared" ca="1" si="7"/>
        <v>0</v>
      </c>
      <c r="AH145" s="506">
        <f t="shared" ca="1" si="8"/>
        <v>0</v>
      </c>
      <c r="AI145" s="506">
        <f t="shared" si="9"/>
        <v>0</v>
      </c>
      <c r="AJ145" s="506">
        <f t="shared" ca="1" si="10"/>
        <v>0</v>
      </c>
      <c r="AK145" s="506" t="str">
        <f t="shared" ca="1" si="11"/>
        <v/>
      </c>
      <c r="AL145" s="507">
        <f t="shared" ca="1" si="12"/>
        <v>1</v>
      </c>
      <c r="AM145" s="507">
        <f t="shared" ca="1" si="13"/>
        <v>20</v>
      </c>
      <c r="AN145" s="507">
        <f t="shared" ca="1" si="14"/>
        <v>5</v>
      </c>
      <c r="AO145" s="507">
        <f t="shared" ca="1" si="15"/>
        <v>0</v>
      </c>
      <c r="AP145" s="507">
        <f t="shared" ca="1" si="16"/>
        <v>0</v>
      </c>
      <c r="AQ145" s="507">
        <f t="shared" ca="1" si="17"/>
        <v>0</v>
      </c>
      <c r="AR145" s="507">
        <f t="shared" ca="1" si="18"/>
        <v>0</v>
      </c>
      <c r="AS145" s="508"/>
      <c r="AT145" s="507">
        <f t="shared" si="19"/>
        <v>1</v>
      </c>
    </row>
    <row r="146" spans="1:46" ht="15.75" customHeight="1">
      <c r="A146" s="485"/>
      <c r="B146" s="486">
        <f t="shared" ca="1" si="0"/>
        <v>1</v>
      </c>
      <c r="C146" s="487">
        <f t="shared" ca="1" si="1"/>
        <v>20</v>
      </c>
      <c r="D146" s="487">
        <f t="shared" ca="1" si="2"/>
        <v>6</v>
      </c>
      <c r="E146" s="487" t="str">
        <f t="shared" ca="1" si="3"/>
        <v/>
      </c>
      <c r="F146" s="487" t="str">
        <f t="shared" ca="1" si="4"/>
        <v/>
      </c>
      <c r="G146" s="488" t="str">
        <f t="shared" ca="1" si="5"/>
        <v/>
      </c>
      <c r="H146" s="489" t="str">
        <f t="shared" ca="1" si="6"/>
        <v/>
      </c>
      <c r="I146" s="509"/>
      <c r="J146" s="522"/>
      <c r="K146" s="522" t="s">
        <v>66</v>
      </c>
      <c r="L146" s="522"/>
      <c r="M146" s="522"/>
      <c r="N146" s="522"/>
      <c r="O146" s="522"/>
      <c r="P146" s="522"/>
      <c r="Q146" s="523"/>
      <c r="R146" s="524" t="s">
        <v>238</v>
      </c>
      <c r="S146" s="525">
        <v>45866</v>
      </c>
      <c r="T146" s="526">
        <v>45866</v>
      </c>
      <c r="U146" s="543"/>
      <c r="V146" s="526"/>
      <c r="W146" s="539">
        <v>0</v>
      </c>
      <c r="X146" s="542"/>
      <c r="Y146" s="540"/>
      <c r="Z146" s="541"/>
      <c r="AA146" s="501"/>
      <c r="AB146" s="502"/>
      <c r="AC146" s="503"/>
      <c r="AD146" s="504"/>
      <c r="AE146" s="505"/>
      <c r="AF146" s="506"/>
      <c r="AG146" s="506">
        <f t="shared" ca="1" si="7"/>
        <v>0</v>
      </c>
      <c r="AH146" s="506">
        <f t="shared" ca="1" si="8"/>
        <v>0</v>
      </c>
      <c r="AI146" s="506">
        <f t="shared" si="9"/>
        <v>0</v>
      </c>
      <c r="AJ146" s="506">
        <f t="shared" ca="1" si="10"/>
        <v>0</v>
      </c>
      <c r="AK146" s="506" t="str">
        <f t="shared" ca="1" si="11"/>
        <v/>
      </c>
      <c r="AL146" s="507">
        <f t="shared" ca="1" si="12"/>
        <v>1</v>
      </c>
      <c r="AM146" s="507">
        <f t="shared" ca="1" si="13"/>
        <v>20</v>
      </c>
      <c r="AN146" s="507">
        <f t="shared" ca="1" si="14"/>
        <v>6</v>
      </c>
      <c r="AO146" s="507">
        <f t="shared" ca="1" si="15"/>
        <v>0</v>
      </c>
      <c r="AP146" s="507">
        <f t="shared" ca="1" si="16"/>
        <v>0</v>
      </c>
      <c r="AQ146" s="507">
        <f t="shared" ca="1" si="17"/>
        <v>0</v>
      </c>
      <c r="AR146" s="507">
        <f t="shared" ca="1" si="18"/>
        <v>0</v>
      </c>
      <c r="AS146" s="508"/>
      <c r="AT146" s="507">
        <f t="shared" si="19"/>
        <v>1</v>
      </c>
    </row>
    <row r="147" spans="1:46" ht="15.75" customHeight="1">
      <c r="A147" s="485"/>
      <c r="B147" s="486">
        <f t="shared" ca="1" si="0"/>
        <v>1</v>
      </c>
      <c r="C147" s="487">
        <f t="shared" ca="1" si="1"/>
        <v>21</v>
      </c>
      <c r="D147" s="487" t="str">
        <f t="shared" ca="1" si="2"/>
        <v/>
      </c>
      <c r="E147" s="487" t="str">
        <f t="shared" ca="1" si="3"/>
        <v/>
      </c>
      <c r="F147" s="487" t="str">
        <f t="shared" ca="1" si="4"/>
        <v/>
      </c>
      <c r="G147" s="488" t="str">
        <f t="shared" ca="1" si="5"/>
        <v/>
      </c>
      <c r="H147" s="489" t="str">
        <f t="shared" ca="1" si="6"/>
        <v/>
      </c>
      <c r="I147" s="509"/>
      <c r="J147" s="510" t="s">
        <v>261</v>
      </c>
      <c r="K147" s="511"/>
      <c r="L147" s="511"/>
      <c r="M147" s="511"/>
      <c r="N147" s="511"/>
      <c r="O147" s="511"/>
      <c r="P147" s="511"/>
      <c r="Q147" s="512" t="s">
        <v>73</v>
      </c>
      <c r="R147" s="513"/>
      <c r="S147" s="514"/>
      <c r="T147" s="515"/>
      <c r="U147" s="516"/>
      <c r="V147" s="515"/>
      <c r="W147" s="517"/>
      <c r="X147" s="518"/>
      <c r="Y147" s="519"/>
      <c r="Z147" s="520"/>
      <c r="AA147" s="501"/>
      <c r="AB147" s="502"/>
      <c r="AC147" s="503"/>
      <c r="AD147" s="504"/>
      <c r="AE147" s="505"/>
      <c r="AF147" s="506"/>
      <c r="AG147" s="506">
        <f t="shared" si="7"/>
        <v>0</v>
      </c>
      <c r="AH147" s="506">
        <f t="shared" si="8"/>
        <v>0</v>
      </c>
      <c r="AI147" s="506">
        <f t="shared" si="9"/>
        <v>0</v>
      </c>
      <c r="AJ147" s="506">
        <f t="shared" si="10"/>
        <v>0</v>
      </c>
      <c r="AK147" s="506" t="str">
        <f t="shared" si="11"/>
        <v/>
      </c>
      <c r="AL147" s="507">
        <f t="shared" ca="1" si="12"/>
        <v>1</v>
      </c>
      <c r="AM147" s="507">
        <f t="shared" ca="1" si="13"/>
        <v>21</v>
      </c>
      <c r="AN147" s="507">
        <f t="shared" ca="1" si="14"/>
        <v>0</v>
      </c>
      <c r="AO147" s="507">
        <f t="shared" ca="1" si="15"/>
        <v>0</v>
      </c>
      <c r="AP147" s="507">
        <f t="shared" ca="1" si="16"/>
        <v>0</v>
      </c>
      <c r="AQ147" s="507">
        <f t="shared" ca="1" si="17"/>
        <v>0</v>
      </c>
      <c r="AR147" s="507">
        <f t="shared" ca="1" si="18"/>
        <v>0</v>
      </c>
      <c r="AS147" s="508"/>
      <c r="AT147" s="507">
        <f t="shared" si="19"/>
        <v>1</v>
      </c>
    </row>
    <row r="148" spans="1:46" ht="15.75" customHeight="1">
      <c r="A148" s="485"/>
      <c r="B148" s="486">
        <f t="shared" ca="1" si="0"/>
        <v>1</v>
      </c>
      <c r="C148" s="487">
        <f t="shared" ca="1" si="1"/>
        <v>21</v>
      </c>
      <c r="D148" s="487">
        <f t="shared" ca="1" si="2"/>
        <v>1</v>
      </c>
      <c r="E148" s="487" t="str">
        <f t="shared" ca="1" si="3"/>
        <v/>
      </c>
      <c r="F148" s="487" t="str">
        <f t="shared" ca="1" si="4"/>
        <v/>
      </c>
      <c r="G148" s="488" t="str">
        <f t="shared" ca="1" si="5"/>
        <v/>
      </c>
      <c r="H148" s="489" t="str">
        <f t="shared" ca="1" si="6"/>
        <v/>
      </c>
      <c r="I148" s="509"/>
      <c r="J148" s="522"/>
      <c r="K148" s="522" t="s">
        <v>59</v>
      </c>
      <c r="L148" s="522"/>
      <c r="M148" s="522"/>
      <c r="N148" s="522"/>
      <c r="O148" s="522"/>
      <c r="P148" s="522"/>
      <c r="Q148" s="523"/>
      <c r="R148" s="524" t="s">
        <v>247</v>
      </c>
      <c r="S148" s="525">
        <v>45839</v>
      </c>
      <c r="T148" s="526">
        <v>45845</v>
      </c>
      <c r="U148" s="543"/>
      <c r="V148" s="526"/>
      <c r="W148" s="539">
        <v>0</v>
      </c>
      <c r="X148" s="542"/>
      <c r="Y148" s="540"/>
      <c r="Z148" s="541"/>
      <c r="AA148" s="501"/>
      <c r="AB148" s="502"/>
      <c r="AC148" s="503"/>
      <c r="AD148" s="504"/>
      <c r="AE148" s="505"/>
      <c r="AF148" s="506"/>
      <c r="AG148" s="506">
        <f t="shared" ca="1" si="7"/>
        <v>0</v>
      </c>
      <c r="AH148" s="506">
        <f t="shared" ca="1" si="8"/>
        <v>0</v>
      </c>
      <c r="AI148" s="506">
        <f t="shared" si="9"/>
        <v>0</v>
      </c>
      <c r="AJ148" s="506">
        <f t="shared" ca="1" si="10"/>
        <v>0</v>
      </c>
      <c r="AK148" s="506" t="str">
        <f t="shared" ca="1" si="11"/>
        <v/>
      </c>
      <c r="AL148" s="507">
        <f t="shared" ca="1" si="12"/>
        <v>1</v>
      </c>
      <c r="AM148" s="507">
        <f t="shared" ca="1" si="13"/>
        <v>21</v>
      </c>
      <c r="AN148" s="507">
        <f t="shared" ca="1" si="14"/>
        <v>1</v>
      </c>
      <c r="AO148" s="507">
        <f t="shared" ca="1" si="15"/>
        <v>0</v>
      </c>
      <c r="AP148" s="507">
        <f t="shared" ca="1" si="16"/>
        <v>0</v>
      </c>
      <c r="AQ148" s="507">
        <f t="shared" ca="1" si="17"/>
        <v>0</v>
      </c>
      <c r="AR148" s="507">
        <f t="shared" ca="1" si="18"/>
        <v>0</v>
      </c>
      <c r="AS148" s="508"/>
      <c r="AT148" s="507">
        <f t="shared" si="19"/>
        <v>7</v>
      </c>
    </row>
    <row r="149" spans="1:46" ht="15.75" customHeight="1">
      <c r="A149" s="485"/>
      <c r="B149" s="486">
        <f t="shared" ca="1" si="0"/>
        <v>1</v>
      </c>
      <c r="C149" s="487">
        <f t="shared" ca="1" si="1"/>
        <v>21</v>
      </c>
      <c r="D149" s="487">
        <f t="shared" ca="1" si="2"/>
        <v>2</v>
      </c>
      <c r="E149" s="487" t="str">
        <f t="shared" ca="1" si="3"/>
        <v/>
      </c>
      <c r="F149" s="487" t="str">
        <f t="shared" ca="1" si="4"/>
        <v/>
      </c>
      <c r="G149" s="488" t="str">
        <f t="shared" ca="1" si="5"/>
        <v/>
      </c>
      <c r="H149" s="489" t="str">
        <f t="shared" ca="1" si="6"/>
        <v/>
      </c>
      <c r="I149" s="509"/>
      <c r="J149" s="522"/>
      <c r="K149" s="522" t="s">
        <v>145</v>
      </c>
      <c r="L149" s="522"/>
      <c r="M149" s="522"/>
      <c r="N149" s="522"/>
      <c r="O149" s="522"/>
      <c r="P149" s="522"/>
      <c r="Q149" s="523"/>
      <c r="R149" s="524" t="s">
        <v>246</v>
      </c>
      <c r="S149" s="525">
        <v>45846</v>
      </c>
      <c r="T149" s="526">
        <v>45846</v>
      </c>
      <c r="U149" s="543"/>
      <c r="V149" s="526"/>
      <c r="W149" s="539">
        <v>0</v>
      </c>
      <c r="X149" s="542"/>
      <c r="Y149" s="540"/>
      <c r="Z149" s="541"/>
      <c r="AA149" s="501"/>
      <c r="AB149" s="502"/>
      <c r="AC149" s="503"/>
      <c r="AD149" s="504"/>
      <c r="AE149" s="505"/>
      <c r="AF149" s="506"/>
      <c r="AG149" s="506">
        <f t="shared" ca="1" si="7"/>
        <v>0</v>
      </c>
      <c r="AH149" s="506">
        <f t="shared" ca="1" si="8"/>
        <v>0</v>
      </c>
      <c r="AI149" s="506">
        <f t="shared" si="9"/>
        <v>0</v>
      </c>
      <c r="AJ149" s="506">
        <f t="shared" ca="1" si="10"/>
        <v>0</v>
      </c>
      <c r="AK149" s="506" t="str">
        <f t="shared" ca="1" si="11"/>
        <v/>
      </c>
      <c r="AL149" s="507">
        <f t="shared" ca="1" si="12"/>
        <v>1</v>
      </c>
      <c r="AM149" s="507">
        <f t="shared" ca="1" si="13"/>
        <v>21</v>
      </c>
      <c r="AN149" s="507">
        <f t="shared" ca="1" si="14"/>
        <v>2</v>
      </c>
      <c r="AO149" s="507">
        <f t="shared" ca="1" si="15"/>
        <v>0</v>
      </c>
      <c r="AP149" s="507">
        <f t="shared" ca="1" si="16"/>
        <v>0</v>
      </c>
      <c r="AQ149" s="507">
        <f t="shared" ca="1" si="17"/>
        <v>0</v>
      </c>
      <c r="AR149" s="507">
        <f t="shared" ca="1" si="18"/>
        <v>0</v>
      </c>
      <c r="AS149" s="508"/>
      <c r="AT149" s="507">
        <f t="shared" si="19"/>
        <v>1</v>
      </c>
    </row>
    <row r="150" spans="1:46" ht="15.75" customHeight="1">
      <c r="A150" s="485"/>
      <c r="B150" s="486">
        <f t="shared" ca="1" si="0"/>
        <v>1</v>
      </c>
      <c r="C150" s="487">
        <f t="shared" ca="1" si="1"/>
        <v>21</v>
      </c>
      <c r="D150" s="487">
        <f t="shared" ca="1" si="2"/>
        <v>3</v>
      </c>
      <c r="E150" s="487" t="str">
        <f t="shared" ca="1" si="3"/>
        <v/>
      </c>
      <c r="F150" s="487" t="str">
        <f t="shared" ca="1" si="4"/>
        <v/>
      </c>
      <c r="G150" s="488" t="str">
        <f t="shared" ca="1" si="5"/>
        <v/>
      </c>
      <c r="H150" s="489" t="str">
        <f t="shared" ca="1" si="6"/>
        <v/>
      </c>
      <c r="I150" s="509"/>
      <c r="J150" s="522"/>
      <c r="K150" s="522" t="s">
        <v>63</v>
      </c>
      <c r="L150" s="522"/>
      <c r="M150" s="522"/>
      <c r="N150" s="522"/>
      <c r="O150" s="522"/>
      <c r="P150" s="522"/>
      <c r="Q150" s="523"/>
      <c r="R150" s="524" t="s">
        <v>247</v>
      </c>
      <c r="S150" s="525">
        <v>45847</v>
      </c>
      <c r="T150" s="526">
        <v>45848</v>
      </c>
      <c r="U150" s="543"/>
      <c r="V150" s="526"/>
      <c r="W150" s="539">
        <v>0</v>
      </c>
      <c r="X150" s="542"/>
      <c r="Y150" s="540"/>
      <c r="Z150" s="541"/>
      <c r="AA150" s="501"/>
      <c r="AB150" s="502"/>
      <c r="AC150" s="503"/>
      <c r="AD150" s="504"/>
      <c r="AE150" s="505"/>
      <c r="AF150" s="506"/>
      <c r="AG150" s="506">
        <f t="shared" ca="1" si="7"/>
        <v>0</v>
      </c>
      <c r="AH150" s="506">
        <f t="shared" ca="1" si="8"/>
        <v>0</v>
      </c>
      <c r="AI150" s="506">
        <f t="shared" si="9"/>
        <v>0</v>
      </c>
      <c r="AJ150" s="506">
        <f t="shared" ca="1" si="10"/>
        <v>0</v>
      </c>
      <c r="AK150" s="506" t="str">
        <f t="shared" ca="1" si="11"/>
        <v/>
      </c>
      <c r="AL150" s="507">
        <f t="shared" ca="1" si="12"/>
        <v>1</v>
      </c>
      <c r="AM150" s="507">
        <f t="shared" ca="1" si="13"/>
        <v>21</v>
      </c>
      <c r="AN150" s="507">
        <f t="shared" ca="1" si="14"/>
        <v>3</v>
      </c>
      <c r="AO150" s="507">
        <f t="shared" ca="1" si="15"/>
        <v>0</v>
      </c>
      <c r="AP150" s="507">
        <f t="shared" ca="1" si="16"/>
        <v>0</v>
      </c>
      <c r="AQ150" s="507">
        <f t="shared" ca="1" si="17"/>
        <v>0</v>
      </c>
      <c r="AR150" s="507">
        <f t="shared" ca="1" si="18"/>
        <v>0</v>
      </c>
      <c r="AS150" s="508"/>
      <c r="AT150" s="507">
        <f t="shared" si="19"/>
        <v>2</v>
      </c>
    </row>
    <row r="151" spans="1:46" ht="15.75" customHeight="1">
      <c r="A151" s="485"/>
      <c r="B151" s="486">
        <f t="shared" ca="1" si="0"/>
        <v>1</v>
      </c>
      <c r="C151" s="487">
        <f t="shared" ca="1" si="1"/>
        <v>21</v>
      </c>
      <c r="D151" s="487">
        <f t="shared" ca="1" si="2"/>
        <v>4</v>
      </c>
      <c r="E151" s="487" t="str">
        <f t="shared" ca="1" si="3"/>
        <v/>
      </c>
      <c r="F151" s="487" t="str">
        <f t="shared" ca="1" si="4"/>
        <v/>
      </c>
      <c r="G151" s="488" t="str">
        <f t="shared" ca="1" si="5"/>
        <v/>
      </c>
      <c r="H151" s="489" t="str">
        <f t="shared" ca="1" si="6"/>
        <v/>
      </c>
      <c r="I151" s="509"/>
      <c r="J151" s="522"/>
      <c r="K151" s="522" t="s">
        <v>64</v>
      </c>
      <c r="L151" s="522"/>
      <c r="M151" s="522"/>
      <c r="N151" s="522"/>
      <c r="O151" s="522"/>
      <c r="P151" s="522"/>
      <c r="Q151" s="523"/>
      <c r="R151" s="524" t="s">
        <v>246</v>
      </c>
      <c r="S151" s="525">
        <v>45849</v>
      </c>
      <c r="T151" s="526">
        <v>45849</v>
      </c>
      <c r="U151" s="543"/>
      <c r="V151" s="526"/>
      <c r="W151" s="539">
        <v>0</v>
      </c>
      <c r="X151" s="542"/>
      <c r="Y151" s="540"/>
      <c r="Z151" s="541"/>
      <c r="AA151" s="501"/>
      <c r="AB151" s="502"/>
      <c r="AC151" s="503"/>
      <c r="AD151" s="504"/>
      <c r="AE151" s="505"/>
      <c r="AF151" s="506"/>
      <c r="AG151" s="506">
        <f t="shared" ca="1" si="7"/>
        <v>0</v>
      </c>
      <c r="AH151" s="506">
        <f t="shared" ca="1" si="8"/>
        <v>0</v>
      </c>
      <c r="AI151" s="506">
        <f t="shared" si="9"/>
        <v>0</v>
      </c>
      <c r="AJ151" s="506">
        <f t="shared" ca="1" si="10"/>
        <v>0</v>
      </c>
      <c r="AK151" s="506" t="str">
        <f t="shared" ca="1" si="11"/>
        <v/>
      </c>
      <c r="AL151" s="507">
        <f t="shared" ca="1" si="12"/>
        <v>1</v>
      </c>
      <c r="AM151" s="507">
        <f t="shared" ca="1" si="13"/>
        <v>21</v>
      </c>
      <c r="AN151" s="507">
        <f t="shared" ca="1" si="14"/>
        <v>4</v>
      </c>
      <c r="AO151" s="507">
        <f t="shared" ca="1" si="15"/>
        <v>0</v>
      </c>
      <c r="AP151" s="507">
        <f t="shared" ca="1" si="16"/>
        <v>0</v>
      </c>
      <c r="AQ151" s="507">
        <f t="shared" ca="1" si="17"/>
        <v>0</v>
      </c>
      <c r="AR151" s="507">
        <f t="shared" ca="1" si="18"/>
        <v>0</v>
      </c>
      <c r="AS151" s="508"/>
      <c r="AT151" s="507">
        <f t="shared" si="19"/>
        <v>1</v>
      </c>
    </row>
    <row r="152" spans="1:46" ht="15.75" customHeight="1">
      <c r="A152" s="485"/>
      <c r="B152" s="486">
        <f t="shared" ca="1" si="0"/>
        <v>1</v>
      </c>
      <c r="C152" s="487">
        <f t="shared" ca="1" si="1"/>
        <v>21</v>
      </c>
      <c r="D152" s="487">
        <f t="shared" ca="1" si="2"/>
        <v>5</v>
      </c>
      <c r="E152" s="487" t="str">
        <f t="shared" ca="1" si="3"/>
        <v/>
      </c>
      <c r="F152" s="487" t="str">
        <f t="shared" ca="1" si="4"/>
        <v/>
      </c>
      <c r="G152" s="488" t="str">
        <f t="shared" ca="1" si="5"/>
        <v/>
      </c>
      <c r="H152" s="489" t="str">
        <f t="shared" ca="1" si="6"/>
        <v/>
      </c>
      <c r="I152" s="509"/>
      <c r="J152" s="522"/>
      <c r="K152" s="522" t="s">
        <v>65</v>
      </c>
      <c r="L152" s="522"/>
      <c r="M152" s="522"/>
      <c r="N152" s="522"/>
      <c r="O152" s="522"/>
      <c r="P152" s="522"/>
      <c r="Q152" s="523"/>
      <c r="R152" s="524" t="s">
        <v>247</v>
      </c>
      <c r="S152" s="525">
        <v>45852</v>
      </c>
      <c r="T152" s="526">
        <v>45852</v>
      </c>
      <c r="U152" s="543"/>
      <c r="V152" s="526"/>
      <c r="W152" s="539">
        <v>0</v>
      </c>
      <c r="X152" s="542"/>
      <c r="Y152" s="540"/>
      <c r="Z152" s="541"/>
      <c r="AA152" s="501"/>
      <c r="AB152" s="502"/>
      <c r="AC152" s="503"/>
      <c r="AD152" s="504"/>
      <c r="AE152" s="505"/>
      <c r="AF152" s="506"/>
      <c r="AG152" s="506">
        <f t="shared" ca="1" si="7"/>
        <v>0</v>
      </c>
      <c r="AH152" s="506">
        <f t="shared" ca="1" si="8"/>
        <v>0</v>
      </c>
      <c r="AI152" s="506">
        <f t="shared" si="9"/>
        <v>0</v>
      </c>
      <c r="AJ152" s="506">
        <f t="shared" ca="1" si="10"/>
        <v>0</v>
      </c>
      <c r="AK152" s="506" t="str">
        <f t="shared" ca="1" si="11"/>
        <v/>
      </c>
      <c r="AL152" s="507">
        <f t="shared" ca="1" si="12"/>
        <v>1</v>
      </c>
      <c r="AM152" s="507">
        <f t="shared" ca="1" si="13"/>
        <v>21</v>
      </c>
      <c r="AN152" s="507">
        <f t="shared" ca="1" si="14"/>
        <v>5</v>
      </c>
      <c r="AO152" s="507">
        <f t="shared" ca="1" si="15"/>
        <v>0</v>
      </c>
      <c r="AP152" s="507">
        <f t="shared" ca="1" si="16"/>
        <v>0</v>
      </c>
      <c r="AQ152" s="507">
        <f t="shared" ca="1" si="17"/>
        <v>0</v>
      </c>
      <c r="AR152" s="507">
        <f t="shared" ca="1" si="18"/>
        <v>0</v>
      </c>
      <c r="AS152" s="508"/>
      <c r="AT152" s="507">
        <f t="shared" si="19"/>
        <v>1</v>
      </c>
    </row>
    <row r="153" spans="1:46" ht="15.75" customHeight="1">
      <c r="A153" s="485"/>
      <c r="B153" s="486">
        <f t="shared" ca="1" si="0"/>
        <v>1</v>
      </c>
      <c r="C153" s="487">
        <f t="shared" ca="1" si="1"/>
        <v>21</v>
      </c>
      <c r="D153" s="487">
        <f t="shared" ca="1" si="2"/>
        <v>6</v>
      </c>
      <c r="E153" s="487" t="str">
        <f t="shared" ca="1" si="3"/>
        <v/>
      </c>
      <c r="F153" s="487" t="str">
        <f t="shared" ca="1" si="4"/>
        <v/>
      </c>
      <c r="G153" s="488" t="str">
        <f t="shared" ca="1" si="5"/>
        <v/>
      </c>
      <c r="H153" s="489" t="str">
        <f t="shared" ca="1" si="6"/>
        <v/>
      </c>
      <c r="I153" s="509"/>
      <c r="J153" s="522"/>
      <c r="K153" s="522" t="s">
        <v>66</v>
      </c>
      <c r="L153" s="522"/>
      <c r="M153" s="522"/>
      <c r="N153" s="522"/>
      <c r="O153" s="522"/>
      <c r="P153" s="522"/>
      <c r="Q153" s="523"/>
      <c r="R153" s="524" t="s">
        <v>246</v>
      </c>
      <c r="S153" s="525">
        <v>45853</v>
      </c>
      <c r="T153" s="526">
        <v>45853</v>
      </c>
      <c r="U153" s="543"/>
      <c r="V153" s="526"/>
      <c r="W153" s="539">
        <v>0</v>
      </c>
      <c r="X153" s="542"/>
      <c r="Y153" s="540"/>
      <c r="Z153" s="541"/>
      <c r="AA153" s="501"/>
      <c r="AB153" s="502"/>
      <c r="AC153" s="503"/>
      <c r="AD153" s="504"/>
      <c r="AE153" s="505"/>
      <c r="AF153" s="506"/>
      <c r="AG153" s="506">
        <f t="shared" ca="1" si="7"/>
        <v>0</v>
      </c>
      <c r="AH153" s="506">
        <f t="shared" ca="1" si="8"/>
        <v>0</v>
      </c>
      <c r="AI153" s="506">
        <f t="shared" si="9"/>
        <v>0</v>
      </c>
      <c r="AJ153" s="506">
        <f t="shared" ca="1" si="10"/>
        <v>0</v>
      </c>
      <c r="AK153" s="506" t="str">
        <f t="shared" ca="1" si="11"/>
        <v/>
      </c>
      <c r="AL153" s="507">
        <f t="shared" ca="1" si="12"/>
        <v>1</v>
      </c>
      <c r="AM153" s="507">
        <f t="shared" ca="1" si="13"/>
        <v>21</v>
      </c>
      <c r="AN153" s="507">
        <f t="shared" ca="1" si="14"/>
        <v>6</v>
      </c>
      <c r="AO153" s="507">
        <f t="shared" ca="1" si="15"/>
        <v>0</v>
      </c>
      <c r="AP153" s="507">
        <f t="shared" ca="1" si="16"/>
        <v>0</v>
      </c>
      <c r="AQ153" s="507">
        <f t="shared" ca="1" si="17"/>
        <v>0</v>
      </c>
      <c r="AR153" s="507">
        <f t="shared" ca="1" si="18"/>
        <v>0</v>
      </c>
      <c r="AS153" s="508"/>
      <c r="AT153" s="507">
        <f t="shared" si="19"/>
        <v>1</v>
      </c>
    </row>
    <row r="154" spans="1:46" ht="15.75" customHeight="1">
      <c r="A154" s="485"/>
      <c r="B154" s="486">
        <f t="shared" ca="1" si="0"/>
        <v>1</v>
      </c>
      <c r="C154" s="487">
        <f t="shared" ca="1" si="1"/>
        <v>22</v>
      </c>
      <c r="D154" s="487" t="str">
        <f t="shared" ca="1" si="2"/>
        <v/>
      </c>
      <c r="E154" s="487" t="str">
        <f t="shared" ca="1" si="3"/>
        <v/>
      </c>
      <c r="F154" s="487" t="str">
        <f t="shared" ca="1" si="4"/>
        <v/>
      </c>
      <c r="G154" s="488" t="str">
        <f t="shared" ca="1" si="5"/>
        <v/>
      </c>
      <c r="H154" s="489" t="str">
        <f t="shared" ca="1" si="6"/>
        <v/>
      </c>
      <c r="I154" s="509"/>
      <c r="J154" s="510" t="s">
        <v>262</v>
      </c>
      <c r="K154" s="511"/>
      <c r="L154" s="511"/>
      <c r="M154" s="511"/>
      <c r="N154" s="511"/>
      <c r="O154" s="511"/>
      <c r="P154" s="511"/>
      <c r="Q154" s="512" t="s">
        <v>73</v>
      </c>
      <c r="R154" s="513"/>
      <c r="S154" s="514"/>
      <c r="T154" s="515"/>
      <c r="U154" s="516"/>
      <c r="V154" s="515"/>
      <c r="W154" s="517"/>
      <c r="X154" s="518"/>
      <c r="Y154" s="519"/>
      <c r="Z154" s="520"/>
      <c r="AA154" s="501"/>
      <c r="AB154" s="502"/>
      <c r="AC154" s="503"/>
      <c r="AD154" s="504"/>
      <c r="AE154" s="505"/>
      <c r="AF154" s="506"/>
      <c r="AG154" s="506">
        <f t="shared" si="7"/>
        <v>0</v>
      </c>
      <c r="AH154" s="506">
        <f t="shared" si="8"/>
        <v>0</v>
      </c>
      <c r="AI154" s="506">
        <f t="shared" si="9"/>
        <v>0</v>
      </c>
      <c r="AJ154" s="506">
        <f t="shared" si="10"/>
        <v>0</v>
      </c>
      <c r="AK154" s="506" t="str">
        <f t="shared" si="11"/>
        <v/>
      </c>
      <c r="AL154" s="507">
        <f t="shared" ca="1" si="12"/>
        <v>1</v>
      </c>
      <c r="AM154" s="507">
        <f t="shared" ca="1" si="13"/>
        <v>22</v>
      </c>
      <c r="AN154" s="507">
        <f t="shared" ca="1" si="14"/>
        <v>0</v>
      </c>
      <c r="AO154" s="507">
        <f t="shared" ca="1" si="15"/>
        <v>0</v>
      </c>
      <c r="AP154" s="507">
        <f t="shared" ca="1" si="16"/>
        <v>0</v>
      </c>
      <c r="AQ154" s="507">
        <f t="shared" ca="1" si="17"/>
        <v>0</v>
      </c>
      <c r="AR154" s="507">
        <f t="shared" ca="1" si="18"/>
        <v>0</v>
      </c>
      <c r="AS154" s="508"/>
      <c r="AT154" s="507">
        <f t="shared" si="19"/>
        <v>1</v>
      </c>
    </row>
    <row r="155" spans="1:46" ht="15.75" customHeight="1">
      <c r="A155" s="485"/>
      <c r="B155" s="486">
        <f t="shared" ca="1" si="0"/>
        <v>1</v>
      </c>
      <c r="C155" s="487">
        <f t="shared" ca="1" si="1"/>
        <v>22</v>
      </c>
      <c r="D155" s="487">
        <f t="shared" ca="1" si="2"/>
        <v>1</v>
      </c>
      <c r="E155" s="487" t="str">
        <f t="shared" ca="1" si="3"/>
        <v/>
      </c>
      <c r="F155" s="487" t="str">
        <f t="shared" ca="1" si="4"/>
        <v/>
      </c>
      <c r="G155" s="488" t="str">
        <f t="shared" ca="1" si="5"/>
        <v/>
      </c>
      <c r="H155" s="489" t="str">
        <f t="shared" ca="1" si="6"/>
        <v/>
      </c>
      <c r="I155" s="509"/>
      <c r="J155" s="522"/>
      <c r="K155" s="522" t="s">
        <v>59</v>
      </c>
      <c r="L155" s="522"/>
      <c r="M155" s="522"/>
      <c r="N155" s="522"/>
      <c r="O155" s="522"/>
      <c r="P155" s="522"/>
      <c r="Q155" s="523"/>
      <c r="R155" s="524" t="s">
        <v>242</v>
      </c>
      <c r="S155" s="525">
        <v>45854</v>
      </c>
      <c r="T155" s="526">
        <v>45861</v>
      </c>
      <c r="U155" s="543"/>
      <c r="V155" s="526"/>
      <c r="W155" s="539">
        <v>0</v>
      </c>
      <c r="X155" s="542"/>
      <c r="Y155" s="540"/>
      <c r="Z155" s="541"/>
      <c r="AA155" s="501"/>
      <c r="AB155" s="502"/>
      <c r="AC155" s="503"/>
      <c r="AD155" s="504"/>
      <c r="AE155" s="505"/>
      <c r="AF155" s="506"/>
      <c r="AG155" s="506">
        <f t="shared" ca="1" si="7"/>
        <v>0</v>
      </c>
      <c r="AH155" s="506">
        <f t="shared" ca="1" si="8"/>
        <v>0</v>
      </c>
      <c r="AI155" s="506">
        <f t="shared" si="9"/>
        <v>0</v>
      </c>
      <c r="AJ155" s="506">
        <f t="shared" ca="1" si="10"/>
        <v>0</v>
      </c>
      <c r="AK155" s="506" t="str">
        <f t="shared" ca="1" si="11"/>
        <v/>
      </c>
      <c r="AL155" s="507">
        <f t="shared" ca="1" si="12"/>
        <v>1</v>
      </c>
      <c r="AM155" s="507">
        <f t="shared" ca="1" si="13"/>
        <v>22</v>
      </c>
      <c r="AN155" s="507">
        <f t="shared" ca="1" si="14"/>
        <v>1</v>
      </c>
      <c r="AO155" s="507">
        <f t="shared" ca="1" si="15"/>
        <v>0</v>
      </c>
      <c r="AP155" s="507">
        <f t="shared" ca="1" si="16"/>
        <v>0</v>
      </c>
      <c r="AQ155" s="507">
        <f t="shared" ca="1" si="17"/>
        <v>0</v>
      </c>
      <c r="AR155" s="507">
        <f t="shared" ca="1" si="18"/>
        <v>0</v>
      </c>
      <c r="AS155" s="508"/>
      <c r="AT155" s="507">
        <f t="shared" si="19"/>
        <v>8</v>
      </c>
    </row>
    <row r="156" spans="1:46" ht="15.75" customHeight="1">
      <c r="A156" s="485"/>
      <c r="B156" s="486">
        <f t="shared" ca="1" si="0"/>
        <v>1</v>
      </c>
      <c r="C156" s="487">
        <f t="shared" ca="1" si="1"/>
        <v>22</v>
      </c>
      <c r="D156" s="487">
        <f t="shared" ca="1" si="2"/>
        <v>2</v>
      </c>
      <c r="E156" s="487" t="str">
        <f t="shared" ca="1" si="3"/>
        <v/>
      </c>
      <c r="F156" s="487" t="str">
        <f t="shared" ca="1" si="4"/>
        <v/>
      </c>
      <c r="G156" s="488" t="str">
        <f t="shared" ca="1" si="5"/>
        <v/>
      </c>
      <c r="H156" s="489" t="str">
        <f t="shared" ca="1" si="6"/>
        <v/>
      </c>
      <c r="I156" s="509"/>
      <c r="J156" s="522"/>
      <c r="K156" s="522" t="s">
        <v>145</v>
      </c>
      <c r="L156" s="522"/>
      <c r="M156" s="522"/>
      <c r="N156" s="522"/>
      <c r="O156" s="522"/>
      <c r="P156" s="522"/>
      <c r="Q156" s="523"/>
      <c r="R156" s="524" t="s">
        <v>165</v>
      </c>
      <c r="S156" s="525">
        <v>45862</v>
      </c>
      <c r="T156" s="526">
        <v>45862</v>
      </c>
      <c r="U156" s="543"/>
      <c r="V156" s="526"/>
      <c r="W156" s="539">
        <v>0</v>
      </c>
      <c r="X156" s="542"/>
      <c r="Y156" s="540"/>
      <c r="Z156" s="541"/>
      <c r="AA156" s="501"/>
      <c r="AB156" s="502"/>
      <c r="AC156" s="503"/>
      <c r="AD156" s="504"/>
      <c r="AE156" s="505"/>
      <c r="AF156" s="506"/>
      <c r="AG156" s="506">
        <f t="shared" ca="1" si="7"/>
        <v>0</v>
      </c>
      <c r="AH156" s="506">
        <f t="shared" ca="1" si="8"/>
        <v>0</v>
      </c>
      <c r="AI156" s="506">
        <f t="shared" si="9"/>
        <v>0</v>
      </c>
      <c r="AJ156" s="506">
        <f t="shared" ca="1" si="10"/>
        <v>0</v>
      </c>
      <c r="AK156" s="506" t="str">
        <f t="shared" ca="1" si="11"/>
        <v/>
      </c>
      <c r="AL156" s="507">
        <f t="shared" ca="1" si="12"/>
        <v>1</v>
      </c>
      <c r="AM156" s="507">
        <f t="shared" ca="1" si="13"/>
        <v>22</v>
      </c>
      <c r="AN156" s="507">
        <f t="shared" ca="1" si="14"/>
        <v>2</v>
      </c>
      <c r="AO156" s="507">
        <f t="shared" ca="1" si="15"/>
        <v>0</v>
      </c>
      <c r="AP156" s="507">
        <f t="shared" ca="1" si="16"/>
        <v>0</v>
      </c>
      <c r="AQ156" s="507">
        <f t="shared" ca="1" si="17"/>
        <v>0</v>
      </c>
      <c r="AR156" s="507">
        <f t="shared" ca="1" si="18"/>
        <v>0</v>
      </c>
      <c r="AS156" s="508"/>
      <c r="AT156" s="507">
        <f t="shared" si="19"/>
        <v>1</v>
      </c>
    </row>
    <row r="157" spans="1:46" ht="15.75" customHeight="1">
      <c r="A157" s="485"/>
      <c r="B157" s="486">
        <f t="shared" ca="1" si="0"/>
        <v>1</v>
      </c>
      <c r="C157" s="487">
        <f t="shared" ca="1" si="1"/>
        <v>22</v>
      </c>
      <c r="D157" s="487">
        <f t="shared" ca="1" si="2"/>
        <v>3</v>
      </c>
      <c r="E157" s="487" t="str">
        <f t="shared" ca="1" si="3"/>
        <v/>
      </c>
      <c r="F157" s="487" t="str">
        <f t="shared" ca="1" si="4"/>
        <v/>
      </c>
      <c r="G157" s="488" t="str">
        <f t="shared" ca="1" si="5"/>
        <v/>
      </c>
      <c r="H157" s="489" t="str">
        <f t="shared" ca="1" si="6"/>
        <v/>
      </c>
      <c r="I157" s="509"/>
      <c r="J157" s="522"/>
      <c r="K157" s="522" t="s">
        <v>63</v>
      </c>
      <c r="L157" s="522"/>
      <c r="M157" s="522"/>
      <c r="N157" s="522"/>
      <c r="O157" s="522"/>
      <c r="P157" s="522"/>
      <c r="Q157" s="523"/>
      <c r="R157" s="524" t="s">
        <v>242</v>
      </c>
      <c r="S157" s="525">
        <v>45863</v>
      </c>
      <c r="T157" s="526">
        <v>45866</v>
      </c>
      <c r="U157" s="543"/>
      <c r="V157" s="526"/>
      <c r="W157" s="539">
        <v>0</v>
      </c>
      <c r="X157" s="542"/>
      <c r="Y157" s="540"/>
      <c r="Z157" s="541"/>
      <c r="AA157" s="501"/>
      <c r="AB157" s="502"/>
      <c r="AC157" s="503"/>
      <c r="AD157" s="504"/>
      <c r="AE157" s="505"/>
      <c r="AF157" s="506"/>
      <c r="AG157" s="506">
        <f t="shared" ca="1" si="7"/>
        <v>0</v>
      </c>
      <c r="AH157" s="506">
        <f t="shared" ca="1" si="8"/>
        <v>0</v>
      </c>
      <c r="AI157" s="506">
        <f t="shared" si="9"/>
        <v>0</v>
      </c>
      <c r="AJ157" s="506">
        <f t="shared" ca="1" si="10"/>
        <v>0</v>
      </c>
      <c r="AK157" s="506" t="str">
        <f t="shared" ca="1" si="11"/>
        <v/>
      </c>
      <c r="AL157" s="507">
        <f t="shared" ca="1" si="12"/>
        <v>1</v>
      </c>
      <c r="AM157" s="507">
        <f t="shared" ca="1" si="13"/>
        <v>22</v>
      </c>
      <c r="AN157" s="507">
        <f t="shared" ca="1" si="14"/>
        <v>3</v>
      </c>
      <c r="AO157" s="507">
        <f t="shared" ca="1" si="15"/>
        <v>0</v>
      </c>
      <c r="AP157" s="507">
        <f t="shared" ca="1" si="16"/>
        <v>0</v>
      </c>
      <c r="AQ157" s="507">
        <f t="shared" ca="1" si="17"/>
        <v>0</v>
      </c>
      <c r="AR157" s="507">
        <f t="shared" ca="1" si="18"/>
        <v>0</v>
      </c>
      <c r="AS157" s="508"/>
      <c r="AT157" s="507">
        <f t="shared" si="19"/>
        <v>4</v>
      </c>
    </row>
    <row r="158" spans="1:46" ht="15.75" customHeight="1">
      <c r="A158" s="485"/>
      <c r="B158" s="486">
        <f t="shared" ca="1" si="0"/>
        <v>1</v>
      </c>
      <c r="C158" s="487">
        <f t="shared" ca="1" si="1"/>
        <v>22</v>
      </c>
      <c r="D158" s="487">
        <f t="shared" ca="1" si="2"/>
        <v>4</v>
      </c>
      <c r="E158" s="487" t="str">
        <f t="shared" ca="1" si="3"/>
        <v/>
      </c>
      <c r="F158" s="487" t="str">
        <f t="shared" ca="1" si="4"/>
        <v/>
      </c>
      <c r="G158" s="488" t="str">
        <f t="shared" ca="1" si="5"/>
        <v/>
      </c>
      <c r="H158" s="489" t="str">
        <f t="shared" ca="1" si="6"/>
        <v/>
      </c>
      <c r="I158" s="509"/>
      <c r="J158" s="522"/>
      <c r="K158" s="522" t="s">
        <v>64</v>
      </c>
      <c r="L158" s="522"/>
      <c r="M158" s="522"/>
      <c r="N158" s="522"/>
      <c r="O158" s="522"/>
      <c r="P158" s="522"/>
      <c r="Q158" s="523"/>
      <c r="R158" s="524" t="s">
        <v>165</v>
      </c>
      <c r="S158" s="525">
        <v>45867</v>
      </c>
      <c r="T158" s="526">
        <v>45867</v>
      </c>
      <c r="U158" s="543"/>
      <c r="V158" s="526"/>
      <c r="W158" s="539">
        <v>0</v>
      </c>
      <c r="X158" s="542"/>
      <c r="Y158" s="540"/>
      <c r="Z158" s="541"/>
      <c r="AA158" s="501"/>
      <c r="AB158" s="502"/>
      <c r="AC158" s="503"/>
      <c r="AD158" s="504"/>
      <c r="AE158" s="505"/>
      <c r="AF158" s="506"/>
      <c r="AG158" s="506">
        <f t="shared" ca="1" si="7"/>
        <v>0</v>
      </c>
      <c r="AH158" s="506">
        <f t="shared" ca="1" si="8"/>
        <v>0</v>
      </c>
      <c r="AI158" s="506">
        <f t="shared" si="9"/>
        <v>0</v>
      </c>
      <c r="AJ158" s="506">
        <f t="shared" ca="1" si="10"/>
        <v>0</v>
      </c>
      <c r="AK158" s="506" t="str">
        <f t="shared" ca="1" si="11"/>
        <v/>
      </c>
      <c r="AL158" s="507">
        <f t="shared" ca="1" si="12"/>
        <v>1</v>
      </c>
      <c r="AM158" s="507">
        <f t="shared" ca="1" si="13"/>
        <v>22</v>
      </c>
      <c r="AN158" s="507">
        <f t="shared" ca="1" si="14"/>
        <v>4</v>
      </c>
      <c r="AO158" s="507">
        <f t="shared" ca="1" si="15"/>
        <v>0</v>
      </c>
      <c r="AP158" s="507">
        <f t="shared" ca="1" si="16"/>
        <v>0</v>
      </c>
      <c r="AQ158" s="507">
        <f t="shared" ca="1" si="17"/>
        <v>0</v>
      </c>
      <c r="AR158" s="507">
        <f t="shared" ca="1" si="18"/>
        <v>0</v>
      </c>
      <c r="AS158" s="508"/>
      <c r="AT158" s="507">
        <f t="shared" si="19"/>
        <v>1</v>
      </c>
    </row>
    <row r="159" spans="1:46" ht="15.75" customHeight="1">
      <c r="A159" s="485"/>
      <c r="B159" s="486">
        <f t="shared" ca="1" si="0"/>
        <v>1</v>
      </c>
      <c r="C159" s="487">
        <f t="shared" ca="1" si="1"/>
        <v>22</v>
      </c>
      <c r="D159" s="487">
        <f t="shared" ca="1" si="2"/>
        <v>5</v>
      </c>
      <c r="E159" s="487" t="str">
        <f t="shared" ca="1" si="3"/>
        <v/>
      </c>
      <c r="F159" s="487" t="str">
        <f t="shared" ca="1" si="4"/>
        <v/>
      </c>
      <c r="G159" s="488" t="str">
        <f t="shared" ca="1" si="5"/>
        <v/>
      </c>
      <c r="H159" s="489" t="str">
        <f t="shared" ca="1" si="6"/>
        <v/>
      </c>
      <c r="I159" s="509"/>
      <c r="J159" s="522"/>
      <c r="K159" s="522" t="s">
        <v>65</v>
      </c>
      <c r="L159" s="522"/>
      <c r="M159" s="522"/>
      <c r="N159" s="522"/>
      <c r="O159" s="522"/>
      <c r="P159" s="522"/>
      <c r="Q159" s="523"/>
      <c r="R159" s="524" t="s">
        <v>242</v>
      </c>
      <c r="S159" s="525">
        <v>45868</v>
      </c>
      <c r="T159" s="526">
        <v>45868</v>
      </c>
      <c r="U159" s="543"/>
      <c r="V159" s="526"/>
      <c r="W159" s="539">
        <v>0</v>
      </c>
      <c r="X159" s="542"/>
      <c r="Y159" s="540"/>
      <c r="Z159" s="541"/>
      <c r="AA159" s="501"/>
      <c r="AB159" s="502"/>
      <c r="AC159" s="503"/>
      <c r="AD159" s="504"/>
      <c r="AE159" s="505"/>
      <c r="AF159" s="506"/>
      <c r="AG159" s="506">
        <f t="shared" ca="1" si="7"/>
        <v>0</v>
      </c>
      <c r="AH159" s="506">
        <f t="shared" ca="1" si="8"/>
        <v>0</v>
      </c>
      <c r="AI159" s="506">
        <f t="shared" si="9"/>
        <v>0</v>
      </c>
      <c r="AJ159" s="506">
        <f t="shared" ca="1" si="10"/>
        <v>0</v>
      </c>
      <c r="AK159" s="506" t="str">
        <f t="shared" ca="1" si="11"/>
        <v/>
      </c>
      <c r="AL159" s="507">
        <f t="shared" ca="1" si="12"/>
        <v>1</v>
      </c>
      <c r="AM159" s="507">
        <f t="shared" ca="1" si="13"/>
        <v>22</v>
      </c>
      <c r="AN159" s="507">
        <f t="shared" ca="1" si="14"/>
        <v>5</v>
      </c>
      <c r="AO159" s="507">
        <f t="shared" ca="1" si="15"/>
        <v>0</v>
      </c>
      <c r="AP159" s="507">
        <f t="shared" ca="1" si="16"/>
        <v>0</v>
      </c>
      <c r="AQ159" s="507">
        <f t="shared" ca="1" si="17"/>
        <v>0</v>
      </c>
      <c r="AR159" s="507">
        <f t="shared" ca="1" si="18"/>
        <v>0</v>
      </c>
      <c r="AS159" s="508"/>
      <c r="AT159" s="507">
        <f t="shared" si="19"/>
        <v>1</v>
      </c>
    </row>
    <row r="160" spans="1:46" ht="15.75" customHeight="1">
      <c r="A160" s="485"/>
      <c r="B160" s="486">
        <f t="shared" ca="1" si="0"/>
        <v>1</v>
      </c>
      <c r="C160" s="487">
        <f t="shared" ca="1" si="1"/>
        <v>22</v>
      </c>
      <c r="D160" s="487">
        <f t="shared" ca="1" si="2"/>
        <v>6</v>
      </c>
      <c r="E160" s="487" t="str">
        <f t="shared" ca="1" si="3"/>
        <v/>
      </c>
      <c r="F160" s="487" t="str">
        <f t="shared" ca="1" si="4"/>
        <v/>
      </c>
      <c r="G160" s="488" t="str">
        <f t="shared" ca="1" si="5"/>
        <v/>
      </c>
      <c r="H160" s="489" t="str">
        <f t="shared" ca="1" si="6"/>
        <v/>
      </c>
      <c r="I160" s="509"/>
      <c r="J160" s="522"/>
      <c r="K160" s="522" t="s">
        <v>66</v>
      </c>
      <c r="L160" s="522"/>
      <c r="M160" s="522"/>
      <c r="N160" s="522"/>
      <c r="O160" s="522"/>
      <c r="P160" s="522"/>
      <c r="Q160" s="523"/>
      <c r="R160" s="524" t="s">
        <v>165</v>
      </c>
      <c r="S160" s="525">
        <v>45869</v>
      </c>
      <c r="T160" s="526">
        <v>45869</v>
      </c>
      <c r="U160" s="543"/>
      <c r="V160" s="526"/>
      <c r="W160" s="539">
        <v>0</v>
      </c>
      <c r="X160" s="542"/>
      <c r="Y160" s="540"/>
      <c r="Z160" s="541"/>
      <c r="AA160" s="501"/>
      <c r="AB160" s="502"/>
      <c r="AC160" s="503"/>
      <c r="AD160" s="504"/>
      <c r="AE160" s="505"/>
      <c r="AF160" s="506"/>
      <c r="AG160" s="506">
        <f t="shared" ca="1" si="7"/>
        <v>0</v>
      </c>
      <c r="AH160" s="506">
        <f t="shared" ca="1" si="8"/>
        <v>0</v>
      </c>
      <c r="AI160" s="506">
        <f t="shared" si="9"/>
        <v>0</v>
      </c>
      <c r="AJ160" s="506">
        <f t="shared" ca="1" si="10"/>
        <v>0</v>
      </c>
      <c r="AK160" s="506" t="str">
        <f t="shared" ca="1" si="11"/>
        <v/>
      </c>
      <c r="AL160" s="507">
        <f t="shared" ca="1" si="12"/>
        <v>1</v>
      </c>
      <c r="AM160" s="507">
        <f t="shared" ca="1" si="13"/>
        <v>22</v>
      </c>
      <c r="AN160" s="507">
        <f t="shared" ca="1" si="14"/>
        <v>6</v>
      </c>
      <c r="AO160" s="507">
        <f t="shared" ca="1" si="15"/>
        <v>0</v>
      </c>
      <c r="AP160" s="507">
        <f t="shared" ca="1" si="16"/>
        <v>0</v>
      </c>
      <c r="AQ160" s="507">
        <f t="shared" ca="1" si="17"/>
        <v>0</v>
      </c>
      <c r="AR160" s="507">
        <f t="shared" ca="1" si="18"/>
        <v>0</v>
      </c>
      <c r="AS160" s="508"/>
      <c r="AT160" s="507">
        <f t="shared" si="19"/>
        <v>1</v>
      </c>
    </row>
    <row r="161" spans="1:46" ht="15.75" customHeight="1">
      <c r="A161" s="485"/>
      <c r="B161" s="486">
        <f t="shared" ca="1" si="0"/>
        <v>1</v>
      </c>
      <c r="C161" s="487">
        <f t="shared" ca="1" si="1"/>
        <v>23</v>
      </c>
      <c r="D161" s="487" t="str">
        <f t="shared" ca="1" si="2"/>
        <v/>
      </c>
      <c r="E161" s="487" t="str">
        <f t="shared" ca="1" si="3"/>
        <v/>
      </c>
      <c r="F161" s="487" t="str">
        <f t="shared" ca="1" si="4"/>
        <v/>
      </c>
      <c r="G161" s="488" t="str">
        <f t="shared" ca="1" si="5"/>
        <v/>
      </c>
      <c r="H161" s="489" t="str">
        <f t="shared" ca="1" si="6"/>
        <v/>
      </c>
      <c r="I161" s="509"/>
      <c r="J161" s="544" t="s">
        <v>263</v>
      </c>
      <c r="K161" s="545"/>
      <c r="L161" s="545"/>
      <c r="M161" s="545"/>
      <c r="N161" s="545"/>
      <c r="O161" s="545"/>
      <c r="P161" s="545"/>
      <c r="Q161" s="512" t="s">
        <v>73</v>
      </c>
      <c r="R161" s="513"/>
      <c r="S161" s="514"/>
      <c r="T161" s="515"/>
      <c r="U161" s="516"/>
      <c r="V161" s="515"/>
      <c r="W161" s="517"/>
      <c r="X161" s="518"/>
      <c r="Y161" s="546" t="s">
        <v>264</v>
      </c>
      <c r="Z161" s="547"/>
      <c r="AA161" s="501"/>
      <c r="AB161" s="502"/>
      <c r="AC161" s="503"/>
      <c r="AD161" s="504"/>
      <c r="AE161" s="505"/>
      <c r="AF161" s="506"/>
      <c r="AG161" s="506">
        <f t="shared" si="7"/>
        <v>0</v>
      </c>
      <c r="AH161" s="506">
        <f t="shared" si="8"/>
        <v>0</v>
      </c>
      <c r="AI161" s="506">
        <f t="shared" si="9"/>
        <v>0</v>
      </c>
      <c r="AJ161" s="506">
        <f t="shared" si="10"/>
        <v>0</v>
      </c>
      <c r="AK161" s="506" t="str">
        <f t="shared" si="11"/>
        <v/>
      </c>
      <c r="AL161" s="507">
        <f t="shared" ca="1" si="12"/>
        <v>1</v>
      </c>
      <c r="AM161" s="507">
        <f t="shared" ca="1" si="13"/>
        <v>23</v>
      </c>
      <c r="AN161" s="507">
        <f t="shared" ca="1" si="14"/>
        <v>0</v>
      </c>
      <c r="AO161" s="507">
        <f t="shared" ca="1" si="15"/>
        <v>0</v>
      </c>
      <c r="AP161" s="507">
        <f t="shared" ca="1" si="16"/>
        <v>0</v>
      </c>
      <c r="AQ161" s="507">
        <f t="shared" ca="1" si="17"/>
        <v>0</v>
      </c>
      <c r="AR161" s="507">
        <f t="shared" ca="1" si="18"/>
        <v>0</v>
      </c>
      <c r="AS161" s="508"/>
      <c r="AT161" s="507">
        <f t="shared" si="19"/>
        <v>1</v>
      </c>
    </row>
    <row r="162" spans="1:46" ht="15.75" customHeight="1">
      <c r="A162" s="485"/>
      <c r="B162" s="486">
        <f t="shared" ca="1" si="0"/>
        <v>1</v>
      </c>
      <c r="C162" s="487">
        <f t="shared" ca="1" si="1"/>
        <v>23</v>
      </c>
      <c r="D162" s="487">
        <f t="shared" ca="1" si="2"/>
        <v>1</v>
      </c>
      <c r="E162" s="487" t="str">
        <f t="shared" ca="1" si="3"/>
        <v/>
      </c>
      <c r="F162" s="487" t="str">
        <f t="shared" ca="1" si="4"/>
        <v/>
      </c>
      <c r="G162" s="488" t="str">
        <f t="shared" ca="1" si="5"/>
        <v/>
      </c>
      <c r="H162" s="489" t="str">
        <f t="shared" ca="1" si="6"/>
        <v/>
      </c>
      <c r="I162" s="509"/>
      <c r="J162" s="522"/>
      <c r="K162" s="522" t="s">
        <v>59</v>
      </c>
      <c r="L162" s="522"/>
      <c r="M162" s="522"/>
      <c r="N162" s="522"/>
      <c r="O162" s="522"/>
      <c r="P162" s="522"/>
      <c r="Q162" s="523"/>
      <c r="R162" s="524"/>
      <c r="S162" s="525"/>
      <c r="T162" s="526"/>
      <c r="U162" s="543"/>
      <c r="V162" s="526"/>
      <c r="W162" s="539">
        <v>0</v>
      </c>
      <c r="X162" s="542"/>
      <c r="Y162" s="540"/>
      <c r="Z162" s="541"/>
      <c r="AA162" s="501"/>
      <c r="AB162" s="502"/>
      <c r="AC162" s="503"/>
      <c r="AD162" s="504"/>
      <c r="AE162" s="505"/>
      <c r="AF162" s="506"/>
      <c r="AG162" s="506">
        <f t="shared" si="7"/>
        <v>0</v>
      </c>
      <c r="AH162" s="506">
        <f t="shared" si="8"/>
        <v>0</v>
      </c>
      <c r="AI162" s="506">
        <f t="shared" si="9"/>
        <v>0</v>
      </c>
      <c r="AJ162" s="506">
        <f t="shared" si="10"/>
        <v>0</v>
      </c>
      <c r="AK162" s="506" t="str">
        <f t="shared" si="11"/>
        <v/>
      </c>
      <c r="AL162" s="507">
        <f t="shared" ca="1" si="12"/>
        <v>1</v>
      </c>
      <c r="AM162" s="507">
        <f t="shared" ca="1" si="13"/>
        <v>23</v>
      </c>
      <c r="AN162" s="507">
        <f t="shared" ca="1" si="14"/>
        <v>1</v>
      </c>
      <c r="AO162" s="507">
        <f t="shared" ca="1" si="15"/>
        <v>0</v>
      </c>
      <c r="AP162" s="507">
        <f t="shared" ca="1" si="16"/>
        <v>0</v>
      </c>
      <c r="AQ162" s="507">
        <f t="shared" ca="1" si="17"/>
        <v>0</v>
      </c>
      <c r="AR162" s="507">
        <f t="shared" ca="1" si="18"/>
        <v>0</v>
      </c>
      <c r="AS162" s="508"/>
      <c r="AT162" s="507">
        <f t="shared" si="19"/>
        <v>1</v>
      </c>
    </row>
    <row r="163" spans="1:46" ht="15.75" customHeight="1">
      <c r="A163" s="485"/>
      <c r="B163" s="486">
        <f t="shared" ca="1" si="0"/>
        <v>1</v>
      </c>
      <c r="C163" s="487">
        <f t="shared" ca="1" si="1"/>
        <v>23</v>
      </c>
      <c r="D163" s="487">
        <f t="shared" ca="1" si="2"/>
        <v>2</v>
      </c>
      <c r="E163" s="487" t="str">
        <f t="shared" ca="1" si="3"/>
        <v/>
      </c>
      <c r="F163" s="487" t="str">
        <f t="shared" ca="1" si="4"/>
        <v/>
      </c>
      <c r="G163" s="488" t="str">
        <f t="shared" ca="1" si="5"/>
        <v/>
      </c>
      <c r="H163" s="489" t="str">
        <f t="shared" ca="1" si="6"/>
        <v/>
      </c>
      <c r="I163" s="509"/>
      <c r="J163" s="522"/>
      <c r="K163" s="522" t="s">
        <v>145</v>
      </c>
      <c r="L163" s="522"/>
      <c r="M163" s="522"/>
      <c r="N163" s="522"/>
      <c r="O163" s="522"/>
      <c r="P163" s="522"/>
      <c r="Q163" s="523"/>
      <c r="R163" s="524"/>
      <c r="S163" s="525"/>
      <c r="T163" s="526"/>
      <c r="U163" s="543"/>
      <c r="V163" s="526"/>
      <c r="W163" s="539">
        <v>0</v>
      </c>
      <c r="X163" s="542"/>
      <c r="Y163" s="540"/>
      <c r="Z163" s="541"/>
      <c r="AA163" s="501"/>
      <c r="AB163" s="502"/>
      <c r="AC163" s="503"/>
      <c r="AD163" s="504"/>
      <c r="AE163" s="505"/>
      <c r="AF163" s="506"/>
      <c r="AG163" s="506">
        <f t="shared" si="7"/>
        <v>0</v>
      </c>
      <c r="AH163" s="506">
        <f t="shared" si="8"/>
        <v>0</v>
      </c>
      <c r="AI163" s="506">
        <f t="shared" si="9"/>
        <v>0</v>
      </c>
      <c r="AJ163" s="506">
        <f t="shared" si="10"/>
        <v>0</v>
      </c>
      <c r="AK163" s="506" t="str">
        <f t="shared" si="11"/>
        <v/>
      </c>
      <c r="AL163" s="507">
        <f t="shared" ca="1" si="12"/>
        <v>1</v>
      </c>
      <c r="AM163" s="507">
        <f t="shared" ca="1" si="13"/>
        <v>23</v>
      </c>
      <c r="AN163" s="507">
        <f t="shared" ca="1" si="14"/>
        <v>2</v>
      </c>
      <c r="AO163" s="507">
        <f t="shared" ca="1" si="15"/>
        <v>0</v>
      </c>
      <c r="AP163" s="507">
        <f t="shared" ca="1" si="16"/>
        <v>0</v>
      </c>
      <c r="AQ163" s="507">
        <f t="shared" ca="1" si="17"/>
        <v>0</v>
      </c>
      <c r="AR163" s="507">
        <f t="shared" ca="1" si="18"/>
        <v>0</v>
      </c>
      <c r="AS163" s="508"/>
      <c r="AT163" s="507">
        <f t="shared" si="19"/>
        <v>1</v>
      </c>
    </row>
    <row r="164" spans="1:46" ht="15.75" customHeight="1">
      <c r="A164" s="485"/>
      <c r="B164" s="486">
        <f t="shared" ca="1" si="0"/>
        <v>1</v>
      </c>
      <c r="C164" s="487">
        <f t="shared" ca="1" si="1"/>
        <v>23</v>
      </c>
      <c r="D164" s="487">
        <f t="shared" ca="1" si="2"/>
        <v>3</v>
      </c>
      <c r="E164" s="487" t="str">
        <f t="shared" ca="1" si="3"/>
        <v/>
      </c>
      <c r="F164" s="487" t="str">
        <f t="shared" ca="1" si="4"/>
        <v/>
      </c>
      <c r="G164" s="488" t="str">
        <f t="shared" ca="1" si="5"/>
        <v/>
      </c>
      <c r="H164" s="489" t="str">
        <f t="shared" ca="1" si="6"/>
        <v/>
      </c>
      <c r="I164" s="509"/>
      <c r="J164" s="522"/>
      <c r="K164" s="522" t="s">
        <v>63</v>
      </c>
      <c r="L164" s="522"/>
      <c r="M164" s="522"/>
      <c r="N164" s="522"/>
      <c r="O164" s="522"/>
      <c r="P164" s="522"/>
      <c r="Q164" s="523"/>
      <c r="R164" s="524"/>
      <c r="S164" s="525"/>
      <c r="T164" s="526"/>
      <c r="U164" s="543"/>
      <c r="V164" s="526"/>
      <c r="W164" s="539">
        <v>0</v>
      </c>
      <c r="X164" s="542"/>
      <c r="Y164" s="540"/>
      <c r="Z164" s="541"/>
      <c r="AA164" s="501"/>
      <c r="AB164" s="502"/>
      <c r="AC164" s="503"/>
      <c r="AD164" s="504"/>
      <c r="AE164" s="505"/>
      <c r="AF164" s="506"/>
      <c r="AG164" s="506">
        <f t="shared" si="7"/>
        <v>0</v>
      </c>
      <c r="AH164" s="506">
        <f t="shared" si="8"/>
        <v>0</v>
      </c>
      <c r="AI164" s="506">
        <f t="shared" si="9"/>
        <v>0</v>
      </c>
      <c r="AJ164" s="506">
        <f t="shared" si="10"/>
        <v>0</v>
      </c>
      <c r="AK164" s="506" t="str">
        <f t="shared" si="11"/>
        <v/>
      </c>
      <c r="AL164" s="507">
        <f t="shared" ca="1" si="12"/>
        <v>1</v>
      </c>
      <c r="AM164" s="507">
        <f t="shared" ca="1" si="13"/>
        <v>23</v>
      </c>
      <c r="AN164" s="507">
        <f t="shared" ca="1" si="14"/>
        <v>3</v>
      </c>
      <c r="AO164" s="507">
        <f t="shared" ca="1" si="15"/>
        <v>0</v>
      </c>
      <c r="AP164" s="507">
        <f t="shared" ca="1" si="16"/>
        <v>0</v>
      </c>
      <c r="AQ164" s="507">
        <f t="shared" ca="1" si="17"/>
        <v>0</v>
      </c>
      <c r="AR164" s="507">
        <f t="shared" ca="1" si="18"/>
        <v>0</v>
      </c>
      <c r="AS164" s="508"/>
      <c r="AT164" s="507">
        <f t="shared" si="19"/>
        <v>1</v>
      </c>
    </row>
    <row r="165" spans="1:46" ht="15.75" customHeight="1">
      <c r="A165" s="485"/>
      <c r="B165" s="486">
        <f t="shared" ca="1" si="0"/>
        <v>1</v>
      </c>
      <c r="C165" s="487">
        <f t="shared" ca="1" si="1"/>
        <v>23</v>
      </c>
      <c r="D165" s="487">
        <f t="shared" ca="1" si="2"/>
        <v>4</v>
      </c>
      <c r="E165" s="487" t="str">
        <f t="shared" ca="1" si="3"/>
        <v/>
      </c>
      <c r="F165" s="487" t="str">
        <f t="shared" ca="1" si="4"/>
        <v/>
      </c>
      <c r="G165" s="488" t="str">
        <f t="shared" ca="1" si="5"/>
        <v/>
      </c>
      <c r="H165" s="489" t="str">
        <f t="shared" ca="1" si="6"/>
        <v/>
      </c>
      <c r="I165" s="509"/>
      <c r="J165" s="522"/>
      <c r="K165" s="522" t="s">
        <v>64</v>
      </c>
      <c r="L165" s="522"/>
      <c r="M165" s="522"/>
      <c r="N165" s="522"/>
      <c r="O165" s="522"/>
      <c r="P165" s="522"/>
      <c r="Q165" s="523"/>
      <c r="R165" s="524"/>
      <c r="S165" s="525"/>
      <c r="T165" s="526"/>
      <c r="U165" s="543"/>
      <c r="V165" s="526"/>
      <c r="W165" s="539">
        <v>0</v>
      </c>
      <c r="X165" s="542"/>
      <c r="Y165" s="540"/>
      <c r="Z165" s="541"/>
      <c r="AA165" s="501"/>
      <c r="AB165" s="502"/>
      <c r="AC165" s="503"/>
      <c r="AD165" s="504"/>
      <c r="AE165" s="505"/>
      <c r="AF165" s="506"/>
      <c r="AG165" s="506">
        <f t="shared" si="7"/>
        <v>0</v>
      </c>
      <c r="AH165" s="506">
        <f t="shared" si="8"/>
        <v>0</v>
      </c>
      <c r="AI165" s="506">
        <f t="shared" si="9"/>
        <v>0</v>
      </c>
      <c r="AJ165" s="506">
        <f t="shared" si="10"/>
        <v>0</v>
      </c>
      <c r="AK165" s="506" t="str">
        <f t="shared" si="11"/>
        <v/>
      </c>
      <c r="AL165" s="507">
        <f t="shared" ca="1" si="12"/>
        <v>1</v>
      </c>
      <c r="AM165" s="507">
        <f t="shared" ca="1" si="13"/>
        <v>23</v>
      </c>
      <c r="AN165" s="507">
        <f t="shared" ca="1" si="14"/>
        <v>4</v>
      </c>
      <c r="AO165" s="507">
        <f t="shared" ca="1" si="15"/>
        <v>0</v>
      </c>
      <c r="AP165" s="507">
        <f t="shared" ca="1" si="16"/>
        <v>0</v>
      </c>
      <c r="AQ165" s="507">
        <f t="shared" ca="1" si="17"/>
        <v>0</v>
      </c>
      <c r="AR165" s="507">
        <f t="shared" ca="1" si="18"/>
        <v>0</v>
      </c>
      <c r="AS165" s="508"/>
      <c r="AT165" s="507">
        <f t="shared" si="19"/>
        <v>1</v>
      </c>
    </row>
    <row r="166" spans="1:46" ht="15.75" customHeight="1">
      <c r="A166" s="485"/>
      <c r="B166" s="486">
        <f t="shared" ca="1" si="0"/>
        <v>1</v>
      </c>
      <c r="C166" s="487">
        <f t="shared" ca="1" si="1"/>
        <v>23</v>
      </c>
      <c r="D166" s="487">
        <f t="shared" ca="1" si="2"/>
        <v>5</v>
      </c>
      <c r="E166" s="487" t="str">
        <f t="shared" ca="1" si="3"/>
        <v/>
      </c>
      <c r="F166" s="487" t="str">
        <f t="shared" ca="1" si="4"/>
        <v/>
      </c>
      <c r="G166" s="488" t="str">
        <f t="shared" ca="1" si="5"/>
        <v/>
      </c>
      <c r="H166" s="489" t="str">
        <f t="shared" ca="1" si="6"/>
        <v/>
      </c>
      <c r="I166" s="509"/>
      <c r="J166" s="522"/>
      <c r="K166" s="522" t="s">
        <v>65</v>
      </c>
      <c r="L166" s="522"/>
      <c r="M166" s="522"/>
      <c r="N166" s="522"/>
      <c r="O166" s="522"/>
      <c r="P166" s="522"/>
      <c r="Q166" s="523"/>
      <c r="R166" s="524"/>
      <c r="S166" s="525"/>
      <c r="T166" s="526"/>
      <c r="U166" s="543"/>
      <c r="V166" s="526"/>
      <c r="W166" s="539">
        <v>0</v>
      </c>
      <c r="X166" s="542"/>
      <c r="Y166" s="540"/>
      <c r="Z166" s="541"/>
      <c r="AA166" s="501"/>
      <c r="AB166" s="502"/>
      <c r="AC166" s="503"/>
      <c r="AD166" s="504"/>
      <c r="AE166" s="505"/>
      <c r="AF166" s="506"/>
      <c r="AG166" s="506">
        <f t="shared" si="7"/>
        <v>0</v>
      </c>
      <c r="AH166" s="506">
        <f t="shared" si="8"/>
        <v>0</v>
      </c>
      <c r="AI166" s="506">
        <f t="shared" si="9"/>
        <v>0</v>
      </c>
      <c r="AJ166" s="506">
        <f t="shared" si="10"/>
        <v>0</v>
      </c>
      <c r="AK166" s="506" t="str">
        <f t="shared" si="11"/>
        <v/>
      </c>
      <c r="AL166" s="507">
        <f t="shared" ca="1" si="12"/>
        <v>1</v>
      </c>
      <c r="AM166" s="507">
        <f t="shared" ca="1" si="13"/>
        <v>23</v>
      </c>
      <c r="AN166" s="507">
        <f t="shared" ca="1" si="14"/>
        <v>5</v>
      </c>
      <c r="AO166" s="507">
        <f t="shared" ca="1" si="15"/>
        <v>0</v>
      </c>
      <c r="AP166" s="507">
        <f t="shared" ca="1" si="16"/>
        <v>0</v>
      </c>
      <c r="AQ166" s="507">
        <f t="shared" ca="1" si="17"/>
        <v>0</v>
      </c>
      <c r="AR166" s="507">
        <f t="shared" ca="1" si="18"/>
        <v>0</v>
      </c>
      <c r="AS166" s="508"/>
      <c r="AT166" s="507">
        <f t="shared" si="19"/>
        <v>1</v>
      </c>
    </row>
    <row r="167" spans="1:46" ht="15.75" customHeight="1">
      <c r="A167" s="485"/>
      <c r="B167" s="486">
        <f t="shared" ca="1" si="0"/>
        <v>1</v>
      </c>
      <c r="C167" s="487">
        <f t="shared" ca="1" si="1"/>
        <v>23</v>
      </c>
      <c r="D167" s="487">
        <f t="shared" ca="1" si="2"/>
        <v>6</v>
      </c>
      <c r="E167" s="487" t="str">
        <f t="shared" ca="1" si="3"/>
        <v/>
      </c>
      <c r="F167" s="487" t="str">
        <f t="shared" ca="1" si="4"/>
        <v/>
      </c>
      <c r="G167" s="488" t="str">
        <f t="shared" ca="1" si="5"/>
        <v/>
      </c>
      <c r="H167" s="489" t="str">
        <f t="shared" ca="1" si="6"/>
        <v/>
      </c>
      <c r="I167" s="509"/>
      <c r="J167" s="522"/>
      <c r="K167" s="522" t="s">
        <v>66</v>
      </c>
      <c r="L167" s="522"/>
      <c r="M167" s="522"/>
      <c r="N167" s="522"/>
      <c r="O167" s="522"/>
      <c r="P167" s="522"/>
      <c r="Q167" s="523"/>
      <c r="R167" s="524"/>
      <c r="S167" s="525"/>
      <c r="T167" s="526"/>
      <c r="U167" s="543"/>
      <c r="V167" s="526"/>
      <c r="W167" s="539">
        <v>0</v>
      </c>
      <c r="X167" s="542"/>
      <c r="Y167" s="540"/>
      <c r="Z167" s="541"/>
      <c r="AA167" s="501"/>
      <c r="AB167" s="502"/>
      <c r="AC167" s="503"/>
      <c r="AD167" s="504"/>
      <c r="AE167" s="505"/>
      <c r="AF167" s="506"/>
      <c r="AG167" s="506">
        <f t="shared" si="7"/>
        <v>0</v>
      </c>
      <c r="AH167" s="506">
        <f t="shared" si="8"/>
        <v>0</v>
      </c>
      <c r="AI167" s="506">
        <f t="shared" si="9"/>
        <v>0</v>
      </c>
      <c r="AJ167" s="506">
        <f t="shared" si="10"/>
        <v>0</v>
      </c>
      <c r="AK167" s="506" t="str">
        <f t="shared" si="11"/>
        <v/>
      </c>
      <c r="AL167" s="507">
        <f t="shared" ca="1" si="12"/>
        <v>1</v>
      </c>
      <c r="AM167" s="507">
        <f t="shared" ca="1" si="13"/>
        <v>23</v>
      </c>
      <c r="AN167" s="507">
        <f t="shared" ca="1" si="14"/>
        <v>6</v>
      </c>
      <c r="AO167" s="507">
        <f t="shared" ca="1" si="15"/>
        <v>0</v>
      </c>
      <c r="AP167" s="507">
        <f t="shared" ca="1" si="16"/>
        <v>0</v>
      </c>
      <c r="AQ167" s="507">
        <f t="shared" ca="1" si="17"/>
        <v>0</v>
      </c>
      <c r="AR167" s="507">
        <f t="shared" ca="1" si="18"/>
        <v>0</v>
      </c>
      <c r="AS167" s="508"/>
      <c r="AT167" s="507">
        <f t="shared" si="19"/>
        <v>1</v>
      </c>
    </row>
    <row r="168" spans="1:46" ht="15.75" customHeight="1">
      <c r="A168" s="485"/>
      <c r="B168" s="486">
        <f t="shared" ca="1" si="0"/>
        <v>1</v>
      </c>
      <c r="C168" s="487">
        <f t="shared" ca="1" si="1"/>
        <v>24</v>
      </c>
      <c r="D168" s="487" t="str">
        <f t="shared" ca="1" si="2"/>
        <v/>
      </c>
      <c r="E168" s="487" t="str">
        <f t="shared" ca="1" si="3"/>
        <v/>
      </c>
      <c r="F168" s="487" t="str">
        <f t="shared" ca="1" si="4"/>
        <v/>
      </c>
      <c r="G168" s="488" t="str">
        <f t="shared" ca="1" si="5"/>
        <v/>
      </c>
      <c r="H168" s="489" t="str">
        <f t="shared" ca="1" si="6"/>
        <v/>
      </c>
      <c r="I168" s="509"/>
      <c r="J168" s="544" t="s">
        <v>265</v>
      </c>
      <c r="K168" s="545"/>
      <c r="L168" s="545"/>
      <c r="M168" s="545"/>
      <c r="N168" s="545"/>
      <c r="O168" s="545"/>
      <c r="P168" s="545"/>
      <c r="Q168" s="512" t="s">
        <v>73</v>
      </c>
      <c r="R168" s="513"/>
      <c r="S168" s="514"/>
      <c r="T168" s="515"/>
      <c r="U168" s="516"/>
      <c r="V168" s="515"/>
      <c r="W168" s="517"/>
      <c r="X168" s="518"/>
      <c r="Y168" s="546" t="s">
        <v>264</v>
      </c>
      <c r="Z168" s="547"/>
      <c r="AA168" s="501"/>
      <c r="AB168" s="502"/>
      <c r="AC168" s="503"/>
      <c r="AD168" s="504"/>
      <c r="AE168" s="505"/>
      <c r="AF168" s="506"/>
      <c r="AG168" s="506">
        <f t="shared" si="7"/>
        <v>0</v>
      </c>
      <c r="AH168" s="506">
        <f t="shared" si="8"/>
        <v>0</v>
      </c>
      <c r="AI168" s="506">
        <f t="shared" si="9"/>
        <v>0</v>
      </c>
      <c r="AJ168" s="506">
        <f t="shared" si="10"/>
        <v>0</v>
      </c>
      <c r="AK168" s="506" t="str">
        <f t="shared" si="11"/>
        <v/>
      </c>
      <c r="AL168" s="507">
        <f t="shared" ca="1" si="12"/>
        <v>1</v>
      </c>
      <c r="AM168" s="507">
        <f t="shared" ca="1" si="13"/>
        <v>24</v>
      </c>
      <c r="AN168" s="507">
        <f t="shared" ca="1" si="14"/>
        <v>0</v>
      </c>
      <c r="AO168" s="507">
        <f t="shared" ca="1" si="15"/>
        <v>0</v>
      </c>
      <c r="AP168" s="507">
        <f t="shared" ca="1" si="16"/>
        <v>0</v>
      </c>
      <c r="AQ168" s="507">
        <f t="shared" ca="1" si="17"/>
        <v>0</v>
      </c>
      <c r="AR168" s="507">
        <f t="shared" ca="1" si="18"/>
        <v>0</v>
      </c>
      <c r="AS168" s="508"/>
      <c r="AT168" s="507">
        <f t="shared" si="19"/>
        <v>1</v>
      </c>
    </row>
    <row r="169" spans="1:46" ht="15.75" customHeight="1">
      <c r="A169" s="485"/>
      <c r="B169" s="486">
        <f t="shared" ca="1" si="0"/>
        <v>1</v>
      </c>
      <c r="C169" s="487">
        <f t="shared" ca="1" si="1"/>
        <v>24</v>
      </c>
      <c r="D169" s="487">
        <f t="shared" ca="1" si="2"/>
        <v>1</v>
      </c>
      <c r="E169" s="487" t="str">
        <f t="shared" ca="1" si="3"/>
        <v/>
      </c>
      <c r="F169" s="487" t="str">
        <f t="shared" ca="1" si="4"/>
        <v/>
      </c>
      <c r="G169" s="488" t="str">
        <f t="shared" ca="1" si="5"/>
        <v/>
      </c>
      <c r="H169" s="489" t="str">
        <f t="shared" ca="1" si="6"/>
        <v/>
      </c>
      <c r="I169" s="509"/>
      <c r="J169" s="522"/>
      <c r="K169" s="522" t="s">
        <v>59</v>
      </c>
      <c r="L169" s="522"/>
      <c r="M169" s="522"/>
      <c r="N169" s="522"/>
      <c r="O169" s="522"/>
      <c r="P169" s="522"/>
      <c r="Q169" s="523"/>
      <c r="R169" s="524"/>
      <c r="S169" s="525"/>
      <c r="T169" s="526"/>
      <c r="U169" s="543"/>
      <c r="V169" s="526"/>
      <c r="W169" s="539">
        <v>0</v>
      </c>
      <c r="X169" s="542"/>
      <c r="Y169" s="540"/>
      <c r="Z169" s="541"/>
      <c r="AA169" s="501"/>
      <c r="AB169" s="502"/>
      <c r="AC169" s="503"/>
      <c r="AD169" s="504"/>
      <c r="AE169" s="505"/>
      <c r="AF169" s="506"/>
      <c r="AG169" s="506">
        <f t="shared" si="7"/>
        <v>0</v>
      </c>
      <c r="AH169" s="506">
        <f t="shared" si="8"/>
        <v>0</v>
      </c>
      <c r="AI169" s="506">
        <f t="shared" si="9"/>
        <v>0</v>
      </c>
      <c r="AJ169" s="506">
        <f t="shared" si="10"/>
        <v>0</v>
      </c>
      <c r="AK169" s="506" t="str">
        <f t="shared" si="11"/>
        <v/>
      </c>
      <c r="AL169" s="507">
        <f t="shared" ca="1" si="12"/>
        <v>1</v>
      </c>
      <c r="AM169" s="507">
        <f t="shared" ca="1" si="13"/>
        <v>24</v>
      </c>
      <c r="AN169" s="507">
        <f t="shared" ca="1" si="14"/>
        <v>1</v>
      </c>
      <c r="AO169" s="507">
        <f t="shared" ca="1" si="15"/>
        <v>0</v>
      </c>
      <c r="AP169" s="507">
        <f t="shared" ca="1" si="16"/>
        <v>0</v>
      </c>
      <c r="AQ169" s="507">
        <f t="shared" ca="1" si="17"/>
        <v>0</v>
      </c>
      <c r="AR169" s="507">
        <f t="shared" ca="1" si="18"/>
        <v>0</v>
      </c>
      <c r="AS169" s="508"/>
      <c r="AT169" s="507">
        <f t="shared" si="19"/>
        <v>1</v>
      </c>
    </row>
    <row r="170" spans="1:46" ht="15.75" customHeight="1">
      <c r="A170" s="485"/>
      <c r="B170" s="486">
        <f t="shared" ca="1" si="0"/>
        <v>1</v>
      </c>
      <c r="C170" s="487">
        <f t="shared" ca="1" si="1"/>
        <v>24</v>
      </c>
      <c r="D170" s="487">
        <f t="shared" ca="1" si="2"/>
        <v>2</v>
      </c>
      <c r="E170" s="487" t="str">
        <f t="shared" ca="1" si="3"/>
        <v/>
      </c>
      <c r="F170" s="487" t="str">
        <f t="shared" ca="1" si="4"/>
        <v/>
      </c>
      <c r="G170" s="488" t="str">
        <f t="shared" ca="1" si="5"/>
        <v/>
      </c>
      <c r="H170" s="489" t="str">
        <f t="shared" ca="1" si="6"/>
        <v/>
      </c>
      <c r="I170" s="509"/>
      <c r="J170" s="522"/>
      <c r="K170" s="522" t="s">
        <v>145</v>
      </c>
      <c r="L170" s="522"/>
      <c r="M170" s="522"/>
      <c r="N170" s="522"/>
      <c r="O170" s="522"/>
      <c r="P170" s="522"/>
      <c r="Q170" s="523"/>
      <c r="R170" s="524"/>
      <c r="S170" s="525"/>
      <c r="T170" s="526"/>
      <c r="U170" s="543"/>
      <c r="V170" s="526"/>
      <c r="W170" s="539">
        <v>0</v>
      </c>
      <c r="X170" s="542"/>
      <c r="Y170" s="540"/>
      <c r="Z170" s="541"/>
      <c r="AA170" s="501"/>
      <c r="AB170" s="502"/>
      <c r="AC170" s="503"/>
      <c r="AD170" s="504"/>
      <c r="AE170" s="505"/>
      <c r="AF170" s="506"/>
      <c r="AG170" s="506">
        <f t="shared" si="7"/>
        <v>0</v>
      </c>
      <c r="AH170" s="506">
        <f t="shared" si="8"/>
        <v>0</v>
      </c>
      <c r="AI170" s="506">
        <f t="shared" si="9"/>
        <v>0</v>
      </c>
      <c r="AJ170" s="506">
        <f t="shared" si="10"/>
        <v>0</v>
      </c>
      <c r="AK170" s="506" t="str">
        <f t="shared" si="11"/>
        <v/>
      </c>
      <c r="AL170" s="507">
        <f t="shared" ca="1" si="12"/>
        <v>1</v>
      </c>
      <c r="AM170" s="507">
        <f t="shared" ca="1" si="13"/>
        <v>24</v>
      </c>
      <c r="AN170" s="507">
        <f t="shared" ca="1" si="14"/>
        <v>2</v>
      </c>
      <c r="AO170" s="507">
        <f t="shared" ca="1" si="15"/>
        <v>0</v>
      </c>
      <c r="AP170" s="507">
        <f t="shared" ca="1" si="16"/>
        <v>0</v>
      </c>
      <c r="AQ170" s="507">
        <f t="shared" ca="1" si="17"/>
        <v>0</v>
      </c>
      <c r="AR170" s="507">
        <f t="shared" ca="1" si="18"/>
        <v>0</v>
      </c>
      <c r="AS170" s="508"/>
      <c r="AT170" s="507">
        <f t="shared" si="19"/>
        <v>1</v>
      </c>
    </row>
    <row r="171" spans="1:46" ht="15.75" customHeight="1">
      <c r="A171" s="485"/>
      <c r="B171" s="486">
        <f t="shared" ca="1" si="0"/>
        <v>1</v>
      </c>
      <c r="C171" s="487">
        <f t="shared" ca="1" si="1"/>
        <v>24</v>
      </c>
      <c r="D171" s="487">
        <f t="shared" ca="1" si="2"/>
        <v>3</v>
      </c>
      <c r="E171" s="487" t="str">
        <f t="shared" ca="1" si="3"/>
        <v/>
      </c>
      <c r="F171" s="487" t="str">
        <f t="shared" ca="1" si="4"/>
        <v/>
      </c>
      <c r="G171" s="488" t="str">
        <f t="shared" ca="1" si="5"/>
        <v/>
      </c>
      <c r="H171" s="489" t="str">
        <f t="shared" ca="1" si="6"/>
        <v/>
      </c>
      <c r="I171" s="509"/>
      <c r="J171" s="522"/>
      <c r="K171" s="522" t="s">
        <v>63</v>
      </c>
      <c r="L171" s="522"/>
      <c r="M171" s="522"/>
      <c r="N171" s="522"/>
      <c r="O171" s="522"/>
      <c r="P171" s="522"/>
      <c r="Q171" s="523"/>
      <c r="R171" s="524"/>
      <c r="S171" s="525"/>
      <c r="T171" s="526"/>
      <c r="U171" s="543"/>
      <c r="V171" s="526"/>
      <c r="W171" s="539">
        <v>0</v>
      </c>
      <c r="X171" s="542"/>
      <c r="Y171" s="540"/>
      <c r="Z171" s="541"/>
      <c r="AA171" s="501"/>
      <c r="AB171" s="502"/>
      <c r="AC171" s="503"/>
      <c r="AD171" s="504"/>
      <c r="AE171" s="505"/>
      <c r="AF171" s="506"/>
      <c r="AG171" s="506">
        <f t="shared" si="7"/>
        <v>0</v>
      </c>
      <c r="AH171" s="506">
        <f t="shared" si="8"/>
        <v>0</v>
      </c>
      <c r="AI171" s="506">
        <f t="shared" si="9"/>
        <v>0</v>
      </c>
      <c r="AJ171" s="506">
        <f t="shared" si="10"/>
        <v>0</v>
      </c>
      <c r="AK171" s="506" t="str">
        <f t="shared" si="11"/>
        <v/>
      </c>
      <c r="AL171" s="507">
        <f t="shared" ca="1" si="12"/>
        <v>1</v>
      </c>
      <c r="AM171" s="507">
        <f t="shared" ca="1" si="13"/>
        <v>24</v>
      </c>
      <c r="AN171" s="507">
        <f t="shared" ca="1" si="14"/>
        <v>3</v>
      </c>
      <c r="AO171" s="507">
        <f t="shared" ca="1" si="15"/>
        <v>0</v>
      </c>
      <c r="AP171" s="507">
        <f t="shared" ca="1" si="16"/>
        <v>0</v>
      </c>
      <c r="AQ171" s="507">
        <f t="shared" ca="1" si="17"/>
        <v>0</v>
      </c>
      <c r="AR171" s="507">
        <f t="shared" ca="1" si="18"/>
        <v>0</v>
      </c>
      <c r="AS171" s="508"/>
      <c r="AT171" s="507">
        <f t="shared" si="19"/>
        <v>1</v>
      </c>
    </row>
    <row r="172" spans="1:46" ht="15.75" customHeight="1">
      <c r="A172" s="485"/>
      <c r="B172" s="486">
        <f t="shared" ca="1" si="0"/>
        <v>1</v>
      </c>
      <c r="C172" s="487">
        <f t="shared" ca="1" si="1"/>
        <v>24</v>
      </c>
      <c r="D172" s="487">
        <f t="shared" ca="1" si="2"/>
        <v>4</v>
      </c>
      <c r="E172" s="487" t="str">
        <f t="shared" ca="1" si="3"/>
        <v/>
      </c>
      <c r="F172" s="487" t="str">
        <f t="shared" ca="1" si="4"/>
        <v/>
      </c>
      <c r="G172" s="488" t="str">
        <f t="shared" ca="1" si="5"/>
        <v/>
      </c>
      <c r="H172" s="489" t="str">
        <f t="shared" ca="1" si="6"/>
        <v/>
      </c>
      <c r="I172" s="509"/>
      <c r="J172" s="522"/>
      <c r="K172" s="522" t="s">
        <v>64</v>
      </c>
      <c r="L172" s="522"/>
      <c r="M172" s="522"/>
      <c r="N172" s="522"/>
      <c r="O172" s="522"/>
      <c r="P172" s="522"/>
      <c r="Q172" s="523"/>
      <c r="R172" s="524"/>
      <c r="S172" s="525"/>
      <c r="T172" s="526"/>
      <c r="U172" s="543"/>
      <c r="V172" s="526"/>
      <c r="W172" s="539">
        <v>0</v>
      </c>
      <c r="X172" s="542"/>
      <c r="Y172" s="540"/>
      <c r="Z172" s="541"/>
      <c r="AA172" s="501"/>
      <c r="AB172" s="502"/>
      <c r="AC172" s="503"/>
      <c r="AD172" s="504"/>
      <c r="AE172" s="505"/>
      <c r="AF172" s="506"/>
      <c r="AG172" s="506">
        <f t="shared" si="7"/>
        <v>0</v>
      </c>
      <c r="AH172" s="506">
        <f t="shared" si="8"/>
        <v>0</v>
      </c>
      <c r="AI172" s="506">
        <f t="shared" si="9"/>
        <v>0</v>
      </c>
      <c r="AJ172" s="506">
        <f t="shared" si="10"/>
        <v>0</v>
      </c>
      <c r="AK172" s="506" t="str">
        <f t="shared" si="11"/>
        <v/>
      </c>
      <c r="AL172" s="507">
        <f t="shared" ca="1" si="12"/>
        <v>1</v>
      </c>
      <c r="AM172" s="507">
        <f t="shared" ca="1" si="13"/>
        <v>24</v>
      </c>
      <c r="AN172" s="507">
        <f t="shared" ca="1" si="14"/>
        <v>4</v>
      </c>
      <c r="AO172" s="507">
        <f t="shared" ca="1" si="15"/>
        <v>0</v>
      </c>
      <c r="AP172" s="507">
        <f t="shared" ca="1" si="16"/>
        <v>0</v>
      </c>
      <c r="AQ172" s="507">
        <f t="shared" ca="1" si="17"/>
        <v>0</v>
      </c>
      <c r="AR172" s="507">
        <f t="shared" ca="1" si="18"/>
        <v>0</v>
      </c>
      <c r="AS172" s="508"/>
      <c r="AT172" s="507">
        <f t="shared" si="19"/>
        <v>1</v>
      </c>
    </row>
    <row r="173" spans="1:46" ht="15.75" customHeight="1">
      <c r="A173" s="485"/>
      <c r="B173" s="486">
        <f t="shared" ca="1" si="0"/>
        <v>1</v>
      </c>
      <c r="C173" s="487">
        <f t="shared" ca="1" si="1"/>
        <v>24</v>
      </c>
      <c r="D173" s="487">
        <f t="shared" ca="1" si="2"/>
        <v>5</v>
      </c>
      <c r="E173" s="487" t="str">
        <f t="shared" ca="1" si="3"/>
        <v/>
      </c>
      <c r="F173" s="487" t="str">
        <f t="shared" ca="1" si="4"/>
        <v/>
      </c>
      <c r="G173" s="488" t="str">
        <f t="shared" ca="1" si="5"/>
        <v/>
      </c>
      <c r="H173" s="489" t="str">
        <f t="shared" ca="1" si="6"/>
        <v/>
      </c>
      <c r="I173" s="509"/>
      <c r="J173" s="522"/>
      <c r="K173" s="522" t="s">
        <v>65</v>
      </c>
      <c r="L173" s="522"/>
      <c r="M173" s="522"/>
      <c r="N173" s="522"/>
      <c r="O173" s="522"/>
      <c r="P173" s="522"/>
      <c r="Q173" s="523"/>
      <c r="R173" s="524"/>
      <c r="S173" s="525"/>
      <c r="T173" s="526"/>
      <c r="U173" s="543"/>
      <c r="V173" s="526"/>
      <c r="W173" s="539">
        <v>0</v>
      </c>
      <c r="X173" s="542"/>
      <c r="Y173" s="540"/>
      <c r="Z173" s="541"/>
      <c r="AA173" s="501"/>
      <c r="AB173" s="502"/>
      <c r="AC173" s="503"/>
      <c r="AD173" s="504"/>
      <c r="AE173" s="505"/>
      <c r="AF173" s="506"/>
      <c r="AG173" s="506">
        <f t="shared" si="7"/>
        <v>0</v>
      </c>
      <c r="AH173" s="506">
        <f t="shared" si="8"/>
        <v>0</v>
      </c>
      <c r="AI173" s="506">
        <f t="shared" si="9"/>
        <v>0</v>
      </c>
      <c r="AJ173" s="506">
        <f t="shared" si="10"/>
        <v>0</v>
      </c>
      <c r="AK173" s="506" t="str">
        <f t="shared" si="11"/>
        <v/>
      </c>
      <c r="AL173" s="507">
        <f t="shared" ca="1" si="12"/>
        <v>1</v>
      </c>
      <c r="AM173" s="507">
        <f t="shared" ca="1" si="13"/>
        <v>24</v>
      </c>
      <c r="AN173" s="507">
        <f t="shared" ca="1" si="14"/>
        <v>5</v>
      </c>
      <c r="AO173" s="507">
        <f t="shared" ca="1" si="15"/>
        <v>0</v>
      </c>
      <c r="AP173" s="507">
        <f t="shared" ca="1" si="16"/>
        <v>0</v>
      </c>
      <c r="AQ173" s="507">
        <f t="shared" ca="1" si="17"/>
        <v>0</v>
      </c>
      <c r="AR173" s="507">
        <f t="shared" ca="1" si="18"/>
        <v>0</v>
      </c>
      <c r="AS173" s="508"/>
      <c r="AT173" s="507">
        <f t="shared" si="19"/>
        <v>1</v>
      </c>
    </row>
    <row r="174" spans="1:46" ht="15.75" customHeight="1">
      <c r="A174" s="485"/>
      <c r="B174" s="486">
        <f t="shared" ca="1" si="0"/>
        <v>1</v>
      </c>
      <c r="C174" s="487">
        <f t="shared" ca="1" si="1"/>
        <v>24</v>
      </c>
      <c r="D174" s="487">
        <f t="shared" ca="1" si="2"/>
        <v>6</v>
      </c>
      <c r="E174" s="487" t="str">
        <f t="shared" ca="1" si="3"/>
        <v/>
      </c>
      <c r="F174" s="487" t="str">
        <f t="shared" ca="1" si="4"/>
        <v/>
      </c>
      <c r="G174" s="488" t="str">
        <f t="shared" ca="1" si="5"/>
        <v/>
      </c>
      <c r="H174" s="489" t="str">
        <f t="shared" ca="1" si="6"/>
        <v/>
      </c>
      <c r="I174" s="509"/>
      <c r="J174" s="522"/>
      <c r="K174" s="522" t="s">
        <v>66</v>
      </c>
      <c r="L174" s="522"/>
      <c r="M174" s="522"/>
      <c r="N174" s="522"/>
      <c r="O174" s="522"/>
      <c r="P174" s="522"/>
      <c r="Q174" s="523"/>
      <c r="R174" s="524"/>
      <c r="S174" s="525"/>
      <c r="T174" s="526"/>
      <c r="U174" s="543"/>
      <c r="V174" s="526"/>
      <c r="W174" s="539">
        <v>0</v>
      </c>
      <c r="X174" s="542"/>
      <c r="Y174" s="540"/>
      <c r="Z174" s="541"/>
      <c r="AA174" s="501"/>
      <c r="AB174" s="502"/>
      <c r="AC174" s="503"/>
      <c r="AD174" s="504"/>
      <c r="AE174" s="505"/>
      <c r="AF174" s="506"/>
      <c r="AG174" s="506">
        <f t="shared" si="7"/>
        <v>0</v>
      </c>
      <c r="AH174" s="506">
        <f t="shared" si="8"/>
        <v>0</v>
      </c>
      <c r="AI174" s="506">
        <f t="shared" si="9"/>
        <v>0</v>
      </c>
      <c r="AJ174" s="506">
        <f t="shared" si="10"/>
        <v>0</v>
      </c>
      <c r="AK174" s="506" t="str">
        <f t="shared" si="11"/>
        <v/>
      </c>
      <c r="AL174" s="507">
        <f t="shared" ca="1" si="12"/>
        <v>1</v>
      </c>
      <c r="AM174" s="507">
        <f t="shared" ca="1" si="13"/>
        <v>24</v>
      </c>
      <c r="AN174" s="507">
        <f t="shared" ca="1" si="14"/>
        <v>6</v>
      </c>
      <c r="AO174" s="507">
        <f t="shared" ca="1" si="15"/>
        <v>0</v>
      </c>
      <c r="AP174" s="507">
        <f t="shared" ca="1" si="16"/>
        <v>0</v>
      </c>
      <c r="AQ174" s="507">
        <f t="shared" ca="1" si="17"/>
        <v>0</v>
      </c>
      <c r="AR174" s="507">
        <f t="shared" ca="1" si="18"/>
        <v>0</v>
      </c>
      <c r="AS174" s="508"/>
      <c r="AT174" s="507">
        <f t="shared" si="19"/>
        <v>1</v>
      </c>
    </row>
    <row r="175" spans="1:46" ht="15.75" customHeight="1">
      <c r="A175" s="485"/>
      <c r="B175" s="486">
        <f t="shared" ca="1" si="0"/>
        <v>1</v>
      </c>
      <c r="C175" s="487">
        <f t="shared" ca="1" si="1"/>
        <v>25</v>
      </c>
      <c r="D175" s="487" t="str">
        <f t="shared" ca="1" si="2"/>
        <v/>
      </c>
      <c r="E175" s="487" t="str">
        <f t="shared" ca="1" si="3"/>
        <v/>
      </c>
      <c r="F175" s="487" t="str">
        <f t="shared" ca="1" si="4"/>
        <v/>
      </c>
      <c r="G175" s="488" t="str">
        <f t="shared" ca="1" si="5"/>
        <v/>
      </c>
      <c r="H175" s="489" t="str">
        <f t="shared" ca="1" si="6"/>
        <v/>
      </c>
      <c r="I175" s="509"/>
      <c r="J175" s="510" t="s">
        <v>266</v>
      </c>
      <c r="K175" s="511"/>
      <c r="L175" s="511"/>
      <c r="M175" s="511"/>
      <c r="N175" s="511"/>
      <c r="O175" s="511"/>
      <c r="P175" s="511"/>
      <c r="Q175" s="512" t="s">
        <v>81</v>
      </c>
      <c r="R175" s="513"/>
      <c r="S175" s="514"/>
      <c r="T175" s="515"/>
      <c r="U175" s="516"/>
      <c r="V175" s="515"/>
      <c r="W175" s="517"/>
      <c r="X175" s="518"/>
      <c r="Y175" s="519"/>
      <c r="Z175" s="520"/>
      <c r="AA175" s="501"/>
      <c r="AB175" s="502"/>
      <c r="AC175" s="503"/>
      <c r="AD175" s="504"/>
      <c r="AE175" s="505"/>
      <c r="AF175" s="506"/>
      <c r="AG175" s="506">
        <f t="shared" si="7"/>
        <v>0</v>
      </c>
      <c r="AH175" s="506">
        <f t="shared" si="8"/>
        <v>0</v>
      </c>
      <c r="AI175" s="506">
        <f t="shared" si="9"/>
        <v>0</v>
      </c>
      <c r="AJ175" s="506">
        <f t="shared" si="10"/>
        <v>0</v>
      </c>
      <c r="AK175" s="506" t="str">
        <f t="shared" si="11"/>
        <v/>
      </c>
      <c r="AL175" s="507">
        <f t="shared" ca="1" si="12"/>
        <v>1</v>
      </c>
      <c r="AM175" s="507">
        <f t="shared" ca="1" si="13"/>
        <v>25</v>
      </c>
      <c r="AN175" s="507">
        <f t="shared" ca="1" si="14"/>
        <v>0</v>
      </c>
      <c r="AO175" s="507">
        <f t="shared" ca="1" si="15"/>
        <v>0</v>
      </c>
      <c r="AP175" s="507">
        <f t="shared" ca="1" si="16"/>
        <v>0</v>
      </c>
      <c r="AQ175" s="507">
        <f t="shared" ca="1" si="17"/>
        <v>0</v>
      </c>
      <c r="AR175" s="507">
        <f t="shared" ca="1" si="18"/>
        <v>0</v>
      </c>
      <c r="AS175" s="508"/>
      <c r="AT175" s="507">
        <f t="shared" si="19"/>
        <v>1</v>
      </c>
    </row>
    <row r="176" spans="1:46" ht="15.75" customHeight="1">
      <c r="A176" s="485"/>
      <c r="B176" s="486">
        <f t="shared" ca="1" si="0"/>
        <v>1</v>
      </c>
      <c r="C176" s="487">
        <f t="shared" ca="1" si="1"/>
        <v>25</v>
      </c>
      <c r="D176" s="487">
        <f t="shared" ca="1" si="2"/>
        <v>1</v>
      </c>
      <c r="E176" s="487" t="str">
        <f t="shared" ca="1" si="3"/>
        <v/>
      </c>
      <c r="F176" s="487" t="str">
        <f t="shared" ca="1" si="4"/>
        <v/>
      </c>
      <c r="G176" s="488" t="str">
        <f t="shared" ca="1" si="5"/>
        <v/>
      </c>
      <c r="H176" s="489" t="str">
        <f t="shared" ca="1" si="6"/>
        <v/>
      </c>
      <c r="I176" s="509"/>
      <c r="J176" s="522"/>
      <c r="K176" s="522" t="s">
        <v>59</v>
      </c>
      <c r="L176" s="522"/>
      <c r="M176" s="522"/>
      <c r="N176" s="522"/>
      <c r="O176" s="522"/>
      <c r="P176" s="522"/>
      <c r="Q176" s="523"/>
      <c r="R176" s="524"/>
      <c r="S176" s="525"/>
      <c r="T176" s="526"/>
      <c r="U176" s="543"/>
      <c r="V176" s="526"/>
      <c r="W176" s="539">
        <v>0</v>
      </c>
      <c r="X176" s="542"/>
      <c r="Y176" s="548" t="s">
        <v>267</v>
      </c>
      <c r="Z176" s="549"/>
      <c r="AA176" s="501"/>
      <c r="AB176" s="502"/>
      <c r="AC176" s="503"/>
      <c r="AD176" s="504"/>
      <c r="AE176" s="505"/>
      <c r="AF176" s="506"/>
      <c r="AG176" s="506">
        <f t="shared" si="7"/>
        <v>0</v>
      </c>
      <c r="AH176" s="506">
        <f t="shared" si="8"/>
        <v>0</v>
      </c>
      <c r="AI176" s="506">
        <f t="shared" si="9"/>
        <v>0</v>
      </c>
      <c r="AJ176" s="506">
        <f t="shared" si="10"/>
        <v>0</v>
      </c>
      <c r="AK176" s="506" t="str">
        <f t="shared" si="11"/>
        <v/>
      </c>
      <c r="AL176" s="507">
        <f t="shared" ca="1" si="12"/>
        <v>1</v>
      </c>
      <c r="AM176" s="507">
        <f t="shared" ca="1" si="13"/>
        <v>25</v>
      </c>
      <c r="AN176" s="507">
        <f t="shared" ca="1" si="14"/>
        <v>1</v>
      </c>
      <c r="AO176" s="507">
        <f t="shared" ca="1" si="15"/>
        <v>0</v>
      </c>
      <c r="AP176" s="507">
        <f t="shared" ca="1" si="16"/>
        <v>0</v>
      </c>
      <c r="AQ176" s="507">
        <f t="shared" ca="1" si="17"/>
        <v>0</v>
      </c>
      <c r="AR176" s="507">
        <f t="shared" ca="1" si="18"/>
        <v>0</v>
      </c>
      <c r="AS176" s="508"/>
      <c r="AT176" s="507">
        <f t="shared" si="19"/>
        <v>1</v>
      </c>
    </row>
    <row r="177" spans="1:46" ht="15.75" customHeight="1">
      <c r="A177" s="485"/>
      <c r="B177" s="486">
        <f t="shared" ca="1" si="0"/>
        <v>1</v>
      </c>
      <c r="C177" s="487">
        <f t="shared" ca="1" si="1"/>
        <v>25</v>
      </c>
      <c r="D177" s="487">
        <f t="shared" ca="1" si="2"/>
        <v>2</v>
      </c>
      <c r="E177" s="487" t="str">
        <f t="shared" ca="1" si="3"/>
        <v/>
      </c>
      <c r="F177" s="487" t="str">
        <f t="shared" ca="1" si="4"/>
        <v/>
      </c>
      <c r="G177" s="488" t="str">
        <f t="shared" ca="1" si="5"/>
        <v/>
      </c>
      <c r="H177" s="489" t="str">
        <f t="shared" ca="1" si="6"/>
        <v/>
      </c>
      <c r="I177" s="509"/>
      <c r="J177" s="522"/>
      <c r="K177" s="522" t="s">
        <v>145</v>
      </c>
      <c r="L177" s="522"/>
      <c r="M177" s="522"/>
      <c r="N177" s="522"/>
      <c r="O177" s="522"/>
      <c r="P177" s="522"/>
      <c r="Q177" s="523"/>
      <c r="R177" s="524"/>
      <c r="S177" s="525"/>
      <c r="T177" s="526"/>
      <c r="U177" s="543"/>
      <c r="V177" s="526"/>
      <c r="W177" s="539">
        <v>0</v>
      </c>
      <c r="X177" s="542"/>
      <c r="Y177" s="550"/>
      <c r="Z177" s="551"/>
      <c r="AA177" s="501"/>
      <c r="AB177" s="502"/>
      <c r="AC177" s="503"/>
      <c r="AD177" s="504"/>
      <c r="AE177" s="505"/>
      <c r="AF177" s="506"/>
      <c r="AG177" s="506">
        <f t="shared" si="7"/>
        <v>0</v>
      </c>
      <c r="AH177" s="506">
        <f t="shared" si="8"/>
        <v>0</v>
      </c>
      <c r="AI177" s="506">
        <f t="shared" si="9"/>
        <v>0</v>
      </c>
      <c r="AJ177" s="506">
        <f t="shared" si="10"/>
        <v>0</v>
      </c>
      <c r="AK177" s="506" t="str">
        <f t="shared" si="11"/>
        <v/>
      </c>
      <c r="AL177" s="507">
        <f t="shared" ca="1" si="12"/>
        <v>1</v>
      </c>
      <c r="AM177" s="507">
        <f t="shared" ca="1" si="13"/>
        <v>25</v>
      </c>
      <c r="AN177" s="507">
        <f t="shared" ca="1" si="14"/>
        <v>2</v>
      </c>
      <c r="AO177" s="507">
        <f t="shared" ca="1" si="15"/>
        <v>0</v>
      </c>
      <c r="AP177" s="507">
        <f t="shared" ca="1" si="16"/>
        <v>0</v>
      </c>
      <c r="AQ177" s="507">
        <f t="shared" ca="1" si="17"/>
        <v>0</v>
      </c>
      <c r="AR177" s="507">
        <f t="shared" ca="1" si="18"/>
        <v>0</v>
      </c>
      <c r="AS177" s="508"/>
      <c r="AT177" s="507">
        <f t="shared" si="19"/>
        <v>1</v>
      </c>
    </row>
    <row r="178" spans="1:46" ht="15.75" customHeight="1">
      <c r="A178" s="485"/>
      <c r="B178" s="486">
        <f t="shared" ca="1" si="0"/>
        <v>1</v>
      </c>
      <c r="C178" s="487">
        <f t="shared" ca="1" si="1"/>
        <v>25</v>
      </c>
      <c r="D178" s="487">
        <f t="shared" ca="1" si="2"/>
        <v>3</v>
      </c>
      <c r="E178" s="487" t="str">
        <f t="shared" ca="1" si="3"/>
        <v/>
      </c>
      <c r="F178" s="487" t="str">
        <f t="shared" ca="1" si="4"/>
        <v/>
      </c>
      <c r="G178" s="488" t="str">
        <f t="shared" ca="1" si="5"/>
        <v/>
      </c>
      <c r="H178" s="489" t="str">
        <f t="shared" ca="1" si="6"/>
        <v/>
      </c>
      <c r="I178" s="509"/>
      <c r="J178" s="522"/>
      <c r="K178" s="522" t="s">
        <v>63</v>
      </c>
      <c r="L178" s="522"/>
      <c r="M178" s="522"/>
      <c r="N178" s="522"/>
      <c r="O178" s="522"/>
      <c r="P178" s="522"/>
      <c r="Q178" s="523"/>
      <c r="R178" s="524"/>
      <c r="S178" s="525"/>
      <c r="T178" s="526"/>
      <c r="U178" s="543"/>
      <c r="V178" s="526"/>
      <c r="W178" s="539">
        <v>0</v>
      </c>
      <c r="X178" s="542"/>
      <c r="Y178" s="540"/>
      <c r="Z178" s="541"/>
      <c r="AA178" s="501"/>
      <c r="AB178" s="502"/>
      <c r="AC178" s="503"/>
      <c r="AD178" s="504"/>
      <c r="AE178" s="505"/>
      <c r="AF178" s="506"/>
      <c r="AG178" s="506">
        <f t="shared" si="7"/>
        <v>0</v>
      </c>
      <c r="AH178" s="506">
        <f t="shared" si="8"/>
        <v>0</v>
      </c>
      <c r="AI178" s="506">
        <f t="shared" si="9"/>
        <v>0</v>
      </c>
      <c r="AJ178" s="506">
        <f t="shared" si="10"/>
        <v>0</v>
      </c>
      <c r="AK178" s="506" t="str">
        <f t="shared" si="11"/>
        <v/>
      </c>
      <c r="AL178" s="507">
        <f t="shared" ca="1" si="12"/>
        <v>1</v>
      </c>
      <c r="AM178" s="507">
        <f t="shared" ca="1" si="13"/>
        <v>25</v>
      </c>
      <c r="AN178" s="507">
        <f t="shared" ca="1" si="14"/>
        <v>3</v>
      </c>
      <c r="AO178" s="507">
        <f t="shared" ca="1" si="15"/>
        <v>0</v>
      </c>
      <c r="AP178" s="507">
        <f t="shared" ca="1" si="16"/>
        <v>0</v>
      </c>
      <c r="AQ178" s="507">
        <f t="shared" ca="1" si="17"/>
        <v>0</v>
      </c>
      <c r="AR178" s="507">
        <f t="shared" ca="1" si="18"/>
        <v>0</v>
      </c>
      <c r="AS178" s="508"/>
      <c r="AT178" s="507">
        <f t="shared" si="19"/>
        <v>1</v>
      </c>
    </row>
    <row r="179" spans="1:46" ht="15.75" customHeight="1">
      <c r="A179" s="485"/>
      <c r="B179" s="486">
        <f t="shared" ca="1" si="0"/>
        <v>1</v>
      </c>
      <c r="C179" s="487">
        <f t="shared" ca="1" si="1"/>
        <v>25</v>
      </c>
      <c r="D179" s="487">
        <f t="shared" ca="1" si="2"/>
        <v>4</v>
      </c>
      <c r="E179" s="487" t="str">
        <f t="shared" ca="1" si="3"/>
        <v/>
      </c>
      <c r="F179" s="487" t="str">
        <f t="shared" ca="1" si="4"/>
        <v/>
      </c>
      <c r="G179" s="488" t="str">
        <f t="shared" ca="1" si="5"/>
        <v/>
      </c>
      <c r="H179" s="489" t="str">
        <f t="shared" ca="1" si="6"/>
        <v/>
      </c>
      <c r="I179" s="509"/>
      <c r="J179" s="522"/>
      <c r="K179" s="522" t="s">
        <v>64</v>
      </c>
      <c r="L179" s="522"/>
      <c r="M179" s="522"/>
      <c r="N179" s="522"/>
      <c r="O179" s="522"/>
      <c r="P179" s="522"/>
      <c r="Q179" s="523"/>
      <c r="R179" s="524"/>
      <c r="S179" s="525"/>
      <c r="T179" s="526"/>
      <c r="U179" s="543"/>
      <c r="V179" s="526"/>
      <c r="W179" s="539">
        <v>0</v>
      </c>
      <c r="X179" s="542"/>
      <c r="Y179" s="540"/>
      <c r="Z179" s="541"/>
      <c r="AA179" s="501"/>
      <c r="AB179" s="502"/>
      <c r="AC179" s="503"/>
      <c r="AD179" s="504"/>
      <c r="AE179" s="505"/>
      <c r="AF179" s="506"/>
      <c r="AG179" s="506">
        <f t="shared" si="7"/>
        <v>0</v>
      </c>
      <c r="AH179" s="506">
        <f t="shared" si="8"/>
        <v>0</v>
      </c>
      <c r="AI179" s="506">
        <f t="shared" si="9"/>
        <v>0</v>
      </c>
      <c r="AJ179" s="506">
        <f t="shared" si="10"/>
        <v>0</v>
      </c>
      <c r="AK179" s="506" t="str">
        <f t="shared" si="11"/>
        <v/>
      </c>
      <c r="AL179" s="507">
        <f t="shared" ca="1" si="12"/>
        <v>1</v>
      </c>
      <c r="AM179" s="507">
        <f t="shared" ca="1" si="13"/>
        <v>25</v>
      </c>
      <c r="AN179" s="507">
        <f t="shared" ca="1" si="14"/>
        <v>4</v>
      </c>
      <c r="AO179" s="507">
        <f t="shared" ca="1" si="15"/>
        <v>0</v>
      </c>
      <c r="AP179" s="507">
        <f t="shared" ca="1" si="16"/>
        <v>0</v>
      </c>
      <c r="AQ179" s="507">
        <f t="shared" ca="1" si="17"/>
        <v>0</v>
      </c>
      <c r="AR179" s="507">
        <f t="shared" ca="1" si="18"/>
        <v>0</v>
      </c>
      <c r="AS179" s="508"/>
      <c r="AT179" s="507">
        <f t="shared" si="19"/>
        <v>1</v>
      </c>
    </row>
    <row r="180" spans="1:46" ht="15.75" customHeight="1">
      <c r="A180" s="485"/>
      <c r="B180" s="486">
        <f t="shared" ca="1" si="0"/>
        <v>1</v>
      </c>
      <c r="C180" s="487">
        <f t="shared" ca="1" si="1"/>
        <v>25</v>
      </c>
      <c r="D180" s="487">
        <f t="shared" ca="1" si="2"/>
        <v>5</v>
      </c>
      <c r="E180" s="487" t="str">
        <f t="shared" ca="1" si="3"/>
        <v/>
      </c>
      <c r="F180" s="487" t="str">
        <f t="shared" ca="1" si="4"/>
        <v/>
      </c>
      <c r="G180" s="488" t="str">
        <f t="shared" ca="1" si="5"/>
        <v/>
      </c>
      <c r="H180" s="489" t="str">
        <f t="shared" ca="1" si="6"/>
        <v/>
      </c>
      <c r="I180" s="509"/>
      <c r="J180" s="522"/>
      <c r="K180" s="522" t="s">
        <v>65</v>
      </c>
      <c r="L180" s="522"/>
      <c r="M180" s="522"/>
      <c r="N180" s="522"/>
      <c r="O180" s="522"/>
      <c r="P180" s="522"/>
      <c r="Q180" s="523"/>
      <c r="R180" s="524"/>
      <c r="S180" s="525"/>
      <c r="T180" s="526"/>
      <c r="U180" s="543"/>
      <c r="V180" s="526"/>
      <c r="W180" s="539">
        <v>0</v>
      </c>
      <c r="X180" s="542"/>
      <c r="Y180" s="540"/>
      <c r="Z180" s="541"/>
      <c r="AA180" s="501"/>
      <c r="AB180" s="502"/>
      <c r="AC180" s="503"/>
      <c r="AD180" s="504"/>
      <c r="AE180" s="505"/>
      <c r="AF180" s="506"/>
      <c r="AG180" s="506">
        <f t="shared" si="7"/>
        <v>0</v>
      </c>
      <c r="AH180" s="506">
        <f t="shared" si="8"/>
        <v>0</v>
      </c>
      <c r="AI180" s="506">
        <f t="shared" si="9"/>
        <v>0</v>
      </c>
      <c r="AJ180" s="506">
        <f t="shared" si="10"/>
        <v>0</v>
      </c>
      <c r="AK180" s="506" t="str">
        <f t="shared" si="11"/>
        <v/>
      </c>
      <c r="AL180" s="507">
        <f t="shared" ca="1" si="12"/>
        <v>1</v>
      </c>
      <c r="AM180" s="507">
        <f t="shared" ca="1" si="13"/>
        <v>25</v>
      </c>
      <c r="AN180" s="507">
        <f t="shared" ca="1" si="14"/>
        <v>5</v>
      </c>
      <c r="AO180" s="507">
        <f t="shared" ca="1" si="15"/>
        <v>0</v>
      </c>
      <c r="AP180" s="507">
        <f t="shared" ca="1" si="16"/>
        <v>0</v>
      </c>
      <c r="AQ180" s="507">
        <f t="shared" ca="1" si="17"/>
        <v>0</v>
      </c>
      <c r="AR180" s="507">
        <f t="shared" ca="1" si="18"/>
        <v>0</v>
      </c>
      <c r="AS180" s="508"/>
      <c r="AT180" s="507">
        <f t="shared" si="19"/>
        <v>1</v>
      </c>
    </row>
    <row r="181" spans="1:46" ht="15.75" customHeight="1">
      <c r="A181" s="485"/>
      <c r="B181" s="486">
        <f t="shared" ca="1" si="0"/>
        <v>1</v>
      </c>
      <c r="C181" s="487">
        <f t="shared" ca="1" si="1"/>
        <v>25</v>
      </c>
      <c r="D181" s="487">
        <f t="shared" ca="1" si="2"/>
        <v>6</v>
      </c>
      <c r="E181" s="487" t="str">
        <f t="shared" ca="1" si="3"/>
        <v/>
      </c>
      <c r="F181" s="487" t="str">
        <f t="shared" ca="1" si="4"/>
        <v/>
      </c>
      <c r="G181" s="488" t="str">
        <f t="shared" ca="1" si="5"/>
        <v/>
      </c>
      <c r="H181" s="489" t="str">
        <f t="shared" ca="1" si="6"/>
        <v/>
      </c>
      <c r="I181" s="509"/>
      <c r="J181" s="522"/>
      <c r="K181" s="522" t="s">
        <v>66</v>
      </c>
      <c r="L181" s="522"/>
      <c r="M181" s="522"/>
      <c r="N181" s="522"/>
      <c r="O181" s="522"/>
      <c r="P181" s="522"/>
      <c r="Q181" s="523"/>
      <c r="R181" s="524"/>
      <c r="S181" s="525"/>
      <c r="T181" s="526"/>
      <c r="U181" s="543"/>
      <c r="V181" s="526"/>
      <c r="W181" s="539">
        <v>0</v>
      </c>
      <c r="X181" s="542"/>
      <c r="Y181" s="540"/>
      <c r="Z181" s="541"/>
      <c r="AA181" s="501"/>
      <c r="AB181" s="502"/>
      <c r="AC181" s="503"/>
      <c r="AD181" s="504"/>
      <c r="AE181" s="505"/>
      <c r="AF181" s="506"/>
      <c r="AG181" s="506">
        <f t="shared" si="7"/>
        <v>0</v>
      </c>
      <c r="AH181" s="506">
        <f t="shared" si="8"/>
        <v>0</v>
      </c>
      <c r="AI181" s="506">
        <f t="shared" si="9"/>
        <v>0</v>
      </c>
      <c r="AJ181" s="506">
        <f t="shared" si="10"/>
        <v>0</v>
      </c>
      <c r="AK181" s="506" t="str">
        <f t="shared" si="11"/>
        <v/>
      </c>
      <c r="AL181" s="507">
        <f t="shared" ca="1" si="12"/>
        <v>1</v>
      </c>
      <c r="AM181" s="507">
        <f t="shared" ca="1" si="13"/>
        <v>25</v>
      </c>
      <c r="AN181" s="507">
        <f t="shared" ca="1" si="14"/>
        <v>6</v>
      </c>
      <c r="AO181" s="507">
        <f t="shared" ca="1" si="15"/>
        <v>0</v>
      </c>
      <c r="AP181" s="507">
        <f t="shared" ca="1" si="16"/>
        <v>0</v>
      </c>
      <c r="AQ181" s="507">
        <f t="shared" ca="1" si="17"/>
        <v>0</v>
      </c>
      <c r="AR181" s="507">
        <f t="shared" ca="1" si="18"/>
        <v>0</v>
      </c>
      <c r="AS181" s="508"/>
      <c r="AT181" s="507">
        <f t="shared" si="19"/>
        <v>1</v>
      </c>
    </row>
    <row r="182" spans="1:46" ht="15.75" customHeight="1">
      <c r="A182" s="485"/>
      <c r="B182" s="486">
        <f t="shared" ca="1" si="0"/>
        <v>1</v>
      </c>
      <c r="C182" s="487">
        <f t="shared" ca="1" si="1"/>
        <v>26</v>
      </c>
      <c r="D182" s="487" t="str">
        <f t="shared" ca="1" si="2"/>
        <v/>
      </c>
      <c r="E182" s="487" t="str">
        <f t="shared" ca="1" si="3"/>
        <v/>
      </c>
      <c r="F182" s="487" t="str">
        <f t="shared" ca="1" si="4"/>
        <v/>
      </c>
      <c r="G182" s="488" t="str">
        <f t="shared" ca="1" si="5"/>
        <v/>
      </c>
      <c r="H182" s="489" t="str">
        <f t="shared" ca="1" si="6"/>
        <v/>
      </c>
      <c r="I182" s="509"/>
      <c r="J182" s="510" t="s">
        <v>268</v>
      </c>
      <c r="K182" s="511"/>
      <c r="L182" s="511"/>
      <c r="M182" s="511"/>
      <c r="N182" s="511"/>
      <c r="O182" s="511"/>
      <c r="P182" s="511"/>
      <c r="Q182" s="512" t="s">
        <v>73</v>
      </c>
      <c r="R182" s="513"/>
      <c r="S182" s="514"/>
      <c r="T182" s="515"/>
      <c r="U182" s="516"/>
      <c r="V182" s="515"/>
      <c r="W182" s="517"/>
      <c r="X182" s="518"/>
      <c r="Y182" s="519"/>
      <c r="Z182" s="520"/>
      <c r="AA182" s="501"/>
      <c r="AB182" s="502"/>
      <c r="AC182" s="503"/>
      <c r="AD182" s="504"/>
      <c r="AE182" s="505"/>
      <c r="AF182" s="506"/>
      <c r="AG182" s="506">
        <f t="shared" si="7"/>
        <v>0</v>
      </c>
      <c r="AH182" s="506">
        <f t="shared" si="8"/>
        <v>0</v>
      </c>
      <c r="AI182" s="506">
        <f t="shared" si="9"/>
        <v>0</v>
      </c>
      <c r="AJ182" s="506">
        <f t="shared" si="10"/>
        <v>0</v>
      </c>
      <c r="AK182" s="506" t="str">
        <f t="shared" si="11"/>
        <v/>
      </c>
      <c r="AL182" s="507">
        <f t="shared" ca="1" si="12"/>
        <v>1</v>
      </c>
      <c r="AM182" s="507">
        <f t="shared" ca="1" si="13"/>
        <v>26</v>
      </c>
      <c r="AN182" s="507">
        <f t="shared" ca="1" si="14"/>
        <v>0</v>
      </c>
      <c r="AO182" s="507">
        <f t="shared" ca="1" si="15"/>
        <v>0</v>
      </c>
      <c r="AP182" s="507">
        <f t="shared" ca="1" si="16"/>
        <v>0</v>
      </c>
      <c r="AQ182" s="507">
        <f t="shared" ca="1" si="17"/>
        <v>0</v>
      </c>
      <c r="AR182" s="507">
        <f t="shared" ca="1" si="18"/>
        <v>0</v>
      </c>
      <c r="AS182" s="508"/>
      <c r="AT182" s="507">
        <f t="shared" si="19"/>
        <v>1</v>
      </c>
    </row>
    <row r="183" spans="1:46" ht="15.75" customHeight="1">
      <c r="A183" s="485"/>
      <c r="B183" s="486">
        <f t="shared" ca="1" si="0"/>
        <v>1</v>
      </c>
      <c r="C183" s="487">
        <f t="shared" ca="1" si="1"/>
        <v>26</v>
      </c>
      <c r="D183" s="487">
        <f t="shared" ca="1" si="2"/>
        <v>1</v>
      </c>
      <c r="E183" s="487" t="str">
        <f t="shared" ca="1" si="3"/>
        <v/>
      </c>
      <c r="F183" s="487" t="str">
        <f t="shared" ca="1" si="4"/>
        <v/>
      </c>
      <c r="G183" s="488" t="str">
        <f t="shared" ca="1" si="5"/>
        <v/>
      </c>
      <c r="H183" s="489" t="str">
        <f t="shared" ca="1" si="6"/>
        <v/>
      </c>
      <c r="I183" s="509"/>
      <c r="J183" s="522"/>
      <c r="K183" s="522" t="s">
        <v>59</v>
      </c>
      <c r="L183" s="522"/>
      <c r="M183" s="522"/>
      <c r="N183" s="522"/>
      <c r="O183" s="522"/>
      <c r="P183" s="522"/>
      <c r="Q183" s="523"/>
      <c r="R183" s="524"/>
      <c r="S183" s="525"/>
      <c r="T183" s="526"/>
      <c r="U183" s="543"/>
      <c r="V183" s="526"/>
      <c r="W183" s="539">
        <v>0</v>
      </c>
      <c r="X183" s="542"/>
      <c r="Y183" s="548" t="s">
        <v>267</v>
      </c>
      <c r="Z183" s="549"/>
      <c r="AA183" s="501"/>
      <c r="AB183" s="502"/>
      <c r="AC183" s="503"/>
      <c r="AD183" s="504"/>
      <c r="AE183" s="505"/>
      <c r="AF183" s="506"/>
      <c r="AG183" s="506">
        <f t="shared" si="7"/>
        <v>0</v>
      </c>
      <c r="AH183" s="506">
        <f t="shared" si="8"/>
        <v>0</v>
      </c>
      <c r="AI183" s="506">
        <f t="shared" si="9"/>
        <v>0</v>
      </c>
      <c r="AJ183" s="506">
        <f t="shared" si="10"/>
        <v>0</v>
      </c>
      <c r="AK183" s="506" t="str">
        <f t="shared" si="11"/>
        <v/>
      </c>
      <c r="AL183" s="507">
        <f t="shared" ca="1" si="12"/>
        <v>1</v>
      </c>
      <c r="AM183" s="507">
        <f t="shared" ca="1" si="13"/>
        <v>26</v>
      </c>
      <c r="AN183" s="507">
        <f t="shared" ca="1" si="14"/>
        <v>1</v>
      </c>
      <c r="AO183" s="507">
        <f t="shared" ca="1" si="15"/>
        <v>0</v>
      </c>
      <c r="AP183" s="507">
        <f t="shared" ca="1" si="16"/>
        <v>0</v>
      </c>
      <c r="AQ183" s="507">
        <f t="shared" ca="1" si="17"/>
        <v>0</v>
      </c>
      <c r="AR183" s="507">
        <f t="shared" ca="1" si="18"/>
        <v>0</v>
      </c>
      <c r="AS183" s="508"/>
      <c r="AT183" s="507">
        <f t="shared" si="19"/>
        <v>1</v>
      </c>
    </row>
    <row r="184" spans="1:46" ht="15.75" customHeight="1">
      <c r="A184" s="485"/>
      <c r="B184" s="486">
        <f t="shared" ca="1" si="0"/>
        <v>1</v>
      </c>
      <c r="C184" s="487">
        <f t="shared" ca="1" si="1"/>
        <v>26</v>
      </c>
      <c r="D184" s="487">
        <f t="shared" ca="1" si="2"/>
        <v>2</v>
      </c>
      <c r="E184" s="487" t="str">
        <f t="shared" ca="1" si="3"/>
        <v/>
      </c>
      <c r="F184" s="487" t="str">
        <f t="shared" ca="1" si="4"/>
        <v/>
      </c>
      <c r="G184" s="488" t="str">
        <f t="shared" ca="1" si="5"/>
        <v/>
      </c>
      <c r="H184" s="489" t="str">
        <f t="shared" ca="1" si="6"/>
        <v/>
      </c>
      <c r="I184" s="509"/>
      <c r="J184" s="522"/>
      <c r="K184" s="522" t="s">
        <v>145</v>
      </c>
      <c r="L184" s="522"/>
      <c r="M184" s="522"/>
      <c r="N184" s="522"/>
      <c r="O184" s="522"/>
      <c r="P184" s="522"/>
      <c r="Q184" s="523"/>
      <c r="R184" s="524"/>
      <c r="S184" s="525"/>
      <c r="T184" s="526"/>
      <c r="U184" s="543"/>
      <c r="V184" s="526"/>
      <c r="W184" s="539">
        <v>0</v>
      </c>
      <c r="X184" s="542"/>
      <c r="Y184" s="550"/>
      <c r="Z184" s="551"/>
      <c r="AA184" s="501"/>
      <c r="AB184" s="502"/>
      <c r="AC184" s="503"/>
      <c r="AD184" s="504"/>
      <c r="AE184" s="505"/>
      <c r="AF184" s="506"/>
      <c r="AG184" s="506">
        <f t="shared" si="7"/>
        <v>0</v>
      </c>
      <c r="AH184" s="506">
        <f t="shared" si="8"/>
        <v>0</v>
      </c>
      <c r="AI184" s="506">
        <f t="shared" si="9"/>
        <v>0</v>
      </c>
      <c r="AJ184" s="506">
        <f t="shared" si="10"/>
        <v>0</v>
      </c>
      <c r="AK184" s="506" t="str">
        <f t="shared" si="11"/>
        <v/>
      </c>
      <c r="AL184" s="507">
        <f t="shared" ca="1" si="12"/>
        <v>1</v>
      </c>
      <c r="AM184" s="507">
        <f t="shared" ca="1" si="13"/>
        <v>26</v>
      </c>
      <c r="AN184" s="507">
        <f t="shared" ca="1" si="14"/>
        <v>2</v>
      </c>
      <c r="AO184" s="507">
        <f t="shared" ca="1" si="15"/>
        <v>0</v>
      </c>
      <c r="AP184" s="507">
        <f t="shared" ca="1" si="16"/>
        <v>0</v>
      </c>
      <c r="AQ184" s="507">
        <f t="shared" ca="1" si="17"/>
        <v>0</v>
      </c>
      <c r="AR184" s="507">
        <f t="shared" ca="1" si="18"/>
        <v>0</v>
      </c>
      <c r="AS184" s="508"/>
      <c r="AT184" s="507">
        <f t="shared" si="19"/>
        <v>1</v>
      </c>
    </row>
    <row r="185" spans="1:46" ht="15.75" customHeight="1">
      <c r="A185" s="485"/>
      <c r="B185" s="486">
        <f t="shared" ca="1" si="0"/>
        <v>1</v>
      </c>
      <c r="C185" s="487">
        <f t="shared" ca="1" si="1"/>
        <v>26</v>
      </c>
      <c r="D185" s="487">
        <f t="shared" ca="1" si="2"/>
        <v>3</v>
      </c>
      <c r="E185" s="487" t="str">
        <f t="shared" ca="1" si="3"/>
        <v/>
      </c>
      <c r="F185" s="487" t="str">
        <f t="shared" ca="1" si="4"/>
        <v/>
      </c>
      <c r="G185" s="488" t="str">
        <f t="shared" ca="1" si="5"/>
        <v/>
      </c>
      <c r="H185" s="489" t="str">
        <f t="shared" ca="1" si="6"/>
        <v/>
      </c>
      <c r="I185" s="509"/>
      <c r="J185" s="522"/>
      <c r="K185" s="522" t="s">
        <v>63</v>
      </c>
      <c r="L185" s="522"/>
      <c r="M185" s="522"/>
      <c r="N185" s="522"/>
      <c r="O185" s="522"/>
      <c r="P185" s="522"/>
      <c r="Q185" s="523"/>
      <c r="R185" s="524"/>
      <c r="S185" s="525"/>
      <c r="T185" s="526"/>
      <c r="U185" s="543"/>
      <c r="V185" s="526"/>
      <c r="W185" s="539">
        <v>0</v>
      </c>
      <c r="X185" s="542"/>
      <c r="Y185" s="540"/>
      <c r="Z185" s="541"/>
      <c r="AA185" s="501"/>
      <c r="AB185" s="502"/>
      <c r="AC185" s="503"/>
      <c r="AD185" s="504"/>
      <c r="AE185" s="505"/>
      <c r="AF185" s="506"/>
      <c r="AG185" s="506">
        <f t="shared" si="7"/>
        <v>0</v>
      </c>
      <c r="AH185" s="506">
        <f t="shared" si="8"/>
        <v>0</v>
      </c>
      <c r="AI185" s="506">
        <f t="shared" si="9"/>
        <v>0</v>
      </c>
      <c r="AJ185" s="506">
        <f t="shared" si="10"/>
        <v>0</v>
      </c>
      <c r="AK185" s="506" t="str">
        <f t="shared" si="11"/>
        <v/>
      </c>
      <c r="AL185" s="507">
        <f t="shared" ca="1" si="12"/>
        <v>1</v>
      </c>
      <c r="AM185" s="507">
        <f t="shared" ca="1" si="13"/>
        <v>26</v>
      </c>
      <c r="AN185" s="507">
        <f t="shared" ca="1" si="14"/>
        <v>3</v>
      </c>
      <c r="AO185" s="507">
        <f t="shared" ca="1" si="15"/>
        <v>0</v>
      </c>
      <c r="AP185" s="507">
        <f t="shared" ca="1" si="16"/>
        <v>0</v>
      </c>
      <c r="AQ185" s="507">
        <f t="shared" ca="1" si="17"/>
        <v>0</v>
      </c>
      <c r="AR185" s="507">
        <f t="shared" ca="1" si="18"/>
        <v>0</v>
      </c>
      <c r="AS185" s="508"/>
      <c r="AT185" s="507">
        <f t="shared" si="19"/>
        <v>1</v>
      </c>
    </row>
    <row r="186" spans="1:46" ht="15.75" customHeight="1">
      <c r="A186" s="485"/>
      <c r="B186" s="486">
        <f t="shared" ca="1" si="0"/>
        <v>1</v>
      </c>
      <c r="C186" s="487">
        <f t="shared" ca="1" si="1"/>
        <v>26</v>
      </c>
      <c r="D186" s="487">
        <f t="shared" ca="1" si="2"/>
        <v>4</v>
      </c>
      <c r="E186" s="487" t="str">
        <f t="shared" ca="1" si="3"/>
        <v/>
      </c>
      <c r="F186" s="487" t="str">
        <f t="shared" ca="1" si="4"/>
        <v/>
      </c>
      <c r="G186" s="488" t="str">
        <f t="shared" ca="1" si="5"/>
        <v/>
      </c>
      <c r="H186" s="489" t="str">
        <f t="shared" ca="1" si="6"/>
        <v/>
      </c>
      <c r="I186" s="509"/>
      <c r="J186" s="522"/>
      <c r="K186" s="522" t="s">
        <v>64</v>
      </c>
      <c r="L186" s="522"/>
      <c r="M186" s="522"/>
      <c r="N186" s="522"/>
      <c r="O186" s="522"/>
      <c r="P186" s="522"/>
      <c r="Q186" s="523"/>
      <c r="R186" s="524"/>
      <c r="S186" s="525"/>
      <c r="T186" s="526"/>
      <c r="U186" s="543"/>
      <c r="V186" s="526"/>
      <c r="W186" s="539">
        <v>0</v>
      </c>
      <c r="X186" s="542"/>
      <c r="Y186" s="540"/>
      <c r="Z186" s="541"/>
      <c r="AA186" s="501"/>
      <c r="AB186" s="502"/>
      <c r="AC186" s="503"/>
      <c r="AD186" s="504"/>
      <c r="AE186" s="505"/>
      <c r="AF186" s="506"/>
      <c r="AG186" s="506">
        <f t="shared" si="7"/>
        <v>0</v>
      </c>
      <c r="AH186" s="506">
        <f t="shared" si="8"/>
        <v>0</v>
      </c>
      <c r="AI186" s="506">
        <f t="shared" si="9"/>
        <v>0</v>
      </c>
      <c r="AJ186" s="506">
        <f t="shared" si="10"/>
        <v>0</v>
      </c>
      <c r="AK186" s="506" t="str">
        <f t="shared" si="11"/>
        <v/>
      </c>
      <c r="AL186" s="507">
        <f t="shared" ca="1" si="12"/>
        <v>1</v>
      </c>
      <c r="AM186" s="507">
        <f t="shared" ca="1" si="13"/>
        <v>26</v>
      </c>
      <c r="AN186" s="507">
        <f t="shared" ca="1" si="14"/>
        <v>4</v>
      </c>
      <c r="AO186" s="507">
        <f t="shared" ca="1" si="15"/>
        <v>0</v>
      </c>
      <c r="AP186" s="507">
        <f t="shared" ca="1" si="16"/>
        <v>0</v>
      </c>
      <c r="AQ186" s="507">
        <f t="shared" ca="1" si="17"/>
        <v>0</v>
      </c>
      <c r="AR186" s="507">
        <f t="shared" ca="1" si="18"/>
        <v>0</v>
      </c>
      <c r="AS186" s="508"/>
      <c r="AT186" s="507">
        <f t="shared" si="19"/>
        <v>1</v>
      </c>
    </row>
    <row r="187" spans="1:46" ht="15.75" customHeight="1">
      <c r="A187" s="485"/>
      <c r="B187" s="486">
        <f t="shared" ca="1" si="0"/>
        <v>1</v>
      </c>
      <c r="C187" s="487">
        <f t="shared" ca="1" si="1"/>
        <v>26</v>
      </c>
      <c r="D187" s="487">
        <f t="shared" ca="1" si="2"/>
        <v>5</v>
      </c>
      <c r="E187" s="487" t="str">
        <f t="shared" ca="1" si="3"/>
        <v/>
      </c>
      <c r="F187" s="487" t="str">
        <f t="shared" ca="1" si="4"/>
        <v/>
      </c>
      <c r="G187" s="488" t="str">
        <f t="shared" ca="1" si="5"/>
        <v/>
      </c>
      <c r="H187" s="489" t="str">
        <f t="shared" ca="1" si="6"/>
        <v/>
      </c>
      <c r="I187" s="509"/>
      <c r="J187" s="522"/>
      <c r="K187" s="522" t="s">
        <v>65</v>
      </c>
      <c r="L187" s="522"/>
      <c r="M187" s="522"/>
      <c r="N187" s="522"/>
      <c r="O187" s="522"/>
      <c r="P187" s="522"/>
      <c r="Q187" s="523"/>
      <c r="R187" s="524"/>
      <c r="S187" s="525"/>
      <c r="T187" s="526"/>
      <c r="U187" s="543"/>
      <c r="V187" s="526"/>
      <c r="W187" s="539">
        <v>0</v>
      </c>
      <c r="X187" s="542"/>
      <c r="Y187" s="540"/>
      <c r="Z187" s="541"/>
      <c r="AA187" s="501"/>
      <c r="AB187" s="502"/>
      <c r="AC187" s="503"/>
      <c r="AD187" s="504"/>
      <c r="AE187" s="505"/>
      <c r="AF187" s="506"/>
      <c r="AG187" s="506">
        <f t="shared" si="7"/>
        <v>0</v>
      </c>
      <c r="AH187" s="506">
        <f t="shared" si="8"/>
        <v>0</v>
      </c>
      <c r="AI187" s="506">
        <f t="shared" si="9"/>
        <v>0</v>
      </c>
      <c r="AJ187" s="506">
        <f t="shared" si="10"/>
        <v>0</v>
      </c>
      <c r="AK187" s="506" t="str">
        <f t="shared" si="11"/>
        <v/>
      </c>
      <c r="AL187" s="507">
        <f t="shared" ca="1" si="12"/>
        <v>1</v>
      </c>
      <c r="AM187" s="507">
        <f t="shared" ca="1" si="13"/>
        <v>26</v>
      </c>
      <c r="AN187" s="507">
        <f t="shared" ca="1" si="14"/>
        <v>5</v>
      </c>
      <c r="AO187" s="507">
        <f t="shared" ca="1" si="15"/>
        <v>0</v>
      </c>
      <c r="AP187" s="507">
        <f t="shared" ca="1" si="16"/>
        <v>0</v>
      </c>
      <c r="AQ187" s="507">
        <f t="shared" ca="1" si="17"/>
        <v>0</v>
      </c>
      <c r="AR187" s="507">
        <f t="shared" ca="1" si="18"/>
        <v>0</v>
      </c>
      <c r="AS187" s="508"/>
      <c r="AT187" s="507">
        <f t="shared" si="19"/>
        <v>1</v>
      </c>
    </row>
    <row r="188" spans="1:46" ht="15.75" customHeight="1">
      <c r="A188" s="485"/>
      <c r="B188" s="486">
        <f t="shared" ca="1" si="0"/>
        <v>1</v>
      </c>
      <c r="C188" s="487">
        <f t="shared" ca="1" si="1"/>
        <v>26</v>
      </c>
      <c r="D188" s="487">
        <f t="shared" ca="1" si="2"/>
        <v>6</v>
      </c>
      <c r="E188" s="487" t="str">
        <f t="shared" ca="1" si="3"/>
        <v/>
      </c>
      <c r="F188" s="487" t="str">
        <f t="shared" ca="1" si="4"/>
        <v/>
      </c>
      <c r="G188" s="488" t="str">
        <f t="shared" ca="1" si="5"/>
        <v/>
      </c>
      <c r="H188" s="489" t="str">
        <f t="shared" ca="1" si="6"/>
        <v/>
      </c>
      <c r="I188" s="509"/>
      <c r="J188" s="522"/>
      <c r="K188" s="522" t="s">
        <v>66</v>
      </c>
      <c r="L188" s="522"/>
      <c r="M188" s="522"/>
      <c r="N188" s="522"/>
      <c r="O188" s="522"/>
      <c r="P188" s="522"/>
      <c r="Q188" s="523"/>
      <c r="R188" s="524"/>
      <c r="S188" s="525"/>
      <c r="T188" s="526"/>
      <c r="U188" s="543"/>
      <c r="V188" s="526"/>
      <c r="W188" s="539">
        <v>0</v>
      </c>
      <c r="X188" s="542"/>
      <c r="Y188" s="540"/>
      <c r="Z188" s="541"/>
      <c r="AA188" s="501"/>
      <c r="AB188" s="502"/>
      <c r="AC188" s="503"/>
      <c r="AD188" s="504"/>
      <c r="AE188" s="505"/>
      <c r="AF188" s="506"/>
      <c r="AG188" s="506">
        <f t="shared" si="7"/>
        <v>0</v>
      </c>
      <c r="AH188" s="506">
        <f t="shared" si="8"/>
        <v>0</v>
      </c>
      <c r="AI188" s="506">
        <f t="shared" si="9"/>
        <v>0</v>
      </c>
      <c r="AJ188" s="506">
        <f t="shared" si="10"/>
        <v>0</v>
      </c>
      <c r="AK188" s="506" t="str">
        <f t="shared" si="11"/>
        <v/>
      </c>
      <c r="AL188" s="507">
        <f t="shared" ca="1" si="12"/>
        <v>1</v>
      </c>
      <c r="AM188" s="507">
        <f t="shared" ca="1" si="13"/>
        <v>26</v>
      </c>
      <c r="AN188" s="507">
        <f t="shared" ca="1" si="14"/>
        <v>6</v>
      </c>
      <c r="AO188" s="507">
        <f t="shared" ca="1" si="15"/>
        <v>0</v>
      </c>
      <c r="AP188" s="507">
        <f t="shared" ca="1" si="16"/>
        <v>0</v>
      </c>
      <c r="AQ188" s="507">
        <f t="shared" ca="1" si="17"/>
        <v>0</v>
      </c>
      <c r="AR188" s="507">
        <f t="shared" ca="1" si="18"/>
        <v>0</v>
      </c>
      <c r="AS188" s="508"/>
      <c r="AT188" s="507">
        <f t="shared" si="19"/>
        <v>1</v>
      </c>
    </row>
    <row r="189" spans="1:46" ht="15.75" customHeight="1">
      <c r="A189" s="485"/>
      <c r="B189" s="486">
        <f t="shared" ca="1" si="0"/>
        <v>1</v>
      </c>
      <c r="C189" s="487">
        <f t="shared" ca="1" si="1"/>
        <v>27</v>
      </c>
      <c r="D189" s="487" t="str">
        <f t="shared" ca="1" si="2"/>
        <v/>
      </c>
      <c r="E189" s="487" t="str">
        <f t="shared" ca="1" si="3"/>
        <v/>
      </c>
      <c r="F189" s="487" t="str">
        <f t="shared" ca="1" si="4"/>
        <v/>
      </c>
      <c r="G189" s="488" t="str">
        <f t="shared" ca="1" si="5"/>
        <v/>
      </c>
      <c r="H189" s="489" t="str">
        <f t="shared" ca="1" si="6"/>
        <v/>
      </c>
      <c r="I189" s="509"/>
      <c r="J189" s="511" t="s">
        <v>129</v>
      </c>
      <c r="K189" s="511"/>
      <c r="L189" s="511"/>
      <c r="M189" s="511"/>
      <c r="N189" s="511"/>
      <c r="O189" s="511"/>
      <c r="P189" s="511"/>
      <c r="Q189" s="512"/>
      <c r="R189" s="513"/>
      <c r="S189" s="514"/>
      <c r="T189" s="515"/>
      <c r="U189" s="516"/>
      <c r="V189" s="515"/>
      <c r="W189" s="517"/>
      <c r="X189" s="518"/>
      <c r="Y189" s="519"/>
      <c r="Z189" s="520"/>
      <c r="AA189" s="501"/>
      <c r="AB189" s="502"/>
      <c r="AC189" s="503"/>
      <c r="AD189" s="504"/>
      <c r="AE189" s="505"/>
      <c r="AF189" s="506"/>
      <c r="AG189" s="506">
        <f t="shared" si="7"/>
        <v>0</v>
      </c>
      <c r="AH189" s="506">
        <f t="shared" si="8"/>
        <v>0</v>
      </c>
      <c r="AI189" s="506">
        <f t="shared" si="9"/>
        <v>0</v>
      </c>
      <c r="AJ189" s="506">
        <f t="shared" si="10"/>
        <v>0</v>
      </c>
      <c r="AK189" s="506" t="str">
        <f t="shared" si="11"/>
        <v/>
      </c>
      <c r="AL189" s="507">
        <f t="shared" ca="1" si="12"/>
        <v>1</v>
      </c>
      <c r="AM189" s="507">
        <f t="shared" ca="1" si="13"/>
        <v>27</v>
      </c>
      <c r="AN189" s="507">
        <f t="shared" ca="1" si="14"/>
        <v>0</v>
      </c>
      <c r="AO189" s="507">
        <f t="shared" ca="1" si="15"/>
        <v>0</v>
      </c>
      <c r="AP189" s="507">
        <f t="shared" ca="1" si="16"/>
        <v>0</v>
      </c>
      <c r="AQ189" s="507">
        <f t="shared" ca="1" si="17"/>
        <v>0</v>
      </c>
      <c r="AR189" s="507">
        <f t="shared" ca="1" si="18"/>
        <v>0</v>
      </c>
      <c r="AS189" s="508"/>
      <c r="AT189" s="507">
        <f t="shared" si="19"/>
        <v>1</v>
      </c>
    </row>
    <row r="190" spans="1:46" ht="15.75" customHeight="1">
      <c r="A190" s="485"/>
      <c r="B190" s="486">
        <f t="shared" ca="1" si="0"/>
        <v>1</v>
      </c>
      <c r="C190" s="487">
        <f t="shared" ca="1" si="1"/>
        <v>27</v>
      </c>
      <c r="D190" s="487">
        <f t="shared" ca="1" si="2"/>
        <v>1</v>
      </c>
      <c r="E190" s="487" t="str">
        <f t="shared" ca="1" si="3"/>
        <v/>
      </c>
      <c r="F190" s="487" t="str">
        <f t="shared" ca="1" si="4"/>
        <v/>
      </c>
      <c r="G190" s="488" t="str">
        <f t="shared" ca="1" si="5"/>
        <v/>
      </c>
      <c r="H190" s="489" t="str">
        <f t="shared" ca="1" si="6"/>
        <v/>
      </c>
      <c r="I190" s="509"/>
      <c r="J190" s="522"/>
      <c r="K190" s="522" t="s">
        <v>130</v>
      </c>
      <c r="L190" s="522"/>
      <c r="M190" s="522"/>
      <c r="N190" s="522"/>
      <c r="O190" s="522"/>
      <c r="P190" s="522"/>
      <c r="Q190" s="523"/>
      <c r="R190" s="524" t="s">
        <v>131</v>
      </c>
      <c r="S190" s="525"/>
      <c r="T190" s="526"/>
      <c r="U190" s="543"/>
      <c r="V190" s="526"/>
      <c r="W190" s="539">
        <v>0</v>
      </c>
      <c r="X190" s="542"/>
      <c r="Y190" s="540"/>
      <c r="Z190" s="541"/>
      <c r="AA190" s="501"/>
      <c r="AB190" s="502"/>
      <c r="AC190" s="503"/>
      <c r="AD190" s="504"/>
      <c r="AE190" s="505"/>
      <c r="AF190" s="506"/>
      <c r="AG190" s="506">
        <f t="shared" si="7"/>
        <v>0</v>
      </c>
      <c r="AH190" s="506">
        <f t="shared" si="8"/>
        <v>0</v>
      </c>
      <c r="AI190" s="506">
        <f t="shared" si="9"/>
        <v>0</v>
      </c>
      <c r="AJ190" s="506">
        <f t="shared" si="10"/>
        <v>0</v>
      </c>
      <c r="AK190" s="506" t="str">
        <f t="shared" si="11"/>
        <v/>
      </c>
      <c r="AL190" s="507">
        <f t="shared" ca="1" si="12"/>
        <v>1</v>
      </c>
      <c r="AM190" s="507">
        <f t="shared" ca="1" si="13"/>
        <v>27</v>
      </c>
      <c r="AN190" s="507">
        <f t="shared" ca="1" si="14"/>
        <v>1</v>
      </c>
      <c r="AO190" s="507">
        <f t="shared" ca="1" si="15"/>
        <v>0</v>
      </c>
      <c r="AP190" s="507">
        <f t="shared" ca="1" si="16"/>
        <v>0</v>
      </c>
      <c r="AQ190" s="507">
        <f t="shared" ca="1" si="17"/>
        <v>0</v>
      </c>
      <c r="AR190" s="507">
        <f t="shared" ca="1" si="18"/>
        <v>0</v>
      </c>
      <c r="AS190" s="508"/>
      <c r="AT190" s="507">
        <f t="shared" si="19"/>
        <v>1</v>
      </c>
    </row>
    <row r="191" spans="1:46" ht="15.75" customHeight="1">
      <c r="A191" s="485"/>
      <c r="B191" s="486">
        <f t="shared" ca="1" si="0"/>
        <v>1</v>
      </c>
      <c r="C191" s="487">
        <f t="shared" ca="1" si="1"/>
        <v>27</v>
      </c>
      <c r="D191" s="487">
        <f t="shared" ca="1" si="2"/>
        <v>2</v>
      </c>
      <c r="E191" s="487" t="str">
        <f t="shared" ca="1" si="3"/>
        <v/>
      </c>
      <c r="F191" s="487" t="str">
        <f t="shared" ca="1" si="4"/>
        <v/>
      </c>
      <c r="G191" s="488" t="str">
        <f t="shared" ca="1" si="5"/>
        <v/>
      </c>
      <c r="H191" s="489" t="str">
        <f t="shared" ca="1" si="6"/>
        <v/>
      </c>
      <c r="I191" s="509"/>
      <c r="J191" s="522"/>
      <c r="K191" s="522" t="s">
        <v>132</v>
      </c>
      <c r="L191" s="522"/>
      <c r="M191" s="522"/>
      <c r="N191" s="522"/>
      <c r="O191" s="522"/>
      <c r="P191" s="522"/>
      <c r="Q191" s="523"/>
      <c r="R191" s="524" t="s">
        <v>131</v>
      </c>
      <c r="S191" s="525"/>
      <c r="T191" s="526"/>
      <c r="U191" s="543"/>
      <c r="V191" s="526"/>
      <c r="W191" s="539">
        <v>0</v>
      </c>
      <c r="X191" s="542"/>
      <c r="Y191" s="540"/>
      <c r="Z191" s="541"/>
      <c r="AA191" s="501"/>
      <c r="AB191" s="502"/>
      <c r="AC191" s="503"/>
      <c r="AD191" s="504"/>
      <c r="AE191" s="505"/>
      <c r="AF191" s="506"/>
      <c r="AG191" s="506">
        <f t="shared" si="7"/>
        <v>0</v>
      </c>
      <c r="AH191" s="506">
        <f t="shared" si="8"/>
        <v>0</v>
      </c>
      <c r="AI191" s="506">
        <f t="shared" si="9"/>
        <v>0</v>
      </c>
      <c r="AJ191" s="506">
        <f t="shared" si="10"/>
        <v>0</v>
      </c>
      <c r="AK191" s="506" t="str">
        <f t="shared" si="11"/>
        <v/>
      </c>
      <c r="AL191" s="507">
        <f t="shared" ca="1" si="12"/>
        <v>1</v>
      </c>
      <c r="AM191" s="507">
        <f t="shared" ca="1" si="13"/>
        <v>27</v>
      </c>
      <c r="AN191" s="507">
        <f t="shared" ca="1" si="14"/>
        <v>2</v>
      </c>
      <c r="AO191" s="507">
        <f t="shared" ca="1" si="15"/>
        <v>0</v>
      </c>
      <c r="AP191" s="507">
        <f t="shared" ca="1" si="16"/>
        <v>0</v>
      </c>
      <c r="AQ191" s="507">
        <f t="shared" ca="1" si="17"/>
        <v>0</v>
      </c>
      <c r="AR191" s="507">
        <f t="shared" ca="1" si="18"/>
        <v>0</v>
      </c>
      <c r="AS191" s="508"/>
      <c r="AT191" s="507">
        <f t="shared" si="19"/>
        <v>1</v>
      </c>
    </row>
    <row r="192" spans="1:46" ht="15.75" customHeight="1">
      <c r="A192" s="485"/>
      <c r="B192" s="486">
        <f t="shared" ca="1" si="0"/>
        <v>1</v>
      </c>
      <c r="C192" s="487">
        <f t="shared" ca="1" si="1"/>
        <v>28</v>
      </c>
      <c r="D192" s="487" t="str">
        <f t="shared" ca="1" si="2"/>
        <v/>
      </c>
      <c r="E192" s="487" t="str">
        <f t="shared" ca="1" si="3"/>
        <v/>
      </c>
      <c r="F192" s="487" t="str">
        <f t="shared" ca="1" si="4"/>
        <v/>
      </c>
      <c r="G192" s="488" t="str">
        <f t="shared" ca="1" si="5"/>
        <v/>
      </c>
      <c r="H192" s="489" t="str">
        <f t="shared" ca="1" si="6"/>
        <v/>
      </c>
      <c r="I192" s="509"/>
      <c r="J192" s="522" t="s">
        <v>133</v>
      </c>
      <c r="K192" s="522"/>
      <c r="L192" s="522"/>
      <c r="M192" s="522"/>
      <c r="N192" s="522"/>
      <c r="O192" s="522"/>
      <c r="P192" s="522"/>
      <c r="Q192" s="523"/>
      <c r="R192" s="524" t="s">
        <v>134</v>
      </c>
      <c r="S192" s="525"/>
      <c r="T192" s="526"/>
      <c r="U192" s="543"/>
      <c r="V192" s="526"/>
      <c r="W192" s="539">
        <v>0</v>
      </c>
      <c r="X192" s="542"/>
      <c r="Y192" s="540"/>
      <c r="Z192" s="541"/>
      <c r="AA192" s="501"/>
      <c r="AB192" s="502"/>
      <c r="AC192" s="503"/>
      <c r="AD192" s="504"/>
      <c r="AE192" s="505"/>
      <c r="AF192" s="506"/>
      <c r="AG192" s="506">
        <f t="shared" si="7"/>
        <v>0</v>
      </c>
      <c r="AH192" s="506">
        <f t="shared" si="8"/>
        <v>0</v>
      </c>
      <c r="AI192" s="506">
        <f t="shared" si="9"/>
        <v>0</v>
      </c>
      <c r="AJ192" s="506">
        <f t="shared" si="10"/>
        <v>0</v>
      </c>
      <c r="AK192" s="506" t="str">
        <f t="shared" si="11"/>
        <v/>
      </c>
      <c r="AL192" s="507">
        <f t="shared" ca="1" si="12"/>
        <v>1</v>
      </c>
      <c r="AM192" s="507">
        <f t="shared" ca="1" si="13"/>
        <v>28</v>
      </c>
      <c r="AN192" s="507">
        <f t="shared" ca="1" si="14"/>
        <v>0</v>
      </c>
      <c r="AO192" s="507">
        <f t="shared" ca="1" si="15"/>
        <v>0</v>
      </c>
      <c r="AP192" s="507">
        <f t="shared" ca="1" si="16"/>
        <v>0</v>
      </c>
      <c r="AQ192" s="507">
        <f t="shared" ca="1" si="17"/>
        <v>0</v>
      </c>
      <c r="AR192" s="507">
        <f t="shared" ca="1" si="18"/>
        <v>0</v>
      </c>
      <c r="AS192" s="508"/>
      <c r="AT192" s="507">
        <f t="shared" si="19"/>
        <v>1</v>
      </c>
    </row>
    <row r="193" spans="1:46" ht="15.75" customHeight="1">
      <c r="A193" s="485"/>
      <c r="B193" s="486">
        <f t="shared" ca="1" si="0"/>
        <v>1</v>
      </c>
      <c r="C193" s="487">
        <f t="shared" ca="1" si="1"/>
        <v>29</v>
      </c>
      <c r="D193" s="487" t="str">
        <f t="shared" ca="1" si="2"/>
        <v/>
      </c>
      <c r="E193" s="487" t="str">
        <f t="shared" ca="1" si="3"/>
        <v/>
      </c>
      <c r="F193" s="487" t="str">
        <f t="shared" ca="1" si="4"/>
        <v/>
      </c>
      <c r="G193" s="488" t="str">
        <f t="shared" ca="1" si="5"/>
        <v/>
      </c>
      <c r="H193" s="489" t="str">
        <f t="shared" ca="1" si="6"/>
        <v/>
      </c>
      <c r="I193" s="509"/>
      <c r="J193" s="522" t="s">
        <v>135</v>
      </c>
      <c r="K193" s="522"/>
      <c r="L193" s="522"/>
      <c r="M193" s="522"/>
      <c r="N193" s="522"/>
      <c r="O193" s="522"/>
      <c r="P193" s="522"/>
      <c r="Q193" s="523"/>
      <c r="R193" s="524" t="s">
        <v>136</v>
      </c>
      <c r="S193" s="525"/>
      <c r="T193" s="526"/>
      <c r="U193" s="543"/>
      <c r="V193" s="526"/>
      <c r="W193" s="539">
        <v>0</v>
      </c>
      <c r="X193" s="542"/>
      <c r="Y193" s="540"/>
      <c r="Z193" s="541"/>
      <c r="AA193" s="501"/>
      <c r="AB193" s="502"/>
      <c r="AC193" s="503"/>
      <c r="AD193" s="504"/>
      <c r="AE193" s="505"/>
      <c r="AF193" s="506"/>
      <c r="AG193" s="506">
        <f t="shared" si="7"/>
        <v>0</v>
      </c>
      <c r="AH193" s="506">
        <f t="shared" si="8"/>
        <v>0</v>
      </c>
      <c r="AI193" s="506">
        <f t="shared" si="9"/>
        <v>0</v>
      </c>
      <c r="AJ193" s="506">
        <f t="shared" si="10"/>
        <v>0</v>
      </c>
      <c r="AK193" s="506" t="str">
        <f t="shared" si="11"/>
        <v/>
      </c>
      <c r="AL193" s="507">
        <f t="shared" ca="1" si="12"/>
        <v>1</v>
      </c>
      <c r="AM193" s="507">
        <f t="shared" ca="1" si="13"/>
        <v>29</v>
      </c>
      <c r="AN193" s="507">
        <f t="shared" ca="1" si="14"/>
        <v>0</v>
      </c>
      <c r="AO193" s="507">
        <f t="shared" ca="1" si="15"/>
        <v>0</v>
      </c>
      <c r="AP193" s="507">
        <f t="shared" ca="1" si="16"/>
        <v>0</v>
      </c>
      <c r="AQ193" s="507">
        <f t="shared" ca="1" si="17"/>
        <v>0</v>
      </c>
      <c r="AR193" s="507">
        <f t="shared" ca="1" si="18"/>
        <v>0</v>
      </c>
      <c r="AS193" s="508"/>
      <c r="AT193" s="507">
        <f t="shared" si="19"/>
        <v>1</v>
      </c>
    </row>
    <row r="194" spans="1:46" ht="15.75" customHeight="1">
      <c r="A194" s="485"/>
      <c r="B194" s="486">
        <f t="shared" ca="1" si="0"/>
        <v>1</v>
      </c>
      <c r="C194" s="487">
        <f t="shared" ca="1" si="1"/>
        <v>30</v>
      </c>
      <c r="D194" s="487" t="str">
        <f t="shared" ca="1" si="2"/>
        <v/>
      </c>
      <c r="E194" s="487" t="str">
        <f t="shared" ca="1" si="3"/>
        <v/>
      </c>
      <c r="F194" s="487" t="str">
        <f t="shared" ca="1" si="4"/>
        <v/>
      </c>
      <c r="G194" s="488" t="str">
        <f t="shared" ca="1" si="5"/>
        <v/>
      </c>
      <c r="H194" s="489" t="str">
        <f t="shared" ca="1" si="6"/>
        <v/>
      </c>
      <c r="I194" s="509"/>
      <c r="J194" s="522" t="s">
        <v>137</v>
      </c>
      <c r="K194" s="522"/>
      <c r="L194" s="522"/>
      <c r="M194" s="522"/>
      <c r="N194" s="522"/>
      <c r="O194" s="522"/>
      <c r="P194" s="522"/>
      <c r="Q194" s="523"/>
      <c r="R194" s="524" t="s">
        <v>138</v>
      </c>
      <c r="S194" s="525"/>
      <c r="T194" s="526"/>
      <c r="U194" s="543"/>
      <c r="V194" s="526"/>
      <c r="W194" s="539">
        <v>0</v>
      </c>
      <c r="X194" s="542"/>
      <c r="Y194" s="540"/>
      <c r="Z194" s="541"/>
      <c r="AA194" s="501"/>
      <c r="AB194" s="502"/>
      <c r="AC194" s="503"/>
      <c r="AD194" s="504"/>
      <c r="AE194" s="505"/>
      <c r="AF194" s="506"/>
      <c r="AG194" s="506">
        <f t="shared" si="7"/>
        <v>0</v>
      </c>
      <c r="AH194" s="506">
        <f t="shared" si="8"/>
        <v>0</v>
      </c>
      <c r="AI194" s="506">
        <f t="shared" si="9"/>
        <v>0</v>
      </c>
      <c r="AJ194" s="506">
        <f t="shared" si="10"/>
        <v>0</v>
      </c>
      <c r="AK194" s="506" t="str">
        <f t="shared" si="11"/>
        <v/>
      </c>
      <c r="AL194" s="507">
        <f t="shared" ca="1" si="12"/>
        <v>1</v>
      </c>
      <c r="AM194" s="507">
        <f t="shared" ca="1" si="13"/>
        <v>30</v>
      </c>
      <c r="AN194" s="507">
        <f t="shared" ca="1" si="14"/>
        <v>0</v>
      </c>
      <c r="AO194" s="507">
        <f t="shared" ca="1" si="15"/>
        <v>0</v>
      </c>
      <c r="AP194" s="507">
        <f t="shared" ca="1" si="16"/>
        <v>0</v>
      </c>
      <c r="AQ194" s="507">
        <f t="shared" ca="1" si="17"/>
        <v>0</v>
      </c>
      <c r="AR194" s="507">
        <f t="shared" ca="1" si="18"/>
        <v>0</v>
      </c>
      <c r="AS194" s="508"/>
      <c r="AT194" s="507">
        <f t="shared" si="19"/>
        <v>1</v>
      </c>
    </row>
    <row r="195" spans="1:46" ht="15.75" customHeight="1">
      <c r="A195" s="485"/>
      <c r="B195" s="486">
        <f t="shared" ca="1" si="0"/>
        <v>1</v>
      </c>
      <c r="C195" s="487">
        <f t="shared" ca="1" si="1"/>
        <v>31</v>
      </c>
      <c r="D195" s="487" t="str">
        <f t="shared" ca="1" si="2"/>
        <v/>
      </c>
      <c r="E195" s="487" t="str">
        <f t="shared" ca="1" si="3"/>
        <v/>
      </c>
      <c r="F195" s="487" t="str">
        <f t="shared" ca="1" si="4"/>
        <v/>
      </c>
      <c r="G195" s="488" t="str">
        <f t="shared" ca="1" si="5"/>
        <v/>
      </c>
      <c r="H195" s="489" t="str">
        <f t="shared" ca="1" si="6"/>
        <v/>
      </c>
      <c r="I195" s="509"/>
      <c r="J195" s="522" t="s">
        <v>139</v>
      </c>
      <c r="K195" s="522"/>
      <c r="L195" s="522"/>
      <c r="M195" s="522"/>
      <c r="N195" s="522"/>
      <c r="O195" s="522"/>
      <c r="P195" s="522"/>
      <c r="Q195" s="523"/>
      <c r="R195" s="524" t="s">
        <v>140</v>
      </c>
      <c r="S195" s="525"/>
      <c r="T195" s="526"/>
      <c r="U195" s="543"/>
      <c r="V195" s="526"/>
      <c r="W195" s="539">
        <v>0</v>
      </c>
      <c r="X195" s="542"/>
      <c r="Y195" s="540"/>
      <c r="Z195" s="541"/>
      <c r="AA195" s="501"/>
      <c r="AB195" s="502"/>
      <c r="AC195" s="503"/>
      <c r="AD195" s="504"/>
      <c r="AE195" s="505"/>
      <c r="AF195" s="506"/>
      <c r="AG195" s="506">
        <f t="shared" si="7"/>
        <v>0</v>
      </c>
      <c r="AH195" s="506">
        <f t="shared" si="8"/>
        <v>0</v>
      </c>
      <c r="AI195" s="506">
        <f t="shared" si="9"/>
        <v>0</v>
      </c>
      <c r="AJ195" s="506">
        <f t="shared" si="10"/>
        <v>0</v>
      </c>
      <c r="AK195" s="506" t="str">
        <f t="shared" si="11"/>
        <v/>
      </c>
      <c r="AL195" s="507">
        <f t="shared" ca="1" si="12"/>
        <v>1</v>
      </c>
      <c r="AM195" s="507">
        <f t="shared" ca="1" si="13"/>
        <v>31</v>
      </c>
      <c r="AN195" s="507">
        <f t="shared" ca="1" si="14"/>
        <v>0</v>
      </c>
      <c r="AO195" s="507">
        <f t="shared" ca="1" si="15"/>
        <v>0</v>
      </c>
      <c r="AP195" s="507">
        <f t="shared" ca="1" si="16"/>
        <v>0</v>
      </c>
      <c r="AQ195" s="507">
        <f t="shared" ca="1" si="17"/>
        <v>0</v>
      </c>
      <c r="AR195" s="507">
        <f t="shared" ca="1" si="18"/>
        <v>0</v>
      </c>
      <c r="AS195" s="508"/>
      <c r="AT195" s="507">
        <f t="shared" si="19"/>
        <v>1</v>
      </c>
    </row>
    <row r="196" spans="1:46" ht="15.75" customHeight="1">
      <c r="X196" s="552">
        <v>0.75</v>
      </c>
    </row>
    <row r="197" spans="1:46" ht="15.75" customHeight="1"/>
    <row r="198" spans="1:46" ht="15.75" customHeight="1"/>
    <row r="199" spans="1:46" ht="15.75" customHeight="1"/>
    <row r="200" spans="1:46" ht="15.75" customHeight="1"/>
    <row r="201" spans="1:46" ht="15.75" customHeight="1"/>
    <row r="202" spans="1:46" ht="15.75" customHeight="1"/>
    <row r="203" spans="1:46" ht="15.75" customHeight="1"/>
    <row r="204" spans="1:46" ht="15.75" customHeight="1"/>
    <row r="205" spans="1:46" ht="15.75" customHeight="1"/>
    <row r="206" spans="1:46" ht="15.75" customHeight="1"/>
    <row r="207" spans="1:46" ht="15.75" customHeight="1"/>
    <row r="208" spans="1:46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A5:AT195" xr:uid="{00000000-0009-0000-0000-000001000000}"/>
  <mergeCells count="8">
    <mergeCell ref="AB4:AC4"/>
    <mergeCell ref="AF4:AH4"/>
    <mergeCell ref="A1:V2"/>
    <mergeCell ref="B4:H4"/>
    <mergeCell ref="I4:O4"/>
    <mergeCell ref="S4:T4"/>
    <mergeCell ref="U4:V4"/>
    <mergeCell ref="W4:X4"/>
  </mergeCells>
  <phoneticPr fontId="1"/>
  <conditionalFormatting sqref="I6:N6">
    <cfRule type="expression" dxfId="5" priority="2" stopIfTrue="1">
      <formula>IF(I6&lt;&gt;"",IF(#REF!=100%,TRUE,FALSE))</formula>
    </cfRule>
  </conditionalFormatting>
  <conditionalFormatting sqref="U5:V1048576">
    <cfRule type="expression" dxfId="4" priority="1">
      <formula>AND(S5&lt;&gt;"",U5="",S5&lt;=$Z$1)</formula>
    </cfRule>
  </conditionalFormatting>
  <dataValidations count="1">
    <dataValidation type="list" allowBlank="1" showErrorMessage="1" sqref="AE6:AE195" xr:uid="{CFEBDC7E-401B-42D7-B960-9DCB232688C1}">
      <formula1>"RD,ED,ID,M/UT,ITa,Itb,ST,UAT,Other"</formula1>
    </dataValidation>
  </dataValidations>
  <pageMargins left="0.23622047244094491" right="0.11811023622047245" top="0.39" bottom="0.32" header="0" footer="0"/>
  <pageSetup paperSize="9" fitToHeight="0"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99ECB-2DFB-4BBE-A4DC-197E2F708B4D}">
  <sheetPr codeName="Sheet6">
    <tabColor rgb="FFFFFF00"/>
  </sheetPr>
  <dimension ref="A1"/>
  <sheetViews>
    <sheetView zoomScale="55" zoomScaleNormal="55" workbookViewId="0">
      <selection activeCell="G11" sqref="G11"/>
    </sheetView>
  </sheetViews>
  <sheetFormatPr defaultRowHeight="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1</vt:i4>
      </vt:variant>
    </vt:vector>
  </HeadingPairs>
  <TitlesOfParts>
    <vt:vector size="22" baseType="lpstr">
      <vt:lpstr>HISTORY</vt:lpstr>
      <vt:lpstr>MENU</vt:lpstr>
      <vt:lpstr>Sub-System</vt:lpstr>
      <vt:lpstr>WhiteList</vt:lpstr>
      <vt:lpstr>BlackList</vt:lpstr>
      <vt:lpstr>Progress</vt:lpstr>
      <vt:lpstr>G(0)</vt:lpstr>
      <vt:lpstr>Start</vt:lpstr>
      <vt:lpstr>G(1)</vt:lpstr>
      <vt:lpstr>G(2)</vt:lpstr>
      <vt:lpstr>G(3)</vt:lpstr>
      <vt:lpstr>G(4)</vt:lpstr>
      <vt:lpstr>G(5)</vt:lpstr>
      <vt:lpstr>End</vt:lpstr>
      <vt:lpstr>From</vt:lpstr>
      <vt:lpstr>WBS(A_取引先管理)</vt:lpstr>
      <vt:lpstr>WBS(F_支払)</vt:lpstr>
      <vt:lpstr>WBS(X_システム共通)</vt:lpstr>
      <vt:lpstr>WBS(共通)</vt:lpstr>
      <vt:lpstr>WBS(インフラ)</vt:lpstr>
      <vt:lpstr>To</vt:lpstr>
      <vt:lpstr>Report_Day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Zeng, Jin/曾 进</dc:creator>
  <cp:lastModifiedBy>t78006</cp:lastModifiedBy>
  <cp:lastPrinted>2023-07-04T04:44:23Z</cp:lastPrinted>
  <dcterms:created xsi:type="dcterms:W3CDTF">2023-06-27T03:01:47Z</dcterms:created>
  <dcterms:modified xsi:type="dcterms:W3CDTF">2025-06-13T09:08:49Z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2023-06-27T03:03:16Z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d828b4f8-d6e0-4436-8450-7cdf26896cc9</vt:lpwstr>
  </property>
  <property fmtid="{D5CDD505-2E9C-101B-9397-08002B2CF9AE}" pid="8" name="MSIP_Label_a7295cc1-d279-42ac-ab4d-3b0f4fece050_ContentBits">
    <vt:lpwstr>0</vt:lpwstr>
  </property>
</Properties>
</file>